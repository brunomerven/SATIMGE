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3A959C46-A448-4A7F-96B6-6EBDAE511DD5}" xr6:coauthVersionLast="45" xr6:coauthVersionMax="45" xr10:uidLastSave="{00000000-0000-0000-0000-000000000000}"/>
  <bookViews>
    <workbookView xWindow="-2535" yWindow="-19710" windowWidth="21585" windowHeight="14505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externalReferences>
    <externalReference r:id="rId8"/>
  </externalReferences>
  <definedNames>
    <definedName name="_xlnm._FilterDatabase" localSheetId="3" hidden="1">IPCCMaps!$G$1:$K$65</definedName>
    <definedName name="_xlnm._FilterDatabase" localSheetId="2" hidden="1">mapCOM!$A$1:$D$464</definedName>
    <definedName name="_xlnm._FilterDatabase" localSheetId="1" hidden="1">mapPRC!$A$1:$I$952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C11" i="1"/>
  <c r="C10" i="1"/>
  <c r="C38" i="1" l="1"/>
  <c r="Y41" i="7"/>
  <c r="C37" i="1" l="1"/>
  <c r="C36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1" i="2" l="1"/>
  <c r="F203" i="2"/>
  <c r="F202" i="2"/>
  <c r="F201" i="2"/>
  <c r="F200" i="2"/>
  <c r="F199" i="2"/>
  <c r="F198" i="2"/>
  <c r="F197" i="2"/>
  <c r="F196" i="2"/>
  <c r="F194" i="2"/>
  <c r="C35" i="1" l="1"/>
  <c r="E58" i="2" l="1"/>
  <c r="C20" i="1" l="1"/>
  <c r="C19" i="1"/>
  <c r="C18" i="1"/>
  <c r="E22" i="2"/>
  <c r="E21" i="2"/>
  <c r="E24" i="2"/>
  <c r="E25" i="2"/>
  <c r="E26" i="2"/>
  <c r="E27" i="2"/>
  <c r="E32" i="2"/>
  <c r="E31" i="2"/>
  <c r="E34" i="2"/>
  <c r="E33" i="2"/>
  <c r="E20" i="2"/>
  <c r="E23" i="2"/>
  <c r="E28" i="2"/>
  <c r="E29" i="2"/>
  <c r="E30" i="2"/>
  <c r="E35" i="2"/>
  <c r="E36" i="2"/>
  <c r="E37" i="2"/>
  <c r="E38" i="2"/>
  <c r="E69" i="2" l="1"/>
  <c r="E70" i="2"/>
  <c r="E73" i="2" l="1"/>
  <c r="E72" i="2"/>
  <c r="E71" i="2"/>
  <c r="E68" i="2"/>
  <c r="E67" i="2"/>
  <c r="E66" i="2"/>
  <c r="E65" i="2"/>
  <c r="E64" i="2"/>
  <c r="E63" i="2"/>
  <c r="E40" i="2"/>
  <c r="E41" i="2"/>
  <c r="E42" i="2"/>
  <c r="E43" i="2"/>
  <c r="E44" i="2"/>
  <c r="E45" i="2"/>
  <c r="E46" i="2"/>
  <c r="E47" i="2"/>
  <c r="E48" i="2"/>
  <c r="E49" i="2"/>
  <c r="E50" i="2"/>
  <c r="E51" i="2"/>
  <c r="E39" i="2"/>
  <c r="E75" i="2" l="1"/>
  <c r="E76" i="2"/>
  <c r="E77" i="2"/>
  <c r="E78" i="2"/>
  <c r="E53" i="2" l="1"/>
  <c r="E54" i="2"/>
  <c r="E55" i="2"/>
  <c r="E56" i="2"/>
  <c r="E57" i="2"/>
  <c r="E59" i="2"/>
  <c r="E60" i="2"/>
  <c r="E61" i="2"/>
  <c r="E62" i="2"/>
  <c r="E74" i="2"/>
  <c r="E52" i="2" l="1"/>
  <c r="I952" i="2" l="1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H844" i="2"/>
  <c r="G844" i="2"/>
  <c r="F844" i="2"/>
  <c r="I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G812" i="2"/>
  <c r="F812" i="2"/>
  <c r="I811" i="2"/>
  <c r="H811" i="2"/>
  <c r="G811" i="2"/>
  <c r="F811" i="2"/>
  <c r="I810" i="2"/>
  <c r="G810" i="2"/>
  <c r="F810" i="2"/>
  <c r="I809" i="2"/>
  <c r="H809" i="2"/>
  <c r="G809" i="2"/>
  <c r="F809" i="2"/>
  <c r="I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H640" i="2"/>
  <c r="G640" i="2"/>
  <c r="F640" i="2"/>
  <c r="I639" i="2"/>
  <c r="H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H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H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195" i="2"/>
  <c r="G195" i="2"/>
  <c r="F195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17" i="2" s="1"/>
  <c r="J53" i="4"/>
  <c r="J52" i="4"/>
  <c r="J51" i="4"/>
  <c r="H779" i="2" s="1"/>
  <c r="J50" i="4"/>
  <c r="H780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78" i="2" s="1"/>
  <c r="J26" i="4"/>
  <c r="J25" i="4"/>
  <c r="J24" i="4"/>
  <c r="J23" i="4"/>
  <c r="J22" i="4"/>
  <c r="J21" i="4"/>
  <c r="H295" i="2" s="1"/>
  <c r="J20" i="4"/>
  <c r="J19" i="4"/>
  <c r="H277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309" i="2" l="1"/>
  <c r="H306" i="2"/>
  <c r="H303" i="2"/>
  <c r="H300" i="2"/>
  <c r="H297" i="2"/>
  <c r="H311" i="2"/>
  <c r="H308" i="2"/>
  <c r="H305" i="2"/>
  <c r="H302" i="2"/>
  <c r="H299" i="2"/>
  <c r="H296" i="2"/>
  <c r="H310" i="2"/>
  <c r="H307" i="2"/>
  <c r="H304" i="2"/>
  <c r="H301" i="2"/>
  <c r="H298" i="2"/>
  <c r="H634" i="2"/>
  <c r="H631" i="2"/>
  <c r="H628" i="2"/>
  <c r="H625" i="2"/>
  <c r="H622" i="2"/>
  <c r="H619" i="2"/>
  <c r="H616" i="2"/>
  <c r="H613" i="2"/>
  <c r="H610" i="2"/>
  <c r="H607" i="2"/>
  <c r="H604" i="2"/>
  <c r="H601" i="2"/>
  <c r="H598" i="2"/>
  <c r="H595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599" i="2"/>
  <c r="H596" i="2"/>
  <c r="H624" i="2"/>
  <c r="H606" i="2"/>
  <c r="H627" i="2"/>
  <c r="H609" i="2"/>
  <c r="H630" i="2"/>
  <c r="H612" i="2"/>
  <c r="H633" i="2"/>
  <c r="H615" i="2"/>
  <c r="H597" i="2"/>
  <c r="H636" i="2"/>
  <c r="H618" i="2"/>
  <c r="H600" i="2"/>
  <c r="H621" i="2"/>
  <c r="H603" i="2"/>
  <c r="H215" i="2"/>
  <c r="H212" i="2"/>
  <c r="H209" i="2"/>
  <c r="H206" i="2"/>
  <c r="H217" i="2"/>
  <c r="H214" i="2"/>
  <c r="H211" i="2"/>
  <c r="H208" i="2"/>
  <c r="H205" i="2"/>
  <c r="H216" i="2"/>
  <c r="H207" i="2"/>
  <c r="H210" i="2"/>
  <c r="H213" i="2"/>
  <c r="H336" i="2"/>
  <c r="H333" i="2"/>
  <c r="H330" i="2"/>
  <c r="H327" i="2"/>
  <c r="H324" i="2"/>
  <c r="H321" i="2"/>
  <c r="H318" i="2"/>
  <c r="H315" i="2"/>
  <c r="H312" i="2"/>
  <c r="H335" i="2"/>
  <c r="H332" i="2"/>
  <c r="H329" i="2"/>
  <c r="H326" i="2"/>
  <c r="H323" i="2"/>
  <c r="H320" i="2"/>
  <c r="H317" i="2"/>
  <c r="H314" i="2"/>
  <c r="H337" i="2"/>
  <c r="H334" i="2"/>
  <c r="H331" i="2"/>
  <c r="H328" i="2"/>
  <c r="H325" i="2"/>
  <c r="H322" i="2"/>
  <c r="H319" i="2"/>
  <c r="H316" i="2"/>
  <c r="H313" i="2"/>
  <c r="H643" i="2"/>
  <c r="H637" i="2"/>
  <c r="H644" i="2"/>
  <c r="H641" i="2"/>
  <c r="H638" i="2"/>
  <c r="H642" i="2"/>
  <c r="H781" i="2"/>
  <c r="H782" i="2"/>
  <c r="H783" i="2"/>
  <c r="H227" i="2"/>
  <c r="H224" i="2"/>
  <c r="H221" i="2"/>
  <c r="H218" i="2"/>
  <c r="H226" i="2"/>
  <c r="H223" i="2"/>
  <c r="H220" i="2"/>
  <c r="H225" i="2"/>
  <c r="H222" i="2"/>
  <c r="H219" i="2"/>
  <c r="H351" i="2"/>
  <c r="H348" i="2"/>
  <c r="H345" i="2"/>
  <c r="H342" i="2"/>
  <c r="H339" i="2"/>
  <c r="H353" i="2"/>
  <c r="H350" i="2"/>
  <c r="H347" i="2"/>
  <c r="H344" i="2"/>
  <c r="H341" i="2"/>
  <c r="H338" i="2"/>
  <c r="H352" i="2"/>
  <c r="H349" i="2"/>
  <c r="H346" i="2"/>
  <c r="H343" i="2"/>
  <c r="H340" i="2"/>
  <c r="H691" i="2"/>
  <c r="H688" i="2"/>
  <c r="H685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78" i="2"/>
  <c r="H660" i="2"/>
  <c r="H681" i="2"/>
  <c r="H663" i="2"/>
  <c r="H645" i="2"/>
  <c r="H684" i="2"/>
  <c r="H666" i="2"/>
  <c r="H648" i="2"/>
  <c r="H687" i="2"/>
  <c r="H669" i="2"/>
  <c r="H651" i="2"/>
  <c r="H690" i="2"/>
  <c r="H672" i="2"/>
  <c r="H654" i="2"/>
  <c r="H675" i="2"/>
  <c r="H657" i="2"/>
  <c r="H901" i="2"/>
  <c r="H880" i="2"/>
  <c r="H850" i="2"/>
  <c r="H817" i="2"/>
  <c r="H808" i="2"/>
  <c r="H846" i="2"/>
  <c r="H843" i="2"/>
  <c r="H887" i="2"/>
  <c r="H839" i="2"/>
  <c r="H824" i="2"/>
  <c r="H812" i="2"/>
  <c r="H794" i="2"/>
  <c r="H801" i="2"/>
  <c r="H810" i="2"/>
  <c r="H275" i="2"/>
  <c r="H274" i="2"/>
  <c r="H534" i="2"/>
  <c r="H531" i="2"/>
  <c r="H525" i="2"/>
  <c r="H524" i="2"/>
  <c r="H530" i="2"/>
  <c r="H527" i="2"/>
  <c r="H533" i="2"/>
  <c r="H536" i="2"/>
  <c r="H529" i="2"/>
  <c r="H526" i="2"/>
  <c r="H532" i="2"/>
  <c r="H535" i="2"/>
  <c r="H556" i="2"/>
  <c r="H553" i="2"/>
  <c r="H550" i="2"/>
  <c r="H547" i="2"/>
  <c r="H544" i="2"/>
  <c r="H541" i="2"/>
  <c r="H538" i="2"/>
  <c r="H552" i="2"/>
  <c r="H539" i="2"/>
  <c r="H555" i="2"/>
  <c r="H542" i="2"/>
  <c r="H558" i="2"/>
  <c r="H545" i="2"/>
  <c r="H548" i="2"/>
  <c r="H551" i="2"/>
  <c r="H554" i="2"/>
  <c r="H557" i="2"/>
  <c r="H540" i="2"/>
  <c r="H543" i="2"/>
  <c r="H546" i="2"/>
  <c r="H549" i="2"/>
  <c r="H89" i="2"/>
  <c r="H86" i="2"/>
  <c r="H83" i="2"/>
  <c r="H80" i="2"/>
  <c r="H90" i="2"/>
  <c r="H91" i="2"/>
  <c r="H88" i="2"/>
  <c r="H85" i="2"/>
  <c r="H82" i="2"/>
  <c r="H79" i="2"/>
  <c r="H87" i="2"/>
  <c r="H81" i="2"/>
  <c r="H84" i="2"/>
  <c r="H239" i="2"/>
  <c r="H236" i="2"/>
  <c r="H233" i="2"/>
  <c r="H230" i="2"/>
  <c r="H238" i="2"/>
  <c r="H235" i="2"/>
  <c r="H232" i="2"/>
  <c r="H240" i="2"/>
  <c r="H237" i="2"/>
  <c r="H234" i="2"/>
  <c r="H231" i="2"/>
  <c r="H381" i="2"/>
  <c r="H378" i="2"/>
  <c r="H375" i="2"/>
  <c r="H372" i="2"/>
  <c r="H369" i="2"/>
  <c r="H380" i="2"/>
  <c r="H377" i="2"/>
  <c r="H374" i="2"/>
  <c r="H371" i="2"/>
  <c r="H368" i="2"/>
  <c r="H379" i="2"/>
  <c r="H376" i="2"/>
  <c r="H373" i="2"/>
  <c r="H370" i="2"/>
  <c r="H367" i="2"/>
  <c r="H703" i="2"/>
  <c r="H700" i="2"/>
  <c r="H697" i="2"/>
  <c r="H704" i="2"/>
  <c r="H701" i="2"/>
  <c r="H698" i="2"/>
  <c r="H695" i="2"/>
  <c r="H696" i="2"/>
  <c r="H699" i="2"/>
  <c r="H702" i="2"/>
  <c r="H760" i="2"/>
  <c r="H757" i="2"/>
  <c r="H758" i="2"/>
  <c r="H756" i="2"/>
  <c r="H759" i="2"/>
  <c r="H784" i="2"/>
  <c r="H785" i="2"/>
  <c r="H761" i="2"/>
  <c r="H765" i="2"/>
  <c r="H770" i="2"/>
  <c r="H366" i="2"/>
  <c r="H363" i="2"/>
  <c r="H360" i="2"/>
  <c r="H357" i="2"/>
  <c r="H354" i="2"/>
  <c r="H365" i="2"/>
  <c r="H362" i="2"/>
  <c r="H359" i="2"/>
  <c r="H356" i="2"/>
  <c r="H364" i="2"/>
  <c r="H361" i="2"/>
  <c r="H358" i="2"/>
  <c r="H355" i="2"/>
  <c r="H771" i="2"/>
  <c r="H694" i="2"/>
  <c r="H693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92" i="2"/>
  <c r="H99" i="2"/>
  <c r="H133" i="2"/>
  <c r="H130" i="2"/>
  <c r="H127" i="2"/>
  <c r="H124" i="2"/>
  <c r="H121" i="2"/>
  <c r="H118" i="2"/>
  <c r="H115" i="2"/>
  <c r="H112" i="2"/>
  <c r="H109" i="2"/>
  <c r="H106" i="2"/>
  <c r="H103" i="2"/>
  <c r="H100" i="2"/>
  <c r="H97" i="2"/>
  <c r="H94" i="2"/>
  <c r="H129" i="2"/>
  <c r="H120" i="2"/>
  <c r="H105" i="2"/>
  <c r="H117" i="2"/>
  <c r="H102" i="2"/>
  <c r="H126" i="2"/>
  <c r="H111" i="2"/>
  <c r="H96" i="2"/>
  <c r="H132" i="2"/>
  <c r="H123" i="2"/>
  <c r="H108" i="2"/>
  <c r="H93" i="2"/>
  <c r="H114" i="2"/>
  <c r="H257" i="2"/>
  <c r="H254" i="2"/>
  <c r="H251" i="2"/>
  <c r="H248" i="2"/>
  <c r="H245" i="2"/>
  <c r="H242" i="2"/>
  <c r="H256" i="2"/>
  <c r="H253" i="2"/>
  <c r="H250" i="2"/>
  <c r="H247" i="2"/>
  <c r="H244" i="2"/>
  <c r="H241" i="2"/>
  <c r="H262" i="2"/>
  <c r="H258" i="2"/>
  <c r="H255" i="2"/>
  <c r="H252" i="2"/>
  <c r="H249" i="2"/>
  <c r="H246" i="2"/>
  <c r="H243" i="2"/>
  <c r="H261" i="2"/>
  <c r="H730" i="2"/>
  <c r="H727" i="2"/>
  <c r="H724" i="2"/>
  <c r="H721" i="2"/>
  <c r="H718" i="2"/>
  <c r="H715" i="2"/>
  <c r="H712" i="2"/>
  <c r="H709" i="2"/>
  <c r="H706" i="2"/>
  <c r="H728" i="2"/>
  <c r="H725" i="2"/>
  <c r="H722" i="2"/>
  <c r="H719" i="2"/>
  <c r="H716" i="2"/>
  <c r="H713" i="2"/>
  <c r="H710" i="2"/>
  <c r="H707" i="2"/>
  <c r="H714" i="2"/>
  <c r="H717" i="2"/>
  <c r="H720" i="2"/>
  <c r="H723" i="2"/>
  <c r="H705" i="2"/>
  <c r="H726" i="2"/>
  <c r="H708" i="2"/>
  <c r="H729" i="2"/>
  <c r="H711" i="2"/>
  <c r="H456" i="2"/>
  <c r="H453" i="2"/>
  <c r="H450" i="2"/>
  <c r="H447" i="2"/>
  <c r="H444" i="2"/>
  <c r="H441" i="2"/>
  <c r="H438" i="2"/>
  <c r="H435" i="2"/>
  <c r="H432" i="2"/>
  <c r="H429" i="2"/>
  <c r="H426" i="2"/>
  <c r="H423" i="2"/>
  <c r="H455" i="2"/>
  <c r="H452" i="2"/>
  <c r="H449" i="2"/>
  <c r="H446" i="2"/>
  <c r="H443" i="2"/>
  <c r="H440" i="2"/>
  <c r="H437" i="2"/>
  <c r="H434" i="2"/>
  <c r="H431" i="2"/>
  <c r="H428" i="2"/>
  <c r="H425" i="2"/>
  <c r="H454" i="2"/>
  <c r="H451" i="2"/>
  <c r="H448" i="2"/>
  <c r="H445" i="2"/>
  <c r="H442" i="2"/>
  <c r="H439" i="2"/>
  <c r="H436" i="2"/>
  <c r="H433" i="2"/>
  <c r="H430" i="2"/>
  <c r="H427" i="2"/>
  <c r="H424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75" i="2"/>
  <c r="H172" i="2"/>
  <c r="H169" i="2"/>
  <c r="H166" i="2"/>
  <c r="H163" i="2"/>
  <c r="H160" i="2"/>
  <c r="H157" i="2"/>
  <c r="H154" i="2"/>
  <c r="H151" i="2"/>
  <c r="H148" i="2"/>
  <c r="H145" i="2"/>
  <c r="H142" i="2"/>
  <c r="H139" i="2"/>
  <c r="H136" i="2"/>
  <c r="H159" i="2"/>
  <c r="H144" i="2"/>
  <c r="H177" i="2"/>
  <c r="H165" i="2"/>
  <c r="H150" i="2"/>
  <c r="H135" i="2"/>
  <c r="H168" i="2"/>
  <c r="H153" i="2"/>
  <c r="H141" i="2"/>
  <c r="H171" i="2"/>
  <c r="H162" i="2"/>
  <c r="H147" i="2"/>
  <c r="H174" i="2"/>
  <c r="H156" i="2"/>
  <c r="H138" i="2"/>
  <c r="H191" i="2"/>
  <c r="H190" i="2"/>
  <c r="H294" i="2"/>
  <c r="H291" i="2"/>
  <c r="H288" i="2"/>
  <c r="H285" i="2"/>
  <c r="H282" i="2"/>
  <c r="H279" i="2"/>
  <c r="H293" i="2"/>
  <c r="H290" i="2"/>
  <c r="H287" i="2"/>
  <c r="H284" i="2"/>
  <c r="H281" i="2"/>
  <c r="H292" i="2"/>
  <c r="H289" i="2"/>
  <c r="H286" i="2"/>
  <c r="H283" i="2"/>
  <c r="H280" i="2"/>
  <c r="H229" i="2"/>
  <c r="H228" i="2"/>
  <c r="H270" i="2"/>
  <c r="H267" i="2"/>
  <c r="H269" i="2"/>
  <c r="H266" i="2"/>
  <c r="H268" i="2"/>
  <c r="H265" i="2"/>
  <c r="H405" i="2"/>
  <c r="H402" i="2"/>
  <c r="H399" i="2"/>
  <c r="H396" i="2"/>
  <c r="H393" i="2"/>
  <c r="H390" i="2"/>
  <c r="H387" i="2"/>
  <c r="H384" i="2"/>
  <c r="H404" i="2"/>
  <c r="H401" i="2"/>
  <c r="H398" i="2"/>
  <c r="H395" i="2"/>
  <c r="H392" i="2"/>
  <c r="H389" i="2"/>
  <c r="H386" i="2"/>
  <c r="H383" i="2"/>
  <c r="H406" i="2"/>
  <c r="H403" i="2"/>
  <c r="H400" i="2"/>
  <c r="H397" i="2"/>
  <c r="H394" i="2"/>
  <c r="H391" i="2"/>
  <c r="H388" i="2"/>
  <c r="H385" i="2"/>
  <c r="H382" i="2"/>
  <c r="H751" i="2"/>
  <c r="H748" i="2"/>
  <c r="H745" i="2"/>
  <c r="H742" i="2"/>
  <c r="H739" i="2"/>
  <c r="H736" i="2"/>
  <c r="H733" i="2"/>
  <c r="H752" i="2"/>
  <c r="H749" i="2"/>
  <c r="H746" i="2"/>
  <c r="H743" i="2"/>
  <c r="H740" i="2"/>
  <c r="H737" i="2"/>
  <c r="H734" i="2"/>
  <c r="H731" i="2"/>
  <c r="H750" i="2"/>
  <c r="H732" i="2"/>
  <c r="H753" i="2"/>
  <c r="H735" i="2"/>
  <c r="H738" i="2"/>
  <c r="H741" i="2"/>
  <c r="H744" i="2"/>
  <c r="H747" i="2"/>
  <c r="H263" i="2"/>
  <c r="H259" i="2"/>
  <c r="H273" i="2"/>
  <c r="H272" i="2"/>
  <c r="H420" i="2"/>
  <c r="H417" i="2"/>
  <c r="H414" i="2"/>
  <c r="H411" i="2"/>
  <c r="H408" i="2"/>
  <c r="H422" i="2"/>
  <c r="H419" i="2"/>
  <c r="H416" i="2"/>
  <c r="H413" i="2"/>
  <c r="H410" i="2"/>
  <c r="H407" i="2"/>
  <c r="H421" i="2"/>
  <c r="H418" i="2"/>
  <c r="H415" i="2"/>
  <c r="H412" i="2"/>
  <c r="H409" i="2"/>
  <c r="H754" i="2"/>
  <c r="H755" i="2"/>
  <c r="K57" i="4"/>
  <c r="I902" i="2" s="1"/>
  <c r="H902" i="2"/>
  <c r="H193" i="2"/>
  <c r="H192" i="2"/>
  <c r="H772" i="2"/>
  <c r="H773" i="2"/>
  <c r="H774" i="2"/>
  <c r="H195" i="2"/>
  <c r="H204" i="2"/>
  <c r="H592" i="2"/>
  <c r="H589" i="2"/>
  <c r="H586" i="2"/>
  <c r="H583" i="2"/>
  <c r="H580" i="2"/>
  <c r="H577" i="2"/>
  <c r="H574" i="2"/>
  <c r="H571" i="2"/>
  <c r="H568" i="2"/>
  <c r="H565" i="2"/>
  <c r="H562" i="2"/>
  <c r="H559" i="2"/>
  <c r="H593" i="2"/>
  <c r="H590" i="2"/>
  <c r="H587" i="2"/>
  <c r="H575" i="2"/>
  <c r="H588" i="2"/>
  <c r="H578" i="2"/>
  <c r="H581" i="2"/>
  <c r="H591" i="2"/>
  <c r="H584" i="2"/>
  <c r="H561" i="2"/>
  <c r="H564" i="2"/>
  <c r="H594" i="2"/>
  <c r="H567" i="2"/>
  <c r="H570" i="2"/>
  <c r="H573" i="2"/>
  <c r="H560" i="2"/>
  <c r="H576" i="2"/>
  <c r="H563" i="2"/>
  <c r="H579" i="2"/>
  <c r="H566" i="2"/>
  <c r="H582" i="2"/>
  <c r="H569" i="2"/>
  <c r="H585" i="2"/>
  <c r="H572" i="2"/>
  <c r="H264" i="2"/>
  <c r="H260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87" i="6"/>
  <c r="X188" i="6"/>
  <c r="X191" i="6"/>
  <c r="X192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565" i="6"/>
  <c r="X566" i="6"/>
  <c r="X567" i="6"/>
  <c r="X568" i="6"/>
  <c r="X569" i="6"/>
  <c r="X570" i="6"/>
  <c r="X571" i="6"/>
  <c r="X57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94" i="6"/>
  <c r="X695" i="6"/>
  <c r="X696" i="6"/>
  <c r="X697" i="6"/>
  <c r="X698" i="6"/>
  <c r="X699" i="6"/>
  <c r="X705" i="6"/>
  <c r="X706" i="6"/>
  <c r="X714" i="6"/>
  <c r="X715" i="6"/>
  <c r="X716" i="6"/>
  <c r="X717" i="6"/>
  <c r="X718" i="6"/>
  <c r="X719" i="6"/>
  <c r="X720" i="6"/>
  <c r="X721" i="6"/>
  <c r="X723" i="6"/>
  <c r="X724" i="6"/>
  <c r="X725" i="6"/>
  <c r="X726" i="6"/>
  <c r="X727" i="6"/>
  <c r="X728" i="6"/>
  <c r="X730" i="6"/>
  <c r="X731" i="6"/>
  <c r="X732" i="6"/>
  <c r="X733" i="6"/>
  <c r="X734" i="6"/>
  <c r="X735" i="6"/>
  <c r="X737" i="6"/>
  <c r="X739" i="6"/>
  <c r="X741" i="6"/>
  <c r="X742" i="6"/>
  <c r="X743" i="6"/>
  <c r="X744" i="6"/>
  <c r="X746" i="6"/>
  <c r="X747" i="6"/>
  <c r="X748" i="6"/>
  <c r="X749" i="6"/>
  <c r="X750" i="6"/>
  <c r="X751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8" i="6"/>
  <c r="X769" i="6"/>
  <c r="X770" i="6"/>
  <c r="X772" i="6"/>
  <c r="X773" i="6"/>
  <c r="X775" i="6"/>
  <c r="X776" i="6"/>
  <c r="X777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9" i="6"/>
  <c r="X810" i="6"/>
  <c r="X811" i="6"/>
  <c r="X812" i="6"/>
  <c r="X813" i="6"/>
  <c r="X814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AZ445" i="6" l="1"/>
  <c r="AZ446" i="6"/>
  <c r="AZ447" i="6"/>
  <c r="AZ448" i="6"/>
  <c r="AZ444" i="6"/>
  <c r="AZ452" i="6"/>
  <c r="AZ453" i="6"/>
  <c r="AZ454" i="6"/>
  <c r="AZ455" i="6"/>
  <c r="AZ456" i="6"/>
  <c r="AZ451" i="6"/>
  <c r="AA435" i="6"/>
  <c r="AB435" i="6" s="1"/>
  <c r="AA436" i="6"/>
  <c r="AB436" i="6" s="1"/>
  <c r="AA437" i="6"/>
  <c r="AB437" i="6" s="1"/>
  <c r="AA438" i="6"/>
  <c r="AB438" i="6" s="1"/>
  <c r="AA439" i="6"/>
  <c r="AB439" i="6" s="1"/>
  <c r="AA440" i="6"/>
  <c r="AB440" i="6" s="1"/>
  <c r="AA441" i="6"/>
  <c r="AB441" i="6" s="1"/>
  <c r="AA442" i="6"/>
  <c r="AB442" i="6" s="1"/>
  <c r="AA443" i="6"/>
  <c r="AB443" i="6" s="1"/>
  <c r="AA444" i="6"/>
  <c r="AB444" i="6" s="1"/>
  <c r="AA445" i="6"/>
  <c r="AB445" i="6" s="1"/>
  <c r="AA446" i="6"/>
  <c r="AB446" i="6" s="1"/>
  <c r="AA447" i="6"/>
  <c r="AA448" i="6"/>
  <c r="AB448" i="6" s="1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W861" i="6" l="1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C31" i="1" l="1"/>
  <c r="C30" i="1"/>
  <c r="C29" i="1"/>
  <c r="C28" i="1"/>
  <c r="C27" i="1"/>
  <c r="C14" i="1"/>
  <c r="C9" i="1"/>
  <c r="AZ440" i="6" l="1"/>
  <c r="AZ441" i="6"/>
  <c r="AZ442" i="6"/>
  <c r="AZ443" i="6"/>
  <c r="AB447" i="6" s="1"/>
  <c r="AZ439" i="6"/>
  <c r="AZ6" i="6" l="1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A7" i="6"/>
  <c r="AB7" i="6" s="1"/>
  <c r="W7" i="6" l="1"/>
  <c r="AS55" i="6" l="1"/>
  <c r="AS54" i="6"/>
  <c r="AS53" i="6"/>
  <c r="X707" i="6" s="1"/>
  <c r="AS52" i="6"/>
  <c r="X708" i="6" s="1"/>
  <c r="AS51" i="6"/>
  <c r="AS50" i="6"/>
  <c r="AS49" i="6"/>
  <c r="AS48" i="6"/>
  <c r="X684" i="6" l="1"/>
  <c r="X685" i="6"/>
  <c r="X686" i="6"/>
  <c r="X687" i="6"/>
  <c r="X688" i="6"/>
  <c r="X693" i="6"/>
  <c r="X712" i="6"/>
  <c r="X689" i="6"/>
  <c r="X713" i="6"/>
  <c r="X692" i="6"/>
  <c r="X704" i="6"/>
  <c r="X690" i="6"/>
  <c r="X691" i="6"/>
  <c r="X703" i="6"/>
  <c r="X700" i="6"/>
  <c r="X701" i="6"/>
  <c r="X702" i="6"/>
  <c r="X709" i="6"/>
  <c r="X710" i="6"/>
  <c r="X711" i="6"/>
  <c r="X740" i="6"/>
  <c r="X752" i="6"/>
  <c r="X774" i="6"/>
  <c r="X729" i="6"/>
  <c r="X778" i="6"/>
  <c r="X767" i="6"/>
  <c r="X815" i="6"/>
  <c r="X745" i="6"/>
  <c r="X829" i="6"/>
  <c r="X738" i="6"/>
  <c r="X722" i="6"/>
  <c r="X771" i="6"/>
  <c r="X736" i="6"/>
  <c r="X808" i="6"/>
  <c r="AS47" i="6"/>
  <c r="AS46" i="6"/>
  <c r="AS44" i="6"/>
  <c r="AS43" i="6"/>
  <c r="AS42" i="6"/>
  <c r="AS41" i="6"/>
  <c r="AS40" i="6"/>
  <c r="AS39" i="6"/>
  <c r="AS38" i="6"/>
  <c r="AS35" i="6"/>
  <c r="AS34" i="6"/>
  <c r="AS33" i="6"/>
  <c r="AS31" i="6"/>
  <c r="AS29" i="6"/>
  <c r="AS28" i="6"/>
  <c r="AS27" i="6"/>
  <c r="AS26" i="6"/>
  <c r="X223" i="6" s="1"/>
  <c r="AS25" i="6"/>
  <c r="AS9" i="6"/>
  <c r="AS8" i="6"/>
  <c r="AS7" i="6"/>
  <c r="C17" i="1"/>
  <c r="C16" i="1"/>
  <c r="C15" i="1"/>
  <c r="X682" i="6" l="1"/>
  <c r="X683" i="6"/>
  <c r="X344" i="6"/>
  <c r="X345" i="6"/>
  <c r="X346" i="6"/>
  <c r="X343" i="6"/>
  <c r="X335" i="6"/>
  <c r="X347" i="6"/>
  <c r="X336" i="6"/>
  <c r="X348" i="6"/>
  <c r="X337" i="6"/>
  <c r="X349" i="6"/>
  <c r="X342" i="6"/>
  <c r="X338" i="6"/>
  <c r="X350" i="6"/>
  <c r="X339" i="6"/>
  <c r="X340" i="6"/>
  <c r="X341" i="6"/>
  <c r="X356" i="6"/>
  <c r="X368" i="6"/>
  <c r="X380" i="6"/>
  <c r="X357" i="6"/>
  <c r="X369" i="6"/>
  <c r="X381" i="6"/>
  <c r="X367" i="6"/>
  <c r="X358" i="6"/>
  <c r="X370" i="6"/>
  <c r="X382" i="6"/>
  <c r="X359" i="6"/>
  <c r="X371" i="6"/>
  <c r="X383" i="6"/>
  <c r="X355" i="6"/>
  <c r="X360" i="6"/>
  <c r="X372" i="6"/>
  <c r="X384" i="6"/>
  <c r="X361" i="6"/>
  <c r="X373" i="6"/>
  <c r="X362" i="6"/>
  <c r="X374" i="6"/>
  <c r="X378" i="6"/>
  <c r="X351" i="6"/>
  <c r="X363" i="6"/>
  <c r="X375" i="6"/>
  <c r="X366" i="6"/>
  <c r="X352" i="6"/>
  <c r="X364" i="6"/>
  <c r="X376" i="6"/>
  <c r="X353" i="6"/>
  <c r="X365" i="6"/>
  <c r="X377" i="6"/>
  <c r="X354" i="6"/>
  <c r="X379" i="6"/>
  <c r="X8" i="6"/>
  <c r="X9" i="6"/>
  <c r="X10" i="6"/>
  <c r="X19" i="6"/>
  <c r="X11" i="6"/>
  <c r="X12" i="6"/>
  <c r="X13" i="6"/>
  <c r="X14" i="6"/>
  <c r="X15" i="6"/>
  <c r="X16" i="6"/>
  <c r="X17" i="6"/>
  <c r="X18" i="6"/>
  <c r="X476" i="6"/>
  <c r="X477" i="6"/>
  <c r="X475" i="6"/>
  <c r="X466" i="6"/>
  <c r="X478" i="6"/>
  <c r="X467" i="6"/>
  <c r="X479" i="6"/>
  <c r="X468" i="6"/>
  <c r="X480" i="6"/>
  <c r="X469" i="6"/>
  <c r="X481" i="6"/>
  <c r="X470" i="6"/>
  <c r="X482" i="6"/>
  <c r="X474" i="6"/>
  <c r="X471" i="6"/>
  <c r="X483" i="6"/>
  <c r="X472" i="6"/>
  <c r="X484" i="6"/>
  <c r="X473" i="6"/>
  <c r="X485" i="6"/>
  <c r="X486" i="6"/>
  <c r="X272" i="6"/>
  <c r="X273" i="6"/>
  <c r="X271" i="6"/>
  <c r="X274" i="6"/>
  <c r="X275" i="6"/>
  <c r="X276" i="6"/>
  <c r="X277" i="6"/>
  <c r="X266" i="6"/>
  <c r="X278" i="6"/>
  <c r="X267" i="6"/>
  <c r="X279" i="6"/>
  <c r="X268" i="6"/>
  <c r="X280" i="6"/>
  <c r="X269" i="6"/>
  <c r="X281" i="6"/>
  <c r="X270" i="6"/>
  <c r="X668" i="6"/>
  <c r="X680" i="6"/>
  <c r="X669" i="6"/>
  <c r="X681" i="6"/>
  <c r="X670" i="6"/>
  <c r="X660" i="6"/>
  <c r="X659" i="6"/>
  <c r="X671" i="6"/>
  <c r="X672" i="6"/>
  <c r="X678" i="6"/>
  <c r="X679" i="6"/>
  <c r="X661" i="6"/>
  <c r="X673" i="6"/>
  <c r="X667" i="6"/>
  <c r="X662" i="6"/>
  <c r="X674" i="6"/>
  <c r="X666" i="6"/>
  <c r="X663" i="6"/>
  <c r="X675" i="6"/>
  <c r="X664" i="6"/>
  <c r="X676" i="6"/>
  <c r="X665" i="6"/>
  <c r="X677" i="6"/>
  <c r="X320" i="6"/>
  <c r="X332" i="6"/>
  <c r="X319" i="6"/>
  <c r="X321" i="6"/>
  <c r="X333" i="6"/>
  <c r="X310" i="6"/>
  <c r="X322" i="6"/>
  <c r="X334" i="6"/>
  <c r="X311" i="6"/>
  <c r="X323" i="6"/>
  <c r="X312" i="6"/>
  <c r="X324" i="6"/>
  <c r="X313" i="6"/>
  <c r="X325" i="6"/>
  <c r="X314" i="6"/>
  <c r="X326" i="6"/>
  <c r="X315" i="6"/>
  <c r="X327" i="6"/>
  <c r="X318" i="6"/>
  <c r="X331" i="6"/>
  <c r="X316" i="6"/>
  <c r="X328" i="6"/>
  <c r="X330" i="6"/>
  <c r="X317" i="6"/>
  <c r="X329" i="6"/>
  <c r="AS32" i="6"/>
  <c r="X206" i="6" s="1"/>
  <c r="X296" i="6"/>
  <c r="X308" i="6"/>
  <c r="X297" i="6"/>
  <c r="X309" i="6"/>
  <c r="X298" i="6"/>
  <c r="X299" i="6"/>
  <c r="X300" i="6"/>
  <c r="X301" i="6"/>
  <c r="X302" i="6"/>
  <c r="X307" i="6"/>
  <c r="X303" i="6"/>
  <c r="X304" i="6"/>
  <c r="X295" i="6"/>
  <c r="X305" i="6"/>
  <c r="X306" i="6"/>
  <c r="X584" i="6"/>
  <c r="X596" i="6"/>
  <c r="X608" i="6"/>
  <c r="X620" i="6"/>
  <c r="X607" i="6"/>
  <c r="X573" i="6"/>
  <c r="X585" i="6"/>
  <c r="X597" i="6"/>
  <c r="X609" i="6"/>
  <c r="X600" i="6"/>
  <c r="X574" i="6"/>
  <c r="X586" i="6"/>
  <c r="X598" i="6"/>
  <c r="X610" i="6"/>
  <c r="X588" i="6"/>
  <c r="X583" i="6"/>
  <c r="X575" i="6"/>
  <c r="X587" i="6"/>
  <c r="X599" i="6"/>
  <c r="X611" i="6"/>
  <c r="X576" i="6"/>
  <c r="X612" i="6"/>
  <c r="X595" i="6"/>
  <c r="X577" i="6"/>
  <c r="X589" i="6"/>
  <c r="X601" i="6"/>
  <c r="X613" i="6"/>
  <c r="X578" i="6"/>
  <c r="X590" i="6"/>
  <c r="X602" i="6"/>
  <c r="X614" i="6"/>
  <c r="X594" i="6"/>
  <c r="X619" i="6"/>
  <c r="X579" i="6"/>
  <c r="X591" i="6"/>
  <c r="X603" i="6"/>
  <c r="X615" i="6"/>
  <c r="X582" i="6"/>
  <c r="X580" i="6"/>
  <c r="X592" i="6"/>
  <c r="X604" i="6"/>
  <c r="X616" i="6"/>
  <c r="X606" i="6"/>
  <c r="X581" i="6"/>
  <c r="X593" i="6"/>
  <c r="X605" i="6"/>
  <c r="X617" i="6"/>
  <c r="X618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212" i="6"/>
  <c r="X211" i="6"/>
  <c r="X213" i="6"/>
  <c r="X214" i="6"/>
  <c r="X215" i="6"/>
  <c r="X216" i="6"/>
  <c r="X217" i="6"/>
  <c r="X218" i="6"/>
  <c r="X207" i="6"/>
  <c r="X219" i="6"/>
  <c r="X222" i="6"/>
  <c r="X208" i="6"/>
  <c r="X220" i="6"/>
  <c r="X210" i="6"/>
  <c r="X209" i="6"/>
  <c r="X221" i="6"/>
  <c r="X621" i="6"/>
  <c r="X622" i="6"/>
  <c r="X488" i="6"/>
  <c r="X500" i="6"/>
  <c r="X512" i="6"/>
  <c r="X489" i="6"/>
  <c r="X501" i="6"/>
  <c r="X513" i="6"/>
  <c r="X490" i="6"/>
  <c r="X502" i="6"/>
  <c r="X514" i="6"/>
  <c r="X491" i="6"/>
  <c r="X503" i="6"/>
  <c r="X515" i="6"/>
  <c r="X487" i="6"/>
  <c r="X492" i="6"/>
  <c r="X504" i="6"/>
  <c r="X516" i="6"/>
  <c r="X493" i="6"/>
  <c r="X505" i="6"/>
  <c r="X517" i="6"/>
  <c r="X494" i="6"/>
  <c r="X506" i="6"/>
  <c r="X518" i="6"/>
  <c r="X522" i="6"/>
  <c r="X511" i="6"/>
  <c r="X495" i="6"/>
  <c r="X507" i="6"/>
  <c r="X519" i="6"/>
  <c r="X498" i="6"/>
  <c r="X496" i="6"/>
  <c r="X508" i="6"/>
  <c r="X520" i="6"/>
  <c r="X510" i="6"/>
  <c r="X499" i="6"/>
  <c r="X497" i="6"/>
  <c r="X509" i="6"/>
  <c r="X521" i="6"/>
  <c r="X524" i="6"/>
  <c r="X536" i="6"/>
  <c r="X548" i="6"/>
  <c r="X560" i="6"/>
  <c r="X523" i="6"/>
  <c r="X525" i="6"/>
  <c r="X537" i="6"/>
  <c r="X549" i="6"/>
  <c r="X561" i="6"/>
  <c r="X526" i="6"/>
  <c r="X538" i="6"/>
  <c r="X550" i="6"/>
  <c r="X562" i="6"/>
  <c r="X527" i="6"/>
  <c r="X539" i="6"/>
  <c r="X551" i="6"/>
  <c r="X563" i="6"/>
  <c r="X558" i="6"/>
  <c r="X528" i="6"/>
  <c r="X540" i="6"/>
  <c r="X552" i="6"/>
  <c r="X564" i="6"/>
  <c r="X529" i="6"/>
  <c r="X541" i="6"/>
  <c r="X553" i="6"/>
  <c r="X546" i="6"/>
  <c r="X535" i="6"/>
  <c r="X530" i="6"/>
  <c r="X542" i="6"/>
  <c r="X554" i="6"/>
  <c r="X531" i="6"/>
  <c r="X543" i="6"/>
  <c r="X555" i="6"/>
  <c r="X559" i="6"/>
  <c r="X532" i="6"/>
  <c r="X544" i="6"/>
  <c r="X556" i="6"/>
  <c r="X533" i="6"/>
  <c r="X545" i="6"/>
  <c r="X557" i="6"/>
  <c r="X534" i="6"/>
  <c r="X547" i="6"/>
  <c r="X224" i="6"/>
  <c r="X236" i="6"/>
  <c r="X225" i="6"/>
  <c r="X237" i="6"/>
  <c r="X226" i="6"/>
  <c r="X238" i="6"/>
  <c r="X227" i="6"/>
  <c r="X239" i="6"/>
  <c r="X228" i="6"/>
  <c r="X229" i="6"/>
  <c r="X235" i="6"/>
  <c r="X230" i="6"/>
  <c r="X231" i="6"/>
  <c r="X232" i="6"/>
  <c r="X234" i="6"/>
  <c r="X233" i="6"/>
  <c r="X248" i="6"/>
  <c r="X260" i="6"/>
  <c r="X249" i="6"/>
  <c r="X261" i="6"/>
  <c r="X250" i="6"/>
  <c r="X262" i="6"/>
  <c r="X247" i="6"/>
  <c r="X251" i="6"/>
  <c r="X263" i="6"/>
  <c r="X259" i="6"/>
  <c r="X240" i="6"/>
  <c r="X252" i="6"/>
  <c r="X264" i="6"/>
  <c r="X241" i="6"/>
  <c r="X253" i="6"/>
  <c r="X265" i="6"/>
  <c r="X242" i="6"/>
  <c r="X254" i="6"/>
  <c r="X243" i="6"/>
  <c r="X255" i="6"/>
  <c r="X258" i="6"/>
  <c r="X244" i="6"/>
  <c r="X256" i="6"/>
  <c r="X246" i="6"/>
  <c r="X245" i="6"/>
  <c r="X257" i="6"/>
  <c r="X632" i="6"/>
  <c r="X624" i="6"/>
  <c r="X623" i="6"/>
  <c r="X625" i="6"/>
  <c r="X630" i="6"/>
  <c r="X626" i="6"/>
  <c r="X627" i="6"/>
  <c r="X628" i="6"/>
  <c r="X631" i="6"/>
  <c r="X629" i="6"/>
  <c r="X7" i="6"/>
  <c r="AS13" i="6" l="1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X199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76" i="6" l="1"/>
  <c r="X177" i="6"/>
  <c r="X189" i="6"/>
  <c r="X178" i="6"/>
  <c r="X190" i="6"/>
  <c r="X179" i="6"/>
  <c r="X180" i="6"/>
  <c r="X169" i="6"/>
  <c r="X181" i="6"/>
  <c r="X170" i="6"/>
  <c r="X182" i="6"/>
  <c r="X171" i="6"/>
  <c r="X183" i="6"/>
  <c r="X172" i="6"/>
  <c r="X184" i="6"/>
  <c r="X174" i="6"/>
  <c r="X186" i="6"/>
  <c r="X175" i="6"/>
  <c r="X173" i="6"/>
  <c r="X185" i="6"/>
  <c r="AS21" i="6"/>
  <c r="X193" i="6" l="1"/>
  <c r="X194" i="6"/>
  <c r="X195" i="6"/>
  <c r="X198" i="6"/>
  <c r="X196" i="6"/>
  <c r="X197" i="6"/>
  <c r="AS22" i="6"/>
  <c r="X200" i="6" l="1"/>
  <c r="X201" i="6"/>
  <c r="AS23" i="6"/>
  <c r="X202" i="6" l="1"/>
  <c r="X203" i="6"/>
  <c r="AS24" i="6"/>
  <c r="X205" i="6" l="1"/>
  <c r="X204" i="6"/>
  <c r="C15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tc={94EEE5D5-FD7A-4E62-AFD2-9AA5F788101C}</author>
  </authors>
  <commentList>
    <comment ref="Y34" authorId="0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<sst xmlns="http://schemas.openxmlformats.org/spreadsheetml/2006/main" count="8826" uniqueCount="3436">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</sst>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8"/>
  <sheetViews>
    <sheetView tabSelected="1" workbookViewId="0">
      <selection activeCell="C12" sqref="C12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3060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3075</v>
      </c>
      <c r="B10" t="s">
        <v>3433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3075</v>
      </c>
      <c r="B11" t="s">
        <v>3434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3075</v>
      </c>
      <c r="B12" t="s">
        <v>3435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3075</v>
      </c>
      <c r="B13" t="s">
        <v>2844</v>
      </c>
      <c r="C13" t="s">
        <v>2845</v>
      </c>
      <c r="D13">
        <v>1</v>
      </c>
    </row>
    <row r="14" spans="1:6" x14ac:dyDescent="0.25">
      <c r="A14" t="s">
        <v>2461</v>
      </c>
      <c r="B14" t="s">
        <v>2990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3075</v>
      </c>
      <c r="B15" t="s">
        <v>2846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2461</v>
      </c>
      <c r="B16" t="s">
        <v>2848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2461</v>
      </c>
      <c r="B17" t="s">
        <v>2847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3075</v>
      </c>
      <c r="B18" t="s">
        <v>3169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3075</v>
      </c>
      <c r="B19" t="s">
        <v>3309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3075</v>
      </c>
      <c r="B20" t="s">
        <v>3310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2461</v>
      </c>
      <c r="B21" t="s">
        <v>3308</v>
      </c>
      <c r="C21" t="s">
        <v>2463</v>
      </c>
      <c r="D21">
        <v>2</v>
      </c>
      <c r="G21" t="s">
        <v>3078</v>
      </c>
    </row>
    <row r="22" spans="1:7" x14ac:dyDescent="0.25">
      <c r="A22" t="s">
        <v>2461</v>
      </c>
      <c r="B22" t="s">
        <v>3311</v>
      </c>
      <c r="C22" t="s">
        <v>2463</v>
      </c>
      <c r="D22">
        <v>3</v>
      </c>
      <c r="G22" t="s">
        <v>3078</v>
      </c>
    </row>
    <row r="23" spans="1:7" x14ac:dyDescent="0.25">
      <c r="A23" t="s">
        <v>2461</v>
      </c>
      <c r="B23" t="s">
        <v>3312</v>
      </c>
      <c r="C23" t="s">
        <v>2463</v>
      </c>
      <c r="D23">
        <v>4</v>
      </c>
      <c r="G23" t="s">
        <v>3078</v>
      </c>
    </row>
    <row r="24" spans="1:7" x14ac:dyDescent="0.25">
      <c r="A24" t="s">
        <v>2461</v>
      </c>
      <c r="B24" t="s">
        <v>3403</v>
      </c>
      <c r="C24" t="str">
        <f>"OtherSets!"&amp;ADDRESS(ROW(OtherSets!AL7),COLUMN(OtherSets!AL7),4)</f>
        <v>OtherSets!AL7</v>
      </c>
      <c r="D24">
        <v>2</v>
      </c>
      <c r="G24" t="s">
        <v>3078</v>
      </c>
    </row>
    <row r="25" spans="1:7" x14ac:dyDescent="0.25">
      <c r="A25" t="s">
        <v>2461</v>
      </c>
      <c r="B25" t="s">
        <v>3410</v>
      </c>
      <c r="C25" t="str">
        <f>"OtherSets!"&amp;ADDRESS(ROW(OtherSets!AO7),COLUMN(OtherSets!AO7),4)</f>
        <v>OtherSets!AO7</v>
      </c>
      <c r="D25">
        <v>2</v>
      </c>
      <c r="G25" t="s">
        <v>3078</v>
      </c>
    </row>
    <row r="26" spans="1:7" x14ac:dyDescent="0.25">
      <c r="A26" t="s">
        <v>2461</v>
      </c>
      <c r="B26" t="s">
        <v>2923</v>
      </c>
      <c r="C26" t="str">
        <f>"OtherSets!"&amp;ADDRESS(ROW(OtherSets!AF7),COLUMN(OtherSets!AF7),4)</f>
        <v>OtherSets!AF7</v>
      </c>
      <c r="D26">
        <v>2</v>
      </c>
      <c r="G26" t="s">
        <v>3078</v>
      </c>
    </row>
    <row r="27" spans="1:7" x14ac:dyDescent="0.25">
      <c r="A27" t="s">
        <v>2461</v>
      </c>
      <c r="B27" t="s">
        <v>2924</v>
      </c>
      <c r="C27" t="str">
        <f>"OtherSets!"&amp;ADDRESS(ROW(OtherSets!AI7),COLUMN(OtherSets!AI7),4)</f>
        <v>OtherSets!AI7</v>
      </c>
      <c r="D27">
        <v>2</v>
      </c>
      <c r="G27" t="s">
        <v>3078</v>
      </c>
    </row>
    <row r="28" spans="1:7" x14ac:dyDescent="0.25">
      <c r="A28" t="s">
        <v>2461</v>
      </c>
      <c r="B28" t="s">
        <v>2993</v>
      </c>
      <c r="C28" t="str">
        <f>"OtherSets!"&amp;ADDRESS(ROW(OtherSets!W7),COLUMN(OtherSets!W7),4)</f>
        <v>OtherSets!W7</v>
      </c>
      <c r="D28">
        <v>2</v>
      </c>
      <c r="G28" t="s">
        <v>3078</v>
      </c>
    </row>
    <row r="29" spans="1:7" x14ac:dyDescent="0.25">
      <c r="A29" t="s">
        <v>2461</v>
      </c>
      <c r="B29" t="s">
        <v>2992</v>
      </c>
      <c r="C29" t="str">
        <f>"OtherSets!"&amp;ADDRESS(ROW(OtherSets!Y7),COLUMN(OtherSets!Y7),4)</f>
        <v>OtherSets!Y7</v>
      </c>
      <c r="D29">
        <v>2</v>
      </c>
      <c r="G29" t="s">
        <v>3078</v>
      </c>
    </row>
    <row r="30" spans="1:7" x14ac:dyDescent="0.25">
      <c r="A30" t="s">
        <v>2461</v>
      </c>
      <c r="B30" t="s">
        <v>3014</v>
      </c>
      <c r="C30" t="str">
        <f>"OtherSets!"&amp;ADDRESS(ROW(OtherSets!AA7),COLUMN(OtherSets!AA7),4)</f>
        <v>OtherSets!AA7</v>
      </c>
      <c r="D30">
        <v>2</v>
      </c>
      <c r="G30" t="s">
        <v>3078</v>
      </c>
    </row>
    <row r="31" spans="1:7" x14ac:dyDescent="0.25">
      <c r="A31" t="s">
        <v>2461</v>
      </c>
      <c r="B31" t="s">
        <v>3079</v>
      </c>
      <c r="C31" t="str">
        <f>"OtherSets!"&amp;ADDRESS(ROW(OtherSets!AC7),COLUMN(OtherSets!AC7),4)</f>
        <v>OtherSets!AC7</v>
      </c>
      <c r="D31">
        <v>2</v>
      </c>
      <c r="G31" t="s">
        <v>3078</v>
      </c>
    </row>
    <row r="32" spans="1:7" x14ac:dyDescent="0.25">
      <c r="A32" t="s">
        <v>3075</v>
      </c>
      <c r="B32" t="s">
        <v>3402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3075</v>
      </c>
      <c r="B33" t="s">
        <v>3407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3075</v>
      </c>
      <c r="B34" t="s">
        <v>3165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3329</v>
      </c>
      <c r="B35" t="s">
        <v>3330</v>
      </c>
      <c r="C35" t="str">
        <f>"OtherParams!"&amp;ADDRESS(ROW(OtherParams!A7),COLUMN(OtherParams!A7),4)</f>
        <v>OtherParams!A7</v>
      </c>
      <c r="D35">
        <v>1</v>
      </c>
      <c r="E35">
        <v>1</v>
      </c>
    </row>
    <row r="36" spans="1:5" x14ac:dyDescent="0.25">
      <c r="A36" t="s">
        <v>3329</v>
      </c>
      <c r="B36" t="s">
        <v>3429</v>
      </c>
      <c r="C36" t="str">
        <f>"OtherParams!"&amp;ADDRESS(ROW(OtherParams!H7),COLUMN(OtherParams!H7),4)</f>
        <v>OtherParams!H7</v>
      </c>
      <c r="D36">
        <v>1</v>
      </c>
    </row>
    <row r="37" spans="1:5" x14ac:dyDescent="0.25">
      <c r="A37" t="s">
        <v>3329</v>
      </c>
      <c r="B37" t="s">
        <v>3430</v>
      </c>
      <c r="C37" t="str">
        <f>"OtherParams!"&amp;ADDRESS(ROW(OtherParams!L7),COLUMN(OtherParams!L7),4)</f>
        <v>OtherParams!L7</v>
      </c>
      <c r="D37">
        <v>1</v>
      </c>
    </row>
    <row r="38" spans="1:5" x14ac:dyDescent="0.25">
      <c r="A38" t="s">
        <v>3329</v>
      </c>
      <c r="B38" t="s">
        <v>3432</v>
      </c>
      <c r="C38" t="str">
        <f>"OtherParams!"&amp;ADDRESS(ROW(OtherParams!X7),COLUMN(OtherParams!X7),4)</f>
        <v>OtherParams!X7</v>
      </c>
      <c r="D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52"/>
  <sheetViews>
    <sheetView workbookViewId="0">
      <selection activeCell="F3" sqref="F3:I12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x14ac:dyDescent="0.25">
      <c r="A2" t="s">
        <v>3411</v>
      </c>
      <c r="B2" t="s">
        <v>43</v>
      </c>
      <c r="C2" t="s">
        <v>43</v>
      </c>
      <c r="D2" t="s">
        <v>43</v>
      </c>
      <c r="E2" t="s">
        <v>3412</v>
      </c>
    </row>
    <row r="3" spans="1:9" x14ac:dyDescent="0.25">
      <c r="A3" t="s">
        <v>2927</v>
      </c>
      <c r="B3" t="s">
        <v>3345</v>
      </c>
      <c r="C3" t="s">
        <v>3335</v>
      </c>
      <c r="D3" t="s">
        <v>3335</v>
      </c>
      <c r="E3" t="s">
        <v>3335</v>
      </c>
      <c r="F3" t="s">
        <v>2440</v>
      </c>
      <c r="G3" t="s">
        <v>2440</v>
      </c>
      <c r="H3" t="s">
        <v>2440</v>
      </c>
      <c r="I3" t="s">
        <v>2440</v>
      </c>
    </row>
    <row r="4" spans="1:9" x14ac:dyDescent="0.25">
      <c r="A4" t="s">
        <v>2929</v>
      </c>
      <c r="B4" t="s">
        <v>3345</v>
      </c>
      <c r="C4" t="s">
        <v>3336</v>
      </c>
      <c r="D4" t="s">
        <v>3336</v>
      </c>
      <c r="E4" t="s">
        <v>3336</v>
      </c>
      <c r="F4" t="s">
        <v>2440</v>
      </c>
      <c r="G4" t="s">
        <v>2440</v>
      </c>
      <c r="H4" t="s">
        <v>2440</v>
      </c>
      <c r="I4" t="s">
        <v>2440</v>
      </c>
    </row>
    <row r="5" spans="1:9" x14ac:dyDescent="0.25">
      <c r="A5" t="s">
        <v>2931</v>
      </c>
      <c r="B5" t="s">
        <v>3345</v>
      </c>
      <c r="C5" t="s">
        <v>3337</v>
      </c>
      <c r="D5" t="s">
        <v>3337</v>
      </c>
      <c r="E5" t="s">
        <v>3337</v>
      </c>
      <c r="F5" t="s">
        <v>2440</v>
      </c>
      <c r="G5" t="s">
        <v>2440</v>
      </c>
      <c r="H5" t="s">
        <v>2440</v>
      </c>
      <c r="I5" t="s">
        <v>2440</v>
      </c>
    </row>
    <row r="6" spans="1:9" x14ac:dyDescent="0.25">
      <c r="A6" t="s">
        <v>2933</v>
      </c>
      <c r="B6" t="s">
        <v>3345</v>
      </c>
      <c r="C6" t="s">
        <v>3338</v>
      </c>
      <c r="D6" t="s">
        <v>3338</v>
      </c>
      <c r="E6" t="s">
        <v>3338</v>
      </c>
      <c r="F6" t="s">
        <v>2440</v>
      </c>
      <c r="G6" t="s">
        <v>2440</v>
      </c>
      <c r="H6" t="s">
        <v>2440</v>
      </c>
      <c r="I6" t="s">
        <v>2440</v>
      </c>
    </row>
    <row r="7" spans="1:9" x14ac:dyDescent="0.25">
      <c r="A7" t="s">
        <v>2935</v>
      </c>
      <c r="B7" t="s">
        <v>3345</v>
      </c>
      <c r="C7" t="s">
        <v>3339</v>
      </c>
      <c r="D7" t="s">
        <v>3339</v>
      </c>
      <c r="E7" t="s">
        <v>3339</v>
      </c>
      <c r="F7" t="s">
        <v>2440</v>
      </c>
      <c r="G7" t="s">
        <v>2440</v>
      </c>
      <c r="H7" t="s">
        <v>2440</v>
      </c>
      <c r="I7" t="s">
        <v>2440</v>
      </c>
    </row>
    <row r="8" spans="1:9" x14ac:dyDescent="0.25">
      <c r="A8" t="s">
        <v>2937</v>
      </c>
      <c r="B8" t="s">
        <v>3345</v>
      </c>
      <c r="C8" t="s">
        <v>3340</v>
      </c>
      <c r="D8" t="s">
        <v>3340</v>
      </c>
      <c r="E8" t="s">
        <v>3340</v>
      </c>
      <c r="F8" t="s">
        <v>2440</v>
      </c>
      <c r="G8" t="s">
        <v>2440</v>
      </c>
      <c r="H8" t="s">
        <v>2440</v>
      </c>
      <c r="I8" t="s">
        <v>2440</v>
      </c>
    </row>
    <row r="9" spans="1:9" x14ac:dyDescent="0.25">
      <c r="A9" t="s">
        <v>2939</v>
      </c>
      <c r="B9" t="s">
        <v>3345</v>
      </c>
      <c r="C9" t="s">
        <v>3341</v>
      </c>
      <c r="D9" t="s">
        <v>3341</v>
      </c>
      <c r="E9" t="s">
        <v>3341</v>
      </c>
      <c r="F9" t="s">
        <v>2440</v>
      </c>
      <c r="G9" t="s">
        <v>2440</v>
      </c>
      <c r="H9" t="s">
        <v>2440</v>
      </c>
      <c r="I9" t="s">
        <v>2440</v>
      </c>
    </row>
    <row r="10" spans="1:9" x14ac:dyDescent="0.25">
      <c r="A10" t="s">
        <v>2941</v>
      </c>
      <c r="B10" t="s">
        <v>3345</v>
      </c>
      <c r="C10" t="s">
        <v>3342</v>
      </c>
      <c r="D10" t="s">
        <v>3342</v>
      </c>
      <c r="E10" t="s">
        <v>3342</v>
      </c>
      <c r="F10" t="s">
        <v>2440</v>
      </c>
      <c r="G10" t="s">
        <v>2440</v>
      </c>
      <c r="H10" t="s">
        <v>2440</v>
      </c>
      <c r="I10" t="s">
        <v>2440</v>
      </c>
    </row>
    <row r="11" spans="1:9" x14ac:dyDescent="0.25">
      <c r="A11" t="s">
        <v>2943</v>
      </c>
      <c r="B11" t="s">
        <v>3345</v>
      </c>
      <c r="C11" t="s">
        <v>3343</v>
      </c>
      <c r="D11" t="s">
        <v>3343</v>
      </c>
      <c r="E11" t="s">
        <v>3343</v>
      </c>
      <c r="F11" t="s">
        <v>2440</v>
      </c>
      <c r="G11" t="s">
        <v>2440</v>
      </c>
      <c r="H11" t="s">
        <v>2440</v>
      </c>
      <c r="I11" t="s">
        <v>2440</v>
      </c>
    </row>
    <row r="12" spans="1:9" x14ac:dyDescent="0.25">
      <c r="A12" t="s">
        <v>2989</v>
      </c>
      <c r="B12" t="s">
        <v>3345</v>
      </c>
      <c r="C12" t="s">
        <v>3344</v>
      </c>
      <c r="D12" t="s">
        <v>3344</v>
      </c>
      <c r="E12" t="s">
        <v>3344</v>
      </c>
      <c r="F12" t="s">
        <v>2440</v>
      </c>
      <c r="G12" t="s">
        <v>2440</v>
      </c>
      <c r="H12" t="s">
        <v>2440</v>
      </c>
      <c r="I12" t="s">
        <v>2440</v>
      </c>
    </row>
    <row r="13" spans="1:9" x14ac:dyDescent="0.25">
      <c r="A13" t="s">
        <v>2849</v>
      </c>
      <c r="B13" t="s">
        <v>3331</v>
      </c>
      <c r="C13" t="s">
        <v>3332</v>
      </c>
      <c r="D13" t="s">
        <v>3332</v>
      </c>
      <c r="E13" t="s">
        <v>3332</v>
      </c>
    </row>
    <row r="14" spans="1:9" x14ac:dyDescent="0.25">
      <c r="A14" t="s">
        <v>2851</v>
      </c>
      <c r="B14" t="s">
        <v>3331</v>
      </c>
      <c r="C14" t="s">
        <v>3333</v>
      </c>
      <c r="D14" t="s">
        <v>3333</v>
      </c>
      <c r="E14" t="s">
        <v>3333</v>
      </c>
    </row>
    <row r="15" spans="1:9" x14ac:dyDescent="0.25">
      <c r="A15" t="s">
        <v>2854</v>
      </c>
      <c r="B15" t="s">
        <v>3331</v>
      </c>
      <c r="C15" t="s">
        <v>3334</v>
      </c>
      <c r="D15" t="s">
        <v>3334</v>
      </c>
      <c r="E15" t="s">
        <v>3334</v>
      </c>
    </row>
    <row r="16" spans="1:9" x14ac:dyDescent="0.25">
      <c r="A16" t="s">
        <v>3319</v>
      </c>
      <c r="B16" t="s">
        <v>3321</v>
      </c>
      <c r="C16" t="s">
        <v>3321</v>
      </c>
      <c r="D16" t="s">
        <v>3321</v>
      </c>
      <c r="E16" t="s">
        <v>3322</v>
      </c>
    </row>
    <row r="17" spans="1:9" x14ac:dyDescent="0.25">
      <c r="A17" t="s">
        <v>3320</v>
      </c>
      <c r="B17" t="s">
        <v>3321</v>
      </c>
      <c r="C17" t="s">
        <v>3321</v>
      </c>
      <c r="D17" t="s">
        <v>3321</v>
      </c>
      <c r="E17" t="s">
        <v>3323</v>
      </c>
    </row>
    <row r="18" spans="1:9" x14ac:dyDescent="0.25">
      <c r="A18" t="s">
        <v>3324</v>
      </c>
      <c r="B18" t="s">
        <v>3321</v>
      </c>
      <c r="C18" t="s">
        <v>3321</v>
      </c>
      <c r="D18" t="s">
        <v>3321</v>
      </c>
      <c r="E18" t="s">
        <v>3322</v>
      </c>
    </row>
    <row r="19" spans="1:9" x14ac:dyDescent="0.25">
      <c r="A19" t="s">
        <v>3325</v>
      </c>
      <c r="B19" t="s">
        <v>3321</v>
      </c>
      <c r="C19" t="s">
        <v>3321</v>
      </c>
      <c r="D19" t="s">
        <v>3321</v>
      </c>
      <c r="E19" t="s">
        <v>3323</v>
      </c>
    </row>
    <row r="20" spans="1:9" x14ac:dyDescent="0.25">
      <c r="A20" t="s">
        <v>3303</v>
      </c>
      <c r="B20" t="s">
        <v>3206</v>
      </c>
      <c r="C20" t="s">
        <v>3206</v>
      </c>
      <c r="D20" t="s">
        <v>3206</v>
      </c>
      <c r="E20" t="str">
        <f t="shared" ref="E20:E38" si="0">"Process Emissions "&amp;RIGHT(A20,LEN(A20)-1)</f>
        <v>Process Emissions 2A1</v>
      </c>
      <c r="F20" t="s">
        <v>2436</v>
      </c>
      <c r="G20" t="s">
        <v>264</v>
      </c>
      <c r="H20" t="s">
        <v>3207</v>
      </c>
      <c r="I20" t="s">
        <v>3207</v>
      </c>
    </row>
    <row r="21" spans="1:9" x14ac:dyDescent="0.25">
      <c r="A21" t="s">
        <v>3304</v>
      </c>
      <c r="B21" t="s">
        <v>3206</v>
      </c>
      <c r="C21" t="s">
        <v>3206</v>
      </c>
      <c r="D21" t="s">
        <v>3206</v>
      </c>
      <c r="E21" t="str">
        <f t="shared" si="0"/>
        <v>Process Emissions 2A2</v>
      </c>
      <c r="F21" t="s">
        <v>2436</v>
      </c>
      <c r="G21" t="s">
        <v>264</v>
      </c>
      <c r="H21" t="s">
        <v>3306</v>
      </c>
      <c r="I21" t="s">
        <v>3306</v>
      </c>
    </row>
    <row r="22" spans="1:9" x14ac:dyDescent="0.25">
      <c r="A22" t="s">
        <v>3305</v>
      </c>
      <c r="B22" t="s">
        <v>3206</v>
      </c>
      <c r="C22" t="s">
        <v>3206</v>
      </c>
      <c r="D22" t="s">
        <v>3206</v>
      </c>
      <c r="E22" t="str">
        <f t="shared" si="0"/>
        <v>Process Emissions 2A3</v>
      </c>
      <c r="F22" t="s">
        <v>2436</v>
      </c>
      <c r="G22" t="s">
        <v>264</v>
      </c>
      <c r="H22" t="s">
        <v>3307</v>
      </c>
      <c r="I22" t="s">
        <v>3307</v>
      </c>
    </row>
    <row r="23" spans="1:9" x14ac:dyDescent="0.25">
      <c r="A23" t="s">
        <v>3294</v>
      </c>
      <c r="B23" t="s">
        <v>3206</v>
      </c>
      <c r="C23" t="s">
        <v>3206</v>
      </c>
      <c r="D23" t="s">
        <v>3206</v>
      </c>
      <c r="E23" t="str">
        <f t="shared" si="0"/>
        <v>Process Emissions 2B1</v>
      </c>
      <c r="F23" t="s">
        <v>2436</v>
      </c>
      <c r="G23" t="s">
        <v>334</v>
      </c>
      <c r="H23" t="s">
        <v>3208</v>
      </c>
      <c r="I23" t="s">
        <v>3208</v>
      </c>
    </row>
    <row r="24" spans="1:9" x14ac:dyDescent="0.25">
      <c r="A24" t="s">
        <v>3295</v>
      </c>
      <c r="B24" t="s">
        <v>3206</v>
      </c>
      <c r="C24" t="s">
        <v>3206</v>
      </c>
      <c r="D24" t="s">
        <v>3206</v>
      </c>
      <c r="E24" t="str">
        <f t="shared" si="0"/>
        <v>Process Emissions 2B2</v>
      </c>
      <c r="F24" t="s">
        <v>2436</v>
      </c>
      <c r="G24" t="s">
        <v>334</v>
      </c>
      <c r="H24" t="s">
        <v>3299</v>
      </c>
      <c r="I24" t="s">
        <v>3299</v>
      </c>
    </row>
    <row r="25" spans="1:9" x14ac:dyDescent="0.25">
      <c r="A25" t="s">
        <v>3296</v>
      </c>
      <c r="B25" t="s">
        <v>3206</v>
      </c>
      <c r="C25" t="s">
        <v>3206</v>
      </c>
      <c r="D25" t="s">
        <v>3206</v>
      </c>
      <c r="E25" t="str">
        <f t="shared" si="0"/>
        <v>Process Emissions 2B5</v>
      </c>
      <c r="F25" t="s">
        <v>2436</v>
      </c>
      <c r="G25" t="s">
        <v>334</v>
      </c>
      <c r="H25" t="s">
        <v>3300</v>
      </c>
      <c r="I25" t="s">
        <v>3300</v>
      </c>
    </row>
    <row r="26" spans="1:9" x14ac:dyDescent="0.25">
      <c r="A26" t="s">
        <v>3297</v>
      </c>
      <c r="B26" t="s">
        <v>3206</v>
      </c>
      <c r="C26" t="s">
        <v>3206</v>
      </c>
      <c r="D26" t="s">
        <v>3206</v>
      </c>
      <c r="E26" t="str">
        <f t="shared" si="0"/>
        <v>Process Emissions 2B6</v>
      </c>
      <c r="F26" t="s">
        <v>2436</v>
      </c>
      <c r="G26" t="s">
        <v>334</v>
      </c>
      <c r="H26" t="s">
        <v>3301</v>
      </c>
      <c r="I26" t="s">
        <v>3301</v>
      </c>
    </row>
    <row r="27" spans="1:9" x14ac:dyDescent="0.25">
      <c r="A27" t="s">
        <v>3298</v>
      </c>
      <c r="B27" t="s">
        <v>3206</v>
      </c>
      <c r="C27" t="s">
        <v>3206</v>
      </c>
      <c r="D27" t="s">
        <v>3206</v>
      </c>
      <c r="E27" t="str">
        <f t="shared" si="0"/>
        <v>Process Emissions 2B8</v>
      </c>
      <c r="F27" t="s">
        <v>2436</v>
      </c>
      <c r="G27" t="s">
        <v>334</v>
      </c>
      <c r="H27" t="s">
        <v>3302</v>
      </c>
      <c r="I27" t="s">
        <v>3302</v>
      </c>
    </row>
    <row r="28" spans="1:9" x14ac:dyDescent="0.25">
      <c r="A28" t="s">
        <v>3203</v>
      </c>
      <c r="B28" t="s">
        <v>3206</v>
      </c>
      <c r="C28" t="s">
        <v>3206</v>
      </c>
      <c r="D28" t="s">
        <v>3206</v>
      </c>
      <c r="E28" t="str">
        <f t="shared" si="0"/>
        <v>Process Emissions 2C1</v>
      </c>
      <c r="F28" t="s">
        <v>2436</v>
      </c>
      <c r="G28" t="s">
        <v>2437</v>
      </c>
      <c r="H28" t="s">
        <v>314</v>
      </c>
      <c r="I28" t="s">
        <v>314</v>
      </c>
    </row>
    <row r="29" spans="1:9" x14ac:dyDescent="0.25">
      <c r="A29" t="s">
        <v>3204</v>
      </c>
      <c r="B29" t="s">
        <v>3206</v>
      </c>
      <c r="C29" t="s">
        <v>3206</v>
      </c>
      <c r="D29" t="s">
        <v>3206</v>
      </c>
      <c r="E29" t="str">
        <f t="shared" si="0"/>
        <v>Process Emissions 2C2</v>
      </c>
      <c r="F29" t="s">
        <v>2436</v>
      </c>
      <c r="G29" t="s">
        <v>2437</v>
      </c>
      <c r="H29" t="s">
        <v>329</v>
      </c>
      <c r="I29" t="s">
        <v>329</v>
      </c>
    </row>
    <row r="30" spans="1:9" x14ac:dyDescent="0.25">
      <c r="A30" t="s">
        <v>3205</v>
      </c>
      <c r="B30" t="s">
        <v>3206</v>
      </c>
      <c r="C30" t="s">
        <v>3206</v>
      </c>
      <c r="D30" t="s">
        <v>3206</v>
      </c>
      <c r="E30" t="str">
        <f t="shared" si="0"/>
        <v>Process Emissions 2C3</v>
      </c>
      <c r="F30" t="s">
        <v>2436</v>
      </c>
      <c r="G30" t="s">
        <v>2437</v>
      </c>
      <c r="H30" t="s">
        <v>273</v>
      </c>
      <c r="I30" t="s">
        <v>273</v>
      </c>
    </row>
    <row r="31" spans="1:9" x14ac:dyDescent="0.25">
      <c r="A31" t="s">
        <v>3290</v>
      </c>
      <c r="B31" t="s">
        <v>3206</v>
      </c>
      <c r="C31" t="s">
        <v>3206</v>
      </c>
      <c r="D31" t="s">
        <v>3206</v>
      </c>
      <c r="E31" t="str">
        <f t="shared" si="0"/>
        <v>Process Emissions 2C5</v>
      </c>
      <c r="F31" t="s">
        <v>2436</v>
      </c>
      <c r="G31" t="s">
        <v>2437</v>
      </c>
      <c r="H31" t="s">
        <v>3292</v>
      </c>
      <c r="I31" t="s">
        <v>3292</v>
      </c>
    </row>
    <row r="32" spans="1:9" x14ac:dyDescent="0.25">
      <c r="A32" t="s">
        <v>3291</v>
      </c>
      <c r="B32" t="s">
        <v>3206</v>
      </c>
      <c r="C32" t="s">
        <v>3206</v>
      </c>
      <c r="D32" t="s">
        <v>3206</v>
      </c>
      <c r="E32" t="str">
        <f t="shared" si="0"/>
        <v>Process Emissions 2C6</v>
      </c>
      <c r="F32" t="s">
        <v>2436</v>
      </c>
      <c r="G32" t="s">
        <v>2437</v>
      </c>
      <c r="H32" t="s">
        <v>3293</v>
      </c>
      <c r="I32" t="s">
        <v>3293</v>
      </c>
    </row>
    <row r="33" spans="1:9" x14ac:dyDescent="0.25">
      <c r="A33" t="s">
        <v>3313</v>
      </c>
      <c r="B33" t="s">
        <v>3206</v>
      </c>
      <c r="C33" t="s">
        <v>3206</v>
      </c>
      <c r="D33" t="s">
        <v>3206</v>
      </c>
      <c r="E33" t="str">
        <f t="shared" si="0"/>
        <v>Process Emissions 2D1</v>
      </c>
      <c r="F33" t="s">
        <v>2436</v>
      </c>
      <c r="G33" t="s">
        <v>3287</v>
      </c>
      <c r="H33" t="s">
        <v>3288</v>
      </c>
      <c r="I33" t="s">
        <v>3288</v>
      </c>
    </row>
    <row r="34" spans="1:9" x14ac:dyDescent="0.25">
      <c r="A34" t="s">
        <v>3314</v>
      </c>
      <c r="B34" t="s">
        <v>3206</v>
      </c>
      <c r="C34" t="s">
        <v>3206</v>
      </c>
      <c r="D34" t="s">
        <v>3206</v>
      </c>
      <c r="E34" t="str">
        <f t="shared" si="0"/>
        <v>Process Emissions 2D2</v>
      </c>
      <c r="F34" t="s">
        <v>2436</v>
      </c>
      <c r="G34" t="s">
        <v>3287</v>
      </c>
      <c r="H34" t="s">
        <v>3289</v>
      </c>
      <c r="I34" t="s">
        <v>3289</v>
      </c>
    </row>
    <row r="35" spans="1:9" x14ac:dyDescent="0.25">
      <c r="A35" t="s">
        <v>3283</v>
      </c>
      <c r="B35" t="s">
        <v>3206</v>
      </c>
      <c r="C35" t="s">
        <v>3206</v>
      </c>
      <c r="D35" t="s">
        <v>3206</v>
      </c>
      <c r="E35" t="str">
        <f t="shared" si="0"/>
        <v>Process Emissions 2F1</v>
      </c>
      <c r="F35" t="s">
        <v>2436</v>
      </c>
      <c r="G35" t="s">
        <v>257</v>
      </c>
      <c r="H35" t="s">
        <v>3209</v>
      </c>
      <c r="I35" t="s">
        <v>3209</v>
      </c>
    </row>
    <row r="36" spans="1:9" x14ac:dyDescent="0.25">
      <c r="A36" t="s">
        <v>3284</v>
      </c>
      <c r="B36" t="s">
        <v>3206</v>
      </c>
      <c r="C36" t="s">
        <v>3206</v>
      </c>
      <c r="D36" t="s">
        <v>3206</v>
      </c>
      <c r="E36" t="str">
        <f t="shared" si="0"/>
        <v>Process Emissions 2F2</v>
      </c>
      <c r="F36" t="s">
        <v>2436</v>
      </c>
      <c r="G36" t="s">
        <v>257</v>
      </c>
      <c r="H36" t="s">
        <v>3281</v>
      </c>
      <c r="I36" t="s">
        <v>3281</v>
      </c>
    </row>
    <row r="37" spans="1:9" x14ac:dyDescent="0.25">
      <c r="A37" t="s">
        <v>3285</v>
      </c>
      <c r="B37" t="s">
        <v>3206</v>
      </c>
      <c r="C37" t="s">
        <v>3206</v>
      </c>
      <c r="D37" t="s">
        <v>3206</v>
      </c>
      <c r="E37" t="str">
        <f t="shared" si="0"/>
        <v>Process Emissions 2F3</v>
      </c>
      <c r="F37" t="s">
        <v>2436</v>
      </c>
      <c r="G37" t="s">
        <v>257</v>
      </c>
      <c r="H37" t="s">
        <v>3282</v>
      </c>
      <c r="I37" t="s">
        <v>3282</v>
      </c>
    </row>
    <row r="38" spans="1:9" x14ac:dyDescent="0.25">
      <c r="A38" t="s">
        <v>3286</v>
      </c>
      <c r="B38" t="s">
        <v>3206</v>
      </c>
      <c r="C38" t="s">
        <v>3206</v>
      </c>
      <c r="D38" t="s">
        <v>3206</v>
      </c>
      <c r="E38" t="str">
        <f t="shared" si="0"/>
        <v>Process Emissions 2F4</v>
      </c>
      <c r="F38" t="s">
        <v>2436</v>
      </c>
      <c r="G38" t="s">
        <v>257</v>
      </c>
      <c r="H38" t="s">
        <v>3280</v>
      </c>
      <c r="I38" t="s">
        <v>3280</v>
      </c>
    </row>
    <row r="39" spans="1:9" x14ac:dyDescent="0.25">
      <c r="A39" t="s">
        <v>3224</v>
      </c>
      <c r="B39" t="s">
        <v>3237</v>
      </c>
      <c r="C39" t="s">
        <v>3237</v>
      </c>
      <c r="D39" t="s">
        <v>3237</v>
      </c>
      <c r="E39" t="str">
        <f t="shared" ref="E39:E51" si="1">"Agri Emissions "&amp;RIGHT(A39,LEN(A39)-1)</f>
        <v>Agri Emissions 3A1a</v>
      </c>
      <c r="F39" t="s">
        <v>3186</v>
      </c>
      <c r="G39" t="s">
        <v>3239</v>
      </c>
      <c r="H39" t="s">
        <v>3240</v>
      </c>
      <c r="I39" t="s">
        <v>3241</v>
      </c>
    </row>
    <row r="40" spans="1:9" x14ac:dyDescent="0.25">
      <c r="A40" t="s">
        <v>3225</v>
      </c>
      <c r="B40" t="s">
        <v>3237</v>
      </c>
      <c r="C40" t="s">
        <v>3237</v>
      </c>
      <c r="D40" t="s">
        <v>3237</v>
      </c>
      <c r="E40" t="str">
        <f t="shared" si="1"/>
        <v>Agri Emissions 3A1c</v>
      </c>
      <c r="F40" t="s">
        <v>3186</v>
      </c>
      <c r="G40" t="s">
        <v>3239</v>
      </c>
      <c r="H40" t="s">
        <v>3240</v>
      </c>
      <c r="I40" t="s">
        <v>3242</v>
      </c>
    </row>
    <row r="41" spans="1:9" x14ac:dyDescent="0.25">
      <c r="A41" t="s">
        <v>3226</v>
      </c>
      <c r="B41" t="s">
        <v>3237</v>
      </c>
      <c r="C41" t="s">
        <v>3237</v>
      </c>
      <c r="D41" t="s">
        <v>3237</v>
      </c>
      <c r="E41" t="str">
        <f t="shared" si="1"/>
        <v>Agri Emissions 3A1d</v>
      </c>
      <c r="F41" t="s">
        <v>3186</v>
      </c>
      <c r="G41" t="s">
        <v>3239</v>
      </c>
      <c r="H41" t="s">
        <v>3240</v>
      </c>
      <c r="I41" t="s">
        <v>3243</v>
      </c>
    </row>
    <row r="42" spans="1:9" x14ac:dyDescent="0.25">
      <c r="A42" t="s">
        <v>3227</v>
      </c>
      <c r="B42" t="s">
        <v>3237</v>
      </c>
      <c r="C42" t="s">
        <v>3237</v>
      </c>
      <c r="D42" t="s">
        <v>3237</v>
      </c>
      <c r="E42" t="str">
        <f t="shared" si="1"/>
        <v>Agri Emissions 3A1f</v>
      </c>
      <c r="F42" t="s">
        <v>3186</v>
      </c>
      <c r="G42" t="s">
        <v>3239</v>
      </c>
      <c r="H42" t="s">
        <v>3240</v>
      </c>
      <c r="I42" t="s">
        <v>3244</v>
      </c>
    </row>
    <row r="43" spans="1:9" x14ac:dyDescent="0.25">
      <c r="A43" t="s">
        <v>3228</v>
      </c>
      <c r="B43" t="s">
        <v>3237</v>
      </c>
      <c r="C43" t="s">
        <v>3237</v>
      </c>
      <c r="D43" t="s">
        <v>3237</v>
      </c>
      <c r="E43" t="str">
        <f t="shared" si="1"/>
        <v>Agri Emissions 3A1g</v>
      </c>
      <c r="F43" t="s">
        <v>3186</v>
      </c>
      <c r="G43" t="s">
        <v>3239</v>
      </c>
      <c r="H43" t="s">
        <v>3240</v>
      </c>
      <c r="I43" t="s">
        <v>3245</v>
      </c>
    </row>
    <row r="44" spans="1:9" x14ac:dyDescent="0.25">
      <c r="A44" t="s">
        <v>3229</v>
      </c>
      <c r="B44" t="s">
        <v>3237</v>
      </c>
      <c r="C44" t="s">
        <v>3237</v>
      </c>
      <c r="D44" t="s">
        <v>3237</v>
      </c>
      <c r="E44" t="str">
        <f t="shared" si="1"/>
        <v>Agri Emissions 3A1h</v>
      </c>
      <c r="F44" t="s">
        <v>3186</v>
      </c>
      <c r="G44" t="s">
        <v>3239</v>
      </c>
      <c r="H44" t="s">
        <v>3240</v>
      </c>
      <c r="I44" t="s">
        <v>3246</v>
      </c>
    </row>
    <row r="45" spans="1:9" x14ac:dyDescent="0.25">
      <c r="A45" t="s">
        <v>3230</v>
      </c>
      <c r="B45" t="s">
        <v>3237</v>
      </c>
      <c r="C45" t="s">
        <v>3237</v>
      </c>
      <c r="D45" t="s">
        <v>3237</v>
      </c>
      <c r="E45" t="str">
        <f t="shared" si="1"/>
        <v>Agri Emissions 3A2a</v>
      </c>
      <c r="F45" t="s">
        <v>3186</v>
      </c>
      <c r="G45" t="s">
        <v>3239</v>
      </c>
      <c r="H45" t="s">
        <v>3247</v>
      </c>
      <c r="I45" t="s">
        <v>3248</v>
      </c>
    </row>
    <row r="46" spans="1:9" x14ac:dyDescent="0.25">
      <c r="A46" t="s">
        <v>3231</v>
      </c>
      <c r="B46" t="s">
        <v>3237</v>
      </c>
      <c r="C46" t="s">
        <v>3237</v>
      </c>
      <c r="D46" t="s">
        <v>3237</v>
      </c>
      <c r="E46" t="str">
        <f t="shared" si="1"/>
        <v>Agri Emissions 3A2c</v>
      </c>
      <c r="F46" t="s">
        <v>3186</v>
      </c>
      <c r="G46" t="s">
        <v>3239</v>
      </c>
      <c r="H46" t="s">
        <v>3247</v>
      </c>
      <c r="I46" t="s">
        <v>3249</v>
      </c>
    </row>
    <row r="47" spans="1:9" x14ac:dyDescent="0.25">
      <c r="A47" t="s">
        <v>3232</v>
      </c>
      <c r="B47" t="s">
        <v>3237</v>
      </c>
      <c r="C47" t="s">
        <v>3237</v>
      </c>
      <c r="D47" t="s">
        <v>3237</v>
      </c>
      <c r="E47" t="str">
        <f t="shared" si="1"/>
        <v>Agri Emissions 3A2d</v>
      </c>
      <c r="F47" t="s">
        <v>3186</v>
      </c>
      <c r="G47" t="s">
        <v>3239</v>
      </c>
      <c r="H47" t="s">
        <v>3247</v>
      </c>
      <c r="I47" t="s">
        <v>3250</v>
      </c>
    </row>
    <row r="48" spans="1:9" x14ac:dyDescent="0.25">
      <c r="A48" t="s">
        <v>3233</v>
      </c>
      <c r="B48" t="s">
        <v>3237</v>
      </c>
      <c r="C48" t="s">
        <v>3237</v>
      </c>
      <c r="D48" t="s">
        <v>3237</v>
      </c>
      <c r="E48" t="str">
        <f t="shared" si="1"/>
        <v>Agri Emissions 3A2f</v>
      </c>
      <c r="F48" t="s">
        <v>3186</v>
      </c>
      <c r="G48" t="s">
        <v>3239</v>
      </c>
      <c r="H48" t="s">
        <v>3247</v>
      </c>
      <c r="I48" t="s">
        <v>3251</v>
      </c>
    </row>
    <row r="49" spans="1:9" x14ac:dyDescent="0.25">
      <c r="A49" t="s">
        <v>3234</v>
      </c>
      <c r="B49" t="s">
        <v>3237</v>
      </c>
      <c r="C49" t="s">
        <v>3237</v>
      </c>
      <c r="D49" t="s">
        <v>3237</v>
      </c>
      <c r="E49" t="str">
        <f t="shared" si="1"/>
        <v>Agri Emissions 3A2g</v>
      </c>
      <c r="F49" t="s">
        <v>3186</v>
      </c>
      <c r="G49" t="s">
        <v>3239</v>
      </c>
      <c r="H49" t="s">
        <v>3247</v>
      </c>
      <c r="I49" t="s">
        <v>3252</v>
      </c>
    </row>
    <row r="50" spans="1:9" x14ac:dyDescent="0.25">
      <c r="A50" t="s">
        <v>3235</v>
      </c>
      <c r="B50" t="s">
        <v>3237</v>
      </c>
      <c r="C50" t="s">
        <v>3237</v>
      </c>
      <c r="D50" t="s">
        <v>3237</v>
      </c>
      <c r="E50" t="str">
        <f t="shared" si="1"/>
        <v>Agri Emissions 3A2h</v>
      </c>
      <c r="F50" t="s">
        <v>3186</v>
      </c>
      <c r="G50" t="s">
        <v>3239</v>
      </c>
      <c r="H50" t="s">
        <v>3247</v>
      </c>
      <c r="I50" t="s">
        <v>3253</v>
      </c>
    </row>
    <row r="51" spans="1:9" x14ac:dyDescent="0.25">
      <c r="A51" t="s">
        <v>3236</v>
      </c>
      <c r="B51" t="s">
        <v>3237</v>
      </c>
      <c r="C51" t="s">
        <v>3237</v>
      </c>
      <c r="D51" t="s">
        <v>3237</v>
      </c>
      <c r="E51" t="str">
        <f t="shared" si="1"/>
        <v>Agri Emissions 3A2i</v>
      </c>
      <c r="F51" t="s">
        <v>3186</v>
      </c>
      <c r="G51" t="s">
        <v>3239</v>
      </c>
      <c r="H51" t="s">
        <v>3247</v>
      </c>
      <c r="I51" t="s">
        <v>3254</v>
      </c>
    </row>
    <row r="52" spans="1:9" x14ac:dyDescent="0.25">
      <c r="A52" t="s">
        <v>3171</v>
      </c>
      <c r="B52" t="s">
        <v>3238</v>
      </c>
      <c r="C52" t="s">
        <v>3238</v>
      </c>
      <c r="D52" t="s">
        <v>3238</v>
      </c>
      <c r="E52" t="str">
        <f t="shared" ref="E52:E62" si="2">"Land Emissions "&amp;RIGHT(A52,LEN(A52)-1)</f>
        <v>Land Emissions 3B1a</v>
      </c>
      <c r="F52" t="s">
        <v>3186</v>
      </c>
      <c r="G52" t="s">
        <v>3182</v>
      </c>
      <c r="H52" t="s">
        <v>3187</v>
      </c>
      <c r="I52" t="s">
        <v>3183</v>
      </c>
    </row>
    <row r="53" spans="1:9" x14ac:dyDescent="0.25">
      <c r="A53" t="s">
        <v>3172</v>
      </c>
      <c r="B53" t="s">
        <v>3238</v>
      </c>
      <c r="C53" t="s">
        <v>3238</v>
      </c>
      <c r="D53" t="s">
        <v>3238</v>
      </c>
      <c r="E53" t="str">
        <f t="shared" si="2"/>
        <v>Land Emissions 3B1b</v>
      </c>
      <c r="F53" t="s">
        <v>3186</v>
      </c>
      <c r="G53" t="s">
        <v>3182</v>
      </c>
      <c r="H53" t="s">
        <v>3188</v>
      </c>
      <c r="I53" t="s">
        <v>3184</v>
      </c>
    </row>
    <row r="54" spans="1:9" x14ac:dyDescent="0.25">
      <c r="A54" t="s">
        <v>3173</v>
      </c>
      <c r="B54" t="s">
        <v>3238</v>
      </c>
      <c r="C54" t="s">
        <v>3238</v>
      </c>
      <c r="D54" t="s">
        <v>3238</v>
      </c>
      <c r="E54" t="str">
        <f t="shared" si="2"/>
        <v>Land Emissions 3B2a</v>
      </c>
      <c r="F54" t="s">
        <v>3186</v>
      </c>
      <c r="G54" t="s">
        <v>3182</v>
      </c>
      <c r="H54" t="s">
        <v>3189</v>
      </c>
      <c r="I54" t="s">
        <v>3190</v>
      </c>
    </row>
    <row r="55" spans="1:9" x14ac:dyDescent="0.25">
      <c r="A55" t="s">
        <v>3174</v>
      </c>
      <c r="B55" t="s">
        <v>3238</v>
      </c>
      <c r="C55" t="s">
        <v>3238</v>
      </c>
      <c r="D55" t="s">
        <v>3238</v>
      </c>
      <c r="E55" t="str">
        <f t="shared" si="2"/>
        <v>Land Emissions 3B2b</v>
      </c>
      <c r="F55" t="s">
        <v>3186</v>
      </c>
      <c r="G55" t="s">
        <v>3182</v>
      </c>
      <c r="H55" t="s">
        <v>3189</v>
      </c>
      <c r="I55" t="s">
        <v>3191</v>
      </c>
    </row>
    <row r="56" spans="1:9" x14ac:dyDescent="0.25">
      <c r="A56" t="s">
        <v>3175</v>
      </c>
      <c r="B56" t="s">
        <v>3238</v>
      </c>
      <c r="C56" t="s">
        <v>3238</v>
      </c>
      <c r="D56" t="s">
        <v>3238</v>
      </c>
      <c r="E56" t="str">
        <f t="shared" si="2"/>
        <v>Land Emissions 3B3a</v>
      </c>
      <c r="F56" t="s">
        <v>3186</v>
      </c>
      <c r="G56" t="s">
        <v>3182</v>
      </c>
      <c r="H56" t="s">
        <v>3192</v>
      </c>
      <c r="I56" t="s">
        <v>3193</v>
      </c>
    </row>
    <row r="57" spans="1:9" x14ac:dyDescent="0.25">
      <c r="A57" t="s">
        <v>3176</v>
      </c>
      <c r="B57" t="s">
        <v>3238</v>
      </c>
      <c r="C57" t="s">
        <v>3238</v>
      </c>
      <c r="D57" t="s">
        <v>3238</v>
      </c>
      <c r="E57" t="str">
        <f t="shared" si="2"/>
        <v>Land Emissions 3B3b</v>
      </c>
      <c r="F57" t="s">
        <v>3186</v>
      </c>
      <c r="G57" t="s">
        <v>3182</v>
      </c>
      <c r="H57" t="s">
        <v>3194</v>
      </c>
      <c r="I57" t="s">
        <v>3195</v>
      </c>
    </row>
    <row r="58" spans="1:9" x14ac:dyDescent="0.25">
      <c r="A58" t="s">
        <v>3317</v>
      </c>
      <c r="B58" t="s">
        <v>3238</v>
      </c>
      <c r="C58" t="s">
        <v>3238</v>
      </c>
      <c r="D58" t="s">
        <v>3238</v>
      </c>
      <c r="E58" t="str">
        <f t="shared" si="2"/>
        <v>Land Emissions 3B4</v>
      </c>
      <c r="F58" t="s">
        <v>3186</v>
      </c>
      <c r="G58" t="s">
        <v>3182</v>
      </c>
      <c r="H58" t="s">
        <v>3318</v>
      </c>
      <c r="I58" t="s">
        <v>3318</v>
      </c>
    </row>
    <row r="59" spans="1:9" x14ac:dyDescent="0.25">
      <c r="A59" t="s">
        <v>3177</v>
      </c>
      <c r="B59" t="s">
        <v>3238</v>
      </c>
      <c r="C59" t="s">
        <v>3238</v>
      </c>
      <c r="D59" t="s">
        <v>3238</v>
      </c>
      <c r="E59" t="str">
        <f t="shared" si="2"/>
        <v>Land Emissions 3B5a</v>
      </c>
      <c r="F59" t="s">
        <v>3186</v>
      </c>
      <c r="G59" t="s">
        <v>3182</v>
      </c>
      <c r="H59" t="s">
        <v>3196</v>
      </c>
      <c r="I59" t="s">
        <v>3197</v>
      </c>
    </row>
    <row r="60" spans="1:9" x14ac:dyDescent="0.25">
      <c r="A60" t="s">
        <v>3178</v>
      </c>
      <c r="B60" t="s">
        <v>3238</v>
      </c>
      <c r="C60" t="s">
        <v>3238</v>
      </c>
      <c r="D60" t="s">
        <v>3238</v>
      </c>
      <c r="E60" t="str">
        <f t="shared" si="2"/>
        <v>Land Emissions 3B5b</v>
      </c>
      <c r="F60" t="s">
        <v>3186</v>
      </c>
      <c r="G60" t="s">
        <v>3182</v>
      </c>
      <c r="H60" t="s">
        <v>3196</v>
      </c>
      <c r="I60" t="s">
        <v>3198</v>
      </c>
    </row>
    <row r="61" spans="1:9" x14ac:dyDescent="0.25">
      <c r="A61" t="s">
        <v>3179</v>
      </c>
      <c r="B61" t="s">
        <v>3238</v>
      </c>
      <c r="C61" t="s">
        <v>3238</v>
      </c>
      <c r="D61" t="s">
        <v>3238</v>
      </c>
      <c r="E61" t="str">
        <f t="shared" si="2"/>
        <v>Land Emissions 3B6a</v>
      </c>
      <c r="F61" t="s">
        <v>3186</v>
      </c>
      <c r="G61" t="s">
        <v>3182</v>
      </c>
      <c r="H61" t="s">
        <v>3199</v>
      </c>
      <c r="I61" t="s">
        <v>3200</v>
      </c>
    </row>
    <row r="62" spans="1:9" x14ac:dyDescent="0.25">
      <c r="A62" t="s">
        <v>3180</v>
      </c>
      <c r="B62" t="s">
        <v>3238</v>
      </c>
      <c r="C62" t="s">
        <v>3238</v>
      </c>
      <c r="D62" t="s">
        <v>3238</v>
      </c>
      <c r="E62" t="str">
        <f t="shared" si="2"/>
        <v>Land Emissions 3B6b</v>
      </c>
      <c r="F62" t="s">
        <v>3186</v>
      </c>
      <c r="G62" t="s">
        <v>3182</v>
      </c>
      <c r="H62" t="s">
        <v>3199</v>
      </c>
      <c r="I62" t="s">
        <v>3201</v>
      </c>
    </row>
    <row r="63" spans="1:9" x14ac:dyDescent="0.25">
      <c r="A63" t="s">
        <v>3255</v>
      </c>
      <c r="B63" t="s">
        <v>3237</v>
      </c>
      <c r="C63" t="s">
        <v>3237</v>
      </c>
      <c r="D63" t="s">
        <v>3237</v>
      </c>
      <c r="E63" t="str">
        <f t="shared" ref="E63:E73" si="3">"Agri Emissions "&amp;RIGHT(A63,LEN(A63)-1)</f>
        <v>Agri Emissions 3C1a</v>
      </c>
      <c r="F63" t="s">
        <v>3186</v>
      </c>
      <c r="G63" t="s">
        <v>3266</v>
      </c>
      <c r="H63" t="s">
        <v>3273</v>
      </c>
      <c r="I63" t="s">
        <v>3274</v>
      </c>
    </row>
    <row r="64" spans="1:9" x14ac:dyDescent="0.25">
      <c r="A64" t="s">
        <v>3256</v>
      </c>
      <c r="B64" t="s">
        <v>3237</v>
      </c>
      <c r="C64" t="s">
        <v>3237</v>
      </c>
      <c r="D64" t="s">
        <v>3237</v>
      </c>
      <c r="E64" t="str">
        <f t="shared" si="3"/>
        <v>Agri Emissions 3C1b</v>
      </c>
      <c r="F64" t="s">
        <v>3186</v>
      </c>
      <c r="G64" t="s">
        <v>3266</v>
      </c>
      <c r="H64" t="s">
        <v>3273</v>
      </c>
      <c r="I64" t="s">
        <v>3275</v>
      </c>
    </row>
    <row r="65" spans="1:9" x14ac:dyDescent="0.25">
      <c r="A65" t="s">
        <v>3257</v>
      </c>
      <c r="B65" t="s">
        <v>3237</v>
      </c>
      <c r="C65" t="s">
        <v>3237</v>
      </c>
      <c r="D65" t="s">
        <v>3237</v>
      </c>
      <c r="E65" t="str">
        <f t="shared" si="3"/>
        <v>Agri Emissions 3C1c</v>
      </c>
      <c r="F65" t="s">
        <v>3186</v>
      </c>
      <c r="G65" t="s">
        <v>3266</v>
      </c>
      <c r="H65" t="s">
        <v>3273</v>
      </c>
      <c r="I65" t="s">
        <v>3276</v>
      </c>
    </row>
    <row r="66" spans="1:9" x14ac:dyDescent="0.25">
      <c r="A66" t="s">
        <v>3258</v>
      </c>
      <c r="B66" t="s">
        <v>3237</v>
      </c>
      <c r="C66" t="s">
        <v>3237</v>
      </c>
      <c r="D66" t="s">
        <v>3237</v>
      </c>
      <c r="E66" t="str">
        <f t="shared" si="3"/>
        <v>Agri Emissions 3C1d</v>
      </c>
      <c r="F66" t="s">
        <v>3186</v>
      </c>
      <c r="G66" t="s">
        <v>3266</v>
      </c>
      <c r="H66" t="s">
        <v>3273</v>
      </c>
      <c r="I66" t="s">
        <v>3277</v>
      </c>
    </row>
    <row r="67" spans="1:9" x14ac:dyDescent="0.25">
      <c r="A67" t="s">
        <v>3259</v>
      </c>
      <c r="B67" t="s">
        <v>3237</v>
      </c>
      <c r="C67" t="s">
        <v>3237</v>
      </c>
      <c r="D67" t="s">
        <v>3237</v>
      </c>
      <c r="E67" t="str">
        <f t="shared" si="3"/>
        <v>Agri Emissions 3C1e</v>
      </c>
      <c r="F67" t="s">
        <v>3186</v>
      </c>
      <c r="G67" t="s">
        <v>3266</v>
      </c>
      <c r="H67" t="s">
        <v>3273</v>
      </c>
      <c r="I67" t="s">
        <v>3278</v>
      </c>
    </row>
    <row r="68" spans="1:9" x14ac:dyDescent="0.25">
      <c r="A68" t="s">
        <v>3260</v>
      </c>
      <c r="B68" t="s">
        <v>3237</v>
      </c>
      <c r="C68" t="s">
        <v>3237</v>
      </c>
      <c r="D68" t="s">
        <v>3237</v>
      </c>
      <c r="E68" t="str">
        <f t="shared" si="3"/>
        <v>Agri Emissions 3C1f</v>
      </c>
      <c r="F68" t="s">
        <v>3186</v>
      </c>
      <c r="G68" t="s">
        <v>3266</v>
      </c>
      <c r="H68" t="s">
        <v>3273</v>
      </c>
      <c r="I68" t="s">
        <v>3279</v>
      </c>
    </row>
    <row r="69" spans="1:9" x14ac:dyDescent="0.25">
      <c r="A69" t="s">
        <v>3264</v>
      </c>
      <c r="B69" t="s">
        <v>3237</v>
      </c>
      <c r="C69" t="s">
        <v>3237</v>
      </c>
      <c r="D69" t="s">
        <v>3237</v>
      </c>
      <c r="E69" t="str">
        <f t="shared" si="3"/>
        <v>Agri Emissions 3C2</v>
      </c>
      <c r="F69" t="s">
        <v>3186</v>
      </c>
      <c r="G69" t="s">
        <v>3266</v>
      </c>
      <c r="H69" t="s">
        <v>3267</v>
      </c>
      <c r="I69" t="s">
        <v>3267</v>
      </c>
    </row>
    <row r="70" spans="1:9" x14ac:dyDescent="0.25">
      <c r="A70" t="s">
        <v>3265</v>
      </c>
      <c r="B70" t="s">
        <v>3237</v>
      </c>
      <c r="C70" t="s">
        <v>3237</v>
      </c>
      <c r="D70" t="s">
        <v>3237</v>
      </c>
      <c r="E70" t="str">
        <f t="shared" si="3"/>
        <v>Agri Emissions 3C3</v>
      </c>
      <c r="F70" t="s">
        <v>3186</v>
      </c>
      <c r="G70" t="s">
        <v>3266</v>
      </c>
      <c r="H70" t="s">
        <v>3268</v>
      </c>
      <c r="I70" t="s">
        <v>3268</v>
      </c>
    </row>
    <row r="71" spans="1:9" x14ac:dyDescent="0.25">
      <c r="A71" t="s">
        <v>3261</v>
      </c>
      <c r="B71" t="s">
        <v>3237</v>
      </c>
      <c r="C71" t="s">
        <v>3237</v>
      </c>
      <c r="D71" t="s">
        <v>3237</v>
      </c>
      <c r="E71" t="str">
        <f t="shared" si="3"/>
        <v>Agri Emissions 3C4</v>
      </c>
      <c r="F71" t="s">
        <v>3186</v>
      </c>
      <c r="G71" t="s">
        <v>3266</v>
      </c>
      <c r="H71" t="s">
        <v>3269</v>
      </c>
      <c r="I71" t="s">
        <v>3269</v>
      </c>
    </row>
    <row r="72" spans="1:9" x14ac:dyDescent="0.25">
      <c r="A72" t="s">
        <v>3262</v>
      </c>
      <c r="B72" t="s">
        <v>3237</v>
      </c>
      <c r="C72" t="s">
        <v>3237</v>
      </c>
      <c r="D72" t="s">
        <v>3237</v>
      </c>
      <c r="E72" t="str">
        <f t="shared" si="3"/>
        <v>Agri Emissions 3C5</v>
      </c>
      <c r="F72" t="s">
        <v>3186</v>
      </c>
      <c r="G72" t="s">
        <v>3266</v>
      </c>
      <c r="H72" t="s">
        <v>3270</v>
      </c>
      <c r="I72" t="s">
        <v>3270</v>
      </c>
    </row>
    <row r="73" spans="1:9" x14ac:dyDescent="0.25">
      <c r="A73" t="s">
        <v>3263</v>
      </c>
      <c r="B73" t="s">
        <v>3237</v>
      </c>
      <c r="C73" t="s">
        <v>3237</v>
      </c>
      <c r="D73" t="s">
        <v>3237</v>
      </c>
      <c r="E73" t="str">
        <f t="shared" si="3"/>
        <v>Agri Emissions 3C6</v>
      </c>
      <c r="F73" t="s">
        <v>3186</v>
      </c>
      <c r="G73" t="s">
        <v>3266</v>
      </c>
      <c r="H73" t="s">
        <v>3271</v>
      </c>
      <c r="I73" t="s">
        <v>3272</v>
      </c>
    </row>
    <row r="74" spans="1:9" x14ac:dyDescent="0.25">
      <c r="A74" t="s">
        <v>3181</v>
      </c>
      <c r="B74" t="s">
        <v>3238</v>
      </c>
      <c r="C74" t="s">
        <v>3238</v>
      </c>
      <c r="D74" t="s">
        <v>3238</v>
      </c>
      <c r="E74" t="str">
        <f>"Land Emissions "&amp;RIGHT(A74,LEN(A74)-1)</f>
        <v>Land Emissions 3D1</v>
      </c>
      <c r="F74" t="s">
        <v>3186</v>
      </c>
      <c r="G74" t="s">
        <v>3185</v>
      </c>
      <c r="H74" t="s">
        <v>3202</v>
      </c>
      <c r="I74" t="s">
        <v>3202</v>
      </c>
    </row>
    <row r="75" spans="1:9" x14ac:dyDescent="0.25">
      <c r="A75" t="s">
        <v>3216</v>
      </c>
      <c r="B75" t="s">
        <v>1787</v>
      </c>
      <c r="C75" t="s">
        <v>1787</v>
      </c>
      <c r="D75" t="s">
        <v>1787</v>
      </c>
      <c r="E75" t="str">
        <f>"Waste Emissions "&amp;RIGHT(A75,LEN(A75)-1)</f>
        <v>Waste Emissions 4A</v>
      </c>
      <c r="F75" t="s">
        <v>3219</v>
      </c>
      <c r="G75" t="s">
        <v>3220</v>
      </c>
      <c r="H75" t="s">
        <v>3220</v>
      </c>
      <c r="I75" t="s">
        <v>3220</v>
      </c>
    </row>
    <row r="76" spans="1:9" x14ac:dyDescent="0.25">
      <c r="A76" t="s">
        <v>3217</v>
      </c>
      <c r="B76" t="s">
        <v>1787</v>
      </c>
      <c r="C76" t="s">
        <v>1787</v>
      </c>
      <c r="D76" t="s">
        <v>1787</v>
      </c>
      <c r="E76" t="str">
        <f>"Waste Emissions "&amp;RIGHT(A76,LEN(A76)-1)</f>
        <v>Waste Emissions 4B</v>
      </c>
      <c r="F76" t="s">
        <v>3219</v>
      </c>
      <c r="G76" t="s">
        <v>3223</v>
      </c>
      <c r="H76" t="s">
        <v>3223</v>
      </c>
      <c r="I76" t="s">
        <v>3223</v>
      </c>
    </row>
    <row r="77" spans="1:9" x14ac:dyDescent="0.25">
      <c r="A77" t="s">
        <v>3215</v>
      </c>
      <c r="B77" t="s">
        <v>1787</v>
      </c>
      <c r="C77" t="s">
        <v>1787</v>
      </c>
      <c r="D77" t="s">
        <v>1787</v>
      </c>
      <c r="E77" t="str">
        <f>"Waste Emissions "&amp;RIGHT(A77,LEN(A77)-1)</f>
        <v>Waste Emissions 4C2</v>
      </c>
      <c r="F77" t="s">
        <v>3219</v>
      </c>
      <c r="G77" t="s">
        <v>3221</v>
      </c>
      <c r="H77" t="s">
        <v>3221</v>
      </c>
      <c r="I77" t="s">
        <v>3221</v>
      </c>
    </row>
    <row r="78" spans="1:9" x14ac:dyDescent="0.25">
      <c r="A78" t="s">
        <v>3218</v>
      </c>
      <c r="B78" t="s">
        <v>1787</v>
      </c>
      <c r="C78" t="s">
        <v>1787</v>
      </c>
      <c r="D78" t="s">
        <v>1787</v>
      </c>
      <c r="E78" t="str">
        <f>"Waste Emissions "&amp;RIGHT(A78,LEN(A78)-1)</f>
        <v>Waste Emissions 4D1</v>
      </c>
      <c r="F78" t="s">
        <v>3219</v>
      </c>
      <c r="G78" t="s">
        <v>3222</v>
      </c>
      <c r="H78" t="s">
        <v>3222</v>
      </c>
      <c r="I78" t="s">
        <v>3222</v>
      </c>
    </row>
    <row r="79" spans="1:9" x14ac:dyDescent="0.25">
      <c r="A79" t="s">
        <v>1663</v>
      </c>
      <c r="B79" t="s">
        <v>1637</v>
      </c>
      <c r="C79" t="s">
        <v>1637</v>
      </c>
      <c r="D79" t="s">
        <v>0</v>
      </c>
      <c r="E79" t="s">
        <v>1662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1A4c Agriculture/Forestry/Fishing/Fish Farms</v>
      </c>
    </row>
    <row r="80" spans="1:9" x14ac:dyDescent="0.25">
      <c r="A80" t="s">
        <v>1661</v>
      </c>
      <c r="B80" t="s">
        <v>1637</v>
      </c>
      <c r="C80" t="s">
        <v>1637</v>
      </c>
      <c r="D80" t="s">
        <v>0</v>
      </c>
      <c r="E80" t="s">
        <v>1660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1659</v>
      </c>
      <c r="B81" t="s">
        <v>1637</v>
      </c>
      <c r="C81" t="s">
        <v>1637</v>
      </c>
      <c r="D81" t="s">
        <v>0</v>
      </c>
      <c r="E81" t="s">
        <v>1658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1657</v>
      </c>
      <c r="B82" t="s">
        <v>1637</v>
      </c>
      <c r="C82" t="s">
        <v>1637</v>
      </c>
      <c r="D82" t="s">
        <v>0</v>
      </c>
      <c r="E82" t="s">
        <v>1656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1655</v>
      </c>
      <c r="B83" t="s">
        <v>1637</v>
      </c>
      <c r="C83" t="s">
        <v>1637</v>
      </c>
      <c r="D83" t="s">
        <v>0</v>
      </c>
      <c r="E83" t="s">
        <v>1654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1653</v>
      </c>
      <c r="B84" t="s">
        <v>1637</v>
      </c>
      <c r="C84" t="s">
        <v>1637</v>
      </c>
      <c r="D84" t="s">
        <v>0</v>
      </c>
      <c r="E84" t="s">
        <v>1652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1651</v>
      </c>
      <c r="B85" t="s">
        <v>1637</v>
      </c>
      <c r="C85" t="s">
        <v>1637</v>
      </c>
      <c r="D85" t="s">
        <v>0</v>
      </c>
      <c r="E85" t="s">
        <v>1650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1649</v>
      </c>
      <c r="B86" t="s">
        <v>1637</v>
      </c>
      <c r="C86" t="s">
        <v>1637</v>
      </c>
      <c r="D86" t="s">
        <v>0</v>
      </c>
      <c r="E86" t="s">
        <v>1648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1647</v>
      </c>
      <c r="B87" t="s">
        <v>1637</v>
      </c>
      <c r="C87" t="s">
        <v>1637</v>
      </c>
      <c r="D87" t="s">
        <v>0</v>
      </c>
      <c r="E87" t="s">
        <v>1646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1645</v>
      </c>
      <c r="B88" t="s">
        <v>1637</v>
      </c>
      <c r="C88" t="s">
        <v>1637</v>
      </c>
      <c r="D88" t="s">
        <v>0</v>
      </c>
      <c r="E88" t="s">
        <v>1644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1643</v>
      </c>
      <c r="B89" t="s">
        <v>1637</v>
      </c>
      <c r="C89" t="s">
        <v>1637</v>
      </c>
      <c r="D89" t="s">
        <v>0</v>
      </c>
      <c r="E89" t="s">
        <v>1642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1641</v>
      </c>
      <c r="B90" t="s">
        <v>1637</v>
      </c>
      <c r="C90" t="s">
        <v>1637</v>
      </c>
      <c r="D90" t="s">
        <v>0</v>
      </c>
      <c r="E90" t="s">
        <v>1640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1639</v>
      </c>
      <c r="B91" t="s">
        <v>1637</v>
      </c>
      <c r="C91" t="s">
        <v>1637</v>
      </c>
      <c r="D91" t="s">
        <v>0</v>
      </c>
      <c r="E91" t="s">
        <v>1638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1636</v>
      </c>
      <c r="B92" t="s">
        <v>1487</v>
      </c>
      <c r="C92" t="s">
        <v>1593</v>
      </c>
      <c r="D92" t="s">
        <v>1061</v>
      </c>
      <c r="E92" t="s">
        <v>1591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x14ac:dyDescent="0.25">
      <c r="A93" t="s">
        <v>1635</v>
      </c>
      <c r="B93" t="s">
        <v>1487</v>
      </c>
      <c r="C93" t="s">
        <v>1593</v>
      </c>
      <c r="D93" t="s">
        <v>1061</v>
      </c>
      <c r="E93" t="s">
        <v>1589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1634</v>
      </c>
      <c r="B94" t="s">
        <v>1487</v>
      </c>
      <c r="C94" t="s">
        <v>1593</v>
      </c>
      <c r="D94" t="s">
        <v>1061</v>
      </c>
      <c r="E94" t="s">
        <v>1587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1633</v>
      </c>
      <c r="B95" t="s">
        <v>1487</v>
      </c>
      <c r="C95" t="s">
        <v>1593</v>
      </c>
      <c r="D95" t="s">
        <v>1061</v>
      </c>
      <c r="E95" t="s">
        <v>1585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1632</v>
      </c>
      <c r="B96" t="s">
        <v>1487</v>
      </c>
      <c r="C96" t="s">
        <v>1593</v>
      </c>
      <c r="D96" t="s">
        <v>1061</v>
      </c>
      <c r="E96" t="s">
        <v>1583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1631</v>
      </c>
      <c r="B97" t="s">
        <v>1487</v>
      </c>
      <c r="C97" t="s">
        <v>1593</v>
      </c>
      <c r="D97" t="s">
        <v>1061</v>
      </c>
      <c r="E97" t="s">
        <v>1581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1630</v>
      </c>
      <c r="B98" t="s">
        <v>1487</v>
      </c>
      <c r="C98" t="s">
        <v>1593</v>
      </c>
      <c r="D98" t="s">
        <v>1568</v>
      </c>
      <c r="E98" t="s">
        <v>1579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1629</v>
      </c>
      <c r="B99" t="s">
        <v>1487</v>
      </c>
      <c r="C99" t="s">
        <v>1593</v>
      </c>
      <c r="D99" t="s">
        <v>1568</v>
      </c>
      <c r="E99" t="s">
        <v>1577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1628</v>
      </c>
      <c r="B100" t="s">
        <v>1487</v>
      </c>
      <c r="C100" t="s">
        <v>1593</v>
      </c>
      <c r="D100" t="s">
        <v>1568</v>
      </c>
      <c r="E100" t="s">
        <v>1575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1627</v>
      </c>
      <c r="B101" t="s">
        <v>1487</v>
      </c>
      <c r="C101" t="s">
        <v>1593</v>
      </c>
      <c r="D101" t="s">
        <v>1568</v>
      </c>
      <c r="E101" t="s">
        <v>1573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1626</v>
      </c>
      <c r="B102" t="s">
        <v>1487</v>
      </c>
      <c r="C102" t="s">
        <v>1593</v>
      </c>
      <c r="D102" t="s">
        <v>1568</v>
      </c>
      <c r="E102" t="s">
        <v>1571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1625</v>
      </c>
      <c r="B103" t="s">
        <v>1487</v>
      </c>
      <c r="C103" t="s">
        <v>1593</v>
      </c>
      <c r="D103" t="s">
        <v>1568</v>
      </c>
      <c r="E103" t="s">
        <v>1569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1624</v>
      </c>
      <c r="B104" t="s">
        <v>1487</v>
      </c>
      <c r="C104" t="s">
        <v>1593</v>
      </c>
      <c r="D104" t="s">
        <v>743</v>
      </c>
      <c r="E104" t="s">
        <v>1566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1623</v>
      </c>
      <c r="B105" t="s">
        <v>1487</v>
      </c>
      <c r="C105" t="s">
        <v>1593</v>
      </c>
      <c r="D105" t="s">
        <v>743</v>
      </c>
      <c r="E105" t="s">
        <v>1564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1622</v>
      </c>
      <c r="B106" t="s">
        <v>1487</v>
      </c>
      <c r="C106" t="s">
        <v>1593</v>
      </c>
      <c r="D106" t="s">
        <v>743</v>
      </c>
      <c r="E106" t="s">
        <v>1562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1621</v>
      </c>
      <c r="B107" t="s">
        <v>1487</v>
      </c>
      <c r="C107" t="s">
        <v>1593</v>
      </c>
      <c r="D107" t="s">
        <v>743</v>
      </c>
      <c r="E107" t="s">
        <v>1560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1620</v>
      </c>
      <c r="B108" t="s">
        <v>1487</v>
      </c>
      <c r="C108" t="s">
        <v>1593</v>
      </c>
      <c r="D108" t="s">
        <v>743</v>
      </c>
      <c r="E108" t="s">
        <v>1558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1619</v>
      </c>
      <c r="B109" t="s">
        <v>1487</v>
      </c>
      <c r="C109" t="s">
        <v>1593</v>
      </c>
      <c r="D109" t="s">
        <v>736</v>
      </c>
      <c r="E109" t="s">
        <v>1556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1618</v>
      </c>
      <c r="B110" t="s">
        <v>1487</v>
      </c>
      <c r="C110" t="s">
        <v>1593</v>
      </c>
      <c r="D110" t="s">
        <v>736</v>
      </c>
      <c r="E110" t="s">
        <v>1554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1617</v>
      </c>
      <c r="B111" t="s">
        <v>1487</v>
      </c>
      <c r="C111" t="s">
        <v>1593</v>
      </c>
      <c r="D111" t="s">
        <v>736</v>
      </c>
      <c r="E111" t="s">
        <v>1552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1616</v>
      </c>
      <c r="B112" t="s">
        <v>1487</v>
      </c>
      <c r="C112" t="s">
        <v>1593</v>
      </c>
      <c r="D112" t="s">
        <v>733</v>
      </c>
      <c r="E112" t="s">
        <v>1550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1615</v>
      </c>
      <c r="B113" t="s">
        <v>1487</v>
      </c>
      <c r="C113" t="s">
        <v>1593</v>
      </c>
      <c r="D113" t="s">
        <v>733</v>
      </c>
      <c r="E113" t="s">
        <v>1548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1614</v>
      </c>
      <c r="B114" t="s">
        <v>1487</v>
      </c>
      <c r="C114" t="s">
        <v>1593</v>
      </c>
      <c r="D114" t="s">
        <v>733</v>
      </c>
      <c r="E114" t="s">
        <v>1546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1613</v>
      </c>
      <c r="B115" t="s">
        <v>1487</v>
      </c>
      <c r="C115" t="s">
        <v>1593</v>
      </c>
      <c r="D115" t="s">
        <v>733</v>
      </c>
      <c r="E115" t="s">
        <v>1544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1612</v>
      </c>
      <c r="B116" t="s">
        <v>1487</v>
      </c>
      <c r="C116" t="s">
        <v>1593</v>
      </c>
      <c r="D116" t="s">
        <v>733</v>
      </c>
      <c r="E116" t="s">
        <v>1542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1611</v>
      </c>
      <c r="B117" t="s">
        <v>1487</v>
      </c>
      <c r="C117" t="s">
        <v>1593</v>
      </c>
      <c r="D117" t="s">
        <v>733</v>
      </c>
      <c r="E117" t="s">
        <v>1540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1610</v>
      </c>
      <c r="B118" t="s">
        <v>1487</v>
      </c>
      <c r="C118" t="s">
        <v>1593</v>
      </c>
      <c r="D118" t="s">
        <v>0</v>
      </c>
      <c r="E118" t="s">
        <v>1538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1609</v>
      </c>
      <c r="B119" t="s">
        <v>1487</v>
      </c>
      <c r="C119" t="s">
        <v>1593</v>
      </c>
      <c r="D119" t="s">
        <v>0</v>
      </c>
      <c r="E119" t="s">
        <v>1536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1608</v>
      </c>
      <c r="B120" t="s">
        <v>1487</v>
      </c>
      <c r="C120" t="s">
        <v>1593</v>
      </c>
      <c r="D120" t="s">
        <v>0</v>
      </c>
      <c r="E120" t="s">
        <v>1534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1607</v>
      </c>
      <c r="B121" t="s">
        <v>1487</v>
      </c>
      <c r="C121" t="s">
        <v>1593</v>
      </c>
      <c r="D121" t="s">
        <v>0</v>
      </c>
      <c r="E121" t="s">
        <v>1532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1606</v>
      </c>
      <c r="B122" t="s">
        <v>1487</v>
      </c>
      <c r="C122" t="s">
        <v>1593</v>
      </c>
      <c r="D122" t="s">
        <v>0</v>
      </c>
      <c r="E122" t="s">
        <v>1530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1605</v>
      </c>
      <c r="B123" t="s">
        <v>1487</v>
      </c>
      <c r="C123" t="s">
        <v>1593</v>
      </c>
      <c r="D123" t="s">
        <v>0</v>
      </c>
      <c r="E123" t="s">
        <v>1528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1604</v>
      </c>
      <c r="B124" t="s">
        <v>1487</v>
      </c>
      <c r="C124" t="s">
        <v>1593</v>
      </c>
      <c r="D124" t="s">
        <v>0</v>
      </c>
      <c r="E124" t="s">
        <v>1526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1603</v>
      </c>
      <c r="B125" t="s">
        <v>1487</v>
      </c>
      <c r="C125" t="s">
        <v>1593</v>
      </c>
      <c r="D125" t="s">
        <v>760</v>
      </c>
      <c r="E125" t="s">
        <v>1524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1602</v>
      </c>
      <c r="B126" t="s">
        <v>1487</v>
      </c>
      <c r="C126" t="s">
        <v>1593</v>
      </c>
      <c r="D126" t="s">
        <v>760</v>
      </c>
      <c r="E126" t="s">
        <v>1522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1601</v>
      </c>
      <c r="B127" t="s">
        <v>1487</v>
      </c>
      <c r="C127" t="s">
        <v>1593</v>
      </c>
      <c r="D127" t="s">
        <v>1519</v>
      </c>
      <c r="E127" t="s">
        <v>1520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1600</v>
      </c>
      <c r="B128" t="s">
        <v>1487</v>
      </c>
      <c r="C128" t="s">
        <v>1593</v>
      </c>
      <c r="D128" t="s">
        <v>721</v>
      </c>
      <c r="E128" t="s">
        <v>1517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1599</v>
      </c>
      <c r="B129" t="s">
        <v>1487</v>
      </c>
      <c r="C129" t="s">
        <v>1593</v>
      </c>
      <c r="D129" t="s">
        <v>721</v>
      </c>
      <c r="E129" t="s">
        <v>1515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1597</v>
      </c>
      <c r="B130" t="s">
        <v>1487</v>
      </c>
      <c r="C130" t="s">
        <v>1593</v>
      </c>
      <c r="D130" t="s">
        <v>721</v>
      </c>
      <c r="E130" t="s">
        <v>1511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1598</v>
      </c>
      <c r="B131" t="s">
        <v>1487</v>
      </c>
      <c r="C131" t="s">
        <v>1593</v>
      </c>
      <c r="D131" t="s">
        <v>721</v>
      </c>
      <c r="E131" t="s">
        <v>1513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1596</v>
      </c>
      <c r="B132" t="s">
        <v>1487</v>
      </c>
      <c r="C132" t="s">
        <v>1593</v>
      </c>
      <c r="D132" t="s">
        <v>721</v>
      </c>
      <c r="E132" t="s">
        <v>1509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1595</v>
      </c>
      <c r="B133" t="s">
        <v>1487</v>
      </c>
      <c r="C133" t="s">
        <v>1593</v>
      </c>
      <c r="D133" t="s">
        <v>721</v>
      </c>
      <c r="E133" t="s">
        <v>1507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1594</v>
      </c>
      <c r="B134" t="s">
        <v>1487</v>
      </c>
      <c r="C134" t="s">
        <v>1593</v>
      </c>
      <c r="D134" t="s">
        <v>721</v>
      </c>
      <c r="E134" t="s">
        <v>1505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1592</v>
      </c>
      <c r="B135" t="s">
        <v>1487</v>
      </c>
      <c r="C135" t="s">
        <v>1504</v>
      </c>
      <c r="D135" t="s">
        <v>1061</v>
      </c>
      <c r="E135" t="s">
        <v>1591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1590</v>
      </c>
      <c r="B136" t="s">
        <v>1487</v>
      </c>
      <c r="C136" t="s">
        <v>1504</v>
      </c>
      <c r="D136" t="s">
        <v>1061</v>
      </c>
      <c r="E136" t="s">
        <v>1589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1588</v>
      </c>
      <c r="B137" t="s">
        <v>1487</v>
      </c>
      <c r="C137" t="s">
        <v>1504</v>
      </c>
      <c r="D137" t="s">
        <v>1061</v>
      </c>
      <c r="E137" t="s">
        <v>1587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1586</v>
      </c>
      <c r="B138" t="s">
        <v>1487</v>
      </c>
      <c r="C138" t="s">
        <v>1504</v>
      </c>
      <c r="D138" t="s">
        <v>1061</v>
      </c>
      <c r="E138" t="s">
        <v>1585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1584</v>
      </c>
      <c r="B139" t="s">
        <v>1487</v>
      </c>
      <c r="C139" t="s">
        <v>1504</v>
      </c>
      <c r="D139" t="s">
        <v>1061</v>
      </c>
      <c r="E139" t="s">
        <v>1583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1582</v>
      </c>
      <c r="B140" t="s">
        <v>1487</v>
      </c>
      <c r="C140" t="s">
        <v>1504</v>
      </c>
      <c r="D140" t="s">
        <v>1061</v>
      </c>
      <c r="E140" t="s">
        <v>1581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1580</v>
      </c>
      <c r="B141" t="s">
        <v>1487</v>
      </c>
      <c r="C141" t="s">
        <v>1504</v>
      </c>
      <c r="D141" t="s">
        <v>1568</v>
      </c>
      <c r="E141" t="s">
        <v>1579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1578</v>
      </c>
      <c r="B142" t="s">
        <v>1487</v>
      </c>
      <c r="C142" t="s">
        <v>1504</v>
      </c>
      <c r="D142" t="s">
        <v>1568</v>
      </c>
      <c r="E142" t="s">
        <v>1577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1576</v>
      </c>
      <c r="B143" t="s">
        <v>1487</v>
      </c>
      <c r="C143" t="s">
        <v>1504</v>
      </c>
      <c r="D143" t="s">
        <v>1568</v>
      </c>
      <c r="E143" t="s">
        <v>1575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1574</v>
      </c>
      <c r="B144" t="s">
        <v>1487</v>
      </c>
      <c r="C144" t="s">
        <v>1504</v>
      </c>
      <c r="D144" t="s">
        <v>1568</v>
      </c>
      <c r="E144" t="s">
        <v>1573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1572</v>
      </c>
      <c r="B145" t="s">
        <v>1487</v>
      </c>
      <c r="C145" t="s">
        <v>1504</v>
      </c>
      <c r="D145" t="s">
        <v>1568</v>
      </c>
      <c r="E145" t="s">
        <v>1571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1570</v>
      </c>
      <c r="B146" t="s">
        <v>1487</v>
      </c>
      <c r="C146" t="s">
        <v>1504</v>
      </c>
      <c r="D146" t="s">
        <v>1568</v>
      </c>
      <c r="E146" t="s">
        <v>1569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1567</v>
      </c>
      <c r="B147" t="s">
        <v>1487</v>
      </c>
      <c r="C147" t="s">
        <v>1504</v>
      </c>
      <c r="D147" t="s">
        <v>743</v>
      </c>
      <c r="E147" t="s">
        <v>1566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1565</v>
      </c>
      <c r="B148" t="s">
        <v>1487</v>
      </c>
      <c r="C148" t="s">
        <v>1504</v>
      </c>
      <c r="D148" t="s">
        <v>743</v>
      </c>
      <c r="E148" t="s">
        <v>1564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1563</v>
      </c>
      <c r="B149" t="s">
        <v>1487</v>
      </c>
      <c r="C149" t="s">
        <v>1504</v>
      </c>
      <c r="D149" t="s">
        <v>743</v>
      </c>
      <c r="E149" t="s">
        <v>1562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1561</v>
      </c>
      <c r="B150" t="s">
        <v>1487</v>
      </c>
      <c r="C150" t="s">
        <v>1504</v>
      </c>
      <c r="D150" t="s">
        <v>743</v>
      </c>
      <c r="E150" t="s">
        <v>1560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1559</v>
      </c>
      <c r="B151" t="s">
        <v>1487</v>
      </c>
      <c r="C151" t="s">
        <v>1504</v>
      </c>
      <c r="D151" t="s">
        <v>743</v>
      </c>
      <c r="E151" t="s">
        <v>1558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1557</v>
      </c>
      <c r="B152" t="s">
        <v>1487</v>
      </c>
      <c r="C152" t="s">
        <v>1504</v>
      </c>
      <c r="D152" t="s">
        <v>736</v>
      </c>
      <c r="E152" t="s">
        <v>1556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1555</v>
      </c>
      <c r="B153" t="s">
        <v>1487</v>
      </c>
      <c r="C153" t="s">
        <v>1504</v>
      </c>
      <c r="D153" t="s">
        <v>736</v>
      </c>
      <c r="E153" t="s">
        <v>1554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1553</v>
      </c>
      <c r="B154" t="s">
        <v>1487</v>
      </c>
      <c r="C154" t="s">
        <v>1504</v>
      </c>
      <c r="D154" t="s">
        <v>736</v>
      </c>
      <c r="E154" t="s">
        <v>1552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1551</v>
      </c>
      <c r="B155" t="s">
        <v>1487</v>
      </c>
      <c r="C155" t="s">
        <v>1504</v>
      </c>
      <c r="D155" t="s">
        <v>733</v>
      </c>
      <c r="E155" t="s">
        <v>1550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1549</v>
      </c>
      <c r="B156" t="s">
        <v>1487</v>
      </c>
      <c r="C156" t="s">
        <v>1504</v>
      </c>
      <c r="D156" t="s">
        <v>733</v>
      </c>
      <c r="E156" t="s">
        <v>1548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1547</v>
      </c>
      <c r="B157" t="s">
        <v>1487</v>
      </c>
      <c r="C157" t="s">
        <v>1504</v>
      </c>
      <c r="D157" t="s">
        <v>733</v>
      </c>
      <c r="E157" t="s">
        <v>1546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1545</v>
      </c>
      <c r="B158" t="s">
        <v>1487</v>
      </c>
      <c r="C158" t="s">
        <v>1504</v>
      </c>
      <c r="D158" t="s">
        <v>733</v>
      </c>
      <c r="E158" t="s">
        <v>1544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1543</v>
      </c>
      <c r="B159" t="s">
        <v>1487</v>
      </c>
      <c r="C159" t="s">
        <v>1504</v>
      </c>
      <c r="D159" t="s">
        <v>733</v>
      </c>
      <c r="E159" t="s">
        <v>1542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1541</v>
      </c>
      <c r="B160" t="s">
        <v>1487</v>
      </c>
      <c r="C160" t="s">
        <v>1504</v>
      </c>
      <c r="D160" t="s">
        <v>733</v>
      </c>
      <c r="E160" t="s">
        <v>1540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1539</v>
      </c>
      <c r="B161" t="s">
        <v>1487</v>
      </c>
      <c r="C161" t="s">
        <v>1504</v>
      </c>
      <c r="D161" t="s">
        <v>0</v>
      </c>
      <c r="E161" t="s">
        <v>1538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1537</v>
      </c>
      <c r="B162" t="s">
        <v>1487</v>
      </c>
      <c r="C162" t="s">
        <v>1504</v>
      </c>
      <c r="D162" t="s">
        <v>0</v>
      </c>
      <c r="E162" t="s">
        <v>1536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1535</v>
      </c>
      <c r="B163" t="s">
        <v>1487</v>
      </c>
      <c r="C163" t="s">
        <v>1504</v>
      </c>
      <c r="D163" t="s">
        <v>0</v>
      </c>
      <c r="E163" t="s">
        <v>1534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1533</v>
      </c>
      <c r="B164" t="s">
        <v>1487</v>
      </c>
      <c r="C164" t="s">
        <v>1504</v>
      </c>
      <c r="D164" t="s">
        <v>0</v>
      </c>
      <c r="E164" t="s">
        <v>1532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1531</v>
      </c>
      <c r="B165" t="s">
        <v>1487</v>
      </c>
      <c r="C165" t="s">
        <v>1504</v>
      </c>
      <c r="D165" t="s">
        <v>0</v>
      </c>
      <c r="E165" t="s">
        <v>1530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1529</v>
      </c>
      <c r="B166" t="s">
        <v>1487</v>
      </c>
      <c r="C166" t="s">
        <v>1504</v>
      </c>
      <c r="D166" t="s">
        <v>0</v>
      </c>
      <c r="E166" t="s">
        <v>1528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1527</v>
      </c>
      <c r="B167" t="s">
        <v>1487</v>
      </c>
      <c r="C167" t="s">
        <v>1504</v>
      </c>
      <c r="D167" t="s">
        <v>0</v>
      </c>
      <c r="E167" t="s">
        <v>1526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1525</v>
      </c>
      <c r="B168" t="s">
        <v>1487</v>
      </c>
      <c r="C168" t="s">
        <v>1504</v>
      </c>
      <c r="D168" t="s">
        <v>760</v>
      </c>
      <c r="E168" t="s">
        <v>1524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1523</v>
      </c>
      <c r="B169" t="s">
        <v>1487</v>
      </c>
      <c r="C169" t="s">
        <v>1504</v>
      </c>
      <c r="D169" t="s">
        <v>760</v>
      </c>
      <c r="E169" t="s">
        <v>1522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1521</v>
      </c>
      <c r="B170" t="s">
        <v>1487</v>
      </c>
      <c r="C170" t="s">
        <v>1504</v>
      </c>
      <c r="D170" t="s">
        <v>1519</v>
      </c>
      <c r="E170" t="s">
        <v>1520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1518</v>
      </c>
      <c r="B171" t="s">
        <v>1487</v>
      </c>
      <c r="C171" t="s">
        <v>1504</v>
      </c>
      <c r="D171" t="s">
        <v>721</v>
      </c>
      <c r="E171" t="s">
        <v>1517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1516</v>
      </c>
      <c r="B172" t="s">
        <v>1487</v>
      </c>
      <c r="C172" t="s">
        <v>1504</v>
      </c>
      <c r="D172" t="s">
        <v>721</v>
      </c>
      <c r="E172" t="s">
        <v>1515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1512</v>
      </c>
      <c r="B173" t="s">
        <v>1487</v>
      </c>
      <c r="C173" t="s">
        <v>1504</v>
      </c>
      <c r="D173" t="s">
        <v>721</v>
      </c>
      <c r="E173" t="s">
        <v>1511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1514</v>
      </c>
      <c r="B174" t="s">
        <v>1487</v>
      </c>
      <c r="C174" t="s">
        <v>1504</v>
      </c>
      <c r="D174" t="s">
        <v>721</v>
      </c>
      <c r="E174" t="s">
        <v>1513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1510</v>
      </c>
      <c r="B175" t="s">
        <v>1487</v>
      </c>
      <c r="C175" t="s">
        <v>1504</v>
      </c>
      <c r="D175" t="s">
        <v>721</v>
      </c>
      <c r="E175" t="s">
        <v>1509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1508</v>
      </c>
      <c r="B176" t="s">
        <v>1487</v>
      </c>
      <c r="C176" t="s">
        <v>1504</v>
      </c>
      <c r="D176" t="s">
        <v>721</v>
      </c>
      <c r="E176" t="s">
        <v>1507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1506</v>
      </c>
      <c r="B177" t="s">
        <v>1487</v>
      </c>
      <c r="C177" t="s">
        <v>1504</v>
      </c>
      <c r="D177" t="s">
        <v>721</v>
      </c>
      <c r="E177" t="s">
        <v>1505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1503</v>
      </c>
      <c r="B178" t="s">
        <v>1487</v>
      </c>
      <c r="C178" t="s">
        <v>1486</v>
      </c>
      <c r="D178" t="s">
        <v>1061</v>
      </c>
      <c r="E178" t="s">
        <v>1502</v>
      </c>
      <c r="F178" t="e">
        <f>INDEX(IPCCMaps!H:H,MATCH(mapPRC!C178,IPCCMaps!G:G,0))</f>
        <v>#N/A</v>
      </c>
      <c r="G178" t="e">
        <f>INDEX(IPCCMaps!I:I,MATCH(mapPRC!C178,IPCCMaps!G:G,0))</f>
        <v>#N/A</v>
      </c>
      <c r="H178" t="e">
        <f>INDEX(IPCCMaps!J:J,MATCH(mapPRC!C178,IPCCMaps!G:G,0))</f>
        <v>#N/A</v>
      </c>
      <c r="I178" t="e">
        <f>INDEX(IPCCMaps!K:K,MATCH(mapPRC!C178,IPCCMaps!G:G,0))</f>
        <v>#N/A</v>
      </c>
    </row>
    <row r="179" spans="1:9" x14ac:dyDescent="0.25">
      <c r="A179" t="s">
        <v>1501</v>
      </c>
      <c r="B179" t="s">
        <v>1487</v>
      </c>
      <c r="C179" t="s">
        <v>1486</v>
      </c>
      <c r="D179" t="s">
        <v>1061</v>
      </c>
      <c r="E179" t="s">
        <v>1500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1499</v>
      </c>
      <c r="B180" t="s">
        <v>1487</v>
      </c>
      <c r="C180" t="s">
        <v>1486</v>
      </c>
      <c r="D180" t="s">
        <v>743</v>
      </c>
      <c r="E180" t="s">
        <v>1498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1497</v>
      </c>
      <c r="B181" t="s">
        <v>1487</v>
      </c>
      <c r="C181" t="s">
        <v>1486</v>
      </c>
      <c r="D181" t="s">
        <v>743</v>
      </c>
      <c r="E181" t="s">
        <v>1496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1495</v>
      </c>
      <c r="D182" t="s">
        <v>0</v>
      </c>
      <c r="E182" t="s">
        <v>1494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1493</v>
      </c>
      <c r="D183" t="s">
        <v>0</v>
      </c>
      <c r="E183" t="s">
        <v>1492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1491</v>
      </c>
      <c r="B184" t="s">
        <v>1487</v>
      </c>
      <c r="C184" t="s">
        <v>1486</v>
      </c>
      <c r="D184" t="s">
        <v>1011</v>
      </c>
      <c r="E184" t="s">
        <v>1490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1489</v>
      </c>
      <c r="B185" t="s">
        <v>1487</v>
      </c>
      <c r="C185" t="s">
        <v>1486</v>
      </c>
      <c r="D185" t="s">
        <v>1011</v>
      </c>
      <c r="E185" t="s">
        <v>1488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16</v>
      </c>
      <c r="D186" t="s">
        <v>0</v>
      </c>
      <c r="E186" t="s">
        <v>15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14</v>
      </c>
      <c r="D187" t="s">
        <v>0</v>
      </c>
      <c r="E187" t="s">
        <v>13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12</v>
      </c>
      <c r="D188" t="s">
        <v>0</v>
      </c>
      <c r="E188" t="s">
        <v>11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10</v>
      </c>
      <c r="D189" t="s">
        <v>0</v>
      </c>
      <c r="E189" t="s">
        <v>9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1483</v>
      </c>
      <c r="B190" t="s">
        <v>145</v>
      </c>
      <c r="C190" t="s">
        <v>1481</v>
      </c>
      <c r="D190" t="s">
        <v>1481</v>
      </c>
      <c r="E190" t="s">
        <v>1482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1485</v>
      </c>
      <c r="B191" t="s">
        <v>145</v>
      </c>
      <c r="C191" t="s">
        <v>1481</v>
      </c>
      <c r="D191" t="s">
        <v>1481</v>
      </c>
      <c r="E191" t="s">
        <v>1484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1480</v>
      </c>
      <c r="B192" t="s">
        <v>145</v>
      </c>
      <c r="C192" t="s">
        <v>1476</v>
      </c>
      <c r="D192" t="s">
        <v>1476</v>
      </c>
      <c r="E192" t="s">
        <v>1479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1478</v>
      </c>
      <c r="B193" t="s">
        <v>145</v>
      </c>
      <c r="C193" t="s">
        <v>1476</v>
      </c>
      <c r="D193" t="s">
        <v>1476</v>
      </c>
      <c r="E193" t="s">
        <v>1477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1468</v>
      </c>
      <c r="B194" t="s">
        <v>145</v>
      </c>
      <c r="C194" t="s">
        <v>425</v>
      </c>
      <c r="D194" t="s">
        <v>1316</v>
      </c>
      <c r="E194" t="s">
        <v>1467</v>
      </c>
      <c r="F194" t="str">
        <f>INDEX(IPCCMaps!H:H,MATCH(mapPRC!C194,IPCCMaps!G:G,0))</f>
        <v>1 Energy</v>
      </c>
    </row>
    <row r="195" spans="1:9" x14ac:dyDescent="0.25">
      <c r="A195" t="s">
        <v>1475</v>
      </c>
      <c r="B195" t="s">
        <v>145</v>
      </c>
      <c r="C195" t="s">
        <v>1469</v>
      </c>
      <c r="D195" t="s">
        <v>1469</v>
      </c>
      <c r="E195" t="s">
        <v>1474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1466</v>
      </c>
      <c r="B196" t="s">
        <v>145</v>
      </c>
      <c r="C196" t="s">
        <v>425</v>
      </c>
      <c r="D196" t="s">
        <v>1316</v>
      </c>
      <c r="E196" t="s">
        <v>1465</v>
      </c>
      <c r="F196" t="str">
        <f>INDEX(IPCCMaps!H:H,MATCH(mapPRC!C196,IPCCMaps!G:G,0))</f>
        <v>1 Energy</v>
      </c>
    </row>
    <row r="197" spans="1:9" x14ac:dyDescent="0.25">
      <c r="A197" t="s">
        <v>1464</v>
      </c>
      <c r="B197" t="s">
        <v>145</v>
      </c>
      <c r="C197" t="s">
        <v>425</v>
      </c>
      <c r="D197" t="s">
        <v>1316</v>
      </c>
      <c r="E197" t="s">
        <v>1463</v>
      </c>
      <c r="F197" t="str">
        <f>INDEX(IPCCMaps!H:H,MATCH(mapPRC!C197,IPCCMaps!G:G,0))</f>
        <v>1 Energy</v>
      </c>
    </row>
    <row r="198" spans="1:9" x14ac:dyDescent="0.25">
      <c r="A198" t="s">
        <v>1462</v>
      </c>
      <c r="B198" t="s">
        <v>145</v>
      </c>
      <c r="C198" t="s">
        <v>425</v>
      </c>
      <c r="D198" t="s">
        <v>1316</v>
      </c>
      <c r="E198" t="s">
        <v>1461</v>
      </c>
      <c r="F198" t="str">
        <f>INDEX(IPCCMaps!H:H,MATCH(mapPRC!C198,IPCCMaps!G:G,0))</f>
        <v>1 Energy</v>
      </c>
    </row>
    <row r="199" spans="1:9" x14ac:dyDescent="0.25">
      <c r="A199" t="s">
        <v>1460</v>
      </c>
      <c r="B199" t="s">
        <v>145</v>
      </c>
      <c r="C199" t="s">
        <v>425</v>
      </c>
      <c r="D199" t="s">
        <v>1316</v>
      </c>
      <c r="E199" t="s">
        <v>1459</v>
      </c>
      <c r="F199" t="str">
        <f>INDEX(IPCCMaps!H:H,MATCH(mapPRC!C199,IPCCMaps!G:G,0))</f>
        <v>1 Energy</v>
      </c>
    </row>
    <row r="200" spans="1:9" x14ac:dyDescent="0.25">
      <c r="A200" t="s">
        <v>1473</v>
      </c>
      <c r="B200" t="s">
        <v>145</v>
      </c>
      <c r="C200" t="s">
        <v>425</v>
      </c>
      <c r="D200" t="s">
        <v>1316</v>
      </c>
      <c r="E200" t="s">
        <v>1472</v>
      </c>
      <c r="F200" t="str">
        <f>INDEX(IPCCMaps!H:H,MATCH(mapPRC!C200,IPCCMaps!G:G,0))</f>
        <v>1 Energy</v>
      </c>
    </row>
    <row r="201" spans="1:9" x14ac:dyDescent="0.25">
      <c r="A201" t="s">
        <v>1458</v>
      </c>
      <c r="B201" t="s">
        <v>145</v>
      </c>
      <c r="C201" t="s">
        <v>425</v>
      </c>
      <c r="D201" t="s">
        <v>1316</v>
      </c>
      <c r="E201" t="s">
        <v>1457</v>
      </c>
      <c r="F201" t="str">
        <f>INDEX(IPCCMaps!H:H,MATCH(mapPRC!C201,IPCCMaps!G:G,0))</f>
        <v>1 Energy</v>
      </c>
    </row>
    <row r="202" spans="1:9" x14ac:dyDescent="0.25">
      <c r="A202" t="s">
        <v>1456</v>
      </c>
      <c r="B202" t="s">
        <v>145</v>
      </c>
      <c r="C202" t="s">
        <v>425</v>
      </c>
      <c r="D202" t="s">
        <v>1316</v>
      </c>
      <c r="E202" t="s">
        <v>1455</v>
      </c>
      <c r="F202" t="str">
        <f>INDEX(IPCCMaps!H:H,MATCH(mapPRC!C202,IPCCMaps!G:G,0))</f>
        <v>1 Energy</v>
      </c>
    </row>
    <row r="203" spans="1:9" x14ac:dyDescent="0.25">
      <c r="A203" t="s">
        <v>1454</v>
      </c>
      <c r="B203" t="s">
        <v>145</v>
      </c>
      <c r="C203" t="s">
        <v>425</v>
      </c>
      <c r="D203" t="s">
        <v>1316</v>
      </c>
      <c r="E203" t="s">
        <v>1453</v>
      </c>
      <c r="F203" t="str">
        <f>INDEX(IPCCMaps!H:H,MATCH(mapPRC!C203,IPCCMaps!G:G,0))</f>
        <v>1 Energy</v>
      </c>
    </row>
    <row r="204" spans="1:9" x14ac:dyDescent="0.25">
      <c r="A204" t="s">
        <v>1471</v>
      </c>
      <c r="B204" t="s">
        <v>145</v>
      </c>
      <c r="C204" t="s">
        <v>1469</v>
      </c>
      <c r="D204" t="s">
        <v>1469</v>
      </c>
      <c r="E204" t="s">
        <v>1470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1452</v>
      </c>
      <c r="B205" t="s">
        <v>145</v>
      </c>
      <c r="C205" t="s">
        <v>1425</v>
      </c>
      <c r="D205" t="s">
        <v>1448</v>
      </c>
      <c r="E205" t="s">
        <v>1451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1450</v>
      </c>
      <c r="B206" t="s">
        <v>145</v>
      </c>
      <c r="C206" t="s">
        <v>1425</v>
      </c>
      <c r="D206" t="s">
        <v>1448</v>
      </c>
      <c r="E206" t="s">
        <v>1449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1447</v>
      </c>
      <c r="B207" t="s">
        <v>145</v>
      </c>
      <c r="C207" t="s">
        <v>1425</v>
      </c>
      <c r="D207" t="s">
        <v>1431</v>
      </c>
      <c r="E207" t="s">
        <v>1446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1445</v>
      </c>
      <c r="B208" t="s">
        <v>145</v>
      </c>
      <c r="C208" t="s">
        <v>1425</v>
      </c>
      <c r="D208" t="s">
        <v>1431</v>
      </c>
      <c r="E208" t="s">
        <v>1444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1443</v>
      </c>
      <c r="B209" t="s">
        <v>145</v>
      </c>
      <c r="C209" t="s">
        <v>1425</v>
      </c>
      <c r="D209" t="s">
        <v>1431</v>
      </c>
      <c r="E209" t="s">
        <v>1442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1441</v>
      </c>
      <c r="B210" t="s">
        <v>145</v>
      </c>
      <c r="C210" t="s">
        <v>1425</v>
      </c>
      <c r="D210" t="s">
        <v>1431</v>
      </c>
      <c r="E210" t="s">
        <v>1440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1439</v>
      </c>
      <c r="B211" t="s">
        <v>145</v>
      </c>
      <c r="C211" t="s">
        <v>1425</v>
      </c>
      <c r="D211" t="s">
        <v>1431</v>
      </c>
      <c r="E211" t="s">
        <v>1438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1437</v>
      </c>
      <c r="B212" t="s">
        <v>145</v>
      </c>
      <c r="C212" t="s">
        <v>1425</v>
      </c>
      <c r="D212" t="s">
        <v>1431</v>
      </c>
      <c r="E212" t="s">
        <v>1436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1435</v>
      </c>
      <c r="B213" t="s">
        <v>145</v>
      </c>
      <c r="C213" t="s">
        <v>1425</v>
      </c>
      <c r="D213" t="s">
        <v>1431</v>
      </c>
      <c r="E213" t="s">
        <v>1434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1433</v>
      </c>
      <c r="B214" t="s">
        <v>145</v>
      </c>
      <c r="C214" t="s">
        <v>1425</v>
      </c>
      <c r="D214" t="s">
        <v>1431</v>
      </c>
      <c r="E214" t="s">
        <v>1432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1430</v>
      </c>
      <c r="B215" t="s">
        <v>145</v>
      </c>
      <c r="C215" t="s">
        <v>1425</v>
      </c>
      <c r="D215" t="s">
        <v>1428</v>
      </c>
      <c r="E215" t="s">
        <v>1429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3081</v>
      </c>
      <c r="B216" t="s">
        <v>145</v>
      </c>
      <c r="C216" t="s">
        <v>1425</v>
      </c>
      <c r="D216" t="s">
        <v>1431</v>
      </c>
      <c r="E216" t="s">
        <v>3082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1427</v>
      </c>
      <c r="B217" t="s">
        <v>145</v>
      </c>
      <c r="C217" t="s">
        <v>1425</v>
      </c>
      <c r="D217" t="s">
        <v>1424</v>
      </c>
      <c r="E217" t="s">
        <v>1426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1423</v>
      </c>
      <c r="B218" t="s">
        <v>145</v>
      </c>
      <c r="C218" t="s">
        <v>1403</v>
      </c>
      <c r="D218" t="s">
        <v>1403</v>
      </c>
      <c r="E218" t="s">
        <v>1422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1421</v>
      </c>
      <c r="B219" t="s">
        <v>145</v>
      </c>
      <c r="C219" t="s">
        <v>1403</v>
      </c>
      <c r="D219" t="s">
        <v>1403</v>
      </c>
      <c r="E219" t="s">
        <v>1420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1417</v>
      </c>
      <c r="B220" t="s">
        <v>145</v>
      </c>
      <c r="C220" t="s">
        <v>1403</v>
      </c>
      <c r="D220" t="s">
        <v>1403</v>
      </c>
      <c r="E220" t="s">
        <v>1416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1419</v>
      </c>
      <c r="B221" t="s">
        <v>145</v>
      </c>
      <c r="C221" t="s">
        <v>1403</v>
      </c>
      <c r="D221" t="s">
        <v>1403</v>
      </c>
      <c r="E221" t="s">
        <v>1418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1415</v>
      </c>
      <c r="B222" t="s">
        <v>145</v>
      </c>
      <c r="C222" t="s">
        <v>1403</v>
      </c>
      <c r="D222" t="s">
        <v>1403</v>
      </c>
      <c r="E222" t="s">
        <v>1414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1413</v>
      </c>
      <c r="B223" t="s">
        <v>145</v>
      </c>
      <c r="C223" t="s">
        <v>1403</v>
      </c>
      <c r="D223" t="s">
        <v>1403</v>
      </c>
      <c r="E223" t="s">
        <v>1412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1411</v>
      </c>
      <c r="B224" t="s">
        <v>145</v>
      </c>
      <c r="C224" t="s">
        <v>1403</v>
      </c>
      <c r="D224" t="s">
        <v>1403</v>
      </c>
      <c r="E224" t="s">
        <v>1410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1409</v>
      </c>
      <c r="B225" t="s">
        <v>145</v>
      </c>
      <c r="C225" t="s">
        <v>1403</v>
      </c>
      <c r="D225" t="s">
        <v>1403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1403</v>
      </c>
      <c r="D226" t="s">
        <v>1403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1405</v>
      </c>
      <c r="B227" t="s">
        <v>145</v>
      </c>
      <c r="C227" t="s">
        <v>1403</v>
      </c>
      <c r="D227" t="s">
        <v>1403</v>
      </c>
      <c r="E227" t="s">
        <v>1404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1402</v>
      </c>
      <c r="B228" t="s">
        <v>145</v>
      </c>
      <c r="C228" t="s">
        <v>1398</v>
      </c>
      <c r="D228" t="s">
        <v>1398</v>
      </c>
      <c r="E228" t="s">
        <v>1401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1400</v>
      </c>
      <c r="B229" t="s">
        <v>145</v>
      </c>
      <c r="C229" t="s">
        <v>1398</v>
      </c>
      <c r="D229" t="s">
        <v>1398</v>
      </c>
      <c r="E229" t="s">
        <v>1399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1397</v>
      </c>
      <c r="B230" t="s">
        <v>145</v>
      </c>
      <c r="C230" t="s">
        <v>1372</v>
      </c>
      <c r="D230" t="s">
        <v>1395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1394</v>
      </c>
      <c r="B231" t="s">
        <v>145</v>
      </c>
      <c r="C231" t="s">
        <v>1372</v>
      </c>
      <c r="D231" t="s">
        <v>1378</v>
      </c>
      <c r="E231" t="s">
        <v>1393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1392</v>
      </c>
      <c r="B232" t="s">
        <v>145</v>
      </c>
      <c r="C232" t="s">
        <v>1372</v>
      </c>
      <c r="D232" t="s">
        <v>1378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1390</v>
      </c>
      <c r="B233" t="s">
        <v>145</v>
      </c>
      <c r="C233" t="s">
        <v>1372</v>
      </c>
      <c r="D233" t="s">
        <v>1378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1388</v>
      </c>
      <c r="B234" t="s">
        <v>145</v>
      </c>
      <c r="C234" t="s">
        <v>1372</v>
      </c>
      <c r="D234" t="s">
        <v>1378</v>
      </c>
      <c r="E234" t="s">
        <v>1387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1386</v>
      </c>
      <c r="B235" t="s">
        <v>145</v>
      </c>
      <c r="C235" t="s">
        <v>1372</v>
      </c>
      <c r="D235" t="s">
        <v>1378</v>
      </c>
      <c r="E235" t="s">
        <v>1385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1384</v>
      </c>
      <c r="B236" t="s">
        <v>145</v>
      </c>
      <c r="C236" t="s">
        <v>1372</v>
      </c>
      <c r="D236" t="s">
        <v>1378</v>
      </c>
      <c r="E236" t="s">
        <v>1383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1382</v>
      </c>
      <c r="B237" t="s">
        <v>145</v>
      </c>
      <c r="C237" t="s">
        <v>1372</v>
      </c>
      <c r="D237" t="s">
        <v>1378</v>
      </c>
      <c r="E237" t="s">
        <v>1381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1380</v>
      </c>
      <c r="B238" t="s">
        <v>145</v>
      </c>
      <c r="C238" t="s">
        <v>1372</v>
      </c>
      <c r="D238" t="s">
        <v>1378</v>
      </c>
      <c r="E238" t="s">
        <v>1379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1377</v>
      </c>
      <c r="B239" t="s">
        <v>145</v>
      </c>
      <c r="C239" t="s">
        <v>1372</v>
      </c>
      <c r="D239" t="s">
        <v>1375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1374</v>
      </c>
      <c r="B240" t="s">
        <v>145</v>
      </c>
      <c r="C240" t="s">
        <v>1372</v>
      </c>
      <c r="D240" t="s">
        <v>1371</v>
      </c>
      <c r="E240" t="s">
        <v>1373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1370</v>
      </c>
      <c r="B241" t="s">
        <v>145</v>
      </c>
      <c r="C241" t="s">
        <v>1329</v>
      </c>
      <c r="D241" t="s">
        <v>1328</v>
      </c>
      <c r="E241" t="s">
        <v>1369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1368</v>
      </c>
      <c r="B242" t="s">
        <v>145</v>
      </c>
      <c r="C242" t="s">
        <v>1329</v>
      </c>
      <c r="D242" t="s">
        <v>1328</v>
      </c>
      <c r="E242" t="s">
        <v>1367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1366</v>
      </c>
      <c r="B243" t="s">
        <v>145</v>
      </c>
      <c r="C243" t="s">
        <v>1329</v>
      </c>
      <c r="D243" t="s">
        <v>1328</v>
      </c>
      <c r="E243" t="s">
        <v>1365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1364</v>
      </c>
      <c r="B244" t="s">
        <v>145</v>
      </c>
      <c r="C244" t="s">
        <v>1329</v>
      </c>
      <c r="D244" t="s">
        <v>1328</v>
      </c>
      <c r="E244" t="s">
        <v>1363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1362</v>
      </c>
      <c r="B245" t="s">
        <v>145</v>
      </c>
      <c r="C245" t="s">
        <v>1329</v>
      </c>
      <c r="D245" t="s">
        <v>1328</v>
      </c>
      <c r="E245" t="s">
        <v>1361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1360</v>
      </c>
      <c r="B246" t="s">
        <v>145</v>
      </c>
      <c r="C246" t="s">
        <v>1329</v>
      </c>
      <c r="D246" t="s">
        <v>1328</v>
      </c>
      <c r="E246" t="s">
        <v>1359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1358</v>
      </c>
      <c r="B247" t="s">
        <v>145</v>
      </c>
      <c r="C247" t="s">
        <v>1329</v>
      </c>
      <c r="D247" t="s">
        <v>1328</v>
      </c>
      <c r="E247" t="s">
        <v>1357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1356</v>
      </c>
      <c r="B248" t="s">
        <v>145</v>
      </c>
      <c r="C248" t="s">
        <v>1329</v>
      </c>
      <c r="D248" t="s">
        <v>1328</v>
      </c>
      <c r="E248" t="s">
        <v>1355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1354</v>
      </c>
      <c r="B249" t="s">
        <v>145</v>
      </c>
      <c r="C249" t="s">
        <v>1329</v>
      </c>
      <c r="D249" t="s">
        <v>1328</v>
      </c>
      <c r="E249" t="s">
        <v>1353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1352</v>
      </c>
      <c r="B250" t="s">
        <v>145</v>
      </c>
      <c r="C250" t="s">
        <v>1329</v>
      </c>
      <c r="D250" t="s">
        <v>1328</v>
      </c>
      <c r="E250" t="s">
        <v>1351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1350</v>
      </c>
      <c r="B251" t="s">
        <v>145</v>
      </c>
      <c r="C251" t="s">
        <v>1329</v>
      </c>
      <c r="D251" t="s">
        <v>1328</v>
      </c>
      <c r="E251" t="s">
        <v>1349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2999</v>
      </c>
      <c r="B252" t="s">
        <v>145</v>
      </c>
      <c r="C252" t="s">
        <v>1329</v>
      </c>
      <c r="D252" t="s">
        <v>1328</v>
      </c>
      <c r="E252" t="s">
        <v>1332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1348</v>
      </c>
      <c r="B253" t="s">
        <v>145</v>
      </c>
      <c r="C253" t="s">
        <v>1329</v>
      </c>
      <c r="D253" t="s">
        <v>1328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1346</v>
      </c>
      <c r="B254" t="s">
        <v>145</v>
      </c>
      <c r="C254" t="s">
        <v>1329</v>
      </c>
      <c r="D254" t="s">
        <v>1328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1344</v>
      </c>
      <c r="B255" t="s">
        <v>145</v>
      </c>
      <c r="C255" t="s">
        <v>1329</v>
      </c>
      <c r="D255" t="s">
        <v>1328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1342</v>
      </c>
      <c r="B256" t="s">
        <v>145</v>
      </c>
      <c r="C256" t="s">
        <v>1329</v>
      </c>
      <c r="D256" t="s">
        <v>1328</v>
      </c>
      <c r="E256" t="s">
        <v>1341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1340</v>
      </c>
      <c r="B257" t="s">
        <v>145</v>
      </c>
      <c r="C257" t="s">
        <v>1329</v>
      </c>
      <c r="D257" t="s">
        <v>1328</v>
      </c>
      <c r="E257" t="s">
        <v>1339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2996</v>
      </c>
      <c r="B258" t="s">
        <v>145</v>
      </c>
      <c r="C258" t="s">
        <v>1329</v>
      </c>
      <c r="D258" t="s">
        <v>1333</v>
      </c>
      <c r="E258" t="s">
        <v>1338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1337</v>
      </c>
      <c r="B259" t="s">
        <v>145</v>
      </c>
      <c r="C259" t="s">
        <v>3008</v>
      </c>
      <c r="D259" t="s">
        <v>3010</v>
      </c>
      <c r="E259" t="s">
        <v>1336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1A2 Manufacturing Industries and Construction</v>
      </c>
      <c r="I259" t="str">
        <f>INDEX(IPCCMaps!K:K,MATCH(mapPRC!C259,IPCCMaps!G:G,0))</f>
        <v>1A2 Manufacturing Industries and Construction</v>
      </c>
    </row>
    <row r="260" spans="1:9" x14ac:dyDescent="0.25">
      <c r="A260" t="s">
        <v>1335</v>
      </c>
      <c r="B260" t="s">
        <v>145</v>
      </c>
      <c r="C260" t="s">
        <v>3009</v>
      </c>
      <c r="D260" t="s">
        <v>3011</v>
      </c>
      <c r="E260" t="s">
        <v>1334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1A1c Manufacture of solid fuels and other energy industries</v>
      </c>
    </row>
    <row r="261" spans="1:9" x14ac:dyDescent="0.25">
      <c r="A261" t="s">
        <v>1331</v>
      </c>
      <c r="B261" t="s">
        <v>145</v>
      </c>
      <c r="C261" t="s">
        <v>1329</v>
      </c>
      <c r="D261" t="s">
        <v>1328</v>
      </c>
      <c r="E261" t="s">
        <v>1330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2997</v>
      </c>
      <c r="B262" t="s">
        <v>145</v>
      </c>
      <c r="C262" t="s">
        <v>1329</v>
      </c>
      <c r="D262" t="s">
        <v>1333</v>
      </c>
      <c r="E262" t="s">
        <v>2998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3006</v>
      </c>
      <c r="B263" t="s">
        <v>145</v>
      </c>
      <c r="C263" t="s">
        <v>3008</v>
      </c>
      <c r="D263" t="s">
        <v>3012</v>
      </c>
      <c r="E263" t="s">
        <v>3007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 Manufacturing Industries and Construction</v>
      </c>
    </row>
    <row r="264" spans="1:9" x14ac:dyDescent="0.25">
      <c r="A264" t="s">
        <v>3083</v>
      </c>
      <c r="B264" t="s">
        <v>145</v>
      </c>
      <c r="C264" t="s">
        <v>3009</v>
      </c>
      <c r="D264" t="s">
        <v>3013</v>
      </c>
      <c r="E264" t="s">
        <v>3005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x14ac:dyDescent="0.25">
      <c r="A265" t="s">
        <v>1327</v>
      </c>
      <c r="B265" t="s">
        <v>145</v>
      </c>
      <c r="C265" t="s">
        <v>1319</v>
      </c>
      <c r="D265" t="s">
        <v>1319</v>
      </c>
      <c r="E265" t="s">
        <v>3002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3003</v>
      </c>
      <c r="B266" t="s">
        <v>145</v>
      </c>
      <c r="C266" t="s">
        <v>1319</v>
      </c>
      <c r="D266" t="s">
        <v>1319</v>
      </c>
      <c r="E266" t="s">
        <v>3004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1326</v>
      </c>
      <c r="B267" t="s">
        <v>145</v>
      </c>
      <c r="C267" t="s">
        <v>1319</v>
      </c>
      <c r="D267" t="s">
        <v>1319</v>
      </c>
      <c r="E267" t="s">
        <v>3001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1325</v>
      </c>
      <c r="B268" t="s">
        <v>145</v>
      </c>
      <c r="C268" t="s">
        <v>1319</v>
      </c>
      <c r="D268" t="s">
        <v>1319</v>
      </c>
      <c r="E268" t="s">
        <v>1324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1323</v>
      </c>
      <c r="B269" t="s">
        <v>145</v>
      </c>
      <c r="C269" t="s">
        <v>1319</v>
      </c>
      <c r="D269" t="s">
        <v>1319</v>
      </c>
      <c r="E269" t="s">
        <v>1322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1321</v>
      </c>
      <c r="B270" t="s">
        <v>145</v>
      </c>
      <c r="C270" t="s">
        <v>1319</v>
      </c>
      <c r="D270" t="s">
        <v>1319</v>
      </c>
      <c r="E270" t="s">
        <v>1320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1318</v>
      </c>
      <c r="B271" t="s">
        <v>145</v>
      </c>
      <c r="C271" t="s">
        <v>425</v>
      </c>
      <c r="D271" t="s">
        <v>1316</v>
      </c>
      <c r="E271" t="s">
        <v>1317</v>
      </c>
      <c r="F271" t="str">
        <f>INDEX(IPCCMaps!H:H,MATCH(mapPRC!C271,IPCCMaps!G:G,0))</f>
        <v>1 Energy</v>
      </c>
    </row>
    <row r="272" spans="1:9" x14ac:dyDescent="0.25">
      <c r="A272" t="s">
        <v>1315</v>
      </c>
      <c r="B272" t="s">
        <v>145</v>
      </c>
      <c r="C272" t="s">
        <v>1311</v>
      </c>
      <c r="D272" t="s">
        <v>1311</v>
      </c>
      <c r="E272" t="s">
        <v>1314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1313</v>
      </c>
      <c r="B273" t="s">
        <v>145</v>
      </c>
      <c r="C273" t="s">
        <v>1311</v>
      </c>
      <c r="D273" t="s">
        <v>1311</v>
      </c>
      <c r="E273" t="s">
        <v>1312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1310</v>
      </c>
      <c r="B274" t="s">
        <v>145</v>
      </c>
      <c r="C274" t="s">
        <v>1307</v>
      </c>
      <c r="D274" t="s">
        <v>1307</v>
      </c>
      <c r="E274" t="s">
        <v>1309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1308</v>
      </c>
      <c r="B275" t="s">
        <v>145</v>
      </c>
      <c r="C275" t="s">
        <v>1307</v>
      </c>
      <c r="D275" t="s">
        <v>1307</v>
      </c>
      <c r="E275" t="s">
        <v>3000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1306</v>
      </c>
      <c r="B276" t="s">
        <v>145</v>
      </c>
      <c r="C276" t="s">
        <v>1302</v>
      </c>
      <c r="D276" t="s">
        <v>3413</v>
      </c>
      <c r="E276" t="s">
        <v>1305</v>
      </c>
      <c r="F276" t="str">
        <f>INDEX(IPCCMaps!H:H,MATCH(mapPRC!C276,IPCCMaps!G:G,0))</f>
        <v>1 Energy</v>
      </c>
      <c r="G276">
        <f>INDEX(IPCCMaps!I:I,MATCH(mapPRC!C276,IPCCMaps!G:G,0))</f>
        <v>0</v>
      </c>
      <c r="H276">
        <f>INDEX(IPCCMaps!J:J,MATCH(mapPRC!C276,IPCCMaps!G:G,0))</f>
        <v>0</v>
      </c>
      <c r="I276">
        <f>INDEX(IPCCMaps!K:K,MATCH(mapPRC!C276,IPCCMaps!G:G,0))</f>
        <v>0</v>
      </c>
    </row>
    <row r="277" spans="1:9" x14ac:dyDescent="0.25">
      <c r="A277" t="s">
        <v>1304</v>
      </c>
      <c r="B277" t="s">
        <v>145</v>
      </c>
      <c r="C277" t="s">
        <v>1302</v>
      </c>
      <c r="D277" t="s">
        <v>1302</v>
      </c>
      <c r="E277" t="s">
        <v>1303</v>
      </c>
      <c r="F277" t="str">
        <f>INDEX(IPCCMaps!H:H,MATCH(mapPRC!C277,IPCCMaps!G:G,0))</f>
        <v>1 Energy</v>
      </c>
      <c r="G277">
        <f>INDEX(IPCCMaps!I:I,MATCH(mapPRC!C277,IPCCMaps!G:G,0))</f>
        <v>0</v>
      </c>
      <c r="H277">
        <f>INDEX(IPCCMaps!J:J,MATCH(mapPRC!C277,IPCCMaps!G:G,0))</f>
        <v>0</v>
      </c>
      <c r="I277">
        <f>INDEX(IPCCMaps!K:K,MATCH(mapPRC!C277,IPCCMaps!G:G,0))</f>
        <v>0</v>
      </c>
    </row>
    <row r="278" spans="1:9" x14ac:dyDescent="0.25">
      <c r="A278" t="s">
        <v>3084</v>
      </c>
      <c r="B278" t="s">
        <v>964</v>
      </c>
      <c r="C278" t="s">
        <v>3086</v>
      </c>
      <c r="D278" t="s">
        <v>3087</v>
      </c>
      <c r="E278" t="s">
        <v>3085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x14ac:dyDescent="0.25">
      <c r="A279" t="s">
        <v>1301</v>
      </c>
      <c r="B279" t="s">
        <v>964</v>
      </c>
      <c r="C279" t="s">
        <v>1270</v>
      </c>
      <c r="D279" t="s">
        <v>1064</v>
      </c>
      <c r="E279" t="s">
        <v>1300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x14ac:dyDescent="0.25">
      <c r="A280" t="s">
        <v>1299</v>
      </c>
      <c r="B280" t="s">
        <v>964</v>
      </c>
      <c r="C280" t="s">
        <v>1270</v>
      </c>
      <c r="D280" t="s">
        <v>1061</v>
      </c>
      <c r="E280" t="s">
        <v>1298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x14ac:dyDescent="0.25">
      <c r="A281" t="s">
        <v>1297</v>
      </c>
      <c r="B281" t="s">
        <v>964</v>
      </c>
      <c r="C281" t="s">
        <v>1270</v>
      </c>
      <c r="D281" t="s">
        <v>1058</v>
      </c>
      <c r="E281" t="s">
        <v>1296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x14ac:dyDescent="0.25">
      <c r="A282" t="s">
        <v>1295</v>
      </c>
      <c r="B282" t="s">
        <v>964</v>
      </c>
      <c r="C282" t="s">
        <v>1270</v>
      </c>
      <c r="D282" t="s">
        <v>1055</v>
      </c>
      <c r="E282" t="s">
        <v>1294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x14ac:dyDescent="0.25">
      <c r="A283" t="s">
        <v>1293</v>
      </c>
      <c r="B283" t="s">
        <v>964</v>
      </c>
      <c r="C283" t="s">
        <v>1270</v>
      </c>
      <c r="D283" t="s">
        <v>1052</v>
      </c>
      <c r="E283" t="s">
        <v>1292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x14ac:dyDescent="0.25">
      <c r="A284" t="s">
        <v>1291</v>
      </c>
      <c r="B284" t="s">
        <v>964</v>
      </c>
      <c r="C284" t="s">
        <v>1270</v>
      </c>
      <c r="D284" t="s">
        <v>1049</v>
      </c>
      <c r="E284" t="s">
        <v>1290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1289</v>
      </c>
      <c r="B285" t="s">
        <v>964</v>
      </c>
      <c r="C285" t="s">
        <v>1270</v>
      </c>
      <c r="D285" t="s">
        <v>733</v>
      </c>
      <c r="E285" t="s">
        <v>1288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1287</v>
      </c>
      <c r="B286" t="s">
        <v>964</v>
      </c>
      <c r="C286" t="s">
        <v>1270</v>
      </c>
      <c r="D286" t="s">
        <v>1044</v>
      </c>
      <c r="E286" t="s">
        <v>1286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1285</v>
      </c>
      <c r="B287" t="s">
        <v>964</v>
      </c>
      <c r="C287" t="s">
        <v>1270</v>
      </c>
      <c r="D287" t="s">
        <v>1041</v>
      </c>
      <c r="E287" t="s">
        <v>1284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3088</v>
      </c>
      <c r="B288" t="s">
        <v>964</v>
      </c>
      <c r="C288" t="s">
        <v>1270</v>
      </c>
      <c r="D288" t="s">
        <v>1025</v>
      </c>
      <c r="E288" t="s">
        <v>1283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1282</v>
      </c>
      <c r="B289" t="s">
        <v>964</v>
      </c>
      <c r="C289" t="s">
        <v>1270</v>
      </c>
      <c r="D289" t="s">
        <v>1025</v>
      </c>
      <c r="E289" t="s">
        <v>1281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1280</v>
      </c>
      <c r="B290" t="s">
        <v>964</v>
      </c>
      <c r="C290" t="s">
        <v>1270</v>
      </c>
      <c r="D290" t="s">
        <v>1025</v>
      </c>
      <c r="E290" t="s">
        <v>1279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1278</v>
      </c>
      <c r="B291" t="s">
        <v>964</v>
      </c>
      <c r="C291" t="s">
        <v>1270</v>
      </c>
      <c r="D291" t="s">
        <v>1025</v>
      </c>
      <c r="E291" t="s">
        <v>1277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1276</v>
      </c>
      <c r="B292" t="s">
        <v>964</v>
      </c>
      <c r="C292" t="s">
        <v>1270</v>
      </c>
      <c r="D292" t="s">
        <v>1025</v>
      </c>
      <c r="E292" t="s">
        <v>1275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1274</v>
      </c>
      <c r="B293" t="s">
        <v>964</v>
      </c>
      <c r="C293" t="s">
        <v>1270</v>
      </c>
      <c r="D293" t="s">
        <v>1025</v>
      </c>
      <c r="E293" t="s">
        <v>1273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1272</v>
      </c>
      <c r="B294" t="s">
        <v>964</v>
      </c>
      <c r="C294" t="s">
        <v>1270</v>
      </c>
      <c r="D294" t="s">
        <v>1269</v>
      </c>
      <c r="E294" t="s">
        <v>1271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1268</v>
      </c>
      <c r="B295" t="s">
        <v>964</v>
      </c>
      <c r="C295" t="s">
        <v>1266</v>
      </c>
      <c r="D295" t="s">
        <v>0</v>
      </c>
      <c r="E295" t="s">
        <v>1267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1265</v>
      </c>
      <c r="B296" t="s">
        <v>964</v>
      </c>
      <c r="C296" t="s">
        <v>1239</v>
      </c>
      <c r="D296" t="s">
        <v>1064</v>
      </c>
      <c r="E296" t="s">
        <v>1264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1263</v>
      </c>
      <c r="B297" t="s">
        <v>964</v>
      </c>
      <c r="C297" t="s">
        <v>1239</v>
      </c>
      <c r="D297" t="s">
        <v>1061</v>
      </c>
      <c r="E297" t="s">
        <v>1262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1261</v>
      </c>
      <c r="B298" t="s">
        <v>964</v>
      </c>
      <c r="C298" t="s">
        <v>1239</v>
      </c>
      <c r="D298" t="s">
        <v>1058</v>
      </c>
      <c r="E298" t="s">
        <v>1260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1259</v>
      </c>
      <c r="B299" t="s">
        <v>964</v>
      </c>
      <c r="C299" t="s">
        <v>1239</v>
      </c>
      <c r="D299" t="s">
        <v>1055</v>
      </c>
      <c r="E299" t="s">
        <v>1258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1257</v>
      </c>
      <c r="B300" t="s">
        <v>964</v>
      </c>
      <c r="C300" t="s">
        <v>1239</v>
      </c>
      <c r="D300" t="s">
        <v>1052</v>
      </c>
      <c r="E300" t="s">
        <v>1256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1255</v>
      </c>
      <c r="B301" t="s">
        <v>964</v>
      </c>
      <c r="C301" t="s">
        <v>1239</v>
      </c>
      <c r="D301" t="s">
        <v>1049</v>
      </c>
      <c r="E301" t="s">
        <v>1254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1253</v>
      </c>
      <c r="B302" t="s">
        <v>964</v>
      </c>
      <c r="C302" t="s">
        <v>1239</v>
      </c>
      <c r="D302" t="s">
        <v>733</v>
      </c>
      <c r="E302" t="s">
        <v>1252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1251</v>
      </c>
      <c r="B303" t="s">
        <v>964</v>
      </c>
      <c r="C303" t="s">
        <v>1239</v>
      </c>
      <c r="D303" t="s">
        <v>1044</v>
      </c>
      <c r="E303" t="s">
        <v>1250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1249</v>
      </c>
      <c r="B304" t="s">
        <v>964</v>
      </c>
      <c r="C304" t="s">
        <v>1239</v>
      </c>
      <c r="D304" t="s">
        <v>1041</v>
      </c>
      <c r="E304" t="s">
        <v>1248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x14ac:dyDescent="0.25">
      <c r="A305" t="s">
        <v>1247</v>
      </c>
      <c r="B305" t="s">
        <v>964</v>
      </c>
      <c r="C305" t="s">
        <v>1239</v>
      </c>
      <c r="D305" t="s">
        <v>1025</v>
      </c>
      <c r="E305" t="s">
        <v>1240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1246</v>
      </c>
      <c r="B306" t="s">
        <v>964</v>
      </c>
      <c r="C306" t="s">
        <v>1239</v>
      </c>
      <c r="D306" t="s">
        <v>1025</v>
      </c>
      <c r="E306" t="s">
        <v>1240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1245</v>
      </c>
      <c r="B307" t="s">
        <v>964</v>
      </c>
      <c r="C307" t="s">
        <v>1239</v>
      </c>
      <c r="D307" t="s">
        <v>1025</v>
      </c>
      <c r="E307" t="s">
        <v>1240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1244</v>
      </c>
      <c r="B308" t="s">
        <v>964</v>
      </c>
      <c r="C308" t="s">
        <v>1239</v>
      </c>
      <c r="D308" t="s">
        <v>1025</v>
      </c>
      <c r="E308" t="s">
        <v>1240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1243</v>
      </c>
      <c r="B309" t="s">
        <v>964</v>
      </c>
      <c r="C309" t="s">
        <v>1239</v>
      </c>
      <c r="D309" t="s">
        <v>1025</v>
      </c>
      <c r="E309" t="s">
        <v>1240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1242</v>
      </c>
      <c r="B310" t="s">
        <v>964</v>
      </c>
      <c r="C310" t="s">
        <v>1239</v>
      </c>
      <c r="D310" t="s">
        <v>1025</v>
      </c>
      <c r="E310" t="s">
        <v>1240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1241</v>
      </c>
      <c r="B311" t="s">
        <v>964</v>
      </c>
      <c r="C311" t="s">
        <v>1239</v>
      </c>
      <c r="D311" t="s">
        <v>1025</v>
      </c>
      <c r="E311" t="s">
        <v>1240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1235</v>
      </c>
      <c r="B312" t="s">
        <v>964</v>
      </c>
      <c r="C312" t="s">
        <v>1197</v>
      </c>
      <c r="D312" t="s">
        <v>1233</v>
      </c>
      <c r="E312" t="s">
        <v>1234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1238</v>
      </c>
      <c r="B313" t="s">
        <v>964</v>
      </c>
      <c r="C313" t="s">
        <v>1197</v>
      </c>
      <c r="D313" t="s">
        <v>1233</v>
      </c>
      <c r="E313" t="s">
        <v>1236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1237</v>
      </c>
      <c r="B314" t="s">
        <v>964</v>
      </c>
      <c r="C314" t="s">
        <v>1197</v>
      </c>
      <c r="D314" t="s">
        <v>1233</v>
      </c>
      <c r="E314" t="s">
        <v>1236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1232</v>
      </c>
      <c r="B315" t="s">
        <v>964</v>
      </c>
      <c r="C315" t="s">
        <v>1197</v>
      </c>
      <c r="D315" t="s">
        <v>1230</v>
      </c>
      <c r="E315" t="s">
        <v>1231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1226</v>
      </c>
      <c r="B316" t="s">
        <v>964</v>
      </c>
      <c r="C316" t="s">
        <v>1197</v>
      </c>
      <c r="D316" t="s">
        <v>1224</v>
      </c>
      <c r="E316" t="s">
        <v>1225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1229</v>
      </c>
      <c r="B317" t="s">
        <v>964</v>
      </c>
      <c r="C317" t="s">
        <v>1197</v>
      </c>
      <c r="D317" t="s">
        <v>1224</v>
      </c>
      <c r="E317" t="s">
        <v>1227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1228</v>
      </c>
      <c r="B318" t="s">
        <v>964</v>
      </c>
      <c r="C318" t="s">
        <v>1197</v>
      </c>
      <c r="D318" t="s">
        <v>1224</v>
      </c>
      <c r="E318" t="s">
        <v>1227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1223</v>
      </c>
      <c r="B319" t="s">
        <v>964</v>
      </c>
      <c r="C319" t="s">
        <v>1197</v>
      </c>
      <c r="D319" t="s">
        <v>1221</v>
      </c>
      <c r="E319" t="s">
        <v>1222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1217</v>
      </c>
      <c r="B320" t="s">
        <v>964</v>
      </c>
      <c r="C320" t="s">
        <v>1197</v>
      </c>
      <c r="D320" t="s">
        <v>1215</v>
      </c>
      <c r="E320" t="s">
        <v>1216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1220</v>
      </c>
      <c r="B321" t="s">
        <v>964</v>
      </c>
      <c r="C321" t="s">
        <v>1197</v>
      </c>
      <c r="D321" t="s">
        <v>1215</v>
      </c>
      <c r="E321" t="s">
        <v>1216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1219</v>
      </c>
      <c r="B322" t="s">
        <v>964</v>
      </c>
      <c r="C322" t="s">
        <v>1197</v>
      </c>
      <c r="D322" t="s">
        <v>1215</v>
      </c>
      <c r="E322" t="s">
        <v>1218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1214</v>
      </c>
      <c r="B323" t="s">
        <v>964</v>
      </c>
      <c r="C323" t="s">
        <v>1197</v>
      </c>
      <c r="D323" t="s">
        <v>1213</v>
      </c>
      <c r="E323" t="s">
        <v>1211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1212</v>
      </c>
      <c r="B324" t="s">
        <v>964</v>
      </c>
      <c r="C324" t="s">
        <v>1197</v>
      </c>
      <c r="D324" t="s">
        <v>1210</v>
      </c>
      <c r="E324" t="s">
        <v>1211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3089</v>
      </c>
      <c r="B325" t="s">
        <v>964</v>
      </c>
      <c r="C325" t="s">
        <v>1197</v>
      </c>
      <c r="D325" t="s">
        <v>1210</v>
      </c>
      <c r="E325" t="s">
        <v>3090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3091</v>
      </c>
      <c r="B326" t="s">
        <v>964</v>
      </c>
      <c r="C326" t="s">
        <v>1197</v>
      </c>
      <c r="D326" t="s">
        <v>1210</v>
      </c>
      <c r="E326" t="s">
        <v>3092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3093</v>
      </c>
      <c r="B327" t="s">
        <v>964</v>
      </c>
      <c r="C327" t="s">
        <v>1197</v>
      </c>
      <c r="D327" t="s">
        <v>1210</v>
      </c>
      <c r="E327" t="s">
        <v>3094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3095</v>
      </c>
      <c r="B328" t="s">
        <v>964</v>
      </c>
      <c r="C328" t="s">
        <v>1197</v>
      </c>
      <c r="D328" t="s">
        <v>1210</v>
      </c>
      <c r="E328" t="s">
        <v>3096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3097</v>
      </c>
      <c r="B329" t="s">
        <v>964</v>
      </c>
      <c r="C329" t="s">
        <v>1197</v>
      </c>
      <c r="D329" t="s">
        <v>1210</v>
      </c>
      <c r="E329" t="s">
        <v>3098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3099</v>
      </c>
      <c r="B330" t="s">
        <v>964</v>
      </c>
      <c r="C330" t="s">
        <v>1197</v>
      </c>
      <c r="D330" t="s">
        <v>1210</v>
      </c>
      <c r="E330" t="s">
        <v>3100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1206</v>
      </c>
      <c r="B331" t="s">
        <v>964</v>
      </c>
      <c r="C331" t="s">
        <v>1197</v>
      </c>
      <c r="D331" t="s">
        <v>1204</v>
      </c>
      <c r="E331" t="s">
        <v>1205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1209</v>
      </c>
      <c r="B332" t="s">
        <v>964</v>
      </c>
      <c r="C332" t="s">
        <v>1197</v>
      </c>
      <c r="D332" t="s">
        <v>1204</v>
      </c>
      <c r="E332" t="s">
        <v>1207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1208</v>
      </c>
      <c r="B333" t="s">
        <v>964</v>
      </c>
      <c r="C333" t="s">
        <v>1197</v>
      </c>
      <c r="D333" t="s">
        <v>1204</v>
      </c>
      <c r="E333" t="s">
        <v>1207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1201</v>
      </c>
      <c r="B334" t="s">
        <v>964</v>
      </c>
      <c r="C334" t="s">
        <v>1197</v>
      </c>
      <c r="D334" t="s">
        <v>1200</v>
      </c>
      <c r="E334" t="s">
        <v>1198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1203</v>
      </c>
      <c r="B335" t="s">
        <v>964</v>
      </c>
      <c r="C335" t="s">
        <v>1197</v>
      </c>
      <c r="D335" t="s">
        <v>1200</v>
      </c>
      <c r="E335" t="s">
        <v>1198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1202</v>
      </c>
      <c r="B336" t="s">
        <v>964</v>
      </c>
      <c r="C336" t="s">
        <v>1197</v>
      </c>
      <c r="D336" t="s">
        <v>1200</v>
      </c>
      <c r="E336" t="s">
        <v>1198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1199</v>
      </c>
      <c r="B337" t="s">
        <v>964</v>
      </c>
      <c r="C337" t="s">
        <v>1197</v>
      </c>
      <c r="D337" t="s">
        <v>1196</v>
      </c>
      <c r="E337" t="s">
        <v>1198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1195</v>
      </c>
      <c r="B338" t="s">
        <v>964</v>
      </c>
      <c r="C338" t="s">
        <v>1163</v>
      </c>
      <c r="D338" t="s">
        <v>1064</v>
      </c>
      <c r="E338" t="s">
        <v>1194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1193</v>
      </c>
      <c r="B339" t="s">
        <v>964</v>
      </c>
      <c r="C339" t="s">
        <v>1163</v>
      </c>
      <c r="D339" t="s">
        <v>1061</v>
      </c>
      <c r="E339" t="s">
        <v>1192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1191</v>
      </c>
      <c r="B340" t="s">
        <v>964</v>
      </c>
      <c r="C340" t="s">
        <v>1163</v>
      </c>
      <c r="D340" t="s">
        <v>1058</v>
      </c>
      <c r="E340" t="s">
        <v>1190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1189</v>
      </c>
      <c r="B341" t="s">
        <v>964</v>
      </c>
      <c r="C341" t="s">
        <v>1163</v>
      </c>
      <c r="D341" t="s">
        <v>1055</v>
      </c>
      <c r="E341" t="s">
        <v>1188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1187</v>
      </c>
      <c r="B342" t="s">
        <v>964</v>
      </c>
      <c r="C342" t="s">
        <v>1163</v>
      </c>
      <c r="D342" t="s">
        <v>1052</v>
      </c>
      <c r="E342" t="s">
        <v>1186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1185</v>
      </c>
      <c r="B343" t="s">
        <v>964</v>
      </c>
      <c r="C343" t="s">
        <v>1163</v>
      </c>
      <c r="D343" t="s">
        <v>1049</v>
      </c>
      <c r="E343" t="s">
        <v>1184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1183</v>
      </c>
      <c r="B344" t="s">
        <v>964</v>
      </c>
      <c r="C344" t="s">
        <v>1163</v>
      </c>
      <c r="D344" t="s">
        <v>733</v>
      </c>
      <c r="E344" t="s">
        <v>1182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x14ac:dyDescent="0.25">
      <c r="A345" t="s">
        <v>1181</v>
      </c>
      <c r="B345" t="s">
        <v>964</v>
      </c>
      <c r="C345" t="s">
        <v>1163</v>
      </c>
      <c r="D345" t="s">
        <v>1044</v>
      </c>
      <c r="E345" t="s">
        <v>1180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1179</v>
      </c>
      <c r="B346" t="s">
        <v>964</v>
      </c>
      <c r="C346" t="s">
        <v>1163</v>
      </c>
      <c r="D346" t="s">
        <v>1041</v>
      </c>
      <c r="E346" t="s">
        <v>1178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1177</v>
      </c>
      <c r="B347" t="s">
        <v>964</v>
      </c>
      <c r="C347" t="s">
        <v>1163</v>
      </c>
      <c r="D347" t="s">
        <v>0</v>
      </c>
      <c r="E347" t="s">
        <v>1176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1175</v>
      </c>
      <c r="B348" t="s">
        <v>964</v>
      </c>
      <c r="C348" t="s">
        <v>1163</v>
      </c>
      <c r="D348" t="s">
        <v>1025</v>
      </c>
      <c r="E348" t="s">
        <v>1174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1173</v>
      </c>
      <c r="B349" t="s">
        <v>964</v>
      </c>
      <c r="C349" t="s">
        <v>1163</v>
      </c>
      <c r="D349" t="s">
        <v>1025</v>
      </c>
      <c r="E349" t="s">
        <v>1172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1171</v>
      </c>
      <c r="B350" t="s">
        <v>964</v>
      </c>
      <c r="C350" t="s">
        <v>1163</v>
      </c>
      <c r="D350" t="s">
        <v>1025</v>
      </c>
      <c r="E350" t="s">
        <v>1170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1169</v>
      </c>
      <c r="B351" t="s">
        <v>964</v>
      </c>
      <c r="C351" t="s">
        <v>1163</v>
      </c>
      <c r="D351" t="s">
        <v>1025</v>
      </c>
      <c r="E351" t="s">
        <v>1168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1167</v>
      </c>
      <c r="B352" t="s">
        <v>964</v>
      </c>
      <c r="C352" t="s">
        <v>1163</v>
      </c>
      <c r="D352" t="s">
        <v>1025</v>
      </c>
      <c r="E352" t="s">
        <v>1166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1165</v>
      </c>
      <c r="B353" t="s">
        <v>964</v>
      </c>
      <c r="C353" t="s">
        <v>1163</v>
      </c>
      <c r="D353" t="s">
        <v>1025</v>
      </c>
      <c r="E353" t="s">
        <v>1164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1162</v>
      </c>
      <c r="B354" t="s">
        <v>21</v>
      </c>
      <c r="C354" t="s">
        <v>425</v>
      </c>
      <c r="D354" t="s">
        <v>425</v>
      </c>
      <c r="E354" t="s">
        <v>1161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1160</v>
      </c>
      <c r="B355" t="s">
        <v>21</v>
      </c>
      <c r="C355" t="s">
        <v>425</v>
      </c>
      <c r="D355" t="s">
        <v>425</v>
      </c>
      <c r="E355" t="s">
        <v>1159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1158</v>
      </c>
      <c r="B356" t="s">
        <v>21</v>
      </c>
      <c r="C356" t="s">
        <v>425</v>
      </c>
      <c r="D356" t="s">
        <v>425</v>
      </c>
      <c r="E356" t="s">
        <v>1157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1156</v>
      </c>
      <c r="B357" t="s">
        <v>21</v>
      </c>
      <c r="C357" t="s">
        <v>425</v>
      </c>
      <c r="D357" t="s">
        <v>425</v>
      </c>
      <c r="E357" t="s">
        <v>1155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1154</v>
      </c>
      <c r="B358" t="s">
        <v>21</v>
      </c>
      <c r="C358" t="s">
        <v>425</v>
      </c>
      <c r="D358" t="s">
        <v>425</v>
      </c>
      <c r="E358" t="s">
        <v>1153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1152</v>
      </c>
      <c r="B359" t="s">
        <v>21</v>
      </c>
      <c r="C359" t="s">
        <v>425</v>
      </c>
      <c r="D359" t="s">
        <v>425</v>
      </c>
      <c r="E359" t="s">
        <v>1151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1150</v>
      </c>
      <c r="B360" t="s">
        <v>21</v>
      </c>
      <c r="C360" t="s">
        <v>425</v>
      </c>
      <c r="D360" t="s">
        <v>425</v>
      </c>
      <c r="E360" t="s">
        <v>1149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1148</v>
      </c>
      <c r="B361" t="s">
        <v>21</v>
      </c>
      <c r="C361" t="s">
        <v>425</v>
      </c>
      <c r="D361" t="s">
        <v>425</v>
      </c>
      <c r="E361" t="s">
        <v>1147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1146</v>
      </c>
      <c r="B362" t="s">
        <v>21</v>
      </c>
      <c r="C362" t="s">
        <v>425</v>
      </c>
      <c r="D362" t="s">
        <v>425</v>
      </c>
      <c r="E362" t="s">
        <v>1145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1144</v>
      </c>
      <c r="B363" t="s">
        <v>21</v>
      </c>
      <c r="C363" t="s">
        <v>425</v>
      </c>
      <c r="D363" t="s">
        <v>425</v>
      </c>
      <c r="E363" t="s">
        <v>1143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1142</v>
      </c>
      <c r="B364" t="s">
        <v>21</v>
      </c>
      <c r="C364" t="s">
        <v>425</v>
      </c>
      <c r="D364" t="s">
        <v>425</v>
      </c>
      <c r="E364" t="s">
        <v>1141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1140</v>
      </c>
      <c r="B365" t="s">
        <v>21</v>
      </c>
      <c r="C365" t="s">
        <v>425</v>
      </c>
      <c r="D365" t="s">
        <v>425</v>
      </c>
      <c r="E365" t="s">
        <v>1139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1138</v>
      </c>
      <c r="B366" t="s">
        <v>21</v>
      </c>
      <c r="C366" t="s">
        <v>425</v>
      </c>
      <c r="D366" t="s">
        <v>425</v>
      </c>
      <c r="E366" t="s">
        <v>1137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1136</v>
      </c>
      <c r="B367" t="s">
        <v>964</v>
      </c>
      <c r="C367" t="s">
        <v>1111</v>
      </c>
      <c r="D367" t="s">
        <v>1064</v>
      </c>
      <c r="E367" t="s">
        <v>1135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1134</v>
      </c>
      <c r="B368" t="s">
        <v>964</v>
      </c>
      <c r="C368" t="s">
        <v>1111</v>
      </c>
      <c r="D368" t="s">
        <v>1061</v>
      </c>
      <c r="E368" t="s">
        <v>1133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1132</v>
      </c>
      <c r="B369" t="s">
        <v>964</v>
      </c>
      <c r="C369" t="s">
        <v>1111</v>
      </c>
      <c r="D369" t="s">
        <v>1058</v>
      </c>
      <c r="E369" t="s">
        <v>1131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1130</v>
      </c>
      <c r="B370" t="s">
        <v>964</v>
      </c>
      <c r="C370" t="s">
        <v>1111</v>
      </c>
      <c r="D370" t="s">
        <v>1055</v>
      </c>
      <c r="E370" t="s">
        <v>1129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1128</v>
      </c>
      <c r="B371" t="s">
        <v>964</v>
      </c>
      <c r="C371" t="s">
        <v>1111</v>
      </c>
      <c r="D371" t="s">
        <v>1052</v>
      </c>
      <c r="E371" t="s">
        <v>1127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1126</v>
      </c>
      <c r="B372" t="s">
        <v>964</v>
      </c>
      <c r="C372" t="s">
        <v>1111</v>
      </c>
      <c r="D372" t="s">
        <v>1049</v>
      </c>
      <c r="E372" t="s">
        <v>1125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1124</v>
      </c>
      <c r="B373" t="s">
        <v>964</v>
      </c>
      <c r="C373" t="s">
        <v>1111</v>
      </c>
      <c r="D373" t="s">
        <v>733</v>
      </c>
      <c r="E373" t="s">
        <v>1123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x14ac:dyDescent="0.25">
      <c r="A374" t="s">
        <v>1122</v>
      </c>
      <c r="B374" t="s">
        <v>964</v>
      </c>
      <c r="C374" t="s">
        <v>1111</v>
      </c>
      <c r="D374" t="s">
        <v>1044</v>
      </c>
      <c r="E374" t="s">
        <v>1121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x14ac:dyDescent="0.25">
      <c r="A375" t="s">
        <v>1120</v>
      </c>
      <c r="B375" t="s">
        <v>964</v>
      </c>
      <c r="C375" t="s">
        <v>1111</v>
      </c>
      <c r="D375" t="s">
        <v>1041</v>
      </c>
      <c r="E375" t="s">
        <v>1119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x14ac:dyDescent="0.25">
      <c r="A376" t="s">
        <v>1118</v>
      </c>
      <c r="B376" t="s">
        <v>964</v>
      </c>
      <c r="C376" t="s">
        <v>1111</v>
      </c>
      <c r="D376" t="s">
        <v>1025</v>
      </c>
      <c r="E376" t="s">
        <v>1112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x14ac:dyDescent="0.25">
      <c r="A377" t="s">
        <v>1117</v>
      </c>
      <c r="B377" t="s">
        <v>964</v>
      </c>
      <c r="C377" t="s">
        <v>1111</v>
      </c>
      <c r="D377" t="s">
        <v>1025</v>
      </c>
      <c r="E377" t="s">
        <v>1112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x14ac:dyDescent="0.25">
      <c r="A378" t="s">
        <v>1116</v>
      </c>
      <c r="B378" t="s">
        <v>964</v>
      </c>
      <c r="C378" t="s">
        <v>1111</v>
      </c>
      <c r="D378" t="s">
        <v>1025</v>
      </c>
      <c r="E378" t="s">
        <v>1112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x14ac:dyDescent="0.25">
      <c r="A379" t="s">
        <v>1115</v>
      </c>
      <c r="B379" t="s">
        <v>964</v>
      </c>
      <c r="C379" t="s">
        <v>1111</v>
      </c>
      <c r="D379" t="s">
        <v>1025</v>
      </c>
      <c r="E379" t="s">
        <v>1112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x14ac:dyDescent="0.25">
      <c r="A380" t="s">
        <v>1114</v>
      </c>
      <c r="B380" t="s">
        <v>964</v>
      </c>
      <c r="C380" t="s">
        <v>1111</v>
      </c>
      <c r="D380" t="s">
        <v>1025</v>
      </c>
      <c r="E380" t="s">
        <v>1112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x14ac:dyDescent="0.25">
      <c r="A381" t="s">
        <v>1113</v>
      </c>
      <c r="B381" t="s">
        <v>964</v>
      </c>
      <c r="C381" t="s">
        <v>1111</v>
      </c>
      <c r="D381" t="s">
        <v>1025</v>
      </c>
      <c r="E381" t="s">
        <v>1112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x14ac:dyDescent="0.25">
      <c r="A382" t="s">
        <v>1110</v>
      </c>
      <c r="B382" t="s">
        <v>964</v>
      </c>
      <c r="C382" t="s">
        <v>1068</v>
      </c>
      <c r="D382" t="s">
        <v>1105</v>
      </c>
      <c r="E382" t="s">
        <v>1106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x14ac:dyDescent="0.25">
      <c r="A383" t="s">
        <v>1109</v>
      </c>
      <c r="B383" t="s">
        <v>964</v>
      </c>
      <c r="C383" t="s">
        <v>1068</v>
      </c>
      <c r="D383" t="s">
        <v>1105</v>
      </c>
      <c r="E383" t="s">
        <v>1108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1107</v>
      </c>
      <c r="B384" t="s">
        <v>964</v>
      </c>
      <c r="C384" t="s">
        <v>1068</v>
      </c>
      <c r="D384" t="s">
        <v>1105</v>
      </c>
      <c r="E384" t="s">
        <v>1106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1104</v>
      </c>
      <c r="B385" t="s">
        <v>964</v>
      </c>
      <c r="C385" t="s">
        <v>1068</v>
      </c>
      <c r="D385" t="s">
        <v>1082</v>
      </c>
      <c r="E385" t="s">
        <v>1103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1102</v>
      </c>
      <c r="B386" t="s">
        <v>964</v>
      </c>
      <c r="C386" t="s">
        <v>1068</v>
      </c>
      <c r="D386" t="s">
        <v>1082</v>
      </c>
      <c r="E386" t="s">
        <v>1100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1101</v>
      </c>
      <c r="B387" t="s">
        <v>964</v>
      </c>
      <c r="C387" t="s">
        <v>1068</v>
      </c>
      <c r="D387" t="s">
        <v>1082</v>
      </c>
      <c r="E387" t="s">
        <v>1100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1097</v>
      </c>
      <c r="B388" t="s">
        <v>964</v>
      </c>
      <c r="C388" t="s">
        <v>1068</v>
      </c>
      <c r="D388" t="s">
        <v>1082</v>
      </c>
      <c r="E388" t="s">
        <v>1096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1099</v>
      </c>
      <c r="B389" t="s">
        <v>964</v>
      </c>
      <c r="C389" t="s">
        <v>1068</v>
      </c>
      <c r="D389" t="s">
        <v>1082</v>
      </c>
      <c r="E389" t="s">
        <v>1096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1098</v>
      </c>
      <c r="B390" t="s">
        <v>964</v>
      </c>
      <c r="C390" t="s">
        <v>1068</v>
      </c>
      <c r="D390" t="s">
        <v>1082</v>
      </c>
      <c r="E390" t="s">
        <v>1096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1093</v>
      </c>
      <c r="B391" t="s">
        <v>964</v>
      </c>
      <c r="C391" t="s">
        <v>1068</v>
      </c>
      <c r="D391" t="s">
        <v>1082</v>
      </c>
      <c r="E391" t="s">
        <v>1089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1095</v>
      </c>
      <c r="B392" t="s">
        <v>964</v>
      </c>
      <c r="C392" t="s">
        <v>1068</v>
      </c>
      <c r="D392" t="s">
        <v>1082</v>
      </c>
      <c r="E392" t="s">
        <v>1089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1094</v>
      </c>
      <c r="B393" t="s">
        <v>964</v>
      </c>
      <c r="C393" t="s">
        <v>1068</v>
      </c>
      <c r="D393" t="s">
        <v>1082</v>
      </c>
      <c r="E393" t="s">
        <v>1089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1092</v>
      </c>
      <c r="B394" t="s">
        <v>964</v>
      </c>
      <c r="C394" t="s">
        <v>1068</v>
      </c>
      <c r="D394" t="s">
        <v>1082</v>
      </c>
      <c r="E394" t="s">
        <v>1089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1088</v>
      </c>
      <c r="B395" t="s">
        <v>964</v>
      </c>
      <c r="C395" t="s">
        <v>1068</v>
      </c>
      <c r="D395" t="s">
        <v>1082</v>
      </c>
      <c r="E395" t="s">
        <v>1086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1091</v>
      </c>
      <c r="B396" t="s">
        <v>964</v>
      </c>
      <c r="C396" t="s">
        <v>1068</v>
      </c>
      <c r="D396" t="s">
        <v>1082</v>
      </c>
      <c r="E396" t="s">
        <v>1089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1090</v>
      </c>
      <c r="B397" t="s">
        <v>964</v>
      </c>
      <c r="C397" t="s">
        <v>1068</v>
      </c>
      <c r="D397" t="s">
        <v>1082</v>
      </c>
      <c r="E397" t="s">
        <v>1089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1087</v>
      </c>
      <c r="B398" t="s">
        <v>964</v>
      </c>
      <c r="C398" t="s">
        <v>1068</v>
      </c>
      <c r="D398" t="s">
        <v>1082</v>
      </c>
      <c r="E398" t="s">
        <v>1086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1085</v>
      </c>
      <c r="B399" t="s">
        <v>964</v>
      </c>
      <c r="C399" t="s">
        <v>1068</v>
      </c>
      <c r="D399" t="s">
        <v>1082</v>
      </c>
      <c r="E399" t="s">
        <v>1083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1084</v>
      </c>
      <c r="B400" t="s">
        <v>964</v>
      </c>
      <c r="C400" t="s">
        <v>1068</v>
      </c>
      <c r="D400" t="s">
        <v>1082</v>
      </c>
      <c r="E400" t="s">
        <v>1083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1081</v>
      </c>
      <c r="B401" t="s">
        <v>964</v>
      </c>
      <c r="C401" t="s">
        <v>1068</v>
      </c>
      <c r="D401" t="s">
        <v>1075</v>
      </c>
      <c r="E401" t="s">
        <v>1080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1079</v>
      </c>
      <c r="B402" t="s">
        <v>964</v>
      </c>
      <c r="C402" t="s">
        <v>1068</v>
      </c>
      <c r="D402" t="s">
        <v>1075</v>
      </c>
      <c r="E402" t="s">
        <v>1078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1077</v>
      </c>
      <c r="B403" t="s">
        <v>964</v>
      </c>
      <c r="C403" t="s">
        <v>1068</v>
      </c>
      <c r="D403" t="s">
        <v>1075</v>
      </c>
      <c r="E403" t="s">
        <v>1076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1074</v>
      </c>
      <c r="B404" t="s">
        <v>964</v>
      </c>
      <c r="C404" t="s">
        <v>1068</v>
      </c>
      <c r="D404" t="s">
        <v>1067</v>
      </c>
      <c r="E404" t="s">
        <v>1073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1072</v>
      </c>
      <c r="B405" t="s">
        <v>964</v>
      </c>
      <c r="C405" t="s">
        <v>1068</v>
      </c>
      <c r="D405" t="s">
        <v>1067</v>
      </c>
      <c r="E405" t="s">
        <v>1071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1070</v>
      </c>
      <c r="B406" t="s">
        <v>964</v>
      </c>
      <c r="C406" t="s">
        <v>1068</v>
      </c>
      <c r="D406" t="s">
        <v>1067</v>
      </c>
      <c r="E406" t="s">
        <v>1069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1066</v>
      </c>
      <c r="B407" t="s">
        <v>964</v>
      </c>
      <c r="C407" t="s">
        <v>1026</v>
      </c>
      <c r="D407" t="s">
        <v>1064</v>
      </c>
      <c r="E407" t="s">
        <v>1065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1063</v>
      </c>
      <c r="B408" t="s">
        <v>964</v>
      </c>
      <c r="C408" t="s">
        <v>1026</v>
      </c>
      <c r="D408" t="s">
        <v>1061</v>
      </c>
      <c r="E408" t="s">
        <v>1062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1060</v>
      </c>
      <c r="B409" t="s">
        <v>964</v>
      </c>
      <c r="C409" t="s">
        <v>1026</v>
      </c>
      <c r="D409" t="s">
        <v>1058</v>
      </c>
      <c r="E409" t="s">
        <v>1059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1057</v>
      </c>
      <c r="B410" t="s">
        <v>964</v>
      </c>
      <c r="C410" t="s">
        <v>1026</v>
      </c>
      <c r="D410" t="s">
        <v>1055</v>
      </c>
      <c r="E410" t="s">
        <v>1056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1054</v>
      </c>
      <c r="B411" t="s">
        <v>964</v>
      </c>
      <c r="C411" t="s">
        <v>1026</v>
      </c>
      <c r="D411" t="s">
        <v>1052</v>
      </c>
      <c r="E411" t="s">
        <v>1053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1051</v>
      </c>
      <c r="B412" t="s">
        <v>964</v>
      </c>
      <c r="C412" t="s">
        <v>1026</v>
      </c>
      <c r="D412" t="s">
        <v>1049</v>
      </c>
      <c r="E412" t="s">
        <v>1050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1048</v>
      </c>
      <c r="B413" t="s">
        <v>964</v>
      </c>
      <c r="C413" t="s">
        <v>1026</v>
      </c>
      <c r="D413" t="s">
        <v>733</v>
      </c>
      <c r="E413" t="s">
        <v>1047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1046</v>
      </c>
      <c r="B414" t="s">
        <v>964</v>
      </c>
      <c r="C414" t="s">
        <v>1026</v>
      </c>
      <c r="D414" t="s">
        <v>1044</v>
      </c>
      <c r="E414" t="s">
        <v>1045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1043</v>
      </c>
      <c r="B415" t="s">
        <v>964</v>
      </c>
      <c r="C415" t="s">
        <v>1026</v>
      </c>
      <c r="D415" t="s">
        <v>1041</v>
      </c>
      <c r="E415" t="s">
        <v>1042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1040</v>
      </c>
      <c r="B416" t="s">
        <v>964</v>
      </c>
      <c r="C416" t="s">
        <v>1026</v>
      </c>
      <c r="D416" t="s">
        <v>0</v>
      </c>
      <c r="E416" t="s">
        <v>1039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1038</v>
      </c>
      <c r="B417" t="s">
        <v>964</v>
      </c>
      <c r="C417" t="s">
        <v>1026</v>
      </c>
      <c r="D417" t="s">
        <v>1025</v>
      </c>
      <c r="E417" t="s">
        <v>1037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1036</v>
      </c>
      <c r="B418" t="s">
        <v>964</v>
      </c>
      <c r="C418" t="s">
        <v>1026</v>
      </c>
      <c r="D418" t="s">
        <v>1025</v>
      </c>
      <c r="E418" t="s">
        <v>1035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1034</v>
      </c>
      <c r="B419" t="s">
        <v>964</v>
      </c>
      <c r="C419" t="s">
        <v>1026</v>
      </c>
      <c r="D419" t="s">
        <v>1025</v>
      </c>
      <c r="E419" t="s">
        <v>1033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1032</v>
      </c>
      <c r="B420" t="s">
        <v>964</v>
      </c>
      <c r="C420" t="s">
        <v>1026</v>
      </c>
      <c r="D420" t="s">
        <v>1025</v>
      </c>
      <c r="E420" t="s">
        <v>1031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1030</v>
      </c>
      <c r="B421" t="s">
        <v>964</v>
      </c>
      <c r="C421" t="s">
        <v>1026</v>
      </c>
      <c r="D421" t="s">
        <v>1025</v>
      </c>
      <c r="E421" t="s">
        <v>1029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1028</v>
      </c>
      <c r="B422" t="s">
        <v>964</v>
      </c>
      <c r="C422" t="s">
        <v>1026</v>
      </c>
      <c r="D422" t="s">
        <v>1025</v>
      </c>
      <c r="E422" t="s">
        <v>1027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1022</v>
      </c>
      <c r="B423" t="s">
        <v>964</v>
      </c>
      <c r="C423" t="s">
        <v>963</v>
      </c>
      <c r="D423" t="s">
        <v>1018</v>
      </c>
      <c r="E423" t="s">
        <v>1021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1024</v>
      </c>
      <c r="B424" t="s">
        <v>964</v>
      </c>
      <c r="C424" t="s">
        <v>963</v>
      </c>
      <c r="D424" t="s">
        <v>1018</v>
      </c>
      <c r="E424" t="s">
        <v>1021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1023</v>
      </c>
      <c r="B425" t="s">
        <v>964</v>
      </c>
      <c r="C425" t="s">
        <v>963</v>
      </c>
      <c r="D425" t="s">
        <v>1018</v>
      </c>
      <c r="E425" t="s">
        <v>1021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1020</v>
      </c>
      <c r="B426" t="s">
        <v>964</v>
      </c>
      <c r="C426" t="s">
        <v>963</v>
      </c>
      <c r="D426" t="s">
        <v>1018</v>
      </c>
      <c r="E426" t="s">
        <v>1019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1017</v>
      </c>
      <c r="B427" t="s">
        <v>964</v>
      </c>
      <c r="C427" t="s">
        <v>963</v>
      </c>
      <c r="D427" t="s">
        <v>1011</v>
      </c>
      <c r="E427" t="s">
        <v>1016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1015</v>
      </c>
      <c r="B428" t="s">
        <v>964</v>
      </c>
      <c r="C428" t="s">
        <v>963</v>
      </c>
      <c r="D428" t="s">
        <v>1011</v>
      </c>
      <c r="E428" t="s">
        <v>1014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1013</v>
      </c>
      <c r="B429" t="s">
        <v>964</v>
      </c>
      <c r="C429" t="s">
        <v>963</v>
      </c>
      <c r="D429" t="s">
        <v>1011</v>
      </c>
      <c r="E429" t="s">
        <v>1012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1008</v>
      </c>
      <c r="B430" t="s">
        <v>964</v>
      </c>
      <c r="C430" t="s">
        <v>963</v>
      </c>
      <c r="D430" t="s">
        <v>1004</v>
      </c>
      <c r="E430" t="s">
        <v>1007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1010</v>
      </c>
      <c r="B431" t="s">
        <v>964</v>
      </c>
      <c r="C431" t="s">
        <v>963</v>
      </c>
      <c r="D431" t="s">
        <v>1004</v>
      </c>
      <c r="E431" t="s">
        <v>1007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1009</v>
      </c>
      <c r="B432" t="s">
        <v>964</v>
      </c>
      <c r="C432" t="s">
        <v>963</v>
      </c>
      <c r="D432" t="s">
        <v>1004</v>
      </c>
      <c r="E432" t="s">
        <v>1007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1006</v>
      </c>
      <c r="B433" t="s">
        <v>964</v>
      </c>
      <c r="C433" t="s">
        <v>963</v>
      </c>
      <c r="D433" t="s">
        <v>1004</v>
      </c>
      <c r="E433" t="s">
        <v>1005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1003</v>
      </c>
      <c r="B434" t="s">
        <v>964</v>
      </c>
      <c r="C434" t="s">
        <v>963</v>
      </c>
      <c r="D434" t="s">
        <v>0</v>
      </c>
      <c r="E434" t="s">
        <v>1002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999</v>
      </c>
      <c r="B435" t="s">
        <v>964</v>
      </c>
      <c r="C435" t="s">
        <v>963</v>
      </c>
      <c r="D435" t="s">
        <v>995</v>
      </c>
      <c r="E435" t="s">
        <v>998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1001</v>
      </c>
      <c r="B436" t="s">
        <v>964</v>
      </c>
      <c r="C436" t="s">
        <v>963</v>
      </c>
      <c r="D436" t="s">
        <v>995</v>
      </c>
      <c r="E436" t="s">
        <v>998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1000</v>
      </c>
      <c r="B437" t="s">
        <v>964</v>
      </c>
      <c r="C437" t="s">
        <v>963</v>
      </c>
      <c r="D437" t="s">
        <v>995</v>
      </c>
      <c r="E437" t="s">
        <v>998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997</v>
      </c>
      <c r="B438" t="s">
        <v>964</v>
      </c>
      <c r="C438" t="s">
        <v>963</v>
      </c>
      <c r="D438" t="s">
        <v>995</v>
      </c>
      <c r="E438" t="s">
        <v>996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991</v>
      </c>
      <c r="B439" t="s">
        <v>964</v>
      </c>
      <c r="C439" t="s">
        <v>963</v>
      </c>
      <c r="D439" t="s">
        <v>987</v>
      </c>
      <c r="E439" t="s">
        <v>990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994</v>
      </c>
      <c r="B440" t="s">
        <v>964</v>
      </c>
      <c r="C440" t="s">
        <v>963</v>
      </c>
      <c r="D440" t="s">
        <v>987</v>
      </c>
      <c r="E440" t="s">
        <v>992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993</v>
      </c>
      <c r="B441" t="s">
        <v>964</v>
      </c>
      <c r="C441" t="s">
        <v>963</v>
      </c>
      <c r="D441" t="s">
        <v>987</v>
      </c>
      <c r="E441" t="s">
        <v>992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989</v>
      </c>
      <c r="B442" t="s">
        <v>964</v>
      </c>
      <c r="C442" t="s">
        <v>963</v>
      </c>
      <c r="D442" t="s">
        <v>987</v>
      </c>
      <c r="E442" t="s">
        <v>988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984</v>
      </c>
      <c r="B443" t="s">
        <v>964</v>
      </c>
      <c r="C443" t="s">
        <v>963</v>
      </c>
      <c r="D443" t="s">
        <v>0</v>
      </c>
      <c r="E443" t="s">
        <v>982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x14ac:dyDescent="0.25">
      <c r="A444" t="s">
        <v>986</v>
      </c>
      <c r="B444" t="s">
        <v>964</v>
      </c>
      <c r="C444" t="s">
        <v>963</v>
      </c>
      <c r="D444" t="s">
        <v>0</v>
      </c>
      <c r="E444" t="s">
        <v>982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x14ac:dyDescent="0.25">
      <c r="A445" t="s">
        <v>985</v>
      </c>
      <c r="B445" t="s">
        <v>964</v>
      </c>
      <c r="C445" t="s">
        <v>963</v>
      </c>
      <c r="D445" t="s">
        <v>0</v>
      </c>
      <c r="E445" t="s">
        <v>982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x14ac:dyDescent="0.25">
      <c r="A446" t="s">
        <v>983</v>
      </c>
      <c r="B446" t="s">
        <v>964</v>
      </c>
      <c r="C446" t="s">
        <v>963</v>
      </c>
      <c r="D446" t="s">
        <v>0</v>
      </c>
      <c r="E446" t="s">
        <v>982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x14ac:dyDescent="0.25">
      <c r="A447" t="s">
        <v>981</v>
      </c>
      <c r="B447" t="s">
        <v>964</v>
      </c>
      <c r="C447" t="s">
        <v>963</v>
      </c>
      <c r="D447" t="s">
        <v>962</v>
      </c>
      <c r="E447" t="s">
        <v>979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x14ac:dyDescent="0.25">
      <c r="A448" t="s">
        <v>980</v>
      </c>
      <c r="B448" t="s">
        <v>964</v>
      </c>
      <c r="C448" t="s">
        <v>963</v>
      </c>
      <c r="D448" t="s">
        <v>962</v>
      </c>
      <c r="E448" t="s">
        <v>979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x14ac:dyDescent="0.25">
      <c r="A449" t="s">
        <v>978</v>
      </c>
      <c r="B449" t="s">
        <v>964</v>
      </c>
      <c r="C449" t="s">
        <v>963</v>
      </c>
      <c r="D449" t="s">
        <v>962</v>
      </c>
      <c r="E449" t="s">
        <v>976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x14ac:dyDescent="0.25">
      <c r="A450" t="s">
        <v>977</v>
      </c>
      <c r="B450" t="s">
        <v>964</v>
      </c>
      <c r="C450" t="s">
        <v>963</v>
      </c>
      <c r="D450" t="s">
        <v>962</v>
      </c>
      <c r="E450" t="s">
        <v>976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x14ac:dyDescent="0.25">
      <c r="A451" t="s">
        <v>975</v>
      </c>
      <c r="B451" t="s">
        <v>964</v>
      </c>
      <c r="C451" t="s">
        <v>963</v>
      </c>
      <c r="D451" t="s">
        <v>962</v>
      </c>
      <c r="E451" t="s">
        <v>973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x14ac:dyDescent="0.25">
      <c r="A452" t="s">
        <v>974</v>
      </c>
      <c r="B452" t="s">
        <v>964</v>
      </c>
      <c r="C452" t="s">
        <v>963</v>
      </c>
      <c r="D452" t="s">
        <v>962</v>
      </c>
      <c r="E452" t="s">
        <v>973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x14ac:dyDescent="0.25">
      <c r="A453" t="s">
        <v>972</v>
      </c>
      <c r="B453" t="s">
        <v>964</v>
      </c>
      <c r="C453" t="s">
        <v>963</v>
      </c>
      <c r="D453" t="s">
        <v>962</v>
      </c>
      <c r="E453" t="s">
        <v>971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x14ac:dyDescent="0.25">
      <c r="A454" t="s">
        <v>970</v>
      </c>
      <c r="B454" t="s">
        <v>964</v>
      </c>
      <c r="C454" t="s">
        <v>963</v>
      </c>
      <c r="D454" t="s">
        <v>962</v>
      </c>
      <c r="E454" t="s">
        <v>969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x14ac:dyDescent="0.25">
      <c r="A455" t="s">
        <v>968</v>
      </c>
      <c r="B455" t="s">
        <v>964</v>
      </c>
      <c r="C455" t="s">
        <v>963</v>
      </c>
      <c r="D455" t="s">
        <v>962</v>
      </c>
      <c r="E455" t="s">
        <v>967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x14ac:dyDescent="0.25">
      <c r="A456" t="s">
        <v>966</v>
      </c>
      <c r="B456" t="s">
        <v>964</v>
      </c>
      <c r="C456" t="s">
        <v>963</v>
      </c>
      <c r="D456" t="s">
        <v>962</v>
      </c>
      <c r="E456" t="s">
        <v>965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x14ac:dyDescent="0.25">
      <c r="A457" t="s">
        <v>8</v>
      </c>
      <c r="D457" t="s">
        <v>0</v>
      </c>
      <c r="E457" t="s">
        <v>7</v>
      </c>
      <c r="F457" t="e">
        <f>INDEX(IPCCMaps!H:H,MATCH(mapPRC!C457,IPCCMaps!G:G,0))</f>
        <v>#N/A</v>
      </c>
      <c r="G457" t="e">
        <f>INDEX(IPCCMaps!I:I,MATCH(mapPRC!C457,IPCCMaps!G:G,0))</f>
        <v>#N/A</v>
      </c>
      <c r="H457" t="e">
        <f>INDEX(IPCCMaps!J:J,MATCH(mapPRC!C457,IPCCMaps!G:G,0))</f>
        <v>#N/A</v>
      </c>
      <c r="I457" t="e">
        <f>INDEX(IPCCMaps!K:K,MATCH(mapPRC!C457,IPCCMaps!G:G,0))</f>
        <v>#N/A</v>
      </c>
    </row>
    <row r="458" spans="1:9" x14ac:dyDescent="0.25">
      <c r="A458" t="s">
        <v>6</v>
      </c>
      <c r="D458" t="s">
        <v>0</v>
      </c>
      <c r="E458" t="s">
        <v>5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x14ac:dyDescent="0.25">
      <c r="A459" t="s">
        <v>4</v>
      </c>
      <c r="D459" t="s">
        <v>0</v>
      </c>
      <c r="E459" t="s">
        <v>3</v>
      </c>
      <c r="F459" t="e">
        <f>INDEX(IPCCMaps!H:H,MATCH(mapPRC!C459,IPCCMaps!G:G,0))</f>
        <v>#N/A</v>
      </c>
      <c r="G459" t="e">
        <f>INDEX(IPCCMaps!I:I,MATCH(mapPRC!C459,IPCCMaps!G:G,0))</f>
        <v>#N/A</v>
      </c>
      <c r="H459" t="e">
        <f>INDEX(IPCCMaps!J:J,MATCH(mapPRC!C459,IPCCMaps!G:G,0))</f>
        <v>#N/A</v>
      </c>
      <c r="I459" t="e">
        <f>INDEX(IPCCMaps!K:K,MATCH(mapPRC!C459,IPCCMaps!G:G,0))</f>
        <v>#N/A</v>
      </c>
    </row>
    <row r="460" spans="1:9" x14ac:dyDescent="0.25">
      <c r="A460" t="s">
        <v>2</v>
      </c>
      <c r="D460" t="s">
        <v>0</v>
      </c>
      <c r="E460" t="s">
        <v>1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x14ac:dyDescent="0.25">
      <c r="A461" t="s">
        <v>961</v>
      </c>
      <c r="D461" t="s">
        <v>0</v>
      </c>
      <c r="E461" t="s">
        <v>960</v>
      </c>
      <c r="F461" t="e">
        <f>INDEX(IPCCMaps!H:H,MATCH(mapPRC!C461,IPCCMaps!G:G,0))</f>
        <v>#N/A</v>
      </c>
      <c r="G461" t="e">
        <f>INDEX(IPCCMaps!I:I,MATCH(mapPRC!C461,IPCCMaps!G:G,0))</f>
        <v>#N/A</v>
      </c>
      <c r="H461" t="e">
        <f>INDEX(IPCCMaps!J:J,MATCH(mapPRC!C461,IPCCMaps!G:G,0))</f>
        <v>#N/A</v>
      </c>
      <c r="I461" t="e">
        <f>INDEX(IPCCMaps!K:K,MATCH(mapPRC!C461,IPCCMaps!G:G,0))</f>
        <v>#N/A</v>
      </c>
    </row>
    <row r="462" spans="1:9" x14ac:dyDescent="0.25">
      <c r="A462" t="s">
        <v>959</v>
      </c>
      <c r="B462" t="s">
        <v>21</v>
      </c>
      <c r="C462" t="s">
        <v>2872</v>
      </c>
      <c r="D462" t="s">
        <v>0</v>
      </c>
      <c r="E462" t="s">
        <v>958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x14ac:dyDescent="0.25">
      <c r="A463" t="s">
        <v>957</v>
      </c>
      <c r="B463" t="s">
        <v>21</v>
      </c>
      <c r="C463" t="s">
        <v>2872</v>
      </c>
      <c r="D463" t="s">
        <v>0</v>
      </c>
      <c r="E463" t="s">
        <v>956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x14ac:dyDescent="0.25">
      <c r="A464" t="s">
        <v>955</v>
      </c>
      <c r="B464" t="s">
        <v>21</v>
      </c>
      <c r="C464" t="s">
        <v>2872</v>
      </c>
      <c r="D464" t="s">
        <v>0</v>
      </c>
      <c r="E464" t="s">
        <v>954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x14ac:dyDescent="0.25">
      <c r="A465" t="s">
        <v>953</v>
      </c>
      <c r="B465" t="s">
        <v>21</v>
      </c>
      <c r="C465" t="s">
        <v>2872</v>
      </c>
      <c r="D465" t="s">
        <v>0</v>
      </c>
      <c r="E465" t="s">
        <v>952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x14ac:dyDescent="0.25">
      <c r="A466" t="s">
        <v>951</v>
      </c>
      <c r="B466" t="s">
        <v>21</v>
      </c>
      <c r="C466" t="s">
        <v>2872</v>
      </c>
      <c r="D466" t="s">
        <v>0</v>
      </c>
      <c r="E466" t="s">
        <v>950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x14ac:dyDescent="0.25">
      <c r="A467" t="s">
        <v>949</v>
      </c>
      <c r="B467" t="s">
        <v>21</v>
      </c>
      <c r="C467" t="s">
        <v>2872</v>
      </c>
      <c r="D467" t="s">
        <v>0</v>
      </c>
      <c r="E467" t="s">
        <v>948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x14ac:dyDescent="0.25">
      <c r="A468" t="s">
        <v>947</v>
      </c>
      <c r="B468" t="s">
        <v>21</v>
      </c>
      <c r="C468" t="s">
        <v>2872</v>
      </c>
      <c r="D468" t="s">
        <v>0</v>
      </c>
      <c r="E468" t="s">
        <v>946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x14ac:dyDescent="0.25">
      <c r="A469" t="s">
        <v>945</v>
      </c>
      <c r="B469" t="s">
        <v>21</v>
      </c>
      <c r="C469" t="s">
        <v>2872</v>
      </c>
      <c r="D469" t="s">
        <v>0</v>
      </c>
      <c r="E469" t="s">
        <v>944</v>
      </c>
      <c r="F469" t="e">
        <f>INDEX(IPCCMaps!H:H,MATCH(mapPRC!C469,IPCCMaps!G:G,0))</f>
        <v>#N/A</v>
      </c>
      <c r="G469" t="e">
        <f>INDEX(IPCCMaps!I:I,MATCH(mapPRC!C469,IPCCMaps!G:G,0))</f>
        <v>#N/A</v>
      </c>
      <c r="H469" t="e">
        <f>INDEX(IPCCMaps!J:J,MATCH(mapPRC!C469,IPCCMaps!G:G,0))</f>
        <v>#N/A</v>
      </c>
      <c r="I469" t="e">
        <f>INDEX(IPCCMaps!K:K,MATCH(mapPRC!C469,IPCCMaps!G:G,0))</f>
        <v>#N/A</v>
      </c>
    </row>
    <row r="470" spans="1:9" x14ac:dyDescent="0.25">
      <c r="A470" t="s">
        <v>943</v>
      </c>
      <c r="B470" t="s">
        <v>21</v>
      </c>
      <c r="C470" t="s">
        <v>2872</v>
      </c>
      <c r="D470" t="s">
        <v>0</v>
      </c>
      <c r="E470" t="s">
        <v>942</v>
      </c>
      <c r="F470" t="e">
        <f>INDEX(IPCCMaps!H:H,MATCH(mapPRC!C470,IPCCMaps!G:G,0))</f>
        <v>#N/A</v>
      </c>
      <c r="G470" t="e">
        <f>INDEX(IPCCMaps!I:I,MATCH(mapPRC!C470,IPCCMaps!G:G,0))</f>
        <v>#N/A</v>
      </c>
      <c r="H470" t="e">
        <f>INDEX(IPCCMaps!J:J,MATCH(mapPRC!C470,IPCCMaps!G:G,0))</f>
        <v>#N/A</v>
      </c>
      <c r="I470" t="e">
        <f>INDEX(IPCCMaps!K:K,MATCH(mapPRC!C470,IPCCMaps!G:G,0))</f>
        <v>#N/A</v>
      </c>
    </row>
    <row r="471" spans="1:9" x14ac:dyDescent="0.25">
      <c r="A471" t="s">
        <v>941</v>
      </c>
      <c r="B471" t="s">
        <v>21</v>
      </c>
      <c r="C471" t="s">
        <v>42</v>
      </c>
      <c r="D471" t="s">
        <v>920</v>
      </c>
      <c r="E471" t="s">
        <v>940</v>
      </c>
      <c r="F471" t="e">
        <f>INDEX(IPCCMaps!H:H,MATCH(mapPRC!C471,IPCCMaps!G:G,0))</f>
        <v>#N/A</v>
      </c>
      <c r="G471" t="e">
        <f>INDEX(IPCCMaps!I:I,MATCH(mapPRC!C471,IPCCMaps!G:G,0))</f>
        <v>#N/A</v>
      </c>
      <c r="H471" t="e">
        <f>INDEX(IPCCMaps!J:J,MATCH(mapPRC!C471,IPCCMaps!G:G,0))</f>
        <v>#N/A</v>
      </c>
      <c r="I471" t="e">
        <f>INDEX(IPCCMaps!K:K,MATCH(mapPRC!C471,IPCCMaps!G:G,0))</f>
        <v>#N/A</v>
      </c>
    </row>
    <row r="472" spans="1:9" x14ac:dyDescent="0.25">
      <c r="A472" t="s">
        <v>938</v>
      </c>
      <c r="B472" t="s">
        <v>21</v>
      </c>
      <c r="C472" t="s">
        <v>2873</v>
      </c>
      <c r="D472" t="s">
        <v>920</v>
      </c>
      <c r="E472" t="s">
        <v>937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936</v>
      </c>
      <c r="B473" t="s">
        <v>21</v>
      </c>
      <c r="C473" t="s">
        <v>2873</v>
      </c>
      <c r="D473" t="s">
        <v>920</v>
      </c>
      <c r="E473" t="s">
        <v>935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934</v>
      </c>
      <c r="B474" t="s">
        <v>21</v>
      </c>
      <c r="C474" t="s">
        <v>2873</v>
      </c>
      <c r="D474" t="s">
        <v>920</v>
      </c>
      <c r="E474" t="s">
        <v>932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933</v>
      </c>
      <c r="B475" t="s">
        <v>21</v>
      </c>
      <c r="C475" t="s">
        <v>2873</v>
      </c>
      <c r="D475" t="s">
        <v>920</v>
      </c>
      <c r="E475" t="s">
        <v>932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939</v>
      </c>
      <c r="B476" t="s">
        <v>21</v>
      </c>
      <c r="C476" t="s">
        <v>2873</v>
      </c>
      <c r="D476" t="s">
        <v>925</v>
      </c>
      <c r="E476" t="s">
        <v>932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930</v>
      </c>
      <c r="B477" t="s">
        <v>21</v>
      </c>
      <c r="C477" t="s">
        <v>2873</v>
      </c>
      <c r="D477" t="s">
        <v>920</v>
      </c>
      <c r="E477" t="s">
        <v>928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931</v>
      </c>
      <c r="B478" t="s">
        <v>21</v>
      </c>
      <c r="C478" t="s">
        <v>2873</v>
      </c>
      <c r="D478" t="s">
        <v>925</v>
      </c>
      <c r="E478" t="s">
        <v>928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929</v>
      </c>
      <c r="B479" t="s">
        <v>21</v>
      </c>
      <c r="C479" t="s">
        <v>2873</v>
      </c>
      <c r="D479" t="s">
        <v>925</v>
      </c>
      <c r="E479" t="s">
        <v>928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924</v>
      </c>
      <c r="B480" t="s">
        <v>21</v>
      </c>
      <c r="C480" t="s">
        <v>2873</v>
      </c>
      <c r="D480" t="s">
        <v>920</v>
      </c>
      <c r="E480" t="s">
        <v>923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927</v>
      </c>
      <c r="B481" t="s">
        <v>21</v>
      </c>
      <c r="C481" t="s">
        <v>2873</v>
      </c>
      <c r="D481" t="s">
        <v>925</v>
      </c>
      <c r="E481" t="s">
        <v>926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922</v>
      </c>
      <c r="B482" t="s">
        <v>21</v>
      </c>
      <c r="C482" t="s">
        <v>2873</v>
      </c>
      <c r="D482" t="s">
        <v>920</v>
      </c>
      <c r="E482" t="s">
        <v>921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2876</v>
      </c>
      <c r="B483" t="s">
        <v>21</v>
      </c>
      <c r="C483" t="s">
        <v>2873</v>
      </c>
      <c r="D483" t="s">
        <v>920</v>
      </c>
      <c r="E483" t="s">
        <v>2877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2878</v>
      </c>
      <c r="B484" t="s">
        <v>21</v>
      </c>
      <c r="C484" t="s">
        <v>2873</v>
      </c>
      <c r="D484" t="s">
        <v>920</v>
      </c>
      <c r="E484" t="s">
        <v>2879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2880</v>
      </c>
      <c r="B485" t="s">
        <v>21</v>
      </c>
      <c r="C485" t="s">
        <v>2873</v>
      </c>
      <c r="D485" t="s">
        <v>920</v>
      </c>
      <c r="E485" t="s">
        <v>2881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2882</v>
      </c>
      <c r="B486" t="s">
        <v>21</v>
      </c>
      <c r="C486" t="s">
        <v>2873</v>
      </c>
      <c r="D486" t="s">
        <v>920</v>
      </c>
      <c r="E486" t="s">
        <v>2883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2884</v>
      </c>
      <c r="B487" t="s">
        <v>21</v>
      </c>
      <c r="C487" t="s">
        <v>2873</v>
      </c>
      <c r="D487" t="s">
        <v>920</v>
      </c>
      <c r="E487" t="s">
        <v>2885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2886</v>
      </c>
      <c r="B488" t="s">
        <v>21</v>
      </c>
      <c r="C488" t="s">
        <v>2873</v>
      </c>
      <c r="D488" t="s">
        <v>920</v>
      </c>
      <c r="E488" t="s">
        <v>2887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2888</v>
      </c>
      <c r="B489" t="s">
        <v>21</v>
      </c>
      <c r="C489" t="s">
        <v>2873</v>
      </c>
      <c r="D489" t="s">
        <v>920</v>
      </c>
      <c r="E489" t="s">
        <v>2889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2890</v>
      </c>
      <c r="B490" t="s">
        <v>21</v>
      </c>
      <c r="C490" t="s">
        <v>2873</v>
      </c>
      <c r="D490" t="s">
        <v>920</v>
      </c>
      <c r="E490" t="s">
        <v>2891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2892</v>
      </c>
      <c r="B491" t="s">
        <v>21</v>
      </c>
      <c r="C491" t="s">
        <v>2873</v>
      </c>
      <c r="D491" t="s">
        <v>920</v>
      </c>
      <c r="E491" t="s">
        <v>2893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2894</v>
      </c>
      <c r="B492" t="s">
        <v>21</v>
      </c>
      <c r="C492" t="s">
        <v>2873</v>
      </c>
      <c r="D492" t="s">
        <v>920</v>
      </c>
      <c r="E492" t="s">
        <v>2895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2896</v>
      </c>
      <c r="B493" t="s">
        <v>21</v>
      </c>
      <c r="C493" t="s">
        <v>2873</v>
      </c>
      <c r="D493" t="s">
        <v>920</v>
      </c>
      <c r="E493" t="s">
        <v>2897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2898</v>
      </c>
      <c r="B494" t="s">
        <v>21</v>
      </c>
      <c r="C494" t="s">
        <v>2873</v>
      </c>
      <c r="D494" t="s">
        <v>920</v>
      </c>
      <c r="E494" t="s">
        <v>2899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2900</v>
      </c>
      <c r="B495" t="s">
        <v>21</v>
      </c>
      <c r="C495" t="s">
        <v>2873</v>
      </c>
      <c r="D495" t="s">
        <v>920</v>
      </c>
      <c r="E495" t="s">
        <v>2901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2902</v>
      </c>
      <c r="B496" t="s">
        <v>21</v>
      </c>
      <c r="C496" t="s">
        <v>2873</v>
      </c>
      <c r="D496" t="s">
        <v>920</v>
      </c>
      <c r="E496" t="s">
        <v>2903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2904</v>
      </c>
      <c r="B497" t="s">
        <v>21</v>
      </c>
      <c r="C497" t="s">
        <v>2873</v>
      </c>
      <c r="D497" t="s">
        <v>920</v>
      </c>
      <c r="E497" t="s">
        <v>2905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2906</v>
      </c>
      <c r="B498" t="s">
        <v>21</v>
      </c>
      <c r="C498" t="s">
        <v>2873</v>
      </c>
      <c r="D498" t="s">
        <v>925</v>
      </c>
      <c r="E498" t="s">
        <v>2907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2908</v>
      </c>
      <c r="B499" t="s">
        <v>21</v>
      </c>
      <c r="C499" t="s">
        <v>2873</v>
      </c>
      <c r="D499" t="s">
        <v>920</v>
      </c>
      <c r="E499" t="s">
        <v>2909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2910</v>
      </c>
      <c r="B500" t="s">
        <v>21</v>
      </c>
      <c r="C500" t="s">
        <v>2873</v>
      </c>
      <c r="D500" t="s">
        <v>920</v>
      </c>
      <c r="E500" t="s">
        <v>2911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2912</v>
      </c>
      <c r="B501" t="s">
        <v>21</v>
      </c>
      <c r="C501" t="s">
        <v>2873</v>
      </c>
      <c r="D501" t="s">
        <v>925</v>
      </c>
      <c r="E501" t="s">
        <v>2913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2914</v>
      </c>
      <c r="B502" t="s">
        <v>21</v>
      </c>
      <c r="C502" t="s">
        <v>2873</v>
      </c>
      <c r="D502" t="s">
        <v>920</v>
      </c>
      <c r="E502" t="s">
        <v>2915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2916</v>
      </c>
      <c r="B503" t="s">
        <v>21</v>
      </c>
      <c r="C503" t="s">
        <v>2873</v>
      </c>
      <c r="D503" t="s">
        <v>920</v>
      </c>
      <c r="E503" t="s">
        <v>2917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2918</v>
      </c>
      <c r="B504" t="s">
        <v>21</v>
      </c>
      <c r="C504" t="s">
        <v>2873</v>
      </c>
      <c r="D504" t="s">
        <v>925</v>
      </c>
      <c r="E504" t="s">
        <v>2919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x14ac:dyDescent="0.25">
      <c r="A505" t="s">
        <v>3101</v>
      </c>
      <c r="D505" t="s">
        <v>0</v>
      </c>
      <c r="E505" t="s">
        <v>3102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919</v>
      </c>
      <c r="B506" t="s">
        <v>21</v>
      </c>
      <c r="C506" t="s">
        <v>2874</v>
      </c>
      <c r="D506" t="s">
        <v>913</v>
      </c>
      <c r="E506" t="s">
        <v>918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1B2 Oil and Natural Gas</v>
      </c>
      <c r="I506" t="str">
        <f>INDEX(IPCCMaps!K:K,MATCH(mapPRC!C506,IPCCMaps!G:G,0))</f>
        <v>1B2a Oil</v>
      </c>
    </row>
    <row r="507" spans="1:9" x14ac:dyDescent="0.25">
      <c r="A507" t="s">
        <v>917</v>
      </c>
      <c r="B507" t="s">
        <v>21</v>
      </c>
      <c r="C507" t="s">
        <v>2874</v>
      </c>
      <c r="D507" t="s">
        <v>913</v>
      </c>
      <c r="E507" t="s">
        <v>916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1B2 Oil and Natural Gas</v>
      </c>
      <c r="I507" t="str">
        <f>INDEX(IPCCMaps!K:K,MATCH(mapPRC!C507,IPCCMaps!G:G,0))</f>
        <v>1B2a Oil</v>
      </c>
    </row>
    <row r="508" spans="1:9" x14ac:dyDescent="0.25">
      <c r="A508" t="s">
        <v>915</v>
      </c>
      <c r="B508" t="s">
        <v>21</v>
      </c>
      <c r="C508" t="s">
        <v>2874</v>
      </c>
      <c r="D508" t="s">
        <v>913</v>
      </c>
      <c r="E508" t="s">
        <v>914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x14ac:dyDescent="0.25">
      <c r="A509" t="s">
        <v>912</v>
      </c>
      <c r="B509" t="s">
        <v>21</v>
      </c>
      <c r="C509" t="s">
        <v>2874</v>
      </c>
      <c r="D509" t="s">
        <v>910</v>
      </c>
      <c r="E509" t="s">
        <v>911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x14ac:dyDescent="0.25">
      <c r="A510" t="s">
        <v>909</v>
      </c>
      <c r="B510" t="s">
        <v>21</v>
      </c>
      <c r="C510" t="s">
        <v>2875</v>
      </c>
      <c r="D510" t="s">
        <v>0</v>
      </c>
      <c r="E510" t="s">
        <v>908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907</v>
      </c>
      <c r="B511" t="s">
        <v>21</v>
      </c>
      <c r="C511" t="s">
        <v>2872</v>
      </c>
      <c r="D511" t="s">
        <v>0</v>
      </c>
      <c r="E511" t="s">
        <v>906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905</v>
      </c>
      <c r="B512" t="s">
        <v>21</v>
      </c>
      <c r="C512" t="s">
        <v>2920</v>
      </c>
      <c r="D512" t="s">
        <v>0</v>
      </c>
      <c r="E512" t="s">
        <v>904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x14ac:dyDescent="0.25">
      <c r="A513" t="s">
        <v>903</v>
      </c>
      <c r="B513" t="s">
        <v>21</v>
      </c>
      <c r="C513" t="s">
        <v>2875</v>
      </c>
      <c r="D513" t="s">
        <v>0</v>
      </c>
      <c r="E513" t="s">
        <v>902</v>
      </c>
      <c r="F513" t="e">
        <f>INDEX(IPCCMaps!H:H,MATCH(mapPRC!C513,IPCCMaps!G:G,0))</f>
        <v>#N/A</v>
      </c>
      <c r="G513" t="e">
        <f>INDEX(IPCCMaps!I:I,MATCH(mapPRC!C513,IPCCMaps!G:G,0))</f>
        <v>#N/A</v>
      </c>
      <c r="H513" t="e">
        <f>INDEX(IPCCMaps!J:J,MATCH(mapPRC!C513,IPCCMaps!G:G,0))</f>
        <v>#N/A</v>
      </c>
      <c r="I513" t="e">
        <f>INDEX(IPCCMaps!K:K,MATCH(mapPRC!C513,IPCCMaps!G:G,0))</f>
        <v>#N/A</v>
      </c>
    </row>
    <row r="514" spans="1:9" x14ac:dyDescent="0.25">
      <c r="A514" t="s">
        <v>901</v>
      </c>
      <c r="B514" t="s">
        <v>21</v>
      </c>
      <c r="C514" t="s">
        <v>2875</v>
      </c>
      <c r="D514" t="s">
        <v>0</v>
      </c>
      <c r="E514" t="s">
        <v>900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899</v>
      </c>
      <c r="D515" t="s">
        <v>0</v>
      </c>
      <c r="E515" t="s">
        <v>898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897</v>
      </c>
      <c r="B516" t="s">
        <v>21</v>
      </c>
      <c r="C516" t="s">
        <v>2875</v>
      </c>
      <c r="D516" t="s">
        <v>0</v>
      </c>
      <c r="E516" t="s">
        <v>896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46</v>
      </c>
      <c r="B517" t="s">
        <v>21</v>
      </c>
      <c r="C517" t="s">
        <v>44</v>
      </c>
      <c r="D517" t="s">
        <v>43</v>
      </c>
      <c r="E517" t="s">
        <v>45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x14ac:dyDescent="0.25">
      <c r="A518" t="s">
        <v>895</v>
      </c>
      <c r="D518" t="s">
        <v>0</v>
      </c>
      <c r="E518" t="s">
        <v>894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893</v>
      </c>
      <c r="D519" t="s">
        <v>0</v>
      </c>
      <c r="E519" t="s">
        <v>892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891</v>
      </c>
      <c r="D520" t="s">
        <v>0</v>
      </c>
      <c r="E520" t="s">
        <v>890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889</v>
      </c>
      <c r="D521" t="s">
        <v>0</v>
      </c>
      <c r="E521" t="s">
        <v>888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18</v>
      </c>
      <c r="D522" t="s">
        <v>0</v>
      </c>
      <c r="E522" t="s">
        <v>17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887</v>
      </c>
      <c r="D523" t="s">
        <v>0</v>
      </c>
      <c r="E523" t="s">
        <v>886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885</v>
      </c>
      <c r="B524" t="s">
        <v>145</v>
      </c>
      <c r="C524" t="s">
        <v>863</v>
      </c>
      <c r="D524" t="s">
        <v>863</v>
      </c>
      <c r="E524" t="s">
        <v>884</v>
      </c>
      <c r="F524" t="str">
        <f>INDEX(IPCCMaps!H:H,MATCH(mapPRC!C524,IPCCMaps!G:G,0))</f>
        <v>1 Energy</v>
      </c>
      <c r="G524">
        <f>INDEX(IPCCMaps!I:I,MATCH(mapPRC!C524,IPCCMaps!G:G,0))</f>
        <v>0</v>
      </c>
      <c r="H524">
        <f>INDEX(IPCCMaps!J:J,MATCH(mapPRC!C524,IPCCMaps!G:G,0))</f>
        <v>0</v>
      </c>
      <c r="I524">
        <f>INDEX(IPCCMaps!K:K,MATCH(mapPRC!C524,IPCCMaps!G:G,0))</f>
        <v>0</v>
      </c>
    </row>
    <row r="525" spans="1:9" x14ac:dyDescent="0.25">
      <c r="A525" t="s">
        <v>883</v>
      </c>
      <c r="B525" t="s">
        <v>21</v>
      </c>
      <c r="C525" t="s">
        <v>863</v>
      </c>
      <c r="D525" t="s">
        <v>863</v>
      </c>
      <c r="E525" t="s">
        <v>882</v>
      </c>
      <c r="F525" t="str">
        <f>INDEX(IPCCMaps!H:H,MATCH(mapPRC!C525,IPCCMaps!G:G,0))</f>
        <v>1 Energy</v>
      </c>
      <c r="G525">
        <f>INDEX(IPCCMaps!I:I,MATCH(mapPRC!C525,IPCCMaps!G:G,0))</f>
        <v>0</v>
      </c>
      <c r="H525">
        <f>INDEX(IPCCMaps!J:J,MATCH(mapPRC!C525,IPCCMaps!G:G,0))</f>
        <v>0</v>
      </c>
      <c r="I525">
        <f>INDEX(IPCCMaps!K:K,MATCH(mapPRC!C525,IPCCMaps!G:G,0))</f>
        <v>0</v>
      </c>
    </row>
    <row r="526" spans="1:9" x14ac:dyDescent="0.25">
      <c r="A526" t="s">
        <v>881</v>
      </c>
      <c r="B526" t="s">
        <v>21</v>
      </c>
      <c r="C526" t="s">
        <v>863</v>
      </c>
      <c r="D526" t="s">
        <v>863</v>
      </c>
      <c r="E526" t="s">
        <v>880</v>
      </c>
      <c r="F526" t="str">
        <f>INDEX(IPCCMaps!H:H,MATCH(mapPRC!C526,IPCCMaps!G:G,0))</f>
        <v>1 Energy</v>
      </c>
      <c r="G526">
        <f>INDEX(IPCCMaps!I:I,MATCH(mapPRC!C526,IPCCMaps!G:G,0))</f>
        <v>0</v>
      </c>
      <c r="H526">
        <f>INDEX(IPCCMaps!J:J,MATCH(mapPRC!C526,IPCCMaps!G:G,0))</f>
        <v>0</v>
      </c>
      <c r="I526">
        <f>INDEX(IPCCMaps!K:K,MATCH(mapPRC!C526,IPCCMaps!G:G,0))</f>
        <v>0</v>
      </c>
    </row>
    <row r="527" spans="1:9" x14ac:dyDescent="0.25">
      <c r="A527" t="s">
        <v>879</v>
      </c>
      <c r="B527" t="s">
        <v>21</v>
      </c>
      <c r="C527" t="s">
        <v>863</v>
      </c>
      <c r="D527" t="s">
        <v>863</v>
      </c>
      <c r="E527" t="s">
        <v>878</v>
      </c>
      <c r="F527" t="str">
        <f>INDEX(IPCCMaps!H:H,MATCH(mapPRC!C527,IPCCMaps!G:G,0))</f>
        <v>1 Energy</v>
      </c>
      <c r="G527">
        <f>INDEX(IPCCMaps!I:I,MATCH(mapPRC!C527,IPCCMaps!G:G,0))</f>
        <v>0</v>
      </c>
      <c r="H527">
        <f>INDEX(IPCCMaps!J:J,MATCH(mapPRC!C527,IPCCMaps!G:G,0))</f>
        <v>0</v>
      </c>
      <c r="I527">
        <f>INDEX(IPCCMaps!K:K,MATCH(mapPRC!C527,IPCCMaps!G:G,0))</f>
        <v>0</v>
      </c>
    </row>
    <row r="528" spans="1:9" x14ac:dyDescent="0.25">
      <c r="A528" t="s">
        <v>3103</v>
      </c>
      <c r="E528" t="s">
        <v>3104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3105</v>
      </c>
      <c r="B529" t="s">
        <v>21</v>
      </c>
      <c r="C529" t="s">
        <v>863</v>
      </c>
      <c r="D529" t="s">
        <v>863</v>
      </c>
      <c r="E529" t="s">
        <v>3106</v>
      </c>
      <c r="F529" t="str">
        <f>INDEX(IPCCMaps!H:H,MATCH(mapPRC!C529,IPCCMaps!G:G,0))</f>
        <v>1 Energy</v>
      </c>
      <c r="G529">
        <f>INDEX(IPCCMaps!I:I,MATCH(mapPRC!C529,IPCCMaps!G:G,0))</f>
        <v>0</v>
      </c>
      <c r="H529">
        <f>INDEX(IPCCMaps!J:J,MATCH(mapPRC!C529,IPCCMaps!G:G,0))</f>
        <v>0</v>
      </c>
      <c r="I529">
        <f>INDEX(IPCCMaps!K:K,MATCH(mapPRC!C529,IPCCMaps!G:G,0))</f>
        <v>0</v>
      </c>
    </row>
    <row r="530" spans="1:9" x14ac:dyDescent="0.25">
      <c r="A530" t="s">
        <v>877</v>
      </c>
      <c r="B530" t="s">
        <v>21</v>
      </c>
      <c r="C530" t="s">
        <v>863</v>
      </c>
      <c r="D530" t="s">
        <v>863</v>
      </c>
      <c r="E530" t="s">
        <v>876</v>
      </c>
      <c r="F530" t="str">
        <f>INDEX(IPCCMaps!H:H,MATCH(mapPRC!C530,IPCCMaps!G:G,0))</f>
        <v>1 Energy</v>
      </c>
      <c r="G530">
        <f>INDEX(IPCCMaps!I:I,MATCH(mapPRC!C530,IPCCMaps!G:G,0))</f>
        <v>0</v>
      </c>
      <c r="H530">
        <f>INDEX(IPCCMaps!J:J,MATCH(mapPRC!C530,IPCCMaps!G:G,0))</f>
        <v>0</v>
      </c>
      <c r="I530">
        <f>INDEX(IPCCMaps!K:K,MATCH(mapPRC!C530,IPCCMaps!G:G,0))</f>
        <v>0</v>
      </c>
    </row>
    <row r="531" spans="1:9" x14ac:dyDescent="0.25">
      <c r="A531" t="s">
        <v>875</v>
      </c>
      <c r="B531" t="s">
        <v>21</v>
      </c>
      <c r="C531" t="s">
        <v>863</v>
      </c>
      <c r="D531" t="s">
        <v>863</v>
      </c>
      <c r="E531" t="s">
        <v>874</v>
      </c>
      <c r="F531" t="str">
        <f>INDEX(IPCCMaps!H:H,MATCH(mapPRC!C531,IPCCMaps!G:G,0))</f>
        <v>1 Energy</v>
      </c>
      <c r="G531">
        <f>INDEX(IPCCMaps!I:I,MATCH(mapPRC!C531,IPCCMaps!G:G,0))</f>
        <v>0</v>
      </c>
      <c r="H531">
        <f>INDEX(IPCCMaps!J:J,MATCH(mapPRC!C531,IPCCMaps!G:G,0))</f>
        <v>0</v>
      </c>
      <c r="I531">
        <f>INDEX(IPCCMaps!K:K,MATCH(mapPRC!C531,IPCCMaps!G:G,0))</f>
        <v>0</v>
      </c>
    </row>
    <row r="532" spans="1:9" x14ac:dyDescent="0.25">
      <c r="A532" t="s">
        <v>873</v>
      </c>
      <c r="B532" t="s">
        <v>21</v>
      </c>
      <c r="C532" t="s">
        <v>863</v>
      </c>
      <c r="D532" t="s">
        <v>863</v>
      </c>
      <c r="E532" t="s">
        <v>872</v>
      </c>
      <c r="F532" t="str">
        <f>INDEX(IPCCMaps!H:H,MATCH(mapPRC!C532,IPCCMaps!G:G,0))</f>
        <v>1 Energy</v>
      </c>
      <c r="G532">
        <f>INDEX(IPCCMaps!I:I,MATCH(mapPRC!C532,IPCCMaps!G:G,0))</f>
        <v>0</v>
      </c>
      <c r="H532">
        <f>INDEX(IPCCMaps!J:J,MATCH(mapPRC!C532,IPCCMaps!G:G,0))</f>
        <v>0</v>
      </c>
      <c r="I532">
        <f>INDEX(IPCCMaps!K:K,MATCH(mapPRC!C532,IPCCMaps!G:G,0))</f>
        <v>0</v>
      </c>
    </row>
    <row r="533" spans="1:9" x14ac:dyDescent="0.25">
      <c r="A533" t="s">
        <v>871</v>
      </c>
      <c r="B533" t="s">
        <v>21</v>
      </c>
      <c r="C533" t="s">
        <v>863</v>
      </c>
      <c r="D533" t="s">
        <v>863</v>
      </c>
      <c r="E533" t="s">
        <v>870</v>
      </c>
      <c r="F533" t="str">
        <f>INDEX(IPCCMaps!H:H,MATCH(mapPRC!C533,IPCCMaps!G:G,0))</f>
        <v>1 Energy</v>
      </c>
      <c r="G533">
        <f>INDEX(IPCCMaps!I:I,MATCH(mapPRC!C533,IPCCMaps!G:G,0))</f>
        <v>0</v>
      </c>
      <c r="H533">
        <f>INDEX(IPCCMaps!J:J,MATCH(mapPRC!C533,IPCCMaps!G:G,0))</f>
        <v>0</v>
      </c>
      <c r="I533">
        <f>INDEX(IPCCMaps!K:K,MATCH(mapPRC!C533,IPCCMaps!G:G,0))</f>
        <v>0</v>
      </c>
    </row>
    <row r="534" spans="1:9" x14ac:dyDescent="0.25">
      <c r="A534" t="s">
        <v>869</v>
      </c>
      <c r="B534" t="s">
        <v>21</v>
      </c>
      <c r="C534" t="s">
        <v>863</v>
      </c>
      <c r="D534" t="s">
        <v>863</v>
      </c>
      <c r="E534" t="s">
        <v>868</v>
      </c>
      <c r="F534" t="str">
        <f>INDEX(IPCCMaps!H:H,MATCH(mapPRC!C534,IPCCMaps!G:G,0))</f>
        <v>1 Energy</v>
      </c>
      <c r="G534">
        <f>INDEX(IPCCMaps!I:I,MATCH(mapPRC!C534,IPCCMaps!G:G,0))</f>
        <v>0</v>
      </c>
      <c r="H534">
        <f>INDEX(IPCCMaps!J:J,MATCH(mapPRC!C534,IPCCMaps!G:G,0))</f>
        <v>0</v>
      </c>
      <c r="I534">
        <f>INDEX(IPCCMaps!K:K,MATCH(mapPRC!C534,IPCCMaps!G:G,0))</f>
        <v>0</v>
      </c>
    </row>
    <row r="535" spans="1:9" x14ac:dyDescent="0.25">
      <c r="A535" t="s">
        <v>867</v>
      </c>
      <c r="B535" t="s">
        <v>21</v>
      </c>
      <c r="C535" t="s">
        <v>863</v>
      </c>
      <c r="D535" t="s">
        <v>863</v>
      </c>
      <c r="E535" t="s">
        <v>866</v>
      </c>
      <c r="F535" t="str">
        <f>INDEX(IPCCMaps!H:H,MATCH(mapPRC!C535,IPCCMaps!G:G,0))</f>
        <v>1 Energy</v>
      </c>
      <c r="G535">
        <f>INDEX(IPCCMaps!I:I,MATCH(mapPRC!C535,IPCCMaps!G:G,0))</f>
        <v>0</v>
      </c>
      <c r="H535">
        <f>INDEX(IPCCMaps!J:J,MATCH(mapPRC!C535,IPCCMaps!G:G,0))</f>
        <v>0</v>
      </c>
      <c r="I535">
        <f>INDEX(IPCCMaps!K:K,MATCH(mapPRC!C535,IPCCMaps!G:G,0))</f>
        <v>0</v>
      </c>
    </row>
    <row r="536" spans="1:9" x14ac:dyDescent="0.25">
      <c r="A536" t="s">
        <v>865</v>
      </c>
      <c r="B536" t="s">
        <v>21</v>
      </c>
      <c r="C536" t="s">
        <v>863</v>
      </c>
      <c r="D536" t="s">
        <v>863</v>
      </c>
      <c r="E536" t="s">
        <v>864</v>
      </c>
      <c r="F536" t="str">
        <f>INDEX(IPCCMaps!H:H,MATCH(mapPRC!C536,IPCCMaps!G:G,0))</f>
        <v>1 Energy</v>
      </c>
      <c r="G536">
        <f>INDEX(IPCCMaps!I:I,MATCH(mapPRC!C536,IPCCMaps!G:G,0))</f>
        <v>0</v>
      </c>
      <c r="H536">
        <f>INDEX(IPCCMaps!J:J,MATCH(mapPRC!C536,IPCCMaps!G:G,0))</f>
        <v>0</v>
      </c>
      <c r="I536">
        <f>INDEX(IPCCMaps!K:K,MATCH(mapPRC!C536,IPCCMaps!G:G,0))</f>
        <v>0</v>
      </c>
    </row>
    <row r="537" spans="1:9" x14ac:dyDescent="0.25">
      <c r="A537" t="s">
        <v>3107</v>
      </c>
      <c r="E537" t="s">
        <v>3108</v>
      </c>
    </row>
    <row r="538" spans="1:9" x14ac:dyDescent="0.25">
      <c r="A538" t="s">
        <v>862</v>
      </c>
      <c r="B538" t="s">
        <v>723</v>
      </c>
      <c r="C538" t="s">
        <v>834</v>
      </c>
      <c r="D538" t="s">
        <v>743</v>
      </c>
      <c r="E538" t="s">
        <v>856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x14ac:dyDescent="0.25">
      <c r="A539" t="s">
        <v>861</v>
      </c>
      <c r="B539" t="s">
        <v>723</v>
      </c>
      <c r="C539" t="s">
        <v>834</v>
      </c>
      <c r="D539" t="s">
        <v>743</v>
      </c>
      <c r="E539" t="s">
        <v>856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x14ac:dyDescent="0.25">
      <c r="A540" t="s">
        <v>860</v>
      </c>
      <c r="B540" t="s">
        <v>723</v>
      </c>
      <c r="C540" t="s">
        <v>834</v>
      </c>
      <c r="D540" t="s">
        <v>743</v>
      </c>
      <c r="E540" t="s">
        <v>856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x14ac:dyDescent="0.25">
      <c r="A541" t="s">
        <v>859</v>
      </c>
      <c r="B541" t="s">
        <v>723</v>
      </c>
      <c r="C541" t="s">
        <v>834</v>
      </c>
      <c r="D541" t="s">
        <v>743</v>
      </c>
      <c r="E541" t="s">
        <v>856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x14ac:dyDescent="0.25">
      <c r="A542" t="s">
        <v>858</v>
      </c>
      <c r="B542" t="s">
        <v>723</v>
      </c>
      <c r="C542" t="s">
        <v>834</v>
      </c>
      <c r="D542" t="s">
        <v>743</v>
      </c>
      <c r="E542" t="s">
        <v>856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x14ac:dyDescent="0.25">
      <c r="A543" t="s">
        <v>857</v>
      </c>
      <c r="B543" t="s">
        <v>723</v>
      </c>
      <c r="C543" t="s">
        <v>834</v>
      </c>
      <c r="D543" t="s">
        <v>743</v>
      </c>
      <c r="E543" t="s">
        <v>856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x14ac:dyDescent="0.25">
      <c r="A544" t="s">
        <v>855</v>
      </c>
      <c r="B544" t="s">
        <v>723</v>
      </c>
      <c r="C544" t="s">
        <v>834</v>
      </c>
      <c r="D544" t="s">
        <v>736</v>
      </c>
      <c r="E544" t="s">
        <v>850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x14ac:dyDescent="0.25">
      <c r="A545" t="s">
        <v>854</v>
      </c>
      <c r="B545" t="s">
        <v>723</v>
      </c>
      <c r="C545" t="s">
        <v>834</v>
      </c>
      <c r="D545" t="s">
        <v>736</v>
      </c>
      <c r="E545" t="s">
        <v>850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x14ac:dyDescent="0.25">
      <c r="A546" t="s">
        <v>853</v>
      </c>
      <c r="B546" t="s">
        <v>723</v>
      </c>
      <c r="C546" t="s">
        <v>834</v>
      </c>
      <c r="D546" t="s">
        <v>736</v>
      </c>
      <c r="E546" t="s">
        <v>850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x14ac:dyDescent="0.25">
      <c r="A547" t="s">
        <v>852</v>
      </c>
      <c r="B547" t="s">
        <v>723</v>
      </c>
      <c r="C547" t="s">
        <v>834</v>
      </c>
      <c r="D547" t="s">
        <v>736</v>
      </c>
      <c r="E547" t="s">
        <v>850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x14ac:dyDescent="0.25">
      <c r="A548" t="s">
        <v>851</v>
      </c>
      <c r="B548" t="s">
        <v>723</v>
      </c>
      <c r="C548" t="s">
        <v>834</v>
      </c>
      <c r="D548" t="s">
        <v>736</v>
      </c>
      <c r="E548" t="s">
        <v>850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x14ac:dyDescent="0.25">
      <c r="A549" t="s">
        <v>849</v>
      </c>
      <c r="B549" t="s">
        <v>723</v>
      </c>
      <c r="C549" t="s">
        <v>834</v>
      </c>
      <c r="D549" t="s">
        <v>733</v>
      </c>
      <c r="E549" t="s">
        <v>848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x14ac:dyDescent="0.25">
      <c r="A550" t="s">
        <v>847</v>
      </c>
      <c r="B550" t="s">
        <v>723</v>
      </c>
      <c r="C550" t="s">
        <v>834</v>
      </c>
      <c r="D550" t="s">
        <v>730</v>
      </c>
      <c r="E550" t="s">
        <v>846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x14ac:dyDescent="0.25">
      <c r="A551" t="s">
        <v>845</v>
      </c>
      <c r="B551" t="s">
        <v>723</v>
      </c>
      <c r="C551" t="s">
        <v>834</v>
      </c>
      <c r="D551" t="s">
        <v>0</v>
      </c>
      <c r="E551" t="s">
        <v>844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x14ac:dyDescent="0.25">
      <c r="A552" t="s">
        <v>843</v>
      </c>
      <c r="B552" t="s">
        <v>723</v>
      </c>
      <c r="C552" t="s">
        <v>834</v>
      </c>
      <c r="D552" t="s">
        <v>760</v>
      </c>
      <c r="E552" t="s">
        <v>842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x14ac:dyDescent="0.25">
      <c r="A553" t="s">
        <v>841</v>
      </c>
      <c r="B553" t="s">
        <v>723</v>
      </c>
      <c r="C553" t="s">
        <v>834</v>
      </c>
      <c r="D553" t="s">
        <v>721</v>
      </c>
      <c r="E553" t="s">
        <v>835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x14ac:dyDescent="0.25">
      <c r="A554" t="s">
        <v>840</v>
      </c>
      <c r="B554" t="s">
        <v>723</v>
      </c>
      <c r="C554" t="s">
        <v>834</v>
      </c>
      <c r="D554" t="s">
        <v>721</v>
      </c>
      <c r="E554" t="s">
        <v>835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x14ac:dyDescent="0.25">
      <c r="A555" t="s">
        <v>839</v>
      </c>
      <c r="B555" t="s">
        <v>723</v>
      </c>
      <c r="C555" t="s">
        <v>834</v>
      </c>
      <c r="D555" t="s">
        <v>721</v>
      </c>
      <c r="E555" t="s">
        <v>835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x14ac:dyDescent="0.25">
      <c r="A556" t="s">
        <v>838</v>
      </c>
      <c r="B556" t="s">
        <v>723</v>
      </c>
      <c r="C556" t="s">
        <v>834</v>
      </c>
      <c r="D556" t="s">
        <v>721</v>
      </c>
      <c r="E556" t="s">
        <v>835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x14ac:dyDescent="0.25">
      <c r="A557" t="s">
        <v>837</v>
      </c>
      <c r="B557" t="s">
        <v>723</v>
      </c>
      <c r="C557" t="s">
        <v>834</v>
      </c>
      <c r="D557" t="s">
        <v>721</v>
      </c>
      <c r="E557" t="s">
        <v>835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x14ac:dyDescent="0.25">
      <c r="A558" t="s">
        <v>836</v>
      </c>
      <c r="B558" t="s">
        <v>723</v>
      </c>
      <c r="C558" t="s">
        <v>834</v>
      </c>
      <c r="D558" t="s">
        <v>721</v>
      </c>
      <c r="E558" t="s">
        <v>835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x14ac:dyDescent="0.25">
      <c r="A559" t="s">
        <v>833</v>
      </c>
      <c r="B559" t="s">
        <v>723</v>
      </c>
      <c r="C559" t="s">
        <v>782</v>
      </c>
      <c r="D559" t="s">
        <v>743</v>
      </c>
      <c r="E559" t="s">
        <v>828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x14ac:dyDescent="0.25">
      <c r="A560" t="s">
        <v>832</v>
      </c>
      <c r="B560" t="s">
        <v>723</v>
      </c>
      <c r="C560" t="s">
        <v>782</v>
      </c>
      <c r="D560" t="s">
        <v>743</v>
      </c>
      <c r="E560" t="s">
        <v>828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x14ac:dyDescent="0.25">
      <c r="A561" t="s">
        <v>831</v>
      </c>
      <c r="B561" t="s">
        <v>723</v>
      </c>
      <c r="C561" t="s">
        <v>782</v>
      </c>
      <c r="D561" t="s">
        <v>743</v>
      </c>
      <c r="E561" t="s">
        <v>828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830</v>
      </c>
      <c r="B562" t="s">
        <v>723</v>
      </c>
      <c r="C562" t="s">
        <v>782</v>
      </c>
      <c r="D562" t="s">
        <v>743</v>
      </c>
      <c r="E562" t="s">
        <v>828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829</v>
      </c>
      <c r="B563" t="s">
        <v>723</v>
      </c>
      <c r="C563" t="s">
        <v>782</v>
      </c>
      <c r="D563" t="s">
        <v>743</v>
      </c>
      <c r="E563" t="s">
        <v>828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827</v>
      </c>
      <c r="B564" t="s">
        <v>723</v>
      </c>
      <c r="C564" t="s">
        <v>782</v>
      </c>
      <c r="D564" t="s">
        <v>736</v>
      </c>
      <c r="E564" t="s">
        <v>826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825</v>
      </c>
      <c r="B565" t="s">
        <v>723</v>
      </c>
      <c r="C565" t="s">
        <v>782</v>
      </c>
      <c r="D565" t="s">
        <v>736</v>
      </c>
      <c r="E565" t="s">
        <v>824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823</v>
      </c>
      <c r="B566" t="s">
        <v>723</v>
      </c>
      <c r="C566" t="s">
        <v>782</v>
      </c>
      <c r="D566" t="s">
        <v>736</v>
      </c>
      <c r="E566" t="s">
        <v>821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822</v>
      </c>
      <c r="B567" t="s">
        <v>723</v>
      </c>
      <c r="C567" t="s">
        <v>782</v>
      </c>
      <c r="D567" t="s">
        <v>736</v>
      </c>
      <c r="E567" t="s">
        <v>821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820</v>
      </c>
      <c r="B568" t="s">
        <v>723</v>
      </c>
      <c r="C568" t="s">
        <v>782</v>
      </c>
      <c r="D568" t="s">
        <v>736</v>
      </c>
      <c r="E568" t="s">
        <v>818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819</v>
      </c>
      <c r="B569" t="s">
        <v>723</v>
      </c>
      <c r="C569" t="s">
        <v>782</v>
      </c>
      <c r="D569" t="s">
        <v>736</v>
      </c>
      <c r="E569" t="s">
        <v>818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817</v>
      </c>
      <c r="B570" t="s">
        <v>723</v>
      </c>
      <c r="C570" t="s">
        <v>782</v>
      </c>
      <c r="D570" t="s">
        <v>733</v>
      </c>
      <c r="E570" t="s">
        <v>816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815</v>
      </c>
      <c r="B571" t="s">
        <v>723</v>
      </c>
      <c r="C571" t="s">
        <v>782</v>
      </c>
      <c r="D571" t="s">
        <v>730</v>
      </c>
      <c r="E571" t="s">
        <v>814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813</v>
      </c>
      <c r="B572" t="s">
        <v>723</v>
      </c>
      <c r="C572" t="s">
        <v>782</v>
      </c>
      <c r="D572" t="s">
        <v>0</v>
      </c>
      <c r="E572" t="s">
        <v>812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811</v>
      </c>
      <c r="B573" t="s">
        <v>723</v>
      </c>
      <c r="C573" t="s">
        <v>782</v>
      </c>
      <c r="D573" t="s">
        <v>760</v>
      </c>
      <c r="E573" t="s">
        <v>810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809</v>
      </c>
      <c r="B574" t="s">
        <v>723</v>
      </c>
      <c r="C574" t="s">
        <v>782</v>
      </c>
      <c r="D574" t="s">
        <v>721</v>
      </c>
      <c r="E574" t="s">
        <v>802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808</v>
      </c>
      <c r="B575" t="s">
        <v>723</v>
      </c>
      <c r="C575" t="s">
        <v>782</v>
      </c>
      <c r="D575" t="s">
        <v>721</v>
      </c>
      <c r="E575" t="s">
        <v>802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807</v>
      </c>
      <c r="B576" t="s">
        <v>723</v>
      </c>
      <c r="C576" t="s">
        <v>782</v>
      </c>
      <c r="D576" t="s">
        <v>721</v>
      </c>
      <c r="E576" t="s">
        <v>802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806</v>
      </c>
      <c r="B577" t="s">
        <v>723</v>
      </c>
      <c r="C577" t="s">
        <v>782</v>
      </c>
      <c r="D577" t="s">
        <v>721</v>
      </c>
      <c r="E577" t="s">
        <v>802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805</v>
      </c>
      <c r="B578" t="s">
        <v>723</v>
      </c>
      <c r="C578" t="s">
        <v>782</v>
      </c>
      <c r="D578" t="s">
        <v>721</v>
      </c>
      <c r="E578" t="s">
        <v>802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804</v>
      </c>
      <c r="B579" t="s">
        <v>723</v>
      </c>
      <c r="C579" t="s">
        <v>782</v>
      </c>
      <c r="D579" t="s">
        <v>721</v>
      </c>
      <c r="E579" t="s">
        <v>802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803</v>
      </c>
      <c r="B580" t="s">
        <v>723</v>
      </c>
      <c r="C580" t="s">
        <v>782</v>
      </c>
      <c r="D580" t="s">
        <v>721</v>
      </c>
      <c r="E580" t="s">
        <v>802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801</v>
      </c>
      <c r="B581" t="s">
        <v>723</v>
      </c>
      <c r="C581" t="s">
        <v>782</v>
      </c>
      <c r="D581" t="s">
        <v>743</v>
      </c>
      <c r="E581" t="s">
        <v>797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800</v>
      </c>
      <c r="B582" t="s">
        <v>723</v>
      </c>
      <c r="C582" t="s">
        <v>782</v>
      </c>
      <c r="D582" t="s">
        <v>743</v>
      </c>
      <c r="E582" t="s">
        <v>797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799</v>
      </c>
      <c r="B583" t="s">
        <v>723</v>
      </c>
      <c r="C583" t="s">
        <v>782</v>
      </c>
      <c r="D583" t="s">
        <v>743</v>
      </c>
      <c r="E583" t="s">
        <v>797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798</v>
      </c>
      <c r="B584" t="s">
        <v>723</v>
      </c>
      <c r="C584" t="s">
        <v>782</v>
      </c>
      <c r="D584" t="s">
        <v>743</v>
      </c>
      <c r="E584" t="s">
        <v>797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796</v>
      </c>
      <c r="B585" t="s">
        <v>723</v>
      </c>
      <c r="C585" t="s">
        <v>782</v>
      </c>
      <c r="D585" t="s">
        <v>736</v>
      </c>
      <c r="E585" t="s">
        <v>792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795</v>
      </c>
      <c r="B586" t="s">
        <v>723</v>
      </c>
      <c r="C586" t="s">
        <v>782</v>
      </c>
      <c r="D586" t="s">
        <v>736</v>
      </c>
      <c r="E586" t="s">
        <v>792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794</v>
      </c>
      <c r="B587" t="s">
        <v>723</v>
      </c>
      <c r="C587" t="s">
        <v>782</v>
      </c>
      <c r="D587" t="s">
        <v>736</v>
      </c>
      <c r="E587" t="s">
        <v>792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793</v>
      </c>
      <c r="B588" t="s">
        <v>723</v>
      </c>
      <c r="C588" t="s">
        <v>782</v>
      </c>
      <c r="D588" t="s">
        <v>736</v>
      </c>
      <c r="E588" t="s">
        <v>792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791</v>
      </c>
      <c r="B589" t="s">
        <v>723</v>
      </c>
      <c r="C589" t="s">
        <v>782</v>
      </c>
      <c r="D589" t="s">
        <v>733</v>
      </c>
      <c r="E589" t="s">
        <v>790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789</v>
      </c>
      <c r="B590" t="s">
        <v>723</v>
      </c>
      <c r="C590" t="s">
        <v>782</v>
      </c>
      <c r="D590" t="s">
        <v>730</v>
      </c>
      <c r="E590" t="s">
        <v>788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787</v>
      </c>
      <c r="B591" t="s">
        <v>723</v>
      </c>
      <c r="C591" t="s">
        <v>782</v>
      </c>
      <c r="D591" t="s">
        <v>721</v>
      </c>
      <c r="E591" t="s">
        <v>783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786</v>
      </c>
      <c r="B592" t="s">
        <v>723</v>
      </c>
      <c r="C592" t="s">
        <v>782</v>
      </c>
      <c r="D592" t="s">
        <v>721</v>
      </c>
      <c r="E592" t="s">
        <v>783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785</v>
      </c>
      <c r="B593" t="s">
        <v>723</v>
      </c>
      <c r="C593" t="s">
        <v>782</v>
      </c>
      <c r="D593" t="s">
        <v>721</v>
      </c>
      <c r="E593" t="s">
        <v>783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784</v>
      </c>
      <c r="B594" t="s">
        <v>723</v>
      </c>
      <c r="C594" t="s">
        <v>782</v>
      </c>
      <c r="D594" t="s">
        <v>721</v>
      </c>
      <c r="E594" t="s">
        <v>783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781</v>
      </c>
      <c r="B595" t="s">
        <v>723</v>
      </c>
      <c r="C595" t="s">
        <v>722</v>
      </c>
      <c r="D595" t="s">
        <v>743</v>
      </c>
      <c r="E595" t="s">
        <v>775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780</v>
      </c>
      <c r="B596" t="s">
        <v>723</v>
      </c>
      <c r="C596" t="s">
        <v>722</v>
      </c>
      <c r="D596" t="s">
        <v>743</v>
      </c>
      <c r="E596" t="s">
        <v>775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779</v>
      </c>
      <c r="B597" t="s">
        <v>723</v>
      </c>
      <c r="C597" t="s">
        <v>722</v>
      </c>
      <c r="D597" t="s">
        <v>743</v>
      </c>
      <c r="E597" t="s">
        <v>775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778</v>
      </c>
      <c r="B598" t="s">
        <v>723</v>
      </c>
      <c r="C598" t="s">
        <v>722</v>
      </c>
      <c r="D598" t="s">
        <v>743</v>
      </c>
      <c r="E598" t="s">
        <v>775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777</v>
      </c>
      <c r="B599" t="s">
        <v>723</v>
      </c>
      <c r="C599" t="s">
        <v>722</v>
      </c>
      <c r="D599" t="s">
        <v>743</v>
      </c>
      <c r="E599" t="s">
        <v>775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776</v>
      </c>
      <c r="B600" t="s">
        <v>723</v>
      </c>
      <c r="C600" t="s">
        <v>722</v>
      </c>
      <c r="D600" t="s">
        <v>743</v>
      </c>
      <c r="E600" t="s">
        <v>775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774</v>
      </c>
      <c r="B601" t="s">
        <v>723</v>
      </c>
      <c r="C601" t="s">
        <v>722</v>
      </c>
      <c r="D601" t="s">
        <v>736</v>
      </c>
      <c r="E601" t="s">
        <v>768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773</v>
      </c>
      <c r="B602" t="s">
        <v>723</v>
      </c>
      <c r="C602" t="s">
        <v>722</v>
      </c>
      <c r="D602" t="s">
        <v>736</v>
      </c>
      <c r="E602" t="s">
        <v>768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772</v>
      </c>
      <c r="B603" t="s">
        <v>723</v>
      </c>
      <c r="C603" t="s">
        <v>722</v>
      </c>
      <c r="D603" t="s">
        <v>736</v>
      </c>
      <c r="E603" t="s">
        <v>768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771</v>
      </c>
      <c r="B604" t="s">
        <v>723</v>
      </c>
      <c r="C604" t="s">
        <v>722</v>
      </c>
      <c r="D604" t="s">
        <v>736</v>
      </c>
      <c r="E604" t="s">
        <v>768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770</v>
      </c>
      <c r="B605" t="s">
        <v>723</v>
      </c>
      <c r="C605" t="s">
        <v>722</v>
      </c>
      <c r="D605" t="s">
        <v>736</v>
      </c>
      <c r="E605" t="s">
        <v>768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769</v>
      </c>
      <c r="B606" t="s">
        <v>723</v>
      </c>
      <c r="C606" t="s">
        <v>722</v>
      </c>
      <c r="D606" t="s">
        <v>736</v>
      </c>
      <c r="E606" t="s">
        <v>768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767</v>
      </c>
      <c r="B607" t="s">
        <v>723</v>
      </c>
      <c r="C607" t="s">
        <v>722</v>
      </c>
      <c r="D607" t="s">
        <v>733</v>
      </c>
      <c r="E607" t="s">
        <v>766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765</v>
      </c>
      <c r="B608" t="s">
        <v>723</v>
      </c>
      <c r="C608" t="s">
        <v>722</v>
      </c>
      <c r="D608" t="s">
        <v>730</v>
      </c>
      <c r="E608" t="s">
        <v>763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764</v>
      </c>
      <c r="B609" t="s">
        <v>723</v>
      </c>
      <c r="C609" t="s">
        <v>722</v>
      </c>
      <c r="D609" t="s">
        <v>0</v>
      </c>
      <c r="E609" t="s">
        <v>763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762</v>
      </c>
      <c r="B610" t="s">
        <v>723</v>
      </c>
      <c r="C610" t="s">
        <v>722</v>
      </c>
      <c r="D610" t="s">
        <v>760</v>
      </c>
      <c r="E610" t="s">
        <v>761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759</v>
      </c>
      <c r="B611" t="s">
        <v>723</v>
      </c>
      <c r="C611" t="s">
        <v>722</v>
      </c>
      <c r="D611" t="s">
        <v>721</v>
      </c>
      <c r="E611" t="s">
        <v>750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758</v>
      </c>
      <c r="B612" t="s">
        <v>723</v>
      </c>
      <c r="C612" t="s">
        <v>722</v>
      </c>
      <c r="D612" t="s">
        <v>721</v>
      </c>
      <c r="E612" t="s">
        <v>750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757</v>
      </c>
      <c r="B613" t="s">
        <v>723</v>
      </c>
      <c r="C613" t="s">
        <v>722</v>
      </c>
      <c r="D613" t="s">
        <v>721</v>
      </c>
      <c r="E613" t="s">
        <v>750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756</v>
      </c>
      <c r="B614" t="s">
        <v>723</v>
      </c>
      <c r="C614" t="s">
        <v>722</v>
      </c>
      <c r="D614" t="s">
        <v>721</v>
      </c>
      <c r="E614" t="s">
        <v>750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755</v>
      </c>
      <c r="B615" t="s">
        <v>723</v>
      </c>
      <c r="C615" t="s">
        <v>722</v>
      </c>
      <c r="D615" t="s">
        <v>721</v>
      </c>
      <c r="E615" t="s">
        <v>750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754</v>
      </c>
      <c r="B616" t="s">
        <v>723</v>
      </c>
      <c r="C616" t="s">
        <v>722</v>
      </c>
      <c r="D616" t="s">
        <v>721</v>
      </c>
      <c r="E616" t="s">
        <v>750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753</v>
      </c>
      <c r="B617" t="s">
        <v>723</v>
      </c>
      <c r="C617" t="s">
        <v>722</v>
      </c>
      <c r="D617" t="s">
        <v>721</v>
      </c>
      <c r="E617" t="s">
        <v>750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752</v>
      </c>
      <c r="B618" t="s">
        <v>723</v>
      </c>
      <c r="C618" t="s">
        <v>722</v>
      </c>
      <c r="D618" t="s">
        <v>721</v>
      </c>
      <c r="E618" t="s">
        <v>750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751</v>
      </c>
      <c r="B619" t="s">
        <v>723</v>
      </c>
      <c r="C619" t="s">
        <v>722</v>
      </c>
      <c r="D619" t="s">
        <v>721</v>
      </c>
      <c r="E619" t="s">
        <v>750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749</v>
      </c>
      <c r="B620" t="s">
        <v>723</v>
      </c>
      <c r="C620" t="s">
        <v>722</v>
      </c>
      <c r="D620" t="s">
        <v>743</v>
      </c>
      <c r="E620" t="s">
        <v>744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748</v>
      </c>
      <c r="B621" t="s">
        <v>723</v>
      </c>
      <c r="C621" t="s">
        <v>722</v>
      </c>
      <c r="D621" t="s">
        <v>743</v>
      </c>
      <c r="E621" t="s">
        <v>744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747</v>
      </c>
      <c r="B622" t="s">
        <v>723</v>
      </c>
      <c r="C622" t="s">
        <v>722</v>
      </c>
      <c r="D622" t="s">
        <v>743</v>
      </c>
      <c r="E622" t="s">
        <v>744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746</v>
      </c>
      <c r="B623" t="s">
        <v>723</v>
      </c>
      <c r="C623" t="s">
        <v>722</v>
      </c>
      <c r="D623" t="s">
        <v>743</v>
      </c>
      <c r="E623" t="s">
        <v>744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745</v>
      </c>
      <c r="B624" t="s">
        <v>723</v>
      </c>
      <c r="C624" t="s">
        <v>722</v>
      </c>
      <c r="D624" t="s">
        <v>743</v>
      </c>
      <c r="E624" t="s">
        <v>744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742</v>
      </c>
      <c r="B625" t="s">
        <v>723</v>
      </c>
      <c r="C625" t="s">
        <v>722</v>
      </c>
      <c r="D625" t="s">
        <v>736</v>
      </c>
      <c r="E625" t="s">
        <v>737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741</v>
      </c>
      <c r="B626" t="s">
        <v>723</v>
      </c>
      <c r="C626" t="s">
        <v>722</v>
      </c>
      <c r="D626" t="s">
        <v>736</v>
      </c>
      <c r="E626" t="s">
        <v>737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740</v>
      </c>
      <c r="B627" t="s">
        <v>723</v>
      </c>
      <c r="C627" t="s">
        <v>722</v>
      </c>
      <c r="D627" t="s">
        <v>736</v>
      </c>
      <c r="E627" t="s">
        <v>737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739</v>
      </c>
      <c r="B628" t="s">
        <v>723</v>
      </c>
      <c r="C628" t="s">
        <v>722</v>
      </c>
      <c r="D628" t="s">
        <v>736</v>
      </c>
      <c r="E628" t="s">
        <v>737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738</v>
      </c>
      <c r="B629" t="s">
        <v>723</v>
      </c>
      <c r="C629" t="s">
        <v>722</v>
      </c>
      <c r="D629" t="s">
        <v>736</v>
      </c>
      <c r="E629" t="s">
        <v>737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735</v>
      </c>
      <c r="B630" t="s">
        <v>723</v>
      </c>
      <c r="C630" t="s">
        <v>722</v>
      </c>
      <c r="D630" t="s">
        <v>733</v>
      </c>
      <c r="E630" t="s">
        <v>734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732</v>
      </c>
      <c r="B631" t="s">
        <v>723</v>
      </c>
      <c r="C631" t="s">
        <v>722</v>
      </c>
      <c r="D631" t="s">
        <v>730</v>
      </c>
      <c r="E631" t="s">
        <v>731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729</v>
      </c>
      <c r="B632" t="s">
        <v>723</v>
      </c>
      <c r="C632" t="s">
        <v>722</v>
      </c>
      <c r="D632" t="s">
        <v>721</v>
      </c>
      <c r="E632" t="s">
        <v>724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728</v>
      </c>
      <c r="B633" t="s">
        <v>723</v>
      </c>
      <c r="C633" t="s">
        <v>722</v>
      </c>
      <c r="D633" t="s">
        <v>721</v>
      </c>
      <c r="E633" t="s">
        <v>724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727</v>
      </c>
      <c r="B634" t="s">
        <v>723</v>
      </c>
      <c r="C634" t="s">
        <v>722</v>
      </c>
      <c r="D634" t="s">
        <v>721</v>
      </c>
      <c r="E634" t="s">
        <v>724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726</v>
      </c>
      <c r="B635" t="s">
        <v>723</v>
      </c>
      <c r="C635" t="s">
        <v>722</v>
      </c>
      <c r="D635" t="s">
        <v>721</v>
      </c>
      <c r="E635" t="s">
        <v>724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725</v>
      </c>
      <c r="B636" t="s">
        <v>723</v>
      </c>
      <c r="C636" t="s">
        <v>722</v>
      </c>
      <c r="D636" t="s">
        <v>721</v>
      </c>
      <c r="E636" t="s">
        <v>724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3109</v>
      </c>
      <c r="B637" t="s">
        <v>26</v>
      </c>
      <c r="C637" t="s">
        <v>3117</v>
      </c>
      <c r="D637" t="s">
        <v>712</v>
      </c>
      <c r="E637" t="s">
        <v>3110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x14ac:dyDescent="0.25">
      <c r="A638" t="s">
        <v>3111</v>
      </c>
      <c r="B638" t="s">
        <v>26</v>
      </c>
      <c r="C638" t="s">
        <v>3117</v>
      </c>
      <c r="D638" t="s">
        <v>712</v>
      </c>
      <c r="E638" t="s">
        <v>3112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x14ac:dyDescent="0.25">
      <c r="A639" t="s">
        <v>3113</v>
      </c>
      <c r="B639" t="s">
        <v>26</v>
      </c>
      <c r="C639" t="s">
        <v>3118</v>
      </c>
      <c r="D639" t="s">
        <v>712</v>
      </c>
      <c r="E639" t="s">
        <v>3114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x14ac:dyDescent="0.25">
      <c r="A640" t="s">
        <v>3115</v>
      </c>
      <c r="B640" t="s">
        <v>26</v>
      </c>
      <c r="C640" t="s">
        <v>3118</v>
      </c>
      <c r="D640" t="s">
        <v>712</v>
      </c>
      <c r="E640" t="s">
        <v>3116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x14ac:dyDescent="0.25">
      <c r="A641" t="s">
        <v>720</v>
      </c>
      <c r="B641" t="s">
        <v>26</v>
      </c>
      <c r="C641" t="s">
        <v>3117</v>
      </c>
      <c r="D641" t="s">
        <v>712</v>
      </c>
      <c r="E641" t="s">
        <v>719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x14ac:dyDescent="0.25">
      <c r="A642" t="s">
        <v>718</v>
      </c>
      <c r="B642" t="s">
        <v>26</v>
      </c>
      <c r="C642" t="s">
        <v>3117</v>
      </c>
      <c r="D642" t="s">
        <v>712</v>
      </c>
      <c r="E642" t="s">
        <v>717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716</v>
      </c>
      <c r="B643" t="s">
        <v>26</v>
      </c>
      <c r="C643" t="s">
        <v>3117</v>
      </c>
      <c r="D643" t="s">
        <v>712</v>
      </c>
      <c r="E643" t="s">
        <v>715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714</v>
      </c>
      <c r="B644" t="s">
        <v>26</v>
      </c>
      <c r="C644" t="s">
        <v>3117</v>
      </c>
      <c r="D644" t="s">
        <v>712</v>
      </c>
      <c r="E644" t="s">
        <v>713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711</v>
      </c>
      <c r="B645" t="s">
        <v>26</v>
      </c>
      <c r="C645" t="s">
        <v>37</v>
      </c>
      <c r="D645" t="s">
        <v>709</v>
      </c>
      <c r="E645" t="s">
        <v>710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x14ac:dyDescent="0.25">
      <c r="A646" t="s">
        <v>708</v>
      </c>
      <c r="B646" t="s">
        <v>26</v>
      </c>
      <c r="C646" t="s">
        <v>37</v>
      </c>
      <c r="D646" t="s">
        <v>706</v>
      </c>
      <c r="E646" t="s">
        <v>707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705</v>
      </c>
      <c r="B647" t="s">
        <v>26</v>
      </c>
      <c r="C647" t="s">
        <v>37</v>
      </c>
      <c r="D647" t="s">
        <v>697</v>
      </c>
      <c r="E647" t="s">
        <v>704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703</v>
      </c>
      <c r="B648" t="s">
        <v>26</v>
      </c>
      <c r="C648" t="s">
        <v>37</v>
      </c>
      <c r="D648" t="s">
        <v>697</v>
      </c>
      <c r="E648" t="s">
        <v>702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701</v>
      </c>
      <c r="B649" t="s">
        <v>26</v>
      </c>
      <c r="C649" t="s">
        <v>37</v>
      </c>
      <c r="D649" t="s">
        <v>697</v>
      </c>
      <c r="E649" t="s">
        <v>700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699</v>
      </c>
      <c r="B650" t="s">
        <v>26</v>
      </c>
      <c r="C650" t="s">
        <v>37</v>
      </c>
      <c r="D650" t="s">
        <v>697</v>
      </c>
      <c r="E650" t="s">
        <v>698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696</v>
      </c>
      <c r="B651" t="s">
        <v>26</v>
      </c>
      <c r="C651" t="s">
        <v>37</v>
      </c>
      <c r="D651" t="s">
        <v>684</v>
      </c>
      <c r="E651" t="s">
        <v>695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694</v>
      </c>
      <c r="B652" t="s">
        <v>26</v>
      </c>
      <c r="C652" t="s">
        <v>37</v>
      </c>
      <c r="D652" t="s">
        <v>665</v>
      </c>
      <c r="E652" t="s">
        <v>693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692</v>
      </c>
      <c r="B653" t="s">
        <v>26</v>
      </c>
      <c r="C653" t="s">
        <v>37</v>
      </c>
      <c r="D653" t="s">
        <v>662</v>
      </c>
      <c r="E653" t="s">
        <v>691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690</v>
      </c>
      <c r="B654" t="s">
        <v>26</v>
      </c>
      <c r="C654" t="s">
        <v>37</v>
      </c>
      <c r="D654" t="s">
        <v>657</v>
      </c>
      <c r="E654" t="s">
        <v>689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688</v>
      </c>
      <c r="B655" t="s">
        <v>26</v>
      </c>
      <c r="C655" t="s">
        <v>37</v>
      </c>
      <c r="D655" t="s">
        <v>657</v>
      </c>
      <c r="E655" t="s">
        <v>687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686</v>
      </c>
      <c r="B656" t="s">
        <v>26</v>
      </c>
      <c r="C656" t="s">
        <v>37</v>
      </c>
      <c r="D656" t="s">
        <v>684</v>
      </c>
      <c r="E656" t="s">
        <v>685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683</v>
      </c>
      <c r="B657" t="s">
        <v>26</v>
      </c>
      <c r="C657" t="s">
        <v>37</v>
      </c>
      <c r="D657" t="s">
        <v>665</v>
      </c>
      <c r="E657" t="s">
        <v>682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681</v>
      </c>
      <c r="B658" t="s">
        <v>26</v>
      </c>
      <c r="C658" t="s">
        <v>37</v>
      </c>
      <c r="D658" t="s">
        <v>662</v>
      </c>
      <c r="E658" t="s">
        <v>680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679</v>
      </c>
      <c r="B659" t="s">
        <v>26</v>
      </c>
      <c r="C659" t="s">
        <v>37</v>
      </c>
      <c r="D659" t="s">
        <v>657</v>
      </c>
      <c r="E659" t="s">
        <v>678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677</v>
      </c>
      <c r="B660" t="s">
        <v>26</v>
      </c>
      <c r="C660" t="s">
        <v>37</v>
      </c>
      <c r="D660" t="s">
        <v>657</v>
      </c>
      <c r="E660" t="s">
        <v>676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675</v>
      </c>
      <c r="B661" t="s">
        <v>26</v>
      </c>
      <c r="C661" t="s">
        <v>37</v>
      </c>
      <c r="D661" t="s">
        <v>665</v>
      </c>
      <c r="E661" t="s">
        <v>674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673</v>
      </c>
      <c r="B662" t="s">
        <v>26</v>
      </c>
      <c r="C662" t="s">
        <v>37</v>
      </c>
      <c r="D662" t="s">
        <v>662</v>
      </c>
      <c r="E662" t="s">
        <v>672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671</v>
      </c>
      <c r="B663" t="s">
        <v>26</v>
      </c>
      <c r="C663" t="s">
        <v>37</v>
      </c>
      <c r="D663" t="s">
        <v>657</v>
      </c>
      <c r="E663" t="s">
        <v>670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669</v>
      </c>
      <c r="B664" t="s">
        <v>26</v>
      </c>
      <c r="C664" t="s">
        <v>37</v>
      </c>
      <c r="D664" t="s">
        <v>657</v>
      </c>
      <c r="E664" t="s">
        <v>668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667</v>
      </c>
      <c r="B665" t="s">
        <v>26</v>
      </c>
      <c r="C665" t="s">
        <v>37</v>
      </c>
      <c r="D665" t="s">
        <v>665</v>
      </c>
      <c r="E665" t="s">
        <v>666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664</v>
      </c>
      <c r="B666" t="s">
        <v>26</v>
      </c>
      <c r="C666" t="s">
        <v>37</v>
      </c>
      <c r="D666" t="s">
        <v>662</v>
      </c>
      <c r="E666" t="s">
        <v>663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661</v>
      </c>
      <c r="B667" t="s">
        <v>26</v>
      </c>
      <c r="C667" t="s">
        <v>37</v>
      </c>
      <c r="D667" t="s">
        <v>657</v>
      </c>
      <c r="E667" t="s">
        <v>660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659</v>
      </c>
      <c r="B668" t="s">
        <v>26</v>
      </c>
      <c r="C668" t="s">
        <v>37</v>
      </c>
      <c r="D668" t="s">
        <v>657</v>
      </c>
      <c r="E668" t="s">
        <v>658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656</v>
      </c>
      <c r="B669" t="s">
        <v>26</v>
      </c>
      <c r="C669" t="s">
        <v>37</v>
      </c>
      <c r="D669" t="s">
        <v>630</v>
      </c>
      <c r="E669" t="s">
        <v>655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654</v>
      </c>
      <c r="B670" t="s">
        <v>26</v>
      </c>
      <c r="C670" t="s">
        <v>37</v>
      </c>
      <c r="D670" t="s">
        <v>627</v>
      </c>
      <c r="E670" t="s">
        <v>653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652</v>
      </c>
      <c r="B671" t="s">
        <v>26</v>
      </c>
      <c r="C671" t="s">
        <v>37</v>
      </c>
      <c r="D671" t="s">
        <v>622</v>
      </c>
      <c r="E671" t="s">
        <v>651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650</v>
      </c>
      <c r="B672" t="s">
        <v>26</v>
      </c>
      <c r="C672" t="s">
        <v>37</v>
      </c>
      <c r="D672" t="s">
        <v>622</v>
      </c>
      <c r="E672" t="s">
        <v>649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648</v>
      </c>
      <c r="B673" t="s">
        <v>26</v>
      </c>
      <c r="C673" t="s">
        <v>37</v>
      </c>
      <c r="D673" t="s">
        <v>630</v>
      </c>
      <c r="E673" t="s">
        <v>647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646</v>
      </c>
      <c r="B674" t="s">
        <v>26</v>
      </c>
      <c r="C674" t="s">
        <v>37</v>
      </c>
      <c r="D674" t="s">
        <v>627</v>
      </c>
      <c r="E674" t="s">
        <v>645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644</v>
      </c>
      <c r="B675" t="s">
        <v>26</v>
      </c>
      <c r="C675" t="s">
        <v>37</v>
      </c>
      <c r="D675" t="s">
        <v>622</v>
      </c>
      <c r="E675" t="s">
        <v>643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642</v>
      </c>
      <c r="B676" t="s">
        <v>26</v>
      </c>
      <c r="C676" t="s">
        <v>37</v>
      </c>
      <c r="D676" t="s">
        <v>622</v>
      </c>
      <c r="E676" t="s">
        <v>641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640</v>
      </c>
      <c r="B677" t="s">
        <v>26</v>
      </c>
      <c r="C677" t="s">
        <v>37</v>
      </c>
      <c r="D677" t="s">
        <v>630</v>
      </c>
      <c r="E677" t="s">
        <v>639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638</v>
      </c>
      <c r="B678" t="s">
        <v>26</v>
      </c>
      <c r="C678" t="s">
        <v>37</v>
      </c>
      <c r="D678" t="s">
        <v>627</v>
      </c>
      <c r="E678" t="s">
        <v>637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636</v>
      </c>
      <c r="B679" t="s">
        <v>26</v>
      </c>
      <c r="C679" t="s">
        <v>37</v>
      </c>
      <c r="D679" t="s">
        <v>622</v>
      </c>
      <c r="E679" t="s">
        <v>635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634</v>
      </c>
      <c r="B680" t="s">
        <v>26</v>
      </c>
      <c r="C680" t="s">
        <v>37</v>
      </c>
      <c r="D680" t="s">
        <v>622</v>
      </c>
      <c r="E680" t="s">
        <v>633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632</v>
      </c>
      <c r="B681" t="s">
        <v>26</v>
      </c>
      <c r="C681" t="s">
        <v>37</v>
      </c>
      <c r="D681" t="s">
        <v>630</v>
      </c>
      <c r="E681" t="s">
        <v>631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629</v>
      </c>
      <c r="B682" t="s">
        <v>26</v>
      </c>
      <c r="C682" t="s">
        <v>37</v>
      </c>
      <c r="D682" t="s">
        <v>627</v>
      </c>
      <c r="E682" t="s">
        <v>628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626</v>
      </c>
      <c r="B683" t="s">
        <v>26</v>
      </c>
      <c r="C683" t="s">
        <v>37</v>
      </c>
      <c r="D683" t="s">
        <v>622</v>
      </c>
      <c r="E683" t="s">
        <v>625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624</v>
      </c>
      <c r="B684" t="s">
        <v>26</v>
      </c>
      <c r="C684" t="s">
        <v>37</v>
      </c>
      <c r="D684" t="s">
        <v>622</v>
      </c>
      <c r="E684" t="s">
        <v>623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621</v>
      </c>
      <c r="B685" t="s">
        <v>26</v>
      </c>
      <c r="C685" t="s">
        <v>37</v>
      </c>
      <c r="D685" t="s">
        <v>619</v>
      </c>
      <c r="E685" t="s">
        <v>620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618</v>
      </c>
      <c r="B686" t="s">
        <v>26</v>
      </c>
      <c r="C686" t="s">
        <v>37</v>
      </c>
      <c r="D686" t="s">
        <v>616</v>
      </c>
      <c r="E686" t="s">
        <v>617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615</v>
      </c>
      <c r="B687" t="s">
        <v>26</v>
      </c>
      <c r="C687" t="s">
        <v>37</v>
      </c>
      <c r="D687" t="s">
        <v>607</v>
      </c>
      <c r="E687" t="s">
        <v>614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41</v>
      </c>
      <c r="B688" t="s">
        <v>26</v>
      </c>
      <c r="C688" t="s">
        <v>37</v>
      </c>
      <c r="D688" t="s">
        <v>36</v>
      </c>
      <c r="E688" t="s">
        <v>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613</v>
      </c>
      <c r="B689" t="s">
        <v>26</v>
      </c>
      <c r="C689" t="s">
        <v>37</v>
      </c>
      <c r="D689" t="s">
        <v>607</v>
      </c>
      <c r="E689" t="s">
        <v>612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611</v>
      </c>
      <c r="B690" t="s">
        <v>26</v>
      </c>
      <c r="C690" t="s">
        <v>37</v>
      </c>
      <c r="D690" t="s">
        <v>607</v>
      </c>
      <c r="E690" t="s">
        <v>610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39</v>
      </c>
      <c r="B691" t="s">
        <v>26</v>
      </c>
      <c r="C691" t="s">
        <v>37</v>
      </c>
      <c r="D691" t="s">
        <v>36</v>
      </c>
      <c r="E691" t="s">
        <v>38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609</v>
      </c>
      <c r="B692" t="s">
        <v>26</v>
      </c>
      <c r="C692" t="s">
        <v>37</v>
      </c>
      <c r="D692" t="s">
        <v>607</v>
      </c>
      <c r="E692" t="s">
        <v>608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606</v>
      </c>
      <c r="B693" t="s">
        <v>26</v>
      </c>
      <c r="C693" t="s">
        <v>602</v>
      </c>
      <c r="D693" t="s">
        <v>602</v>
      </c>
      <c r="E693" t="s">
        <v>605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604</v>
      </c>
      <c r="B694" t="s">
        <v>26</v>
      </c>
      <c r="C694" t="s">
        <v>602</v>
      </c>
      <c r="D694" t="s">
        <v>602</v>
      </c>
      <c r="E694" t="s">
        <v>603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601</v>
      </c>
      <c r="B695" t="s">
        <v>26</v>
      </c>
      <c r="C695" t="s">
        <v>582</v>
      </c>
      <c r="D695" t="s">
        <v>582</v>
      </c>
      <c r="E695" t="s">
        <v>600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1A3c Transport - Railways</v>
      </c>
    </row>
    <row r="696" spans="1:9" x14ac:dyDescent="0.25">
      <c r="A696" t="s">
        <v>599</v>
      </c>
      <c r="B696" t="s">
        <v>26</v>
      </c>
      <c r="C696" t="s">
        <v>582</v>
      </c>
      <c r="D696" t="s">
        <v>582</v>
      </c>
      <c r="E696" t="s">
        <v>598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1A3c Transport - Railways</v>
      </c>
    </row>
    <row r="697" spans="1:9" x14ac:dyDescent="0.25">
      <c r="A697" t="s">
        <v>597</v>
      </c>
      <c r="B697" t="s">
        <v>26</v>
      </c>
      <c r="C697" t="s">
        <v>582</v>
      </c>
      <c r="D697" t="s">
        <v>582</v>
      </c>
      <c r="E697" t="s">
        <v>596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1A3c Transport - Railways</v>
      </c>
    </row>
    <row r="698" spans="1:9" x14ac:dyDescent="0.25">
      <c r="A698" t="s">
        <v>595</v>
      </c>
      <c r="B698" t="s">
        <v>26</v>
      </c>
      <c r="C698" t="s">
        <v>582</v>
      </c>
      <c r="D698" t="s">
        <v>582</v>
      </c>
      <c r="E698" t="s">
        <v>594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1A3c Transport - Railways</v>
      </c>
    </row>
    <row r="699" spans="1:9" x14ac:dyDescent="0.25">
      <c r="A699" t="s">
        <v>593</v>
      </c>
      <c r="B699" t="s">
        <v>26</v>
      </c>
      <c r="C699" t="s">
        <v>582</v>
      </c>
      <c r="D699" t="s">
        <v>582</v>
      </c>
      <c r="E699" t="s">
        <v>591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1A3c Transport - Railways</v>
      </c>
    </row>
    <row r="700" spans="1:9" x14ac:dyDescent="0.25">
      <c r="A700" t="s">
        <v>592</v>
      </c>
      <c r="B700" t="s">
        <v>26</v>
      </c>
      <c r="C700" t="s">
        <v>582</v>
      </c>
      <c r="D700" t="s">
        <v>582</v>
      </c>
      <c r="E700" t="s">
        <v>591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1A3c Transport - Railways</v>
      </c>
    </row>
    <row r="701" spans="1:9" x14ac:dyDescent="0.25">
      <c r="A701" t="s">
        <v>590</v>
      </c>
      <c r="B701" t="s">
        <v>26</v>
      </c>
      <c r="C701" t="s">
        <v>582</v>
      </c>
      <c r="D701" t="s">
        <v>582</v>
      </c>
      <c r="E701" t="s">
        <v>589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1A3c Transport - Railways</v>
      </c>
    </row>
    <row r="702" spans="1:9" x14ac:dyDescent="0.25">
      <c r="A702" t="s">
        <v>588</v>
      </c>
      <c r="B702" t="s">
        <v>26</v>
      </c>
      <c r="C702" t="s">
        <v>582</v>
      </c>
      <c r="D702" t="s">
        <v>582</v>
      </c>
      <c r="E702" t="s">
        <v>587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1A3c Transport - Railways</v>
      </c>
    </row>
    <row r="703" spans="1:9" x14ac:dyDescent="0.25">
      <c r="A703" t="s">
        <v>586</v>
      </c>
      <c r="B703" t="s">
        <v>26</v>
      </c>
      <c r="C703" t="s">
        <v>582</v>
      </c>
      <c r="D703" t="s">
        <v>582</v>
      </c>
      <c r="E703" t="s">
        <v>585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1A3c Transport - Railways</v>
      </c>
    </row>
    <row r="704" spans="1:9" x14ac:dyDescent="0.25">
      <c r="A704" t="s">
        <v>584</v>
      </c>
      <c r="B704" t="s">
        <v>26</v>
      </c>
      <c r="C704" t="s">
        <v>582</v>
      </c>
      <c r="D704" t="s">
        <v>582</v>
      </c>
      <c r="E704" t="s">
        <v>583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1A3c Transport - Railways</v>
      </c>
    </row>
    <row r="705" spans="1:9" x14ac:dyDescent="0.25">
      <c r="A705" t="s">
        <v>581</v>
      </c>
      <c r="B705" t="s">
        <v>26</v>
      </c>
      <c r="C705" t="s">
        <v>30</v>
      </c>
      <c r="D705" t="s">
        <v>579</v>
      </c>
      <c r="E705" t="s">
        <v>580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578</v>
      </c>
      <c r="B706" t="s">
        <v>26</v>
      </c>
      <c r="C706" t="s">
        <v>30</v>
      </c>
      <c r="D706" t="s">
        <v>576</v>
      </c>
      <c r="E706" t="s">
        <v>577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575</v>
      </c>
      <c r="B707" t="s">
        <v>26</v>
      </c>
      <c r="C707" t="s">
        <v>30</v>
      </c>
      <c r="D707" t="s">
        <v>573</v>
      </c>
      <c r="E707" t="s">
        <v>574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572</v>
      </c>
      <c r="B708" t="s">
        <v>26</v>
      </c>
      <c r="C708" t="s">
        <v>30</v>
      </c>
      <c r="D708" t="s">
        <v>570</v>
      </c>
      <c r="E708" t="s">
        <v>571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569</v>
      </c>
      <c r="B709" t="s">
        <v>26</v>
      </c>
      <c r="C709" t="s">
        <v>30</v>
      </c>
      <c r="D709" t="s">
        <v>557</v>
      </c>
      <c r="E709" t="s">
        <v>568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565</v>
      </c>
      <c r="B710" t="s">
        <v>26</v>
      </c>
      <c r="C710" t="s">
        <v>30</v>
      </c>
      <c r="D710" t="s">
        <v>554</v>
      </c>
      <c r="E710" t="s">
        <v>564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567</v>
      </c>
      <c r="B711" t="s">
        <v>26</v>
      </c>
      <c r="C711" t="s">
        <v>30</v>
      </c>
      <c r="D711" t="s">
        <v>557</v>
      </c>
      <c r="E711" t="s">
        <v>566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563</v>
      </c>
      <c r="B712" t="s">
        <v>26</v>
      </c>
      <c r="C712" t="s">
        <v>30</v>
      </c>
      <c r="D712" t="s">
        <v>557</v>
      </c>
      <c r="E712" t="s">
        <v>562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559</v>
      </c>
      <c r="B713" t="s">
        <v>26</v>
      </c>
      <c r="C713" t="s">
        <v>30</v>
      </c>
      <c r="D713" t="s">
        <v>557</v>
      </c>
      <c r="E713" t="s">
        <v>558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556</v>
      </c>
      <c r="B714" t="s">
        <v>26</v>
      </c>
      <c r="C714" t="s">
        <v>30</v>
      </c>
      <c r="D714" t="s">
        <v>554</v>
      </c>
      <c r="E714" t="s">
        <v>555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561</v>
      </c>
      <c r="B715" t="s">
        <v>26</v>
      </c>
      <c r="C715" t="s">
        <v>30</v>
      </c>
      <c r="D715" t="s">
        <v>557</v>
      </c>
      <c r="E715" t="s">
        <v>560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35</v>
      </c>
      <c r="B716" t="s">
        <v>26</v>
      </c>
      <c r="C716" t="s">
        <v>30</v>
      </c>
      <c r="D716" t="s">
        <v>33</v>
      </c>
      <c r="E716" t="s">
        <v>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553</v>
      </c>
      <c r="B717" t="s">
        <v>26</v>
      </c>
      <c r="C717" t="s">
        <v>30</v>
      </c>
      <c r="D717" t="s">
        <v>549</v>
      </c>
      <c r="E717" t="s">
        <v>552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551</v>
      </c>
      <c r="B718" t="s">
        <v>26</v>
      </c>
      <c r="C718" t="s">
        <v>30</v>
      </c>
      <c r="D718" t="s">
        <v>549</v>
      </c>
      <c r="E718" t="s">
        <v>550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548</v>
      </c>
      <c r="B719" t="s">
        <v>26</v>
      </c>
      <c r="C719" t="s">
        <v>30</v>
      </c>
      <c r="D719" t="s">
        <v>546</v>
      </c>
      <c r="E719" t="s">
        <v>547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3119</v>
      </c>
      <c r="B720" t="s">
        <v>26</v>
      </c>
      <c r="C720" t="s">
        <v>30</v>
      </c>
      <c r="D720" t="s">
        <v>29</v>
      </c>
      <c r="E720" t="s">
        <v>3120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32</v>
      </c>
      <c r="B721" t="s">
        <v>26</v>
      </c>
      <c r="C721" t="s">
        <v>30</v>
      </c>
      <c r="D721" t="s">
        <v>29</v>
      </c>
      <c r="E721" t="s">
        <v>31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545</v>
      </c>
      <c r="B722" t="s">
        <v>26</v>
      </c>
      <c r="C722" t="s">
        <v>30</v>
      </c>
      <c r="D722" t="s">
        <v>543</v>
      </c>
      <c r="E722" t="s">
        <v>544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542</v>
      </c>
      <c r="B723" t="s">
        <v>26</v>
      </c>
      <c r="C723" t="s">
        <v>30</v>
      </c>
      <c r="D723" t="s">
        <v>540</v>
      </c>
      <c r="E723" t="s">
        <v>541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539</v>
      </c>
      <c r="B724" t="s">
        <v>26</v>
      </c>
      <c r="C724" t="s">
        <v>30</v>
      </c>
      <c r="D724" t="s">
        <v>529</v>
      </c>
      <c r="E724" t="s">
        <v>538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535</v>
      </c>
      <c r="B725" t="s">
        <v>26</v>
      </c>
      <c r="C725" t="s">
        <v>30</v>
      </c>
      <c r="D725" t="s">
        <v>526</v>
      </c>
      <c r="E725" t="s">
        <v>534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537</v>
      </c>
      <c r="B726" t="s">
        <v>26</v>
      </c>
      <c r="C726" t="s">
        <v>30</v>
      </c>
      <c r="D726" t="s">
        <v>529</v>
      </c>
      <c r="E726" t="s">
        <v>536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533</v>
      </c>
      <c r="B727" t="s">
        <v>26</v>
      </c>
      <c r="C727" t="s">
        <v>30</v>
      </c>
      <c r="D727" t="s">
        <v>529</v>
      </c>
      <c r="E727" t="s">
        <v>532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3121</v>
      </c>
      <c r="B728" t="s">
        <v>26</v>
      </c>
      <c r="C728" t="s">
        <v>30</v>
      </c>
      <c r="D728" t="s">
        <v>526</v>
      </c>
      <c r="E728" t="s">
        <v>3122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528</v>
      </c>
      <c r="B729" t="s">
        <v>26</v>
      </c>
      <c r="C729" t="s">
        <v>30</v>
      </c>
      <c r="D729" t="s">
        <v>526</v>
      </c>
      <c r="E729" t="s">
        <v>527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531</v>
      </c>
      <c r="B730" t="s">
        <v>26</v>
      </c>
      <c r="C730" t="s">
        <v>30</v>
      </c>
      <c r="D730" t="s">
        <v>529</v>
      </c>
      <c r="E730" t="s">
        <v>530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525</v>
      </c>
      <c r="B731" t="s">
        <v>26</v>
      </c>
      <c r="C731" t="s">
        <v>25</v>
      </c>
      <c r="D731" t="s">
        <v>523</v>
      </c>
      <c r="E731" t="s">
        <v>524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522</v>
      </c>
      <c r="B732" t="s">
        <v>26</v>
      </c>
      <c r="C732" t="s">
        <v>25</v>
      </c>
      <c r="D732" t="s">
        <v>520</v>
      </c>
      <c r="E732" t="s">
        <v>521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519</v>
      </c>
      <c r="B733" t="s">
        <v>26</v>
      </c>
      <c r="C733" t="s">
        <v>25</v>
      </c>
      <c r="D733" t="s">
        <v>517</v>
      </c>
      <c r="E733" t="s">
        <v>518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516</v>
      </c>
      <c r="B734" t="s">
        <v>26</v>
      </c>
      <c r="C734" t="s">
        <v>25</v>
      </c>
      <c r="D734" t="s">
        <v>514</v>
      </c>
      <c r="E734" t="s">
        <v>515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513</v>
      </c>
      <c r="B735" t="s">
        <v>26</v>
      </c>
      <c r="C735" t="s">
        <v>25</v>
      </c>
      <c r="D735" t="s">
        <v>511</v>
      </c>
      <c r="E735" t="s">
        <v>512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510</v>
      </c>
      <c r="B736" t="s">
        <v>26</v>
      </c>
      <c r="C736" t="s">
        <v>25</v>
      </c>
      <c r="D736" t="s">
        <v>508</v>
      </c>
      <c r="E736" t="s">
        <v>509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507</v>
      </c>
      <c r="B737" t="s">
        <v>26</v>
      </c>
      <c r="C737" t="s">
        <v>25</v>
      </c>
      <c r="D737" t="s">
        <v>505</v>
      </c>
      <c r="E737" t="s">
        <v>506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504</v>
      </c>
      <c r="B738" t="s">
        <v>26</v>
      </c>
      <c r="C738" t="s">
        <v>25</v>
      </c>
      <c r="D738" t="s">
        <v>502</v>
      </c>
      <c r="E738" t="s">
        <v>503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501</v>
      </c>
      <c r="B739" t="s">
        <v>26</v>
      </c>
      <c r="C739" t="s">
        <v>25</v>
      </c>
      <c r="D739" t="s">
        <v>499</v>
      </c>
      <c r="E739" t="s">
        <v>500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498</v>
      </c>
      <c r="B740" t="s">
        <v>26</v>
      </c>
      <c r="C740" t="s">
        <v>25</v>
      </c>
      <c r="D740" t="s">
        <v>494</v>
      </c>
      <c r="E740" t="s">
        <v>497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496</v>
      </c>
      <c r="B741" t="s">
        <v>26</v>
      </c>
      <c r="C741" t="s">
        <v>25</v>
      </c>
      <c r="D741" t="s">
        <v>494</v>
      </c>
      <c r="E741" t="s">
        <v>495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493</v>
      </c>
      <c r="B742" t="s">
        <v>26</v>
      </c>
      <c r="C742" t="s">
        <v>25</v>
      </c>
      <c r="D742" t="s">
        <v>466</v>
      </c>
      <c r="E742" t="s">
        <v>492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491</v>
      </c>
      <c r="B743" t="s">
        <v>26</v>
      </c>
      <c r="C743" t="s">
        <v>25</v>
      </c>
      <c r="D743" t="s">
        <v>489</v>
      </c>
      <c r="E743" t="s">
        <v>490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28</v>
      </c>
      <c r="B744" t="s">
        <v>26</v>
      </c>
      <c r="C744" t="s">
        <v>25</v>
      </c>
      <c r="D744" t="s">
        <v>24</v>
      </c>
      <c r="E744" t="s">
        <v>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488</v>
      </c>
      <c r="B745" t="s">
        <v>26</v>
      </c>
      <c r="C745" t="s">
        <v>25</v>
      </c>
      <c r="D745" t="s">
        <v>486</v>
      </c>
      <c r="E745" t="s">
        <v>487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485</v>
      </c>
      <c r="B746" t="s">
        <v>26</v>
      </c>
      <c r="C746" t="s">
        <v>25</v>
      </c>
      <c r="D746" t="s">
        <v>483</v>
      </c>
      <c r="E746" t="s">
        <v>484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482</v>
      </c>
      <c r="B747" t="s">
        <v>26</v>
      </c>
      <c r="C747" t="s">
        <v>25</v>
      </c>
      <c r="D747" t="s">
        <v>471</v>
      </c>
      <c r="E747" t="s">
        <v>481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478</v>
      </c>
      <c r="B748" t="s">
        <v>26</v>
      </c>
      <c r="C748" t="s">
        <v>25</v>
      </c>
      <c r="D748" t="s">
        <v>476</v>
      </c>
      <c r="E748" t="s">
        <v>477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480</v>
      </c>
      <c r="B749" t="s">
        <v>26</v>
      </c>
      <c r="C749" t="s">
        <v>25</v>
      </c>
      <c r="D749" t="s">
        <v>471</v>
      </c>
      <c r="E749" t="s">
        <v>479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475</v>
      </c>
      <c r="B750" t="s">
        <v>26</v>
      </c>
      <c r="C750" t="s">
        <v>25</v>
      </c>
      <c r="D750" t="s">
        <v>471</v>
      </c>
      <c r="E750" t="s">
        <v>474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473</v>
      </c>
      <c r="B751" t="s">
        <v>26</v>
      </c>
      <c r="C751" t="s">
        <v>25</v>
      </c>
      <c r="D751" t="s">
        <v>471</v>
      </c>
      <c r="E751" t="s">
        <v>472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470</v>
      </c>
      <c r="B752" t="s">
        <v>26</v>
      </c>
      <c r="C752" t="s">
        <v>25</v>
      </c>
      <c r="D752" t="s">
        <v>466</v>
      </c>
      <c r="E752" t="s">
        <v>469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468</v>
      </c>
      <c r="B753" t="s">
        <v>26</v>
      </c>
      <c r="C753" t="s">
        <v>25</v>
      </c>
      <c r="D753" t="s">
        <v>466</v>
      </c>
      <c r="E753" t="s">
        <v>467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465</v>
      </c>
      <c r="B754" t="s">
        <v>26</v>
      </c>
      <c r="C754" t="s">
        <v>461</v>
      </c>
      <c r="D754" t="s">
        <v>461</v>
      </c>
      <c r="E754" t="s">
        <v>464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1A3d Transport - Water borne navigation</v>
      </c>
    </row>
    <row r="755" spans="1:9" x14ac:dyDescent="0.25">
      <c r="A755" t="s">
        <v>463</v>
      </c>
      <c r="B755" t="s">
        <v>26</v>
      </c>
      <c r="C755" t="s">
        <v>461</v>
      </c>
      <c r="D755" t="s">
        <v>461</v>
      </c>
      <c r="E755" t="s">
        <v>462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1A3d Transport - Water borne navigation</v>
      </c>
    </row>
    <row r="756" spans="1:9" x14ac:dyDescent="0.25">
      <c r="A756" t="s">
        <v>460</v>
      </c>
      <c r="B756" t="s">
        <v>387</v>
      </c>
      <c r="C756" t="s">
        <v>449</v>
      </c>
      <c r="D756" t="s">
        <v>452</v>
      </c>
      <c r="E756" t="s">
        <v>459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1A1 Energy Industries</v>
      </c>
      <c r="I756" t="str">
        <f>INDEX(IPCCMaps!K:K,MATCH(mapPRC!C756,IPCCMaps!G:G,0))</f>
        <v xml:space="preserve">1A1b Petroleum refining </v>
      </c>
    </row>
    <row r="757" spans="1:9" x14ac:dyDescent="0.25">
      <c r="A757" t="s">
        <v>458</v>
      </c>
      <c r="B757" t="s">
        <v>387</v>
      </c>
      <c r="C757" t="s">
        <v>449</v>
      </c>
      <c r="D757" t="s">
        <v>448</v>
      </c>
      <c r="E757" t="s">
        <v>457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 xml:space="preserve">1A1b Petroleum refining </v>
      </c>
    </row>
    <row r="758" spans="1:9" x14ac:dyDescent="0.25">
      <c r="A758" t="s">
        <v>456</v>
      </c>
      <c r="B758" t="s">
        <v>387</v>
      </c>
      <c r="C758" t="s">
        <v>449</v>
      </c>
      <c r="D758" t="s">
        <v>452</v>
      </c>
      <c r="E758" t="s">
        <v>455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 xml:space="preserve">1A1b Petroleum refining </v>
      </c>
    </row>
    <row r="759" spans="1:9" x14ac:dyDescent="0.25">
      <c r="A759" t="s">
        <v>454</v>
      </c>
      <c r="B759" t="s">
        <v>387</v>
      </c>
      <c r="C759" t="s">
        <v>449</v>
      </c>
      <c r="D759" t="s">
        <v>452</v>
      </c>
      <c r="E759" t="s">
        <v>453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 xml:space="preserve">1A1b Petroleum refining </v>
      </c>
    </row>
    <row r="760" spans="1:9" x14ac:dyDescent="0.25">
      <c r="A760" t="s">
        <v>451</v>
      </c>
      <c r="B760" t="s">
        <v>387</v>
      </c>
      <c r="C760" t="s">
        <v>449</v>
      </c>
      <c r="D760" t="s">
        <v>448</v>
      </c>
      <c r="E760" t="s">
        <v>450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 xml:space="preserve">1A1b Petroleum refining </v>
      </c>
    </row>
    <row r="761" spans="1:9" x14ac:dyDescent="0.25">
      <c r="A761" t="s">
        <v>447</v>
      </c>
      <c r="B761" t="s">
        <v>387</v>
      </c>
      <c r="C761" t="s">
        <v>386</v>
      </c>
      <c r="D761" t="s">
        <v>386</v>
      </c>
      <c r="E761" t="s">
        <v>446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 xml:space="preserve">1A1b Petroleum refining </v>
      </c>
    </row>
    <row r="762" spans="1:9" x14ac:dyDescent="0.25">
      <c r="A762" t="s">
        <v>445</v>
      </c>
      <c r="B762" t="s">
        <v>387</v>
      </c>
      <c r="C762" t="s">
        <v>413</v>
      </c>
      <c r="D762" t="s">
        <v>413</v>
      </c>
      <c r="E762" t="s">
        <v>444</v>
      </c>
      <c r="F762" t="str">
        <f>INDEX(IPCCMaps!H:H,MATCH(mapPRC!C762,IPCCMaps!G:G,0))</f>
        <v>1 Energy</v>
      </c>
      <c r="G762" t="str">
        <f>INDEX(IPCCMaps!I:I,MATCH(mapPRC!C762,IPCCMaps!G:G,0))</f>
        <v>1B Fugitive Emissions from Fuels</v>
      </c>
      <c r="H762" t="str">
        <f>INDEX(IPCCMaps!J:J,MATCH(mapPRC!C762,IPCCMaps!G:G,0))</f>
        <v>1B3 Other Emissions</v>
      </c>
      <c r="I762" t="str">
        <f>INDEX(IPCCMaps!K:K,MATCH(mapPRC!C762,IPCCMaps!G:G,0))</f>
        <v>1B3 Other Emissions - Sasol</v>
      </c>
    </row>
    <row r="763" spans="1:9" x14ac:dyDescent="0.25">
      <c r="A763" t="s">
        <v>441</v>
      </c>
      <c r="B763" t="s">
        <v>387</v>
      </c>
      <c r="C763" t="s">
        <v>413</v>
      </c>
      <c r="D763" t="s">
        <v>413</v>
      </c>
      <c r="E763" t="s">
        <v>440</v>
      </c>
      <c r="F763" t="str">
        <f>INDEX(IPCCMaps!H:H,MATCH(mapPRC!C763,IPCCMaps!G:G,0))</f>
        <v>1 Energy</v>
      </c>
      <c r="G763" t="str">
        <f>INDEX(IPCCMaps!I:I,MATCH(mapPRC!C763,IPCCMaps!G:G,0))</f>
        <v>1B Fugitive Emissions from Fuels</v>
      </c>
      <c r="H763" t="str">
        <f>INDEX(IPCCMaps!J:J,MATCH(mapPRC!C763,IPCCMaps!G:G,0))</f>
        <v>1B3 Other Emissions</v>
      </c>
      <c r="I763" t="str">
        <f>INDEX(IPCCMaps!K:K,MATCH(mapPRC!C763,IPCCMaps!G:G,0))</f>
        <v>1B3 Other Emissions - Sasol</v>
      </c>
    </row>
    <row r="764" spans="1:9" x14ac:dyDescent="0.25">
      <c r="A764" t="s">
        <v>443</v>
      </c>
      <c r="B764" t="s">
        <v>387</v>
      </c>
      <c r="C764" t="s">
        <v>413</v>
      </c>
      <c r="D764" t="s">
        <v>413</v>
      </c>
      <c r="E764" t="s">
        <v>442</v>
      </c>
      <c r="F764" t="str">
        <f>INDEX(IPCCMaps!H:H,MATCH(mapPRC!C764,IPCCMaps!G:G,0))</f>
        <v>1 Energy</v>
      </c>
      <c r="G764" t="str">
        <f>INDEX(IPCCMaps!I:I,MATCH(mapPRC!C764,IPCCMaps!G:G,0))</f>
        <v>1B Fugitive Emissions from Fuels</v>
      </c>
      <c r="H764" t="str">
        <f>INDEX(IPCCMaps!J:J,MATCH(mapPRC!C764,IPCCMaps!G:G,0))</f>
        <v>1B3 Other Emissions</v>
      </c>
      <c r="I764" t="str">
        <f>INDEX(IPCCMaps!K:K,MATCH(mapPRC!C764,IPCCMaps!G:G,0))</f>
        <v>1B3 Other Emissions - Sasol</v>
      </c>
    </row>
    <row r="765" spans="1:9" x14ac:dyDescent="0.25">
      <c r="A765" t="s">
        <v>439</v>
      </c>
      <c r="B765" t="s">
        <v>387</v>
      </c>
      <c r="C765" t="s">
        <v>386</v>
      </c>
      <c r="D765" t="s">
        <v>386</v>
      </c>
      <c r="E765" t="s">
        <v>438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1A1 Energy Industries</v>
      </c>
      <c r="I765" t="str">
        <f>INDEX(IPCCMaps!K:K,MATCH(mapPRC!C765,IPCCMaps!G:G,0))</f>
        <v xml:space="preserve">1A1b Petroleum refining </v>
      </c>
    </row>
    <row r="766" spans="1:9" x14ac:dyDescent="0.25">
      <c r="A766" t="s">
        <v>437</v>
      </c>
      <c r="D766" t="s">
        <v>0</v>
      </c>
      <c r="E766" t="s">
        <v>436</v>
      </c>
      <c r="F766" t="e">
        <f>INDEX(IPCCMaps!H:H,MATCH(mapPRC!C766,IPCCMaps!G:G,0))</f>
        <v>#N/A</v>
      </c>
      <c r="G766" t="e">
        <f>INDEX(IPCCMaps!I:I,MATCH(mapPRC!C766,IPCCMaps!G:G,0))</f>
        <v>#N/A</v>
      </c>
      <c r="H766" t="e">
        <f>INDEX(IPCCMaps!J:J,MATCH(mapPRC!C766,IPCCMaps!G:G,0))</f>
        <v>#N/A</v>
      </c>
      <c r="I766" t="e">
        <f>INDEX(IPCCMaps!K:K,MATCH(mapPRC!C766,IPCCMaps!G:G,0))</f>
        <v>#N/A</v>
      </c>
    </row>
    <row r="767" spans="1:9" x14ac:dyDescent="0.25">
      <c r="A767" t="s">
        <v>435</v>
      </c>
      <c r="D767" t="s">
        <v>0</v>
      </c>
      <c r="E767" t="s">
        <v>434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x14ac:dyDescent="0.25">
      <c r="A768" t="s">
        <v>431</v>
      </c>
      <c r="D768" t="s">
        <v>0</v>
      </c>
      <c r="E768" t="s">
        <v>430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x14ac:dyDescent="0.25">
      <c r="A769" t="s">
        <v>433</v>
      </c>
      <c r="D769" t="s">
        <v>0</v>
      </c>
      <c r="E769" t="s">
        <v>432</v>
      </c>
      <c r="F769" t="e">
        <f>INDEX(IPCCMaps!H:H,MATCH(mapPRC!C769,IPCCMaps!G:G,0))</f>
        <v>#N/A</v>
      </c>
      <c r="G769" t="e">
        <f>INDEX(IPCCMaps!I:I,MATCH(mapPRC!C769,IPCCMaps!G:G,0))</f>
        <v>#N/A</v>
      </c>
      <c r="H769" t="e">
        <f>INDEX(IPCCMaps!J:J,MATCH(mapPRC!C769,IPCCMaps!G:G,0))</f>
        <v>#N/A</v>
      </c>
      <c r="I769" t="e">
        <f>INDEX(IPCCMaps!K:K,MATCH(mapPRC!C769,IPCCMaps!G:G,0))</f>
        <v>#N/A</v>
      </c>
    </row>
    <row r="770" spans="1:9" x14ac:dyDescent="0.25">
      <c r="A770" t="s">
        <v>429</v>
      </c>
      <c r="B770" t="s">
        <v>21</v>
      </c>
      <c r="C770" t="s">
        <v>425</v>
      </c>
      <c r="D770" t="s">
        <v>425</v>
      </c>
      <c r="E770" t="s">
        <v>428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1A2 Manufacturing Industries and Construction</v>
      </c>
      <c r="I770" t="str">
        <f>INDEX(IPCCMaps!K:K,MATCH(mapPRC!C770,IPCCMaps!G:G,0))</f>
        <v>1A2 Manufacturing Industries and Construction</v>
      </c>
    </row>
    <row r="771" spans="1:9" x14ac:dyDescent="0.25">
      <c r="A771" t="s">
        <v>427</v>
      </c>
      <c r="B771" t="s">
        <v>21</v>
      </c>
      <c r="C771" t="s">
        <v>425</v>
      </c>
      <c r="D771" t="s">
        <v>425</v>
      </c>
      <c r="E771" t="s">
        <v>426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1A2 Manufacturing Industries and Construction</v>
      </c>
      <c r="I771" t="str">
        <f>INDEX(IPCCMaps!K:K,MATCH(mapPRC!C771,IPCCMaps!G:G,0))</f>
        <v>1A2 Manufacturing Industries and Construction</v>
      </c>
    </row>
    <row r="772" spans="1:9" x14ac:dyDescent="0.25">
      <c r="A772" t="s">
        <v>424</v>
      </c>
      <c r="B772" t="s">
        <v>387</v>
      </c>
      <c r="C772" t="s">
        <v>418</v>
      </c>
      <c r="D772" t="s">
        <v>418</v>
      </c>
      <c r="E772" t="s">
        <v>423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1A1 Energy Industries</v>
      </c>
      <c r="I772" t="str">
        <f>INDEX(IPCCMaps!K:K,MATCH(mapPRC!C772,IPCCMaps!G:G,0))</f>
        <v>1A1c Manufacture of solid fuels and other energy industries</v>
      </c>
    </row>
    <row r="773" spans="1:9" x14ac:dyDescent="0.25">
      <c r="A773" t="s">
        <v>422</v>
      </c>
      <c r="B773" t="s">
        <v>387</v>
      </c>
      <c r="C773" t="s">
        <v>418</v>
      </c>
      <c r="D773" t="s">
        <v>418</v>
      </c>
      <c r="E773" t="s">
        <v>421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1A1 Energy Industries</v>
      </c>
      <c r="I773" t="str">
        <f>INDEX(IPCCMaps!K:K,MATCH(mapPRC!C773,IPCCMaps!G:G,0))</f>
        <v>1A1c Manufacture of solid fuels and other energy industries</v>
      </c>
    </row>
    <row r="774" spans="1:9" x14ac:dyDescent="0.25">
      <c r="A774" t="s">
        <v>420</v>
      </c>
      <c r="B774" t="s">
        <v>387</v>
      </c>
      <c r="C774" t="s">
        <v>418</v>
      </c>
      <c r="D774" t="s">
        <v>418</v>
      </c>
      <c r="E774" t="s">
        <v>419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1A1 Energy Industries</v>
      </c>
      <c r="I774" t="str">
        <f>INDEX(IPCCMaps!K:K,MATCH(mapPRC!C774,IPCCMaps!G:G,0))</f>
        <v>1A1c Manufacture of solid fuels and other energy industries</v>
      </c>
    </row>
    <row r="775" spans="1:9" x14ac:dyDescent="0.25">
      <c r="A775" t="s">
        <v>417</v>
      </c>
      <c r="B775" t="s">
        <v>387</v>
      </c>
      <c r="C775" t="s">
        <v>3166</v>
      </c>
      <c r="D775" t="s">
        <v>413</v>
      </c>
      <c r="E775" t="s">
        <v>416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1A1 Energy Industries</v>
      </c>
      <c r="I775" t="str">
        <f>INDEX(IPCCMaps!K:K,MATCH(mapPRC!C775,IPCCMaps!G:G,0))</f>
        <v>1A1c Manufacture of solid fuels and other energy industries</v>
      </c>
    </row>
    <row r="776" spans="1:9" x14ac:dyDescent="0.25">
      <c r="A776" t="s">
        <v>415</v>
      </c>
      <c r="B776" t="s">
        <v>387</v>
      </c>
      <c r="C776" t="s">
        <v>3166</v>
      </c>
      <c r="D776" t="s">
        <v>413</v>
      </c>
      <c r="E776" t="s">
        <v>414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1A1 Energy Industries</v>
      </c>
      <c r="I776" t="str">
        <f>INDEX(IPCCMaps!K:K,MATCH(mapPRC!C776,IPCCMaps!G:G,0))</f>
        <v>1A1c Manufacture of solid fuels and other energy industries</v>
      </c>
    </row>
    <row r="777" spans="1:9" x14ac:dyDescent="0.25">
      <c r="A777" t="s">
        <v>412</v>
      </c>
      <c r="B777" t="s">
        <v>387</v>
      </c>
      <c r="D777" t="s">
        <v>408</v>
      </c>
      <c r="E777" t="s">
        <v>411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x14ac:dyDescent="0.25">
      <c r="A778" t="s">
        <v>410</v>
      </c>
      <c r="B778" t="s">
        <v>387</v>
      </c>
      <c r="D778" t="s">
        <v>408</v>
      </c>
      <c r="E778" t="s">
        <v>409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x14ac:dyDescent="0.25">
      <c r="A779" t="s">
        <v>403</v>
      </c>
      <c r="B779" t="s">
        <v>401</v>
      </c>
      <c r="C779" t="s">
        <v>400</v>
      </c>
      <c r="D779" t="s">
        <v>399</v>
      </c>
      <c r="E779" t="s">
        <v>402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>
        <f>INDEX(IPCCMaps!J:J,MATCH(mapPRC!C779,IPCCMaps!G:G,0))</f>
        <v>0</v>
      </c>
      <c r="I779">
        <f>INDEX(IPCCMaps!K:K,MATCH(mapPRC!C779,IPCCMaps!G:G,0))</f>
        <v>0</v>
      </c>
    </row>
    <row r="780" spans="1:9" x14ac:dyDescent="0.25">
      <c r="A780" t="s">
        <v>407</v>
      </c>
      <c r="B780" t="s">
        <v>401</v>
      </c>
      <c r="C780" t="s">
        <v>405</v>
      </c>
      <c r="D780" t="s">
        <v>404</v>
      </c>
      <c r="E780" t="s">
        <v>406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x14ac:dyDescent="0.25">
      <c r="A781" t="s">
        <v>398</v>
      </c>
      <c r="B781" t="s">
        <v>387</v>
      </c>
      <c r="C781" t="s">
        <v>392</v>
      </c>
      <c r="D781" t="s">
        <v>392</v>
      </c>
      <c r="E781" t="s">
        <v>397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1A1 Energy Industries</v>
      </c>
      <c r="I781" t="str">
        <f>INDEX(IPCCMaps!K:K,MATCH(mapPRC!C781,IPCCMaps!G:G,0))</f>
        <v xml:space="preserve">1A1b Petroleum refining </v>
      </c>
    </row>
    <row r="782" spans="1:9" x14ac:dyDescent="0.25">
      <c r="A782" t="s">
        <v>396</v>
      </c>
      <c r="B782" t="s">
        <v>387</v>
      </c>
      <c r="C782" t="s">
        <v>392</v>
      </c>
      <c r="D782" t="s">
        <v>392</v>
      </c>
      <c r="E782" t="s">
        <v>395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x14ac:dyDescent="0.25">
      <c r="A783" t="s">
        <v>394</v>
      </c>
      <c r="B783" t="s">
        <v>387</v>
      </c>
      <c r="C783" t="s">
        <v>392</v>
      </c>
      <c r="D783" t="s">
        <v>392</v>
      </c>
      <c r="E783" t="s">
        <v>393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x14ac:dyDescent="0.25">
      <c r="A784" t="s">
        <v>391</v>
      </c>
      <c r="B784" t="s">
        <v>387</v>
      </c>
      <c r="C784" t="s">
        <v>386</v>
      </c>
      <c r="D784" t="s">
        <v>386</v>
      </c>
      <c r="E784" t="s">
        <v>390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389</v>
      </c>
      <c r="B785" t="s">
        <v>387</v>
      </c>
      <c r="C785" t="s">
        <v>386</v>
      </c>
      <c r="D785" t="s">
        <v>386</v>
      </c>
      <c r="E785" t="s">
        <v>388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x14ac:dyDescent="0.25">
      <c r="A786" t="s">
        <v>385</v>
      </c>
      <c r="D786" t="s">
        <v>0</v>
      </c>
      <c r="E786" t="s">
        <v>384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x14ac:dyDescent="0.25">
      <c r="A787" t="s">
        <v>382</v>
      </c>
      <c r="D787" t="s">
        <v>0</v>
      </c>
      <c r="E787" t="s">
        <v>381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x14ac:dyDescent="0.25">
      <c r="A788" t="s">
        <v>380</v>
      </c>
      <c r="D788" t="s">
        <v>0</v>
      </c>
      <c r="E788" t="s">
        <v>379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374</v>
      </c>
      <c r="D789" t="s">
        <v>0</v>
      </c>
      <c r="E789" t="s">
        <v>373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378</v>
      </c>
      <c r="D790" t="s">
        <v>0</v>
      </c>
      <c r="E790" t="s">
        <v>377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376</v>
      </c>
      <c r="D791" t="s">
        <v>0</v>
      </c>
      <c r="E791" t="s">
        <v>375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372</v>
      </c>
      <c r="D792" t="s">
        <v>0</v>
      </c>
      <c r="E792" t="s">
        <v>371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370</v>
      </c>
      <c r="D793" t="s">
        <v>0</v>
      </c>
      <c r="E793" t="s">
        <v>369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x14ac:dyDescent="0.25">
      <c r="A794" t="s">
        <v>368</v>
      </c>
      <c r="B794" t="s">
        <v>145</v>
      </c>
      <c r="C794" t="s">
        <v>144</v>
      </c>
      <c r="D794" t="s">
        <v>366</v>
      </c>
      <c r="E794" t="s">
        <v>367</v>
      </c>
      <c r="F794" t="str">
        <f>INDEX(IPCCMaps!H:H,MATCH(mapPRC!C794,IPCCMaps!G:G,0))</f>
        <v>1 Energy</v>
      </c>
      <c r="G794">
        <f>INDEX(IPCCMaps!I:I,MATCH(mapPRC!C794,IPCCMaps!G:G,0))</f>
        <v>0</v>
      </c>
      <c r="H794">
        <f>INDEX(IPCCMaps!J:J,MATCH(mapPRC!C794,IPCCMaps!G:G,0))</f>
        <v>0</v>
      </c>
      <c r="I794">
        <f>INDEX(IPCCMaps!K:K,MATCH(mapPRC!C794,IPCCMaps!G:G,0))</f>
        <v>0</v>
      </c>
    </row>
    <row r="795" spans="1:9" x14ac:dyDescent="0.25">
      <c r="A795" t="s">
        <v>365</v>
      </c>
      <c r="D795" t="s">
        <v>0</v>
      </c>
      <c r="E795" t="s">
        <v>364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x14ac:dyDescent="0.25">
      <c r="A796" t="s">
        <v>363</v>
      </c>
      <c r="D796" t="s">
        <v>0</v>
      </c>
      <c r="E796" t="s">
        <v>362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x14ac:dyDescent="0.25">
      <c r="A797" t="s">
        <v>361</v>
      </c>
      <c r="D797" t="s">
        <v>0</v>
      </c>
      <c r="E797" t="s">
        <v>360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359</v>
      </c>
      <c r="D798" t="s">
        <v>0</v>
      </c>
      <c r="E798" t="s">
        <v>358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x14ac:dyDescent="0.25">
      <c r="A799" t="s">
        <v>357</v>
      </c>
      <c r="D799" t="s">
        <v>0</v>
      </c>
      <c r="E799" t="s">
        <v>356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355</v>
      </c>
      <c r="D800" t="s">
        <v>0</v>
      </c>
      <c r="E800" t="s">
        <v>354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353</v>
      </c>
      <c r="B801" t="s">
        <v>145</v>
      </c>
      <c r="C801" t="s">
        <v>144</v>
      </c>
      <c r="D801" t="s">
        <v>351</v>
      </c>
      <c r="E801" t="s">
        <v>352</v>
      </c>
      <c r="F801" t="str">
        <f>INDEX(IPCCMaps!H:H,MATCH(mapPRC!C801,IPCCMaps!G:G,0))</f>
        <v>1 Energy</v>
      </c>
      <c r="G801">
        <f>INDEX(IPCCMaps!I:I,MATCH(mapPRC!C801,IPCCMaps!G:G,0))</f>
        <v>0</v>
      </c>
      <c r="H801">
        <f>INDEX(IPCCMaps!J:J,MATCH(mapPRC!C801,IPCCMaps!G:G,0))</f>
        <v>0</v>
      </c>
      <c r="I801">
        <f>INDEX(IPCCMaps!K:K,MATCH(mapPRC!C801,IPCCMaps!G:G,0))</f>
        <v>0</v>
      </c>
    </row>
    <row r="802" spans="1:9" x14ac:dyDescent="0.25">
      <c r="A802" t="s">
        <v>350</v>
      </c>
      <c r="D802" t="s">
        <v>0</v>
      </c>
      <c r="E802" t="s">
        <v>349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348</v>
      </c>
      <c r="D803" t="s">
        <v>0</v>
      </c>
      <c r="E803" t="s">
        <v>347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346</v>
      </c>
      <c r="D804" t="s">
        <v>0</v>
      </c>
      <c r="E804" t="s">
        <v>345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344</v>
      </c>
      <c r="D805" t="s">
        <v>0</v>
      </c>
      <c r="E805" t="s">
        <v>343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342</v>
      </c>
      <c r="D806" t="s">
        <v>0</v>
      </c>
      <c r="E806" t="s">
        <v>341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340</v>
      </c>
      <c r="D807" t="s">
        <v>0</v>
      </c>
      <c r="E807" t="s">
        <v>339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338</v>
      </c>
      <c r="B808" t="s">
        <v>145</v>
      </c>
      <c r="C808" t="s">
        <v>144</v>
      </c>
      <c r="D808" t="s">
        <v>143</v>
      </c>
      <c r="E808" t="s">
        <v>337</v>
      </c>
      <c r="F808" t="str">
        <f>INDEX(IPCCMaps!H:H,MATCH(mapPRC!C808,IPCCMaps!G:G,0))</f>
        <v>1 Energy</v>
      </c>
      <c r="G808">
        <f>INDEX(IPCCMaps!I:I,MATCH(mapPRC!C808,IPCCMaps!G:G,0))</f>
        <v>0</v>
      </c>
      <c r="H808">
        <f>INDEX(IPCCMaps!J:J,MATCH(mapPRC!C808,IPCCMaps!G:G,0))</f>
        <v>0</v>
      </c>
      <c r="I808">
        <f>INDEX(IPCCMaps!K:K,MATCH(mapPRC!C808,IPCCMaps!G:G,0))</f>
        <v>0</v>
      </c>
    </row>
    <row r="809" spans="1:9" x14ac:dyDescent="0.25">
      <c r="A809" t="s">
        <v>336</v>
      </c>
      <c r="D809" t="s">
        <v>0</v>
      </c>
      <c r="E809" t="s">
        <v>335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333</v>
      </c>
      <c r="B810" t="s">
        <v>145</v>
      </c>
      <c r="C810" t="s">
        <v>144</v>
      </c>
      <c r="D810" t="s">
        <v>143</v>
      </c>
      <c r="E810" t="s">
        <v>332</v>
      </c>
      <c r="F810" t="str">
        <f>INDEX(IPCCMaps!H:H,MATCH(mapPRC!C810,IPCCMaps!G:G,0))</f>
        <v>1 Energy</v>
      </c>
      <c r="G810">
        <f>INDEX(IPCCMaps!I:I,MATCH(mapPRC!C810,IPCCMaps!G:G,0))</f>
        <v>0</v>
      </c>
      <c r="H810">
        <f>INDEX(IPCCMaps!J:J,MATCH(mapPRC!C810,IPCCMaps!G:G,0))</f>
        <v>0</v>
      </c>
      <c r="I810">
        <f>INDEX(IPCCMaps!K:K,MATCH(mapPRC!C810,IPCCMaps!G:G,0))</f>
        <v>0</v>
      </c>
    </row>
    <row r="811" spans="1:9" x14ac:dyDescent="0.25">
      <c r="A811" t="s">
        <v>331</v>
      </c>
      <c r="D811" t="s">
        <v>0</v>
      </c>
      <c r="E811" t="s">
        <v>330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328</v>
      </c>
      <c r="B812" t="s">
        <v>145</v>
      </c>
      <c r="C812" t="s">
        <v>144</v>
      </c>
      <c r="D812" t="s">
        <v>143</v>
      </c>
      <c r="E812" t="s">
        <v>327</v>
      </c>
      <c r="F812" t="str">
        <f>INDEX(IPCCMaps!H:H,MATCH(mapPRC!C812,IPCCMaps!G:G,0))</f>
        <v>1 Energy</v>
      </c>
      <c r="G812">
        <f>INDEX(IPCCMaps!I:I,MATCH(mapPRC!C812,IPCCMaps!G:G,0))</f>
        <v>0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x14ac:dyDescent="0.25">
      <c r="A813" t="s">
        <v>326</v>
      </c>
      <c r="D813" t="s">
        <v>0</v>
      </c>
      <c r="E813" t="s">
        <v>325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324</v>
      </c>
      <c r="D814" t="s">
        <v>0</v>
      </c>
      <c r="E814" t="s">
        <v>323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322</v>
      </c>
      <c r="D815" t="s">
        <v>0</v>
      </c>
      <c r="E815" t="s">
        <v>321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320</v>
      </c>
      <c r="D816" t="s">
        <v>0</v>
      </c>
      <c r="E816" t="s">
        <v>319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318</v>
      </c>
      <c r="B817" t="s">
        <v>145</v>
      </c>
      <c r="C817" t="s">
        <v>144</v>
      </c>
      <c r="D817" t="s">
        <v>143</v>
      </c>
      <c r="E817" t="s">
        <v>317</v>
      </c>
      <c r="F817" t="str">
        <f>INDEX(IPCCMaps!H:H,MATCH(mapPRC!C817,IPCCMaps!G:G,0))</f>
        <v>1 Energy</v>
      </c>
      <c r="G817">
        <f>INDEX(IPCCMaps!I:I,MATCH(mapPRC!C817,IPCCMaps!G:G,0))</f>
        <v>0</v>
      </c>
      <c r="H817">
        <f>INDEX(IPCCMaps!J:J,MATCH(mapPRC!C817,IPCCMaps!G:G,0))</f>
        <v>0</v>
      </c>
      <c r="I817">
        <f>INDEX(IPCCMaps!K:K,MATCH(mapPRC!C817,IPCCMaps!G:G,0))</f>
        <v>0</v>
      </c>
    </row>
    <row r="818" spans="1:9" x14ac:dyDescent="0.25">
      <c r="A818" t="s">
        <v>3123</v>
      </c>
      <c r="D818" t="s">
        <v>0</v>
      </c>
      <c r="E818" t="s">
        <v>3124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316</v>
      </c>
      <c r="D819" t="s">
        <v>0</v>
      </c>
      <c r="E819" t="s">
        <v>315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313</v>
      </c>
      <c r="D820" t="s">
        <v>0</v>
      </c>
      <c r="E820" t="s">
        <v>312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311</v>
      </c>
      <c r="D821" t="s">
        <v>0</v>
      </c>
      <c r="E821" t="s">
        <v>310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309</v>
      </c>
      <c r="D822" t="s">
        <v>0</v>
      </c>
      <c r="E822" t="s">
        <v>308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307</v>
      </c>
      <c r="D823" t="s">
        <v>0</v>
      </c>
      <c r="E823" t="s">
        <v>306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305</v>
      </c>
      <c r="B824" t="s">
        <v>145</v>
      </c>
      <c r="C824" t="s">
        <v>144</v>
      </c>
      <c r="D824" t="s">
        <v>143</v>
      </c>
      <c r="E824" t="s">
        <v>304</v>
      </c>
      <c r="F824" t="str">
        <f>INDEX(IPCCMaps!H:H,MATCH(mapPRC!C824,IPCCMaps!G:G,0))</f>
        <v>1 Energy</v>
      </c>
      <c r="G824">
        <f>INDEX(IPCCMaps!I:I,MATCH(mapPRC!C824,IPCCMaps!G:G,0))</f>
        <v>0</v>
      </c>
      <c r="H824">
        <f>INDEX(IPCCMaps!J:J,MATCH(mapPRC!C824,IPCCMaps!G:G,0))</f>
        <v>0</v>
      </c>
      <c r="I824">
        <f>INDEX(IPCCMaps!K:K,MATCH(mapPRC!C824,IPCCMaps!G:G,0))</f>
        <v>0</v>
      </c>
    </row>
    <row r="825" spans="1:9" x14ac:dyDescent="0.25">
      <c r="A825" t="s">
        <v>303</v>
      </c>
      <c r="D825" t="s">
        <v>0</v>
      </c>
      <c r="E825" t="s">
        <v>302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301</v>
      </c>
      <c r="D826" t="s">
        <v>0</v>
      </c>
      <c r="E826" t="s">
        <v>300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299</v>
      </c>
      <c r="D827" t="s">
        <v>0</v>
      </c>
      <c r="E827" t="s">
        <v>298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23</v>
      </c>
      <c r="D828" t="s">
        <v>0</v>
      </c>
      <c r="E828" t="s">
        <v>22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297</v>
      </c>
      <c r="D829" t="s">
        <v>0</v>
      </c>
      <c r="E829" t="s">
        <v>296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295</v>
      </c>
      <c r="D830" t="s">
        <v>0</v>
      </c>
      <c r="E830" t="s">
        <v>294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293</v>
      </c>
      <c r="D831" t="s">
        <v>0</v>
      </c>
      <c r="E831" t="s">
        <v>292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291</v>
      </c>
      <c r="D832" t="s">
        <v>0</v>
      </c>
      <c r="E832" t="s">
        <v>290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289</v>
      </c>
      <c r="D833" t="s">
        <v>0</v>
      </c>
      <c r="E833" t="s">
        <v>288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287</v>
      </c>
      <c r="D834" t="s">
        <v>0</v>
      </c>
      <c r="E834" t="s">
        <v>286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285</v>
      </c>
      <c r="D835" t="s">
        <v>0</v>
      </c>
      <c r="E835" t="s">
        <v>284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283</v>
      </c>
      <c r="D836" t="s">
        <v>0</v>
      </c>
      <c r="E836" t="s">
        <v>282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281</v>
      </c>
      <c r="D837" t="s">
        <v>0</v>
      </c>
      <c r="E837" t="s">
        <v>280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279</v>
      </c>
      <c r="D838" t="s">
        <v>0</v>
      </c>
      <c r="E838" t="s">
        <v>278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277</v>
      </c>
      <c r="B839" t="s">
        <v>145</v>
      </c>
      <c r="C839" t="s">
        <v>144</v>
      </c>
      <c r="D839" t="s">
        <v>143</v>
      </c>
      <c r="E839" t="s">
        <v>276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x14ac:dyDescent="0.25">
      <c r="A840" t="s">
        <v>275</v>
      </c>
      <c r="D840" t="s">
        <v>0</v>
      </c>
      <c r="E840" t="s">
        <v>274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272</v>
      </c>
      <c r="D841" t="s">
        <v>0</v>
      </c>
      <c r="E841" t="s">
        <v>271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270</v>
      </c>
      <c r="D842" t="s">
        <v>0</v>
      </c>
      <c r="E842" t="s">
        <v>269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268</v>
      </c>
      <c r="B843" t="s">
        <v>145</v>
      </c>
      <c r="C843" t="s">
        <v>144</v>
      </c>
      <c r="D843" t="s">
        <v>143</v>
      </c>
      <c r="E843" t="s">
        <v>267</v>
      </c>
      <c r="F843" t="str">
        <f>INDEX(IPCCMaps!H:H,MATCH(mapPRC!C843,IPCCMaps!G:G,0))</f>
        <v>1 Energy</v>
      </c>
      <c r="G843">
        <f>INDEX(IPCCMaps!I:I,MATCH(mapPRC!C843,IPCCMaps!G:G,0))</f>
        <v>0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x14ac:dyDescent="0.25">
      <c r="A844" t="s">
        <v>266</v>
      </c>
      <c r="D844" t="s">
        <v>0</v>
      </c>
      <c r="E844" t="s">
        <v>265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263</v>
      </c>
      <c r="D845" t="s">
        <v>0</v>
      </c>
      <c r="E845" t="s">
        <v>262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261</v>
      </c>
      <c r="B846" t="s">
        <v>145</v>
      </c>
      <c r="C846" t="s">
        <v>144</v>
      </c>
      <c r="D846" t="s">
        <v>143</v>
      </c>
      <c r="E846" t="s">
        <v>260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x14ac:dyDescent="0.25">
      <c r="A847" t="s">
        <v>259</v>
      </c>
      <c r="D847" t="s">
        <v>0</v>
      </c>
      <c r="E847" t="s">
        <v>258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256</v>
      </c>
      <c r="D848" t="s">
        <v>0</v>
      </c>
      <c r="E848" t="s">
        <v>255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254</v>
      </c>
      <c r="D849" t="s">
        <v>0</v>
      </c>
      <c r="E849" t="s">
        <v>253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252</v>
      </c>
      <c r="B850" t="s">
        <v>145</v>
      </c>
      <c r="C850" t="s">
        <v>144</v>
      </c>
      <c r="D850" t="s">
        <v>143</v>
      </c>
      <c r="E850" t="s">
        <v>251</v>
      </c>
      <c r="F850" t="str">
        <f>INDEX(IPCCMaps!H:H,MATCH(mapPRC!C850,IPCCMaps!G:G,0))</f>
        <v>1 Energy</v>
      </c>
      <c r="G850">
        <f>INDEX(IPCCMaps!I:I,MATCH(mapPRC!C850,IPCCMaps!G:G,0))</f>
        <v>0</v>
      </c>
      <c r="H850">
        <f>INDEX(IPCCMaps!J:J,MATCH(mapPRC!C850,IPCCMaps!G:G,0))</f>
        <v>0</v>
      </c>
      <c r="I850">
        <f>INDEX(IPCCMaps!K:K,MATCH(mapPRC!C850,IPCCMaps!G:G,0))</f>
        <v>0</v>
      </c>
    </row>
    <row r="851" spans="1:9" x14ac:dyDescent="0.25">
      <c r="A851" t="s">
        <v>250</v>
      </c>
      <c r="D851" t="s">
        <v>0</v>
      </c>
      <c r="E851" t="s">
        <v>249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248</v>
      </c>
      <c r="D852" t="s">
        <v>0</v>
      </c>
      <c r="E852" t="s">
        <v>247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246</v>
      </c>
      <c r="D853" t="s">
        <v>0</v>
      </c>
      <c r="E853" t="s">
        <v>245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244</v>
      </c>
      <c r="D854" t="s">
        <v>0</v>
      </c>
      <c r="E854" t="s">
        <v>243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242</v>
      </c>
      <c r="D855" t="s">
        <v>0</v>
      </c>
      <c r="E855" t="s">
        <v>241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240</v>
      </c>
      <c r="D856" t="s">
        <v>0</v>
      </c>
      <c r="E856" t="s">
        <v>239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238</v>
      </c>
      <c r="D857" t="s">
        <v>0</v>
      </c>
      <c r="E857" t="s">
        <v>237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236</v>
      </c>
      <c r="D858" t="s">
        <v>0</v>
      </c>
      <c r="E858" t="s">
        <v>235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234</v>
      </c>
      <c r="D859" t="s">
        <v>0</v>
      </c>
      <c r="E859" t="s">
        <v>233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232</v>
      </c>
      <c r="D860" t="s">
        <v>0</v>
      </c>
      <c r="E860" t="s">
        <v>231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230</v>
      </c>
      <c r="D861" t="s">
        <v>0</v>
      </c>
      <c r="E861" t="s">
        <v>229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226</v>
      </c>
      <c r="D862" t="s">
        <v>0</v>
      </c>
      <c r="E862" t="s">
        <v>225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228</v>
      </c>
      <c r="D863" t="s">
        <v>0</v>
      </c>
      <c r="E863" t="s">
        <v>227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222</v>
      </c>
      <c r="D864" t="s">
        <v>0</v>
      </c>
      <c r="E864" t="s">
        <v>221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224</v>
      </c>
      <c r="D865" t="s">
        <v>0</v>
      </c>
      <c r="E865" t="s">
        <v>223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220</v>
      </c>
      <c r="D866" t="s">
        <v>0</v>
      </c>
      <c r="E866" t="s">
        <v>219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218</v>
      </c>
      <c r="D867" t="s">
        <v>0</v>
      </c>
      <c r="E867" t="s">
        <v>217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216</v>
      </c>
      <c r="D868" t="s">
        <v>0</v>
      </c>
      <c r="E868" t="s">
        <v>215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214</v>
      </c>
      <c r="D869" t="s">
        <v>0</v>
      </c>
      <c r="E869" t="s">
        <v>213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212</v>
      </c>
      <c r="D870" t="s">
        <v>0</v>
      </c>
      <c r="E870" t="s">
        <v>211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210</v>
      </c>
      <c r="D871" t="s">
        <v>0</v>
      </c>
      <c r="E871" t="s">
        <v>209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208</v>
      </c>
      <c r="D872" t="s">
        <v>0</v>
      </c>
      <c r="E872" t="s">
        <v>207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206</v>
      </c>
      <c r="D873" t="s">
        <v>0</v>
      </c>
      <c r="E873" t="s">
        <v>205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204</v>
      </c>
      <c r="D874" t="s">
        <v>0</v>
      </c>
      <c r="E874" t="s">
        <v>203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202</v>
      </c>
      <c r="D875" t="s">
        <v>0</v>
      </c>
      <c r="E875" t="s">
        <v>201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200</v>
      </c>
      <c r="D876" t="s">
        <v>0</v>
      </c>
      <c r="E876" t="s">
        <v>199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198</v>
      </c>
      <c r="D877" t="s">
        <v>0</v>
      </c>
      <c r="E877" t="s">
        <v>197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196</v>
      </c>
      <c r="D878" t="s">
        <v>0</v>
      </c>
      <c r="E878" t="s">
        <v>195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194</v>
      </c>
      <c r="D879" t="s">
        <v>0</v>
      </c>
      <c r="E879" t="s">
        <v>193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192</v>
      </c>
      <c r="B880" t="s">
        <v>145</v>
      </c>
      <c r="C880" t="s">
        <v>144</v>
      </c>
      <c r="D880" t="s">
        <v>190</v>
      </c>
      <c r="E880" t="s">
        <v>191</v>
      </c>
      <c r="F880" t="str">
        <f>INDEX(IPCCMaps!H:H,MATCH(mapPRC!C880,IPCCMaps!G:G,0))</f>
        <v>1 Energy</v>
      </c>
      <c r="G880">
        <f>INDEX(IPCCMaps!I:I,MATCH(mapPRC!C880,IPCCMaps!G:G,0))</f>
        <v>0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x14ac:dyDescent="0.25">
      <c r="A881" t="s">
        <v>189</v>
      </c>
      <c r="D881" t="s">
        <v>0</v>
      </c>
      <c r="E881" t="s">
        <v>188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187</v>
      </c>
      <c r="D882" t="s">
        <v>0</v>
      </c>
      <c r="E882" t="s">
        <v>186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185</v>
      </c>
      <c r="D883" t="s">
        <v>0</v>
      </c>
      <c r="E883" t="s">
        <v>184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183</v>
      </c>
      <c r="D884" t="s">
        <v>0</v>
      </c>
      <c r="E884" t="s">
        <v>182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181</v>
      </c>
      <c r="D885" t="s">
        <v>0</v>
      </c>
      <c r="E885" t="s">
        <v>180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179</v>
      </c>
      <c r="D886" t="s">
        <v>0</v>
      </c>
      <c r="E886" t="s">
        <v>178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177</v>
      </c>
      <c r="B887" t="s">
        <v>145</v>
      </c>
      <c r="C887" t="s">
        <v>144</v>
      </c>
      <c r="D887" t="s">
        <v>175</v>
      </c>
      <c r="E887" t="s">
        <v>176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174</v>
      </c>
      <c r="D888" t="s">
        <v>0</v>
      </c>
      <c r="E888" t="s">
        <v>173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172</v>
      </c>
      <c r="D889" t="s">
        <v>0</v>
      </c>
      <c r="E889" t="s">
        <v>171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170</v>
      </c>
      <c r="D890" t="s">
        <v>0</v>
      </c>
      <c r="E890" t="s">
        <v>169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168</v>
      </c>
      <c r="D891" t="s">
        <v>0</v>
      </c>
      <c r="E891" t="s">
        <v>167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166</v>
      </c>
      <c r="D892" t="s">
        <v>0</v>
      </c>
      <c r="E892" t="s">
        <v>165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164</v>
      </c>
      <c r="D893" t="s">
        <v>0</v>
      </c>
      <c r="E893" t="s">
        <v>163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162</v>
      </c>
      <c r="D894" t="s">
        <v>0</v>
      </c>
      <c r="E894" t="s">
        <v>161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160</v>
      </c>
      <c r="D895" t="s">
        <v>0</v>
      </c>
      <c r="E895" t="s">
        <v>159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158</v>
      </c>
      <c r="D896" t="s">
        <v>0</v>
      </c>
      <c r="E896" t="s">
        <v>157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156</v>
      </c>
      <c r="D897" t="s">
        <v>0</v>
      </c>
      <c r="E897" t="s">
        <v>155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154</v>
      </c>
      <c r="D898" t="s">
        <v>0</v>
      </c>
      <c r="E898" t="s">
        <v>153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150</v>
      </c>
      <c r="B899" t="s">
        <v>21</v>
      </c>
      <c r="D899" t="s">
        <v>0</v>
      </c>
      <c r="E899" t="s">
        <v>149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152</v>
      </c>
      <c r="D900" t="s">
        <v>0</v>
      </c>
      <c r="E900" t="s">
        <v>151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147</v>
      </c>
      <c r="B901" t="s">
        <v>145</v>
      </c>
      <c r="C901" t="s">
        <v>144</v>
      </c>
      <c r="D901" t="s">
        <v>143</v>
      </c>
      <c r="E901" t="s">
        <v>146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142</v>
      </c>
      <c r="B902" t="s">
        <v>21</v>
      </c>
      <c r="C902" t="s">
        <v>140</v>
      </c>
      <c r="D902" t="s">
        <v>0</v>
      </c>
      <c r="E902" t="s">
        <v>141</v>
      </c>
      <c r="F902" t="str">
        <f>INDEX(IPCCMaps!H:H,MATCH(mapPRC!C902,IPCCMaps!G:G,0))</f>
        <v>1 Energy</v>
      </c>
      <c r="G902" t="str">
        <f>INDEX(IPCCMaps!I:I,MATCH(mapPRC!C902,IPCCMaps!G:G,0))</f>
        <v>1B Fugitive Emissions from Fuels</v>
      </c>
      <c r="H902" t="str">
        <f>INDEX(IPCCMaps!J:J,MATCH(mapPRC!C902,IPCCMaps!G:G,0))</f>
        <v>1B2 Oil and Natural Gas</v>
      </c>
      <c r="I902" t="str">
        <f>INDEX(IPCCMaps!K:K,MATCH(mapPRC!C902,IPCCMaps!G:G,0))</f>
        <v>1B2 Oil and Natural Gas</v>
      </c>
    </row>
    <row r="903" spans="1:9" x14ac:dyDescent="0.25">
      <c r="A903" t="s">
        <v>139</v>
      </c>
      <c r="B903" t="s">
        <v>21</v>
      </c>
      <c r="C903" t="s">
        <v>137</v>
      </c>
      <c r="D903" t="s">
        <v>0</v>
      </c>
      <c r="E903" t="s">
        <v>138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x14ac:dyDescent="0.25">
      <c r="A904" t="s">
        <v>136</v>
      </c>
      <c r="D904" t="s">
        <v>0</v>
      </c>
      <c r="E904" t="s">
        <v>135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134</v>
      </c>
      <c r="D905" t="s">
        <v>0</v>
      </c>
      <c r="E905" t="s">
        <v>133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132</v>
      </c>
      <c r="D906" t="s">
        <v>0</v>
      </c>
      <c r="E906" t="s">
        <v>131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130</v>
      </c>
      <c r="D907" t="s">
        <v>0</v>
      </c>
      <c r="E907" t="s">
        <v>129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128</v>
      </c>
      <c r="D908" t="s">
        <v>0</v>
      </c>
      <c r="E908" t="s">
        <v>127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126</v>
      </c>
      <c r="D909" t="s">
        <v>0</v>
      </c>
      <c r="E909" t="s">
        <v>125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124</v>
      </c>
      <c r="D910" t="s">
        <v>0</v>
      </c>
      <c r="E910" t="s">
        <v>123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122</v>
      </c>
      <c r="D911" t="s">
        <v>0</v>
      </c>
      <c r="E911" t="s">
        <v>121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120</v>
      </c>
      <c r="D912" t="s">
        <v>0</v>
      </c>
      <c r="E912" t="s">
        <v>119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118</v>
      </c>
      <c r="D913" t="s">
        <v>0</v>
      </c>
      <c r="E913" t="s">
        <v>117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116</v>
      </c>
      <c r="D914" t="s">
        <v>0</v>
      </c>
      <c r="E914" t="s">
        <v>115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114</v>
      </c>
      <c r="D915" t="s">
        <v>0</v>
      </c>
      <c r="E915" t="s">
        <v>113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112</v>
      </c>
      <c r="D916" t="s">
        <v>0</v>
      </c>
      <c r="E916" t="s">
        <v>111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110</v>
      </c>
      <c r="D917" t="s">
        <v>0</v>
      </c>
      <c r="E917" t="s">
        <v>109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108</v>
      </c>
      <c r="D918" t="s">
        <v>0</v>
      </c>
      <c r="E918" t="s">
        <v>107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106</v>
      </c>
      <c r="D919" t="s">
        <v>0</v>
      </c>
      <c r="E919" t="s">
        <v>105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104</v>
      </c>
      <c r="D920" t="s">
        <v>0</v>
      </c>
      <c r="E920" t="s">
        <v>103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102</v>
      </c>
      <c r="D921" t="s">
        <v>0</v>
      </c>
      <c r="E921" t="s">
        <v>101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100</v>
      </c>
      <c r="D922" t="s">
        <v>0</v>
      </c>
      <c r="E922" t="s">
        <v>99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98</v>
      </c>
      <c r="D923" t="s">
        <v>0</v>
      </c>
      <c r="E923" t="s">
        <v>97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96</v>
      </c>
      <c r="D924" t="s">
        <v>0</v>
      </c>
      <c r="E924" t="s">
        <v>95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3125</v>
      </c>
      <c r="D925" t="s">
        <v>0</v>
      </c>
      <c r="E925" t="s">
        <v>3126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94</v>
      </c>
      <c r="D926" t="s">
        <v>0</v>
      </c>
      <c r="E926" t="s">
        <v>93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92</v>
      </c>
      <c r="D927" t="s">
        <v>0</v>
      </c>
      <c r="E927" t="s">
        <v>77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91</v>
      </c>
      <c r="D928" t="s">
        <v>0</v>
      </c>
      <c r="E928" t="s">
        <v>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89</v>
      </c>
      <c r="D929" t="s">
        <v>0</v>
      </c>
      <c r="E929" t="s">
        <v>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87</v>
      </c>
      <c r="D930" t="s">
        <v>0</v>
      </c>
      <c r="E930" t="s">
        <v>86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85</v>
      </c>
      <c r="D931" t="s">
        <v>0</v>
      </c>
      <c r="E931" t="s">
        <v>84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83</v>
      </c>
      <c r="D932" t="s">
        <v>0</v>
      </c>
      <c r="E932" t="s">
        <v>82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81</v>
      </c>
      <c r="D933" t="s">
        <v>0</v>
      </c>
      <c r="E933" t="s">
        <v>80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79</v>
      </c>
      <c r="D934" t="s">
        <v>0</v>
      </c>
      <c r="E934" t="s">
        <v>69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78</v>
      </c>
      <c r="D935" t="s">
        <v>0</v>
      </c>
      <c r="E935" t="s">
        <v>77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76</v>
      </c>
      <c r="D936" t="s">
        <v>0</v>
      </c>
      <c r="E936" t="s">
        <v>75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74</v>
      </c>
      <c r="D937" t="s">
        <v>0</v>
      </c>
      <c r="E937" t="s">
        <v>73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72</v>
      </c>
      <c r="D938" t="s">
        <v>0</v>
      </c>
      <c r="E938" t="s">
        <v>71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70</v>
      </c>
      <c r="D939" t="s">
        <v>0</v>
      </c>
      <c r="E939" t="s">
        <v>69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68</v>
      </c>
      <c r="D940" t="s">
        <v>0</v>
      </c>
      <c r="E940" t="s">
        <v>55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67</v>
      </c>
      <c r="D941" t="s">
        <v>0</v>
      </c>
      <c r="E941" t="s">
        <v>66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65</v>
      </c>
      <c r="D942" t="s">
        <v>0</v>
      </c>
      <c r="E942" t="s">
        <v>51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64</v>
      </c>
      <c r="D943" t="s">
        <v>0</v>
      </c>
      <c r="E943" t="s">
        <v>49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63</v>
      </c>
      <c r="D944" t="s">
        <v>0</v>
      </c>
      <c r="E944" t="s">
        <v>62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61</v>
      </c>
      <c r="D945" t="s">
        <v>0</v>
      </c>
      <c r="E945" t="s">
        <v>60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59</v>
      </c>
      <c r="D946" t="s">
        <v>0</v>
      </c>
      <c r="E946" t="s">
        <v>58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57</v>
      </c>
      <c r="D947" t="s">
        <v>0</v>
      </c>
      <c r="E947" t="s">
        <v>47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56</v>
      </c>
      <c r="D948" t="s">
        <v>0</v>
      </c>
      <c r="E948" t="s">
        <v>55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54</v>
      </c>
      <c r="D949" t="s">
        <v>0</v>
      </c>
      <c r="E949" t="s">
        <v>53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52</v>
      </c>
      <c r="D950" t="s">
        <v>0</v>
      </c>
      <c r="E950" t="s">
        <v>51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50</v>
      </c>
      <c r="D951" t="s">
        <v>0</v>
      </c>
      <c r="E951" t="s">
        <v>49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48</v>
      </c>
      <c r="D952" t="s">
        <v>0</v>
      </c>
      <c r="E952" t="s">
        <v>47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</sheetData>
  <autoFilter ref="A1:I952" xr:uid="{2F3FFDF7-7714-47AC-B254-A3709C093DA2}"/>
  <sortState xmlns:xlrd2="http://schemas.microsoft.com/office/spreadsheetml/2017/richdata2" ref="A79:I952">
    <sortCondition ref="A79:A952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464"/>
  <sheetViews>
    <sheetView topLeftCell="A3" workbookViewId="0">
      <selection activeCell="B263" sqref="B26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hidden="1" x14ac:dyDescent="0.25">
      <c r="A2" t="s">
        <v>3408</v>
      </c>
      <c r="B2" t="s">
        <v>3408</v>
      </c>
      <c r="C2" t="s">
        <v>3408</v>
      </c>
      <c r="D2" t="s">
        <v>3408</v>
      </c>
    </row>
    <row r="3" spans="1:4" x14ac:dyDescent="0.25">
      <c r="A3" t="s">
        <v>3409</v>
      </c>
      <c r="B3" t="s">
        <v>3409</v>
      </c>
      <c r="C3" t="s">
        <v>3409</v>
      </c>
      <c r="D3" t="s">
        <v>3409</v>
      </c>
    </row>
    <row r="4" spans="1:4" hidden="1" x14ac:dyDescent="0.25">
      <c r="A4" t="s">
        <v>3382</v>
      </c>
      <c r="B4" t="s">
        <v>3382</v>
      </c>
      <c r="C4" t="s">
        <v>3382</v>
      </c>
      <c r="D4" t="s">
        <v>3382</v>
      </c>
    </row>
    <row r="5" spans="1:4" hidden="1" x14ac:dyDescent="0.25">
      <c r="A5" t="s">
        <v>3414</v>
      </c>
      <c r="B5" t="s">
        <v>3414</v>
      </c>
      <c r="C5" t="s">
        <v>3414</v>
      </c>
      <c r="D5" t="s">
        <v>3414</v>
      </c>
    </row>
    <row r="6" spans="1:4" hidden="1" x14ac:dyDescent="0.25">
      <c r="A6" t="s">
        <v>3399</v>
      </c>
      <c r="B6" t="s">
        <v>3399</v>
      </c>
      <c r="C6" t="s">
        <v>3399</v>
      </c>
      <c r="D6" t="s">
        <v>3399</v>
      </c>
    </row>
    <row r="7" spans="1:4" hidden="1" x14ac:dyDescent="0.25">
      <c r="A7" t="s">
        <v>3383</v>
      </c>
      <c r="B7" t="s">
        <v>3383</v>
      </c>
      <c r="C7" t="s">
        <v>3383</v>
      </c>
      <c r="D7" t="s">
        <v>3383</v>
      </c>
    </row>
    <row r="8" spans="1:4" hidden="1" x14ac:dyDescent="0.25">
      <c r="A8" t="s">
        <v>3384</v>
      </c>
      <c r="B8" t="s">
        <v>3384</v>
      </c>
      <c r="C8" t="s">
        <v>3384</v>
      </c>
      <c r="D8" t="s">
        <v>3384</v>
      </c>
    </row>
    <row r="9" spans="1:4" hidden="1" x14ac:dyDescent="0.25">
      <c r="A9" t="s">
        <v>3385</v>
      </c>
      <c r="B9" t="s">
        <v>3385</v>
      </c>
      <c r="C9" t="s">
        <v>3385</v>
      </c>
      <c r="D9" t="s">
        <v>3385</v>
      </c>
    </row>
    <row r="10" spans="1:4" hidden="1" x14ac:dyDescent="0.25">
      <c r="A10" t="s">
        <v>3391</v>
      </c>
      <c r="B10" t="s">
        <v>3391</v>
      </c>
      <c r="C10" t="s">
        <v>3391</v>
      </c>
      <c r="D10" t="s">
        <v>3391</v>
      </c>
    </row>
    <row r="11" spans="1:4" hidden="1" x14ac:dyDescent="0.25">
      <c r="A11" t="s">
        <v>3395</v>
      </c>
      <c r="B11" t="s">
        <v>3395</v>
      </c>
      <c r="C11" t="s">
        <v>3395</v>
      </c>
      <c r="D11" t="s">
        <v>3395</v>
      </c>
    </row>
    <row r="12" spans="1:4" hidden="1" x14ac:dyDescent="0.25">
      <c r="A12" t="s">
        <v>3386</v>
      </c>
      <c r="B12" t="s">
        <v>3386</v>
      </c>
      <c r="C12" t="s">
        <v>3386</v>
      </c>
      <c r="D12" t="s">
        <v>3386</v>
      </c>
    </row>
    <row r="13" spans="1:4" hidden="1" x14ac:dyDescent="0.25">
      <c r="A13" t="s">
        <v>3392</v>
      </c>
      <c r="B13" t="s">
        <v>3392</v>
      </c>
      <c r="C13" t="s">
        <v>3392</v>
      </c>
      <c r="D13" t="s">
        <v>3392</v>
      </c>
    </row>
    <row r="14" spans="1:4" hidden="1" x14ac:dyDescent="0.25">
      <c r="A14" t="s">
        <v>3393</v>
      </c>
      <c r="B14" t="s">
        <v>3393</v>
      </c>
      <c r="C14" t="s">
        <v>3393</v>
      </c>
      <c r="D14" t="s">
        <v>3393</v>
      </c>
    </row>
    <row r="15" spans="1:4" hidden="1" x14ac:dyDescent="0.25">
      <c r="A15" t="s">
        <v>3394</v>
      </c>
      <c r="B15" t="s">
        <v>3394</v>
      </c>
      <c r="C15" t="s">
        <v>3394</v>
      </c>
      <c r="D15" t="s">
        <v>3394</v>
      </c>
    </row>
    <row r="16" spans="1:4" hidden="1" x14ac:dyDescent="0.25">
      <c r="A16" t="s">
        <v>3396</v>
      </c>
      <c r="B16" t="s">
        <v>3396</v>
      </c>
      <c r="C16" t="s">
        <v>3396</v>
      </c>
      <c r="D16" t="s">
        <v>3396</v>
      </c>
    </row>
    <row r="17" spans="1:4" hidden="1" x14ac:dyDescent="0.25">
      <c r="A17" t="s">
        <v>3404</v>
      </c>
      <c r="B17" t="s">
        <v>3404</v>
      </c>
      <c r="C17" t="s">
        <v>3404</v>
      </c>
      <c r="D17" t="s">
        <v>3404</v>
      </c>
    </row>
    <row r="18" spans="1:4" hidden="1" x14ac:dyDescent="0.25">
      <c r="A18" t="s">
        <v>3397</v>
      </c>
      <c r="B18" t="s">
        <v>3397</v>
      </c>
      <c r="C18" t="s">
        <v>3397</v>
      </c>
      <c r="D18" t="s">
        <v>3397</v>
      </c>
    </row>
    <row r="19" spans="1:4" hidden="1" x14ac:dyDescent="0.25">
      <c r="A19" t="s">
        <v>3398</v>
      </c>
      <c r="B19" t="s">
        <v>3398</v>
      </c>
      <c r="C19" t="s">
        <v>3398</v>
      </c>
      <c r="D19" t="s">
        <v>3398</v>
      </c>
    </row>
    <row r="20" spans="1:4" hidden="1" x14ac:dyDescent="0.25">
      <c r="A20" t="s">
        <v>3400</v>
      </c>
      <c r="B20" t="s">
        <v>3400</v>
      </c>
      <c r="C20" t="s">
        <v>3400</v>
      </c>
      <c r="D20" t="s">
        <v>3400</v>
      </c>
    </row>
    <row r="21" spans="1:4" hidden="1" x14ac:dyDescent="0.25">
      <c r="A21" t="s">
        <v>2415</v>
      </c>
      <c r="B21" t="s">
        <v>2414</v>
      </c>
      <c r="C21">
        <v>0</v>
      </c>
      <c r="D21">
        <v>0</v>
      </c>
    </row>
    <row r="22" spans="1:4" hidden="1" x14ac:dyDescent="0.25">
      <c r="A22" t="s">
        <v>2413</v>
      </c>
      <c r="B22" t="s">
        <v>2412</v>
      </c>
      <c r="C22" t="s">
        <v>2105</v>
      </c>
      <c r="D22">
        <v>0</v>
      </c>
    </row>
    <row r="23" spans="1:4" hidden="1" x14ac:dyDescent="0.25">
      <c r="A23" t="s">
        <v>2411</v>
      </c>
      <c r="B23" t="s">
        <v>2410</v>
      </c>
      <c r="C23" t="s">
        <v>2101</v>
      </c>
      <c r="D23">
        <v>0</v>
      </c>
    </row>
    <row r="24" spans="1:4" hidden="1" x14ac:dyDescent="0.25">
      <c r="A24" t="s">
        <v>2409</v>
      </c>
      <c r="B24" t="s">
        <v>2408</v>
      </c>
      <c r="C24" t="s">
        <v>2098</v>
      </c>
      <c r="D24">
        <v>0</v>
      </c>
    </row>
    <row r="25" spans="1:4" x14ac:dyDescent="0.25">
      <c r="A25" t="s">
        <v>2407</v>
      </c>
      <c r="B25" t="s">
        <v>2406</v>
      </c>
      <c r="C25" t="s">
        <v>19</v>
      </c>
      <c r="D25" t="s">
        <v>19</v>
      </c>
    </row>
    <row r="26" spans="1:4" hidden="1" x14ac:dyDescent="0.25">
      <c r="A26" t="s">
        <v>2405</v>
      </c>
      <c r="B26" t="s">
        <v>2404</v>
      </c>
      <c r="C26" t="s">
        <v>1718</v>
      </c>
      <c r="D26">
        <v>0</v>
      </c>
    </row>
    <row r="27" spans="1:4" hidden="1" x14ac:dyDescent="0.25">
      <c r="A27" t="s">
        <v>2403</v>
      </c>
      <c r="B27" t="s">
        <v>2402</v>
      </c>
      <c r="C27" t="s">
        <v>2090</v>
      </c>
      <c r="D27">
        <v>0</v>
      </c>
    </row>
    <row r="28" spans="1:4" hidden="1" x14ac:dyDescent="0.25">
      <c r="A28" t="s">
        <v>2401</v>
      </c>
      <c r="B28" t="s">
        <v>2400</v>
      </c>
      <c r="C28" t="s">
        <v>2087</v>
      </c>
      <c r="D28">
        <v>0</v>
      </c>
    </row>
    <row r="29" spans="1:4" hidden="1" x14ac:dyDescent="0.25">
      <c r="A29" t="s">
        <v>2399</v>
      </c>
      <c r="B29" t="s">
        <v>2398</v>
      </c>
      <c r="C29" t="s">
        <v>2084</v>
      </c>
      <c r="D29">
        <v>0</v>
      </c>
    </row>
    <row r="30" spans="1:4" hidden="1" x14ac:dyDescent="0.25">
      <c r="A30" t="s">
        <v>2397</v>
      </c>
      <c r="B30" t="s">
        <v>2396</v>
      </c>
      <c r="C30" t="s">
        <v>1713</v>
      </c>
      <c r="D30" t="s">
        <v>1713</v>
      </c>
    </row>
    <row r="31" spans="1:4" hidden="1" x14ac:dyDescent="0.25">
      <c r="A31" t="s">
        <v>2395</v>
      </c>
      <c r="B31" t="s">
        <v>2394</v>
      </c>
      <c r="C31" t="s">
        <v>1711</v>
      </c>
      <c r="D31" t="s">
        <v>1710</v>
      </c>
    </row>
    <row r="32" spans="1:4" hidden="1" x14ac:dyDescent="0.25">
      <c r="A32" t="s">
        <v>2393</v>
      </c>
      <c r="B32" t="s">
        <v>2392</v>
      </c>
      <c r="C32" t="s">
        <v>1708</v>
      </c>
      <c r="D32" t="s">
        <v>1707</v>
      </c>
    </row>
    <row r="33" spans="1:4" hidden="1" x14ac:dyDescent="0.25">
      <c r="A33" t="s">
        <v>2391</v>
      </c>
      <c r="B33" t="s">
        <v>2390</v>
      </c>
      <c r="C33" t="s">
        <v>2114</v>
      </c>
      <c r="D33" t="s">
        <v>2114</v>
      </c>
    </row>
    <row r="34" spans="1:4" hidden="1" x14ac:dyDescent="0.25">
      <c r="A34" t="s">
        <v>2389</v>
      </c>
      <c r="B34" t="s">
        <v>2388</v>
      </c>
      <c r="C34" t="s">
        <v>1704</v>
      </c>
      <c r="D34" t="s">
        <v>1704</v>
      </c>
    </row>
    <row r="35" spans="1:4" hidden="1" x14ac:dyDescent="0.25">
      <c r="A35" t="s">
        <v>2387</v>
      </c>
      <c r="B35" t="s">
        <v>2386</v>
      </c>
      <c r="C35" t="s">
        <v>2078</v>
      </c>
      <c r="D35">
        <v>0</v>
      </c>
    </row>
    <row r="36" spans="1:4" hidden="1" x14ac:dyDescent="0.25">
      <c r="A36" t="s">
        <v>2385</v>
      </c>
      <c r="B36" t="s">
        <v>2384</v>
      </c>
      <c r="C36" t="s">
        <v>2075</v>
      </c>
      <c r="D36">
        <v>0</v>
      </c>
    </row>
    <row r="37" spans="1:4" hidden="1" x14ac:dyDescent="0.25">
      <c r="A37" t="s">
        <v>2064</v>
      </c>
      <c r="B37" t="s">
        <v>2063</v>
      </c>
      <c r="C37">
        <v>0</v>
      </c>
      <c r="D37">
        <v>0</v>
      </c>
    </row>
    <row r="38" spans="1:4" hidden="1" x14ac:dyDescent="0.25">
      <c r="A38" t="s">
        <v>2062</v>
      </c>
      <c r="B38" t="s">
        <v>2061</v>
      </c>
      <c r="C38">
        <v>0</v>
      </c>
      <c r="D38">
        <v>0</v>
      </c>
    </row>
    <row r="39" spans="1:4" hidden="1" x14ac:dyDescent="0.25">
      <c r="A39" t="s">
        <v>2060</v>
      </c>
      <c r="B39" t="s">
        <v>2059</v>
      </c>
      <c r="C39">
        <v>0</v>
      </c>
      <c r="D39">
        <v>0</v>
      </c>
    </row>
    <row r="40" spans="1:4" hidden="1" x14ac:dyDescent="0.25">
      <c r="A40" t="s">
        <v>2058</v>
      </c>
      <c r="B40" t="s">
        <v>2057</v>
      </c>
      <c r="C40">
        <v>0</v>
      </c>
      <c r="D40">
        <v>0</v>
      </c>
    </row>
    <row r="41" spans="1:4" hidden="1" x14ac:dyDescent="0.25">
      <c r="A41" t="s">
        <v>2056</v>
      </c>
      <c r="B41" t="s">
        <v>2055</v>
      </c>
      <c r="C41">
        <v>0</v>
      </c>
      <c r="D41">
        <v>0</v>
      </c>
    </row>
    <row r="42" spans="1:4" hidden="1" x14ac:dyDescent="0.25">
      <c r="A42" t="s">
        <v>2383</v>
      </c>
      <c r="B42" t="s">
        <v>2382</v>
      </c>
      <c r="C42" t="s">
        <v>1726</v>
      </c>
      <c r="D42" t="s">
        <v>1725</v>
      </c>
    </row>
    <row r="43" spans="1:4" hidden="1" x14ac:dyDescent="0.25">
      <c r="A43" t="s">
        <v>2381</v>
      </c>
      <c r="B43" t="s">
        <v>2380</v>
      </c>
      <c r="C43" t="s">
        <v>1726</v>
      </c>
      <c r="D43" t="s">
        <v>1725</v>
      </c>
    </row>
    <row r="44" spans="1:4" hidden="1" x14ac:dyDescent="0.25">
      <c r="A44" t="s">
        <v>2379</v>
      </c>
      <c r="B44" t="s">
        <v>2378</v>
      </c>
      <c r="C44" t="s">
        <v>1726</v>
      </c>
      <c r="D44" t="s">
        <v>1725</v>
      </c>
    </row>
    <row r="45" spans="1:4" hidden="1" x14ac:dyDescent="0.25">
      <c r="A45" t="s">
        <v>2377</v>
      </c>
      <c r="B45" t="s">
        <v>2376</v>
      </c>
      <c r="C45" t="s">
        <v>2230</v>
      </c>
      <c r="D45">
        <v>0</v>
      </c>
    </row>
    <row r="46" spans="1:4" hidden="1" x14ac:dyDescent="0.25">
      <c r="A46" t="s">
        <v>2375</v>
      </c>
      <c r="B46" t="s">
        <v>2374</v>
      </c>
      <c r="C46" t="s">
        <v>1726</v>
      </c>
      <c r="D46" t="s">
        <v>1725</v>
      </c>
    </row>
    <row r="47" spans="1:4" hidden="1" x14ac:dyDescent="0.25">
      <c r="A47" t="s">
        <v>2373</v>
      </c>
      <c r="B47" t="s">
        <v>2372</v>
      </c>
      <c r="C47" t="s">
        <v>2168</v>
      </c>
      <c r="D47" t="s">
        <v>2167</v>
      </c>
    </row>
    <row r="48" spans="1:4" hidden="1" x14ac:dyDescent="0.25">
      <c r="A48" t="s">
        <v>2054</v>
      </c>
      <c r="B48" t="s">
        <v>2044</v>
      </c>
      <c r="C48">
        <v>0</v>
      </c>
      <c r="D48">
        <v>0</v>
      </c>
    </row>
    <row r="49" spans="1:4" hidden="1" x14ac:dyDescent="0.25">
      <c r="A49" t="s">
        <v>2053</v>
      </c>
      <c r="B49" t="s">
        <v>2042</v>
      </c>
      <c r="C49">
        <v>0</v>
      </c>
      <c r="D49">
        <v>0</v>
      </c>
    </row>
    <row r="50" spans="1:4" hidden="1" x14ac:dyDescent="0.25">
      <c r="A50" t="s">
        <v>2052</v>
      </c>
      <c r="B50" t="s">
        <v>2040</v>
      </c>
      <c r="C50">
        <v>0</v>
      </c>
      <c r="D50">
        <v>0</v>
      </c>
    </row>
    <row r="51" spans="1:4" hidden="1" x14ac:dyDescent="0.25">
      <c r="A51" t="s">
        <v>2051</v>
      </c>
      <c r="B51" t="s">
        <v>2038</v>
      </c>
      <c r="C51">
        <v>0</v>
      </c>
      <c r="D51">
        <v>0</v>
      </c>
    </row>
    <row r="52" spans="1:4" hidden="1" x14ac:dyDescent="0.25">
      <c r="A52" t="s">
        <v>2050</v>
      </c>
      <c r="B52" t="s">
        <v>2036</v>
      </c>
      <c r="C52">
        <v>0</v>
      </c>
      <c r="D52">
        <v>0</v>
      </c>
    </row>
    <row r="53" spans="1:4" hidden="1" x14ac:dyDescent="0.25">
      <c r="A53" t="s">
        <v>2049</v>
      </c>
      <c r="B53" t="s">
        <v>2034</v>
      </c>
      <c r="C53">
        <v>0</v>
      </c>
      <c r="D53">
        <v>0</v>
      </c>
    </row>
    <row r="54" spans="1:4" hidden="1" x14ac:dyDescent="0.25">
      <c r="A54" t="s">
        <v>2048</v>
      </c>
      <c r="B54" t="s">
        <v>2032</v>
      </c>
      <c r="C54">
        <v>0</v>
      </c>
      <c r="D54">
        <v>0</v>
      </c>
    </row>
    <row r="55" spans="1:4" hidden="1" x14ac:dyDescent="0.25">
      <c r="A55" t="s">
        <v>2047</v>
      </c>
      <c r="B55" t="s">
        <v>2030</v>
      </c>
      <c r="C55">
        <v>0</v>
      </c>
      <c r="D55">
        <v>0</v>
      </c>
    </row>
    <row r="56" spans="1:4" hidden="1" x14ac:dyDescent="0.25">
      <c r="A56" t="s">
        <v>2046</v>
      </c>
      <c r="B56" t="s">
        <v>2028</v>
      </c>
      <c r="C56">
        <v>0</v>
      </c>
      <c r="D56">
        <v>0</v>
      </c>
    </row>
    <row r="57" spans="1:4" hidden="1" x14ac:dyDescent="0.25">
      <c r="A57" t="s">
        <v>3210</v>
      </c>
      <c r="B57" t="s">
        <v>3212</v>
      </c>
      <c r="C57" t="s">
        <v>3210</v>
      </c>
      <c r="D57" t="s">
        <v>3210</v>
      </c>
    </row>
    <row r="58" spans="1:4" hidden="1" x14ac:dyDescent="0.25">
      <c r="A58" t="s">
        <v>3211</v>
      </c>
      <c r="B58" t="s">
        <v>3213</v>
      </c>
      <c r="C58" t="s">
        <v>3214</v>
      </c>
      <c r="D58" t="s">
        <v>3214</v>
      </c>
    </row>
    <row r="59" spans="1:4" hidden="1" x14ac:dyDescent="0.25">
      <c r="A59" t="s">
        <v>2371</v>
      </c>
      <c r="B59" t="s">
        <v>2370</v>
      </c>
      <c r="C59">
        <v>0</v>
      </c>
      <c r="D59">
        <v>0</v>
      </c>
    </row>
    <row r="60" spans="1:4" hidden="1" x14ac:dyDescent="0.25">
      <c r="A60" t="s">
        <v>2105</v>
      </c>
      <c r="B60" t="s">
        <v>2369</v>
      </c>
      <c r="C60">
        <v>0</v>
      </c>
      <c r="D60">
        <v>0</v>
      </c>
    </row>
    <row r="61" spans="1:4" hidden="1" x14ac:dyDescent="0.25">
      <c r="A61" t="s">
        <v>2368</v>
      </c>
      <c r="B61" t="s">
        <v>2357</v>
      </c>
      <c r="C61">
        <v>0</v>
      </c>
      <c r="D61">
        <v>0</v>
      </c>
    </row>
    <row r="62" spans="1:4" x14ac:dyDescent="0.25">
      <c r="A62" t="s">
        <v>2367</v>
      </c>
      <c r="B62" t="s">
        <v>2366</v>
      </c>
      <c r="C62" t="s">
        <v>2221</v>
      </c>
      <c r="D62" t="s">
        <v>19</v>
      </c>
    </row>
    <row r="63" spans="1:4" x14ac:dyDescent="0.25">
      <c r="A63" t="s">
        <v>2365</v>
      </c>
      <c r="B63" t="s">
        <v>2364</v>
      </c>
      <c r="C63" t="s">
        <v>19</v>
      </c>
      <c r="D63" t="s">
        <v>19</v>
      </c>
    </row>
    <row r="64" spans="1:4" hidden="1" x14ac:dyDescent="0.25">
      <c r="A64" t="s">
        <v>2101</v>
      </c>
      <c r="B64" t="s">
        <v>2363</v>
      </c>
      <c r="C64" t="s">
        <v>2101</v>
      </c>
      <c r="D64">
        <v>0</v>
      </c>
    </row>
    <row r="65" spans="1:4" hidden="1" x14ac:dyDescent="0.25">
      <c r="A65" t="s">
        <v>2045</v>
      </c>
      <c r="B65" t="s">
        <v>2044</v>
      </c>
      <c r="C65">
        <v>0</v>
      </c>
      <c r="D65">
        <v>0</v>
      </c>
    </row>
    <row r="66" spans="1:4" hidden="1" x14ac:dyDescent="0.25">
      <c r="A66" t="s">
        <v>2043</v>
      </c>
      <c r="B66" t="s">
        <v>2042</v>
      </c>
      <c r="C66">
        <v>0</v>
      </c>
      <c r="D66">
        <v>0</v>
      </c>
    </row>
    <row r="67" spans="1:4" hidden="1" x14ac:dyDescent="0.25">
      <c r="A67" t="s">
        <v>2041</v>
      </c>
      <c r="B67" t="s">
        <v>2040</v>
      </c>
      <c r="C67">
        <v>0</v>
      </c>
      <c r="D67">
        <v>0</v>
      </c>
    </row>
    <row r="68" spans="1:4" hidden="1" x14ac:dyDescent="0.25">
      <c r="A68" t="s">
        <v>2039</v>
      </c>
      <c r="B68" t="s">
        <v>2038</v>
      </c>
      <c r="C68">
        <v>0</v>
      </c>
      <c r="D68">
        <v>0</v>
      </c>
    </row>
    <row r="69" spans="1:4" hidden="1" x14ac:dyDescent="0.25">
      <c r="A69" t="s">
        <v>2037</v>
      </c>
      <c r="B69" t="s">
        <v>2036</v>
      </c>
      <c r="C69">
        <v>0</v>
      </c>
      <c r="D69">
        <v>0</v>
      </c>
    </row>
    <row r="70" spans="1:4" hidden="1" x14ac:dyDescent="0.25">
      <c r="A70" t="s">
        <v>2035</v>
      </c>
      <c r="B70" t="s">
        <v>2034</v>
      </c>
      <c r="C70">
        <v>0</v>
      </c>
      <c r="D70">
        <v>0</v>
      </c>
    </row>
    <row r="71" spans="1:4" hidden="1" x14ac:dyDescent="0.25">
      <c r="A71" t="s">
        <v>2033</v>
      </c>
      <c r="B71" t="s">
        <v>2032</v>
      </c>
      <c r="C71">
        <v>0</v>
      </c>
      <c r="D71">
        <v>0</v>
      </c>
    </row>
    <row r="72" spans="1:4" hidden="1" x14ac:dyDescent="0.25">
      <c r="A72" t="s">
        <v>2031</v>
      </c>
      <c r="B72" t="s">
        <v>2030</v>
      </c>
      <c r="C72">
        <v>0</v>
      </c>
      <c r="D72">
        <v>0</v>
      </c>
    </row>
    <row r="73" spans="1:4" hidden="1" x14ac:dyDescent="0.25">
      <c r="A73" t="s">
        <v>2029</v>
      </c>
      <c r="B73" t="s">
        <v>2028</v>
      </c>
      <c r="C73">
        <v>0</v>
      </c>
      <c r="D73">
        <v>0</v>
      </c>
    </row>
    <row r="74" spans="1:4" hidden="1" x14ac:dyDescent="0.25">
      <c r="A74" t="s">
        <v>2362</v>
      </c>
      <c r="B74" t="s">
        <v>2361</v>
      </c>
      <c r="C74" t="s">
        <v>2360</v>
      </c>
      <c r="D74">
        <v>0</v>
      </c>
    </row>
    <row r="75" spans="1:4" hidden="1" x14ac:dyDescent="0.25">
      <c r="A75" t="s">
        <v>2098</v>
      </c>
      <c r="B75" t="s">
        <v>2359</v>
      </c>
      <c r="C75" t="s">
        <v>1774</v>
      </c>
      <c r="D75">
        <v>0</v>
      </c>
    </row>
    <row r="76" spans="1:4" hidden="1" x14ac:dyDescent="0.25">
      <c r="A76" t="s">
        <v>2358</v>
      </c>
      <c r="B76" t="s">
        <v>2357</v>
      </c>
      <c r="C76" t="s">
        <v>1774</v>
      </c>
      <c r="D76">
        <v>0</v>
      </c>
    </row>
    <row r="77" spans="1:4" hidden="1" x14ac:dyDescent="0.25">
      <c r="A77" t="s">
        <v>2356</v>
      </c>
      <c r="B77" t="s">
        <v>2355</v>
      </c>
      <c r="C77" t="s">
        <v>1774</v>
      </c>
      <c r="D77">
        <v>0</v>
      </c>
    </row>
    <row r="78" spans="1:4" x14ac:dyDescent="0.25">
      <c r="A78" t="s">
        <v>2354</v>
      </c>
      <c r="B78" t="s">
        <v>2353</v>
      </c>
      <c r="C78" t="s">
        <v>19</v>
      </c>
      <c r="D78" t="s">
        <v>19</v>
      </c>
    </row>
    <row r="79" spans="1:4" x14ac:dyDescent="0.25">
      <c r="A79" t="s">
        <v>2352</v>
      </c>
      <c r="B79" t="s">
        <v>2351</v>
      </c>
      <c r="C79" t="s">
        <v>1777</v>
      </c>
      <c r="D79">
        <v>0</v>
      </c>
    </row>
    <row r="80" spans="1:4" hidden="1" x14ac:dyDescent="0.25">
      <c r="A80" t="s">
        <v>1848</v>
      </c>
      <c r="B80" t="s">
        <v>1847</v>
      </c>
      <c r="C80">
        <v>0</v>
      </c>
      <c r="D80">
        <v>0</v>
      </c>
    </row>
    <row r="81" spans="1:4" hidden="1" x14ac:dyDescent="0.25">
      <c r="A81" t="s">
        <v>1846</v>
      </c>
      <c r="B81" t="s">
        <v>1845</v>
      </c>
      <c r="C81">
        <v>0</v>
      </c>
      <c r="D81">
        <v>0</v>
      </c>
    </row>
    <row r="82" spans="1:4" hidden="1" x14ac:dyDescent="0.25">
      <c r="A82" t="s">
        <v>1844</v>
      </c>
      <c r="B82" t="s">
        <v>1843</v>
      </c>
      <c r="C82">
        <v>0</v>
      </c>
      <c r="D82">
        <v>0</v>
      </c>
    </row>
    <row r="83" spans="1:4" hidden="1" x14ac:dyDescent="0.25">
      <c r="A83" t="s">
        <v>1842</v>
      </c>
      <c r="B83" t="s">
        <v>1841</v>
      </c>
      <c r="C83">
        <v>0</v>
      </c>
      <c r="D83">
        <v>0</v>
      </c>
    </row>
    <row r="84" spans="1:4" hidden="1" x14ac:dyDescent="0.25">
      <c r="A84" t="s">
        <v>1840</v>
      </c>
      <c r="B84" t="s">
        <v>1839</v>
      </c>
      <c r="C84" t="s">
        <v>1780</v>
      </c>
      <c r="D84">
        <v>0</v>
      </c>
    </row>
    <row r="85" spans="1:4" hidden="1" x14ac:dyDescent="0.25">
      <c r="A85" t="s">
        <v>2350</v>
      </c>
      <c r="B85" t="s">
        <v>2349</v>
      </c>
      <c r="C85" t="s">
        <v>2105</v>
      </c>
      <c r="D85">
        <v>0</v>
      </c>
    </row>
    <row r="86" spans="1:4" hidden="1" x14ac:dyDescent="0.25">
      <c r="A86" t="s">
        <v>2348</v>
      </c>
      <c r="B86" t="s">
        <v>2347</v>
      </c>
      <c r="C86" t="s">
        <v>2101</v>
      </c>
      <c r="D86">
        <v>0</v>
      </c>
    </row>
    <row r="87" spans="1:4" hidden="1" x14ac:dyDescent="0.25">
      <c r="A87" t="s">
        <v>1838</v>
      </c>
      <c r="B87" t="s">
        <v>1837</v>
      </c>
      <c r="C87" t="s">
        <v>1774</v>
      </c>
      <c r="D87">
        <v>0</v>
      </c>
    </row>
    <row r="88" spans="1:4" hidden="1" x14ac:dyDescent="0.25">
      <c r="A88" t="s">
        <v>2346</v>
      </c>
      <c r="B88" t="s">
        <v>2345</v>
      </c>
      <c r="C88" t="s">
        <v>2098</v>
      </c>
      <c r="D88">
        <v>0</v>
      </c>
    </row>
    <row r="89" spans="1:4" x14ac:dyDescent="0.25">
      <c r="A89" t="s">
        <v>2344</v>
      </c>
      <c r="B89" t="s">
        <v>2343</v>
      </c>
      <c r="C89" t="s">
        <v>19</v>
      </c>
      <c r="D89" t="s">
        <v>19</v>
      </c>
    </row>
    <row r="90" spans="1:4" hidden="1" x14ac:dyDescent="0.25">
      <c r="A90" t="s">
        <v>2342</v>
      </c>
      <c r="B90" t="s">
        <v>2341</v>
      </c>
      <c r="C90" t="s">
        <v>1718</v>
      </c>
      <c r="D90">
        <v>0</v>
      </c>
    </row>
    <row r="91" spans="1:4" hidden="1" x14ac:dyDescent="0.25">
      <c r="A91" t="s">
        <v>2340</v>
      </c>
      <c r="B91" t="s">
        <v>2339</v>
      </c>
      <c r="C91" t="s">
        <v>1680</v>
      </c>
      <c r="D91" t="s">
        <v>1680</v>
      </c>
    </row>
    <row r="92" spans="1:4" hidden="1" x14ac:dyDescent="0.25">
      <c r="A92" t="s">
        <v>1836</v>
      </c>
      <c r="B92" t="s">
        <v>1835</v>
      </c>
      <c r="C92" t="s">
        <v>1771</v>
      </c>
      <c r="D92">
        <v>0</v>
      </c>
    </row>
    <row r="93" spans="1:4" hidden="1" x14ac:dyDescent="0.25">
      <c r="A93" t="s">
        <v>2338</v>
      </c>
      <c r="B93" t="s">
        <v>2337</v>
      </c>
      <c r="C93" t="s">
        <v>2090</v>
      </c>
      <c r="D93">
        <v>0</v>
      </c>
    </row>
    <row r="94" spans="1:4" hidden="1" x14ac:dyDescent="0.25">
      <c r="A94" t="s">
        <v>2336</v>
      </c>
      <c r="B94" t="s">
        <v>2335</v>
      </c>
      <c r="C94" t="s">
        <v>2087</v>
      </c>
      <c r="D94">
        <v>0</v>
      </c>
    </row>
    <row r="95" spans="1:4" hidden="1" x14ac:dyDescent="0.25">
      <c r="A95" t="s">
        <v>1834</v>
      </c>
      <c r="B95" t="s">
        <v>1833</v>
      </c>
      <c r="C95" t="s">
        <v>1765</v>
      </c>
      <c r="D95">
        <v>0</v>
      </c>
    </row>
    <row r="96" spans="1:4" hidden="1" x14ac:dyDescent="0.25">
      <c r="A96" t="s">
        <v>2334</v>
      </c>
      <c r="B96" t="s">
        <v>2333</v>
      </c>
      <c r="C96" t="s">
        <v>2084</v>
      </c>
      <c r="D96">
        <v>0</v>
      </c>
    </row>
    <row r="97" spans="1:4" hidden="1" x14ac:dyDescent="0.25">
      <c r="A97" t="s">
        <v>2332</v>
      </c>
      <c r="B97" t="s">
        <v>2331</v>
      </c>
      <c r="C97" t="s">
        <v>1713</v>
      </c>
      <c r="D97" t="s">
        <v>1713</v>
      </c>
    </row>
    <row r="98" spans="1:4" hidden="1" x14ac:dyDescent="0.25">
      <c r="A98" t="s">
        <v>2330</v>
      </c>
      <c r="B98" t="s">
        <v>2329</v>
      </c>
      <c r="C98" t="s">
        <v>1711</v>
      </c>
      <c r="D98" t="s">
        <v>1710</v>
      </c>
    </row>
    <row r="99" spans="1:4" hidden="1" x14ac:dyDescent="0.25">
      <c r="A99" t="s">
        <v>2328</v>
      </c>
      <c r="B99" t="s">
        <v>2327</v>
      </c>
      <c r="C99" t="s">
        <v>1708</v>
      </c>
      <c r="D99" t="s">
        <v>1707</v>
      </c>
    </row>
    <row r="100" spans="1:4" hidden="1" x14ac:dyDescent="0.25">
      <c r="A100" t="s">
        <v>2326</v>
      </c>
      <c r="B100" t="s">
        <v>2325</v>
      </c>
      <c r="C100" t="s">
        <v>2114</v>
      </c>
      <c r="D100" t="s">
        <v>2114</v>
      </c>
    </row>
    <row r="101" spans="1:4" hidden="1" x14ac:dyDescent="0.25">
      <c r="A101" t="s">
        <v>2324</v>
      </c>
      <c r="B101" t="s">
        <v>2323</v>
      </c>
      <c r="C101" t="s">
        <v>1704</v>
      </c>
      <c r="D101" t="s">
        <v>1704</v>
      </c>
    </row>
    <row r="102" spans="1:4" hidden="1" x14ac:dyDescent="0.25">
      <c r="A102" t="s">
        <v>2322</v>
      </c>
      <c r="B102" t="s">
        <v>2321</v>
      </c>
      <c r="C102" t="s">
        <v>2078</v>
      </c>
      <c r="D102">
        <v>0</v>
      </c>
    </row>
    <row r="103" spans="1:4" hidden="1" x14ac:dyDescent="0.25">
      <c r="A103" t="s">
        <v>1832</v>
      </c>
      <c r="B103" t="s">
        <v>1831</v>
      </c>
      <c r="C103" t="s">
        <v>1759</v>
      </c>
      <c r="D103">
        <v>0</v>
      </c>
    </row>
    <row r="104" spans="1:4" hidden="1" x14ac:dyDescent="0.25">
      <c r="A104" t="s">
        <v>2320</v>
      </c>
      <c r="B104" t="s">
        <v>2319</v>
      </c>
      <c r="C104" t="s">
        <v>2075</v>
      </c>
      <c r="D104">
        <v>0</v>
      </c>
    </row>
    <row r="105" spans="1:4" hidden="1" x14ac:dyDescent="0.25">
      <c r="A105" t="s">
        <v>1830</v>
      </c>
      <c r="B105" t="s">
        <v>1829</v>
      </c>
      <c r="C105">
        <v>0</v>
      </c>
      <c r="D105">
        <v>0</v>
      </c>
    </row>
    <row r="106" spans="1:4" hidden="1" x14ac:dyDescent="0.25">
      <c r="A106" t="s">
        <v>1828</v>
      </c>
      <c r="B106" t="s">
        <v>1827</v>
      </c>
      <c r="C106">
        <v>0</v>
      </c>
      <c r="D106">
        <v>0</v>
      </c>
    </row>
    <row r="107" spans="1:4" x14ac:dyDescent="0.25">
      <c r="A107" t="s">
        <v>2318</v>
      </c>
      <c r="B107" t="s">
        <v>2317</v>
      </c>
      <c r="C107" t="s">
        <v>19</v>
      </c>
      <c r="D107" t="s">
        <v>19</v>
      </c>
    </row>
    <row r="108" spans="1:4" hidden="1" x14ac:dyDescent="0.25">
      <c r="A108" t="s">
        <v>2417</v>
      </c>
      <c r="B108" t="s">
        <v>2416</v>
      </c>
      <c r="C108" t="s">
        <v>1718</v>
      </c>
      <c r="D108">
        <v>0</v>
      </c>
    </row>
    <row r="109" spans="1:4" hidden="1" x14ac:dyDescent="0.25">
      <c r="A109" t="s">
        <v>2316</v>
      </c>
      <c r="B109" t="s">
        <v>2315</v>
      </c>
      <c r="C109" t="s">
        <v>1718</v>
      </c>
      <c r="D109">
        <v>0</v>
      </c>
    </row>
    <row r="110" spans="1:4" hidden="1" x14ac:dyDescent="0.25">
      <c r="A110" t="s">
        <v>3133</v>
      </c>
      <c r="B110" t="s">
        <v>3134</v>
      </c>
      <c r="C110" t="s">
        <v>3135</v>
      </c>
      <c r="D110" t="s">
        <v>3135</v>
      </c>
    </row>
    <row r="111" spans="1:4" hidden="1" x14ac:dyDescent="0.25">
      <c r="A111" t="s">
        <v>2429</v>
      </c>
      <c r="B111" t="s">
        <v>2428</v>
      </c>
      <c r="C111">
        <v>0</v>
      </c>
      <c r="D111">
        <v>0</v>
      </c>
    </row>
    <row r="112" spans="1:4" hidden="1" x14ac:dyDescent="0.25">
      <c r="A112" t="s">
        <v>2431</v>
      </c>
      <c r="B112" t="s">
        <v>2430</v>
      </c>
      <c r="C112">
        <v>0</v>
      </c>
      <c r="D112">
        <v>0</v>
      </c>
    </row>
    <row r="113" spans="1:4" hidden="1" x14ac:dyDescent="0.25">
      <c r="A113" t="s">
        <v>2427</v>
      </c>
      <c r="B113" t="s">
        <v>2426</v>
      </c>
      <c r="C113">
        <v>0</v>
      </c>
      <c r="D113">
        <v>0</v>
      </c>
    </row>
    <row r="114" spans="1:4" hidden="1" x14ac:dyDescent="0.25">
      <c r="A114" t="s">
        <v>2425</v>
      </c>
      <c r="B114" t="s">
        <v>2424</v>
      </c>
      <c r="C114">
        <v>0</v>
      </c>
      <c r="D114">
        <v>0</v>
      </c>
    </row>
    <row r="115" spans="1:4" hidden="1" x14ac:dyDescent="0.25">
      <c r="A115" t="s">
        <v>2419</v>
      </c>
      <c r="B115" t="s">
        <v>2418</v>
      </c>
      <c r="C115" t="s">
        <v>1680</v>
      </c>
      <c r="D115" t="s">
        <v>1680</v>
      </c>
    </row>
    <row r="116" spans="1:4" hidden="1" x14ac:dyDescent="0.25">
      <c r="A116" t="s">
        <v>2314</v>
      </c>
      <c r="B116" t="s">
        <v>2313</v>
      </c>
      <c r="C116" t="s">
        <v>1680</v>
      </c>
      <c r="D116" t="s">
        <v>1680</v>
      </c>
    </row>
    <row r="117" spans="1:4" hidden="1" x14ac:dyDescent="0.25">
      <c r="A117" t="s">
        <v>2312</v>
      </c>
      <c r="B117" t="s">
        <v>2311</v>
      </c>
      <c r="C117" t="s">
        <v>1680</v>
      </c>
      <c r="D117" t="s">
        <v>1680</v>
      </c>
    </row>
    <row r="118" spans="1:4" hidden="1" x14ac:dyDescent="0.25">
      <c r="A118" t="s">
        <v>2310</v>
      </c>
      <c r="B118" t="s">
        <v>2309</v>
      </c>
      <c r="C118" t="s">
        <v>1680</v>
      </c>
      <c r="D118" t="s">
        <v>1680</v>
      </c>
    </row>
    <row r="119" spans="1:4" hidden="1" x14ac:dyDescent="0.25">
      <c r="A119" t="s">
        <v>2308</v>
      </c>
      <c r="B119" t="s">
        <v>2307</v>
      </c>
      <c r="C119" t="s">
        <v>1680</v>
      </c>
      <c r="D119" t="s">
        <v>1680</v>
      </c>
    </row>
    <row r="120" spans="1:4" hidden="1" x14ac:dyDescent="0.25">
      <c r="A120" t="s">
        <v>2306</v>
      </c>
      <c r="B120" t="s">
        <v>2305</v>
      </c>
      <c r="C120" t="s">
        <v>1680</v>
      </c>
      <c r="D120" t="s">
        <v>1680</v>
      </c>
    </row>
    <row r="121" spans="1:4" hidden="1" x14ac:dyDescent="0.25">
      <c r="A121" t="s">
        <v>2304</v>
      </c>
      <c r="B121" t="s">
        <v>2303</v>
      </c>
      <c r="C121" t="s">
        <v>1680</v>
      </c>
      <c r="D121" t="s">
        <v>1680</v>
      </c>
    </row>
    <row r="122" spans="1:4" hidden="1" x14ac:dyDescent="0.25">
      <c r="A122" t="s">
        <v>2302</v>
      </c>
      <c r="B122" t="s">
        <v>2301</v>
      </c>
      <c r="C122" t="s">
        <v>1680</v>
      </c>
      <c r="D122" t="s">
        <v>1680</v>
      </c>
    </row>
    <row r="123" spans="1:4" hidden="1" x14ac:dyDescent="0.25">
      <c r="A123" t="s">
        <v>2300</v>
      </c>
      <c r="B123" t="s">
        <v>2299</v>
      </c>
      <c r="C123" t="s">
        <v>1680</v>
      </c>
      <c r="D123" t="s">
        <v>1680</v>
      </c>
    </row>
    <row r="124" spans="1:4" hidden="1" x14ac:dyDescent="0.25">
      <c r="A124" t="s">
        <v>2298</v>
      </c>
      <c r="B124" t="s">
        <v>2297</v>
      </c>
      <c r="C124" t="s">
        <v>1680</v>
      </c>
      <c r="D124" t="s">
        <v>1680</v>
      </c>
    </row>
    <row r="125" spans="1:4" hidden="1" x14ac:dyDescent="0.25">
      <c r="A125" t="s">
        <v>2296</v>
      </c>
      <c r="B125" t="s">
        <v>2295</v>
      </c>
      <c r="C125" t="s">
        <v>1679</v>
      </c>
      <c r="D125">
        <v>0</v>
      </c>
    </row>
    <row r="126" spans="1:4" hidden="1" x14ac:dyDescent="0.25">
      <c r="A126" t="s">
        <v>2294</v>
      </c>
      <c r="B126" t="s">
        <v>2293</v>
      </c>
      <c r="C126" t="s">
        <v>1679</v>
      </c>
      <c r="D126">
        <v>0</v>
      </c>
    </row>
    <row r="127" spans="1:4" hidden="1" x14ac:dyDescent="0.25">
      <c r="A127" t="s">
        <v>2292</v>
      </c>
      <c r="B127" t="s">
        <v>2291</v>
      </c>
      <c r="C127" t="s">
        <v>1679</v>
      </c>
      <c r="D127">
        <v>0</v>
      </c>
    </row>
    <row r="128" spans="1:4" hidden="1" x14ac:dyDescent="0.25">
      <c r="A128" t="s">
        <v>2290</v>
      </c>
      <c r="B128" t="s">
        <v>2289</v>
      </c>
      <c r="C128" t="s">
        <v>386</v>
      </c>
      <c r="D128">
        <v>0</v>
      </c>
    </row>
    <row r="129" spans="1:4" hidden="1" x14ac:dyDescent="0.25">
      <c r="A129" t="s">
        <v>2288</v>
      </c>
      <c r="B129" t="s">
        <v>2287</v>
      </c>
      <c r="C129" t="s">
        <v>2201</v>
      </c>
      <c r="D129">
        <v>0</v>
      </c>
    </row>
    <row r="130" spans="1:4" hidden="1" x14ac:dyDescent="0.25">
      <c r="A130" t="s">
        <v>3136</v>
      </c>
      <c r="B130" t="s">
        <v>3137</v>
      </c>
      <c r="C130" t="s">
        <v>3138</v>
      </c>
      <c r="D130" t="s">
        <v>3138</v>
      </c>
    </row>
    <row r="131" spans="1:4" hidden="1" x14ac:dyDescent="0.25">
      <c r="A131" t="s">
        <v>2027</v>
      </c>
      <c r="B131" t="s">
        <v>1300</v>
      </c>
      <c r="C131">
        <v>0</v>
      </c>
      <c r="D131">
        <v>0</v>
      </c>
    </row>
    <row r="132" spans="1:4" hidden="1" x14ac:dyDescent="0.25">
      <c r="A132" t="s">
        <v>2026</v>
      </c>
      <c r="B132" t="s">
        <v>1298</v>
      </c>
      <c r="C132">
        <v>0</v>
      </c>
      <c r="D132">
        <v>0</v>
      </c>
    </row>
    <row r="133" spans="1:4" hidden="1" x14ac:dyDescent="0.25">
      <c r="A133" t="s">
        <v>2025</v>
      </c>
      <c r="B133" t="s">
        <v>1296</v>
      </c>
      <c r="C133">
        <v>0</v>
      </c>
      <c r="D133">
        <v>0</v>
      </c>
    </row>
    <row r="134" spans="1:4" hidden="1" x14ac:dyDescent="0.25">
      <c r="A134" t="s">
        <v>1826</v>
      </c>
      <c r="B134" t="s">
        <v>1825</v>
      </c>
      <c r="C134" t="s">
        <v>1718</v>
      </c>
      <c r="D134">
        <v>0</v>
      </c>
    </row>
    <row r="135" spans="1:4" hidden="1" x14ac:dyDescent="0.25">
      <c r="A135" t="s">
        <v>2024</v>
      </c>
      <c r="B135" t="s">
        <v>1294</v>
      </c>
      <c r="C135">
        <v>0</v>
      </c>
      <c r="D135">
        <v>0</v>
      </c>
    </row>
    <row r="136" spans="1:4" hidden="1" x14ac:dyDescent="0.25">
      <c r="A136" t="s">
        <v>1824</v>
      </c>
      <c r="B136" t="s">
        <v>1823</v>
      </c>
      <c r="C136" t="s">
        <v>1680</v>
      </c>
      <c r="D136" t="s">
        <v>1680</v>
      </c>
    </row>
    <row r="137" spans="1:4" hidden="1" x14ac:dyDescent="0.25">
      <c r="A137" t="s">
        <v>2023</v>
      </c>
      <c r="B137" t="s">
        <v>1292</v>
      </c>
      <c r="C137">
        <v>0</v>
      </c>
      <c r="D137">
        <v>0</v>
      </c>
    </row>
    <row r="138" spans="1:4" hidden="1" x14ac:dyDescent="0.25">
      <c r="A138" t="s">
        <v>2022</v>
      </c>
      <c r="B138" t="s">
        <v>1290</v>
      </c>
      <c r="C138">
        <v>0</v>
      </c>
      <c r="D138">
        <v>0</v>
      </c>
    </row>
    <row r="139" spans="1:4" hidden="1" x14ac:dyDescent="0.25">
      <c r="A139" t="s">
        <v>2021</v>
      </c>
      <c r="B139" t="s">
        <v>1288</v>
      </c>
      <c r="C139">
        <v>0</v>
      </c>
      <c r="D139">
        <v>0</v>
      </c>
    </row>
    <row r="140" spans="1:4" hidden="1" x14ac:dyDescent="0.25">
      <c r="A140" t="s">
        <v>2020</v>
      </c>
      <c r="B140" t="s">
        <v>1286</v>
      </c>
      <c r="C140">
        <v>0</v>
      </c>
      <c r="D140">
        <v>0</v>
      </c>
    </row>
    <row r="141" spans="1:4" hidden="1" x14ac:dyDescent="0.25">
      <c r="A141" t="s">
        <v>2019</v>
      </c>
      <c r="B141" t="s">
        <v>1284</v>
      </c>
      <c r="C141">
        <v>0</v>
      </c>
      <c r="D141">
        <v>0</v>
      </c>
    </row>
    <row r="142" spans="1:4" hidden="1" x14ac:dyDescent="0.25">
      <c r="A142" t="s">
        <v>2018</v>
      </c>
      <c r="B142" t="s">
        <v>1273</v>
      </c>
      <c r="C142">
        <v>0</v>
      </c>
      <c r="D142">
        <v>0</v>
      </c>
    </row>
    <row r="143" spans="1:4" hidden="1" x14ac:dyDescent="0.25">
      <c r="A143" t="s">
        <v>2017</v>
      </c>
      <c r="B143" t="s">
        <v>1271</v>
      </c>
      <c r="C143">
        <v>0</v>
      </c>
      <c r="D143">
        <v>0</v>
      </c>
    </row>
    <row r="144" spans="1:4" hidden="1" x14ac:dyDescent="0.25">
      <c r="A144" t="s">
        <v>3139</v>
      </c>
      <c r="B144" t="s">
        <v>1883</v>
      </c>
      <c r="C144">
        <v>0</v>
      </c>
      <c r="D144">
        <v>0</v>
      </c>
    </row>
    <row r="145" spans="1:4" hidden="1" x14ac:dyDescent="0.25">
      <c r="A145" t="s">
        <v>1822</v>
      </c>
      <c r="B145" t="s">
        <v>1821</v>
      </c>
      <c r="C145" t="s">
        <v>1718</v>
      </c>
      <c r="D145">
        <v>0</v>
      </c>
    </row>
    <row r="146" spans="1:4" hidden="1" x14ac:dyDescent="0.25">
      <c r="A146" t="s">
        <v>1820</v>
      </c>
      <c r="B146" t="s">
        <v>1819</v>
      </c>
      <c r="C146" t="s">
        <v>1680</v>
      </c>
      <c r="D146" t="s">
        <v>1680</v>
      </c>
    </row>
    <row r="147" spans="1:4" hidden="1" x14ac:dyDescent="0.25">
      <c r="A147" t="s">
        <v>2016</v>
      </c>
      <c r="B147" t="s">
        <v>1264</v>
      </c>
      <c r="C147">
        <v>0</v>
      </c>
      <c r="D147">
        <v>0</v>
      </c>
    </row>
    <row r="148" spans="1:4" hidden="1" x14ac:dyDescent="0.25">
      <c r="A148" t="s">
        <v>2015</v>
      </c>
      <c r="B148" t="s">
        <v>1262</v>
      </c>
      <c r="C148">
        <v>0</v>
      </c>
      <c r="D148">
        <v>0</v>
      </c>
    </row>
    <row r="149" spans="1:4" hidden="1" x14ac:dyDescent="0.25">
      <c r="A149" t="s">
        <v>2014</v>
      </c>
      <c r="B149" t="s">
        <v>1260</v>
      </c>
      <c r="C149">
        <v>0</v>
      </c>
      <c r="D149">
        <v>0</v>
      </c>
    </row>
    <row r="150" spans="1:4" hidden="1" x14ac:dyDescent="0.25">
      <c r="A150" t="s">
        <v>1818</v>
      </c>
      <c r="B150" t="s">
        <v>1817</v>
      </c>
      <c r="C150" t="s">
        <v>1718</v>
      </c>
      <c r="D150">
        <v>0</v>
      </c>
    </row>
    <row r="151" spans="1:4" hidden="1" x14ac:dyDescent="0.25">
      <c r="A151" t="s">
        <v>2013</v>
      </c>
      <c r="B151" t="s">
        <v>1258</v>
      </c>
      <c r="C151">
        <v>0</v>
      </c>
      <c r="D151">
        <v>0</v>
      </c>
    </row>
    <row r="152" spans="1:4" hidden="1" x14ac:dyDescent="0.25">
      <c r="A152" t="s">
        <v>1816</v>
      </c>
      <c r="B152" t="s">
        <v>1815</v>
      </c>
      <c r="C152" t="s">
        <v>1680</v>
      </c>
      <c r="D152" t="s">
        <v>1680</v>
      </c>
    </row>
    <row r="153" spans="1:4" hidden="1" x14ac:dyDescent="0.25">
      <c r="A153" t="s">
        <v>2012</v>
      </c>
      <c r="B153" t="s">
        <v>1256</v>
      </c>
      <c r="C153">
        <v>0</v>
      </c>
      <c r="D153">
        <v>0</v>
      </c>
    </row>
    <row r="154" spans="1:4" hidden="1" x14ac:dyDescent="0.25">
      <c r="A154" t="s">
        <v>2011</v>
      </c>
      <c r="B154" t="s">
        <v>1254</v>
      </c>
      <c r="C154">
        <v>0</v>
      </c>
      <c r="D154">
        <v>0</v>
      </c>
    </row>
    <row r="155" spans="1:4" hidden="1" x14ac:dyDescent="0.25">
      <c r="A155" t="s">
        <v>2010</v>
      </c>
      <c r="B155" t="s">
        <v>1252</v>
      </c>
      <c r="C155">
        <v>0</v>
      </c>
      <c r="D155">
        <v>0</v>
      </c>
    </row>
    <row r="156" spans="1:4" hidden="1" x14ac:dyDescent="0.25">
      <c r="A156" t="s">
        <v>2009</v>
      </c>
      <c r="B156" t="s">
        <v>1250</v>
      </c>
      <c r="C156">
        <v>0</v>
      </c>
      <c r="D156">
        <v>0</v>
      </c>
    </row>
    <row r="157" spans="1:4" hidden="1" x14ac:dyDescent="0.25">
      <c r="A157" t="s">
        <v>2008</v>
      </c>
      <c r="B157" t="s">
        <v>1248</v>
      </c>
      <c r="C157">
        <v>0</v>
      </c>
      <c r="D157">
        <v>0</v>
      </c>
    </row>
    <row r="158" spans="1:4" hidden="1" x14ac:dyDescent="0.25">
      <c r="A158" t="s">
        <v>2007</v>
      </c>
      <c r="B158" t="s">
        <v>1240</v>
      </c>
      <c r="C158">
        <v>0</v>
      </c>
      <c r="D158">
        <v>0</v>
      </c>
    </row>
    <row r="159" spans="1:4" hidden="1" x14ac:dyDescent="0.25">
      <c r="A159" t="s">
        <v>1814</v>
      </c>
      <c r="B159" t="s">
        <v>1813</v>
      </c>
      <c r="C159" t="s">
        <v>1726</v>
      </c>
      <c r="D159" t="s">
        <v>1725</v>
      </c>
    </row>
    <row r="160" spans="1:4" x14ac:dyDescent="0.25">
      <c r="A160" t="s">
        <v>1812</v>
      </c>
      <c r="B160" t="s">
        <v>1811</v>
      </c>
      <c r="C160" t="s">
        <v>1777</v>
      </c>
      <c r="D160">
        <v>0</v>
      </c>
    </row>
    <row r="161" spans="1:4" x14ac:dyDescent="0.25">
      <c r="A161" t="s">
        <v>1810</v>
      </c>
      <c r="B161" t="s">
        <v>1809</v>
      </c>
      <c r="C161" t="s">
        <v>1808</v>
      </c>
      <c r="D161" t="s">
        <v>1807</v>
      </c>
    </row>
    <row r="162" spans="1:4" hidden="1" x14ac:dyDescent="0.25">
      <c r="A162" t="s">
        <v>1806</v>
      </c>
      <c r="B162" t="s">
        <v>1805</v>
      </c>
      <c r="C162" t="s">
        <v>1774</v>
      </c>
      <c r="D162">
        <v>0</v>
      </c>
    </row>
    <row r="163" spans="1:4" x14ac:dyDescent="0.25">
      <c r="A163" t="s">
        <v>1804</v>
      </c>
      <c r="B163" t="s">
        <v>1803</v>
      </c>
      <c r="C163" t="s">
        <v>19</v>
      </c>
      <c r="D163" t="s">
        <v>19</v>
      </c>
    </row>
    <row r="164" spans="1:4" hidden="1" x14ac:dyDescent="0.25">
      <c r="A164" t="s">
        <v>1802</v>
      </c>
      <c r="B164" t="s">
        <v>1801</v>
      </c>
      <c r="C164" t="s">
        <v>1800</v>
      </c>
      <c r="D164" t="s">
        <v>1799</v>
      </c>
    </row>
    <row r="165" spans="1:4" hidden="1" x14ac:dyDescent="0.25">
      <c r="A165" t="s">
        <v>1882</v>
      </c>
      <c r="B165" t="s">
        <v>1881</v>
      </c>
      <c r="C165" t="s">
        <v>3151</v>
      </c>
      <c r="D165" t="s">
        <v>3151</v>
      </c>
    </row>
    <row r="166" spans="1:4" hidden="1" x14ac:dyDescent="0.25">
      <c r="A166" t="s">
        <v>1798</v>
      </c>
      <c r="B166" t="s">
        <v>1797</v>
      </c>
      <c r="C166" t="s">
        <v>1718</v>
      </c>
      <c r="D166">
        <v>0</v>
      </c>
    </row>
    <row r="167" spans="1:4" hidden="1" x14ac:dyDescent="0.25">
      <c r="A167" t="s">
        <v>1796</v>
      </c>
      <c r="B167" t="s">
        <v>1795</v>
      </c>
      <c r="C167" t="s">
        <v>1680</v>
      </c>
      <c r="D167" t="s">
        <v>1680</v>
      </c>
    </row>
    <row r="168" spans="1:4" hidden="1" x14ac:dyDescent="0.25">
      <c r="A168" t="s">
        <v>3140</v>
      </c>
      <c r="B168" t="s">
        <v>3141</v>
      </c>
      <c r="C168" t="s">
        <v>3151</v>
      </c>
      <c r="D168" t="s">
        <v>3151</v>
      </c>
    </row>
    <row r="169" spans="1:4" hidden="1" x14ac:dyDescent="0.25">
      <c r="A169" t="s">
        <v>3142</v>
      </c>
      <c r="B169" t="s">
        <v>3143</v>
      </c>
      <c r="C169" t="s">
        <v>386</v>
      </c>
      <c r="D169">
        <v>0</v>
      </c>
    </row>
    <row r="170" spans="1:4" hidden="1" x14ac:dyDescent="0.25">
      <c r="A170" t="s">
        <v>3144</v>
      </c>
      <c r="B170" t="s">
        <v>3145</v>
      </c>
      <c r="C170" t="s">
        <v>1718</v>
      </c>
      <c r="D170">
        <v>0</v>
      </c>
    </row>
    <row r="171" spans="1:4" hidden="1" x14ac:dyDescent="0.25">
      <c r="A171" t="s">
        <v>3146</v>
      </c>
      <c r="B171" t="s">
        <v>3147</v>
      </c>
      <c r="C171" t="s">
        <v>386</v>
      </c>
      <c r="D171">
        <v>0</v>
      </c>
    </row>
    <row r="172" spans="1:4" hidden="1" x14ac:dyDescent="0.25">
      <c r="A172" t="s">
        <v>3148</v>
      </c>
      <c r="B172" t="s">
        <v>3149</v>
      </c>
      <c r="C172" t="s">
        <v>3150</v>
      </c>
      <c r="D172">
        <v>0</v>
      </c>
    </row>
    <row r="173" spans="1:4" hidden="1" x14ac:dyDescent="0.25">
      <c r="A173" t="s">
        <v>1794</v>
      </c>
      <c r="B173" t="s">
        <v>312</v>
      </c>
      <c r="C173" t="s">
        <v>1713</v>
      </c>
      <c r="D173" t="s">
        <v>1713</v>
      </c>
    </row>
    <row r="174" spans="1:4" hidden="1" x14ac:dyDescent="0.25">
      <c r="A174" t="s">
        <v>1793</v>
      </c>
      <c r="B174" t="s">
        <v>310</v>
      </c>
      <c r="C174" t="s">
        <v>1704</v>
      </c>
      <c r="D174" t="s">
        <v>1704</v>
      </c>
    </row>
    <row r="175" spans="1:4" hidden="1" x14ac:dyDescent="0.25">
      <c r="A175" t="s">
        <v>1792</v>
      </c>
      <c r="B175" t="s">
        <v>1791</v>
      </c>
      <c r="C175" t="s">
        <v>1790</v>
      </c>
      <c r="D175">
        <v>0</v>
      </c>
    </row>
    <row r="176" spans="1:4" hidden="1" x14ac:dyDescent="0.25">
      <c r="A176" t="s">
        <v>1789</v>
      </c>
      <c r="B176" t="s">
        <v>1788</v>
      </c>
      <c r="C176" t="s">
        <v>1787</v>
      </c>
      <c r="D176">
        <v>0</v>
      </c>
    </row>
    <row r="177" spans="1:4" x14ac:dyDescent="0.25">
      <c r="A177" t="s">
        <v>3152</v>
      </c>
      <c r="B177" t="s">
        <v>3153</v>
      </c>
      <c r="C177" t="s">
        <v>19</v>
      </c>
      <c r="D177" t="s">
        <v>19</v>
      </c>
    </row>
    <row r="178" spans="1:4" hidden="1" x14ac:dyDescent="0.25">
      <c r="A178" t="s">
        <v>2006</v>
      </c>
      <c r="B178" t="s">
        <v>1194</v>
      </c>
      <c r="C178">
        <v>0</v>
      </c>
      <c r="D178">
        <v>0</v>
      </c>
    </row>
    <row r="179" spans="1:4" hidden="1" x14ac:dyDescent="0.25">
      <c r="A179" t="s">
        <v>2005</v>
      </c>
      <c r="B179" t="s">
        <v>1192</v>
      </c>
      <c r="C179">
        <v>0</v>
      </c>
      <c r="D179">
        <v>0</v>
      </c>
    </row>
    <row r="180" spans="1:4" hidden="1" x14ac:dyDescent="0.25">
      <c r="A180" t="s">
        <v>2004</v>
      </c>
      <c r="B180" t="s">
        <v>1190</v>
      </c>
      <c r="C180">
        <v>0</v>
      </c>
      <c r="D180">
        <v>0</v>
      </c>
    </row>
    <row r="181" spans="1:4" hidden="1" x14ac:dyDescent="0.25">
      <c r="A181" t="s">
        <v>1786</v>
      </c>
      <c r="B181" t="s">
        <v>1785</v>
      </c>
      <c r="C181" t="s">
        <v>1718</v>
      </c>
      <c r="D181">
        <v>0</v>
      </c>
    </row>
    <row r="182" spans="1:4" hidden="1" x14ac:dyDescent="0.25">
      <c r="A182" t="s">
        <v>2003</v>
      </c>
      <c r="B182" t="s">
        <v>1188</v>
      </c>
      <c r="C182">
        <v>0</v>
      </c>
      <c r="D182">
        <v>0</v>
      </c>
    </row>
    <row r="183" spans="1:4" hidden="1" x14ac:dyDescent="0.25">
      <c r="A183" t="s">
        <v>1784</v>
      </c>
      <c r="B183" t="s">
        <v>1783</v>
      </c>
      <c r="C183" t="s">
        <v>1680</v>
      </c>
      <c r="D183" t="s">
        <v>1680</v>
      </c>
    </row>
    <row r="184" spans="1:4" hidden="1" x14ac:dyDescent="0.25">
      <c r="A184" t="s">
        <v>2002</v>
      </c>
      <c r="B184" t="s">
        <v>1186</v>
      </c>
      <c r="C184">
        <v>0</v>
      </c>
      <c r="D184">
        <v>0</v>
      </c>
    </row>
    <row r="185" spans="1:4" hidden="1" x14ac:dyDescent="0.25">
      <c r="A185" t="s">
        <v>2001</v>
      </c>
      <c r="B185" t="s">
        <v>1184</v>
      </c>
      <c r="C185">
        <v>0</v>
      </c>
      <c r="D185">
        <v>0</v>
      </c>
    </row>
    <row r="186" spans="1:4" hidden="1" x14ac:dyDescent="0.25">
      <c r="A186" t="s">
        <v>2000</v>
      </c>
      <c r="B186" t="s">
        <v>1182</v>
      </c>
      <c r="C186">
        <v>0</v>
      </c>
      <c r="D186">
        <v>0</v>
      </c>
    </row>
    <row r="187" spans="1:4" hidden="1" x14ac:dyDescent="0.25">
      <c r="A187" t="s">
        <v>1999</v>
      </c>
      <c r="B187" t="s">
        <v>1180</v>
      </c>
      <c r="C187">
        <v>0</v>
      </c>
      <c r="D187">
        <v>0</v>
      </c>
    </row>
    <row r="188" spans="1:4" hidden="1" x14ac:dyDescent="0.25">
      <c r="A188" t="s">
        <v>1998</v>
      </c>
      <c r="B188" t="s">
        <v>1178</v>
      </c>
      <c r="C188">
        <v>0</v>
      </c>
      <c r="D188">
        <v>0</v>
      </c>
    </row>
    <row r="189" spans="1:4" hidden="1" x14ac:dyDescent="0.25">
      <c r="A189" t="s">
        <v>1997</v>
      </c>
      <c r="B189" t="s">
        <v>1176</v>
      </c>
      <c r="C189">
        <v>0</v>
      </c>
      <c r="D189">
        <v>0</v>
      </c>
    </row>
    <row r="190" spans="1:4" hidden="1" x14ac:dyDescent="0.25">
      <c r="A190" t="s">
        <v>1996</v>
      </c>
      <c r="B190" t="s">
        <v>1164</v>
      </c>
      <c r="C190">
        <v>0</v>
      </c>
      <c r="D190">
        <v>0</v>
      </c>
    </row>
    <row r="191" spans="1:4" hidden="1" x14ac:dyDescent="0.25">
      <c r="A191" t="s">
        <v>2286</v>
      </c>
      <c r="B191" t="s">
        <v>2285</v>
      </c>
      <c r="C191" t="s">
        <v>1726</v>
      </c>
      <c r="D191" t="s">
        <v>1725</v>
      </c>
    </row>
    <row r="192" spans="1:4" hidden="1" x14ac:dyDescent="0.25">
      <c r="A192" t="s">
        <v>2284</v>
      </c>
      <c r="B192" t="s">
        <v>2283</v>
      </c>
      <c r="C192" t="s">
        <v>2168</v>
      </c>
      <c r="D192" t="s">
        <v>2167</v>
      </c>
    </row>
    <row r="193" spans="1:4" hidden="1" x14ac:dyDescent="0.25">
      <c r="A193" t="s">
        <v>3154</v>
      </c>
      <c r="B193" t="s">
        <v>3155</v>
      </c>
      <c r="C193" t="s">
        <v>3156</v>
      </c>
      <c r="D193">
        <v>0</v>
      </c>
    </row>
    <row r="194" spans="1:4" hidden="1" x14ac:dyDescent="0.25">
      <c r="A194" t="s">
        <v>1782</v>
      </c>
      <c r="B194" t="s">
        <v>1781</v>
      </c>
      <c r="C194" t="s">
        <v>1780</v>
      </c>
      <c r="D194">
        <v>0</v>
      </c>
    </row>
    <row r="195" spans="1:4" hidden="1" x14ac:dyDescent="0.25">
      <c r="A195" t="s">
        <v>2282</v>
      </c>
      <c r="B195" t="s">
        <v>2281</v>
      </c>
      <c r="C195" t="s">
        <v>2105</v>
      </c>
      <c r="D195">
        <v>0</v>
      </c>
    </row>
    <row r="196" spans="1:4" x14ac:dyDescent="0.25">
      <c r="A196" t="s">
        <v>1779</v>
      </c>
      <c r="B196" t="s">
        <v>1778</v>
      </c>
      <c r="C196" t="s">
        <v>1777</v>
      </c>
      <c r="D196">
        <v>0</v>
      </c>
    </row>
    <row r="197" spans="1:4" x14ac:dyDescent="0.25">
      <c r="A197" t="s">
        <v>1694</v>
      </c>
      <c r="B197" t="s">
        <v>1693</v>
      </c>
      <c r="C197" t="s">
        <v>19</v>
      </c>
      <c r="D197" t="s">
        <v>19</v>
      </c>
    </row>
    <row r="198" spans="1:4" hidden="1" x14ac:dyDescent="0.25">
      <c r="A198" t="s">
        <v>2280</v>
      </c>
      <c r="B198" t="s">
        <v>2279</v>
      </c>
      <c r="C198" t="s">
        <v>2101</v>
      </c>
      <c r="D198">
        <v>0</v>
      </c>
    </row>
    <row r="199" spans="1:4" hidden="1" x14ac:dyDescent="0.25">
      <c r="A199" t="s">
        <v>1776</v>
      </c>
      <c r="B199" t="s">
        <v>1775</v>
      </c>
      <c r="C199" t="s">
        <v>1774</v>
      </c>
      <c r="D199">
        <v>0</v>
      </c>
    </row>
    <row r="200" spans="1:4" hidden="1" x14ac:dyDescent="0.25">
      <c r="A200" t="s">
        <v>2278</v>
      </c>
      <c r="B200" t="s">
        <v>2277</v>
      </c>
      <c r="C200" t="s">
        <v>1774</v>
      </c>
      <c r="D200">
        <v>0</v>
      </c>
    </row>
    <row r="201" spans="1:4" hidden="1" x14ac:dyDescent="0.25">
      <c r="A201" t="s">
        <v>3157</v>
      </c>
      <c r="B201" t="s">
        <v>3158</v>
      </c>
      <c r="C201" t="s">
        <v>1774</v>
      </c>
      <c r="D201">
        <v>0</v>
      </c>
    </row>
    <row r="202" spans="1:4" x14ac:dyDescent="0.25">
      <c r="A202" t="s">
        <v>2276</v>
      </c>
      <c r="B202" t="s">
        <v>2275</v>
      </c>
      <c r="C202" t="s">
        <v>19</v>
      </c>
      <c r="D202" t="s">
        <v>19</v>
      </c>
    </row>
    <row r="203" spans="1:4" x14ac:dyDescent="0.25">
      <c r="A203" t="s">
        <v>2274</v>
      </c>
      <c r="B203" t="s">
        <v>1778</v>
      </c>
      <c r="C203" t="s">
        <v>1777</v>
      </c>
      <c r="D203">
        <v>0</v>
      </c>
    </row>
    <row r="204" spans="1:4" hidden="1" x14ac:dyDescent="0.25">
      <c r="A204" t="s">
        <v>2273</v>
      </c>
      <c r="B204" t="s">
        <v>292</v>
      </c>
      <c r="C204" t="s">
        <v>1718</v>
      </c>
      <c r="D204">
        <v>0</v>
      </c>
    </row>
    <row r="205" spans="1:4" hidden="1" x14ac:dyDescent="0.25">
      <c r="A205" t="s">
        <v>2272</v>
      </c>
      <c r="B205" t="s">
        <v>2271</v>
      </c>
      <c r="C205" t="s">
        <v>1680</v>
      </c>
      <c r="D205" t="s">
        <v>1680</v>
      </c>
    </row>
    <row r="206" spans="1:4" hidden="1" x14ac:dyDescent="0.25">
      <c r="A206" t="s">
        <v>1773</v>
      </c>
      <c r="B206" t="s">
        <v>1772</v>
      </c>
      <c r="C206" t="s">
        <v>1771</v>
      </c>
      <c r="D206">
        <v>0</v>
      </c>
    </row>
    <row r="207" spans="1:4" hidden="1" x14ac:dyDescent="0.25">
      <c r="A207" t="s">
        <v>2270</v>
      </c>
      <c r="B207" t="s">
        <v>2269</v>
      </c>
      <c r="C207" t="s">
        <v>1771</v>
      </c>
      <c r="D207">
        <v>0</v>
      </c>
    </row>
    <row r="208" spans="1:4" hidden="1" x14ac:dyDescent="0.25">
      <c r="A208" t="s">
        <v>1770</v>
      </c>
      <c r="B208" t="s">
        <v>1769</v>
      </c>
      <c r="C208" t="s">
        <v>1768</v>
      </c>
      <c r="D208">
        <v>0</v>
      </c>
    </row>
    <row r="209" spans="1:4" hidden="1" x14ac:dyDescent="0.25">
      <c r="A209" t="s">
        <v>2268</v>
      </c>
      <c r="B209" t="s">
        <v>2267</v>
      </c>
      <c r="C209" t="s">
        <v>1768</v>
      </c>
      <c r="D209">
        <v>0</v>
      </c>
    </row>
    <row r="210" spans="1:4" hidden="1" x14ac:dyDescent="0.25">
      <c r="A210" t="s">
        <v>1767</v>
      </c>
      <c r="B210" t="s">
        <v>1766</v>
      </c>
      <c r="C210" t="s">
        <v>1765</v>
      </c>
      <c r="D210">
        <v>0</v>
      </c>
    </row>
    <row r="211" spans="1:4" hidden="1" x14ac:dyDescent="0.25">
      <c r="A211" t="s">
        <v>2266</v>
      </c>
      <c r="B211" t="s">
        <v>2265</v>
      </c>
      <c r="C211" t="s">
        <v>1765</v>
      </c>
      <c r="D211">
        <v>0</v>
      </c>
    </row>
    <row r="212" spans="1:4" hidden="1" x14ac:dyDescent="0.25">
      <c r="A212" t="s">
        <v>2264</v>
      </c>
      <c r="B212" t="s">
        <v>2263</v>
      </c>
      <c r="C212" t="s">
        <v>1713</v>
      </c>
      <c r="D212" t="s">
        <v>1713</v>
      </c>
    </row>
    <row r="213" spans="1:4" hidden="1" x14ac:dyDescent="0.25">
      <c r="A213" t="s">
        <v>2262</v>
      </c>
      <c r="B213" t="s">
        <v>284</v>
      </c>
      <c r="C213" t="s">
        <v>1711</v>
      </c>
      <c r="D213" t="s">
        <v>1710</v>
      </c>
    </row>
    <row r="214" spans="1:4" hidden="1" x14ac:dyDescent="0.25">
      <c r="A214" t="s">
        <v>2261</v>
      </c>
      <c r="B214" t="s">
        <v>2260</v>
      </c>
      <c r="C214" t="s">
        <v>1708</v>
      </c>
      <c r="D214" t="s">
        <v>1707</v>
      </c>
    </row>
    <row r="215" spans="1:4" hidden="1" x14ac:dyDescent="0.25">
      <c r="A215" t="s">
        <v>2259</v>
      </c>
      <c r="B215" t="s">
        <v>2258</v>
      </c>
      <c r="C215" t="s">
        <v>1704</v>
      </c>
      <c r="D215" t="s">
        <v>1704</v>
      </c>
    </row>
    <row r="216" spans="1:4" hidden="1" x14ac:dyDescent="0.25">
      <c r="A216" t="s">
        <v>2257</v>
      </c>
      <c r="B216" t="s">
        <v>2256</v>
      </c>
      <c r="C216" t="s">
        <v>2078</v>
      </c>
      <c r="D216">
        <v>0</v>
      </c>
    </row>
    <row r="217" spans="1:4" hidden="1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hidden="1" x14ac:dyDescent="0.25">
      <c r="A218" t="s">
        <v>1761</v>
      </c>
      <c r="B218" t="s">
        <v>1760</v>
      </c>
      <c r="C218" t="s">
        <v>1759</v>
      </c>
      <c r="D218">
        <v>0</v>
      </c>
    </row>
    <row r="219" spans="1:4" hidden="1" x14ac:dyDescent="0.25">
      <c r="A219" t="s">
        <v>2255</v>
      </c>
      <c r="B219" t="s">
        <v>2254</v>
      </c>
      <c r="C219" t="s">
        <v>1759</v>
      </c>
      <c r="D219">
        <v>0</v>
      </c>
    </row>
    <row r="220" spans="1:4" hidden="1" x14ac:dyDescent="0.25">
      <c r="A220" t="s">
        <v>2253</v>
      </c>
      <c r="B220" t="s">
        <v>2252</v>
      </c>
      <c r="C220" t="s">
        <v>1787</v>
      </c>
      <c r="D220">
        <v>0</v>
      </c>
    </row>
    <row r="221" spans="1:4" hidden="1" x14ac:dyDescent="0.25">
      <c r="A221" t="s">
        <v>1995</v>
      </c>
      <c r="B221" t="s">
        <v>1135</v>
      </c>
      <c r="C221">
        <v>0</v>
      </c>
      <c r="D221">
        <v>0</v>
      </c>
    </row>
    <row r="222" spans="1:4" hidden="1" x14ac:dyDescent="0.25">
      <c r="A222" t="s">
        <v>1994</v>
      </c>
      <c r="B222" t="s">
        <v>1133</v>
      </c>
      <c r="C222">
        <v>0</v>
      </c>
      <c r="D222">
        <v>0</v>
      </c>
    </row>
    <row r="223" spans="1:4" hidden="1" x14ac:dyDescent="0.25">
      <c r="A223" t="s">
        <v>1993</v>
      </c>
      <c r="B223" t="s">
        <v>1131</v>
      </c>
      <c r="C223">
        <v>0</v>
      </c>
      <c r="D223">
        <v>0</v>
      </c>
    </row>
    <row r="224" spans="1:4" hidden="1" x14ac:dyDescent="0.25">
      <c r="A224" t="s">
        <v>1758</v>
      </c>
      <c r="B224" t="s">
        <v>1757</v>
      </c>
      <c r="C224" t="s">
        <v>1718</v>
      </c>
      <c r="D224">
        <v>0</v>
      </c>
    </row>
    <row r="225" spans="1:4" hidden="1" x14ac:dyDescent="0.25">
      <c r="A225" t="s">
        <v>1992</v>
      </c>
      <c r="B225" t="s">
        <v>1129</v>
      </c>
      <c r="C225">
        <v>0</v>
      </c>
      <c r="D225">
        <v>0</v>
      </c>
    </row>
    <row r="226" spans="1:4" hidden="1" x14ac:dyDescent="0.25">
      <c r="A226" t="s">
        <v>1756</v>
      </c>
      <c r="B226" t="s">
        <v>1755</v>
      </c>
      <c r="C226" t="s">
        <v>1680</v>
      </c>
      <c r="D226" t="s">
        <v>1680</v>
      </c>
    </row>
    <row r="227" spans="1:4" hidden="1" x14ac:dyDescent="0.25">
      <c r="A227" t="s">
        <v>1991</v>
      </c>
      <c r="B227" t="s">
        <v>1127</v>
      </c>
      <c r="C227">
        <v>0</v>
      </c>
      <c r="D227">
        <v>0</v>
      </c>
    </row>
    <row r="228" spans="1:4" hidden="1" x14ac:dyDescent="0.25">
      <c r="A228" t="s">
        <v>1990</v>
      </c>
      <c r="B228" t="s">
        <v>1125</v>
      </c>
      <c r="C228">
        <v>0</v>
      </c>
      <c r="D228">
        <v>0</v>
      </c>
    </row>
    <row r="229" spans="1:4" hidden="1" x14ac:dyDescent="0.25">
      <c r="A229" t="s">
        <v>1989</v>
      </c>
      <c r="B229" t="s">
        <v>1123</v>
      </c>
      <c r="C229">
        <v>0</v>
      </c>
      <c r="D229">
        <v>0</v>
      </c>
    </row>
    <row r="230" spans="1:4" hidden="1" x14ac:dyDescent="0.25">
      <c r="A230" t="s">
        <v>1988</v>
      </c>
      <c r="B230" t="s">
        <v>1121</v>
      </c>
      <c r="C230">
        <v>0</v>
      </c>
      <c r="D230">
        <v>0</v>
      </c>
    </row>
    <row r="231" spans="1:4" hidden="1" x14ac:dyDescent="0.25">
      <c r="A231" t="s">
        <v>1987</v>
      </c>
      <c r="B231" t="s">
        <v>1119</v>
      </c>
      <c r="C231">
        <v>0</v>
      </c>
      <c r="D231">
        <v>0</v>
      </c>
    </row>
    <row r="232" spans="1:4" hidden="1" x14ac:dyDescent="0.25">
      <c r="A232" t="s">
        <v>1986</v>
      </c>
      <c r="B232" t="s">
        <v>1112</v>
      </c>
      <c r="C232">
        <v>0</v>
      </c>
      <c r="D232">
        <v>0</v>
      </c>
    </row>
    <row r="233" spans="1:4" hidden="1" x14ac:dyDescent="0.25">
      <c r="A233" t="s">
        <v>1754</v>
      </c>
      <c r="B233" t="s">
        <v>1753</v>
      </c>
      <c r="C233" t="s">
        <v>1726</v>
      </c>
      <c r="D233" t="s">
        <v>1725</v>
      </c>
    </row>
    <row r="234" spans="1:4" hidden="1" x14ac:dyDescent="0.25">
      <c r="A234" t="s">
        <v>1880</v>
      </c>
      <c r="B234" t="s">
        <v>1106</v>
      </c>
      <c r="C234">
        <v>0</v>
      </c>
      <c r="D234">
        <v>0</v>
      </c>
    </row>
    <row r="235" spans="1:4" hidden="1" x14ac:dyDescent="0.25">
      <c r="A235" t="s">
        <v>1752</v>
      </c>
      <c r="B235" t="s">
        <v>1751</v>
      </c>
      <c r="C235">
        <v>0</v>
      </c>
      <c r="D235">
        <v>0</v>
      </c>
    </row>
    <row r="236" spans="1:4" hidden="1" x14ac:dyDescent="0.25">
      <c r="A236" t="s">
        <v>1879</v>
      </c>
      <c r="B236" t="s">
        <v>1878</v>
      </c>
      <c r="C236">
        <v>0</v>
      </c>
      <c r="D236">
        <v>0</v>
      </c>
    </row>
    <row r="237" spans="1:4" hidden="1" x14ac:dyDescent="0.25">
      <c r="A237" t="s">
        <v>1750</v>
      </c>
      <c r="B237" t="s">
        <v>1749</v>
      </c>
      <c r="C237">
        <v>0</v>
      </c>
      <c r="D237">
        <v>0</v>
      </c>
    </row>
    <row r="238" spans="1:4" hidden="1" x14ac:dyDescent="0.25">
      <c r="A238" t="s">
        <v>1748</v>
      </c>
      <c r="B238" t="s">
        <v>1747</v>
      </c>
      <c r="C238">
        <v>0</v>
      </c>
      <c r="D238">
        <v>0</v>
      </c>
    </row>
    <row r="239" spans="1:4" x14ac:dyDescent="0.25">
      <c r="A239" t="s">
        <v>1746</v>
      </c>
      <c r="B239" t="s">
        <v>1745</v>
      </c>
      <c r="C239" t="s">
        <v>19</v>
      </c>
      <c r="D239" t="s">
        <v>19</v>
      </c>
    </row>
    <row r="240" spans="1:4" hidden="1" x14ac:dyDescent="0.25">
      <c r="A240" t="s">
        <v>1744</v>
      </c>
      <c r="B240" t="s">
        <v>1743</v>
      </c>
      <c r="C240" t="s">
        <v>1718</v>
      </c>
      <c r="D240">
        <v>0</v>
      </c>
    </row>
    <row r="241" spans="1:4" hidden="1" x14ac:dyDescent="0.25">
      <c r="A241" t="s">
        <v>1742</v>
      </c>
      <c r="B241" t="s">
        <v>1741</v>
      </c>
      <c r="C241" t="s">
        <v>1680</v>
      </c>
      <c r="D241" t="s">
        <v>1680</v>
      </c>
    </row>
    <row r="242" spans="1:4" hidden="1" x14ac:dyDescent="0.25">
      <c r="A242" t="s">
        <v>1877</v>
      </c>
      <c r="B242" t="s">
        <v>1876</v>
      </c>
      <c r="C242">
        <v>0</v>
      </c>
      <c r="D242">
        <v>0</v>
      </c>
    </row>
    <row r="243" spans="1:4" hidden="1" x14ac:dyDescent="0.25">
      <c r="A243" t="s">
        <v>1740</v>
      </c>
      <c r="B243" t="s">
        <v>1739</v>
      </c>
      <c r="C243">
        <v>0</v>
      </c>
      <c r="D243">
        <v>0</v>
      </c>
    </row>
    <row r="244" spans="1:4" hidden="1" x14ac:dyDescent="0.25">
      <c r="A244" t="s">
        <v>1875</v>
      </c>
      <c r="B244" t="s">
        <v>1874</v>
      </c>
      <c r="C244">
        <v>0</v>
      </c>
      <c r="D244">
        <v>0</v>
      </c>
    </row>
    <row r="245" spans="1:4" hidden="1" x14ac:dyDescent="0.25">
      <c r="A245" t="s">
        <v>1738</v>
      </c>
      <c r="B245" t="s">
        <v>1737</v>
      </c>
      <c r="C245">
        <v>0</v>
      </c>
      <c r="D245">
        <v>0</v>
      </c>
    </row>
    <row r="246" spans="1:4" hidden="1" x14ac:dyDescent="0.25">
      <c r="A246" t="s">
        <v>1736</v>
      </c>
      <c r="B246" t="s">
        <v>1735</v>
      </c>
      <c r="C246" t="s">
        <v>1713</v>
      </c>
      <c r="D246" t="s">
        <v>1713</v>
      </c>
    </row>
    <row r="247" spans="1:4" hidden="1" x14ac:dyDescent="0.25">
      <c r="A247" t="s">
        <v>1734</v>
      </c>
      <c r="B247" t="s">
        <v>1733</v>
      </c>
      <c r="C247">
        <v>0</v>
      </c>
      <c r="D247">
        <v>0</v>
      </c>
    </row>
    <row r="248" spans="1:4" hidden="1" x14ac:dyDescent="0.25">
      <c r="A248" t="s">
        <v>1873</v>
      </c>
      <c r="B248" t="s">
        <v>1065</v>
      </c>
      <c r="C248">
        <v>0</v>
      </c>
      <c r="D248">
        <v>0</v>
      </c>
    </row>
    <row r="249" spans="1:4" hidden="1" x14ac:dyDescent="0.25">
      <c r="A249" t="s">
        <v>1872</v>
      </c>
      <c r="B249" t="s">
        <v>1062</v>
      </c>
      <c r="C249">
        <v>0</v>
      </c>
      <c r="D249">
        <v>0</v>
      </c>
    </row>
    <row r="250" spans="1:4" hidden="1" x14ac:dyDescent="0.25">
      <c r="A250" t="s">
        <v>1871</v>
      </c>
      <c r="B250" t="s">
        <v>1059</v>
      </c>
      <c r="C250">
        <v>0</v>
      </c>
      <c r="D250">
        <v>0</v>
      </c>
    </row>
    <row r="251" spans="1:4" hidden="1" x14ac:dyDescent="0.25">
      <c r="A251" t="s">
        <v>1732</v>
      </c>
      <c r="B251" t="s">
        <v>1731</v>
      </c>
      <c r="C251" t="s">
        <v>1718</v>
      </c>
      <c r="D251">
        <v>0</v>
      </c>
    </row>
    <row r="252" spans="1:4" hidden="1" x14ac:dyDescent="0.25">
      <c r="A252" t="s">
        <v>1870</v>
      </c>
      <c r="B252" t="s">
        <v>1056</v>
      </c>
      <c r="C252">
        <v>0</v>
      </c>
      <c r="D252">
        <v>0</v>
      </c>
    </row>
    <row r="253" spans="1:4" hidden="1" x14ac:dyDescent="0.25">
      <c r="A253" t="s">
        <v>1730</v>
      </c>
      <c r="B253" t="s">
        <v>1729</v>
      </c>
      <c r="C253" t="s">
        <v>1680</v>
      </c>
      <c r="D253" t="s">
        <v>1680</v>
      </c>
    </row>
    <row r="254" spans="1:4" hidden="1" x14ac:dyDescent="0.25">
      <c r="A254" t="s">
        <v>1869</v>
      </c>
      <c r="B254" t="s">
        <v>1053</v>
      </c>
      <c r="C254">
        <v>0</v>
      </c>
      <c r="D254">
        <v>0</v>
      </c>
    </row>
    <row r="255" spans="1:4" hidden="1" x14ac:dyDescent="0.25">
      <c r="A255" t="s">
        <v>1868</v>
      </c>
      <c r="B255" t="s">
        <v>1050</v>
      </c>
      <c r="C255">
        <v>0</v>
      </c>
      <c r="D255">
        <v>0</v>
      </c>
    </row>
    <row r="256" spans="1:4" hidden="1" x14ac:dyDescent="0.25">
      <c r="A256" t="s">
        <v>1867</v>
      </c>
      <c r="B256" t="s">
        <v>1047</v>
      </c>
      <c r="C256">
        <v>0</v>
      </c>
      <c r="D256">
        <v>0</v>
      </c>
    </row>
    <row r="257" spans="1:4" hidden="1" x14ac:dyDescent="0.25">
      <c r="A257" t="s">
        <v>1866</v>
      </c>
      <c r="B257" t="s">
        <v>1045</v>
      </c>
      <c r="C257">
        <v>0</v>
      </c>
      <c r="D257">
        <v>0</v>
      </c>
    </row>
    <row r="258" spans="1:4" hidden="1" x14ac:dyDescent="0.25">
      <c r="A258" t="s">
        <v>1865</v>
      </c>
      <c r="B258" t="s">
        <v>1042</v>
      </c>
      <c r="C258">
        <v>0</v>
      </c>
      <c r="D258">
        <v>0</v>
      </c>
    </row>
    <row r="259" spans="1:4" hidden="1" x14ac:dyDescent="0.25">
      <c r="A259" t="s">
        <v>1864</v>
      </c>
      <c r="B259" t="s">
        <v>1039</v>
      </c>
      <c r="C259">
        <v>0</v>
      </c>
      <c r="D259">
        <v>0</v>
      </c>
    </row>
    <row r="260" spans="1:4" hidden="1" x14ac:dyDescent="0.25">
      <c r="A260" t="s">
        <v>1863</v>
      </c>
      <c r="B260" t="s">
        <v>1027</v>
      </c>
      <c r="C260">
        <v>0</v>
      </c>
      <c r="D260">
        <v>0</v>
      </c>
    </row>
    <row r="261" spans="1:4" hidden="1" x14ac:dyDescent="0.25">
      <c r="A261" t="s">
        <v>1728</v>
      </c>
      <c r="B261" t="s">
        <v>1727</v>
      </c>
      <c r="C261" t="s">
        <v>1726</v>
      </c>
      <c r="D261" t="s">
        <v>1725</v>
      </c>
    </row>
    <row r="262" spans="1:4" hidden="1" x14ac:dyDescent="0.25">
      <c r="A262" t="s">
        <v>1724</v>
      </c>
      <c r="B262" t="s">
        <v>1723</v>
      </c>
      <c r="C262">
        <v>0</v>
      </c>
      <c r="D262">
        <v>0</v>
      </c>
    </row>
    <row r="263" spans="1:4" x14ac:dyDescent="0.25">
      <c r="A263" t="s">
        <v>1722</v>
      </c>
      <c r="B263" t="s">
        <v>1721</v>
      </c>
      <c r="C263" t="s">
        <v>19</v>
      </c>
      <c r="D263" t="s">
        <v>19</v>
      </c>
    </row>
    <row r="264" spans="1:4" hidden="1" x14ac:dyDescent="0.25">
      <c r="A264" t="s">
        <v>1720</v>
      </c>
      <c r="B264" t="s">
        <v>1719</v>
      </c>
      <c r="C264" t="s">
        <v>1718</v>
      </c>
      <c r="D264">
        <v>0</v>
      </c>
    </row>
    <row r="265" spans="1:4" hidden="1" x14ac:dyDescent="0.25">
      <c r="A265" t="s">
        <v>1717</v>
      </c>
      <c r="B265" t="s">
        <v>1716</v>
      </c>
      <c r="C265" t="s">
        <v>1680</v>
      </c>
      <c r="D265" t="s">
        <v>1680</v>
      </c>
    </row>
    <row r="266" spans="1:4" hidden="1" x14ac:dyDescent="0.25">
      <c r="A266" t="s">
        <v>1715</v>
      </c>
      <c r="B266" t="s">
        <v>1714</v>
      </c>
      <c r="C266" t="s">
        <v>1713</v>
      </c>
      <c r="D266" t="s">
        <v>1713</v>
      </c>
    </row>
    <row r="267" spans="1:4" hidden="1" x14ac:dyDescent="0.25">
      <c r="A267" t="s">
        <v>1712</v>
      </c>
      <c r="B267" t="s">
        <v>245</v>
      </c>
      <c r="C267" t="s">
        <v>1711</v>
      </c>
      <c r="D267" t="s">
        <v>1710</v>
      </c>
    </row>
    <row r="268" spans="1:4" hidden="1" x14ac:dyDescent="0.25">
      <c r="A268" t="s">
        <v>1709</v>
      </c>
      <c r="B268" t="s">
        <v>243</v>
      </c>
      <c r="C268" t="s">
        <v>1708</v>
      </c>
      <c r="D268" t="s">
        <v>1707</v>
      </c>
    </row>
    <row r="269" spans="1:4" hidden="1" x14ac:dyDescent="0.25">
      <c r="A269" t="s">
        <v>1706</v>
      </c>
      <c r="B269" t="s">
        <v>1705</v>
      </c>
      <c r="C269" t="s">
        <v>1704</v>
      </c>
      <c r="D269" t="s">
        <v>1704</v>
      </c>
    </row>
    <row r="270" spans="1:4" hidden="1" x14ac:dyDescent="0.25">
      <c r="A270" t="s">
        <v>1862</v>
      </c>
      <c r="B270" t="s">
        <v>1861</v>
      </c>
      <c r="C270">
        <v>0</v>
      </c>
      <c r="D270">
        <v>0</v>
      </c>
    </row>
    <row r="271" spans="1:4" hidden="1" x14ac:dyDescent="0.25">
      <c r="A271" t="s">
        <v>1703</v>
      </c>
      <c r="B271" t="s">
        <v>1702</v>
      </c>
      <c r="C271">
        <v>0</v>
      </c>
      <c r="D271">
        <v>0</v>
      </c>
    </row>
    <row r="272" spans="1:4" hidden="1" x14ac:dyDescent="0.25">
      <c r="A272" t="s">
        <v>1860</v>
      </c>
      <c r="B272" t="s">
        <v>1859</v>
      </c>
      <c r="C272">
        <v>0</v>
      </c>
      <c r="D272">
        <v>0</v>
      </c>
    </row>
    <row r="273" spans="1:4" hidden="1" x14ac:dyDescent="0.25">
      <c r="A273" t="s">
        <v>1701</v>
      </c>
      <c r="B273" t="s">
        <v>1700</v>
      </c>
      <c r="C273">
        <v>0</v>
      </c>
      <c r="D273">
        <v>0</v>
      </c>
    </row>
    <row r="274" spans="1:4" hidden="1" x14ac:dyDescent="0.25">
      <c r="A274" t="s">
        <v>1699</v>
      </c>
      <c r="B274" t="s">
        <v>1698</v>
      </c>
      <c r="C274" t="s">
        <v>1697</v>
      </c>
      <c r="D274">
        <v>0</v>
      </c>
    </row>
    <row r="275" spans="1:4" hidden="1" x14ac:dyDescent="0.25">
      <c r="A275" t="s">
        <v>1696</v>
      </c>
      <c r="B275" t="s">
        <v>1695</v>
      </c>
      <c r="C275">
        <v>0</v>
      </c>
      <c r="D275">
        <v>0</v>
      </c>
    </row>
    <row r="276" spans="1:4" hidden="1" x14ac:dyDescent="0.25">
      <c r="A276" t="s">
        <v>2090</v>
      </c>
      <c r="B276" t="s">
        <v>2251</v>
      </c>
      <c r="C276">
        <v>0</v>
      </c>
      <c r="D276">
        <v>0</v>
      </c>
    </row>
    <row r="277" spans="1:4" hidden="1" x14ac:dyDescent="0.25">
      <c r="A277" t="s">
        <v>2087</v>
      </c>
      <c r="B277" t="s">
        <v>2250</v>
      </c>
      <c r="C277">
        <v>0</v>
      </c>
      <c r="D277">
        <v>0</v>
      </c>
    </row>
    <row r="278" spans="1:4" hidden="1" x14ac:dyDescent="0.25">
      <c r="A278" t="s">
        <v>2084</v>
      </c>
      <c r="B278" t="s">
        <v>2249</v>
      </c>
      <c r="C278">
        <v>0</v>
      </c>
      <c r="D278">
        <v>0</v>
      </c>
    </row>
    <row r="279" spans="1:4" hidden="1" x14ac:dyDescent="0.25">
      <c r="A279" t="s">
        <v>2248</v>
      </c>
      <c r="B279" t="s">
        <v>2247</v>
      </c>
      <c r="C279" t="s">
        <v>2184</v>
      </c>
      <c r="D279">
        <v>0</v>
      </c>
    </row>
    <row r="280" spans="1:4" hidden="1" x14ac:dyDescent="0.25">
      <c r="A280" t="s">
        <v>2246</v>
      </c>
      <c r="B280" t="s">
        <v>2245</v>
      </c>
      <c r="C280" t="s">
        <v>2120</v>
      </c>
      <c r="D280" t="s">
        <v>2119</v>
      </c>
    </row>
    <row r="281" spans="1:4" hidden="1" x14ac:dyDescent="0.25">
      <c r="A281" t="s">
        <v>2244</v>
      </c>
      <c r="B281" t="s">
        <v>2243</v>
      </c>
      <c r="C281" t="s">
        <v>2082</v>
      </c>
      <c r="D281">
        <v>0</v>
      </c>
    </row>
    <row r="282" spans="1:4" hidden="1" x14ac:dyDescent="0.25">
      <c r="A282" t="s">
        <v>2242</v>
      </c>
      <c r="B282" t="s">
        <v>2241</v>
      </c>
      <c r="C282" t="s">
        <v>1713</v>
      </c>
      <c r="D282" t="s">
        <v>1713</v>
      </c>
    </row>
    <row r="283" spans="1:4" hidden="1" x14ac:dyDescent="0.25">
      <c r="A283" t="s">
        <v>2240</v>
      </c>
      <c r="B283" t="s">
        <v>2239</v>
      </c>
      <c r="C283" t="s">
        <v>1711</v>
      </c>
      <c r="D283" t="s">
        <v>1710</v>
      </c>
    </row>
    <row r="284" spans="1:4" hidden="1" x14ac:dyDescent="0.25">
      <c r="A284" t="s">
        <v>2238</v>
      </c>
      <c r="B284" t="s">
        <v>2237</v>
      </c>
      <c r="C284" t="s">
        <v>1708</v>
      </c>
      <c r="D284" t="s">
        <v>1707</v>
      </c>
    </row>
    <row r="285" spans="1:4" hidden="1" x14ac:dyDescent="0.25">
      <c r="A285" t="s">
        <v>2236</v>
      </c>
      <c r="B285" t="s">
        <v>2235</v>
      </c>
      <c r="C285" t="s">
        <v>2114</v>
      </c>
      <c r="D285" t="s">
        <v>2114</v>
      </c>
    </row>
    <row r="286" spans="1:4" hidden="1" x14ac:dyDescent="0.25">
      <c r="A286" t="s">
        <v>2234</v>
      </c>
      <c r="B286" t="s">
        <v>2233</v>
      </c>
      <c r="C286" t="s">
        <v>1704</v>
      </c>
      <c r="D286" t="s">
        <v>1704</v>
      </c>
    </row>
    <row r="287" spans="1:4" hidden="1" x14ac:dyDescent="0.25">
      <c r="A287" t="s">
        <v>2423</v>
      </c>
      <c r="B287" t="s">
        <v>2422</v>
      </c>
      <c r="C287" t="s">
        <v>2421</v>
      </c>
      <c r="D287" t="s">
        <v>2420</v>
      </c>
    </row>
    <row r="288" spans="1:4" hidden="1" x14ac:dyDescent="0.25">
      <c r="A288" t="s">
        <v>3159</v>
      </c>
      <c r="B288" t="s">
        <v>3160</v>
      </c>
      <c r="C288" t="s">
        <v>3150</v>
      </c>
      <c r="D288">
        <v>0</v>
      </c>
    </row>
    <row r="289" spans="1:4" hidden="1" x14ac:dyDescent="0.25">
      <c r="A289" t="s">
        <v>1678</v>
      </c>
      <c r="B289" t="s">
        <v>1677</v>
      </c>
      <c r="C289">
        <v>0</v>
      </c>
      <c r="D289">
        <v>0</v>
      </c>
    </row>
    <row r="290" spans="1:4" hidden="1" x14ac:dyDescent="0.25">
      <c r="A290" t="s">
        <v>1676</v>
      </c>
      <c r="B290" t="s">
        <v>1675</v>
      </c>
      <c r="C290">
        <v>0</v>
      </c>
      <c r="D290">
        <v>0</v>
      </c>
    </row>
    <row r="291" spans="1:4" hidden="1" x14ac:dyDescent="0.25">
      <c r="A291" t="s">
        <v>1674</v>
      </c>
      <c r="B291" t="s">
        <v>1673</v>
      </c>
      <c r="C291">
        <v>0</v>
      </c>
      <c r="D291">
        <v>0</v>
      </c>
    </row>
    <row r="292" spans="1:4" hidden="1" x14ac:dyDescent="0.25">
      <c r="A292" t="s">
        <v>1672</v>
      </c>
      <c r="B292" t="s">
        <v>1671</v>
      </c>
      <c r="C292">
        <v>0</v>
      </c>
      <c r="D292">
        <v>0</v>
      </c>
    </row>
    <row r="293" spans="1:4" hidden="1" x14ac:dyDescent="0.25">
      <c r="A293" t="s">
        <v>2232</v>
      </c>
      <c r="B293" t="s">
        <v>237</v>
      </c>
      <c r="C293" t="s">
        <v>1726</v>
      </c>
      <c r="D293" t="s">
        <v>1725</v>
      </c>
    </row>
    <row r="294" spans="1:4" hidden="1" x14ac:dyDescent="0.25">
      <c r="A294" t="s">
        <v>2231</v>
      </c>
      <c r="B294" t="s">
        <v>235</v>
      </c>
      <c r="C294" t="s">
        <v>2230</v>
      </c>
      <c r="D294">
        <v>0</v>
      </c>
    </row>
    <row r="295" spans="1:4" hidden="1" x14ac:dyDescent="0.25">
      <c r="A295" t="s">
        <v>2229</v>
      </c>
      <c r="B295" t="s">
        <v>233</v>
      </c>
      <c r="C295" t="s">
        <v>1726</v>
      </c>
      <c r="D295" t="s">
        <v>1725</v>
      </c>
    </row>
    <row r="296" spans="1:4" hidden="1" x14ac:dyDescent="0.25">
      <c r="A296" t="s">
        <v>2228</v>
      </c>
      <c r="B296" t="s">
        <v>231</v>
      </c>
      <c r="C296" t="s">
        <v>2168</v>
      </c>
      <c r="D296" t="s">
        <v>2167</v>
      </c>
    </row>
    <row r="297" spans="1:4" hidden="1" x14ac:dyDescent="0.25">
      <c r="A297" t="s">
        <v>2227</v>
      </c>
      <c r="B297" t="s">
        <v>2226</v>
      </c>
      <c r="C297" t="s">
        <v>2225</v>
      </c>
      <c r="D297">
        <v>0</v>
      </c>
    </row>
    <row r="298" spans="1:4" hidden="1" x14ac:dyDescent="0.25">
      <c r="A298" t="s">
        <v>2224</v>
      </c>
      <c r="B298" t="s">
        <v>2223</v>
      </c>
      <c r="C298" t="s">
        <v>2105</v>
      </c>
      <c r="D298">
        <v>0</v>
      </c>
    </row>
    <row r="299" spans="1:4" x14ac:dyDescent="0.25">
      <c r="A299" t="s">
        <v>2222</v>
      </c>
      <c r="B299" t="s">
        <v>229</v>
      </c>
      <c r="C299" t="s">
        <v>2221</v>
      </c>
      <c r="D299" t="s">
        <v>19</v>
      </c>
    </row>
    <row r="300" spans="1:4" x14ac:dyDescent="0.25">
      <c r="A300" t="s">
        <v>2220</v>
      </c>
      <c r="B300" t="s">
        <v>225</v>
      </c>
      <c r="C300" t="s">
        <v>19</v>
      </c>
      <c r="D300" t="s">
        <v>19</v>
      </c>
    </row>
    <row r="301" spans="1:4" x14ac:dyDescent="0.25">
      <c r="A301" t="s">
        <v>3028</v>
      </c>
      <c r="B301" t="s">
        <v>3029</v>
      </c>
      <c r="C301" t="s">
        <v>19</v>
      </c>
      <c r="D301" t="s">
        <v>19</v>
      </c>
    </row>
    <row r="302" spans="1:4" x14ac:dyDescent="0.25">
      <c r="A302" t="s">
        <v>3030</v>
      </c>
      <c r="B302" t="s">
        <v>3031</v>
      </c>
      <c r="C302" t="s">
        <v>19</v>
      </c>
      <c r="D302" t="s">
        <v>19</v>
      </c>
    </row>
    <row r="303" spans="1:4" x14ac:dyDescent="0.25">
      <c r="A303" t="s">
        <v>3032</v>
      </c>
      <c r="B303" t="s">
        <v>3033</v>
      </c>
      <c r="C303" t="s">
        <v>19</v>
      </c>
      <c r="D303" t="s">
        <v>19</v>
      </c>
    </row>
    <row r="304" spans="1:4" x14ac:dyDescent="0.25">
      <c r="A304" t="s">
        <v>3034</v>
      </c>
      <c r="B304" t="s">
        <v>3035</v>
      </c>
      <c r="C304" t="s">
        <v>19</v>
      </c>
      <c r="D304" t="s">
        <v>19</v>
      </c>
    </row>
    <row r="305" spans="1:4" x14ac:dyDescent="0.25">
      <c r="A305" t="s">
        <v>3036</v>
      </c>
      <c r="B305" t="s">
        <v>3037</v>
      </c>
      <c r="C305" t="s">
        <v>19</v>
      </c>
      <c r="D305" t="s">
        <v>19</v>
      </c>
    </row>
    <row r="306" spans="1:4" x14ac:dyDescent="0.25">
      <c r="A306" t="s">
        <v>3038</v>
      </c>
      <c r="B306" t="s">
        <v>3039</v>
      </c>
      <c r="C306" t="s">
        <v>19</v>
      </c>
      <c r="D306" t="s">
        <v>19</v>
      </c>
    </row>
    <row r="307" spans="1:4" x14ac:dyDescent="0.25">
      <c r="A307" t="s">
        <v>3040</v>
      </c>
      <c r="B307" t="s">
        <v>3041</v>
      </c>
      <c r="C307" t="s">
        <v>19</v>
      </c>
      <c r="D307" t="s">
        <v>19</v>
      </c>
    </row>
    <row r="308" spans="1:4" x14ac:dyDescent="0.25">
      <c r="A308" t="s">
        <v>3042</v>
      </c>
      <c r="B308" t="s">
        <v>3043</v>
      </c>
      <c r="C308" t="s">
        <v>19</v>
      </c>
      <c r="D308" t="s">
        <v>19</v>
      </c>
    </row>
    <row r="309" spans="1:4" x14ac:dyDescent="0.25">
      <c r="A309" t="s">
        <v>3054</v>
      </c>
      <c r="B309" t="s">
        <v>3055</v>
      </c>
      <c r="C309" t="s">
        <v>19</v>
      </c>
      <c r="D309" t="s">
        <v>19</v>
      </c>
    </row>
    <row r="310" spans="1:4" x14ac:dyDescent="0.25">
      <c r="A310" t="s">
        <v>3044</v>
      </c>
      <c r="B310" t="s">
        <v>3045</v>
      </c>
      <c r="C310" t="s">
        <v>19</v>
      </c>
      <c r="D310" t="s">
        <v>19</v>
      </c>
    </row>
    <row r="311" spans="1:4" x14ac:dyDescent="0.25">
      <c r="A311" t="s">
        <v>3046</v>
      </c>
      <c r="B311" t="s">
        <v>3047</v>
      </c>
      <c r="C311" t="s">
        <v>19</v>
      </c>
      <c r="D311" t="s">
        <v>19</v>
      </c>
    </row>
    <row r="312" spans="1:4" x14ac:dyDescent="0.25">
      <c r="A312" t="s">
        <v>3048</v>
      </c>
      <c r="B312" t="s">
        <v>3049</v>
      </c>
      <c r="C312" t="s">
        <v>19</v>
      </c>
      <c r="D312" t="s">
        <v>19</v>
      </c>
    </row>
    <row r="313" spans="1:4" x14ac:dyDescent="0.25">
      <c r="A313" t="s">
        <v>3050</v>
      </c>
      <c r="B313" t="s">
        <v>3051</v>
      </c>
      <c r="C313" t="s">
        <v>19</v>
      </c>
      <c r="D313" t="s">
        <v>19</v>
      </c>
    </row>
    <row r="314" spans="1:4" x14ac:dyDescent="0.25">
      <c r="A314" t="s">
        <v>3056</v>
      </c>
      <c r="B314" t="s">
        <v>3057</v>
      </c>
      <c r="C314" t="s">
        <v>19</v>
      </c>
      <c r="D314" t="s">
        <v>19</v>
      </c>
    </row>
    <row r="315" spans="1:4" x14ac:dyDescent="0.25">
      <c r="A315" t="s">
        <v>3052</v>
      </c>
      <c r="B315" t="s">
        <v>3053</v>
      </c>
      <c r="C315" t="s">
        <v>19</v>
      </c>
      <c r="D315" t="s">
        <v>19</v>
      </c>
    </row>
    <row r="316" spans="1:4" x14ac:dyDescent="0.25">
      <c r="A316" t="s">
        <v>3058</v>
      </c>
      <c r="B316" t="s">
        <v>3059</v>
      </c>
      <c r="C316" t="s">
        <v>19</v>
      </c>
      <c r="D316" t="s">
        <v>19</v>
      </c>
    </row>
    <row r="317" spans="1:4" hidden="1" x14ac:dyDescent="0.25">
      <c r="A317" t="s">
        <v>2219</v>
      </c>
      <c r="B317" t="s">
        <v>2218</v>
      </c>
      <c r="C317" t="s">
        <v>2217</v>
      </c>
      <c r="D317">
        <v>0</v>
      </c>
    </row>
    <row r="318" spans="1:4" hidden="1" x14ac:dyDescent="0.25">
      <c r="A318" t="s">
        <v>2216</v>
      </c>
      <c r="B318" t="s">
        <v>2215</v>
      </c>
      <c r="C318" t="s">
        <v>2101</v>
      </c>
      <c r="D318">
        <v>0</v>
      </c>
    </row>
    <row r="319" spans="1:4" hidden="1" x14ac:dyDescent="0.25">
      <c r="A319" t="s">
        <v>2214</v>
      </c>
      <c r="B319" t="s">
        <v>2213</v>
      </c>
      <c r="C319" t="s">
        <v>2212</v>
      </c>
      <c r="D319">
        <v>0</v>
      </c>
    </row>
    <row r="320" spans="1:4" hidden="1" x14ac:dyDescent="0.25">
      <c r="A320" t="s">
        <v>2211</v>
      </c>
      <c r="B320" t="s">
        <v>2210</v>
      </c>
      <c r="C320" t="s">
        <v>2098</v>
      </c>
      <c r="D320">
        <v>0</v>
      </c>
    </row>
    <row r="321" spans="1:4" x14ac:dyDescent="0.25">
      <c r="A321" t="s">
        <v>2209</v>
      </c>
      <c r="B321" t="s">
        <v>219</v>
      </c>
      <c r="C321" t="s">
        <v>19</v>
      </c>
      <c r="D321" t="s">
        <v>19</v>
      </c>
    </row>
    <row r="322" spans="1:4" hidden="1" x14ac:dyDescent="0.25">
      <c r="A322" t="s">
        <v>1692</v>
      </c>
      <c r="B322" t="s">
        <v>1691</v>
      </c>
      <c r="C322">
        <v>0</v>
      </c>
      <c r="D322">
        <v>0</v>
      </c>
    </row>
    <row r="323" spans="1:4" hidden="1" x14ac:dyDescent="0.25">
      <c r="A323" t="s">
        <v>2208</v>
      </c>
      <c r="B323" t="s">
        <v>217</v>
      </c>
      <c r="C323" t="s">
        <v>1680</v>
      </c>
      <c r="D323" t="s">
        <v>1680</v>
      </c>
    </row>
    <row r="324" spans="1:4" hidden="1" x14ac:dyDescent="0.25">
      <c r="A324" t="s">
        <v>2207</v>
      </c>
      <c r="B324" t="s">
        <v>215</v>
      </c>
      <c r="C324" t="s">
        <v>1680</v>
      </c>
      <c r="D324" t="s">
        <v>1680</v>
      </c>
    </row>
    <row r="325" spans="1:4" hidden="1" x14ac:dyDescent="0.25">
      <c r="A325" t="s">
        <v>2206</v>
      </c>
      <c r="B325" t="s">
        <v>213</v>
      </c>
      <c r="C325" t="s">
        <v>1680</v>
      </c>
      <c r="D325" t="s">
        <v>1680</v>
      </c>
    </row>
    <row r="326" spans="1:4" hidden="1" x14ac:dyDescent="0.25">
      <c r="A326" t="s">
        <v>2205</v>
      </c>
      <c r="B326" t="s">
        <v>211</v>
      </c>
      <c r="C326" t="s">
        <v>1680</v>
      </c>
      <c r="D326" t="s">
        <v>1680</v>
      </c>
    </row>
    <row r="327" spans="1:4" hidden="1" x14ac:dyDescent="0.25">
      <c r="A327" t="s">
        <v>2204</v>
      </c>
      <c r="B327" t="s">
        <v>209</v>
      </c>
      <c r="C327" t="s">
        <v>1680</v>
      </c>
      <c r="D327" t="s">
        <v>1680</v>
      </c>
    </row>
    <row r="328" spans="1:4" hidden="1" x14ac:dyDescent="0.25">
      <c r="A328" t="s">
        <v>2203</v>
      </c>
      <c r="B328" t="s">
        <v>207</v>
      </c>
      <c r="C328" t="s">
        <v>1680</v>
      </c>
      <c r="D328" t="s">
        <v>1680</v>
      </c>
    </row>
    <row r="329" spans="1:4" hidden="1" x14ac:dyDescent="0.25">
      <c r="A329" t="s">
        <v>2202</v>
      </c>
      <c r="B329" t="s">
        <v>205</v>
      </c>
      <c r="C329" t="s">
        <v>2201</v>
      </c>
      <c r="D329">
        <v>0</v>
      </c>
    </row>
    <row r="330" spans="1:4" hidden="1" x14ac:dyDescent="0.25">
      <c r="A330" t="s">
        <v>2200</v>
      </c>
      <c r="B330" t="s">
        <v>2199</v>
      </c>
      <c r="C330" t="s">
        <v>2198</v>
      </c>
      <c r="D330">
        <v>0</v>
      </c>
    </row>
    <row r="331" spans="1:4" hidden="1" x14ac:dyDescent="0.25">
      <c r="A331" t="s">
        <v>2197</v>
      </c>
      <c r="B331" t="s">
        <v>2196</v>
      </c>
      <c r="C331" t="s">
        <v>2090</v>
      </c>
      <c r="D331">
        <v>0</v>
      </c>
    </row>
    <row r="332" spans="1:4" hidden="1" x14ac:dyDescent="0.25">
      <c r="A332" t="s">
        <v>2195</v>
      </c>
      <c r="B332" t="s">
        <v>2194</v>
      </c>
      <c r="C332" t="s">
        <v>2193</v>
      </c>
      <c r="D332">
        <v>0</v>
      </c>
    </row>
    <row r="333" spans="1:4" hidden="1" x14ac:dyDescent="0.25">
      <c r="A333" t="s">
        <v>2192</v>
      </c>
      <c r="B333" t="s">
        <v>2191</v>
      </c>
      <c r="C333" t="s">
        <v>2087</v>
      </c>
      <c r="D333">
        <v>0</v>
      </c>
    </row>
    <row r="334" spans="1:4" hidden="1" x14ac:dyDescent="0.25">
      <c r="A334" t="s">
        <v>2190</v>
      </c>
      <c r="B334" t="s">
        <v>2189</v>
      </c>
      <c r="C334" t="s">
        <v>2188</v>
      </c>
      <c r="D334">
        <v>0</v>
      </c>
    </row>
    <row r="335" spans="1:4" hidden="1" x14ac:dyDescent="0.25">
      <c r="A335" t="s">
        <v>2187</v>
      </c>
      <c r="B335" t="s">
        <v>2186</v>
      </c>
      <c r="C335" t="s">
        <v>2084</v>
      </c>
      <c r="D335">
        <v>0</v>
      </c>
    </row>
    <row r="336" spans="1:4" hidden="1" x14ac:dyDescent="0.25">
      <c r="A336" t="s">
        <v>2185</v>
      </c>
      <c r="B336" t="s">
        <v>203</v>
      </c>
      <c r="C336" t="s">
        <v>2184</v>
      </c>
      <c r="D336">
        <v>0</v>
      </c>
    </row>
    <row r="337" spans="1:4" hidden="1" x14ac:dyDescent="0.25">
      <c r="A337" t="s">
        <v>2183</v>
      </c>
      <c r="B337" t="s">
        <v>201</v>
      </c>
      <c r="C337" t="s">
        <v>1713</v>
      </c>
      <c r="D337" t="s">
        <v>1713</v>
      </c>
    </row>
    <row r="338" spans="1:4" hidden="1" x14ac:dyDescent="0.25">
      <c r="A338" t="s">
        <v>2182</v>
      </c>
      <c r="B338" t="s">
        <v>2181</v>
      </c>
      <c r="C338" t="s">
        <v>2180</v>
      </c>
      <c r="D338">
        <v>0</v>
      </c>
    </row>
    <row r="339" spans="1:4" hidden="1" x14ac:dyDescent="0.25">
      <c r="A339" t="s">
        <v>2179</v>
      </c>
      <c r="B339" t="s">
        <v>2178</v>
      </c>
      <c r="C339" t="s">
        <v>2078</v>
      </c>
      <c r="D339">
        <v>0</v>
      </c>
    </row>
    <row r="340" spans="1:4" hidden="1" x14ac:dyDescent="0.25">
      <c r="A340" t="s">
        <v>2177</v>
      </c>
      <c r="B340" t="s">
        <v>199</v>
      </c>
      <c r="C340" t="s">
        <v>2138</v>
      </c>
      <c r="D340">
        <v>0</v>
      </c>
    </row>
    <row r="341" spans="1:4" hidden="1" x14ac:dyDescent="0.25">
      <c r="A341" t="s">
        <v>2176</v>
      </c>
      <c r="B341" t="s">
        <v>2175</v>
      </c>
      <c r="C341" t="s">
        <v>2174</v>
      </c>
      <c r="D341">
        <v>0</v>
      </c>
    </row>
    <row r="342" spans="1:4" hidden="1" x14ac:dyDescent="0.25">
      <c r="A342" t="s">
        <v>2173</v>
      </c>
      <c r="B342" t="s">
        <v>2172</v>
      </c>
      <c r="C342" t="s">
        <v>2075</v>
      </c>
      <c r="D342">
        <v>0</v>
      </c>
    </row>
    <row r="343" spans="1:4" hidden="1" x14ac:dyDescent="0.25">
      <c r="A343" t="s">
        <v>2171</v>
      </c>
      <c r="B343" t="s">
        <v>197</v>
      </c>
      <c r="C343" t="s">
        <v>2068</v>
      </c>
      <c r="D343">
        <v>0</v>
      </c>
    </row>
    <row r="344" spans="1:4" hidden="1" x14ac:dyDescent="0.25">
      <c r="A344" t="s">
        <v>2170</v>
      </c>
      <c r="B344" t="s">
        <v>2169</v>
      </c>
      <c r="C344" t="s">
        <v>2168</v>
      </c>
      <c r="D344" t="s">
        <v>2167</v>
      </c>
    </row>
    <row r="345" spans="1:4" hidden="1" x14ac:dyDescent="0.25">
      <c r="A345" t="s">
        <v>1858</v>
      </c>
      <c r="B345" t="s">
        <v>1857</v>
      </c>
      <c r="C345" t="s">
        <v>1780</v>
      </c>
      <c r="D345">
        <v>0</v>
      </c>
    </row>
    <row r="346" spans="1:4" hidden="1" x14ac:dyDescent="0.25">
      <c r="A346" t="s">
        <v>2166</v>
      </c>
      <c r="B346" t="s">
        <v>2165</v>
      </c>
      <c r="C346" t="s">
        <v>2105</v>
      </c>
      <c r="D346">
        <v>0</v>
      </c>
    </row>
    <row r="347" spans="1:4" hidden="1" x14ac:dyDescent="0.25">
      <c r="A347" t="s">
        <v>2164</v>
      </c>
      <c r="B347" t="s">
        <v>2163</v>
      </c>
      <c r="C347" t="s">
        <v>2101</v>
      </c>
      <c r="D347">
        <v>0</v>
      </c>
    </row>
    <row r="348" spans="1:4" hidden="1" x14ac:dyDescent="0.25">
      <c r="A348" t="s">
        <v>1856</v>
      </c>
      <c r="B348" t="s">
        <v>1855</v>
      </c>
      <c r="C348" t="s">
        <v>1774</v>
      </c>
      <c r="D348">
        <v>0</v>
      </c>
    </row>
    <row r="349" spans="1:4" hidden="1" x14ac:dyDescent="0.25">
      <c r="A349" t="s">
        <v>2162</v>
      </c>
      <c r="B349" t="s">
        <v>2161</v>
      </c>
      <c r="C349" t="s">
        <v>2098</v>
      </c>
      <c r="D349">
        <v>0</v>
      </c>
    </row>
    <row r="350" spans="1:4" x14ac:dyDescent="0.25">
      <c r="A350" t="s">
        <v>2160</v>
      </c>
      <c r="B350" t="s">
        <v>2159</v>
      </c>
      <c r="C350" t="s">
        <v>19</v>
      </c>
      <c r="D350" t="s">
        <v>19</v>
      </c>
    </row>
    <row r="351" spans="1:4" hidden="1" x14ac:dyDescent="0.25">
      <c r="A351" t="s">
        <v>2158</v>
      </c>
      <c r="B351" t="s">
        <v>2157</v>
      </c>
      <c r="C351" t="s">
        <v>1718</v>
      </c>
      <c r="D351">
        <v>0</v>
      </c>
    </row>
    <row r="352" spans="1:4" hidden="1" x14ac:dyDescent="0.25">
      <c r="A352" t="s">
        <v>2156</v>
      </c>
      <c r="B352" t="s">
        <v>2155</v>
      </c>
      <c r="C352" t="s">
        <v>1680</v>
      </c>
      <c r="D352" t="s">
        <v>1680</v>
      </c>
    </row>
    <row r="353" spans="1:4" hidden="1" x14ac:dyDescent="0.25">
      <c r="A353" t="s">
        <v>1854</v>
      </c>
      <c r="B353" t="s">
        <v>1853</v>
      </c>
      <c r="C353" t="s">
        <v>1771</v>
      </c>
      <c r="D353">
        <v>0</v>
      </c>
    </row>
    <row r="354" spans="1:4" hidden="1" x14ac:dyDescent="0.25">
      <c r="A354" t="s">
        <v>2154</v>
      </c>
      <c r="B354" t="s">
        <v>2153</v>
      </c>
      <c r="C354" t="s">
        <v>2090</v>
      </c>
      <c r="D354">
        <v>0</v>
      </c>
    </row>
    <row r="355" spans="1:4" hidden="1" x14ac:dyDescent="0.25">
      <c r="A355" t="s">
        <v>2152</v>
      </c>
      <c r="B355" t="s">
        <v>2151</v>
      </c>
      <c r="C355" t="s">
        <v>2087</v>
      </c>
      <c r="D355">
        <v>0</v>
      </c>
    </row>
    <row r="356" spans="1:4" hidden="1" x14ac:dyDescent="0.25">
      <c r="A356" t="s">
        <v>1852</v>
      </c>
      <c r="B356" t="s">
        <v>1851</v>
      </c>
      <c r="C356" t="s">
        <v>1765</v>
      </c>
      <c r="D356">
        <v>0</v>
      </c>
    </row>
    <row r="357" spans="1:4" hidden="1" x14ac:dyDescent="0.25">
      <c r="A357" t="s">
        <v>2150</v>
      </c>
      <c r="B357" t="s">
        <v>2149</v>
      </c>
      <c r="C357" t="s">
        <v>2084</v>
      </c>
      <c r="D357">
        <v>0</v>
      </c>
    </row>
    <row r="358" spans="1:4" hidden="1" x14ac:dyDescent="0.25">
      <c r="A358" t="s">
        <v>2148</v>
      </c>
      <c r="B358" t="s">
        <v>2147</v>
      </c>
      <c r="C358" t="s">
        <v>2114</v>
      </c>
      <c r="D358" t="s">
        <v>2114</v>
      </c>
    </row>
    <row r="359" spans="1:4" hidden="1" x14ac:dyDescent="0.25">
      <c r="A359" t="s">
        <v>2146</v>
      </c>
      <c r="B359" t="s">
        <v>2145</v>
      </c>
      <c r="C359" t="s">
        <v>1704</v>
      </c>
      <c r="D359" t="s">
        <v>1704</v>
      </c>
    </row>
    <row r="360" spans="1:4" hidden="1" x14ac:dyDescent="0.25">
      <c r="A360" t="s">
        <v>2144</v>
      </c>
      <c r="B360" t="s">
        <v>2143</v>
      </c>
      <c r="C360" t="s">
        <v>2078</v>
      </c>
      <c r="D360">
        <v>0</v>
      </c>
    </row>
    <row r="361" spans="1:4" hidden="1" x14ac:dyDescent="0.25">
      <c r="A361" t="s">
        <v>1850</v>
      </c>
      <c r="B361" t="s">
        <v>1849</v>
      </c>
      <c r="C361" t="s">
        <v>1759</v>
      </c>
      <c r="D361">
        <v>0</v>
      </c>
    </row>
    <row r="362" spans="1:4" hidden="1" x14ac:dyDescent="0.25">
      <c r="A362" t="s">
        <v>2142</v>
      </c>
      <c r="B362" t="s">
        <v>2141</v>
      </c>
      <c r="C362" t="s">
        <v>2075</v>
      </c>
      <c r="D362">
        <v>0</v>
      </c>
    </row>
    <row r="363" spans="1:4" hidden="1" x14ac:dyDescent="0.25">
      <c r="A363" t="s">
        <v>1985</v>
      </c>
      <c r="B363" t="s">
        <v>856</v>
      </c>
      <c r="C363">
        <v>0</v>
      </c>
      <c r="D363">
        <v>0</v>
      </c>
    </row>
    <row r="364" spans="1:4" hidden="1" x14ac:dyDescent="0.25">
      <c r="A364" t="s">
        <v>1984</v>
      </c>
      <c r="B364" t="s">
        <v>1983</v>
      </c>
      <c r="C364">
        <v>0</v>
      </c>
      <c r="D364">
        <v>0</v>
      </c>
    </row>
    <row r="365" spans="1:4" hidden="1" x14ac:dyDescent="0.25">
      <c r="A365" t="s">
        <v>1982</v>
      </c>
      <c r="B365" t="s">
        <v>1981</v>
      </c>
      <c r="C365">
        <v>0</v>
      </c>
      <c r="D365">
        <v>0</v>
      </c>
    </row>
    <row r="366" spans="1:4" hidden="1" x14ac:dyDescent="0.25">
      <c r="A366" t="s">
        <v>1980</v>
      </c>
      <c r="B366" t="s">
        <v>1979</v>
      </c>
      <c r="C366">
        <v>0</v>
      </c>
      <c r="D366">
        <v>0</v>
      </c>
    </row>
    <row r="367" spans="1:4" hidden="1" x14ac:dyDescent="0.25">
      <c r="A367" t="s">
        <v>1978</v>
      </c>
      <c r="B367" t="s">
        <v>1977</v>
      </c>
      <c r="C367">
        <v>0</v>
      </c>
      <c r="D367">
        <v>0</v>
      </c>
    </row>
    <row r="368" spans="1:4" hidden="1" x14ac:dyDescent="0.25">
      <c r="A368" t="s">
        <v>1976</v>
      </c>
      <c r="B368" t="s">
        <v>842</v>
      </c>
      <c r="C368">
        <v>0</v>
      </c>
      <c r="D368">
        <v>0</v>
      </c>
    </row>
    <row r="369" spans="1:4" hidden="1" x14ac:dyDescent="0.25">
      <c r="A369" t="s">
        <v>3127</v>
      </c>
      <c r="B369" t="s">
        <v>3128</v>
      </c>
      <c r="C369">
        <v>0</v>
      </c>
      <c r="D369">
        <v>0</v>
      </c>
    </row>
    <row r="370" spans="1:4" hidden="1" x14ac:dyDescent="0.25">
      <c r="A370" t="s">
        <v>1975</v>
      </c>
      <c r="B370" t="s">
        <v>1974</v>
      </c>
      <c r="C370">
        <v>0</v>
      </c>
      <c r="D370">
        <v>0</v>
      </c>
    </row>
    <row r="371" spans="1:4" hidden="1" x14ac:dyDescent="0.25">
      <c r="A371" t="s">
        <v>1973</v>
      </c>
      <c r="B371" t="s">
        <v>828</v>
      </c>
      <c r="C371">
        <v>0</v>
      </c>
      <c r="D371">
        <v>0</v>
      </c>
    </row>
    <row r="372" spans="1:4" hidden="1" x14ac:dyDescent="0.25">
      <c r="A372" t="s">
        <v>1972</v>
      </c>
      <c r="B372" t="s">
        <v>1971</v>
      </c>
      <c r="C372">
        <v>0</v>
      </c>
      <c r="D372">
        <v>0</v>
      </c>
    </row>
    <row r="373" spans="1:4" hidden="1" x14ac:dyDescent="0.25">
      <c r="A373" t="s">
        <v>1970</v>
      </c>
      <c r="B373" t="s">
        <v>1969</v>
      </c>
      <c r="C373">
        <v>0</v>
      </c>
      <c r="D373">
        <v>0</v>
      </c>
    </row>
    <row r="374" spans="1:4" hidden="1" x14ac:dyDescent="0.25">
      <c r="A374" t="s">
        <v>1968</v>
      </c>
      <c r="B374" t="s">
        <v>1967</v>
      </c>
      <c r="C374">
        <v>0</v>
      </c>
      <c r="D374">
        <v>0</v>
      </c>
    </row>
    <row r="375" spans="1:4" hidden="1" x14ac:dyDescent="0.25">
      <c r="A375" t="s">
        <v>1966</v>
      </c>
      <c r="B375" t="s">
        <v>1965</v>
      </c>
      <c r="C375">
        <v>0</v>
      </c>
      <c r="D375">
        <v>0</v>
      </c>
    </row>
    <row r="376" spans="1:4" hidden="1" x14ac:dyDescent="0.25">
      <c r="A376" t="s">
        <v>1964</v>
      </c>
      <c r="B376" t="s">
        <v>810</v>
      </c>
      <c r="C376">
        <v>0</v>
      </c>
      <c r="D376">
        <v>0</v>
      </c>
    </row>
    <row r="377" spans="1:4" hidden="1" x14ac:dyDescent="0.25">
      <c r="A377" t="s">
        <v>1963</v>
      </c>
      <c r="B377" t="s">
        <v>802</v>
      </c>
      <c r="C377">
        <v>0</v>
      </c>
      <c r="D377">
        <v>0</v>
      </c>
    </row>
    <row r="378" spans="1:4" hidden="1" x14ac:dyDescent="0.25">
      <c r="A378" t="s">
        <v>1962</v>
      </c>
      <c r="B378" t="s">
        <v>1961</v>
      </c>
      <c r="C378">
        <v>0</v>
      </c>
      <c r="D378">
        <v>0</v>
      </c>
    </row>
    <row r="379" spans="1:4" hidden="1" x14ac:dyDescent="0.25">
      <c r="A379" t="s">
        <v>1960</v>
      </c>
      <c r="B379" t="s">
        <v>797</v>
      </c>
      <c r="C379">
        <v>0</v>
      </c>
      <c r="D379">
        <v>0</v>
      </c>
    </row>
    <row r="380" spans="1:4" hidden="1" x14ac:dyDescent="0.25">
      <c r="A380" t="s">
        <v>1959</v>
      </c>
      <c r="B380" t="s">
        <v>1958</v>
      </c>
      <c r="C380">
        <v>0</v>
      </c>
      <c r="D380">
        <v>0</v>
      </c>
    </row>
    <row r="381" spans="1:4" hidden="1" x14ac:dyDescent="0.25">
      <c r="A381" t="s">
        <v>1957</v>
      </c>
      <c r="B381" t="s">
        <v>790</v>
      </c>
      <c r="C381">
        <v>0</v>
      </c>
      <c r="D381">
        <v>0</v>
      </c>
    </row>
    <row r="382" spans="1:4" hidden="1" x14ac:dyDescent="0.25">
      <c r="A382" t="s">
        <v>1956</v>
      </c>
      <c r="B382" t="s">
        <v>1955</v>
      </c>
      <c r="C382">
        <v>0</v>
      </c>
      <c r="D382">
        <v>0</v>
      </c>
    </row>
    <row r="383" spans="1:4" hidden="1" x14ac:dyDescent="0.25">
      <c r="A383" t="s">
        <v>1954</v>
      </c>
      <c r="B383" t="s">
        <v>1953</v>
      </c>
      <c r="C383">
        <v>0</v>
      </c>
      <c r="D383">
        <v>0</v>
      </c>
    </row>
    <row r="384" spans="1:4" hidden="1" x14ac:dyDescent="0.25">
      <c r="A384" t="s">
        <v>1952</v>
      </c>
      <c r="B384" t="s">
        <v>775</v>
      </c>
      <c r="C384">
        <v>0</v>
      </c>
      <c r="D384">
        <v>0</v>
      </c>
    </row>
    <row r="385" spans="1:4" hidden="1" x14ac:dyDescent="0.25">
      <c r="A385" t="s">
        <v>1951</v>
      </c>
      <c r="B385" t="s">
        <v>768</v>
      </c>
      <c r="C385">
        <v>0</v>
      </c>
      <c r="D385">
        <v>0</v>
      </c>
    </row>
    <row r="386" spans="1:4" hidden="1" x14ac:dyDescent="0.25">
      <c r="A386" t="s">
        <v>1950</v>
      </c>
      <c r="B386" t="s">
        <v>766</v>
      </c>
      <c r="C386">
        <v>0</v>
      </c>
      <c r="D386">
        <v>0</v>
      </c>
    </row>
    <row r="387" spans="1:4" hidden="1" x14ac:dyDescent="0.25">
      <c r="A387" t="s">
        <v>1949</v>
      </c>
      <c r="B387" t="s">
        <v>1948</v>
      </c>
      <c r="C387">
        <v>0</v>
      </c>
      <c r="D387">
        <v>0</v>
      </c>
    </row>
    <row r="388" spans="1:4" hidden="1" x14ac:dyDescent="0.25">
      <c r="A388" t="s">
        <v>1947</v>
      </c>
      <c r="B388" t="s">
        <v>1946</v>
      </c>
      <c r="C388">
        <v>0</v>
      </c>
      <c r="D388">
        <v>0</v>
      </c>
    </row>
    <row r="389" spans="1:4" hidden="1" x14ac:dyDescent="0.25">
      <c r="A389" t="s">
        <v>1945</v>
      </c>
      <c r="B389" t="s">
        <v>761</v>
      </c>
      <c r="C389">
        <v>0</v>
      </c>
      <c r="D389">
        <v>0</v>
      </c>
    </row>
    <row r="390" spans="1:4" hidden="1" x14ac:dyDescent="0.25">
      <c r="A390" t="s">
        <v>1944</v>
      </c>
      <c r="B390">
        <v>0</v>
      </c>
      <c r="C390">
        <v>0</v>
      </c>
      <c r="D390">
        <v>0</v>
      </c>
    </row>
    <row r="391" spans="1:4" hidden="1" x14ac:dyDescent="0.25">
      <c r="A391" t="s">
        <v>1943</v>
      </c>
      <c r="B391" t="s">
        <v>1935</v>
      </c>
      <c r="C391">
        <v>0</v>
      </c>
      <c r="D391">
        <v>0</v>
      </c>
    </row>
    <row r="392" spans="1:4" hidden="1" x14ac:dyDescent="0.25">
      <c r="A392" t="s">
        <v>1942</v>
      </c>
      <c r="B392" t="s">
        <v>744</v>
      </c>
      <c r="C392">
        <v>0</v>
      </c>
      <c r="D392">
        <v>0</v>
      </c>
    </row>
    <row r="393" spans="1:4" hidden="1" x14ac:dyDescent="0.25">
      <c r="A393" t="s">
        <v>1941</v>
      </c>
      <c r="B393" t="s">
        <v>1940</v>
      </c>
      <c r="C393">
        <v>0</v>
      </c>
      <c r="D393">
        <v>0</v>
      </c>
    </row>
    <row r="394" spans="1:4" hidden="1" x14ac:dyDescent="0.25">
      <c r="A394" t="s">
        <v>1939</v>
      </c>
      <c r="B394" t="s">
        <v>734</v>
      </c>
      <c r="C394">
        <v>0</v>
      </c>
      <c r="D394">
        <v>0</v>
      </c>
    </row>
    <row r="395" spans="1:4" hidden="1" x14ac:dyDescent="0.25">
      <c r="A395" t="s">
        <v>1938</v>
      </c>
      <c r="B395" t="s">
        <v>1937</v>
      </c>
      <c r="C395">
        <v>0</v>
      </c>
      <c r="D395">
        <v>0</v>
      </c>
    </row>
    <row r="396" spans="1:4" hidden="1" x14ac:dyDescent="0.25">
      <c r="A396" t="s">
        <v>1936</v>
      </c>
      <c r="B396" t="s">
        <v>1935</v>
      </c>
      <c r="C396">
        <v>0</v>
      </c>
      <c r="D396">
        <v>0</v>
      </c>
    </row>
    <row r="397" spans="1:4" hidden="1" x14ac:dyDescent="0.25">
      <c r="A397" t="s">
        <v>2140</v>
      </c>
      <c r="B397" t="s">
        <v>2139</v>
      </c>
      <c r="C397" t="s">
        <v>2138</v>
      </c>
      <c r="D397">
        <v>0</v>
      </c>
    </row>
    <row r="398" spans="1:4" hidden="1" x14ac:dyDescent="0.25">
      <c r="A398" t="s">
        <v>2075</v>
      </c>
      <c r="B398" t="s">
        <v>2137</v>
      </c>
      <c r="C398">
        <v>0</v>
      </c>
      <c r="D398">
        <v>0</v>
      </c>
    </row>
    <row r="399" spans="1:4" hidden="1" x14ac:dyDescent="0.25">
      <c r="A399" t="s">
        <v>3129</v>
      </c>
      <c r="B399" t="s">
        <v>3130</v>
      </c>
      <c r="C399" t="s">
        <v>2114</v>
      </c>
      <c r="D399" t="s">
        <v>2114</v>
      </c>
    </row>
    <row r="400" spans="1:4" hidden="1" x14ac:dyDescent="0.25">
      <c r="A400" t="s">
        <v>3131</v>
      </c>
      <c r="B400" t="s">
        <v>3132</v>
      </c>
      <c r="C400" t="s">
        <v>2114</v>
      </c>
      <c r="D400" t="s">
        <v>2114</v>
      </c>
    </row>
    <row r="401" spans="1:4" hidden="1" x14ac:dyDescent="0.25">
      <c r="A401" t="s">
        <v>1934</v>
      </c>
      <c r="B401" t="s">
        <v>1933</v>
      </c>
      <c r="C401" t="s">
        <v>2114</v>
      </c>
      <c r="D401" t="s">
        <v>2114</v>
      </c>
    </row>
    <row r="402" spans="1:4" hidden="1" x14ac:dyDescent="0.25">
      <c r="A402" t="s">
        <v>1932</v>
      </c>
      <c r="B402" t="s">
        <v>1931</v>
      </c>
      <c r="C402" t="s">
        <v>2120</v>
      </c>
      <c r="D402">
        <v>0</v>
      </c>
    </row>
    <row r="403" spans="1:4" hidden="1" x14ac:dyDescent="0.25">
      <c r="A403" t="s">
        <v>1930</v>
      </c>
      <c r="B403" t="s">
        <v>1929</v>
      </c>
      <c r="C403">
        <v>0</v>
      </c>
      <c r="D403">
        <v>0</v>
      </c>
    </row>
    <row r="404" spans="1:4" hidden="1" x14ac:dyDescent="0.25">
      <c r="A404" t="s">
        <v>1928</v>
      </c>
      <c r="B404" t="s">
        <v>1927</v>
      </c>
      <c r="C404">
        <v>0</v>
      </c>
      <c r="D404">
        <v>0</v>
      </c>
    </row>
    <row r="405" spans="1:4" hidden="1" x14ac:dyDescent="0.25">
      <c r="A405" t="s">
        <v>1926</v>
      </c>
      <c r="B405" t="s">
        <v>1925</v>
      </c>
      <c r="C405">
        <v>0</v>
      </c>
      <c r="D405">
        <v>0</v>
      </c>
    </row>
    <row r="406" spans="1:4" hidden="1" x14ac:dyDescent="0.25">
      <c r="A406" t="s">
        <v>1924</v>
      </c>
      <c r="B406" t="s">
        <v>1923</v>
      </c>
      <c r="C406">
        <v>0</v>
      </c>
      <c r="D406">
        <v>0</v>
      </c>
    </row>
    <row r="407" spans="1:4" hidden="1" x14ac:dyDescent="0.25">
      <c r="A407" t="s">
        <v>1922</v>
      </c>
      <c r="B407" t="s">
        <v>1921</v>
      </c>
      <c r="C407">
        <v>0</v>
      </c>
      <c r="D407">
        <v>0</v>
      </c>
    </row>
    <row r="408" spans="1:4" hidden="1" x14ac:dyDescent="0.25">
      <c r="A408" t="s">
        <v>1920</v>
      </c>
      <c r="B408" t="s">
        <v>1919</v>
      </c>
      <c r="C408">
        <v>0</v>
      </c>
      <c r="D408">
        <v>0</v>
      </c>
    </row>
    <row r="409" spans="1:4" hidden="1" x14ac:dyDescent="0.25">
      <c r="A409" t="s">
        <v>1918</v>
      </c>
      <c r="B409" t="s">
        <v>1917</v>
      </c>
      <c r="C409">
        <v>0</v>
      </c>
      <c r="D409">
        <v>0</v>
      </c>
    </row>
    <row r="410" spans="1:4" hidden="1" x14ac:dyDescent="0.25">
      <c r="A410" t="s">
        <v>1916</v>
      </c>
      <c r="B410" t="s">
        <v>1915</v>
      </c>
      <c r="C410">
        <v>0</v>
      </c>
      <c r="D410">
        <v>0</v>
      </c>
    </row>
    <row r="411" spans="1:4" hidden="1" x14ac:dyDescent="0.25">
      <c r="A411" t="s">
        <v>1914</v>
      </c>
      <c r="B411" t="s">
        <v>1913</v>
      </c>
      <c r="C411">
        <v>0</v>
      </c>
      <c r="D411">
        <v>0</v>
      </c>
    </row>
    <row r="412" spans="1:4" hidden="1" x14ac:dyDescent="0.25">
      <c r="A412" t="s">
        <v>1912</v>
      </c>
      <c r="B412" t="s">
        <v>1911</v>
      </c>
      <c r="C412">
        <v>0</v>
      </c>
      <c r="D412">
        <v>0</v>
      </c>
    </row>
    <row r="413" spans="1:4" hidden="1" x14ac:dyDescent="0.25">
      <c r="A413" t="s">
        <v>1910</v>
      </c>
      <c r="B413" t="s">
        <v>1909</v>
      </c>
      <c r="C413">
        <v>0</v>
      </c>
      <c r="D413">
        <v>0</v>
      </c>
    </row>
    <row r="414" spans="1:4" hidden="1" x14ac:dyDescent="0.25">
      <c r="A414" t="s">
        <v>1908</v>
      </c>
      <c r="B414" t="s">
        <v>1907</v>
      </c>
      <c r="C414">
        <v>0</v>
      </c>
      <c r="D414">
        <v>0</v>
      </c>
    </row>
    <row r="415" spans="1:4" hidden="1" x14ac:dyDescent="0.25">
      <c r="A415" t="s">
        <v>1906</v>
      </c>
      <c r="B415" t="s">
        <v>1905</v>
      </c>
      <c r="C415">
        <v>0</v>
      </c>
      <c r="D415">
        <v>0</v>
      </c>
    </row>
    <row r="416" spans="1:4" hidden="1" x14ac:dyDescent="0.25">
      <c r="A416" t="s">
        <v>1904</v>
      </c>
      <c r="B416" t="s">
        <v>1903</v>
      </c>
      <c r="C416">
        <v>0</v>
      </c>
      <c r="D416">
        <v>0</v>
      </c>
    </row>
    <row r="417" spans="1:4" hidden="1" x14ac:dyDescent="0.25">
      <c r="A417" t="s">
        <v>1902</v>
      </c>
      <c r="B417" t="s">
        <v>1901</v>
      </c>
      <c r="C417">
        <v>0</v>
      </c>
      <c r="D417">
        <v>0</v>
      </c>
    </row>
    <row r="418" spans="1:4" hidden="1" x14ac:dyDescent="0.25">
      <c r="A418" t="s">
        <v>1900</v>
      </c>
      <c r="B418" t="s">
        <v>1899</v>
      </c>
      <c r="C418">
        <v>0</v>
      </c>
      <c r="D418">
        <v>0</v>
      </c>
    </row>
    <row r="419" spans="1:4" hidden="1" x14ac:dyDescent="0.25">
      <c r="A419" t="s">
        <v>1898</v>
      </c>
      <c r="B419" t="s">
        <v>1897</v>
      </c>
      <c r="C419">
        <v>0</v>
      </c>
      <c r="D419">
        <v>0</v>
      </c>
    </row>
    <row r="420" spans="1:4" hidden="1" x14ac:dyDescent="0.25">
      <c r="A420" t="s">
        <v>1896</v>
      </c>
      <c r="B420" t="s">
        <v>1895</v>
      </c>
      <c r="C420">
        <v>0</v>
      </c>
      <c r="D420">
        <v>0</v>
      </c>
    </row>
    <row r="421" spans="1:4" hidden="1" x14ac:dyDescent="0.25">
      <c r="A421" t="s">
        <v>1894</v>
      </c>
      <c r="B421" t="s">
        <v>1893</v>
      </c>
      <c r="C421">
        <v>0</v>
      </c>
      <c r="D421">
        <v>0</v>
      </c>
    </row>
    <row r="422" spans="1:4" hidden="1" x14ac:dyDescent="0.25">
      <c r="A422" t="s">
        <v>1892</v>
      </c>
      <c r="B422" t="s">
        <v>1891</v>
      </c>
      <c r="C422">
        <v>0</v>
      </c>
      <c r="D422">
        <v>0</v>
      </c>
    </row>
    <row r="423" spans="1:4" hidden="1" x14ac:dyDescent="0.25">
      <c r="A423" t="s">
        <v>1890</v>
      </c>
      <c r="B423" t="s">
        <v>1889</v>
      </c>
      <c r="C423">
        <v>0</v>
      </c>
      <c r="D423">
        <v>0</v>
      </c>
    </row>
    <row r="424" spans="1:4" hidden="1" x14ac:dyDescent="0.25">
      <c r="A424" t="s">
        <v>1888</v>
      </c>
      <c r="B424" t="s">
        <v>1887</v>
      </c>
      <c r="C424">
        <v>0</v>
      </c>
      <c r="D424">
        <v>0</v>
      </c>
    </row>
    <row r="425" spans="1:4" hidden="1" x14ac:dyDescent="0.25">
      <c r="A425" t="s">
        <v>2136</v>
      </c>
      <c r="B425" t="s">
        <v>2135</v>
      </c>
      <c r="C425" t="s">
        <v>2105</v>
      </c>
      <c r="D425">
        <v>0</v>
      </c>
    </row>
    <row r="426" spans="1:4" hidden="1" x14ac:dyDescent="0.25">
      <c r="A426" t="s">
        <v>2134</v>
      </c>
      <c r="B426" t="s">
        <v>2133</v>
      </c>
      <c r="C426" t="s">
        <v>2101</v>
      </c>
      <c r="D426">
        <v>0</v>
      </c>
    </row>
    <row r="427" spans="1:4" hidden="1" x14ac:dyDescent="0.25">
      <c r="A427" t="s">
        <v>2132</v>
      </c>
      <c r="B427" t="s">
        <v>2131</v>
      </c>
      <c r="C427" t="s">
        <v>2098</v>
      </c>
      <c r="D427">
        <v>0</v>
      </c>
    </row>
    <row r="428" spans="1:4" hidden="1" x14ac:dyDescent="0.25">
      <c r="A428" t="s">
        <v>2130</v>
      </c>
      <c r="B428" t="s">
        <v>176</v>
      </c>
      <c r="C428" t="s">
        <v>1718</v>
      </c>
      <c r="D428">
        <v>0</v>
      </c>
    </row>
    <row r="429" spans="1:4" hidden="1" x14ac:dyDescent="0.25">
      <c r="A429" t="s">
        <v>2129</v>
      </c>
      <c r="B429" t="s">
        <v>169</v>
      </c>
      <c r="C429" t="s">
        <v>1680</v>
      </c>
      <c r="D429" t="s">
        <v>1680</v>
      </c>
    </row>
    <row r="430" spans="1:4" hidden="1" x14ac:dyDescent="0.25">
      <c r="A430" t="s">
        <v>2128</v>
      </c>
      <c r="B430" t="s">
        <v>167</v>
      </c>
      <c r="C430" t="s">
        <v>386</v>
      </c>
      <c r="D430">
        <v>0</v>
      </c>
    </row>
    <row r="431" spans="1:4" hidden="1" x14ac:dyDescent="0.25">
      <c r="A431" t="s">
        <v>2127</v>
      </c>
      <c r="B431" t="s">
        <v>2126</v>
      </c>
      <c r="C431" t="s">
        <v>2090</v>
      </c>
      <c r="D431">
        <v>0</v>
      </c>
    </row>
    <row r="432" spans="1:4" hidden="1" x14ac:dyDescent="0.25">
      <c r="A432" t="s">
        <v>2125</v>
      </c>
      <c r="B432" t="s">
        <v>2124</v>
      </c>
      <c r="C432" t="s">
        <v>2087</v>
      </c>
      <c r="D432">
        <v>0</v>
      </c>
    </row>
    <row r="433" spans="1:4" hidden="1" x14ac:dyDescent="0.25">
      <c r="A433" t="s">
        <v>2123</v>
      </c>
      <c r="B433" t="s">
        <v>2122</v>
      </c>
      <c r="C433" t="s">
        <v>2084</v>
      </c>
      <c r="D433">
        <v>0</v>
      </c>
    </row>
    <row r="434" spans="1:4" hidden="1" x14ac:dyDescent="0.25">
      <c r="A434" t="s">
        <v>2121</v>
      </c>
      <c r="B434" t="s">
        <v>165</v>
      </c>
      <c r="C434" t="s">
        <v>2120</v>
      </c>
      <c r="D434" t="s">
        <v>2119</v>
      </c>
    </row>
    <row r="435" spans="1:4" hidden="1" x14ac:dyDescent="0.25">
      <c r="A435" t="s">
        <v>2118</v>
      </c>
      <c r="B435" t="s">
        <v>163</v>
      </c>
      <c r="C435" t="s">
        <v>1713</v>
      </c>
      <c r="D435" t="s">
        <v>1713</v>
      </c>
    </row>
    <row r="436" spans="1:4" hidden="1" x14ac:dyDescent="0.25">
      <c r="A436" t="s">
        <v>2117</v>
      </c>
      <c r="B436" t="s">
        <v>161</v>
      </c>
      <c r="C436" t="s">
        <v>1711</v>
      </c>
      <c r="D436" t="s">
        <v>1710</v>
      </c>
    </row>
    <row r="437" spans="1:4" hidden="1" x14ac:dyDescent="0.25">
      <c r="A437" t="s">
        <v>2116</v>
      </c>
      <c r="B437" t="s">
        <v>159</v>
      </c>
      <c r="C437" t="s">
        <v>1708</v>
      </c>
      <c r="D437" t="s">
        <v>1707</v>
      </c>
    </row>
    <row r="438" spans="1:4" hidden="1" x14ac:dyDescent="0.25">
      <c r="A438" t="s">
        <v>2115</v>
      </c>
      <c r="B438" t="s">
        <v>157</v>
      </c>
      <c r="C438" t="s">
        <v>2114</v>
      </c>
      <c r="D438" t="s">
        <v>2114</v>
      </c>
    </row>
    <row r="439" spans="1:4" hidden="1" x14ac:dyDescent="0.25">
      <c r="A439" t="s">
        <v>2113</v>
      </c>
      <c r="B439" t="s">
        <v>2112</v>
      </c>
      <c r="C439" t="s">
        <v>2078</v>
      </c>
      <c r="D439">
        <v>0</v>
      </c>
    </row>
    <row r="440" spans="1:4" hidden="1" x14ac:dyDescent="0.25">
      <c r="A440" t="s">
        <v>2111</v>
      </c>
      <c r="B440" t="s">
        <v>2110</v>
      </c>
      <c r="C440" t="s">
        <v>2075</v>
      </c>
      <c r="D440">
        <v>0</v>
      </c>
    </row>
    <row r="441" spans="1:4" hidden="1" x14ac:dyDescent="0.25">
      <c r="A441" t="s">
        <v>1886</v>
      </c>
      <c r="B441" t="s">
        <v>1885</v>
      </c>
      <c r="C441">
        <v>0</v>
      </c>
      <c r="D441">
        <v>0</v>
      </c>
    </row>
    <row r="442" spans="1:4" hidden="1" x14ac:dyDescent="0.25">
      <c r="A442" t="s">
        <v>2109</v>
      </c>
      <c r="B442" t="s">
        <v>155</v>
      </c>
      <c r="C442" t="s">
        <v>1726</v>
      </c>
      <c r="D442" t="s">
        <v>1725</v>
      </c>
    </row>
    <row r="443" spans="1:4" hidden="1" x14ac:dyDescent="0.25">
      <c r="A443" t="s">
        <v>2108</v>
      </c>
      <c r="B443" t="s">
        <v>153</v>
      </c>
      <c r="C443" t="s">
        <v>1726</v>
      </c>
      <c r="D443" t="s">
        <v>1725</v>
      </c>
    </row>
    <row r="444" spans="1:4" hidden="1" x14ac:dyDescent="0.25">
      <c r="A444" t="s">
        <v>2107</v>
      </c>
      <c r="B444" t="s">
        <v>2106</v>
      </c>
      <c r="C444" t="s">
        <v>2105</v>
      </c>
      <c r="D444">
        <v>0</v>
      </c>
    </row>
    <row r="445" spans="1:4" x14ac:dyDescent="0.25">
      <c r="A445" t="s">
        <v>2104</v>
      </c>
      <c r="B445" t="s">
        <v>149</v>
      </c>
      <c r="C445" t="s">
        <v>19</v>
      </c>
      <c r="D445" t="s">
        <v>19</v>
      </c>
    </row>
    <row r="446" spans="1:4" hidden="1" x14ac:dyDescent="0.25">
      <c r="A446" t="s">
        <v>2103</v>
      </c>
      <c r="B446" t="s">
        <v>2102</v>
      </c>
      <c r="C446" t="s">
        <v>2101</v>
      </c>
      <c r="D446">
        <v>0</v>
      </c>
    </row>
    <row r="447" spans="1:4" hidden="1" x14ac:dyDescent="0.25">
      <c r="A447" t="s">
        <v>2100</v>
      </c>
      <c r="B447" t="s">
        <v>2099</v>
      </c>
      <c r="C447" t="s">
        <v>2098</v>
      </c>
      <c r="D447">
        <v>0</v>
      </c>
    </row>
    <row r="448" spans="1:4" hidden="1" x14ac:dyDescent="0.25">
      <c r="A448" t="s">
        <v>2097</v>
      </c>
      <c r="B448" t="s">
        <v>146</v>
      </c>
      <c r="C448" t="s">
        <v>1718</v>
      </c>
      <c r="D448">
        <v>0</v>
      </c>
    </row>
    <row r="449" spans="1:4" hidden="1" x14ac:dyDescent="0.25">
      <c r="A449" t="s">
        <v>2096</v>
      </c>
      <c r="B449" t="s">
        <v>141</v>
      </c>
      <c r="C449" t="s">
        <v>1680</v>
      </c>
      <c r="D449" t="s">
        <v>1680</v>
      </c>
    </row>
    <row r="450" spans="1:4" hidden="1" x14ac:dyDescent="0.25">
      <c r="A450" t="s">
        <v>2095</v>
      </c>
      <c r="B450" t="s">
        <v>138</v>
      </c>
      <c r="C450" t="s">
        <v>1680</v>
      </c>
      <c r="D450" t="s">
        <v>1680</v>
      </c>
    </row>
    <row r="451" spans="1:4" hidden="1" x14ac:dyDescent="0.25">
      <c r="A451" t="s">
        <v>2094</v>
      </c>
      <c r="B451" t="s">
        <v>135</v>
      </c>
      <c r="C451" t="s">
        <v>1679</v>
      </c>
      <c r="D451">
        <v>0</v>
      </c>
    </row>
    <row r="452" spans="1:4" hidden="1" x14ac:dyDescent="0.25">
      <c r="A452" t="s">
        <v>2093</v>
      </c>
      <c r="B452" t="s">
        <v>133</v>
      </c>
      <c r="C452" t="s">
        <v>1679</v>
      </c>
      <c r="D452">
        <v>0</v>
      </c>
    </row>
    <row r="453" spans="1:4" hidden="1" x14ac:dyDescent="0.25">
      <c r="A453" t="s">
        <v>2092</v>
      </c>
      <c r="B453" t="s">
        <v>2091</v>
      </c>
      <c r="C453" t="s">
        <v>2090</v>
      </c>
      <c r="D453">
        <v>0</v>
      </c>
    </row>
    <row r="454" spans="1:4" hidden="1" x14ac:dyDescent="0.25">
      <c r="A454" t="s">
        <v>2089</v>
      </c>
      <c r="B454" t="s">
        <v>2088</v>
      </c>
      <c r="C454" t="s">
        <v>2087</v>
      </c>
      <c r="D454">
        <v>0</v>
      </c>
    </row>
    <row r="455" spans="1:4" hidden="1" x14ac:dyDescent="0.25">
      <c r="A455" t="s">
        <v>2086</v>
      </c>
      <c r="B455" t="s">
        <v>2085</v>
      </c>
      <c r="C455" t="s">
        <v>2084</v>
      </c>
      <c r="D455">
        <v>0</v>
      </c>
    </row>
    <row r="456" spans="1:4" hidden="1" x14ac:dyDescent="0.25">
      <c r="A456" t="s">
        <v>2083</v>
      </c>
      <c r="B456" t="s">
        <v>131</v>
      </c>
      <c r="C456" t="s">
        <v>2082</v>
      </c>
      <c r="D456">
        <v>0</v>
      </c>
    </row>
    <row r="457" spans="1:4" hidden="1" x14ac:dyDescent="0.25">
      <c r="A457" t="s">
        <v>2081</v>
      </c>
      <c r="B457" t="s">
        <v>129</v>
      </c>
      <c r="C457" t="s">
        <v>1708</v>
      </c>
      <c r="D457" t="s">
        <v>1707</v>
      </c>
    </row>
    <row r="458" spans="1:4" hidden="1" x14ac:dyDescent="0.25">
      <c r="A458" t="s">
        <v>2080</v>
      </c>
      <c r="B458" t="s">
        <v>2079</v>
      </c>
      <c r="C458" t="s">
        <v>2078</v>
      </c>
      <c r="D458">
        <v>0</v>
      </c>
    </row>
    <row r="459" spans="1:4" hidden="1" x14ac:dyDescent="0.25">
      <c r="A459" t="s">
        <v>2077</v>
      </c>
      <c r="B459" t="s">
        <v>2076</v>
      </c>
      <c r="C459" t="s">
        <v>2075</v>
      </c>
      <c r="D459">
        <v>0</v>
      </c>
    </row>
    <row r="460" spans="1:4" hidden="1" x14ac:dyDescent="0.25">
      <c r="A460" t="s">
        <v>2074</v>
      </c>
      <c r="B460" t="s">
        <v>2073</v>
      </c>
      <c r="C460" t="s">
        <v>1787</v>
      </c>
      <c r="D460">
        <v>0</v>
      </c>
    </row>
    <row r="461" spans="1:4" hidden="1" x14ac:dyDescent="0.25">
      <c r="A461" t="s">
        <v>2072</v>
      </c>
      <c r="B461" t="s">
        <v>2071</v>
      </c>
      <c r="C461" t="s">
        <v>2070</v>
      </c>
      <c r="D461">
        <v>0</v>
      </c>
    </row>
    <row r="462" spans="1:4" hidden="1" x14ac:dyDescent="0.25">
      <c r="A462" t="s">
        <v>2068</v>
      </c>
      <c r="B462" t="s">
        <v>2069</v>
      </c>
      <c r="C462" t="s">
        <v>2068</v>
      </c>
      <c r="D462">
        <v>0</v>
      </c>
    </row>
    <row r="463" spans="1:4" hidden="1" x14ac:dyDescent="0.25">
      <c r="A463" t="s">
        <v>1670</v>
      </c>
      <c r="B463" t="s">
        <v>1669</v>
      </c>
      <c r="C463">
        <v>0</v>
      </c>
      <c r="D463">
        <v>0</v>
      </c>
    </row>
    <row r="464" spans="1:4" hidden="1" x14ac:dyDescent="0.25">
      <c r="A464" t="s">
        <v>2067</v>
      </c>
      <c r="B464" t="s">
        <v>2066</v>
      </c>
      <c r="C464" t="s">
        <v>2065</v>
      </c>
      <c r="D464">
        <v>0</v>
      </c>
    </row>
  </sheetData>
  <autoFilter ref="A1:D464" xr:uid="{18E272ED-C44B-4DEA-95AB-B5234FBC1345}">
    <filterColumn colId="2">
      <filters>
        <filter val="Coal"/>
        <filter val="Coke"/>
        <filter val="Coking coal"/>
        <filter val="Discard Coal"/>
        <filter val="Energy-Coal"/>
      </filters>
    </filterColumn>
  </autoFilter>
  <sortState xmlns:xlrd2="http://schemas.microsoft.com/office/spreadsheetml/2017/richdata2" ref="A21:D464">
    <sortCondition ref="A21:A46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Z911"/>
  <sheetViews>
    <sheetView zoomScale="90" zoomScaleNormal="90" workbookViewId="0">
      <selection activeCell="I9" sqref="I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44" max="44" width="20.140625" customWidth="1"/>
    <col min="50" max="50" width="12.5703125" customWidth="1"/>
  </cols>
  <sheetData>
    <row r="4" spans="1:52" x14ac:dyDescent="0.25">
      <c r="AL4" t="s">
        <v>3405</v>
      </c>
      <c r="AO4" t="s">
        <v>3406</v>
      </c>
    </row>
    <row r="5" spans="1:52" x14ac:dyDescent="0.25">
      <c r="C5" t="s">
        <v>3061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2993</v>
      </c>
      <c r="X5" s="2"/>
      <c r="Y5" s="2" t="s">
        <v>2992</v>
      </c>
      <c r="AA5" s="2" t="s">
        <v>3014</v>
      </c>
      <c r="AB5" s="2"/>
      <c r="AC5" s="2" t="s">
        <v>3079</v>
      </c>
      <c r="AD5" s="2"/>
      <c r="AE5" s="2"/>
      <c r="AF5" s="2" t="s">
        <v>2923</v>
      </c>
      <c r="AG5" s="2"/>
      <c r="AH5" s="2"/>
      <c r="AI5" s="2" t="s">
        <v>2924</v>
      </c>
      <c r="AJ5" s="2"/>
      <c r="AK5" s="2"/>
      <c r="AL5" s="2" t="s">
        <v>3403</v>
      </c>
      <c r="AM5" s="2"/>
      <c r="AN5" s="2"/>
      <c r="AO5" s="2" t="s">
        <v>3410</v>
      </c>
      <c r="AP5" s="2"/>
      <c r="AQ5" s="2"/>
      <c r="AU5" t="s">
        <v>3164</v>
      </c>
      <c r="AV5" s="2"/>
      <c r="AW5" t="s">
        <v>3401</v>
      </c>
      <c r="AY5" t="s">
        <v>3027</v>
      </c>
    </row>
    <row r="6" spans="1:52" x14ac:dyDescent="0.25">
      <c r="A6" s="2" t="s">
        <v>2990</v>
      </c>
      <c r="B6" s="2"/>
      <c r="C6" s="2" t="s">
        <v>3060</v>
      </c>
      <c r="D6" s="2"/>
      <c r="E6" t="s">
        <v>3433</v>
      </c>
      <c r="F6" s="2"/>
      <c r="G6" t="s">
        <v>3434</v>
      </c>
      <c r="H6" s="2"/>
      <c r="I6" t="s">
        <v>3435</v>
      </c>
      <c r="J6" s="2"/>
      <c r="K6" s="2" t="s">
        <v>2846</v>
      </c>
      <c r="L6" s="2"/>
      <c r="M6" s="2" t="s">
        <v>2848</v>
      </c>
      <c r="N6" s="2"/>
      <c r="O6" s="2" t="s">
        <v>3169</v>
      </c>
      <c r="Q6" s="2" t="s">
        <v>3309</v>
      </c>
      <c r="S6" s="2" t="s">
        <v>3310</v>
      </c>
      <c r="U6" s="2" t="s">
        <v>2847</v>
      </c>
      <c r="V6" s="2"/>
      <c r="W6" s="2" t="s">
        <v>2462</v>
      </c>
      <c r="X6" s="2" t="s">
        <v>2847</v>
      </c>
      <c r="Y6" s="2" t="s">
        <v>2462</v>
      </c>
      <c r="Z6" s="2" t="s">
        <v>2870</v>
      </c>
      <c r="AA6" s="2" t="s">
        <v>2465</v>
      </c>
      <c r="AB6" s="2" t="s">
        <v>3015</v>
      </c>
      <c r="AC6" s="2" t="s">
        <v>2465</v>
      </c>
      <c r="AD6" s="2" t="s">
        <v>3080</v>
      </c>
      <c r="AE6" s="2"/>
      <c r="AF6" s="2" t="s">
        <v>2848</v>
      </c>
      <c r="AG6" s="2" t="s">
        <v>2925</v>
      </c>
      <c r="AH6" s="2"/>
      <c r="AI6" s="2" t="s">
        <v>2847</v>
      </c>
      <c r="AJ6" s="2" t="s">
        <v>2926</v>
      </c>
      <c r="AK6" s="2"/>
      <c r="AL6" s="2" t="s">
        <v>3015</v>
      </c>
      <c r="AM6" s="2" t="s">
        <v>3402</v>
      </c>
      <c r="AN6" s="2"/>
      <c r="AO6" s="2" t="s">
        <v>2925</v>
      </c>
      <c r="AP6" s="2" t="s">
        <v>3407</v>
      </c>
      <c r="AQ6" s="2"/>
      <c r="AR6" s="2" t="s">
        <v>2988</v>
      </c>
      <c r="AS6" s="2" t="s">
        <v>2870</v>
      </c>
      <c r="AT6" s="2"/>
      <c r="AU6" s="2" t="s">
        <v>3163</v>
      </c>
      <c r="AW6" s="2" t="s">
        <v>3402</v>
      </c>
      <c r="AY6" t="s">
        <v>2431</v>
      </c>
      <c r="AZ6" t="str">
        <f>""</f>
        <v/>
      </c>
    </row>
    <row r="7" spans="1:52" x14ac:dyDescent="0.25">
      <c r="A7" t="s">
        <v>2876</v>
      </c>
      <c r="C7" t="s">
        <v>3062</v>
      </c>
      <c r="E7" t="s">
        <v>3067</v>
      </c>
      <c r="G7" t="s">
        <v>3065</v>
      </c>
      <c r="I7" t="s">
        <v>3063</v>
      </c>
      <c r="K7" t="s">
        <v>2849</v>
      </c>
      <c r="M7" t="s">
        <v>2849</v>
      </c>
      <c r="O7" t="s">
        <v>3237</v>
      </c>
      <c r="Q7" t="s">
        <v>140</v>
      </c>
      <c r="S7" t="s">
        <v>43</v>
      </c>
      <c r="T7" s="2"/>
      <c r="U7" t="s">
        <v>2850</v>
      </c>
      <c r="W7" t="str">
        <f>mapPRC!A79</f>
        <v>AHCOA-E</v>
      </c>
      <c r="X7" t="str">
        <f>IFERROR(INDEX($AS$7:$AS$88,MATCH(mapPRC!C79,$AR$7:$AR$88,0)),"")</f>
        <v>agr</v>
      </c>
      <c r="Y7" t="s">
        <v>915</v>
      </c>
      <c r="Z7" t="s">
        <v>2871</v>
      </c>
      <c r="AA7" t="str">
        <f>mapCOM!A21</f>
        <v>ACTGRP</v>
      </c>
      <c r="AB7" t="str">
        <f t="shared" ref="AB7:AB70" si="0">INDEX($AZ$6:$AZ$784,MATCH(AA7,$AY$6:$AY$784,0))</f>
        <v/>
      </c>
      <c r="AC7" t="s">
        <v>2431</v>
      </c>
      <c r="AD7" t="s">
        <v>2431</v>
      </c>
      <c r="AF7" t="s">
        <v>2849</v>
      </c>
      <c r="AG7" t="s">
        <v>2927</v>
      </c>
      <c r="AI7" t="s">
        <v>2850</v>
      </c>
      <c r="AJ7" t="s">
        <v>2928</v>
      </c>
      <c r="AL7" t="s">
        <v>3375</v>
      </c>
      <c r="AM7" t="s">
        <v>3408</v>
      </c>
      <c r="AO7" t="s">
        <v>2927</v>
      </c>
      <c r="AP7" t="s">
        <v>2927</v>
      </c>
      <c r="AR7" t="s">
        <v>1637</v>
      </c>
      <c r="AS7" t="str">
        <f>U7</f>
        <v>agr</v>
      </c>
      <c r="AU7" t="s">
        <v>2064</v>
      </c>
      <c r="AW7" t="s">
        <v>3408</v>
      </c>
      <c r="AY7" t="s">
        <v>2429</v>
      </c>
      <c r="AZ7" t="s">
        <v>3016</v>
      </c>
    </row>
    <row r="8" spans="1:52" x14ac:dyDescent="0.25">
      <c r="A8" t="s">
        <v>2878</v>
      </c>
      <c r="C8" t="s">
        <v>3063</v>
      </c>
      <c r="E8" t="s">
        <v>3068</v>
      </c>
      <c r="G8" t="s">
        <v>3066</v>
      </c>
      <c r="I8" t="s">
        <v>3064</v>
      </c>
      <c r="K8" t="s">
        <v>2851</v>
      </c>
      <c r="M8" t="s">
        <v>2851</v>
      </c>
      <c r="O8" t="s">
        <v>1637</v>
      </c>
      <c r="Q8" t="s">
        <v>137</v>
      </c>
      <c r="S8" t="s">
        <v>1269</v>
      </c>
      <c r="U8" t="s">
        <v>2852</v>
      </c>
      <c r="W8" t="str">
        <f>mapPRC!A80</f>
        <v>AHELC-E</v>
      </c>
      <c r="X8" t="str">
        <f>IFERROR(INDEX($AS$7:$AS$88,MATCH(mapPRC!C80,$AR$7:$AR$88,0)),"")</f>
        <v>agr</v>
      </c>
      <c r="Y8" t="s">
        <v>905</v>
      </c>
      <c r="Z8" t="s">
        <v>2921</v>
      </c>
      <c r="AA8" t="str">
        <f>mapCOM!A22</f>
        <v>AGRCH4S</v>
      </c>
      <c r="AB8" t="str">
        <f t="shared" si="0"/>
        <v/>
      </c>
      <c r="AC8" t="s">
        <v>2429</v>
      </c>
      <c r="AD8" t="s">
        <v>2429</v>
      </c>
      <c r="AF8" t="s">
        <v>2849</v>
      </c>
      <c r="AG8" t="s">
        <v>2929</v>
      </c>
      <c r="AI8" t="s">
        <v>2850</v>
      </c>
      <c r="AJ8" t="s">
        <v>2930</v>
      </c>
      <c r="AL8" t="s">
        <v>3019</v>
      </c>
      <c r="AM8" t="s">
        <v>3409</v>
      </c>
      <c r="AO8" t="s">
        <v>2929</v>
      </c>
      <c r="AP8" t="s">
        <v>2929</v>
      </c>
      <c r="AR8" t="s">
        <v>1593</v>
      </c>
      <c r="AS8" t="str">
        <f>U18</f>
        <v>com</v>
      </c>
      <c r="AU8" t="s">
        <v>2062</v>
      </c>
      <c r="AW8" t="s">
        <v>3409</v>
      </c>
      <c r="AY8" t="s">
        <v>2427</v>
      </c>
      <c r="AZ8" t="s">
        <v>3016</v>
      </c>
    </row>
    <row r="9" spans="1:52" x14ac:dyDescent="0.25">
      <c r="A9" t="s">
        <v>2880</v>
      </c>
      <c r="C9" t="s">
        <v>3064</v>
      </c>
      <c r="E9" t="s">
        <v>3069</v>
      </c>
      <c r="K9" t="s">
        <v>2854</v>
      </c>
      <c r="M9" t="s">
        <v>2854</v>
      </c>
      <c r="O9" t="s">
        <v>1487</v>
      </c>
      <c r="Q9" t="s">
        <v>3237</v>
      </c>
      <c r="S9" t="s">
        <v>3010</v>
      </c>
      <c r="U9" t="s">
        <v>2855</v>
      </c>
      <c r="W9" t="str">
        <f>mapPRC!A81</f>
        <v>AHOHF-E</v>
      </c>
      <c r="X9" t="str">
        <f>IFERROR(INDEX($AS$7:$AS$88,MATCH(mapPRC!C81,$AR$7:$AR$88,0)),"")</f>
        <v>agr</v>
      </c>
      <c r="Y9" t="s">
        <v>445</v>
      </c>
      <c r="Z9" t="s">
        <v>2869</v>
      </c>
      <c r="AA9" t="str">
        <f>mapCOM!A23</f>
        <v>AGRCMOX</v>
      </c>
      <c r="AB9" t="str">
        <f t="shared" si="0"/>
        <v/>
      </c>
      <c r="AC9" t="s">
        <v>2427</v>
      </c>
      <c r="AD9" t="s">
        <v>2427</v>
      </c>
      <c r="AF9" t="s">
        <v>2849</v>
      </c>
      <c r="AG9" t="s">
        <v>2931</v>
      </c>
      <c r="AI9" t="s">
        <v>2850</v>
      </c>
      <c r="AJ9" t="s">
        <v>2932</v>
      </c>
      <c r="AL9" t="s">
        <v>3377</v>
      </c>
      <c r="AM9" t="s">
        <v>3382</v>
      </c>
      <c r="AO9" t="s">
        <v>2931</v>
      </c>
      <c r="AP9" t="s">
        <v>2931</v>
      </c>
      <c r="AR9" t="s">
        <v>1504</v>
      </c>
      <c r="AS9" t="str">
        <f>U18</f>
        <v>com</v>
      </c>
      <c r="AU9" t="s">
        <v>2060</v>
      </c>
      <c r="AW9" t="s">
        <v>3382</v>
      </c>
      <c r="AY9" t="s">
        <v>2425</v>
      </c>
      <c r="AZ9" t="s">
        <v>3016</v>
      </c>
    </row>
    <row r="10" spans="1:52" x14ac:dyDescent="0.25">
      <c r="A10" t="s">
        <v>2882</v>
      </c>
      <c r="C10" t="s">
        <v>3065</v>
      </c>
      <c r="E10" t="s">
        <v>3070</v>
      </c>
      <c r="K10" t="s">
        <v>2850</v>
      </c>
      <c r="O10" t="s">
        <v>964</v>
      </c>
      <c r="Q10" t="s">
        <v>1637</v>
      </c>
      <c r="S10" t="s">
        <v>3012</v>
      </c>
      <c r="U10" t="s">
        <v>2856</v>
      </c>
      <c r="W10" t="str">
        <f>mapPRC!A82</f>
        <v>AHOKE-E</v>
      </c>
      <c r="X10" t="str">
        <f>IFERROR(INDEX($AS$7:$AS$88,MATCH(mapPRC!C82,$AR$7:$AR$88,0)),"")</f>
        <v>agr</v>
      </c>
      <c r="Y10" t="s">
        <v>439</v>
      </c>
      <c r="Z10" t="s">
        <v>2862</v>
      </c>
      <c r="AA10" t="str">
        <f>mapCOM!A24</f>
        <v>AGRCO2S</v>
      </c>
      <c r="AB10" t="str">
        <f t="shared" si="0"/>
        <v/>
      </c>
      <c r="AC10" t="s">
        <v>2425</v>
      </c>
      <c r="AD10" t="s">
        <v>2425</v>
      </c>
      <c r="AF10" t="s">
        <v>2849</v>
      </c>
      <c r="AG10" t="s">
        <v>2933</v>
      </c>
      <c r="AI10" t="s">
        <v>2922</v>
      </c>
      <c r="AJ10" t="s">
        <v>2934</v>
      </c>
      <c r="AL10" t="s">
        <v>3378</v>
      </c>
      <c r="AM10" t="s">
        <v>3382</v>
      </c>
      <c r="AO10" t="s">
        <v>2933</v>
      </c>
      <c r="AP10" t="s">
        <v>2933</v>
      </c>
      <c r="AR10" t="s">
        <v>3008</v>
      </c>
      <c r="AS10" t="s">
        <v>2858</v>
      </c>
      <c r="AU10" t="s">
        <v>2058</v>
      </c>
      <c r="AW10" t="s">
        <v>3414</v>
      </c>
      <c r="AY10" t="s">
        <v>2423</v>
      </c>
      <c r="AZ10" t="s">
        <v>3016</v>
      </c>
    </row>
    <row r="11" spans="1:52" x14ac:dyDescent="0.25">
      <c r="A11" t="s">
        <v>2884</v>
      </c>
      <c r="C11" t="s">
        <v>3066</v>
      </c>
      <c r="E11" t="s">
        <v>3071</v>
      </c>
      <c r="K11" t="s">
        <v>2852</v>
      </c>
      <c r="O11" t="s">
        <v>3238</v>
      </c>
      <c r="Q11" t="s">
        <v>3086</v>
      </c>
      <c r="S11" t="s">
        <v>3011</v>
      </c>
      <c r="U11" t="s">
        <v>2857</v>
      </c>
      <c r="W11" t="str">
        <f>mapPRC!A83</f>
        <v>AHOLP-E</v>
      </c>
      <c r="X11" t="str">
        <f>IFERROR(INDEX($AS$7:$AS$88,MATCH(mapPRC!C83,$AR$7:$AR$88,0)),"")</f>
        <v>agr</v>
      </c>
      <c r="Y11" t="s">
        <v>1661</v>
      </c>
      <c r="Z11" t="s">
        <v>2991</v>
      </c>
      <c r="AA11" t="str">
        <f>mapCOM!A25</f>
        <v>AGRCOA</v>
      </c>
      <c r="AB11" t="str">
        <f t="shared" si="0"/>
        <v>ccoal-hgh</v>
      </c>
      <c r="AC11" t="s">
        <v>1678</v>
      </c>
      <c r="AD11" t="s">
        <v>2429</v>
      </c>
      <c r="AF11" t="s">
        <v>2849</v>
      </c>
      <c r="AG11" t="s">
        <v>2935</v>
      </c>
      <c r="AI11" t="s">
        <v>2852</v>
      </c>
      <c r="AJ11" t="s">
        <v>2936</v>
      </c>
      <c r="AL11" t="s">
        <v>3025</v>
      </c>
      <c r="AM11" t="s">
        <v>3414</v>
      </c>
      <c r="AO11" t="s">
        <v>2935</v>
      </c>
      <c r="AP11" t="s">
        <v>2935</v>
      </c>
      <c r="AR11" t="s">
        <v>3009</v>
      </c>
      <c r="AS11" t="s">
        <v>2869</v>
      </c>
      <c r="AU11" t="s">
        <v>2056</v>
      </c>
      <c r="AW11" t="s">
        <v>3399</v>
      </c>
      <c r="AY11" t="s">
        <v>2419</v>
      </c>
      <c r="AZ11" t="s">
        <v>3017</v>
      </c>
    </row>
    <row r="12" spans="1:52" x14ac:dyDescent="0.25">
      <c r="A12" t="s">
        <v>2886</v>
      </c>
      <c r="C12" t="s">
        <v>3067</v>
      </c>
      <c r="E12" t="s">
        <v>3072</v>
      </c>
      <c r="K12" t="s">
        <v>2855</v>
      </c>
      <c r="O12" t="s">
        <v>401</v>
      </c>
      <c r="Q12" t="s">
        <v>1486</v>
      </c>
      <c r="S12" t="s">
        <v>3013</v>
      </c>
      <c r="U12" t="s">
        <v>2858</v>
      </c>
      <c r="W12" t="str">
        <f>mapPRC!A84</f>
        <v>AIELC-E</v>
      </c>
      <c r="X12" t="str">
        <f>IFERROR(INDEX($AS$7:$AS$88,MATCH(mapPRC!C84,$AR$7:$AR$88,0)),"")</f>
        <v>agr</v>
      </c>
      <c r="Y12" t="s">
        <v>1636</v>
      </c>
      <c r="Z12" t="s">
        <v>2465</v>
      </c>
      <c r="AA12" t="str">
        <f>mapCOM!A26</f>
        <v>AGRELC</v>
      </c>
      <c r="AB12" t="str">
        <f t="shared" si="0"/>
        <v>celec</v>
      </c>
      <c r="AC12" t="s">
        <v>1676</v>
      </c>
      <c r="AD12" t="s">
        <v>2431</v>
      </c>
      <c r="AF12" t="s">
        <v>2851</v>
      </c>
      <c r="AG12" t="s">
        <v>2937</v>
      </c>
      <c r="AI12" t="s">
        <v>2852</v>
      </c>
      <c r="AJ12" t="s">
        <v>2938</v>
      </c>
      <c r="AL12" t="s">
        <v>3017</v>
      </c>
      <c r="AM12" t="s">
        <v>3399</v>
      </c>
      <c r="AO12" t="s">
        <v>2937</v>
      </c>
      <c r="AP12" t="s">
        <v>2937</v>
      </c>
      <c r="AR12" t="s">
        <v>1481</v>
      </c>
      <c r="AS12" t="s">
        <v>2863</v>
      </c>
      <c r="AU12" t="s">
        <v>2027</v>
      </c>
      <c r="AW12" t="s">
        <v>3383</v>
      </c>
      <c r="AY12" t="s">
        <v>2417</v>
      </c>
      <c r="AZ12" t="s">
        <v>3018</v>
      </c>
    </row>
    <row r="13" spans="1:52" x14ac:dyDescent="0.25">
      <c r="A13" t="s">
        <v>2888</v>
      </c>
      <c r="C13" t="s">
        <v>3068</v>
      </c>
      <c r="E13" t="s">
        <v>3073</v>
      </c>
      <c r="K13" t="s">
        <v>2856</v>
      </c>
      <c r="O13" t="s">
        <v>145</v>
      </c>
      <c r="Q13" t="s">
        <v>3008</v>
      </c>
      <c r="S13" t="s">
        <v>712</v>
      </c>
      <c r="U13" t="s">
        <v>2859</v>
      </c>
      <c r="W13" t="str">
        <f>mapPRC!A85</f>
        <v>AIODS-E</v>
      </c>
      <c r="X13" t="str">
        <f>IFERROR(INDEX($AS$7:$AS$88,MATCH(mapPRC!C85,$AR$7:$AR$88,0)),"")</f>
        <v>agr</v>
      </c>
      <c r="Y13" t="s">
        <v>720</v>
      </c>
      <c r="Z13" t="s">
        <v>2867</v>
      </c>
      <c r="AA13" t="str">
        <f>mapCOM!A27</f>
        <v>AGRN2OS</v>
      </c>
      <c r="AB13" t="str">
        <f t="shared" si="0"/>
        <v/>
      </c>
      <c r="AC13" t="s">
        <v>1674</v>
      </c>
      <c r="AD13" t="s">
        <v>2427</v>
      </c>
      <c r="AF13" t="s">
        <v>2851</v>
      </c>
      <c r="AG13" t="s">
        <v>2939</v>
      </c>
      <c r="AI13" t="s">
        <v>2852</v>
      </c>
      <c r="AJ13" t="s">
        <v>2940</v>
      </c>
      <c r="AL13" t="s">
        <v>3379</v>
      </c>
      <c r="AM13" t="s">
        <v>3383</v>
      </c>
      <c r="AO13" t="s">
        <v>2939</v>
      </c>
      <c r="AP13" t="s">
        <v>2939</v>
      </c>
      <c r="AR13" t="s">
        <v>1476</v>
      </c>
      <c r="AS13" t="str">
        <f t="shared" ref="AS13:AS24" si="1">AS12</f>
        <v>elec</v>
      </c>
      <c r="AU13" t="s">
        <v>2026</v>
      </c>
      <c r="AW13" t="s">
        <v>3384</v>
      </c>
      <c r="AY13" t="s">
        <v>2415</v>
      </c>
      <c r="AZ13" t="s">
        <v>3016</v>
      </c>
    </row>
    <row r="14" spans="1:52" x14ac:dyDescent="0.25">
      <c r="A14" t="s">
        <v>2890</v>
      </c>
      <c r="C14" t="s">
        <v>3069</v>
      </c>
      <c r="E14" t="s">
        <v>3074</v>
      </c>
      <c r="K14" t="s">
        <v>2857</v>
      </c>
      <c r="O14" t="s">
        <v>3206</v>
      </c>
      <c r="Q14" t="s">
        <v>3009</v>
      </c>
      <c r="S14" t="s">
        <v>1233</v>
      </c>
      <c r="U14" t="s">
        <v>2860</v>
      </c>
      <c r="W14" t="str">
        <f>mapPRC!A86</f>
        <v>AIOGS-E</v>
      </c>
      <c r="X14" t="str">
        <f>IFERROR(INDEX($AS$7:$AS$88,MATCH(mapPRC!C86,$AR$7:$AR$88,0)),"")</f>
        <v>agr</v>
      </c>
      <c r="Y14" t="s">
        <v>711</v>
      </c>
      <c r="Z14" t="s">
        <v>2866</v>
      </c>
      <c r="AA14" t="str">
        <f>mapCOM!A28</f>
        <v>AGRNMVS</v>
      </c>
      <c r="AB14" t="str">
        <f t="shared" si="0"/>
        <v/>
      </c>
      <c r="AC14" t="s">
        <v>1672</v>
      </c>
      <c r="AD14" t="s">
        <v>2425</v>
      </c>
      <c r="AF14" t="s">
        <v>2851</v>
      </c>
      <c r="AG14" t="s">
        <v>2941</v>
      </c>
      <c r="AI14" t="s">
        <v>2852</v>
      </c>
      <c r="AJ14" t="s">
        <v>2942</v>
      </c>
      <c r="AL14" t="s">
        <v>3380</v>
      </c>
      <c r="AM14" t="s">
        <v>3383</v>
      </c>
      <c r="AO14" t="s">
        <v>2941</v>
      </c>
      <c r="AP14" t="s">
        <v>2941</v>
      </c>
      <c r="AR14" t="s">
        <v>1469</v>
      </c>
      <c r="AS14" t="str">
        <f t="shared" si="1"/>
        <v>elec</v>
      </c>
      <c r="AU14" t="s">
        <v>2025</v>
      </c>
      <c r="AW14" t="s">
        <v>3385</v>
      </c>
      <c r="AY14" t="s">
        <v>2413</v>
      </c>
      <c r="AZ14" t="s">
        <v>3016</v>
      </c>
    </row>
    <row r="15" spans="1:52" x14ac:dyDescent="0.25">
      <c r="A15" t="s">
        <v>2892</v>
      </c>
      <c r="C15" t="s">
        <v>3070</v>
      </c>
      <c r="K15" t="s">
        <v>2858</v>
      </c>
      <c r="O15" t="s">
        <v>387</v>
      </c>
      <c r="Q15" t="s">
        <v>3117</v>
      </c>
      <c r="S15" t="s">
        <v>1230</v>
      </c>
      <c r="U15" t="s">
        <v>2861</v>
      </c>
      <c r="W15" t="str">
        <f>mapPRC!A87</f>
        <v>AOELC-E</v>
      </c>
      <c r="X15" t="str">
        <f>IFERROR(INDEX($AS$7:$AS$88,MATCH(mapPRC!C87,$AR$7:$AR$88,0)),"")</f>
        <v>agr</v>
      </c>
      <c r="Y15" t="s">
        <v>525</v>
      </c>
      <c r="Z15" t="s">
        <v>2865</v>
      </c>
      <c r="AA15" t="str">
        <f>mapCOM!A29</f>
        <v>AGRNOXS</v>
      </c>
      <c r="AB15" t="str">
        <f t="shared" si="0"/>
        <v/>
      </c>
      <c r="AF15" t="s">
        <v>2854</v>
      </c>
      <c r="AG15" t="s">
        <v>2943</v>
      </c>
      <c r="AI15" t="s">
        <v>2862</v>
      </c>
      <c r="AJ15" t="s">
        <v>2944</v>
      </c>
      <c r="AL15" t="s">
        <v>3381</v>
      </c>
      <c r="AM15" t="s">
        <v>3384</v>
      </c>
      <c r="AO15" t="s">
        <v>2943</v>
      </c>
      <c r="AP15" t="s">
        <v>2943</v>
      </c>
      <c r="AR15" t="s">
        <v>1316</v>
      </c>
      <c r="AS15" t="str">
        <f t="shared" si="1"/>
        <v>elec</v>
      </c>
      <c r="AU15" t="s">
        <v>2024</v>
      </c>
      <c r="AW15" t="s">
        <v>3391</v>
      </c>
      <c r="AY15" t="s">
        <v>2411</v>
      </c>
      <c r="AZ15" t="s">
        <v>3016</v>
      </c>
    </row>
    <row r="16" spans="1:52" x14ac:dyDescent="0.25">
      <c r="A16" t="s">
        <v>2894</v>
      </c>
      <c r="C16" t="s">
        <v>3071</v>
      </c>
      <c r="K16" t="s">
        <v>2859</v>
      </c>
      <c r="O16" t="s">
        <v>723</v>
      </c>
      <c r="Q16" t="s">
        <v>3118</v>
      </c>
      <c r="S16" t="s">
        <v>448</v>
      </c>
      <c r="U16" t="s">
        <v>2862</v>
      </c>
      <c r="W16" t="str">
        <f>mapPRC!A88</f>
        <v>APELC-E</v>
      </c>
      <c r="X16" t="str">
        <f>IFERROR(INDEX($AS$7:$AS$88,MATCH(mapPRC!C88,$AR$7:$AR$88,0)),"")</f>
        <v>agr</v>
      </c>
      <c r="Y16" t="s">
        <v>465</v>
      </c>
      <c r="Z16" t="s">
        <v>2868</v>
      </c>
      <c r="AA16" t="str">
        <f>mapCOM!A30</f>
        <v>AGRODS</v>
      </c>
      <c r="AB16" t="str">
        <f t="shared" si="0"/>
        <v>cpetr_d</v>
      </c>
      <c r="AF16" t="s">
        <v>2854</v>
      </c>
      <c r="AG16" t="s">
        <v>2989</v>
      </c>
      <c r="AI16" t="s">
        <v>2852</v>
      </c>
      <c r="AJ16" t="s">
        <v>2945</v>
      </c>
      <c r="AL16" t="s">
        <v>3346</v>
      </c>
      <c r="AM16" t="s">
        <v>3384</v>
      </c>
      <c r="AO16" t="s">
        <v>2989</v>
      </c>
      <c r="AP16" t="s">
        <v>2989</v>
      </c>
      <c r="AR16" t="s">
        <v>1425</v>
      </c>
      <c r="AS16" t="str">
        <f t="shared" si="1"/>
        <v>elec</v>
      </c>
      <c r="AU16" t="s">
        <v>2023</v>
      </c>
      <c r="AW16" t="s">
        <v>3395</v>
      </c>
      <c r="AY16" t="s">
        <v>2409</v>
      </c>
      <c r="AZ16" t="s">
        <v>3016</v>
      </c>
    </row>
    <row r="17" spans="1:52" x14ac:dyDescent="0.25">
      <c r="A17" t="s">
        <v>2896</v>
      </c>
      <c r="C17" t="s">
        <v>3072</v>
      </c>
      <c r="K17" t="s">
        <v>2860</v>
      </c>
      <c r="O17" t="s">
        <v>21</v>
      </c>
      <c r="Q17" t="s">
        <v>44</v>
      </c>
      <c r="S17" t="s">
        <v>452</v>
      </c>
      <c r="U17" t="s">
        <v>2863</v>
      </c>
      <c r="W17" t="str">
        <f>mapPRC!A89</f>
        <v>ATELC-E</v>
      </c>
      <c r="X17" t="str">
        <f>IFERROR(INDEX($AS$7:$AS$88,MATCH(mapPRC!C89,$AR$7:$AR$88,0)),"")</f>
        <v>agr</v>
      </c>
      <c r="Y17" t="s">
        <v>1301</v>
      </c>
      <c r="Z17" t="s">
        <v>2858</v>
      </c>
      <c r="AA17" t="str">
        <f>mapCOM!A31</f>
        <v>AGROGS</v>
      </c>
      <c r="AB17" t="str">
        <f t="shared" si="0"/>
        <v/>
      </c>
      <c r="AI17" t="s">
        <v>2855</v>
      </c>
      <c r="AJ17" t="s">
        <v>2946</v>
      </c>
      <c r="AL17" t="s">
        <v>3347</v>
      </c>
      <c r="AM17" t="s">
        <v>3384</v>
      </c>
      <c r="AR17" t="s">
        <v>1403</v>
      </c>
      <c r="AS17" t="str">
        <f t="shared" si="1"/>
        <v>elec</v>
      </c>
      <c r="AU17" t="s">
        <v>2022</v>
      </c>
      <c r="AW17" t="s">
        <v>3386</v>
      </c>
      <c r="AY17" t="s">
        <v>2407</v>
      </c>
      <c r="AZ17" t="s">
        <v>3019</v>
      </c>
    </row>
    <row r="18" spans="1:52" x14ac:dyDescent="0.25">
      <c r="A18" t="s">
        <v>2898</v>
      </c>
      <c r="C18" t="s">
        <v>3073</v>
      </c>
      <c r="K18" t="s">
        <v>2861</v>
      </c>
      <c r="O18" t="s">
        <v>26</v>
      </c>
      <c r="Q18" t="s">
        <v>449</v>
      </c>
      <c r="S18" t="s">
        <v>408</v>
      </c>
      <c r="U18" t="s">
        <v>2864</v>
      </c>
      <c r="W18" t="str">
        <f>mapPRC!A90</f>
        <v>ATODS-E</v>
      </c>
      <c r="X18" t="str">
        <f>IFERROR(INDEX($AS$7:$AS$88,MATCH(mapPRC!C90,$AR$7:$AR$88,0)),"")</f>
        <v>agr</v>
      </c>
      <c r="Y18" t="s">
        <v>1265</v>
      </c>
      <c r="Z18" t="s">
        <v>2855</v>
      </c>
      <c r="AA18" t="str">
        <f>mapCOM!A32</f>
        <v>AGROHF</v>
      </c>
      <c r="AB18" t="str">
        <f t="shared" si="0"/>
        <v>cpetr_o</v>
      </c>
      <c r="AI18" t="s">
        <v>2855</v>
      </c>
      <c r="AJ18" t="s">
        <v>2947</v>
      </c>
      <c r="AL18" t="s">
        <v>3387</v>
      </c>
      <c r="AM18" t="s">
        <v>3384</v>
      </c>
      <c r="AR18" t="s">
        <v>1398</v>
      </c>
      <c r="AS18" t="str">
        <f t="shared" si="1"/>
        <v>elec</v>
      </c>
      <c r="AU18" t="s">
        <v>2021</v>
      </c>
      <c r="AW18" t="s">
        <v>3392</v>
      </c>
      <c r="AY18" t="s">
        <v>2405</v>
      </c>
      <c r="AZ18" t="s">
        <v>3018</v>
      </c>
    </row>
    <row r="19" spans="1:52" x14ac:dyDescent="0.25">
      <c r="A19" t="s">
        <v>2900</v>
      </c>
      <c r="C19" t="s">
        <v>3074</v>
      </c>
      <c r="K19" t="s">
        <v>2862</v>
      </c>
      <c r="O19" t="s">
        <v>1787</v>
      </c>
      <c r="Q19" t="s">
        <v>1270</v>
      </c>
      <c r="S19" t="s">
        <v>962</v>
      </c>
      <c r="U19" t="s">
        <v>2865</v>
      </c>
      <c r="W19" t="str">
        <f>mapPRC!A91</f>
        <v>ATOGS-E</v>
      </c>
      <c r="X19" t="str">
        <f>IFERROR(INDEX($AS$7:$AS$88,MATCH(mapPRC!C91,$AR$7:$AR$88,0)),"")</f>
        <v>agr</v>
      </c>
      <c r="Y19" t="s">
        <v>1232</v>
      </c>
      <c r="Z19" t="s">
        <v>2860</v>
      </c>
      <c r="AA19" t="str">
        <f>mapCOM!A33</f>
        <v>AGROKE</v>
      </c>
      <c r="AB19" t="str">
        <f t="shared" si="0"/>
        <v>cpetr_o</v>
      </c>
      <c r="AI19" t="s">
        <v>2856</v>
      </c>
      <c r="AJ19" t="s">
        <v>2948</v>
      </c>
      <c r="AL19" t="s">
        <v>3348</v>
      </c>
      <c r="AM19" t="s">
        <v>3385</v>
      </c>
      <c r="AR19" t="s">
        <v>1372</v>
      </c>
      <c r="AS19" t="str">
        <f t="shared" si="1"/>
        <v>elec</v>
      </c>
      <c r="AU19" t="s">
        <v>2020</v>
      </c>
      <c r="AW19" t="s">
        <v>3393</v>
      </c>
      <c r="AY19" t="s">
        <v>2403</v>
      </c>
      <c r="AZ19" t="s">
        <v>3016</v>
      </c>
    </row>
    <row r="20" spans="1:52" x14ac:dyDescent="0.25">
      <c r="A20" t="s">
        <v>2902</v>
      </c>
      <c r="K20" t="s">
        <v>2863</v>
      </c>
      <c r="Q20" t="s">
        <v>1593</v>
      </c>
      <c r="S20" t="s">
        <v>1105</v>
      </c>
      <c r="U20" t="s">
        <v>2866</v>
      </c>
      <c r="W20" t="str">
        <f>mapPRC!A92</f>
        <v>CECELCCEN-E</v>
      </c>
      <c r="X20" t="str">
        <f>IFERROR(INDEX($AS$7:$AS$88,MATCH(mapPRC!C92,$AR$7:$AR$88,0)),"")</f>
        <v>com</v>
      </c>
      <c r="Y20" t="s">
        <v>1195</v>
      </c>
      <c r="Z20" t="s">
        <v>2852</v>
      </c>
      <c r="AA20" t="str">
        <f>mapCOM!A34</f>
        <v>AGROLP</v>
      </c>
      <c r="AB20" t="str">
        <f t="shared" si="0"/>
        <v>cpetr_o</v>
      </c>
      <c r="AI20" t="s">
        <v>2856</v>
      </c>
      <c r="AJ20" t="s">
        <v>2949</v>
      </c>
      <c r="AL20" t="s">
        <v>3349</v>
      </c>
      <c r="AM20" t="s">
        <v>3385</v>
      </c>
      <c r="AR20" t="s">
        <v>1329</v>
      </c>
      <c r="AS20" t="str">
        <f t="shared" si="1"/>
        <v>elec</v>
      </c>
      <c r="AU20" t="s">
        <v>2019</v>
      </c>
      <c r="AW20" t="s">
        <v>3394</v>
      </c>
      <c r="AY20" t="s">
        <v>2401</v>
      </c>
      <c r="AZ20" t="s">
        <v>3016</v>
      </c>
    </row>
    <row r="21" spans="1:52" x14ac:dyDescent="0.25">
      <c r="A21" t="s">
        <v>2904</v>
      </c>
      <c r="K21" t="s">
        <v>2864</v>
      </c>
      <c r="Q21" t="s">
        <v>1504</v>
      </c>
      <c r="S21" t="s">
        <v>520</v>
      </c>
      <c r="U21" t="s">
        <v>2867</v>
      </c>
      <c r="W21" t="str">
        <f>mapPRC!A93</f>
        <v>CECELCCEN-N</v>
      </c>
      <c r="X21" t="str">
        <f>IFERROR(INDEX($AS$7:$AS$88,MATCH(mapPRC!C93,$AR$7:$AR$88,0)),"")</f>
        <v>com</v>
      </c>
      <c r="Y21" t="s">
        <v>1136</v>
      </c>
      <c r="Z21" t="s">
        <v>2861</v>
      </c>
      <c r="AA21" t="str">
        <f>mapCOM!A35</f>
        <v>AGRP10S</v>
      </c>
      <c r="AB21" t="str">
        <f t="shared" si="0"/>
        <v/>
      </c>
      <c r="AI21" t="s">
        <v>2856</v>
      </c>
      <c r="AJ21" t="s">
        <v>2950</v>
      </c>
      <c r="AL21" t="s">
        <v>3350</v>
      </c>
      <c r="AM21" t="s">
        <v>3385</v>
      </c>
      <c r="AR21" t="s">
        <v>1319</v>
      </c>
      <c r="AS21" t="str">
        <f t="shared" si="1"/>
        <v>elec</v>
      </c>
      <c r="AU21" t="s">
        <v>2018</v>
      </c>
      <c r="AW21" t="s">
        <v>3396</v>
      </c>
      <c r="AY21" t="s">
        <v>2399</v>
      </c>
      <c r="AZ21" t="s">
        <v>3016</v>
      </c>
    </row>
    <row r="22" spans="1:52" x14ac:dyDescent="0.25">
      <c r="A22" t="s">
        <v>2906</v>
      </c>
      <c r="K22" t="s">
        <v>2853</v>
      </c>
      <c r="Q22" t="s">
        <v>392</v>
      </c>
      <c r="S22" t="s">
        <v>523</v>
      </c>
      <c r="U22" t="s">
        <v>2868</v>
      </c>
      <c r="W22" t="str">
        <f>mapPRC!A94</f>
        <v>CECELCCHIL-E</v>
      </c>
      <c r="X22" t="str">
        <f>IFERROR(INDEX($AS$7:$AS$88,MATCH(mapPRC!C94,$AR$7:$AR$88,0)),"")</f>
        <v>com</v>
      </c>
      <c r="Y22" t="s">
        <v>1110</v>
      </c>
      <c r="Z22" t="s">
        <v>2859</v>
      </c>
      <c r="AA22" t="str">
        <f>mapCOM!A36</f>
        <v>AGRSOXS</v>
      </c>
      <c r="AB22" t="str">
        <f t="shared" si="0"/>
        <v/>
      </c>
      <c r="AI22" t="s">
        <v>2856</v>
      </c>
      <c r="AJ22" t="s">
        <v>2951</v>
      </c>
      <c r="AL22" t="s">
        <v>3020</v>
      </c>
      <c r="AM22" t="s">
        <v>3391</v>
      </c>
      <c r="AR22" t="s">
        <v>1311</v>
      </c>
      <c r="AS22" t="str">
        <f t="shared" si="1"/>
        <v>elec</v>
      </c>
      <c r="AU22" t="s">
        <v>2017</v>
      </c>
      <c r="AW22" t="s">
        <v>3404</v>
      </c>
      <c r="AY22" t="s">
        <v>2397</v>
      </c>
      <c r="AZ22" t="s">
        <v>3020</v>
      </c>
    </row>
    <row r="23" spans="1:52" x14ac:dyDescent="0.25">
      <c r="A23" t="s">
        <v>2908</v>
      </c>
      <c r="K23" t="s">
        <v>2865</v>
      </c>
      <c r="Q23" t="s">
        <v>413</v>
      </c>
      <c r="S23" t="s">
        <v>517</v>
      </c>
      <c r="U23" t="s">
        <v>2869</v>
      </c>
      <c r="W23" t="str">
        <f>mapPRC!A95</f>
        <v>CECELCHP-E</v>
      </c>
      <c r="X23" t="str">
        <f>IFERROR(INDEX($AS$7:$AS$88,MATCH(mapPRC!C95,$AR$7:$AR$88,0)),"")</f>
        <v>com</v>
      </c>
      <c r="Y23" t="s">
        <v>1066</v>
      </c>
      <c r="Z23" t="s">
        <v>2856</v>
      </c>
      <c r="AA23" t="str">
        <f>mapCOM!A37</f>
        <v>AH</v>
      </c>
      <c r="AB23" t="str">
        <f t="shared" si="0"/>
        <v/>
      </c>
      <c r="AI23" t="s">
        <v>2856</v>
      </c>
      <c r="AJ23" t="s">
        <v>2952</v>
      </c>
      <c r="AL23" t="s">
        <v>3021</v>
      </c>
      <c r="AM23" t="s">
        <v>3395</v>
      </c>
      <c r="AR23" t="s">
        <v>1307</v>
      </c>
      <c r="AS23" t="str">
        <f t="shared" si="1"/>
        <v>elec</v>
      </c>
      <c r="AU23" t="s">
        <v>2016</v>
      </c>
      <c r="AW23" t="s">
        <v>3397</v>
      </c>
      <c r="AY23" t="s">
        <v>2395</v>
      </c>
      <c r="AZ23" t="s">
        <v>3016</v>
      </c>
    </row>
    <row r="24" spans="1:52" x14ac:dyDescent="0.25">
      <c r="A24" t="s">
        <v>2910</v>
      </c>
      <c r="K24" t="s">
        <v>2866</v>
      </c>
      <c r="Q24" t="s">
        <v>3166</v>
      </c>
      <c r="S24" t="s">
        <v>514</v>
      </c>
      <c r="U24" t="s">
        <v>2994</v>
      </c>
      <c r="W24" t="str">
        <f>mapPRC!A96</f>
        <v>CECELCHP-N</v>
      </c>
      <c r="X24" t="str">
        <f>IFERROR(INDEX($AS$7:$AS$88,MATCH(mapPRC!C96,$AR$7:$AR$88,0)),"")</f>
        <v>com</v>
      </c>
      <c r="Y24" t="s">
        <v>1020</v>
      </c>
      <c r="Z24" t="s">
        <v>2857</v>
      </c>
      <c r="AA24" t="str">
        <f>mapCOM!A38</f>
        <v>AI</v>
      </c>
      <c r="AB24" t="str">
        <f t="shared" si="0"/>
        <v/>
      </c>
      <c r="AI24" t="s">
        <v>2857</v>
      </c>
      <c r="AJ24" t="s">
        <v>2953</v>
      </c>
      <c r="AL24" t="s">
        <v>3351</v>
      </c>
      <c r="AM24" t="s">
        <v>3386</v>
      </c>
      <c r="AR24" t="s">
        <v>1302</v>
      </c>
      <c r="AS24" t="str">
        <f t="shared" si="1"/>
        <v>elec</v>
      </c>
      <c r="AU24" t="s">
        <v>2015</v>
      </c>
      <c r="AW24" t="s">
        <v>3398</v>
      </c>
      <c r="AY24" t="s">
        <v>2393</v>
      </c>
      <c r="AZ24" t="s">
        <v>3021</v>
      </c>
    </row>
    <row r="25" spans="1:52" x14ac:dyDescent="0.25">
      <c r="A25" t="s">
        <v>2912</v>
      </c>
      <c r="K25" t="s">
        <v>2867</v>
      </c>
      <c r="Q25" t="s">
        <v>1372</v>
      </c>
      <c r="S25" t="s">
        <v>511</v>
      </c>
      <c r="U25" t="s">
        <v>2995</v>
      </c>
      <c r="W25" t="str">
        <f>mapPRC!A97</f>
        <v>CECELCROOM-E</v>
      </c>
      <c r="X25" t="str">
        <f>IFERROR(INDEX($AS$7:$AS$88,MATCH(mapPRC!C97,$AR$7:$AR$88,0)),"")</f>
        <v>com</v>
      </c>
      <c r="Y25" t="s">
        <v>922</v>
      </c>
      <c r="Z25" t="s">
        <v>2922</v>
      </c>
      <c r="AA25" t="str">
        <f>mapCOM!A39</f>
        <v>AO</v>
      </c>
      <c r="AB25" t="str">
        <f t="shared" si="0"/>
        <v/>
      </c>
      <c r="AI25" t="s">
        <v>2856</v>
      </c>
      <c r="AJ25" t="s">
        <v>2954</v>
      </c>
      <c r="AL25" t="s">
        <v>3352</v>
      </c>
      <c r="AM25" t="s">
        <v>3386</v>
      </c>
      <c r="AR25" t="s">
        <v>1270</v>
      </c>
      <c r="AS25" t="str">
        <f>U12</f>
        <v>cp</v>
      </c>
      <c r="AU25" t="s">
        <v>2014</v>
      </c>
      <c r="AW25" t="s">
        <v>3400</v>
      </c>
      <c r="AY25" t="s">
        <v>2391</v>
      </c>
      <c r="AZ25" t="s">
        <v>3021</v>
      </c>
    </row>
    <row r="26" spans="1:52" x14ac:dyDescent="0.25">
      <c r="A26" t="s">
        <v>2914</v>
      </c>
      <c r="K26" t="s">
        <v>2868</v>
      </c>
      <c r="Q26" t="s">
        <v>1476</v>
      </c>
      <c r="S26" t="s">
        <v>505</v>
      </c>
      <c r="U26" t="s">
        <v>2871</v>
      </c>
      <c r="W26" t="str">
        <f>mapPRC!A98</f>
        <v>CEGELCHAL-E</v>
      </c>
      <c r="X26" t="str">
        <f>IFERROR(INDEX($AS$7:$AS$88,MATCH(mapPRC!C98,$AR$7:$AR$88,0)),"")</f>
        <v>com</v>
      </c>
      <c r="Y26" t="s">
        <v>1304</v>
      </c>
      <c r="Z26" t="s">
        <v>2863</v>
      </c>
      <c r="AA26" t="str">
        <f>mapCOM!A40</f>
        <v>AP</v>
      </c>
      <c r="AB26" t="str">
        <f t="shared" si="0"/>
        <v/>
      </c>
      <c r="AI26" t="s">
        <v>2869</v>
      </c>
      <c r="AJ26" t="s">
        <v>2955</v>
      </c>
      <c r="AL26" t="s">
        <v>3353</v>
      </c>
      <c r="AM26" t="s">
        <v>3386</v>
      </c>
      <c r="AR26" t="s">
        <v>1266</v>
      </c>
      <c r="AS26" t="str">
        <f>U14</f>
        <v>is</v>
      </c>
      <c r="AU26" t="s">
        <v>2013</v>
      </c>
      <c r="AY26" t="s">
        <v>2389</v>
      </c>
      <c r="AZ26" t="s">
        <v>3021</v>
      </c>
    </row>
    <row r="27" spans="1:52" x14ac:dyDescent="0.25">
      <c r="A27" t="s">
        <v>2916</v>
      </c>
      <c r="K27" t="s">
        <v>2869</v>
      </c>
      <c r="Q27" t="s">
        <v>1329</v>
      </c>
      <c r="S27" t="s">
        <v>508</v>
      </c>
      <c r="U27" t="s">
        <v>2921</v>
      </c>
      <c r="W27" t="str">
        <f>mapPRC!A99</f>
        <v>CEGELCHPM-E</v>
      </c>
      <c r="X27" t="str">
        <f>IFERROR(INDEX($AS$7:$AS$88,MATCH(mapPRC!C99,$AR$7:$AR$88,0)),"")</f>
        <v>com</v>
      </c>
      <c r="AA27" t="str">
        <f>mapCOM!A41</f>
        <v>AT</v>
      </c>
      <c r="AB27" t="str">
        <f t="shared" si="0"/>
        <v/>
      </c>
      <c r="AI27" t="s">
        <v>2858</v>
      </c>
      <c r="AJ27" t="s">
        <v>2956</v>
      </c>
      <c r="AL27" t="s">
        <v>3354</v>
      </c>
      <c r="AM27" t="s">
        <v>3386</v>
      </c>
      <c r="AR27" t="s">
        <v>1239</v>
      </c>
      <c r="AS27" t="str">
        <f>U9</f>
        <v>fb</v>
      </c>
      <c r="AU27" t="s">
        <v>2012</v>
      </c>
      <c r="AY27" t="s">
        <v>2387</v>
      </c>
      <c r="AZ27" t="s">
        <v>3016</v>
      </c>
    </row>
    <row r="28" spans="1:52" x14ac:dyDescent="0.25">
      <c r="A28" t="s">
        <v>2918</v>
      </c>
      <c r="K28" t="s">
        <v>2994</v>
      </c>
      <c r="Q28" t="s">
        <v>1403</v>
      </c>
      <c r="S28" t="s">
        <v>502</v>
      </c>
      <c r="U28" t="s">
        <v>2922</v>
      </c>
      <c r="W28" t="str">
        <f>mapPRC!A100</f>
        <v>CEGELCHPS-E</v>
      </c>
      <c r="X28" t="str">
        <f>IFERROR(INDEX($AS$7:$AS$88,MATCH(mapPRC!C100,$AR$7:$AR$88,0)),"")</f>
        <v>com</v>
      </c>
      <c r="AA28" t="str">
        <f>mapCOM!A42</f>
        <v>BIB</v>
      </c>
      <c r="AB28" t="str">
        <f t="shared" si="0"/>
        <v/>
      </c>
      <c r="AI28" t="s">
        <v>2858</v>
      </c>
      <c r="AJ28" t="s">
        <v>2957</v>
      </c>
      <c r="AL28" t="s">
        <v>3388</v>
      </c>
      <c r="AM28" t="s">
        <v>3392</v>
      </c>
      <c r="AR28" t="s">
        <v>1197</v>
      </c>
      <c r="AS28" t="str">
        <f>U14</f>
        <v>is</v>
      </c>
      <c r="AU28" t="s">
        <v>2011</v>
      </c>
      <c r="AY28" t="s">
        <v>2385</v>
      </c>
      <c r="AZ28" t="s">
        <v>3016</v>
      </c>
    </row>
    <row r="29" spans="1:52" x14ac:dyDescent="0.25">
      <c r="K29" t="s">
        <v>2995</v>
      </c>
      <c r="Q29" t="s">
        <v>144</v>
      </c>
      <c r="S29" t="s">
        <v>499</v>
      </c>
      <c r="U29" t="s">
        <v>3161</v>
      </c>
      <c r="W29" t="str">
        <f>mapPRC!A101</f>
        <v>CEGELCINC-E</v>
      </c>
      <c r="X29" t="str">
        <f>IFERROR(INDEX($AS$7:$AS$88,MATCH(mapPRC!C101,$AR$7:$AR$88,0)),"")</f>
        <v>com</v>
      </c>
      <c r="AA29" t="str">
        <f>mapCOM!A43</f>
        <v>BID</v>
      </c>
      <c r="AB29" t="str">
        <f t="shared" si="0"/>
        <v/>
      </c>
      <c r="AI29" t="s">
        <v>2858</v>
      </c>
      <c r="AJ29" t="s">
        <v>2958</v>
      </c>
      <c r="AL29" t="s">
        <v>3355</v>
      </c>
      <c r="AM29" t="s">
        <v>3392</v>
      </c>
      <c r="AR29" t="s">
        <v>1163</v>
      </c>
      <c r="AS29" t="str">
        <f>U8</f>
        <v>mi</v>
      </c>
      <c r="AU29" t="s">
        <v>2010</v>
      </c>
      <c r="AY29" t="s">
        <v>2383</v>
      </c>
      <c r="AZ29" t="s">
        <v>3016</v>
      </c>
    </row>
    <row r="30" spans="1:52" x14ac:dyDescent="0.25">
      <c r="K30" t="s">
        <v>2871</v>
      </c>
      <c r="Q30" t="s">
        <v>1319</v>
      </c>
      <c r="S30" t="s">
        <v>494</v>
      </c>
      <c r="U30" t="s">
        <v>3162</v>
      </c>
      <c r="W30" t="str">
        <f>mapPRC!A102</f>
        <v>CEGELCLED-N</v>
      </c>
      <c r="X30" t="str">
        <f>IFERROR(INDEX($AS$7:$AS$88,MATCH(mapPRC!C102,$AR$7:$AR$88,0)),"")</f>
        <v>com</v>
      </c>
      <c r="AA30" t="str">
        <f>mapCOM!A44</f>
        <v>BIE</v>
      </c>
      <c r="AB30" t="str">
        <f t="shared" si="0"/>
        <v/>
      </c>
      <c r="AI30" t="s">
        <v>2858</v>
      </c>
      <c r="AJ30" t="s">
        <v>2959</v>
      </c>
      <c r="AL30" t="s">
        <v>3356</v>
      </c>
      <c r="AM30" t="s">
        <v>3393</v>
      </c>
      <c r="AR30" t="s">
        <v>425</v>
      </c>
      <c r="AS30" t="s">
        <v>2994</v>
      </c>
      <c r="AU30" t="s">
        <v>2009</v>
      </c>
      <c r="AY30" t="s">
        <v>2381</v>
      </c>
      <c r="AZ30" t="s">
        <v>3016</v>
      </c>
    </row>
    <row r="31" spans="1:52" x14ac:dyDescent="0.25">
      <c r="K31" t="s">
        <v>2921</v>
      </c>
      <c r="Q31" t="s">
        <v>1469</v>
      </c>
      <c r="S31" t="s">
        <v>576</v>
      </c>
      <c r="W31" t="str">
        <f>mapPRC!A103</f>
        <v>CEGELCMHL-E</v>
      </c>
      <c r="X31" t="str">
        <f>IFERROR(INDEX($AS$7:$AS$88,MATCH(mapPRC!C103,$AR$7:$AR$88,0)),"")</f>
        <v>com</v>
      </c>
      <c r="AA31" t="str">
        <f>mapCOM!A45</f>
        <v>BIG</v>
      </c>
      <c r="AB31" t="str">
        <f t="shared" si="0"/>
        <v/>
      </c>
      <c r="AI31" t="s">
        <v>2859</v>
      </c>
      <c r="AJ31" t="s">
        <v>2960</v>
      </c>
      <c r="AL31" t="s">
        <v>3357</v>
      </c>
      <c r="AM31" t="s">
        <v>3393</v>
      </c>
      <c r="AR31" t="s">
        <v>1111</v>
      </c>
      <c r="AS31" t="str">
        <f>U15</f>
        <v>nf</v>
      </c>
      <c r="AU31" t="s">
        <v>2008</v>
      </c>
      <c r="AY31" t="s">
        <v>2379</v>
      </c>
      <c r="AZ31" t="s">
        <v>3016</v>
      </c>
    </row>
    <row r="32" spans="1:52" x14ac:dyDescent="0.25">
      <c r="K32" t="s">
        <v>2922</v>
      </c>
      <c r="Q32" t="s">
        <v>1316</v>
      </c>
      <c r="S32" t="s">
        <v>579</v>
      </c>
      <c r="W32" t="str">
        <f>mapPRC!A104</f>
        <v>CEHCOA-E</v>
      </c>
      <c r="X32" t="str">
        <f>IFERROR(INDEX($AS$7:$AS$88,MATCH(mapPRC!C104,$AR$7:$AR$88,0)),"")</f>
        <v>com</v>
      </c>
      <c r="AA32" t="str">
        <f>mapCOM!A46</f>
        <v>BIO</v>
      </c>
      <c r="AB32" t="str">
        <f t="shared" si="0"/>
        <v/>
      </c>
      <c r="AI32" t="s">
        <v>2859</v>
      </c>
      <c r="AJ32" t="s">
        <v>2961</v>
      </c>
      <c r="AL32" t="s">
        <v>3358</v>
      </c>
      <c r="AM32" t="s">
        <v>3393</v>
      </c>
      <c r="AR32" t="s">
        <v>3086</v>
      </c>
      <c r="AS32" t="str">
        <f>AS31</f>
        <v>nf</v>
      </c>
      <c r="AU32" t="s">
        <v>2007</v>
      </c>
      <c r="AY32" t="s">
        <v>2377</v>
      </c>
      <c r="AZ32" t="s">
        <v>3016</v>
      </c>
    </row>
    <row r="33" spans="11:52" x14ac:dyDescent="0.25">
      <c r="K33" t="s">
        <v>3161</v>
      </c>
      <c r="Q33" t="s">
        <v>1311</v>
      </c>
      <c r="S33" t="s">
        <v>573</v>
      </c>
      <c r="W33" t="str">
        <f>mapPRC!A105</f>
        <v>CEHELC-E</v>
      </c>
      <c r="X33" t="str">
        <f>IFERROR(INDEX($AS$7:$AS$88,MATCH(mapPRC!C105,$AR$7:$AR$88,0)),"")</f>
        <v>com</v>
      </c>
      <c r="AA33" t="str">
        <f>mapCOM!A47</f>
        <v>BIW</v>
      </c>
      <c r="AB33" t="str">
        <f t="shared" si="0"/>
        <v/>
      </c>
      <c r="AI33" t="s">
        <v>2860</v>
      </c>
      <c r="AJ33" t="s">
        <v>2962</v>
      </c>
      <c r="AL33" t="s">
        <v>3359</v>
      </c>
      <c r="AM33" t="s">
        <v>3394</v>
      </c>
      <c r="AR33" t="s">
        <v>1068</v>
      </c>
      <c r="AS33" t="str">
        <f>U13</f>
        <v>nm</v>
      </c>
      <c r="AU33" t="s">
        <v>2006</v>
      </c>
      <c r="AY33" t="s">
        <v>2375</v>
      </c>
      <c r="AZ33" t="s">
        <v>3016</v>
      </c>
    </row>
    <row r="34" spans="11:52" x14ac:dyDescent="0.25">
      <c r="K34" t="s">
        <v>3162</v>
      </c>
      <c r="Q34" t="s">
        <v>1307</v>
      </c>
      <c r="S34" t="s">
        <v>554</v>
      </c>
      <c r="W34" t="str">
        <f>mapPRC!A106</f>
        <v>CEHELC-N</v>
      </c>
      <c r="X34" t="str">
        <f>IFERROR(INDEX($AS$7:$AS$88,MATCH(mapPRC!C106,$AR$7:$AR$88,0)),"")</f>
        <v>com</v>
      </c>
      <c r="AA34" t="str">
        <f>mapCOM!A48</f>
        <v>CEC</v>
      </c>
      <c r="AB34" t="str">
        <f t="shared" si="0"/>
        <v/>
      </c>
      <c r="AI34" t="s">
        <v>2861</v>
      </c>
      <c r="AJ34" t="s">
        <v>2963</v>
      </c>
      <c r="AL34" t="s">
        <v>3360</v>
      </c>
      <c r="AM34" t="s">
        <v>3394</v>
      </c>
      <c r="AR34" t="s">
        <v>1026</v>
      </c>
      <c r="AS34" t="str">
        <f>U10</f>
        <v>ot</v>
      </c>
      <c r="AU34" t="s">
        <v>2005</v>
      </c>
      <c r="AY34" t="s">
        <v>2373</v>
      </c>
      <c r="AZ34" t="s">
        <v>3016</v>
      </c>
    </row>
    <row r="35" spans="11:52" x14ac:dyDescent="0.25">
      <c r="Q35" t="s">
        <v>1481</v>
      </c>
      <c r="S35" t="s">
        <v>570</v>
      </c>
      <c r="W35" t="str">
        <f>mapPRC!A107</f>
        <v>CEHGAS-E</v>
      </c>
      <c r="X35" t="str">
        <f>IFERROR(INDEX($AS$7:$AS$88,MATCH(mapPRC!C107,$AR$7:$AR$88,0)),"")</f>
        <v>com</v>
      </c>
      <c r="AA35" t="str">
        <f>mapCOM!A49</f>
        <v>CEG</v>
      </c>
      <c r="AB35" t="str">
        <f t="shared" si="0"/>
        <v/>
      </c>
      <c r="AI35" t="s">
        <v>2856</v>
      </c>
      <c r="AJ35" t="s">
        <v>2964</v>
      </c>
      <c r="AL35" t="s">
        <v>3361</v>
      </c>
      <c r="AM35" t="s">
        <v>3394</v>
      </c>
      <c r="AR35" t="s">
        <v>963</v>
      </c>
      <c r="AS35" t="str">
        <f>U11</f>
        <v>pp</v>
      </c>
      <c r="AU35" t="s">
        <v>2004</v>
      </c>
      <c r="AY35" t="s">
        <v>2371</v>
      </c>
      <c r="AZ35" t="s">
        <v>3016</v>
      </c>
    </row>
    <row r="36" spans="11:52" x14ac:dyDescent="0.25">
      <c r="Q36" t="s">
        <v>1425</v>
      </c>
      <c r="S36" t="s">
        <v>557</v>
      </c>
      <c r="W36" t="str">
        <f>mapPRC!A108</f>
        <v>CEHGAS-N</v>
      </c>
      <c r="X36" t="str">
        <f>IFERROR(INDEX($AS$7:$AS$88,MATCH(mapPRC!C108,$AR$7:$AR$88,0)),"")</f>
        <v>com</v>
      </c>
      <c r="AA36" t="str">
        <f>mapCOM!A50</f>
        <v>CEH</v>
      </c>
      <c r="AB36" t="str">
        <f t="shared" si="0"/>
        <v/>
      </c>
      <c r="AI36" t="s">
        <v>2856</v>
      </c>
      <c r="AJ36" t="s">
        <v>2965</v>
      </c>
      <c r="AL36" t="s">
        <v>3362</v>
      </c>
      <c r="AM36" t="s">
        <v>3396</v>
      </c>
      <c r="AR36" t="s">
        <v>2873</v>
      </c>
      <c r="AS36" t="s">
        <v>2922</v>
      </c>
      <c r="AU36" t="s">
        <v>2003</v>
      </c>
      <c r="AY36" t="s">
        <v>2105</v>
      </c>
      <c r="AZ36" t="s">
        <v>3016</v>
      </c>
    </row>
    <row r="37" spans="11:52" x14ac:dyDescent="0.25">
      <c r="Q37" t="s">
        <v>1302</v>
      </c>
      <c r="S37" t="s">
        <v>1082</v>
      </c>
      <c r="W37" t="str">
        <f>mapPRC!A109</f>
        <v>CEKCOA-E</v>
      </c>
      <c r="X37" t="str">
        <f>IFERROR(INDEX($AS$7:$AS$88,MATCH(mapPRC!C109,$AR$7:$AR$88,0)),"")</f>
        <v>com</v>
      </c>
      <c r="AA37" t="str">
        <f>mapCOM!A51</f>
        <v>CEK</v>
      </c>
      <c r="AB37" t="str">
        <f t="shared" si="0"/>
        <v/>
      </c>
      <c r="AI37" t="s">
        <v>2856</v>
      </c>
      <c r="AJ37" t="s">
        <v>2966</v>
      </c>
      <c r="AL37" t="s">
        <v>3363</v>
      </c>
      <c r="AM37" t="s">
        <v>3394</v>
      </c>
      <c r="AR37" t="s">
        <v>863</v>
      </c>
      <c r="AS37" t="s">
        <v>2995</v>
      </c>
      <c r="AU37" t="s">
        <v>2002</v>
      </c>
      <c r="AY37" t="s">
        <v>2368</v>
      </c>
      <c r="AZ37" t="s">
        <v>3016</v>
      </c>
    </row>
    <row r="38" spans="11:52" x14ac:dyDescent="0.25">
      <c r="Q38" t="s">
        <v>1398</v>
      </c>
      <c r="S38" t="s">
        <v>1018</v>
      </c>
      <c r="W38" t="str">
        <f>mapPRC!A110</f>
        <v>CEKELC-E</v>
      </c>
      <c r="X38" t="str">
        <f>IFERROR(INDEX($AS$7:$AS$88,MATCH(mapPRC!C110,$AR$7:$AR$88,0)),"")</f>
        <v>com</v>
      </c>
      <c r="AA38" t="str">
        <f>mapCOM!A52</f>
        <v>CEL</v>
      </c>
      <c r="AB38" t="str">
        <f t="shared" si="0"/>
        <v/>
      </c>
      <c r="AI38" t="s">
        <v>2856</v>
      </c>
      <c r="AJ38" t="s">
        <v>2967</v>
      </c>
      <c r="AL38" t="s">
        <v>3364</v>
      </c>
      <c r="AM38" t="s">
        <v>3404</v>
      </c>
      <c r="AR38" t="s">
        <v>834</v>
      </c>
      <c r="AS38" t="str">
        <f>K9</f>
        <v>hhd-he</v>
      </c>
      <c r="AU38" t="s">
        <v>2001</v>
      </c>
      <c r="AY38" t="s">
        <v>2367</v>
      </c>
      <c r="AZ38" t="s">
        <v>3022</v>
      </c>
    </row>
    <row r="39" spans="11:52" x14ac:dyDescent="0.25">
      <c r="Q39" t="s">
        <v>863</v>
      </c>
      <c r="S39" t="s">
        <v>1011</v>
      </c>
      <c r="W39" t="str">
        <f>mapPRC!A111</f>
        <v>CEKOLP-E</v>
      </c>
      <c r="X39" t="str">
        <f>IFERROR(INDEX($AS$7:$AS$88,MATCH(mapPRC!C111,$AR$7:$AR$88,0)),"")</f>
        <v>com</v>
      </c>
      <c r="AA39" t="str">
        <f>mapCOM!A53</f>
        <v>CEO</v>
      </c>
      <c r="AB39" t="str">
        <f t="shared" si="0"/>
        <v/>
      </c>
      <c r="AI39" t="s">
        <v>2856</v>
      </c>
      <c r="AJ39" t="s">
        <v>2968</v>
      </c>
      <c r="AL39" t="s">
        <v>3365</v>
      </c>
      <c r="AM39" t="s">
        <v>3404</v>
      </c>
      <c r="AR39" t="s">
        <v>782</v>
      </c>
      <c r="AS39" t="str">
        <f>K7</f>
        <v>hhd-le</v>
      </c>
      <c r="AU39" t="s">
        <v>2000</v>
      </c>
      <c r="AY39" t="s">
        <v>2365</v>
      </c>
      <c r="AZ39" t="s">
        <v>3023</v>
      </c>
    </row>
    <row r="40" spans="11:52" x14ac:dyDescent="0.25">
      <c r="Q40" t="s">
        <v>42</v>
      </c>
      <c r="S40" t="s">
        <v>920</v>
      </c>
      <c r="W40" t="str">
        <f>mapPRC!A112</f>
        <v>CELELCCFL-E</v>
      </c>
      <c r="X40" t="str">
        <f>IFERROR(INDEX($AS$7:$AS$88,MATCH(mapPRC!C112,$AR$7:$AR$88,0)),"")</f>
        <v>com</v>
      </c>
      <c r="AA40" t="str">
        <f>mapCOM!A54</f>
        <v>CER</v>
      </c>
      <c r="AB40" t="str">
        <f t="shared" si="0"/>
        <v/>
      </c>
      <c r="AI40" t="s">
        <v>2856</v>
      </c>
      <c r="AJ40" t="s">
        <v>2969</v>
      </c>
      <c r="AL40" t="s">
        <v>3018</v>
      </c>
      <c r="AM40" t="s">
        <v>3397</v>
      </c>
      <c r="AR40" t="s">
        <v>722</v>
      </c>
      <c r="AS40" t="str">
        <f>K8</f>
        <v>hhd-me</v>
      </c>
      <c r="AU40" t="s">
        <v>1999</v>
      </c>
      <c r="AY40" t="s">
        <v>2101</v>
      </c>
      <c r="AZ40" t="s">
        <v>3016</v>
      </c>
    </row>
    <row r="41" spans="11:52" x14ac:dyDescent="0.25">
      <c r="Q41" t="s">
        <v>2872</v>
      </c>
      <c r="S41" t="s">
        <v>925</v>
      </c>
      <c r="W41" t="str">
        <f>mapPRC!A113</f>
        <v>CELELCFLU-E</v>
      </c>
      <c r="X41" t="str">
        <f>IFERROR(INDEX($AS$7:$AS$88,MATCH(mapPRC!C113,$AR$7:$AR$88,0)),"")</f>
        <v>com</v>
      </c>
      <c r="AA41" t="str">
        <f>mapCOM!A55</f>
        <v>CET</v>
      </c>
      <c r="AB41" t="str">
        <f t="shared" si="0"/>
        <v/>
      </c>
      <c r="AI41" t="s">
        <v>2856</v>
      </c>
      <c r="AJ41" t="s">
        <v>2970</v>
      </c>
      <c r="AL41" t="s">
        <v>3366</v>
      </c>
      <c r="AM41" t="s">
        <v>3398</v>
      </c>
      <c r="AR41" t="s">
        <v>712</v>
      </c>
      <c r="AS41" t="str">
        <f>U21</f>
        <v>trana</v>
      </c>
      <c r="AU41" t="s">
        <v>1998</v>
      </c>
      <c r="AY41" t="s">
        <v>2362</v>
      </c>
      <c r="AZ41" t="s">
        <v>3016</v>
      </c>
    </row>
    <row r="42" spans="11:52" x14ac:dyDescent="0.25">
      <c r="Q42" t="s">
        <v>2873</v>
      </c>
      <c r="S42" t="s">
        <v>1221</v>
      </c>
      <c r="W42" t="str">
        <f>mapPRC!A114</f>
        <v>CELELCHAL-E</v>
      </c>
      <c r="X42" t="str">
        <f>IFERROR(INDEX($AS$7:$AS$88,MATCH(mapPRC!C114,$AR$7:$AR$88,0)),"")</f>
        <v>com</v>
      </c>
      <c r="AA42" t="str">
        <f>mapCOM!A56</f>
        <v>CEW</v>
      </c>
      <c r="AB42" t="str">
        <f t="shared" si="0"/>
        <v/>
      </c>
      <c r="AI42" t="s">
        <v>2856</v>
      </c>
      <c r="AJ42" t="s">
        <v>2971</v>
      </c>
      <c r="AL42" t="s">
        <v>3367</v>
      </c>
      <c r="AM42" t="s">
        <v>3398</v>
      </c>
      <c r="AR42" t="s">
        <v>37</v>
      </c>
      <c r="AS42" t="str">
        <f>U20</f>
        <v>tranlf</v>
      </c>
      <c r="AU42" t="s">
        <v>1997</v>
      </c>
      <c r="AY42" t="s">
        <v>2098</v>
      </c>
      <c r="AZ42" t="s">
        <v>3016</v>
      </c>
    </row>
    <row r="43" spans="11:52" x14ac:dyDescent="0.25">
      <c r="Q43" t="s">
        <v>2874</v>
      </c>
      <c r="S43" t="s">
        <v>1064</v>
      </c>
      <c r="W43" t="str">
        <f>mapPRC!A115</f>
        <v>CELELCHID-E</v>
      </c>
      <c r="X43" t="str">
        <f>IFERROR(INDEX($AS$7:$AS$88,MATCH(mapPRC!C115,$AR$7:$AR$88,0)),"")</f>
        <v>com</v>
      </c>
      <c r="AA43" t="str">
        <f>mapCOM!A59</f>
        <v>CH4RF</v>
      </c>
      <c r="AB43" t="str">
        <f t="shared" si="0"/>
        <v/>
      </c>
      <c r="AI43" t="s">
        <v>2863</v>
      </c>
      <c r="AJ43" t="s">
        <v>2972</v>
      </c>
      <c r="AL43" t="s">
        <v>3368</v>
      </c>
      <c r="AM43" t="s">
        <v>3398</v>
      </c>
      <c r="AR43" t="s">
        <v>602</v>
      </c>
      <c r="AS43" t="str">
        <f>U22</f>
        <v>trano</v>
      </c>
      <c r="AU43" t="s">
        <v>1996</v>
      </c>
      <c r="AY43" t="s">
        <v>2358</v>
      </c>
      <c r="AZ43" t="s">
        <v>3016</v>
      </c>
    </row>
    <row r="44" spans="11:52" x14ac:dyDescent="0.25">
      <c r="Q44" t="s">
        <v>2920</v>
      </c>
      <c r="S44" t="s">
        <v>736</v>
      </c>
      <c r="W44" t="str">
        <f>mapPRC!A116</f>
        <v>CELELCINC-E</v>
      </c>
      <c r="X44" t="str">
        <f>IFERROR(INDEX($AS$7:$AS$88,MATCH(mapPRC!C116,$AR$7:$AR$88,0)),"")</f>
        <v>com</v>
      </c>
      <c r="AA44" t="str">
        <f>mapCOM!A60</f>
        <v>CH4S</v>
      </c>
      <c r="AB44" t="str">
        <f t="shared" si="0"/>
        <v/>
      </c>
      <c r="AI44" t="s">
        <v>2864</v>
      </c>
      <c r="AJ44" t="s">
        <v>2973</v>
      </c>
      <c r="AL44" t="s">
        <v>3369</v>
      </c>
      <c r="AM44" t="s">
        <v>3398</v>
      </c>
      <c r="AR44" t="s">
        <v>582</v>
      </c>
      <c r="AS44" t="str">
        <f>U20</f>
        <v>tranlf</v>
      </c>
      <c r="AU44" t="s">
        <v>1995</v>
      </c>
      <c r="AY44" t="s">
        <v>2356</v>
      </c>
      <c r="AZ44" t="s">
        <v>3016</v>
      </c>
    </row>
    <row r="45" spans="11:52" x14ac:dyDescent="0.25">
      <c r="Q45" t="s">
        <v>2875</v>
      </c>
      <c r="S45" t="s">
        <v>1061</v>
      </c>
      <c r="W45" t="str">
        <f>mapPRC!A117</f>
        <v>CELELCLED-N</v>
      </c>
      <c r="X45" t="str">
        <f>IFERROR(INDEX($AS$7:$AS$88,MATCH(mapPRC!C117,$AR$7:$AR$88,0)),"")</f>
        <v>com</v>
      </c>
      <c r="AA45" t="str">
        <f>mapCOM!A61</f>
        <v>CH4SF</v>
      </c>
      <c r="AB45" t="str">
        <f t="shared" si="0"/>
        <v/>
      </c>
      <c r="AI45" t="s">
        <v>2856</v>
      </c>
      <c r="AJ45" t="s">
        <v>2974</v>
      </c>
      <c r="AL45" t="s">
        <v>3389</v>
      </c>
      <c r="AM45" t="s">
        <v>3398</v>
      </c>
      <c r="AR45" t="s">
        <v>30</v>
      </c>
      <c r="AS45" t="s">
        <v>2853</v>
      </c>
      <c r="AU45" t="s">
        <v>1994</v>
      </c>
      <c r="AY45" t="s">
        <v>2354</v>
      </c>
      <c r="AZ45" t="s">
        <v>3019</v>
      </c>
    </row>
    <row r="46" spans="11:52" x14ac:dyDescent="0.25">
      <c r="Q46" t="s">
        <v>1266</v>
      </c>
      <c r="S46" t="s">
        <v>1224</v>
      </c>
      <c r="W46" t="str">
        <f>mapPRC!A118</f>
        <v>CEOCOA-E</v>
      </c>
      <c r="X46" t="str">
        <f>IFERROR(INDEX($AS$7:$AS$88,MATCH(mapPRC!C118,$AR$7:$AR$88,0)),"")</f>
        <v>com</v>
      </c>
      <c r="AA46" t="str">
        <f>mapCOM!A62</f>
        <v>CLD</v>
      </c>
      <c r="AB46" t="str">
        <f t="shared" si="0"/>
        <v>ccoal-dis</v>
      </c>
      <c r="AI46" t="s">
        <v>2864</v>
      </c>
      <c r="AJ46" t="s">
        <v>2975</v>
      </c>
      <c r="AL46" t="s">
        <v>3372</v>
      </c>
      <c r="AM46" t="s">
        <v>3398</v>
      </c>
      <c r="AR46" t="s">
        <v>25</v>
      </c>
      <c r="AS46" t="str">
        <f>U19</f>
        <v>tranlp</v>
      </c>
      <c r="AU46" t="s">
        <v>1993</v>
      </c>
      <c r="AY46" t="s">
        <v>2352</v>
      </c>
      <c r="AZ46" t="s">
        <v>3016</v>
      </c>
    </row>
    <row r="47" spans="11:52" x14ac:dyDescent="0.25">
      <c r="Q47" t="s">
        <v>1239</v>
      </c>
      <c r="S47" t="s">
        <v>392</v>
      </c>
      <c r="W47" t="str">
        <f>mapPRC!A119</f>
        <v>CEOELC-E</v>
      </c>
      <c r="X47" t="str">
        <f>IFERROR(INDEX($AS$7:$AS$88,MATCH(mapPRC!C119,$AR$7:$AR$88,0)),"")</f>
        <v>com</v>
      </c>
      <c r="AA47" t="str">
        <f>mapCOM!A63</f>
        <v>CLE</v>
      </c>
      <c r="AB47" t="str">
        <f t="shared" si="0"/>
        <v>ccoal-low</v>
      </c>
      <c r="AI47" t="s">
        <v>2864</v>
      </c>
      <c r="AJ47" t="s">
        <v>2976</v>
      </c>
      <c r="AL47" t="s">
        <v>3373</v>
      </c>
      <c r="AM47" t="s">
        <v>3398</v>
      </c>
      <c r="AR47" t="s">
        <v>461</v>
      </c>
      <c r="AS47" t="str">
        <f>U22</f>
        <v>trano</v>
      </c>
      <c r="AU47" t="s">
        <v>1992</v>
      </c>
      <c r="AY47" t="s">
        <v>2350</v>
      </c>
      <c r="AZ47" t="s">
        <v>3016</v>
      </c>
    </row>
    <row r="48" spans="11:52" x14ac:dyDescent="0.25">
      <c r="Q48" t="s">
        <v>602</v>
      </c>
      <c r="S48" t="s">
        <v>413</v>
      </c>
      <c r="W48" t="str">
        <f>mapPRC!A120</f>
        <v>CEOGAS-E</v>
      </c>
      <c r="X48" t="str">
        <f>IFERROR(INDEX($AS$7:$AS$88,MATCH(mapPRC!C120,$AR$7:$AR$88,0)),"")</f>
        <v>com</v>
      </c>
      <c r="AA48" t="str">
        <f>mapCOM!A64</f>
        <v>CMOX</v>
      </c>
      <c r="AB48" t="str">
        <f t="shared" si="0"/>
        <v/>
      </c>
      <c r="AI48" t="s">
        <v>2864</v>
      </c>
      <c r="AJ48" t="s">
        <v>2977</v>
      </c>
      <c r="AL48" t="s">
        <v>3374</v>
      </c>
      <c r="AM48" t="s">
        <v>3398</v>
      </c>
      <c r="AR48" t="s">
        <v>449</v>
      </c>
      <c r="AS48" t="str">
        <f>U23</f>
        <v>petr</v>
      </c>
      <c r="AU48" t="s">
        <v>1991</v>
      </c>
      <c r="AY48" t="s">
        <v>2348</v>
      </c>
      <c r="AZ48" t="s">
        <v>3016</v>
      </c>
    </row>
    <row r="49" spans="17:52" x14ac:dyDescent="0.25">
      <c r="Q49" t="s">
        <v>582</v>
      </c>
      <c r="S49" t="s">
        <v>1004</v>
      </c>
      <c r="W49" t="str">
        <f>mapPRC!A121</f>
        <v>CEOODS-E</v>
      </c>
      <c r="X49" t="str">
        <f>IFERROR(INDEX($AS$7:$AS$88,MATCH(mapPRC!C121,$AR$7:$AR$88,0)),"")</f>
        <v>com</v>
      </c>
      <c r="AA49" t="str">
        <f>mapCOM!A65</f>
        <v>CNC</v>
      </c>
      <c r="AB49" t="str">
        <f t="shared" si="0"/>
        <v/>
      </c>
      <c r="AI49" t="s">
        <v>2865</v>
      </c>
      <c r="AJ49" t="s">
        <v>2978</v>
      </c>
      <c r="AL49" t="s">
        <v>3390</v>
      </c>
      <c r="AM49" t="s">
        <v>3398</v>
      </c>
      <c r="AR49" t="s">
        <v>386</v>
      </c>
      <c r="AS49" t="str">
        <f>U16</f>
        <v>hydr</v>
      </c>
      <c r="AU49" t="s">
        <v>1990</v>
      </c>
      <c r="AY49" t="s">
        <v>2346</v>
      </c>
      <c r="AZ49" t="s">
        <v>3016</v>
      </c>
    </row>
    <row r="50" spans="17:52" x14ac:dyDescent="0.25">
      <c r="Q50" t="s">
        <v>37</v>
      </c>
      <c r="S50" t="s">
        <v>1213</v>
      </c>
      <c r="W50" t="str">
        <f>mapPRC!A122</f>
        <v>CEOOGS-E</v>
      </c>
      <c r="X50" t="str">
        <f>IFERROR(INDEX($AS$7:$AS$88,MATCH(mapPRC!C122,$AR$7:$AR$88,0)),"")</f>
        <v>com</v>
      </c>
      <c r="AA50" t="str">
        <f>mapCOM!A66</f>
        <v>CNG</v>
      </c>
      <c r="AB50" t="str">
        <f t="shared" si="0"/>
        <v/>
      </c>
      <c r="AI50" t="s">
        <v>2866</v>
      </c>
      <c r="AJ50" t="s">
        <v>2979</v>
      </c>
      <c r="AL50" t="s">
        <v>3376</v>
      </c>
      <c r="AM50" t="s">
        <v>3398</v>
      </c>
      <c r="AR50" t="s">
        <v>413</v>
      </c>
      <c r="AS50" t="str">
        <f>U23</f>
        <v>petr</v>
      </c>
      <c r="AU50" t="s">
        <v>1989</v>
      </c>
      <c r="AY50" t="s">
        <v>2344</v>
      </c>
      <c r="AZ50" t="s">
        <v>3019</v>
      </c>
    </row>
    <row r="51" spans="17:52" x14ac:dyDescent="0.25">
      <c r="Q51" t="s">
        <v>400</v>
      </c>
      <c r="S51" t="s">
        <v>1215</v>
      </c>
      <c r="W51" t="str">
        <f>mapPRC!A123</f>
        <v>CEOOHF-E</v>
      </c>
      <c r="X51" t="str">
        <f>IFERROR(INDEX($AS$7:$AS$88,MATCH(mapPRC!C123,$AR$7:$AR$88,0)),"")</f>
        <v>com</v>
      </c>
      <c r="AA51" t="str">
        <f>mapCOM!A67</f>
        <v>CNH</v>
      </c>
      <c r="AB51" t="str">
        <f t="shared" si="0"/>
        <v/>
      </c>
      <c r="AI51" t="s">
        <v>2868</v>
      </c>
      <c r="AJ51" t="s">
        <v>2980</v>
      </c>
      <c r="AL51" t="s">
        <v>3023</v>
      </c>
      <c r="AM51" t="s">
        <v>3409</v>
      </c>
      <c r="AR51" t="s">
        <v>418</v>
      </c>
      <c r="AS51" t="str">
        <f>U23</f>
        <v>petr</v>
      </c>
      <c r="AU51" t="s">
        <v>1988</v>
      </c>
      <c r="AY51" t="s">
        <v>2342</v>
      </c>
      <c r="AZ51" t="s">
        <v>3018</v>
      </c>
    </row>
    <row r="52" spans="17:52" x14ac:dyDescent="0.25">
      <c r="Q52" t="s">
        <v>418</v>
      </c>
      <c r="S52" t="s">
        <v>1210</v>
      </c>
      <c r="W52" t="str">
        <f>mapPRC!A124</f>
        <v>CEOOKE-E</v>
      </c>
      <c r="X52" t="str">
        <f>IFERROR(INDEX($AS$7:$AS$88,MATCH(mapPRC!C124,$AR$7:$AR$88,0)),"")</f>
        <v>com</v>
      </c>
      <c r="AA52" t="str">
        <f>mapCOM!A68</f>
        <v>CNK</v>
      </c>
      <c r="AB52" t="str">
        <f t="shared" si="0"/>
        <v/>
      </c>
      <c r="AI52" t="s">
        <v>2867</v>
      </c>
      <c r="AJ52" t="s">
        <v>2981</v>
      </c>
      <c r="AL52" t="s">
        <v>3024</v>
      </c>
      <c r="AM52" t="s">
        <v>3400</v>
      </c>
      <c r="AR52" t="s">
        <v>405</v>
      </c>
      <c r="AS52" t="str">
        <f>U26</f>
        <v>gas</v>
      </c>
      <c r="AU52" t="s">
        <v>1987</v>
      </c>
      <c r="AY52" t="s">
        <v>2340</v>
      </c>
      <c r="AZ52" t="s">
        <v>3017</v>
      </c>
    </row>
    <row r="53" spans="17:52" x14ac:dyDescent="0.25">
      <c r="Q53" t="s">
        <v>834</v>
      </c>
      <c r="S53" t="s">
        <v>1395</v>
      </c>
      <c r="W53" t="str">
        <f>mapPRC!A125</f>
        <v>CERELC-E</v>
      </c>
      <c r="X53" t="str">
        <f>IFERROR(INDEX($AS$7:$AS$88,MATCH(mapPRC!C125,$AR$7:$AR$88,0)),"")</f>
        <v>com</v>
      </c>
      <c r="AA53" t="str">
        <f>mapCOM!A69</f>
        <v>CNL</v>
      </c>
      <c r="AB53" t="str">
        <f t="shared" si="0"/>
        <v/>
      </c>
      <c r="AI53" t="s">
        <v>2864</v>
      </c>
      <c r="AJ53" t="s">
        <v>2982</v>
      </c>
      <c r="AL53" t="s">
        <v>3026</v>
      </c>
      <c r="AM53" t="s">
        <v>3391</v>
      </c>
      <c r="AR53" t="s">
        <v>400</v>
      </c>
      <c r="AS53" t="str">
        <f>U26</f>
        <v>gas</v>
      </c>
      <c r="AU53" t="s">
        <v>1986</v>
      </c>
      <c r="AY53" t="s">
        <v>2338</v>
      </c>
      <c r="AZ53" t="s">
        <v>3016</v>
      </c>
    </row>
    <row r="54" spans="17:52" x14ac:dyDescent="0.25">
      <c r="Q54" t="s">
        <v>386</v>
      </c>
      <c r="S54" t="s">
        <v>1378</v>
      </c>
      <c r="W54" t="str">
        <f>mapPRC!A126</f>
        <v>CERELC-N</v>
      </c>
      <c r="X54" t="str">
        <f>IFERROR(INDEX($AS$7:$AS$88,MATCH(mapPRC!C126,$AR$7:$AR$88,0)),"")</f>
        <v>com</v>
      </c>
      <c r="AA54" t="str">
        <f>mapCOM!A70</f>
        <v>CNO</v>
      </c>
      <c r="AB54" t="str">
        <f t="shared" si="0"/>
        <v/>
      </c>
      <c r="AI54" t="s">
        <v>2864</v>
      </c>
      <c r="AJ54" t="s">
        <v>2983</v>
      </c>
      <c r="AL54" t="s">
        <v>3370</v>
      </c>
      <c r="AM54" t="s">
        <v>3398</v>
      </c>
      <c r="AR54" t="s">
        <v>392</v>
      </c>
      <c r="AS54" t="str">
        <f>U23</f>
        <v>petr</v>
      </c>
      <c r="AU54" t="s">
        <v>1873</v>
      </c>
      <c r="AY54" t="s">
        <v>2336</v>
      </c>
      <c r="AZ54" t="s">
        <v>3016</v>
      </c>
    </row>
    <row r="55" spans="17:52" x14ac:dyDescent="0.25">
      <c r="Q55" t="s">
        <v>425</v>
      </c>
      <c r="S55" t="s">
        <v>1375</v>
      </c>
      <c r="W55" t="str">
        <f>mapPRC!A127</f>
        <v>CETELC-E</v>
      </c>
      <c r="X55" t="str">
        <f>IFERROR(INDEX($AS$7:$AS$88,MATCH(mapPRC!C127,$AR$7:$AR$88,0)),"")</f>
        <v>com</v>
      </c>
      <c r="AA55" t="str">
        <f>mapCOM!A71</f>
        <v>CNR</v>
      </c>
      <c r="AB55" t="str">
        <f t="shared" si="0"/>
        <v/>
      </c>
      <c r="AI55" t="s">
        <v>2864</v>
      </c>
      <c r="AJ55" t="s">
        <v>2984</v>
      </c>
      <c r="AL55" t="s">
        <v>3371</v>
      </c>
      <c r="AM55" t="s">
        <v>3398</v>
      </c>
      <c r="AR55" t="s">
        <v>144</v>
      </c>
      <c r="AS55" t="str">
        <f>U17</f>
        <v>elec</v>
      </c>
      <c r="AU55" t="s">
        <v>1872</v>
      </c>
      <c r="AY55" t="s">
        <v>2334</v>
      </c>
      <c r="AZ55" t="s">
        <v>3016</v>
      </c>
    </row>
    <row r="56" spans="17:52" x14ac:dyDescent="0.25">
      <c r="Q56" t="s">
        <v>1026</v>
      </c>
      <c r="S56" t="s">
        <v>1371</v>
      </c>
      <c r="W56" t="str">
        <f>mapPRC!A128</f>
        <v>CEWCOA-E</v>
      </c>
      <c r="X56" t="str">
        <f>IFERROR(INDEX($AS$7:$AS$88,MATCH(mapPRC!C128,$AR$7:$AR$88,0)),"")</f>
        <v>com</v>
      </c>
      <c r="AA56" t="str">
        <f>mapCOM!A72</f>
        <v>CNT</v>
      </c>
      <c r="AB56" t="str">
        <f t="shared" si="0"/>
        <v/>
      </c>
      <c r="AI56" t="s">
        <v>2864</v>
      </c>
      <c r="AJ56" t="s">
        <v>2985</v>
      </c>
      <c r="AU56" t="s">
        <v>1871</v>
      </c>
      <c r="AY56" t="s">
        <v>2332</v>
      </c>
      <c r="AZ56" t="s">
        <v>3020</v>
      </c>
    </row>
    <row r="57" spans="17:52" x14ac:dyDescent="0.25">
      <c r="Q57" t="s">
        <v>1197</v>
      </c>
      <c r="S57" t="s">
        <v>1476</v>
      </c>
      <c r="W57" t="str">
        <f>mapPRC!A129</f>
        <v>CEWELC-E</v>
      </c>
      <c r="X57" t="str">
        <f>IFERROR(INDEX($AS$7:$AS$88,MATCH(mapPRC!C129,$AR$7:$AR$88,0)),"")</f>
        <v>com</v>
      </c>
      <c r="AA57" t="str">
        <f>mapCOM!A73</f>
        <v>CNW</v>
      </c>
      <c r="AB57" t="str">
        <f t="shared" si="0"/>
        <v/>
      </c>
      <c r="AI57" t="s">
        <v>2864</v>
      </c>
      <c r="AJ57" t="s">
        <v>2986</v>
      </c>
      <c r="AU57" t="s">
        <v>1870</v>
      </c>
      <c r="AY57" t="s">
        <v>2330</v>
      </c>
      <c r="AZ57" t="s">
        <v>3016</v>
      </c>
    </row>
    <row r="58" spans="17:52" x14ac:dyDescent="0.25">
      <c r="Q58" t="s">
        <v>3238</v>
      </c>
      <c r="S58" t="s">
        <v>1328</v>
      </c>
      <c r="W58" t="str">
        <f>mapPRC!A130</f>
        <v>CEWELCHP-N</v>
      </c>
      <c r="X58" t="str">
        <f>IFERROR(INDEX($AS$7:$AS$88,MATCH(mapPRC!C130,$AR$7:$AR$88,0)),"")</f>
        <v>com</v>
      </c>
      <c r="AA58" t="str">
        <f>mapCOM!A74</f>
        <v>CO2EQS</v>
      </c>
      <c r="AB58" t="str">
        <f t="shared" si="0"/>
        <v/>
      </c>
      <c r="AI58" t="s">
        <v>2864</v>
      </c>
      <c r="AJ58" t="s">
        <v>2987</v>
      </c>
      <c r="AU58" t="s">
        <v>1869</v>
      </c>
      <c r="AY58" t="s">
        <v>2328</v>
      </c>
      <c r="AZ58" t="s">
        <v>3021</v>
      </c>
    </row>
    <row r="59" spans="17:52" x14ac:dyDescent="0.25">
      <c r="Q59" t="s">
        <v>405</v>
      </c>
      <c r="S59" t="s">
        <v>1333</v>
      </c>
      <c r="W59" t="str">
        <f>mapPRC!A131</f>
        <v>CEWELC-N</v>
      </c>
      <c r="X59" t="str">
        <f>IFERROR(INDEX($AS$7:$AS$88,MATCH(mapPRC!C131,$AR$7:$AR$88,0)),"")</f>
        <v>com</v>
      </c>
      <c r="AA59" t="str">
        <f>mapCOM!A75</f>
        <v>CO2S</v>
      </c>
      <c r="AB59" t="str">
        <f t="shared" si="0"/>
        <v/>
      </c>
      <c r="AI59" t="s">
        <v>3161</v>
      </c>
      <c r="AJ59" t="s">
        <v>2962</v>
      </c>
      <c r="AU59" t="s">
        <v>1868</v>
      </c>
      <c r="AY59" t="s">
        <v>2326</v>
      </c>
      <c r="AZ59" t="s">
        <v>3021</v>
      </c>
    </row>
    <row r="60" spans="17:52" x14ac:dyDescent="0.25">
      <c r="Q60" t="s">
        <v>782</v>
      </c>
      <c r="S60" t="s">
        <v>1403</v>
      </c>
      <c r="W60" t="str">
        <f>mapPRC!A132</f>
        <v>CEWGAS-E</v>
      </c>
      <c r="X60" t="str">
        <f>IFERROR(INDEX($AS$7:$AS$88,MATCH(mapPRC!C132,$AR$7:$AR$88,0)),"")</f>
        <v>com</v>
      </c>
      <c r="AA60" t="str">
        <f>mapCOM!A76</f>
        <v>CO2SF</v>
      </c>
      <c r="AB60" t="str">
        <f t="shared" si="0"/>
        <v/>
      </c>
      <c r="AI60" t="s">
        <v>3162</v>
      </c>
      <c r="AJ60" t="s">
        <v>2963</v>
      </c>
      <c r="AU60" t="s">
        <v>1867</v>
      </c>
      <c r="AY60" t="s">
        <v>2324</v>
      </c>
      <c r="AZ60" t="s">
        <v>3021</v>
      </c>
    </row>
    <row r="61" spans="17:52" x14ac:dyDescent="0.25">
      <c r="Q61" t="s">
        <v>722</v>
      </c>
      <c r="S61" t="s">
        <v>366</v>
      </c>
      <c r="W61" t="str">
        <f>mapPRC!A133</f>
        <v>CEWOKE-E</v>
      </c>
      <c r="X61" t="str">
        <f>IFERROR(INDEX($AS$7:$AS$88,MATCH(mapPRC!C133,$AR$7:$AR$88,0)),"")</f>
        <v>com</v>
      </c>
      <c r="AA61" t="str">
        <f>mapCOM!A77</f>
        <v>CO2SP</v>
      </c>
      <c r="AB61" t="str">
        <f t="shared" si="0"/>
        <v/>
      </c>
      <c r="AU61" t="s">
        <v>1866</v>
      </c>
      <c r="AY61" t="s">
        <v>2322</v>
      </c>
      <c r="AZ61" t="s">
        <v>3016</v>
      </c>
    </row>
    <row r="62" spans="17:52" x14ac:dyDescent="0.25">
      <c r="Q62" t="s">
        <v>1163</v>
      </c>
      <c r="S62" t="s">
        <v>351</v>
      </c>
      <c r="W62" t="str">
        <f>mapPRC!A134</f>
        <v>CEWOLP-E</v>
      </c>
      <c r="X62" t="str">
        <f>IFERROR(INDEX($AS$7:$AS$88,MATCH(mapPRC!C134,$AR$7:$AR$88,0)),"")</f>
        <v>com</v>
      </c>
      <c r="AA62" t="str">
        <f>mapCOM!A78</f>
        <v>COA</v>
      </c>
      <c r="AB62" t="str">
        <f t="shared" si="0"/>
        <v>ccoal-hgh</v>
      </c>
      <c r="AU62" t="s">
        <v>1865</v>
      </c>
      <c r="AY62" t="s">
        <v>2320</v>
      </c>
      <c r="AZ62" t="s">
        <v>3016</v>
      </c>
    </row>
    <row r="63" spans="17:52" x14ac:dyDescent="0.25">
      <c r="Q63" t="s">
        <v>1068</v>
      </c>
      <c r="S63" t="s">
        <v>143</v>
      </c>
      <c r="W63" t="str">
        <f>mapPRC!A135</f>
        <v>CNCELCCEN-E</v>
      </c>
      <c r="X63" t="str">
        <f>IFERROR(INDEX($AS$7:$AS$88,MATCH(mapPRC!C135,$AR$7:$AR$88,0)),"")</f>
        <v>com</v>
      </c>
      <c r="AA63" t="str">
        <f>mapCOM!A79</f>
        <v>COK</v>
      </c>
      <c r="AB63" t="str">
        <f t="shared" si="0"/>
        <v/>
      </c>
      <c r="AU63" t="s">
        <v>1863</v>
      </c>
      <c r="AY63" t="s">
        <v>2318</v>
      </c>
      <c r="AZ63" t="s">
        <v>3016</v>
      </c>
    </row>
    <row r="64" spans="17:52" x14ac:dyDescent="0.25">
      <c r="Q64" t="s">
        <v>30</v>
      </c>
      <c r="S64" t="s">
        <v>190</v>
      </c>
      <c r="W64" t="str">
        <f>mapPRC!A136</f>
        <v>CNCELCCEN-N</v>
      </c>
      <c r="X64" t="str">
        <f>IFERROR(INDEX($AS$7:$AS$88,MATCH(mapPRC!C136,$AR$7:$AR$88,0)),"")</f>
        <v>com</v>
      </c>
      <c r="AA64" t="str">
        <f>mapCOM!A80</f>
        <v>COM_CHILLERHEAT-E</v>
      </c>
      <c r="AB64" t="str">
        <f t="shared" si="0"/>
        <v/>
      </c>
      <c r="AU64" t="s">
        <v>1985</v>
      </c>
      <c r="AY64" t="s">
        <v>2316</v>
      </c>
      <c r="AZ64" t="s">
        <v>3018</v>
      </c>
    </row>
    <row r="65" spans="17:52" x14ac:dyDescent="0.25">
      <c r="Q65" t="s">
        <v>25</v>
      </c>
      <c r="S65" t="s">
        <v>175</v>
      </c>
      <c r="W65" t="str">
        <f>mapPRC!A137</f>
        <v>CNCELCCHIL-E</v>
      </c>
      <c r="X65" t="str">
        <f>IFERROR(INDEX($AS$7:$AS$88,MATCH(mapPRC!C137,$AR$7:$AR$88,0)),"")</f>
        <v>com</v>
      </c>
      <c r="AA65" t="str">
        <f>mapCOM!A81</f>
        <v>COM_CHILLERHEAT-N</v>
      </c>
      <c r="AB65" t="str">
        <f t="shared" si="0"/>
        <v/>
      </c>
      <c r="AU65" t="s">
        <v>1984</v>
      </c>
      <c r="AY65" t="s">
        <v>2314</v>
      </c>
      <c r="AZ65" t="s">
        <v>3017</v>
      </c>
    </row>
    <row r="66" spans="17:52" x14ac:dyDescent="0.25">
      <c r="Q66" t="s">
        <v>1111</v>
      </c>
      <c r="S66" t="s">
        <v>1319</v>
      </c>
      <c r="W66" t="str">
        <f>mapPRC!A138</f>
        <v>CNCELCHP-E</v>
      </c>
      <c r="X66" t="str">
        <f>IFERROR(INDEX($AS$7:$AS$88,MATCH(mapPRC!C138,$AR$7:$AR$88,0)),"")</f>
        <v>com</v>
      </c>
      <c r="AA66" t="str">
        <f>mapCOM!A82</f>
        <v>COM_HEAT-E</v>
      </c>
      <c r="AB66" t="str">
        <f t="shared" si="0"/>
        <v/>
      </c>
      <c r="AU66" t="s">
        <v>1982</v>
      </c>
      <c r="AY66" t="s">
        <v>2312</v>
      </c>
      <c r="AZ66" t="s">
        <v>3017</v>
      </c>
    </row>
    <row r="67" spans="17:52" x14ac:dyDescent="0.25">
      <c r="Q67" t="s">
        <v>3206</v>
      </c>
      <c r="S67" t="s">
        <v>1469</v>
      </c>
      <c r="W67" t="str">
        <f>mapPRC!A139</f>
        <v>CNCELCHP-N</v>
      </c>
      <c r="X67" t="str">
        <f>IFERROR(INDEX($AS$7:$AS$88,MATCH(mapPRC!C139,$AR$7:$AR$88,0)),"")</f>
        <v>com</v>
      </c>
      <c r="AA67" t="str">
        <f>mapCOM!A83</f>
        <v>COM_HEAT-N</v>
      </c>
      <c r="AB67" t="str">
        <f t="shared" si="0"/>
        <v/>
      </c>
      <c r="AU67" t="s">
        <v>1978</v>
      </c>
      <c r="AY67" t="s">
        <v>2310</v>
      </c>
      <c r="AZ67" t="s">
        <v>3017</v>
      </c>
    </row>
    <row r="68" spans="17:52" x14ac:dyDescent="0.25">
      <c r="Q68" t="s">
        <v>963</v>
      </c>
      <c r="S68" t="s">
        <v>1316</v>
      </c>
      <c r="W68" t="str">
        <f>mapPRC!A140</f>
        <v>CNCELCROOM-E</v>
      </c>
      <c r="X68" t="str">
        <f>IFERROR(INDEX($AS$7:$AS$88,MATCH(mapPRC!C140,$AR$7:$AR$88,0)),"")</f>
        <v>com</v>
      </c>
      <c r="AA68" t="str">
        <f>mapCOM!A84</f>
        <v>COMCH4</v>
      </c>
      <c r="AB68" t="str">
        <f t="shared" si="0"/>
        <v/>
      </c>
      <c r="AU68" t="s">
        <v>1976</v>
      </c>
      <c r="AY68" t="s">
        <v>2308</v>
      </c>
      <c r="AZ68" t="s">
        <v>3017</v>
      </c>
    </row>
    <row r="69" spans="17:52" x14ac:dyDescent="0.25">
      <c r="Q69" t="s">
        <v>461</v>
      </c>
      <c r="S69" t="s">
        <v>1049</v>
      </c>
      <c r="W69" t="str">
        <f>mapPRC!A141</f>
        <v>CNGELCHAL-E</v>
      </c>
      <c r="X69" t="str">
        <f>IFERROR(INDEX($AS$7:$AS$88,MATCH(mapPRC!C141,$AR$7:$AR$88,0)),"")</f>
        <v>com</v>
      </c>
      <c r="AA69" t="str">
        <f>mapCOM!A85</f>
        <v>COMCH4S</v>
      </c>
      <c r="AB69" t="str">
        <f t="shared" si="0"/>
        <v/>
      </c>
      <c r="AU69" t="s">
        <v>1975</v>
      </c>
      <c r="AY69" t="s">
        <v>2306</v>
      </c>
      <c r="AZ69" t="s">
        <v>3017</v>
      </c>
    </row>
    <row r="70" spans="17:52" x14ac:dyDescent="0.25">
      <c r="Q70" t="s">
        <v>1787</v>
      </c>
      <c r="S70" t="s">
        <v>1058</v>
      </c>
      <c r="W70" t="str">
        <f>mapPRC!A142</f>
        <v>CNGELCHPM-E</v>
      </c>
      <c r="X70" t="str">
        <f>IFERROR(INDEX($AS$7:$AS$88,MATCH(mapPRC!C142,$AR$7:$AR$88,0)),"")</f>
        <v>com</v>
      </c>
      <c r="AA70" t="str">
        <f>mapCOM!A86</f>
        <v>COMCMOX</v>
      </c>
      <c r="AB70" t="str">
        <f t="shared" si="0"/>
        <v/>
      </c>
      <c r="AU70" t="s">
        <v>1973</v>
      </c>
      <c r="AY70" t="s">
        <v>2304</v>
      </c>
      <c r="AZ70" t="s">
        <v>3017</v>
      </c>
    </row>
    <row r="71" spans="17:52" x14ac:dyDescent="0.25">
      <c r="S71" t="s">
        <v>1311</v>
      </c>
      <c r="W71" t="str">
        <f>mapPRC!A143</f>
        <v>CNGELCHPS-E</v>
      </c>
      <c r="X71" t="str">
        <f>IFERROR(INDEX($AS$7:$AS$88,MATCH(mapPRC!C143,$AR$7:$AR$88,0)),"")</f>
        <v>com</v>
      </c>
      <c r="AA71" t="str">
        <f>mapCOM!A87</f>
        <v>COMCO2</v>
      </c>
      <c r="AB71" t="str">
        <f t="shared" ref="AB71:AB134" si="2">INDEX($AZ$6:$AZ$784,MATCH(AA71,$AY$6:$AY$784,0))</f>
        <v/>
      </c>
      <c r="AU71" t="s">
        <v>1972</v>
      </c>
      <c r="AY71" t="s">
        <v>2302</v>
      </c>
      <c r="AZ71" t="s">
        <v>3017</v>
      </c>
    </row>
    <row r="72" spans="17:52" x14ac:dyDescent="0.25">
      <c r="S72" t="s">
        <v>1307</v>
      </c>
      <c r="W72" t="str">
        <f>mapPRC!A144</f>
        <v>CNGELCINC-E</v>
      </c>
      <c r="X72" t="str">
        <f>IFERROR(INDEX($AS$7:$AS$88,MATCH(mapPRC!C144,$AR$7:$AR$88,0)),"")</f>
        <v>com</v>
      </c>
      <c r="AA72" t="str">
        <f>mapCOM!A88</f>
        <v>COMCO2S</v>
      </c>
      <c r="AB72" t="str">
        <f t="shared" si="2"/>
        <v/>
      </c>
      <c r="AU72" t="s">
        <v>1970</v>
      </c>
      <c r="AY72" t="s">
        <v>2300</v>
      </c>
      <c r="AZ72" t="s">
        <v>3017</v>
      </c>
    </row>
    <row r="73" spans="17:52" x14ac:dyDescent="0.25">
      <c r="S73" t="s">
        <v>1481</v>
      </c>
      <c r="W73" t="str">
        <f>mapPRC!A145</f>
        <v>CNGELCLED-N</v>
      </c>
      <c r="X73" t="str">
        <f>IFERROR(INDEX($AS$7:$AS$88,MATCH(mapPRC!C145,$AR$7:$AR$88,0)),"")</f>
        <v>com</v>
      </c>
      <c r="AA73" t="str">
        <f>mapCOM!A89</f>
        <v>COMCOA</v>
      </c>
      <c r="AB73" t="str">
        <f t="shared" si="2"/>
        <v>ccoal-hgh</v>
      </c>
      <c r="AU73" t="s">
        <v>1966</v>
      </c>
      <c r="AY73" t="s">
        <v>2298</v>
      </c>
      <c r="AZ73" t="s">
        <v>3017</v>
      </c>
    </row>
    <row r="74" spans="17:52" x14ac:dyDescent="0.25">
      <c r="S74" t="s">
        <v>1448</v>
      </c>
      <c r="W74" t="str">
        <f>mapPRC!A146</f>
        <v>CNGELCMHL-E</v>
      </c>
      <c r="X74" t="str">
        <f>IFERROR(INDEX($AS$7:$AS$88,MATCH(mapPRC!C146,$AR$7:$AR$88,0)),"")</f>
        <v>com</v>
      </c>
      <c r="AA74" t="str">
        <f>mapCOM!A90</f>
        <v>COMELC</v>
      </c>
      <c r="AB74" t="str">
        <f t="shared" si="2"/>
        <v>celec</v>
      </c>
      <c r="AU74" t="s">
        <v>1964</v>
      </c>
      <c r="AY74" t="s">
        <v>2296</v>
      </c>
      <c r="AZ74" t="s">
        <v>3016</v>
      </c>
    </row>
    <row r="75" spans="17:52" x14ac:dyDescent="0.25">
      <c r="S75" t="s">
        <v>1428</v>
      </c>
      <c r="W75" t="str">
        <f>mapPRC!A147</f>
        <v>CNHCOA-E</v>
      </c>
      <c r="X75" t="str">
        <f>IFERROR(INDEX($AS$7:$AS$88,MATCH(mapPRC!C147,$AR$7:$AR$88,0)),"")</f>
        <v>com</v>
      </c>
      <c r="AA75" t="str">
        <f>mapCOM!A91</f>
        <v>COMGAS</v>
      </c>
      <c r="AB75" t="str">
        <f t="shared" si="2"/>
        <v>cngas</v>
      </c>
      <c r="AU75" t="s">
        <v>1963</v>
      </c>
      <c r="AY75" t="s">
        <v>2294</v>
      </c>
      <c r="AZ75" t="s">
        <v>3016</v>
      </c>
    </row>
    <row r="76" spans="17:52" x14ac:dyDescent="0.25">
      <c r="S76" t="s">
        <v>1431</v>
      </c>
      <c r="W76" t="str">
        <f>mapPRC!A148</f>
        <v>CNHELC-E</v>
      </c>
      <c r="X76" t="str">
        <f>IFERROR(INDEX($AS$7:$AS$88,MATCH(mapPRC!C148,$AR$7:$AR$88,0)),"")</f>
        <v>com</v>
      </c>
      <c r="AA76" t="str">
        <f>mapCOM!A92</f>
        <v>COMN2O</v>
      </c>
      <c r="AB76" t="str">
        <f t="shared" si="2"/>
        <v/>
      </c>
      <c r="AU76" t="s">
        <v>1957</v>
      </c>
      <c r="AY76" t="s">
        <v>2292</v>
      </c>
      <c r="AZ76" t="s">
        <v>3016</v>
      </c>
    </row>
    <row r="77" spans="17:52" x14ac:dyDescent="0.25">
      <c r="S77" t="s">
        <v>1424</v>
      </c>
      <c r="W77" t="str">
        <f>mapPRC!A149</f>
        <v>CNHELC-N</v>
      </c>
      <c r="X77" t="str">
        <f>IFERROR(INDEX($AS$7:$AS$88,MATCH(mapPRC!C149,$AR$7:$AR$88,0)),"")</f>
        <v>com</v>
      </c>
      <c r="AA77" t="str">
        <f>mapCOM!A93</f>
        <v>COMN2OS</v>
      </c>
      <c r="AB77" t="str">
        <f t="shared" si="2"/>
        <v/>
      </c>
      <c r="AU77" t="s">
        <v>1952</v>
      </c>
      <c r="AY77" t="s">
        <v>2290</v>
      </c>
      <c r="AZ77" t="s">
        <v>3024</v>
      </c>
    </row>
    <row r="78" spans="17:52" x14ac:dyDescent="0.25">
      <c r="S78" t="s">
        <v>1302</v>
      </c>
      <c r="W78" t="str">
        <f>mapPRC!A150</f>
        <v>CNHGAS-E</v>
      </c>
      <c r="X78" t="str">
        <f>IFERROR(INDEX($AS$7:$AS$88,MATCH(mapPRC!C150,$AR$7:$AR$88,0)),"")</f>
        <v>com</v>
      </c>
      <c r="AA78" t="str">
        <f>mapCOM!A94</f>
        <v>COMNMVS</v>
      </c>
      <c r="AB78" t="str">
        <f t="shared" si="2"/>
        <v/>
      </c>
      <c r="AU78" t="s">
        <v>1951</v>
      </c>
      <c r="AY78" t="s">
        <v>2288</v>
      </c>
      <c r="AZ78" t="s">
        <v>3016</v>
      </c>
    </row>
    <row r="79" spans="17:52" x14ac:dyDescent="0.25">
      <c r="S79" t="s">
        <v>1398</v>
      </c>
      <c r="W79" t="str">
        <f>mapPRC!A151</f>
        <v>CNHGAS-N</v>
      </c>
      <c r="X79" t="str">
        <f>IFERROR(INDEX($AS$7:$AS$88,MATCH(mapPRC!C151,$AR$7:$AR$88,0)),"")</f>
        <v>com</v>
      </c>
      <c r="AA79" t="str">
        <f>mapCOM!A95</f>
        <v>COMNOX</v>
      </c>
      <c r="AB79" t="str">
        <f t="shared" si="2"/>
        <v/>
      </c>
      <c r="AU79" t="s">
        <v>1950</v>
      </c>
      <c r="AY79" t="s">
        <v>2286</v>
      </c>
      <c r="AZ79" t="s">
        <v>3016</v>
      </c>
    </row>
    <row r="80" spans="17:52" x14ac:dyDescent="0.25">
      <c r="S80" t="s">
        <v>863</v>
      </c>
      <c r="W80" t="str">
        <f>mapPRC!A152</f>
        <v>CNKCOA-E</v>
      </c>
      <c r="X80" t="str">
        <f>IFERROR(INDEX($AS$7:$AS$88,MATCH(mapPRC!C152,$AR$7:$AR$88,0)),"")</f>
        <v>com</v>
      </c>
      <c r="AA80" t="str">
        <f>mapCOM!A96</f>
        <v>COMNOXS</v>
      </c>
      <c r="AB80" t="str">
        <f t="shared" si="2"/>
        <v/>
      </c>
      <c r="AU80" t="s">
        <v>1947</v>
      </c>
      <c r="AY80" t="s">
        <v>2284</v>
      </c>
      <c r="AZ80" t="s">
        <v>3016</v>
      </c>
    </row>
    <row r="81" spans="19:52" x14ac:dyDescent="0.25">
      <c r="S81" t="s">
        <v>1055</v>
      </c>
      <c r="W81" t="str">
        <f>mapPRC!A153</f>
        <v>CNKELC-E</v>
      </c>
      <c r="X81" t="str">
        <f>IFERROR(INDEX($AS$7:$AS$88,MATCH(mapPRC!C153,$AR$7:$AR$88,0)),"")</f>
        <v>com</v>
      </c>
      <c r="AA81" t="str">
        <f>mapCOM!A97</f>
        <v>COMODS</v>
      </c>
      <c r="AB81" t="str">
        <f t="shared" si="2"/>
        <v>cpetr_d</v>
      </c>
      <c r="AU81" t="s">
        <v>1945</v>
      </c>
      <c r="AY81" t="s">
        <v>2282</v>
      </c>
      <c r="AZ81" t="s">
        <v>3016</v>
      </c>
    </row>
    <row r="82" spans="19:52" x14ac:dyDescent="0.25">
      <c r="S82" t="s">
        <v>602</v>
      </c>
      <c r="W82" t="str">
        <f>mapPRC!A154</f>
        <v>CNKOLP-E</v>
      </c>
      <c r="X82" t="str">
        <f>IFERROR(INDEX($AS$7:$AS$88,MATCH(mapPRC!C154,$AR$7:$AR$88,0)),"")</f>
        <v>com</v>
      </c>
      <c r="AA82" t="str">
        <f>mapCOM!A98</f>
        <v>COMOGS</v>
      </c>
      <c r="AB82" t="str">
        <f t="shared" si="2"/>
        <v/>
      </c>
      <c r="AU82" t="s">
        <v>1944</v>
      </c>
      <c r="AY82" t="s">
        <v>2280</v>
      </c>
      <c r="AZ82" t="s">
        <v>3016</v>
      </c>
    </row>
    <row r="83" spans="19:52" x14ac:dyDescent="0.25">
      <c r="S83" t="s">
        <v>582</v>
      </c>
      <c r="W83" t="str">
        <f>mapPRC!A155</f>
        <v>CNLELCCFL-E</v>
      </c>
      <c r="X83" t="str">
        <f>IFERROR(INDEX($AS$7:$AS$88,MATCH(mapPRC!C155,$AR$7:$AR$88,0)),"")</f>
        <v>com</v>
      </c>
      <c r="AA83" t="str">
        <f>mapCOM!A99</f>
        <v>COMOHF</v>
      </c>
      <c r="AB83" t="str">
        <f t="shared" si="2"/>
        <v>cpetr_o</v>
      </c>
      <c r="AU83" t="s">
        <v>1943</v>
      </c>
      <c r="AY83" t="s">
        <v>2278</v>
      </c>
      <c r="AZ83" t="s">
        <v>3016</v>
      </c>
    </row>
    <row r="84" spans="19:52" x14ac:dyDescent="0.25">
      <c r="S84" t="s">
        <v>913</v>
      </c>
      <c r="W84" t="str">
        <f>mapPRC!A156</f>
        <v>CNLELCFLU-E</v>
      </c>
      <c r="X84" t="str">
        <f>IFERROR(INDEX($AS$7:$AS$88,MATCH(mapPRC!C156,$AR$7:$AR$88,0)),"")</f>
        <v>com</v>
      </c>
      <c r="AA84" t="str">
        <f>mapCOM!A100</f>
        <v>COMOKE</v>
      </c>
      <c r="AB84" t="str">
        <f t="shared" si="2"/>
        <v>cpetr_o</v>
      </c>
      <c r="AU84" t="s">
        <v>1939</v>
      </c>
      <c r="AY84" t="s">
        <v>2276</v>
      </c>
      <c r="AZ84" t="s">
        <v>3019</v>
      </c>
    </row>
    <row r="85" spans="19:52" x14ac:dyDescent="0.25">
      <c r="S85" t="s">
        <v>910</v>
      </c>
      <c r="W85" t="str">
        <f>mapPRC!A157</f>
        <v>CNLELCHAL-E</v>
      </c>
      <c r="X85" t="str">
        <f>IFERROR(INDEX($AS$7:$AS$88,MATCH(mapPRC!C157,$AR$7:$AR$88,0)),"")</f>
        <v>com</v>
      </c>
      <c r="AA85" t="str">
        <f>mapCOM!A101</f>
        <v>COMOLP</v>
      </c>
      <c r="AB85" t="str">
        <f t="shared" si="2"/>
        <v>cpetr_o</v>
      </c>
      <c r="AU85" t="s">
        <v>1910</v>
      </c>
      <c r="AY85" t="s">
        <v>2274</v>
      </c>
      <c r="AZ85" t="s">
        <v>3016</v>
      </c>
    </row>
    <row r="86" spans="19:52" x14ac:dyDescent="0.25">
      <c r="S86" t="s">
        <v>1075</v>
      </c>
      <c r="W86" t="str">
        <f>mapPRC!A158</f>
        <v>CNLELCHID-E</v>
      </c>
      <c r="X86" t="str">
        <f>IFERROR(INDEX($AS$7:$AS$88,MATCH(mapPRC!C158,$AR$7:$AR$88,0)),"")</f>
        <v>com</v>
      </c>
      <c r="AA86" t="str">
        <f>mapCOM!A102</f>
        <v>COMP10S</v>
      </c>
      <c r="AB86" t="str">
        <f t="shared" si="2"/>
        <v/>
      </c>
      <c r="AU86" t="s">
        <v>3131</v>
      </c>
      <c r="AY86" t="s">
        <v>2273</v>
      </c>
      <c r="AZ86" t="s">
        <v>3018</v>
      </c>
    </row>
    <row r="87" spans="19:52" x14ac:dyDescent="0.25">
      <c r="S87" t="s">
        <v>418</v>
      </c>
      <c r="W87" t="str">
        <f>mapPRC!A159</f>
        <v>CNLELCINC-E</v>
      </c>
      <c r="X87" t="str">
        <f>IFERROR(INDEX($AS$7:$AS$88,MATCH(mapPRC!C159,$AR$7:$AR$88,0)),"")</f>
        <v>com</v>
      </c>
      <c r="AA87" t="str">
        <f>mapCOM!A103</f>
        <v>COMSOX</v>
      </c>
      <c r="AB87" t="str">
        <f t="shared" si="2"/>
        <v/>
      </c>
      <c r="AU87" t="s">
        <v>3129</v>
      </c>
      <c r="AY87" t="s">
        <v>2272</v>
      </c>
      <c r="AZ87" t="s">
        <v>3017</v>
      </c>
    </row>
    <row r="88" spans="19:52" x14ac:dyDescent="0.25">
      <c r="S88" t="s">
        <v>709</v>
      </c>
      <c r="W88" t="str">
        <f>mapPRC!A160</f>
        <v>CNLELCLED-N</v>
      </c>
      <c r="X88" t="str">
        <f>IFERROR(INDEX($AS$7:$AS$88,MATCH(mapPRC!C160,$AR$7:$AR$88,0)),"")</f>
        <v>com</v>
      </c>
      <c r="AA88" t="str">
        <f>mapCOM!A104</f>
        <v>COMSOXS</v>
      </c>
      <c r="AB88" t="str">
        <f t="shared" si="2"/>
        <v/>
      </c>
      <c r="AU88" t="s">
        <v>1932</v>
      </c>
      <c r="AY88" t="s">
        <v>2270</v>
      </c>
      <c r="AZ88" t="s">
        <v>3016</v>
      </c>
    </row>
    <row r="89" spans="19:52" x14ac:dyDescent="0.25">
      <c r="S89" t="s">
        <v>706</v>
      </c>
      <c r="W89" t="str">
        <f>mapPRC!A161</f>
        <v>CNOCOA-E</v>
      </c>
      <c r="X89" t="str">
        <f>IFERROR(INDEX($AS$7:$AS$88,MATCH(mapPRC!C161,$AR$7:$AR$88,0)),"")</f>
        <v>com</v>
      </c>
      <c r="AA89" t="str">
        <f>mapCOM!A105</f>
        <v>COMTHRM-E</v>
      </c>
      <c r="AB89" t="str">
        <f t="shared" si="2"/>
        <v/>
      </c>
      <c r="AU89" t="s">
        <v>1912</v>
      </c>
      <c r="AY89" t="s">
        <v>2268</v>
      </c>
      <c r="AZ89" t="s">
        <v>3016</v>
      </c>
    </row>
    <row r="90" spans="19:52" x14ac:dyDescent="0.25">
      <c r="S90" t="s">
        <v>697</v>
      </c>
      <c r="W90" t="str">
        <f>mapPRC!A162</f>
        <v>CNOELC-E</v>
      </c>
      <c r="X90" t="str">
        <f>IFERROR(INDEX($AS$7:$AS$88,MATCH(mapPRC!C162,$AR$7:$AR$88,0)),"")</f>
        <v>com</v>
      </c>
      <c r="AA90" t="str">
        <f>mapCOM!A106</f>
        <v>COMTHRM-N</v>
      </c>
      <c r="AB90" t="str">
        <f t="shared" si="2"/>
        <v/>
      </c>
      <c r="AU90" t="s">
        <v>1930</v>
      </c>
      <c r="AY90" t="s">
        <v>2266</v>
      </c>
      <c r="AZ90" t="s">
        <v>3016</v>
      </c>
    </row>
    <row r="91" spans="19:52" x14ac:dyDescent="0.25">
      <c r="S91" t="s">
        <v>684</v>
      </c>
      <c r="W91" t="str">
        <f>mapPRC!A163</f>
        <v>CNOGAS-E</v>
      </c>
      <c r="X91" t="str">
        <f>IFERROR(INDEX($AS$7:$AS$88,MATCH(mapPRC!C163,$AR$7:$AR$88,0)),"")</f>
        <v>com</v>
      </c>
      <c r="AA91" t="str">
        <f>mapCOM!A107</f>
        <v>CRB</v>
      </c>
      <c r="AB91" t="str">
        <f t="shared" si="2"/>
        <v/>
      </c>
      <c r="AU91" t="s">
        <v>1928</v>
      </c>
      <c r="AY91" t="s">
        <v>2264</v>
      </c>
      <c r="AZ91" t="s">
        <v>3020</v>
      </c>
    </row>
    <row r="92" spans="19:52" x14ac:dyDescent="0.25">
      <c r="S92" t="s">
        <v>665</v>
      </c>
      <c r="W92" t="str">
        <f>mapPRC!A164</f>
        <v>CNOODS-E</v>
      </c>
      <c r="X92" t="str">
        <f>IFERROR(INDEX($AS$7:$AS$88,MATCH(mapPRC!C164,$AR$7:$AR$88,0)),"")</f>
        <v>com</v>
      </c>
      <c r="AA92" t="str">
        <f>mapCOM!A108</f>
        <v>ELC</v>
      </c>
      <c r="AB92" t="str">
        <f t="shared" si="2"/>
        <v>celec</v>
      </c>
      <c r="AU92" t="s">
        <v>1926</v>
      </c>
      <c r="AY92" t="s">
        <v>2262</v>
      </c>
      <c r="AZ92" t="s">
        <v>3016</v>
      </c>
    </row>
    <row r="93" spans="19:52" x14ac:dyDescent="0.25">
      <c r="S93" t="s">
        <v>662</v>
      </c>
      <c r="W93" t="str">
        <f>mapPRC!A165</f>
        <v>CNOOGS-E</v>
      </c>
      <c r="X93" t="str">
        <f>IFERROR(INDEX($AS$7:$AS$88,MATCH(mapPRC!C165,$AR$7:$AR$88,0)),"")</f>
        <v>com</v>
      </c>
      <c r="AA93" t="str">
        <f>mapCOM!A109</f>
        <v>ELCC</v>
      </c>
      <c r="AB93" t="str">
        <f t="shared" si="2"/>
        <v>celec</v>
      </c>
      <c r="AU93" t="s">
        <v>1924</v>
      </c>
      <c r="AY93" t="s">
        <v>2261</v>
      </c>
      <c r="AZ93" t="s">
        <v>3021</v>
      </c>
    </row>
    <row r="94" spans="19:52" x14ac:dyDescent="0.25">
      <c r="S94" t="s">
        <v>657</v>
      </c>
      <c r="W94" t="str">
        <f>mapPRC!A166</f>
        <v>CNOOHF-E</v>
      </c>
      <c r="X94" t="str">
        <f>IFERROR(INDEX($AS$7:$AS$88,MATCH(mapPRC!C166,$AR$7:$AR$88,0)),"")</f>
        <v>com</v>
      </c>
      <c r="AA94" t="str">
        <f>mapCOM!A110</f>
        <v>FEORE</v>
      </c>
      <c r="AB94" t="str">
        <f t="shared" si="2"/>
        <v/>
      </c>
      <c r="AU94" t="s">
        <v>1922</v>
      </c>
      <c r="AY94" t="s">
        <v>2259</v>
      </c>
      <c r="AZ94" t="s">
        <v>3021</v>
      </c>
    </row>
    <row r="95" spans="19:52" x14ac:dyDescent="0.25">
      <c r="S95" t="s">
        <v>630</v>
      </c>
      <c r="W95" t="str">
        <f>mapPRC!A167</f>
        <v>CNOOKE-E</v>
      </c>
      <c r="X95" t="str">
        <f>IFERROR(INDEX($AS$7:$AS$88,MATCH(mapPRC!C167,$AR$7:$AR$88,0)),"")</f>
        <v>com</v>
      </c>
      <c r="AA95" t="str">
        <f>mapCOM!A111</f>
        <v>flab-m</v>
      </c>
      <c r="AB95" t="str">
        <f t="shared" si="2"/>
        <v/>
      </c>
      <c r="AU95" t="s">
        <v>1920</v>
      </c>
      <c r="AY95" t="s">
        <v>2257</v>
      </c>
      <c r="AZ95" t="s">
        <v>3016</v>
      </c>
    </row>
    <row r="96" spans="19:52" x14ac:dyDescent="0.25">
      <c r="S96" t="s">
        <v>627</v>
      </c>
      <c r="W96" t="str">
        <f>mapPRC!A168</f>
        <v>CNRELC-E</v>
      </c>
      <c r="X96" t="str">
        <f>IFERROR(INDEX($AS$7:$AS$88,MATCH(mapPRC!C168,$AR$7:$AR$88,0)),"")</f>
        <v>com</v>
      </c>
      <c r="AA96" t="str">
        <f>mapCOM!A112</f>
        <v>flab-p</v>
      </c>
      <c r="AB96" t="str">
        <f t="shared" si="2"/>
        <v/>
      </c>
      <c r="AU96" t="s">
        <v>1918</v>
      </c>
      <c r="AY96" t="s">
        <v>2255</v>
      </c>
      <c r="AZ96" t="s">
        <v>3016</v>
      </c>
    </row>
    <row r="97" spans="19:52" x14ac:dyDescent="0.25">
      <c r="S97" t="s">
        <v>622</v>
      </c>
      <c r="W97" t="str">
        <f>mapPRC!A169</f>
        <v>CNRELC-N</v>
      </c>
      <c r="X97" t="str">
        <f>IFERROR(INDEX($AS$7:$AS$88,MATCH(mapPRC!C169,$AR$7:$AR$88,0)),"")</f>
        <v>com</v>
      </c>
      <c r="AA97" t="str">
        <f>mapCOM!A113</f>
        <v>flab-s</v>
      </c>
      <c r="AB97" t="str">
        <f t="shared" si="2"/>
        <v/>
      </c>
      <c r="AU97" t="s">
        <v>1916</v>
      </c>
      <c r="AY97" t="s">
        <v>2253</v>
      </c>
      <c r="AZ97" t="s">
        <v>3016</v>
      </c>
    </row>
    <row r="98" spans="19:52" x14ac:dyDescent="0.25">
      <c r="S98" t="s">
        <v>1052</v>
      </c>
      <c r="W98" t="str">
        <f>mapPRC!A170</f>
        <v>CNTELC-E</v>
      </c>
      <c r="X98" t="str">
        <f>IFERROR(INDEX($AS$7:$AS$88,MATCH(mapPRC!C170,$AR$7:$AR$88,0)),"")</f>
        <v>com</v>
      </c>
      <c r="AA98" t="str">
        <f>mapCOM!A114</f>
        <v>flab-t</v>
      </c>
      <c r="AB98" t="str">
        <f t="shared" si="2"/>
        <v/>
      </c>
      <c r="AU98" t="s">
        <v>1914</v>
      </c>
      <c r="AY98" t="s">
        <v>2090</v>
      </c>
      <c r="AZ98" t="s">
        <v>3016</v>
      </c>
    </row>
    <row r="99" spans="19:52" x14ac:dyDescent="0.25">
      <c r="S99" t="s">
        <v>386</v>
      </c>
      <c r="W99" t="str">
        <f>mapPRC!A171</f>
        <v>CNWCOA-E</v>
      </c>
      <c r="X99" t="str">
        <f>IFERROR(INDEX($AS$7:$AS$88,MATCH(mapPRC!C171,$AR$7:$AR$88,0)),"")</f>
        <v>com</v>
      </c>
      <c r="AA99" t="str">
        <f>mapCOM!A115</f>
        <v>GAS</v>
      </c>
      <c r="AB99" t="str">
        <f t="shared" si="2"/>
        <v>cngas</v>
      </c>
      <c r="AU99" t="s">
        <v>1908</v>
      </c>
      <c r="AY99" t="s">
        <v>2087</v>
      </c>
      <c r="AZ99" t="s">
        <v>3016</v>
      </c>
    </row>
    <row r="100" spans="19:52" x14ac:dyDescent="0.25">
      <c r="S100" t="s">
        <v>425</v>
      </c>
      <c r="W100" t="str">
        <f>mapPRC!A172</f>
        <v>CNWELC-E</v>
      </c>
      <c r="X100" t="str">
        <f>IFERROR(INDEX($AS$7:$AS$88,MATCH(mapPRC!C172,$AR$7:$AR$88,0)),"")</f>
        <v>com</v>
      </c>
      <c r="AA100" t="str">
        <f>mapCOM!A116</f>
        <v>GIB</v>
      </c>
      <c r="AB100" t="str">
        <f t="shared" si="2"/>
        <v>cngas</v>
      </c>
      <c r="AU100" t="s">
        <v>1904</v>
      </c>
      <c r="AY100" t="s">
        <v>2084</v>
      </c>
      <c r="AZ100" t="s">
        <v>3016</v>
      </c>
    </row>
    <row r="101" spans="19:52" x14ac:dyDescent="0.25">
      <c r="S101" t="s">
        <v>3238</v>
      </c>
      <c r="W101" t="str">
        <f>mapPRC!A173</f>
        <v>CNWELCHP-N</v>
      </c>
      <c r="X101" t="str">
        <f>IFERROR(INDEX($AS$7:$AS$88,MATCH(mapPRC!C173,$AR$7:$AR$88,0)),"")</f>
        <v>com</v>
      </c>
      <c r="AA101" t="str">
        <f>mapCOM!A117</f>
        <v>GIC</v>
      </c>
      <c r="AB101" t="str">
        <f t="shared" si="2"/>
        <v>cngas</v>
      </c>
      <c r="AU101" t="s">
        <v>1906</v>
      </c>
      <c r="AY101" t="s">
        <v>2248</v>
      </c>
      <c r="AZ101" t="s">
        <v>3016</v>
      </c>
    </row>
    <row r="102" spans="19:52" x14ac:dyDescent="0.25">
      <c r="S102" t="s">
        <v>619</v>
      </c>
      <c r="W102" t="str">
        <f>mapPRC!A174</f>
        <v>CNWELC-N</v>
      </c>
      <c r="X102" t="str">
        <f>IFERROR(INDEX($AS$7:$AS$88,MATCH(mapPRC!C174,$AR$7:$AR$88,0)),"")</f>
        <v>com</v>
      </c>
      <c r="AA102" t="str">
        <f>mapCOM!A118</f>
        <v>GIH</v>
      </c>
      <c r="AB102" t="str">
        <f t="shared" si="2"/>
        <v>cngas</v>
      </c>
      <c r="AU102" t="s">
        <v>1902</v>
      </c>
      <c r="AY102" t="s">
        <v>2246</v>
      </c>
      <c r="AZ102" t="s">
        <v>3021</v>
      </c>
    </row>
    <row r="103" spans="19:52" x14ac:dyDescent="0.25">
      <c r="S103" t="s">
        <v>616</v>
      </c>
      <c r="W103" t="str">
        <f>mapPRC!A175</f>
        <v>CNWGAS-E</v>
      </c>
      <c r="X103" t="str">
        <f>IFERROR(INDEX($AS$7:$AS$88,MATCH(mapPRC!C175,$AR$7:$AR$88,0)),"")</f>
        <v>com</v>
      </c>
      <c r="AA103" t="str">
        <f>mapCOM!A119</f>
        <v>GIM</v>
      </c>
      <c r="AB103" t="str">
        <f t="shared" si="2"/>
        <v>cngas</v>
      </c>
      <c r="AU103" t="s">
        <v>1900</v>
      </c>
      <c r="AY103" t="s">
        <v>2244</v>
      </c>
      <c r="AZ103" t="s">
        <v>3025</v>
      </c>
    </row>
    <row r="104" spans="19:52" x14ac:dyDescent="0.25">
      <c r="S104" t="s">
        <v>36</v>
      </c>
      <c r="W104" t="str">
        <f>mapPRC!A176</f>
        <v>CNWOKE-E</v>
      </c>
      <c r="X104" t="str">
        <f>IFERROR(INDEX($AS$7:$AS$88,MATCH(mapPRC!C176,$AR$7:$AR$88,0)),"")</f>
        <v>com</v>
      </c>
      <c r="AA104" t="str">
        <f>mapCOM!A120</f>
        <v>GRL</v>
      </c>
      <c r="AB104" t="str">
        <f t="shared" si="2"/>
        <v>cngas</v>
      </c>
      <c r="AU104" t="s">
        <v>1898</v>
      </c>
      <c r="AY104" t="s">
        <v>2242</v>
      </c>
      <c r="AZ104" t="s">
        <v>3020</v>
      </c>
    </row>
    <row r="105" spans="19:52" x14ac:dyDescent="0.25">
      <c r="S105" t="s">
        <v>607</v>
      </c>
      <c r="W105" t="str">
        <f>mapPRC!A177</f>
        <v>CNWOLP-E</v>
      </c>
      <c r="X105" t="str">
        <f>IFERROR(INDEX($AS$7:$AS$88,MATCH(mapPRC!C177,$AR$7:$AR$88,0)),"")</f>
        <v>com</v>
      </c>
      <c r="AA105" t="str">
        <f>mapCOM!A121</f>
        <v>GRM</v>
      </c>
      <c r="AB105" t="str">
        <f t="shared" si="2"/>
        <v>cngas</v>
      </c>
      <c r="AU105" t="s">
        <v>1896</v>
      </c>
      <c r="AY105" t="s">
        <v>2240</v>
      </c>
      <c r="AZ105" t="s">
        <v>3026</v>
      </c>
    </row>
    <row r="106" spans="19:52" x14ac:dyDescent="0.25">
      <c r="S106" t="s">
        <v>733</v>
      </c>
      <c r="W106" t="str">
        <f>mapPRC!A178</f>
        <v>COM_ACHILLER-E</v>
      </c>
      <c r="X106" t="str">
        <f>IFERROR(INDEX($AS$7:$AS$88,MATCH(mapPRC!C178,$AR$7:$AR$88,0)),"")</f>
        <v/>
      </c>
      <c r="AA106" t="str">
        <f>mapCOM!A122</f>
        <v>GRN</v>
      </c>
      <c r="AB106" t="str">
        <f t="shared" si="2"/>
        <v>cngas</v>
      </c>
      <c r="AU106" t="s">
        <v>1894</v>
      </c>
      <c r="AY106" t="s">
        <v>2238</v>
      </c>
      <c r="AZ106" t="s">
        <v>3021</v>
      </c>
    </row>
    <row r="107" spans="19:52" x14ac:dyDescent="0.25">
      <c r="S107" t="s">
        <v>1067</v>
      </c>
      <c r="W107" t="str">
        <f>mapPRC!A179</f>
        <v>COM_ACHILLER-N</v>
      </c>
      <c r="X107" t="str">
        <f>IFERROR(INDEX($AS$7:$AS$88,MATCH(mapPRC!C179,$AR$7:$AR$88,0)),"")</f>
        <v/>
      </c>
      <c r="AA107" t="str">
        <f>mapCOM!A123</f>
        <v>GRS</v>
      </c>
      <c r="AB107" t="str">
        <f t="shared" si="2"/>
        <v>cngas</v>
      </c>
      <c r="AU107" t="s">
        <v>1892</v>
      </c>
      <c r="AY107" t="s">
        <v>2236</v>
      </c>
      <c r="AZ107" t="s">
        <v>3021</v>
      </c>
    </row>
    <row r="108" spans="19:52" x14ac:dyDescent="0.25">
      <c r="S108" t="s">
        <v>404</v>
      </c>
      <c r="W108" t="str">
        <f>mapPRC!A180</f>
        <v>COM_HEATER-E</v>
      </c>
      <c r="X108" t="str">
        <f>IFERROR(INDEX($AS$7:$AS$88,MATCH(mapPRC!C180,$AR$7:$AR$88,0)),"")</f>
        <v/>
      </c>
      <c r="AA108" t="str">
        <f>mapCOM!A124</f>
        <v>GWL</v>
      </c>
      <c r="AB108" t="str">
        <f t="shared" si="2"/>
        <v>cngas</v>
      </c>
      <c r="AU108" t="s">
        <v>1890</v>
      </c>
      <c r="AY108" t="s">
        <v>2234</v>
      </c>
      <c r="AZ108" t="s">
        <v>3021</v>
      </c>
    </row>
    <row r="109" spans="19:52" x14ac:dyDescent="0.25">
      <c r="S109" t="s">
        <v>399</v>
      </c>
      <c r="W109" t="str">
        <f>mapPRC!A181</f>
        <v>COM_HEATER-N</v>
      </c>
      <c r="X109" t="str">
        <f>IFERROR(INDEX($AS$7:$AS$88,MATCH(mapPRC!C181,$AR$7:$AR$88,0)),"")</f>
        <v/>
      </c>
      <c r="AA109" t="str">
        <f>mapCOM!A125</f>
        <v>HEE</v>
      </c>
      <c r="AB109" t="str">
        <f t="shared" si="2"/>
        <v/>
      </c>
      <c r="AU109" t="s">
        <v>1888</v>
      </c>
      <c r="AY109" t="s">
        <v>2232</v>
      </c>
      <c r="AZ109" t="s">
        <v>3016</v>
      </c>
    </row>
    <row r="110" spans="19:52" x14ac:dyDescent="0.25">
      <c r="S110" t="s">
        <v>995</v>
      </c>
      <c r="W110" t="str">
        <f>mapPRC!A182</f>
        <v>COMTHRM_SWITCH-E</v>
      </c>
      <c r="X110" t="str">
        <f>IFERROR(INDEX($AS$7:$AS$88,MATCH(mapPRC!C182,$AR$7:$AR$88,0)),"")</f>
        <v/>
      </c>
      <c r="AA110" t="str">
        <f>mapCOM!A126</f>
        <v>HEN</v>
      </c>
      <c r="AB110" t="str">
        <f t="shared" si="2"/>
        <v/>
      </c>
      <c r="AU110" t="s">
        <v>1886</v>
      </c>
      <c r="AY110" t="s">
        <v>2231</v>
      </c>
      <c r="AZ110" t="s">
        <v>3016</v>
      </c>
    </row>
    <row r="111" spans="19:52" x14ac:dyDescent="0.25">
      <c r="S111" t="s">
        <v>24</v>
      </c>
      <c r="W111" t="str">
        <f>mapPRC!A183</f>
        <v>COMTHRM_SWITCH-N</v>
      </c>
      <c r="X111" t="str">
        <f>IFERROR(INDEX($AS$7:$AS$88,MATCH(mapPRC!C183,$AR$7:$AR$88,0)),"")</f>
        <v/>
      </c>
      <c r="AA111" t="str">
        <f>mapCOM!A127</f>
        <v>HET</v>
      </c>
      <c r="AB111" t="str">
        <f t="shared" si="2"/>
        <v/>
      </c>
      <c r="AU111" t="s">
        <v>2054</v>
      </c>
      <c r="AY111" t="s">
        <v>2229</v>
      </c>
      <c r="AZ111" t="s">
        <v>3016</v>
      </c>
    </row>
    <row r="112" spans="19:52" x14ac:dyDescent="0.25">
      <c r="S112" t="s">
        <v>489</v>
      </c>
      <c r="W112" t="str">
        <f>mapPRC!A184</f>
        <v>COMTRI_1-E</v>
      </c>
      <c r="X112" t="str">
        <f>IFERROR(INDEX($AS$7:$AS$88,MATCH(mapPRC!C184,$AR$7:$AR$88,0)),"")</f>
        <v/>
      </c>
      <c r="AA112" t="str">
        <f>mapCOM!A128</f>
        <v>HGN</v>
      </c>
      <c r="AB112" t="str">
        <f t="shared" si="2"/>
        <v>chydr</v>
      </c>
      <c r="AU112" t="s">
        <v>2053</v>
      </c>
      <c r="AY112" t="s">
        <v>2228</v>
      </c>
      <c r="AZ112" t="s">
        <v>3016</v>
      </c>
    </row>
    <row r="113" spans="19:52" x14ac:dyDescent="0.25">
      <c r="S113" t="s">
        <v>486</v>
      </c>
      <c r="W113" t="str">
        <f>mapPRC!A185</f>
        <v>COMTRI_1-N</v>
      </c>
      <c r="X113" t="str">
        <f>IFERROR(INDEX($AS$7:$AS$88,MATCH(mapPRC!C185,$AR$7:$AR$88,0)),"")</f>
        <v/>
      </c>
      <c r="AA113" t="str">
        <f>mapCOM!A129</f>
        <v>HYD</v>
      </c>
      <c r="AB113" t="str">
        <f t="shared" si="2"/>
        <v/>
      </c>
      <c r="AU113" t="s">
        <v>2052</v>
      </c>
      <c r="AY113" t="s">
        <v>2227</v>
      </c>
      <c r="AZ113" t="s">
        <v>3016</v>
      </c>
    </row>
    <row r="114" spans="19:52" x14ac:dyDescent="0.25">
      <c r="S114" t="s">
        <v>476</v>
      </c>
      <c r="W114" t="str">
        <f>mapPRC!A186</f>
        <v>EP_FLAB-M</v>
      </c>
      <c r="X114" t="str">
        <f>IFERROR(INDEX($AS$7:$AS$88,MATCH(mapPRC!C186,$AR$7:$AR$88,0)),"")</f>
        <v/>
      </c>
      <c r="AA114" t="str">
        <f>mapCOM!A130</f>
        <v>IALM</v>
      </c>
      <c r="AB114" t="str">
        <f t="shared" si="2"/>
        <v/>
      </c>
      <c r="AU114" t="s">
        <v>2051</v>
      </c>
      <c r="AY114" t="s">
        <v>2224</v>
      </c>
      <c r="AZ114" t="s">
        <v>3016</v>
      </c>
    </row>
    <row r="115" spans="19:52" x14ac:dyDescent="0.25">
      <c r="S115" t="s">
        <v>483</v>
      </c>
      <c r="W115" t="str">
        <f>mapPRC!A187</f>
        <v>EP_FLAB-P</v>
      </c>
      <c r="X115" t="str">
        <f>IFERROR(INDEX($AS$7:$AS$88,MATCH(mapPRC!C187,$AR$7:$AR$88,0)),"")</f>
        <v/>
      </c>
      <c r="AA115" t="str">
        <f>mapCOM!A131</f>
        <v>ICPA</v>
      </c>
      <c r="AB115" t="str">
        <f t="shared" si="2"/>
        <v/>
      </c>
      <c r="AU115" t="s">
        <v>2050</v>
      </c>
      <c r="AY115" t="s">
        <v>2222</v>
      </c>
      <c r="AZ115" t="s">
        <v>3022</v>
      </c>
    </row>
    <row r="116" spans="19:52" x14ac:dyDescent="0.25">
      <c r="S116" t="s">
        <v>471</v>
      </c>
      <c r="W116" t="str">
        <f>mapPRC!A188</f>
        <v>EP_FLAB-S</v>
      </c>
      <c r="X116" t="str">
        <f>IFERROR(INDEX($AS$7:$AS$88,MATCH(mapPRC!C188,$AR$7:$AR$88,0)),"")</f>
        <v/>
      </c>
      <c r="AA116" t="str">
        <f>mapCOM!A132</f>
        <v>ICPC</v>
      </c>
      <c r="AB116" t="str">
        <f t="shared" si="2"/>
        <v/>
      </c>
      <c r="AU116" t="s">
        <v>2049</v>
      </c>
      <c r="AY116" t="s">
        <v>2220</v>
      </c>
      <c r="AZ116" t="s">
        <v>3023</v>
      </c>
    </row>
    <row r="117" spans="19:52" x14ac:dyDescent="0.25">
      <c r="S117" t="s">
        <v>33</v>
      </c>
      <c r="W117" t="str">
        <f>mapPRC!A189</f>
        <v>EP_FLAB-T</v>
      </c>
      <c r="X117" t="str">
        <f>IFERROR(INDEX($AS$7:$AS$88,MATCH(mapPRC!C189,$AR$7:$AR$88,0)),"")</f>
        <v/>
      </c>
      <c r="AA117" t="str">
        <f>mapCOM!A133</f>
        <v>ICPE</v>
      </c>
      <c r="AB117" t="str">
        <f t="shared" si="2"/>
        <v/>
      </c>
      <c r="AU117" t="s">
        <v>2048</v>
      </c>
      <c r="AY117" t="s">
        <v>2219</v>
      </c>
      <c r="AZ117" t="s">
        <v>3016</v>
      </c>
    </row>
    <row r="118" spans="19:52" x14ac:dyDescent="0.25">
      <c r="S118" t="s">
        <v>549</v>
      </c>
      <c r="W118" t="str">
        <f>mapPRC!A190</f>
        <v>EPTSTO-E</v>
      </c>
      <c r="X118" t="str">
        <f>IFERROR(INDEX($AS$7:$AS$88,MATCH(mapPRC!C190,$AR$7:$AR$88,0)),"")</f>
        <v>elec</v>
      </c>
      <c r="AA118" t="str">
        <f>mapCOM!A134</f>
        <v>ICPELC</v>
      </c>
      <c r="AB118" t="str">
        <f t="shared" si="2"/>
        <v>celec</v>
      </c>
      <c r="AU118" t="s">
        <v>2047</v>
      </c>
      <c r="AY118" t="s">
        <v>2216</v>
      </c>
      <c r="AZ118" t="s">
        <v>3016</v>
      </c>
    </row>
    <row r="119" spans="19:52" x14ac:dyDescent="0.25">
      <c r="S119" t="s">
        <v>730</v>
      </c>
      <c r="W119" t="str">
        <f>mapPRC!A191</f>
        <v>EPTSTO-N</v>
      </c>
      <c r="X119" t="str">
        <f>IFERROR(INDEX($AS$7:$AS$88,MATCH(mapPRC!C191,$AR$7:$AR$88,0)),"")</f>
        <v>elec</v>
      </c>
      <c r="AA119" t="str">
        <f>mapCOM!A135</f>
        <v>ICPF</v>
      </c>
      <c r="AB119" t="str">
        <f t="shared" si="2"/>
        <v/>
      </c>
      <c r="AU119" t="s">
        <v>2046</v>
      </c>
      <c r="AY119" t="s">
        <v>2214</v>
      </c>
      <c r="AZ119" t="s">
        <v>3016</v>
      </c>
    </row>
    <row r="120" spans="19:52" x14ac:dyDescent="0.25">
      <c r="S120" t="s">
        <v>0</v>
      </c>
      <c r="W120" t="str">
        <f>mapPRC!A192</f>
        <v>ERBIG-N</v>
      </c>
      <c r="X120" t="str">
        <f>IFERROR(INDEX($AS$7:$AS$88,MATCH(mapPRC!C192,$AR$7:$AR$88,0)),"")</f>
        <v>elec</v>
      </c>
      <c r="AA120" t="str">
        <f>mapCOM!A136</f>
        <v>ICPGAS</v>
      </c>
      <c r="AB120" t="str">
        <f t="shared" si="2"/>
        <v>cngas</v>
      </c>
      <c r="AU120" t="s">
        <v>2045</v>
      </c>
      <c r="AY120" t="s">
        <v>2211</v>
      </c>
      <c r="AZ120" t="s">
        <v>3016</v>
      </c>
    </row>
    <row r="121" spans="19:52" x14ac:dyDescent="0.25">
      <c r="S121" t="s">
        <v>1044</v>
      </c>
      <c r="W121" t="str">
        <f>mapPRC!A193</f>
        <v>ERBIO-N</v>
      </c>
      <c r="X121" t="str">
        <f>IFERROR(INDEX($AS$7:$AS$88,MATCH(mapPRC!C193,$AR$7:$AR$88,0)),"")</f>
        <v>elec</v>
      </c>
      <c r="AA121" t="str">
        <f>mapCOM!A137</f>
        <v>ICPH</v>
      </c>
      <c r="AB121" t="str">
        <f t="shared" si="2"/>
        <v/>
      </c>
      <c r="AU121" t="s">
        <v>2043</v>
      </c>
      <c r="AY121" t="s">
        <v>2209</v>
      </c>
      <c r="AZ121" t="s">
        <v>3016</v>
      </c>
    </row>
    <row r="122" spans="19:52" x14ac:dyDescent="0.25">
      <c r="S122" t="s">
        <v>1204</v>
      </c>
      <c r="W122" t="str">
        <f>mapPRC!A194</f>
        <v>ERHYDB-I</v>
      </c>
      <c r="X122" t="str">
        <f>IFERROR(INDEX($AS$7:$AS$88,MATCH(mapPRC!C194,$AR$7:$AR$88,0)),"")</f>
        <v>imp</v>
      </c>
      <c r="AA122" t="str">
        <f>mapCOM!A138</f>
        <v>ICPK</v>
      </c>
      <c r="AB122" t="str">
        <f t="shared" si="2"/>
        <v/>
      </c>
      <c r="AU122" t="s">
        <v>2041</v>
      </c>
      <c r="AY122" t="s">
        <v>2208</v>
      </c>
      <c r="AZ122" t="s">
        <v>3017</v>
      </c>
    </row>
    <row r="123" spans="19:52" x14ac:dyDescent="0.25">
      <c r="S123" t="s">
        <v>987</v>
      </c>
      <c r="W123" t="str">
        <f>mapPRC!A195</f>
        <v>ERHYD-E</v>
      </c>
      <c r="X123" t="str">
        <f>IFERROR(INDEX($AS$7:$AS$88,MATCH(mapPRC!C195,$AR$7:$AR$88,0)),"")</f>
        <v>elec</v>
      </c>
      <c r="AA123" t="str">
        <f>mapCOM!A139</f>
        <v>ICPL</v>
      </c>
      <c r="AB123" t="str">
        <f t="shared" si="2"/>
        <v/>
      </c>
      <c r="AU123" t="s">
        <v>2039</v>
      </c>
      <c r="AY123" t="s">
        <v>2207</v>
      </c>
      <c r="AZ123" t="s">
        <v>3017</v>
      </c>
    </row>
    <row r="124" spans="19:52" x14ac:dyDescent="0.25">
      <c r="S124" t="s">
        <v>466</v>
      </c>
      <c r="W124" t="str">
        <f>mapPRC!A196</f>
        <v>ERHYDF-I</v>
      </c>
      <c r="X124" t="str">
        <f>IFERROR(INDEX($AS$7:$AS$88,MATCH(mapPRC!C196,$AR$7:$AR$88,0)),"")</f>
        <v>imp</v>
      </c>
      <c r="AA124" t="str">
        <f>mapCOM!A140</f>
        <v>ICPO</v>
      </c>
      <c r="AB124" t="str">
        <f t="shared" si="2"/>
        <v/>
      </c>
      <c r="AU124" t="s">
        <v>2037</v>
      </c>
      <c r="AY124" t="s">
        <v>2206</v>
      </c>
      <c r="AZ124" t="s">
        <v>3017</v>
      </c>
    </row>
    <row r="125" spans="19:52" x14ac:dyDescent="0.25">
      <c r="S125" t="s">
        <v>3206</v>
      </c>
      <c r="W125" t="str">
        <f>mapPRC!A197</f>
        <v>ERHYDGIE-I</v>
      </c>
      <c r="X125" t="str">
        <f>IFERROR(INDEX($AS$7:$AS$88,MATCH(mapPRC!C197,$AR$7:$AR$88,0)),"")</f>
        <v>imp</v>
      </c>
      <c r="AA125" t="str">
        <f>mapCOM!A141</f>
        <v>ICPP</v>
      </c>
      <c r="AB125" t="str">
        <f t="shared" si="2"/>
        <v/>
      </c>
      <c r="AU125" t="s">
        <v>2035</v>
      </c>
      <c r="AY125" t="s">
        <v>2205</v>
      </c>
      <c r="AZ125" t="s">
        <v>3017</v>
      </c>
    </row>
    <row r="126" spans="19:52" x14ac:dyDescent="0.25">
      <c r="S126" t="s">
        <v>1025</v>
      </c>
      <c r="W126" t="str">
        <f>mapPRC!A198</f>
        <v>ERHYDGIW-I</v>
      </c>
      <c r="X126" t="str">
        <f>IFERROR(INDEX($AS$7:$AS$88,MATCH(mapPRC!C198,$AR$7:$AR$88,0)),"")</f>
        <v>imp</v>
      </c>
      <c r="AA126" t="str">
        <f>mapCOM!A142</f>
        <v>ICPS</v>
      </c>
      <c r="AB126" t="str">
        <f t="shared" si="2"/>
        <v/>
      </c>
      <c r="AU126" t="s">
        <v>2033</v>
      </c>
      <c r="AY126" t="s">
        <v>2204</v>
      </c>
      <c r="AZ126" t="s">
        <v>3017</v>
      </c>
    </row>
    <row r="127" spans="19:52" x14ac:dyDescent="0.25">
      <c r="S127" t="s">
        <v>1568</v>
      </c>
      <c r="W127" t="str">
        <f>mapPRC!A199</f>
        <v>ERHYDH-I</v>
      </c>
      <c r="X127" t="str">
        <f>IFERROR(INDEX($AS$7:$AS$88,MATCH(mapPRC!C199,$AR$7:$AR$88,0)),"")</f>
        <v>imp</v>
      </c>
      <c r="AA127" t="str">
        <f>mapCOM!A143</f>
        <v>ICPT</v>
      </c>
      <c r="AB127" t="str">
        <f t="shared" si="2"/>
        <v/>
      </c>
      <c r="AU127" t="s">
        <v>2031</v>
      </c>
      <c r="AY127" t="s">
        <v>2203</v>
      </c>
      <c r="AZ127" t="s">
        <v>3017</v>
      </c>
    </row>
    <row r="128" spans="19:52" x14ac:dyDescent="0.25">
      <c r="S128" t="s">
        <v>1519</v>
      </c>
      <c r="W128" t="str">
        <f>mapPRC!A200</f>
        <v>ERHYD-I</v>
      </c>
      <c r="X128" t="str">
        <f>IFERROR(INDEX($AS$7:$AS$88,MATCH(mapPRC!C200,$AR$7:$AR$88,0)),"")</f>
        <v>imp</v>
      </c>
      <c r="AA128" t="str">
        <f>mapCOM!A144</f>
        <v>IFAM</v>
      </c>
      <c r="AB128" t="str">
        <f t="shared" si="2"/>
        <v/>
      </c>
      <c r="AU128" t="s">
        <v>2029</v>
      </c>
      <c r="AY128" t="s">
        <v>2202</v>
      </c>
      <c r="AZ128" t="s">
        <v>3016</v>
      </c>
    </row>
    <row r="129" spans="19:52" x14ac:dyDescent="0.25">
      <c r="S129" t="s">
        <v>1041</v>
      </c>
      <c r="W129" t="str">
        <f>mapPRC!A201</f>
        <v>ERHYDI-I</v>
      </c>
      <c r="X129" t="str">
        <f>IFERROR(INDEX($AS$7:$AS$88,MATCH(mapPRC!C201,$AR$7:$AR$88,0)),"")</f>
        <v>imp</v>
      </c>
      <c r="AA129" t="str">
        <f>mapCOM!A145</f>
        <v>IFAELC</v>
      </c>
      <c r="AB129" t="str">
        <f t="shared" si="2"/>
        <v>celec</v>
      </c>
      <c r="AU129" t="s">
        <v>1882</v>
      </c>
      <c r="AY129" t="s">
        <v>2200</v>
      </c>
      <c r="AZ129" t="s">
        <v>3016</v>
      </c>
    </row>
    <row r="130" spans="19:52" x14ac:dyDescent="0.25">
      <c r="S130" t="s">
        <v>760</v>
      </c>
      <c r="W130" t="str">
        <f>mapPRC!A202</f>
        <v>ERHYDK-I</v>
      </c>
      <c r="X130" t="str">
        <f>IFERROR(INDEX($AS$7:$AS$88,MATCH(mapPRC!C202,$AR$7:$AR$88,0)),"")</f>
        <v>imp</v>
      </c>
      <c r="AA130" t="str">
        <f>mapCOM!A146</f>
        <v>IFAGAS</v>
      </c>
      <c r="AB130" t="str">
        <f t="shared" si="2"/>
        <v>cngas</v>
      </c>
      <c r="AU130" t="s">
        <v>1880</v>
      </c>
      <c r="AY130" t="s">
        <v>2197</v>
      </c>
      <c r="AZ130" t="s">
        <v>3016</v>
      </c>
    </row>
    <row r="131" spans="19:52" x14ac:dyDescent="0.25">
      <c r="S131" t="s">
        <v>1200</v>
      </c>
      <c r="W131" t="str">
        <f>mapPRC!A203</f>
        <v>ERHYDM-I</v>
      </c>
      <c r="X131" t="str">
        <f>IFERROR(INDEX($AS$7:$AS$88,MATCH(mapPRC!C203,$AR$7:$AR$88,0)),"")</f>
        <v>imp</v>
      </c>
      <c r="AA131" t="str">
        <f>mapCOM!A147</f>
        <v>IFBA</v>
      </c>
      <c r="AB131" t="str">
        <f t="shared" si="2"/>
        <v/>
      </c>
      <c r="AU131" t="s">
        <v>1879</v>
      </c>
      <c r="AY131" t="s">
        <v>2195</v>
      </c>
      <c r="AZ131" t="s">
        <v>3016</v>
      </c>
    </row>
    <row r="132" spans="19:52" x14ac:dyDescent="0.25">
      <c r="S132" t="s">
        <v>1196</v>
      </c>
      <c r="W132" t="str">
        <f>mapPRC!A204</f>
        <v>ERHYD-N</v>
      </c>
      <c r="X132" t="str">
        <f>IFERROR(INDEX($AS$7:$AS$88,MATCH(mapPRC!C204,$AR$7:$AR$88,0)),"")</f>
        <v>elec</v>
      </c>
      <c r="AA132" t="str">
        <f>mapCOM!A148</f>
        <v>IFBC</v>
      </c>
      <c r="AB132" t="str">
        <f t="shared" si="2"/>
        <v/>
      </c>
      <c r="AU132" t="s">
        <v>1877</v>
      </c>
      <c r="AY132" t="s">
        <v>2192</v>
      </c>
      <c r="AZ132" t="s">
        <v>3016</v>
      </c>
    </row>
    <row r="133" spans="19:52" x14ac:dyDescent="0.25">
      <c r="S133" t="s">
        <v>3087</v>
      </c>
      <c r="W133" t="str">
        <f>mapPRC!A205</f>
        <v>ERSOLPCF-N</v>
      </c>
      <c r="X133" t="str">
        <f>IFERROR(INDEX($AS$7:$AS$88,MATCH(mapPRC!C205,$AR$7:$AR$88,0)),"")</f>
        <v>elec</v>
      </c>
      <c r="AA133" t="str">
        <f>mapCOM!A149</f>
        <v>IFBE</v>
      </c>
      <c r="AB133" t="str">
        <f t="shared" si="2"/>
        <v/>
      </c>
      <c r="AU133" t="s">
        <v>1875</v>
      </c>
      <c r="AY133" t="s">
        <v>2190</v>
      </c>
      <c r="AZ133" t="s">
        <v>3016</v>
      </c>
    </row>
    <row r="134" spans="19:52" x14ac:dyDescent="0.25">
      <c r="S134" t="s">
        <v>743</v>
      </c>
      <c r="W134" t="str">
        <f>mapPRC!A206</f>
        <v>ERSOLPCT-N</v>
      </c>
      <c r="X134" t="str">
        <f>IFERROR(INDEX($AS$7:$AS$88,MATCH(mapPRC!C206,$AR$7:$AR$88,0)),"")</f>
        <v>elec</v>
      </c>
      <c r="AA134" t="str">
        <f>mapCOM!A150</f>
        <v>IFBELC</v>
      </c>
      <c r="AB134" t="str">
        <f t="shared" si="2"/>
        <v>celec</v>
      </c>
      <c r="AU134" t="s">
        <v>1864</v>
      </c>
      <c r="AY134" t="s">
        <v>2187</v>
      </c>
      <c r="AZ134" t="s">
        <v>3016</v>
      </c>
    </row>
    <row r="135" spans="19:52" x14ac:dyDescent="0.25">
      <c r="S135" t="s">
        <v>3170</v>
      </c>
      <c r="W135" t="str">
        <f>mapPRC!A207</f>
        <v>ERSOLPICP-N</v>
      </c>
      <c r="X135" t="str">
        <f>IFERROR(INDEX($AS$7:$AS$88,MATCH(mapPRC!C207,$AR$7:$AR$88,0)),"")</f>
        <v>elec</v>
      </c>
      <c r="AA135" t="str">
        <f>mapCOM!A151</f>
        <v>IFBF</v>
      </c>
      <c r="AB135" t="str">
        <f t="shared" ref="AB135:AB198" si="3">INDEX($AZ$6:$AZ$784,MATCH(AA135,$AY$6:$AY$784,0))</f>
        <v/>
      </c>
      <c r="AU135" t="s">
        <v>1862</v>
      </c>
      <c r="AY135" t="s">
        <v>2185</v>
      </c>
      <c r="AZ135" t="s">
        <v>3016</v>
      </c>
    </row>
    <row r="136" spans="19:52" x14ac:dyDescent="0.25">
      <c r="S136" t="s">
        <v>29</v>
      </c>
      <c r="W136" t="str">
        <f>mapPRC!A208</f>
        <v>ERSOLPIFA-N</v>
      </c>
      <c r="X136" t="str">
        <f>IFERROR(INDEX($AS$7:$AS$88,MATCH(mapPRC!C208,$AR$7:$AR$88,0)),"")</f>
        <v>elec</v>
      </c>
      <c r="AA136" t="str">
        <f>mapCOM!A152</f>
        <v>IFBGAS</v>
      </c>
      <c r="AB136" t="str">
        <f t="shared" si="3"/>
        <v>cngas</v>
      </c>
      <c r="AU136" t="s">
        <v>1860</v>
      </c>
      <c r="AY136" t="s">
        <v>2183</v>
      </c>
      <c r="AZ136" t="s">
        <v>3020</v>
      </c>
    </row>
    <row r="137" spans="19:52" x14ac:dyDescent="0.25">
      <c r="S137" t="s">
        <v>546</v>
      </c>
      <c r="W137" t="str">
        <f>mapPRC!A209</f>
        <v>ERSOLPIFB-N</v>
      </c>
      <c r="X137" t="str">
        <f>IFERROR(INDEX($AS$7:$AS$88,MATCH(mapPRC!C209,$AR$7:$AR$88,0)),"")</f>
        <v>elec</v>
      </c>
      <c r="AA137" t="str">
        <f>mapCOM!A153</f>
        <v>IFBH</v>
      </c>
      <c r="AB137" t="str">
        <f t="shared" si="3"/>
        <v/>
      </c>
      <c r="AU137" t="s">
        <v>3139</v>
      </c>
      <c r="AY137" t="s">
        <v>2182</v>
      </c>
      <c r="AZ137" t="s">
        <v>3016</v>
      </c>
    </row>
    <row r="138" spans="19:52" x14ac:dyDescent="0.25">
      <c r="S138" t="s">
        <v>543</v>
      </c>
      <c r="W138" t="str">
        <f>mapPRC!A210</f>
        <v>ERSOLPIIS-N</v>
      </c>
      <c r="X138" t="str">
        <f>IFERROR(INDEX($AS$7:$AS$88,MATCH(mapPRC!C210,$AR$7:$AR$88,0)),"")</f>
        <v>elec</v>
      </c>
      <c r="AA138" t="str">
        <f>mapCOM!A154</f>
        <v>IFBK</v>
      </c>
      <c r="AB138" t="str">
        <f t="shared" si="3"/>
        <v/>
      </c>
      <c r="AY138" t="s">
        <v>2179</v>
      </c>
      <c r="AZ138" t="s">
        <v>3016</v>
      </c>
    </row>
    <row r="139" spans="19:52" x14ac:dyDescent="0.25">
      <c r="S139" t="s">
        <v>526</v>
      </c>
      <c r="W139" t="str">
        <f>mapPRC!A211</f>
        <v>ERSOLPINF-N</v>
      </c>
      <c r="X139" t="str">
        <f>IFERROR(INDEX($AS$7:$AS$88,MATCH(mapPRC!C211,$AR$7:$AR$88,0)),"")</f>
        <v>elec</v>
      </c>
      <c r="AA139" t="str">
        <f>mapCOM!A155</f>
        <v>IFBL</v>
      </c>
      <c r="AB139" t="str">
        <f t="shared" si="3"/>
        <v/>
      </c>
      <c r="AY139" t="s">
        <v>2177</v>
      </c>
      <c r="AZ139" t="s">
        <v>3016</v>
      </c>
    </row>
    <row r="140" spans="19:52" x14ac:dyDescent="0.25">
      <c r="S140" t="s">
        <v>540</v>
      </c>
      <c r="W140" t="str">
        <f>mapPRC!A212</f>
        <v>ERSOLPINM-N</v>
      </c>
      <c r="X140" t="str">
        <f>IFERROR(INDEX($AS$7:$AS$88,MATCH(mapPRC!C212,$AR$7:$AR$88,0)),"")</f>
        <v>elec</v>
      </c>
      <c r="AA140" t="str">
        <f>mapCOM!A156</f>
        <v>IFBO</v>
      </c>
      <c r="AB140" t="str">
        <f t="shared" si="3"/>
        <v/>
      </c>
      <c r="AY140" t="s">
        <v>2176</v>
      </c>
      <c r="AZ140" t="s">
        <v>3016</v>
      </c>
    </row>
    <row r="141" spans="19:52" x14ac:dyDescent="0.25">
      <c r="S141" t="s">
        <v>529</v>
      </c>
      <c r="W141" t="str">
        <f>mapPRC!A213</f>
        <v>ERSOLPIOT-N</v>
      </c>
      <c r="X141" t="str">
        <f>IFERROR(INDEX($AS$7:$AS$88,MATCH(mapPRC!C213,$AR$7:$AR$88,0)),"")</f>
        <v>elec</v>
      </c>
      <c r="AA141" t="str">
        <f>mapCOM!A157</f>
        <v>IFBP</v>
      </c>
      <c r="AB141" t="str">
        <f t="shared" si="3"/>
        <v/>
      </c>
      <c r="AY141" t="s">
        <v>2173</v>
      </c>
      <c r="AZ141" t="s">
        <v>3016</v>
      </c>
    </row>
    <row r="142" spans="19:52" x14ac:dyDescent="0.25">
      <c r="S142" t="s">
        <v>461</v>
      </c>
      <c r="W142" t="str">
        <f>mapPRC!A214</f>
        <v>ERSOLPIPP-N</v>
      </c>
      <c r="X142" t="str">
        <f>IFERROR(INDEX($AS$7:$AS$88,MATCH(mapPRC!C214,$AR$7:$AR$88,0)),"")</f>
        <v>elec</v>
      </c>
      <c r="AA142" t="str">
        <f>mapCOM!A158</f>
        <v>IFBS</v>
      </c>
      <c r="AB142" t="str">
        <f t="shared" si="3"/>
        <v/>
      </c>
      <c r="AY142" t="s">
        <v>2171</v>
      </c>
      <c r="AZ142" t="s">
        <v>3016</v>
      </c>
    </row>
    <row r="143" spans="19:52" x14ac:dyDescent="0.25">
      <c r="S143" t="s">
        <v>1787</v>
      </c>
      <c r="W143" t="str">
        <f>mapPRC!A215</f>
        <v>ERSOLPRC-N</v>
      </c>
      <c r="X143" t="str">
        <f>IFERROR(INDEX($AS$7:$AS$88,MATCH(mapPRC!C215,$AR$7:$AR$88,0)),"")</f>
        <v>elec</v>
      </c>
      <c r="AA143" t="str">
        <f>mapCOM!A159</f>
        <v>IISBIO</v>
      </c>
      <c r="AB143" t="str">
        <f t="shared" si="3"/>
        <v/>
      </c>
      <c r="AY143" t="s">
        <v>2170</v>
      </c>
      <c r="AZ143" t="s">
        <v>3016</v>
      </c>
    </row>
    <row r="144" spans="19:52" x14ac:dyDescent="0.25">
      <c r="S144" t="s">
        <v>721</v>
      </c>
      <c r="W144" t="str">
        <f>mapPRC!A216</f>
        <v>ERSOLPRI-N</v>
      </c>
      <c r="X144" t="str">
        <f>IFERROR(INDEX($AS$7:$AS$88,MATCH(mapPRC!C216,$AR$7:$AR$88,0)),"")</f>
        <v>elec</v>
      </c>
      <c r="AA144" t="str">
        <f>mapCOM!A160</f>
        <v>IISCKC</v>
      </c>
      <c r="AB144" t="str">
        <f t="shared" si="3"/>
        <v/>
      </c>
      <c r="AY144" t="s">
        <v>2166</v>
      </c>
      <c r="AZ144" t="s">
        <v>3016</v>
      </c>
    </row>
    <row r="145" spans="23:52" x14ac:dyDescent="0.25">
      <c r="W145" t="str">
        <f>mapPRC!A217</f>
        <v>ERSOLPRR-N</v>
      </c>
      <c r="X145" t="str">
        <f>IFERROR(INDEX($AS$7:$AS$88,MATCH(mapPRC!C217,$AR$7:$AR$88,0)),"")</f>
        <v>elec</v>
      </c>
      <c r="AA145" t="str">
        <f>mapCOM!A161</f>
        <v>IISCKE</v>
      </c>
      <c r="AB145" t="str">
        <f t="shared" si="3"/>
        <v>ccoal-hgh</v>
      </c>
      <c r="AY145" t="s">
        <v>2164</v>
      </c>
      <c r="AZ145" t="s">
        <v>3016</v>
      </c>
    </row>
    <row r="146" spans="23:52" x14ac:dyDescent="0.25">
      <c r="W146" t="str">
        <f>mapPRC!A218</f>
        <v>ERSOLTC03-N</v>
      </c>
      <c r="X146" t="str">
        <f>IFERROR(INDEX($AS$7:$AS$88,MATCH(mapPRC!C218,$AR$7:$AR$88,0)),"")</f>
        <v>elec</v>
      </c>
      <c r="AA146" t="str">
        <f>mapCOM!A162</f>
        <v>IISCO2</v>
      </c>
      <c r="AB146" t="str">
        <f t="shared" si="3"/>
        <v/>
      </c>
      <c r="AY146" t="s">
        <v>2162</v>
      </c>
      <c r="AZ146" t="s">
        <v>3016</v>
      </c>
    </row>
    <row r="147" spans="23:52" x14ac:dyDescent="0.25">
      <c r="W147" t="str">
        <f>mapPRC!A219</f>
        <v>ERSOLTC06-N</v>
      </c>
      <c r="X147" t="str">
        <f>IFERROR(INDEX($AS$7:$AS$88,MATCH(mapPRC!C219,$AR$7:$AR$88,0)),"")</f>
        <v>elec</v>
      </c>
      <c r="AA147" t="str">
        <f>mapCOM!A163</f>
        <v>IISCOA</v>
      </c>
      <c r="AB147" t="str">
        <f t="shared" si="3"/>
        <v>ccoal-hgh</v>
      </c>
      <c r="AY147" t="s">
        <v>2160</v>
      </c>
      <c r="AZ147" t="s">
        <v>3019</v>
      </c>
    </row>
    <row r="148" spans="23:52" x14ac:dyDescent="0.25">
      <c r="W148" t="str">
        <f>mapPRC!A220</f>
        <v>ERSOLTC09C-N</v>
      </c>
      <c r="X148" t="str">
        <f>IFERROR(INDEX($AS$7:$AS$88,MATCH(mapPRC!C220,$AR$7:$AR$88,0)),"")</f>
        <v>elec</v>
      </c>
      <c r="AA148" t="str">
        <f>mapCOM!A164</f>
        <v>IISCOG</v>
      </c>
      <c r="AB148" t="str">
        <f t="shared" si="3"/>
        <v/>
      </c>
      <c r="AY148" t="s">
        <v>2158</v>
      </c>
      <c r="AZ148" t="s">
        <v>3018</v>
      </c>
    </row>
    <row r="149" spans="23:52" x14ac:dyDescent="0.25">
      <c r="W149" t="str">
        <f>mapPRC!A221</f>
        <v>ERSOLTC09-N</v>
      </c>
      <c r="X149" t="str">
        <f>IFERROR(INDEX($AS$7:$AS$88,MATCH(mapPRC!C221,$AR$7:$AR$88,0)),"")</f>
        <v>elec</v>
      </c>
      <c r="AA149" t="str">
        <f>mapCOM!A165</f>
        <v>IISCRS</v>
      </c>
      <c r="AB149" t="str">
        <f t="shared" si="3"/>
        <v/>
      </c>
      <c r="AY149" t="s">
        <v>2156</v>
      </c>
      <c r="AZ149" t="s">
        <v>3017</v>
      </c>
    </row>
    <row r="150" spans="23:52" x14ac:dyDescent="0.25">
      <c r="W150" t="str">
        <f>mapPRC!A222</f>
        <v>ERSOLTC12-N</v>
      </c>
      <c r="X150" t="str">
        <f>IFERROR(INDEX($AS$7:$AS$88,MATCH(mapPRC!C222,$AR$7:$AR$88,0)),"")</f>
        <v>elec</v>
      </c>
      <c r="AA150" t="str">
        <f>mapCOM!A166</f>
        <v>IISELC</v>
      </c>
      <c r="AB150" t="str">
        <f t="shared" si="3"/>
        <v>celec</v>
      </c>
      <c r="AY150" t="s">
        <v>2154</v>
      </c>
      <c r="AZ150" t="s">
        <v>3016</v>
      </c>
    </row>
    <row r="151" spans="23:52" x14ac:dyDescent="0.25">
      <c r="W151" t="str">
        <f>mapPRC!A223</f>
        <v>ERSOLTC14-N</v>
      </c>
      <c r="X151" t="str">
        <f>IFERROR(INDEX($AS$7:$AS$88,MATCH(mapPRC!C223,$AR$7:$AR$88,0)),"")</f>
        <v>elec</v>
      </c>
      <c r="AA151" t="str">
        <f>mapCOM!A167</f>
        <v>IISGAS</v>
      </c>
      <c r="AB151" t="str">
        <f t="shared" si="3"/>
        <v>cngas</v>
      </c>
      <c r="AY151" t="s">
        <v>2152</v>
      </c>
      <c r="AZ151" t="s">
        <v>3016</v>
      </c>
    </row>
    <row r="152" spans="23:52" x14ac:dyDescent="0.25">
      <c r="W152" t="str">
        <f>mapPRC!A224</f>
        <v>ERSOLTT00-N</v>
      </c>
      <c r="X152" t="str">
        <f>IFERROR(INDEX($AS$7:$AS$88,MATCH(mapPRC!C224,$AR$7:$AR$88,0)),"")</f>
        <v>elec</v>
      </c>
      <c r="AA152" t="str">
        <f>mapCOM!A168</f>
        <v>IISHBI</v>
      </c>
      <c r="AB152" t="str">
        <f t="shared" si="3"/>
        <v/>
      </c>
      <c r="AY152" t="s">
        <v>2150</v>
      </c>
      <c r="AZ152" t="s">
        <v>3016</v>
      </c>
    </row>
    <row r="153" spans="23:52" x14ac:dyDescent="0.25">
      <c r="W153" t="str">
        <f>mapPRC!A225</f>
        <v>ERSOLTT03-N</v>
      </c>
      <c r="X153" t="str">
        <f>IFERROR(INDEX($AS$7:$AS$88,MATCH(mapPRC!C225,$AR$7:$AR$88,0)),"")</f>
        <v>elec</v>
      </c>
      <c r="AA153" t="str">
        <f>mapCOM!A169</f>
        <v>IISHGCRS</v>
      </c>
      <c r="AB153" t="str">
        <f t="shared" si="3"/>
        <v/>
      </c>
      <c r="AY153" t="s">
        <v>2148</v>
      </c>
      <c r="AZ153" t="s">
        <v>3021</v>
      </c>
    </row>
    <row r="154" spans="23:52" x14ac:dyDescent="0.25">
      <c r="W154" t="str">
        <f>mapPRC!A226</f>
        <v>ERSOLTT06-N</v>
      </c>
      <c r="X154" t="str">
        <f>IFERROR(INDEX($AS$7:$AS$88,MATCH(mapPRC!C226,$AR$7:$AR$88,0)),"")</f>
        <v>elec</v>
      </c>
      <c r="AA154" t="str">
        <f>mapCOM!A170</f>
        <v>IISHHELC</v>
      </c>
      <c r="AB154" t="str">
        <f t="shared" si="3"/>
        <v>celec</v>
      </c>
      <c r="AY154" t="s">
        <v>2146</v>
      </c>
      <c r="AZ154" t="s">
        <v>3021</v>
      </c>
    </row>
    <row r="155" spans="23:52" x14ac:dyDescent="0.25">
      <c r="W155" t="str">
        <f>mapPRC!A227</f>
        <v>ERSOLTT09-N</v>
      </c>
      <c r="X155" t="str">
        <f>IFERROR(INDEX($AS$7:$AS$88,MATCH(mapPRC!C227,$AR$7:$AR$88,0)),"")</f>
        <v>elec</v>
      </c>
      <c r="AA155" t="str">
        <f>mapCOM!A171</f>
        <v>IISHHGN</v>
      </c>
      <c r="AB155" t="str">
        <f t="shared" si="3"/>
        <v>chydr</v>
      </c>
      <c r="AY155" t="s">
        <v>2144</v>
      </c>
      <c r="AZ155" t="s">
        <v>3016</v>
      </c>
    </row>
    <row r="156" spans="23:52" x14ac:dyDescent="0.25">
      <c r="W156" t="str">
        <f>mapPRC!A228</f>
        <v>ERWNDH-N</v>
      </c>
      <c r="X156" t="str">
        <f>IFERROR(INDEX($AS$7:$AS$88,MATCH(mapPRC!C228,$AR$7:$AR$88,0)),"")</f>
        <v>elec</v>
      </c>
      <c r="AA156" t="str">
        <f>mapCOM!A172</f>
        <v>IISHOXY</v>
      </c>
      <c r="AB156" t="str">
        <f t="shared" si="3"/>
        <v/>
      </c>
      <c r="AY156" t="s">
        <v>2142</v>
      </c>
      <c r="AZ156" t="s">
        <v>3016</v>
      </c>
    </row>
    <row r="157" spans="23:52" x14ac:dyDescent="0.25">
      <c r="W157" t="str">
        <f>mapPRC!A229</f>
        <v>ERWNDM-N</v>
      </c>
      <c r="X157" t="str">
        <f>IFERROR(INDEX($AS$7:$AS$88,MATCH(mapPRC!C229,$AR$7:$AR$88,0)),"")</f>
        <v>elec</v>
      </c>
      <c r="AA157" t="str">
        <f>mapCOM!A173</f>
        <v>IISOIL</v>
      </c>
      <c r="AB157" t="str">
        <f t="shared" si="3"/>
        <v>cpetr_o</v>
      </c>
      <c r="AY157" t="s">
        <v>2140</v>
      </c>
      <c r="AZ157" t="s">
        <v>3016</v>
      </c>
    </row>
    <row r="158" spans="23:52" x14ac:dyDescent="0.25">
      <c r="W158" t="str">
        <f>mapPRC!A230</f>
        <v>ESTSCOM</v>
      </c>
      <c r="X158" t="str">
        <f>IFERROR(INDEX($AS$7:$AS$88,MATCH(mapPRC!C230,$AR$7:$AR$88,0)),"")</f>
        <v>elec</v>
      </c>
      <c r="AA158" t="str">
        <f>mapCOM!A174</f>
        <v>IISOLP</v>
      </c>
      <c r="AB158" t="str">
        <f t="shared" si="3"/>
        <v>cpetr_o</v>
      </c>
      <c r="AY158" t="s">
        <v>2075</v>
      </c>
      <c r="AZ158" t="s">
        <v>3016</v>
      </c>
    </row>
    <row r="159" spans="23:52" x14ac:dyDescent="0.25">
      <c r="W159" t="str">
        <f>mapPRC!A231</f>
        <v>ESTSICP</v>
      </c>
      <c r="X159" t="str">
        <f>IFERROR(INDEX($AS$7:$AS$88,MATCH(mapPRC!C231,$AR$7:$AR$88,0)),"")</f>
        <v>elec</v>
      </c>
      <c r="AA159" t="str">
        <f>mapCOM!A175</f>
        <v>IISSSC</v>
      </c>
      <c r="AB159" t="str">
        <f t="shared" si="3"/>
        <v/>
      </c>
      <c r="AY159" t="s">
        <v>2136</v>
      </c>
      <c r="AZ159" t="s">
        <v>3016</v>
      </c>
    </row>
    <row r="160" spans="23:52" x14ac:dyDescent="0.25">
      <c r="W160" t="str">
        <f>mapPRC!A232</f>
        <v>ESTSIFA</v>
      </c>
      <c r="X160" t="str">
        <f>IFERROR(INDEX($AS$7:$AS$88,MATCH(mapPRC!C232,$AR$7:$AR$88,0)),"")</f>
        <v>elec</v>
      </c>
      <c r="AA160" t="str">
        <f>mapCOM!A176</f>
        <v>IISWAS</v>
      </c>
      <c r="AB160" t="str">
        <f t="shared" si="3"/>
        <v/>
      </c>
      <c r="AY160" t="s">
        <v>2134</v>
      </c>
      <c r="AZ160" t="s">
        <v>3016</v>
      </c>
    </row>
    <row r="161" spans="23:52" x14ac:dyDescent="0.25">
      <c r="W161" t="str">
        <f>mapPRC!A233</f>
        <v>ESTSIFB</v>
      </c>
      <c r="X161" t="str">
        <f>IFERROR(INDEX($AS$7:$AS$88,MATCH(mapPRC!C233,$AR$7:$AR$88,0)),"")</f>
        <v>elec</v>
      </c>
      <c r="AA161" t="str">
        <f>mapCOM!A177</f>
        <v>IMECOA</v>
      </c>
      <c r="AB161" t="str">
        <f t="shared" si="3"/>
        <v/>
      </c>
      <c r="AY161" t="s">
        <v>2132</v>
      </c>
      <c r="AZ161" t="s">
        <v>3016</v>
      </c>
    </row>
    <row r="162" spans="23:52" x14ac:dyDescent="0.25">
      <c r="W162" t="str">
        <f>mapPRC!A234</f>
        <v>ESTSIIS</v>
      </c>
      <c r="X162" t="str">
        <f>IFERROR(INDEX($AS$7:$AS$88,MATCH(mapPRC!C234,$AR$7:$AR$88,0)),"")</f>
        <v>elec</v>
      </c>
      <c r="AA162" t="str">
        <f>mapCOM!A178</f>
        <v>IMIA</v>
      </c>
      <c r="AB162" t="str">
        <f t="shared" si="3"/>
        <v/>
      </c>
      <c r="AY162" t="s">
        <v>2130</v>
      </c>
      <c r="AZ162" t="s">
        <v>3018</v>
      </c>
    </row>
    <row r="163" spans="23:52" x14ac:dyDescent="0.25">
      <c r="W163" t="str">
        <f>mapPRC!A235</f>
        <v>ESTSINF</v>
      </c>
      <c r="X163" t="str">
        <f>IFERROR(INDEX($AS$7:$AS$88,MATCH(mapPRC!C235,$AR$7:$AR$88,0)),"")</f>
        <v>elec</v>
      </c>
      <c r="AA163" t="str">
        <f>mapCOM!A179</f>
        <v>IMIC</v>
      </c>
      <c r="AB163" t="str">
        <f t="shared" si="3"/>
        <v/>
      </c>
      <c r="AY163" t="s">
        <v>2129</v>
      </c>
      <c r="AZ163" t="s">
        <v>3017</v>
      </c>
    </row>
    <row r="164" spans="23:52" x14ac:dyDescent="0.25">
      <c r="W164" t="str">
        <f>mapPRC!A236</f>
        <v>ESTSINM</v>
      </c>
      <c r="X164" t="str">
        <f>IFERROR(INDEX($AS$7:$AS$88,MATCH(mapPRC!C236,$AR$7:$AR$88,0)),"")</f>
        <v>elec</v>
      </c>
      <c r="AA164" t="str">
        <f>mapCOM!A180</f>
        <v>IMIE</v>
      </c>
      <c r="AB164" t="str">
        <f t="shared" si="3"/>
        <v/>
      </c>
      <c r="AY164" t="s">
        <v>2128</v>
      </c>
      <c r="AZ164" t="s">
        <v>3024</v>
      </c>
    </row>
    <row r="165" spans="23:52" x14ac:dyDescent="0.25">
      <c r="W165" t="str">
        <f>mapPRC!A237</f>
        <v>ESTSIOT</v>
      </c>
      <c r="X165" t="str">
        <f>IFERROR(INDEX($AS$7:$AS$88,MATCH(mapPRC!C237,$AR$7:$AR$88,0)),"")</f>
        <v>elec</v>
      </c>
      <c r="AA165" t="str">
        <f>mapCOM!A181</f>
        <v>IMIELC</v>
      </c>
      <c r="AB165" t="str">
        <f t="shared" si="3"/>
        <v>celec</v>
      </c>
      <c r="AY165" t="s">
        <v>2127</v>
      </c>
      <c r="AZ165" t="s">
        <v>3016</v>
      </c>
    </row>
    <row r="166" spans="23:52" x14ac:dyDescent="0.25">
      <c r="W166" t="str">
        <f>mapPRC!A238</f>
        <v>ESTSIPP</v>
      </c>
      <c r="X166" t="str">
        <f>IFERROR(INDEX($AS$7:$AS$88,MATCH(mapPRC!C238,$AR$7:$AR$88,0)),"")</f>
        <v>elec</v>
      </c>
      <c r="AA166" t="str">
        <f>mapCOM!A182</f>
        <v>IMIF</v>
      </c>
      <c r="AB166" t="str">
        <f t="shared" si="3"/>
        <v/>
      </c>
      <c r="AY166" t="s">
        <v>2125</v>
      </c>
      <c r="AZ166" t="s">
        <v>3016</v>
      </c>
    </row>
    <row r="167" spans="23:52" x14ac:dyDescent="0.25">
      <c r="W167" t="str">
        <f>mapPRC!A239</f>
        <v>ESTSRES</v>
      </c>
      <c r="X167" t="str">
        <f>IFERROR(INDEX($AS$7:$AS$88,MATCH(mapPRC!C239,$AR$7:$AR$88,0)),"")</f>
        <v>elec</v>
      </c>
      <c r="AA167" t="str">
        <f>mapCOM!A183</f>
        <v>IMIGAS</v>
      </c>
      <c r="AB167" t="str">
        <f t="shared" si="3"/>
        <v>cngas</v>
      </c>
      <c r="AY167" t="s">
        <v>2123</v>
      </c>
      <c r="AZ167" t="s">
        <v>3016</v>
      </c>
    </row>
    <row r="168" spans="23:52" x14ac:dyDescent="0.25">
      <c r="W168" t="str">
        <f>mapPRC!A240</f>
        <v>ESTSUTL</v>
      </c>
      <c r="X168" t="str">
        <f>IFERROR(INDEX($AS$7:$AS$88,MATCH(mapPRC!C240,$AR$7:$AR$88,0)),"")</f>
        <v>elec</v>
      </c>
      <c r="AA168" t="str">
        <f>mapCOM!A184</f>
        <v>IMIH</v>
      </c>
      <c r="AB168" t="str">
        <f t="shared" si="3"/>
        <v/>
      </c>
      <c r="AY168" t="s">
        <v>2121</v>
      </c>
      <c r="AZ168" t="s">
        <v>3021</v>
      </c>
    </row>
    <row r="169" spans="23:52" x14ac:dyDescent="0.25">
      <c r="W169" t="str">
        <f>mapPRC!A241</f>
        <v>ETCLDFB-N</v>
      </c>
      <c r="X169" t="str">
        <f>IFERROR(INDEX($AS$7:$AS$88,MATCH(mapPRC!C241,$AR$7:$AR$88,0)),"")</f>
        <v>elec</v>
      </c>
      <c r="AA169" t="str">
        <f>mapCOM!A185</f>
        <v>IMIK</v>
      </c>
      <c r="AB169" t="str">
        <f t="shared" si="3"/>
        <v/>
      </c>
      <c r="AY169" t="s">
        <v>2118</v>
      </c>
      <c r="AZ169" t="s">
        <v>3020</v>
      </c>
    </row>
    <row r="170" spans="23:52" x14ac:dyDescent="0.25">
      <c r="W170" t="str">
        <f>mapPRC!A242</f>
        <v>ETCLEARNO-E</v>
      </c>
      <c r="X170" t="str">
        <f>IFERROR(INDEX($AS$7:$AS$88,MATCH(mapPRC!C242,$AR$7:$AR$88,0)),"")</f>
        <v>elec</v>
      </c>
      <c r="AA170" t="str">
        <f>mapCOM!A186</f>
        <v>IMIL</v>
      </c>
      <c r="AB170" t="str">
        <f t="shared" si="3"/>
        <v/>
      </c>
      <c r="AY170" t="s">
        <v>2117</v>
      </c>
      <c r="AZ170" t="s">
        <v>3026</v>
      </c>
    </row>
    <row r="171" spans="23:52" x14ac:dyDescent="0.25">
      <c r="W171" t="str">
        <f>mapPRC!A243</f>
        <v>ETCLECAMD-E</v>
      </c>
      <c r="X171" t="str">
        <f>IFERROR(INDEX($AS$7:$AS$88,MATCH(mapPRC!C243,$AR$7:$AR$88,0)),"")</f>
        <v>elec</v>
      </c>
      <c r="AA171" t="str">
        <f>mapCOM!A187</f>
        <v>IMIO</v>
      </c>
      <c r="AB171" t="str">
        <f t="shared" si="3"/>
        <v/>
      </c>
      <c r="AY171" t="s">
        <v>2116</v>
      </c>
      <c r="AZ171" t="s">
        <v>3021</v>
      </c>
    </row>
    <row r="172" spans="23:52" x14ac:dyDescent="0.25">
      <c r="W172" t="str">
        <f>mapPRC!A244</f>
        <v>ETCLEDUVH-E</v>
      </c>
      <c r="X172" t="str">
        <f>IFERROR(INDEX($AS$7:$AS$88,MATCH(mapPRC!C244,$AR$7:$AR$88,0)),"")</f>
        <v>elec</v>
      </c>
      <c r="AA172" t="str">
        <f>mapCOM!A188</f>
        <v>IMIP</v>
      </c>
      <c r="AB172" t="str">
        <f t="shared" si="3"/>
        <v/>
      </c>
      <c r="AY172" t="s">
        <v>2115</v>
      </c>
      <c r="AZ172" t="s">
        <v>3021</v>
      </c>
    </row>
    <row r="173" spans="23:52" x14ac:dyDescent="0.25">
      <c r="W173" t="str">
        <f>mapPRC!A245</f>
        <v>ETCLEGROO-E</v>
      </c>
      <c r="X173" t="str">
        <f>IFERROR(INDEX($AS$7:$AS$88,MATCH(mapPRC!C245,$AR$7:$AR$88,0)),"")</f>
        <v>elec</v>
      </c>
      <c r="AA173" t="str">
        <f>mapCOM!A189</f>
        <v>IMIR</v>
      </c>
      <c r="AB173" t="str">
        <f t="shared" si="3"/>
        <v/>
      </c>
      <c r="AY173" t="s">
        <v>2113</v>
      </c>
      <c r="AZ173" t="s">
        <v>3016</v>
      </c>
    </row>
    <row r="174" spans="23:52" x14ac:dyDescent="0.25">
      <c r="W174" t="str">
        <f>mapPRC!A246</f>
        <v>ETCLEHEND-E</v>
      </c>
      <c r="X174" t="str">
        <f>IFERROR(INDEX($AS$7:$AS$88,MATCH(mapPRC!C246,$AR$7:$AR$88,0)),"")</f>
        <v>elec</v>
      </c>
      <c r="AA174" t="str">
        <f>mapCOM!A190</f>
        <v>IMIS</v>
      </c>
      <c r="AB174" t="str">
        <f t="shared" si="3"/>
        <v/>
      </c>
      <c r="AY174" t="s">
        <v>2111</v>
      </c>
      <c r="AZ174" t="s">
        <v>3016</v>
      </c>
    </row>
    <row r="175" spans="23:52" x14ac:dyDescent="0.25">
      <c r="W175" t="str">
        <f>mapPRC!A247</f>
        <v>ETCLEIG-N</v>
      </c>
      <c r="X175" t="str">
        <f>IFERROR(INDEX($AS$7:$AS$88,MATCH(mapPRC!C247,$AR$7:$AR$88,0)),"")</f>
        <v>elec</v>
      </c>
      <c r="AA175" t="str">
        <f>mapCOM!A191</f>
        <v>INDBIB</v>
      </c>
      <c r="AB175" t="str">
        <f t="shared" si="3"/>
        <v/>
      </c>
      <c r="AY175" t="s">
        <v>2109</v>
      </c>
      <c r="AZ175" t="s">
        <v>3016</v>
      </c>
    </row>
    <row r="176" spans="23:52" x14ac:dyDescent="0.25">
      <c r="W176" t="str">
        <f>mapPRC!A248</f>
        <v>ETCLEKELB-E</v>
      </c>
      <c r="X176" t="str">
        <f>IFERROR(INDEX($AS$7:$AS$88,MATCH(mapPRC!C248,$AR$7:$AR$88,0)),"")</f>
        <v>elec</v>
      </c>
      <c r="AA176" t="str">
        <f>mapCOM!A192</f>
        <v>INDBIW</v>
      </c>
      <c r="AB176" t="str">
        <f t="shared" si="3"/>
        <v/>
      </c>
      <c r="AY176" t="s">
        <v>2108</v>
      </c>
      <c r="AZ176" t="s">
        <v>3016</v>
      </c>
    </row>
    <row r="177" spans="23:52" x14ac:dyDescent="0.25">
      <c r="W177" t="str">
        <f>mapPRC!A249</f>
        <v>ETCLEKEND-E</v>
      </c>
      <c r="X177" t="str">
        <f>IFERROR(INDEX($AS$7:$AS$88,MATCH(mapPRC!C249,$AR$7:$AR$88,0)),"")</f>
        <v>elec</v>
      </c>
      <c r="AA177" t="str">
        <f>mapCOM!A193</f>
        <v>INDCF46P</v>
      </c>
      <c r="AB177" t="str">
        <f t="shared" si="3"/>
        <v/>
      </c>
      <c r="AY177" t="s">
        <v>2107</v>
      </c>
      <c r="AZ177" t="s">
        <v>3016</v>
      </c>
    </row>
    <row r="178" spans="23:52" x14ac:dyDescent="0.25">
      <c r="W178" t="str">
        <f>mapPRC!A250</f>
        <v>ETCLEKOMA-E</v>
      </c>
      <c r="X178" t="str">
        <f>IFERROR(INDEX($AS$7:$AS$88,MATCH(mapPRC!C250,$AR$7:$AR$88,0)),"")</f>
        <v>elec</v>
      </c>
      <c r="AA178" t="str">
        <f>mapCOM!A194</f>
        <v>INDCH4</v>
      </c>
      <c r="AB178" t="str">
        <f t="shared" si="3"/>
        <v/>
      </c>
      <c r="AY178" t="s">
        <v>2104</v>
      </c>
      <c r="AZ178" t="s">
        <v>3023</v>
      </c>
    </row>
    <row r="179" spans="23:52" x14ac:dyDescent="0.25">
      <c r="W179" t="str">
        <f>mapPRC!A251</f>
        <v>ETCLEKRIE-E</v>
      </c>
      <c r="X179" t="str">
        <f>IFERROR(INDEX($AS$7:$AS$88,MATCH(mapPRC!C251,$AR$7:$AR$88,0)),"")</f>
        <v>elec</v>
      </c>
      <c r="AA179" t="str">
        <f>mapCOM!A195</f>
        <v>INDCH4S</v>
      </c>
      <c r="AB179" t="str">
        <f t="shared" si="3"/>
        <v/>
      </c>
      <c r="AY179" t="s">
        <v>2103</v>
      </c>
      <c r="AZ179" t="s">
        <v>3016</v>
      </c>
    </row>
    <row r="180" spans="23:52" x14ac:dyDescent="0.25">
      <c r="W180" t="str">
        <f>mapPRC!A252</f>
        <v>ETCLEKUSI-N</v>
      </c>
      <c r="X180" t="str">
        <f>IFERROR(INDEX($AS$7:$AS$88,MATCH(mapPRC!C252,$AR$7:$AR$88,0)),"")</f>
        <v>elec</v>
      </c>
      <c r="AA180" t="str">
        <f>mapCOM!A196</f>
        <v>INDCKC</v>
      </c>
      <c r="AB180" t="str">
        <f t="shared" si="3"/>
        <v/>
      </c>
      <c r="AY180" t="s">
        <v>2100</v>
      </c>
      <c r="AZ180" t="s">
        <v>3016</v>
      </c>
    </row>
    <row r="181" spans="23:52" x14ac:dyDescent="0.25">
      <c r="W181" t="str">
        <f>mapPRC!A253</f>
        <v>ETCLELETH-E</v>
      </c>
      <c r="X181" t="str">
        <f>IFERROR(INDEX($AS$7:$AS$88,MATCH(mapPRC!C253,$AR$7:$AR$88,0)),"")</f>
        <v>elec</v>
      </c>
      <c r="AA181" t="str">
        <f>mapCOM!A197</f>
        <v>INDCLE</v>
      </c>
      <c r="AB181" t="str">
        <f t="shared" si="3"/>
        <v>ccoal-low</v>
      </c>
      <c r="AY181" t="s">
        <v>2097</v>
      </c>
      <c r="AZ181" t="s">
        <v>3018</v>
      </c>
    </row>
    <row r="182" spans="23:52" x14ac:dyDescent="0.25">
      <c r="W182" t="str">
        <f>mapPRC!A254</f>
        <v>ETCLEMAJD-E</v>
      </c>
      <c r="X182" t="str">
        <f>IFERROR(INDEX($AS$7:$AS$88,MATCH(mapPRC!C254,$AR$7:$AR$88,0)),"")</f>
        <v>elec</v>
      </c>
      <c r="AA182" t="str">
        <f>mapCOM!A198</f>
        <v>INDCMOX</v>
      </c>
      <c r="AB182" t="str">
        <f t="shared" si="3"/>
        <v/>
      </c>
      <c r="AY182" t="s">
        <v>2096</v>
      </c>
      <c r="AZ182" t="s">
        <v>3017</v>
      </c>
    </row>
    <row r="183" spans="23:52" x14ac:dyDescent="0.25">
      <c r="W183" t="str">
        <f>mapPRC!A255</f>
        <v>ETCLEMAJW-E</v>
      </c>
      <c r="X183" t="str">
        <f>IFERROR(INDEX($AS$7:$AS$88,MATCH(mapPRC!C255,$AR$7:$AR$88,0)),"")</f>
        <v>elec</v>
      </c>
      <c r="AA183" t="str">
        <f>mapCOM!A199</f>
        <v>INDCO2</v>
      </c>
      <c r="AB183" t="str">
        <f t="shared" si="3"/>
        <v/>
      </c>
      <c r="AY183" t="s">
        <v>2095</v>
      </c>
      <c r="AZ183" t="s">
        <v>3017</v>
      </c>
    </row>
    <row r="184" spans="23:52" x14ac:dyDescent="0.25">
      <c r="W184" t="str">
        <f>mapPRC!A256</f>
        <v>ETCLEMATI-E</v>
      </c>
      <c r="X184" t="str">
        <f>IFERROR(INDEX($AS$7:$AS$88,MATCH(mapPRC!C256,$AR$7:$AR$88,0)),"")</f>
        <v>elec</v>
      </c>
      <c r="AA184" t="str">
        <f>mapCOM!A200</f>
        <v>INDCO2S</v>
      </c>
      <c r="AB184" t="str">
        <f t="shared" si="3"/>
        <v/>
      </c>
      <c r="AY184" t="s">
        <v>2094</v>
      </c>
      <c r="AZ184" t="s">
        <v>3016</v>
      </c>
    </row>
    <row r="185" spans="23:52" x14ac:dyDescent="0.25">
      <c r="W185" t="str">
        <f>mapPRC!A257</f>
        <v>ETCLEMATL-E</v>
      </c>
      <c r="X185" t="str">
        <f>IFERROR(INDEX($AS$7:$AS$88,MATCH(mapPRC!C257,$AR$7:$AR$88,0)),"")</f>
        <v>elec</v>
      </c>
      <c r="AA185" t="str">
        <f>mapCOM!A201</f>
        <v>INDCO2SP</v>
      </c>
      <c r="AB185" t="str">
        <f t="shared" si="3"/>
        <v/>
      </c>
      <c r="AY185" t="s">
        <v>2093</v>
      </c>
      <c r="AZ185" t="s">
        <v>3016</v>
      </c>
    </row>
    <row r="186" spans="23:52" x14ac:dyDescent="0.25">
      <c r="W186" t="str">
        <f>mapPRC!A258</f>
        <v>ETCLEMEDU-N</v>
      </c>
      <c r="X186" t="str">
        <f>IFERROR(INDEX($AS$7:$AS$88,MATCH(mapPRC!C258,$AR$7:$AR$88,0)),"")</f>
        <v>elec</v>
      </c>
      <c r="AA186" t="str">
        <f>mapCOM!A202</f>
        <v>INDCOA</v>
      </c>
      <c r="AB186" t="str">
        <f t="shared" si="3"/>
        <v>ccoal-hgh</v>
      </c>
      <c r="AY186" t="s">
        <v>2092</v>
      </c>
      <c r="AZ186" t="s">
        <v>3016</v>
      </c>
    </row>
    <row r="187" spans="23:52" x14ac:dyDescent="0.25">
      <c r="W187" t="str">
        <f>mapPRC!A259</f>
        <v>ETCLEPFSI-E</v>
      </c>
      <c r="X187" t="str">
        <f>IFERROR(INDEX($AS$7:$AS$88,MATCH(mapPRC!C259,$AR$7:$AR$88,0)),"")</f>
        <v>cp</v>
      </c>
      <c r="AA187" t="str">
        <f>mapCOM!A203</f>
        <v>INDCOK</v>
      </c>
      <c r="AB187" t="str">
        <f t="shared" si="3"/>
        <v/>
      </c>
      <c r="AY187" t="s">
        <v>2089</v>
      </c>
      <c r="AZ187" t="s">
        <v>3016</v>
      </c>
    </row>
    <row r="188" spans="23:52" x14ac:dyDescent="0.25">
      <c r="W188" t="str">
        <f>mapPRC!A260</f>
        <v>ETCLEPFSS-E</v>
      </c>
      <c r="X188" t="str">
        <f>IFERROR(INDEX($AS$7:$AS$88,MATCH(mapPRC!C260,$AR$7:$AR$88,0)),"")</f>
        <v>petr</v>
      </c>
      <c r="AA188" t="str">
        <f>mapCOM!A204</f>
        <v>INDELC</v>
      </c>
      <c r="AB188" t="str">
        <f t="shared" si="3"/>
        <v>celec</v>
      </c>
      <c r="AY188" t="s">
        <v>2086</v>
      </c>
      <c r="AZ188" t="s">
        <v>3016</v>
      </c>
    </row>
    <row r="189" spans="23:52" x14ac:dyDescent="0.25">
      <c r="W189" t="str">
        <f>mapPRC!A261</f>
        <v>ETCLETUTU-E</v>
      </c>
      <c r="X189" t="str">
        <f>IFERROR(INDEX($AS$7:$AS$88,MATCH(mapPRC!C261,$AR$7:$AR$88,0)),"")</f>
        <v>elec</v>
      </c>
      <c r="AA189" t="str">
        <f>mapCOM!A205</f>
        <v>INDGAS</v>
      </c>
      <c r="AB189" t="str">
        <f t="shared" si="3"/>
        <v>cngas</v>
      </c>
      <c r="AY189" t="s">
        <v>2083</v>
      </c>
      <c r="AZ189" t="s">
        <v>3025</v>
      </c>
    </row>
    <row r="190" spans="23:52" x14ac:dyDescent="0.25">
      <c r="W190" t="str">
        <f>mapPRC!A262</f>
        <v>ETCLEWATE-N</v>
      </c>
      <c r="X190" t="str">
        <f>IFERROR(INDEX($AS$7:$AS$88,MATCH(mapPRC!C262,$AR$7:$AR$88,0)),"")</f>
        <v>elec</v>
      </c>
      <c r="AA190" t="str">
        <f>mapCOM!A206</f>
        <v>INDN2O</v>
      </c>
      <c r="AB190" t="str">
        <f t="shared" si="3"/>
        <v/>
      </c>
      <c r="AY190" t="s">
        <v>2081</v>
      </c>
      <c r="AZ190" t="s">
        <v>3021</v>
      </c>
    </row>
    <row r="191" spans="23:52" x14ac:dyDescent="0.25">
      <c r="W191" t="str">
        <f>mapPRC!A263</f>
        <v>ETGASENSI-N</v>
      </c>
      <c r="X191" t="str">
        <f>IFERROR(INDEX($AS$7:$AS$88,MATCH(mapPRC!C263,$AR$7:$AR$88,0)),"")</f>
        <v>cp</v>
      </c>
      <c r="AA191" t="str">
        <f>mapCOM!A207</f>
        <v>INDN2OS</v>
      </c>
      <c r="AB191" t="str">
        <f t="shared" si="3"/>
        <v/>
      </c>
      <c r="AY191" t="s">
        <v>2080</v>
      </c>
      <c r="AZ191" t="s">
        <v>3016</v>
      </c>
    </row>
    <row r="192" spans="23:52" x14ac:dyDescent="0.25">
      <c r="W192" t="str">
        <f>mapPRC!A264</f>
        <v>ETGASENSS-N</v>
      </c>
      <c r="X192" t="str">
        <f>IFERROR(INDEX($AS$7:$AS$88,MATCH(mapPRC!C264,$AR$7:$AR$88,0)),"")</f>
        <v>petr</v>
      </c>
      <c r="AA192" t="str">
        <f>mapCOM!A208</f>
        <v>INDNMV</v>
      </c>
      <c r="AB192" t="str">
        <f t="shared" si="3"/>
        <v/>
      </c>
      <c r="AY192" t="s">
        <v>2077</v>
      </c>
      <c r="AZ192" t="s">
        <v>3016</v>
      </c>
    </row>
    <row r="193" spans="23:52" x14ac:dyDescent="0.25">
      <c r="W193" t="str">
        <f>mapPRC!A265</f>
        <v>ETGICCC-N</v>
      </c>
      <c r="X193" t="str">
        <f>IFERROR(INDEX($AS$7:$AS$88,MATCH(mapPRC!C265,$AR$7:$AR$88,0)),"")</f>
        <v>elec</v>
      </c>
      <c r="AA193" t="str">
        <f>mapCOM!A209</f>
        <v>INDNMVS</v>
      </c>
      <c r="AB193" t="str">
        <f t="shared" si="3"/>
        <v/>
      </c>
      <c r="AY193" t="s">
        <v>2074</v>
      </c>
      <c r="AZ193" t="s">
        <v>3016</v>
      </c>
    </row>
    <row r="194" spans="23:52" x14ac:dyDescent="0.25">
      <c r="W194" t="str">
        <f>mapPRC!A266</f>
        <v>ETGICEN-N</v>
      </c>
      <c r="X194" t="str">
        <f>IFERROR(INDEX($AS$7:$AS$88,MATCH(mapPRC!C266,$AR$7:$AR$88,0)),"")</f>
        <v>elec</v>
      </c>
      <c r="AA194" t="str">
        <f>mapCOM!A210</f>
        <v>INDNOX</v>
      </c>
      <c r="AB194" t="str">
        <f t="shared" si="3"/>
        <v/>
      </c>
      <c r="AY194" t="s">
        <v>2072</v>
      </c>
      <c r="AZ194" t="s">
        <v>3016</v>
      </c>
    </row>
    <row r="195" spans="23:52" x14ac:dyDescent="0.25">
      <c r="W195" t="str">
        <f>mapPRC!A267</f>
        <v>ETGICGT-N</v>
      </c>
      <c r="X195" t="str">
        <f>IFERROR(INDEX($AS$7:$AS$88,MATCH(mapPRC!C267,$AR$7:$AR$88,0)),"")</f>
        <v>elec</v>
      </c>
      <c r="AA195" t="str">
        <f>mapCOM!A211</f>
        <v>INDNOXS</v>
      </c>
      <c r="AB195" t="str">
        <f t="shared" si="3"/>
        <v/>
      </c>
      <c r="AY195" t="s">
        <v>2068</v>
      </c>
      <c r="AZ195" t="s">
        <v>3016</v>
      </c>
    </row>
    <row r="196" spans="23:52" x14ac:dyDescent="0.25">
      <c r="W196" t="str">
        <f>mapPRC!A268</f>
        <v>ETGIHCC-N</v>
      </c>
      <c r="X196" t="str">
        <f>IFERROR(INDEX($AS$7:$AS$88,MATCH(mapPRC!C268,$AR$7:$AR$88,0)),"")</f>
        <v>elec</v>
      </c>
      <c r="AA196" t="str">
        <f>mapCOM!A212</f>
        <v>INDODS</v>
      </c>
      <c r="AB196" t="str">
        <f t="shared" si="3"/>
        <v>cpetr_d</v>
      </c>
      <c r="AY196" t="s">
        <v>2067</v>
      </c>
      <c r="AZ196" t="s">
        <v>3016</v>
      </c>
    </row>
    <row r="197" spans="23:52" x14ac:dyDescent="0.25">
      <c r="W197" t="str">
        <f>mapPRC!A269</f>
        <v>ETGIHGT-N</v>
      </c>
      <c r="X197" t="str">
        <f>IFERROR(INDEX($AS$7:$AS$88,MATCH(mapPRC!C269,$AR$7:$AR$88,0)),"")</f>
        <v>elec</v>
      </c>
      <c r="AA197" t="str">
        <f>mapCOM!A213</f>
        <v>INDOGS</v>
      </c>
      <c r="AB197" t="str">
        <f t="shared" si="3"/>
        <v/>
      </c>
      <c r="AY197" t="s">
        <v>2064</v>
      </c>
      <c r="AZ197" t="s">
        <v>3016</v>
      </c>
    </row>
    <row r="198" spans="23:52" x14ac:dyDescent="0.25">
      <c r="W198" t="str">
        <f>mapPRC!A270</f>
        <v>ETGRMCC-N</v>
      </c>
      <c r="X198" t="str">
        <f>IFERROR(INDEX($AS$7:$AS$88,MATCH(mapPRC!C270,$AR$7:$AR$88,0)),"")</f>
        <v>elec</v>
      </c>
      <c r="AA198" t="str">
        <f>mapCOM!A214</f>
        <v>INDOHF</v>
      </c>
      <c r="AB198" t="str">
        <f t="shared" si="3"/>
        <v>cpetr_o</v>
      </c>
      <c r="AY198" t="s">
        <v>2062</v>
      </c>
      <c r="AZ198" t="s">
        <v>3016</v>
      </c>
    </row>
    <row r="199" spans="23:52" x14ac:dyDescent="0.25">
      <c r="W199" t="str">
        <f>mapPRC!A271</f>
        <v>ETGRNCC-I</v>
      </c>
      <c r="X199" t="str">
        <f>IFERROR(INDEX($AS$7:$AS$88,MATCH(mapPRC!C271,$AR$7:$AR$88,0)),"")</f>
        <v>imp</v>
      </c>
      <c r="AA199" t="str">
        <f>mapCOM!A215</f>
        <v>INDOLP</v>
      </c>
      <c r="AB199" t="str">
        <f t="shared" ref="AB199:AB262" si="4">INDEX($AZ$6:$AZ$784,MATCH(AA199,$AY$6:$AY$784,0))</f>
        <v>cpetr_o</v>
      </c>
      <c r="AY199" t="s">
        <v>2060</v>
      </c>
      <c r="AZ199" t="s">
        <v>3016</v>
      </c>
    </row>
    <row r="200" spans="23:52" x14ac:dyDescent="0.25">
      <c r="W200" t="str">
        <f>mapPRC!A272</f>
        <v>ETNUC-E</v>
      </c>
      <c r="X200" t="str">
        <f>IFERROR(INDEX($AS$7:$AS$88,MATCH(mapPRC!C272,$AR$7:$AR$88,0)),"")</f>
        <v>elec</v>
      </c>
      <c r="AA200" t="str">
        <f>mapCOM!A216</f>
        <v>INDP10S</v>
      </c>
      <c r="AB200" t="str">
        <f t="shared" si="4"/>
        <v/>
      </c>
      <c r="AY200" t="s">
        <v>2058</v>
      </c>
      <c r="AZ200" t="s">
        <v>3016</v>
      </c>
    </row>
    <row r="201" spans="23:52" x14ac:dyDescent="0.25">
      <c r="W201" t="str">
        <f>mapPRC!A273</f>
        <v>ETNUC-N</v>
      </c>
      <c r="X201" t="str">
        <f>IFERROR(INDEX($AS$7:$AS$88,MATCH(mapPRC!C273,$AR$7:$AR$88,0)),"")</f>
        <v>elec</v>
      </c>
      <c r="AA201" t="str">
        <f>mapCOM!A217</f>
        <v>INDPM10</v>
      </c>
      <c r="AB201" t="str">
        <f t="shared" si="4"/>
        <v/>
      </c>
      <c r="AY201" t="s">
        <v>2056</v>
      </c>
      <c r="AZ201" t="s">
        <v>3016</v>
      </c>
    </row>
    <row r="202" spans="23:52" x14ac:dyDescent="0.25">
      <c r="W202" t="str">
        <f>mapPRC!A274</f>
        <v>ETODSGT-E</v>
      </c>
      <c r="X202" t="str">
        <f>IFERROR(INDEX($AS$7:$AS$88,MATCH(mapPRC!C274,$AR$7:$AR$88,0)),"")</f>
        <v>elec</v>
      </c>
      <c r="AA202" t="str">
        <f>mapCOM!A218</f>
        <v>INDSOX</v>
      </c>
      <c r="AB202" t="str">
        <f t="shared" si="4"/>
        <v/>
      </c>
      <c r="AY202" t="s">
        <v>1858</v>
      </c>
      <c r="AZ202" t="s">
        <v>3016</v>
      </c>
    </row>
    <row r="203" spans="23:52" x14ac:dyDescent="0.25">
      <c r="W203" t="str">
        <f>mapPRC!A275</f>
        <v>ETODSGT-N</v>
      </c>
      <c r="X203" t="str">
        <f>IFERROR(INDEX($AS$7:$AS$88,MATCH(mapPRC!C275,$AR$7:$AR$88,0)),"")</f>
        <v>elec</v>
      </c>
      <c r="AA203" t="str">
        <f>mapCOM!A219</f>
        <v>INDSOXS</v>
      </c>
      <c r="AB203" t="str">
        <f t="shared" si="4"/>
        <v/>
      </c>
      <c r="AY203" t="s">
        <v>1856</v>
      </c>
      <c r="AZ203" t="s">
        <v>3016</v>
      </c>
    </row>
    <row r="204" spans="23:52" x14ac:dyDescent="0.25">
      <c r="W204" t="str">
        <f>mapPRC!A276</f>
        <v>ETRANS</v>
      </c>
      <c r="X204" t="str">
        <f>IFERROR(INDEX($AS$7:$AS$88,MATCH(mapPRC!C276,$AR$7:$AR$88,0)),"")</f>
        <v>elec</v>
      </c>
      <c r="AA204" t="str">
        <f>mapCOM!A220</f>
        <v>INDWAS</v>
      </c>
      <c r="AB204" t="str">
        <f t="shared" si="4"/>
        <v/>
      </c>
      <c r="AY204" t="s">
        <v>1854</v>
      </c>
      <c r="AZ204" t="s">
        <v>3016</v>
      </c>
    </row>
    <row r="205" spans="23:52" x14ac:dyDescent="0.25">
      <c r="W205" t="str">
        <f>mapPRC!A277</f>
        <v>ETRANSDUM</v>
      </c>
      <c r="X205" t="str">
        <f>IFERROR(INDEX($AS$7:$AS$88,MATCH(mapPRC!C277,$AR$7:$AR$88,0)),"")</f>
        <v>elec</v>
      </c>
      <c r="AA205" t="str">
        <f>mapCOM!A221</f>
        <v>INFA</v>
      </c>
      <c r="AB205" t="str">
        <f t="shared" si="4"/>
        <v/>
      </c>
      <c r="AY205" t="s">
        <v>1852</v>
      </c>
      <c r="AZ205" t="s">
        <v>3016</v>
      </c>
    </row>
    <row r="206" spans="23:52" x14ac:dyDescent="0.25">
      <c r="W206" t="str">
        <f>mapPRC!A278</f>
        <v>IALPOT</v>
      </c>
      <c r="X206" t="str">
        <f>IFERROR(INDEX($AS$7:$AS$88,MATCH(mapPRC!C278,$AR$7:$AR$88,0)),"")</f>
        <v>nf</v>
      </c>
      <c r="AA206" t="str">
        <f>mapCOM!A222</f>
        <v>INFC</v>
      </c>
      <c r="AB206" t="str">
        <f t="shared" si="4"/>
        <v/>
      </c>
      <c r="AY206" t="s">
        <v>1850</v>
      </c>
      <c r="AZ206" t="s">
        <v>3016</v>
      </c>
    </row>
    <row r="207" spans="23:52" x14ac:dyDescent="0.25">
      <c r="W207" t="str">
        <f>mapPRC!A279</f>
        <v>ICPAELC-E</v>
      </c>
      <c r="X207" t="str">
        <f>IFERROR(INDEX($AS$7:$AS$88,MATCH(mapPRC!C279,$AR$7:$AR$88,0)),"")</f>
        <v>cp</v>
      </c>
      <c r="AA207" t="str">
        <f>mapCOM!A223</f>
        <v>INFE</v>
      </c>
      <c r="AB207" t="str">
        <f t="shared" si="4"/>
        <v/>
      </c>
      <c r="AY207" t="s">
        <v>1985</v>
      </c>
      <c r="AZ207" t="s">
        <v>3016</v>
      </c>
    </row>
    <row r="208" spans="23:52" x14ac:dyDescent="0.25">
      <c r="W208" t="str">
        <f>mapPRC!A280</f>
        <v>ICPCELC-E</v>
      </c>
      <c r="X208" t="str">
        <f>IFERROR(INDEX($AS$7:$AS$88,MATCH(mapPRC!C280,$AR$7:$AR$88,0)),"")</f>
        <v>cp</v>
      </c>
      <c r="AA208" t="str">
        <f>mapCOM!A224</f>
        <v>INFELC</v>
      </c>
      <c r="AB208" t="str">
        <f t="shared" si="4"/>
        <v>celec</v>
      </c>
      <c r="AY208" t="s">
        <v>1984</v>
      </c>
      <c r="AZ208" t="s">
        <v>3016</v>
      </c>
    </row>
    <row r="209" spans="23:52" x14ac:dyDescent="0.25">
      <c r="W209" t="str">
        <f>mapPRC!A281</f>
        <v>ICPEELC-E</v>
      </c>
      <c r="X209" t="str">
        <f>IFERROR(INDEX($AS$7:$AS$88,MATCH(mapPRC!C281,$AR$7:$AR$88,0)),"")</f>
        <v>cp</v>
      </c>
      <c r="AA209" t="str">
        <f>mapCOM!A225</f>
        <v>INFF</v>
      </c>
      <c r="AB209" t="str">
        <f t="shared" si="4"/>
        <v/>
      </c>
      <c r="AY209" t="s">
        <v>1982</v>
      </c>
      <c r="AZ209" t="s">
        <v>3016</v>
      </c>
    </row>
    <row r="210" spans="23:52" x14ac:dyDescent="0.25">
      <c r="W210" t="str">
        <f>mapPRC!A282</f>
        <v>ICPFELC-E</v>
      </c>
      <c r="X210" t="str">
        <f>IFERROR(INDEX($AS$7:$AS$88,MATCH(mapPRC!C282,$AR$7:$AR$88,0)),"")</f>
        <v>cp</v>
      </c>
      <c r="AA210" t="str">
        <f>mapCOM!A226</f>
        <v>INFGAS</v>
      </c>
      <c r="AB210" t="str">
        <f t="shared" si="4"/>
        <v>cngas</v>
      </c>
      <c r="AY210" t="s">
        <v>1980</v>
      </c>
      <c r="AZ210" t="s">
        <v>3016</v>
      </c>
    </row>
    <row r="211" spans="23:52" x14ac:dyDescent="0.25">
      <c r="W211" t="str">
        <f>mapPRC!A283</f>
        <v>ICPHELC-E</v>
      </c>
      <c r="X211" t="str">
        <f>IFERROR(INDEX($AS$7:$AS$88,MATCH(mapPRC!C283,$AR$7:$AR$88,0)),"")</f>
        <v>cp</v>
      </c>
      <c r="AA211" t="str">
        <f>mapCOM!A227</f>
        <v>INFH</v>
      </c>
      <c r="AB211" t="str">
        <f t="shared" si="4"/>
        <v/>
      </c>
      <c r="AY211" t="s">
        <v>1978</v>
      </c>
      <c r="AZ211" t="s">
        <v>3016</v>
      </c>
    </row>
    <row r="212" spans="23:52" x14ac:dyDescent="0.25">
      <c r="W212" t="str">
        <f>mapPRC!A284</f>
        <v>ICPKELC-E</v>
      </c>
      <c r="X212" t="str">
        <f>IFERROR(INDEX($AS$7:$AS$88,MATCH(mapPRC!C284,$AR$7:$AR$88,0)),"")</f>
        <v>cp</v>
      </c>
      <c r="AA212" t="str">
        <f>mapCOM!A228</f>
        <v>INFK</v>
      </c>
      <c r="AB212" t="str">
        <f t="shared" si="4"/>
        <v/>
      </c>
      <c r="AY212" t="s">
        <v>1976</v>
      </c>
      <c r="AZ212" t="s">
        <v>3016</v>
      </c>
    </row>
    <row r="213" spans="23:52" x14ac:dyDescent="0.25">
      <c r="W213" t="str">
        <f>mapPRC!A285</f>
        <v>ICPLELC-E</v>
      </c>
      <c r="X213" t="str">
        <f>IFERROR(INDEX($AS$7:$AS$88,MATCH(mapPRC!C285,$AR$7:$AR$88,0)),"")</f>
        <v>cp</v>
      </c>
      <c r="AA213" t="str">
        <f>mapCOM!A229</f>
        <v>INFL</v>
      </c>
      <c r="AB213" t="str">
        <f t="shared" si="4"/>
        <v/>
      </c>
      <c r="AY213" t="s">
        <v>1975</v>
      </c>
      <c r="AZ213" t="s">
        <v>3016</v>
      </c>
    </row>
    <row r="214" spans="23:52" x14ac:dyDescent="0.25">
      <c r="W214" t="str">
        <f>mapPRC!A286</f>
        <v>ICPOELC-E</v>
      </c>
      <c r="X214" t="str">
        <f>IFERROR(INDEX($AS$7:$AS$88,MATCH(mapPRC!C286,$AR$7:$AR$88,0)),"")</f>
        <v>cp</v>
      </c>
      <c r="AA214" t="str">
        <f>mapCOM!A230</f>
        <v>INFO</v>
      </c>
      <c r="AB214" t="str">
        <f t="shared" si="4"/>
        <v/>
      </c>
      <c r="AY214" t="s">
        <v>1973</v>
      </c>
      <c r="AZ214" t="s">
        <v>3016</v>
      </c>
    </row>
    <row r="215" spans="23:52" x14ac:dyDescent="0.25">
      <c r="W215" t="str">
        <f>mapPRC!A287</f>
        <v>ICPPELC-E</v>
      </c>
      <c r="X215" t="str">
        <f>IFERROR(INDEX($AS$7:$AS$88,MATCH(mapPRC!C287,$AR$7:$AR$88,0)),"")</f>
        <v>cp</v>
      </c>
      <c r="AA215" t="str">
        <f>mapCOM!A231</f>
        <v>INFP</v>
      </c>
      <c r="AB215" t="str">
        <f t="shared" si="4"/>
        <v/>
      </c>
      <c r="AY215" t="s">
        <v>1972</v>
      </c>
      <c r="AZ215" t="s">
        <v>3016</v>
      </c>
    </row>
    <row r="216" spans="23:52" x14ac:dyDescent="0.25">
      <c r="W216" t="str">
        <f>mapPRC!A288</f>
        <v>ICPSCLE-E</v>
      </c>
      <c r="X216" t="str">
        <f>IFERROR(INDEX($AS$7:$AS$88,MATCH(mapPRC!C288,$AR$7:$AR$88,0)),"")</f>
        <v>cp</v>
      </c>
      <c r="AA216" t="str">
        <f>mapCOM!A232</f>
        <v>INFS</v>
      </c>
      <c r="AB216" t="str">
        <f t="shared" si="4"/>
        <v/>
      </c>
      <c r="AY216" t="s">
        <v>1970</v>
      </c>
      <c r="AZ216" t="s">
        <v>3016</v>
      </c>
    </row>
    <row r="217" spans="23:52" x14ac:dyDescent="0.25">
      <c r="W217" t="str">
        <f>mapPRC!A289</f>
        <v>ICPSELC-E</v>
      </c>
      <c r="X217" t="str">
        <f>IFERROR(INDEX($AS$7:$AS$88,MATCH(mapPRC!C289,$AR$7:$AR$88,0)),"")</f>
        <v>cp</v>
      </c>
      <c r="AA217" t="str">
        <f>mapCOM!A233</f>
        <v>INMBIO</v>
      </c>
      <c r="AB217" t="str">
        <f t="shared" si="4"/>
        <v/>
      </c>
      <c r="AY217" t="s">
        <v>1968</v>
      </c>
      <c r="AZ217" t="s">
        <v>3016</v>
      </c>
    </row>
    <row r="218" spans="23:52" x14ac:dyDescent="0.25">
      <c r="W218" t="str">
        <f>mapPRC!A290</f>
        <v>ICPSGAS-E</v>
      </c>
      <c r="X218" t="str">
        <f>IFERROR(INDEX($AS$7:$AS$88,MATCH(mapPRC!C290,$AR$7:$AR$88,0)),"")</f>
        <v>cp</v>
      </c>
      <c r="AA218" t="str">
        <f>mapCOM!A234</f>
        <v>INMBRI</v>
      </c>
      <c r="AB218" t="str">
        <f t="shared" si="4"/>
        <v/>
      </c>
      <c r="AY218" t="s">
        <v>1966</v>
      </c>
      <c r="AZ218" t="s">
        <v>3016</v>
      </c>
    </row>
    <row r="219" spans="23:52" x14ac:dyDescent="0.25">
      <c r="W219" t="str">
        <f>mapPRC!A291</f>
        <v>ICPSOHF-E</v>
      </c>
      <c r="X219" t="str">
        <f>IFERROR(INDEX($AS$7:$AS$88,MATCH(mapPRC!C291,$AR$7:$AR$88,0)),"")</f>
        <v>cp</v>
      </c>
      <c r="AA219" t="str">
        <f>mapCOM!A235</f>
        <v>INMBRITHF</v>
      </c>
      <c r="AB219" t="str">
        <f t="shared" si="4"/>
        <v/>
      </c>
      <c r="AY219" t="s">
        <v>1964</v>
      </c>
      <c r="AZ219" t="s">
        <v>3016</v>
      </c>
    </row>
    <row r="220" spans="23:52" x14ac:dyDescent="0.25">
      <c r="W220" t="str">
        <f>mapPRC!A292</f>
        <v>ICPSOLP-E</v>
      </c>
      <c r="X220" t="str">
        <f>IFERROR(INDEX($AS$7:$AS$88,MATCH(mapPRC!C292,$AR$7:$AR$88,0)),"")</f>
        <v>cp</v>
      </c>
      <c r="AA220" t="str">
        <f>mapCOM!A236</f>
        <v>INMCEM</v>
      </c>
      <c r="AB220" t="str">
        <f t="shared" si="4"/>
        <v/>
      </c>
      <c r="AY220" t="s">
        <v>1963</v>
      </c>
      <c r="AZ220" t="s">
        <v>3016</v>
      </c>
    </row>
    <row r="221" spans="23:52" x14ac:dyDescent="0.25">
      <c r="W221" t="str">
        <f>mapPRC!A293</f>
        <v>ICPSWAS-E</v>
      </c>
      <c r="X221" t="str">
        <f>IFERROR(INDEX($AS$7:$AS$88,MATCH(mapPRC!C293,$AR$7:$AR$88,0)),"")</f>
        <v>cp</v>
      </c>
      <c r="AA221" t="str">
        <f>mapCOM!A237</f>
        <v>INMCEMTHF</v>
      </c>
      <c r="AB221" t="str">
        <f t="shared" si="4"/>
        <v/>
      </c>
      <c r="AY221" t="s">
        <v>1962</v>
      </c>
      <c r="AZ221" t="s">
        <v>3016</v>
      </c>
    </row>
    <row r="222" spans="23:52" x14ac:dyDescent="0.25">
      <c r="W222" t="str">
        <f>mapPRC!A294</f>
        <v>ICPTGAS-E</v>
      </c>
      <c r="X222" t="str">
        <f>IFERROR(INDEX($AS$7:$AS$88,MATCH(mapPRC!C294,$AR$7:$AR$88,0)),"")</f>
        <v>cp</v>
      </c>
      <c r="AA222" t="str">
        <f>mapCOM!A238</f>
        <v>INMCLI</v>
      </c>
      <c r="AB222" t="str">
        <f t="shared" si="4"/>
        <v/>
      </c>
      <c r="AY222" t="s">
        <v>1960</v>
      </c>
      <c r="AZ222" t="s">
        <v>3016</v>
      </c>
    </row>
    <row r="223" spans="23:52" x14ac:dyDescent="0.25">
      <c r="W223" t="str">
        <f>mapPRC!A295</f>
        <v>IFAEAF</v>
      </c>
      <c r="X223" t="str">
        <f>IFERROR(INDEX($AS$7:$AS$88,MATCH(mapPRC!C295,$AR$7:$AR$88,0)),"")</f>
        <v>is</v>
      </c>
      <c r="AA223" t="str">
        <f>mapCOM!A239</f>
        <v>INMCOA</v>
      </c>
      <c r="AB223" t="str">
        <f t="shared" si="4"/>
        <v>ccoal-hgh</v>
      </c>
      <c r="AY223" t="s">
        <v>1959</v>
      </c>
      <c r="AZ223" t="s">
        <v>3016</v>
      </c>
    </row>
    <row r="224" spans="23:52" x14ac:dyDescent="0.25">
      <c r="W224" t="str">
        <f>mapPRC!A296</f>
        <v>IFBAELC-E</v>
      </c>
      <c r="X224" t="str">
        <f>IFERROR(INDEX($AS$7:$AS$88,MATCH(mapPRC!C296,$AR$7:$AR$88,0)),"")</f>
        <v>fb</v>
      </c>
      <c r="AA224" t="str">
        <f>mapCOM!A240</f>
        <v>INMELC</v>
      </c>
      <c r="AB224" t="str">
        <f t="shared" si="4"/>
        <v>celec</v>
      </c>
      <c r="AY224" t="s">
        <v>1957</v>
      </c>
      <c r="AZ224" t="s">
        <v>3016</v>
      </c>
    </row>
    <row r="225" spans="23:52" x14ac:dyDescent="0.25">
      <c r="W225" t="str">
        <f>mapPRC!A297</f>
        <v>IFBCELC-E</v>
      </c>
      <c r="X225" t="str">
        <f>IFERROR(INDEX($AS$7:$AS$88,MATCH(mapPRC!C297,$AR$7:$AR$88,0)),"")</f>
        <v>fb</v>
      </c>
      <c r="AA225" t="str">
        <f>mapCOM!A241</f>
        <v>INMGAS</v>
      </c>
      <c r="AB225" t="str">
        <f t="shared" si="4"/>
        <v>cngas</v>
      </c>
      <c r="AY225" t="s">
        <v>1956</v>
      </c>
      <c r="AZ225" t="s">
        <v>3016</v>
      </c>
    </row>
    <row r="226" spans="23:52" x14ac:dyDescent="0.25">
      <c r="W226" t="str">
        <f>mapPRC!A298</f>
        <v>IFBEELC-E</v>
      </c>
      <c r="X226" t="str">
        <f>IFERROR(INDEX($AS$7:$AS$88,MATCH(mapPRC!C298,$AR$7:$AR$88,0)),"")</f>
        <v>fb</v>
      </c>
      <c r="AA226" t="str">
        <f>mapCOM!A242</f>
        <v>INMGLA</v>
      </c>
      <c r="AB226" t="str">
        <f t="shared" si="4"/>
        <v/>
      </c>
      <c r="AY226" t="s">
        <v>1954</v>
      </c>
      <c r="AZ226" t="s">
        <v>3016</v>
      </c>
    </row>
    <row r="227" spans="23:52" x14ac:dyDescent="0.25">
      <c r="W227" t="str">
        <f>mapPRC!A299</f>
        <v>IFBFELC-E</v>
      </c>
      <c r="X227" t="str">
        <f>IFERROR(INDEX($AS$7:$AS$88,MATCH(mapPRC!C299,$AR$7:$AR$88,0)),"")</f>
        <v>fb</v>
      </c>
      <c r="AA227" t="str">
        <f>mapCOM!A243</f>
        <v>INMGLATHF</v>
      </c>
      <c r="AB227" t="str">
        <f t="shared" si="4"/>
        <v/>
      </c>
      <c r="AY227" t="s">
        <v>1952</v>
      </c>
      <c r="AZ227" t="s">
        <v>3016</v>
      </c>
    </row>
    <row r="228" spans="23:52" x14ac:dyDescent="0.25">
      <c r="W228" t="str">
        <f>mapPRC!A300</f>
        <v>IFBHELC-E</v>
      </c>
      <c r="X228" t="str">
        <f>IFERROR(INDEX($AS$7:$AS$88,MATCH(mapPRC!C300,$AR$7:$AR$88,0)),"")</f>
        <v>fb</v>
      </c>
      <c r="AA228" t="str">
        <f>mapCOM!A244</f>
        <v>INMLIM</v>
      </c>
      <c r="AB228" t="str">
        <f t="shared" si="4"/>
        <v/>
      </c>
      <c r="AY228" t="s">
        <v>1951</v>
      </c>
      <c r="AZ228" t="s">
        <v>3016</v>
      </c>
    </row>
    <row r="229" spans="23:52" x14ac:dyDescent="0.25">
      <c r="W229" t="str">
        <f>mapPRC!A301</f>
        <v>IFBKELC-E</v>
      </c>
      <c r="X229" t="str">
        <f>IFERROR(INDEX($AS$7:$AS$88,MATCH(mapPRC!C301,$AR$7:$AR$88,0)),"")</f>
        <v>fb</v>
      </c>
      <c r="AA229" t="str">
        <f>mapCOM!A245</f>
        <v>INMLIMTHF</v>
      </c>
      <c r="AB229" t="str">
        <f t="shared" si="4"/>
        <v/>
      </c>
      <c r="AY229" t="s">
        <v>1950</v>
      </c>
      <c r="AZ229" t="s">
        <v>3016</v>
      </c>
    </row>
    <row r="230" spans="23:52" x14ac:dyDescent="0.25">
      <c r="W230" t="str">
        <f>mapPRC!A302</f>
        <v>IFBLELC-E</v>
      </c>
      <c r="X230" t="str">
        <f>IFERROR(INDEX($AS$7:$AS$88,MATCH(mapPRC!C302,$AR$7:$AR$88,0)),"")</f>
        <v>fb</v>
      </c>
      <c r="AA230" t="str">
        <f>mapCOM!A246</f>
        <v>INMOIL</v>
      </c>
      <c r="AB230" t="str">
        <f t="shared" si="4"/>
        <v>cpetr_o</v>
      </c>
      <c r="AY230" t="s">
        <v>1949</v>
      </c>
      <c r="AZ230" t="s">
        <v>3016</v>
      </c>
    </row>
    <row r="231" spans="23:52" x14ac:dyDescent="0.25">
      <c r="W231" t="str">
        <f>mapPRC!A303</f>
        <v>IFBOELC-E</v>
      </c>
      <c r="X231" t="str">
        <f>IFERROR(INDEX($AS$7:$AS$88,MATCH(mapPRC!C303,$AR$7:$AR$88,0)),"")</f>
        <v>fb</v>
      </c>
      <c r="AA231" t="str">
        <f>mapCOM!A247</f>
        <v>INMRWM</v>
      </c>
      <c r="AB231" t="str">
        <f t="shared" si="4"/>
        <v/>
      </c>
      <c r="AY231" t="s">
        <v>1947</v>
      </c>
      <c r="AZ231" t="s">
        <v>3016</v>
      </c>
    </row>
    <row r="232" spans="23:52" x14ac:dyDescent="0.25">
      <c r="W232" t="str">
        <f>mapPRC!A304</f>
        <v>IFBPELC-E</v>
      </c>
      <c r="X232" t="str">
        <f>IFERROR(INDEX($AS$7:$AS$88,MATCH(mapPRC!C304,$AR$7:$AR$88,0)),"")</f>
        <v>fb</v>
      </c>
      <c r="AA232" t="str">
        <f>mapCOM!A248</f>
        <v>IOTA</v>
      </c>
      <c r="AB232" t="str">
        <f t="shared" si="4"/>
        <v/>
      </c>
      <c r="AY232" t="s">
        <v>1945</v>
      </c>
      <c r="AZ232" t="s">
        <v>3016</v>
      </c>
    </row>
    <row r="233" spans="23:52" x14ac:dyDescent="0.25">
      <c r="W233" t="str">
        <f>mapPRC!A305</f>
        <v>IFBSBIB-E</v>
      </c>
      <c r="X233" t="str">
        <f>IFERROR(INDEX($AS$7:$AS$88,MATCH(mapPRC!C305,$AR$7:$AR$88,0)),"")</f>
        <v>fb</v>
      </c>
      <c r="AA233" t="str">
        <f>mapCOM!A249</f>
        <v>IOTC</v>
      </c>
      <c r="AB233" t="str">
        <f t="shared" si="4"/>
        <v/>
      </c>
      <c r="AY233" t="s">
        <v>1944</v>
      </c>
      <c r="AZ233" t="s">
        <v>3016</v>
      </c>
    </row>
    <row r="234" spans="23:52" x14ac:dyDescent="0.25">
      <c r="W234" t="str">
        <f>mapPRC!A306</f>
        <v>IFBSCOA-E</v>
      </c>
      <c r="X234" t="str">
        <f>IFERROR(INDEX($AS$7:$AS$88,MATCH(mapPRC!C306,$AR$7:$AR$88,0)),"")</f>
        <v>fb</v>
      </c>
      <c r="AA234" t="str">
        <f>mapCOM!A250</f>
        <v>IOTE</v>
      </c>
      <c r="AB234" t="str">
        <f t="shared" si="4"/>
        <v/>
      </c>
      <c r="AY234" t="s">
        <v>1943</v>
      </c>
      <c r="AZ234" t="s">
        <v>3016</v>
      </c>
    </row>
    <row r="235" spans="23:52" x14ac:dyDescent="0.25">
      <c r="W235" t="str">
        <f>mapPRC!A307</f>
        <v>IFBSELC-E</v>
      </c>
      <c r="X235" t="str">
        <f>IFERROR(INDEX($AS$7:$AS$88,MATCH(mapPRC!C307,$AR$7:$AR$88,0)),"")</f>
        <v>fb</v>
      </c>
      <c r="AA235" t="str">
        <f>mapCOM!A251</f>
        <v>IOTELC</v>
      </c>
      <c r="AB235" t="str">
        <f t="shared" si="4"/>
        <v>celec</v>
      </c>
      <c r="AY235" t="s">
        <v>1942</v>
      </c>
      <c r="AZ235" t="s">
        <v>3016</v>
      </c>
    </row>
    <row r="236" spans="23:52" x14ac:dyDescent="0.25">
      <c r="W236" t="str">
        <f>mapPRC!A308</f>
        <v>IFBSGAS-E</v>
      </c>
      <c r="X236" t="str">
        <f>IFERROR(INDEX($AS$7:$AS$88,MATCH(mapPRC!C308,$AR$7:$AR$88,0)),"")</f>
        <v>fb</v>
      </c>
      <c r="AA236" t="str">
        <f>mapCOM!A252</f>
        <v>IOTF</v>
      </c>
      <c r="AB236" t="str">
        <f t="shared" si="4"/>
        <v/>
      </c>
      <c r="AY236" t="s">
        <v>1941</v>
      </c>
      <c r="AZ236" t="s">
        <v>3016</v>
      </c>
    </row>
    <row r="237" spans="23:52" x14ac:dyDescent="0.25">
      <c r="W237" t="str">
        <f>mapPRC!A309</f>
        <v>IFBSOHF-E</v>
      </c>
      <c r="X237" t="str">
        <f>IFERROR(INDEX($AS$7:$AS$88,MATCH(mapPRC!C309,$AR$7:$AR$88,0)),"")</f>
        <v>fb</v>
      </c>
      <c r="AA237" t="str">
        <f>mapCOM!A253</f>
        <v>IOTGAS</v>
      </c>
      <c r="AB237" t="str">
        <f t="shared" si="4"/>
        <v>cngas</v>
      </c>
      <c r="AY237" t="s">
        <v>1939</v>
      </c>
      <c r="AZ237" t="s">
        <v>3016</v>
      </c>
    </row>
    <row r="238" spans="23:52" x14ac:dyDescent="0.25">
      <c r="W238" t="str">
        <f>mapPRC!A310</f>
        <v>IFBSOLP-E</v>
      </c>
      <c r="X238" t="str">
        <f>IFERROR(INDEX($AS$7:$AS$88,MATCH(mapPRC!C310,$AR$7:$AR$88,0)),"")</f>
        <v>fb</v>
      </c>
      <c r="AA238" t="str">
        <f>mapCOM!A254</f>
        <v>IOTH</v>
      </c>
      <c r="AB238" t="str">
        <f t="shared" si="4"/>
        <v/>
      </c>
      <c r="AY238" t="s">
        <v>1938</v>
      </c>
      <c r="AZ238" t="s">
        <v>3016</v>
      </c>
    </row>
    <row r="239" spans="23:52" x14ac:dyDescent="0.25">
      <c r="W239" t="str">
        <f>mapPRC!A311</f>
        <v>IFBSWAS-E</v>
      </c>
      <c r="X239" t="str">
        <f>IFERROR(INDEX($AS$7:$AS$88,MATCH(mapPRC!C311,$AR$7:$AR$88,0)),"")</f>
        <v>fb</v>
      </c>
      <c r="AA239" t="str">
        <f>mapCOM!A255</f>
        <v>IOTK</v>
      </c>
      <c r="AB239" t="str">
        <f t="shared" si="4"/>
        <v/>
      </c>
      <c r="AY239" t="s">
        <v>1936</v>
      </c>
      <c r="AZ239" t="s">
        <v>3016</v>
      </c>
    </row>
    <row r="240" spans="23:52" x14ac:dyDescent="0.25">
      <c r="W240" t="str">
        <f>mapPRC!A312</f>
        <v>IISBFBOF-E</v>
      </c>
      <c r="X240" t="str">
        <f>IFERROR(INDEX($AS$7:$AS$88,MATCH(mapPRC!C312,$AR$7:$AR$88,0)),"")</f>
        <v>is</v>
      </c>
      <c r="AA240" t="str">
        <f>mapCOM!A256</f>
        <v>IOTL</v>
      </c>
      <c r="AB240" t="str">
        <f t="shared" si="4"/>
        <v/>
      </c>
      <c r="AY240" t="s">
        <v>2054</v>
      </c>
      <c r="AZ240" t="s">
        <v>3016</v>
      </c>
    </row>
    <row r="241" spans="23:52" x14ac:dyDescent="0.25">
      <c r="W241" t="str">
        <f>mapPRC!A313</f>
        <v>IISBFBOF-E-T1</v>
      </c>
      <c r="X241" t="str">
        <f>IFERROR(INDEX($AS$7:$AS$88,MATCH(mapPRC!C313,$AR$7:$AR$88,0)),"")</f>
        <v>is</v>
      </c>
      <c r="AA241" t="str">
        <f>mapCOM!A257</f>
        <v>IOTO</v>
      </c>
      <c r="AB241" t="str">
        <f t="shared" si="4"/>
        <v/>
      </c>
      <c r="AY241" t="s">
        <v>2053</v>
      </c>
      <c r="AZ241" t="s">
        <v>3016</v>
      </c>
    </row>
    <row r="242" spans="23:52" x14ac:dyDescent="0.25">
      <c r="W242" t="str">
        <f>mapPRC!A314</f>
        <v>IISBFBOF-E-T2</v>
      </c>
      <c r="X242" t="str">
        <f>IFERROR(INDEX($AS$7:$AS$88,MATCH(mapPRC!C314,$AR$7:$AR$88,0)),"")</f>
        <v>is</v>
      </c>
      <c r="AA242" t="str">
        <f>mapCOM!A258</f>
        <v>IOTP</v>
      </c>
      <c r="AB242" t="str">
        <f t="shared" si="4"/>
        <v/>
      </c>
      <c r="AY242" t="s">
        <v>2052</v>
      </c>
      <c r="AZ242" t="s">
        <v>3016</v>
      </c>
    </row>
    <row r="243" spans="23:52" x14ac:dyDescent="0.25">
      <c r="W243" t="str">
        <f>mapPRC!A315</f>
        <v>IISBFBOF-N</v>
      </c>
      <c r="X243" t="str">
        <f>IFERROR(INDEX($AS$7:$AS$88,MATCH(mapPRC!C315,$AR$7:$AR$88,0)),"")</f>
        <v>is</v>
      </c>
      <c r="AA243" t="str">
        <f>mapCOM!A259</f>
        <v>IOTR</v>
      </c>
      <c r="AB243" t="str">
        <f t="shared" si="4"/>
        <v/>
      </c>
      <c r="AY243" t="s">
        <v>2051</v>
      </c>
      <c r="AZ243" t="s">
        <v>3016</v>
      </c>
    </row>
    <row r="244" spans="23:52" x14ac:dyDescent="0.25">
      <c r="W244" t="str">
        <f>mapPRC!A316</f>
        <v>IISCOREAF-E</v>
      </c>
      <c r="X244" t="str">
        <f>IFERROR(INDEX($AS$7:$AS$88,MATCH(mapPRC!C316,$AR$7:$AR$88,0)),"")</f>
        <v>is</v>
      </c>
      <c r="AA244" t="str">
        <f>mapCOM!A260</f>
        <v>IOTS</v>
      </c>
      <c r="AB244" t="str">
        <f t="shared" si="4"/>
        <v/>
      </c>
      <c r="AY244" t="s">
        <v>2050</v>
      </c>
      <c r="AZ244" t="s">
        <v>3016</v>
      </c>
    </row>
    <row r="245" spans="23:52" x14ac:dyDescent="0.25">
      <c r="W245" t="str">
        <f>mapPRC!A317</f>
        <v>IISCOREAF-E-T1</v>
      </c>
      <c r="X245" t="str">
        <f>IFERROR(INDEX($AS$7:$AS$88,MATCH(mapPRC!C317,$AR$7:$AR$88,0)),"")</f>
        <v>is</v>
      </c>
      <c r="AA245" t="str">
        <f>mapCOM!A261</f>
        <v>IPPBIO</v>
      </c>
      <c r="AB245" t="str">
        <f t="shared" si="4"/>
        <v/>
      </c>
      <c r="AY245" t="s">
        <v>2049</v>
      </c>
      <c r="AZ245" t="s">
        <v>3016</v>
      </c>
    </row>
    <row r="246" spans="23:52" x14ac:dyDescent="0.25">
      <c r="W246" t="str">
        <f>mapPRC!A318</f>
        <v>IISCOREAF-E-T2</v>
      </c>
      <c r="X246" t="str">
        <f>IFERROR(INDEX($AS$7:$AS$88,MATCH(mapPRC!C318,$AR$7:$AR$88,0)),"")</f>
        <v>is</v>
      </c>
      <c r="AA246" t="str">
        <f>mapCOM!A262</f>
        <v>IPPBLQ</v>
      </c>
      <c r="AB246" t="str">
        <f t="shared" si="4"/>
        <v/>
      </c>
      <c r="AY246" t="s">
        <v>2048</v>
      </c>
      <c r="AZ246" t="s">
        <v>3016</v>
      </c>
    </row>
    <row r="247" spans="23:52" x14ac:dyDescent="0.25">
      <c r="W247" t="str">
        <f>mapPRC!A319</f>
        <v>IISCOV</v>
      </c>
      <c r="X247" t="str">
        <f>IFERROR(INDEX($AS$7:$AS$88,MATCH(mapPRC!C319,$AR$7:$AR$88,0)),"")</f>
        <v>is</v>
      </c>
      <c r="AA247" t="str">
        <f>mapCOM!A263</f>
        <v>IPPCOA</v>
      </c>
      <c r="AB247" t="str">
        <f t="shared" si="4"/>
        <v>ccoal-hgh</v>
      </c>
      <c r="AY247" t="s">
        <v>2047</v>
      </c>
      <c r="AZ247" t="s">
        <v>3016</v>
      </c>
    </row>
    <row r="248" spans="23:52" x14ac:dyDescent="0.25">
      <c r="W248" t="str">
        <f>mapPRC!A320</f>
        <v>IISDRIEAF-E</v>
      </c>
      <c r="X248" t="str">
        <f>IFERROR(INDEX($AS$7:$AS$88,MATCH(mapPRC!C320,$AR$7:$AR$88,0)),"")</f>
        <v>is</v>
      </c>
      <c r="AA248" t="str">
        <f>mapCOM!A264</f>
        <v>IPPELC</v>
      </c>
      <c r="AB248" t="str">
        <f t="shared" si="4"/>
        <v>celec</v>
      </c>
      <c r="AY248" t="s">
        <v>2046</v>
      </c>
      <c r="AZ248" t="s">
        <v>3016</v>
      </c>
    </row>
    <row r="249" spans="23:52" x14ac:dyDescent="0.25">
      <c r="W249" t="str">
        <f>mapPRC!A321</f>
        <v>IISDRIEAF-E-T1</v>
      </c>
      <c r="X249" t="str">
        <f>IFERROR(INDEX($AS$7:$AS$88,MATCH(mapPRC!C321,$AR$7:$AR$88,0)),"")</f>
        <v>is</v>
      </c>
      <c r="AA249" t="str">
        <f>mapCOM!A265</f>
        <v>IPPGAS</v>
      </c>
      <c r="AB249" t="str">
        <f t="shared" si="4"/>
        <v>cngas</v>
      </c>
      <c r="AY249" t="s">
        <v>2045</v>
      </c>
      <c r="AZ249" t="s">
        <v>3016</v>
      </c>
    </row>
    <row r="250" spans="23:52" x14ac:dyDescent="0.25">
      <c r="W250" t="str">
        <f>mapPRC!A322</f>
        <v>IISDRIEAF-E-T2</v>
      </c>
      <c r="X250" t="str">
        <f>IFERROR(INDEX($AS$7:$AS$88,MATCH(mapPRC!C322,$AR$7:$AR$88,0)),"")</f>
        <v>is</v>
      </c>
      <c r="AA250" t="str">
        <f>mapCOM!A266</f>
        <v>IPPODS</v>
      </c>
      <c r="AB250" t="str">
        <f t="shared" si="4"/>
        <v>cpetr_d</v>
      </c>
      <c r="AY250" t="s">
        <v>2043</v>
      </c>
      <c r="AZ250" t="s">
        <v>3016</v>
      </c>
    </row>
    <row r="251" spans="23:52" x14ac:dyDescent="0.25">
      <c r="W251" t="str">
        <f>mapPRC!A323</f>
        <v>IISDRIEAF-NC</v>
      </c>
      <c r="X251" t="str">
        <f>IFERROR(INDEX($AS$7:$AS$88,MATCH(mapPRC!C323,$AR$7:$AR$88,0)),"")</f>
        <v>is</v>
      </c>
      <c r="AA251" t="str">
        <f>mapCOM!A267</f>
        <v>IPPOGS</v>
      </c>
      <c r="AB251" t="str">
        <f t="shared" si="4"/>
        <v/>
      </c>
      <c r="AY251" t="s">
        <v>2041</v>
      </c>
      <c r="AZ251" t="s">
        <v>3016</v>
      </c>
    </row>
    <row r="252" spans="23:52" x14ac:dyDescent="0.25">
      <c r="W252" t="str">
        <f>mapPRC!A324</f>
        <v>IISDRIEAF-NG</v>
      </c>
      <c r="X252" t="str">
        <f>IFERROR(INDEX($AS$7:$AS$88,MATCH(mapPRC!C324,$AR$7:$AR$88,0)),"")</f>
        <v>is</v>
      </c>
      <c r="AA252" t="str">
        <f>mapCOM!A268</f>
        <v>IPPOHF</v>
      </c>
      <c r="AB252" t="str">
        <f t="shared" si="4"/>
        <v>cpetr_o</v>
      </c>
      <c r="AY252" t="s">
        <v>2039</v>
      </c>
      <c r="AZ252" t="s">
        <v>3016</v>
      </c>
    </row>
    <row r="253" spans="23:52" x14ac:dyDescent="0.25">
      <c r="W253" t="str">
        <f>mapPRC!A325</f>
        <v>IISHDRIEAF-N</v>
      </c>
      <c r="X253" t="str">
        <f>IFERROR(INDEX($AS$7:$AS$88,MATCH(mapPRC!C325,$AR$7:$AR$88,0)),"")</f>
        <v>is</v>
      </c>
      <c r="AA253" t="str">
        <f>mapCOM!A269</f>
        <v>IPPOLP</v>
      </c>
      <c r="AB253" t="str">
        <f t="shared" si="4"/>
        <v>cpetr_o</v>
      </c>
      <c r="AY253" t="s">
        <v>2037</v>
      </c>
      <c r="AZ253" t="s">
        <v>3016</v>
      </c>
    </row>
    <row r="254" spans="23:52" x14ac:dyDescent="0.25">
      <c r="W254" t="str">
        <f>mapPRC!A326</f>
        <v>IISHDRIHBI-STOR</v>
      </c>
      <c r="X254" t="str">
        <f>IFERROR(INDEX($AS$7:$AS$88,MATCH(mapPRC!C326,$AR$7:$AR$88,0)),"")</f>
        <v>is</v>
      </c>
      <c r="AA254" t="str">
        <f>mapCOM!A270</f>
        <v>IPPPAP</v>
      </c>
      <c r="AB254" t="str">
        <f t="shared" si="4"/>
        <v/>
      </c>
      <c r="AY254" t="s">
        <v>2035</v>
      </c>
      <c r="AZ254" t="s">
        <v>3016</v>
      </c>
    </row>
    <row r="255" spans="23:52" x14ac:dyDescent="0.25">
      <c r="W255" t="str">
        <f>mapPRC!A327</f>
        <v>IISHHDRI-N</v>
      </c>
      <c r="X255" t="str">
        <f>IFERROR(INDEX($AS$7:$AS$88,MATCH(mapPRC!C327,$AR$7:$AR$88,0)),"")</f>
        <v>is</v>
      </c>
      <c r="AA255" t="str">
        <f>mapCOM!A271</f>
        <v>IPPPULP</v>
      </c>
      <c r="AB255" t="str">
        <f t="shared" si="4"/>
        <v/>
      </c>
      <c r="AY255" t="s">
        <v>2033</v>
      </c>
      <c r="AZ255" t="s">
        <v>3016</v>
      </c>
    </row>
    <row r="256" spans="23:52" x14ac:dyDescent="0.25">
      <c r="W256" t="str">
        <f>mapPRC!A328</f>
        <v>IISHHGNSTOR-N</v>
      </c>
      <c r="X256" t="str">
        <f>IFERROR(INDEX($AS$7:$AS$88,MATCH(mapPRC!C328,$AR$7:$AR$88,0)),"")</f>
        <v>is</v>
      </c>
      <c r="AA256" t="str">
        <f>mapCOM!A272</f>
        <v>IPPPULPD</v>
      </c>
      <c r="AB256" t="str">
        <f t="shared" si="4"/>
        <v/>
      </c>
      <c r="AY256" t="s">
        <v>2031</v>
      </c>
      <c r="AZ256" t="s">
        <v>3016</v>
      </c>
    </row>
    <row r="257" spans="23:52" x14ac:dyDescent="0.25">
      <c r="W257" t="str">
        <f>mapPRC!A329</f>
        <v>IISHPEMHGN</v>
      </c>
      <c r="X257" t="str">
        <f>IFERROR(INDEX($AS$7:$AS$88,MATCH(mapPRC!C329,$AR$7:$AR$88,0)),"")</f>
        <v>is</v>
      </c>
      <c r="AA257" t="str">
        <f>mapCOM!A273</f>
        <v>IPPREC</v>
      </c>
      <c r="AB257" t="str">
        <f t="shared" si="4"/>
        <v/>
      </c>
      <c r="AY257" t="s">
        <v>2029</v>
      </c>
      <c r="AZ257" t="s">
        <v>3016</v>
      </c>
    </row>
    <row r="258" spans="23:52" x14ac:dyDescent="0.25">
      <c r="W258" t="str">
        <f>mapPRC!A330</f>
        <v>IISHXCRS</v>
      </c>
      <c r="X258" t="str">
        <f>IFERROR(INDEX($AS$7:$AS$88,MATCH(mapPRC!C330,$AR$7:$AR$88,0)),"")</f>
        <v>is</v>
      </c>
      <c r="AA258" t="str">
        <f>mapCOM!A274</f>
        <v>IPPSTM</v>
      </c>
      <c r="AB258" t="str">
        <f t="shared" si="4"/>
        <v/>
      </c>
      <c r="AY258" t="s">
        <v>1848</v>
      </c>
      <c r="AZ258" t="s">
        <v>3016</v>
      </c>
    </row>
    <row r="259" spans="23:52" x14ac:dyDescent="0.25">
      <c r="W259" t="str">
        <f>mapPRC!A331</f>
        <v>IISOTHEAF-E</v>
      </c>
      <c r="X259" t="str">
        <f>IFERROR(INDEX($AS$7:$AS$88,MATCH(mapPRC!C331,$AR$7:$AR$88,0)),"")</f>
        <v>is</v>
      </c>
      <c r="AA259" t="str">
        <f>mapCOM!A275</f>
        <v>IPPTHF</v>
      </c>
      <c r="AB259" t="str">
        <f t="shared" si="4"/>
        <v/>
      </c>
      <c r="AY259" t="s">
        <v>1846</v>
      </c>
      <c r="AZ259" t="s">
        <v>3016</v>
      </c>
    </row>
    <row r="260" spans="23:52" x14ac:dyDescent="0.25">
      <c r="W260" t="str">
        <f>mapPRC!A332</f>
        <v>IISOTHEAF-E-T1</v>
      </c>
      <c r="X260" t="str">
        <f>IFERROR(INDEX($AS$7:$AS$88,MATCH(mapPRC!C332,$AR$7:$AR$88,0)),"")</f>
        <v>is</v>
      </c>
      <c r="AA260" t="str">
        <f>mapCOM!A276</f>
        <v>N2OS</v>
      </c>
      <c r="AB260" t="str">
        <f t="shared" si="4"/>
        <v/>
      </c>
      <c r="AY260" t="s">
        <v>1844</v>
      </c>
      <c r="AZ260" t="s">
        <v>3016</v>
      </c>
    </row>
    <row r="261" spans="23:52" x14ac:dyDescent="0.25">
      <c r="W261" t="str">
        <f>mapPRC!A333</f>
        <v>IISOTHEAF-E-T2</v>
      </c>
      <c r="X261" t="str">
        <f>IFERROR(INDEX($AS$7:$AS$88,MATCH(mapPRC!C333,$AR$7:$AR$88,0)),"")</f>
        <v>is</v>
      </c>
      <c r="AA261" t="str">
        <f>mapCOM!A277</f>
        <v>NMVS</v>
      </c>
      <c r="AB261" t="str">
        <f t="shared" si="4"/>
        <v/>
      </c>
      <c r="AY261" t="s">
        <v>1842</v>
      </c>
      <c r="AZ261" t="s">
        <v>3016</v>
      </c>
    </row>
    <row r="262" spans="23:52" x14ac:dyDescent="0.25">
      <c r="W262" t="str">
        <f>mapPRC!A334</f>
        <v>IISSCREAF-E</v>
      </c>
      <c r="X262" t="str">
        <f>IFERROR(INDEX($AS$7:$AS$88,MATCH(mapPRC!C334,$AR$7:$AR$88,0)),"")</f>
        <v>is</v>
      </c>
      <c r="AA262" t="str">
        <f>mapCOM!A278</f>
        <v>NOXS</v>
      </c>
      <c r="AB262" t="str">
        <f t="shared" si="4"/>
        <v/>
      </c>
      <c r="AY262" t="s">
        <v>1840</v>
      </c>
      <c r="AZ262" t="s">
        <v>3016</v>
      </c>
    </row>
    <row r="263" spans="23:52" x14ac:dyDescent="0.25">
      <c r="W263" t="str">
        <f>mapPRC!A335</f>
        <v>IISSCREAF-E-T1</v>
      </c>
      <c r="X263" t="str">
        <f>IFERROR(INDEX($AS$7:$AS$88,MATCH(mapPRC!C335,$AR$7:$AR$88,0)),"")</f>
        <v>is</v>
      </c>
      <c r="AA263" t="str">
        <f>mapCOM!A279</f>
        <v>NUC</v>
      </c>
      <c r="AB263" t="str">
        <f t="shared" ref="AB263:AB326" si="5">INDEX($AZ$6:$AZ$784,MATCH(AA263,$AY$6:$AY$784,0))</f>
        <v/>
      </c>
      <c r="AY263" t="s">
        <v>1838</v>
      </c>
      <c r="AZ263" t="s">
        <v>3016</v>
      </c>
    </row>
    <row r="264" spans="23:52" x14ac:dyDescent="0.25">
      <c r="W264" t="str">
        <f>mapPRC!A336</f>
        <v>IISSCREAF-E-T2</v>
      </c>
      <c r="X264" t="str">
        <f>IFERROR(INDEX($AS$7:$AS$88,MATCH(mapPRC!C336,$AR$7:$AR$88,0)),"")</f>
        <v>is</v>
      </c>
      <c r="AA264" t="str">
        <f>mapCOM!A280</f>
        <v>OAG</v>
      </c>
      <c r="AB264" t="str">
        <f t="shared" si="5"/>
        <v>cpetr_o</v>
      </c>
      <c r="AY264" t="s">
        <v>1836</v>
      </c>
      <c r="AZ264" t="s">
        <v>3016</v>
      </c>
    </row>
    <row r="265" spans="23:52" x14ac:dyDescent="0.25">
      <c r="W265" t="str">
        <f>mapPRC!A337</f>
        <v>IISSCREAF-N</v>
      </c>
      <c r="X265" t="str">
        <f>IFERROR(INDEX($AS$7:$AS$88,MATCH(mapPRC!C337,$AR$7:$AR$88,0)),"")</f>
        <v>is</v>
      </c>
      <c r="AA265" t="str">
        <f>mapCOM!A281</f>
        <v>OCR</v>
      </c>
      <c r="AB265" t="str">
        <f t="shared" si="5"/>
        <v>ccoil</v>
      </c>
      <c r="AY265" t="s">
        <v>1834</v>
      </c>
      <c r="AZ265" t="s">
        <v>3016</v>
      </c>
    </row>
    <row r="266" spans="23:52" x14ac:dyDescent="0.25">
      <c r="W266" t="str">
        <f>mapPRC!A338</f>
        <v>IMIAELC-E</v>
      </c>
      <c r="X266" t="str">
        <f>IFERROR(INDEX($AS$7:$AS$88,MATCH(mapPRC!C338,$AR$7:$AR$88,0)),"")</f>
        <v>mi</v>
      </c>
      <c r="AA266" t="str">
        <f>mapCOM!A282</f>
        <v>ODS</v>
      </c>
      <c r="AB266" t="str">
        <f t="shared" si="5"/>
        <v>cpetr_d</v>
      </c>
      <c r="AY266" t="s">
        <v>1832</v>
      </c>
      <c r="AZ266" t="s">
        <v>3016</v>
      </c>
    </row>
    <row r="267" spans="23:52" x14ac:dyDescent="0.25">
      <c r="W267" t="str">
        <f>mapPRC!A339</f>
        <v>IMICELC-E</v>
      </c>
      <c r="X267" t="str">
        <f>IFERROR(INDEX($AS$7:$AS$88,MATCH(mapPRC!C339,$AR$7:$AR$88,0)),"")</f>
        <v>mi</v>
      </c>
      <c r="AA267" t="str">
        <f>mapCOM!A283</f>
        <v>OGS</v>
      </c>
      <c r="AB267" t="str">
        <f t="shared" si="5"/>
        <v>cpetr_p</v>
      </c>
      <c r="AY267" t="s">
        <v>1830</v>
      </c>
      <c r="AZ267" t="s">
        <v>3016</v>
      </c>
    </row>
    <row r="268" spans="23:52" x14ac:dyDescent="0.25">
      <c r="W268" t="str">
        <f>mapPRC!A340</f>
        <v>IMIEELC-E</v>
      </c>
      <c r="X268" t="str">
        <f>IFERROR(INDEX($AS$7:$AS$88,MATCH(mapPRC!C340,$AR$7:$AR$88,0)),"")</f>
        <v>mi</v>
      </c>
      <c r="AA268" t="str">
        <f>mapCOM!A284</f>
        <v>OHF</v>
      </c>
      <c r="AB268" t="str">
        <f t="shared" si="5"/>
        <v>cpetr_o</v>
      </c>
      <c r="AY268" t="s">
        <v>1828</v>
      </c>
      <c r="AZ268" t="s">
        <v>3016</v>
      </c>
    </row>
    <row r="269" spans="23:52" x14ac:dyDescent="0.25">
      <c r="W269" t="str">
        <f>mapPRC!A341</f>
        <v>IMIFELC-E</v>
      </c>
      <c r="X269" t="str">
        <f>IFERROR(INDEX($AS$7:$AS$88,MATCH(mapPRC!C341,$AR$7:$AR$88,0)),"")</f>
        <v>mi</v>
      </c>
      <c r="AA269" t="str">
        <f>mapCOM!A285</f>
        <v>OKE</v>
      </c>
      <c r="AB269" t="str">
        <f t="shared" si="5"/>
        <v>cpetr_o</v>
      </c>
      <c r="AY269" t="s">
        <v>1934</v>
      </c>
      <c r="AZ269" t="s">
        <v>3016</v>
      </c>
    </row>
    <row r="270" spans="23:52" x14ac:dyDescent="0.25">
      <c r="W270" t="str">
        <f>mapPRC!A342</f>
        <v>IMIHELC-E</v>
      </c>
      <c r="X270" t="str">
        <f>IFERROR(INDEX($AS$7:$AS$88,MATCH(mapPRC!C342,$AR$7:$AR$88,0)),"")</f>
        <v>mi</v>
      </c>
      <c r="AA270" t="str">
        <f>mapCOM!A286</f>
        <v>OLP</v>
      </c>
      <c r="AB270" t="str">
        <f t="shared" si="5"/>
        <v>cpetr_o</v>
      </c>
      <c r="AY270" t="s">
        <v>1932</v>
      </c>
      <c r="AZ270" t="s">
        <v>3016</v>
      </c>
    </row>
    <row r="271" spans="23:52" x14ac:dyDescent="0.25">
      <c r="W271" t="str">
        <f>mapPRC!A343</f>
        <v>IMIKELC-E</v>
      </c>
      <c r="X271" t="str">
        <f>IFERROR(INDEX($AS$7:$AS$88,MATCH(mapPRC!C343,$AR$7:$AR$88,0)),"")</f>
        <v>mi</v>
      </c>
      <c r="AA271" t="str">
        <f>mapCOM!A287</f>
        <v>OTH</v>
      </c>
      <c r="AB271" t="str">
        <f t="shared" si="5"/>
        <v/>
      </c>
      <c r="AY271" t="s">
        <v>1930</v>
      </c>
      <c r="AZ271" t="s">
        <v>3016</v>
      </c>
    </row>
    <row r="272" spans="23:52" x14ac:dyDescent="0.25">
      <c r="W272" t="str">
        <f>mapPRC!A344</f>
        <v>IMILELC-E</v>
      </c>
      <c r="X272" t="str">
        <f>IFERROR(INDEX($AS$7:$AS$88,MATCH(mapPRC!C344,$AR$7:$AR$88,0)),"")</f>
        <v>mi</v>
      </c>
      <c r="AA272" t="str">
        <f>mapCOM!A288</f>
        <v>OXYEXP</v>
      </c>
      <c r="AB272" t="str">
        <f t="shared" si="5"/>
        <v/>
      </c>
      <c r="AY272" t="s">
        <v>1928</v>
      </c>
      <c r="AZ272" t="s">
        <v>3016</v>
      </c>
    </row>
    <row r="273" spans="23:52" x14ac:dyDescent="0.25">
      <c r="W273" t="str">
        <f>mapPRC!A345</f>
        <v>IMIOELC-E</v>
      </c>
      <c r="X273" t="str">
        <f>IFERROR(INDEX($AS$7:$AS$88,MATCH(mapPRC!C345,$AR$7:$AR$88,0)),"")</f>
        <v>mi</v>
      </c>
      <c r="AA273" t="str">
        <f>mapCOM!A289</f>
        <v>PWR_FLAB-M</v>
      </c>
      <c r="AB273" t="str">
        <f t="shared" si="5"/>
        <v/>
      </c>
      <c r="AY273" t="s">
        <v>1926</v>
      </c>
      <c r="AZ273" t="s">
        <v>3016</v>
      </c>
    </row>
    <row r="274" spans="23:52" x14ac:dyDescent="0.25">
      <c r="W274" t="str">
        <f>mapPRC!A346</f>
        <v>IMIPELC-E</v>
      </c>
      <c r="X274" t="str">
        <f>IFERROR(INDEX($AS$7:$AS$88,MATCH(mapPRC!C346,$AR$7:$AR$88,0)),"")</f>
        <v>mi</v>
      </c>
      <c r="AA274" t="str">
        <f>mapCOM!A290</f>
        <v>PWR_FLAB-P</v>
      </c>
      <c r="AB274" t="str">
        <f t="shared" si="5"/>
        <v/>
      </c>
      <c r="AY274" t="s">
        <v>1924</v>
      </c>
      <c r="AZ274" t="s">
        <v>3016</v>
      </c>
    </row>
    <row r="275" spans="23:52" x14ac:dyDescent="0.25">
      <c r="W275" t="str">
        <f>mapPRC!A347</f>
        <v>IMIRODS-E</v>
      </c>
      <c r="X275" t="str">
        <f>IFERROR(INDEX($AS$7:$AS$88,MATCH(mapPRC!C347,$AR$7:$AR$88,0)),"")</f>
        <v>mi</v>
      </c>
      <c r="AA275" t="str">
        <f>mapCOM!A291</f>
        <v>PWR_FLAB-S</v>
      </c>
      <c r="AB275" t="str">
        <f t="shared" si="5"/>
        <v/>
      </c>
      <c r="AY275" t="s">
        <v>1922</v>
      </c>
      <c r="AZ275" t="s">
        <v>3016</v>
      </c>
    </row>
    <row r="276" spans="23:52" x14ac:dyDescent="0.25">
      <c r="W276" t="str">
        <f>mapPRC!A348</f>
        <v>IMISCOA-E</v>
      </c>
      <c r="X276" t="str">
        <f>IFERROR(INDEX($AS$7:$AS$88,MATCH(mapPRC!C348,$AR$7:$AR$88,0)),"")</f>
        <v>mi</v>
      </c>
      <c r="AA276" t="str">
        <f>mapCOM!A292</f>
        <v>PWR_FLAB-T</v>
      </c>
      <c r="AB276" t="str">
        <f t="shared" si="5"/>
        <v/>
      </c>
      <c r="AY276" t="s">
        <v>1920</v>
      </c>
      <c r="AZ276" t="s">
        <v>3016</v>
      </c>
    </row>
    <row r="277" spans="23:52" x14ac:dyDescent="0.25">
      <c r="W277" t="str">
        <f>mapPRC!A349</f>
        <v>IMISELC-E</v>
      </c>
      <c r="X277" t="str">
        <f>IFERROR(INDEX($AS$7:$AS$88,MATCH(mapPRC!C349,$AR$7:$AR$88,0)),"")</f>
        <v>mi</v>
      </c>
      <c r="AA277" t="str">
        <f>mapCOM!A293</f>
        <v>PWRBIB</v>
      </c>
      <c r="AB277" t="str">
        <f t="shared" si="5"/>
        <v/>
      </c>
      <c r="AY277" t="s">
        <v>1918</v>
      </c>
      <c r="AZ277" t="s">
        <v>3016</v>
      </c>
    </row>
    <row r="278" spans="23:52" x14ac:dyDescent="0.25">
      <c r="W278" t="str">
        <f>mapPRC!A350</f>
        <v>IMISGAS-E</v>
      </c>
      <c r="X278" t="str">
        <f>IFERROR(INDEX($AS$7:$AS$88,MATCH(mapPRC!C350,$AR$7:$AR$88,0)),"")</f>
        <v>mi</v>
      </c>
      <c r="AA278" t="str">
        <f>mapCOM!A294</f>
        <v>PWRBIG</v>
      </c>
      <c r="AB278" t="str">
        <f t="shared" si="5"/>
        <v/>
      </c>
      <c r="AY278" t="s">
        <v>1916</v>
      </c>
      <c r="AZ278" t="s">
        <v>3016</v>
      </c>
    </row>
    <row r="279" spans="23:52" x14ac:dyDescent="0.25">
      <c r="W279" t="str">
        <f>mapPRC!A351</f>
        <v>IMISOHF-E</v>
      </c>
      <c r="X279" t="str">
        <f>IFERROR(INDEX($AS$7:$AS$88,MATCH(mapPRC!C351,$AR$7:$AR$88,0)),"")</f>
        <v>mi</v>
      </c>
      <c r="AA279" t="str">
        <f>mapCOM!A295</f>
        <v>PWRBIO</v>
      </c>
      <c r="AB279" t="str">
        <f t="shared" si="5"/>
        <v/>
      </c>
      <c r="AY279" t="s">
        <v>1914</v>
      </c>
      <c r="AZ279" t="s">
        <v>3016</v>
      </c>
    </row>
    <row r="280" spans="23:52" x14ac:dyDescent="0.25">
      <c r="W280" t="str">
        <f>mapPRC!A352</f>
        <v>IMISOLP-E</v>
      </c>
      <c r="X280" t="str">
        <f>IFERROR(INDEX($AS$7:$AS$88,MATCH(mapPRC!C352,$AR$7:$AR$88,0)),"")</f>
        <v>mi</v>
      </c>
      <c r="AA280" t="str">
        <f>mapCOM!A296</f>
        <v>PWRBIW</v>
      </c>
      <c r="AB280" t="str">
        <f t="shared" si="5"/>
        <v/>
      </c>
      <c r="AY280" t="s">
        <v>1912</v>
      </c>
      <c r="AZ280" t="s">
        <v>3016</v>
      </c>
    </row>
    <row r="281" spans="23:52" x14ac:dyDescent="0.25">
      <c r="W281" t="str">
        <f>mapPRC!A353</f>
        <v>IMISWAS-E</v>
      </c>
      <c r="X281" t="str">
        <f>IFERROR(INDEX($AS$7:$AS$88,MATCH(mapPRC!C353,$AR$7:$AR$88,0)),"")</f>
        <v>mi</v>
      </c>
      <c r="AA281" t="str">
        <f>mapCOM!A297</f>
        <v>PWRCH4R</v>
      </c>
      <c r="AB281" t="str">
        <f t="shared" si="5"/>
        <v/>
      </c>
      <c r="AY281" t="s">
        <v>1910</v>
      </c>
      <c r="AZ281" t="s">
        <v>3016</v>
      </c>
    </row>
    <row r="282" spans="23:52" x14ac:dyDescent="0.25">
      <c r="W282" t="str">
        <f>mapPRC!A354</f>
        <v>IMPBID</v>
      </c>
      <c r="X282" t="str">
        <f>IFERROR(INDEX($AS$7:$AS$88,MATCH(mapPRC!C354,$AR$7:$AR$88,0)),"")</f>
        <v>imp</v>
      </c>
      <c r="AA282" t="str">
        <f>mapCOM!A298</f>
        <v>PWRCH4S</v>
      </c>
      <c r="AB282" t="str">
        <f t="shared" si="5"/>
        <v/>
      </c>
      <c r="AY282" t="s">
        <v>1908</v>
      </c>
      <c r="AZ282" t="s">
        <v>3016</v>
      </c>
    </row>
    <row r="283" spans="23:52" x14ac:dyDescent="0.25">
      <c r="W283" t="str">
        <f>mapPRC!A355</f>
        <v>IMPBIE</v>
      </c>
      <c r="X283" t="str">
        <f>IFERROR(INDEX($AS$7:$AS$88,MATCH(mapPRC!C355,$AR$7:$AR$88,0)),"")</f>
        <v>imp</v>
      </c>
      <c r="AA283" t="str">
        <f>mapCOM!A299</f>
        <v>PWRCLD</v>
      </c>
      <c r="AB283" t="str">
        <f t="shared" si="5"/>
        <v>ccoal-dis</v>
      </c>
      <c r="AY283" t="s">
        <v>1906</v>
      </c>
      <c r="AZ283" t="s">
        <v>3016</v>
      </c>
    </row>
    <row r="284" spans="23:52" x14ac:dyDescent="0.25">
      <c r="W284" t="str">
        <f>mapPRC!A356</f>
        <v>IMPCOK</v>
      </c>
      <c r="X284" t="str">
        <f>IFERROR(INDEX($AS$7:$AS$88,MATCH(mapPRC!C356,$AR$7:$AR$88,0)),"")</f>
        <v>imp</v>
      </c>
      <c r="AA284" t="str">
        <f>mapCOM!A300</f>
        <v>PWRCLE</v>
      </c>
      <c r="AB284" t="str">
        <f t="shared" si="5"/>
        <v>ccoal-low</v>
      </c>
      <c r="AY284" t="s">
        <v>1904</v>
      </c>
      <c r="AZ284" t="s">
        <v>3016</v>
      </c>
    </row>
    <row r="285" spans="23:52" x14ac:dyDescent="0.25">
      <c r="W285" t="str">
        <f>mapPRC!A357</f>
        <v>IMPGRL</v>
      </c>
      <c r="X285" t="str">
        <f>IFERROR(INDEX($AS$7:$AS$88,MATCH(mapPRC!C357,$AR$7:$AR$88,0)),"")</f>
        <v>imp</v>
      </c>
      <c r="AA285" t="str">
        <f>mapCOM!A301</f>
        <v>PWRCLEARNO</v>
      </c>
      <c r="AB285" t="str">
        <f t="shared" si="5"/>
        <v>ccoal-low</v>
      </c>
      <c r="AY285" t="s">
        <v>1902</v>
      </c>
      <c r="AZ285" t="s">
        <v>3016</v>
      </c>
    </row>
    <row r="286" spans="23:52" x14ac:dyDescent="0.25">
      <c r="W286" t="str">
        <f>mapPRC!A358</f>
        <v>IMPGWL</v>
      </c>
      <c r="X286" t="str">
        <f>IFERROR(INDEX($AS$7:$AS$88,MATCH(mapPRC!C358,$AR$7:$AR$88,0)),"")</f>
        <v>imp</v>
      </c>
      <c r="AA286" t="str">
        <f>mapCOM!A302</f>
        <v>PWRCLECAMD</v>
      </c>
      <c r="AB286" t="str">
        <f t="shared" si="5"/>
        <v>ccoal-low</v>
      </c>
      <c r="AY286" t="s">
        <v>1900</v>
      </c>
      <c r="AZ286" t="s">
        <v>3016</v>
      </c>
    </row>
    <row r="287" spans="23:52" x14ac:dyDescent="0.25">
      <c r="W287" t="str">
        <f>mapPRC!A359</f>
        <v>IMPNUC</v>
      </c>
      <c r="X287" t="str">
        <f>IFERROR(INDEX($AS$7:$AS$88,MATCH(mapPRC!C359,$AR$7:$AR$88,0)),"")</f>
        <v>imp</v>
      </c>
      <c r="AA287" t="str">
        <f>mapCOM!A303</f>
        <v>PWRCLEDUVH</v>
      </c>
      <c r="AB287" t="str">
        <f t="shared" si="5"/>
        <v>ccoal-low</v>
      </c>
      <c r="AY287" t="s">
        <v>1898</v>
      </c>
      <c r="AZ287" t="s">
        <v>3016</v>
      </c>
    </row>
    <row r="288" spans="23:52" x14ac:dyDescent="0.25">
      <c r="W288" t="str">
        <f>mapPRC!A360</f>
        <v>IMPOAG</v>
      </c>
      <c r="X288" t="str">
        <f>IFERROR(INDEX($AS$7:$AS$88,MATCH(mapPRC!C360,$AR$7:$AR$88,0)),"")</f>
        <v>imp</v>
      </c>
      <c r="AA288" t="str">
        <f>mapCOM!A304</f>
        <v>PWRCLEGROO</v>
      </c>
      <c r="AB288" t="str">
        <f t="shared" si="5"/>
        <v>ccoal-low</v>
      </c>
      <c r="AY288" t="s">
        <v>1896</v>
      </c>
      <c r="AZ288" t="s">
        <v>3016</v>
      </c>
    </row>
    <row r="289" spans="23:52" x14ac:dyDescent="0.25">
      <c r="W289" t="str">
        <f>mapPRC!A361</f>
        <v>IMPOCR</v>
      </c>
      <c r="X289" t="str">
        <f>IFERROR(INDEX($AS$7:$AS$88,MATCH(mapPRC!C361,$AR$7:$AR$88,0)),"")</f>
        <v>imp</v>
      </c>
      <c r="AA289" t="str">
        <f>mapCOM!A305</f>
        <v>PWRCLEHEND</v>
      </c>
      <c r="AB289" t="str">
        <f t="shared" si="5"/>
        <v>ccoal-low</v>
      </c>
      <c r="AY289" t="s">
        <v>1894</v>
      </c>
      <c r="AZ289" t="s">
        <v>3016</v>
      </c>
    </row>
    <row r="290" spans="23:52" x14ac:dyDescent="0.25">
      <c r="W290" t="str">
        <f>mapPRC!A362</f>
        <v>IMPODS</v>
      </c>
      <c r="X290" t="str">
        <f>IFERROR(INDEX($AS$7:$AS$88,MATCH(mapPRC!C362,$AR$7:$AR$88,0)),"")</f>
        <v>imp</v>
      </c>
      <c r="AA290" t="str">
        <f>mapCOM!A306</f>
        <v>PWRCLEKEND</v>
      </c>
      <c r="AB290" t="str">
        <f t="shared" si="5"/>
        <v>ccoal-low</v>
      </c>
      <c r="AY290" t="s">
        <v>1892</v>
      </c>
      <c r="AZ290" t="s">
        <v>3016</v>
      </c>
    </row>
    <row r="291" spans="23:52" x14ac:dyDescent="0.25">
      <c r="W291" t="str">
        <f>mapPRC!A363</f>
        <v>IMPOGS</v>
      </c>
      <c r="X291" t="str">
        <f>IFERROR(INDEX($AS$7:$AS$88,MATCH(mapPRC!C363,$AR$7:$AR$88,0)),"")</f>
        <v>imp</v>
      </c>
      <c r="AA291" t="str">
        <f>mapCOM!A307</f>
        <v>PWRCLEKOMA</v>
      </c>
      <c r="AB291" t="str">
        <f t="shared" si="5"/>
        <v>ccoal-low</v>
      </c>
      <c r="AY291" t="s">
        <v>1890</v>
      </c>
      <c r="AZ291" t="s">
        <v>3016</v>
      </c>
    </row>
    <row r="292" spans="23:52" x14ac:dyDescent="0.25">
      <c r="W292" t="str">
        <f>mapPRC!A364</f>
        <v>IMPOHF</v>
      </c>
      <c r="X292" t="str">
        <f>IFERROR(INDEX($AS$7:$AS$88,MATCH(mapPRC!C364,$AR$7:$AR$88,0)),"")</f>
        <v>imp</v>
      </c>
      <c r="AA292" t="str">
        <f>mapCOM!A308</f>
        <v>PWRCLEKRIE</v>
      </c>
      <c r="AB292" t="str">
        <f t="shared" si="5"/>
        <v>ccoal-low</v>
      </c>
      <c r="AY292" t="s">
        <v>1888</v>
      </c>
      <c r="AZ292" t="s">
        <v>3016</v>
      </c>
    </row>
    <row r="293" spans="23:52" x14ac:dyDescent="0.25">
      <c r="W293" t="str">
        <f>mapPRC!A365</f>
        <v>IMPOKE</v>
      </c>
      <c r="X293" t="str">
        <f>IFERROR(INDEX($AS$7:$AS$88,MATCH(mapPRC!C365,$AR$7:$AR$88,0)),"")</f>
        <v>imp</v>
      </c>
      <c r="AA293" t="str">
        <f>mapCOM!A309</f>
        <v>PWRCLEKUSI</v>
      </c>
      <c r="AB293" t="str">
        <f t="shared" si="5"/>
        <v>ccoal-low</v>
      </c>
      <c r="AY293" t="s">
        <v>1886</v>
      </c>
      <c r="AZ293" t="s">
        <v>3016</v>
      </c>
    </row>
    <row r="294" spans="23:52" x14ac:dyDescent="0.25">
      <c r="W294" t="str">
        <f>mapPRC!A366</f>
        <v>IMPOLP</v>
      </c>
      <c r="X294" t="str">
        <f>IFERROR(INDEX($AS$7:$AS$88,MATCH(mapPRC!C366,$AR$7:$AR$88,0)),"")</f>
        <v>imp</v>
      </c>
      <c r="AA294" t="str">
        <f>mapCOM!A310</f>
        <v>PWRCLELETH</v>
      </c>
      <c r="AB294" t="str">
        <f t="shared" si="5"/>
        <v>ccoal-low</v>
      </c>
      <c r="AY294" t="s">
        <v>2027</v>
      </c>
      <c r="AZ294" t="s">
        <v>3016</v>
      </c>
    </row>
    <row r="295" spans="23:52" x14ac:dyDescent="0.25">
      <c r="W295" t="str">
        <f>mapPRC!A367</f>
        <v>INFAELC-E</v>
      </c>
      <c r="X295" t="str">
        <f>IFERROR(INDEX($AS$7:$AS$88,MATCH(mapPRC!C367,$AR$7:$AR$88,0)),"")</f>
        <v>nf</v>
      </c>
      <c r="AA295" t="str">
        <f>mapCOM!A311</f>
        <v>PWRCLEMAJU</v>
      </c>
      <c r="AB295" t="str">
        <f t="shared" si="5"/>
        <v>ccoal-low</v>
      </c>
      <c r="AY295" t="s">
        <v>2026</v>
      </c>
      <c r="AZ295" t="s">
        <v>3016</v>
      </c>
    </row>
    <row r="296" spans="23:52" x14ac:dyDescent="0.25">
      <c r="W296" t="str">
        <f>mapPRC!A368</f>
        <v>INFCELC-E</v>
      </c>
      <c r="X296" t="str">
        <f>IFERROR(INDEX($AS$7:$AS$88,MATCH(mapPRC!C368,$AR$7:$AR$88,0)),"")</f>
        <v>nf</v>
      </c>
      <c r="AA296" t="str">
        <f>mapCOM!A312</f>
        <v>PWRCLEMATI</v>
      </c>
      <c r="AB296" t="str">
        <f t="shared" si="5"/>
        <v>ccoal-low</v>
      </c>
      <c r="AY296" t="s">
        <v>2025</v>
      </c>
      <c r="AZ296" t="s">
        <v>3016</v>
      </c>
    </row>
    <row r="297" spans="23:52" x14ac:dyDescent="0.25">
      <c r="W297" t="str">
        <f>mapPRC!A369</f>
        <v>INFEELC-E</v>
      </c>
      <c r="X297" t="str">
        <f>IFERROR(INDEX($AS$7:$AS$88,MATCH(mapPRC!C369,$AR$7:$AR$88,0)),"")</f>
        <v>nf</v>
      </c>
      <c r="AA297" t="str">
        <f>mapCOM!A313</f>
        <v>PWRCLEMATL</v>
      </c>
      <c r="AB297" t="str">
        <f t="shared" si="5"/>
        <v>ccoal-low</v>
      </c>
      <c r="AY297" t="s">
        <v>1826</v>
      </c>
      <c r="AZ297" t="s">
        <v>3018</v>
      </c>
    </row>
    <row r="298" spans="23:52" x14ac:dyDescent="0.25">
      <c r="W298" t="str">
        <f>mapPRC!A370</f>
        <v>INFFELC-E</v>
      </c>
      <c r="X298" t="str">
        <f>IFERROR(INDEX($AS$7:$AS$88,MATCH(mapPRC!C370,$AR$7:$AR$88,0)),"")</f>
        <v>nf</v>
      </c>
      <c r="AA298" t="str">
        <f>mapCOM!A314</f>
        <v>PWRCLEMEDU</v>
      </c>
      <c r="AB298" t="str">
        <f t="shared" si="5"/>
        <v>ccoal-low</v>
      </c>
      <c r="AY298" t="s">
        <v>2024</v>
      </c>
      <c r="AZ298" t="s">
        <v>3016</v>
      </c>
    </row>
    <row r="299" spans="23:52" x14ac:dyDescent="0.25">
      <c r="W299" t="str">
        <f>mapPRC!A371</f>
        <v>INFHELC-E</v>
      </c>
      <c r="X299" t="str">
        <f>IFERROR(INDEX($AS$7:$AS$88,MATCH(mapPRC!C371,$AR$7:$AR$88,0)),"")</f>
        <v>nf</v>
      </c>
      <c r="AA299" t="str">
        <f>mapCOM!A315</f>
        <v>PWRCLETUTU</v>
      </c>
      <c r="AB299" t="str">
        <f t="shared" si="5"/>
        <v>ccoal-low</v>
      </c>
      <c r="AY299" t="s">
        <v>1824</v>
      </c>
      <c r="AZ299" t="s">
        <v>3017</v>
      </c>
    </row>
    <row r="300" spans="23:52" x14ac:dyDescent="0.25">
      <c r="W300" t="str">
        <f>mapPRC!A372</f>
        <v>INFKELC-E</v>
      </c>
      <c r="X300" t="str">
        <f>IFERROR(INDEX($AS$7:$AS$88,MATCH(mapPRC!C372,$AR$7:$AR$88,0)),"")</f>
        <v>nf</v>
      </c>
      <c r="AA300" t="str">
        <f>mapCOM!A316</f>
        <v>PWRCLEWATE</v>
      </c>
      <c r="AB300" t="str">
        <f t="shared" si="5"/>
        <v>ccoal-low</v>
      </c>
      <c r="AY300" t="s">
        <v>2023</v>
      </c>
      <c r="AZ300" t="s">
        <v>3016</v>
      </c>
    </row>
    <row r="301" spans="23:52" x14ac:dyDescent="0.25">
      <c r="W301" t="str">
        <f>mapPRC!A373</f>
        <v>INFLELC-E</v>
      </c>
      <c r="X301" t="str">
        <f>IFERROR(INDEX($AS$7:$AS$88,MATCH(mapPRC!C373,$AR$7:$AR$88,0)),"")</f>
        <v>nf</v>
      </c>
      <c r="AA301" t="str">
        <f>mapCOM!A317</f>
        <v>PWRCMOR</v>
      </c>
      <c r="AB301" t="str">
        <f t="shared" si="5"/>
        <v/>
      </c>
      <c r="AY301" t="s">
        <v>2022</v>
      </c>
      <c r="AZ301" t="s">
        <v>3016</v>
      </c>
    </row>
    <row r="302" spans="23:52" x14ac:dyDescent="0.25">
      <c r="W302" t="str">
        <f>mapPRC!A374</f>
        <v>INFOELC-E</v>
      </c>
      <c r="X302" t="str">
        <f>IFERROR(INDEX($AS$7:$AS$88,MATCH(mapPRC!C374,$AR$7:$AR$88,0)),"")</f>
        <v>nf</v>
      </c>
      <c r="AA302" t="str">
        <f>mapCOM!A318</f>
        <v>PWRCMOX</v>
      </c>
      <c r="AB302" t="str">
        <f t="shared" si="5"/>
        <v/>
      </c>
      <c r="AY302" t="s">
        <v>2021</v>
      </c>
      <c r="AZ302" t="s">
        <v>3016</v>
      </c>
    </row>
    <row r="303" spans="23:52" x14ac:dyDescent="0.25">
      <c r="W303" t="str">
        <f>mapPRC!A375</f>
        <v>INFPELC-E</v>
      </c>
      <c r="X303" t="str">
        <f>IFERROR(INDEX($AS$7:$AS$88,MATCH(mapPRC!C375,$AR$7:$AR$88,0)),"")</f>
        <v>nf</v>
      </c>
      <c r="AA303" t="str">
        <f>mapCOM!A319</f>
        <v>PWRCO2R</v>
      </c>
      <c r="AB303" t="str">
        <f t="shared" si="5"/>
        <v/>
      </c>
      <c r="AY303" t="s">
        <v>2020</v>
      </c>
      <c r="AZ303" t="s">
        <v>3016</v>
      </c>
    </row>
    <row r="304" spans="23:52" x14ac:dyDescent="0.25">
      <c r="W304" t="str">
        <f>mapPRC!A376</f>
        <v>INFSCOA-E</v>
      </c>
      <c r="X304" t="str">
        <f>IFERROR(INDEX($AS$7:$AS$88,MATCH(mapPRC!C376,$AR$7:$AR$88,0)),"")</f>
        <v>nf</v>
      </c>
      <c r="AA304" t="str">
        <f>mapCOM!A320</f>
        <v>PWRCO2S</v>
      </c>
      <c r="AB304" t="str">
        <f t="shared" si="5"/>
        <v/>
      </c>
      <c r="AY304" t="s">
        <v>2019</v>
      </c>
      <c r="AZ304" t="s">
        <v>3016</v>
      </c>
    </row>
    <row r="305" spans="23:52" x14ac:dyDescent="0.25">
      <c r="W305" t="str">
        <f>mapPRC!A377</f>
        <v>INFSELC-E</v>
      </c>
      <c r="X305" t="str">
        <f>IFERROR(INDEX($AS$7:$AS$88,MATCH(mapPRC!C377,$AR$7:$AR$88,0)),"")</f>
        <v>nf</v>
      </c>
      <c r="AA305" t="str">
        <f>mapCOM!A321</f>
        <v>PWRCRB</v>
      </c>
      <c r="AB305" t="str">
        <f t="shared" si="5"/>
        <v/>
      </c>
      <c r="AY305" t="s">
        <v>2018</v>
      </c>
      <c r="AZ305" t="s">
        <v>3016</v>
      </c>
    </row>
    <row r="306" spans="23:52" x14ac:dyDescent="0.25">
      <c r="W306" t="str">
        <f>mapPRC!A378</f>
        <v>INFSGAS-E</v>
      </c>
      <c r="X306" t="str">
        <f>IFERROR(INDEX($AS$7:$AS$88,MATCH(mapPRC!C378,$AR$7:$AR$88,0)),"")</f>
        <v>nf</v>
      </c>
      <c r="AA306" t="str">
        <f>mapCOM!A322</f>
        <v>PWRENV</v>
      </c>
      <c r="AB306" t="str">
        <f t="shared" si="5"/>
        <v/>
      </c>
      <c r="AY306" t="s">
        <v>2017</v>
      </c>
      <c r="AZ306" t="s">
        <v>3016</v>
      </c>
    </row>
    <row r="307" spans="23:52" x14ac:dyDescent="0.25">
      <c r="W307" t="str">
        <f>mapPRC!A379</f>
        <v>INFSOHF-E</v>
      </c>
      <c r="X307" t="str">
        <f>IFERROR(INDEX($AS$7:$AS$88,MATCH(mapPRC!C379,$AR$7:$AR$88,0)),"")</f>
        <v>nf</v>
      </c>
      <c r="AA307" t="str">
        <f>mapCOM!A323</f>
        <v>PWRGAS</v>
      </c>
      <c r="AB307" t="str">
        <f t="shared" si="5"/>
        <v>cngas</v>
      </c>
      <c r="AY307" t="s">
        <v>1884</v>
      </c>
      <c r="AZ307" t="s">
        <v>3016</v>
      </c>
    </row>
    <row r="308" spans="23:52" x14ac:dyDescent="0.25">
      <c r="W308" t="str">
        <f>mapPRC!A380</f>
        <v>INFSOLP-E</v>
      </c>
      <c r="X308" t="str">
        <f>IFERROR(INDEX($AS$7:$AS$88,MATCH(mapPRC!C380,$AR$7:$AR$88,0)),"")</f>
        <v>nf</v>
      </c>
      <c r="AA308" t="str">
        <f>mapCOM!A324</f>
        <v>PWRGIC</v>
      </c>
      <c r="AB308" t="str">
        <f t="shared" si="5"/>
        <v>cngas</v>
      </c>
      <c r="AY308" t="s">
        <v>1822</v>
      </c>
      <c r="AZ308" t="s">
        <v>3018</v>
      </c>
    </row>
    <row r="309" spans="23:52" x14ac:dyDescent="0.25">
      <c r="W309" t="str">
        <f>mapPRC!A381</f>
        <v>INFSWAS-E</v>
      </c>
      <c r="X309" t="str">
        <f>IFERROR(INDEX($AS$7:$AS$88,MATCH(mapPRC!C381,$AR$7:$AR$88,0)),"")</f>
        <v>nf</v>
      </c>
      <c r="AA309" t="str">
        <f>mapCOM!A325</f>
        <v>PWRGIH</v>
      </c>
      <c r="AB309" t="str">
        <f t="shared" si="5"/>
        <v>cngas</v>
      </c>
      <c r="AY309" t="s">
        <v>1820</v>
      </c>
      <c r="AZ309" t="s">
        <v>3017</v>
      </c>
    </row>
    <row r="310" spans="23:52" x14ac:dyDescent="0.25">
      <c r="W310" t="str">
        <f>mapPRC!A382</f>
        <v>INMBRIADV</v>
      </c>
      <c r="X310" t="str">
        <f>IFERROR(INDEX($AS$7:$AS$88,MATCH(mapPRC!C382,$AR$7:$AR$88,0)),"")</f>
        <v>nm</v>
      </c>
      <c r="AA310" t="str">
        <f>mapCOM!A326</f>
        <v>PWRGRM</v>
      </c>
      <c r="AB310" t="str">
        <f t="shared" si="5"/>
        <v>cngas</v>
      </c>
      <c r="AY310" t="s">
        <v>2016</v>
      </c>
      <c r="AZ310" t="s">
        <v>3016</v>
      </c>
    </row>
    <row r="311" spans="23:52" x14ac:dyDescent="0.25">
      <c r="W311" t="str">
        <f>mapPRC!A383</f>
        <v>INMBRIF2TF</v>
      </c>
      <c r="X311" t="str">
        <f>IFERROR(INDEX($AS$7:$AS$88,MATCH(mapPRC!C383,$AR$7:$AR$88,0)),"")</f>
        <v>nm</v>
      </c>
      <c r="AA311" t="str">
        <f>mapCOM!A327</f>
        <v>PWRGRN</v>
      </c>
      <c r="AB311" t="str">
        <f t="shared" si="5"/>
        <v>cngas</v>
      </c>
      <c r="AY311" t="s">
        <v>2015</v>
      </c>
      <c r="AZ311" t="s">
        <v>3016</v>
      </c>
    </row>
    <row r="312" spans="23:52" x14ac:dyDescent="0.25">
      <c r="W312" t="str">
        <f>mapPRC!A384</f>
        <v>INMBRISTD</v>
      </c>
      <c r="X312" t="str">
        <f>IFERROR(INDEX($AS$7:$AS$88,MATCH(mapPRC!C384,$AR$7:$AR$88,0)),"")</f>
        <v>nm</v>
      </c>
      <c r="AA312" t="str">
        <f>mapCOM!A328</f>
        <v>PWRGRS</v>
      </c>
      <c r="AB312" t="str">
        <f t="shared" si="5"/>
        <v>cngas</v>
      </c>
      <c r="AY312" t="s">
        <v>2014</v>
      </c>
      <c r="AZ312" t="s">
        <v>3016</v>
      </c>
    </row>
    <row r="313" spans="23:52" x14ac:dyDescent="0.25">
      <c r="W313" t="str">
        <f>mapPRC!A385</f>
        <v>INMCEMF2TF</v>
      </c>
      <c r="X313" t="str">
        <f>IFERROR(INDEX($AS$7:$AS$88,MATCH(mapPRC!C385,$AR$7:$AR$88,0)),"")</f>
        <v>nm</v>
      </c>
      <c r="AA313" t="str">
        <f>mapCOM!A329</f>
        <v>PWRHYD</v>
      </c>
      <c r="AB313" t="str">
        <f t="shared" si="5"/>
        <v/>
      </c>
      <c r="AY313" t="s">
        <v>1818</v>
      </c>
      <c r="AZ313" t="s">
        <v>3018</v>
      </c>
    </row>
    <row r="314" spans="23:52" x14ac:dyDescent="0.25">
      <c r="W314" t="str">
        <f>mapPRC!A386</f>
        <v>INMCEMFGBM</v>
      </c>
      <c r="X314" t="str">
        <f>IFERROR(INDEX($AS$7:$AS$88,MATCH(mapPRC!C386,$AR$7:$AR$88,0)),"")</f>
        <v>nm</v>
      </c>
      <c r="AA314" t="str">
        <f>mapCOM!A330</f>
        <v>PWRN2OR</v>
      </c>
      <c r="AB314" t="str">
        <f t="shared" si="5"/>
        <v/>
      </c>
      <c r="AY314" t="s">
        <v>2013</v>
      </c>
      <c r="AZ314" t="s">
        <v>3016</v>
      </c>
    </row>
    <row r="315" spans="23:52" x14ac:dyDescent="0.25">
      <c r="W315" t="str">
        <f>mapPRC!A387</f>
        <v>INMCEMFGRP</v>
      </c>
      <c r="X315" t="str">
        <f>IFERROR(INDEX($AS$7:$AS$88,MATCH(mapPRC!C387,$AR$7:$AR$88,0)),"")</f>
        <v>nm</v>
      </c>
      <c r="AA315" t="str">
        <f>mapCOM!A331</f>
        <v>PWRN2OS</v>
      </c>
      <c r="AB315" t="str">
        <f t="shared" si="5"/>
        <v/>
      </c>
      <c r="AY315" t="s">
        <v>1816</v>
      </c>
      <c r="AZ315" t="s">
        <v>3017</v>
      </c>
    </row>
    <row r="316" spans="23:52" x14ac:dyDescent="0.25">
      <c r="W316" t="str">
        <f>mapPRC!A388</f>
        <v>INMCEMKLD-E</v>
      </c>
      <c r="X316" t="str">
        <f>IFERROR(INDEX($AS$7:$AS$88,MATCH(mapPRC!C388,$AR$7:$AR$88,0)),"")</f>
        <v>nm</v>
      </c>
      <c r="AA316" t="str">
        <f>mapCOM!A332</f>
        <v>PWRNMVR</v>
      </c>
      <c r="AB316" t="str">
        <f t="shared" si="5"/>
        <v/>
      </c>
      <c r="AY316" t="s">
        <v>2012</v>
      </c>
      <c r="AZ316" t="s">
        <v>3016</v>
      </c>
    </row>
    <row r="317" spans="23:52" x14ac:dyDescent="0.25">
      <c r="W317" t="str">
        <f>mapPRC!A389</f>
        <v>INMCEMKLD-E-T1</v>
      </c>
      <c r="X317" t="str">
        <f>IFERROR(INDEX($AS$7:$AS$88,MATCH(mapPRC!C389,$AR$7:$AR$88,0)),"")</f>
        <v>nm</v>
      </c>
      <c r="AA317" t="str">
        <f>mapCOM!A333</f>
        <v>PWRNMVS</v>
      </c>
      <c r="AB317" t="str">
        <f t="shared" si="5"/>
        <v/>
      </c>
      <c r="AY317" t="s">
        <v>2011</v>
      </c>
      <c r="AZ317" t="s">
        <v>3016</v>
      </c>
    </row>
    <row r="318" spans="23:52" x14ac:dyDescent="0.25">
      <c r="W318" t="str">
        <f>mapPRC!A390</f>
        <v>INMCEMKLD-E-T2</v>
      </c>
      <c r="X318" t="str">
        <f>IFERROR(INDEX($AS$7:$AS$88,MATCH(mapPRC!C390,$AR$7:$AR$88,0)),"")</f>
        <v>nm</v>
      </c>
      <c r="AA318" t="str">
        <f>mapCOM!A334</f>
        <v>PWRNOXR</v>
      </c>
      <c r="AB318" t="str">
        <f t="shared" si="5"/>
        <v/>
      </c>
      <c r="AY318" t="s">
        <v>2010</v>
      </c>
      <c r="AZ318" t="s">
        <v>3016</v>
      </c>
    </row>
    <row r="319" spans="23:52" x14ac:dyDescent="0.25">
      <c r="W319" t="str">
        <f>mapPRC!A391</f>
        <v>INMCEMKPP-E</v>
      </c>
      <c r="X319" t="str">
        <f>IFERROR(INDEX($AS$7:$AS$88,MATCH(mapPRC!C391,$AR$7:$AR$88,0)),"")</f>
        <v>nm</v>
      </c>
      <c r="AA319" t="str">
        <f>mapCOM!A335</f>
        <v>PWRNOXS</v>
      </c>
      <c r="AB319" t="str">
        <f t="shared" si="5"/>
        <v/>
      </c>
      <c r="AY319" t="s">
        <v>2009</v>
      </c>
      <c r="AZ319" t="s">
        <v>3016</v>
      </c>
    </row>
    <row r="320" spans="23:52" x14ac:dyDescent="0.25">
      <c r="W320" t="str">
        <f>mapPRC!A392</f>
        <v>INMCEMKPP-E-T1</v>
      </c>
      <c r="X320" t="str">
        <f>IFERROR(INDEX($AS$7:$AS$88,MATCH(mapPRC!C392,$AR$7:$AR$88,0)),"")</f>
        <v>nm</v>
      </c>
      <c r="AA320" t="str">
        <f>mapCOM!A336</f>
        <v>PWRNUC</v>
      </c>
      <c r="AB320" t="str">
        <f t="shared" si="5"/>
        <v/>
      </c>
      <c r="AY320" t="s">
        <v>2008</v>
      </c>
      <c r="AZ320" t="s">
        <v>3016</v>
      </c>
    </row>
    <row r="321" spans="23:52" x14ac:dyDescent="0.25">
      <c r="W321" t="str">
        <f>mapPRC!A393</f>
        <v>INMCEMKPP-E-T2</v>
      </c>
      <c r="X321" t="str">
        <f>IFERROR(INDEX($AS$7:$AS$88,MATCH(mapPRC!C393,$AR$7:$AR$88,0)),"")</f>
        <v>nm</v>
      </c>
      <c r="AA321" t="str">
        <f>mapCOM!A337</f>
        <v>PWRODS</v>
      </c>
      <c r="AB321" t="str">
        <f t="shared" si="5"/>
        <v>cpetr_d</v>
      </c>
      <c r="AY321" t="s">
        <v>2007</v>
      </c>
      <c r="AZ321" t="s">
        <v>3016</v>
      </c>
    </row>
    <row r="322" spans="23:52" x14ac:dyDescent="0.25">
      <c r="W322" t="str">
        <f>mapPRC!A394</f>
        <v>INMCEMKPP-N</v>
      </c>
      <c r="X322" t="str">
        <f>IFERROR(INDEX($AS$7:$AS$88,MATCH(mapPRC!C394,$AR$7:$AR$88,0)),"")</f>
        <v>nm</v>
      </c>
      <c r="AA322" t="str">
        <f>mapCOM!A338</f>
        <v>PWRP10R</v>
      </c>
      <c r="AB322" t="str">
        <f t="shared" si="5"/>
        <v/>
      </c>
      <c r="AY322" t="s">
        <v>1814</v>
      </c>
      <c r="AZ322" t="s">
        <v>3016</v>
      </c>
    </row>
    <row r="323" spans="23:52" x14ac:dyDescent="0.25">
      <c r="W323" t="str">
        <f>mapPRC!A395</f>
        <v>INMCEMKSP-E</v>
      </c>
      <c r="X323" t="str">
        <f>IFERROR(INDEX($AS$7:$AS$88,MATCH(mapPRC!C395,$AR$7:$AR$88,0)),"")</f>
        <v>nm</v>
      </c>
      <c r="AA323" t="str">
        <f>mapCOM!A339</f>
        <v>PWRP10S</v>
      </c>
      <c r="AB323" t="str">
        <f t="shared" si="5"/>
        <v/>
      </c>
      <c r="AY323" t="s">
        <v>1812</v>
      </c>
      <c r="AZ323" t="s">
        <v>3016</v>
      </c>
    </row>
    <row r="324" spans="23:52" x14ac:dyDescent="0.25">
      <c r="W324" t="str">
        <f>mapPRC!A396</f>
        <v>INMCEMKSP-E-T1</v>
      </c>
      <c r="X324" t="str">
        <f>IFERROR(INDEX($AS$7:$AS$88,MATCH(mapPRC!C396,$AR$7:$AR$88,0)),"")</f>
        <v>nm</v>
      </c>
      <c r="AA324" t="str">
        <f>mapCOM!A340</f>
        <v>PWRSOL</v>
      </c>
      <c r="AB324" t="str">
        <f t="shared" si="5"/>
        <v/>
      </c>
      <c r="AY324" t="s">
        <v>1810</v>
      </c>
      <c r="AZ324" t="s">
        <v>3019</v>
      </c>
    </row>
    <row r="325" spans="23:52" x14ac:dyDescent="0.25">
      <c r="W325" t="str">
        <f>mapPRC!A397</f>
        <v>INMCEMKSP-E-T2</v>
      </c>
      <c r="X325" t="str">
        <f>IFERROR(INDEX($AS$7:$AS$88,MATCH(mapPRC!C397,$AR$7:$AR$88,0)),"")</f>
        <v>nm</v>
      </c>
      <c r="AA325" t="str">
        <f>mapCOM!A341</f>
        <v>PWRSOXR</v>
      </c>
      <c r="AB325" t="str">
        <f t="shared" si="5"/>
        <v/>
      </c>
      <c r="AY325" t="s">
        <v>1806</v>
      </c>
      <c r="AZ325" t="s">
        <v>3016</v>
      </c>
    </row>
    <row r="326" spans="23:52" x14ac:dyDescent="0.25">
      <c r="W326" t="str">
        <f>mapPRC!A398</f>
        <v>INMCEMKSP-N</v>
      </c>
      <c r="X326" t="str">
        <f>IFERROR(INDEX($AS$7:$AS$88,MATCH(mapPRC!C398,$AR$7:$AR$88,0)),"")</f>
        <v>nm</v>
      </c>
      <c r="AA326" t="str">
        <f>mapCOM!A342</f>
        <v>PWRSOXS</v>
      </c>
      <c r="AB326" t="str">
        <f t="shared" si="5"/>
        <v/>
      </c>
      <c r="AY326" t="s">
        <v>1804</v>
      </c>
      <c r="AZ326" t="s">
        <v>3019</v>
      </c>
    </row>
    <row r="327" spans="23:52" x14ac:dyDescent="0.25">
      <c r="W327" t="str">
        <f>mapPRC!A399</f>
        <v>INMCEMPGBM</v>
      </c>
      <c r="X327" t="str">
        <f>IFERROR(INDEX($AS$7:$AS$88,MATCH(mapPRC!C399,$AR$7:$AR$88,0)),"")</f>
        <v>nm</v>
      </c>
      <c r="AA327" t="str">
        <f>mapCOM!A343</f>
        <v>PWRWND</v>
      </c>
      <c r="AB327" t="str">
        <f t="shared" ref="AB327:AB390" si="6">INDEX($AZ$6:$AZ$784,MATCH(AA327,$AY$6:$AY$784,0))</f>
        <v/>
      </c>
      <c r="AY327" t="s">
        <v>1802</v>
      </c>
      <c r="AZ327" t="s">
        <v>3016</v>
      </c>
    </row>
    <row r="328" spans="23:52" x14ac:dyDescent="0.25">
      <c r="W328" t="str">
        <f>mapPRC!A400</f>
        <v>INMCEMPGRP</v>
      </c>
      <c r="X328" t="str">
        <f>IFERROR(INDEX($AS$7:$AS$88,MATCH(mapPRC!C400,$AR$7:$AR$88,0)),"")</f>
        <v>nm</v>
      </c>
      <c r="AA328" t="str">
        <f>mapCOM!A344</f>
        <v>RESBIW</v>
      </c>
      <c r="AB328" t="str">
        <f t="shared" si="6"/>
        <v/>
      </c>
      <c r="AY328" t="s">
        <v>1882</v>
      </c>
      <c r="AZ328" t="s">
        <v>3016</v>
      </c>
    </row>
    <row r="329" spans="23:52" x14ac:dyDescent="0.25">
      <c r="W329" t="str">
        <f>mapPRC!A401</f>
        <v>INMGLAADV</v>
      </c>
      <c r="X329" t="str">
        <f>IFERROR(INDEX($AS$7:$AS$88,MATCH(mapPRC!C401,$AR$7:$AR$88,0)),"")</f>
        <v>nm</v>
      </c>
      <c r="AA329" t="str">
        <f>mapCOM!A345</f>
        <v>RESCH4</v>
      </c>
      <c r="AB329" t="str">
        <f t="shared" si="6"/>
        <v/>
      </c>
      <c r="AY329" t="s">
        <v>1798</v>
      </c>
      <c r="AZ329" t="s">
        <v>3018</v>
      </c>
    </row>
    <row r="330" spans="23:52" x14ac:dyDescent="0.25">
      <c r="W330" t="str">
        <f>mapPRC!A402</f>
        <v>INMGLAF2TF</v>
      </c>
      <c r="X330" t="str">
        <f>IFERROR(INDEX($AS$7:$AS$88,MATCH(mapPRC!C402,$AR$7:$AR$88,0)),"")</f>
        <v>nm</v>
      </c>
      <c r="AA330" t="str">
        <f>mapCOM!A346</f>
        <v>RESCH4S</v>
      </c>
      <c r="AB330" t="str">
        <f t="shared" si="6"/>
        <v/>
      </c>
      <c r="AY330" t="s">
        <v>1796</v>
      </c>
      <c r="AZ330" t="s">
        <v>3017</v>
      </c>
    </row>
    <row r="331" spans="23:52" x14ac:dyDescent="0.25">
      <c r="W331" t="str">
        <f>mapPRC!A403</f>
        <v>INMGLASTD</v>
      </c>
      <c r="X331" t="str">
        <f>IFERROR(INDEX($AS$7:$AS$88,MATCH(mapPRC!C403,$AR$7:$AR$88,0)),"")</f>
        <v>nm</v>
      </c>
      <c r="AA331" t="str">
        <f>mapCOM!A347</f>
        <v>RESCMOX</v>
      </c>
      <c r="AB331" t="str">
        <f t="shared" si="6"/>
        <v/>
      </c>
      <c r="AY331" t="s">
        <v>1794</v>
      </c>
      <c r="AZ331" t="s">
        <v>3021</v>
      </c>
    </row>
    <row r="332" spans="23:52" x14ac:dyDescent="0.25">
      <c r="W332" t="str">
        <f>mapPRC!A404</f>
        <v>INMLIMADV</v>
      </c>
      <c r="X332" t="str">
        <f>IFERROR(INDEX($AS$7:$AS$88,MATCH(mapPRC!C404,$AR$7:$AR$88,0)),"")</f>
        <v>nm</v>
      </c>
      <c r="AA332" t="str">
        <f>mapCOM!A348</f>
        <v>RESCO2</v>
      </c>
      <c r="AB332" t="str">
        <f t="shared" si="6"/>
        <v/>
      </c>
      <c r="AY332" t="s">
        <v>1793</v>
      </c>
      <c r="AZ332" t="s">
        <v>3021</v>
      </c>
    </row>
    <row r="333" spans="23:52" x14ac:dyDescent="0.25">
      <c r="W333" t="str">
        <f>mapPRC!A405</f>
        <v>INMLIMF2TF</v>
      </c>
      <c r="X333" t="str">
        <f>IFERROR(INDEX($AS$7:$AS$88,MATCH(mapPRC!C405,$AR$7:$AR$88,0)),"")</f>
        <v>nm</v>
      </c>
      <c r="AA333" t="str">
        <f>mapCOM!A349</f>
        <v>RESCO2S</v>
      </c>
      <c r="AB333" t="str">
        <f t="shared" si="6"/>
        <v/>
      </c>
      <c r="AY333" t="s">
        <v>1792</v>
      </c>
      <c r="AZ333" t="s">
        <v>3016</v>
      </c>
    </row>
    <row r="334" spans="23:52" x14ac:dyDescent="0.25">
      <c r="W334" t="str">
        <f>mapPRC!A406</f>
        <v>INMLIMSTD</v>
      </c>
      <c r="X334" t="str">
        <f>IFERROR(INDEX($AS$7:$AS$88,MATCH(mapPRC!C406,$AR$7:$AR$88,0)),"")</f>
        <v>nm</v>
      </c>
      <c r="AA334" t="str">
        <f>mapCOM!A350</f>
        <v>RESCOA</v>
      </c>
      <c r="AB334" t="str">
        <f t="shared" si="6"/>
        <v>ccoal-hgh</v>
      </c>
      <c r="AY334" t="s">
        <v>1789</v>
      </c>
      <c r="AZ334" t="s">
        <v>3016</v>
      </c>
    </row>
    <row r="335" spans="23:52" x14ac:dyDescent="0.25">
      <c r="W335" t="str">
        <f>mapPRC!A407</f>
        <v>IOTAELC-E</v>
      </c>
      <c r="X335" t="str">
        <f>IFERROR(INDEX($AS$7:$AS$88,MATCH(mapPRC!C407,$AR$7:$AR$88,0)),"")</f>
        <v>ot</v>
      </c>
      <c r="AA335" t="str">
        <f>mapCOM!A351</f>
        <v>RESELC</v>
      </c>
      <c r="AB335" t="str">
        <f t="shared" si="6"/>
        <v>celec</v>
      </c>
      <c r="AY335" t="s">
        <v>2006</v>
      </c>
      <c r="AZ335" t="s">
        <v>3016</v>
      </c>
    </row>
    <row r="336" spans="23:52" x14ac:dyDescent="0.25">
      <c r="W336" t="str">
        <f>mapPRC!A408</f>
        <v>IOTCELC-E</v>
      </c>
      <c r="X336" t="str">
        <f>IFERROR(INDEX($AS$7:$AS$88,MATCH(mapPRC!C408,$AR$7:$AR$88,0)),"")</f>
        <v>ot</v>
      </c>
      <c r="AA336" t="str">
        <f>mapCOM!A352</f>
        <v>RESGAS</v>
      </c>
      <c r="AB336" t="str">
        <f t="shared" si="6"/>
        <v>cngas</v>
      </c>
      <c r="AY336" t="s">
        <v>2005</v>
      </c>
      <c r="AZ336" t="s">
        <v>3016</v>
      </c>
    </row>
    <row r="337" spans="23:52" x14ac:dyDescent="0.25">
      <c r="W337" t="str">
        <f>mapPRC!A409</f>
        <v>IOTEELC-E</v>
      </c>
      <c r="X337" t="str">
        <f>IFERROR(INDEX($AS$7:$AS$88,MATCH(mapPRC!C409,$AR$7:$AR$88,0)),"")</f>
        <v>ot</v>
      </c>
      <c r="AA337" t="str">
        <f>mapCOM!A353</f>
        <v>RESN2O</v>
      </c>
      <c r="AB337" t="str">
        <f t="shared" si="6"/>
        <v/>
      </c>
      <c r="AY337" t="s">
        <v>2004</v>
      </c>
      <c r="AZ337" t="s">
        <v>3016</v>
      </c>
    </row>
    <row r="338" spans="23:52" x14ac:dyDescent="0.25">
      <c r="W338" t="str">
        <f>mapPRC!A410</f>
        <v>IOTFELC-E</v>
      </c>
      <c r="X338" t="str">
        <f>IFERROR(INDEX($AS$7:$AS$88,MATCH(mapPRC!C410,$AR$7:$AR$88,0)),"")</f>
        <v>ot</v>
      </c>
      <c r="AA338" t="str">
        <f>mapCOM!A354</f>
        <v>RESN2OS</v>
      </c>
      <c r="AB338" t="str">
        <f t="shared" si="6"/>
        <v/>
      </c>
      <c r="AY338" t="s">
        <v>1786</v>
      </c>
      <c r="AZ338" t="s">
        <v>3018</v>
      </c>
    </row>
    <row r="339" spans="23:52" x14ac:dyDescent="0.25">
      <c r="W339" t="str">
        <f>mapPRC!A411</f>
        <v>IOTHELC-E</v>
      </c>
      <c r="X339" t="str">
        <f>IFERROR(INDEX($AS$7:$AS$88,MATCH(mapPRC!C411,$AR$7:$AR$88,0)),"")</f>
        <v>ot</v>
      </c>
      <c r="AA339" t="str">
        <f>mapCOM!A355</f>
        <v>RESNMVS</v>
      </c>
      <c r="AB339" t="str">
        <f t="shared" si="6"/>
        <v/>
      </c>
      <c r="AY339" t="s">
        <v>2003</v>
      </c>
      <c r="AZ339" t="s">
        <v>3016</v>
      </c>
    </row>
    <row r="340" spans="23:52" x14ac:dyDescent="0.25">
      <c r="W340" t="str">
        <f>mapPRC!A412</f>
        <v>IOTKELC-E</v>
      </c>
      <c r="X340" t="str">
        <f>IFERROR(INDEX($AS$7:$AS$88,MATCH(mapPRC!C412,$AR$7:$AR$88,0)),"")</f>
        <v>ot</v>
      </c>
      <c r="AA340" t="str">
        <f>mapCOM!A356</f>
        <v>RESNOX</v>
      </c>
      <c r="AB340" t="str">
        <f t="shared" si="6"/>
        <v/>
      </c>
      <c r="AY340" t="s">
        <v>1784</v>
      </c>
      <c r="AZ340" t="s">
        <v>3017</v>
      </c>
    </row>
    <row r="341" spans="23:52" x14ac:dyDescent="0.25">
      <c r="W341" t="str">
        <f>mapPRC!A413</f>
        <v>IOTLELC-E</v>
      </c>
      <c r="X341" t="str">
        <f>IFERROR(INDEX($AS$7:$AS$88,MATCH(mapPRC!C413,$AR$7:$AR$88,0)),"")</f>
        <v>ot</v>
      </c>
      <c r="AA341" t="str">
        <f>mapCOM!A357</f>
        <v>RESNOXS</v>
      </c>
      <c r="AB341" t="str">
        <f t="shared" si="6"/>
        <v/>
      </c>
      <c r="AY341" t="s">
        <v>2002</v>
      </c>
      <c r="AZ341" t="s">
        <v>3016</v>
      </c>
    </row>
    <row r="342" spans="23:52" x14ac:dyDescent="0.25">
      <c r="W342" t="str">
        <f>mapPRC!A414</f>
        <v>IOTOELC-E</v>
      </c>
      <c r="X342" t="str">
        <f>IFERROR(INDEX($AS$7:$AS$88,MATCH(mapPRC!C414,$AR$7:$AR$88,0)),"")</f>
        <v>ot</v>
      </c>
      <c r="AA342" t="str">
        <f>mapCOM!A358</f>
        <v>RESOKE</v>
      </c>
      <c r="AB342" t="str">
        <f t="shared" si="6"/>
        <v>cpetr_o</v>
      </c>
      <c r="AY342" t="s">
        <v>2001</v>
      </c>
      <c r="AZ342" t="s">
        <v>3016</v>
      </c>
    </row>
    <row r="343" spans="23:52" x14ac:dyDescent="0.25">
      <c r="W343" t="str">
        <f>mapPRC!A415</f>
        <v>IOTPELC-E</v>
      </c>
      <c r="X343" t="str">
        <f>IFERROR(INDEX($AS$7:$AS$88,MATCH(mapPRC!C415,$AR$7:$AR$88,0)),"")</f>
        <v>ot</v>
      </c>
      <c r="AA343" t="str">
        <f>mapCOM!A359</f>
        <v>RESOLP</v>
      </c>
      <c r="AB343" t="str">
        <f t="shared" si="6"/>
        <v>cpetr_o</v>
      </c>
      <c r="AY343" t="s">
        <v>2000</v>
      </c>
      <c r="AZ343" t="s">
        <v>3016</v>
      </c>
    </row>
    <row r="344" spans="23:52" x14ac:dyDescent="0.25">
      <c r="W344" t="str">
        <f>mapPRC!A416</f>
        <v>IOTRODS-E</v>
      </c>
      <c r="X344" t="str">
        <f>IFERROR(INDEX($AS$7:$AS$88,MATCH(mapPRC!C416,$AR$7:$AR$88,0)),"")</f>
        <v>ot</v>
      </c>
      <c r="AA344" t="str">
        <f>mapCOM!A360</f>
        <v>RESP10S</v>
      </c>
      <c r="AB344" t="str">
        <f t="shared" si="6"/>
        <v/>
      </c>
      <c r="AY344" t="s">
        <v>1999</v>
      </c>
      <c r="AZ344" t="s">
        <v>3016</v>
      </c>
    </row>
    <row r="345" spans="23:52" x14ac:dyDescent="0.25">
      <c r="W345" t="str">
        <f>mapPRC!A417</f>
        <v>IOTSCOA-E</v>
      </c>
      <c r="X345" t="str">
        <f>IFERROR(INDEX($AS$7:$AS$88,MATCH(mapPRC!C417,$AR$7:$AR$88,0)),"")</f>
        <v>ot</v>
      </c>
      <c r="AA345" t="str">
        <f>mapCOM!A361</f>
        <v>RESSOX</v>
      </c>
      <c r="AB345" t="str">
        <f t="shared" si="6"/>
        <v/>
      </c>
      <c r="AY345" t="s">
        <v>1998</v>
      </c>
      <c r="AZ345" t="s">
        <v>3016</v>
      </c>
    </row>
    <row r="346" spans="23:52" x14ac:dyDescent="0.25">
      <c r="W346" t="str">
        <f>mapPRC!A418</f>
        <v>IOTSELC-E</v>
      </c>
      <c r="X346" t="str">
        <f>IFERROR(INDEX($AS$7:$AS$88,MATCH(mapPRC!C418,$AR$7:$AR$88,0)),"")</f>
        <v>ot</v>
      </c>
      <c r="AA346" t="str">
        <f>mapCOM!A362</f>
        <v>RESSOXS</v>
      </c>
      <c r="AB346" t="str">
        <f t="shared" si="6"/>
        <v/>
      </c>
      <c r="AY346" t="s">
        <v>1997</v>
      </c>
      <c r="AZ346" t="s">
        <v>3016</v>
      </c>
    </row>
    <row r="347" spans="23:52" x14ac:dyDescent="0.25">
      <c r="W347" t="str">
        <f>mapPRC!A419</f>
        <v>IOTSGAS-E</v>
      </c>
      <c r="X347" t="str">
        <f>IFERROR(INDEX($AS$7:$AS$88,MATCH(mapPRC!C419,$AR$7:$AR$88,0)),"")</f>
        <v>ot</v>
      </c>
      <c r="AA347" t="str">
        <f>mapCOM!A363</f>
        <v>RHEH</v>
      </c>
      <c r="AB347" t="str">
        <f t="shared" si="6"/>
        <v/>
      </c>
      <c r="AY347" t="s">
        <v>1996</v>
      </c>
      <c r="AZ347" t="s">
        <v>3016</v>
      </c>
    </row>
    <row r="348" spans="23:52" x14ac:dyDescent="0.25">
      <c r="W348" t="str">
        <f>mapPRC!A420</f>
        <v>IOTSOHF-E</v>
      </c>
      <c r="X348" t="str">
        <f>IFERROR(INDEX($AS$7:$AS$88,MATCH(mapPRC!C420,$AR$7:$AR$88,0)),"")</f>
        <v>ot</v>
      </c>
      <c r="AA348" t="str">
        <f>mapCOM!A364</f>
        <v>RHEK</v>
      </c>
      <c r="AB348" t="str">
        <f t="shared" si="6"/>
        <v/>
      </c>
      <c r="AY348" t="s">
        <v>1782</v>
      </c>
      <c r="AZ348" t="s">
        <v>3016</v>
      </c>
    </row>
    <row r="349" spans="23:52" x14ac:dyDescent="0.25">
      <c r="W349" t="str">
        <f>mapPRC!A421</f>
        <v>IOTSOLP-E</v>
      </c>
      <c r="X349" t="str">
        <f>IFERROR(INDEX($AS$7:$AS$88,MATCH(mapPRC!C421,$AR$7:$AR$88,0)),"")</f>
        <v>ot</v>
      </c>
      <c r="AA349" t="str">
        <f>mapCOM!A365</f>
        <v>RHEL</v>
      </c>
      <c r="AB349" t="str">
        <f t="shared" si="6"/>
        <v/>
      </c>
      <c r="AY349" t="s">
        <v>1779</v>
      </c>
      <c r="AZ349" t="s">
        <v>3016</v>
      </c>
    </row>
    <row r="350" spans="23:52" x14ac:dyDescent="0.25">
      <c r="W350" t="str">
        <f>mapPRC!A422</f>
        <v>IOTSWAS-E</v>
      </c>
      <c r="X350" t="str">
        <f>IFERROR(INDEX($AS$7:$AS$88,MATCH(mapPRC!C422,$AR$7:$AR$88,0)),"")</f>
        <v>ot</v>
      </c>
      <c r="AA350" t="str">
        <f>mapCOM!A366</f>
        <v>RHEN</v>
      </c>
      <c r="AB350" t="str">
        <f t="shared" si="6"/>
        <v/>
      </c>
      <c r="AY350" t="s">
        <v>1776</v>
      </c>
      <c r="AZ350" t="s">
        <v>3016</v>
      </c>
    </row>
    <row r="351" spans="23:52" x14ac:dyDescent="0.25">
      <c r="W351" t="str">
        <f>mapPRC!A423</f>
        <v>IPPCHE-E</v>
      </c>
      <c r="X351" t="str">
        <f>IFERROR(INDEX($AS$7:$AS$88,MATCH(mapPRC!C423,$AR$7:$AR$88,0)),"")</f>
        <v>pp</v>
      </c>
      <c r="AA351" t="str">
        <f>mapCOM!A367</f>
        <v>RHEO</v>
      </c>
      <c r="AB351" t="str">
        <f t="shared" si="6"/>
        <v/>
      </c>
      <c r="AY351" t="s">
        <v>1773</v>
      </c>
      <c r="AZ351" t="s">
        <v>3016</v>
      </c>
    </row>
    <row r="352" spans="23:52" x14ac:dyDescent="0.25">
      <c r="W352" t="str">
        <f>mapPRC!A424</f>
        <v>IPPCHE-E-T1</v>
      </c>
      <c r="X352" t="str">
        <f>IFERROR(INDEX($AS$7:$AS$88,MATCH(mapPRC!C424,$AR$7:$AR$88,0)),"")</f>
        <v>pp</v>
      </c>
      <c r="AA352" t="str">
        <f>mapCOM!A368</f>
        <v>RHER</v>
      </c>
      <c r="AB352" t="str">
        <f t="shared" si="6"/>
        <v/>
      </c>
      <c r="AY352" t="s">
        <v>1770</v>
      </c>
      <c r="AZ352" t="s">
        <v>3016</v>
      </c>
    </row>
    <row r="353" spans="23:52" x14ac:dyDescent="0.25">
      <c r="W353" t="str">
        <f>mapPRC!A425</f>
        <v>IPPCHE-E-T2</v>
      </c>
      <c r="X353" t="str">
        <f>IFERROR(INDEX($AS$7:$AS$88,MATCH(mapPRC!C425,$AR$7:$AR$88,0)),"")</f>
        <v>pp</v>
      </c>
      <c r="AA353" t="str">
        <f>mapCOM!A369</f>
        <v>RHEW</v>
      </c>
      <c r="AB353" t="str">
        <f t="shared" si="6"/>
        <v/>
      </c>
      <c r="AY353" t="s">
        <v>1767</v>
      </c>
      <c r="AZ353" t="s">
        <v>3016</v>
      </c>
    </row>
    <row r="354" spans="23:52" x14ac:dyDescent="0.25">
      <c r="W354" t="str">
        <f>mapPRC!A426</f>
        <v>IPPCHE-N</v>
      </c>
      <c r="X354" t="str">
        <f>IFERROR(INDEX($AS$7:$AS$88,MATCH(mapPRC!C426,$AR$7:$AR$88,0)),"")</f>
        <v>pp</v>
      </c>
      <c r="AA354" t="str">
        <f>mapCOM!A370</f>
        <v>RHEWG</v>
      </c>
      <c r="AB354" t="str">
        <f t="shared" si="6"/>
        <v/>
      </c>
      <c r="AY354" t="s">
        <v>1764</v>
      </c>
      <c r="AZ354" t="s">
        <v>3016</v>
      </c>
    </row>
    <row r="355" spans="23:52" x14ac:dyDescent="0.25">
      <c r="W355" t="str">
        <f>mapPRC!A427</f>
        <v>IPPCHPGAS01-N</v>
      </c>
      <c r="X355" t="str">
        <f>IFERROR(INDEX($AS$7:$AS$88,MATCH(mapPRC!C427,$AR$7:$AR$88,0)),"")</f>
        <v>pp</v>
      </c>
      <c r="AA355" t="str">
        <f>mapCOM!A371</f>
        <v>RLEH</v>
      </c>
      <c r="AB355" t="str">
        <f t="shared" si="6"/>
        <v/>
      </c>
      <c r="AY355" t="s">
        <v>1761</v>
      </c>
      <c r="AZ355" t="s">
        <v>3016</v>
      </c>
    </row>
    <row r="356" spans="23:52" x14ac:dyDescent="0.25">
      <c r="W356" t="str">
        <f>mapPRC!A428</f>
        <v>IPPCHPGAS02-N</v>
      </c>
      <c r="X356" t="str">
        <f>IFERROR(INDEX($AS$7:$AS$88,MATCH(mapPRC!C428,$AR$7:$AR$88,0)),"")</f>
        <v>pp</v>
      </c>
      <c r="AA356" t="str">
        <f>mapCOM!A372</f>
        <v>RLEK</v>
      </c>
      <c r="AB356" t="str">
        <f t="shared" si="6"/>
        <v/>
      </c>
      <c r="AY356" t="s">
        <v>1995</v>
      </c>
      <c r="AZ356" t="s">
        <v>3016</v>
      </c>
    </row>
    <row r="357" spans="23:52" x14ac:dyDescent="0.25">
      <c r="W357" t="str">
        <f>mapPRC!A429</f>
        <v>IPPCHPSTM01-N</v>
      </c>
      <c r="X357" t="str">
        <f>IFERROR(INDEX($AS$7:$AS$88,MATCH(mapPRC!C429,$AR$7:$AR$88,0)),"")</f>
        <v>pp</v>
      </c>
      <c r="AA357" t="str">
        <f>mapCOM!A373</f>
        <v>RLEL</v>
      </c>
      <c r="AB357" t="str">
        <f t="shared" si="6"/>
        <v/>
      </c>
      <c r="AY357" t="s">
        <v>1994</v>
      </c>
      <c r="AZ357" t="s">
        <v>3016</v>
      </c>
    </row>
    <row r="358" spans="23:52" x14ac:dyDescent="0.25">
      <c r="W358" t="str">
        <f>mapPRC!A430</f>
        <v>IPPDIS-E</v>
      </c>
      <c r="X358" t="str">
        <f>IFERROR(INDEX($AS$7:$AS$88,MATCH(mapPRC!C430,$AR$7:$AR$88,0)),"")</f>
        <v>pp</v>
      </c>
      <c r="AA358" t="str">
        <f>mapCOM!A374</f>
        <v>RLEN</v>
      </c>
      <c r="AB358" t="str">
        <f t="shared" si="6"/>
        <v/>
      </c>
      <c r="AY358" t="s">
        <v>1993</v>
      </c>
      <c r="AZ358" t="s">
        <v>3016</v>
      </c>
    </row>
    <row r="359" spans="23:52" x14ac:dyDescent="0.25">
      <c r="W359" t="str">
        <f>mapPRC!A431</f>
        <v>IPPDIS-E-T1</v>
      </c>
      <c r="X359" t="str">
        <f>IFERROR(INDEX($AS$7:$AS$88,MATCH(mapPRC!C431,$AR$7:$AR$88,0)),"")</f>
        <v>pp</v>
      </c>
      <c r="AA359" t="str">
        <f>mapCOM!A375</f>
        <v>RLEO</v>
      </c>
      <c r="AB359" t="str">
        <f t="shared" si="6"/>
        <v/>
      </c>
      <c r="AY359" t="s">
        <v>1758</v>
      </c>
      <c r="AZ359" t="s">
        <v>3018</v>
      </c>
    </row>
    <row r="360" spans="23:52" x14ac:dyDescent="0.25">
      <c r="W360" t="str">
        <f>mapPRC!A432</f>
        <v>IPPDIS-E-T2</v>
      </c>
      <c r="X360" t="str">
        <f>IFERROR(INDEX($AS$7:$AS$88,MATCH(mapPRC!C432,$AR$7:$AR$88,0)),"")</f>
        <v>pp</v>
      </c>
      <c r="AA360" t="str">
        <f>mapCOM!A376</f>
        <v>RLER</v>
      </c>
      <c r="AB360" t="str">
        <f t="shared" si="6"/>
        <v/>
      </c>
      <c r="AY360" t="s">
        <v>1992</v>
      </c>
      <c r="AZ360" t="s">
        <v>3016</v>
      </c>
    </row>
    <row r="361" spans="23:52" x14ac:dyDescent="0.25">
      <c r="W361" t="str">
        <f>mapPRC!A433</f>
        <v>IPPDIS-N</v>
      </c>
      <c r="X361" t="str">
        <f>IFERROR(INDEX($AS$7:$AS$88,MATCH(mapPRC!C433,$AR$7:$AR$88,0)),"")</f>
        <v>pp</v>
      </c>
      <c r="AA361" t="str">
        <f>mapCOM!A377</f>
        <v>RLEW</v>
      </c>
      <c r="AB361" t="str">
        <f t="shared" si="6"/>
        <v/>
      </c>
      <c r="AY361" t="s">
        <v>1756</v>
      </c>
      <c r="AZ361" t="s">
        <v>3017</v>
      </c>
    </row>
    <row r="362" spans="23:52" x14ac:dyDescent="0.25">
      <c r="W362" t="str">
        <f>mapPRC!A434</f>
        <v>IPPELCSTM-E</v>
      </c>
      <c r="X362" t="str">
        <f>IFERROR(INDEX($AS$7:$AS$88,MATCH(mapPRC!C434,$AR$7:$AR$88,0)),"")</f>
        <v>pp</v>
      </c>
      <c r="AA362" t="str">
        <f>mapCOM!A378</f>
        <v>RLEWG</v>
      </c>
      <c r="AB362" t="str">
        <f t="shared" si="6"/>
        <v/>
      </c>
      <c r="AY362" t="s">
        <v>1991</v>
      </c>
      <c r="AZ362" t="s">
        <v>3016</v>
      </c>
    </row>
    <row r="363" spans="23:52" x14ac:dyDescent="0.25">
      <c r="W363" t="str">
        <f>mapPRC!A435</f>
        <v>IPPMCH-E</v>
      </c>
      <c r="X363" t="str">
        <f>IFERROR(INDEX($AS$7:$AS$88,MATCH(mapPRC!C435,$AR$7:$AR$88,0)),"")</f>
        <v>pp</v>
      </c>
      <c r="AA363" t="str">
        <f>mapCOM!A379</f>
        <v>RLNH</v>
      </c>
      <c r="AB363" t="str">
        <f t="shared" si="6"/>
        <v/>
      </c>
      <c r="AY363" t="s">
        <v>1990</v>
      </c>
      <c r="AZ363" t="s">
        <v>3016</v>
      </c>
    </row>
    <row r="364" spans="23:52" x14ac:dyDescent="0.25">
      <c r="W364" t="str">
        <f>mapPRC!A436</f>
        <v>IPPMCH-E-T1</v>
      </c>
      <c r="X364" t="str">
        <f>IFERROR(INDEX($AS$7:$AS$88,MATCH(mapPRC!C436,$AR$7:$AR$88,0)),"")</f>
        <v>pp</v>
      </c>
      <c r="AA364" t="str">
        <f>mapCOM!A380</f>
        <v>RLNK</v>
      </c>
      <c r="AB364" t="str">
        <f t="shared" si="6"/>
        <v/>
      </c>
      <c r="AY364" t="s">
        <v>1989</v>
      </c>
      <c r="AZ364" t="s">
        <v>3016</v>
      </c>
    </row>
    <row r="365" spans="23:52" x14ac:dyDescent="0.25">
      <c r="W365" t="str">
        <f>mapPRC!A437</f>
        <v>IPPMCH-E-T2</v>
      </c>
      <c r="X365" t="str">
        <f>IFERROR(INDEX($AS$7:$AS$88,MATCH(mapPRC!C437,$AR$7:$AR$88,0)),"")</f>
        <v>pp</v>
      </c>
      <c r="AA365" t="str">
        <f>mapCOM!A381</f>
        <v>RLNL</v>
      </c>
      <c r="AB365" t="str">
        <f t="shared" si="6"/>
        <v/>
      </c>
      <c r="AY365" t="s">
        <v>1988</v>
      </c>
      <c r="AZ365" t="s">
        <v>3016</v>
      </c>
    </row>
    <row r="366" spans="23:52" x14ac:dyDescent="0.25">
      <c r="W366" t="str">
        <f>mapPRC!A438</f>
        <v>IPPMCH-N</v>
      </c>
      <c r="X366" t="str">
        <f>IFERROR(INDEX($AS$7:$AS$88,MATCH(mapPRC!C438,$AR$7:$AR$88,0)),"")</f>
        <v>pp</v>
      </c>
      <c r="AA366" t="str">
        <f>mapCOM!A382</f>
        <v>RLNN</v>
      </c>
      <c r="AB366" t="str">
        <f t="shared" si="6"/>
        <v/>
      </c>
      <c r="AY366" t="s">
        <v>1987</v>
      </c>
      <c r="AZ366" t="s">
        <v>3016</v>
      </c>
    </row>
    <row r="367" spans="23:52" x14ac:dyDescent="0.25">
      <c r="W367" t="str">
        <f>mapPRC!A439</f>
        <v>IPPPAP-E</v>
      </c>
      <c r="X367" t="str">
        <f>IFERROR(INDEX($AS$7:$AS$88,MATCH(mapPRC!C439,$AR$7:$AR$88,0)),"")</f>
        <v>pp</v>
      </c>
      <c r="AA367" t="str">
        <f>mapCOM!A383</f>
        <v>RLNW</v>
      </c>
      <c r="AB367" t="str">
        <f t="shared" si="6"/>
        <v/>
      </c>
      <c r="AY367" t="s">
        <v>1986</v>
      </c>
      <c r="AZ367" t="s">
        <v>3016</v>
      </c>
    </row>
    <row r="368" spans="23:52" x14ac:dyDescent="0.25">
      <c r="W368" t="str">
        <f>mapPRC!A440</f>
        <v>IPPPAP-E-T1</v>
      </c>
      <c r="X368" t="str">
        <f>IFERROR(INDEX($AS$7:$AS$88,MATCH(mapPRC!C440,$AR$7:$AR$88,0)),"")</f>
        <v>pp</v>
      </c>
      <c r="AA368" t="str">
        <f>mapCOM!A384</f>
        <v>RMEH</v>
      </c>
      <c r="AB368" t="str">
        <f t="shared" si="6"/>
        <v/>
      </c>
      <c r="AY368" t="s">
        <v>1754</v>
      </c>
      <c r="AZ368" t="s">
        <v>3016</v>
      </c>
    </row>
    <row r="369" spans="23:52" x14ac:dyDescent="0.25">
      <c r="W369" t="str">
        <f>mapPRC!A441</f>
        <v>IPPPAP-E-T2</v>
      </c>
      <c r="X369" t="str">
        <f>IFERROR(INDEX($AS$7:$AS$88,MATCH(mapPRC!C441,$AR$7:$AR$88,0)),"")</f>
        <v>pp</v>
      </c>
      <c r="AA369" t="str">
        <f>mapCOM!A385</f>
        <v>RMEK</v>
      </c>
      <c r="AB369" t="str">
        <f t="shared" si="6"/>
        <v/>
      </c>
      <c r="AY369" t="s">
        <v>1880</v>
      </c>
      <c r="AZ369" t="s">
        <v>3016</v>
      </c>
    </row>
    <row r="370" spans="23:52" x14ac:dyDescent="0.25">
      <c r="W370" t="str">
        <f>mapPRC!A442</f>
        <v>IPPPAP-N</v>
      </c>
      <c r="X370" t="str">
        <f>IFERROR(INDEX($AS$7:$AS$88,MATCH(mapPRC!C442,$AR$7:$AR$88,0)),"")</f>
        <v>pp</v>
      </c>
      <c r="AA370" t="str">
        <f>mapCOM!A386</f>
        <v>RMEL</v>
      </c>
      <c r="AB370" t="str">
        <f t="shared" si="6"/>
        <v/>
      </c>
      <c r="AY370" t="s">
        <v>1752</v>
      </c>
      <c r="AZ370" t="s">
        <v>3016</v>
      </c>
    </row>
    <row r="371" spans="23:52" x14ac:dyDescent="0.25">
      <c r="W371" t="str">
        <f>mapPRC!A443</f>
        <v>IPPREC-E</v>
      </c>
      <c r="X371" t="str">
        <f>IFERROR(INDEX($AS$7:$AS$88,MATCH(mapPRC!C443,$AR$7:$AR$88,0)),"")</f>
        <v>pp</v>
      </c>
      <c r="AA371" t="str">
        <f>mapCOM!A387</f>
        <v>RMEN</v>
      </c>
      <c r="AB371" t="str">
        <f t="shared" si="6"/>
        <v/>
      </c>
      <c r="AY371" t="s">
        <v>1879</v>
      </c>
      <c r="AZ371" t="s">
        <v>3016</v>
      </c>
    </row>
    <row r="372" spans="23:52" x14ac:dyDescent="0.25">
      <c r="W372" t="str">
        <f>mapPRC!A444</f>
        <v>IPPREC-E-T1</v>
      </c>
      <c r="X372" t="str">
        <f>IFERROR(INDEX($AS$7:$AS$88,MATCH(mapPRC!C444,$AR$7:$AR$88,0)),"")</f>
        <v>pp</v>
      </c>
      <c r="AA372" t="str">
        <f>mapCOM!A388</f>
        <v>RMEO</v>
      </c>
      <c r="AB372" t="str">
        <f t="shared" si="6"/>
        <v/>
      </c>
      <c r="AY372" t="s">
        <v>1750</v>
      </c>
      <c r="AZ372" t="s">
        <v>3016</v>
      </c>
    </row>
    <row r="373" spans="23:52" x14ac:dyDescent="0.25">
      <c r="W373" t="str">
        <f>mapPRC!A445</f>
        <v>IPPREC-E-T2</v>
      </c>
      <c r="X373" t="str">
        <f>IFERROR(INDEX($AS$7:$AS$88,MATCH(mapPRC!C445,$AR$7:$AR$88,0)),"")</f>
        <v>pp</v>
      </c>
      <c r="AA373" t="str">
        <f>mapCOM!A389</f>
        <v>RMER</v>
      </c>
      <c r="AB373" t="str">
        <f t="shared" si="6"/>
        <v/>
      </c>
      <c r="AY373" t="s">
        <v>1748</v>
      </c>
      <c r="AZ373" t="s">
        <v>3016</v>
      </c>
    </row>
    <row r="374" spans="23:52" x14ac:dyDescent="0.25">
      <c r="W374" t="str">
        <f>mapPRC!A446</f>
        <v>IPPREC-N</v>
      </c>
      <c r="X374" t="str">
        <f>IFERROR(INDEX($AS$7:$AS$88,MATCH(mapPRC!C446,$AR$7:$AR$88,0)),"")</f>
        <v>pp</v>
      </c>
      <c r="AA374" t="str">
        <f>mapCOM!A390</f>
        <v>RMEW</v>
      </c>
      <c r="AB374" t="str">
        <f t="shared" si="6"/>
        <v/>
      </c>
      <c r="AY374" t="s">
        <v>1746</v>
      </c>
      <c r="AZ374" t="s">
        <v>3019</v>
      </c>
    </row>
    <row r="375" spans="23:52" x14ac:dyDescent="0.25">
      <c r="W375" t="str">
        <f>mapPRC!A447</f>
        <v>IPPSTMBIO-E</v>
      </c>
      <c r="X375" t="str">
        <f>IFERROR(INDEX($AS$7:$AS$88,MATCH(mapPRC!C447,$AR$7:$AR$88,0)),"")</f>
        <v>pp</v>
      </c>
      <c r="AA375" t="str">
        <f>mapCOM!A391</f>
        <v>RMEWG</v>
      </c>
      <c r="AB375" t="str">
        <f t="shared" si="6"/>
        <v/>
      </c>
      <c r="AY375" t="s">
        <v>1744</v>
      </c>
      <c r="AZ375" t="s">
        <v>3018</v>
      </c>
    </row>
    <row r="376" spans="23:52" x14ac:dyDescent="0.25">
      <c r="W376" t="str">
        <f>mapPRC!A448</f>
        <v>IPPSTMBIO-N</v>
      </c>
      <c r="X376" t="str">
        <f>IFERROR(INDEX($AS$7:$AS$88,MATCH(mapPRC!C448,$AR$7:$AR$88,0)),"")</f>
        <v>pp</v>
      </c>
      <c r="AA376" t="str">
        <f>mapCOM!A392</f>
        <v>RMNH</v>
      </c>
      <c r="AB376" t="str">
        <f t="shared" si="6"/>
        <v/>
      </c>
      <c r="AY376" t="s">
        <v>1742</v>
      </c>
      <c r="AZ376" t="s">
        <v>3017</v>
      </c>
    </row>
    <row r="377" spans="23:52" x14ac:dyDescent="0.25">
      <c r="W377" t="str">
        <f>mapPRC!A449</f>
        <v>IPPSTMBLQ-E</v>
      </c>
      <c r="X377" t="str">
        <f>IFERROR(INDEX($AS$7:$AS$88,MATCH(mapPRC!C449,$AR$7:$AR$88,0)),"")</f>
        <v>pp</v>
      </c>
      <c r="AA377" t="str">
        <f>mapCOM!A393</f>
        <v>RMNK</v>
      </c>
      <c r="AB377" t="str">
        <f t="shared" si="6"/>
        <v/>
      </c>
      <c r="AY377" t="s">
        <v>1877</v>
      </c>
      <c r="AZ377" t="s">
        <v>3016</v>
      </c>
    </row>
    <row r="378" spans="23:52" x14ac:dyDescent="0.25">
      <c r="W378" t="str">
        <f>mapPRC!A450</f>
        <v>IPPSTMBLQ-N</v>
      </c>
      <c r="X378" t="str">
        <f>IFERROR(INDEX($AS$7:$AS$88,MATCH(mapPRC!C450,$AR$7:$AR$88,0)),"")</f>
        <v>pp</v>
      </c>
      <c r="AA378" t="str">
        <f>mapCOM!A394</f>
        <v>RMNL</v>
      </c>
      <c r="AB378" t="str">
        <f t="shared" si="6"/>
        <v/>
      </c>
      <c r="AY378" t="s">
        <v>1740</v>
      </c>
      <c r="AZ378" t="s">
        <v>3016</v>
      </c>
    </row>
    <row r="379" spans="23:52" x14ac:dyDescent="0.25">
      <c r="W379" t="str">
        <f>mapPRC!A451</f>
        <v>IPPSTMCOA-E</v>
      </c>
      <c r="X379" t="str">
        <f>IFERROR(INDEX($AS$7:$AS$88,MATCH(mapPRC!C451,$AR$7:$AR$88,0)),"")</f>
        <v>pp</v>
      </c>
      <c r="AA379" t="str">
        <f>mapCOM!A395</f>
        <v>RMNN</v>
      </c>
      <c r="AB379" t="str">
        <f t="shared" si="6"/>
        <v/>
      </c>
      <c r="AY379" t="s">
        <v>1875</v>
      </c>
      <c r="AZ379" t="s">
        <v>3016</v>
      </c>
    </row>
    <row r="380" spans="23:52" x14ac:dyDescent="0.25">
      <c r="W380" t="str">
        <f>mapPRC!A452</f>
        <v>IPPSTMCOA-N</v>
      </c>
      <c r="X380" t="str">
        <f>IFERROR(INDEX($AS$7:$AS$88,MATCH(mapPRC!C452,$AR$7:$AR$88,0)),"")</f>
        <v>pp</v>
      </c>
      <c r="AA380" t="str">
        <f>mapCOM!A396</f>
        <v>RMNW</v>
      </c>
      <c r="AB380" t="str">
        <f t="shared" si="6"/>
        <v/>
      </c>
      <c r="AY380" t="s">
        <v>1738</v>
      </c>
      <c r="AZ380" t="s">
        <v>3016</v>
      </c>
    </row>
    <row r="381" spans="23:52" x14ac:dyDescent="0.25">
      <c r="W381" t="str">
        <f>mapPRC!A453</f>
        <v>IPPSTMCOAOIL</v>
      </c>
      <c r="X381" t="str">
        <f>IFERROR(INDEX($AS$7:$AS$88,MATCH(mapPRC!C453,$AR$7:$AR$88,0)),"")</f>
        <v>pp</v>
      </c>
      <c r="AA381" t="str">
        <f>mapCOM!A397</f>
        <v>SOL</v>
      </c>
      <c r="AB381" t="str">
        <f t="shared" si="6"/>
        <v/>
      </c>
      <c r="AY381" t="s">
        <v>1736</v>
      </c>
      <c r="AZ381" t="s">
        <v>3021</v>
      </c>
    </row>
    <row r="382" spans="23:52" x14ac:dyDescent="0.25">
      <c r="W382" t="str">
        <f>mapPRC!A454</f>
        <v>IPPSTMGAS-E</v>
      </c>
      <c r="X382" t="str">
        <f>IFERROR(INDEX($AS$7:$AS$88,MATCH(mapPRC!C454,$AR$7:$AR$88,0)),"")</f>
        <v>pp</v>
      </c>
      <c r="AA382" t="str">
        <f>mapCOM!A398</f>
        <v>SOXS</v>
      </c>
      <c r="AB382" t="str">
        <f t="shared" si="6"/>
        <v/>
      </c>
      <c r="AY382" t="s">
        <v>1734</v>
      </c>
      <c r="AZ382" t="s">
        <v>3016</v>
      </c>
    </row>
    <row r="383" spans="23:52" x14ac:dyDescent="0.25">
      <c r="W383" t="str">
        <f>mapPRC!A455</f>
        <v>IPPSTMGAS-N</v>
      </c>
      <c r="X383" t="str">
        <f>IFERROR(INDEX($AS$7:$AS$88,MATCH(mapPRC!C455,$AR$7:$AR$88,0)),"")</f>
        <v>pp</v>
      </c>
      <c r="AA383" t="str">
        <f>mapCOM!A399</f>
        <v>TADJET</v>
      </c>
      <c r="AB383" t="str">
        <f t="shared" si="6"/>
        <v>cpetr_o</v>
      </c>
      <c r="AY383" t="s">
        <v>1873</v>
      </c>
      <c r="AZ383" t="s">
        <v>3016</v>
      </c>
    </row>
    <row r="384" spans="23:52" x14ac:dyDescent="0.25">
      <c r="W384" t="str">
        <f>mapPRC!A456</f>
        <v>IPPSTMOIL-N</v>
      </c>
      <c r="X384" t="str">
        <f>IFERROR(INDEX($AS$7:$AS$88,MATCH(mapPRC!C456,$AR$7:$AR$88,0)),"")</f>
        <v>pp</v>
      </c>
      <c r="AA384" t="str">
        <f>mapCOM!A400</f>
        <v>TAIJET</v>
      </c>
      <c r="AB384" t="str">
        <f t="shared" si="6"/>
        <v>cpetr_o</v>
      </c>
      <c r="AY384" t="s">
        <v>1872</v>
      </c>
      <c r="AZ384" t="s">
        <v>3016</v>
      </c>
    </row>
    <row r="385" spans="23:52" x14ac:dyDescent="0.25">
      <c r="W385" t="str">
        <f>mapPRC!A457</f>
        <v>MIN_FLAB-M</v>
      </c>
      <c r="X385" t="str">
        <f>IFERROR(INDEX($AS$7:$AS$88,MATCH(mapPRC!C457,$AR$7:$AR$88,0)),"")</f>
        <v/>
      </c>
      <c r="AA385" t="str">
        <f>mapCOM!A401</f>
        <v>TAJET</v>
      </c>
      <c r="AB385" t="str">
        <f t="shared" si="6"/>
        <v/>
      </c>
      <c r="AY385" t="s">
        <v>1871</v>
      </c>
      <c r="AZ385" t="s">
        <v>3016</v>
      </c>
    </row>
    <row r="386" spans="23:52" x14ac:dyDescent="0.25">
      <c r="W386" t="str">
        <f>mapPRC!A458</f>
        <v>MIN_FLAB-P</v>
      </c>
      <c r="X386" t="str">
        <f>IFERROR(INDEX($AS$7:$AS$88,MATCH(mapPRC!C458,$AR$7:$AR$88,0)),"")</f>
        <v/>
      </c>
      <c r="AA386" t="str">
        <f>mapCOM!A402</f>
        <v>TAOAG</v>
      </c>
      <c r="AB386" t="str">
        <f t="shared" si="6"/>
        <v/>
      </c>
      <c r="AY386" t="s">
        <v>1732</v>
      </c>
      <c r="AZ386" t="s">
        <v>3018</v>
      </c>
    </row>
    <row r="387" spans="23:52" x14ac:dyDescent="0.25">
      <c r="W387" t="str">
        <f>mapPRC!A459</f>
        <v>MIN_FLAB-S</v>
      </c>
      <c r="X387" t="str">
        <f>IFERROR(INDEX($AS$7:$AS$88,MATCH(mapPRC!C459,$AR$7:$AR$88,0)),"")</f>
        <v/>
      </c>
      <c r="AA387" t="str">
        <f>mapCOM!A403</f>
        <v>TFHCV1</v>
      </c>
      <c r="AB387" t="str">
        <f t="shared" si="6"/>
        <v/>
      </c>
      <c r="AY387" t="s">
        <v>1870</v>
      </c>
      <c r="AZ387" t="s">
        <v>3016</v>
      </c>
    </row>
    <row r="388" spans="23:52" x14ac:dyDescent="0.25">
      <c r="W388" t="str">
        <f>mapPRC!A460</f>
        <v>MIN_FLAB-T</v>
      </c>
      <c r="X388" t="str">
        <f>IFERROR(INDEX($AS$7:$AS$88,MATCH(mapPRC!C460,$AR$7:$AR$88,0)),"")</f>
        <v/>
      </c>
      <c r="AA388" t="str">
        <f>mapCOM!A404</f>
        <v>TFHCV2</v>
      </c>
      <c r="AB388" t="str">
        <f t="shared" si="6"/>
        <v/>
      </c>
      <c r="AY388" t="s">
        <v>1730</v>
      </c>
      <c r="AZ388" t="s">
        <v>3017</v>
      </c>
    </row>
    <row r="389" spans="23:52" x14ac:dyDescent="0.25">
      <c r="W389" t="str">
        <f>mapPRC!A461</f>
        <v>MINAGR-N</v>
      </c>
      <c r="X389" t="str">
        <f>IFERROR(INDEX($AS$7:$AS$88,MATCH(mapPRC!C461,$AR$7:$AR$88,0)),"")</f>
        <v/>
      </c>
      <c r="AA389" t="str">
        <f>mapCOM!A405</f>
        <v>TFHCV3</v>
      </c>
      <c r="AB389" t="str">
        <f t="shared" si="6"/>
        <v/>
      </c>
      <c r="AY389" t="s">
        <v>1869</v>
      </c>
      <c r="AZ389" t="s">
        <v>3016</v>
      </c>
    </row>
    <row r="390" spans="23:52" x14ac:dyDescent="0.25">
      <c r="W390" t="str">
        <f>mapPRC!A462</f>
        <v>MINBBE</v>
      </c>
      <c r="X390" t="str">
        <f>IFERROR(INDEX($AS$7:$AS$88,MATCH(mapPRC!C462,$AR$7:$AR$88,0)),"")</f>
        <v/>
      </c>
      <c r="AA390" t="str">
        <f>mapCOM!A406</f>
        <v>TFHCV4</v>
      </c>
      <c r="AB390" t="str">
        <f t="shared" si="6"/>
        <v/>
      </c>
      <c r="AY390" t="s">
        <v>1868</v>
      </c>
      <c r="AZ390" t="s">
        <v>3016</v>
      </c>
    </row>
    <row r="391" spans="23:52" x14ac:dyDescent="0.25">
      <c r="W391" t="str">
        <f>mapPRC!A463</f>
        <v>MINBCA</v>
      </c>
      <c r="X391" t="str">
        <f>IFERROR(INDEX($AS$7:$AS$88,MATCH(mapPRC!C463,$AR$7:$AR$88,0)),"")</f>
        <v/>
      </c>
      <c r="AA391" t="str">
        <f>mapCOM!A407</f>
        <v>TFHCV5</v>
      </c>
      <c r="AB391" t="str">
        <f t="shared" ref="AB391:AB447" si="7">INDEX($AZ$6:$AZ$784,MATCH(AA391,$AY$6:$AY$784,0))</f>
        <v/>
      </c>
      <c r="AY391" t="s">
        <v>1867</v>
      </c>
      <c r="AZ391" t="s">
        <v>3016</v>
      </c>
    </row>
    <row r="392" spans="23:52" x14ac:dyDescent="0.25">
      <c r="W392" t="str">
        <f>mapPRC!A464</f>
        <v>MINBIB</v>
      </c>
      <c r="X392" t="str">
        <f>IFERROR(INDEX($AS$7:$AS$88,MATCH(mapPRC!C464,$AR$7:$AR$88,0)),"")</f>
        <v/>
      </c>
      <c r="AA392" t="str">
        <f>mapCOM!A408</f>
        <v>TFHCV6</v>
      </c>
      <c r="AB392" t="str">
        <f t="shared" si="7"/>
        <v/>
      </c>
      <c r="AY392" t="s">
        <v>1866</v>
      </c>
      <c r="AZ392" t="s">
        <v>3016</v>
      </c>
    </row>
    <row r="393" spans="23:52" x14ac:dyDescent="0.25">
      <c r="W393" t="str">
        <f>mapPRC!A465</f>
        <v>MINBIG</v>
      </c>
      <c r="X393" t="str">
        <f>IFERROR(INDEX($AS$7:$AS$88,MATCH(mapPRC!C465,$AR$7:$AR$88,0)),"")</f>
        <v/>
      </c>
      <c r="AA393" t="str">
        <f>mapCOM!A409</f>
        <v>TFHCV7</v>
      </c>
      <c r="AB393" t="str">
        <f t="shared" si="7"/>
        <v/>
      </c>
      <c r="AY393" t="s">
        <v>1865</v>
      </c>
      <c r="AZ393" t="s">
        <v>3016</v>
      </c>
    </row>
    <row r="394" spans="23:52" x14ac:dyDescent="0.25">
      <c r="W394" t="str">
        <f>mapPRC!A466</f>
        <v>MINBIO</v>
      </c>
      <c r="X394" t="str">
        <f>IFERROR(INDEX($AS$7:$AS$88,MATCH(mapPRC!C466,$AR$7:$AR$88,0)),"")</f>
        <v/>
      </c>
      <c r="AA394" t="str">
        <f>mapCOM!A410</f>
        <v>TFHCV8</v>
      </c>
      <c r="AB394" t="str">
        <f t="shared" si="7"/>
        <v/>
      </c>
      <c r="AY394" t="s">
        <v>1864</v>
      </c>
      <c r="AZ394" t="s">
        <v>3016</v>
      </c>
    </row>
    <row r="395" spans="23:52" x14ac:dyDescent="0.25">
      <c r="W395" t="str">
        <f>mapPRC!A467</f>
        <v>MINBIW</v>
      </c>
      <c r="X395" t="str">
        <f>IFERROR(INDEX($AS$7:$AS$88,MATCH(mapPRC!C467,$AR$7:$AR$88,0)),"")</f>
        <v/>
      </c>
      <c r="AA395" t="str">
        <f>mapCOM!A411</f>
        <v>TFHCV9</v>
      </c>
      <c r="AB395" t="str">
        <f t="shared" si="7"/>
        <v/>
      </c>
      <c r="AY395" t="s">
        <v>1863</v>
      </c>
      <c r="AZ395" t="s">
        <v>3016</v>
      </c>
    </row>
    <row r="396" spans="23:52" x14ac:dyDescent="0.25">
      <c r="W396" t="str">
        <f>mapPRC!A468</f>
        <v>MINBSC</v>
      </c>
      <c r="X396" t="str">
        <f>IFERROR(INDEX($AS$7:$AS$88,MATCH(mapPRC!C468,$AR$7:$AR$88,0)),"")</f>
        <v/>
      </c>
      <c r="AA396" t="str">
        <f>mapCOM!A412</f>
        <v>TFLCV</v>
      </c>
      <c r="AB396" t="str">
        <f t="shared" si="7"/>
        <v/>
      </c>
      <c r="AY396" t="s">
        <v>1728</v>
      </c>
      <c r="AZ396" t="s">
        <v>3016</v>
      </c>
    </row>
    <row r="397" spans="23:52" x14ac:dyDescent="0.25">
      <c r="W397" t="str">
        <f>mapPRC!A469</f>
        <v>MINBSR</v>
      </c>
      <c r="X397" t="str">
        <f>IFERROR(INDEX($AS$7:$AS$88,MATCH(mapPRC!C469,$AR$7:$AR$88,0)),"")</f>
        <v/>
      </c>
      <c r="AA397" t="str">
        <f>mapCOM!A413</f>
        <v>TFPIP</v>
      </c>
      <c r="AB397" t="str">
        <f t="shared" si="7"/>
        <v/>
      </c>
      <c r="AY397" t="s">
        <v>1724</v>
      </c>
      <c r="AZ397" t="s">
        <v>3016</v>
      </c>
    </row>
    <row r="398" spans="23:52" x14ac:dyDescent="0.25">
      <c r="W398" t="str">
        <f>mapPRC!A470</f>
        <v>MINBSY</v>
      </c>
      <c r="X398" t="str">
        <f>IFERROR(INDEX($AS$7:$AS$88,MATCH(mapPRC!C470,$AR$7:$AR$88,0)),"")</f>
        <v/>
      </c>
      <c r="AA398" t="str">
        <f>mapCOM!A414</f>
        <v>TFRCO</v>
      </c>
      <c r="AB398" t="str">
        <f t="shared" si="7"/>
        <v/>
      </c>
      <c r="AY398" t="s">
        <v>1722</v>
      </c>
      <c r="AZ398" t="s">
        <v>3019</v>
      </c>
    </row>
    <row r="399" spans="23:52" x14ac:dyDescent="0.25">
      <c r="W399" t="str">
        <f>mapPRC!A471</f>
        <v>MINCLD</v>
      </c>
      <c r="X399" t="str">
        <f>IFERROR(INDEX($AS$7:$AS$88,MATCH(mapPRC!C471,$AR$7:$AR$88,0)),"")</f>
        <v/>
      </c>
      <c r="AA399" t="str">
        <f>mapCOM!A415</f>
        <v>TFREX</v>
      </c>
      <c r="AB399" t="str">
        <f t="shared" si="7"/>
        <v/>
      </c>
      <c r="AY399" t="s">
        <v>1720</v>
      </c>
      <c r="AZ399" t="s">
        <v>3018</v>
      </c>
    </row>
    <row r="400" spans="23:52" x14ac:dyDescent="0.25">
      <c r="W400" t="str">
        <f>mapPRC!A472</f>
        <v>MINCLE</v>
      </c>
      <c r="X400" t="str">
        <f>IFERROR(INDEX($AS$7:$AS$88,MATCH(mapPRC!C472,$AR$7:$AR$88,0)),"")</f>
        <v>coal</v>
      </c>
      <c r="AA400" t="str">
        <f>mapCOM!A416</f>
        <v>TFROT</v>
      </c>
      <c r="AB400" t="str">
        <f t="shared" si="7"/>
        <v/>
      </c>
      <c r="AY400" t="s">
        <v>1717</v>
      </c>
      <c r="AZ400" t="s">
        <v>3017</v>
      </c>
    </row>
    <row r="401" spans="23:52" x14ac:dyDescent="0.25">
      <c r="W401" t="str">
        <f>mapPRC!A473</f>
        <v>MINCLE1</v>
      </c>
      <c r="X401" t="str">
        <f>IFERROR(INDEX($AS$7:$AS$88,MATCH(mapPRC!C473,$AR$7:$AR$88,0)),"")</f>
        <v>coal</v>
      </c>
      <c r="AA401" t="str">
        <f>mapCOM!A417</f>
        <v>TPPRCAR</v>
      </c>
      <c r="AB401" t="str">
        <f t="shared" si="7"/>
        <v/>
      </c>
      <c r="AY401" t="s">
        <v>1715</v>
      </c>
      <c r="AZ401" t="s">
        <v>3020</v>
      </c>
    </row>
    <row r="402" spans="23:52" x14ac:dyDescent="0.25">
      <c r="W402" t="str">
        <f>mapPRC!A474</f>
        <v>MINCLE2</v>
      </c>
      <c r="X402" t="str">
        <f>IFERROR(INDEX($AS$7:$AS$88,MATCH(mapPRC!C474,$AR$7:$AR$88,0)),"")</f>
        <v>coal</v>
      </c>
      <c r="AA402" t="str">
        <f>mapCOM!A418</f>
        <v>TPPRMOT</v>
      </c>
      <c r="AB402" t="str">
        <f t="shared" si="7"/>
        <v/>
      </c>
      <c r="AY402" t="s">
        <v>1712</v>
      </c>
      <c r="AZ402" t="s">
        <v>3016</v>
      </c>
    </row>
    <row r="403" spans="23:52" x14ac:dyDescent="0.25">
      <c r="W403" t="str">
        <f>mapPRC!A475</f>
        <v>MINCLE3</v>
      </c>
      <c r="X403" t="str">
        <f>IFERROR(INDEX($AS$7:$AS$88,MATCH(mapPRC!C475,$AR$7:$AR$88,0)),"")</f>
        <v>coal</v>
      </c>
      <c r="AA403" t="str">
        <f>mapCOM!A419</f>
        <v>TPPRSUV</v>
      </c>
      <c r="AB403" t="str">
        <f t="shared" si="7"/>
        <v/>
      </c>
      <c r="AY403" t="s">
        <v>1709</v>
      </c>
      <c r="AZ403" t="s">
        <v>3021</v>
      </c>
    </row>
    <row r="404" spans="23:52" x14ac:dyDescent="0.25">
      <c r="W404" t="str">
        <f>mapPRC!A476</f>
        <v>MINCLE-A</v>
      </c>
      <c r="X404" t="str">
        <f>IFERROR(INDEX($AS$7:$AS$88,MATCH(mapPRC!C476,$AR$7:$AR$88,0)),"")</f>
        <v>coal</v>
      </c>
      <c r="AA404" t="str">
        <f>mapCOM!A420</f>
        <v>TPPUBRT</v>
      </c>
      <c r="AB404" t="str">
        <f t="shared" si="7"/>
        <v/>
      </c>
      <c r="AY404" t="s">
        <v>1706</v>
      </c>
      <c r="AZ404" t="s">
        <v>3021</v>
      </c>
    </row>
    <row r="405" spans="23:52" x14ac:dyDescent="0.25">
      <c r="W405" t="str">
        <f>mapPRC!A477</f>
        <v>MINCLN</v>
      </c>
      <c r="X405" t="str">
        <f>IFERROR(INDEX($AS$7:$AS$88,MATCH(mapPRC!C477,$AR$7:$AR$88,0)),"")</f>
        <v>coal</v>
      </c>
      <c r="AA405" t="str">
        <f>mapCOM!A421</f>
        <v>TPPUBUS</v>
      </c>
      <c r="AB405" t="str">
        <f t="shared" si="7"/>
        <v/>
      </c>
      <c r="AY405" t="s">
        <v>1862</v>
      </c>
      <c r="AZ405" t="s">
        <v>3016</v>
      </c>
    </row>
    <row r="406" spans="23:52" x14ac:dyDescent="0.25">
      <c r="W406" t="str">
        <f>mapPRC!A478</f>
        <v>MINCLN-A</v>
      </c>
      <c r="X406" t="str">
        <f>IFERROR(INDEX($AS$7:$AS$88,MATCH(mapPRC!C478,$AR$7:$AR$88,0)),"")</f>
        <v>coal</v>
      </c>
      <c r="AA406" t="str">
        <f>mapCOM!A422</f>
        <v>TPPUGAT</v>
      </c>
      <c r="AB406" t="str">
        <f t="shared" si="7"/>
        <v/>
      </c>
      <c r="AY406" t="s">
        <v>1703</v>
      </c>
      <c r="AZ406" t="s">
        <v>3016</v>
      </c>
    </row>
    <row r="407" spans="23:52" x14ac:dyDescent="0.25">
      <c r="W407" t="str">
        <f>mapPRC!A479</f>
        <v>MINCLNU-A</v>
      </c>
      <c r="X407" t="str">
        <f>IFERROR(INDEX($AS$7:$AS$88,MATCH(mapPRC!C479,$AR$7:$AR$88,0)),"")</f>
        <v>coal</v>
      </c>
      <c r="AA407" t="str">
        <f>mapCOM!A423</f>
        <v>TPPUMBT</v>
      </c>
      <c r="AB407" t="str">
        <f t="shared" si="7"/>
        <v/>
      </c>
      <c r="AY407" t="s">
        <v>1860</v>
      </c>
      <c r="AZ407" t="s">
        <v>3016</v>
      </c>
    </row>
    <row r="408" spans="23:52" x14ac:dyDescent="0.25">
      <c r="W408" t="str">
        <f>mapPRC!A480</f>
        <v>MINCLS</v>
      </c>
      <c r="X408" t="str">
        <f>IFERROR(INDEX($AS$7:$AS$88,MATCH(mapPRC!C480,$AR$7:$AR$88,0)),"")</f>
        <v>coal</v>
      </c>
      <c r="AA408" t="str">
        <f>mapCOM!A424</f>
        <v>TPPUMER</v>
      </c>
      <c r="AB408" t="str">
        <f t="shared" si="7"/>
        <v/>
      </c>
      <c r="AY408" t="s">
        <v>1701</v>
      </c>
      <c r="AZ408" t="s">
        <v>3016</v>
      </c>
    </row>
    <row r="409" spans="23:52" x14ac:dyDescent="0.25">
      <c r="W409" t="str">
        <f>mapPRC!A481</f>
        <v>MINCLS-A</v>
      </c>
      <c r="X409" t="str">
        <f>IFERROR(INDEX($AS$7:$AS$88,MATCH(mapPRC!C481,$AR$7:$AR$88,0)),"")</f>
        <v>coal</v>
      </c>
      <c r="AA409" t="str">
        <f>mapCOM!A425</f>
        <v>TRACH4S</v>
      </c>
      <c r="AB409" t="str">
        <f t="shared" si="7"/>
        <v/>
      </c>
      <c r="AY409" t="s">
        <v>1699</v>
      </c>
      <c r="AZ409" t="s">
        <v>3016</v>
      </c>
    </row>
    <row r="410" spans="23:52" x14ac:dyDescent="0.25">
      <c r="W410" t="str">
        <f>mapPRC!A482</f>
        <v>MINCOA</v>
      </c>
      <c r="X410" t="str">
        <f>IFERROR(INDEX($AS$7:$AS$88,MATCH(mapPRC!C482,$AR$7:$AR$88,0)),"")</f>
        <v>coal</v>
      </c>
      <c r="AA410" t="str">
        <f>mapCOM!A426</f>
        <v>TRACMOX</v>
      </c>
      <c r="AB410" t="str">
        <f t="shared" si="7"/>
        <v/>
      </c>
      <c r="AY410" t="s">
        <v>1696</v>
      </c>
      <c r="AZ410" t="s">
        <v>3016</v>
      </c>
    </row>
    <row r="411" spans="23:52" x14ac:dyDescent="0.25">
      <c r="W411" t="str">
        <f>mapPRC!A483</f>
        <v>MINCSARNOVRS</v>
      </c>
      <c r="X411" t="str">
        <f>IFERROR(INDEX($AS$7:$AS$88,MATCH(mapPRC!C483,$AR$7:$AR$88,0)),"")</f>
        <v>coal</v>
      </c>
      <c r="AA411" t="str">
        <f>mapCOM!A427</f>
        <v>TRACO2S</v>
      </c>
      <c r="AB411" t="str">
        <f t="shared" si="7"/>
        <v/>
      </c>
      <c r="AY411" t="s">
        <v>1694</v>
      </c>
      <c r="AZ411" t="s">
        <v>3023</v>
      </c>
    </row>
    <row r="412" spans="23:52" x14ac:dyDescent="0.25">
      <c r="W412" t="str">
        <f>mapPRC!A484</f>
        <v>MINCSCAMDVRS</v>
      </c>
      <c r="X412" t="str">
        <f>IFERROR(INDEX($AS$7:$AS$88,MATCH(mapPRC!C484,$AR$7:$AR$88,0)),"")</f>
        <v>coal</v>
      </c>
      <c r="AA412" t="str">
        <f>mapCOM!A428</f>
        <v>TRAELC</v>
      </c>
      <c r="AB412" t="str">
        <f t="shared" si="7"/>
        <v>celec</v>
      </c>
      <c r="AY412" t="s">
        <v>1692</v>
      </c>
      <c r="AZ412" t="s">
        <v>3016</v>
      </c>
    </row>
    <row r="413" spans="23:52" x14ac:dyDescent="0.25">
      <c r="W413" t="str">
        <f>mapPRC!A485</f>
        <v>MINCSDUVHS32</v>
      </c>
      <c r="X413" t="str">
        <f>IFERROR(INDEX($AS$7:$AS$88,MATCH(mapPRC!C485,$AR$7:$AR$88,0)),"")</f>
        <v>coal</v>
      </c>
      <c r="AA413" t="str">
        <f>mapCOM!A429</f>
        <v>TRAGAS</v>
      </c>
      <c r="AB413" t="str">
        <f t="shared" si="7"/>
        <v>cngas</v>
      </c>
      <c r="AY413" t="s">
        <v>1690</v>
      </c>
      <c r="AZ413" t="s">
        <v>3018</v>
      </c>
    </row>
    <row r="414" spans="23:52" x14ac:dyDescent="0.25">
      <c r="W414" t="str">
        <f>mapPRC!A486</f>
        <v>MINCSDUVHVRS</v>
      </c>
      <c r="X414" t="str">
        <f>IFERROR(INDEX($AS$7:$AS$88,MATCH(mapPRC!C486,$AR$7:$AR$88,0)),"")</f>
        <v>coal</v>
      </c>
      <c r="AA414" t="str">
        <f>mapCOM!A430</f>
        <v>TRAHGN</v>
      </c>
      <c r="AB414" t="str">
        <f t="shared" si="7"/>
        <v>chydr</v>
      </c>
      <c r="AY414" t="s">
        <v>1689</v>
      </c>
      <c r="AZ414" t="s">
        <v>3018</v>
      </c>
    </row>
    <row r="415" spans="23:52" x14ac:dyDescent="0.25">
      <c r="W415" t="str">
        <f>mapPRC!A487</f>
        <v>MINCSGROOVRS</v>
      </c>
      <c r="X415" t="str">
        <f>IFERROR(INDEX($AS$7:$AS$88,MATCH(mapPRC!C487,$AR$7:$AR$88,0)),"")</f>
        <v>coal</v>
      </c>
      <c r="AA415" t="str">
        <f>mapCOM!A431</f>
        <v>TRAN2OS</v>
      </c>
      <c r="AB415" t="str">
        <f t="shared" si="7"/>
        <v/>
      </c>
      <c r="AY415" t="s">
        <v>1688</v>
      </c>
      <c r="AZ415" t="s">
        <v>3023</v>
      </c>
    </row>
    <row r="416" spans="23:52" x14ac:dyDescent="0.25">
      <c r="W416" t="str">
        <f>mapPRC!A488</f>
        <v>MINCSHENDVRS</v>
      </c>
      <c r="X416" t="str">
        <f>IFERROR(INDEX($AS$7:$AS$88,MATCH(mapPRC!C488,$AR$7:$AR$88,0)),"")</f>
        <v>coal</v>
      </c>
      <c r="AA416" t="str">
        <f>mapCOM!A432</f>
        <v>TRANMVS</v>
      </c>
      <c r="AB416" t="str">
        <f t="shared" si="7"/>
        <v/>
      </c>
      <c r="AY416" t="s">
        <v>1687</v>
      </c>
      <c r="AZ416" t="s">
        <v>3023</v>
      </c>
    </row>
    <row r="417" spans="23:52" x14ac:dyDescent="0.25">
      <c r="W417" t="str">
        <f>mapPRC!A489</f>
        <v>MINCSKENDS32</v>
      </c>
      <c r="X417" t="str">
        <f>IFERROR(INDEX($AS$7:$AS$88,MATCH(mapPRC!C489,$AR$7:$AR$88,0)),"")</f>
        <v>coal</v>
      </c>
      <c r="AA417" t="str">
        <f>mapCOM!A433</f>
        <v>TRANOXS</v>
      </c>
      <c r="AB417" t="str">
        <f t="shared" si="7"/>
        <v/>
      </c>
      <c r="AY417" t="s">
        <v>1686</v>
      </c>
      <c r="AZ417" t="s">
        <v>3023</v>
      </c>
    </row>
    <row r="418" spans="23:52" x14ac:dyDescent="0.25">
      <c r="W418" t="str">
        <f>mapPRC!A490</f>
        <v>MINCSKENDVRS</v>
      </c>
      <c r="X418" t="str">
        <f>IFERROR(INDEX($AS$7:$AS$88,MATCH(mapPRC!C490,$AR$7:$AR$88,0)),"")</f>
        <v>coal</v>
      </c>
      <c r="AA418" t="str">
        <f>mapCOM!A434</f>
        <v>TRAOAG</v>
      </c>
      <c r="AB418" t="str">
        <f t="shared" si="7"/>
        <v>cpetr_o</v>
      </c>
      <c r="AY418" t="s">
        <v>1685</v>
      </c>
      <c r="AZ418" t="s">
        <v>3023</v>
      </c>
    </row>
    <row r="419" spans="23:52" x14ac:dyDescent="0.25">
      <c r="W419" t="str">
        <f>mapPRC!A491</f>
        <v>MINCSKOMAVRS</v>
      </c>
      <c r="X419" t="str">
        <f>IFERROR(INDEX($AS$7:$AS$88,MATCH(mapPRC!C491,$AR$7:$AR$88,0)),"")</f>
        <v>coal</v>
      </c>
      <c r="AA419" t="str">
        <f>mapCOM!A435</f>
        <v>TRAODS</v>
      </c>
      <c r="AB419" t="str">
        <f t="shared" si="7"/>
        <v>cpetr_d</v>
      </c>
      <c r="AY419" t="s">
        <v>1684</v>
      </c>
      <c r="AZ419" t="s">
        <v>3023</v>
      </c>
    </row>
    <row r="420" spans="23:52" x14ac:dyDescent="0.25">
      <c r="W420" t="str">
        <f>mapPRC!A492</f>
        <v>MINCSKRIESER</v>
      </c>
      <c r="X420" t="str">
        <f>IFERROR(INDEX($AS$7:$AS$88,MATCH(mapPRC!C492,$AR$7:$AR$88,0)),"")</f>
        <v>coal</v>
      </c>
      <c r="AA420" t="str">
        <f>mapCOM!A436</f>
        <v>TRAOGS</v>
      </c>
      <c r="AB420" t="str">
        <f t="shared" si="7"/>
        <v>cpetr_p</v>
      </c>
      <c r="AY420" t="s">
        <v>1683</v>
      </c>
      <c r="AZ420" t="s">
        <v>3023</v>
      </c>
    </row>
    <row r="421" spans="23:52" x14ac:dyDescent="0.25">
      <c r="W421" t="str">
        <f>mapPRC!A493</f>
        <v>MINCSKRIEVRS</v>
      </c>
      <c r="X421" t="str">
        <f>IFERROR(INDEX($AS$7:$AS$88,MATCH(mapPRC!C493,$AR$7:$AR$88,0)),"")</f>
        <v>coal</v>
      </c>
      <c r="AA421" t="str">
        <f>mapCOM!A437</f>
        <v>TRAOHF</v>
      </c>
      <c r="AB421" t="str">
        <f t="shared" si="7"/>
        <v>cpetr_o</v>
      </c>
      <c r="AY421" t="s">
        <v>1682</v>
      </c>
      <c r="AZ421" t="s">
        <v>3019</v>
      </c>
    </row>
    <row r="422" spans="23:52" x14ac:dyDescent="0.25">
      <c r="W422" t="str">
        <f>mapPRC!A494</f>
        <v>MINCSKUSINLG</v>
      </c>
      <c r="X422" t="str">
        <f>IFERROR(INDEX($AS$7:$AS$88,MATCH(mapPRC!C494,$AR$7:$AR$88,0)),"")</f>
        <v>coal</v>
      </c>
      <c r="AA422" t="str">
        <f>mapCOM!A438</f>
        <v>TRAOKE</v>
      </c>
      <c r="AB422" t="str">
        <f t="shared" si="7"/>
        <v>cpetr_o</v>
      </c>
      <c r="AY422" t="s">
        <v>1681</v>
      </c>
      <c r="AZ422" t="s">
        <v>3019</v>
      </c>
    </row>
    <row r="423" spans="23:52" x14ac:dyDescent="0.25">
      <c r="W423" t="str">
        <f>mapPRC!A495</f>
        <v>MINCSKUSIVRS</v>
      </c>
      <c r="X423" t="str">
        <f>IFERROR(INDEX($AS$7:$AS$88,MATCH(mapPRC!C495,$AR$7:$AR$88,0)),"")</f>
        <v>coal</v>
      </c>
      <c r="AA423" t="str">
        <f>mapCOM!A439</f>
        <v>TRAP10S</v>
      </c>
      <c r="AB423" t="str">
        <f t="shared" si="7"/>
        <v/>
      </c>
      <c r="AY423" t="s">
        <v>3028</v>
      </c>
      <c r="AZ423" t="s">
        <v>3023</v>
      </c>
    </row>
    <row r="424" spans="23:52" x14ac:dyDescent="0.25">
      <c r="W424" t="str">
        <f>mapPRC!A496</f>
        <v>MINCSLETHSER</v>
      </c>
      <c r="X424" t="str">
        <f>IFERROR(INDEX($AS$7:$AS$88,MATCH(mapPRC!C496,$AR$7:$AR$88,0)),"")</f>
        <v>coal</v>
      </c>
      <c r="AA424" t="str">
        <f>mapCOM!A440</f>
        <v>TRASOXS</v>
      </c>
      <c r="AB424" t="str">
        <f t="shared" si="7"/>
        <v/>
      </c>
      <c r="AY424" t="s">
        <v>3030</v>
      </c>
      <c r="AZ424" t="s">
        <v>3023</v>
      </c>
    </row>
    <row r="425" spans="23:52" x14ac:dyDescent="0.25">
      <c r="W425" t="str">
        <f>mapPRC!A497</f>
        <v>MINCSMAJUVRS</v>
      </c>
      <c r="X425" t="str">
        <f>IFERROR(INDEX($AS$7:$AS$88,MATCH(mapPRC!C497,$AR$7:$AR$88,0)),"")</f>
        <v>coal</v>
      </c>
      <c r="AA425" t="str">
        <f>mapCOM!A441</f>
        <v>TSHFO</v>
      </c>
      <c r="AB425" t="str">
        <f t="shared" si="7"/>
        <v/>
      </c>
      <c r="AY425" t="s">
        <v>3032</v>
      </c>
      <c r="AZ425" t="s">
        <v>3023</v>
      </c>
    </row>
    <row r="426" spans="23:52" x14ac:dyDescent="0.25">
      <c r="W426" t="str">
        <f>mapPRC!A498</f>
        <v>MINCSMATIEXX</v>
      </c>
      <c r="X426" t="str">
        <f>IFERROR(INDEX($AS$7:$AS$88,MATCH(mapPRC!C498,$AR$7:$AR$88,0)),"")</f>
        <v>coal</v>
      </c>
      <c r="AA426" t="str">
        <f>mapCOM!A442</f>
        <v>UPSBID</v>
      </c>
      <c r="AB426" t="str">
        <f t="shared" si="7"/>
        <v/>
      </c>
      <c r="AY426" t="s">
        <v>3034</v>
      </c>
      <c r="AZ426" t="s">
        <v>3023</v>
      </c>
    </row>
    <row r="427" spans="23:52" x14ac:dyDescent="0.25">
      <c r="W427" t="str">
        <f>mapPRC!A499</f>
        <v>MINCSMATLEXX</v>
      </c>
      <c r="X427" t="str">
        <f>IFERROR(INDEX($AS$7:$AS$88,MATCH(mapPRC!C499,$AR$7:$AR$88,0)),"")</f>
        <v>coal</v>
      </c>
      <c r="AA427" t="str">
        <f>mapCOM!A443</f>
        <v>UPSBIE</v>
      </c>
      <c r="AB427" t="str">
        <f t="shared" si="7"/>
        <v/>
      </c>
      <c r="AY427" t="s">
        <v>3036</v>
      </c>
      <c r="AZ427" t="s">
        <v>3023</v>
      </c>
    </row>
    <row r="428" spans="23:52" x14ac:dyDescent="0.25">
      <c r="W428" t="str">
        <f>mapPRC!A500</f>
        <v>MINCSMATLVRS</v>
      </c>
      <c r="X428" t="str">
        <f>IFERROR(INDEX($AS$7:$AS$88,MATCH(mapPRC!C500,$AR$7:$AR$88,0)),"")</f>
        <v>coal</v>
      </c>
      <c r="AA428" t="str">
        <f>mapCOM!A444</f>
        <v>UPSCH4S</v>
      </c>
      <c r="AB428" t="str">
        <f t="shared" si="7"/>
        <v/>
      </c>
      <c r="AY428" t="s">
        <v>3038</v>
      </c>
      <c r="AZ428" t="s">
        <v>3023</v>
      </c>
    </row>
    <row r="429" spans="23:52" x14ac:dyDescent="0.25">
      <c r="W429" t="str">
        <f>mapPRC!A501</f>
        <v>MINCSMEDUEXX</v>
      </c>
      <c r="X429" t="str">
        <f>IFERROR(INDEX($AS$7:$AS$88,MATCH(mapPRC!C501,$AR$7:$AR$88,0)),"")</f>
        <v>coal</v>
      </c>
      <c r="AA429" t="str">
        <f>mapCOM!A445</f>
        <v>UPSCLE</v>
      </c>
      <c r="AB429" t="str">
        <f t="shared" si="7"/>
        <v>ccoal-low</v>
      </c>
      <c r="AY429" t="s">
        <v>3040</v>
      </c>
      <c r="AZ429" t="s">
        <v>3023</v>
      </c>
    </row>
    <row r="430" spans="23:52" x14ac:dyDescent="0.25">
      <c r="W430" t="str">
        <f>mapPRC!A502</f>
        <v>MINCSTUTUSER</v>
      </c>
      <c r="X430" t="str">
        <f>IFERROR(INDEX($AS$7:$AS$88,MATCH(mapPRC!C502,$AR$7:$AR$88,0)),"")</f>
        <v>coal</v>
      </c>
      <c r="AA430" t="str">
        <f>mapCOM!A446</f>
        <v>UPSCMOX</v>
      </c>
      <c r="AB430" t="str">
        <f t="shared" si="7"/>
        <v/>
      </c>
      <c r="AY430" t="s">
        <v>3042</v>
      </c>
      <c r="AZ430" t="s">
        <v>3023</v>
      </c>
    </row>
    <row r="431" spans="23:52" x14ac:dyDescent="0.25">
      <c r="W431" t="str">
        <f>mapPRC!A503</f>
        <v>MINCSTUTUVRS</v>
      </c>
      <c r="X431" t="str">
        <f>IFERROR(INDEX($AS$7:$AS$88,MATCH(mapPRC!C503,$AR$7:$AR$88,0)),"")</f>
        <v>coal</v>
      </c>
      <c r="AA431" t="str">
        <f>mapCOM!A447</f>
        <v>UPSCO2S</v>
      </c>
      <c r="AB431" t="str">
        <f t="shared" si="7"/>
        <v/>
      </c>
      <c r="AY431" t="s">
        <v>3044</v>
      </c>
      <c r="AZ431" t="s">
        <v>3023</v>
      </c>
    </row>
    <row r="432" spans="23:52" x14ac:dyDescent="0.25">
      <c r="W432" t="str">
        <f>mapPRC!A504</f>
        <v>MINCSWATEVRS</v>
      </c>
      <c r="X432" t="str">
        <f>IFERROR(INDEX($AS$7:$AS$88,MATCH(mapPRC!C504,$AR$7:$AR$88,0)),"")</f>
        <v>coal</v>
      </c>
      <c r="AA432" t="str">
        <f>mapCOM!A448</f>
        <v>UPSELC</v>
      </c>
      <c r="AB432" t="str">
        <f t="shared" si="7"/>
        <v>celec</v>
      </c>
      <c r="AY432" t="s">
        <v>3046</v>
      </c>
      <c r="AZ432" t="s">
        <v>3023</v>
      </c>
    </row>
    <row r="433" spans="23:52" x14ac:dyDescent="0.25">
      <c r="W433" t="str">
        <f>mapPRC!A505</f>
        <v>MINFEORE</v>
      </c>
      <c r="X433" t="str">
        <f>IFERROR(INDEX($AS$7:$AS$88,MATCH(mapPRC!C505,$AR$7:$AR$88,0)),"")</f>
        <v/>
      </c>
      <c r="AA433" t="str">
        <f>mapCOM!A449</f>
        <v>UPSGAS</v>
      </c>
      <c r="AB433" t="str">
        <f t="shared" si="7"/>
        <v>cngas</v>
      </c>
      <c r="AY433" t="s">
        <v>3048</v>
      </c>
      <c r="AZ433" t="s">
        <v>3023</v>
      </c>
    </row>
    <row r="434" spans="23:52" x14ac:dyDescent="0.25">
      <c r="W434" t="str">
        <f>mapPRC!A506</f>
        <v>MINGAS</v>
      </c>
      <c r="X434" t="str">
        <f>IFERROR(INDEX($AS$7:$AS$88,MATCH(mapPRC!C506,$AR$7:$AR$88,0)),"")</f>
        <v/>
      </c>
      <c r="AA434" t="str">
        <f>mapCOM!A450</f>
        <v>UPSGIC</v>
      </c>
      <c r="AB434" t="str">
        <f t="shared" si="7"/>
        <v>cngas</v>
      </c>
      <c r="AY434" t="s">
        <v>3050</v>
      </c>
      <c r="AZ434" t="s">
        <v>3023</v>
      </c>
    </row>
    <row r="435" spans="23:52" x14ac:dyDescent="0.25">
      <c r="W435" t="str">
        <f>mapPRC!A507</f>
        <v>MINGIB</v>
      </c>
      <c r="X435" t="str">
        <f>IFERROR(INDEX($AS$7:$AS$88,MATCH(mapPRC!C507,$AR$7:$AR$88,0)),"")</f>
        <v/>
      </c>
      <c r="AA435" t="str">
        <f>mapCOM!A451</f>
        <v>UPSHEE</v>
      </c>
      <c r="AB435" t="str">
        <f t="shared" si="7"/>
        <v/>
      </c>
      <c r="AY435" t="s">
        <v>3052</v>
      </c>
      <c r="AZ435" t="s">
        <v>3023</v>
      </c>
    </row>
    <row r="436" spans="23:52" x14ac:dyDescent="0.25">
      <c r="W436" t="str">
        <f>mapPRC!A508</f>
        <v>MINGIC</v>
      </c>
      <c r="X436" t="str">
        <f>IFERROR(INDEX($AS$7:$AS$88,MATCH(mapPRC!C508,$AR$7:$AR$88,0)),"")</f>
        <v/>
      </c>
      <c r="AA436" t="str">
        <f>mapCOM!A452</f>
        <v>UPSHEN</v>
      </c>
      <c r="AB436" t="str">
        <f t="shared" si="7"/>
        <v/>
      </c>
      <c r="AY436" t="s">
        <v>3054</v>
      </c>
      <c r="AZ436" t="s">
        <v>3023</v>
      </c>
    </row>
    <row r="437" spans="23:52" x14ac:dyDescent="0.25">
      <c r="W437" t="str">
        <f>mapPRC!A509</f>
        <v>MINGIH</v>
      </c>
      <c r="X437" t="str">
        <f>IFERROR(INDEX($AS$7:$AS$88,MATCH(mapPRC!C509,$AR$7:$AR$88,0)),"")</f>
        <v/>
      </c>
      <c r="AA437" t="str">
        <f>mapCOM!A453</f>
        <v>UPSN2OS</v>
      </c>
      <c r="AB437" t="str">
        <f t="shared" si="7"/>
        <v/>
      </c>
      <c r="AY437" t="s">
        <v>3056</v>
      </c>
      <c r="AZ437" t="s">
        <v>3023</v>
      </c>
    </row>
    <row r="438" spans="23:52" x14ac:dyDescent="0.25">
      <c r="W438" t="str">
        <f>mapPRC!A510</f>
        <v>MINHYD</v>
      </c>
      <c r="X438" t="str">
        <f>IFERROR(INDEX($AS$7:$AS$88,MATCH(mapPRC!C510,$AR$7:$AR$88,0)),"")</f>
        <v/>
      </c>
      <c r="AA438" t="str">
        <f>mapCOM!A454</f>
        <v>UPSNMVS</v>
      </c>
      <c r="AB438" t="str">
        <f t="shared" si="7"/>
        <v/>
      </c>
      <c r="AY438" t="s">
        <v>3058</v>
      </c>
      <c r="AZ438" t="s">
        <v>3023</v>
      </c>
    </row>
    <row r="439" spans="23:52" x14ac:dyDescent="0.25">
      <c r="W439" t="str">
        <f>mapPRC!A511</f>
        <v>MINMTH</v>
      </c>
      <c r="X439" t="str">
        <f>IFERROR(INDEX($AS$7:$AS$88,MATCH(mapPRC!C511,$AR$7:$AR$88,0)),"")</f>
        <v/>
      </c>
      <c r="AA439" t="str">
        <f>mapCOM!A455</f>
        <v>UPSNOXS</v>
      </c>
      <c r="AB439" t="str">
        <f t="shared" si="7"/>
        <v/>
      </c>
      <c r="AY439" t="s">
        <v>1678</v>
      </c>
      <c r="AZ439" t="str">
        <f>""</f>
        <v/>
      </c>
    </row>
    <row r="440" spans="23:52" x14ac:dyDescent="0.25">
      <c r="W440" t="str">
        <f>mapPRC!A512</f>
        <v>MINOCR</v>
      </c>
      <c r="X440" t="str">
        <f>IFERROR(INDEX($AS$7:$AS$88,MATCH(mapPRC!C512,$AR$7:$AR$88,0)),"")</f>
        <v/>
      </c>
      <c r="AA440" t="str">
        <f>mapCOM!A456</f>
        <v>UPSOCR</v>
      </c>
      <c r="AB440" t="str">
        <f t="shared" si="7"/>
        <v>ccoil</v>
      </c>
      <c r="AY440" t="s">
        <v>1676</v>
      </c>
      <c r="AZ440" t="str">
        <f>""</f>
        <v/>
      </c>
    </row>
    <row r="441" spans="23:52" x14ac:dyDescent="0.25">
      <c r="W441" t="str">
        <f>mapPRC!A513</f>
        <v>MINSOL</v>
      </c>
      <c r="X441" t="str">
        <f>IFERROR(INDEX($AS$7:$AS$88,MATCH(mapPRC!C513,$AR$7:$AR$88,0)),"")</f>
        <v/>
      </c>
      <c r="AA441" t="str">
        <f>mapCOM!A457</f>
        <v>UPSOHF</v>
      </c>
      <c r="AB441" t="str">
        <f t="shared" si="7"/>
        <v>cpetr_o</v>
      </c>
      <c r="AY441" t="s">
        <v>1674</v>
      </c>
      <c r="AZ441" t="str">
        <f>""</f>
        <v/>
      </c>
    </row>
    <row r="442" spans="23:52" x14ac:dyDescent="0.25">
      <c r="W442" t="str">
        <f>mapPRC!A514</f>
        <v>MINWAS</v>
      </c>
      <c r="X442" t="str">
        <f>IFERROR(INDEX($AS$7:$AS$88,MATCH(mapPRC!C514,$AR$7:$AR$88,0)),"")</f>
        <v/>
      </c>
      <c r="AA442" t="str">
        <f>mapCOM!A458</f>
        <v>UPSP10S</v>
      </c>
      <c r="AB442" t="str">
        <f t="shared" si="7"/>
        <v/>
      </c>
      <c r="AY442" t="s">
        <v>1672</v>
      </c>
      <c r="AZ442" t="str">
        <f>""</f>
        <v/>
      </c>
    </row>
    <row r="443" spans="23:52" x14ac:dyDescent="0.25">
      <c r="W443" t="str">
        <f>mapPRC!A515</f>
        <v>MINWAT</v>
      </c>
      <c r="X443" t="str">
        <f>IFERROR(INDEX($AS$7:$AS$88,MATCH(mapPRC!C515,$AR$7:$AR$88,0)),"")</f>
        <v/>
      </c>
      <c r="AA443" t="str">
        <f>mapCOM!A459</f>
        <v>UPSSOXS</v>
      </c>
      <c r="AB443" t="str">
        <f t="shared" si="7"/>
        <v/>
      </c>
      <c r="AY443" t="s">
        <v>1670</v>
      </c>
      <c r="AZ443" t="str">
        <f>""</f>
        <v/>
      </c>
    </row>
    <row r="444" spans="23:52" x14ac:dyDescent="0.25">
      <c r="W444" t="str">
        <f>mapPRC!A516</f>
        <v>MINWND</v>
      </c>
      <c r="X444" t="str">
        <f>IFERROR(INDEX($AS$7:$AS$88,MATCH(mapPRC!C516,$AR$7:$AR$88,0)),"")</f>
        <v/>
      </c>
      <c r="AA444" t="str">
        <f>mapCOM!A460</f>
        <v>WAS</v>
      </c>
      <c r="AB444" t="str">
        <f t="shared" si="7"/>
        <v/>
      </c>
      <c r="AY444" t="s">
        <v>3133</v>
      </c>
      <c r="AZ444" t="str">
        <f>""</f>
        <v/>
      </c>
    </row>
    <row r="445" spans="23:52" x14ac:dyDescent="0.25">
      <c r="W445" t="str">
        <f>mapPRC!A517</f>
        <v>MINZZ</v>
      </c>
      <c r="X445" t="str">
        <f>IFERROR(INDEX($AS$7:$AS$88,MATCH(mapPRC!C517,$AR$7:$AR$88,0)),"")</f>
        <v/>
      </c>
      <c r="AA445" t="str">
        <f>mapCOM!A461</f>
        <v>WAT</v>
      </c>
      <c r="AB445" t="str">
        <f t="shared" si="7"/>
        <v/>
      </c>
      <c r="AY445" t="s">
        <v>3136</v>
      </c>
      <c r="AZ445" t="str">
        <f>""</f>
        <v/>
      </c>
    </row>
    <row r="446" spans="23:52" x14ac:dyDescent="0.25">
      <c r="W446" t="str">
        <f>mapPRC!A518</f>
        <v>MIRCRB</v>
      </c>
      <c r="X446" t="str">
        <f>IFERROR(INDEX($AS$7:$AS$88,MATCH(mapPRC!C518,$AR$7:$AR$88,0)),"")</f>
        <v/>
      </c>
      <c r="AA446" t="str">
        <f>mapCOM!A462</f>
        <v>WND</v>
      </c>
      <c r="AB446" t="str">
        <f t="shared" si="7"/>
        <v/>
      </c>
      <c r="AY446" t="s">
        <v>3139</v>
      </c>
      <c r="AZ446" t="str">
        <f>""</f>
        <v/>
      </c>
    </row>
    <row r="447" spans="23:52" x14ac:dyDescent="0.25">
      <c r="W447" t="str">
        <f>mapPRC!A519</f>
        <v>MIRGRM</v>
      </c>
      <c r="X447" t="str">
        <f>IFERROR(INDEX($AS$7:$AS$88,MATCH(mapPRC!C519,$AR$7:$AR$88,0)),"")</f>
        <v/>
      </c>
      <c r="AA447" t="str">
        <f>mapCOM!A463</f>
        <v>ZDUMETRANS</v>
      </c>
      <c r="AB447" t="str">
        <f t="shared" si="7"/>
        <v/>
      </c>
      <c r="AY447" t="s">
        <v>3140</v>
      </c>
      <c r="AZ447" t="str">
        <f>""</f>
        <v/>
      </c>
    </row>
    <row r="448" spans="23:52" x14ac:dyDescent="0.25">
      <c r="W448" t="str">
        <f>mapPRC!A520</f>
        <v>MIRGRN</v>
      </c>
      <c r="X448" t="str">
        <f>IFERROR(INDEX($AS$7:$AS$88,MATCH(mapPRC!C520,$AR$7:$AR$88,0)),"")</f>
        <v/>
      </c>
      <c r="AA448" t="str">
        <f>mapCOM!A464</f>
        <v>ZZZ</v>
      </c>
      <c r="AB448" t="str">
        <f>INDEX($AZ$6:$AZ$784,MATCH(AA448,$AY$6:$AY$784,0))</f>
        <v/>
      </c>
      <c r="AY448" t="s">
        <v>3142</v>
      </c>
      <c r="AZ448" t="str">
        <f>""</f>
        <v/>
      </c>
    </row>
    <row r="449" spans="23:52" x14ac:dyDescent="0.25">
      <c r="W449" t="str">
        <f>mapPRC!A521</f>
        <v>MIRGRS</v>
      </c>
      <c r="X449" t="str">
        <f>IFERROR(INDEX($AS$7:$AS$88,MATCH(mapPRC!C521,$AR$7:$AR$88,0)),"")</f>
        <v/>
      </c>
      <c r="AY449" t="s">
        <v>3144</v>
      </c>
      <c r="AZ449" t="s">
        <v>3018</v>
      </c>
    </row>
    <row r="450" spans="23:52" x14ac:dyDescent="0.25">
      <c r="W450" t="str">
        <f>mapPRC!A522</f>
        <v>MNWAT</v>
      </c>
      <c r="X450" t="str">
        <f>IFERROR(INDEX($AS$7:$AS$88,MATCH(mapPRC!C522,$AR$7:$AR$88,0)),"")</f>
        <v/>
      </c>
      <c r="AY450" t="s">
        <v>3146</v>
      </c>
      <c r="AZ450" t="s">
        <v>3024</v>
      </c>
    </row>
    <row r="451" spans="23:52" x14ac:dyDescent="0.25">
      <c r="W451" t="str">
        <f>mapPRC!A523</f>
        <v>MNZZZ</v>
      </c>
      <c r="X451" t="str">
        <f>IFERROR(INDEX($AS$7:$AS$88,MATCH(mapPRC!C523,$AR$7:$AR$88,0)),"")</f>
        <v/>
      </c>
      <c r="AY451" t="s">
        <v>3148</v>
      </c>
      <c r="AZ451" t="str">
        <f>""</f>
        <v/>
      </c>
    </row>
    <row r="452" spans="23:52" x14ac:dyDescent="0.25">
      <c r="W452" t="str">
        <f>mapPRC!A524</f>
        <v>PEXCME</v>
      </c>
      <c r="X452" t="str">
        <f>IFERROR(INDEX($AS$7:$AS$88,MATCH(mapPRC!C524,$AR$7:$AR$88,0)),"")</f>
        <v>exp</v>
      </c>
      <c r="AY452" t="s">
        <v>3152</v>
      </c>
      <c r="AZ452" t="str">
        <f>""</f>
        <v/>
      </c>
    </row>
    <row r="453" spans="23:52" x14ac:dyDescent="0.25">
      <c r="W453" t="str">
        <f>mapPRC!A525</f>
        <v>PEXCOA</v>
      </c>
      <c r="X453" t="str">
        <f>IFERROR(INDEX($AS$7:$AS$88,MATCH(mapPRC!C525,$AR$7:$AR$88,0)),"")</f>
        <v>exp</v>
      </c>
      <c r="AY453" t="s">
        <v>3154</v>
      </c>
      <c r="AZ453" t="str">
        <f>""</f>
        <v/>
      </c>
    </row>
    <row r="454" spans="23:52" x14ac:dyDescent="0.25">
      <c r="W454" t="str">
        <f>mapPRC!A526</f>
        <v>PEXCOK</v>
      </c>
      <c r="X454" t="str">
        <f>IFERROR(INDEX($AS$7:$AS$88,MATCH(mapPRC!C526,$AR$7:$AR$88,0)),"")</f>
        <v>exp</v>
      </c>
      <c r="AY454" t="s">
        <v>3157</v>
      </c>
      <c r="AZ454" t="str">
        <f>""</f>
        <v/>
      </c>
    </row>
    <row r="455" spans="23:52" x14ac:dyDescent="0.25">
      <c r="W455" t="str">
        <f>mapPRC!A527</f>
        <v>PEXELC</v>
      </c>
      <c r="X455" t="str">
        <f>IFERROR(INDEX($AS$7:$AS$88,MATCH(mapPRC!C527,$AR$7:$AR$88,0)),"")</f>
        <v>exp</v>
      </c>
      <c r="AY455" t="s">
        <v>3159</v>
      </c>
      <c r="AZ455" t="str">
        <f>""</f>
        <v/>
      </c>
    </row>
    <row r="456" spans="23:52" x14ac:dyDescent="0.25">
      <c r="W456" t="str">
        <f>mapPRC!A528</f>
        <v>PEXHBI</v>
      </c>
      <c r="X456" t="str">
        <f>IFERROR(INDEX($AS$7:$AS$88,MATCH(mapPRC!C528,$AR$7:$AR$88,0)),"")</f>
        <v/>
      </c>
      <c r="AY456" t="s">
        <v>3127</v>
      </c>
      <c r="AZ456" t="str">
        <f>""</f>
        <v/>
      </c>
    </row>
    <row r="457" spans="23:52" x14ac:dyDescent="0.25">
      <c r="W457" t="str">
        <f>mapPRC!A529</f>
        <v>PEXHGN</v>
      </c>
      <c r="X457" t="str">
        <f>IFERROR(INDEX($AS$7:$AS$88,MATCH(mapPRC!C529,$AR$7:$AR$88,0)),"")</f>
        <v>exp</v>
      </c>
      <c r="AY457" t="s">
        <v>3129</v>
      </c>
      <c r="AZ457" t="s">
        <v>3021</v>
      </c>
    </row>
    <row r="458" spans="23:52" x14ac:dyDescent="0.25">
      <c r="W458" t="str">
        <f>mapPRC!A530</f>
        <v>PEXGAS</v>
      </c>
      <c r="X458" t="str">
        <f>IFERROR(INDEX($AS$7:$AS$88,MATCH(mapPRC!C530,$AR$7:$AR$88,0)),"")</f>
        <v>exp</v>
      </c>
      <c r="AY458" t="s">
        <v>3131</v>
      </c>
      <c r="AZ458" t="s">
        <v>3021</v>
      </c>
    </row>
    <row r="459" spans="23:52" x14ac:dyDescent="0.25">
      <c r="W459" t="str">
        <f>mapPRC!A531</f>
        <v>PEXOAG</v>
      </c>
      <c r="X459" t="str">
        <f>IFERROR(INDEX($AS$7:$AS$88,MATCH(mapPRC!C531,$AR$7:$AR$88,0)),"")</f>
        <v>exp</v>
      </c>
    </row>
    <row r="460" spans="23:52" x14ac:dyDescent="0.25">
      <c r="W460" t="str">
        <f>mapPRC!A532</f>
        <v>PEXOCR</v>
      </c>
      <c r="X460" t="str">
        <f>IFERROR(INDEX($AS$7:$AS$88,MATCH(mapPRC!C532,$AR$7:$AR$88,0)),"")</f>
        <v>exp</v>
      </c>
    </row>
    <row r="461" spans="23:52" x14ac:dyDescent="0.25">
      <c r="W461" t="str">
        <f>mapPRC!A533</f>
        <v>PEXODS</v>
      </c>
      <c r="X461" t="str">
        <f>IFERROR(INDEX($AS$7:$AS$88,MATCH(mapPRC!C533,$AR$7:$AR$88,0)),"")</f>
        <v>exp</v>
      </c>
    </row>
    <row r="462" spans="23:52" x14ac:dyDescent="0.25">
      <c r="W462" t="str">
        <f>mapPRC!A534</f>
        <v>PEXOGS</v>
      </c>
      <c r="X462" t="str">
        <f>IFERROR(INDEX($AS$7:$AS$88,MATCH(mapPRC!C534,$AR$7:$AR$88,0)),"")</f>
        <v>exp</v>
      </c>
    </row>
    <row r="463" spans="23:52" x14ac:dyDescent="0.25">
      <c r="W463" t="str">
        <f>mapPRC!A535</f>
        <v>PEXOHF</v>
      </c>
      <c r="X463" t="str">
        <f>IFERROR(INDEX($AS$7:$AS$88,MATCH(mapPRC!C535,$AR$7:$AR$88,0)),"")</f>
        <v>exp</v>
      </c>
    </row>
    <row r="464" spans="23:52" x14ac:dyDescent="0.25">
      <c r="W464" t="str">
        <f>mapPRC!A536</f>
        <v>PEXOKE</v>
      </c>
      <c r="X464" t="str">
        <f>IFERROR(INDEX($AS$7:$AS$88,MATCH(mapPRC!C536,$AR$7:$AR$88,0)),"")</f>
        <v>exp</v>
      </c>
    </row>
    <row r="465" spans="23:24" x14ac:dyDescent="0.25">
      <c r="W465" t="str">
        <f>mapPRC!A537</f>
        <v>PEXOXY</v>
      </c>
      <c r="X465" t="str">
        <f>IFERROR(INDEX($AS$7:$AS$88,MATCH(mapPRC!C537,$AR$7:$AR$88,0)),"")</f>
        <v/>
      </c>
    </row>
    <row r="466" spans="23:24" x14ac:dyDescent="0.25">
      <c r="W466" t="str">
        <f>mapPRC!A538</f>
        <v>RHEHBIWSTOV-E</v>
      </c>
      <c r="X466" t="str">
        <f>IFERROR(INDEX($AS$7:$AS$88,MATCH(mapPRC!C538,$AR$7:$AR$88,0)),"")</f>
        <v>hhd-he</v>
      </c>
    </row>
    <row r="467" spans="23:24" x14ac:dyDescent="0.25">
      <c r="W467" t="str">
        <f>mapPRC!A539</f>
        <v>RHEHCOASTOV-E</v>
      </c>
      <c r="X467" t="str">
        <f>IFERROR(INDEX($AS$7:$AS$88,MATCH(mapPRC!C539,$AR$7:$AR$88,0)),"")</f>
        <v>hhd-he</v>
      </c>
    </row>
    <row r="468" spans="23:24" x14ac:dyDescent="0.25">
      <c r="W468" t="str">
        <f>mapPRC!A540</f>
        <v>RHEHELCHEATFIN-E</v>
      </c>
      <c r="X468" t="str">
        <f>IFERROR(INDEX($AS$7:$AS$88,MATCH(mapPRC!C540,$AR$7:$AR$88,0)),"")</f>
        <v>hhd-he</v>
      </c>
    </row>
    <row r="469" spans="23:24" x14ac:dyDescent="0.25">
      <c r="W469" t="str">
        <f>mapPRC!A541</f>
        <v>RHEHGASHEAT-N</v>
      </c>
      <c r="X469" t="str">
        <f>IFERROR(INDEX($AS$7:$AS$88,MATCH(mapPRC!C541,$AR$7:$AR$88,0)),"")</f>
        <v>hhd-he</v>
      </c>
    </row>
    <row r="470" spans="23:24" x14ac:dyDescent="0.25">
      <c r="W470" t="str">
        <f>mapPRC!A542</f>
        <v>RHEHOKEHEAT-E</v>
      </c>
      <c r="X470" t="str">
        <f>IFERROR(INDEX($AS$7:$AS$88,MATCH(mapPRC!C542,$AR$7:$AR$88,0)),"")</f>
        <v>hhd-he</v>
      </c>
    </row>
    <row r="471" spans="23:24" x14ac:dyDescent="0.25">
      <c r="W471" t="str">
        <f>mapPRC!A543</f>
        <v>RHEHOLPHEAT-E</v>
      </c>
      <c r="X471" t="str">
        <f>IFERROR(INDEX($AS$7:$AS$88,MATCH(mapPRC!C543,$AR$7:$AR$88,0)),"")</f>
        <v>hhd-he</v>
      </c>
    </row>
    <row r="472" spans="23:24" x14ac:dyDescent="0.25">
      <c r="W472" t="str">
        <f>mapPRC!A544</f>
        <v>RHEKBIWSTOV-E</v>
      </c>
      <c r="X472" t="str">
        <f>IFERROR(INDEX($AS$7:$AS$88,MATCH(mapPRC!C544,$AR$7:$AR$88,0)),"")</f>
        <v>hhd-he</v>
      </c>
    </row>
    <row r="473" spans="23:24" x14ac:dyDescent="0.25">
      <c r="W473" t="str">
        <f>mapPRC!A545</f>
        <v>RHEKELCSTOV-E</v>
      </c>
      <c r="X473" t="str">
        <f>IFERROR(INDEX($AS$7:$AS$88,MATCH(mapPRC!C545,$AR$7:$AR$88,0)),"")</f>
        <v>hhd-he</v>
      </c>
    </row>
    <row r="474" spans="23:24" x14ac:dyDescent="0.25">
      <c r="W474" t="str">
        <f>mapPRC!A546</f>
        <v>RHEKGASSTOV-E</v>
      </c>
      <c r="X474" t="str">
        <f>IFERROR(INDEX($AS$7:$AS$88,MATCH(mapPRC!C546,$AR$7:$AR$88,0)),"")</f>
        <v>hhd-he</v>
      </c>
    </row>
    <row r="475" spans="23:24" x14ac:dyDescent="0.25">
      <c r="W475" t="str">
        <f>mapPRC!A547</f>
        <v>RHEKOKEPRIMUS-E</v>
      </c>
      <c r="X475" t="str">
        <f>IFERROR(INDEX($AS$7:$AS$88,MATCH(mapPRC!C547,$AR$7:$AR$88,0)),"")</f>
        <v>hhd-he</v>
      </c>
    </row>
    <row r="476" spans="23:24" x14ac:dyDescent="0.25">
      <c r="W476" t="str">
        <f>mapPRC!A548</f>
        <v>RHEKOLPSTOV-E</v>
      </c>
      <c r="X476" t="str">
        <f>IFERROR(INDEX($AS$7:$AS$88,MATCH(mapPRC!C548,$AR$7:$AR$88,0)),"")</f>
        <v>hhd-he</v>
      </c>
    </row>
    <row r="477" spans="23:24" x14ac:dyDescent="0.25">
      <c r="W477" t="str">
        <f>mapPRC!A549</f>
        <v>RHELELCINC-E</v>
      </c>
      <c r="X477" t="str">
        <f>IFERROR(INDEX($AS$7:$AS$88,MATCH(mapPRC!C549,$AR$7:$AR$88,0)),"")</f>
        <v>hhd-he</v>
      </c>
    </row>
    <row r="478" spans="23:24" x14ac:dyDescent="0.25">
      <c r="W478" t="str">
        <f>mapPRC!A550</f>
        <v>RHENOKEOTH-E</v>
      </c>
      <c r="X478" t="str">
        <f>IFERROR(INDEX($AS$7:$AS$88,MATCH(mapPRC!C550,$AR$7:$AR$88,0)),"")</f>
        <v>hhd-he</v>
      </c>
    </row>
    <row r="479" spans="23:24" x14ac:dyDescent="0.25">
      <c r="W479" t="str">
        <f>mapPRC!A551</f>
        <v>RHEOELCOTH-E</v>
      </c>
      <c r="X479" t="str">
        <f>IFERROR(INDEX($AS$7:$AS$88,MATCH(mapPRC!C551,$AR$7:$AR$88,0)),"")</f>
        <v>hhd-he</v>
      </c>
    </row>
    <row r="480" spans="23:24" x14ac:dyDescent="0.25">
      <c r="W480" t="str">
        <f>mapPRC!A552</f>
        <v>RHERELCREF-E</v>
      </c>
      <c r="X480" t="str">
        <f>IFERROR(INDEX($AS$7:$AS$88,MATCH(mapPRC!C552,$AR$7:$AR$88,0)),"")</f>
        <v>hhd-he</v>
      </c>
    </row>
    <row r="481" spans="23:24" x14ac:dyDescent="0.25">
      <c r="W481" t="str">
        <f>mapPRC!A553</f>
        <v>RHEWELCCHP-N</v>
      </c>
      <c r="X481" t="str">
        <f>IFERROR(INDEX($AS$7:$AS$88,MATCH(mapPRC!C553,$AR$7:$AR$88,0)),"")</f>
        <v>hhd-he</v>
      </c>
    </row>
    <row r="482" spans="23:24" x14ac:dyDescent="0.25">
      <c r="W482" t="str">
        <f>mapPRC!A554</f>
        <v>RHEWELCGEY-E</v>
      </c>
      <c r="X482" t="str">
        <f>IFERROR(INDEX($AS$7:$AS$88,MATCH(mapPRC!C554,$AR$7:$AR$88,0)),"")</f>
        <v>hhd-he</v>
      </c>
    </row>
    <row r="483" spans="23:24" x14ac:dyDescent="0.25">
      <c r="W483" t="str">
        <f>mapPRC!A555</f>
        <v>RHEWELCSWH-E</v>
      </c>
      <c r="X483" t="str">
        <f>IFERROR(INDEX($AS$7:$AS$88,MATCH(mapPRC!C555,$AR$7:$AR$88,0)),"")</f>
        <v>hhd-he</v>
      </c>
    </row>
    <row r="484" spans="23:24" x14ac:dyDescent="0.25">
      <c r="W484" t="str">
        <f>mapPRC!A556</f>
        <v>RHEWGASHEAT-N</v>
      </c>
      <c r="X484" t="str">
        <f>IFERROR(INDEX($AS$7:$AS$88,MATCH(mapPRC!C556,$AR$7:$AR$88,0)),"")</f>
        <v>hhd-he</v>
      </c>
    </row>
    <row r="485" spans="23:24" x14ac:dyDescent="0.25">
      <c r="W485" t="str">
        <f>mapPRC!A557</f>
        <v>RHEWOKESTOV-E</v>
      </c>
      <c r="X485" t="str">
        <f>IFERROR(INDEX($AS$7:$AS$88,MATCH(mapPRC!C557,$AR$7:$AR$88,0)),"")</f>
        <v>hhd-he</v>
      </c>
    </row>
    <row r="486" spans="23:24" x14ac:dyDescent="0.25">
      <c r="W486" t="str">
        <f>mapPRC!A558</f>
        <v>RHEWOLPSTOV-E</v>
      </c>
      <c r="X486" t="str">
        <f>IFERROR(INDEX($AS$7:$AS$88,MATCH(mapPRC!C558,$AR$7:$AR$88,0)),"")</f>
        <v>hhd-he</v>
      </c>
    </row>
    <row r="487" spans="23:24" x14ac:dyDescent="0.25">
      <c r="W487" t="str">
        <f>mapPRC!A559</f>
        <v>RLEHBIWOPEN-E</v>
      </c>
      <c r="X487" t="str">
        <f>IFERROR(INDEX($AS$7:$AS$88,MATCH(mapPRC!C559,$AR$7:$AR$88,0)),"")</f>
        <v>hhd-le</v>
      </c>
    </row>
    <row r="488" spans="23:24" x14ac:dyDescent="0.25">
      <c r="W488" t="str">
        <f>mapPRC!A560</f>
        <v>RLEHCOABNM-E</v>
      </c>
      <c r="X488" t="str">
        <f>IFERROR(INDEX($AS$7:$AS$88,MATCH(mapPRC!C560,$AR$7:$AR$88,0)),"")</f>
        <v>hhd-le</v>
      </c>
    </row>
    <row r="489" spans="23:24" x14ac:dyDescent="0.25">
      <c r="W489" t="str">
        <f>mapPRC!A561</f>
        <v>RLEHELCHEATBAR-E</v>
      </c>
      <c r="X489" t="str">
        <f>IFERROR(INDEX($AS$7:$AS$88,MATCH(mapPRC!C561,$AR$7:$AR$88,0)),"")</f>
        <v>hhd-le</v>
      </c>
    </row>
    <row r="490" spans="23:24" x14ac:dyDescent="0.25">
      <c r="W490" t="str">
        <f>mapPRC!A562</f>
        <v>RLEHOKEHEAT-E</v>
      </c>
      <c r="X490" t="str">
        <f>IFERROR(INDEX($AS$7:$AS$88,MATCH(mapPRC!C562,$AR$7:$AR$88,0)),"")</f>
        <v>hhd-le</v>
      </c>
    </row>
    <row r="491" spans="23:24" x14ac:dyDescent="0.25">
      <c r="W491" t="str">
        <f>mapPRC!A563</f>
        <v>RLEHOLPHET-E</v>
      </c>
      <c r="X491" t="str">
        <f>IFERROR(INDEX($AS$7:$AS$88,MATCH(mapPRC!C563,$AR$7:$AR$88,0)),"")</f>
        <v>hhd-le</v>
      </c>
    </row>
    <row r="492" spans="23:24" x14ac:dyDescent="0.25">
      <c r="W492" t="str">
        <f>mapPRC!A564</f>
        <v>RLEKBIWBNM-E</v>
      </c>
      <c r="X492" t="str">
        <f>IFERROR(INDEX($AS$7:$AS$88,MATCH(mapPRC!C564,$AR$7:$AR$88,0)),"")</f>
        <v>hhd-le</v>
      </c>
    </row>
    <row r="493" spans="23:24" x14ac:dyDescent="0.25">
      <c r="W493" t="str">
        <f>mapPRC!A565</f>
        <v>RLEKCOABNM-E</v>
      </c>
      <c r="X493" t="str">
        <f>IFERROR(INDEX($AS$7:$AS$88,MATCH(mapPRC!C565,$AR$7:$AR$88,0)),"")</f>
        <v>hhd-le</v>
      </c>
    </row>
    <row r="494" spans="23:24" x14ac:dyDescent="0.25">
      <c r="W494" t="str">
        <f>mapPRC!A566</f>
        <v>RLEKELCHOT-E</v>
      </c>
      <c r="X494" t="str">
        <f>IFERROR(INDEX($AS$7:$AS$88,MATCH(mapPRC!C566,$AR$7:$AR$88,0)),"")</f>
        <v>hhd-le</v>
      </c>
    </row>
    <row r="495" spans="23:24" x14ac:dyDescent="0.25">
      <c r="W495" t="str">
        <f>mapPRC!A567</f>
        <v>RLEKELCSTOV-E</v>
      </c>
      <c r="X495" t="str">
        <f>IFERROR(INDEX($AS$7:$AS$88,MATCH(mapPRC!C567,$AR$7:$AR$88,0)),"")</f>
        <v>hhd-le</v>
      </c>
    </row>
    <row r="496" spans="23:24" x14ac:dyDescent="0.25">
      <c r="W496" t="str">
        <f>mapPRC!A568</f>
        <v>RLEKOKEWICK-E</v>
      </c>
      <c r="X496" t="str">
        <f>IFERROR(INDEX($AS$7:$AS$88,MATCH(mapPRC!C568,$AR$7:$AR$88,0)),"")</f>
        <v>hhd-le</v>
      </c>
    </row>
    <row r="497" spans="23:24" x14ac:dyDescent="0.25">
      <c r="W497" t="str">
        <f>mapPRC!A569</f>
        <v>RLEKOLPRING-E</v>
      </c>
      <c r="X497" t="str">
        <f>IFERROR(INDEX($AS$7:$AS$88,MATCH(mapPRC!C569,$AR$7:$AR$88,0)),"")</f>
        <v>hhd-le</v>
      </c>
    </row>
    <row r="498" spans="23:24" x14ac:dyDescent="0.25">
      <c r="W498" t="str">
        <f>mapPRC!A570</f>
        <v>RLELELCINC-E</v>
      </c>
      <c r="X498" t="str">
        <f>IFERROR(INDEX($AS$7:$AS$88,MATCH(mapPRC!C570,$AR$7:$AR$88,0)),"")</f>
        <v>hhd-le</v>
      </c>
    </row>
    <row r="499" spans="23:24" x14ac:dyDescent="0.25">
      <c r="W499" t="str">
        <f>mapPRC!A571</f>
        <v>RLENOKEOTH-E</v>
      </c>
      <c r="X499" t="str">
        <f>IFERROR(INDEX($AS$7:$AS$88,MATCH(mapPRC!C571,$AR$7:$AR$88,0)),"")</f>
        <v>hhd-le</v>
      </c>
    </row>
    <row r="500" spans="23:24" x14ac:dyDescent="0.25">
      <c r="W500" t="str">
        <f>mapPRC!A572</f>
        <v>RLEOELCOTH-E</v>
      </c>
      <c r="X500" t="str">
        <f>IFERROR(INDEX($AS$7:$AS$88,MATCH(mapPRC!C572,$AR$7:$AR$88,0)),"")</f>
        <v>hhd-le</v>
      </c>
    </row>
    <row r="501" spans="23:24" x14ac:dyDescent="0.25">
      <c r="W501" t="str">
        <f>mapPRC!A573</f>
        <v>RLERELCREF-E</v>
      </c>
      <c r="X501" t="str">
        <f>IFERROR(INDEX($AS$7:$AS$88,MATCH(mapPRC!C573,$AR$7:$AR$88,0)),"")</f>
        <v>hhd-le</v>
      </c>
    </row>
    <row r="502" spans="23:24" x14ac:dyDescent="0.25">
      <c r="W502" t="str">
        <f>mapPRC!A574</f>
        <v>RLEWBIWKETBI-E</v>
      </c>
      <c r="X502" t="str">
        <f>IFERROR(INDEX($AS$7:$AS$88,MATCH(mapPRC!C574,$AR$7:$AR$88,0)),"")</f>
        <v>hhd-le</v>
      </c>
    </row>
    <row r="503" spans="23:24" x14ac:dyDescent="0.25">
      <c r="W503" t="str">
        <f>mapPRC!A575</f>
        <v>RLEWCOAKETCOA-E</v>
      </c>
      <c r="X503" t="str">
        <f>IFERROR(INDEX($AS$7:$AS$88,MATCH(mapPRC!C575,$AR$7:$AR$88,0)),"")</f>
        <v>hhd-le</v>
      </c>
    </row>
    <row r="504" spans="23:24" x14ac:dyDescent="0.25">
      <c r="W504" t="str">
        <f>mapPRC!A576</f>
        <v>RLEWELCGEY-E</v>
      </c>
      <c r="X504" t="str">
        <f>IFERROR(INDEX($AS$7:$AS$88,MATCH(mapPRC!C576,$AR$7:$AR$88,0)),"")</f>
        <v>hhd-le</v>
      </c>
    </row>
    <row r="505" spans="23:24" x14ac:dyDescent="0.25">
      <c r="W505" t="str">
        <f>mapPRC!A577</f>
        <v>RLEWELCKET-E</v>
      </c>
      <c r="X505" t="str">
        <f>IFERROR(INDEX($AS$7:$AS$88,MATCH(mapPRC!C577,$AR$7:$AR$88,0)),"")</f>
        <v>hhd-le</v>
      </c>
    </row>
    <row r="506" spans="23:24" x14ac:dyDescent="0.25">
      <c r="W506" t="str">
        <f>mapPRC!A578</f>
        <v>RLEWELCSWH-E</v>
      </c>
      <c r="X506" t="str">
        <f>IFERROR(INDEX($AS$7:$AS$88,MATCH(mapPRC!C578,$AR$7:$AR$88,0)),"")</f>
        <v>hhd-le</v>
      </c>
    </row>
    <row r="507" spans="23:24" x14ac:dyDescent="0.25">
      <c r="W507" t="str">
        <f>mapPRC!A579</f>
        <v>RLEWOKEKETWI-E</v>
      </c>
      <c r="X507" t="str">
        <f>IFERROR(INDEX($AS$7:$AS$88,MATCH(mapPRC!C579,$AR$7:$AR$88,0)),"")</f>
        <v>hhd-le</v>
      </c>
    </row>
    <row r="508" spans="23:24" x14ac:dyDescent="0.25">
      <c r="W508" t="str">
        <f>mapPRC!A580</f>
        <v>RLEWOLPKETLPG-E</v>
      </c>
      <c r="X508" t="str">
        <f>IFERROR(INDEX($AS$7:$AS$88,MATCH(mapPRC!C580,$AR$7:$AR$88,0)),"")</f>
        <v>hhd-le</v>
      </c>
    </row>
    <row r="509" spans="23:24" x14ac:dyDescent="0.25">
      <c r="W509" t="str">
        <f>mapPRC!A581</f>
        <v>RLNHBIWOPEN-E</v>
      </c>
      <c r="X509" t="str">
        <f>IFERROR(INDEX($AS$7:$AS$88,MATCH(mapPRC!C581,$AR$7:$AR$88,0)),"")</f>
        <v>hhd-le</v>
      </c>
    </row>
    <row r="510" spans="23:24" x14ac:dyDescent="0.25">
      <c r="W510" t="str">
        <f>mapPRC!A582</f>
        <v>RLNHCOABNM-E</v>
      </c>
      <c r="X510" t="str">
        <f>IFERROR(INDEX($AS$7:$AS$88,MATCH(mapPRC!C582,$AR$7:$AR$88,0)),"")</f>
        <v>hhd-le</v>
      </c>
    </row>
    <row r="511" spans="23:24" x14ac:dyDescent="0.25">
      <c r="W511" t="str">
        <f>mapPRC!A583</f>
        <v>RLNHOKEHEAT-E</v>
      </c>
      <c r="X511" t="str">
        <f>IFERROR(INDEX($AS$7:$AS$88,MATCH(mapPRC!C583,$AR$7:$AR$88,0)),"")</f>
        <v>hhd-le</v>
      </c>
    </row>
    <row r="512" spans="23:24" x14ac:dyDescent="0.25">
      <c r="W512" t="str">
        <f>mapPRC!A584</f>
        <v>RLNHOLPHET-E</v>
      </c>
      <c r="X512" t="str">
        <f>IFERROR(INDEX($AS$7:$AS$88,MATCH(mapPRC!C584,$AR$7:$AR$88,0)),"")</f>
        <v>hhd-le</v>
      </c>
    </row>
    <row r="513" spans="23:24" x14ac:dyDescent="0.25">
      <c r="W513" t="str">
        <f>mapPRC!A585</f>
        <v>RLNKBIWBNM-E</v>
      </c>
      <c r="X513" t="str">
        <f>IFERROR(INDEX($AS$7:$AS$88,MATCH(mapPRC!C585,$AR$7:$AR$88,0)),"")</f>
        <v>hhd-le</v>
      </c>
    </row>
    <row r="514" spans="23:24" x14ac:dyDescent="0.25">
      <c r="W514" t="str">
        <f>mapPRC!A586</f>
        <v>RLNKCOABNM-E</v>
      </c>
      <c r="X514" t="str">
        <f>IFERROR(INDEX($AS$7:$AS$88,MATCH(mapPRC!C586,$AR$7:$AR$88,0)),"")</f>
        <v>hhd-le</v>
      </c>
    </row>
    <row r="515" spans="23:24" x14ac:dyDescent="0.25">
      <c r="W515" t="str">
        <f>mapPRC!A587</f>
        <v>RLNKOKEWICK-E</v>
      </c>
      <c r="X515" t="str">
        <f>IFERROR(INDEX($AS$7:$AS$88,MATCH(mapPRC!C587,$AR$7:$AR$88,0)),"")</f>
        <v>hhd-le</v>
      </c>
    </row>
    <row r="516" spans="23:24" x14ac:dyDescent="0.25">
      <c r="W516" t="str">
        <f>mapPRC!A588</f>
        <v>RLNKOLPRING-E</v>
      </c>
      <c r="X516" t="str">
        <f>IFERROR(INDEX($AS$7:$AS$88,MATCH(mapPRC!C588,$AR$7:$AR$88,0)),"")</f>
        <v>hhd-le</v>
      </c>
    </row>
    <row r="517" spans="23:24" x14ac:dyDescent="0.25">
      <c r="W517" t="str">
        <f>mapPRC!A589</f>
        <v>RLNLOKEWICK-E</v>
      </c>
      <c r="X517" t="str">
        <f>IFERROR(INDEX($AS$7:$AS$88,MATCH(mapPRC!C589,$AR$7:$AR$88,0)),"")</f>
        <v>hhd-le</v>
      </c>
    </row>
    <row r="518" spans="23:24" x14ac:dyDescent="0.25">
      <c r="W518" t="str">
        <f>mapPRC!A590</f>
        <v>RLNNOKEOTH-E</v>
      </c>
      <c r="X518" t="str">
        <f>IFERROR(INDEX($AS$7:$AS$88,MATCH(mapPRC!C590,$AR$7:$AR$88,0)),"")</f>
        <v>hhd-le</v>
      </c>
    </row>
    <row r="519" spans="23:24" x14ac:dyDescent="0.25">
      <c r="W519" t="str">
        <f>mapPRC!A591</f>
        <v>RLNWBIWKETBI-E</v>
      </c>
      <c r="X519" t="str">
        <f>IFERROR(INDEX($AS$7:$AS$88,MATCH(mapPRC!C591,$AR$7:$AR$88,0)),"")</f>
        <v>hhd-le</v>
      </c>
    </row>
    <row r="520" spans="23:24" x14ac:dyDescent="0.25">
      <c r="W520" t="str">
        <f>mapPRC!A592</f>
        <v>RLNWCOABNM-E</v>
      </c>
      <c r="X520" t="str">
        <f>IFERROR(INDEX($AS$7:$AS$88,MATCH(mapPRC!C592,$AR$7:$AR$88,0)),"")</f>
        <v>hhd-le</v>
      </c>
    </row>
    <row r="521" spans="23:24" x14ac:dyDescent="0.25">
      <c r="W521" t="str">
        <f>mapPRC!A593</f>
        <v>RLNWOKEKETWI-E</v>
      </c>
      <c r="X521" t="str">
        <f>IFERROR(INDEX($AS$7:$AS$88,MATCH(mapPRC!C593,$AR$7:$AR$88,0)),"")</f>
        <v>hhd-le</v>
      </c>
    </row>
    <row r="522" spans="23:24" x14ac:dyDescent="0.25">
      <c r="W522" t="str">
        <f>mapPRC!A594</f>
        <v>RLNWOLPKETLPG-E</v>
      </c>
      <c r="X522" t="str">
        <f>IFERROR(INDEX($AS$7:$AS$88,MATCH(mapPRC!C594,$AR$7:$AR$88,0)),"")</f>
        <v>hhd-le</v>
      </c>
    </row>
    <row r="523" spans="23:24" x14ac:dyDescent="0.25">
      <c r="W523" t="str">
        <f>mapPRC!A595</f>
        <v>RMEHBIWSTOV-E</v>
      </c>
      <c r="X523" t="str">
        <f>IFERROR(INDEX($AS$7:$AS$88,MATCH(mapPRC!C595,$AR$7:$AR$88,0)),"")</f>
        <v>hhd-me</v>
      </c>
    </row>
    <row r="524" spans="23:24" x14ac:dyDescent="0.25">
      <c r="W524" t="str">
        <f>mapPRC!A596</f>
        <v>RMEHCOASTOV-E</v>
      </c>
      <c r="X524" t="str">
        <f>IFERROR(INDEX($AS$7:$AS$88,MATCH(mapPRC!C596,$AR$7:$AR$88,0)),"")</f>
        <v>hhd-me</v>
      </c>
    </row>
    <row r="525" spans="23:24" x14ac:dyDescent="0.25">
      <c r="W525" t="str">
        <f>mapPRC!A597</f>
        <v>RMEHELCHEATFIN-E</v>
      </c>
      <c r="X525" t="str">
        <f>IFERROR(INDEX($AS$7:$AS$88,MATCH(mapPRC!C597,$AR$7:$AR$88,0)),"")</f>
        <v>hhd-me</v>
      </c>
    </row>
    <row r="526" spans="23:24" x14ac:dyDescent="0.25">
      <c r="W526" t="str">
        <f>mapPRC!A598</f>
        <v>RMEHGASHEAT-N</v>
      </c>
      <c r="X526" t="str">
        <f>IFERROR(INDEX($AS$7:$AS$88,MATCH(mapPRC!C598,$AR$7:$AR$88,0)),"")</f>
        <v>hhd-me</v>
      </c>
    </row>
    <row r="527" spans="23:24" x14ac:dyDescent="0.25">
      <c r="W527" t="str">
        <f>mapPRC!A599</f>
        <v>RMEHOKEHEAT-E</v>
      </c>
      <c r="X527" t="str">
        <f>IFERROR(INDEX($AS$7:$AS$88,MATCH(mapPRC!C599,$AR$7:$AR$88,0)),"")</f>
        <v>hhd-me</v>
      </c>
    </row>
    <row r="528" spans="23:24" x14ac:dyDescent="0.25">
      <c r="W528" t="str">
        <f>mapPRC!A600</f>
        <v>RMEHOLPHEAT-E</v>
      </c>
      <c r="X528" t="str">
        <f>IFERROR(INDEX($AS$7:$AS$88,MATCH(mapPRC!C600,$AR$7:$AR$88,0)),"")</f>
        <v>hhd-me</v>
      </c>
    </row>
    <row r="529" spans="23:24" x14ac:dyDescent="0.25">
      <c r="W529" t="str">
        <f>mapPRC!A601</f>
        <v>RMEKBIWSTOV-E</v>
      </c>
      <c r="X529" t="str">
        <f>IFERROR(INDEX($AS$7:$AS$88,MATCH(mapPRC!C601,$AR$7:$AR$88,0)),"")</f>
        <v>hhd-me</v>
      </c>
    </row>
    <row r="530" spans="23:24" x14ac:dyDescent="0.25">
      <c r="W530" t="str">
        <f>mapPRC!A602</f>
        <v>RMEKCOABNM-E</v>
      </c>
      <c r="X530" t="str">
        <f>IFERROR(INDEX($AS$7:$AS$88,MATCH(mapPRC!C602,$AR$7:$AR$88,0)),"")</f>
        <v>hhd-me</v>
      </c>
    </row>
    <row r="531" spans="23:24" x14ac:dyDescent="0.25">
      <c r="W531" t="str">
        <f>mapPRC!A603</f>
        <v>RMEKELCSTOV-E</v>
      </c>
      <c r="X531" t="str">
        <f>IFERROR(INDEX($AS$7:$AS$88,MATCH(mapPRC!C603,$AR$7:$AR$88,0)),"")</f>
        <v>hhd-me</v>
      </c>
    </row>
    <row r="532" spans="23:24" x14ac:dyDescent="0.25">
      <c r="W532" t="str">
        <f>mapPRC!A604</f>
        <v>RMEKGASSTOV-E</v>
      </c>
      <c r="X532" t="str">
        <f>IFERROR(INDEX($AS$7:$AS$88,MATCH(mapPRC!C604,$AR$7:$AR$88,0)),"")</f>
        <v>hhd-me</v>
      </c>
    </row>
    <row r="533" spans="23:24" x14ac:dyDescent="0.25">
      <c r="W533" t="str">
        <f>mapPRC!A605</f>
        <v>RMEKOKEWICK-E</v>
      </c>
      <c r="X533" t="str">
        <f>IFERROR(INDEX($AS$7:$AS$88,MATCH(mapPRC!C605,$AR$7:$AR$88,0)),"")</f>
        <v>hhd-me</v>
      </c>
    </row>
    <row r="534" spans="23:24" x14ac:dyDescent="0.25">
      <c r="W534" t="str">
        <f>mapPRC!A606</f>
        <v>RMEKOLPSTOV-E</v>
      </c>
      <c r="X534" t="str">
        <f>IFERROR(INDEX($AS$7:$AS$88,MATCH(mapPRC!C606,$AR$7:$AR$88,0)),"")</f>
        <v>hhd-me</v>
      </c>
    </row>
    <row r="535" spans="23:24" x14ac:dyDescent="0.25">
      <c r="W535" t="str">
        <f>mapPRC!A607</f>
        <v>RMELELCINC-E</v>
      </c>
      <c r="X535" t="str">
        <f>IFERROR(INDEX($AS$7:$AS$88,MATCH(mapPRC!C607,$AR$7:$AR$88,0)),"")</f>
        <v>hhd-me</v>
      </c>
    </row>
    <row r="536" spans="23:24" x14ac:dyDescent="0.25">
      <c r="W536" t="str">
        <f>mapPRC!A608</f>
        <v>RMENOKEOTH-E</v>
      </c>
      <c r="X536" t="str">
        <f>IFERROR(INDEX($AS$7:$AS$88,MATCH(mapPRC!C608,$AR$7:$AR$88,0)),"")</f>
        <v>hhd-me</v>
      </c>
    </row>
    <row r="537" spans="23:24" x14ac:dyDescent="0.25">
      <c r="W537" t="str">
        <f>mapPRC!A609</f>
        <v>RMEOELCOTH-E</v>
      </c>
      <c r="X537" t="str">
        <f>IFERROR(INDEX($AS$7:$AS$88,MATCH(mapPRC!C609,$AR$7:$AR$88,0)),"")</f>
        <v>hhd-me</v>
      </c>
    </row>
    <row r="538" spans="23:24" x14ac:dyDescent="0.25">
      <c r="W538" t="str">
        <f>mapPRC!A610</f>
        <v>RMERELCREF-E</v>
      </c>
      <c r="X538" t="str">
        <f>IFERROR(INDEX($AS$7:$AS$88,MATCH(mapPRC!C610,$AR$7:$AR$88,0)),"")</f>
        <v>hhd-me</v>
      </c>
    </row>
    <row r="539" spans="23:24" x14ac:dyDescent="0.25">
      <c r="W539" t="str">
        <f>mapPRC!A611</f>
        <v>RMEWBIWKETBI-E</v>
      </c>
      <c r="X539" t="str">
        <f>IFERROR(INDEX($AS$7:$AS$88,MATCH(mapPRC!C611,$AR$7:$AR$88,0)),"")</f>
        <v>hhd-me</v>
      </c>
    </row>
    <row r="540" spans="23:24" x14ac:dyDescent="0.25">
      <c r="W540" t="str">
        <f>mapPRC!A612</f>
        <v>RMEWCOASTOV-E</v>
      </c>
      <c r="X540" t="str">
        <f>IFERROR(INDEX($AS$7:$AS$88,MATCH(mapPRC!C612,$AR$7:$AR$88,0)),"")</f>
        <v>hhd-me</v>
      </c>
    </row>
    <row r="541" spans="23:24" x14ac:dyDescent="0.25">
      <c r="W541" t="str">
        <f>mapPRC!A613</f>
        <v>RMEWELCCHP-N</v>
      </c>
      <c r="X541" t="str">
        <f>IFERROR(INDEX($AS$7:$AS$88,MATCH(mapPRC!C613,$AR$7:$AR$88,0)),"")</f>
        <v>hhd-me</v>
      </c>
    </row>
    <row r="542" spans="23:24" x14ac:dyDescent="0.25">
      <c r="W542" t="str">
        <f>mapPRC!A614</f>
        <v>RMEWELCGEY-E</v>
      </c>
      <c r="X542" t="str">
        <f>IFERROR(INDEX($AS$7:$AS$88,MATCH(mapPRC!C614,$AR$7:$AR$88,0)),"")</f>
        <v>hhd-me</v>
      </c>
    </row>
    <row r="543" spans="23:24" x14ac:dyDescent="0.25">
      <c r="W543" t="str">
        <f>mapPRC!A615</f>
        <v>RMEWELCKET-E</v>
      </c>
      <c r="X543" t="str">
        <f>IFERROR(INDEX($AS$7:$AS$88,MATCH(mapPRC!C615,$AR$7:$AR$88,0)),"")</f>
        <v>hhd-me</v>
      </c>
    </row>
    <row r="544" spans="23:24" x14ac:dyDescent="0.25">
      <c r="W544" t="str">
        <f>mapPRC!A616</f>
        <v>RMEWELCSWH-E</v>
      </c>
      <c r="X544" t="str">
        <f>IFERROR(INDEX($AS$7:$AS$88,MATCH(mapPRC!C616,$AR$7:$AR$88,0)),"")</f>
        <v>hhd-me</v>
      </c>
    </row>
    <row r="545" spans="23:24" x14ac:dyDescent="0.25">
      <c r="W545" t="str">
        <f>mapPRC!A617</f>
        <v>RMEWGASGEY-N</v>
      </c>
      <c r="X545" t="str">
        <f>IFERROR(INDEX($AS$7:$AS$88,MATCH(mapPRC!C617,$AR$7:$AR$88,0)),"")</f>
        <v>hhd-me</v>
      </c>
    </row>
    <row r="546" spans="23:24" x14ac:dyDescent="0.25">
      <c r="W546" t="str">
        <f>mapPRC!A618</f>
        <v>RMEWOKEKETPR-E</v>
      </c>
      <c r="X546" t="str">
        <f>IFERROR(INDEX($AS$7:$AS$88,MATCH(mapPRC!C618,$AR$7:$AR$88,0)),"")</f>
        <v>hhd-me</v>
      </c>
    </row>
    <row r="547" spans="23:24" x14ac:dyDescent="0.25">
      <c r="W547" t="str">
        <f>mapPRC!A619</f>
        <v>RMEWOLPKETLPG-E</v>
      </c>
      <c r="X547" t="str">
        <f>IFERROR(INDEX($AS$7:$AS$88,MATCH(mapPRC!C619,$AR$7:$AR$88,0)),"")</f>
        <v>hhd-me</v>
      </c>
    </row>
    <row r="548" spans="23:24" x14ac:dyDescent="0.25">
      <c r="W548" t="str">
        <f>mapPRC!A620</f>
        <v>RMNHBIWOPEN-E</v>
      </c>
      <c r="X548" t="str">
        <f>IFERROR(INDEX($AS$7:$AS$88,MATCH(mapPRC!C620,$AR$7:$AR$88,0)),"")</f>
        <v>hhd-me</v>
      </c>
    </row>
    <row r="549" spans="23:24" x14ac:dyDescent="0.25">
      <c r="W549" t="str">
        <f>mapPRC!A621</f>
        <v>RMNHCOABNM-E</v>
      </c>
      <c r="X549" t="str">
        <f>IFERROR(INDEX($AS$7:$AS$88,MATCH(mapPRC!C621,$AR$7:$AR$88,0)),"")</f>
        <v>hhd-me</v>
      </c>
    </row>
    <row r="550" spans="23:24" x14ac:dyDescent="0.25">
      <c r="W550" t="str">
        <f>mapPRC!A622</f>
        <v>RMNHGASHET-N</v>
      </c>
      <c r="X550" t="str">
        <f>IFERROR(INDEX($AS$7:$AS$88,MATCH(mapPRC!C622,$AR$7:$AR$88,0)),"")</f>
        <v>hhd-me</v>
      </c>
    </row>
    <row r="551" spans="23:24" x14ac:dyDescent="0.25">
      <c r="W551" t="str">
        <f>mapPRC!A623</f>
        <v>RMNHOKEHEAT-E</v>
      </c>
      <c r="X551" t="str">
        <f>IFERROR(INDEX($AS$7:$AS$88,MATCH(mapPRC!C623,$AR$7:$AR$88,0)),"")</f>
        <v>hhd-me</v>
      </c>
    </row>
    <row r="552" spans="23:24" x14ac:dyDescent="0.25">
      <c r="W552" t="str">
        <f>mapPRC!A624</f>
        <v>RMNHOLPHET-E</v>
      </c>
      <c r="X552" t="str">
        <f>IFERROR(INDEX($AS$7:$AS$88,MATCH(mapPRC!C624,$AR$7:$AR$88,0)),"")</f>
        <v>hhd-me</v>
      </c>
    </row>
    <row r="553" spans="23:24" x14ac:dyDescent="0.25">
      <c r="W553" t="str">
        <f>mapPRC!A625</f>
        <v>RMNKBIWBNM-E</v>
      </c>
      <c r="X553" t="str">
        <f>IFERROR(INDEX($AS$7:$AS$88,MATCH(mapPRC!C625,$AR$7:$AR$88,0)),"")</f>
        <v>hhd-me</v>
      </c>
    </row>
    <row r="554" spans="23:24" x14ac:dyDescent="0.25">
      <c r="W554" t="str">
        <f>mapPRC!A626</f>
        <v>RMNKCOABNM-E</v>
      </c>
      <c r="X554" t="str">
        <f>IFERROR(INDEX($AS$7:$AS$88,MATCH(mapPRC!C626,$AR$7:$AR$88,0)),"")</f>
        <v>hhd-me</v>
      </c>
    </row>
    <row r="555" spans="23:24" x14ac:dyDescent="0.25">
      <c r="W555" t="str">
        <f>mapPRC!A627</f>
        <v>RMNKGASSTOV-N</v>
      </c>
      <c r="X555" t="str">
        <f>IFERROR(INDEX($AS$7:$AS$88,MATCH(mapPRC!C627,$AR$7:$AR$88,0)),"")</f>
        <v>hhd-me</v>
      </c>
    </row>
    <row r="556" spans="23:24" x14ac:dyDescent="0.25">
      <c r="W556" t="str">
        <f>mapPRC!A628</f>
        <v>RMNKOKEWICK-E</v>
      </c>
      <c r="X556" t="str">
        <f>IFERROR(INDEX($AS$7:$AS$88,MATCH(mapPRC!C628,$AR$7:$AR$88,0)),"")</f>
        <v>hhd-me</v>
      </c>
    </row>
    <row r="557" spans="23:24" x14ac:dyDescent="0.25">
      <c r="W557" t="str">
        <f>mapPRC!A629</f>
        <v>RMNKOLPRING-E</v>
      </c>
      <c r="X557" t="str">
        <f>IFERROR(INDEX($AS$7:$AS$88,MATCH(mapPRC!C629,$AR$7:$AR$88,0)),"")</f>
        <v>hhd-me</v>
      </c>
    </row>
    <row r="558" spans="23:24" x14ac:dyDescent="0.25">
      <c r="W558" t="str">
        <f>mapPRC!A630</f>
        <v>RMNLOKEWICK-E</v>
      </c>
      <c r="X558" t="str">
        <f>IFERROR(INDEX($AS$7:$AS$88,MATCH(mapPRC!C630,$AR$7:$AR$88,0)),"")</f>
        <v>hhd-me</v>
      </c>
    </row>
    <row r="559" spans="23:24" x14ac:dyDescent="0.25">
      <c r="W559" t="str">
        <f>mapPRC!A631</f>
        <v>RMNNOKEOTH-E</v>
      </c>
      <c r="X559" t="str">
        <f>IFERROR(INDEX($AS$7:$AS$88,MATCH(mapPRC!C631,$AR$7:$AR$88,0)),"")</f>
        <v>hhd-me</v>
      </c>
    </row>
    <row r="560" spans="23:24" x14ac:dyDescent="0.25">
      <c r="W560" t="str">
        <f>mapPRC!A632</f>
        <v>RMNWBIWKETBI-E</v>
      </c>
      <c r="X560" t="str">
        <f>IFERROR(INDEX($AS$7:$AS$88,MATCH(mapPRC!C632,$AR$7:$AR$88,0)),"")</f>
        <v>hhd-me</v>
      </c>
    </row>
    <row r="561" spans="23:24" x14ac:dyDescent="0.25">
      <c r="W561" t="str">
        <f>mapPRC!A633</f>
        <v>RMNWCOAKETCOA-E</v>
      </c>
      <c r="X561" t="str">
        <f>IFERROR(INDEX($AS$7:$AS$88,MATCH(mapPRC!C633,$AR$7:$AR$88,0)),"")</f>
        <v>hhd-me</v>
      </c>
    </row>
    <row r="562" spans="23:24" x14ac:dyDescent="0.25">
      <c r="W562" t="str">
        <f>mapPRC!A634</f>
        <v>RMNWGASGEY-N</v>
      </c>
      <c r="X562" t="str">
        <f>IFERROR(INDEX($AS$7:$AS$88,MATCH(mapPRC!C634,$AR$7:$AR$88,0)),"")</f>
        <v>hhd-me</v>
      </c>
    </row>
    <row r="563" spans="23:24" x14ac:dyDescent="0.25">
      <c r="W563" t="str">
        <f>mapPRC!A635</f>
        <v>RMNWOKEKETWI-E</v>
      </c>
      <c r="X563" t="str">
        <f>IFERROR(INDEX($AS$7:$AS$88,MATCH(mapPRC!C635,$AR$7:$AR$88,0)),"")</f>
        <v>hhd-me</v>
      </c>
    </row>
    <row r="564" spans="23:24" x14ac:dyDescent="0.25">
      <c r="W564" t="str">
        <f>mapPRC!A636</f>
        <v>RMNWOLPKETLPG-E</v>
      </c>
      <c r="X564" t="str">
        <f>IFERROR(INDEX($AS$7:$AS$88,MATCH(mapPRC!C636,$AR$7:$AR$88,0)),"")</f>
        <v>hhd-me</v>
      </c>
    </row>
    <row r="565" spans="23:24" x14ac:dyDescent="0.25">
      <c r="W565" t="str">
        <f>mapPRC!A637</f>
        <v>TADJETOKE-E</v>
      </c>
      <c r="X565" t="str">
        <f>IFERROR(INDEX($AS$7:$AS$88,MATCH(mapPRC!C637,$AR$7:$AR$88,0)),"")</f>
        <v/>
      </c>
    </row>
    <row r="566" spans="23:24" x14ac:dyDescent="0.25">
      <c r="W566" t="str">
        <f>mapPRC!A638</f>
        <v>TADJETOKE-N</v>
      </c>
      <c r="X566" t="str">
        <f>IFERROR(INDEX($AS$7:$AS$88,MATCH(mapPRC!C638,$AR$7:$AR$88,0)),"")</f>
        <v/>
      </c>
    </row>
    <row r="567" spans="23:24" x14ac:dyDescent="0.25">
      <c r="W567" t="str">
        <f>mapPRC!A639</f>
        <v>TAIJETOKE-E</v>
      </c>
      <c r="X567" t="str">
        <f>IFERROR(INDEX($AS$7:$AS$88,MATCH(mapPRC!C639,$AR$7:$AR$88,0)),"")</f>
        <v/>
      </c>
    </row>
    <row r="568" spans="23:24" x14ac:dyDescent="0.25">
      <c r="W568" t="str">
        <f>mapPRC!A640</f>
        <v>TAIJETOKE-N</v>
      </c>
      <c r="X568" t="str">
        <f>IFERROR(INDEX($AS$7:$AS$88,MATCH(mapPRC!C640,$AR$7:$AR$88,0)),"")</f>
        <v/>
      </c>
    </row>
    <row r="569" spans="23:24" x14ac:dyDescent="0.25">
      <c r="W569" t="str">
        <f>mapPRC!A641</f>
        <v>TAJETOKE-E</v>
      </c>
      <c r="X569" t="str">
        <f>IFERROR(INDEX($AS$7:$AS$88,MATCH(mapPRC!C641,$AR$7:$AR$88,0)),"")</f>
        <v/>
      </c>
    </row>
    <row r="570" spans="23:24" x14ac:dyDescent="0.25">
      <c r="W570" t="str">
        <f>mapPRC!A642</f>
        <v>TAJETOKE-N</v>
      </c>
      <c r="X570" t="str">
        <f>IFERROR(INDEX($AS$7:$AS$88,MATCH(mapPRC!C642,$AR$7:$AR$88,0)),"")</f>
        <v/>
      </c>
    </row>
    <row r="571" spans="23:24" x14ac:dyDescent="0.25">
      <c r="W571" t="str">
        <f>mapPRC!A643</f>
        <v>TAOAGOAG-E</v>
      </c>
      <c r="X571" t="str">
        <f>IFERROR(INDEX($AS$7:$AS$88,MATCH(mapPRC!C643,$AR$7:$AR$88,0)),"")</f>
        <v/>
      </c>
    </row>
    <row r="572" spans="23:24" x14ac:dyDescent="0.25">
      <c r="W572" t="str">
        <f>mapPRC!A644</f>
        <v>TAOAGOAG-N</v>
      </c>
      <c r="X572" t="str">
        <f>IFERROR(INDEX($AS$7:$AS$88,MATCH(mapPRC!C644,$AR$7:$AR$88,0)),"")</f>
        <v/>
      </c>
    </row>
    <row r="573" spans="23:24" x14ac:dyDescent="0.25">
      <c r="W573" t="str">
        <f>mapPRC!A645</f>
        <v>TFHCV1ELC-N</v>
      </c>
      <c r="X573" t="str">
        <f>IFERROR(INDEX($AS$7:$AS$88,MATCH(mapPRC!C645,$AR$7:$AR$88,0)),"")</f>
        <v>tranlf</v>
      </c>
    </row>
    <row r="574" spans="23:24" x14ac:dyDescent="0.25">
      <c r="W574" t="str">
        <f>mapPRC!A646</f>
        <v>TFHCV1GAS-N</v>
      </c>
      <c r="X574" t="str">
        <f>IFERROR(INDEX($AS$7:$AS$88,MATCH(mapPRC!C646,$AR$7:$AR$88,0)),"")</f>
        <v>tranlf</v>
      </c>
    </row>
    <row r="575" spans="23:24" x14ac:dyDescent="0.25">
      <c r="W575" t="str">
        <f>mapPRC!A647</f>
        <v>TFHCV1ODS-E</v>
      </c>
      <c r="X575" t="str">
        <f>IFERROR(INDEX($AS$7:$AS$88,MATCH(mapPRC!C647,$AR$7:$AR$88,0)),"")</f>
        <v>tranlf</v>
      </c>
    </row>
    <row r="576" spans="23:24" x14ac:dyDescent="0.25">
      <c r="W576" t="str">
        <f>mapPRC!A648</f>
        <v>TFHCV1ODS-N</v>
      </c>
      <c r="X576" t="str">
        <f>IFERROR(INDEX($AS$7:$AS$88,MATCH(mapPRC!C648,$AR$7:$AR$88,0)),"")</f>
        <v>tranlf</v>
      </c>
    </row>
    <row r="577" spans="23:24" x14ac:dyDescent="0.25">
      <c r="W577" t="str">
        <f>mapPRC!A649</f>
        <v>TFHCV1OGS-E</v>
      </c>
      <c r="X577" t="str">
        <f>IFERROR(INDEX($AS$7:$AS$88,MATCH(mapPRC!C649,$AR$7:$AR$88,0)),"")</f>
        <v>tranlf</v>
      </c>
    </row>
    <row r="578" spans="23:24" x14ac:dyDescent="0.25">
      <c r="W578" t="str">
        <f>mapPRC!A650</f>
        <v>TFHCV1OGS-N</v>
      </c>
      <c r="X578" t="str">
        <f>IFERROR(INDEX($AS$7:$AS$88,MATCH(mapPRC!C650,$AR$7:$AR$88,0)),"")</f>
        <v>tranlf</v>
      </c>
    </row>
    <row r="579" spans="23:24" x14ac:dyDescent="0.25">
      <c r="W579" t="str">
        <f>mapPRC!A651</f>
        <v>TFHCV2ELC-N</v>
      </c>
      <c r="X579" t="str">
        <f>IFERROR(INDEX($AS$7:$AS$88,MATCH(mapPRC!C651,$AR$7:$AR$88,0)),"")</f>
        <v>tranlf</v>
      </c>
    </row>
    <row r="580" spans="23:24" x14ac:dyDescent="0.25">
      <c r="W580" t="str">
        <f>mapPRC!A652</f>
        <v>TFHCV2GAS-N</v>
      </c>
      <c r="X580" t="str">
        <f>IFERROR(INDEX($AS$7:$AS$88,MATCH(mapPRC!C652,$AR$7:$AR$88,0)),"")</f>
        <v>tranlf</v>
      </c>
    </row>
    <row r="581" spans="23:24" x14ac:dyDescent="0.25">
      <c r="W581" t="str">
        <f>mapPRC!A653</f>
        <v>TFHCV2HGN-N</v>
      </c>
      <c r="X581" t="str">
        <f>IFERROR(INDEX($AS$7:$AS$88,MATCH(mapPRC!C653,$AR$7:$AR$88,0)),"")</f>
        <v>tranlf</v>
      </c>
    </row>
    <row r="582" spans="23:24" x14ac:dyDescent="0.25">
      <c r="W582" t="str">
        <f>mapPRC!A654</f>
        <v>TFHCV2ODS-E</v>
      </c>
      <c r="X582" t="str">
        <f>IFERROR(INDEX($AS$7:$AS$88,MATCH(mapPRC!C654,$AR$7:$AR$88,0)),"")</f>
        <v>tranlf</v>
      </c>
    </row>
    <row r="583" spans="23:24" x14ac:dyDescent="0.25">
      <c r="W583" t="str">
        <f>mapPRC!A655</f>
        <v>TFHCV2ODS-N</v>
      </c>
      <c r="X583" t="str">
        <f>IFERROR(INDEX($AS$7:$AS$88,MATCH(mapPRC!C655,$AR$7:$AR$88,0)),"")</f>
        <v>tranlf</v>
      </c>
    </row>
    <row r="584" spans="23:24" x14ac:dyDescent="0.25">
      <c r="W584" t="str">
        <f>mapPRC!A656</f>
        <v>TFHCV3ELC-N</v>
      </c>
      <c r="X584" t="str">
        <f>IFERROR(INDEX($AS$7:$AS$88,MATCH(mapPRC!C656,$AR$7:$AR$88,0)),"")</f>
        <v>tranlf</v>
      </c>
    </row>
    <row r="585" spans="23:24" x14ac:dyDescent="0.25">
      <c r="W585" t="str">
        <f>mapPRC!A657</f>
        <v>TFHCV3GAS-N</v>
      </c>
      <c r="X585" t="str">
        <f>IFERROR(INDEX($AS$7:$AS$88,MATCH(mapPRC!C657,$AR$7:$AR$88,0)),"")</f>
        <v>tranlf</v>
      </c>
    </row>
    <row r="586" spans="23:24" x14ac:dyDescent="0.25">
      <c r="W586" t="str">
        <f>mapPRC!A658</f>
        <v>TFHCV3HGN-N</v>
      </c>
      <c r="X586" t="str">
        <f>IFERROR(INDEX($AS$7:$AS$88,MATCH(mapPRC!C658,$AR$7:$AR$88,0)),"")</f>
        <v>tranlf</v>
      </c>
    </row>
    <row r="587" spans="23:24" x14ac:dyDescent="0.25">
      <c r="W587" t="str">
        <f>mapPRC!A659</f>
        <v>TFHCV3ODS-E</v>
      </c>
      <c r="X587" t="str">
        <f>IFERROR(INDEX($AS$7:$AS$88,MATCH(mapPRC!C659,$AR$7:$AR$88,0)),"")</f>
        <v>tranlf</v>
      </c>
    </row>
    <row r="588" spans="23:24" x14ac:dyDescent="0.25">
      <c r="W588" t="str">
        <f>mapPRC!A660</f>
        <v>TFHCV3ODS-N</v>
      </c>
      <c r="X588" t="str">
        <f>IFERROR(INDEX($AS$7:$AS$88,MATCH(mapPRC!C660,$AR$7:$AR$88,0)),"")</f>
        <v>tranlf</v>
      </c>
    </row>
    <row r="589" spans="23:24" x14ac:dyDescent="0.25">
      <c r="W589" t="str">
        <f>mapPRC!A661</f>
        <v>TFHCV4GAS-N</v>
      </c>
      <c r="X589" t="str">
        <f>IFERROR(INDEX($AS$7:$AS$88,MATCH(mapPRC!C661,$AR$7:$AR$88,0)),"")</f>
        <v>tranlf</v>
      </c>
    </row>
    <row r="590" spans="23:24" x14ac:dyDescent="0.25">
      <c r="W590" t="str">
        <f>mapPRC!A662</f>
        <v>TFHCV4HGN-N</v>
      </c>
      <c r="X590" t="str">
        <f>IFERROR(INDEX($AS$7:$AS$88,MATCH(mapPRC!C662,$AR$7:$AR$88,0)),"")</f>
        <v>tranlf</v>
      </c>
    </row>
    <row r="591" spans="23:24" x14ac:dyDescent="0.25">
      <c r="W591" t="str">
        <f>mapPRC!A663</f>
        <v>TFHCV4ODS-E</v>
      </c>
      <c r="X591" t="str">
        <f>IFERROR(INDEX($AS$7:$AS$88,MATCH(mapPRC!C663,$AR$7:$AR$88,0)),"")</f>
        <v>tranlf</v>
      </c>
    </row>
    <row r="592" spans="23:24" x14ac:dyDescent="0.25">
      <c r="W592" t="str">
        <f>mapPRC!A664</f>
        <v>TFHCV4ODS-N</v>
      </c>
      <c r="X592" t="str">
        <f>IFERROR(INDEX($AS$7:$AS$88,MATCH(mapPRC!C664,$AR$7:$AR$88,0)),"")</f>
        <v>tranlf</v>
      </c>
    </row>
    <row r="593" spans="23:24" x14ac:dyDescent="0.25">
      <c r="W593" t="str">
        <f>mapPRC!A665</f>
        <v>TFHCV5GAS-N</v>
      </c>
      <c r="X593" t="str">
        <f>IFERROR(INDEX($AS$7:$AS$88,MATCH(mapPRC!C665,$AR$7:$AR$88,0)),"")</f>
        <v>tranlf</v>
      </c>
    </row>
    <row r="594" spans="23:24" x14ac:dyDescent="0.25">
      <c r="W594" t="str">
        <f>mapPRC!A666</f>
        <v>TFHCV5HGN-N</v>
      </c>
      <c r="X594" t="str">
        <f>IFERROR(INDEX($AS$7:$AS$88,MATCH(mapPRC!C666,$AR$7:$AR$88,0)),"")</f>
        <v>tranlf</v>
      </c>
    </row>
    <row r="595" spans="23:24" x14ac:dyDescent="0.25">
      <c r="W595" t="str">
        <f>mapPRC!A667</f>
        <v>TFHCV5ODS-E</v>
      </c>
      <c r="X595" t="str">
        <f>IFERROR(INDEX($AS$7:$AS$88,MATCH(mapPRC!C667,$AR$7:$AR$88,0)),"")</f>
        <v>tranlf</v>
      </c>
    </row>
    <row r="596" spans="23:24" x14ac:dyDescent="0.25">
      <c r="W596" t="str">
        <f>mapPRC!A668</f>
        <v>TFHCV5ODS-N</v>
      </c>
      <c r="X596" t="str">
        <f>IFERROR(INDEX($AS$7:$AS$88,MATCH(mapPRC!C668,$AR$7:$AR$88,0)),"")</f>
        <v>tranlf</v>
      </c>
    </row>
    <row r="597" spans="23:24" x14ac:dyDescent="0.25">
      <c r="W597" t="str">
        <f>mapPRC!A669</f>
        <v>TFHCV6GAS-N</v>
      </c>
      <c r="X597" t="str">
        <f>IFERROR(INDEX($AS$7:$AS$88,MATCH(mapPRC!C669,$AR$7:$AR$88,0)),"")</f>
        <v>tranlf</v>
      </c>
    </row>
    <row r="598" spans="23:24" x14ac:dyDescent="0.25">
      <c r="W598" t="str">
        <f>mapPRC!A670</f>
        <v>TFHCV6HGN-N</v>
      </c>
      <c r="X598" t="str">
        <f>IFERROR(INDEX($AS$7:$AS$88,MATCH(mapPRC!C670,$AR$7:$AR$88,0)),"")</f>
        <v>tranlf</v>
      </c>
    </row>
    <row r="599" spans="23:24" x14ac:dyDescent="0.25">
      <c r="W599" t="str">
        <f>mapPRC!A671</f>
        <v>TFHCV6ODS-E</v>
      </c>
      <c r="X599" t="str">
        <f>IFERROR(INDEX($AS$7:$AS$88,MATCH(mapPRC!C671,$AR$7:$AR$88,0)),"")</f>
        <v>tranlf</v>
      </c>
    </row>
    <row r="600" spans="23:24" x14ac:dyDescent="0.25">
      <c r="W600" t="str">
        <f>mapPRC!A672</f>
        <v>TFHCV6ODS-N</v>
      </c>
      <c r="X600" t="str">
        <f>IFERROR(INDEX($AS$7:$AS$88,MATCH(mapPRC!C672,$AR$7:$AR$88,0)),"")</f>
        <v>tranlf</v>
      </c>
    </row>
    <row r="601" spans="23:24" x14ac:dyDescent="0.25">
      <c r="W601" t="str">
        <f>mapPRC!A673</f>
        <v>TFHCV7GAS-N</v>
      </c>
      <c r="X601" t="str">
        <f>IFERROR(INDEX($AS$7:$AS$88,MATCH(mapPRC!C673,$AR$7:$AR$88,0)),"")</f>
        <v>tranlf</v>
      </c>
    </row>
    <row r="602" spans="23:24" x14ac:dyDescent="0.25">
      <c r="W602" t="str">
        <f>mapPRC!A674</f>
        <v>TFHCV7HGN-N</v>
      </c>
      <c r="X602" t="str">
        <f>IFERROR(INDEX($AS$7:$AS$88,MATCH(mapPRC!C674,$AR$7:$AR$88,0)),"")</f>
        <v>tranlf</v>
      </c>
    </row>
    <row r="603" spans="23:24" x14ac:dyDescent="0.25">
      <c r="W603" t="str">
        <f>mapPRC!A675</f>
        <v>TFHCV7ODS-E</v>
      </c>
      <c r="X603" t="str">
        <f>IFERROR(INDEX($AS$7:$AS$88,MATCH(mapPRC!C675,$AR$7:$AR$88,0)),"")</f>
        <v>tranlf</v>
      </c>
    </row>
    <row r="604" spans="23:24" x14ac:dyDescent="0.25">
      <c r="W604" t="str">
        <f>mapPRC!A676</f>
        <v>TFHCV7ODS-N</v>
      </c>
      <c r="X604" t="str">
        <f>IFERROR(INDEX($AS$7:$AS$88,MATCH(mapPRC!C676,$AR$7:$AR$88,0)),"")</f>
        <v>tranlf</v>
      </c>
    </row>
    <row r="605" spans="23:24" x14ac:dyDescent="0.25">
      <c r="W605" t="str">
        <f>mapPRC!A677</f>
        <v>TFHCV8GAS-N</v>
      </c>
      <c r="X605" t="str">
        <f>IFERROR(INDEX($AS$7:$AS$88,MATCH(mapPRC!C677,$AR$7:$AR$88,0)),"")</f>
        <v>tranlf</v>
      </c>
    </row>
    <row r="606" spans="23:24" x14ac:dyDescent="0.25">
      <c r="W606" t="str">
        <f>mapPRC!A678</f>
        <v>TFHCV8HGN-N</v>
      </c>
      <c r="X606" t="str">
        <f>IFERROR(INDEX($AS$7:$AS$88,MATCH(mapPRC!C678,$AR$7:$AR$88,0)),"")</f>
        <v>tranlf</v>
      </c>
    </row>
    <row r="607" spans="23:24" x14ac:dyDescent="0.25">
      <c r="W607" t="str">
        <f>mapPRC!A679</f>
        <v>TFHCV8ODS-E</v>
      </c>
      <c r="X607" t="str">
        <f>IFERROR(INDEX($AS$7:$AS$88,MATCH(mapPRC!C679,$AR$7:$AR$88,0)),"")</f>
        <v>tranlf</v>
      </c>
    </row>
    <row r="608" spans="23:24" x14ac:dyDescent="0.25">
      <c r="W608" t="str">
        <f>mapPRC!A680</f>
        <v>TFHCV8ODS-N</v>
      </c>
      <c r="X608" t="str">
        <f>IFERROR(INDEX($AS$7:$AS$88,MATCH(mapPRC!C680,$AR$7:$AR$88,0)),"")</f>
        <v>tranlf</v>
      </c>
    </row>
    <row r="609" spans="23:24" x14ac:dyDescent="0.25">
      <c r="W609" t="str">
        <f>mapPRC!A681</f>
        <v>TFHCV9GAS-N</v>
      </c>
      <c r="X609" t="str">
        <f>IFERROR(INDEX($AS$7:$AS$88,MATCH(mapPRC!C681,$AR$7:$AR$88,0)),"")</f>
        <v>tranlf</v>
      </c>
    </row>
    <row r="610" spans="23:24" x14ac:dyDescent="0.25">
      <c r="W610" t="str">
        <f>mapPRC!A682</f>
        <v>TFHCV9HGN-N</v>
      </c>
      <c r="X610" t="str">
        <f>IFERROR(INDEX($AS$7:$AS$88,MATCH(mapPRC!C682,$AR$7:$AR$88,0)),"")</f>
        <v>tranlf</v>
      </c>
    </row>
    <row r="611" spans="23:24" x14ac:dyDescent="0.25">
      <c r="W611" t="str">
        <f>mapPRC!A683</f>
        <v>TFHCV9ODS-E</v>
      </c>
      <c r="X611" t="str">
        <f>IFERROR(INDEX($AS$7:$AS$88,MATCH(mapPRC!C683,$AR$7:$AR$88,0)),"")</f>
        <v>tranlf</v>
      </c>
    </row>
    <row r="612" spans="23:24" x14ac:dyDescent="0.25">
      <c r="W612" t="str">
        <f>mapPRC!A684</f>
        <v>TFHCV9ODS-N</v>
      </c>
      <c r="X612" t="str">
        <f>IFERROR(INDEX($AS$7:$AS$88,MATCH(mapPRC!C684,$AR$7:$AR$88,0)),"")</f>
        <v>tranlf</v>
      </c>
    </row>
    <row r="613" spans="23:24" x14ac:dyDescent="0.25">
      <c r="W613" t="str">
        <f>mapPRC!A685</f>
        <v>TFLCVELC-N</v>
      </c>
      <c r="X613" t="str">
        <f>IFERROR(INDEX($AS$7:$AS$88,MATCH(mapPRC!C685,$AR$7:$AR$88,0)),"")</f>
        <v>tranlf</v>
      </c>
    </row>
    <row r="614" spans="23:24" x14ac:dyDescent="0.25">
      <c r="W614" t="str">
        <f>mapPRC!A686</f>
        <v>TFLCVGAS-N</v>
      </c>
      <c r="X614" t="str">
        <f>IFERROR(INDEX($AS$7:$AS$88,MATCH(mapPRC!C686,$AR$7:$AR$88,0)),"")</f>
        <v>tranlf</v>
      </c>
    </row>
    <row r="615" spans="23:24" x14ac:dyDescent="0.25">
      <c r="W615" t="str">
        <f>mapPRC!A687</f>
        <v>TFLCVODS-E</v>
      </c>
      <c r="X615" t="str">
        <f>IFERROR(INDEX($AS$7:$AS$88,MATCH(mapPRC!C687,$AR$7:$AR$88,0)),"")</f>
        <v>tranlf</v>
      </c>
    </row>
    <row r="616" spans="23:24" x14ac:dyDescent="0.25">
      <c r="W616" t="str">
        <f>mapPRC!A688</f>
        <v>TFLCVODSH-N</v>
      </c>
      <c r="X616" t="str">
        <f>IFERROR(INDEX($AS$7:$AS$88,MATCH(mapPRC!C688,$AR$7:$AR$88,0)),"")</f>
        <v>tranlf</v>
      </c>
    </row>
    <row r="617" spans="23:24" x14ac:dyDescent="0.25">
      <c r="W617" t="str">
        <f>mapPRC!A689</f>
        <v>TFLCVODS-N</v>
      </c>
      <c r="X617" t="str">
        <f>IFERROR(INDEX($AS$7:$AS$88,MATCH(mapPRC!C689,$AR$7:$AR$88,0)),"")</f>
        <v>tranlf</v>
      </c>
    </row>
    <row r="618" spans="23:24" x14ac:dyDescent="0.25">
      <c r="W618" t="str">
        <f>mapPRC!A690</f>
        <v>TFLCVOGS-E</v>
      </c>
      <c r="X618" t="str">
        <f>IFERROR(INDEX($AS$7:$AS$88,MATCH(mapPRC!C690,$AR$7:$AR$88,0)),"")</f>
        <v>tranlf</v>
      </c>
    </row>
    <row r="619" spans="23:24" x14ac:dyDescent="0.25">
      <c r="W619" t="str">
        <f>mapPRC!A691</f>
        <v>TFLCVOGSH-N</v>
      </c>
      <c r="X619" t="str">
        <f>IFERROR(INDEX($AS$7:$AS$88,MATCH(mapPRC!C691,$AR$7:$AR$88,0)),"")</f>
        <v>tranlf</v>
      </c>
    </row>
    <row r="620" spans="23:24" x14ac:dyDescent="0.25">
      <c r="W620" t="str">
        <f>mapPRC!A692</f>
        <v>TFLCVOGS-N</v>
      </c>
      <c r="X620" t="str">
        <f>IFERROR(INDEX($AS$7:$AS$88,MATCH(mapPRC!C692,$AR$7:$AR$88,0)),"")</f>
        <v>tranlf</v>
      </c>
    </row>
    <row r="621" spans="23:24" x14ac:dyDescent="0.25">
      <c r="W621" t="str">
        <f>mapPRC!A693</f>
        <v>TFPIPELC-E</v>
      </c>
      <c r="X621" t="str">
        <f>IFERROR(INDEX($AS$7:$AS$88,MATCH(mapPRC!C693,$AR$7:$AR$88,0)),"")</f>
        <v>trano</v>
      </c>
    </row>
    <row r="622" spans="23:24" x14ac:dyDescent="0.25">
      <c r="W622" t="str">
        <f>mapPRC!A694</f>
        <v>TFPIPELC-N</v>
      </c>
      <c r="X622" t="str">
        <f>IFERROR(INDEX($AS$7:$AS$88,MATCH(mapPRC!C694,$AR$7:$AR$88,0)),"")</f>
        <v>trano</v>
      </c>
    </row>
    <row r="623" spans="23:24" x14ac:dyDescent="0.25">
      <c r="W623" t="str">
        <f>mapPRC!A695</f>
        <v>TFRCOELC-E</v>
      </c>
      <c r="X623" t="str">
        <f>IFERROR(INDEX($AS$7:$AS$88,MATCH(mapPRC!C695,$AR$7:$AR$88,0)),"")</f>
        <v>tranlf</v>
      </c>
    </row>
    <row r="624" spans="23:24" x14ac:dyDescent="0.25">
      <c r="W624" t="str">
        <f>mapPRC!A696</f>
        <v>TFRCOELC-N</v>
      </c>
      <c r="X624" t="str">
        <f>IFERROR(INDEX($AS$7:$AS$88,MATCH(mapPRC!C696,$AR$7:$AR$88,0)),"")</f>
        <v>tranlf</v>
      </c>
    </row>
    <row r="625" spans="23:24" x14ac:dyDescent="0.25">
      <c r="W625" t="str">
        <f>mapPRC!A697</f>
        <v>TFRCOGAS-N</v>
      </c>
      <c r="X625" t="str">
        <f>IFERROR(INDEX($AS$7:$AS$88,MATCH(mapPRC!C697,$AR$7:$AR$88,0)),"")</f>
        <v>tranlf</v>
      </c>
    </row>
    <row r="626" spans="23:24" x14ac:dyDescent="0.25">
      <c r="W626" t="str">
        <f>mapPRC!A698</f>
        <v>TFRCOODS-E</v>
      </c>
      <c r="X626" t="str">
        <f>IFERROR(INDEX($AS$7:$AS$88,MATCH(mapPRC!C698,$AR$7:$AR$88,0)),"")</f>
        <v>tranlf</v>
      </c>
    </row>
    <row r="627" spans="23:24" x14ac:dyDescent="0.25">
      <c r="W627" t="str">
        <f>mapPRC!A699</f>
        <v>TFREXELC-N</v>
      </c>
      <c r="X627" t="str">
        <f>IFERROR(INDEX($AS$7:$AS$88,MATCH(mapPRC!C699,$AR$7:$AR$88,0)),"")</f>
        <v>tranlf</v>
      </c>
    </row>
    <row r="628" spans="23:24" x14ac:dyDescent="0.25">
      <c r="W628" t="str">
        <f>mapPRC!A700</f>
        <v>TFREXELCR-E</v>
      </c>
      <c r="X628" t="str">
        <f>IFERROR(INDEX($AS$7:$AS$88,MATCH(mapPRC!C700,$AR$7:$AR$88,0)),"")</f>
        <v>tranlf</v>
      </c>
    </row>
    <row r="629" spans="23:24" x14ac:dyDescent="0.25">
      <c r="W629" t="str">
        <f>mapPRC!A701</f>
        <v>TFREXODSR-E</v>
      </c>
      <c r="X629" t="str">
        <f>IFERROR(INDEX($AS$7:$AS$88,MATCH(mapPRC!C701,$AR$7:$AR$88,0)),"")</f>
        <v>tranlf</v>
      </c>
    </row>
    <row r="630" spans="23:24" x14ac:dyDescent="0.25">
      <c r="W630" t="str">
        <f>mapPRC!A702</f>
        <v>TFROTELC-E</v>
      </c>
      <c r="X630" t="str">
        <f>IFERROR(INDEX($AS$7:$AS$88,MATCH(mapPRC!C702,$AR$7:$AR$88,0)),"")</f>
        <v>tranlf</v>
      </c>
    </row>
    <row r="631" spans="23:24" x14ac:dyDescent="0.25">
      <c r="W631" t="str">
        <f>mapPRC!A703</f>
        <v>TFROTELC-N</v>
      </c>
      <c r="X631" t="str">
        <f>IFERROR(INDEX($AS$7:$AS$88,MATCH(mapPRC!C703,$AR$7:$AR$88,0)),"")</f>
        <v>tranlf</v>
      </c>
    </row>
    <row r="632" spans="23:24" x14ac:dyDescent="0.25">
      <c r="W632" t="str">
        <f>mapPRC!A704</f>
        <v>TFROTODS-E</v>
      </c>
      <c r="X632" t="str">
        <f>IFERROR(INDEX($AS$7:$AS$88,MATCH(mapPRC!C704,$AR$7:$AR$88,0)),"")</f>
        <v>tranlf</v>
      </c>
    </row>
    <row r="633" spans="23:24" x14ac:dyDescent="0.25">
      <c r="W633" t="str">
        <f>mapPRC!A705</f>
        <v>TPPRCARBGS-N</v>
      </c>
      <c r="X633" t="str">
        <f>IFERROR(INDEX($AS$7:$AS$88,MATCH(mapPRC!C705,$AR$7:$AR$88,0)),"")</f>
        <v>tppr</v>
      </c>
    </row>
    <row r="634" spans="23:24" x14ac:dyDescent="0.25">
      <c r="W634" t="str">
        <f>mapPRC!A706</f>
        <v>TPPRCARELC-N</v>
      </c>
      <c r="X634" t="str">
        <f>IFERROR(INDEX($AS$7:$AS$88,MATCH(mapPRC!C706,$AR$7:$AR$88,0)),"")</f>
        <v>tppr</v>
      </c>
    </row>
    <row r="635" spans="23:24" x14ac:dyDescent="0.25">
      <c r="W635" t="str">
        <f>mapPRC!A707</f>
        <v>TPPRCARGAS-N</v>
      </c>
      <c r="X635" t="str">
        <f>IFERROR(INDEX($AS$7:$AS$88,MATCH(mapPRC!C707,$AR$7:$AR$88,0)),"")</f>
        <v>tppr</v>
      </c>
    </row>
    <row r="636" spans="23:24" x14ac:dyDescent="0.25">
      <c r="W636" t="str">
        <f>mapPRC!A708</f>
        <v>TPPRCARHGNF-N</v>
      </c>
      <c r="X636" t="str">
        <f>IFERROR(INDEX($AS$7:$AS$88,MATCH(mapPRC!C708,$AR$7:$AR$88,0)),"")</f>
        <v>tppr</v>
      </c>
    </row>
    <row r="637" spans="23:24" x14ac:dyDescent="0.25">
      <c r="W637" t="str">
        <f>mapPRC!A709</f>
        <v>TPPRCARODS-E</v>
      </c>
      <c r="X637" t="str">
        <f>IFERROR(INDEX($AS$7:$AS$88,MATCH(mapPRC!C709,$AR$7:$AR$88,0)),"")</f>
        <v>tppr</v>
      </c>
    </row>
    <row r="638" spans="23:24" x14ac:dyDescent="0.25">
      <c r="W638" t="str">
        <f>mapPRC!A710</f>
        <v>TPPRCARODSH-N</v>
      </c>
      <c r="X638" t="str">
        <f>IFERROR(INDEX($AS$7:$AS$88,MATCH(mapPRC!C710,$AR$7:$AR$88,0)),"")</f>
        <v>tppr</v>
      </c>
    </row>
    <row r="639" spans="23:24" x14ac:dyDescent="0.25">
      <c r="W639" t="str">
        <f>mapPRC!A711</f>
        <v>TPPRCARODS-N</v>
      </c>
      <c r="X639" t="str">
        <f>IFERROR(INDEX($AS$7:$AS$88,MATCH(mapPRC!C711,$AR$7:$AR$88,0)),"")</f>
        <v>tppr</v>
      </c>
    </row>
    <row r="640" spans="23:24" x14ac:dyDescent="0.25">
      <c r="W640" t="str">
        <f>mapPRC!A712</f>
        <v>TPPRCAROGS-E</v>
      </c>
      <c r="X640" t="str">
        <f>IFERROR(INDEX($AS$7:$AS$88,MATCH(mapPRC!C712,$AR$7:$AR$88,0)),"")</f>
        <v>tppr</v>
      </c>
    </row>
    <row r="641" spans="23:24" x14ac:dyDescent="0.25">
      <c r="W641" t="str">
        <f>mapPRC!A713</f>
        <v>TPPRCAROGSH-E</v>
      </c>
      <c r="X641" t="str">
        <f>IFERROR(INDEX($AS$7:$AS$88,MATCH(mapPRC!C713,$AR$7:$AR$88,0)),"")</f>
        <v>tppr</v>
      </c>
    </row>
    <row r="642" spans="23:24" x14ac:dyDescent="0.25">
      <c r="W642" t="str">
        <f>mapPRC!A714</f>
        <v>TPPRCAROGSH-N</v>
      </c>
      <c r="X642" t="str">
        <f>IFERROR(INDEX($AS$7:$AS$88,MATCH(mapPRC!C714,$AR$7:$AR$88,0)),"")</f>
        <v>tppr</v>
      </c>
    </row>
    <row r="643" spans="23:24" x14ac:dyDescent="0.25">
      <c r="W643" t="str">
        <f>mapPRC!A715</f>
        <v>TPPRCAROGS-N</v>
      </c>
      <c r="X643" t="str">
        <f>IFERROR(INDEX($AS$7:$AS$88,MATCH(mapPRC!C715,$AR$7:$AR$88,0)),"")</f>
        <v>tppr</v>
      </c>
    </row>
    <row r="644" spans="23:24" x14ac:dyDescent="0.25">
      <c r="W644" t="str">
        <f>mapPRC!A716</f>
        <v>TPPRMOTELC-N</v>
      </c>
      <c r="X644" t="str">
        <f>IFERROR(INDEX($AS$7:$AS$88,MATCH(mapPRC!C716,$AR$7:$AR$88,0)),"")</f>
        <v>tppr</v>
      </c>
    </row>
    <row r="645" spans="23:24" x14ac:dyDescent="0.25">
      <c r="W645" t="str">
        <f>mapPRC!A717</f>
        <v>TPPRMOTOGS-E</v>
      </c>
      <c r="X645" t="str">
        <f>IFERROR(INDEX($AS$7:$AS$88,MATCH(mapPRC!C717,$AR$7:$AR$88,0)),"")</f>
        <v>tppr</v>
      </c>
    </row>
    <row r="646" spans="23:24" x14ac:dyDescent="0.25">
      <c r="W646" t="str">
        <f>mapPRC!A718</f>
        <v>TPPRMOTOGS-N</v>
      </c>
      <c r="X646" t="str">
        <f>IFERROR(INDEX($AS$7:$AS$88,MATCH(mapPRC!C718,$AR$7:$AR$88,0)),"")</f>
        <v>tppr</v>
      </c>
    </row>
    <row r="647" spans="23:24" x14ac:dyDescent="0.25">
      <c r="W647" t="str">
        <f>mapPRC!A719</f>
        <v>TPPRSUVBGS-N</v>
      </c>
      <c r="X647" t="str">
        <f>IFERROR(INDEX($AS$7:$AS$88,MATCH(mapPRC!C719,$AR$7:$AR$88,0)),"")</f>
        <v>tppr</v>
      </c>
    </row>
    <row r="648" spans="23:24" x14ac:dyDescent="0.25">
      <c r="W648" t="str">
        <f>mapPRC!A720</f>
        <v>TPPRSUVELC-E</v>
      </c>
      <c r="X648" t="str">
        <f>IFERROR(INDEX($AS$7:$AS$88,MATCH(mapPRC!C720,$AR$7:$AR$88,0)),"")</f>
        <v>tppr</v>
      </c>
    </row>
    <row r="649" spans="23:24" x14ac:dyDescent="0.25">
      <c r="W649" t="str">
        <f>mapPRC!A721</f>
        <v>TPPRSUVELC-N</v>
      </c>
      <c r="X649" t="str">
        <f>IFERROR(INDEX($AS$7:$AS$88,MATCH(mapPRC!C721,$AR$7:$AR$88,0)),"")</f>
        <v>tppr</v>
      </c>
    </row>
    <row r="650" spans="23:24" x14ac:dyDescent="0.25">
      <c r="W650" t="str">
        <f>mapPRC!A722</f>
        <v>TPPRSUVGAS-N</v>
      </c>
      <c r="X650" t="str">
        <f>IFERROR(INDEX($AS$7:$AS$88,MATCH(mapPRC!C722,$AR$7:$AR$88,0)),"")</f>
        <v>tppr</v>
      </c>
    </row>
    <row r="651" spans="23:24" x14ac:dyDescent="0.25">
      <c r="W651" t="str">
        <f>mapPRC!A723</f>
        <v>TPPRSUVHGNF-N</v>
      </c>
      <c r="X651" t="str">
        <f>IFERROR(INDEX($AS$7:$AS$88,MATCH(mapPRC!C723,$AR$7:$AR$88,0)),"")</f>
        <v>tppr</v>
      </c>
    </row>
    <row r="652" spans="23:24" x14ac:dyDescent="0.25">
      <c r="W652" t="str">
        <f>mapPRC!A724</f>
        <v>TPPRSUVODS-E</v>
      </c>
      <c r="X652" t="str">
        <f>IFERROR(INDEX($AS$7:$AS$88,MATCH(mapPRC!C724,$AR$7:$AR$88,0)),"")</f>
        <v>tppr</v>
      </c>
    </row>
    <row r="653" spans="23:24" x14ac:dyDescent="0.25">
      <c r="W653" t="str">
        <f>mapPRC!A725</f>
        <v>TPPRSUVODSH-N</v>
      </c>
      <c r="X653" t="str">
        <f>IFERROR(INDEX($AS$7:$AS$88,MATCH(mapPRC!C725,$AR$7:$AR$88,0)),"")</f>
        <v>tppr</v>
      </c>
    </row>
    <row r="654" spans="23:24" x14ac:dyDescent="0.25">
      <c r="W654" t="str">
        <f>mapPRC!A726</f>
        <v>TPPRSUVODS-N</v>
      </c>
      <c r="X654" t="str">
        <f>IFERROR(INDEX($AS$7:$AS$88,MATCH(mapPRC!C726,$AR$7:$AR$88,0)),"")</f>
        <v>tppr</v>
      </c>
    </row>
    <row r="655" spans="23:24" x14ac:dyDescent="0.25">
      <c r="W655" t="str">
        <f>mapPRC!A727</f>
        <v>TPPRSUVOGS-E</v>
      </c>
      <c r="X655" t="str">
        <f>IFERROR(INDEX($AS$7:$AS$88,MATCH(mapPRC!C727,$AR$7:$AR$88,0)),"")</f>
        <v>tppr</v>
      </c>
    </row>
    <row r="656" spans="23:24" x14ac:dyDescent="0.25">
      <c r="W656" t="str">
        <f>mapPRC!A728</f>
        <v>TPPRSUVOGSH-E</v>
      </c>
      <c r="X656" t="str">
        <f>IFERROR(INDEX($AS$7:$AS$88,MATCH(mapPRC!C728,$AR$7:$AR$88,0)),"")</f>
        <v>tppr</v>
      </c>
    </row>
    <row r="657" spans="23:24" x14ac:dyDescent="0.25">
      <c r="W657" t="str">
        <f>mapPRC!A729</f>
        <v>TPPRSUVOGSH-N</v>
      </c>
      <c r="X657" t="str">
        <f>IFERROR(INDEX($AS$7:$AS$88,MATCH(mapPRC!C729,$AR$7:$AR$88,0)),"")</f>
        <v>tppr</v>
      </c>
    </row>
    <row r="658" spans="23:24" x14ac:dyDescent="0.25">
      <c r="W658" t="str">
        <f>mapPRC!A730</f>
        <v>TPPRSUVOGS-N</v>
      </c>
      <c r="X658" t="str">
        <f>IFERROR(INDEX($AS$7:$AS$88,MATCH(mapPRC!C730,$AR$7:$AR$88,0)),"")</f>
        <v>tppr</v>
      </c>
    </row>
    <row r="659" spans="23:24" x14ac:dyDescent="0.25">
      <c r="W659" t="str">
        <f>mapPRC!A731</f>
        <v>TPPUBRTBGS-N</v>
      </c>
      <c r="X659" t="str">
        <f>IFERROR(INDEX($AS$7:$AS$88,MATCH(mapPRC!C731,$AR$7:$AR$88,0)),"")</f>
        <v>tranlp</v>
      </c>
    </row>
    <row r="660" spans="23:24" x14ac:dyDescent="0.25">
      <c r="W660" t="str">
        <f>mapPRC!A732</f>
        <v>TPPUBRTELC-N</v>
      </c>
      <c r="X660" t="str">
        <f>IFERROR(INDEX($AS$7:$AS$88,MATCH(mapPRC!C732,$AR$7:$AR$88,0)),"")</f>
        <v>tranlp</v>
      </c>
    </row>
    <row r="661" spans="23:24" x14ac:dyDescent="0.25">
      <c r="W661" t="str">
        <f>mapPRC!A733</f>
        <v>TPPUBRTGAS-N</v>
      </c>
      <c r="X661" t="str">
        <f>IFERROR(INDEX($AS$7:$AS$88,MATCH(mapPRC!C733,$AR$7:$AR$88,0)),"")</f>
        <v>tranlp</v>
      </c>
    </row>
    <row r="662" spans="23:24" x14ac:dyDescent="0.25">
      <c r="W662" t="str">
        <f>mapPRC!A734</f>
        <v>TPPUBRTHGNF-N</v>
      </c>
      <c r="X662" t="str">
        <f>IFERROR(INDEX($AS$7:$AS$88,MATCH(mapPRC!C734,$AR$7:$AR$88,0)),"")</f>
        <v>tranlp</v>
      </c>
    </row>
    <row r="663" spans="23:24" x14ac:dyDescent="0.25">
      <c r="W663" t="str">
        <f>mapPRC!A735</f>
        <v>TPPUBRTODS-N</v>
      </c>
      <c r="X663" t="str">
        <f>IFERROR(INDEX($AS$7:$AS$88,MATCH(mapPRC!C735,$AR$7:$AR$88,0)),"")</f>
        <v>tranlp</v>
      </c>
    </row>
    <row r="664" spans="23:24" x14ac:dyDescent="0.25">
      <c r="W664" t="str">
        <f>mapPRC!A736</f>
        <v>TPPUBUSBGS-N</v>
      </c>
      <c r="X664" t="str">
        <f>IFERROR(INDEX($AS$7:$AS$88,MATCH(mapPRC!C736,$AR$7:$AR$88,0)),"")</f>
        <v>tranlp</v>
      </c>
    </row>
    <row r="665" spans="23:24" x14ac:dyDescent="0.25">
      <c r="W665" t="str">
        <f>mapPRC!A737</f>
        <v>TPPUBUSELC-N</v>
      </c>
      <c r="X665" t="str">
        <f>IFERROR(INDEX($AS$7:$AS$88,MATCH(mapPRC!C737,$AR$7:$AR$88,0)),"")</f>
        <v>tranlp</v>
      </c>
    </row>
    <row r="666" spans="23:24" x14ac:dyDescent="0.25">
      <c r="W666" t="str">
        <f>mapPRC!A738</f>
        <v>TPPUBUSGAS-N</v>
      </c>
      <c r="X666" t="str">
        <f>IFERROR(INDEX($AS$7:$AS$88,MATCH(mapPRC!C738,$AR$7:$AR$88,0)),"")</f>
        <v>tranlp</v>
      </c>
    </row>
    <row r="667" spans="23:24" x14ac:dyDescent="0.25">
      <c r="W667" t="str">
        <f>mapPRC!A739</f>
        <v>TPPUBUSHGNF-N</v>
      </c>
      <c r="X667" t="str">
        <f>IFERROR(INDEX($AS$7:$AS$88,MATCH(mapPRC!C739,$AR$7:$AR$88,0)),"")</f>
        <v>tranlp</v>
      </c>
    </row>
    <row r="668" spans="23:24" x14ac:dyDescent="0.25">
      <c r="W668" t="str">
        <f>mapPRC!A740</f>
        <v>TPPUBUSODS-E</v>
      </c>
      <c r="X668" t="str">
        <f>IFERROR(INDEX($AS$7:$AS$88,MATCH(mapPRC!C740,$AR$7:$AR$88,0)),"")</f>
        <v>tranlp</v>
      </c>
    </row>
    <row r="669" spans="23:24" x14ac:dyDescent="0.25">
      <c r="W669" t="str">
        <f>mapPRC!A741</f>
        <v>TPPUBUSODS-N</v>
      </c>
      <c r="X669" t="str">
        <f>IFERROR(INDEX($AS$7:$AS$88,MATCH(mapPRC!C741,$AR$7:$AR$88,0)),"")</f>
        <v>tranlp</v>
      </c>
    </row>
    <row r="670" spans="23:24" x14ac:dyDescent="0.25">
      <c r="W670" t="str">
        <f>mapPRC!A742</f>
        <v>TPPUGATELC-N</v>
      </c>
      <c r="X670" t="str">
        <f>IFERROR(INDEX($AS$7:$AS$88,MATCH(mapPRC!C742,$AR$7:$AR$88,0)),"")</f>
        <v>tranlp</v>
      </c>
    </row>
    <row r="671" spans="23:24" x14ac:dyDescent="0.25">
      <c r="W671" t="str">
        <f>mapPRC!A743</f>
        <v>TPPUMBTBGS-N</v>
      </c>
      <c r="X671" t="str">
        <f>IFERROR(INDEX($AS$7:$AS$88,MATCH(mapPRC!C743,$AR$7:$AR$88,0)),"")</f>
        <v>tranlp</v>
      </c>
    </row>
    <row r="672" spans="23:24" x14ac:dyDescent="0.25">
      <c r="W672" t="str">
        <f>mapPRC!A744</f>
        <v>TPPUMBTELC-N</v>
      </c>
      <c r="X672" t="str">
        <f>IFERROR(INDEX($AS$7:$AS$88,MATCH(mapPRC!C744,$AR$7:$AR$88,0)),"")</f>
        <v>tranlp</v>
      </c>
    </row>
    <row r="673" spans="23:24" x14ac:dyDescent="0.25">
      <c r="W673" t="str">
        <f>mapPRC!A745</f>
        <v>TPPUMBTGAS-N</v>
      </c>
      <c r="X673" t="str">
        <f>IFERROR(INDEX($AS$7:$AS$88,MATCH(mapPRC!C745,$AR$7:$AR$88,0)),"")</f>
        <v>tranlp</v>
      </c>
    </row>
    <row r="674" spans="23:24" x14ac:dyDescent="0.25">
      <c r="W674" t="str">
        <f>mapPRC!A746</f>
        <v>TPPUMBTHGNF-N</v>
      </c>
      <c r="X674" t="str">
        <f>IFERROR(INDEX($AS$7:$AS$88,MATCH(mapPRC!C746,$AR$7:$AR$88,0)),"")</f>
        <v>tranlp</v>
      </c>
    </row>
    <row r="675" spans="23:24" x14ac:dyDescent="0.25">
      <c r="W675" t="str">
        <f>mapPRC!A747</f>
        <v>TPPUMBTODS-E</v>
      </c>
      <c r="X675" t="str">
        <f>IFERROR(INDEX($AS$7:$AS$88,MATCH(mapPRC!C747,$AR$7:$AR$88,0)),"")</f>
        <v>tranlp</v>
      </c>
    </row>
    <row r="676" spans="23:24" x14ac:dyDescent="0.25">
      <c r="W676" t="str">
        <f>mapPRC!A748</f>
        <v>TPPUMBTODSH-N</v>
      </c>
      <c r="X676" t="str">
        <f>IFERROR(INDEX($AS$7:$AS$88,MATCH(mapPRC!C748,$AR$7:$AR$88,0)),"")</f>
        <v>tranlp</v>
      </c>
    </row>
    <row r="677" spans="23:24" x14ac:dyDescent="0.25">
      <c r="W677" t="str">
        <f>mapPRC!A749</f>
        <v>TPPUMBTODS-N</v>
      </c>
      <c r="X677" t="str">
        <f>IFERROR(INDEX($AS$7:$AS$88,MATCH(mapPRC!C749,$AR$7:$AR$88,0)),"")</f>
        <v>tranlp</v>
      </c>
    </row>
    <row r="678" spans="23:24" x14ac:dyDescent="0.25">
      <c r="W678" t="str">
        <f>mapPRC!A750</f>
        <v>TPPUMBTOGS-E</v>
      </c>
      <c r="X678" t="str">
        <f>IFERROR(INDEX($AS$7:$AS$88,MATCH(mapPRC!C750,$AR$7:$AR$88,0)),"")</f>
        <v>tranlp</v>
      </c>
    </row>
    <row r="679" spans="23:24" x14ac:dyDescent="0.25">
      <c r="W679" t="str">
        <f>mapPRC!A751</f>
        <v>TPPUMBTOGS-N</v>
      </c>
      <c r="X679" t="str">
        <f>IFERROR(INDEX($AS$7:$AS$88,MATCH(mapPRC!C751,$AR$7:$AR$88,0)),"")</f>
        <v>tranlp</v>
      </c>
    </row>
    <row r="680" spans="23:24" x14ac:dyDescent="0.25">
      <c r="W680" t="str">
        <f>mapPRC!A752</f>
        <v>TPPUMERELC-E</v>
      </c>
      <c r="X680" t="str">
        <f>IFERROR(INDEX($AS$7:$AS$88,MATCH(mapPRC!C752,$AR$7:$AR$88,0)),"")</f>
        <v>tranlp</v>
      </c>
    </row>
    <row r="681" spans="23:24" x14ac:dyDescent="0.25">
      <c r="W681" t="str">
        <f>mapPRC!A753</f>
        <v>TPPUMERELC-N</v>
      </c>
      <c r="X681" t="str">
        <f>IFERROR(INDEX($AS$7:$AS$88,MATCH(mapPRC!C753,$AR$7:$AR$88,0)),"")</f>
        <v>tranlp</v>
      </c>
    </row>
    <row r="682" spans="23:24" x14ac:dyDescent="0.25">
      <c r="W682" t="str">
        <f>mapPRC!A754</f>
        <v>TSHFOOHF-E</v>
      </c>
      <c r="X682" t="str">
        <f>IFERROR(INDEX($AS$7:$AS$88,MATCH(mapPRC!C754,$AR$7:$AR$88,0)),"")</f>
        <v>trano</v>
      </c>
    </row>
    <row r="683" spans="23:24" x14ac:dyDescent="0.25">
      <c r="W683" t="str">
        <f>mapPRC!A755</f>
        <v>TSHFOOHF-N</v>
      </c>
      <c r="X683" t="str">
        <f>IFERROR(INDEX($AS$7:$AS$88,MATCH(mapPRC!C755,$AR$7:$AR$88,0)),"")</f>
        <v>trano</v>
      </c>
    </row>
    <row r="684" spans="23:24" x14ac:dyDescent="0.25">
      <c r="W684" t="str">
        <f>mapPRC!A756</f>
        <v>UBBEBIE-N</v>
      </c>
      <c r="X684" t="str">
        <f>IFERROR(INDEX($AS$7:$AS$88,MATCH(mapPRC!C756,$AR$7:$AR$88,0)),"")</f>
        <v>petr</v>
      </c>
    </row>
    <row r="685" spans="23:24" x14ac:dyDescent="0.25">
      <c r="W685" t="str">
        <f>mapPRC!A757</f>
        <v>UBCABID-N</v>
      </c>
      <c r="X685" t="str">
        <f>IFERROR(INDEX($AS$7:$AS$88,MATCH(mapPRC!C757,$AR$7:$AR$88,0)),"")</f>
        <v>petr</v>
      </c>
    </row>
    <row r="686" spans="23:24" x14ac:dyDescent="0.25">
      <c r="W686" t="str">
        <f>mapPRC!A758</f>
        <v>UBSCBIE-N</v>
      </c>
      <c r="X686" t="str">
        <f>IFERROR(INDEX($AS$7:$AS$88,MATCH(mapPRC!C758,$AR$7:$AR$88,0)),"")</f>
        <v>petr</v>
      </c>
    </row>
    <row r="687" spans="23:24" x14ac:dyDescent="0.25">
      <c r="W687" t="str">
        <f>mapPRC!A759</f>
        <v>UBSRBIE-N</v>
      </c>
      <c r="X687" t="str">
        <f>IFERROR(INDEX($AS$7:$AS$88,MATCH(mapPRC!C759,$AR$7:$AR$88,0)),"")</f>
        <v>petr</v>
      </c>
    </row>
    <row r="688" spans="23:24" x14ac:dyDescent="0.25">
      <c r="W688" t="str">
        <f>mapPRC!A760</f>
        <v>UBSYBID-N</v>
      </c>
      <c r="X688" t="str">
        <f>IFERROR(INDEX($AS$7:$AS$88,MATCH(mapPRC!C760,$AR$7:$AR$88,0)),"")</f>
        <v>petr</v>
      </c>
    </row>
    <row r="689" spans="23:24" x14ac:dyDescent="0.25">
      <c r="W689" t="str">
        <f>mapPRC!A761</f>
        <v>UCOGCLEHGN</v>
      </c>
      <c r="X689" t="str">
        <f>IFERROR(INDEX($AS$7:$AS$88,MATCH(mapPRC!C761,$AR$7:$AR$88,0)),"")</f>
        <v>hydr</v>
      </c>
    </row>
    <row r="690" spans="23:24" x14ac:dyDescent="0.25">
      <c r="W690" t="str">
        <f>mapPRC!A762</f>
        <v>UCTLCLEIN-E</v>
      </c>
      <c r="X690" t="str">
        <f>IFERROR(INDEX($AS$7:$AS$88,MATCH(mapPRC!C762,$AR$7:$AR$88,0)),"")</f>
        <v>petr</v>
      </c>
    </row>
    <row r="691" spans="23:24" x14ac:dyDescent="0.25">
      <c r="W691" t="str">
        <f>mapPRC!A763</f>
        <v>UCTLCLEIN-N</v>
      </c>
      <c r="X691" t="str">
        <f>IFERROR(INDEX($AS$7:$AS$88,MATCH(mapPRC!C763,$AR$7:$AR$88,0)),"")</f>
        <v>petr</v>
      </c>
    </row>
    <row r="692" spans="23:24" x14ac:dyDescent="0.25">
      <c r="W692" t="str">
        <f>mapPRC!A764</f>
        <v>UCTLCLEIN-N-A</v>
      </c>
      <c r="X692" t="str">
        <f>IFERROR(INDEX($AS$7:$AS$88,MATCH(mapPRC!C764,$AR$7:$AR$88,0)),"")</f>
        <v>petr</v>
      </c>
    </row>
    <row r="693" spans="23:24" x14ac:dyDescent="0.25">
      <c r="W693" t="str">
        <f>mapPRC!A765</f>
        <v>UELEHGN</v>
      </c>
      <c r="X693" t="str">
        <f>IFERROR(INDEX($AS$7:$AS$88,MATCH(mapPRC!C765,$AR$7:$AR$88,0)),"")</f>
        <v>hydr</v>
      </c>
    </row>
    <row r="694" spans="23:24" x14ac:dyDescent="0.25">
      <c r="W694" t="str">
        <f>mapPRC!A766</f>
        <v>UGASGIB-N</v>
      </c>
      <c r="X694" t="str">
        <f>IFERROR(INDEX($AS$7:$AS$88,MATCH(mapPRC!C766,$AR$7:$AR$88,0)),"")</f>
        <v/>
      </c>
    </row>
    <row r="695" spans="23:24" x14ac:dyDescent="0.25">
      <c r="W695" t="str">
        <f>mapPRC!A767</f>
        <v>UGASGIC-N</v>
      </c>
      <c r="X695" t="str">
        <f>IFERROR(INDEX($AS$7:$AS$88,MATCH(mapPRC!C767,$AR$7:$AR$88,0)),"")</f>
        <v/>
      </c>
    </row>
    <row r="696" spans="23:24" x14ac:dyDescent="0.25">
      <c r="W696" t="str">
        <f>mapPRC!A768</f>
        <v>UGASGIHE-N</v>
      </c>
      <c r="X696" t="str">
        <f>IFERROR(INDEX($AS$7:$AS$88,MATCH(mapPRC!C768,$AR$7:$AR$88,0)),"")</f>
        <v/>
      </c>
    </row>
    <row r="697" spans="23:24" x14ac:dyDescent="0.25">
      <c r="W697" t="str">
        <f>mapPRC!A769</f>
        <v>UGASGIH-N</v>
      </c>
      <c r="X697" t="str">
        <f>IFERROR(INDEX($AS$7:$AS$88,MATCH(mapPRC!C769,$AR$7:$AR$88,0)),"")</f>
        <v/>
      </c>
    </row>
    <row r="698" spans="23:24" x14ac:dyDescent="0.25">
      <c r="W698" t="str">
        <f>mapPRC!A770</f>
        <v>UGASGRM-N</v>
      </c>
      <c r="X698" t="str">
        <f>IFERROR(INDEX($AS$7:$AS$88,MATCH(mapPRC!C770,$AR$7:$AR$88,0)),"")</f>
        <v>imp</v>
      </c>
    </row>
    <row r="699" spans="23:24" x14ac:dyDescent="0.25">
      <c r="W699" t="str">
        <f>mapPRC!A771</f>
        <v>UGASGRS-N</v>
      </c>
      <c r="X699" t="str">
        <f>IFERROR(INDEX($AS$7:$AS$88,MATCH(mapPRC!C771,$AR$7:$AR$88,0)),"")</f>
        <v>imp</v>
      </c>
    </row>
    <row r="700" spans="23:24" x14ac:dyDescent="0.25">
      <c r="W700" t="str">
        <f>mapPRC!A772</f>
        <v>UGTLGASIN-N</v>
      </c>
      <c r="X700" t="str">
        <f>IFERROR(INDEX($AS$7:$AS$88,MATCH(mapPRC!C772,$AR$7:$AR$88,0)),"")</f>
        <v>petr</v>
      </c>
    </row>
    <row r="701" spans="23:24" x14ac:dyDescent="0.25">
      <c r="W701" t="str">
        <f>mapPRC!A773</f>
        <v>UGTLGICCO-E</v>
      </c>
      <c r="X701" t="str">
        <f>IFERROR(INDEX($AS$7:$AS$88,MATCH(mapPRC!C773,$AR$7:$AR$88,0)),"")</f>
        <v>petr</v>
      </c>
    </row>
    <row r="702" spans="23:24" x14ac:dyDescent="0.25">
      <c r="W702" t="str">
        <f>mapPRC!A774</f>
        <v>UGTLGICCO-N</v>
      </c>
      <c r="X702" t="str">
        <f>IFERROR(INDEX($AS$7:$AS$88,MATCH(mapPRC!C774,$AR$7:$AR$88,0)),"")</f>
        <v>petr</v>
      </c>
    </row>
    <row r="703" spans="23:24" x14ac:dyDescent="0.25">
      <c r="W703" t="str">
        <f>mapPRC!A775</f>
        <v>UHETCLE-E</v>
      </c>
      <c r="X703" t="str">
        <f>IFERROR(INDEX($AS$7:$AS$88,MATCH(mapPRC!C775,$AR$7:$AR$88,0)),"")</f>
        <v/>
      </c>
    </row>
    <row r="704" spans="23:24" x14ac:dyDescent="0.25">
      <c r="W704" t="str">
        <f>mapPRC!A776</f>
        <v>UHETCLE-N</v>
      </c>
      <c r="X704" t="str">
        <f>IFERROR(INDEX($AS$7:$AS$88,MATCH(mapPRC!C776,$AR$7:$AR$88,0)),"")</f>
        <v/>
      </c>
    </row>
    <row r="705" spans="23:24" x14ac:dyDescent="0.25">
      <c r="W705" t="str">
        <f>mapPRC!A777</f>
        <v>UINDSCOA1-N</v>
      </c>
      <c r="X705" t="str">
        <f>IFERROR(INDEX($AS$7:$AS$88,MATCH(mapPRC!C777,$AR$7:$AR$88,0)),"")</f>
        <v/>
      </c>
    </row>
    <row r="706" spans="23:24" x14ac:dyDescent="0.25">
      <c r="W706" t="str">
        <f>mapPRC!A778</f>
        <v>UINDSGAS1-N</v>
      </c>
      <c r="X706" t="str">
        <f>IFERROR(INDEX($AS$7:$AS$88,MATCH(mapPRC!C778,$AR$7:$AR$88,0)),"")</f>
        <v/>
      </c>
    </row>
    <row r="707" spans="23:24" x14ac:dyDescent="0.25">
      <c r="W707" t="str">
        <f>mapPRC!A779</f>
        <v>ULGTGRLFSRU-N</v>
      </c>
      <c r="X707" t="str">
        <f>IFERROR(INDEX($AS$7:$AS$88,MATCH(mapPRC!C779,$AR$7:$AR$88,0)),"")</f>
        <v>gas</v>
      </c>
    </row>
    <row r="708" spans="23:24" x14ac:dyDescent="0.25">
      <c r="W708" t="str">
        <f>mapPRC!A780</f>
        <v>ULGTGRL-N</v>
      </c>
      <c r="X708" t="str">
        <f>IFERROR(INDEX($AS$7:$AS$88,MATCH(mapPRC!C780,$AR$7:$AR$88,0)),"")</f>
        <v>gas</v>
      </c>
    </row>
    <row r="709" spans="23:24" x14ac:dyDescent="0.25">
      <c r="W709" t="str">
        <f>mapPRC!A781</f>
        <v>UREFOCRCO-E</v>
      </c>
      <c r="X709" t="str">
        <f>IFERROR(INDEX($AS$7:$AS$88,MATCH(mapPRC!C781,$AR$7:$AR$88,0)),"")</f>
        <v>petr</v>
      </c>
    </row>
    <row r="710" spans="23:24" x14ac:dyDescent="0.25">
      <c r="W710" t="str">
        <f>mapPRC!A782</f>
        <v>UREFOCRCO-N</v>
      </c>
      <c r="X710" t="str">
        <f>IFERROR(INDEX($AS$7:$AS$88,MATCH(mapPRC!C782,$AR$7:$AR$88,0)),"")</f>
        <v>petr</v>
      </c>
    </row>
    <row r="711" spans="23:24" x14ac:dyDescent="0.25">
      <c r="W711" t="str">
        <f>mapPRC!A783</f>
        <v>UREFOCRIN-E</v>
      </c>
      <c r="X711" t="str">
        <f>IFERROR(INDEX($AS$7:$AS$88,MATCH(mapPRC!C783,$AR$7:$AR$88,0)),"")</f>
        <v>petr</v>
      </c>
    </row>
    <row r="712" spans="23:24" x14ac:dyDescent="0.25">
      <c r="W712" t="str">
        <f>mapPRC!A784</f>
        <v>USMRGASHGN</v>
      </c>
      <c r="X712" t="str">
        <f>IFERROR(INDEX($AS$7:$AS$88,MATCH(mapPRC!C784,$AR$7:$AR$88,0)),"")</f>
        <v>hydr</v>
      </c>
    </row>
    <row r="713" spans="23:24" x14ac:dyDescent="0.25">
      <c r="W713" t="str">
        <f>mapPRC!A785</f>
        <v>USMRGICHGN</v>
      </c>
      <c r="X713" t="str">
        <f>IFERROR(INDEX($AS$7:$AS$88,MATCH(mapPRC!C785,$AR$7:$AR$88,0)),"")</f>
        <v>hydr</v>
      </c>
    </row>
    <row r="714" spans="23:24" x14ac:dyDescent="0.25">
      <c r="W714" t="str">
        <f>mapPRC!A786</f>
        <v>UTRNGIMGAS</v>
      </c>
      <c r="X714" t="str">
        <f>IFERROR(INDEX($AS$7:$AS$88,MATCH(mapPRC!C786,$AR$7:$AR$88,0)),"")</f>
        <v/>
      </c>
    </row>
    <row r="715" spans="23:24" x14ac:dyDescent="0.25">
      <c r="W715" t="str">
        <f>mapPRC!A787</f>
        <v>UXCWCME</v>
      </c>
      <c r="X715" t="str">
        <f>IFERROR(INDEX($AS$7:$AS$88,MATCH(mapPRC!C787,$AR$7:$AR$88,0)),"")</f>
        <v/>
      </c>
    </row>
    <row r="716" spans="23:24" x14ac:dyDescent="0.25">
      <c r="W716" t="str">
        <f>mapPRC!A788</f>
        <v>UXCWCOA</v>
      </c>
      <c r="X716" t="str">
        <f>IFERROR(INDEX($AS$7:$AS$88,MATCH(mapPRC!C788,$AR$7:$AR$88,0)),"")</f>
        <v/>
      </c>
    </row>
    <row r="717" spans="23:24" x14ac:dyDescent="0.25">
      <c r="W717" t="str">
        <f>mapPRC!A789</f>
        <v>UXLE2-AB</v>
      </c>
      <c r="X717" t="str">
        <f>IFERROR(INDEX($AS$7:$AS$88,MATCH(mapPRC!C789,$AR$7:$AR$88,0)),"")</f>
        <v/>
      </c>
    </row>
    <row r="718" spans="23:24" x14ac:dyDescent="0.25">
      <c r="W718" t="str">
        <f>mapPRC!A790</f>
        <v>UXLE-AB</v>
      </c>
      <c r="X718" t="str">
        <f>IFERROR(INDEX($AS$7:$AS$88,MATCH(mapPRC!C790,$AR$7:$AR$88,0)),"")</f>
        <v/>
      </c>
    </row>
    <row r="719" spans="23:24" x14ac:dyDescent="0.25">
      <c r="W719" t="str">
        <f>mapPRC!A791</f>
        <v>UXLE-BR</v>
      </c>
      <c r="X719" t="str">
        <f>IFERROR(INDEX($AS$7:$AS$88,MATCH(mapPRC!C791,$AR$7:$AR$88,0)),"")</f>
        <v/>
      </c>
    </row>
    <row r="720" spans="23:24" x14ac:dyDescent="0.25">
      <c r="W720" t="str">
        <f>mapPRC!A792</f>
        <v>XAGRBIO</v>
      </c>
      <c r="X720" t="str">
        <f>IFERROR(INDEX($AS$7:$AS$88,MATCH(mapPRC!C792,$AR$7:$AR$88,0)),"")</f>
        <v/>
      </c>
    </row>
    <row r="721" spans="23:24" x14ac:dyDescent="0.25">
      <c r="W721" t="str">
        <f>mapPRC!A793</f>
        <v>XAGRCOA</v>
      </c>
      <c r="X721" t="str">
        <f>IFERROR(INDEX($AS$7:$AS$88,MATCH(mapPRC!C793,$AR$7:$AR$88,0)),"")</f>
        <v/>
      </c>
    </row>
    <row r="722" spans="23:24" x14ac:dyDescent="0.25">
      <c r="W722" t="str">
        <f>mapPRC!A794</f>
        <v>XAGRELC</v>
      </c>
      <c r="X722" t="str">
        <f>IFERROR(INDEX($AS$7:$AS$88,MATCH(mapPRC!C794,$AR$7:$AR$88,0)),"")</f>
        <v>elec</v>
      </c>
    </row>
    <row r="723" spans="23:24" x14ac:dyDescent="0.25">
      <c r="W723" t="str">
        <f>mapPRC!A795</f>
        <v>XAGRODS</v>
      </c>
      <c r="X723" t="str">
        <f>IFERROR(INDEX($AS$7:$AS$88,MATCH(mapPRC!C795,$AR$7:$AR$88,0)),"")</f>
        <v/>
      </c>
    </row>
    <row r="724" spans="23:24" x14ac:dyDescent="0.25">
      <c r="W724" t="str">
        <f>mapPRC!A796</f>
        <v>XAGROGS</v>
      </c>
      <c r="X724" t="str">
        <f>IFERROR(INDEX($AS$7:$AS$88,MATCH(mapPRC!C796,$AR$7:$AR$88,0)),"")</f>
        <v/>
      </c>
    </row>
    <row r="725" spans="23:24" x14ac:dyDescent="0.25">
      <c r="W725" t="str">
        <f>mapPRC!A797</f>
        <v>XAGROHF</v>
      </c>
      <c r="X725" t="str">
        <f>IFERROR(INDEX($AS$7:$AS$88,MATCH(mapPRC!C797,$AR$7:$AR$88,0)),"")</f>
        <v/>
      </c>
    </row>
    <row r="726" spans="23:24" x14ac:dyDescent="0.25">
      <c r="W726" t="str">
        <f>mapPRC!A798</f>
        <v>XAGROKE</v>
      </c>
      <c r="X726" t="str">
        <f>IFERROR(INDEX($AS$7:$AS$88,MATCH(mapPRC!C798,$AR$7:$AR$88,0)),"")</f>
        <v/>
      </c>
    </row>
    <row r="727" spans="23:24" x14ac:dyDescent="0.25">
      <c r="W727" t="str">
        <f>mapPRC!A799</f>
        <v>XAGROLP</v>
      </c>
      <c r="X727" t="str">
        <f>IFERROR(INDEX($AS$7:$AS$88,MATCH(mapPRC!C799,$AR$7:$AR$88,0)),"")</f>
        <v/>
      </c>
    </row>
    <row r="728" spans="23:24" x14ac:dyDescent="0.25">
      <c r="W728" t="str">
        <f>mapPRC!A800</f>
        <v>XCOMCOA</v>
      </c>
      <c r="X728" t="str">
        <f>IFERROR(INDEX($AS$7:$AS$88,MATCH(mapPRC!C800,$AR$7:$AR$88,0)),"")</f>
        <v/>
      </c>
    </row>
    <row r="729" spans="23:24" x14ac:dyDescent="0.25">
      <c r="W729" t="str">
        <f>mapPRC!A801</f>
        <v>XCOMELC</v>
      </c>
      <c r="X729" t="str">
        <f>IFERROR(INDEX($AS$7:$AS$88,MATCH(mapPRC!C801,$AR$7:$AR$88,0)),"")</f>
        <v>elec</v>
      </c>
    </row>
    <row r="730" spans="23:24" x14ac:dyDescent="0.25">
      <c r="W730" t="str">
        <f>mapPRC!A802</f>
        <v>XCOMGAS</v>
      </c>
      <c r="X730" t="str">
        <f>IFERROR(INDEX($AS$7:$AS$88,MATCH(mapPRC!C802,$AR$7:$AR$88,0)),"")</f>
        <v/>
      </c>
    </row>
    <row r="731" spans="23:24" x14ac:dyDescent="0.25">
      <c r="W731" t="str">
        <f>mapPRC!A803</f>
        <v>XCOMODS</v>
      </c>
      <c r="X731" t="str">
        <f>IFERROR(INDEX($AS$7:$AS$88,MATCH(mapPRC!C803,$AR$7:$AR$88,0)),"")</f>
        <v/>
      </c>
    </row>
    <row r="732" spans="23:24" x14ac:dyDescent="0.25">
      <c r="W732" t="str">
        <f>mapPRC!A804</f>
        <v>XCOMOGS</v>
      </c>
      <c r="X732" t="str">
        <f>IFERROR(INDEX($AS$7:$AS$88,MATCH(mapPRC!C804,$AR$7:$AR$88,0)),"")</f>
        <v/>
      </c>
    </row>
    <row r="733" spans="23:24" x14ac:dyDescent="0.25">
      <c r="W733" t="str">
        <f>mapPRC!A805</f>
        <v>XCOMOHF</v>
      </c>
      <c r="X733" t="str">
        <f>IFERROR(INDEX($AS$7:$AS$88,MATCH(mapPRC!C805,$AR$7:$AR$88,0)),"")</f>
        <v/>
      </c>
    </row>
    <row r="734" spans="23:24" x14ac:dyDescent="0.25">
      <c r="W734" t="str">
        <f>mapPRC!A806</f>
        <v>XCOMOKE</v>
      </c>
      <c r="X734" t="str">
        <f>IFERROR(INDEX($AS$7:$AS$88,MATCH(mapPRC!C806,$AR$7:$AR$88,0)),"")</f>
        <v/>
      </c>
    </row>
    <row r="735" spans="23:24" x14ac:dyDescent="0.25">
      <c r="W735" t="str">
        <f>mapPRC!A807</f>
        <v>XCOMOLP</v>
      </c>
      <c r="X735" t="str">
        <f>IFERROR(INDEX($AS$7:$AS$88,MATCH(mapPRC!C807,$AR$7:$AR$88,0)),"")</f>
        <v/>
      </c>
    </row>
    <row r="736" spans="23:24" x14ac:dyDescent="0.25">
      <c r="W736" t="str">
        <f>mapPRC!A808</f>
        <v>XICPELC</v>
      </c>
      <c r="X736" t="str">
        <f>IFERROR(INDEX($AS$7:$AS$88,MATCH(mapPRC!C808,$AR$7:$AR$88,0)),"")</f>
        <v>elec</v>
      </c>
    </row>
    <row r="737" spans="23:24" x14ac:dyDescent="0.25">
      <c r="W737" t="str">
        <f>mapPRC!A809</f>
        <v>XICPGAS</v>
      </c>
      <c r="X737" t="str">
        <f>IFERROR(INDEX($AS$7:$AS$88,MATCH(mapPRC!C809,$AR$7:$AR$88,0)),"")</f>
        <v/>
      </c>
    </row>
    <row r="738" spans="23:24" x14ac:dyDescent="0.25">
      <c r="W738" t="str">
        <f>mapPRC!A810</f>
        <v>XIFAELC</v>
      </c>
      <c r="X738" t="str">
        <f>IFERROR(INDEX($AS$7:$AS$88,MATCH(mapPRC!C810,$AR$7:$AR$88,0)),"")</f>
        <v>elec</v>
      </c>
    </row>
    <row r="739" spans="23:24" x14ac:dyDescent="0.25">
      <c r="W739" t="str">
        <f>mapPRC!A811</f>
        <v>XIFAGAS</v>
      </c>
      <c r="X739" t="str">
        <f>IFERROR(INDEX($AS$7:$AS$88,MATCH(mapPRC!C811,$AR$7:$AR$88,0)),"")</f>
        <v/>
      </c>
    </row>
    <row r="740" spans="23:24" x14ac:dyDescent="0.25">
      <c r="W740" t="str">
        <f>mapPRC!A812</f>
        <v>XIFBELC</v>
      </c>
      <c r="X740" t="str">
        <f>IFERROR(INDEX($AS$7:$AS$88,MATCH(mapPRC!C812,$AR$7:$AR$88,0)),"")</f>
        <v>elec</v>
      </c>
    </row>
    <row r="741" spans="23:24" x14ac:dyDescent="0.25">
      <c r="W741" t="str">
        <f>mapPRC!A813</f>
        <v>XIFBGAS</v>
      </c>
      <c r="X741" t="str">
        <f>IFERROR(INDEX($AS$7:$AS$88,MATCH(mapPRC!C813,$AR$7:$AR$88,0)),"")</f>
        <v/>
      </c>
    </row>
    <row r="742" spans="23:24" x14ac:dyDescent="0.25">
      <c r="W742" t="str">
        <f>mapPRC!A814</f>
        <v>XIISBIO</v>
      </c>
      <c r="X742" t="str">
        <f>IFERROR(INDEX($AS$7:$AS$88,MATCH(mapPRC!C814,$AR$7:$AR$88,0)),"")</f>
        <v/>
      </c>
    </row>
    <row r="743" spans="23:24" x14ac:dyDescent="0.25">
      <c r="W743" t="str">
        <f>mapPRC!A815</f>
        <v>XIISCKC</v>
      </c>
      <c r="X743" t="str">
        <f>IFERROR(INDEX($AS$7:$AS$88,MATCH(mapPRC!C815,$AR$7:$AR$88,0)),"")</f>
        <v/>
      </c>
    </row>
    <row r="744" spans="23:24" x14ac:dyDescent="0.25">
      <c r="W744" t="str">
        <f>mapPRC!A816</f>
        <v>XIISCOA</v>
      </c>
      <c r="X744" t="str">
        <f>IFERROR(INDEX($AS$7:$AS$88,MATCH(mapPRC!C816,$AR$7:$AR$88,0)),"")</f>
        <v/>
      </c>
    </row>
    <row r="745" spans="23:24" x14ac:dyDescent="0.25">
      <c r="W745" t="str">
        <f>mapPRC!A817</f>
        <v>XIISELC</v>
      </c>
      <c r="X745" t="str">
        <f>IFERROR(INDEX($AS$7:$AS$88,MATCH(mapPRC!C817,$AR$7:$AR$88,0)),"")</f>
        <v>elec</v>
      </c>
    </row>
    <row r="746" spans="23:24" x14ac:dyDescent="0.25">
      <c r="W746" t="str">
        <f>mapPRC!A818</f>
        <v>XIISELCHY</v>
      </c>
      <c r="X746" t="str">
        <f>IFERROR(INDEX($AS$7:$AS$88,MATCH(mapPRC!C818,$AR$7:$AR$88,0)),"")</f>
        <v/>
      </c>
    </row>
    <row r="747" spans="23:24" x14ac:dyDescent="0.25">
      <c r="W747" t="str">
        <f>mapPRC!A819</f>
        <v>XIISGAS</v>
      </c>
      <c r="X747" t="str">
        <f>IFERROR(INDEX($AS$7:$AS$88,MATCH(mapPRC!C819,$AR$7:$AR$88,0)),"")</f>
        <v/>
      </c>
    </row>
    <row r="748" spans="23:24" x14ac:dyDescent="0.25">
      <c r="W748" t="str">
        <f>mapPRC!A820</f>
        <v>XIISOIL</v>
      </c>
      <c r="X748" t="str">
        <f>IFERROR(INDEX($AS$7:$AS$88,MATCH(mapPRC!C820,$AR$7:$AR$88,0)),"")</f>
        <v/>
      </c>
    </row>
    <row r="749" spans="23:24" x14ac:dyDescent="0.25">
      <c r="W749" t="str">
        <f>mapPRC!A821</f>
        <v>XIISOLP</v>
      </c>
      <c r="X749" t="str">
        <f>IFERROR(INDEX($AS$7:$AS$88,MATCH(mapPRC!C821,$AR$7:$AR$88,0)),"")</f>
        <v/>
      </c>
    </row>
    <row r="750" spans="23:24" x14ac:dyDescent="0.25">
      <c r="W750" t="str">
        <f>mapPRC!A822</f>
        <v>XIISSSC</v>
      </c>
      <c r="X750" t="str">
        <f>IFERROR(INDEX($AS$7:$AS$88,MATCH(mapPRC!C822,$AR$7:$AR$88,0)),"")</f>
        <v/>
      </c>
    </row>
    <row r="751" spans="23:24" x14ac:dyDescent="0.25">
      <c r="W751" t="str">
        <f>mapPRC!A823</f>
        <v>XIISWAS</v>
      </c>
      <c r="X751" t="str">
        <f>IFERROR(INDEX($AS$7:$AS$88,MATCH(mapPRC!C823,$AR$7:$AR$88,0)),"")</f>
        <v/>
      </c>
    </row>
    <row r="752" spans="23:24" x14ac:dyDescent="0.25">
      <c r="W752" t="str">
        <f>mapPRC!A824</f>
        <v>XIMIELC</v>
      </c>
      <c r="X752" t="str">
        <f>IFERROR(INDEX($AS$7:$AS$88,MATCH(mapPRC!C824,$AR$7:$AR$88,0)),"")</f>
        <v>elec</v>
      </c>
    </row>
    <row r="753" spans="23:24" x14ac:dyDescent="0.25">
      <c r="W753" t="str">
        <f>mapPRC!A825</f>
        <v>XIMIGAS</v>
      </c>
      <c r="X753" t="str">
        <f>IFERROR(INDEX($AS$7:$AS$88,MATCH(mapPRC!C825,$AR$7:$AR$88,0)),"")</f>
        <v/>
      </c>
    </row>
    <row r="754" spans="23:24" x14ac:dyDescent="0.25">
      <c r="W754" t="str">
        <f>mapPRC!A826</f>
        <v>XINDBIB</v>
      </c>
      <c r="X754" t="str">
        <f>IFERROR(INDEX($AS$7:$AS$88,MATCH(mapPRC!C826,$AR$7:$AR$88,0)),"")</f>
        <v/>
      </c>
    </row>
    <row r="755" spans="23:24" x14ac:dyDescent="0.25">
      <c r="W755" t="str">
        <f>mapPRC!A827</f>
        <v>XINDBIW</v>
      </c>
      <c r="X755" t="str">
        <f>IFERROR(INDEX($AS$7:$AS$88,MATCH(mapPRC!C827,$AR$7:$AR$88,0)),"")</f>
        <v/>
      </c>
    </row>
    <row r="756" spans="23:24" x14ac:dyDescent="0.25">
      <c r="W756" t="str">
        <f>mapPRC!A828</f>
        <v>XINDCLE</v>
      </c>
      <c r="X756" t="str">
        <f>IFERROR(INDEX($AS$7:$AS$88,MATCH(mapPRC!C828,$AR$7:$AR$88,0)),"")</f>
        <v/>
      </c>
    </row>
    <row r="757" spans="23:24" x14ac:dyDescent="0.25">
      <c r="W757" t="str">
        <f>mapPRC!A829</f>
        <v>XINDCOA</v>
      </c>
      <c r="X757" t="str">
        <f>IFERROR(INDEX($AS$7:$AS$88,MATCH(mapPRC!C829,$AR$7:$AR$88,0)),"")</f>
        <v/>
      </c>
    </row>
    <row r="758" spans="23:24" x14ac:dyDescent="0.25">
      <c r="W758" t="str">
        <f>mapPRC!A830</f>
        <v>XINDCOK</v>
      </c>
      <c r="X758" t="str">
        <f>IFERROR(INDEX($AS$7:$AS$88,MATCH(mapPRC!C830,$AR$7:$AR$88,0)),"")</f>
        <v/>
      </c>
    </row>
    <row r="759" spans="23:24" x14ac:dyDescent="0.25">
      <c r="W759" t="str">
        <f>mapPRC!A831</f>
        <v>XINDELC</v>
      </c>
      <c r="X759" t="str">
        <f>IFERROR(INDEX($AS$7:$AS$88,MATCH(mapPRC!C831,$AR$7:$AR$88,0)),"")</f>
        <v/>
      </c>
    </row>
    <row r="760" spans="23:24" x14ac:dyDescent="0.25">
      <c r="W760" t="str">
        <f>mapPRC!A832</f>
        <v>XINDELP</v>
      </c>
      <c r="X760" t="str">
        <f>IFERROR(INDEX($AS$7:$AS$88,MATCH(mapPRC!C832,$AR$7:$AR$88,0)),"")</f>
        <v/>
      </c>
    </row>
    <row r="761" spans="23:24" x14ac:dyDescent="0.25">
      <c r="W761" t="str">
        <f>mapPRC!A833</f>
        <v>XINDGAS</v>
      </c>
      <c r="X761" t="str">
        <f>IFERROR(INDEX($AS$7:$AS$88,MATCH(mapPRC!C833,$AR$7:$AR$88,0)),"")</f>
        <v/>
      </c>
    </row>
    <row r="762" spans="23:24" x14ac:dyDescent="0.25">
      <c r="W762" t="str">
        <f>mapPRC!A834</f>
        <v>XINDODS</v>
      </c>
      <c r="X762" t="str">
        <f>IFERROR(INDEX($AS$7:$AS$88,MATCH(mapPRC!C834,$AR$7:$AR$88,0)),"")</f>
        <v/>
      </c>
    </row>
    <row r="763" spans="23:24" x14ac:dyDescent="0.25">
      <c r="W763" t="str">
        <f>mapPRC!A835</f>
        <v>XINDOGS</v>
      </c>
      <c r="X763" t="str">
        <f>IFERROR(INDEX($AS$7:$AS$88,MATCH(mapPRC!C835,$AR$7:$AR$88,0)),"")</f>
        <v/>
      </c>
    </row>
    <row r="764" spans="23:24" x14ac:dyDescent="0.25">
      <c r="W764" t="str">
        <f>mapPRC!A836</f>
        <v>XINDOHF</v>
      </c>
      <c r="X764" t="str">
        <f>IFERROR(INDEX($AS$7:$AS$88,MATCH(mapPRC!C836,$AR$7:$AR$88,0)),"")</f>
        <v/>
      </c>
    </row>
    <row r="765" spans="23:24" x14ac:dyDescent="0.25">
      <c r="W765" t="str">
        <f>mapPRC!A837</f>
        <v>XINDOLP</v>
      </c>
      <c r="X765" t="str">
        <f>IFERROR(INDEX($AS$7:$AS$88,MATCH(mapPRC!C837,$AR$7:$AR$88,0)),"")</f>
        <v/>
      </c>
    </row>
    <row r="766" spans="23:24" x14ac:dyDescent="0.25">
      <c r="W766" t="str">
        <f>mapPRC!A838</f>
        <v>XINDWAS</v>
      </c>
      <c r="X766" t="str">
        <f>IFERROR(INDEX($AS$7:$AS$88,MATCH(mapPRC!C838,$AR$7:$AR$88,0)),"")</f>
        <v/>
      </c>
    </row>
    <row r="767" spans="23:24" x14ac:dyDescent="0.25">
      <c r="W767" t="str">
        <f>mapPRC!A839</f>
        <v>XINFELC</v>
      </c>
      <c r="X767" t="str">
        <f>IFERROR(INDEX($AS$7:$AS$88,MATCH(mapPRC!C839,$AR$7:$AR$88,0)),"")</f>
        <v>elec</v>
      </c>
    </row>
    <row r="768" spans="23:24" x14ac:dyDescent="0.25">
      <c r="W768" t="str">
        <f>mapPRC!A840</f>
        <v>XINFGAS</v>
      </c>
      <c r="X768" t="str">
        <f>IFERROR(INDEX($AS$7:$AS$88,MATCH(mapPRC!C840,$AR$7:$AR$88,0)),"")</f>
        <v/>
      </c>
    </row>
    <row r="769" spans="23:24" x14ac:dyDescent="0.25">
      <c r="W769" t="str">
        <f>mapPRC!A841</f>
        <v>XINMBIO</v>
      </c>
      <c r="X769" t="str">
        <f>IFERROR(INDEX($AS$7:$AS$88,MATCH(mapPRC!C841,$AR$7:$AR$88,0)),"")</f>
        <v/>
      </c>
    </row>
    <row r="770" spans="23:24" x14ac:dyDescent="0.25">
      <c r="W770" t="str">
        <f>mapPRC!A842</f>
        <v>XINMCOA</v>
      </c>
      <c r="X770" t="str">
        <f>IFERROR(INDEX($AS$7:$AS$88,MATCH(mapPRC!C842,$AR$7:$AR$88,0)),"")</f>
        <v/>
      </c>
    </row>
    <row r="771" spans="23:24" x14ac:dyDescent="0.25">
      <c r="W771" t="str">
        <f>mapPRC!A843</f>
        <v>XINMELC</v>
      </c>
      <c r="X771" t="str">
        <f>IFERROR(INDEX($AS$7:$AS$88,MATCH(mapPRC!C843,$AR$7:$AR$88,0)),"")</f>
        <v>elec</v>
      </c>
    </row>
    <row r="772" spans="23:24" x14ac:dyDescent="0.25">
      <c r="W772" t="str">
        <f>mapPRC!A844</f>
        <v>XINMGAS</v>
      </c>
      <c r="X772" t="str">
        <f>IFERROR(INDEX($AS$7:$AS$88,MATCH(mapPRC!C844,$AR$7:$AR$88,0)),"")</f>
        <v/>
      </c>
    </row>
    <row r="773" spans="23:24" x14ac:dyDescent="0.25">
      <c r="W773" t="str">
        <f>mapPRC!A845</f>
        <v>XINMOIL</v>
      </c>
      <c r="X773" t="str">
        <f>IFERROR(INDEX($AS$7:$AS$88,MATCH(mapPRC!C845,$AR$7:$AR$88,0)),"")</f>
        <v/>
      </c>
    </row>
    <row r="774" spans="23:24" x14ac:dyDescent="0.25">
      <c r="W774" t="str">
        <f>mapPRC!A846</f>
        <v>XIOTELC</v>
      </c>
      <c r="X774" t="str">
        <f>IFERROR(INDEX($AS$7:$AS$88,MATCH(mapPRC!C846,$AR$7:$AR$88,0)),"")</f>
        <v>elec</v>
      </c>
    </row>
    <row r="775" spans="23:24" x14ac:dyDescent="0.25">
      <c r="W775" t="str">
        <f>mapPRC!A847</f>
        <v>XIOTGAS</v>
      </c>
      <c r="X775" t="str">
        <f>IFERROR(INDEX($AS$7:$AS$88,MATCH(mapPRC!C847,$AR$7:$AR$88,0)),"")</f>
        <v/>
      </c>
    </row>
    <row r="776" spans="23:24" x14ac:dyDescent="0.25">
      <c r="W776" t="str">
        <f>mapPRC!A848</f>
        <v>XIPPBIB</v>
      </c>
      <c r="X776" t="str">
        <f>IFERROR(INDEX($AS$7:$AS$88,MATCH(mapPRC!C848,$AR$7:$AR$88,0)),"")</f>
        <v/>
      </c>
    </row>
    <row r="777" spans="23:24" x14ac:dyDescent="0.25">
      <c r="W777" t="str">
        <f>mapPRC!A849</f>
        <v>XIPPCOA</v>
      </c>
      <c r="X777" t="str">
        <f>IFERROR(INDEX($AS$7:$AS$88,MATCH(mapPRC!C849,$AR$7:$AR$88,0)),"")</f>
        <v/>
      </c>
    </row>
    <row r="778" spans="23:24" x14ac:dyDescent="0.25">
      <c r="W778" t="str">
        <f>mapPRC!A850</f>
        <v>XIPPELC</v>
      </c>
      <c r="X778" t="str">
        <f>IFERROR(INDEX($AS$7:$AS$88,MATCH(mapPRC!C850,$AR$7:$AR$88,0)),"")</f>
        <v>elec</v>
      </c>
    </row>
    <row r="779" spans="23:24" x14ac:dyDescent="0.25">
      <c r="W779" t="str">
        <f>mapPRC!A851</f>
        <v>XIPPGAS</v>
      </c>
      <c r="X779" t="str">
        <f>IFERROR(INDEX($AS$7:$AS$88,MATCH(mapPRC!C851,$AR$7:$AR$88,0)),"")</f>
        <v/>
      </c>
    </row>
    <row r="780" spans="23:24" x14ac:dyDescent="0.25">
      <c r="W780" t="str">
        <f>mapPRC!A852</f>
        <v>XIPPODS</v>
      </c>
      <c r="X780" t="str">
        <f>IFERROR(INDEX($AS$7:$AS$88,MATCH(mapPRC!C852,$AR$7:$AR$88,0)),"")</f>
        <v/>
      </c>
    </row>
    <row r="781" spans="23:24" x14ac:dyDescent="0.25">
      <c r="W781" t="str">
        <f>mapPRC!A853</f>
        <v>XIPPOGS</v>
      </c>
      <c r="X781" t="str">
        <f>IFERROR(INDEX($AS$7:$AS$88,MATCH(mapPRC!C853,$AR$7:$AR$88,0)),"")</f>
        <v/>
      </c>
    </row>
    <row r="782" spans="23:24" x14ac:dyDescent="0.25">
      <c r="W782" t="str">
        <f>mapPRC!A854</f>
        <v>XIPPOHF</v>
      </c>
      <c r="X782" t="str">
        <f>IFERROR(INDEX($AS$7:$AS$88,MATCH(mapPRC!C854,$AR$7:$AR$88,0)),"")</f>
        <v/>
      </c>
    </row>
    <row r="783" spans="23:24" x14ac:dyDescent="0.25">
      <c r="W783" t="str">
        <f>mapPRC!A855</f>
        <v>XIPPOLP</v>
      </c>
      <c r="X783" t="str">
        <f>IFERROR(INDEX($AS$7:$AS$88,MATCH(mapPRC!C855,$AR$7:$AR$88,0)),"")</f>
        <v/>
      </c>
    </row>
    <row r="784" spans="23:24" x14ac:dyDescent="0.25">
      <c r="W784" t="str">
        <f>mapPRC!A856</f>
        <v>XIPPRECP</v>
      </c>
      <c r="X784" t="str">
        <f>IFERROR(INDEX($AS$7:$AS$88,MATCH(mapPRC!C856,$AR$7:$AR$88,0)),"")</f>
        <v/>
      </c>
    </row>
    <row r="785" spans="23:24" x14ac:dyDescent="0.25">
      <c r="W785" t="str">
        <f>mapPRC!A857</f>
        <v>XPWRBIB</v>
      </c>
      <c r="X785" t="str">
        <f>IFERROR(INDEX($AS$7:$AS$88,MATCH(mapPRC!C857,$AR$7:$AR$88,0)),"")</f>
        <v/>
      </c>
    </row>
    <row r="786" spans="23:24" x14ac:dyDescent="0.25">
      <c r="W786" t="str">
        <f>mapPRC!A858</f>
        <v>XPWRBIG</v>
      </c>
      <c r="X786" t="str">
        <f>IFERROR(INDEX($AS$7:$AS$88,MATCH(mapPRC!C858,$AR$7:$AR$88,0)),"")</f>
        <v/>
      </c>
    </row>
    <row r="787" spans="23:24" x14ac:dyDescent="0.25">
      <c r="W787" t="str">
        <f>mapPRC!A859</f>
        <v>XPWRBIO</v>
      </c>
      <c r="X787" t="str">
        <f>IFERROR(INDEX($AS$7:$AS$88,MATCH(mapPRC!C859,$AR$7:$AR$88,0)),"")</f>
        <v/>
      </c>
    </row>
    <row r="788" spans="23:24" x14ac:dyDescent="0.25">
      <c r="W788" t="str">
        <f>mapPRC!A860</f>
        <v>XPWRBIW</v>
      </c>
      <c r="X788" t="str">
        <f>IFERROR(INDEX($AS$7:$AS$88,MATCH(mapPRC!C860,$AR$7:$AR$88,0)),"")</f>
        <v/>
      </c>
    </row>
    <row r="789" spans="23:24" x14ac:dyDescent="0.25">
      <c r="W789" t="str">
        <f>mapPRC!A861</f>
        <v>XPWRCLD</v>
      </c>
      <c r="X789" t="str">
        <f>IFERROR(INDEX($AS$7:$AS$88,MATCH(mapPRC!C861,$AR$7:$AR$88,0)),"")</f>
        <v/>
      </c>
    </row>
    <row r="790" spans="23:24" x14ac:dyDescent="0.25">
      <c r="W790" t="str">
        <f>mapPRC!A862</f>
        <v>XPWRCLE</v>
      </c>
      <c r="X790" t="str">
        <f>IFERROR(INDEX($AS$7:$AS$88,MATCH(mapPRC!C862,$AR$7:$AR$88,0)),"")</f>
        <v/>
      </c>
    </row>
    <row r="791" spans="23:24" x14ac:dyDescent="0.25">
      <c r="W791" t="str">
        <f>mapPRC!A863</f>
        <v>XPWRCLE-A</v>
      </c>
      <c r="X791" t="str">
        <f>IFERROR(INDEX($AS$7:$AS$88,MATCH(mapPRC!C863,$AR$7:$AR$88,0)),"")</f>
        <v/>
      </c>
    </row>
    <row r="792" spans="23:24" x14ac:dyDescent="0.25">
      <c r="W792" t="str">
        <f>mapPRC!A864</f>
        <v>XPWRCLEC</v>
      </c>
      <c r="X792" t="str">
        <f>IFERROR(INDEX($AS$7:$AS$88,MATCH(mapPRC!C864,$AR$7:$AR$88,0)),"")</f>
        <v/>
      </c>
    </row>
    <row r="793" spans="23:24" x14ac:dyDescent="0.25">
      <c r="W793" t="str">
        <f>mapPRC!A865</f>
        <v>XPWRCLEC-A</v>
      </c>
      <c r="X793" t="str">
        <f>IFERROR(INDEX($AS$7:$AS$88,MATCH(mapPRC!C865,$AR$7:$AR$88,0)),"")</f>
        <v/>
      </c>
    </row>
    <row r="794" spans="23:24" x14ac:dyDescent="0.25">
      <c r="W794" t="str">
        <f>mapPRC!A866</f>
        <v>XPWRCRB</v>
      </c>
      <c r="X794" t="str">
        <f>IFERROR(INDEX($AS$7:$AS$88,MATCH(mapPRC!C866,$AR$7:$AR$88,0)),"")</f>
        <v/>
      </c>
    </row>
    <row r="795" spans="23:24" x14ac:dyDescent="0.25">
      <c r="W795" t="str">
        <f>mapPRC!A867</f>
        <v>XPWRGAS</v>
      </c>
      <c r="X795" t="str">
        <f>IFERROR(INDEX($AS$7:$AS$88,MATCH(mapPRC!C867,$AR$7:$AR$88,0)),"")</f>
        <v/>
      </c>
    </row>
    <row r="796" spans="23:24" x14ac:dyDescent="0.25">
      <c r="W796" t="str">
        <f>mapPRC!A868</f>
        <v>XPWRGIC</v>
      </c>
      <c r="X796" t="str">
        <f>IFERROR(INDEX($AS$7:$AS$88,MATCH(mapPRC!C868,$AR$7:$AR$88,0)),"")</f>
        <v/>
      </c>
    </row>
    <row r="797" spans="23:24" x14ac:dyDescent="0.25">
      <c r="W797" t="str">
        <f>mapPRC!A869</f>
        <v>XPWRGIH</v>
      </c>
      <c r="X797" t="str">
        <f>IFERROR(INDEX($AS$7:$AS$88,MATCH(mapPRC!C869,$AR$7:$AR$88,0)),"")</f>
        <v/>
      </c>
    </row>
    <row r="798" spans="23:24" x14ac:dyDescent="0.25">
      <c r="W798" t="str">
        <f>mapPRC!A870</f>
        <v>XPWRGRM</v>
      </c>
      <c r="X798" t="str">
        <f>IFERROR(INDEX($AS$7:$AS$88,MATCH(mapPRC!C870,$AR$7:$AR$88,0)),"")</f>
        <v/>
      </c>
    </row>
    <row r="799" spans="23:24" x14ac:dyDescent="0.25">
      <c r="W799" t="str">
        <f>mapPRC!A871</f>
        <v>XPWRGRN</v>
      </c>
      <c r="X799" t="str">
        <f>IFERROR(INDEX($AS$7:$AS$88,MATCH(mapPRC!C871,$AR$7:$AR$88,0)),"")</f>
        <v/>
      </c>
    </row>
    <row r="800" spans="23:24" x14ac:dyDescent="0.25">
      <c r="W800" t="str">
        <f>mapPRC!A872</f>
        <v>XPWRGRS</v>
      </c>
      <c r="X800" t="str">
        <f>IFERROR(INDEX($AS$7:$AS$88,MATCH(mapPRC!C872,$AR$7:$AR$88,0)),"")</f>
        <v/>
      </c>
    </row>
    <row r="801" spans="23:24" x14ac:dyDescent="0.25">
      <c r="W801" t="str">
        <f>mapPRC!A873</f>
        <v>XPWRHYD</v>
      </c>
      <c r="X801" t="str">
        <f>IFERROR(INDEX($AS$7:$AS$88,MATCH(mapPRC!C873,$AR$7:$AR$88,0)),"")</f>
        <v/>
      </c>
    </row>
    <row r="802" spans="23:24" x14ac:dyDescent="0.25">
      <c r="W802" t="str">
        <f>mapPRC!A874</f>
        <v>XPWRNUC</v>
      </c>
      <c r="X802" t="str">
        <f>IFERROR(INDEX($AS$7:$AS$88,MATCH(mapPRC!C874,$AR$7:$AR$88,0)),"")</f>
        <v/>
      </c>
    </row>
    <row r="803" spans="23:24" x14ac:dyDescent="0.25">
      <c r="W803" t="str">
        <f>mapPRC!A875</f>
        <v>XPWRODS</v>
      </c>
      <c r="X803" t="str">
        <f>IFERROR(INDEX($AS$7:$AS$88,MATCH(mapPRC!C875,$AR$7:$AR$88,0)),"")</f>
        <v/>
      </c>
    </row>
    <row r="804" spans="23:24" x14ac:dyDescent="0.25">
      <c r="W804" t="str">
        <f>mapPRC!A876</f>
        <v>XPWRSOL</v>
      </c>
      <c r="X804" t="str">
        <f>IFERROR(INDEX($AS$7:$AS$88,MATCH(mapPRC!C876,$AR$7:$AR$88,0)),"")</f>
        <v/>
      </c>
    </row>
    <row r="805" spans="23:24" x14ac:dyDescent="0.25">
      <c r="W805" t="str">
        <f>mapPRC!A877</f>
        <v>XPWRWND</v>
      </c>
      <c r="X805" t="str">
        <f>IFERROR(INDEX($AS$7:$AS$88,MATCH(mapPRC!C877,$AR$7:$AR$88,0)),"")</f>
        <v/>
      </c>
    </row>
    <row r="806" spans="23:24" x14ac:dyDescent="0.25">
      <c r="W806" t="str">
        <f>mapPRC!A878</f>
        <v>XRESBIW</v>
      </c>
      <c r="X806" t="str">
        <f>IFERROR(INDEX($AS$7:$AS$88,MATCH(mapPRC!C878,$AR$7:$AR$88,0)),"")</f>
        <v/>
      </c>
    </row>
    <row r="807" spans="23:24" x14ac:dyDescent="0.25">
      <c r="W807" t="str">
        <f>mapPRC!A879</f>
        <v>XRESCOA</v>
      </c>
      <c r="X807" t="str">
        <f>IFERROR(INDEX($AS$7:$AS$88,MATCH(mapPRC!C879,$AR$7:$AR$88,0)),"")</f>
        <v/>
      </c>
    </row>
    <row r="808" spans="23:24" x14ac:dyDescent="0.25">
      <c r="W808" t="str">
        <f>mapPRC!A880</f>
        <v>XRESELC</v>
      </c>
      <c r="X808" t="str">
        <f>IFERROR(INDEX($AS$7:$AS$88,MATCH(mapPRC!C880,$AR$7:$AR$88,0)),"")</f>
        <v>elec</v>
      </c>
    </row>
    <row r="809" spans="23:24" x14ac:dyDescent="0.25">
      <c r="W809" t="str">
        <f>mapPRC!A881</f>
        <v>XRESGAS</v>
      </c>
      <c r="X809" t="str">
        <f>IFERROR(INDEX($AS$7:$AS$88,MATCH(mapPRC!C881,$AR$7:$AR$88,0)),"")</f>
        <v/>
      </c>
    </row>
    <row r="810" spans="23:24" x14ac:dyDescent="0.25">
      <c r="W810" t="str">
        <f>mapPRC!A882</f>
        <v>XRESOKE</v>
      </c>
      <c r="X810" t="str">
        <f>IFERROR(INDEX($AS$7:$AS$88,MATCH(mapPRC!C882,$AR$7:$AR$88,0)),"")</f>
        <v/>
      </c>
    </row>
    <row r="811" spans="23:24" x14ac:dyDescent="0.25">
      <c r="W811" t="str">
        <f>mapPRC!A883</f>
        <v>XRESOLP</v>
      </c>
      <c r="X811" t="str">
        <f>IFERROR(INDEX($AS$7:$AS$88,MATCH(mapPRC!C883,$AR$7:$AR$88,0)),"")</f>
        <v/>
      </c>
    </row>
    <row r="812" spans="23:24" x14ac:dyDescent="0.25">
      <c r="W812" t="str">
        <f>mapPRC!A884</f>
        <v>XTRABGS</v>
      </c>
      <c r="X812" t="str">
        <f>IFERROR(INDEX($AS$7:$AS$88,MATCH(mapPRC!C884,$AR$7:$AR$88,0)),"")</f>
        <v/>
      </c>
    </row>
    <row r="813" spans="23:24" x14ac:dyDescent="0.25">
      <c r="W813" t="str">
        <f>mapPRC!A885</f>
        <v>XTRABID</v>
      </c>
      <c r="X813" t="str">
        <f>IFERROR(INDEX($AS$7:$AS$88,MATCH(mapPRC!C885,$AR$7:$AR$88,0)),"")</f>
        <v/>
      </c>
    </row>
    <row r="814" spans="23:24" x14ac:dyDescent="0.25">
      <c r="W814" t="str">
        <f>mapPRC!A886</f>
        <v>XTRABIE</v>
      </c>
      <c r="X814" t="str">
        <f>IFERROR(INDEX($AS$7:$AS$88,MATCH(mapPRC!C886,$AR$7:$AR$88,0)),"")</f>
        <v/>
      </c>
    </row>
    <row r="815" spans="23:24" x14ac:dyDescent="0.25">
      <c r="W815" t="str">
        <f>mapPRC!A887</f>
        <v>XTRAELC</v>
      </c>
      <c r="X815" t="str">
        <f>IFERROR(INDEX($AS$7:$AS$88,MATCH(mapPRC!C887,$AR$7:$AR$88,0)),"")</f>
        <v>elec</v>
      </c>
    </row>
    <row r="816" spans="23:24" x14ac:dyDescent="0.25">
      <c r="W816" t="str">
        <f>mapPRC!A888</f>
        <v>XTRAEVF</v>
      </c>
      <c r="X816" t="str">
        <f>IFERROR(INDEX($AS$7:$AS$88,MATCH(mapPRC!C888,$AR$7:$AR$88,0)),"")</f>
        <v/>
      </c>
    </row>
    <row r="817" spans="23:24" x14ac:dyDescent="0.25">
      <c r="W817" t="str">
        <f>mapPRC!A889</f>
        <v>XTRAEVP</v>
      </c>
      <c r="X817" t="str">
        <f>IFERROR(INDEX($AS$7:$AS$88,MATCH(mapPRC!C889,$AR$7:$AR$88,0)),"")</f>
        <v/>
      </c>
    </row>
    <row r="818" spans="23:24" x14ac:dyDescent="0.25">
      <c r="W818" t="str">
        <f>mapPRC!A890</f>
        <v>XTRAGAS</v>
      </c>
      <c r="X818" t="str">
        <f>IFERROR(INDEX($AS$7:$AS$88,MATCH(mapPRC!C890,$AR$7:$AR$88,0)),"")</f>
        <v/>
      </c>
    </row>
    <row r="819" spans="23:24" x14ac:dyDescent="0.25">
      <c r="W819" t="str">
        <f>mapPRC!A891</f>
        <v>XTRAHGN</v>
      </c>
      <c r="X819" t="str">
        <f>IFERROR(INDEX($AS$7:$AS$88,MATCH(mapPRC!C891,$AR$7:$AR$88,0)),"")</f>
        <v/>
      </c>
    </row>
    <row r="820" spans="23:24" x14ac:dyDescent="0.25">
      <c r="W820" t="str">
        <f>mapPRC!A892</f>
        <v>XTRAOAG</v>
      </c>
      <c r="X820" t="str">
        <f>IFERROR(INDEX($AS$7:$AS$88,MATCH(mapPRC!C892,$AR$7:$AR$88,0)),"")</f>
        <v/>
      </c>
    </row>
    <row r="821" spans="23:24" x14ac:dyDescent="0.25">
      <c r="W821" t="str">
        <f>mapPRC!A893</f>
        <v>XTRAODS</v>
      </c>
      <c r="X821" t="str">
        <f>IFERROR(INDEX($AS$7:$AS$88,MATCH(mapPRC!C893,$AR$7:$AR$88,0)),"")</f>
        <v/>
      </c>
    </row>
    <row r="822" spans="23:24" x14ac:dyDescent="0.25">
      <c r="W822" t="str">
        <f>mapPRC!A894</f>
        <v>XTRAOGS</v>
      </c>
      <c r="X822" t="str">
        <f>IFERROR(INDEX($AS$7:$AS$88,MATCH(mapPRC!C894,$AR$7:$AR$88,0)),"")</f>
        <v/>
      </c>
    </row>
    <row r="823" spans="23:24" x14ac:dyDescent="0.25">
      <c r="W823" t="str">
        <f>mapPRC!A895</f>
        <v>XTRAOHF</v>
      </c>
      <c r="X823" t="str">
        <f>IFERROR(INDEX($AS$7:$AS$88,MATCH(mapPRC!C895,$AR$7:$AR$88,0)),"")</f>
        <v/>
      </c>
    </row>
    <row r="824" spans="23:24" x14ac:dyDescent="0.25">
      <c r="W824" t="str">
        <f>mapPRC!A896</f>
        <v>XTRAOKE</v>
      </c>
      <c r="X824" t="str">
        <f>IFERROR(INDEX($AS$7:$AS$88,MATCH(mapPRC!C896,$AR$7:$AR$88,0)),"")</f>
        <v/>
      </c>
    </row>
    <row r="825" spans="23:24" x14ac:dyDescent="0.25">
      <c r="W825" t="str">
        <f>mapPRC!A897</f>
        <v>XUPSBID</v>
      </c>
      <c r="X825" t="str">
        <f>IFERROR(INDEX($AS$7:$AS$88,MATCH(mapPRC!C897,$AR$7:$AR$88,0)),"")</f>
        <v/>
      </c>
    </row>
    <row r="826" spans="23:24" x14ac:dyDescent="0.25">
      <c r="W826" t="str">
        <f>mapPRC!A898</f>
        <v>XUPSBIE</v>
      </c>
      <c r="X826" t="str">
        <f>IFERROR(INDEX($AS$7:$AS$88,MATCH(mapPRC!C898,$AR$7:$AR$88,0)),"")</f>
        <v/>
      </c>
    </row>
    <row r="827" spans="23:24" x14ac:dyDescent="0.25">
      <c r="W827" t="str">
        <f>mapPRC!A899</f>
        <v>XUPSCLE</v>
      </c>
      <c r="X827" t="str">
        <f>IFERROR(INDEX($AS$7:$AS$88,MATCH(mapPRC!C899,$AR$7:$AR$88,0)),"")</f>
        <v/>
      </c>
    </row>
    <row r="828" spans="23:24" x14ac:dyDescent="0.25">
      <c r="W828" t="str">
        <f>mapPRC!A900</f>
        <v>XUPSCLE-S</v>
      </c>
      <c r="X828" t="str">
        <f>IFERROR(INDEX($AS$7:$AS$88,MATCH(mapPRC!C900,$AR$7:$AR$88,0)),"")</f>
        <v/>
      </c>
    </row>
    <row r="829" spans="23:24" x14ac:dyDescent="0.25">
      <c r="W829" t="str">
        <f>mapPRC!A901</f>
        <v>XUPSELC</v>
      </c>
      <c r="X829" t="str">
        <f>IFERROR(INDEX($AS$7:$AS$88,MATCH(mapPRC!C901,$AR$7:$AR$88,0)),"")</f>
        <v>elec</v>
      </c>
    </row>
    <row r="830" spans="23:24" x14ac:dyDescent="0.25">
      <c r="W830" t="str">
        <f>mapPRC!A902</f>
        <v>XUPSGAS</v>
      </c>
      <c r="X830" t="str">
        <f>IFERROR(INDEX($AS$7:$AS$88,MATCH(mapPRC!C902,$AR$7:$AR$88,0)),"")</f>
        <v/>
      </c>
    </row>
    <row r="831" spans="23:24" x14ac:dyDescent="0.25">
      <c r="W831" t="str">
        <f>mapPRC!A903</f>
        <v>XUPSGIC</v>
      </c>
      <c r="X831" t="str">
        <f>IFERROR(INDEX($AS$7:$AS$88,MATCH(mapPRC!C903,$AR$7:$AR$88,0)),"")</f>
        <v/>
      </c>
    </row>
    <row r="832" spans="23:24" x14ac:dyDescent="0.25">
      <c r="W832" t="str">
        <f>mapPRC!A904</f>
        <v>XUPSHEE</v>
      </c>
      <c r="X832" t="str">
        <f>IFERROR(INDEX($AS$7:$AS$88,MATCH(mapPRC!C904,$AR$7:$AR$88,0)),"")</f>
        <v/>
      </c>
    </row>
    <row r="833" spans="23:24" x14ac:dyDescent="0.25">
      <c r="W833" t="str">
        <f>mapPRC!A905</f>
        <v>XUPSHEN</v>
      </c>
      <c r="X833" t="str">
        <f>IFERROR(INDEX($AS$7:$AS$88,MATCH(mapPRC!C905,$AR$7:$AR$88,0)),"")</f>
        <v/>
      </c>
    </row>
    <row r="834" spans="23:24" x14ac:dyDescent="0.25">
      <c r="W834" t="str">
        <f>mapPRC!A906</f>
        <v>XUPSOCR</v>
      </c>
      <c r="X834" t="str">
        <f>IFERROR(INDEX($AS$7:$AS$88,MATCH(mapPRC!C906,$AR$7:$AR$88,0)),"")</f>
        <v/>
      </c>
    </row>
    <row r="835" spans="23:24" x14ac:dyDescent="0.25">
      <c r="W835" t="str">
        <f>mapPRC!A907</f>
        <v>XUPSOHF</v>
      </c>
      <c r="X835" t="str">
        <f>IFERROR(INDEX($AS$7:$AS$88,MATCH(mapPRC!C907,$AR$7:$AR$88,0)),"")</f>
        <v/>
      </c>
    </row>
    <row r="836" spans="23:24" x14ac:dyDescent="0.25">
      <c r="W836" t="str">
        <f>mapPRC!A908</f>
        <v>ZZBKELCC</v>
      </c>
      <c r="X836" t="str">
        <f>IFERROR(INDEX($AS$7:$AS$88,MATCH(mapPRC!C908,$AR$7:$AR$88,0)),"")</f>
        <v/>
      </c>
    </row>
    <row r="837" spans="23:24" x14ac:dyDescent="0.25">
      <c r="W837" t="str">
        <f>mapPRC!A909</f>
        <v>ZZBKNRG</v>
      </c>
      <c r="X837" t="str">
        <f>IFERROR(INDEX($AS$7:$AS$88,MATCH(mapPRC!C909,$AR$7:$AR$88,0)),"")</f>
        <v/>
      </c>
    </row>
    <row r="838" spans="23:24" x14ac:dyDescent="0.25">
      <c r="W838" t="str">
        <f>mapPRC!A910</f>
        <v>ZZCOMCEC</v>
      </c>
      <c r="X838" t="str">
        <f>IFERROR(INDEX($AS$7:$AS$88,MATCH(mapPRC!C910,$AR$7:$AR$88,0)),"")</f>
        <v/>
      </c>
    </row>
    <row r="839" spans="23:24" x14ac:dyDescent="0.25">
      <c r="W839" t="str">
        <f>mapPRC!A911</f>
        <v>ZZCOMCEG</v>
      </c>
      <c r="X839" t="str">
        <f>IFERROR(INDEX($AS$7:$AS$88,MATCH(mapPRC!C911,$AR$7:$AR$88,0)),"")</f>
        <v/>
      </c>
    </row>
    <row r="840" spans="23:24" x14ac:dyDescent="0.25">
      <c r="W840" t="str">
        <f>mapPRC!A912</f>
        <v>ZZCOMCEH</v>
      </c>
      <c r="X840" t="str">
        <f>IFERROR(INDEX($AS$7:$AS$88,MATCH(mapPRC!C912,$AR$7:$AR$88,0)),"")</f>
        <v/>
      </c>
    </row>
    <row r="841" spans="23:24" x14ac:dyDescent="0.25">
      <c r="W841" t="str">
        <f>mapPRC!A913</f>
        <v>ZZCOMCEK</v>
      </c>
      <c r="X841" t="str">
        <f>IFERROR(INDEX($AS$7:$AS$88,MATCH(mapPRC!C913,$AR$7:$AR$88,0)),"")</f>
        <v/>
      </c>
    </row>
    <row r="842" spans="23:24" x14ac:dyDescent="0.25">
      <c r="W842" t="str">
        <f>mapPRC!A914</f>
        <v>ZZCOMCEL</v>
      </c>
      <c r="X842" t="str">
        <f>IFERROR(INDEX($AS$7:$AS$88,MATCH(mapPRC!C914,$AR$7:$AR$88,0)),"")</f>
        <v/>
      </c>
    </row>
    <row r="843" spans="23:24" x14ac:dyDescent="0.25">
      <c r="W843" t="str">
        <f>mapPRC!A915</f>
        <v>ZZCOMCEO</v>
      </c>
      <c r="X843" t="str">
        <f>IFERROR(INDEX($AS$7:$AS$88,MATCH(mapPRC!C915,$AR$7:$AR$88,0)),"")</f>
        <v/>
      </c>
    </row>
    <row r="844" spans="23:24" x14ac:dyDescent="0.25">
      <c r="W844" t="str">
        <f>mapPRC!A916</f>
        <v>ZZCOMCER</v>
      </c>
      <c r="X844" t="str">
        <f>IFERROR(INDEX($AS$7:$AS$88,MATCH(mapPRC!C916,$AR$7:$AR$88,0)),"")</f>
        <v/>
      </c>
    </row>
    <row r="845" spans="23:24" x14ac:dyDescent="0.25">
      <c r="W845" t="str">
        <f>mapPRC!A917</f>
        <v>ZZCOMCET</v>
      </c>
      <c r="X845" t="str">
        <f>IFERROR(INDEX($AS$7:$AS$88,MATCH(mapPRC!C917,$AR$7:$AR$88,0)),"")</f>
        <v/>
      </c>
    </row>
    <row r="846" spans="23:24" x14ac:dyDescent="0.25">
      <c r="W846" t="str">
        <f>mapPRC!A918</f>
        <v>ZZCOMCEW</v>
      </c>
      <c r="X846" t="str">
        <f>IFERROR(INDEX($AS$7:$AS$88,MATCH(mapPRC!C918,$AR$7:$AR$88,0)),"")</f>
        <v/>
      </c>
    </row>
    <row r="847" spans="23:24" x14ac:dyDescent="0.25">
      <c r="W847" t="str">
        <f>mapPRC!A919</f>
        <v>ZZRHEH</v>
      </c>
      <c r="X847" t="str">
        <f>IFERROR(INDEX($AS$7:$AS$88,MATCH(mapPRC!C919,$AR$7:$AR$88,0)),"")</f>
        <v/>
      </c>
    </row>
    <row r="848" spans="23:24" x14ac:dyDescent="0.25">
      <c r="W848" t="str">
        <f>mapPRC!A920</f>
        <v>ZZRHEK</v>
      </c>
      <c r="X848" t="str">
        <f>IFERROR(INDEX($AS$7:$AS$88,MATCH(mapPRC!C920,$AR$7:$AR$88,0)),"")</f>
        <v/>
      </c>
    </row>
    <row r="849" spans="23:24" x14ac:dyDescent="0.25">
      <c r="W849" t="str">
        <f>mapPRC!A921</f>
        <v>ZZRHEL</v>
      </c>
      <c r="X849" t="str">
        <f>IFERROR(INDEX($AS$7:$AS$88,MATCH(mapPRC!C921,$AR$7:$AR$88,0)),"")</f>
        <v/>
      </c>
    </row>
    <row r="850" spans="23:24" x14ac:dyDescent="0.25">
      <c r="W850" t="str">
        <f>mapPRC!A922</f>
        <v>ZZRHEN</v>
      </c>
      <c r="X850" t="str">
        <f>IFERROR(INDEX($AS$7:$AS$88,MATCH(mapPRC!C922,$AR$7:$AR$88,0)),"")</f>
        <v/>
      </c>
    </row>
    <row r="851" spans="23:24" x14ac:dyDescent="0.25">
      <c r="W851" t="str">
        <f>mapPRC!A923</f>
        <v>ZZRHEO</v>
      </c>
      <c r="X851" t="str">
        <f>IFERROR(INDEX($AS$7:$AS$88,MATCH(mapPRC!C923,$AR$7:$AR$88,0)),"")</f>
        <v/>
      </c>
    </row>
    <row r="852" spans="23:24" x14ac:dyDescent="0.25">
      <c r="W852" t="str">
        <f>mapPRC!A924</f>
        <v>ZZRHER</v>
      </c>
      <c r="X852" t="str">
        <f>IFERROR(INDEX($AS$7:$AS$88,MATCH(mapPRC!C924,$AR$7:$AR$88,0)),"")</f>
        <v/>
      </c>
    </row>
    <row r="853" spans="23:24" x14ac:dyDescent="0.25">
      <c r="W853" t="str">
        <f>mapPRC!A925</f>
        <v>ZZRHEW</v>
      </c>
      <c r="X853" t="str">
        <f>IFERROR(INDEX($AS$7:$AS$88,MATCH(mapPRC!C925,$AR$7:$AR$88,0)),"")</f>
        <v/>
      </c>
    </row>
    <row r="854" spans="23:24" x14ac:dyDescent="0.25">
      <c r="W854" t="str">
        <f>mapPRC!A926</f>
        <v>ZZRHEWG</v>
      </c>
      <c r="X854" t="str">
        <f>IFERROR(INDEX($AS$7:$AS$88,MATCH(mapPRC!C926,$AR$7:$AR$88,0)),"")</f>
        <v/>
      </c>
    </row>
    <row r="855" spans="23:24" x14ac:dyDescent="0.25">
      <c r="W855" t="str">
        <f>mapPRC!A927</f>
        <v>ZZRLEH</v>
      </c>
      <c r="X855" t="str">
        <f>IFERROR(INDEX($AS$7:$AS$88,MATCH(mapPRC!C927,$AR$7:$AR$88,0)),"")</f>
        <v/>
      </c>
    </row>
    <row r="856" spans="23:24" x14ac:dyDescent="0.25">
      <c r="W856" t="str">
        <f>mapPRC!A928</f>
        <v>ZZRLEK</v>
      </c>
      <c r="X856" t="str">
        <f>IFERROR(INDEX($AS$7:$AS$88,MATCH(mapPRC!C928,$AR$7:$AR$88,0)),"")</f>
        <v/>
      </c>
    </row>
    <row r="857" spans="23:24" x14ac:dyDescent="0.25">
      <c r="W857" t="str">
        <f>mapPRC!A929</f>
        <v>ZZRLEL</v>
      </c>
      <c r="X857" t="str">
        <f>IFERROR(INDEX($AS$7:$AS$88,MATCH(mapPRC!C929,$AR$7:$AR$88,0)),"")</f>
        <v/>
      </c>
    </row>
    <row r="858" spans="23:24" x14ac:dyDescent="0.25">
      <c r="W858" t="str">
        <f>mapPRC!A930</f>
        <v>ZZRLEN</v>
      </c>
      <c r="X858" t="str">
        <f>IFERROR(INDEX($AS$7:$AS$88,MATCH(mapPRC!C930,$AR$7:$AR$88,0)),"")</f>
        <v/>
      </c>
    </row>
    <row r="859" spans="23:24" x14ac:dyDescent="0.25">
      <c r="W859" t="str">
        <f>mapPRC!A931</f>
        <v>ZZRLEO</v>
      </c>
      <c r="X859" t="str">
        <f>IFERROR(INDEX($AS$7:$AS$88,MATCH(mapPRC!C931,$AR$7:$AR$88,0)),"")</f>
        <v/>
      </c>
    </row>
    <row r="860" spans="23:24" x14ac:dyDescent="0.25">
      <c r="W860" t="str">
        <f>mapPRC!A932</f>
        <v>ZZRLER</v>
      </c>
      <c r="X860" t="str">
        <f>IFERROR(INDEX($AS$7:$AS$88,MATCH(mapPRC!C932,$AR$7:$AR$88,0)),"")</f>
        <v/>
      </c>
    </row>
    <row r="861" spans="23:24" x14ac:dyDescent="0.25">
      <c r="W861" t="str">
        <f>mapPRC!A933</f>
        <v>ZZRLEW</v>
      </c>
      <c r="X861" t="str">
        <f>IFERROR(INDEX($AS$7:$AS$88,MATCH(mapPRC!C933,$AR$7:$AR$88,0)),"")</f>
        <v/>
      </c>
    </row>
    <row r="862" spans="23:24" x14ac:dyDescent="0.25">
      <c r="W862" t="str">
        <f>mapPRC!A934</f>
        <v>ZZRLEWG</v>
      </c>
      <c r="X862" t="str">
        <f>IFERROR(INDEX($AS$7:$AS$88,MATCH(mapPRC!C934,$AR$7:$AR$88,0)),"")</f>
        <v/>
      </c>
    </row>
    <row r="863" spans="23:24" x14ac:dyDescent="0.25">
      <c r="W863" t="str">
        <f>mapPRC!A935</f>
        <v>ZZRLNH</v>
      </c>
      <c r="X863" t="str">
        <f>IFERROR(INDEX($AS$7:$AS$88,MATCH(mapPRC!C935,$AR$7:$AR$88,0)),"")</f>
        <v/>
      </c>
    </row>
    <row r="864" spans="23:24" x14ac:dyDescent="0.25">
      <c r="W864" t="str">
        <f>mapPRC!A936</f>
        <v>ZZRLNK</v>
      </c>
      <c r="X864" t="str">
        <f>IFERROR(INDEX($AS$7:$AS$88,MATCH(mapPRC!C936,$AR$7:$AR$88,0)),"")</f>
        <v/>
      </c>
    </row>
    <row r="865" spans="23:24" x14ac:dyDescent="0.25">
      <c r="W865" t="str">
        <f>mapPRC!A937</f>
        <v>ZZRLNL</v>
      </c>
      <c r="X865" t="str">
        <f>IFERROR(INDEX($AS$7:$AS$88,MATCH(mapPRC!C937,$AR$7:$AR$88,0)),"")</f>
        <v/>
      </c>
    </row>
    <row r="866" spans="23:24" x14ac:dyDescent="0.25">
      <c r="W866" t="str">
        <f>mapPRC!A938</f>
        <v>ZZRLNN</v>
      </c>
      <c r="X866" t="str">
        <f>IFERROR(INDEX($AS$7:$AS$88,MATCH(mapPRC!C938,$AR$7:$AR$88,0)),"")</f>
        <v/>
      </c>
    </row>
    <row r="867" spans="23:24" x14ac:dyDescent="0.25">
      <c r="W867" t="str">
        <f>mapPRC!A939</f>
        <v>ZZRLNW</v>
      </c>
      <c r="X867" t="str">
        <f>IFERROR(INDEX($AS$7:$AS$88,MATCH(mapPRC!C939,$AR$7:$AR$88,0)),"")</f>
        <v/>
      </c>
    </row>
    <row r="868" spans="23:24" x14ac:dyDescent="0.25">
      <c r="W868" t="str">
        <f>mapPRC!A940</f>
        <v>ZZRMEH</v>
      </c>
      <c r="X868" t="str">
        <f>IFERROR(INDEX($AS$7:$AS$88,MATCH(mapPRC!C940,$AR$7:$AR$88,0)),"")</f>
        <v/>
      </c>
    </row>
    <row r="869" spans="23:24" x14ac:dyDescent="0.25">
      <c r="W869" t="str">
        <f>mapPRC!A941</f>
        <v>ZZRMEK</v>
      </c>
      <c r="X869" t="str">
        <f>IFERROR(INDEX($AS$7:$AS$88,MATCH(mapPRC!C941,$AR$7:$AR$88,0)),"")</f>
        <v/>
      </c>
    </row>
    <row r="870" spans="23:24" x14ac:dyDescent="0.25">
      <c r="W870" t="str">
        <f>mapPRC!A942</f>
        <v>ZZRMEL</v>
      </c>
      <c r="X870" t="str">
        <f>IFERROR(INDEX($AS$7:$AS$88,MATCH(mapPRC!C942,$AR$7:$AR$88,0)),"")</f>
        <v/>
      </c>
    </row>
    <row r="871" spans="23:24" x14ac:dyDescent="0.25">
      <c r="W871" t="str">
        <f>mapPRC!A943</f>
        <v>ZZRMEN</v>
      </c>
      <c r="X871" t="str">
        <f>IFERROR(INDEX($AS$7:$AS$88,MATCH(mapPRC!C943,$AR$7:$AR$88,0)),"")</f>
        <v/>
      </c>
    </row>
    <row r="872" spans="23:24" x14ac:dyDescent="0.25">
      <c r="W872" t="str">
        <f>mapPRC!A944</f>
        <v>ZZRMEO</v>
      </c>
      <c r="X872" t="str">
        <f>IFERROR(INDEX($AS$7:$AS$88,MATCH(mapPRC!C944,$AR$7:$AR$88,0)),"")</f>
        <v/>
      </c>
    </row>
    <row r="873" spans="23:24" x14ac:dyDescent="0.25">
      <c r="W873" t="str">
        <f>mapPRC!A945</f>
        <v>ZZRMER</v>
      </c>
      <c r="X873" t="str">
        <f>IFERROR(INDEX($AS$7:$AS$88,MATCH(mapPRC!C945,$AR$7:$AR$88,0)),"")</f>
        <v/>
      </c>
    </row>
    <row r="874" spans="23:24" x14ac:dyDescent="0.25">
      <c r="W874" t="str">
        <f>mapPRC!A946</f>
        <v>ZZRMEW</v>
      </c>
      <c r="X874" t="str">
        <f>IFERROR(INDEX($AS$7:$AS$88,MATCH(mapPRC!C946,$AR$7:$AR$88,0)),"")</f>
        <v/>
      </c>
    </row>
    <row r="875" spans="23:24" x14ac:dyDescent="0.25">
      <c r="W875" t="str">
        <f>mapPRC!A947</f>
        <v>ZZRMEWG</v>
      </c>
      <c r="X875" t="str">
        <f>IFERROR(INDEX($AS$7:$AS$88,MATCH(mapPRC!C947,$AR$7:$AR$88,0)),"")</f>
        <v/>
      </c>
    </row>
    <row r="876" spans="23:24" x14ac:dyDescent="0.25">
      <c r="W876" t="str">
        <f>mapPRC!A948</f>
        <v>ZZRMNH</v>
      </c>
      <c r="X876" t="str">
        <f>IFERROR(INDEX($AS$7:$AS$88,MATCH(mapPRC!C948,$AR$7:$AR$88,0)),"")</f>
        <v/>
      </c>
    </row>
    <row r="877" spans="23:24" x14ac:dyDescent="0.25">
      <c r="W877" t="str">
        <f>mapPRC!A949</f>
        <v>ZZRMNK</v>
      </c>
      <c r="X877" t="str">
        <f>IFERROR(INDEX($AS$7:$AS$88,MATCH(mapPRC!C949,$AR$7:$AR$88,0)),"")</f>
        <v/>
      </c>
    </row>
    <row r="878" spans="23:24" x14ac:dyDescent="0.25">
      <c r="W878" t="str">
        <f>mapPRC!A950</f>
        <v>ZZRMNL</v>
      </c>
      <c r="X878" t="str">
        <f>IFERROR(INDEX($AS$7:$AS$88,MATCH(mapPRC!C950,$AR$7:$AR$88,0)),"")</f>
        <v/>
      </c>
    </row>
    <row r="879" spans="23:24" x14ac:dyDescent="0.25">
      <c r="W879" t="str">
        <f>mapPRC!A951</f>
        <v>ZZRMNN</v>
      </c>
      <c r="X879" t="str">
        <f>IFERROR(INDEX($AS$7:$AS$88,MATCH(mapPRC!C951,$AR$7:$AR$88,0)),"")</f>
        <v/>
      </c>
    </row>
    <row r="880" spans="23:24" x14ac:dyDescent="0.25">
      <c r="W880" t="str">
        <f>mapPRC!A952</f>
        <v>ZZRMNW</v>
      </c>
      <c r="X880" t="str">
        <f>IFERROR(INDEX($AS$7:$AS$88,MATCH(mapPRC!C952,$AR$7:$AR$88,0)),"")</f>
        <v/>
      </c>
    </row>
    <row r="881" spans="24:24" x14ac:dyDescent="0.25">
      <c r="X881" t="str">
        <f>IFERROR(INDEX($AS$7:$AS$88,MATCH(mapPRC!C953,$AR$7:$AR$88,0)),"")</f>
        <v/>
      </c>
    </row>
    <row r="882" spans="24:24" x14ac:dyDescent="0.25">
      <c r="X882" t="str">
        <f>IFERROR(INDEX($AS$7:$AS$88,MATCH(mapPRC!C954,$AR$7:$AR$88,0)),"")</f>
        <v/>
      </c>
    </row>
    <row r="883" spans="24:24" x14ac:dyDescent="0.25">
      <c r="X883" t="str">
        <f>IFERROR(INDEX($AS$7:$AS$88,MATCH(mapPRC!C955,$AR$7:$AR$88,0)),"")</f>
        <v/>
      </c>
    </row>
    <row r="884" spans="24:24" x14ac:dyDescent="0.25">
      <c r="X884" t="str">
        <f>IFERROR(INDEX($AS$7:$AS$88,MATCH(mapPRC!C956,$AR$7:$AR$88,0)),"")</f>
        <v/>
      </c>
    </row>
    <row r="885" spans="24:24" x14ac:dyDescent="0.25">
      <c r="X885" t="str">
        <f>IFERROR(INDEX($AS$7:$AS$88,MATCH(mapPRC!C957,$AR$7:$AR$88,0)),"")</f>
        <v/>
      </c>
    </row>
    <row r="886" spans="24:24" x14ac:dyDescent="0.25">
      <c r="X886" t="str">
        <f>IFERROR(INDEX($AS$7:$AS$88,MATCH(mapPRC!C958,$AR$7:$AR$88,0)),"")</f>
        <v/>
      </c>
    </row>
    <row r="887" spans="24:24" x14ac:dyDescent="0.25">
      <c r="X887" t="str">
        <f>IFERROR(INDEX($AS$7:$AS$88,MATCH(mapPRC!C959,$AR$7:$AR$88,0)),"")</f>
        <v/>
      </c>
    </row>
    <row r="888" spans="24:24" x14ac:dyDescent="0.25">
      <c r="X888" t="str">
        <f>IFERROR(INDEX($AS$7:$AS$88,MATCH(mapPRC!C960,$AR$7:$AR$88,0)),"")</f>
        <v/>
      </c>
    </row>
    <row r="889" spans="24:24" x14ac:dyDescent="0.25">
      <c r="X889" t="str">
        <f>IFERROR(INDEX($AS$7:$AS$88,MATCH(mapPRC!C961,$AR$7:$AR$88,0)),"")</f>
        <v/>
      </c>
    </row>
    <row r="890" spans="24:24" x14ac:dyDescent="0.25">
      <c r="X890" t="str">
        <f>IFERROR(INDEX($AS$7:$AS$88,MATCH(mapPRC!C962,$AR$7:$AR$88,0)),"")</f>
        <v/>
      </c>
    </row>
    <row r="891" spans="24:24" x14ac:dyDescent="0.25">
      <c r="X891" t="str">
        <f>IFERROR(INDEX($AS$7:$AS$88,MATCH(mapPRC!C963,$AR$7:$AR$88,0)),"")</f>
        <v/>
      </c>
    </row>
    <row r="892" spans="24:24" x14ac:dyDescent="0.25">
      <c r="X892" t="str">
        <f>IFERROR(INDEX($AS$7:$AS$88,MATCH(mapPRC!C964,$AR$7:$AR$88,0)),"")</f>
        <v/>
      </c>
    </row>
    <row r="893" spans="24:24" x14ac:dyDescent="0.25">
      <c r="X893" t="str">
        <f>IFERROR(INDEX($AS$7:$AS$88,MATCH(mapPRC!C965,$AR$7:$AR$88,0)),"")</f>
        <v/>
      </c>
    </row>
    <row r="894" spans="24:24" x14ac:dyDescent="0.25">
      <c r="X894" t="str">
        <f>IFERROR(INDEX($AS$7:$AS$88,MATCH(mapPRC!C966,$AR$7:$AR$88,0)),"")</f>
        <v/>
      </c>
    </row>
    <row r="895" spans="24:24" x14ac:dyDescent="0.25">
      <c r="X895" t="str">
        <f>IFERROR(INDEX($AS$7:$AS$88,MATCH(mapPRC!C967,$AR$7:$AR$88,0)),"")</f>
        <v/>
      </c>
    </row>
    <row r="896" spans="24:24" x14ac:dyDescent="0.25">
      <c r="X896" t="str">
        <f>IFERROR(INDEX($AS$7:$AS$88,MATCH(mapPRC!C968,$AR$7:$AR$88,0)),"")</f>
        <v/>
      </c>
    </row>
    <row r="897" spans="24:24" x14ac:dyDescent="0.25">
      <c r="X897" t="str">
        <f>IFERROR(INDEX($AS$7:$AS$88,MATCH(mapPRC!C969,$AR$7:$AR$88,0)),"")</f>
        <v/>
      </c>
    </row>
    <row r="898" spans="24:24" x14ac:dyDescent="0.25">
      <c r="X898" t="str">
        <f>IFERROR(INDEX($AS$7:$AS$88,MATCH(mapPRC!C970,$AR$7:$AR$88,0)),"")</f>
        <v/>
      </c>
    </row>
    <row r="899" spans="24:24" x14ac:dyDescent="0.25">
      <c r="X899" t="str">
        <f>IFERROR(INDEX($AS$7:$AS$88,MATCH(mapPRC!C971,$AR$7:$AR$88,0)),"")</f>
        <v/>
      </c>
    </row>
    <row r="900" spans="24:24" x14ac:dyDescent="0.25">
      <c r="X900" t="str">
        <f>IFERROR(INDEX($AS$7:$AS$88,MATCH(mapPRC!C972,$AR$7:$AR$88,0)),"")</f>
        <v/>
      </c>
    </row>
    <row r="901" spans="24:24" x14ac:dyDescent="0.25">
      <c r="X901" t="str">
        <f>IFERROR(INDEX($AS$7:$AS$88,MATCH(mapPRC!C973,$AR$7:$AR$88,0)),"")</f>
        <v/>
      </c>
    </row>
    <row r="902" spans="24:24" x14ac:dyDescent="0.25">
      <c r="X902" t="str">
        <f>IFERROR(INDEX($AS$7:$AS$88,MATCH(mapPRC!C974,$AR$7:$AR$88,0)),"")</f>
        <v/>
      </c>
    </row>
    <row r="903" spans="24:24" x14ac:dyDescent="0.25">
      <c r="X903" t="str">
        <f>IFERROR(INDEX($AS$7:$AS$88,MATCH(mapPRC!C975,$AR$7:$AR$88,0)),"")</f>
        <v/>
      </c>
    </row>
    <row r="904" spans="24:24" x14ac:dyDescent="0.25">
      <c r="X904" t="str">
        <f>IFERROR(INDEX($AS$7:$AS$88,MATCH(mapPRC!C976,$AR$7:$AR$88,0)),"")</f>
        <v/>
      </c>
    </row>
    <row r="905" spans="24:24" x14ac:dyDescent="0.25">
      <c r="X905" t="str">
        <f>IFERROR(INDEX($AS$7:$AS$88,MATCH(mapPRC!C977,$AR$7:$AR$88,0)),"")</f>
        <v/>
      </c>
    </row>
    <row r="906" spans="24:24" x14ac:dyDescent="0.25">
      <c r="X906" t="str">
        <f>IFERROR(INDEX($AS$7:$AS$88,MATCH(mapPRC!C978,$AR$7:$AR$88,0)),"")</f>
        <v/>
      </c>
    </row>
    <row r="907" spans="24:24" x14ac:dyDescent="0.25">
      <c r="X907" t="str">
        <f>IFERROR(INDEX($AS$7:$AS$88,MATCH(mapPRC!C979,$AR$7:$AR$88,0)),"")</f>
        <v/>
      </c>
    </row>
    <row r="908" spans="24:24" x14ac:dyDescent="0.25">
      <c r="X908" t="str">
        <f>IFERROR(INDEX($AS$7:$AS$88,MATCH(mapPRC!C980,$AR$7:$AR$88,0)),"")</f>
        <v/>
      </c>
    </row>
    <row r="909" spans="24:24" x14ac:dyDescent="0.25">
      <c r="X909" t="str">
        <f>IFERROR(INDEX($AS$7:$AS$88,MATCH(mapPRC!C981,$AR$7:$AR$88,0)),"")</f>
        <v/>
      </c>
    </row>
    <row r="910" spans="24:24" x14ac:dyDescent="0.25">
      <c r="X910" t="str">
        <f>IFERROR(INDEX($AS$7:$AS$88,MATCH(mapPRC!C982,$AR$7:$AR$88,0)),"")</f>
        <v/>
      </c>
    </row>
    <row r="911" spans="24:24" x14ac:dyDescent="0.25">
      <c r="X911" t="str">
        <f>IFERROR(INDEX($AS$7:$AS$88,MATCH(mapPRC!C983,$AR$7:$AR$88,0)),"")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Y64"/>
  <sheetViews>
    <sheetView topLeftCell="K1" workbookViewId="0">
      <selection activeCell="X5" sqref="X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5" x14ac:dyDescent="0.25">
      <c r="X5" s="2" t="s">
        <v>3432</v>
      </c>
    </row>
    <row r="6" spans="1:25" x14ac:dyDescent="0.25">
      <c r="A6" s="2" t="s">
        <v>3326</v>
      </c>
      <c r="G6" t="s">
        <v>3415</v>
      </c>
      <c r="H6" t="s">
        <v>2462</v>
      </c>
      <c r="I6" t="s">
        <v>3416</v>
      </c>
      <c r="K6" s="2" t="s">
        <v>3415</v>
      </c>
      <c r="L6" t="s">
        <v>2462</v>
      </c>
      <c r="M6" t="s">
        <v>3417</v>
      </c>
      <c r="X6" s="2" t="s">
        <v>2465</v>
      </c>
      <c r="Y6" s="2" t="s">
        <v>3431</v>
      </c>
    </row>
    <row r="7" spans="1:25" x14ac:dyDescent="0.25">
      <c r="B7" t="s">
        <v>3327</v>
      </c>
      <c r="C7" t="s">
        <v>3328</v>
      </c>
      <c r="G7" t="s">
        <v>520</v>
      </c>
      <c r="H7" t="s">
        <v>522</v>
      </c>
      <c r="I7">
        <f>[1]PTRA!$E$144</f>
        <v>25</v>
      </c>
      <c r="K7" t="s">
        <v>582</v>
      </c>
      <c r="L7" t="s">
        <v>601</v>
      </c>
      <c r="M7">
        <v>1</v>
      </c>
      <c r="Q7" t="s">
        <v>1912</v>
      </c>
      <c r="R7" t="s">
        <v>3418</v>
      </c>
      <c r="S7" t="s">
        <v>3419</v>
      </c>
      <c r="U7" s="4">
        <f>[1]FTRA!F63</f>
        <v>0.39784000000000003</v>
      </c>
      <c r="X7" t="s">
        <v>2407</v>
      </c>
      <c r="Y7">
        <v>27</v>
      </c>
    </row>
    <row r="8" spans="1:25" x14ac:dyDescent="0.25">
      <c r="A8" t="s">
        <v>2849</v>
      </c>
      <c r="B8">
        <v>0</v>
      </c>
      <c r="C8">
        <v>19200</v>
      </c>
      <c r="G8" t="s">
        <v>523</v>
      </c>
      <c r="H8" t="s">
        <v>525</v>
      </c>
      <c r="I8">
        <f>I7</f>
        <v>25</v>
      </c>
      <c r="K8" t="s">
        <v>582</v>
      </c>
      <c r="L8" t="s">
        <v>599</v>
      </c>
      <c r="M8">
        <v>1</v>
      </c>
      <c r="Q8" t="s">
        <v>1930</v>
      </c>
      <c r="R8" t="s">
        <v>3420</v>
      </c>
      <c r="S8" t="s">
        <v>3419</v>
      </c>
      <c r="U8" s="4">
        <f>[1]FTRA!F64</f>
        <v>1.4841</v>
      </c>
      <c r="X8" t="s">
        <v>2367</v>
      </c>
      <c r="Y8">
        <v>11</v>
      </c>
    </row>
    <row r="9" spans="1:25" x14ac:dyDescent="0.25">
      <c r="A9" t="s">
        <v>2851</v>
      </c>
      <c r="B9">
        <v>19200</v>
      </c>
      <c r="C9">
        <v>76800</v>
      </c>
      <c r="G9" t="s">
        <v>517</v>
      </c>
      <c r="H9" t="s">
        <v>519</v>
      </c>
      <c r="I9">
        <f t="shared" ref="I9:I11" si="0">I8</f>
        <v>25</v>
      </c>
      <c r="K9" t="s">
        <v>582</v>
      </c>
      <c r="L9" t="s">
        <v>597</v>
      </c>
      <c r="M9">
        <v>1</v>
      </c>
      <c r="Q9" t="s">
        <v>1928</v>
      </c>
      <c r="R9" t="s">
        <v>3421</v>
      </c>
      <c r="S9" t="s">
        <v>3419</v>
      </c>
      <c r="U9" s="4">
        <f>[1]FTRA!F65</f>
        <v>2.5009999999999999</v>
      </c>
      <c r="X9" t="s">
        <v>2365</v>
      </c>
      <c r="Y9">
        <v>21</v>
      </c>
    </row>
    <row r="10" spans="1:25" x14ac:dyDescent="0.25">
      <c r="A10" t="s">
        <v>2854</v>
      </c>
      <c r="B10">
        <v>76800</v>
      </c>
      <c r="G10" t="s">
        <v>514</v>
      </c>
      <c r="H10" t="s">
        <v>516</v>
      </c>
      <c r="I10">
        <f t="shared" si="0"/>
        <v>25</v>
      </c>
      <c r="K10" t="s">
        <v>582</v>
      </c>
      <c r="L10" t="s">
        <v>595</v>
      </c>
      <c r="M10">
        <v>1</v>
      </c>
      <c r="Q10" t="s">
        <v>1926</v>
      </c>
      <c r="R10" t="s">
        <v>3422</v>
      </c>
      <c r="S10" t="s">
        <v>3419</v>
      </c>
      <c r="U10" s="4">
        <f>[1]FTRA!F66</f>
        <v>5.0070955734014992</v>
      </c>
      <c r="X10" t="s">
        <v>2354</v>
      </c>
      <c r="Y10">
        <v>27</v>
      </c>
    </row>
    <row r="11" spans="1:25" x14ac:dyDescent="0.25">
      <c r="G11" t="s">
        <v>511</v>
      </c>
      <c r="H11" t="s">
        <v>513</v>
      </c>
      <c r="I11">
        <f t="shared" si="0"/>
        <v>25</v>
      </c>
      <c r="K11" t="s">
        <v>582</v>
      </c>
      <c r="L11" t="s">
        <v>593</v>
      </c>
      <c r="M11">
        <v>1</v>
      </c>
      <c r="Q11" t="s">
        <v>1924</v>
      </c>
      <c r="R11" t="s">
        <v>3423</v>
      </c>
      <c r="S11" t="s">
        <v>3419</v>
      </c>
      <c r="U11" s="4">
        <f>[1]FTRA!F67</f>
        <v>7.9193584801965402</v>
      </c>
      <c r="X11" t="s">
        <v>2352</v>
      </c>
      <c r="Y11">
        <v>30</v>
      </c>
    </row>
    <row r="12" spans="1:25" x14ac:dyDescent="0.25">
      <c r="G12" t="s">
        <v>505</v>
      </c>
      <c r="H12" t="s">
        <v>507</v>
      </c>
      <c r="I12">
        <f>[1]PTRA!$E$142</f>
        <v>25</v>
      </c>
      <c r="K12" t="s">
        <v>582</v>
      </c>
      <c r="L12" t="s">
        <v>592</v>
      </c>
      <c r="M12">
        <v>1</v>
      </c>
      <c r="Q12" t="s">
        <v>1922</v>
      </c>
      <c r="R12" t="s">
        <v>3424</v>
      </c>
      <c r="S12" t="s">
        <v>3419</v>
      </c>
      <c r="U12" s="4">
        <f>[1]FTRA!F68</f>
        <v>10.886935146339562</v>
      </c>
      <c r="X12" t="s">
        <v>2344</v>
      </c>
      <c r="Y12">
        <v>27</v>
      </c>
    </row>
    <row r="13" spans="1:25" x14ac:dyDescent="0.25">
      <c r="G13" t="s">
        <v>508</v>
      </c>
      <c r="H13" t="s">
        <v>510</v>
      </c>
      <c r="I13">
        <f>I12</f>
        <v>25</v>
      </c>
      <c r="K13" t="s">
        <v>582</v>
      </c>
      <c r="L13" t="s">
        <v>590</v>
      </c>
      <c r="M13">
        <v>1</v>
      </c>
      <c r="Q13" t="s">
        <v>1920</v>
      </c>
      <c r="R13" t="s">
        <v>3425</v>
      </c>
      <c r="S13" t="s">
        <v>3419</v>
      </c>
      <c r="U13" s="4">
        <f>[1]FTRA!F69</f>
        <v>19.520776457571557</v>
      </c>
      <c r="X13" t="s">
        <v>2318</v>
      </c>
      <c r="Y13">
        <v>24</v>
      </c>
    </row>
    <row r="14" spans="1:25" x14ac:dyDescent="0.25">
      <c r="G14" t="s">
        <v>502</v>
      </c>
      <c r="H14" t="s">
        <v>504</v>
      </c>
      <c r="I14">
        <f t="shared" ref="I14:I17" si="1">I13</f>
        <v>25</v>
      </c>
      <c r="K14" t="s">
        <v>582</v>
      </c>
      <c r="L14" t="s">
        <v>588</v>
      </c>
      <c r="M14">
        <v>1</v>
      </c>
      <c r="Q14" t="s">
        <v>1918</v>
      </c>
      <c r="R14" t="s">
        <v>3426</v>
      </c>
      <c r="S14" t="s">
        <v>3419</v>
      </c>
      <c r="U14" s="4">
        <f>[1]FTRA!F70</f>
        <v>17.889918497338776</v>
      </c>
      <c r="X14" t="s">
        <v>1812</v>
      </c>
      <c r="Y14">
        <v>30</v>
      </c>
    </row>
    <row r="15" spans="1:25" x14ac:dyDescent="0.25">
      <c r="G15" t="s">
        <v>499</v>
      </c>
      <c r="H15" t="s">
        <v>501</v>
      </c>
      <c r="I15">
        <f t="shared" si="1"/>
        <v>25</v>
      </c>
      <c r="K15" t="s">
        <v>582</v>
      </c>
      <c r="L15" t="s">
        <v>586</v>
      </c>
      <c r="M15">
        <v>1</v>
      </c>
      <c r="Q15" t="s">
        <v>1916</v>
      </c>
      <c r="R15" t="s">
        <v>3427</v>
      </c>
      <c r="S15" t="s">
        <v>3419</v>
      </c>
      <c r="U15" s="4">
        <f>[1]FTRA!F71</f>
        <v>18.402975262404723</v>
      </c>
      <c r="X15" t="s">
        <v>1810</v>
      </c>
      <c r="Y15">
        <v>30</v>
      </c>
    </row>
    <row r="16" spans="1:25" x14ac:dyDescent="0.25">
      <c r="G16" t="s">
        <v>494</v>
      </c>
      <c r="H16" t="s">
        <v>498</v>
      </c>
      <c r="I16">
        <f t="shared" si="1"/>
        <v>25</v>
      </c>
      <c r="K16" t="s">
        <v>582</v>
      </c>
      <c r="L16" t="s">
        <v>584</v>
      </c>
      <c r="M16">
        <v>1</v>
      </c>
      <c r="Q16" t="s">
        <v>1914</v>
      </c>
      <c r="R16" t="s">
        <v>3428</v>
      </c>
      <c r="S16" t="s">
        <v>3419</v>
      </c>
      <c r="U16" s="4">
        <f>[1]FTRA!F72</f>
        <v>21.907017031495844</v>
      </c>
      <c r="X16" t="s">
        <v>1804</v>
      </c>
      <c r="Y16">
        <v>30</v>
      </c>
    </row>
    <row r="17" spans="7:25" x14ac:dyDescent="0.25">
      <c r="G17" t="s">
        <v>494</v>
      </c>
      <c r="H17" t="s">
        <v>496</v>
      </c>
      <c r="I17">
        <f t="shared" si="1"/>
        <v>25</v>
      </c>
      <c r="K17" t="str">
        <f>LEFT(L17,5)</f>
        <v>TFLCV</v>
      </c>
      <c r="L17" t="s">
        <v>621</v>
      </c>
      <c r="M17" s="4">
        <f>INDEX($U$7:$U$16,MATCH(K17,$Q$7:$Q$16,0))</f>
        <v>0.39784000000000003</v>
      </c>
      <c r="X17" t="s">
        <v>3152</v>
      </c>
      <c r="Y17">
        <v>30</v>
      </c>
    </row>
    <row r="18" spans="7:25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618</v>
      </c>
      <c r="M18" s="4">
        <f t="shared" ref="M18:M64" si="3">INDEX($U$7:$U$16,MATCH(K18,$Q$7:$Q$16,0))</f>
        <v>0.39784000000000003</v>
      </c>
      <c r="X18" t="s">
        <v>1779</v>
      </c>
      <c r="Y18">
        <v>30</v>
      </c>
    </row>
    <row r="19" spans="7:25" x14ac:dyDescent="0.25">
      <c r="G19" t="s">
        <v>489</v>
      </c>
      <c r="H19" t="s">
        <v>491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1694</v>
      </c>
      <c r="Y19">
        <v>20</v>
      </c>
    </row>
    <row r="20" spans="7:25" x14ac:dyDescent="0.25">
      <c r="G20" t="s">
        <v>486</v>
      </c>
      <c r="H20" t="s">
        <v>488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2276</v>
      </c>
      <c r="Y20">
        <v>27</v>
      </c>
    </row>
    <row r="21" spans="7:25" x14ac:dyDescent="0.25">
      <c r="G21" t="s">
        <v>476</v>
      </c>
      <c r="H21" t="s">
        <v>478</v>
      </c>
      <c r="I21">
        <f t="shared" si="4"/>
        <v>14</v>
      </c>
      <c r="K21" t="str">
        <f t="shared" si="2"/>
        <v>TFLCV</v>
      </c>
      <c r="L21" t="s">
        <v>615</v>
      </c>
      <c r="M21" s="4">
        <f t="shared" si="3"/>
        <v>0.39784000000000003</v>
      </c>
      <c r="X21" t="s">
        <v>2274</v>
      </c>
      <c r="Y21">
        <v>30</v>
      </c>
    </row>
    <row r="22" spans="7:25" x14ac:dyDescent="0.25">
      <c r="G22" t="s">
        <v>483</v>
      </c>
      <c r="H22" t="s">
        <v>485</v>
      </c>
      <c r="I22">
        <f t="shared" si="4"/>
        <v>14</v>
      </c>
      <c r="K22" t="str">
        <f t="shared" si="2"/>
        <v>TFLCV</v>
      </c>
      <c r="L22" t="s">
        <v>613</v>
      </c>
      <c r="M22" s="4">
        <f t="shared" si="3"/>
        <v>0.39784000000000003</v>
      </c>
      <c r="X22" t="s">
        <v>1746</v>
      </c>
      <c r="Y22">
        <v>20</v>
      </c>
    </row>
    <row r="23" spans="7:25" x14ac:dyDescent="0.25">
      <c r="G23" t="s">
        <v>471</v>
      </c>
      <c r="H23" t="s">
        <v>482</v>
      </c>
      <c r="I23">
        <f t="shared" si="4"/>
        <v>14</v>
      </c>
      <c r="K23" t="str">
        <f t="shared" si="2"/>
        <v>TFLCV</v>
      </c>
      <c r="L23" t="s">
        <v>611</v>
      </c>
      <c r="M23" s="4">
        <f t="shared" si="3"/>
        <v>0.39784000000000003</v>
      </c>
      <c r="X23" t="s">
        <v>1722</v>
      </c>
      <c r="Y23">
        <v>27</v>
      </c>
    </row>
    <row r="24" spans="7:25" x14ac:dyDescent="0.25">
      <c r="G24" t="s">
        <v>471</v>
      </c>
      <c r="H24" t="s">
        <v>480</v>
      </c>
      <c r="I24">
        <f t="shared" si="4"/>
        <v>14</v>
      </c>
      <c r="K24" t="str">
        <f t="shared" si="2"/>
        <v>TFLCV</v>
      </c>
      <c r="L24" t="s">
        <v>609</v>
      </c>
      <c r="M24" s="4">
        <f t="shared" si="3"/>
        <v>0.39784000000000003</v>
      </c>
      <c r="X24" t="s">
        <v>2222</v>
      </c>
      <c r="Y24">
        <v>11</v>
      </c>
    </row>
    <row r="25" spans="7:25" x14ac:dyDescent="0.25">
      <c r="G25" t="s">
        <v>471</v>
      </c>
      <c r="H25" t="s">
        <v>475</v>
      </c>
      <c r="I25">
        <f t="shared" si="4"/>
        <v>14</v>
      </c>
      <c r="K25" t="str">
        <f t="shared" ref="K25:K64" si="5">LEFT(L25,6)</f>
        <v>TFHCV1</v>
      </c>
      <c r="L25" t="s">
        <v>711</v>
      </c>
      <c r="M25" s="4">
        <f t="shared" si="3"/>
        <v>1.4841</v>
      </c>
      <c r="X25" t="s">
        <v>2220</v>
      </c>
      <c r="Y25">
        <v>21</v>
      </c>
    </row>
    <row r="26" spans="7:25" x14ac:dyDescent="0.25">
      <c r="G26" t="s">
        <v>471</v>
      </c>
      <c r="H26" t="s">
        <v>473</v>
      </c>
      <c r="I26">
        <f t="shared" si="4"/>
        <v>14</v>
      </c>
      <c r="K26" t="str">
        <f t="shared" si="5"/>
        <v>TFHCV1</v>
      </c>
      <c r="L26" t="s">
        <v>708</v>
      </c>
      <c r="M26" s="4">
        <f t="shared" si="3"/>
        <v>1.4841</v>
      </c>
      <c r="X26" t="s">
        <v>3028</v>
      </c>
      <c r="Y26">
        <v>20.52</v>
      </c>
    </row>
    <row r="27" spans="7:25" x14ac:dyDescent="0.25">
      <c r="G27" t="s">
        <v>466</v>
      </c>
      <c r="H27" t="s">
        <v>493</v>
      </c>
      <c r="I27">
        <v>1</v>
      </c>
      <c r="K27" t="str">
        <f t="shared" si="5"/>
        <v>TFHCV1</v>
      </c>
      <c r="L27" t="s">
        <v>705</v>
      </c>
      <c r="M27" s="4">
        <f t="shared" si="3"/>
        <v>1.4841</v>
      </c>
      <c r="X27" t="s">
        <v>3030</v>
      </c>
      <c r="Y27">
        <v>18.649999999999999</v>
      </c>
    </row>
    <row r="28" spans="7:25" x14ac:dyDescent="0.25">
      <c r="G28" t="s">
        <v>466</v>
      </c>
      <c r="H28" t="s">
        <v>470</v>
      </c>
      <c r="I28">
        <v>1</v>
      </c>
      <c r="K28" t="str">
        <f t="shared" si="5"/>
        <v>TFHCV1</v>
      </c>
      <c r="L28" t="s">
        <v>703</v>
      </c>
      <c r="M28" s="4">
        <f t="shared" si="3"/>
        <v>1.4841</v>
      </c>
      <c r="X28" t="s">
        <v>3032</v>
      </c>
      <c r="Y28">
        <v>20.78</v>
      </c>
    </row>
    <row r="29" spans="7:25" x14ac:dyDescent="0.25">
      <c r="G29" t="s">
        <v>466</v>
      </c>
      <c r="H29" t="s">
        <v>468</v>
      </c>
      <c r="I29">
        <v>1</v>
      </c>
      <c r="K29" t="str">
        <f t="shared" si="5"/>
        <v>TFHCV1</v>
      </c>
      <c r="L29" t="s">
        <v>701</v>
      </c>
      <c r="M29" s="4">
        <f t="shared" si="3"/>
        <v>1.4841</v>
      </c>
      <c r="X29" t="s">
        <v>3034</v>
      </c>
      <c r="Y29">
        <v>20.58</v>
      </c>
    </row>
    <row r="30" spans="7:25" x14ac:dyDescent="0.25">
      <c r="G30" t="s">
        <v>576</v>
      </c>
      <c r="H30" t="s">
        <v>578</v>
      </c>
      <c r="I30" s="4">
        <f>[1]PTRA!$E$35</f>
        <v>1.4</v>
      </c>
      <c r="K30" t="str">
        <f t="shared" si="5"/>
        <v>TFHCV1</v>
      </c>
      <c r="L30" t="s">
        <v>699</v>
      </c>
      <c r="M30" s="4">
        <f t="shared" si="3"/>
        <v>1.4841</v>
      </c>
      <c r="X30" t="s">
        <v>3036</v>
      </c>
      <c r="Y30">
        <v>20.64</v>
      </c>
    </row>
    <row r="31" spans="7:25" x14ac:dyDescent="0.25">
      <c r="G31" t="s">
        <v>579</v>
      </c>
      <c r="H31" t="s">
        <v>581</v>
      </c>
      <c r="I31" s="4">
        <f>I30</f>
        <v>1.4</v>
      </c>
      <c r="K31" t="str">
        <f t="shared" si="5"/>
        <v>TFHCV2</v>
      </c>
      <c r="L31" t="s">
        <v>696</v>
      </c>
      <c r="M31" s="4">
        <f t="shared" si="3"/>
        <v>2.5009999999999999</v>
      </c>
      <c r="X31" t="s">
        <v>3038</v>
      </c>
      <c r="Y31">
        <v>18.48</v>
      </c>
    </row>
    <row r="32" spans="7:25" x14ac:dyDescent="0.25">
      <c r="G32" t="s">
        <v>573</v>
      </c>
      <c r="H32" t="s">
        <v>575</v>
      </c>
      <c r="I32" s="4">
        <f t="shared" ref="I32:I55" si="6">I31</f>
        <v>1.4</v>
      </c>
      <c r="K32" t="str">
        <f t="shared" si="5"/>
        <v>TFHCV2</v>
      </c>
      <c r="L32" t="s">
        <v>694</v>
      </c>
      <c r="M32" s="4">
        <f t="shared" si="3"/>
        <v>2.5009999999999999</v>
      </c>
      <c r="X32" t="s">
        <v>3040</v>
      </c>
      <c r="Y32">
        <v>19.68</v>
      </c>
    </row>
    <row r="33" spans="7:25" x14ac:dyDescent="0.25">
      <c r="G33" t="s">
        <v>554</v>
      </c>
      <c r="H33" t="s">
        <v>565</v>
      </c>
      <c r="I33" s="4">
        <f t="shared" si="6"/>
        <v>1.4</v>
      </c>
      <c r="K33" t="str">
        <f t="shared" si="5"/>
        <v>TFHCV2</v>
      </c>
      <c r="L33" t="s">
        <v>692</v>
      </c>
      <c r="M33" s="4">
        <f t="shared" si="3"/>
        <v>2.5009999999999999</v>
      </c>
      <c r="X33" t="s">
        <v>3042</v>
      </c>
      <c r="Y33">
        <v>20.94</v>
      </c>
    </row>
    <row r="34" spans="7:25" x14ac:dyDescent="0.25">
      <c r="G34" t="s">
        <v>554</v>
      </c>
      <c r="H34" t="s">
        <v>556</v>
      </c>
      <c r="I34" s="4">
        <f t="shared" si="6"/>
        <v>1.4</v>
      </c>
      <c r="K34" t="str">
        <f t="shared" si="5"/>
        <v>TFHCV2</v>
      </c>
      <c r="L34" t="s">
        <v>690</v>
      </c>
      <c r="M34" s="4">
        <f t="shared" si="3"/>
        <v>2.5009999999999999</v>
      </c>
      <c r="X34" t="s">
        <v>3054</v>
      </c>
      <c r="Y34">
        <v>18.5</v>
      </c>
    </row>
    <row r="35" spans="7:25" x14ac:dyDescent="0.25">
      <c r="G35" t="s">
        <v>570</v>
      </c>
      <c r="H35" t="s">
        <v>572</v>
      </c>
      <c r="I35" s="4">
        <f t="shared" si="6"/>
        <v>1.4</v>
      </c>
      <c r="K35" t="str">
        <f t="shared" si="5"/>
        <v>TFHCV2</v>
      </c>
      <c r="L35" t="s">
        <v>688</v>
      </c>
      <c r="M35" s="4">
        <f t="shared" si="3"/>
        <v>2.5009999999999999</v>
      </c>
      <c r="X35" t="s">
        <v>3044</v>
      </c>
      <c r="Y35">
        <v>15.4</v>
      </c>
    </row>
    <row r="36" spans="7:25" x14ac:dyDescent="0.25">
      <c r="G36" t="s">
        <v>557</v>
      </c>
      <c r="H36" t="s">
        <v>569</v>
      </c>
      <c r="I36" s="4">
        <f t="shared" si="6"/>
        <v>1.4</v>
      </c>
      <c r="K36" t="str">
        <f t="shared" si="5"/>
        <v>TFHCV3</v>
      </c>
      <c r="L36" t="s">
        <v>686</v>
      </c>
      <c r="M36" s="4">
        <f t="shared" si="3"/>
        <v>5.0070955734014992</v>
      </c>
      <c r="X36" t="s">
        <v>3046</v>
      </c>
      <c r="Y36">
        <v>18.62</v>
      </c>
    </row>
    <row r="37" spans="7:25" x14ac:dyDescent="0.25">
      <c r="G37" t="s">
        <v>557</v>
      </c>
      <c r="H37" t="s">
        <v>567</v>
      </c>
      <c r="I37" s="4">
        <f t="shared" si="6"/>
        <v>1.4</v>
      </c>
      <c r="K37" t="str">
        <f t="shared" si="5"/>
        <v>TFHCV3</v>
      </c>
      <c r="L37" t="s">
        <v>683</v>
      </c>
      <c r="M37" s="4">
        <f t="shared" si="3"/>
        <v>5.0070955734014992</v>
      </c>
      <c r="X37" t="s">
        <v>3048</v>
      </c>
      <c r="Y37">
        <v>18.690000000000001</v>
      </c>
    </row>
    <row r="38" spans="7:25" x14ac:dyDescent="0.25">
      <c r="G38" t="s">
        <v>557</v>
      </c>
      <c r="H38" t="s">
        <v>563</v>
      </c>
      <c r="I38" s="4">
        <f t="shared" si="6"/>
        <v>1.4</v>
      </c>
      <c r="K38" t="str">
        <f t="shared" si="5"/>
        <v>TFHCV3</v>
      </c>
      <c r="L38" t="s">
        <v>681</v>
      </c>
      <c r="M38" s="4">
        <f t="shared" si="3"/>
        <v>5.0070955734014992</v>
      </c>
      <c r="X38" t="s">
        <v>3050</v>
      </c>
      <c r="Y38">
        <v>19.809999999999999</v>
      </c>
    </row>
    <row r="39" spans="7:25" x14ac:dyDescent="0.25">
      <c r="G39" t="s">
        <v>557</v>
      </c>
      <c r="H39" t="s">
        <v>559</v>
      </c>
      <c r="I39" s="4">
        <f t="shared" si="6"/>
        <v>1.4</v>
      </c>
      <c r="K39" t="str">
        <f t="shared" si="5"/>
        <v>TFHCV3</v>
      </c>
      <c r="L39" t="s">
        <v>679</v>
      </c>
      <c r="M39" s="4">
        <f t="shared" si="3"/>
        <v>5.0070955734014992</v>
      </c>
      <c r="X39" t="s">
        <v>3056</v>
      </c>
      <c r="Y39">
        <v>18.690000000000001</v>
      </c>
    </row>
    <row r="40" spans="7:25" x14ac:dyDescent="0.25">
      <c r="G40" t="s">
        <v>557</v>
      </c>
      <c r="H40" t="s">
        <v>561</v>
      </c>
      <c r="I40" s="4">
        <f t="shared" si="6"/>
        <v>1.4</v>
      </c>
      <c r="K40" t="str">
        <f t="shared" si="5"/>
        <v>TFHCV3</v>
      </c>
      <c r="L40" t="s">
        <v>677</v>
      </c>
      <c r="M40" s="4">
        <f t="shared" si="3"/>
        <v>5.0070955734014992</v>
      </c>
      <c r="X40" t="s">
        <v>3052</v>
      </c>
      <c r="Y40">
        <v>20.350000000000001</v>
      </c>
    </row>
    <row r="41" spans="7:25" x14ac:dyDescent="0.25">
      <c r="G41" t="s">
        <v>29</v>
      </c>
      <c r="H41" t="s">
        <v>3119</v>
      </c>
      <c r="I41" s="4">
        <f t="shared" si="6"/>
        <v>1.4</v>
      </c>
      <c r="K41" t="str">
        <f t="shared" si="5"/>
        <v>TFHCV4</v>
      </c>
      <c r="L41" t="s">
        <v>675</v>
      </c>
      <c r="M41" s="4">
        <f t="shared" si="3"/>
        <v>7.9193584801965402</v>
      </c>
      <c r="X41" t="s">
        <v>3058</v>
      </c>
      <c r="Y41">
        <f>Y39</f>
        <v>18.690000000000001</v>
      </c>
    </row>
    <row r="42" spans="7:25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673</v>
      </c>
      <c r="M42" s="4">
        <f t="shared" si="3"/>
        <v>7.9193584801965402</v>
      </c>
      <c r="X42" t="s">
        <v>2209</v>
      </c>
      <c r="Y42">
        <v>21</v>
      </c>
    </row>
    <row r="43" spans="7:25" x14ac:dyDescent="0.25">
      <c r="G43" t="s">
        <v>546</v>
      </c>
      <c r="H43" t="s">
        <v>548</v>
      </c>
      <c r="I43" s="4">
        <f t="shared" si="6"/>
        <v>1.4</v>
      </c>
      <c r="K43" t="str">
        <f t="shared" si="5"/>
        <v>TFHCV4</v>
      </c>
      <c r="L43" t="s">
        <v>671</v>
      </c>
      <c r="M43" s="4">
        <f t="shared" si="3"/>
        <v>7.9193584801965402</v>
      </c>
      <c r="X43" t="s">
        <v>2160</v>
      </c>
      <c r="Y43">
        <v>27</v>
      </c>
    </row>
    <row r="44" spans="7:25" x14ac:dyDescent="0.25">
      <c r="G44" t="s">
        <v>543</v>
      </c>
      <c r="H44" t="s">
        <v>545</v>
      </c>
      <c r="I44" s="4">
        <f t="shared" si="6"/>
        <v>1.4</v>
      </c>
      <c r="K44" t="str">
        <f t="shared" si="5"/>
        <v>TFHCV4</v>
      </c>
      <c r="L44" t="s">
        <v>669</v>
      </c>
      <c r="M44" s="4">
        <f t="shared" si="3"/>
        <v>7.9193584801965402</v>
      </c>
      <c r="X44" t="s">
        <v>2104</v>
      </c>
      <c r="Y44">
        <v>20.84</v>
      </c>
    </row>
    <row r="45" spans="7:25" x14ac:dyDescent="0.25">
      <c r="G45" t="s">
        <v>526</v>
      </c>
      <c r="H45" t="s">
        <v>535</v>
      </c>
      <c r="I45" s="4">
        <f t="shared" si="6"/>
        <v>1.4</v>
      </c>
      <c r="K45" t="str">
        <f t="shared" si="5"/>
        <v>TFHCV5</v>
      </c>
      <c r="L45" t="s">
        <v>667</v>
      </c>
      <c r="M45" s="4">
        <f t="shared" si="3"/>
        <v>10.886935146339562</v>
      </c>
    </row>
    <row r="46" spans="7:25" x14ac:dyDescent="0.25">
      <c r="G46" t="s">
        <v>526</v>
      </c>
      <c r="H46" t="s">
        <v>3121</v>
      </c>
      <c r="I46" s="4">
        <f t="shared" si="6"/>
        <v>1.4</v>
      </c>
      <c r="K46" t="str">
        <f t="shared" si="5"/>
        <v>TFHCV5</v>
      </c>
      <c r="L46" t="s">
        <v>664</v>
      </c>
      <c r="M46" s="4">
        <f t="shared" si="3"/>
        <v>10.886935146339562</v>
      </c>
    </row>
    <row r="47" spans="7:25" x14ac:dyDescent="0.25">
      <c r="G47" t="s">
        <v>526</v>
      </c>
      <c r="H47" t="s">
        <v>528</v>
      </c>
      <c r="I47" s="4">
        <f t="shared" si="6"/>
        <v>1.4</v>
      </c>
      <c r="K47" t="str">
        <f t="shared" si="5"/>
        <v>TFHCV5</v>
      </c>
      <c r="L47" t="s">
        <v>661</v>
      </c>
      <c r="M47" s="4">
        <f t="shared" si="3"/>
        <v>10.886935146339562</v>
      </c>
    </row>
    <row r="48" spans="7:25" x14ac:dyDescent="0.25">
      <c r="G48" t="s">
        <v>540</v>
      </c>
      <c r="H48" t="s">
        <v>542</v>
      </c>
      <c r="I48" s="4">
        <f t="shared" si="6"/>
        <v>1.4</v>
      </c>
      <c r="K48" t="str">
        <f t="shared" si="5"/>
        <v>TFHCV5</v>
      </c>
      <c r="L48" t="s">
        <v>659</v>
      </c>
      <c r="M48" s="4">
        <f t="shared" si="3"/>
        <v>10.886935146339562</v>
      </c>
    </row>
    <row r="49" spans="7:13" x14ac:dyDescent="0.25">
      <c r="G49" t="s">
        <v>529</v>
      </c>
      <c r="H49" t="s">
        <v>539</v>
      </c>
      <c r="I49" s="4">
        <f t="shared" si="6"/>
        <v>1.4</v>
      </c>
      <c r="K49" t="str">
        <f t="shared" si="5"/>
        <v>TFHCV6</v>
      </c>
      <c r="L49" t="s">
        <v>656</v>
      </c>
      <c r="M49" s="4">
        <f t="shared" si="3"/>
        <v>19.520776457571557</v>
      </c>
    </row>
    <row r="50" spans="7:13" x14ac:dyDescent="0.25">
      <c r="G50" t="s">
        <v>529</v>
      </c>
      <c r="H50" t="s">
        <v>537</v>
      </c>
      <c r="I50" s="4">
        <f t="shared" si="6"/>
        <v>1.4</v>
      </c>
      <c r="K50" t="str">
        <f t="shared" si="5"/>
        <v>TFHCV6</v>
      </c>
      <c r="L50" t="s">
        <v>654</v>
      </c>
      <c r="M50" s="4">
        <f t="shared" si="3"/>
        <v>19.520776457571557</v>
      </c>
    </row>
    <row r="51" spans="7:13" x14ac:dyDescent="0.25">
      <c r="G51" t="s">
        <v>529</v>
      </c>
      <c r="H51" t="s">
        <v>533</v>
      </c>
      <c r="I51" s="4">
        <f t="shared" si="6"/>
        <v>1.4</v>
      </c>
      <c r="K51" t="str">
        <f t="shared" si="5"/>
        <v>TFHCV6</v>
      </c>
      <c r="L51" t="s">
        <v>652</v>
      </c>
      <c r="M51" s="4">
        <f t="shared" si="3"/>
        <v>19.520776457571557</v>
      </c>
    </row>
    <row r="52" spans="7:13" x14ac:dyDescent="0.25">
      <c r="G52" t="s">
        <v>529</v>
      </c>
      <c r="H52" t="s">
        <v>531</v>
      </c>
      <c r="I52" s="4">
        <f t="shared" si="6"/>
        <v>1.4</v>
      </c>
      <c r="K52" t="str">
        <f t="shared" si="5"/>
        <v>TFHCV6</v>
      </c>
      <c r="L52" t="s">
        <v>650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648</v>
      </c>
      <c r="M53" s="4">
        <f t="shared" si="3"/>
        <v>17.889918497338776</v>
      </c>
    </row>
    <row r="54" spans="7:13" x14ac:dyDescent="0.25">
      <c r="G54" t="s">
        <v>549</v>
      </c>
      <c r="H54" t="s">
        <v>553</v>
      </c>
      <c r="I54" s="4">
        <f t="shared" si="6"/>
        <v>1.4</v>
      </c>
      <c r="K54" t="str">
        <f t="shared" si="5"/>
        <v>TFHCV7</v>
      </c>
      <c r="L54" t="s">
        <v>646</v>
      </c>
      <c r="M54" s="4">
        <f t="shared" si="3"/>
        <v>17.889918497338776</v>
      </c>
    </row>
    <row r="55" spans="7:13" x14ac:dyDescent="0.25">
      <c r="G55" t="s">
        <v>549</v>
      </c>
      <c r="H55" t="s">
        <v>551</v>
      </c>
      <c r="I55" s="4">
        <f t="shared" si="6"/>
        <v>1.4</v>
      </c>
      <c r="K55" t="str">
        <f t="shared" si="5"/>
        <v>TFHCV7</v>
      </c>
      <c r="L55" t="s">
        <v>644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642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640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632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2020-10-12T15:01:45Z</dcterms:modified>
</cp:coreProperties>
</file>