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D1AD70F3-5CB3-441A-AFD3-CD8BF230BA2B}" xr6:coauthVersionLast="45" xr6:coauthVersionMax="45" xr10:uidLastSave="{00000000-0000-0000-0000-000000000000}"/>
  <bookViews>
    <workbookView xWindow="-120" yWindow="-120" windowWidth="29040" windowHeight="158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definedNames>
    <definedName name="_xlnm._FilterDatabase" localSheetId="3" hidden="1">IPCCMaps!$G$1:$K$65</definedName>
    <definedName name="_xlnm._FilterDatabase" localSheetId="2" hidden="1">mapCOM!$A$1:$D$445</definedName>
    <definedName name="_xlnm._FilterDatabase" localSheetId="1" hidden="1">mapPRC!$A$1:$I$951</definedName>
    <definedName name="_xlnm._FilterDatabase" localSheetId="5" hidden="1">OtherSets!$A$6:$AD$872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70" i="2" l="1"/>
  <c r="F202" i="2"/>
  <c r="F201" i="2"/>
  <c r="F200" i="2"/>
  <c r="F199" i="2"/>
  <c r="F198" i="2"/>
  <c r="F197" i="2"/>
  <c r="F196" i="2"/>
  <c r="F195" i="2"/>
  <c r="F193" i="2"/>
  <c r="C28" i="1" l="1"/>
  <c r="E57" i="2" l="1"/>
  <c r="C17" i="1" l="1"/>
  <c r="C16" i="1"/>
  <c r="C15" i="1"/>
  <c r="E21" i="2"/>
  <c r="E20" i="2"/>
  <c r="E23" i="2"/>
  <c r="E24" i="2"/>
  <c r="E25" i="2"/>
  <c r="E26" i="2"/>
  <c r="E31" i="2"/>
  <c r="E30" i="2"/>
  <c r="E33" i="2"/>
  <c r="E32" i="2"/>
  <c r="E19" i="2"/>
  <c r="E22" i="2"/>
  <c r="E27" i="2"/>
  <c r="E28" i="2"/>
  <c r="E29" i="2"/>
  <c r="E34" i="2"/>
  <c r="E35" i="2"/>
  <c r="E36" i="2"/>
  <c r="E37" i="2"/>
  <c r="E68" i="2" l="1"/>
  <c r="E69" i="2"/>
  <c r="E72" i="2" l="1"/>
  <c r="E71" i="2"/>
  <c r="E70" i="2"/>
  <c r="E67" i="2"/>
  <c r="E66" i="2"/>
  <c r="E65" i="2"/>
  <c r="E64" i="2"/>
  <c r="E63" i="2"/>
  <c r="E62" i="2"/>
  <c r="E39" i="2"/>
  <c r="E40" i="2"/>
  <c r="E41" i="2"/>
  <c r="E42" i="2"/>
  <c r="E43" i="2"/>
  <c r="E44" i="2"/>
  <c r="E45" i="2"/>
  <c r="E46" i="2"/>
  <c r="E47" i="2"/>
  <c r="E48" i="2"/>
  <c r="E49" i="2"/>
  <c r="E50" i="2"/>
  <c r="E38" i="2"/>
  <c r="E74" i="2" l="1"/>
  <c r="E75" i="2"/>
  <c r="E76" i="2"/>
  <c r="E77" i="2"/>
  <c r="E52" i="2" l="1"/>
  <c r="E53" i="2"/>
  <c r="E54" i="2"/>
  <c r="E55" i="2"/>
  <c r="E56" i="2"/>
  <c r="E58" i="2"/>
  <c r="E59" i="2"/>
  <c r="E60" i="2"/>
  <c r="E61" i="2"/>
  <c r="E73" i="2"/>
  <c r="E51" i="2" l="1"/>
  <c r="I951" i="2" l="1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G845" i="2"/>
  <c r="F845" i="2"/>
  <c r="I844" i="2"/>
  <c r="H844" i="2"/>
  <c r="G844" i="2"/>
  <c r="F844" i="2"/>
  <c r="I843" i="2"/>
  <c r="H843" i="2"/>
  <c r="G843" i="2"/>
  <c r="F843" i="2"/>
  <c r="I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G811" i="2"/>
  <c r="F811" i="2"/>
  <c r="I810" i="2"/>
  <c r="H810" i="2"/>
  <c r="G810" i="2"/>
  <c r="F810" i="2"/>
  <c r="I809" i="2"/>
  <c r="G809" i="2"/>
  <c r="F809" i="2"/>
  <c r="I808" i="2"/>
  <c r="H808" i="2"/>
  <c r="G808" i="2"/>
  <c r="F808" i="2"/>
  <c r="I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H765" i="2"/>
  <c r="G765" i="2"/>
  <c r="F765" i="2"/>
  <c r="I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H639" i="2"/>
  <c r="G639" i="2"/>
  <c r="F639" i="2"/>
  <c r="I638" i="2"/>
  <c r="H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H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H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194" i="2"/>
  <c r="G194" i="2"/>
  <c r="F194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H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78" i="2"/>
  <c r="G78" i="2"/>
  <c r="F78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6" i="2" s="1"/>
  <c r="J53" i="4"/>
  <c r="J52" i="4"/>
  <c r="J51" i="4"/>
  <c r="H778" i="2" s="1"/>
  <c r="J50" i="4"/>
  <c r="H779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7" i="2" s="1"/>
  <c r="J26" i="4"/>
  <c r="J25" i="4"/>
  <c r="J24" i="4"/>
  <c r="J23" i="4"/>
  <c r="J22" i="4"/>
  <c r="J21" i="4"/>
  <c r="H294" i="2" s="1"/>
  <c r="J20" i="4"/>
  <c r="J19" i="4"/>
  <c r="H276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308" i="2" l="1"/>
  <c r="H305" i="2"/>
  <c r="H302" i="2"/>
  <c r="H299" i="2"/>
  <c r="H296" i="2"/>
  <c r="H310" i="2"/>
  <c r="H307" i="2"/>
  <c r="H304" i="2"/>
  <c r="H301" i="2"/>
  <c r="H298" i="2"/>
  <c r="H295" i="2"/>
  <c r="H309" i="2"/>
  <c r="H306" i="2"/>
  <c r="H303" i="2"/>
  <c r="H300" i="2"/>
  <c r="H297" i="2"/>
  <c r="H633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594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598" i="2"/>
  <c r="H595" i="2"/>
  <c r="H623" i="2"/>
  <c r="H605" i="2"/>
  <c r="H626" i="2"/>
  <c r="H608" i="2"/>
  <c r="H629" i="2"/>
  <c r="H611" i="2"/>
  <c r="H632" i="2"/>
  <c r="H614" i="2"/>
  <c r="H596" i="2"/>
  <c r="H635" i="2"/>
  <c r="H617" i="2"/>
  <c r="H599" i="2"/>
  <c r="H620" i="2"/>
  <c r="H602" i="2"/>
  <c r="H214" i="2"/>
  <c r="H211" i="2"/>
  <c r="H208" i="2"/>
  <c r="H205" i="2"/>
  <c r="H216" i="2"/>
  <c r="H213" i="2"/>
  <c r="H210" i="2"/>
  <c r="H207" i="2"/>
  <c r="H204" i="2"/>
  <c r="H215" i="2"/>
  <c r="H206" i="2"/>
  <c r="H209" i="2"/>
  <c r="H212" i="2"/>
  <c r="H335" i="2"/>
  <c r="H332" i="2"/>
  <c r="H329" i="2"/>
  <c r="H326" i="2"/>
  <c r="H323" i="2"/>
  <c r="H320" i="2"/>
  <c r="H317" i="2"/>
  <c r="H314" i="2"/>
  <c r="H311" i="2"/>
  <c r="H334" i="2"/>
  <c r="H331" i="2"/>
  <c r="H328" i="2"/>
  <c r="H325" i="2"/>
  <c r="H322" i="2"/>
  <c r="H319" i="2"/>
  <c r="H316" i="2"/>
  <c r="H313" i="2"/>
  <c r="H336" i="2"/>
  <c r="H333" i="2"/>
  <c r="H330" i="2"/>
  <c r="H327" i="2"/>
  <c r="H324" i="2"/>
  <c r="H321" i="2"/>
  <c r="H318" i="2"/>
  <c r="H315" i="2"/>
  <c r="H312" i="2"/>
  <c r="H642" i="2"/>
  <c r="H636" i="2"/>
  <c r="H643" i="2"/>
  <c r="H640" i="2"/>
  <c r="H637" i="2"/>
  <c r="H641" i="2"/>
  <c r="H780" i="2"/>
  <c r="H781" i="2"/>
  <c r="H782" i="2"/>
  <c r="H226" i="2"/>
  <c r="H223" i="2"/>
  <c r="H220" i="2"/>
  <c r="H217" i="2"/>
  <c r="H225" i="2"/>
  <c r="H222" i="2"/>
  <c r="H219" i="2"/>
  <c r="H224" i="2"/>
  <c r="H221" i="2"/>
  <c r="H218" i="2"/>
  <c r="H350" i="2"/>
  <c r="H347" i="2"/>
  <c r="H344" i="2"/>
  <c r="H341" i="2"/>
  <c r="H338" i="2"/>
  <c r="H352" i="2"/>
  <c r="H349" i="2"/>
  <c r="H346" i="2"/>
  <c r="H343" i="2"/>
  <c r="H340" i="2"/>
  <c r="H337" i="2"/>
  <c r="H351" i="2"/>
  <c r="H348" i="2"/>
  <c r="H345" i="2"/>
  <c r="H342" i="2"/>
  <c r="H339" i="2"/>
  <c r="H690" i="2"/>
  <c r="H687" i="2"/>
  <c r="H684" i="2"/>
  <c r="H681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91" i="2"/>
  <c r="H688" i="2"/>
  <c r="H685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77" i="2"/>
  <c r="H659" i="2"/>
  <c r="H680" i="2"/>
  <c r="H662" i="2"/>
  <c r="H644" i="2"/>
  <c r="H683" i="2"/>
  <c r="H665" i="2"/>
  <c r="H647" i="2"/>
  <c r="H686" i="2"/>
  <c r="H668" i="2"/>
  <c r="H650" i="2"/>
  <c r="H689" i="2"/>
  <c r="H671" i="2"/>
  <c r="H653" i="2"/>
  <c r="H674" i="2"/>
  <c r="H656" i="2"/>
  <c r="H900" i="2"/>
  <c r="H879" i="2"/>
  <c r="H849" i="2"/>
  <c r="H816" i="2"/>
  <c r="H807" i="2"/>
  <c r="H845" i="2"/>
  <c r="H842" i="2"/>
  <c r="H886" i="2"/>
  <c r="H838" i="2"/>
  <c r="H823" i="2"/>
  <c r="H811" i="2"/>
  <c r="H793" i="2"/>
  <c r="H800" i="2"/>
  <c r="H809" i="2"/>
  <c r="H274" i="2"/>
  <c r="H273" i="2"/>
  <c r="H533" i="2"/>
  <c r="H530" i="2"/>
  <c r="H524" i="2"/>
  <c r="H523" i="2"/>
  <c r="H529" i="2"/>
  <c r="H526" i="2"/>
  <c r="H532" i="2"/>
  <c r="H535" i="2"/>
  <c r="H528" i="2"/>
  <c r="H525" i="2"/>
  <c r="H531" i="2"/>
  <c r="H534" i="2"/>
  <c r="H555" i="2"/>
  <c r="H552" i="2"/>
  <c r="H549" i="2"/>
  <c r="H546" i="2"/>
  <c r="H543" i="2"/>
  <c r="H540" i="2"/>
  <c r="H537" i="2"/>
  <c r="H551" i="2"/>
  <c r="H538" i="2"/>
  <c r="H554" i="2"/>
  <c r="H541" i="2"/>
  <c r="H557" i="2"/>
  <c r="H544" i="2"/>
  <c r="H547" i="2"/>
  <c r="H550" i="2"/>
  <c r="H553" i="2"/>
  <c r="H556" i="2"/>
  <c r="H539" i="2"/>
  <c r="H542" i="2"/>
  <c r="H545" i="2"/>
  <c r="H548" i="2"/>
  <c r="H88" i="2"/>
  <c r="H85" i="2"/>
  <c r="H82" i="2"/>
  <c r="H79" i="2"/>
  <c r="H89" i="2"/>
  <c r="H90" i="2"/>
  <c r="H87" i="2"/>
  <c r="H84" i="2"/>
  <c r="H81" i="2"/>
  <c r="H78" i="2"/>
  <c r="H86" i="2"/>
  <c r="H80" i="2"/>
  <c r="H83" i="2"/>
  <c r="H238" i="2"/>
  <c r="H235" i="2"/>
  <c r="H232" i="2"/>
  <c r="H229" i="2"/>
  <c r="H237" i="2"/>
  <c r="H234" i="2"/>
  <c r="H231" i="2"/>
  <c r="H239" i="2"/>
  <c r="H236" i="2"/>
  <c r="H233" i="2"/>
  <c r="H230" i="2"/>
  <c r="H380" i="2"/>
  <c r="H377" i="2"/>
  <c r="H374" i="2"/>
  <c r="H371" i="2"/>
  <c r="H368" i="2"/>
  <c r="H379" i="2"/>
  <c r="H376" i="2"/>
  <c r="H373" i="2"/>
  <c r="H370" i="2"/>
  <c r="H367" i="2"/>
  <c r="H378" i="2"/>
  <c r="H375" i="2"/>
  <c r="H372" i="2"/>
  <c r="H369" i="2"/>
  <c r="H366" i="2"/>
  <c r="H702" i="2"/>
  <c r="H699" i="2"/>
  <c r="H696" i="2"/>
  <c r="H703" i="2"/>
  <c r="H700" i="2"/>
  <c r="H697" i="2"/>
  <c r="H694" i="2"/>
  <c r="H695" i="2"/>
  <c r="H698" i="2"/>
  <c r="H701" i="2"/>
  <c r="H759" i="2"/>
  <c r="H756" i="2"/>
  <c r="H757" i="2"/>
  <c r="H755" i="2"/>
  <c r="H758" i="2"/>
  <c r="H783" i="2"/>
  <c r="H784" i="2"/>
  <c r="H760" i="2"/>
  <c r="H764" i="2"/>
  <c r="H769" i="2"/>
  <c r="H365" i="2"/>
  <c r="H362" i="2"/>
  <c r="H359" i="2"/>
  <c r="H356" i="2"/>
  <c r="H353" i="2"/>
  <c r="H364" i="2"/>
  <c r="H361" i="2"/>
  <c r="H358" i="2"/>
  <c r="H355" i="2"/>
  <c r="H363" i="2"/>
  <c r="H360" i="2"/>
  <c r="H357" i="2"/>
  <c r="H354" i="2"/>
  <c r="H770" i="2"/>
  <c r="H693" i="2"/>
  <c r="H692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91" i="2"/>
  <c r="H98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28" i="2"/>
  <c r="H119" i="2"/>
  <c r="H104" i="2"/>
  <c r="H116" i="2"/>
  <c r="H101" i="2"/>
  <c r="H125" i="2"/>
  <c r="H110" i="2"/>
  <c r="H95" i="2"/>
  <c r="H131" i="2"/>
  <c r="H122" i="2"/>
  <c r="H107" i="2"/>
  <c r="H92" i="2"/>
  <c r="H113" i="2"/>
  <c r="H256" i="2"/>
  <c r="H253" i="2"/>
  <c r="H250" i="2"/>
  <c r="H247" i="2"/>
  <c r="H244" i="2"/>
  <c r="H241" i="2"/>
  <c r="H255" i="2"/>
  <c r="H252" i="2"/>
  <c r="H249" i="2"/>
  <c r="H246" i="2"/>
  <c r="H243" i="2"/>
  <c r="H240" i="2"/>
  <c r="H261" i="2"/>
  <c r="H257" i="2"/>
  <c r="H254" i="2"/>
  <c r="H251" i="2"/>
  <c r="H248" i="2"/>
  <c r="H245" i="2"/>
  <c r="H242" i="2"/>
  <c r="H260" i="2"/>
  <c r="H729" i="2"/>
  <c r="H726" i="2"/>
  <c r="H723" i="2"/>
  <c r="H720" i="2"/>
  <c r="H717" i="2"/>
  <c r="H714" i="2"/>
  <c r="H711" i="2"/>
  <c r="H708" i="2"/>
  <c r="H705" i="2"/>
  <c r="H727" i="2"/>
  <c r="H724" i="2"/>
  <c r="H721" i="2"/>
  <c r="H718" i="2"/>
  <c r="H715" i="2"/>
  <c r="H712" i="2"/>
  <c r="H709" i="2"/>
  <c r="H706" i="2"/>
  <c r="H713" i="2"/>
  <c r="H716" i="2"/>
  <c r="H719" i="2"/>
  <c r="H722" i="2"/>
  <c r="H704" i="2"/>
  <c r="H725" i="2"/>
  <c r="H707" i="2"/>
  <c r="H728" i="2"/>
  <c r="H710" i="2"/>
  <c r="H455" i="2"/>
  <c r="H452" i="2"/>
  <c r="H449" i="2"/>
  <c r="H446" i="2"/>
  <c r="H443" i="2"/>
  <c r="H440" i="2"/>
  <c r="H437" i="2"/>
  <c r="H434" i="2"/>
  <c r="H431" i="2"/>
  <c r="H428" i="2"/>
  <c r="H425" i="2"/>
  <c r="H422" i="2"/>
  <c r="H454" i="2"/>
  <c r="H451" i="2"/>
  <c r="H448" i="2"/>
  <c r="H445" i="2"/>
  <c r="H442" i="2"/>
  <c r="H439" i="2"/>
  <c r="H436" i="2"/>
  <c r="H433" i="2"/>
  <c r="H430" i="2"/>
  <c r="H427" i="2"/>
  <c r="H424" i="2"/>
  <c r="H453" i="2"/>
  <c r="H450" i="2"/>
  <c r="H447" i="2"/>
  <c r="H444" i="2"/>
  <c r="H441" i="2"/>
  <c r="H438" i="2"/>
  <c r="H435" i="2"/>
  <c r="H432" i="2"/>
  <c r="H429" i="2"/>
  <c r="H426" i="2"/>
  <c r="H423" i="2"/>
  <c r="H175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35" i="2"/>
  <c r="H158" i="2"/>
  <c r="H143" i="2"/>
  <c r="H176" i="2"/>
  <c r="H164" i="2"/>
  <c r="H149" i="2"/>
  <c r="H134" i="2"/>
  <c r="H167" i="2"/>
  <c r="H152" i="2"/>
  <c r="H140" i="2"/>
  <c r="H170" i="2"/>
  <c r="H161" i="2"/>
  <c r="H146" i="2"/>
  <c r="H173" i="2"/>
  <c r="H155" i="2"/>
  <c r="H137" i="2"/>
  <c r="H190" i="2"/>
  <c r="H189" i="2"/>
  <c r="H293" i="2"/>
  <c r="H290" i="2"/>
  <c r="H287" i="2"/>
  <c r="H284" i="2"/>
  <c r="H281" i="2"/>
  <c r="H278" i="2"/>
  <c r="H292" i="2"/>
  <c r="H289" i="2"/>
  <c r="H286" i="2"/>
  <c r="H283" i="2"/>
  <c r="H280" i="2"/>
  <c r="H291" i="2"/>
  <c r="H288" i="2"/>
  <c r="H285" i="2"/>
  <c r="H282" i="2"/>
  <c r="H279" i="2"/>
  <c r="H228" i="2"/>
  <c r="H227" i="2"/>
  <c r="H269" i="2"/>
  <c r="H266" i="2"/>
  <c r="H268" i="2"/>
  <c r="H265" i="2"/>
  <c r="H267" i="2"/>
  <c r="H264" i="2"/>
  <c r="H404" i="2"/>
  <c r="H401" i="2"/>
  <c r="H398" i="2"/>
  <c r="H395" i="2"/>
  <c r="H392" i="2"/>
  <c r="H389" i="2"/>
  <c r="H386" i="2"/>
  <c r="H383" i="2"/>
  <c r="H403" i="2"/>
  <c r="H400" i="2"/>
  <c r="H397" i="2"/>
  <c r="H394" i="2"/>
  <c r="H391" i="2"/>
  <c r="H388" i="2"/>
  <c r="H385" i="2"/>
  <c r="H382" i="2"/>
  <c r="H405" i="2"/>
  <c r="H402" i="2"/>
  <c r="H399" i="2"/>
  <c r="H396" i="2"/>
  <c r="H393" i="2"/>
  <c r="H390" i="2"/>
  <c r="H387" i="2"/>
  <c r="H384" i="2"/>
  <c r="H381" i="2"/>
  <c r="H750" i="2"/>
  <c r="H747" i="2"/>
  <c r="H744" i="2"/>
  <c r="H741" i="2"/>
  <c r="H738" i="2"/>
  <c r="H735" i="2"/>
  <c r="H732" i="2"/>
  <c r="H751" i="2"/>
  <c r="H748" i="2"/>
  <c r="H745" i="2"/>
  <c r="H742" i="2"/>
  <c r="H739" i="2"/>
  <c r="H736" i="2"/>
  <c r="H733" i="2"/>
  <c r="H730" i="2"/>
  <c r="H749" i="2"/>
  <c r="H731" i="2"/>
  <c r="H752" i="2"/>
  <c r="H734" i="2"/>
  <c r="H737" i="2"/>
  <c r="H740" i="2"/>
  <c r="H743" i="2"/>
  <c r="H746" i="2"/>
  <c r="H262" i="2"/>
  <c r="H258" i="2"/>
  <c r="H272" i="2"/>
  <c r="H271" i="2"/>
  <c r="H419" i="2"/>
  <c r="H416" i="2"/>
  <c r="H413" i="2"/>
  <c r="H410" i="2"/>
  <c r="H407" i="2"/>
  <c r="H421" i="2"/>
  <c r="H418" i="2"/>
  <c r="H415" i="2"/>
  <c r="H412" i="2"/>
  <c r="H409" i="2"/>
  <c r="H406" i="2"/>
  <c r="H420" i="2"/>
  <c r="H417" i="2"/>
  <c r="H414" i="2"/>
  <c r="H411" i="2"/>
  <c r="H408" i="2"/>
  <c r="H753" i="2"/>
  <c r="H754" i="2"/>
  <c r="K57" i="4"/>
  <c r="I901" i="2" s="1"/>
  <c r="H901" i="2"/>
  <c r="H192" i="2"/>
  <c r="H191" i="2"/>
  <c r="H771" i="2"/>
  <c r="H772" i="2"/>
  <c r="H773" i="2"/>
  <c r="H194" i="2"/>
  <c r="H203" i="2"/>
  <c r="H591" i="2"/>
  <c r="H588" i="2"/>
  <c r="H585" i="2"/>
  <c r="H582" i="2"/>
  <c r="H579" i="2"/>
  <c r="H576" i="2"/>
  <c r="H573" i="2"/>
  <c r="H570" i="2"/>
  <c r="H567" i="2"/>
  <c r="H564" i="2"/>
  <c r="H561" i="2"/>
  <c r="H558" i="2"/>
  <c r="H592" i="2"/>
  <c r="H589" i="2"/>
  <c r="H586" i="2"/>
  <c r="H574" i="2"/>
  <c r="H587" i="2"/>
  <c r="H577" i="2"/>
  <c r="H580" i="2"/>
  <c r="H590" i="2"/>
  <c r="H583" i="2"/>
  <c r="H560" i="2"/>
  <c r="H563" i="2"/>
  <c r="H593" i="2"/>
  <c r="H566" i="2"/>
  <c r="H569" i="2"/>
  <c r="H572" i="2"/>
  <c r="H559" i="2"/>
  <c r="H575" i="2"/>
  <c r="H562" i="2"/>
  <c r="H578" i="2"/>
  <c r="H565" i="2"/>
  <c r="H581" i="2"/>
  <c r="H568" i="2"/>
  <c r="H584" i="2"/>
  <c r="H571" i="2"/>
  <c r="H263" i="2"/>
  <c r="H259" i="2"/>
  <c r="C27" i="1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J445" i="6" l="1"/>
  <c r="AJ446" i="6"/>
  <c r="AJ447" i="6"/>
  <c r="AJ448" i="6"/>
  <c r="AJ444" i="6"/>
  <c r="AJ452" i="6"/>
  <c r="AJ453" i="6"/>
  <c r="AJ454" i="6"/>
  <c r="AJ455" i="6"/>
  <c r="AJ456" i="6"/>
  <c r="AJ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6" i="1" l="1"/>
  <c r="C25" i="1"/>
  <c r="C24" i="1"/>
  <c r="C23" i="1"/>
  <c r="C22" i="1"/>
  <c r="C21" i="1"/>
  <c r="C10" i="1"/>
  <c r="C11" i="1"/>
  <c r="AJ440" i="6" l="1"/>
  <c r="AJ441" i="6"/>
  <c r="AJ442" i="6"/>
  <c r="AJ443" i="6"/>
  <c r="V447" i="6" s="1"/>
  <c r="AJ439" i="6"/>
  <c r="AJ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D55" i="6" l="1"/>
  <c r="AD54" i="6"/>
  <c r="AD53" i="6"/>
  <c r="R707" i="6" s="1"/>
  <c r="AD52" i="6"/>
  <c r="R708" i="6" s="1"/>
  <c r="AD51" i="6"/>
  <c r="AD50" i="6"/>
  <c r="AD49" i="6"/>
  <c r="AD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D47" i="6"/>
  <c r="AD46" i="6"/>
  <c r="AD44" i="6"/>
  <c r="AD43" i="6"/>
  <c r="AD42" i="6"/>
  <c r="AD41" i="6"/>
  <c r="AD40" i="6"/>
  <c r="AD39" i="6"/>
  <c r="AD38" i="6"/>
  <c r="AD35" i="6"/>
  <c r="AD34" i="6"/>
  <c r="AD33" i="6"/>
  <c r="AD31" i="6"/>
  <c r="AD29" i="6"/>
  <c r="AD28" i="6"/>
  <c r="AD27" i="6"/>
  <c r="AD26" i="6"/>
  <c r="R223" i="6" s="1"/>
  <c r="AD25" i="6"/>
  <c r="AD9" i="6"/>
  <c r="AD8" i="6"/>
  <c r="AD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D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D13" i="6" l="1"/>
  <c r="R120" i="6" l="1"/>
  <c r="R121" i="6"/>
  <c r="AD14" i="6"/>
  <c r="R132" i="6" l="1"/>
  <c r="R123" i="6"/>
  <c r="AD15" i="6"/>
  <c r="R128" i="6" l="1"/>
  <c r="R129" i="6"/>
  <c r="R130" i="6"/>
  <c r="R127" i="6"/>
  <c r="R131" i="6"/>
  <c r="R122" i="6"/>
  <c r="R124" i="6"/>
  <c r="R126" i="6"/>
  <c r="R125" i="6"/>
  <c r="R199" i="6"/>
  <c r="AD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D17" i="6"/>
  <c r="R152" i="6" l="1"/>
  <c r="R153" i="6"/>
  <c r="R154" i="6"/>
  <c r="R155" i="6"/>
  <c r="R151" i="6"/>
  <c r="R146" i="6"/>
  <c r="R147" i="6"/>
  <c r="R148" i="6"/>
  <c r="R150" i="6"/>
  <c r="R149" i="6"/>
  <c r="AD18" i="6"/>
  <c r="R156" i="6" l="1"/>
  <c r="R157" i="6"/>
  <c r="AD19" i="6"/>
  <c r="R164" i="6" l="1"/>
  <c r="R165" i="6"/>
  <c r="R163" i="6"/>
  <c r="R166" i="6"/>
  <c r="R167" i="6"/>
  <c r="R168" i="6"/>
  <c r="R158" i="6"/>
  <c r="R159" i="6"/>
  <c r="R162" i="6"/>
  <c r="R160" i="6"/>
  <c r="R161" i="6"/>
  <c r="AD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D21" i="6"/>
  <c r="R193" i="6" l="1"/>
  <c r="R194" i="6"/>
  <c r="R195" i="6"/>
  <c r="R198" i="6"/>
  <c r="R196" i="6"/>
  <c r="R197" i="6"/>
  <c r="AD22" i="6"/>
  <c r="R200" i="6" l="1"/>
  <c r="R201" i="6"/>
  <c r="AD23" i="6"/>
  <c r="R202" i="6" l="1"/>
  <c r="R203" i="6"/>
  <c r="AD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<sst xmlns="http://schemas.openxmlformats.org/spreadsheetml/2006/main" count="8344" uniqueCount="3346">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</sst>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8"/>
  <sheetViews>
    <sheetView workbookViewId="0">
      <selection activeCell="C29" sqref="C29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2923</v>
      </c>
      <c r="C21" t="str">
        <f>"OtherSets!"&amp;ADDRESS(ROW(OtherSets!Y7),COLUMN(OtherSets!Y7),4)</f>
        <v>OtherSets!Y7</v>
      </c>
      <c r="D21">
        <v>2</v>
      </c>
      <c r="G21" t="s">
        <v>3078</v>
      </c>
    </row>
    <row r="22" spans="1:7" x14ac:dyDescent="0.25">
      <c r="A22" t="s">
        <v>2461</v>
      </c>
      <c r="B22" t="s">
        <v>2924</v>
      </c>
      <c r="C22" t="str">
        <f>"OtherSets!"&amp;ADDRESS(ROW(OtherSets!AA7),COLUMN(OtherSets!AA7),4)</f>
        <v>OtherSets!AA7</v>
      </c>
      <c r="D22">
        <v>2</v>
      </c>
      <c r="G22" t="s">
        <v>3078</v>
      </c>
    </row>
    <row r="23" spans="1:7" x14ac:dyDescent="0.25">
      <c r="A23" t="s">
        <v>2461</v>
      </c>
      <c r="B23" t="s">
        <v>2993</v>
      </c>
      <c r="C23" t="str">
        <f>"OtherSets!"&amp;ADDRESS(ROW(OtherSets!Q7),COLUMN(OtherSets!Q7),4)</f>
        <v>OtherSets!Q7</v>
      </c>
      <c r="D23">
        <v>2</v>
      </c>
      <c r="G23" t="s">
        <v>3078</v>
      </c>
    </row>
    <row r="24" spans="1:7" x14ac:dyDescent="0.25">
      <c r="A24" t="s">
        <v>2461</v>
      </c>
      <c r="B24" t="s">
        <v>2992</v>
      </c>
      <c r="C24" t="str">
        <f>"OtherSets!"&amp;ADDRESS(ROW(OtherSets!S7),COLUMN(OtherSets!S7),4)</f>
        <v>OtherSets!S7</v>
      </c>
      <c r="D24">
        <v>2</v>
      </c>
      <c r="G24" t="s">
        <v>3078</v>
      </c>
    </row>
    <row r="25" spans="1:7" x14ac:dyDescent="0.25">
      <c r="A25" t="s">
        <v>2461</v>
      </c>
      <c r="B25" t="s">
        <v>3014</v>
      </c>
      <c r="C25" t="str">
        <f>"OtherSets!"&amp;ADDRESS(ROW(OtherSets!U7),COLUMN(OtherSets!U7),4)</f>
        <v>OtherSets!U7</v>
      </c>
      <c r="D25">
        <v>2</v>
      </c>
      <c r="G25" t="s">
        <v>3078</v>
      </c>
    </row>
    <row r="26" spans="1:7" x14ac:dyDescent="0.25">
      <c r="A26" t="s">
        <v>2461</v>
      </c>
      <c r="B26" t="s">
        <v>3079</v>
      </c>
      <c r="C26" t="str">
        <f>"OtherSets!"&amp;ADDRESS(ROW(OtherSets!W7),COLUMN(OtherSets!W7),4)</f>
        <v>OtherSets!W7</v>
      </c>
      <c r="D26">
        <v>2</v>
      </c>
      <c r="G26" t="s">
        <v>3078</v>
      </c>
    </row>
    <row r="27" spans="1:7" x14ac:dyDescent="0.25">
      <c r="A27" t="s">
        <v>3075</v>
      </c>
      <c r="B27" t="s">
        <v>3165</v>
      </c>
      <c r="C27" t="str">
        <f>"OtherSets!"&amp;ADDRESS(ROW(OtherSets!AE7),COLUMN(OtherSets!AE7),4)</f>
        <v>OtherSets!AE7</v>
      </c>
      <c r="D27">
        <v>1</v>
      </c>
    </row>
    <row r="28" spans="1:7" x14ac:dyDescent="0.25">
      <c r="A28" t="s">
        <v>3329</v>
      </c>
      <c r="B28" t="s">
        <v>3330</v>
      </c>
      <c r="C28" t="str">
        <f>"OtherParams!"&amp;ADDRESS(ROW(OtherParams!A7),COLUMN(OtherParams!A7),4)</f>
        <v>OtherParams!A7</v>
      </c>
      <c r="D28">
        <v>1</v>
      </c>
      <c r="E2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51"/>
  <sheetViews>
    <sheetView tabSelected="1" workbookViewId="0">
      <selection activeCell="F9" sqref="F9:I11"/>
    </sheetView>
  </sheetViews>
  <sheetFormatPr defaultRowHeight="15" x14ac:dyDescent="0.25"/>
  <cols>
    <col min="1" max="1" width="16.8554687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2927</v>
      </c>
      <c r="B2" t="s">
        <v>3345</v>
      </c>
      <c r="C2" t="s">
        <v>3335</v>
      </c>
      <c r="D2" t="s">
        <v>3335</v>
      </c>
      <c r="E2" t="s">
        <v>3335</v>
      </c>
      <c r="F2" t="s">
        <v>2440</v>
      </c>
      <c r="G2" t="s">
        <v>2440</v>
      </c>
      <c r="H2" t="s">
        <v>2440</v>
      </c>
      <c r="I2" t="s">
        <v>2440</v>
      </c>
    </row>
    <row r="3" spans="1:9" x14ac:dyDescent="0.25">
      <c r="A3" t="s">
        <v>2929</v>
      </c>
      <c r="B3" t="s">
        <v>3345</v>
      </c>
      <c r="C3" t="s">
        <v>3336</v>
      </c>
      <c r="D3" t="s">
        <v>3336</v>
      </c>
      <c r="E3" t="s">
        <v>3336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2931</v>
      </c>
      <c r="B4" t="s">
        <v>3345</v>
      </c>
      <c r="C4" t="s">
        <v>3337</v>
      </c>
      <c r="D4" t="s">
        <v>3337</v>
      </c>
      <c r="E4" t="s">
        <v>3337</v>
      </c>
      <c r="F4" t="s">
        <v>2440</v>
      </c>
      <c r="G4" t="s">
        <v>2440</v>
      </c>
      <c r="H4" t="s">
        <v>2440</v>
      </c>
      <c r="I4" t="s">
        <v>2440</v>
      </c>
    </row>
    <row r="5" spans="1:9" x14ac:dyDescent="0.25">
      <c r="A5" t="s">
        <v>2933</v>
      </c>
      <c r="B5" t="s">
        <v>3345</v>
      </c>
      <c r="C5" t="s">
        <v>3338</v>
      </c>
      <c r="D5" t="s">
        <v>3338</v>
      </c>
      <c r="E5" t="s">
        <v>3338</v>
      </c>
      <c r="F5" t="s">
        <v>2440</v>
      </c>
      <c r="G5" t="s">
        <v>2440</v>
      </c>
      <c r="H5" t="s">
        <v>2440</v>
      </c>
      <c r="I5" t="s">
        <v>2440</v>
      </c>
    </row>
    <row r="6" spans="1:9" x14ac:dyDescent="0.25">
      <c r="A6" t="s">
        <v>2935</v>
      </c>
      <c r="B6" t="s">
        <v>3345</v>
      </c>
      <c r="C6" t="s">
        <v>3339</v>
      </c>
      <c r="D6" t="s">
        <v>3339</v>
      </c>
      <c r="E6" t="s">
        <v>3339</v>
      </c>
      <c r="F6" t="s">
        <v>2440</v>
      </c>
      <c r="G6" t="s">
        <v>2440</v>
      </c>
      <c r="H6" t="s">
        <v>2440</v>
      </c>
      <c r="I6" t="s">
        <v>2440</v>
      </c>
    </row>
    <row r="7" spans="1:9" x14ac:dyDescent="0.25">
      <c r="A7" t="s">
        <v>2937</v>
      </c>
      <c r="B7" t="s">
        <v>3345</v>
      </c>
      <c r="C7" t="s">
        <v>3340</v>
      </c>
      <c r="D7" t="s">
        <v>3340</v>
      </c>
      <c r="E7" t="s">
        <v>3340</v>
      </c>
      <c r="F7" t="s">
        <v>2440</v>
      </c>
      <c r="G7" t="s">
        <v>2440</v>
      </c>
      <c r="H7" t="s">
        <v>2440</v>
      </c>
      <c r="I7" t="s">
        <v>2440</v>
      </c>
    </row>
    <row r="8" spans="1:9" x14ac:dyDescent="0.25">
      <c r="A8" t="s">
        <v>2939</v>
      </c>
      <c r="B8" t="s">
        <v>3345</v>
      </c>
      <c r="C8" t="s">
        <v>3341</v>
      </c>
      <c r="D8" t="s">
        <v>3341</v>
      </c>
      <c r="E8" t="s">
        <v>3341</v>
      </c>
      <c r="F8" t="s">
        <v>2440</v>
      </c>
      <c r="G8" t="s">
        <v>2440</v>
      </c>
      <c r="H8" t="s">
        <v>2440</v>
      </c>
      <c r="I8" t="s">
        <v>2440</v>
      </c>
    </row>
    <row r="9" spans="1:9" x14ac:dyDescent="0.25">
      <c r="A9" t="s">
        <v>2941</v>
      </c>
      <c r="B9" t="s">
        <v>3345</v>
      </c>
      <c r="C9" t="s">
        <v>3342</v>
      </c>
      <c r="D9" t="s">
        <v>3342</v>
      </c>
      <c r="E9" t="s">
        <v>3342</v>
      </c>
      <c r="F9" t="s">
        <v>2440</v>
      </c>
      <c r="G9" t="s">
        <v>2440</v>
      </c>
      <c r="H9" t="s">
        <v>2440</v>
      </c>
      <c r="I9" t="s">
        <v>2440</v>
      </c>
    </row>
    <row r="10" spans="1:9" x14ac:dyDescent="0.25">
      <c r="A10" t="s">
        <v>2943</v>
      </c>
      <c r="B10" t="s">
        <v>3345</v>
      </c>
      <c r="C10" t="s">
        <v>3343</v>
      </c>
      <c r="D10" t="s">
        <v>3343</v>
      </c>
      <c r="E10" t="s">
        <v>3343</v>
      </c>
      <c r="F10" t="s">
        <v>2440</v>
      </c>
      <c r="G10" t="s">
        <v>2440</v>
      </c>
      <c r="H10" t="s">
        <v>2440</v>
      </c>
      <c r="I10" t="s">
        <v>2440</v>
      </c>
    </row>
    <row r="11" spans="1:9" x14ac:dyDescent="0.25">
      <c r="A11" t="s">
        <v>2989</v>
      </c>
      <c r="B11" t="s">
        <v>3345</v>
      </c>
      <c r="C11" t="s">
        <v>3344</v>
      </c>
      <c r="D11" t="s">
        <v>3344</v>
      </c>
      <c r="E11" t="s">
        <v>3344</v>
      </c>
      <c r="F11" t="s">
        <v>2440</v>
      </c>
      <c r="G11" t="s">
        <v>2440</v>
      </c>
      <c r="H11" t="s">
        <v>2440</v>
      </c>
      <c r="I11" t="s">
        <v>2440</v>
      </c>
    </row>
    <row r="12" spans="1:9" x14ac:dyDescent="0.25">
      <c r="A12" t="s">
        <v>2849</v>
      </c>
      <c r="B12" t="s">
        <v>3331</v>
      </c>
      <c r="C12" t="s">
        <v>3332</v>
      </c>
      <c r="D12" t="s">
        <v>3332</v>
      </c>
      <c r="E12" t="s">
        <v>3332</v>
      </c>
      <c r="F12" t="s">
        <v>2440</v>
      </c>
      <c r="G12" t="s">
        <v>2440</v>
      </c>
      <c r="H12" t="s">
        <v>2440</v>
      </c>
      <c r="I12" t="s">
        <v>2440</v>
      </c>
    </row>
    <row r="13" spans="1:9" x14ac:dyDescent="0.25">
      <c r="A13" t="s">
        <v>2851</v>
      </c>
      <c r="B13" t="s">
        <v>3331</v>
      </c>
      <c r="C13" t="s">
        <v>3333</v>
      </c>
      <c r="D13" t="s">
        <v>3333</v>
      </c>
      <c r="E13" t="s">
        <v>3333</v>
      </c>
      <c r="F13" t="s">
        <v>2440</v>
      </c>
      <c r="G13" t="s">
        <v>2440</v>
      </c>
      <c r="H13" t="s">
        <v>2440</v>
      </c>
      <c r="I13" t="s">
        <v>2440</v>
      </c>
    </row>
    <row r="14" spans="1:9" x14ac:dyDescent="0.25">
      <c r="A14" t="s">
        <v>2854</v>
      </c>
      <c r="B14" t="s">
        <v>3331</v>
      </c>
      <c r="C14" t="s">
        <v>3334</v>
      </c>
      <c r="D14" t="s">
        <v>3334</v>
      </c>
      <c r="E14" t="s">
        <v>3334</v>
      </c>
      <c r="F14" t="s">
        <v>2440</v>
      </c>
      <c r="G14" t="s">
        <v>2440</v>
      </c>
      <c r="H14" t="s">
        <v>2440</v>
      </c>
      <c r="I14" t="s">
        <v>2440</v>
      </c>
    </row>
    <row r="15" spans="1:9" x14ac:dyDescent="0.25">
      <c r="A15" t="s">
        <v>3319</v>
      </c>
      <c r="B15" t="s">
        <v>3321</v>
      </c>
      <c r="C15" t="s">
        <v>3321</v>
      </c>
      <c r="D15" t="s">
        <v>3321</v>
      </c>
      <c r="E15" t="s">
        <v>3322</v>
      </c>
      <c r="F15" t="s">
        <v>2440</v>
      </c>
      <c r="G15" t="s">
        <v>2440</v>
      </c>
      <c r="H15" t="s">
        <v>2440</v>
      </c>
      <c r="I15" t="s">
        <v>2440</v>
      </c>
    </row>
    <row r="16" spans="1:9" x14ac:dyDescent="0.25">
      <c r="A16" t="s">
        <v>3320</v>
      </c>
      <c r="B16" t="s">
        <v>3321</v>
      </c>
      <c r="C16" t="s">
        <v>3321</v>
      </c>
      <c r="D16" t="s">
        <v>3321</v>
      </c>
      <c r="E16" t="s">
        <v>3323</v>
      </c>
      <c r="F16" t="s">
        <v>2440</v>
      </c>
      <c r="G16" t="s">
        <v>2440</v>
      </c>
      <c r="H16" t="s">
        <v>2440</v>
      </c>
      <c r="I16" t="s">
        <v>2440</v>
      </c>
    </row>
    <row r="17" spans="1:9" x14ac:dyDescent="0.25">
      <c r="A17" t="s">
        <v>3324</v>
      </c>
      <c r="B17" t="s">
        <v>3321</v>
      </c>
      <c r="C17" t="s">
        <v>3321</v>
      </c>
      <c r="D17" t="s">
        <v>3321</v>
      </c>
      <c r="E17" t="s">
        <v>3322</v>
      </c>
      <c r="F17" t="s">
        <v>2440</v>
      </c>
      <c r="G17" t="s">
        <v>2440</v>
      </c>
      <c r="H17" t="s">
        <v>2440</v>
      </c>
      <c r="I17" t="s">
        <v>2440</v>
      </c>
    </row>
    <row r="18" spans="1:9" x14ac:dyDescent="0.25">
      <c r="A18" t="s">
        <v>3325</v>
      </c>
      <c r="B18" t="s">
        <v>3321</v>
      </c>
      <c r="C18" t="s">
        <v>3321</v>
      </c>
      <c r="D18" t="s">
        <v>3321</v>
      </c>
      <c r="E18" t="s">
        <v>3323</v>
      </c>
      <c r="F18" t="s">
        <v>2440</v>
      </c>
      <c r="G18" t="s">
        <v>2440</v>
      </c>
      <c r="H18" t="s">
        <v>2440</v>
      </c>
      <c r="I18" t="s">
        <v>2440</v>
      </c>
    </row>
    <row r="19" spans="1:9" x14ac:dyDescent="0.25">
      <c r="A19" t="s">
        <v>3303</v>
      </c>
      <c r="B19" t="s">
        <v>3206</v>
      </c>
      <c r="C19" t="s">
        <v>3206</v>
      </c>
      <c r="D19" t="s">
        <v>3206</v>
      </c>
      <c r="E19" t="str">
        <f t="shared" ref="E19:E37" si="0">"Process Emissions "&amp;RIGHT(A19,LEN(A19)-1)</f>
        <v>Process Emissions 2A1</v>
      </c>
      <c r="F19" t="s">
        <v>2436</v>
      </c>
      <c r="G19" t="s">
        <v>264</v>
      </c>
      <c r="H19" t="s">
        <v>3207</v>
      </c>
      <c r="I19" t="s">
        <v>3207</v>
      </c>
    </row>
    <row r="20" spans="1:9" x14ac:dyDescent="0.25">
      <c r="A20" t="s">
        <v>3304</v>
      </c>
      <c r="B20" t="s">
        <v>3206</v>
      </c>
      <c r="C20" t="s">
        <v>3206</v>
      </c>
      <c r="D20" t="s">
        <v>3206</v>
      </c>
      <c r="E20" t="str">
        <f t="shared" si="0"/>
        <v>Process Emissions 2A2</v>
      </c>
      <c r="F20" t="s">
        <v>2436</v>
      </c>
      <c r="G20" t="s">
        <v>264</v>
      </c>
      <c r="H20" t="s">
        <v>3306</v>
      </c>
      <c r="I20" t="s">
        <v>3306</v>
      </c>
    </row>
    <row r="21" spans="1:9" x14ac:dyDescent="0.25">
      <c r="A21" t="s">
        <v>3305</v>
      </c>
      <c r="B21" t="s">
        <v>3206</v>
      </c>
      <c r="C21" t="s">
        <v>3206</v>
      </c>
      <c r="D21" t="s">
        <v>3206</v>
      </c>
      <c r="E21" t="str">
        <f t="shared" si="0"/>
        <v>Process Emissions 2A3</v>
      </c>
      <c r="F21" t="s">
        <v>2436</v>
      </c>
      <c r="G21" t="s">
        <v>264</v>
      </c>
      <c r="H21" t="s">
        <v>3307</v>
      </c>
      <c r="I21" t="s">
        <v>3307</v>
      </c>
    </row>
    <row r="22" spans="1:9" x14ac:dyDescent="0.25">
      <c r="A22" t="s">
        <v>3294</v>
      </c>
      <c r="B22" t="s">
        <v>3206</v>
      </c>
      <c r="C22" t="s">
        <v>3206</v>
      </c>
      <c r="D22" t="s">
        <v>3206</v>
      </c>
      <c r="E22" t="str">
        <f t="shared" si="0"/>
        <v>Process Emissions 2B1</v>
      </c>
      <c r="F22" t="s">
        <v>2436</v>
      </c>
      <c r="G22" t="s">
        <v>334</v>
      </c>
      <c r="H22" t="s">
        <v>3208</v>
      </c>
      <c r="I22" t="s">
        <v>3208</v>
      </c>
    </row>
    <row r="23" spans="1:9" x14ac:dyDescent="0.25">
      <c r="A23" t="s">
        <v>3295</v>
      </c>
      <c r="B23" t="s">
        <v>3206</v>
      </c>
      <c r="C23" t="s">
        <v>3206</v>
      </c>
      <c r="D23" t="s">
        <v>3206</v>
      </c>
      <c r="E23" t="str">
        <f t="shared" si="0"/>
        <v>Process Emissions 2B2</v>
      </c>
      <c r="F23" t="s">
        <v>2436</v>
      </c>
      <c r="G23" t="s">
        <v>334</v>
      </c>
      <c r="H23" t="s">
        <v>3299</v>
      </c>
      <c r="I23" t="s">
        <v>3299</v>
      </c>
    </row>
    <row r="24" spans="1:9" x14ac:dyDescent="0.25">
      <c r="A24" t="s">
        <v>3296</v>
      </c>
      <c r="B24" t="s">
        <v>3206</v>
      </c>
      <c r="C24" t="s">
        <v>3206</v>
      </c>
      <c r="D24" t="s">
        <v>3206</v>
      </c>
      <c r="E24" t="str">
        <f t="shared" si="0"/>
        <v>Process Emissions 2B5</v>
      </c>
      <c r="F24" t="s">
        <v>2436</v>
      </c>
      <c r="G24" t="s">
        <v>334</v>
      </c>
      <c r="H24" t="s">
        <v>3300</v>
      </c>
      <c r="I24" t="s">
        <v>3300</v>
      </c>
    </row>
    <row r="25" spans="1:9" x14ac:dyDescent="0.25">
      <c r="A25" t="s">
        <v>3297</v>
      </c>
      <c r="B25" t="s">
        <v>3206</v>
      </c>
      <c r="C25" t="s">
        <v>3206</v>
      </c>
      <c r="D25" t="s">
        <v>3206</v>
      </c>
      <c r="E25" t="str">
        <f t="shared" si="0"/>
        <v>Process Emissions 2B6</v>
      </c>
      <c r="F25" t="s">
        <v>2436</v>
      </c>
      <c r="G25" t="s">
        <v>334</v>
      </c>
      <c r="H25" t="s">
        <v>3301</v>
      </c>
      <c r="I25" t="s">
        <v>3301</v>
      </c>
    </row>
    <row r="26" spans="1:9" x14ac:dyDescent="0.25">
      <c r="A26" t="s">
        <v>3298</v>
      </c>
      <c r="B26" t="s">
        <v>3206</v>
      </c>
      <c r="C26" t="s">
        <v>3206</v>
      </c>
      <c r="D26" t="s">
        <v>3206</v>
      </c>
      <c r="E26" t="str">
        <f t="shared" si="0"/>
        <v>Process Emissions 2B8</v>
      </c>
      <c r="F26" t="s">
        <v>2436</v>
      </c>
      <c r="G26" t="s">
        <v>334</v>
      </c>
      <c r="H26" t="s">
        <v>3302</v>
      </c>
      <c r="I26" t="s">
        <v>3302</v>
      </c>
    </row>
    <row r="27" spans="1:9" x14ac:dyDescent="0.25">
      <c r="A27" t="s">
        <v>3203</v>
      </c>
      <c r="B27" t="s">
        <v>3206</v>
      </c>
      <c r="C27" t="s">
        <v>3206</v>
      </c>
      <c r="D27" t="s">
        <v>3206</v>
      </c>
      <c r="E27" t="str">
        <f t="shared" si="0"/>
        <v>Process Emissions 2C1</v>
      </c>
      <c r="F27" t="s">
        <v>2436</v>
      </c>
      <c r="G27" t="s">
        <v>2437</v>
      </c>
      <c r="H27" t="s">
        <v>314</v>
      </c>
      <c r="I27" t="s">
        <v>314</v>
      </c>
    </row>
    <row r="28" spans="1:9" x14ac:dyDescent="0.25">
      <c r="A28" t="s">
        <v>3204</v>
      </c>
      <c r="B28" t="s">
        <v>3206</v>
      </c>
      <c r="C28" t="s">
        <v>3206</v>
      </c>
      <c r="D28" t="s">
        <v>3206</v>
      </c>
      <c r="E28" t="str">
        <f t="shared" si="0"/>
        <v>Process Emissions 2C2</v>
      </c>
      <c r="F28" t="s">
        <v>2436</v>
      </c>
      <c r="G28" t="s">
        <v>2437</v>
      </c>
      <c r="H28" t="s">
        <v>329</v>
      </c>
      <c r="I28" t="s">
        <v>329</v>
      </c>
    </row>
    <row r="29" spans="1:9" x14ac:dyDescent="0.25">
      <c r="A29" t="s">
        <v>3205</v>
      </c>
      <c r="B29" t="s">
        <v>3206</v>
      </c>
      <c r="C29" t="s">
        <v>3206</v>
      </c>
      <c r="D29" t="s">
        <v>3206</v>
      </c>
      <c r="E29" t="str">
        <f t="shared" si="0"/>
        <v>Process Emissions 2C3</v>
      </c>
      <c r="F29" t="s">
        <v>2436</v>
      </c>
      <c r="G29" t="s">
        <v>2437</v>
      </c>
      <c r="H29" t="s">
        <v>273</v>
      </c>
      <c r="I29" t="s">
        <v>273</v>
      </c>
    </row>
    <row r="30" spans="1:9" x14ac:dyDescent="0.25">
      <c r="A30" t="s">
        <v>3290</v>
      </c>
      <c r="B30" t="s">
        <v>3206</v>
      </c>
      <c r="C30" t="s">
        <v>3206</v>
      </c>
      <c r="D30" t="s">
        <v>3206</v>
      </c>
      <c r="E30" t="str">
        <f t="shared" si="0"/>
        <v>Process Emissions 2C5</v>
      </c>
      <c r="F30" t="s">
        <v>2436</v>
      </c>
      <c r="G30" t="s">
        <v>2437</v>
      </c>
      <c r="H30" t="s">
        <v>3292</v>
      </c>
      <c r="I30" t="s">
        <v>3292</v>
      </c>
    </row>
    <row r="31" spans="1:9" x14ac:dyDescent="0.25">
      <c r="A31" t="s">
        <v>3291</v>
      </c>
      <c r="B31" t="s">
        <v>3206</v>
      </c>
      <c r="C31" t="s">
        <v>3206</v>
      </c>
      <c r="D31" t="s">
        <v>3206</v>
      </c>
      <c r="E31" t="str">
        <f t="shared" si="0"/>
        <v>Process Emissions 2C6</v>
      </c>
      <c r="F31" t="s">
        <v>2436</v>
      </c>
      <c r="G31" t="s">
        <v>2437</v>
      </c>
      <c r="H31" t="s">
        <v>3293</v>
      </c>
      <c r="I31" t="s">
        <v>3293</v>
      </c>
    </row>
    <row r="32" spans="1:9" x14ac:dyDescent="0.25">
      <c r="A32" t="s">
        <v>3313</v>
      </c>
      <c r="B32" t="s">
        <v>3206</v>
      </c>
      <c r="C32" t="s">
        <v>3206</v>
      </c>
      <c r="D32" t="s">
        <v>3206</v>
      </c>
      <c r="E32" t="str">
        <f t="shared" si="0"/>
        <v>Process Emissions 2D1</v>
      </c>
      <c r="F32" t="s">
        <v>2436</v>
      </c>
      <c r="G32" t="s">
        <v>3287</v>
      </c>
      <c r="H32" t="s">
        <v>3288</v>
      </c>
      <c r="I32" t="s">
        <v>3288</v>
      </c>
    </row>
    <row r="33" spans="1:9" x14ac:dyDescent="0.25">
      <c r="A33" t="s">
        <v>3314</v>
      </c>
      <c r="B33" t="s">
        <v>3206</v>
      </c>
      <c r="C33" t="s">
        <v>3206</v>
      </c>
      <c r="D33" t="s">
        <v>3206</v>
      </c>
      <c r="E33" t="str">
        <f t="shared" si="0"/>
        <v>Process Emissions 2D2</v>
      </c>
      <c r="F33" t="s">
        <v>2436</v>
      </c>
      <c r="G33" t="s">
        <v>3287</v>
      </c>
      <c r="H33" t="s">
        <v>3289</v>
      </c>
      <c r="I33" t="s">
        <v>3289</v>
      </c>
    </row>
    <row r="34" spans="1:9" x14ac:dyDescent="0.25">
      <c r="A34" t="s">
        <v>3283</v>
      </c>
      <c r="B34" t="s">
        <v>3206</v>
      </c>
      <c r="C34" t="s">
        <v>3206</v>
      </c>
      <c r="D34" t="s">
        <v>3206</v>
      </c>
      <c r="E34" t="str">
        <f t="shared" si="0"/>
        <v>Process Emissions 2F1</v>
      </c>
      <c r="F34" t="s">
        <v>2436</v>
      </c>
      <c r="G34" t="s">
        <v>257</v>
      </c>
      <c r="H34" t="s">
        <v>3209</v>
      </c>
      <c r="I34" t="s">
        <v>3209</v>
      </c>
    </row>
    <row r="35" spans="1:9" x14ac:dyDescent="0.25">
      <c r="A35" t="s">
        <v>3284</v>
      </c>
      <c r="B35" t="s">
        <v>3206</v>
      </c>
      <c r="C35" t="s">
        <v>3206</v>
      </c>
      <c r="D35" t="s">
        <v>3206</v>
      </c>
      <c r="E35" t="str">
        <f t="shared" si="0"/>
        <v>Process Emissions 2F2</v>
      </c>
      <c r="F35" t="s">
        <v>2436</v>
      </c>
      <c r="G35" t="s">
        <v>257</v>
      </c>
      <c r="H35" t="s">
        <v>3281</v>
      </c>
      <c r="I35" t="s">
        <v>3281</v>
      </c>
    </row>
    <row r="36" spans="1:9" x14ac:dyDescent="0.25">
      <c r="A36" t="s">
        <v>3285</v>
      </c>
      <c r="B36" t="s">
        <v>3206</v>
      </c>
      <c r="C36" t="s">
        <v>3206</v>
      </c>
      <c r="D36" t="s">
        <v>3206</v>
      </c>
      <c r="E36" t="str">
        <f t="shared" si="0"/>
        <v>Process Emissions 2F3</v>
      </c>
      <c r="F36" t="s">
        <v>2436</v>
      </c>
      <c r="G36" t="s">
        <v>257</v>
      </c>
      <c r="H36" t="s">
        <v>3282</v>
      </c>
      <c r="I36" t="s">
        <v>3282</v>
      </c>
    </row>
    <row r="37" spans="1:9" x14ac:dyDescent="0.25">
      <c r="A37" t="s">
        <v>3286</v>
      </c>
      <c r="B37" t="s">
        <v>3206</v>
      </c>
      <c r="C37" t="s">
        <v>3206</v>
      </c>
      <c r="D37" t="s">
        <v>3206</v>
      </c>
      <c r="E37" t="str">
        <f t="shared" si="0"/>
        <v>Process Emissions 2F4</v>
      </c>
      <c r="F37" t="s">
        <v>2436</v>
      </c>
      <c r="G37" t="s">
        <v>257</v>
      </c>
      <c r="H37" t="s">
        <v>3280</v>
      </c>
      <c r="I37" t="s">
        <v>3280</v>
      </c>
    </row>
    <row r="38" spans="1:9" x14ac:dyDescent="0.25">
      <c r="A38" t="s">
        <v>3224</v>
      </c>
      <c r="B38" t="s">
        <v>3237</v>
      </c>
      <c r="C38" t="s">
        <v>3237</v>
      </c>
      <c r="D38" t="s">
        <v>3237</v>
      </c>
      <c r="E38" t="str">
        <f t="shared" ref="E38:E50" si="1">"Agri Emissions "&amp;RIGHT(A38,LEN(A38)-1)</f>
        <v>Agri Emissions 3A1a</v>
      </c>
      <c r="F38" t="s">
        <v>3186</v>
      </c>
      <c r="G38" t="s">
        <v>3239</v>
      </c>
      <c r="H38" t="s">
        <v>3240</v>
      </c>
      <c r="I38" t="s">
        <v>3241</v>
      </c>
    </row>
    <row r="39" spans="1:9" x14ac:dyDescent="0.25">
      <c r="A39" t="s">
        <v>3225</v>
      </c>
      <c r="B39" t="s">
        <v>3237</v>
      </c>
      <c r="C39" t="s">
        <v>3237</v>
      </c>
      <c r="D39" t="s">
        <v>3237</v>
      </c>
      <c r="E39" t="str">
        <f t="shared" si="1"/>
        <v>Agri Emissions 3A1c</v>
      </c>
      <c r="F39" t="s">
        <v>3186</v>
      </c>
      <c r="G39" t="s">
        <v>3239</v>
      </c>
      <c r="H39" t="s">
        <v>3240</v>
      </c>
      <c r="I39" t="s">
        <v>3242</v>
      </c>
    </row>
    <row r="40" spans="1:9" x14ac:dyDescent="0.25">
      <c r="A40" t="s">
        <v>3226</v>
      </c>
      <c r="B40" t="s">
        <v>3237</v>
      </c>
      <c r="C40" t="s">
        <v>3237</v>
      </c>
      <c r="D40" t="s">
        <v>3237</v>
      </c>
      <c r="E40" t="str">
        <f t="shared" si="1"/>
        <v>Agri Emissions 3A1d</v>
      </c>
      <c r="F40" t="s">
        <v>3186</v>
      </c>
      <c r="G40" t="s">
        <v>3239</v>
      </c>
      <c r="H40" t="s">
        <v>3240</v>
      </c>
      <c r="I40" t="s">
        <v>3243</v>
      </c>
    </row>
    <row r="41" spans="1:9" x14ac:dyDescent="0.25">
      <c r="A41" t="s">
        <v>3227</v>
      </c>
      <c r="B41" t="s">
        <v>3237</v>
      </c>
      <c r="C41" t="s">
        <v>3237</v>
      </c>
      <c r="D41" t="s">
        <v>3237</v>
      </c>
      <c r="E41" t="str">
        <f t="shared" si="1"/>
        <v>Agri Emissions 3A1f</v>
      </c>
      <c r="F41" t="s">
        <v>3186</v>
      </c>
      <c r="G41" t="s">
        <v>3239</v>
      </c>
      <c r="H41" t="s">
        <v>3240</v>
      </c>
      <c r="I41" t="s">
        <v>3244</v>
      </c>
    </row>
    <row r="42" spans="1:9" x14ac:dyDescent="0.25">
      <c r="A42" t="s">
        <v>3228</v>
      </c>
      <c r="B42" t="s">
        <v>3237</v>
      </c>
      <c r="C42" t="s">
        <v>3237</v>
      </c>
      <c r="D42" t="s">
        <v>3237</v>
      </c>
      <c r="E42" t="str">
        <f t="shared" si="1"/>
        <v>Agri Emissions 3A1g</v>
      </c>
      <c r="F42" t="s">
        <v>3186</v>
      </c>
      <c r="G42" t="s">
        <v>3239</v>
      </c>
      <c r="H42" t="s">
        <v>3240</v>
      </c>
      <c r="I42" t="s">
        <v>3245</v>
      </c>
    </row>
    <row r="43" spans="1:9" x14ac:dyDescent="0.25">
      <c r="A43" t="s">
        <v>3229</v>
      </c>
      <c r="B43" t="s">
        <v>3237</v>
      </c>
      <c r="C43" t="s">
        <v>3237</v>
      </c>
      <c r="D43" t="s">
        <v>3237</v>
      </c>
      <c r="E43" t="str">
        <f t="shared" si="1"/>
        <v>Agri Emissions 3A1h</v>
      </c>
      <c r="F43" t="s">
        <v>3186</v>
      </c>
      <c r="G43" t="s">
        <v>3239</v>
      </c>
      <c r="H43" t="s">
        <v>3240</v>
      </c>
      <c r="I43" t="s">
        <v>3246</v>
      </c>
    </row>
    <row r="44" spans="1:9" x14ac:dyDescent="0.25">
      <c r="A44" t="s">
        <v>3230</v>
      </c>
      <c r="B44" t="s">
        <v>3237</v>
      </c>
      <c r="C44" t="s">
        <v>3237</v>
      </c>
      <c r="D44" t="s">
        <v>3237</v>
      </c>
      <c r="E44" t="str">
        <f t="shared" si="1"/>
        <v>Agri Emissions 3A2a</v>
      </c>
      <c r="F44" t="s">
        <v>3186</v>
      </c>
      <c r="G44" t="s">
        <v>3239</v>
      </c>
      <c r="H44" t="s">
        <v>3247</v>
      </c>
      <c r="I44" t="s">
        <v>3248</v>
      </c>
    </row>
    <row r="45" spans="1:9" x14ac:dyDescent="0.25">
      <c r="A45" t="s">
        <v>3231</v>
      </c>
      <c r="B45" t="s">
        <v>3237</v>
      </c>
      <c r="C45" t="s">
        <v>3237</v>
      </c>
      <c r="D45" t="s">
        <v>3237</v>
      </c>
      <c r="E45" t="str">
        <f t="shared" si="1"/>
        <v>Agri Emissions 3A2c</v>
      </c>
      <c r="F45" t="s">
        <v>3186</v>
      </c>
      <c r="G45" t="s">
        <v>3239</v>
      </c>
      <c r="H45" t="s">
        <v>3247</v>
      </c>
      <c r="I45" t="s">
        <v>3249</v>
      </c>
    </row>
    <row r="46" spans="1:9" x14ac:dyDescent="0.25">
      <c r="A46" t="s">
        <v>3232</v>
      </c>
      <c r="B46" t="s">
        <v>3237</v>
      </c>
      <c r="C46" t="s">
        <v>3237</v>
      </c>
      <c r="D46" t="s">
        <v>3237</v>
      </c>
      <c r="E46" t="str">
        <f t="shared" si="1"/>
        <v>Agri Emissions 3A2d</v>
      </c>
      <c r="F46" t="s">
        <v>3186</v>
      </c>
      <c r="G46" t="s">
        <v>3239</v>
      </c>
      <c r="H46" t="s">
        <v>3247</v>
      </c>
      <c r="I46" t="s">
        <v>3250</v>
      </c>
    </row>
    <row r="47" spans="1:9" x14ac:dyDescent="0.25">
      <c r="A47" t="s">
        <v>3233</v>
      </c>
      <c r="B47" t="s">
        <v>3237</v>
      </c>
      <c r="C47" t="s">
        <v>3237</v>
      </c>
      <c r="D47" t="s">
        <v>3237</v>
      </c>
      <c r="E47" t="str">
        <f t="shared" si="1"/>
        <v>Agri Emissions 3A2f</v>
      </c>
      <c r="F47" t="s">
        <v>3186</v>
      </c>
      <c r="G47" t="s">
        <v>3239</v>
      </c>
      <c r="H47" t="s">
        <v>3247</v>
      </c>
      <c r="I47" t="s">
        <v>3251</v>
      </c>
    </row>
    <row r="48" spans="1:9" x14ac:dyDescent="0.25">
      <c r="A48" t="s">
        <v>3234</v>
      </c>
      <c r="B48" t="s">
        <v>3237</v>
      </c>
      <c r="C48" t="s">
        <v>3237</v>
      </c>
      <c r="D48" t="s">
        <v>3237</v>
      </c>
      <c r="E48" t="str">
        <f t="shared" si="1"/>
        <v>Agri Emissions 3A2g</v>
      </c>
      <c r="F48" t="s">
        <v>3186</v>
      </c>
      <c r="G48" t="s">
        <v>3239</v>
      </c>
      <c r="H48" t="s">
        <v>3247</v>
      </c>
      <c r="I48" t="s">
        <v>3252</v>
      </c>
    </row>
    <row r="49" spans="1:9" x14ac:dyDescent="0.25">
      <c r="A49" t="s">
        <v>3235</v>
      </c>
      <c r="B49" t="s">
        <v>3237</v>
      </c>
      <c r="C49" t="s">
        <v>3237</v>
      </c>
      <c r="D49" t="s">
        <v>3237</v>
      </c>
      <c r="E49" t="str">
        <f t="shared" si="1"/>
        <v>Agri Emissions 3A2h</v>
      </c>
      <c r="F49" t="s">
        <v>3186</v>
      </c>
      <c r="G49" t="s">
        <v>3239</v>
      </c>
      <c r="H49" t="s">
        <v>3247</v>
      </c>
      <c r="I49" t="s">
        <v>3253</v>
      </c>
    </row>
    <row r="50" spans="1:9" x14ac:dyDescent="0.25">
      <c r="A50" t="s">
        <v>3236</v>
      </c>
      <c r="B50" t="s">
        <v>3237</v>
      </c>
      <c r="C50" t="s">
        <v>3237</v>
      </c>
      <c r="D50" t="s">
        <v>3237</v>
      </c>
      <c r="E50" t="str">
        <f t="shared" si="1"/>
        <v>Agri Emissions 3A2i</v>
      </c>
      <c r="F50" t="s">
        <v>3186</v>
      </c>
      <c r="G50" t="s">
        <v>3239</v>
      </c>
      <c r="H50" t="s">
        <v>3247</v>
      </c>
      <c r="I50" t="s">
        <v>3254</v>
      </c>
    </row>
    <row r="51" spans="1:9" x14ac:dyDescent="0.25">
      <c r="A51" t="s">
        <v>3171</v>
      </c>
      <c r="B51" t="s">
        <v>3238</v>
      </c>
      <c r="C51" t="s">
        <v>3238</v>
      </c>
      <c r="D51" t="s">
        <v>3238</v>
      </c>
      <c r="E51" t="str">
        <f t="shared" ref="E51:E61" si="2">"Land Emissions "&amp;RIGHT(A51,LEN(A51)-1)</f>
        <v>Land Emissions 3B1a</v>
      </c>
      <c r="F51" t="s">
        <v>3186</v>
      </c>
      <c r="G51" t="s">
        <v>3182</v>
      </c>
      <c r="H51" t="s">
        <v>3187</v>
      </c>
      <c r="I51" t="s">
        <v>3183</v>
      </c>
    </row>
    <row r="52" spans="1:9" x14ac:dyDescent="0.25">
      <c r="A52" t="s">
        <v>3172</v>
      </c>
      <c r="B52" t="s">
        <v>3238</v>
      </c>
      <c r="C52" t="s">
        <v>3238</v>
      </c>
      <c r="D52" t="s">
        <v>3238</v>
      </c>
      <c r="E52" t="str">
        <f t="shared" si="2"/>
        <v>Land Emissions 3B1b</v>
      </c>
      <c r="F52" t="s">
        <v>3186</v>
      </c>
      <c r="G52" t="s">
        <v>3182</v>
      </c>
      <c r="H52" t="s">
        <v>3188</v>
      </c>
      <c r="I52" t="s">
        <v>3184</v>
      </c>
    </row>
    <row r="53" spans="1:9" x14ac:dyDescent="0.25">
      <c r="A53" t="s">
        <v>3173</v>
      </c>
      <c r="B53" t="s">
        <v>3238</v>
      </c>
      <c r="C53" t="s">
        <v>3238</v>
      </c>
      <c r="D53" t="s">
        <v>3238</v>
      </c>
      <c r="E53" t="str">
        <f t="shared" si="2"/>
        <v>Land Emissions 3B2a</v>
      </c>
      <c r="F53" t="s">
        <v>3186</v>
      </c>
      <c r="G53" t="s">
        <v>3182</v>
      </c>
      <c r="H53" t="s">
        <v>3189</v>
      </c>
      <c r="I53" t="s">
        <v>3190</v>
      </c>
    </row>
    <row r="54" spans="1:9" x14ac:dyDescent="0.25">
      <c r="A54" t="s">
        <v>3174</v>
      </c>
      <c r="B54" t="s">
        <v>3238</v>
      </c>
      <c r="C54" t="s">
        <v>3238</v>
      </c>
      <c r="D54" t="s">
        <v>3238</v>
      </c>
      <c r="E54" t="str">
        <f t="shared" si="2"/>
        <v>Land Emissions 3B2b</v>
      </c>
      <c r="F54" t="s">
        <v>3186</v>
      </c>
      <c r="G54" t="s">
        <v>3182</v>
      </c>
      <c r="H54" t="s">
        <v>3189</v>
      </c>
      <c r="I54" t="s">
        <v>3191</v>
      </c>
    </row>
    <row r="55" spans="1:9" x14ac:dyDescent="0.25">
      <c r="A55" t="s">
        <v>3175</v>
      </c>
      <c r="B55" t="s">
        <v>3238</v>
      </c>
      <c r="C55" t="s">
        <v>3238</v>
      </c>
      <c r="D55" t="s">
        <v>3238</v>
      </c>
      <c r="E55" t="str">
        <f t="shared" si="2"/>
        <v>Land Emissions 3B3a</v>
      </c>
      <c r="F55" t="s">
        <v>3186</v>
      </c>
      <c r="G55" t="s">
        <v>3182</v>
      </c>
      <c r="H55" t="s">
        <v>3192</v>
      </c>
      <c r="I55" t="s">
        <v>3193</v>
      </c>
    </row>
    <row r="56" spans="1:9" x14ac:dyDescent="0.25">
      <c r="A56" t="s">
        <v>3176</v>
      </c>
      <c r="B56" t="s">
        <v>3238</v>
      </c>
      <c r="C56" t="s">
        <v>3238</v>
      </c>
      <c r="D56" t="s">
        <v>3238</v>
      </c>
      <c r="E56" t="str">
        <f t="shared" si="2"/>
        <v>Land Emissions 3B3b</v>
      </c>
      <c r="F56" t="s">
        <v>3186</v>
      </c>
      <c r="G56" t="s">
        <v>3182</v>
      </c>
      <c r="H56" t="s">
        <v>3194</v>
      </c>
      <c r="I56" t="s">
        <v>3195</v>
      </c>
    </row>
    <row r="57" spans="1:9" x14ac:dyDescent="0.25">
      <c r="A57" t="s">
        <v>3317</v>
      </c>
      <c r="B57" t="s">
        <v>3238</v>
      </c>
      <c r="C57" t="s">
        <v>3238</v>
      </c>
      <c r="D57" t="s">
        <v>3238</v>
      </c>
      <c r="E57" t="str">
        <f t="shared" si="2"/>
        <v>Land Emissions 3B4</v>
      </c>
      <c r="F57" t="s">
        <v>3186</v>
      </c>
      <c r="G57" t="s">
        <v>3182</v>
      </c>
      <c r="H57" t="s">
        <v>3318</v>
      </c>
      <c r="I57" t="s">
        <v>3318</v>
      </c>
    </row>
    <row r="58" spans="1:9" x14ac:dyDescent="0.25">
      <c r="A58" t="s">
        <v>3177</v>
      </c>
      <c r="B58" t="s">
        <v>3238</v>
      </c>
      <c r="C58" t="s">
        <v>3238</v>
      </c>
      <c r="D58" t="s">
        <v>3238</v>
      </c>
      <c r="E58" t="str">
        <f t="shared" si="2"/>
        <v>Land Emissions 3B5a</v>
      </c>
      <c r="F58" t="s">
        <v>3186</v>
      </c>
      <c r="G58" t="s">
        <v>3182</v>
      </c>
      <c r="H58" t="s">
        <v>3196</v>
      </c>
      <c r="I58" t="s">
        <v>3197</v>
      </c>
    </row>
    <row r="59" spans="1:9" x14ac:dyDescent="0.25">
      <c r="A59" t="s">
        <v>3178</v>
      </c>
      <c r="B59" t="s">
        <v>3238</v>
      </c>
      <c r="C59" t="s">
        <v>3238</v>
      </c>
      <c r="D59" t="s">
        <v>3238</v>
      </c>
      <c r="E59" t="str">
        <f t="shared" si="2"/>
        <v>Land Emissions 3B5b</v>
      </c>
      <c r="F59" t="s">
        <v>3186</v>
      </c>
      <c r="G59" t="s">
        <v>3182</v>
      </c>
      <c r="H59" t="s">
        <v>3196</v>
      </c>
      <c r="I59" t="s">
        <v>3198</v>
      </c>
    </row>
    <row r="60" spans="1:9" x14ac:dyDescent="0.25">
      <c r="A60" t="s">
        <v>3179</v>
      </c>
      <c r="B60" t="s">
        <v>3238</v>
      </c>
      <c r="C60" t="s">
        <v>3238</v>
      </c>
      <c r="D60" t="s">
        <v>3238</v>
      </c>
      <c r="E60" t="str">
        <f t="shared" si="2"/>
        <v>Land Emissions 3B6a</v>
      </c>
      <c r="F60" t="s">
        <v>3186</v>
      </c>
      <c r="G60" t="s">
        <v>3182</v>
      </c>
      <c r="H60" t="s">
        <v>3199</v>
      </c>
      <c r="I60" t="s">
        <v>3200</v>
      </c>
    </row>
    <row r="61" spans="1:9" x14ac:dyDescent="0.25">
      <c r="A61" t="s">
        <v>3180</v>
      </c>
      <c r="B61" t="s">
        <v>3238</v>
      </c>
      <c r="C61" t="s">
        <v>3238</v>
      </c>
      <c r="D61" t="s">
        <v>3238</v>
      </c>
      <c r="E61" t="str">
        <f t="shared" si="2"/>
        <v>Land Emissions 3B6b</v>
      </c>
      <c r="F61" t="s">
        <v>3186</v>
      </c>
      <c r="G61" t="s">
        <v>3182</v>
      </c>
      <c r="H61" t="s">
        <v>3199</v>
      </c>
      <c r="I61" t="s">
        <v>3201</v>
      </c>
    </row>
    <row r="62" spans="1:9" x14ac:dyDescent="0.25">
      <c r="A62" t="s">
        <v>3255</v>
      </c>
      <c r="B62" t="s">
        <v>3237</v>
      </c>
      <c r="C62" t="s">
        <v>3237</v>
      </c>
      <c r="D62" t="s">
        <v>3237</v>
      </c>
      <c r="E62" t="str">
        <f t="shared" ref="E62:E72" si="3">"Agri Emissions "&amp;RIGHT(A62,LEN(A62)-1)</f>
        <v>Agri Emissions 3C1a</v>
      </c>
      <c r="F62" t="s">
        <v>3186</v>
      </c>
      <c r="G62" t="s">
        <v>3266</v>
      </c>
      <c r="H62" t="s">
        <v>3273</v>
      </c>
      <c r="I62" t="s">
        <v>3274</v>
      </c>
    </row>
    <row r="63" spans="1:9" x14ac:dyDescent="0.25">
      <c r="A63" t="s">
        <v>3256</v>
      </c>
      <c r="B63" t="s">
        <v>3237</v>
      </c>
      <c r="C63" t="s">
        <v>3237</v>
      </c>
      <c r="D63" t="s">
        <v>3237</v>
      </c>
      <c r="E63" t="str">
        <f t="shared" si="3"/>
        <v>Agri Emissions 3C1b</v>
      </c>
      <c r="F63" t="s">
        <v>3186</v>
      </c>
      <c r="G63" t="s">
        <v>3266</v>
      </c>
      <c r="H63" t="s">
        <v>3273</v>
      </c>
      <c r="I63" t="s">
        <v>3275</v>
      </c>
    </row>
    <row r="64" spans="1:9" x14ac:dyDescent="0.25">
      <c r="A64" t="s">
        <v>3257</v>
      </c>
      <c r="B64" t="s">
        <v>3237</v>
      </c>
      <c r="C64" t="s">
        <v>3237</v>
      </c>
      <c r="D64" t="s">
        <v>3237</v>
      </c>
      <c r="E64" t="str">
        <f t="shared" si="3"/>
        <v>Agri Emissions 3C1c</v>
      </c>
      <c r="F64" t="s">
        <v>3186</v>
      </c>
      <c r="G64" t="s">
        <v>3266</v>
      </c>
      <c r="H64" t="s">
        <v>3273</v>
      </c>
      <c r="I64" t="s">
        <v>3276</v>
      </c>
    </row>
    <row r="65" spans="1:9" x14ac:dyDescent="0.25">
      <c r="A65" t="s">
        <v>3258</v>
      </c>
      <c r="B65" t="s">
        <v>3237</v>
      </c>
      <c r="C65" t="s">
        <v>3237</v>
      </c>
      <c r="D65" t="s">
        <v>3237</v>
      </c>
      <c r="E65" t="str">
        <f t="shared" si="3"/>
        <v>Agri Emissions 3C1d</v>
      </c>
      <c r="F65" t="s">
        <v>3186</v>
      </c>
      <c r="G65" t="s">
        <v>3266</v>
      </c>
      <c r="H65" t="s">
        <v>3273</v>
      </c>
      <c r="I65" t="s">
        <v>3277</v>
      </c>
    </row>
    <row r="66" spans="1:9" x14ac:dyDescent="0.25">
      <c r="A66" t="s">
        <v>3259</v>
      </c>
      <c r="B66" t="s">
        <v>3237</v>
      </c>
      <c r="C66" t="s">
        <v>3237</v>
      </c>
      <c r="D66" t="s">
        <v>3237</v>
      </c>
      <c r="E66" t="str">
        <f t="shared" si="3"/>
        <v>Agri Emissions 3C1e</v>
      </c>
      <c r="F66" t="s">
        <v>3186</v>
      </c>
      <c r="G66" t="s">
        <v>3266</v>
      </c>
      <c r="H66" t="s">
        <v>3273</v>
      </c>
      <c r="I66" t="s">
        <v>3278</v>
      </c>
    </row>
    <row r="67" spans="1:9" x14ac:dyDescent="0.25">
      <c r="A67" t="s">
        <v>3260</v>
      </c>
      <c r="B67" t="s">
        <v>3237</v>
      </c>
      <c r="C67" t="s">
        <v>3237</v>
      </c>
      <c r="D67" t="s">
        <v>3237</v>
      </c>
      <c r="E67" t="str">
        <f t="shared" si="3"/>
        <v>Agri Emissions 3C1f</v>
      </c>
      <c r="F67" t="s">
        <v>3186</v>
      </c>
      <c r="G67" t="s">
        <v>3266</v>
      </c>
      <c r="H67" t="s">
        <v>3273</v>
      </c>
      <c r="I67" t="s">
        <v>3279</v>
      </c>
    </row>
    <row r="68" spans="1:9" x14ac:dyDescent="0.25">
      <c r="A68" t="s">
        <v>3264</v>
      </c>
      <c r="B68" t="s">
        <v>3237</v>
      </c>
      <c r="C68" t="s">
        <v>3237</v>
      </c>
      <c r="D68" t="s">
        <v>3237</v>
      </c>
      <c r="E68" t="str">
        <f t="shared" si="3"/>
        <v>Agri Emissions 3C2</v>
      </c>
      <c r="F68" t="s">
        <v>3186</v>
      </c>
      <c r="G68" t="s">
        <v>3266</v>
      </c>
      <c r="H68" t="s">
        <v>3267</v>
      </c>
      <c r="I68" t="s">
        <v>3267</v>
      </c>
    </row>
    <row r="69" spans="1:9" x14ac:dyDescent="0.25">
      <c r="A69" t="s">
        <v>3265</v>
      </c>
      <c r="B69" t="s">
        <v>3237</v>
      </c>
      <c r="C69" t="s">
        <v>3237</v>
      </c>
      <c r="D69" t="s">
        <v>3237</v>
      </c>
      <c r="E69" t="str">
        <f t="shared" si="3"/>
        <v>Agri Emissions 3C3</v>
      </c>
      <c r="F69" t="s">
        <v>3186</v>
      </c>
      <c r="G69" t="s">
        <v>3266</v>
      </c>
      <c r="H69" t="s">
        <v>3268</v>
      </c>
      <c r="I69" t="s">
        <v>3268</v>
      </c>
    </row>
    <row r="70" spans="1:9" x14ac:dyDescent="0.25">
      <c r="A70" t="s">
        <v>3261</v>
      </c>
      <c r="B70" t="s">
        <v>3237</v>
      </c>
      <c r="C70" t="s">
        <v>3237</v>
      </c>
      <c r="D70" t="s">
        <v>3237</v>
      </c>
      <c r="E70" t="str">
        <f t="shared" si="3"/>
        <v>Agri Emissions 3C4</v>
      </c>
      <c r="F70" t="s">
        <v>3186</v>
      </c>
      <c r="G70" t="s">
        <v>3266</v>
      </c>
      <c r="H70" t="s">
        <v>3269</v>
      </c>
      <c r="I70" t="s">
        <v>3269</v>
      </c>
    </row>
    <row r="71" spans="1:9" x14ac:dyDescent="0.25">
      <c r="A71" t="s">
        <v>3262</v>
      </c>
      <c r="B71" t="s">
        <v>3237</v>
      </c>
      <c r="C71" t="s">
        <v>3237</v>
      </c>
      <c r="D71" t="s">
        <v>3237</v>
      </c>
      <c r="E71" t="str">
        <f t="shared" si="3"/>
        <v>Agri Emissions 3C5</v>
      </c>
      <c r="F71" t="s">
        <v>3186</v>
      </c>
      <c r="G71" t="s">
        <v>3266</v>
      </c>
      <c r="H71" t="s">
        <v>3270</v>
      </c>
      <c r="I71" t="s">
        <v>3270</v>
      </c>
    </row>
    <row r="72" spans="1:9" x14ac:dyDescent="0.25">
      <c r="A72" t="s">
        <v>3263</v>
      </c>
      <c r="B72" t="s">
        <v>3237</v>
      </c>
      <c r="C72" t="s">
        <v>3237</v>
      </c>
      <c r="D72" t="s">
        <v>3237</v>
      </c>
      <c r="E72" t="str">
        <f t="shared" si="3"/>
        <v>Agri Emissions 3C6</v>
      </c>
      <c r="F72" t="s">
        <v>3186</v>
      </c>
      <c r="G72" t="s">
        <v>3266</v>
      </c>
      <c r="H72" t="s">
        <v>3271</v>
      </c>
      <c r="I72" t="s">
        <v>3272</v>
      </c>
    </row>
    <row r="73" spans="1:9" x14ac:dyDescent="0.25">
      <c r="A73" t="s">
        <v>3181</v>
      </c>
      <c r="B73" t="s">
        <v>3238</v>
      </c>
      <c r="C73" t="s">
        <v>3238</v>
      </c>
      <c r="D73" t="s">
        <v>3238</v>
      </c>
      <c r="E73" t="str">
        <f>"Land Emissions "&amp;RIGHT(A73,LEN(A73)-1)</f>
        <v>Land Emissions 3D1</v>
      </c>
      <c r="F73" t="s">
        <v>3186</v>
      </c>
      <c r="G73" t="s">
        <v>3185</v>
      </c>
      <c r="H73" t="s">
        <v>3202</v>
      </c>
      <c r="I73" t="s">
        <v>3202</v>
      </c>
    </row>
    <row r="74" spans="1:9" x14ac:dyDescent="0.25">
      <c r="A74" t="s">
        <v>3216</v>
      </c>
      <c r="B74" t="s">
        <v>1787</v>
      </c>
      <c r="C74" t="s">
        <v>1787</v>
      </c>
      <c r="D74" t="s">
        <v>1787</v>
      </c>
      <c r="E74" t="str">
        <f>"Waste Emissions "&amp;RIGHT(A74,LEN(A74)-1)</f>
        <v>Waste Emissions 4A</v>
      </c>
      <c r="F74" t="s">
        <v>3219</v>
      </c>
      <c r="G74" t="s">
        <v>3220</v>
      </c>
      <c r="H74" t="s">
        <v>3220</v>
      </c>
      <c r="I74" t="s">
        <v>3220</v>
      </c>
    </row>
    <row r="75" spans="1:9" x14ac:dyDescent="0.25">
      <c r="A75" t="s">
        <v>3217</v>
      </c>
      <c r="B75" t="s">
        <v>1787</v>
      </c>
      <c r="C75" t="s">
        <v>1787</v>
      </c>
      <c r="D75" t="s">
        <v>1787</v>
      </c>
      <c r="E75" t="str">
        <f>"Waste Emissions "&amp;RIGHT(A75,LEN(A75)-1)</f>
        <v>Waste Emissions 4B</v>
      </c>
      <c r="F75" t="s">
        <v>3219</v>
      </c>
      <c r="G75" t="s">
        <v>3223</v>
      </c>
      <c r="H75" t="s">
        <v>3223</v>
      </c>
      <c r="I75" t="s">
        <v>3223</v>
      </c>
    </row>
    <row r="76" spans="1:9" x14ac:dyDescent="0.25">
      <c r="A76" t="s">
        <v>3215</v>
      </c>
      <c r="B76" t="s">
        <v>1787</v>
      </c>
      <c r="C76" t="s">
        <v>1787</v>
      </c>
      <c r="D76" t="s">
        <v>1787</v>
      </c>
      <c r="E76" t="str">
        <f>"Waste Emissions "&amp;RIGHT(A76,LEN(A76)-1)</f>
        <v>Waste Emissions 4C2</v>
      </c>
      <c r="F76" t="s">
        <v>3219</v>
      </c>
      <c r="G76" t="s">
        <v>3221</v>
      </c>
      <c r="H76" t="s">
        <v>3221</v>
      </c>
      <c r="I76" t="s">
        <v>3221</v>
      </c>
    </row>
    <row r="77" spans="1:9" x14ac:dyDescent="0.25">
      <c r="A77" t="s">
        <v>3218</v>
      </c>
      <c r="B77" t="s">
        <v>1787</v>
      </c>
      <c r="C77" t="s">
        <v>1787</v>
      </c>
      <c r="D77" t="s">
        <v>1787</v>
      </c>
      <c r="E77" t="str">
        <f>"Waste Emissions "&amp;RIGHT(A77,LEN(A77)-1)</f>
        <v>Waste Emissions 4D1</v>
      </c>
      <c r="F77" t="s">
        <v>3219</v>
      </c>
      <c r="G77" t="s">
        <v>3222</v>
      </c>
      <c r="H77" t="s">
        <v>3222</v>
      </c>
      <c r="I77" t="s">
        <v>3222</v>
      </c>
    </row>
    <row r="78" spans="1:9" x14ac:dyDescent="0.25">
      <c r="A78" t="s">
        <v>1663</v>
      </c>
      <c r="B78" t="s">
        <v>1637</v>
      </c>
      <c r="C78" t="s">
        <v>1637</v>
      </c>
      <c r="D78" t="s">
        <v>0</v>
      </c>
      <c r="E78" t="s">
        <v>1662</v>
      </c>
      <c r="F78" t="str">
        <f>INDEX(IPCCMaps!H:H,MATCH(mapPRC!C78,IPCCMaps!G:G,0))</f>
        <v>1 Energy</v>
      </c>
      <c r="G78" t="str">
        <f>INDEX(IPCCMaps!I:I,MATCH(mapPRC!C78,IPCCMaps!G:G,0))</f>
        <v>1A Fuel Combustion Activities</v>
      </c>
      <c r="H78" t="str">
        <f>INDEX(IPCCMaps!J:J,MATCH(mapPRC!C78,IPCCMaps!G:G,0))</f>
        <v>1A4 Other Sectors</v>
      </c>
      <c r="I78" t="str">
        <f>INDEX(IPCCMaps!K:K,MATCH(mapPRC!C78,IPCCMaps!G:G,0))</f>
        <v>1A4c Agriculture/Forestry/Fishing/Fish Farms</v>
      </c>
    </row>
    <row r="79" spans="1:9" x14ac:dyDescent="0.25">
      <c r="A79" t="s">
        <v>1661</v>
      </c>
      <c r="B79" t="s">
        <v>1637</v>
      </c>
      <c r="C79" t="s">
        <v>1637</v>
      </c>
      <c r="D79" t="s">
        <v>0</v>
      </c>
      <c r="E79" t="s">
        <v>1660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1A4c Agriculture/Forestry/Fishing/Fish Farms</v>
      </c>
    </row>
    <row r="80" spans="1:9" x14ac:dyDescent="0.25">
      <c r="A80" t="s">
        <v>1659</v>
      </c>
      <c r="B80" t="s">
        <v>1637</v>
      </c>
      <c r="C80" t="s">
        <v>1637</v>
      </c>
      <c r="D80" t="s">
        <v>0</v>
      </c>
      <c r="E80" t="s">
        <v>1658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1657</v>
      </c>
      <c r="B81" t="s">
        <v>1637</v>
      </c>
      <c r="C81" t="s">
        <v>1637</v>
      </c>
      <c r="D81" t="s">
        <v>0</v>
      </c>
      <c r="E81" t="s">
        <v>1656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1655</v>
      </c>
      <c r="B82" t="s">
        <v>1637</v>
      </c>
      <c r="C82" t="s">
        <v>1637</v>
      </c>
      <c r="D82" t="s">
        <v>0</v>
      </c>
      <c r="E82" t="s">
        <v>1654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1653</v>
      </c>
      <c r="B83" t="s">
        <v>1637</v>
      </c>
      <c r="C83" t="s">
        <v>1637</v>
      </c>
      <c r="D83" t="s">
        <v>0</v>
      </c>
      <c r="E83" t="s">
        <v>1652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1651</v>
      </c>
      <c r="B84" t="s">
        <v>1637</v>
      </c>
      <c r="C84" t="s">
        <v>1637</v>
      </c>
      <c r="D84" t="s">
        <v>0</v>
      </c>
      <c r="E84" t="s">
        <v>1650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1649</v>
      </c>
      <c r="B85" t="s">
        <v>1637</v>
      </c>
      <c r="C85" t="s">
        <v>1637</v>
      </c>
      <c r="D85" t="s">
        <v>0</v>
      </c>
      <c r="E85" t="s">
        <v>1648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1647</v>
      </c>
      <c r="B86" t="s">
        <v>1637</v>
      </c>
      <c r="C86" t="s">
        <v>1637</v>
      </c>
      <c r="D86" t="s">
        <v>0</v>
      </c>
      <c r="E86" t="s">
        <v>1646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1645</v>
      </c>
      <c r="B87" t="s">
        <v>1637</v>
      </c>
      <c r="C87" t="s">
        <v>1637</v>
      </c>
      <c r="D87" t="s">
        <v>0</v>
      </c>
      <c r="E87" t="s">
        <v>1644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1643</v>
      </c>
      <c r="B88" t="s">
        <v>1637</v>
      </c>
      <c r="C88" t="s">
        <v>1637</v>
      </c>
      <c r="D88" t="s">
        <v>0</v>
      </c>
      <c r="E88" t="s">
        <v>1642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1641</v>
      </c>
      <c r="B89" t="s">
        <v>1637</v>
      </c>
      <c r="C89" t="s">
        <v>1637</v>
      </c>
      <c r="D89" t="s">
        <v>0</v>
      </c>
      <c r="E89" t="s">
        <v>1640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1639</v>
      </c>
      <c r="B90" t="s">
        <v>1637</v>
      </c>
      <c r="C90" t="s">
        <v>1637</v>
      </c>
      <c r="D90" t="s">
        <v>0</v>
      </c>
      <c r="E90" t="s">
        <v>1638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1636</v>
      </c>
      <c r="B91" t="s">
        <v>1487</v>
      </c>
      <c r="C91" t="s">
        <v>1593</v>
      </c>
      <c r="D91" t="s">
        <v>1061</v>
      </c>
      <c r="E91" t="s">
        <v>1591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1A4a Commercial/Institutional</v>
      </c>
    </row>
    <row r="92" spans="1:9" x14ac:dyDescent="0.25">
      <c r="A92" t="s">
        <v>1635</v>
      </c>
      <c r="B92" t="s">
        <v>1487</v>
      </c>
      <c r="C92" t="s">
        <v>1593</v>
      </c>
      <c r="D92" t="s">
        <v>1061</v>
      </c>
      <c r="E92" t="s">
        <v>1589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1634</v>
      </c>
      <c r="B93" t="s">
        <v>1487</v>
      </c>
      <c r="C93" t="s">
        <v>1593</v>
      </c>
      <c r="D93" t="s">
        <v>1061</v>
      </c>
      <c r="E93" t="s">
        <v>1587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1633</v>
      </c>
      <c r="B94" t="s">
        <v>1487</v>
      </c>
      <c r="C94" t="s">
        <v>1593</v>
      </c>
      <c r="D94" t="s">
        <v>1061</v>
      </c>
      <c r="E94" t="s">
        <v>1585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1632</v>
      </c>
      <c r="B95" t="s">
        <v>1487</v>
      </c>
      <c r="C95" t="s">
        <v>1593</v>
      </c>
      <c r="D95" t="s">
        <v>1061</v>
      </c>
      <c r="E95" t="s">
        <v>1583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1631</v>
      </c>
      <c r="B96" t="s">
        <v>1487</v>
      </c>
      <c r="C96" t="s">
        <v>1593</v>
      </c>
      <c r="D96" t="s">
        <v>1061</v>
      </c>
      <c r="E96" t="s">
        <v>1581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1630</v>
      </c>
      <c r="B97" t="s">
        <v>1487</v>
      </c>
      <c r="C97" t="s">
        <v>1593</v>
      </c>
      <c r="D97" t="s">
        <v>1568</v>
      </c>
      <c r="E97" t="s">
        <v>1579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1629</v>
      </c>
      <c r="B98" t="s">
        <v>1487</v>
      </c>
      <c r="C98" t="s">
        <v>1593</v>
      </c>
      <c r="D98" t="s">
        <v>1568</v>
      </c>
      <c r="E98" t="s">
        <v>1577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1628</v>
      </c>
      <c r="B99" t="s">
        <v>1487</v>
      </c>
      <c r="C99" t="s">
        <v>1593</v>
      </c>
      <c r="D99" t="s">
        <v>1568</v>
      </c>
      <c r="E99" t="s">
        <v>1575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1627</v>
      </c>
      <c r="B100" t="s">
        <v>1487</v>
      </c>
      <c r="C100" t="s">
        <v>1593</v>
      </c>
      <c r="D100" t="s">
        <v>1568</v>
      </c>
      <c r="E100" t="s">
        <v>1573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1626</v>
      </c>
      <c r="B101" t="s">
        <v>1487</v>
      </c>
      <c r="C101" t="s">
        <v>1593</v>
      </c>
      <c r="D101" t="s">
        <v>1568</v>
      </c>
      <c r="E101" t="s">
        <v>1571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1625</v>
      </c>
      <c r="B102" t="s">
        <v>1487</v>
      </c>
      <c r="C102" t="s">
        <v>1593</v>
      </c>
      <c r="D102" t="s">
        <v>1568</v>
      </c>
      <c r="E102" t="s">
        <v>1569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1624</v>
      </c>
      <c r="B103" t="s">
        <v>1487</v>
      </c>
      <c r="C103" t="s">
        <v>1593</v>
      </c>
      <c r="D103" t="s">
        <v>743</v>
      </c>
      <c r="E103" t="s">
        <v>1566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1623</v>
      </c>
      <c r="B104" t="s">
        <v>1487</v>
      </c>
      <c r="C104" t="s">
        <v>1593</v>
      </c>
      <c r="D104" t="s">
        <v>743</v>
      </c>
      <c r="E104" t="s">
        <v>1564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1622</v>
      </c>
      <c r="B105" t="s">
        <v>1487</v>
      </c>
      <c r="C105" t="s">
        <v>1593</v>
      </c>
      <c r="D105" t="s">
        <v>743</v>
      </c>
      <c r="E105" t="s">
        <v>1562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1621</v>
      </c>
      <c r="B106" t="s">
        <v>1487</v>
      </c>
      <c r="C106" t="s">
        <v>1593</v>
      </c>
      <c r="D106" t="s">
        <v>743</v>
      </c>
      <c r="E106" t="s">
        <v>1560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1620</v>
      </c>
      <c r="B107" t="s">
        <v>1487</v>
      </c>
      <c r="C107" t="s">
        <v>1593</v>
      </c>
      <c r="D107" t="s">
        <v>743</v>
      </c>
      <c r="E107" t="s">
        <v>1558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1619</v>
      </c>
      <c r="B108" t="s">
        <v>1487</v>
      </c>
      <c r="C108" t="s">
        <v>1593</v>
      </c>
      <c r="D108" t="s">
        <v>736</v>
      </c>
      <c r="E108" t="s">
        <v>1556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1618</v>
      </c>
      <c r="B109" t="s">
        <v>1487</v>
      </c>
      <c r="C109" t="s">
        <v>1593</v>
      </c>
      <c r="D109" t="s">
        <v>736</v>
      </c>
      <c r="E109" t="s">
        <v>1554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1617</v>
      </c>
      <c r="B110" t="s">
        <v>1487</v>
      </c>
      <c r="C110" t="s">
        <v>1593</v>
      </c>
      <c r="D110" t="s">
        <v>736</v>
      </c>
      <c r="E110" t="s">
        <v>1552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1616</v>
      </c>
      <c r="B111" t="s">
        <v>1487</v>
      </c>
      <c r="C111" t="s">
        <v>1593</v>
      </c>
      <c r="D111" t="s">
        <v>733</v>
      </c>
      <c r="E111" t="s">
        <v>1550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1615</v>
      </c>
      <c r="B112" t="s">
        <v>1487</v>
      </c>
      <c r="C112" t="s">
        <v>1593</v>
      </c>
      <c r="D112" t="s">
        <v>733</v>
      </c>
      <c r="E112" t="s">
        <v>1548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1614</v>
      </c>
      <c r="B113" t="s">
        <v>1487</v>
      </c>
      <c r="C113" t="s">
        <v>1593</v>
      </c>
      <c r="D113" t="s">
        <v>733</v>
      </c>
      <c r="E113" t="s">
        <v>1546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1613</v>
      </c>
      <c r="B114" t="s">
        <v>1487</v>
      </c>
      <c r="C114" t="s">
        <v>1593</v>
      </c>
      <c r="D114" t="s">
        <v>733</v>
      </c>
      <c r="E114" t="s">
        <v>1544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1612</v>
      </c>
      <c r="B115" t="s">
        <v>1487</v>
      </c>
      <c r="C115" t="s">
        <v>1593</v>
      </c>
      <c r="D115" t="s">
        <v>733</v>
      </c>
      <c r="E115" t="s">
        <v>1542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1611</v>
      </c>
      <c r="B116" t="s">
        <v>1487</v>
      </c>
      <c r="C116" t="s">
        <v>1593</v>
      </c>
      <c r="D116" t="s">
        <v>733</v>
      </c>
      <c r="E116" t="s">
        <v>1540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1610</v>
      </c>
      <c r="B117" t="s">
        <v>1487</v>
      </c>
      <c r="C117" t="s">
        <v>1593</v>
      </c>
      <c r="D117" t="s">
        <v>0</v>
      </c>
      <c r="E117" t="s">
        <v>1538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1609</v>
      </c>
      <c r="B118" t="s">
        <v>1487</v>
      </c>
      <c r="C118" t="s">
        <v>1593</v>
      </c>
      <c r="D118" t="s">
        <v>0</v>
      </c>
      <c r="E118" t="s">
        <v>1536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1608</v>
      </c>
      <c r="B119" t="s">
        <v>1487</v>
      </c>
      <c r="C119" t="s">
        <v>1593</v>
      </c>
      <c r="D119" t="s">
        <v>0</v>
      </c>
      <c r="E119" t="s">
        <v>1534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1607</v>
      </c>
      <c r="B120" t="s">
        <v>1487</v>
      </c>
      <c r="C120" t="s">
        <v>1593</v>
      </c>
      <c r="D120" t="s">
        <v>0</v>
      </c>
      <c r="E120" t="s">
        <v>1532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1606</v>
      </c>
      <c r="B121" t="s">
        <v>1487</v>
      </c>
      <c r="C121" t="s">
        <v>1593</v>
      </c>
      <c r="D121" t="s">
        <v>0</v>
      </c>
      <c r="E121" t="s">
        <v>1530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1605</v>
      </c>
      <c r="B122" t="s">
        <v>1487</v>
      </c>
      <c r="C122" t="s">
        <v>1593</v>
      </c>
      <c r="D122" t="s">
        <v>0</v>
      </c>
      <c r="E122" t="s">
        <v>1528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1604</v>
      </c>
      <c r="B123" t="s">
        <v>1487</v>
      </c>
      <c r="C123" t="s">
        <v>1593</v>
      </c>
      <c r="D123" t="s">
        <v>0</v>
      </c>
      <c r="E123" t="s">
        <v>1526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1603</v>
      </c>
      <c r="B124" t="s">
        <v>1487</v>
      </c>
      <c r="C124" t="s">
        <v>1593</v>
      </c>
      <c r="D124" t="s">
        <v>760</v>
      </c>
      <c r="E124" t="s">
        <v>1524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1602</v>
      </c>
      <c r="B125" t="s">
        <v>1487</v>
      </c>
      <c r="C125" t="s">
        <v>1593</v>
      </c>
      <c r="D125" t="s">
        <v>760</v>
      </c>
      <c r="E125" t="s">
        <v>1522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1601</v>
      </c>
      <c r="B126" t="s">
        <v>1487</v>
      </c>
      <c r="C126" t="s">
        <v>1593</v>
      </c>
      <c r="D126" t="s">
        <v>1519</v>
      </c>
      <c r="E126" t="s">
        <v>1520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1600</v>
      </c>
      <c r="B127" t="s">
        <v>1487</v>
      </c>
      <c r="C127" t="s">
        <v>1593</v>
      </c>
      <c r="D127" t="s">
        <v>721</v>
      </c>
      <c r="E127" t="s">
        <v>1517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1599</v>
      </c>
      <c r="B128" t="s">
        <v>1487</v>
      </c>
      <c r="C128" t="s">
        <v>1593</v>
      </c>
      <c r="D128" t="s">
        <v>721</v>
      </c>
      <c r="E128" t="s">
        <v>1515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1597</v>
      </c>
      <c r="B129" t="s">
        <v>1487</v>
      </c>
      <c r="C129" t="s">
        <v>1593</v>
      </c>
      <c r="D129" t="s">
        <v>721</v>
      </c>
      <c r="E129" t="s">
        <v>1511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1598</v>
      </c>
      <c r="B130" t="s">
        <v>1487</v>
      </c>
      <c r="C130" t="s">
        <v>1593</v>
      </c>
      <c r="D130" t="s">
        <v>721</v>
      </c>
      <c r="E130" t="s">
        <v>1513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1596</v>
      </c>
      <c r="B131" t="s">
        <v>1487</v>
      </c>
      <c r="C131" t="s">
        <v>1593</v>
      </c>
      <c r="D131" t="s">
        <v>721</v>
      </c>
      <c r="E131" t="s">
        <v>1509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1595</v>
      </c>
      <c r="B132" t="s">
        <v>1487</v>
      </c>
      <c r="C132" t="s">
        <v>1593</v>
      </c>
      <c r="D132" t="s">
        <v>721</v>
      </c>
      <c r="E132" t="s">
        <v>1507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1594</v>
      </c>
      <c r="B133" t="s">
        <v>1487</v>
      </c>
      <c r="C133" t="s">
        <v>1593</v>
      </c>
      <c r="D133" t="s">
        <v>721</v>
      </c>
      <c r="E133" t="s">
        <v>1505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1592</v>
      </c>
      <c r="B134" t="s">
        <v>1487</v>
      </c>
      <c r="C134" t="s">
        <v>1504</v>
      </c>
      <c r="D134" t="s">
        <v>1061</v>
      </c>
      <c r="E134" t="s">
        <v>1591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1590</v>
      </c>
      <c r="B135" t="s">
        <v>1487</v>
      </c>
      <c r="C135" t="s">
        <v>1504</v>
      </c>
      <c r="D135" t="s">
        <v>1061</v>
      </c>
      <c r="E135" t="s">
        <v>1589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1588</v>
      </c>
      <c r="B136" t="s">
        <v>1487</v>
      </c>
      <c r="C136" t="s">
        <v>1504</v>
      </c>
      <c r="D136" t="s">
        <v>1061</v>
      </c>
      <c r="E136" t="s">
        <v>1587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1586</v>
      </c>
      <c r="B137" t="s">
        <v>1487</v>
      </c>
      <c r="C137" t="s">
        <v>1504</v>
      </c>
      <c r="D137" t="s">
        <v>1061</v>
      </c>
      <c r="E137" t="s">
        <v>1585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1584</v>
      </c>
      <c r="B138" t="s">
        <v>1487</v>
      </c>
      <c r="C138" t="s">
        <v>1504</v>
      </c>
      <c r="D138" t="s">
        <v>1061</v>
      </c>
      <c r="E138" t="s">
        <v>1583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1582</v>
      </c>
      <c r="B139" t="s">
        <v>1487</v>
      </c>
      <c r="C139" t="s">
        <v>1504</v>
      </c>
      <c r="D139" t="s">
        <v>1061</v>
      </c>
      <c r="E139" t="s">
        <v>1581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1580</v>
      </c>
      <c r="B140" t="s">
        <v>1487</v>
      </c>
      <c r="C140" t="s">
        <v>1504</v>
      </c>
      <c r="D140" t="s">
        <v>1568</v>
      </c>
      <c r="E140" t="s">
        <v>1579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1578</v>
      </c>
      <c r="B141" t="s">
        <v>1487</v>
      </c>
      <c r="C141" t="s">
        <v>1504</v>
      </c>
      <c r="D141" t="s">
        <v>1568</v>
      </c>
      <c r="E141" t="s">
        <v>1577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1576</v>
      </c>
      <c r="B142" t="s">
        <v>1487</v>
      </c>
      <c r="C142" t="s">
        <v>1504</v>
      </c>
      <c r="D142" t="s">
        <v>1568</v>
      </c>
      <c r="E142" t="s">
        <v>1575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1574</v>
      </c>
      <c r="B143" t="s">
        <v>1487</v>
      </c>
      <c r="C143" t="s">
        <v>1504</v>
      </c>
      <c r="D143" t="s">
        <v>1568</v>
      </c>
      <c r="E143" t="s">
        <v>1573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1572</v>
      </c>
      <c r="B144" t="s">
        <v>1487</v>
      </c>
      <c r="C144" t="s">
        <v>1504</v>
      </c>
      <c r="D144" t="s">
        <v>1568</v>
      </c>
      <c r="E144" t="s">
        <v>1571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1570</v>
      </c>
      <c r="B145" t="s">
        <v>1487</v>
      </c>
      <c r="C145" t="s">
        <v>1504</v>
      </c>
      <c r="D145" t="s">
        <v>1568</v>
      </c>
      <c r="E145" t="s">
        <v>1569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1567</v>
      </c>
      <c r="B146" t="s">
        <v>1487</v>
      </c>
      <c r="C146" t="s">
        <v>1504</v>
      </c>
      <c r="D146" t="s">
        <v>743</v>
      </c>
      <c r="E146" t="s">
        <v>1566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1565</v>
      </c>
      <c r="B147" t="s">
        <v>1487</v>
      </c>
      <c r="C147" t="s">
        <v>1504</v>
      </c>
      <c r="D147" t="s">
        <v>743</v>
      </c>
      <c r="E147" t="s">
        <v>1564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1563</v>
      </c>
      <c r="B148" t="s">
        <v>1487</v>
      </c>
      <c r="C148" t="s">
        <v>1504</v>
      </c>
      <c r="D148" t="s">
        <v>743</v>
      </c>
      <c r="E148" t="s">
        <v>1562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1561</v>
      </c>
      <c r="B149" t="s">
        <v>1487</v>
      </c>
      <c r="C149" t="s">
        <v>1504</v>
      </c>
      <c r="D149" t="s">
        <v>743</v>
      </c>
      <c r="E149" t="s">
        <v>1560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1559</v>
      </c>
      <c r="B150" t="s">
        <v>1487</v>
      </c>
      <c r="C150" t="s">
        <v>1504</v>
      </c>
      <c r="D150" t="s">
        <v>743</v>
      </c>
      <c r="E150" t="s">
        <v>1558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1557</v>
      </c>
      <c r="B151" t="s">
        <v>1487</v>
      </c>
      <c r="C151" t="s">
        <v>1504</v>
      </c>
      <c r="D151" t="s">
        <v>736</v>
      </c>
      <c r="E151" t="s">
        <v>1556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1555</v>
      </c>
      <c r="B152" t="s">
        <v>1487</v>
      </c>
      <c r="C152" t="s">
        <v>1504</v>
      </c>
      <c r="D152" t="s">
        <v>736</v>
      </c>
      <c r="E152" t="s">
        <v>1554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1553</v>
      </c>
      <c r="B153" t="s">
        <v>1487</v>
      </c>
      <c r="C153" t="s">
        <v>1504</v>
      </c>
      <c r="D153" t="s">
        <v>736</v>
      </c>
      <c r="E153" t="s">
        <v>1552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1551</v>
      </c>
      <c r="B154" t="s">
        <v>1487</v>
      </c>
      <c r="C154" t="s">
        <v>1504</v>
      </c>
      <c r="D154" t="s">
        <v>733</v>
      </c>
      <c r="E154" t="s">
        <v>1550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1549</v>
      </c>
      <c r="B155" t="s">
        <v>1487</v>
      </c>
      <c r="C155" t="s">
        <v>1504</v>
      </c>
      <c r="D155" t="s">
        <v>733</v>
      </c>
      <c r="E155" t="s">
        <v>1548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1547</v>
      </c>
      <c r="B156" t="s">
        <v>1487</v>
      </c>
      <c r="C156" t="s">
        <v>1504</v>
      </c>
      <c r="D156" t="s">
        <v>733</v>
      </c>
      <c r="E156" t="s">
        <v>1546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1545</v>
      </c>
      <c r="B157" t="s">
        <v>1487</v>
      </c>
      <c r="C157" t="s">
        <v>1504</v>
      </c>
      <c r="D157" t="s">
        <v>733</v>
      </c>
      <c r="E157" t="s">
        <v>1544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1543</v>
      </c>
      <c r="B158" t="s">
        <v>1487</v>
      </c>
      <c r="C158" t="s">
        <v>1504</v>
      </c>
      <c r="D158" t="s">
        <v>733</v>
      </c>
      <c r="E158" t="s">
        <v>1542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1541</v>
      </c>
      <c r="B159" t="s">
        <v>1487</v>
      </c>
      <c r="C159" t="s">
        <v>1504</v>
      </c>
      <c r="D159" t="s">
        <v>733</v>
      </c>
      <c r="E159" t="s">
        <v>1540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1539</v>
      </c>
      <c r="B160" t="s">
        <v>1487</v>
      </c>
      <c r="C160" t="s">
        <v>1504</v>
      </c>
      <c r="D160" t="s">
        <v>0</v>
      </c>
      <c r="E160" t="s">
        <v>1538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1537</v>
      </c>
      <c r="B161" t="s">
        <v>1487</v>
      </c>
      <c r="C161" t="s">
        <v>1504</v>
      </c>
      <c r="D161" t="s">
        <v>0</v>
      </c>
      <c r="E161" t="s">
        <v>1536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1535</v>
      </c>
      <c r="B162" t="s">
        <v>1487</v>
      </c>
      <c r="C162" t="s">
        <v>1504</v>
      </c>
      <c r="D162" t="s">
        <v>0</v>
      </c>
      <c r="E162" t="s">
        <v>1534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1533</v>
      </c>
      <c r="B163" t="s">
        <v>1487</v>
      </c>
      <c r="C163" t="s">
        <v>1504</v>
      </c>
      <c r="D163" t="s">
        <v>0</v>
      </c>
      <c r="E163" t="s">
        <v>1532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1531</v>
      </c>
      <c r="B164" t="s">
        <v>1487</v>
      </c>
      <c r="C164" t="s">
        <v>1504</v>
      </c>
      <c r="D164" t="s">
        <v>0</v>
      </c>
      <c r="E164" t="s">
        <v>1530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1529</v>
      </c>
      <c r="B165" t="s">
        <v>1487</v>
      </c>
      <c r="C165" t="s">
        <v>1504</v>
      </c>
      <c r="D165" t="s">
        <v>0</v>
      </c>
      <c r="E165" t="s">
        <v>1528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1527</v>
      </c>
      <c r="B166" t="s">
        <v>1487</v>
      </c>
      <c r="C166" t="s">
        <v>1504</v>
      </c>
      <c r="D166" t="s">
        <v>0</v>
      </c>
      <c r="E166" t="s">
        <v>1526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1525</v>
      </c>
      <c r="B167" t="s">
        <v>1487</v>
      </c>
      <c r="C167" t="s">
        <v>1504</v>
      </c>
      <c r="D167" t="s">
        <v>760</v>
      </c>
      <c r="E167" t="s">
        <v>1524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1523</v>
      </c>
      <c r="B168" t="s">
        <v>1487</v>
      </c>
      <c r="C168" t="s">
        <v>1504</v>
      </c>
      <c r="D168" t="s">
        <v>760</v>
      </c>
      <c r="E168" t="s">
        <v>1522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1521</v>
      </c>
      <c r="B169" t="s">
        <v>1487</v>
      </c>
      <c r="C169" t="s">
        <v>1504</v>
      </c>
      <c r="D169" t="s">
        <v>1519</v>
      </c>
      <c r="E169" t="s">
        <v>1520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1518</v>
      </c>
      <c r="B170" t="s">
        <v>1487</v>
      </c>
      <c r="C170" t="s">
        <v>1504</v>
      </c>
      <c r="D170" t="s">
        <v>721</v>
      </c>
      <c r="E170" t="s">
        <v>1517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1516</v>
      </c>
      <c r="B171" t="s">
        <v>1487</v>
      </c>
      <c r="C171" t="s">
        <v>1504</v>
      </c>
      <c r="D171" t="s">
        <v>721</v>
      </c>
      <c r="E171" t="s">
        <v>1515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1512</v>
      </c>
      <c r="B172" t="s">
        <v>1487</v>
      </c>
      <c r="C172" t="s">
        <v>1504</v>
      </c>
      <c r="D172" t="s">
        <v>721</v>
      </c>
      <c r="E172" t="s">
        <v>1511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1514</v>
      </c>
      <c r="B173" t="s">
        <v>1487</v>
      </c>
      <c r="C173" t="s">
        <v>1504</v>
      </c>
      <c r="D173" t="s">
        <v>721</v>
      </c>
      <c r="E173" t="s">
        <v>1513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1510</v>
      </c>
      <c r="B174" t="s">
        <v>1487</v>
      </c>
      <c r="C174" t="s">
        <v>1504</v>
      </c>
      <c r="D174" t="s">
        <v>721</v>
      </c>
      <c r="E174" t="s">
        <v>1509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1508</v>
      </c>
      <c r="B175" t="s">
        <v>1487</v>
      </c>
      <c r="C175" t="s">
        <v>1504</v>
      </c>
      <c r="D175" t="s">
        <v>721</v>
      </c>
      <c r="E175" t="s">
        <v>1507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1506</v>
      </c>
      <c r="B176" t="s">
        <v>1487</v>
      </c>
      <c r="C176" t="s">
        <v>1504</v>
      </c>
      <c r="D176" t="s">
        <v>721</v>
      </c>
      <c r="E176" t="s">
        <v>1505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1503</v>
      </c>
      <c r="B177" t="s">
        <v>1487</v>
      </c>
      <c r="C177" t="s">
        <v>1486</v>
      </c>
      <c r="D177" t="s">
        <v>1061</v>
      </c>
      <c r="E177" t="s">
        <v>1502</v>
      </c>
      <c r="F177" t="e">
        <f>INDEX(IPCCMaps!H:H,MATCH(mapPRC!C177,IPCCMaps!G:G,0))</f>
        <v>#N/A</v>
      </c>
      <c r="G177" t="e">
        <f>INDEX(IPCCMaps!I:I,MATCH(mapPRC!C177,IPCCMaps!G:G,0))</f>
        <v>#N/A</v>
      </c>
      <c r="H177" t="e">
        <f>INDEX(IPCCMaps!J:J,MATCH(mapPRC!C177,IPCCMaps!G:G,0))</f>
        <v>#N/A</v>
      </c>
      <c r="I177" t="e">
        <f>INDEX(IPCCMaps!K:K,MATCH(mapPRC!C177,IPCCMaps!G:G,0))</f>
        <v>#N/A</v>
      </c>
    </row>
    <row r="178" spans="1:9" x14ac:dyDescent="0.25">
      <c r="A178" t="s">
        <v>1501</v>
      </c>
      <c r="B178" t="s">
        <v>1487</v>
      </c>
      <c r="C178" t="s">
        <v>1486</v>
      </c>
      <c r="D178" t="s">
        <v>1061</v>
      </c>
      <c r="E178" t="s">
        <v>1500</v>
      </c>
      <c r="F178" t="e">
        <f>INDEX(IPCCMaps!H:H,MATCH(mapPRC!C178,IPCCMaps!G:G,0))</f>
        <v>#N/A</v>
      </c>
      <c r="G178" t="e">
        <f>INDEX(IPCCMaps!I:I,MATCH(mapPRC!C178,IPCCMaps!G:G,0))</f>
        <v>#N/A</v>
      </c>
      <c r="H178" t="e">
        <f>INDEX(IPCCMaps!J:J,MATCH(mapPRC!C178,IPCCMaps!G:G,0))</f>
        <v>#N/A</v>
      </c>
      <c r="I178" t="e">
        <f>INDEX(IPCCMaps!K:K,MATCH(mapPRC!C178,IPCCMaps!G:G,0))</f>
        <v>#N/A</v>
      </c>
    </row>
    <row r="179" spans="1:9" x14ac:dyDescent="0.25">
      <c r="A179" t="s">
        <v>1499</v>
      </c>
      <c r="B179" t="s">
        <v>1487</v>
      </c>
      <c r="C179" t="s">
        <v>1486</v>
      </c>
      <c r="D179" t="s">
        <v>743</v>
      </c>
      <c r="E179" t="s">
        <v>1498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1497</v>
      </c>
      <c r="B180" t="s">
        <v>1487</v>
      </c>
      <c r="C180" t="s">
        <v>1486</v>
      </c>
      <c r="D180" t="s">
        <v>743</v>
      </c>
      <c r="E180" t="s">
        <v>1496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1495</v>
      </c>
      <c r="D181" t="s">
        <v>0</v>
      </c>
      <c r="E181" t="s">
        <v>1494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1493</v>
      </c>
      <c r="D182" t="s">
        <v>0</v>
      </c>
      <c r="E182" t="s">
        <v>1492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1491</v>
      </c>
      <c r="B183" t="s">
        <v>1487</v>
      </c>
      <c r="C183" t="s">
        <v>1486</v>
      </c>
      <c r="D183" t="s">
        <v>1011</v>
      </c>
      <c r="E183" t="s">
        <v>1490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1489</v>
      </c>
      <c r="B184" t="s">
        <v>1487</v>
      </c>
      <c r="C184" t="s">
        <v>1486</v>
      </c>
      <c r="D184" t="s">
        <v>1011</v>
      </c>
      <c r="E184" t="s">
        <v>1488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16</v>
      </c>
      <c r="D185" t="s">
        <v>0</v>
      </c>
      <c r="E185" t="s">
        <v>15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</v>
      </c>
      <c r="D186" t="s">
        <v>0</v>
      </c>
      <c r="E186" t="s">
        <v>13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12</v>
      </c>
      <c r="D187" t="s">
        <v>0</v>
      </c>
      <c r="E187" t="s">
        <v>11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10</v>
      </c>
      <c r="D188" t="s">
        <v>0</v>
      </c>
      <c r="E188" t="s">
        <v>9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1483</v>
      </c>
      <c r="B189" t="s">
        <v>145</v>
      </c>
      <c r="C189" t="s">
        <v>1481</v>
      </c>
      <c r="D189" t="s">
        <v>1481</v>
      </c>
      <c r="E189" t="s">
        <v>1482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1485</v>
      </c>
      <c r="B190" t="s">
        <v>145</v>
      </c>
      <c r="C190" t="s">
        <v>1481</v>
      </c>
      <c r="D190" t="s">
        <v>1481</v>
      </c>
      <c r="E190" t="s">
        <v>1484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1480</v>
      </c>
      <c r="B191" t="s">
        <v>145</v>
      </c>
      <c r="C191" t="s">
        <v>1476</v>
      </c>
      <c r="D191" t="s">
        <v>1476</v>
      </c>
      <c r="E191" t="s">
        <v>1479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1478</v>
      </c>
      <c r="B192" t="s">
        <v>145</v>
      </c>
      <c r="C192" t="s">
        <v>1476</v>
      </c>
      <c r="D192" t="s">
        <v>1476</v>
      </c>
      <c r="E192" t="s">
        <v>1477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1468</v>
      </c>
      <c r="B193" t="s">
        <v>145</v>
      </c>
      <c r="C193" t="s">
        <v>425</v>
      </c>
      <c r="D193" t="s">
        <v>1316</v>
      </c>
      <c r="E193" t="s">
        <v>1467</v>
      </c>
      <c r="F193" t="str">
        <f>INDEX(IPCCMaps!H:H,MATCH(mapPRC!C193,IPCCMaps!G:G,0))</f>
        <v>1 Energy</v>
      </c>
    </row>
    <row r="194" spans="1:9" x14ac:dyDescent="0.25">
      <c r="A194" t="s">
        <v>1475</v>
      </c>
      <c r="B194" t="s">
        <v>145</v>
      </c>
      <c r="C194" t="s">
        <v>1469</v>
      </c>
      <c r="D194" t="s">
        <v>1469</v>
      </c>
      <c r="E194" t="s">
        <v>1474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1466</v>
      </c>
      <c r="B195" t="s">
        <v>145</v>
      </c>
      <c r="C195" t="s">
        <v>425</v>
      </c>
      <c r="D195" t="s">
        <v>1316</v>
      </c>
      <c r="E195" t="s">
        <v>1465</v>
      </c>
      <c r="F195" t="str">
        <f>INDEX(IPCCMaps!H:H,MATCH(mapPRC!C195,IPCCMaps!G:G,0))</f>
        <v>1 Energy</v>
      </c>
    </row>
    <row r="196" spans="1:9" x14ac:dyDescent="0.25">
      <c r="A196" t="s">
        <v>1464</v>
      </c>
      <c r="B196" t="s">
        <v>145</v>
      </c>
      <c r="C196" t="s">
        <v>425</v>
      </c>
      <c r="D196" t="s">
        <v>1316</v>
      </c>
      <c r="E196" t="s">
        <v>1463</v>
      </c>
      <c r="F196" t="str">
        <f>INDEX(IPCCMaps!H:H,MATCH(mapPRC!C196,IPCCMaps!G:G,0))</f>
        <v>1 Energy</v>
      </c>
    </row>
    <row r="197" spans="1:9" x14ac:dyDescent="0.25">
      <c r="A197" t="s">
        <v>1462</v>
      </c>
      <c r="B197" t="s">
        <v>145</v>
      </c>
      <c r="C197" t="s">
        <v>425</v>
      </c>
      <c r="D197" t="s">
        <v>1316</v>
      </c>
      <c r="E197" t="s">
        <v>1461</v>
      </c>
      <c r="F197" t="str">
        <f>INDEX(IPCCMaps!H:H,MATCH(mapPRC!C197,IPCCMaps!G:G,0))</f>
        <v>1 Energy</v>
      </c>
    </row>
    <row r="198" spans="1:9" x14ac:dyDescent="0.25">
      <c r="A198" t="s">
        <v>1460</v>
      </c>
      <c r="B198" t="s">
        <v>145</v>
      </c>
      <c r="C198" t="s">
        <v>425</v>
      </c>
      <c r="D198" t="s">
        <v>1316</v>
      </c>
      <c r="E198" t="s">
        <v>1459</v>
      </c>
      <c r="F198" t="str">
        <f>INDEX(IPCCMaps!H:H,MATCH(mapPRC!C198,IPCCMaps!G:G,0))</f>
        <v>1 Energy</v>
      </c>
    </row>
    <row r="199" spans="1:9" x14ac:dyDescent="0.25">
      <c r="A199" t="s">
        <v>1473</v>
      </c>
      <c r="B199" t="s">
        <v>145</v>
      </c>
      <c r="C199" t="s">
        <v>425</v>
      </c>
      <c r="D199" t="s">
        <v>1316</v>
      </c>
      <c r="E199" t="s">
        <v>1472</v>
      </c>
      <c r="F199" t="str">
        <f>INDEX(IPCCMaps!H:H,MATCH(mapPRC!C199,IPCCMaps!G:G,0))</f>
        <v>1 Energy</v>
      </c>
    </row>
    <row r="200" spans="1:9" x14ac:dyDescent="0.25">
      <c r="A200" t="s">
        <v>1458</v>
      </c>
      <c r="B200" t="s">
        <v>145</v>
      </c>
      <c r="C200" t="s">
        <v>425</v>
      </c>
      <c r="D200" t="s">
        <v>1316</v>
      </c>
      <c r="E200" t="s">
        <v>1457</v>
      </c>
      <c r="F200" t="str">
        <f>INDEX(IPCCMaps!H:H,MATCH(mapPRC!C200,IPCCMaps!G:G,0))</f>
        <v>1 Energy</v>
      </c>
    </row>
    <row r="201" spans="1:9" x14ac:dyDescent="0.25">
      <c r="A201" t="s">
        <v>1456</v>
      </c>
      <c r="B201" t="s">
        <v>145</v>
      </c>
      <c r="C201" t="s">
        <v>425</v>
      </c>
      <c r="D201" t="s">
        <v>1316</v>
      </c>
      <c r="E201" t="s">
        <v>1455</v>
      </c>
      <c r="F201" t="str">
        <f>INDEX(IPCCMaps!H:H,MATCH(mapPRC!C201,IPCCMaps!G:G,0))</f>
        <v>1 Energy</v>
      </c>
    </row>
    <row r="202" spans="1:9" x14ac:dyDescent="0.25">
      <c r="A202" t="s">
        <v>1454</v>
      </c>
      <c r="B202" t="s">
        <v>145</v>
      </c>
      <c r="C202" t="s">
        <v>425</v>
      </c>
      <c r="D202" t="s">
        <v>1316</v>
      </c>
      <c r="E202" t="s">
        <v>1453</v>
      </c>
      <c r="F202" t="str">
        <f>INDEX(IPCCMaps!H:H,MATCH(mapPRC!C202,IPCCMaps!G:G,0))</f>
        <v>1 Energy</v>
      </c>
    </row>
    <row r="203" spans="1:9" x14ac:dyDescent="0.25">
      <c r="A203" t="s">
        <v>1471</v>
      </c>
      <c r="B203" t="s">
        <v>145</v>
      </c>
      <c r="C203" t="s">
        <v>1469</v>
      </c>
      <c r="D203" t="s">
        <v>1469</v>
      </c>
      <c r="E203" t="s">
        <v>1470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1452</v>
      </c>
      <c r="B204" t="s">
        <v>145</v>
      </c>
      <c r="C204" t="s">
        <v>1425</v>
      </c>
      <c r="D204" t="s">
        <v>1448</v>
      </c>
      <c r="E204" t="s">
        <v>1451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1450</v>
      </c>
      <c r="B205" t="s">
        <v>145</v>
      </c>
      <c r="C205" t="s">
        <v>1425</v>
      </c>
      <c r="D205" t="s">
        <v>1448</v>
      </c>
      <c r="E205" t="s">
        <v>1449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1447</v>
      </c>
      <c r="B206" t="s">
        <v>145</v>
      </c>
      <c r="C206" t="s">
        <v>1425</v>
      </c>
      <c r="D206" t="s">
        <v>1431</v>
      </c>
      <c r="E206" t="s">
        <v>1446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1445</v>
      </c>
      <c r="B207" t="s">
        <v>145</v>
      </c>
      <c r="C207" t="s">
        <v>1425</v>
      </c>
      <c r="D207" t="s">
        <v>1431</v>
      </c>
      <c r="E207" t="s">
        <v>1444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1443</v>
      </c>
      <c r="B208" t="s">
        <v>145</v>
      </c>
      <c r="C208" t="s">
        <v>1425</v>
      </c>
      <c r="D208" t="s">
        <v>1431</v>
      </c>
      <c r="E208" t="s">
        <v>1442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1441</v>
      </c>
      <c r="B209" t="s">
        <v>145</v>
      </c>
      <c r="C209" t="s">
        <v>1425</v>
      </c>
      <c r="D209" t="s">
        <v>1431</v>
      </c>
      <c r="E209" t="s">
        <v>1440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1439</v>
      </c>
      <c r="B210" t="s">
        <v>145</v>
      </c>
      <c r="C210" t="s">
        <v>1425</v>
      </c>
      <c r="D210" t="s">
        <v>1431</v>
      </c>
      <c r="E210" t="s">
        <v>1438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1437</v>
      </c>
      <c r="B211" t="s">
        <v>145</v>
      </c>
      <c r="C211" t="s">
        <v>1425</v>
      </c>
      <c r="D211" t="s">
        <v>1431</v>
      </c>
      <c r="E211" t="s">
        <v>1436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1435</v>
      </c>
      <c r="B212" t="s">
        <v>145</v>
      </c>
      <c r="C212" t="s">
        <v>1425</v>
      </c>
      <c r="D212" t="s">
        <v>1431</v>
      </c>
      <c r="E212" t="s">
        <v>1434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1433</v>
      </c>
      <c r="B213" t="s">
        <v>145</v>
      </c>
      <c r="C213" t="s">
        <v>1425</v>
      </c>
      <c r="D213" t="s">
        <v>1431</v>
      </c>
      <c r="E213" t="s">
        <v>1432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1430</v>
      </c>
      <c r="B214" t="s">
        <v>145</v>
      </c>
      <c r="C214" t="s">
        <v>1425</v>
      </c>
      <c r="D214" t="s">
        <v>1428</v>
      </c>
      <c r="E214" t="s">
        <v>1429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3081</v>
      </c>
      <c r="B215" t="s">
        <v>145</v>
      </c>
      <c r="C215" t="s">
        <v>1425</v>
      </c>
      <c r="D215" t="s">
        <v>1431</v>
      </c>
      <c r="E215" t="s">
        <v>3082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1427</v>
      </c>
      <c r="B216" t="s">
        <v>145</v>
      </c>
      <c r="C216" t="s">
        <v>1425</v>
      </c>
      <c r="D216" t="s">
        <v>1424</v>
      </c>
      <c r="E216" t="s">
        <v>1426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1423</v>
      </c>
      <c r="B217" t="s">
        <v>145</v>
      </c>
      <c r="C217" t="s">
        <v>1403</v>
      </c>
      <c r="D217" t="s">
        <v>1403</v>
      </c>
      <c r="E217" t="s">
        <v>1422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1421</v>
      </c>
      <c r="B218" t="s">
        <v>145</v>
      </c>
      <c r="C218" t="s">
        <v>1403</v>
      </c>
      <c r="D218" t="s">
        <v>1403</v>
      </c>
      <c r="E218" t="s">
        <v>1420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1417</v>
      </c>
      <c r="B219" t="s">
        <v>145</v>
      </c>
      <c r="C219" t="s">
        <v>1403</v>
      </c>
      <c r="D219" t="s">
        <v>1403</v>
      </c>
      <c r="E219" t="s">
        <v>1416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1419</v>
      </c>
      <c r="B220" t="s">
        <v>145</v>
      </c>
      <c r="C220" t="s">
        <v>1403</v>
      </c>
      <c r="D220" t="s">
        <v>1403</v>
      </c>
      <c r="E220" t="s">
        <v>1418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1415</v>
      </c>
      <c r="B221" t="s">
        <v>145</v>
      </c>
      <c r="C221" t="s">
        <v>1403</v>
      </c>
      <c r="D221" t="s">
        <v>1403</v>
      </c>
      <c r="E221" t="s">
        <v>1414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1413</v>
      </c>
      <c r="B222" t="s">
        <v>145</v>
      </c>
      <c r="C222" t="s">
        <v>1403</v>
      </c>
      <c r="D222" t="s">
        <v>1403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1411</v>
      </c>
      <c r="B223" t="s">
        <v>145</v>
      </c>
      <c r="C223" t="s">
        <v>1403</v>
      </c>
      <c r="D223" t="s">
        <v>1403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1409</v>
      </c>
      <c r="B224" t="s">
        <v>145</v>
      </c>
      <c r="C224" t="s">
        <v>1403</v>
      </c>
      <c r="D224" t="s">
        <v>1403</v>
      </c>
      <c r="E224" t="s">
        <v>1408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1407</v>
      </c>
      <c r="B225" t="s">
        <v>145</v>
      </c>
      <c r="C225" t="s">
        <v>1403</v>
      </c>
      <c r="D225" t="s">
        <v>1403</v>
      </c>
      <c r="E225" t="s">
        <v>1406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1405</v>
      </c>
      <c r="B226" t="s">
        <v>145</v>
      </c>
      <c r="C226" t="s">
        <v>1403</v>
      </c>
      <c r="D226" t="s">
        <v>1403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1402</v>
      </c>
      <c r="B227" t="s">
        <v>145</v>
      </c>
      <c r="C227" t="s">
        <v>1398</v>
      </c>
      <c r="D227" t="s">
        <v>1398</v>
      </c>
      <c r="E227" t="s">
        <v>1401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1400</v>
      </c>
      <c r="B228" t="s">
        <v>145</v>
      </c>
      <c r="C228" t="s">
        <v>1398</v>
      </c>
      <c r="D228" t="s">
        <v>1398</v>
      </c>
      <c r="E228" t="s">
        <v>1399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1397</v>
      </c>
      <c r="B229" t="s">
        <v>145</v>
      </c>
      <c r="C229" t="s">
        <v>1372</v>
      </c>
      <c r="D229" t="s">
        <v>1395</v>
      </c>
      <c r="E229" t="s">
        <v>1396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1394</v>
      </c>
      <c r="B230" t="s">
        <v>145</v>
      </c>
      <c r="C230" t="s">
        <v>1372</v>
      </c>
      <c r="D230" t="s">
        <v>1378</v>
      </c>
      <c r="E230" t="s">
        <v>1393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1392</v>
      </c>
      <c r="B231" t="s">
        <v>145</v>
      </c>
      <c r="C231" t="s">
        <v>1372</v>
      </c>
      <c r="D231" t="s">
        <v>1378</v>
      </c>
      <c r="E231" t="s">
        <v>1391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1390</v>
      </c>
      <c r="B232" t="s">
        <v>145</v>
      </c>
      <c r="C232" t="s">
        <v>1372</v>
      </c>
      <c r="D232" t="s">
        <v>1378</v>
      </c>
      <c r="E232" t="s">
        <v>1389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1388</v>
      </c>
      <c r="B233" t="s">
        <v>145</v>
      </c>
      <c r="C233" t="s">
        <v>1372</v>
      </c>
      <c r="D233" t="s">
        <v>1378</v>
      </c>
      <c r="E233" t="s">
        <v>1387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1386</v>
      </c>
      <c r="B234" t="s">
        <v>145</v>
      </c>
      <c r="C234" t="s">
        <v>1372</v>
      </c>
      <c r="D234" t="s">
        <v>1378</v>
      </c>
      <c r="E234" t="s">
        <v>1385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1384</v>
      </c>
      <c r="B235" t="s">
        <v>145</v>
      </c>
      <c r="C235" t="s">
        <v>1372</v>
      </c>
      <c r="D235" t="s">
        <v>1378</v>
      </c>
      <c r="E235" t="s">
        <v>1383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1382</v>
      </c>
      <c r="B236" t="s">
        <v>145</v>
      </c>
      <c r="C236" t="s">
        <v>1372</v>
      </c>
      <c r="D236" t="s">
        <v>1378</v>
      </c>
      <c r="E236" t="s">
        <v>1381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1380</v>
      </c>
      <c r="B237" t="s">
        <v>145</v>
      </c>
      <c r="C237" t="s">
        <v>1372</v>
      </c>
      <c r="D237" t="s">
        <v>1378</v>
      </c>
      <c r="E237" t="s">
        <v>1379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1377</v>
      </c>
      <c r="B238" t="s">
        <v>145</v>
      </c>
      <c r="C238" t="s">
        <v>1372</v>
      </c>
      <c r="D238" t="s">
        <v>1375</v>
      </c>
      <c r="E238" t="s">
        <v>1376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1374</v>
      </c>
      <c r="B239" t="s">
        <v>145</v>
      </c>
      <c r="C239" t="s">
        <v>1372</v>
      </c>
      <c r="D239" t="s">
        <v>1371</v>
      </c>
      <c r="E239" t="s">
        <v>1373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1370</v>
      </c>
      <c r="B240" t="s">
        <v>145</v>
      </c>
      <c r="C240" t="s">
        <v>1329</v>
      </c>
      <c r="D240" t="s">
        <v>1328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1368</v>
      </c>
      <c r="B241" t="s">
        <v>145</v>
      </c>
      <c r="C241" t="s">
        <v>1329</v>
      </c>
      <c r="D241" t="s">
        <v>1328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1366</v>
      </c>
      <c r="B242" t="s">
        <v>145</v>
      </c>
      <c r="C242" t="s">
        <v>1329</v>
      </c>
      <c r="D242" t="s">
        <v>1328</v>
      </c>
      <c r="E242" t="s">
        <v>1365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1364</v>
      </c>
      <c r="B243" t="s">
        <v>145</v>
      </c>
      <c r="C243" t="s">
        <v>1329</v>
      </c>
      <c r="D243" t="s">
        <v>1328</v>
      </c>
      <c r="E243" t="s">
        <v>1363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1362</v>
      </c>
      <c r="B244" t="s">
        <v>145</v>
      </c>
      <c r="C244" t="s">
        <v>1329</v>
      </c>
      <c r="D244" t="s">
        <v>1328</v>
      </c>
      <c r="E244" t="s">
        <v>1361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1360</v>
      </c>
      <c r="B245" t="s">
        <v>145</v>
      </c>
      <c r="C245" t="s">
        <v>1329</v>
      </c>
      <c r="D245" t="s">
        <v>1328</v>
      </c>
      <c r="E245" t="s">
        <v>1359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1358</v>
      </c>
      <c r="B246" t="s">
        <v>145</v>
      </c>
      <c r="C246" t="s">
        <v>1329</v>
      </c>
      <c r="D246" t="s">
        <v>1328</v>
      </c>
      <c r="E246" t="s">
        <v>1357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1356</v>
      </c>
      <c r="B247" t="s">
        <v>145</v>
      </c>
      <c r="C247" t="s">
        <v>1329</v>
      </c>
      <c r="D247" t="s">
        <v>1328</v>
      </c>
      <c r="E247" t="s">
        <v>1355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1354</v>
      </c>
      <c r="B248" t="s">
        <v>145</v>
      </c>
      <c r="C248" t="s">
        <v>1329</v>
      </c>
      <c r="D248" t="s">
        <v>1328</v>
      </c>
      <c r="E248" t="s">
        <v>1353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1352</v>
      </c>
      <c r="B249" t="s">
        <v>145</v>
      </c>
      <c r="C249" t="s">
        <v>1329</v>
      </c>
      <c r="D249" t="s">
        <v>1328</v>
      </c>
      <c r="E249" t="s">
        <v>1351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1350</v>
      </c>
      <c r="B250" t="s">
        <v>145</v>
      </c>
      <c r="C250" t="s">
        <v>1329</v>
      </c>
      <c r="D250" t="s">
        <v>1328</v>
      </c>
      <c r="E250" t="s">
        <v>1349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2999</v>
      </c>
      <c r="B251" t="s">
        <v>145</v>
      </c>
      <c r="C251" t="s">
        <v>1329</v>
      </c>
      <c r="D251" t="s">
        <v>1328</v>
      </c>
      <c r="E251" t="s">
        <v>1332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1348</v>
      </c>
      <c r="B252" t="s">
        <v>145</v>
      </c>
      <c r="C252" t="s">
        <v>1329</v>
      </c>
      <c r="D252" t="s">
        <v>1328</v>
      </c>
      <c r="E252" t="s">
        <v>1347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1346</v>
      </c>
      <c r="B253" t="s">
        <v>145</v>
      </c>
      <c r="C253" t="s">
        <v>1329</v>
      </c>
      <c r="D253" t="s">
        <v>1328</v>
      </c>
      <c r="E253" t="s">
        <v>1345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1344</v>
      </c>
      <c r="B254" t="s">
        <v>145</v>
      </c>
      <c r="C254" t="s">
        <v>1329</v>
      </c>
      <c r="D254" t="s">
        <v>1328</v>
      </c>
      <c r="E254" t="s">
        <v>1343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1342</v>
      </c>
      <c r="B255" t="s">
        <v>145</v>
      </c>
      <c r="C255" t="s">
        <v>1329</v>
      </c>
      <c r="D255" t="s">
        <v>1328</v>
      </c>
      <c r="E255" t="s">
        <v>1341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1340</v>
      </c>
      <c r="B256" t="s">
        <v>145</v>
      </c>
      <c r="C256" t="s">
        <v>1329</v>
      </c>
      <c r="D256" t="s">
        <v>1328</v>
      </c>
      <c r="E256" t="s">
        <v>1339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2996</v>
      </c>
      <c r="B257" t="s">
        <v>145</v>
      </c>
      <c r="C257" t="s">
        <v>1329</v>
      </c>
      <c r="D257" t="s">
        <v>1333</v>
      </c>
      <c r="E257" t="s">
        <v>1338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1337</v>
      </c>
      <c r="B258" t="s">
        <v>145</v>
      </c>
      <c r="C258" t="s">
        <v>3008</v>
      </c>
      <c r="D258" t="s">
        <v>3010</v>
      </c>
      <c r="E258" t="s">
        <v>1336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1A2 Manufacturing Industries and Construction</v>
      </c>
      <c r="I258" t="str">
        <f>INDEX(IPCCMaps!K:K,MATCH(mapPRC!C258,IPCCMaps!G:G,0))</f>
        <v>1A2 Manufacturing Industries and Construction</v>
      </c>
    </row>
    <row r="259" spans="1:9" x14ac:dyDescent="0.25">
      <c r="A259" t="s">
        <v>1335</v>
      </c>
      <c r="B259" t="s">
        <v>145</v>
      </c>
      <c r="C259" t="s">
        <v>3009</v>
      </c>
      <c r="D259" t="s">
        <v>3011</v>
      </c>
      <c r="E259" t="s">
        <v>1334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1A1c Manufacture of solid fuels and other energy industries</v>
      </c>
    </row>
    <row r="260" spans="1:9" x14ac:dyDescent="0.25">
      <c r="A260" t="s">
        <v>1331</v>
      </c>
      <c r="B260" t="s">
        <v>145</v>
      </c>
      <c r="C260" t="s">
        <v>1329</v>
      </c>
      <c r="D260" t="s">
        <v>1328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2997</v>
      </c>
      <c r="B261" t="s">
        <v>145</v>
      </c>
      <c r="C261" t="s">
        <v>1329</v>
      </c>
      <c r="D261" t="s">
        <v>1333</v>
      </c>
      <c r="E261" t="s">
        <v>2998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3006</v>
      </c>
      <c r="B262" t="s">
        <v>145</v>
      </c>
      <c r="C262" t="s">
        <v>3008</v>
      </c>
      <c r="D262" t="s">
        <v>3012</v>
      </c>
      <c r="E262" t="s">
        <v>3007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1A2 Manufacturing Industries and Construction</v>
      </c>
      <c r="I262" t="str">
        <f>INDEX(IPCCMaps!K:K,MATCH(mapPRC!C262,IPCCMaps!G:G,0))</f>
        <v>1A2 Manufacturing Industries and Construction</v>
      </c>
    </row>
    <row r="263" spans="1:9" x14ac:dyDescent="0.25">
      <c r="A263" t="s">
        <v>3083</v>
      </c>
      <c r="B263" t="s">
        <v>145</v>
      </c>
      <c r="C263" t="s">
        <v>3009</v>
      </c>
      <c r="D263" t="s">
        <v>3013</v>
      </c>
      <c r="E263" t="s">
        <v>3005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1A1c Manufacture of solid fuels and other energy industries</v>
      </c>
    </row>
    <row r="264" spans="1:9" x14ac:dyDescent="0.25">
      <c r="A264" t="s">
        <v>1327</v>
      </c>
      <c r="B264" t="s">
        <v>145</v>
      </c>
      <c r="C264" t="s">
        <v>1319</v>
      </c>
      <c r="D264" t="s">
        <v>1319</v>
      </c>
      <c r="E264" t="s">
        <v>3002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3003</v>
      </c>
      <c r="B265" t="s">
        <v>145</v>
      </c>
      <c r="C265" t="s">
        <v>1319</v>
      </c>
      <c r="D265" t="s">
        <v>1319</v>
      </c>
      <c r="E265" t="s">
        <v>3004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1326</v>
      </c>
      <c r="B266" t="s">
        <v>145</v>
      </c>
      <c r="C266" t="s">
        <v>1319</v>
      </c>
      <c r="D266" t="s">
        <v>1319</v>
      </c>
      <c r="E266" t="s">
        <v>3001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1325</v>
      </c>
      <c r="B267" t="s">
        <v>145</v>
      </c>
      <c r="C267" t="s">
        <v>1319</v>
      </c>
      <c r="D267" t="s">
        <v>1319</v>
      </c>
      <c r="E267" t="s">
        <v>1324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1323</v>
      </c>
      <c r="B268" t="s">
        <v>145</v>
      </c>
      <c r="C268" t="s">
        <v>1319</v>
      </c>
      <c r="D268" t="s">
        <v>1319</v>
      </c>
      <c r="E268" t="s">
        <v>1322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1321</v>
      </c>
      <c r="B269" t="s">
        <v>145</v>
      </c>
      <c r="C269" t="s">
        <v>1319</v>
      </c>
      <c r="D269" t="s">
        <v>1319</v>
      </c>
      <c r="E269" t="s">
        <v>1320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1318</v>
      </c>
      <c r="B270" t="s">
        <v>145</v>
      </c>
      <c r="C270" t="s">
        <v>425</v>
      </c>
      <c r="D270" t="s">
        <v>1316</v>
      </c>
      <c r="E270" t="s">
        <v>1317</v>
      </c>
      <c r="F270" t="str">
        <f>INDEX(IPCCMaps!H:H,MATCH(mapPRC!C270,IPCCMaps!G:G,0))</f>
        <v>1 Energy</v>
      </c>
    </row>
    <row r="271" spans="1:9" x14ac:dyDescent="0.25">
      <c r="A271" t="s">
        <v>1315</v>
      </c>
      <c r="B271" t="s">
        <v>145</v>
      </c>
      <c r="C271" t="s">
        <v>1311</v>
      </c>
      <c r="D271" t="s">
        <v>1311</v>
      </c>
      <c r="E271" t="s">
        <v>1314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1313</v>
      </c>
      <c r="B272" t="s">
        <v>145</v>
      </c>
      <c r="C272" t="s">
        <v>1311</v>
      </c>
      <c r="D272" t="s">
        <v>1311</v>
      </c>
      <c r="E272" t="s">
        <v>1312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1310</v>
      </c>
      <c r="B273" t="s">
        <v>145</v>
      </c>
      <c r="C273" t="s">
        <v>1307</v>
      </c>
      <c r="D273" t="s">
        <v>1307</v>
      </c>
      <c r="E273" t="s">
        <v>1309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1308</v>
      </c>
      <c r="B274" t="s">
        <v>145</v>
      </c>
      <c r="C274" t="s">
        <v>1307</v>
      </c>
      <c r="D274" t="s">
        <v>1307</v>
      </c>
      <c r="E274" t="s">
        <v>3000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1306</v>
      </c>
      <c r="D275" t="s">
        <v>0</v>
      </c>
      <c r="E275" t="s">
        <v>1305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1304</v>
      </c>
      <c r="B276" t="s">
        <v>145</v>
      </c>
      <c r="C276" t="s">
        <v>1302</v>
      </c>
      <c r="D276" t="s">
        <v>1302</v>
      </c>
      <c r="E276" t="s">
        <v>1303</v>
      </c>
      <c r="F276" t="str">
        <f>INDEX(IPCCMaps!H:H,MATCH(mapPRC!C276,IPCCMaps!G:G,0))</f>
        <v>1 Energy</v>
      </c>
      <c r="G276">
        <f>INDEX(IPCCMaps!I:I,MATCH(mapPRC!C276,IPCCMaps!G:G,0))</f>
        <v>0</v>
      </c>
      <c r="H276">
        <f>INDEX(IPCCMaps!J:J,MATCH(mapPRC!C276,IPCCMaps!G:G,0))</f>
        <v>0</v>
      </c>
      <c r="I276">
        <f>INDEX(IPCCMaps!K:K,MATCH(mapPRC!C276,IPCCMaps!G:G,0))</f>
        <v>0</v>
      </c>
    </row>
    <row r="277" spans="1:9" x14ac:dyDescent="0.25">
      <c r="A277" t="s">
        <v>3084</v>
      </c>
      <c r="B277" t="s">
        <v>964</v>
      </c>
      <c r="C277" t="s">
        <v>3086</v>
      </c>
      <c r="D277" t="s">
        <v>3087</v>
      </c>
      <c r="E277" t="s">
        <v>3085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1A2 Manufacturing Industries and Construction</v>
      </c>
      <c r="I277" t="str">
        <f>INDEX(IPCCMaps!K:K,MATCH(mapPRC!C277,IPCCMaps!G:G,0))</f>
        <v>1A2 Manufacturing Industries and Construction</v>
      </c>
    </row>
    <row r="278" spans="1:9" x14ac:dyDescent="0.25">
      <c r="A278" t="s">
        <v>1301</v>
      </c>
      <c r="B278" t="s">
        <v>964</v>
      </c>
      <c r="C278" t="s">
        <v>1270</v>
      </c>
      <c r="D278" t="s">
        <v>1064</v>
      </c>
      <c r="E278" t="s">
        <v>1300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1299</v>
      </c>
      <c r="B279" t="s">
        <v>964</v>
      </c>
      <c r="C279" t="s">
        <v>1270</v>
      </c>
      <c r="D279" t="s">
        <v>1061</v>
      </c>
      <c r="E279" t="s">
        <v>1298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1297</v>
      </c>
      <c r="B280" t="s">
        <v>964</v>
      </c>
      <c r="C280" t="s">
        <v>1270</v>
      </c>
      <c r="D280" t="s">
        <v>1058</v>
      </c>
      <c r="E280" t="s">
        <v>1296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1295</v>
      </c>
      <c r="B281" t="s">
        <v>964</v>
      </c>
      <c r="C281" t="s">
        <v>1270</v>
      </c>
      <c r="D281" t="s">
        <v>1055</v>
      </c>
      <c r="E281" t="s">
        <v>1294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1293</v>
      </c>
      <c r="B282" t="s">
        <v>964</v>
      </c>
      <c r="C282" t="s">
        <v>1270</v>
      </c>
      <c r="D282" t="s">
        <v>1052</v>
      </c>
      <c r="E282" t="s">
        <v>1292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1291</v>
      </c>
      <c r="B283" t="s">
        <v>964</v>
      </c>
      <c r="C283" t="s">
        <v>1270</v>
      </c>
      <c r="D283" t="s">
        <v>1049</v>
      </c>
      <c r="E283" t="s">
        <v>1290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1289</v>
      </c>
      <c r="B284" t="s">
        <v>964</v>
      </c>
      <c r="C284" t="s">
        <v>1270</v>
      </c>
      <c r="D284" t="s">
        <v>733</v>
      </c>
      <c r="E284" t="s">
        <v>1288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1287</v>
      </c>
      <c r="B285" t="s">
        <v>964</v>
      </c>
      <c r="C285" t="s">
        <v>1270</v>
      </c>
      <c r="D285" t="s">
        <v>1044</v>
      </c>
      <c r="E285" t="s">
        <v>1286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1285</v>
      </c>
      <c r="B286" t="s">
        <v>964</v>
      </c>
      <c r="C286" t="s">
        <v>1270</v>
      </c>
      <c r="D286" t="s">
        <v>1041</v>
      </c>
      <c r="E286" t="s">
        <v>1284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3088</v>
      </c>
      <c r="B287" t="s">
        <v>964</v>
      </c>
      <c r="C287" t="s">
        <v>1270</v>
      </c>
      <c r="D287" t="s">
        <v>1025</v>
      </c>
      <c r="E287" t="s">
        <v>1283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1282</v>
      </c>
      <c r="B288" t="s">
        <v>964</v>
      </c>
      <c r="C288" t="s">
        <v>1270</v>
      </c>
      <c r="D288" t="s">
        <v>1025</v>
      </c>
      <c r="E288" t="s">
        <v>1281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1280</v>
      </c>
      <c r="B289" t="s">
        <v>964</v>
      </c>
      <c r="C289" t="s">
        <v>1270</v>
      </c>
      <c r="D289" t="s">
        <v>1025</v>
      </c>
      <c r="E289" t="s">
        <v>1279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1278</v>
      </c>
      <c r="B290" t="s">
        <v>964</v>
      </c>
      <c r="C290" t="s">
        <v>1270</v>
      </c>
      <c r="D290" t="s">
        <v>1025</v>
      </c>
      <c r="E290" t="s">
        <v>1277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1276</v>
      </c>
      <c r="B291" t="s">
        <v>964</v>
      </c>
      <c r="C291" t="s">
        <v>1270</v>
      </c>
      <c r="D291" t="s">
        <v>1025</v>
      </c>
      <c r="E291" t="s">
        <v>1275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1274</v>
      </c>
      <c r="B292" t="s">
        <v>964</v>
      </c>
      <c r="C292" t="s">
        <v>1270</v>
      </c>
      <c r="D292" t="s">
        <v>1025</v>
      </c>
      <c r="E292" t="s">
        <v>1273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1272</v>
      </c>
      <c r="B293" t="s">
        <v>964</v>
      </c>
      <c r="C293" t="s">
        <v>1270</v>
      </c>
      <c r="D293" t="s">
        <v>1269</v>
      </c>
      <c r="E293" t="s">
        <v>1271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1268</v>
      </c>
      <c r="B294" t="s">
        <v>964</v>
      </c>
      <c r="C294" t="s">
        <v>1266</v>
      </c>
      <c r="D294" t="s">
        <v>0</v>
      </c>
      <c r="E294" t="s">
        <v>1267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1265</v>
      </c>
      <c r="B295" t="s">
        <v>964</v>
      </c>
      <c r="C295" t="s">
        <v>1239</v>
      </c>
      <c r="D295" t="s">
        <v>1064</v>
      </c>
      <c r="E295" t="s">
        <v>1264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1263</v>
      </c>
      <c r="B296" t="s">
        <v>964</v>
      </c>
      <c r="C296" t="s">
        <v>1239</v>
      </c>
      <c r="D296" t="s">
        <v>1061</v>
      </c>
      <c r="E296" t="s">
        <v>1262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1261</v>
      </c>
      <c r="B297" t="s">
        <v>964</v>
      </c>
      <c r="C297" t="s">
        <v>1239</v>
      </c>
      <c r="D297" t="s">
        <v>1058</v>
      </c>
      <c r="E297" t="s">
        <v>1260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1259</v>
      </c>
      <c r="B298" t="s">
        <v>964</v>
      </c>
      <c r="C298" t="s">
        <v>1239</v>
      </c>
      <c r="D298" t="s">
        <v>1055</v>
      </c>
      <c r="E298" t="s">
        <v>1258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1257</v>
      </c>
      <c r="B299" t="s">
        <v>964</v>
      </c>
      <c r="C299" t="s">
        <v>1239</v>
      </c>
      <c r="D299" t="s">
        <v>1052</v>
      </c>
      <c r="E299" t="s">
        <v>1256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1255</v>
      </c>
      <c r="B300" t="s">
        <v>964</v>
      </c>
      <c r="C300" t="s">
        <v>1239</v>
      </c>
      <c r="D300" t="s">
        <v>1049</v>
      </c>
      <c r="E300" t="s">
        <v>1254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1253</v>
      </c>
      <c r="B301" t="s">
        <v>964</v>
      </c>
      <c r="C301" t="s">
        <v>1239</v>
      </c>
      <c r="D301" t="s">
        <v>733</v>
      </c>
      <c r="E301" t="s">
        <v>1252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1251</v>
      </c>
      <c r="B302" t="s">
        <v>964</v>
      </c>
      <c r="C302" t="s">
        <v>1239</v>
      </c>
      <c r="D302" t="s">
        <v>1044</v>
      </c>
      <c r="E302" t="s">
        <v>1250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1249</v>
      </c>
      <c r="B303" t="s">
        <v>964</v>
      </c>
      <c r="C303" t="s">
        <v>1239</v>
      </c>
      <c r="D303" t="s">
        <v>1041</v>
      </c>
      <c r="E303" t="s">
        <v>1248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1247</v>
      </c>
      <c r="B304" t="s">
        <v>964</v>
      </c>
      <c r="C304" t="s">
        <v>1239</v>
      </c>
      <c r="D304" t="s">
        <v>1025</v>
      </c>
      <c r="E304" t="s">
        <v>1240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1246</v>
      </c>
      <c r="B305" t="s">
        <v>964</v>
      </c>
      <c r="C305" t="s">
        <v>1239</v>
      </c>
      <c r="D305" t="s">
        <v>1025</v>
      </c>
      <c r="E305" t="s">
        <v>1240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1245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1244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1243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1242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1241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1235</v>
      </c>
      <c r="B311" t="s">
        <v>964</v>
      </c>
      <c r="C311" t="s">
        <v>1197</v>
      </c>
      <c r="D311" t="s">
        <v>1233</v>
      </c>
      <c r="E311" t="s">
        <v>1234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1238</v>
      </c>
      <c r="B312" t="s">
        <v>964</v>
      </c>
      <c r="C312" t="s">
        <v>1197</v>
      </c>
      <c r="D312" t="s">
        <v>1233</v>
      </c>
      <c r="E312" t="s">
        <v>1236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1237</v>
      </c>
      <c r="B313" t="s">
        <v>964</v>
      </c>
      <c r="C313" t="s">
        <v>1197</v>
      </c>
      <c r="D313" t="s">
        <v>1233</v>
      </c>
      <c r="E313" t="s">
        <v>1236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1232</v>
      </c>
      <c r="B314" t="s">
        <v>964</v>
      </c>
      <c r="C314" t="s">
        <v>1197</v>
      </c>
      <c r="D314" t="s">
        <v>1230</v>
      </c>
      <c r="E314" t="s">
        <v>1231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1226</v>
      </c>
      <c r="B315" t="s">
        <v>964</v>
      </c>
      <c r="C315" t="s">
        <v>1197</v>
      </c>
      <c r="D315" t="s">
        <v>1224</v>
      </c>
      <c r="E315" t="s">
        <v>1225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1229</v>
      </c>
      <c r="B316" t="s">
        <v>964</v>
      </c>
      <c r="C316" t="s">
        <v>1197</v>
      </c>
      <c r="D316" t="s">
        <v>1224</v>
      </c>
      <c r="E316" t="s">
        <v>1227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1228</v>
      </c>
      <c r="B317" t="s">
        <v>964</v>
      </c>
      <c r="C317" t="s">
        <v>1197</v>
      </c>
      <c r="D317" t="s">
        <v>1224</v>
      </c>
      <c r="E317" t="s">
        <v>1227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1223</v>
      </c>
      <c r="B318" t="s">
        <v>964</v>
      </c>
      <c r="C318" t="s">
        <v>1197</v>
      </c>
      <c r="D318" t="s">
        <v>1221</v>
      </c>
      <c r="E318" t="s">
        <v>1222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1217</v>
      </c>
      <c r="B319" t="s">
        <v>964</v>
      </c>
      <c r="C319" t="s">
        <v>1197</v>
      </c>
      <c r="D319" t="s">
        <v>1215</v>
      </c>
      <c r="E319" t="s">
        <v>1216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1220</v>
      </c>
      <c r="B320" t="s">
        <v>964</v>
      </c>
      <c r="C320" t="s">
        <v>1197</v>
      </c>
      <c r="D320" t="s">
        <v>1215</v>
      </c>
      <c r="E320" t="s">
        <v>1216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1219</v>
      </c>
      <c r="B321" t="s">
        <v>964</v>
      </c>
      <c r="C321" t="s">
        <v>1197</v>
      </c>
      <c r="D321" t="s">
        <v>1215</v>
      </c>
      <c r="E321" t="s">
        <v>1218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1214</v>
      </c>
      <c r="B322" t="s">
        <v>964</v>
      </c>
      <c r="C322" t="s">
        <v>1197</v>
      </c>
      <c r="D322" t="s">
        <v>1213</v>
      </c>
      <c r="E322" t="s">
        <v>1211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1212</v>
      </c>
      <c r="B323" t="s">
        <v>964</v>
      </c>
      <c r="C323" t="s">
        <v>1197</v>
      </c>
      <c r="D323" t="s">
        <v>1210</v>
      </c>
      <c r="E323" t="s">
        <v>1211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3089</v>
      </c>
      <c r="B324" t="s">
        <v>964</v>
      </c>
      <c r="C324" t="s">
        <v>1197</v>
      </c>
      <c r="D324" t="s">
        <v>1210</v>
      </c>
      <c r="E324" t="s">
        <v>3090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3091</v>
      </c>
      <c r="B325" t="s">
        <v>964</v>
      </c>
      <c r="C325" t="s">
        <v>1197</v>
      </c>
      <c r="D325" t="s">
        <v>1210</v>
      </c>
      <c r="E325" t="s">
        <v>3092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3093</v>
      </c>
      <c r="B326" t="s">
        <v>964</v>
      </c>
      <c r="C326" t="s">
        <v>1197</v>
      </c>
      <c r="D326" t="s">
        <v>1210</v>
      </c>
      <c r="E326" t="s">
        <v>3094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3095</v>
      </c>
      <c r="B327" t="s">
        <v>964</v>
      </c>
      <c r="C327" t="s">
        <v>1197</v>
      </c>
      <c r="D327" t="s">
        <v>1210</v>
      </c>
      <c r="E327" t="s">
        <v>3096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3097</v>
      </c>
      <c r="B328" t="s">
        <v>964</v>
      </c>
      <c r="C328" t="s">
        <v>1197</v>
      </c>
      <c r="D328" t="s">
        <v>1210</v>
      </c>
      <c r="E328" t="s">
        <v>3098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3099</v>
      </c>
      <c r="B329" t="s">
        <v>964</v>
      </c>
      <c r="C329" t="s">
        <v>1197</v>
      </c>
      <c r="D329" t="s">
        <v>1210</v>
      </c>
      <c r="E329" t="s">
        <v>3100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1206</v>
      </c>
      <c r="B330" t="s">
        <v>964</v>
      </c>
      <c r="C330" t="s">
        <v>1197</v>
      </c>
      <c r="D330" t="s">
        <v>1204</v>
      </c>
      <c r="E330" t="s">
        <v>1205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1209</v>
      </c>
      <c r="B331" t="s">
        <v>964</v>
      </c>
      <c r="C331" t="s">
        <v>1197</v>
      </c>
      <c r="D331" t="s">
        <v>1204</v>
      </c>
      <c r="E331" t="s">
        <v>1207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1208</v>
      </c>
      <c r="B332" t="s">
        <v>964</v>
      </c>
      <c r="C332" t="s">
        <v>1197</v>
      </c>
      <c r="D332" t="s">
        <v>1204</v>
      </c>
      <c r="E332" t="s">
        <v>1207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1201</v>
      </c>
      <c r="B333" t="s">
        <v>964</v>
      </c>
      <c r="C333" t="s">
        <v>1197</v>
      </c>
      <c r="D333" t="s">
        <v>1200</v>
      </c>
      <c r="E333" t="s">
        <v>1198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1203</v>
      </c>
      <c r="B334" t="s">
        <v>964</v>
      </c>
      <c r="C334" t="s">
        <v>1197</v>
      </c>
      <c r="D334" t="s">
        <v>1200</v>
      </c>
      <c r="E334" t="s">
        <v>1198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1202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1199</v>
      </c>
      <c r="B336" t="s">
        <v>964</v>
      </c>
      <c r="C336" t="s">
        <v>1197</v>
      </c>
      <c r="D336" t="s">
        <v>1196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1195</v>
      </c>
      <c r="B337" t="s">
        <v>964</v>
      </c>
      <c r="C337" t="s">
        <v>1163</v>
      </c>
      <c r="D337" t="s">
        <v>1064</v>
      </c>
      <c r="E337" t="s">
        <v>1194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1193</v>
      </c>
      <c r="B338" t="s">
        <v>964</v>
      </c>
      <c r="C338" t="s">
        <v>1163</v>
      </c>
      <c r="D338" t="s">
        <v>1061</v>
      </c>
      <c r="E338" t="s">
        <v>1192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1191</v>
      </c>
      <c r="B339" t="s">
        <v>964</v>
      </c>
      <c r="C339" t="s">
        <v>1163</v>
      </c>
      <c r="D339" t="s">
        <v>1058</v>
      </c>
      <c r="E339" t="s">
        <v>1190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1189</v>
      </c>
      <c r="B340" t="s">
        <v>964</v>
      </c>
      <c r="C340" t="s">
        <v>1163</v>
      </c>
      <c r="D340" t="s">
        <v>1055</v>
      </c>
      <c r="E340" t="s">
        <v>1188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1187</v>
      </c>
      <c r="B341" t="s">
        <v>964</v>
      </c>
      <c r="C341" t="s">
        <v>1163</v>
      </c>
      <c r="D341" t="s">
        <v>1052</v>
      </c>
      <c r="E341" t="s">
        <v>1186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1185</v>
      </c>
      <c r="B342" t="s">
        <v>964</v>
      </c>
      <c r="C342" t="s">
        <v>1163</v>
      </c>
      <c r="D342" t="s">
        <v>1049</v>
      </c>
      <c r="E342" t="s">
        <v>1184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1183</v>
      </c>
      <c r="B343" t="s">
        <v>964</v>
      </c>
      <c r="C343" t="s">
        <v>1163</v>
      </c>
      <c r="D343" t="s">
        <v>733</v>
      </c>
      <c r="E343" t="s">
        <v>1182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1181</v>
      </c>
      <c r="B344" t="s">
        <v>964</v>
      </c>
      <c r="C344" t="s">
        <v>1163</v>
      </c>
      <c r="D344" t="s">
        <v>1044</v>
      </c>
      <c r="E344" t="s">
        <v>1180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1179</v>
      </c>
      <c r="B345" t="s">
        <v>964</v>
      </c>
      <c r="C345" t="s">
        <v>1163</v>
      </c>
      <c r="D345" t="s">
        <v>1041</v>
      </c>
      <c r="E345" t="s">
        <v>1178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1177</v>
      </c>
      <c r="B346" t="s">
        <v>964</v>
      </c>
      <c r="C346" t="s">
        <v>1163</v>
      </c>
      <c r="D346" t="s">
        <v>0</v>
      </c>
      <c r="E346" t="s">
        <v>1176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1175</v>
      </c>
      <c r="B347" t="s">
        <v>964</v>
      </c>
      <c r="C347" t="s">
        <v>1163</v>
      </c>
      <c r="D347" t="s">
        <v>1025</v>
      </c>
      <c r="E347" t="s">
        <v>1174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1173</v>
      </c>
      <c r="B348" t="s">
        <v>964</v>
      </c>
      <c r="C348" t="s">
        <v>1163</v>
      </c>
      <c r="D348" t="s">
        <v>1025</v>
      </c>
      <c r="E348" t="s">
        <v>1172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1171</v>
      </c>
      <c r="B349" t="s">
        <v>964</v>
      </c>
      <c r="C349" t="s">
        <v>1163</v>
      </c>
      <c r="D349" t="s">
        <v>1025</v>
      </c>
      <c r="E349" t="s">
        <v>1170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1169</v>
      </c>
      <c r="B350" t="s">
        <v>964</v>
      </c>
      <c r="C350" t="s">
        <v>1163</v>
      </c>
      <c r="D350" t="s">
        <v>1025</v>
      </c>
      <c r="E350" t="s">
        <v>1168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1167</v>
      </c>
      <c r="B351" t="s">
        <v>964</v>
      </c>
      <c r="C351" t="s">
        <v>1163</v>
      </c>
      <c r="D351" t="s">
        <v>1025</v>
      </c>
      <c r="E351" t="s">
        <v>1166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1165</v>
      </c>
      <c r="B352" t="s">
        <v>964</v>
      </c>
      <c r="C352" t="s">
        <v>1163</v>
      </c>
      <c r="D352" t="s">
        <v>1025</v>
      </c>
      <c r="E352" t="s">
        <v>1164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1162</v>
      </c>
      <c r="B353" t="s">
        <v>21</v>
      </c>
      <c r="C353" t="s">
        <v>425</v>
      </c>
      <c r="D353" t="s">
        <v>425</v>
      </c>
      <c r="E353" t="s">
        <v>1161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1160</v>
      </c>
      <c r="B354" t="s">
        <v>21</v>
      </c>
      <c r="C354" t="s">
        <v>425</v>
      </c>
      <c r="D354" t="s">
        <v>425</v>
      </c>
      <c r="E354" t="s">
        <v>1159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1158</v>
      </c>
      <c r="B355" t="s">
        <v>21</v>
      </c>
      <c r="C355" t="s">
        <v>425</v>
      </c>
      <c r="D355" t="s">
        <v>425</v>
      </c>
      <c r="E355" t="s">
        <v>1157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1156</v>
      </c>
      <c r="B356" t="s">
        <v>21</v>
      </c>
      <c r="C356" t="s">
        <v>425</v>
      </c>
      <c r="D356" t="s">
        <v>425</v>
      </c>
      <c r="E356" t="s">
        <v>1155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1154</v>
      </c>
      <c r="B357" t="s">
        <v>21</v>
      </c>
      <c r="C357" t="s">
        <v>425</v>
      </c>
      <c r="D357" t="s">
        <v>425</v>
      </c>
      <c r="E357" t="s">
        <v>1153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1152</v>
      </c>
      <c r="B358" t="s">
        <v>21</v>
      </c>
      <c r="C358" t="s">
        <v>425</v>
      </c>
      <c r="D358" t="s">
        <v>425</v>
      </c>
      <c r="E358" t="s">
        <v>1151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1150</v>
      </c>
      <c r="B359" t="s">
        <v>21</v>
      </c>
      <c r="C359" t="s">
        <v>425</v>
      </c>
      <c r="D359" t="s">
        <v>425</v>
      </c>
      <c r="E359" t="s">
        <v>1149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1148</v>
      </c>
      <c r="B360" t="s">
        <v>21</v>
      </c>
      <c r="C360" t="s">
        <v>425</v>
      </c>
      <c r="D360" t="s">
        <v>425</v>
      </c>
      <c r="E360" t="s">
        <v>1147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1146</v>
      </c>
      <c r="B361" t="s">
        <v>21</v>
      </c>
      <c r="C361" t="s">
        <v>425</v>
      </c>
      <c r="D361" t="s">
        <v>425</v>
      </c>
      <c r="E361" t="s">
        <v>1145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1144</v>
      </c>
      <c r="B362" t="s">
        <v>21</v>
      </c>
      <c r="C362" t="s">
        <v>425</v>
      </c>
      <c r="D362" t="s">
        <v>425</v>
      </c>
      <c r="E362" t="s">
        <v>1143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1142</v>
      </c>
      <c r="B363" t="s">
        <v>21</v>
      </c>
      <c r="C363" t="s">
        <v>425</v>
      </c>
      <c r="D363" t="s">
        <v>425</v>
      </c>
      <c r="E363" t="s">
        <v>1141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1140</v>
      </c>
      <c r="B364" t="s">
        <v>21</v>
      </c>
      <c r="C364" t="s">
        <v>425</v>
      </c>
      <c r="D364" t="s">
        <v>425</v>
      </c>
      <c r="E364" t="s">
        <v>1139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1138</v>
      </c>
      <c r="B365" t="s">
        <v>21</v>
      </c>
      <c r="C365" t="s">
        <v>425</v>
      </c>
      <c r="D365" t="s">
        <v>425</v>
      </c>
      <c r="E365" t="s">
        <v>1137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1136</v>
      </c>
      <c r="B366" t="s">
        <v>964</v>
      </c>
      <c r="C366" t="s">
        <v>1111</v>
      </c>
      <c r="D366" t="s">
        <v>1064</v>
      </c>
      <c r="E366" t="s">
        <v>1135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1134</v>
      </c>
      <c r="B367" t="s">
        <v>964</v>
      </c>
      <c r="C367" t="s">
        <v>1111</v>
      </c>
      <c r="D367" t="s">
        <v>1061</v>
      </c>
      <c r="E367" t="s">
        <v>1133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1132</v>
      </c>
      <c r="B368" t="s">
        <v>964</v>
      </c>
      <c r="C368" t="s">
        <v>1111</v>
      </c>
      <c r="D368" t="s">
        <v>1058</v>
      </c>
      <c r="E368" t="s">
        <v>1131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1130</v>
      </c>
      <c r="B369" t="s">
        <v>964</v>
      </c>
      <c r="C369" t="s">
        <v>1111</v>
      </c>
      <c r="D369" t="s">
        <v>1055</v>
      </c>
      <c r="E369" t="s">
        <v>1129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1128</v>
      </c>
      <c r="B370" t="s">
        <v>964</v>
      </c>
      <c r="C370" t="s">
        <v>1111</v>
      </c>
      <c r="D370" t="s">
        <v>1052</v>
      </c>
      <c r="E370" t="s">
        <v>1127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1126</v>
      </c>
      <c r="B371" t="s">
        <v>964</v>
      </c>
      <c r="C371" t="s">
        <v>1111</v>
      </c>
      <c r="D371" t="s">
        <v>1049</v>
      </c>
      <c r="E371" t="s">
        <v>1125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1124</v>
      </c>
      <c r="B372" t="s">
        <v>964</v>
      </c>
      <c r="C372" t="s">
        <v>1111</v>
      </c>
      <c r="D372" t="s">
        <v>733</v>
      </c>
      <c r="E372" t="s">
        <v>1123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1122</v>
      </c>
      <c r="B373" t="s">
        <v>964</v>
      </c>
      <c r="C373" t="s">
        <v>1111</v>
      </c>
      <c r="D373" t="s">
        <v>1044</v>
      </c>
      <c r="E373" t="s">
        <v>1121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1120</v>
      </c>
      <c r="B374" t="s">
        <v>964</v>
      </c>
      <c r="C374" t="s">
        <v>1111</v>
      </c>
      <c r="D374" t="s">
        <v>1041</v>
      </c>
      <c r="E374" t="s">
        <v>1119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1118</v>
      </c>
      <c r="B375" t="s">
        <v>964</v>
      </c>
      <c r="C375" t="s">
        <v>1111</v>
      </c>
      <c r="D375" t="s">
        <v>1025</v>
      </c>
      <c r="E375" t="s">
        <v>1112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1117</v>
      </c>
      <c r="B376" t="s">
        <v>964</v>
      </c>
      <c r="C376" t="s">
        <v>1111</v>
      </c>
      <c r="D376" t="s">
        <v>1025</v>
      </c>
      <c r="E376" t="s">
        <v>1112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1116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1115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1114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1113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1110</v>
      </c>
      <c r="B381" t="s">
        <v>964</v>
      </c>
      <c r="C381" t="s">
        <v>1068</v>
      </c>
      <c r="D381" t="s">
        <v>1105</v>
      </c>
      <c r="E381" t="s">
        <v>1106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1109</v>
      </c>
      <c r="B382" t="s">
        <v>964</v>
      </c>
      <c r="C382" t="s">
        <v>1068</v>
      </c>
      <c r="D382" t="s">
        <v>1105</v>
      </c>
      <c r="E382" t="s">
        <v>1108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1107</v>
      </c>
      <c r="B383" t="s">
        <v>964</v>
      </c>
      <c r="C383" t="s">
        <v>1068</v>
      </c>
      <c r="D383" t="s">
        <v>1105</v>
      </c>
      <c r="E383" t="s">
        <v>1106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1104</v>
      </c>
      <c r="B384" t="s">
        <v>964</v>
      </c>
      <c r="C384" t="s">
        <v>1068</v>
      </c>
      <c r="D384" t="s">
        <v>1082</v>
      </c>
      <c r="E384" t="s">
        <v>1103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1102</v>
      </c>
      <c r="B385" t="s">
        <v>964</v>
      </c>
      <c r="C385" t="s">
        <v>1068</v>
      </c>
      <c r="D385" t="s">
        <v>1082</v>
      </c>
      <c r="E385" t="s">
        <v>1100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1101</v>
      </c>
      <c r="B386" t="s">
        <v>964</v>
      </c>
      <c r="C386" t="s">
        <v>1068</v>
      </c>
      <c r="D386" t="s">
        <v>1082</v>
      </c>
      <c r="E386" t="s">
        <v>1100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1097</v>
      </c>
      <c r="B387" t="s">
        <v>964</v>
      </c>
      <c r="C387" t="s">
        <v>1068</v>
      </c>
      <c r="D387" t="s">
        <v>1082</v>
      </c>
      <c r="E387" t="s">
        <v>1096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1099</v>
      </c>
      <c r="B388" t="s">
        <v>964</v>
      </c>
      <c r="C388" t="s">
        <v>1068</v>
      </c>
      <c r="D388" t="s">
        <v>1082</v>
      </c>
      <c r="E388" t="s">
        <v>1096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1098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1093</v>
      </c>
      <c r="B390" t="s">
        <v>964</v>
      </c>
      <c r="C390" t="s">
        <v>1068</v>
      </c>
      <c r="D390" t="s">
        <v>1082</v>
      </c>
      <c r="E390" t="s">
        <v>1089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1095</v>
      </c>
      <c r="B391" t="s">
        <v>964</v>
      </c>
      <c r="C391" t="s">
        <v>1068</v>
      </c>
      <c r="D391" t="s">
        <v>1082</v>
      </c>
      <c r="E391" t="s">
        <v>1089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1094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1092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1088</v>
      </c>
      <c r="B394" t="s">
        <v>964</v>
      </c>
      <c r="C394" t="s">
        <v>1068</v>
      </c>
      <c r="D394" t="s">
        <v>1082</v>
      </c>
      <c r="E394" t="s">
        <v>1086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1091</v>
      </c>
      <c r="B395" t="s">
        <v>964</v>
      </c>
      <c r="C395" t="s">
        <v>1068</v>
      </c>
      <c r="D395" t="s">
        <v>1082</v>
      </c>
      <c r="E395" t="s">
        <v>1089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1090</v>
      </c>
      <c r="B396" t="s">
        <v>964</v>
      </c>
      <c r="C396" t="s">
        <v>1068</v>
      </c>
      <c r="D396" t="s">
        <v>1082</v>
      </c>
      <c r="E396" t="s">
        <v>1089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1087</v>
      </c>
      <c r="B397" t="s">
        <v>964</v>
      </c>
      <c r="C397" t="s">
        <v>1068</v>
      </c>
      <c r="D397" t="s">
        <v>1082</v>
      </c>
      <c r="E397" t="s">
        <v>1086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1085</v>
      </c>
      <c r="B398" t="s">
        <v>964</v>
      </c>
      <c r="C398" t="s">
        <v>1068</v>
      </c>
      <c r="D398" t="s">
        <v>1082</v>
      </c>
      <c r="E398" t="s">
        <v>1083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1084</v>
      </c>
      <c r="B399" t="s">
        <v>964</v>
      </c>
      <c r="C399" t="s">
        <v>1068</v>
      </c>
      <c r="D399" t="s">
        <v>1082</v>
      </c>
      <c r="E399" t="s">
        <v>1083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1081</v>
      </c>
      <c r="B400" t="s">
        <v>964</v>
      </c>
      <c r="C400" t="s">
        <v>1068</v>
      </c>
      <c r="D400" t="s">
        <v>1075</v>
      </c>
      <c r="E400" t="s">
        <v>1080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1079</v>
      </c>
      <c r="B401" t="s">
        <v>964</v>
      </c>
      <c r="C401" t="s">
        <v>1068</v>
      </c>
      <c r="D401" t="s">
        <v>1075</v>
      </c>
      <c r="E401" t="s">
        <v>1078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1077</v>
      </c>
      <c r="B402" t="s">
        <v>964</v>
      </c>
      <c r="C402" t="s">
        <v>1068</v>
      </c>
      <c r="D402" t="s">
        <v>1075</v>
      </c>
      <c r="E402" t="s">
        <v>1076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1074</v>
      </c>
      <c r="B403" t="s">
        <v>964</v>
      </c>
      <c r="C403" t="s">
        <v>1068</v>
      </c>
      <c r="D403" t="s">
        <v>1067</v>
      </c>
      <c r="E403" t="s">
        <v>1073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1072</v>
      </c>
      <c r="B404" t="s">
        <v>964</v>
      </c>
      <c r="C404" t="s">
        <v>1068</v>
      </c>
      <c r="D404" t="s">
        <v>1067</v>
      </c>
      <c r="E404" t="s">
        <v>1071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1070</v>
      </c>
      <c r="B405" t="s">
        <v>964</v>
      </c>
      <c r="C405" t="s">
        <v>1068</v>
      </c>
      <c r="D405" t="s">
        <v>1067</v>
      </c>
      <c r="E405" t="s">
        <v>1069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1066</v>
      </c>
      <c r="B406" t="s">
        <v>964</v>
      </c>
      <c r="C406" t="s">
        <v>1026</v>
      </c>
      <c r="D406" t="s">
        <v>1064</v>
      </c>
      <c r="E406" t="s">
        <v>1065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1063</v>
      </c>
      <c r="B407" t="s">
        <v>964</v>
      </c>
      <c r="C407" t="s">
        <v>1026</v>
      </c>
      <c r="D407" t="s">
        <v>1061</v>
      </c>
      <c r="E407" t="s">
        <v>1062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1060</v>
      </c>
      <c r="B408" t="s">
        <v>964</v>
      </c>
      <c r="C408" t="s">
        <v>1026</v>
      </c>
      <c r="D408" t="s">
        <v>1058</v>
      </c>
      <c r="E408" t="s">
        <v>1059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1057</v>
      </c>
      <c r="B409" t="s">
        <v>964</v>
      </c>
      <c r="C409" t="s">
        <v>1026</v>
      </c>
      <c r="D409" t="s">
        <v>1055</v>
      </c>
      <c r="E409" t="s">
        <v>1056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1054</v>
      </c>
      <c r="B410" t="s">
        <v>964</v>
      </c>
      <c r="C410" t="s">
        <v>1026</v>
      </c>
      <c r="D410" t="s">
        <v>1052</v>
      </c>
      <c r="E410" t="s">
        <v>1053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1051</v>
      </c>
      <c r="B411" t="s">
        <v>964</v>
      </c>
      <c r="C411" t="s">
        <v>1026</v>
      </c>
      <c r="D411" t="s">
        <v>1049</v>
      </c>
      <c r="E411" t="s">
        <v>1050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1048</v>
      </c>
      <c r="B412" t="s">
        <v>964</v>
      </c>
      <c r="C412" t="s">
        <v>1026</v>
      </c>
      <c r="D412" t="s">
        <v>733</v>
      </c>
      <c r="E412" t="s">
        <v>1047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1046</v>
      </c>
      <c r="B413" t="s">
        <v>964</v>
      </c>
      <c r="C413" t="s">
        <v>1026</v>
      </c>
      <c r="D413" t="s">
        <v>1044</v>
      </c>
      <c r="E413" t="s">
        <v>1045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1043</v>
      </c>
      <c r="B414" t="s">
        <v>964</v>
      </c>
      <c r="C414" t="s">
        <v>1026</v>
      </c>
      <c r="D414" t="s">
        <v>1041</v>
      </c>
      <c r="E414" t="s">
        <v>1042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1040</v>
      </c>
      <c r="B415" t="s">
        <v>964</v>
      </c>
      <c r="C415" t="s">
        <v>1026</v>
      </c>
      <c r="D415" t="s">
        <v>0</v>
      </c>
      <c r="E415" t="s">
        <v>1039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1038</v>
      </c>
      <c r="B416" t="s">
        <v>964</v>
      </c>
      <c r="C416" t="s">
        <v>1026</v>
      </c>
      <c r="D416" t="s">
        <v>1025</v>
      </c>
      <c r="E416" t="s">
        <v>1037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1036</v>
      </c>
      <c r="B417" t="s">
        <v>964</v>
      </c>
      <c r="C417" t="s">
        <v>1026</v>
      </c>
      <c r="D417" t="s">
        <v>1025</v>
      </c>
      <c r="E417" t="s">
        <v>1035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1034</v>
      </c>
      <c r="B418" t="s">
        <v>964</v>
      </c>
      <c r="C418" t="s">
        <v>1026</v>
      </c>
      <c r="D418" t="s">
        <v>1025</v>
      </c>
      <c r="E418" t="s">
        <v>1033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1032</v>
      </c>
      <c r="B419" t="s">
        <v>964</v>
      </c>
      <c r="C419" t="s">
        <v>1026</v>
      </c>
      <c r="D419" t="s">
        <v>1025</v>
      </c>
      <c r="E419" t="s">
        <v>1031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1030</v>
      </c>
      <c r="B420" t="s">
        <v>964</v>
      </c>
      <c r="C420" t="s">
        <v>1026</v>
      </c>
      <c r="D420" t="s">
        <v>1025</v>
      </c>
      <c r="E420" t="s">
        <v>1029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1028</v>
      </c>
      <c r="B421" t="s">
        <v>964</v>
      </c>
      <c r="C421" t="s">
        <v>1026</v>
      </c>
      <c r="D421" t="s">
        <v>1025</v>
      </c>
      <c r="E421" t="s">
        <v>1027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1022</v>
      </c>
      <c r="B422" t="s">
        <v>964</v>
      </c>
      <c r="C422" t="s">
        <v>963</v>
      </c>
      <c r="D422" t="s">
        <v>1018</v>
      </c>
      <c r="E422" t="s">
        <v>1021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1024</v>
      </c>
      <c r="B423" t="s">
        <v>964</v>
      </c>
      <c r="C423" t="s">
        <v>963</v>
      </c>
      <c r="D423" t="s">
        <v>1018</v>
      </c>
      <c r="E423" t="s">
        <v>1021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1023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1020</v>
      </c>
      <c r="B425" t="s">
        <v>964</v>
      </c>
      <c r="C425" t="s">
        <v>963</v>
      </c>
      <c r="D425" t="s">
        <v>1018</v>
      </c>
      <c r="E425" t="s">
        <v>1019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1017</v>
      </c>
      <c r="B426" t="s">
        <v>964</v>
      </c>
      <c r="C426" t="s">
        <v>963</v>
      </c>
      <c r="D426" t="s">
        <v>1011</v>
      </c>
      <c r="E426" t="s">
        <v>1016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1015</v>
      </c>
      <c r="B427" t="s">
        <v>964</v>
      </c>
      <c r="C427" t="s">
        <v>963</v>
      </c>
      <c r="D427" t="s">
        <v>1011</v>
      </c>
      <c r="E427" t="s">
        <v>1014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1013</v>
      </c>
      <c r="B428" t="s">
        <v>964</v>
      </c>
      <c r="C428" t="s">
        <v>963</v>
      </c>
      <c r="D428" t="s">
        <v>1011</v>
      </c>
      <c r="E428" t="s">
        <v>1012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1008</v>
      </c>
      <c r="B429" t="s">
        <v>964</v>
      </c>
      <c r="C429" t="s">
        <v>963</v>
      </c>
      <c r="D429" t="s">
        <v>1004</v>
      </c>
      <c r="E429" t="s">
        <v>1007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1010</v>
      </c>
      <c r="B430" t="s">
        <v>964</v>
      </c>
      <c r="C430" t="s">
        <v>963</v>
      </c>
      <c r="D430" t="s">
        <v>1004</v>
      </c>
      <c r="E430" t="s">
        <v>1007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1009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1006</v>
      </c>
      <c r="B432" t="s">
        <v>964</v>
      </c>
      <c r="C432" t="s">
        <v>963</v>
      </c>
      <c r="D432" t="s">
        <v>1004</v>
      </c>
      <c r="E432" t="s">
        <v>1005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1003</v>
      </c>
      <c r="B433" t="s">
        <v>964</v>
      </c>
      <c r="C433" t="s">
        <v>963</v>
      </c>
      <c r="D433" t="s">
        <v>0</v>
      </c>
      <c r="E433" t="s">
        <v>1002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999</v>
      </c>
      <c r="B434" t="s">
        <v>964</v>
      </c>
      <c r="C434" t="s">
        <v>963</v>
      </c>
      <c r="D434" t="s">
        <v>995</v>
      </c>
      <c r="E434" t="s">
        <v>998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1001</v>
      </c>
      <c r="B435" t="s">
        <v>964</v>
      </c>
      <c r="C435" t="s">
        <v>963</v>
      </c>
      <c r="D435" t="s">
        <v>995</v>
      </c>
      <c r="E435" t="s">
        <v>998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1000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997</v>
      </c>
      <c r="B437" t="s">
        <v>964</v>
      </c>
      <c r="C437" t="s">
        <v>963</v>
      </c>
      <c r="D437" t="s">
        <v>995</v>
      </c>
      <c r="E437" t="s">
        <v>996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991</v>
      </c>
      <c r="B438" t="s">
        <v>964</v>
      </c>
      <c r="C438" t="s">
        <v>963</v>
      </c>
      <c r="D438" t="s">
        <v>987</v>
      </c>
      <c r="E438" t="s">
        <v>990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994</v>
      </c>
      <c r="B439" t="s">
        <v>964</v>
      </c>
      <c r="C439" t="s">
        <v>963</v>
      </c>
      <c r="D439" t="s">
        <v>987</v>
      </c>
      <c r="E439" t="s">
        <v>992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993</v>
      </c>
      <c r="B440" t="s">
        <v>964</v>
      </c>
      <c r="C440" t="s">
        <v>963</v>
      </c>
      <c r="D440" t="s">
        <v>987</v>
      </c>
      <c r="E440" t="s">
        <v>992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989</v>
      </c>
      <c r="B441" t="s">
        <v>964</v>
      </c>
      <c r="C441" t="s">
        <v>963</v>
      </c>
      <c r="D441" t="s">
        <v>987</v>
      </c>
      <c r="E441" t="s">
        <v>988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984</v>
      </c>
      <c r="B442" t="s">
        <v>964</v>
      </c>
      <c r="C442" t="s">
        <v>963</v>
      </c>
      <c r="D442" t="s">
        <v>0</v>
      </c>
      <c r="E442" t="s">
        <v>982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986</v>
      </c>
      <c r="B443" t="s">
        <v>964</v>
      </c>
      <c r="C443" t="s">
        <v>963</v>
      </c>
      <c r="D443" t="s">
        <v>0</v>
      </c>
      <c r="E443" t="s">
        <v>982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985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983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981</v>
      </c>
      <c r="B446" t="s">
        <v>964</v>
      </c>
      <c r="C446" t="s">
        <v>963</v>
      </c>
      <c r="D446" t="s">
        <v>962</v>
      </c>
      <c r="E446" t="s">
        <v>979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980</v>
      </c>
      <c r="B447" t="s">
        <v>964</v>
      </c>
      <c r="C447" t="s">
        <v>963</v>
      </c>
      <c r="D447" t="s">
        <v>962</v>
      </c>
      <c r="E447" t="s">
        <v>979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978</v>
      </c>
      <c r="B448" t="s">
        <v>964</v>
      </c>
      <c r="C448" t="s">
        <v>963</v>
      </c>
      <c r="D448" t="s">
        <v>962</v>
      </c>
      <c r="E448" t="s">
        <v>976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977</v>
      </c>
      <c r="B449" t="s">
        <v>964</v>
      </c>
      <c r="C449" t="s">
        <v>963</v>
      </c>
      <c r="D449" t="s">
        <v>962</v>
      </c>
      <c r="E449" t="s">
        <v>976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975</v>
      </c>
      <c r="B450" t="s">
        <v>964</v>
      </c>
      <c r="C450" t="s">
        <v>963</v>
      </c>
      <c r="D450" t="s">
        <v>962</v>
      </c>
      <c r="E450" t="s">
        <v>973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974</v>
      </c>
      <c r="B451" t="s">
        <v>964</v>
      </c>
      <c r="C451" t="s">
        <v>963</v>
      </c>
      <c r="D451" t="s">
        <v>962</v>
      </c>
      <c r="E451" t="s">
        <v>973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972</v>
      </c>
      <c r="B452" t="s">
        <v>964</v>
      </c>
      <c r="C452" t="s">
        <v>963</v>
      </c>
      <c r="D452" t="s">
        <v>962</v>
      </c>
      <c r="E452" t="s">
        <v>971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970</v>
      </c>
      <c r="B453" t="s">
        <v>964</v>
      </c>
      <c r="C453" t="s">
        <v>963</v>
      </c>
      <c r="D453" t="s">
        <v>962</v>
      </c>
      <c r="E453" t="s">
        <v>969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968</v>
      </c>
      <c r="B454" t="s">
        <v>964</v>
      </c>
      <c r="C454" t="s">
        <v>963</v>
      </c>
      <c r="D454" t="s">
        <v>962</v>
      </c>
      <c r="E454" t="s">
        <v>967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966</v>
      </c>
      <c r="B455" t="s">
        <v>964</v>
      </c>
      <c r="C455" t="s">
        <v>963</v>
      </c>
      <c r="D455" t="s">
        <v>962</v>
      </c>
      <c r="E455" t="s">
        <v>965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8</v>
      </c>
      <c r="D456" t="s">
        <v>0</v>
      </c>
      <c r="E456" t="s">
        <v>7</v>
      </c>
      <c r="F456" t="e">
        <f>INDEX(IPCCMaps!H:H,MATCH(mapPRC!C456,IPCCMaps!G:G,0))</f>
        <v>#N/A</v>
      </c>
      <c r="G456" t="e">
        <f>INDEX(IPCCMaps!I:I,MATCH(mapPRC!C456,IPCCMaps!G:G,0))</f>
        <v>#N/A</v>
      </c>
      <c r="H456" t="e">
        <f>INDEX(IPCCMaps!J:J,MATCH(mapPRC!C456,IPCCMaps!G:G,0))</f>
        <v>#N/A</v>
      </c>
      <c r="I456" t="e">
        <f>INDEX(IPCCMaps!K:K,MATCH(mapPRC!C456,IPCCMaps!G:G,0))</f>
        <v>#N/A</v>
      </c>
    </row>
    <row r="457" spans="1:9" x14ac:dyDescent="0.25">
      <c r="A457" t="s">
        <v>6</v>
      </c>
      <c r="D457" t="s">
        <v>0</v>
      </c>
      <c r="E457" t="s">
        <v>5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x14ac:dyDescent="0.25">
      <c r="A458" t="s">
        <v>4</v>
      </c>
      <c r="D458" t="s">
        <v>0</v>
      </c>
      <c r="E458" t="s">
        <v>3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x14ac:dyDescent="0.25">
      <c r="A459" t="s">
        <v>2</v>
      </c>
      <c r="D459" t="s">
        <v>0</v>
      </c>
      <c r="E459" t="s">
        <v>1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x14ac:dyDescent="0.25">
      <c r="A460" t="s">
        <v>961</v>
      </c>
      <c r="D460" t="s">
        <v>0</v>
      </c>
      <c r="E460" t="s">
        <v>960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x14ac:dyDescent="0.25">
      <c r="A461" t="s">
        <v>959</v>
      </c>
      <c r="B461" t="s">
        <v>21</v>
      </c>
      <c r="C461" t="s">
        <v>2872</v>
      </c>
      <c r="D461" t="s">
        <v>0</v>
      </c>
      <c r="E461" t="s">
        <v>958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x14ac:dyDescent="0.25">
      <c r="A462" t="s">
        <v>957</v>
      </c>
      <c r="B462" t="s">
        <v>21</v>
      </c>
      <c r="C462" t="s">
        <v>2872</v>
      </c>
      <c r="D462" t="s">
        <v>0</v>
      </c>
      <c r="E462" t="s">
        <v>956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x14ac:dyDescent="0.25">
      <c r="A463" t="s">
        <v>955</v>
      </c>
      <c r="B463" t="s">
        <v>21</v>
      </c>
      <c r="C463" t="s">
        <v>2872</v>
      </c>
      <c r="D463" t="s">
        <v>0</v>
      </c>
      <c r="E463" t="s">
        <v>954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x14ac:dyDescent="0.25">
      <c r="A464" t="s">
        <v>953</v>
      </c>
      <c r="B464" t="s">
        <v>21</v>
      </c>
      <c r="C464" t="s">
        <v>2872</v>
      </c>
      <c r="D464" t="s">
        <v>0</v>
      </c>
      <c r="E464" t="s">
        <v>952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x14ac:dyDescent="0.25">
      <c r="A465" t="s">
        <v>951</v>
      </c>
      <c r="B465" t="s">
        <v>21</v>
      </c>
      <c r="C465" t="s">
        <v>2872</v>
      </c>
      <c r="D465" t="s">
        <v>0</v>
      </c>
      <c r="E465" t="s">
        <v>950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949</v>
      </c>
      <c r="B466" t="s">
        <v>21</v>
      </c>
      <c r="C466" t="s">
        <v>2872</v>
      </c>
      <c r="D466" t="s">
        <v>0</v>
      </c>
      <c r="E466" t="s">
        <v>948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947</v>
      </c>
      <c r="B467" t="s">
        <v>21</v>
      </c>
      <c r="C467" t="s">
        <v>2872</v>
      </c>
      <c r="D467" t="s">
        <v>0</v>
      </c>
      <c r="E467" t="s">
        <v>946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945</v>
      </c>
      <c r="B468" t="s">
        <v>21</v>
      </c>
      <c r="C468" t="s">
        <v>2872</v>
      </c>
      <c r="D468" t="s">
        <v>0</v>
      </c>
      <c r="E468" t="s">
        <v>944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943</v>
      </c>
      <c r="B469" t="s">
        <v>21</v>
      </c>
      <c r="C469" t="s">
        <v>2872</v>
      </c>
      <c r="D469" t="s">
        <v>0</v>
      </c>
      <c r="E469" t="s">
        <v>942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x14ac:dyDescent="0.25">
      <c r="A470" t="s">
        <v>941</v>
      </c>
      <c r="B470" t="s">
        <v>21</v>
      </c>
      <c r="C470" t="s">
        <v>42</v>
      </c>
      <c r="D470" t="s">
        <v>920</v>
      </c>
      <c r="E470" t="s">
        <v>940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x14ac:dyDescent="0.25">
      <c r="A471" t="s">
        <v>938</v>
      </c>
      <c r="B471" t="s">
        <v>21</v>
      </c>
      <c r="C471" t="s">
        <v>2873</v>
      </c>
      <c r="D471" t="s">
        <v>920</v>
      </c>
      <c r="E471" t="s">
        <v>937</v>
      </c>
      <c r="F471" t="str">
        <f>INDEX(IPCCMaps!H:H,MATCH(mapPRC!C471,IPCCMaps!G:G,0))</f>
        <v>1 Energy</v>
      </c>
      <c r="G471" t="str">
        <f>INDEX(IPCCMaps!I:I,MATCH(mapPRC!C471,IPCCMaps!G:G,0))</f>
        <v>1B Fugitive Emissions from Fuels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936</v>
      </c>
      <c r="B472" t="s">
        <v>21</v>
      </c>
      <c r="C472" t="s">
        <v>2873</v>
      </c>
      <c r="D472" t="s">
        <v>920</v>
      </c>
      <c r="E472" t="s">
        <v>935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934</v>
      </c>
      <c r="B473" t="s">
        <v>21</v>
      </c>
      <c r="C473" t="s">
        <v>2873</v>
      </c>
      <c r="D473" t="s">
        <v>920</v>
      </c>
      <c r="E473" t="s">
        <v>932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933</v>
      </c>
      <c r="B474" t="s">
        <v>21</v>
      </c>
      <c r="C474" t="s">
        <v>2873</v>
      </c>
      <c r="D474" t="s">
        <v>920</v>
      </c>
      <c r="E474" t="s">
        <v>932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939</v>
      </c>
      <c r="B475" t="s">
        <v>21</v>
      </c>
      <c r="C475" t="s">
        <v>2873</v>
      </c>
      <c r="D475" t="s">
        <v>925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930</v>
      </c>
      <c r="B476" t="s">
        <v>21</v>
      </c>
      <c r="C476" t="s">
        <v>2873</v>
      </c>
      <c r="D476" t="s">
        <v>920</v>
      </c>
      <c r="E476" t="s">
        <v>928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931</v>
      </c>
      <c r="B477" t="s">
        <v>21</v>
      </c>
      <c r="C477" t="s">
        <v>2873</v>
      </c>
      <c r="D477" t="s">
        <v>925</v>
      </c>
      <c r="E477" t="s">
        <v>928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929</v>
      </c>
      <c r="B478" t="s">
        <v>21</v>
      </c>
      <c r="C478" t="s">
        <v>2873</v>
      </c>
      <c r="D478" t="s">
        <v>925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924</v>
      </c>
      <c r="B479" t="s">
        <v>21</v>
      </c>
      <c r="C479" t="s">
        <v>2873</v>
      </c>
      <c r="D479" t="s">
        <v>920</v>
      </c>
      <c r="E479" t="s">
        <v>923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927</v>
      </c>
      <c r="B480" t="s">
        <v>21</v>
      </c>
      <c r="C480" t="s">
        <v>2873</v>
      </c>
      <c r="D480" t="s">
        <v>925</v>
      </c>
      <c r="E480" t="s">
        <v>926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922</v>
      </c>
      <c r="B481" t="s">
        <v>21</v>
      </c>
      <c r="C481" t="s">
        <v>2873</v>
      </c>
      <c r="D481" t="s">
        <v>920</v>
      </c>
      <c r="E481" t="s">
        <v>921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2876</v>
      </c>
      <c r="B482" t="s">
        <v>21</v>
      </c>
      <c r="C482" t="s">
        <v>2873</v>
      </c>
      <c r="D482" t="s">
        <v>920</v>
      </c>
      <c r="E482" t="s">
        <v>2877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2878</v>
      </c>
      <c r="B483" t="s">
        <v>21</v>
      </c>
      <c r="C483" t="s">
        <v>2873</v>
      </c>
      <c r="D483" t="s">
        <v>920</v>
      </c>
      <c r="E483" t="s">
        <v>2879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2880</v>
      </c>
      <c r="B484" t="s">
        <v>21</v>
      </c>
      <c r="C484" t="s">
        <v>2873</v>
      </c>
      <c r="D484" t="s">
        <v>920</v>
      </c>
      <c r="E484" t="s">
        <v>2881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2882</v>
      </c>
      <c r="B485" t="s">
        <v>21</v>
      </c>
      <c r="C485" t="s">
        <v>2873</v>
      </c>
      <c r="D485" t="s">
        <v>920</v>
      </c>
      <c r="E485" t="s">
        <v>2883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2884</v>
      </c>
      <c r="B486" t="s">
        <v>21</v>
      </c>
      <c r="C486" t="s">
        <v>2873</v>
      </c>
      <c r="D486" t="s">
        <v>920</v>
      </c>
      <c r="E486" t="s">
        <v>2885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2886</v>
      </c>
      <c r="B487" t="s">
        <v>21</v>
      </c>
      <c r="C487" t="s">
        <v>2873</v>
      </c>
      <c r="D487" t="s">
        <v>920</v>
      </c>
      <c r="E487" t="s">
        <v>2887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2888</v>
      </c>
      <c r="B488" t="s">
        <v>21</v>
      </c>
      <c r="C488" t="s">
        <v>2873</v>
      </c>
      <c r="D488" t="s">
        <v>920</v>
      </c>
      <c r="E488" t="s">
        <v>2889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2890</v>
      </c>
      <c r="B489" t="s">
        <v>21</v>
      </c>
      <c r="C489" t="s">
        <v>2873</v>
      </c>
      <c r="D489" t="s">
        <v>920</v>
      </c>
      <c r="E489" t="s">
        <v>2891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2892</v>
      </c>
      <c r="B490" t="s">
        <v>21</v>
      </c>
      <c r="C490" t="s">
        <v>2873</v>
      </c>
      <c r="D490" t="s">
        <v>920</v>
      </c>
      <c r="E490" t="s">
        <v>2893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2894</v>
      </c>
      <c r="B491" t="s">
        <v>21</v>
      </c>
      <c r="C491" t="s">
        <v>2873</v>
      </c>
      <c r="D491" t="s">
        <v>920</v>
      </c>
      <c r="E491" t="s">
        <v>2895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2896</v>
      </c>
      <c r="B492" t="s">
        <v>21</v>
      </c>
      <c r="C492" t="s">
        <v>2873</v>
      </c>
      <c r="D492" t="s">
        <v>920</v>
      </c>
      <c r="E492" t="s">
        <v>2897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2898</v>
      </c>
      <c r="B493" t="s">
        <v>21</v>
      </c>
      <c r="C493" t="s">
        <v>2873</v>
      </c>
      <c r="D493" t="s">
        <v>920</v>
      </c>
      <c r="E493" t="s">
        <v>2899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2900</v>
      </c>
      <c r="B494" t="s">
        <v>21</v>
      </c>
      <c r="C494" t="s">
        <v>2873</v>
      </c>
      <c r="D494" t="s">
        <v>920</v>
      </c>
      <c r="E494" t="s">
        <v>2901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2902</v>
      </c>
      <c r="B495" t="s">
        <v>21</v>
      </c>
      <c r="C495" t="s">
        <v>2873</v>
      </c>
      <c r="D495" t="s">
        <v>920</v>
      </c>
      <c r="E495" t="s">
        <v>2903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2904</v>
      </c>
      <c r="B496" t="s">
        <v>21</v>
      </c>
      <c r="C496" t="s">
        <v>2873</v>
      </c>
      <c r="D496" t="s">
        <v>920</v>
      </c>
      <c r="E496" t="s">
        <v>2905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2906</v>
      </c>
      <c r="B497" t="s">
        <v>21</v>
      </c>
      <c r="C497" t="s">
        <v>2873</v>
      </c>
      <c r="D497" t="s">
        <v>925</v>
      </c>
      <c r="E497" t="s">
        <v>2907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2908</v>
      </c>
      <c r="B498" t="s">
        <v>21</v>
      </c>
      <c r="C498" t="s">
        <v>2873</v>
      </c>
      <c r="D498" t="s">
        <v>920</v>
      </c>
      <c r="E498" t="s">
        <v>2909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2910</v>
      </c>
      <c r="B499" t="s">
        <v>21</v>
      </c>
      <c r="C499" t="s">
        <v>2873</v>
      </c>
      <c r="D499" t="s">
        <v>920</v>
      </c>
      <c r="E499" t="s">
        <v>2911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2912</v>
      </c>
      <c r="B500" t="s">
        <v>21</v>
      </c>
      <c r="C500" t="s">
        <v>2873</v>
      </c>
      <c r="D500" t="s">
        <v>925</v>
      </c>
      <c r="E500" t="s">
        <v>2913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2914</v>
      </c>
      <c r="B501" t="s">
        <v>21</v>
      </c>
      <c r="C501" t="s">
        <v>2873</v>
      </c>
      <c r="D501" t="s">
        <v>920</v>
      </c>
      <c r="E501" t="s">
        <v>2915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2916</v>
      </c>
      <c r="B502" t="s">
        <v>21</v>
      </c>
      <c r="C502" t="s">
        <v>2873</v>
      </c>
      <c r="D502" t="s">
        <v>920</v>
      </c>
      <c r="E502" t="s">
        <v>2917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2918</v>
      </c>
      <c r="B503" t="s">
        <v>21</v>
      </c>
      <c r="C503" t="s">
        <v>2873</v>
      </c>
      <c r="D503" t="s">
        <v>925</v>
      </c>
      <c r="E503" t="s">
        <v>2919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3101</v>
      </c>
      <c r="D504" t="s">
        <v>0</v>
      </c>
      <c r="E504" t="s">
        <v>3102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919</v>
      </c>
      <c r="B505" t="s">
        <v>21</v>
      </c>
      <c r="C505" t="s">
        <v>2874</v>
      </c>
      <c r="D505" t="s">
        <v>913</v>
      </c>
      <c r="E505" t="s">
        <v>918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1B2 Oil and Natural Gas</v>
      </c>
      <c r="I505" t="str">
        <f>INDEX(IPCCMaps!K:K,MATCH(mapPRC!C505,IPCCMaps!G:G,0))</f>
        <v>1B2a Oil</v>
      </c>
    </row>
    <row r="506" spans="1:9" x14ac:dyDescent="0.25">
      <c r="A506" t="s">
        <v>917</v>
      </c>
      <c r="B506" t="s">
        <v>21</v>
      </c>
      <c r="C506" t="s">
        <v>2874</v>
      </c>
      <c r="D506" t="s">
        <v>913</v>
      </c>
      <c r="E506" t="s">
        <v>916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1B2 Oil and Natural Gas</v>
      </c>
      <c r="I506" t="str">
        <f>INDEX(IPCCMaps!K:K,MATCH(mapPRC!C506,IPCCMaps!G:G,0))</f>
        <v>1B2a Oil</v>
      </c>
    </row>
    <row r="507" spans="1:9" x14ac:dyDescent="0.25">
      <c r="A507" t="s">
        <v>915</v>
      </c>
      <c r="B507" t="s">
        <v>21</v>
      </c>
      <c r="C507" t="s">
        <v>2874</v>
      </c>
      <c r="D507" t="s">
        <v>913</v>
      </c>
      <c r="E507" t="s">
        <v>914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x14ac:dyDescent="0.25">
      <c r="A508" t="s">
        <v>912</v>
      </c>
      <c r="B508" t="s">
        <v>21</v>
      </c>
      <c r="C508" t="s">
        <v>2874</v>
      </c>
      <c r="D508" t="s">
        <v>910</v>
      </c>
      <c r="E508" t="s">
        <v>911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909</v>
      </c>
      <c r="B509" t="s">
        <v>21</v>
      </c>
      <c r="C509" t="s">
        <v>2875</v>
      </c>
      <c r="D509" t="s">
        <v>0</v>
      </c>
      <c r="E509" t="s">
        <v>908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907</v>
      </c>
      <c r="B510" t="s">
        <v>21</v>
      </c>
      <c r="C510" t="s">
        <v>2872</v>
      </c>
      <c r="D510" t="s">
        <v>0</v>
      </c>
      <c r="E510" t="s">
        <v>906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905</v>
      </c>
      <c r="B511" t="s">
        <v>21</v>
      </c>
      <c r="C511" t="s">
        <v>2920</v>
      </c>
      <c r="D511" t="s">
        <v>0</v>
      </c>
      <c r="E511" t="s">
        <v>904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x14ac:dyDescent="0.25">
      <c r="A512" t="s">
        <v>903</v>
      </c>
      <c r="B512" t="s">
        <v>21</v>
      </c>
      <c r="C512" t="s">
        <v>2875</v>
      </c>
      <c r="D512" t="s">
        <v>0</v>
      </c>
      <c r="E512" t="s">
        <v>902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901</v>
      </c>
      <c r="B513" t="s">
        <v>21</v>
      </c>
      <c r="C513" t="s">
        <v>2875</v>
      </c>
      <c r="D513" t="s">
        <v>0</v>
      </c>
      <c r="E513" t="s">
        <v>900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x14ac:dyDescent="0.25">
      <c r="A514" t="s">
        <v>899</v>
      </c>
      <c r="D514" t="s">
        <v>0</v>
      </c>
      <c r="E514" t="s">
        <v>898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897</v>
      </c>
      <c r="B515" t="s">
        <v>21</v>
      </c>
      <c r="C515" t="s">
        <v>2875</v>
      </c>
      <c r="D515" t="s">
        <v>0</v>
      </c>
      <c r="E515" t="s">
        <v>896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46</v>
      </c>
      <c r="B516" t="s">
        <v>21</v>
      </c>
      <c r="C516" t="s">
        <v>44</v>
      </c>
      <c r="D516" t="s">
        <v>43</v>
      </c>
      <c r="E516" t="s">
        <v>45</v>
      </c>
      <c r="F516" t="str">
        <f>INDEX(IPCCMaps!H:H,MATCH(mapPRC!C516,IPCCMaps!G:G,0))</f>
        <v>1 Energy</v>
      </c>
      <c r="G516">
        <f>INDEX(IPCCMaps!I:I,MATCH(mapPRC!C516,IPCCMaps!G:G,0))</f>
        <v>0</v>
      </c>
      <c r="H516">
        <f>INDEX(IPCCMaps!J:J,MATCH(mapPRC!C516,IPCCMaps!G:G,0))</f>
        <v>0</v>
      </c>
      <c r="I516">
        <f>INDEX(IPCCMaps!K:K,MATCH(mapPRC!C516,IPCCMaps!G:G,0))</f>
        <v>0</v>
      </c>
    </row>
    <row r="517" spans="1:9" x14ac:dyDescent="0.25">
      <c r="A517" t="s">
        <v>895</v>
      </c>
      <c r="D517" t="s">
        <v>0</v>
      </c>
      <c r="E517" t="s">
        <v>894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893</v>
      </c>
      <c r="D518" t="s">
        <v>0</v>
      </c>
      <c r="E518" t="s">
        <v>892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891</v>
      </c>
      <c r="D519" t="s">
        <v>0</v>
      </c>
      <c r="E519" t="s">
        <v>890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889</v>
      </c>
      <c r="D520" t="s">
        <v>0</v>
      </c>
      <c r="E520" t="s">
        <v>888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18</v>
      </c>
      <c r="D521" t="s">
        <v>0</v>
      </c>
      <c r="E521" t="s">
        <v>17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887</v>
      </c>
      <c r="D522" t="s">
        <v>0</v>
      </c>
      <c r="E522" t="s">
        <v>886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885</v>
      </c>
      <c r="B523" t="s">
        <v>21</v>
      </c>
      <c r="C523" t="s">
        <v>863</v>
      </c>
      <c r="D523" t="s">
        <v>863</v>
      </c>
      <c r="E523" t="s">
        <v>884</v>
      </c>
      <c r="F523" t="str">
        <f>INDEX(IPCCMaps!H:H,MATCH(mapPRC!C523,IPCCMaps!G:G,0))</f>
        <v>1 Energy</v>
      </c>
      <c r="G523">
        <f>INDEX(IPCCMaps!I:I,MATCH(mapPRC!C523,IPCCMaps!G:G,0))</f>
        <v>0</v>
      </c>
      <c r="H523">
        <f>INDEX(IPCCMaps!J:J,MATCH(mapPRC!C523,IPCCMaps!G:G,0))</f>
        <v>0</v>
      </c>
      <c r="I523">
        <f>INDEX(IPCCMaps!K:K,MATCH(mapPRC!C523,IPCCMaps!G:G,0))</f>
        <v>0</v>
      </c>
    </row>
    <row r="524" spans="1:9" x14ac:dyDescent="0.25">
      <c r="A524" t="s">
        <v>883</v>
      </c>
      <c r="B524" t="s">
        <v>21</v>
      </c>
      <c r="C524" t="s">
        <v>863</v>
      </c>
      <c r="D524" t="s">
        <v>863</v>
      </c>
      <c r="E524" t="s">
        <v>882</v>
      </c>
      <c r="F524" t="str">
        <f>INDEX(IPCCMaps!H:H,MATCH(mapPRC!C524,IPCCMaps!G:G,0))</f>
        <v>1 Energy</v>
      </c>
      <c r="G524">
        <f>INDEX(IPCCMaps!I:I,MATCH(mapPRC!C524,IPCCMaps!G:G,0))</f>
        <v>0</v>
      </c>
      <c r="H524">
        <f>INDEX(IPCCMaps!J:J,MATCH(mapPRC!C524,IPCCMaps!G:G,0))</f>
        <v>0</v>
      </c>
      <c r="I524">
        <f>INDEX(IPCCMaps!K:K,MATCH(mapPRC!C524,IPCCMaps!G:G,0))</f>
        <v>0</v>
      </c>
    </row>
    <row r="525" spans="1:9" x14ac:dyDescent="0.25">
      <c r="A525" t="s">
        <v>881</v>
      </c>
      <c r="B525" t="s">
        <v>21</v>
      </c>
      <c r="C525" t="s">
        <v>863</v>
      </c>
      <c r="D525" t="s">
        <v>863</v>
      </c>
      <c r="E525" t="s">
        <v>880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x14ac:dyDescent="0.25">
      <c r="A526" t="s">
        <v>879</v>
      </c>
      <c r="B526" t="s">
        <v>21</v>
      </c>
      <c r="C526" t="s">
        <v>863</v>
      </c>
      <c r="D526" t="s">
        <v>863</v>
      </c>
      <c r="E526" t="s">
        <v>878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x14ac:dyDescent="0.25">
      <c r="A527" t="s">
        <v>3103</v>
      </c>
      <c r="E527" t="s">
        <v>3104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3105</v>
      </c>
      <c r="B528" t="s">
        <v>21</v>
      </c>
      <c r="C528" t="s">
        <v>863</v>
      </c>
      <c r="D528" t="s">
        <v>863</v>
      </c>
      <c r="E528" t="s">
        <v>3106</v>
      </c>
      <c r="F528" t="str">
        <f>INDEX(IPCCMaps!H:H,MATCH(mapPRC!C528,IPCCMaps!G:G,0))</f>
        <v>1 Energy</v>
      </c>
      <c r="G528">
        <f>INDEX(IPCCMaps!I:I,MATCH(mapPRC!C528,IPCCMaps!G:G,0))</f>
        <v>0</v>
      </c>
      <c r="H528">
        <f>INDEX(IPCCMaps!J:J,MATCH(mapPRC!C528,IPCCMaps!G:G,0))</f>
        <v>0</v>
      </c>
      <c r="I528">
        <f>INDEX(IPCCMaps!K:K,MATCH(mapPRC!C528,IPCCMaps!G:G,0))</f>
        <v>0</v>
      </c>
    </row>
    <row r="529" spans="1:9" x14ac:dyDescent="0.25">
      <c r="A529" t="s">
        <v>877</v>
      </c>
      <c r="B529" t="s">
        <v>21</v>
      </c>
      <c r="C529" t="s">
        <v>863</v>
      </c>
      <c r="D529" t="s">
        <v>863</v>
      </c>
      <c r="E529" t="s">
        <v>876</v>
      </c>
      <c r="F529" t="str">
        <f>INDEX(IPCCMaps!H:H,MATCH(mapPRC!C529,IPCCMaps!G:G,0))</f>
        <v>1 Energy</v>
      </c>
      <c r="G529">
        <f>INDEX(IPCCMaps!I:I,MATCH(mapPRC!C529,IPCCMaps!G:G,0))</f>
        <v>0</v>
      </c>
      <c r="H529">
        <f>INDEX(IPCCMaps!J:J,MATCH(mapPRC!C529,IPCCMaps!G:G,0))</f>
        <v>0</v>
      </c>
      <c r="I529">
        <f>INDEX(IPCCMaps!K:K,MATCH(mapPRC!C529,IPCCMaps!G:G,0))</f>
        <v>0</v>
      </c>
    </row>
    <row r="530" spans="1:9" x14ac:dyDescent="0.25">
      <c r="A530" t="s">
        <v>875</v>
      </c>
      <c r="B530" t="s">
        <v>21</v>
      </c>
      <c r="C530" t="s">
        <v>863</v>
      </c>
      <c r="D530" t="s">
        <v>863</v>
      </c>
      <c r="E530" t="s">
        <v>874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x14ac:dyDescent="0.25">
      <c r="A531" t="s">
        <v>873</v>
      </c>
      <c r="B531" t="s">
        <v>21</v>
      </c>
      <c r="C531" t="s">
        <v>863</v>
      </c>
      <c r="D531" t="s">
        <v>863</v>
      </c>
      <c r="E531" t="s">
        <v>872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x14ac:dyDescent="0.25">
      <c r="A532" t="s">
        <v>871</v>
      </c>
      <c r="B532" t="s">
        <v>21</v>
      </c>
      <c r="C532" t="s">
        <v>863</v>
      </c>
      <c r="D532" t="s">
        <v>863</v>
      </c>
      <c r="E532" t="s">
        <v>870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x14ac:dyDescent="0.25">
      <c r="A533" t="s">
        <v>869</v>
      </c>
      <c r="B533" t="s">
        <v>21</v>
      </c>
      <c r="C533" t="s">
        <v>863</v>
      </c>
      <c r="D533" t="s">
        <v>863</v>
      </c>
      <c r="E533" t="s">
        <v>868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x14ac:dyDescent="0.25">
      <c r="A534" t="s">
        <v>867</v>
      </c>
      <c r="B534" t="s">
        <v>21</v>
      </c>
      <c r="C534" t="s">
        <v>863</v>
      </c>
      <c r="D534" t="s">
        <v>863</v>
      </c>
      <c r="E534" t="s">
        <v>866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x14ac:dyDescent="0.25">
      <c r="A535" t="s">
        <v>865</v>
      </c>
      <c r="B535" t="s">
        <v>21</v>
      </c>
      <c r="C535" t="s">
        <v>863</v>
      </c>
      <c r="D535" t="s">
        <v>863</v>
      </c>
      <c r="E535" t="s">
        <v>864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x14ac:dyDescent="0.25">
      <c r="A536" t="s">
        <v>3107</v>
      </c>
      <c r="E536" t="s">
        <v>3108</v>
      </c>
    </row>
    <row r="537" spans="1:9" x14ac:dyDescent="0.25">
      <c r="A537" t="s">
        <v>862</v>
      </c>
      <c r="B537" t="s">
        <v>723</v>
      </c>
      <c r="C537" t="s">
        <v>834</v>
      </c>
      <c r="D537" t="s">
        <v>743</v>
      </c>
      <c r="E537" t="s">
        <v>856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1A4 Other Sectors</v>
      </c>
      <c r="I537" t="str">
        <f>INDEX(IPCCMaps!K:K,MATCH(mapPRC!C537,IPCCMaps!G:G,0))</f>
        <v>1A4b Residential</v>
      </c>
    </row>
    <row r="538" spans="1:9" x14ac:dyDescent="0.25">
      <c r="A538" t="s">
        <v>861</v>
      </c>
      <c r="B538" t="s">
        <v>723</v>
      </c>
      <c r="C538" t="s">
        <v>834</v>
      </c>
      <c r="D538" t="s">
        <v>743</v>
      </c>
      <c r="E538" t="s">
        <v>856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860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859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858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857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855</v>
      </c>
      <c r="B543" t="s">
        <v>723</v>
      </c>
      <c r="C543" t="s">
        <v>834</v>
      </c>
      <c r="D543" t="s">
        <v>736</v>
      </c>
      <c r="E543" t="s">
        <v>850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854</v>
      </c>
      <c r="B544" t="s">
        <v>723</v>
      </c>
      <c r="C544" t="s">
        <v>834</v>
      </c>
      <c r="D544" t="s">
        <v>736</v>
      </c>
      <c r="E544" t="s">
        <v>850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853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852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851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849</v>
      </c>
      <c r="B548" t="s">
        <v>723</v>
      </c>
      <c r="C548" t="s">
        <v>834</v>
      </c>
      <c r="D548" t="s">
        <v>733</v>
      </c>
      <c r="E548" t="s">
        <v>848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847</v>
      </c>
      <c r="B549" t="s">
        <v>723</v>
      </c>
      <c r="C549" t="s">
        <v>834</v>
      </c>
      <c r="D549" t="s">
        <v>730</v>
      </c>
      <c r="E549" t="s">
        <v>846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845</v>
      </c>
      <c r="B550" t="s">
        <v>723</v>
      </c>
      <c r="C550" t="s">
        <v>834</v>
      </c>
      <c r="D550" t="s">
        <v>0</v>
      </c>
      <c r="E550" t="s">
        <v>844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843</v>
      </c>
      <c r="B551" t="s">
        <v>723</v>
      </c>
      <c r="C551" t="s">
        <v>834</v>
      </c>
      <c r="D551" t="s">
        <v>760</v>
      </c>
      <c r="E551" t="s">
        <v>842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841</v>
      </c>
      <c r="B552" t="s">
        <v>723</v>
      </c>
      <c r="C552" t="s">
        <v>834</v>
      </c>
      <c r="D552" t="s">
        <v>721</v>
      </c>
      <c r="E552" t="s">
        <v>835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840</v>
      </c>
      <c r="B553" t="s">
        <v>723</v>
      </c>
      <c r="C553" t="s">
        <v>834</v>
      </c>
      <c r="D553" t="s">
        <v>721</v>
      </c>
      <c r="E553" t="s">
        <v>835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839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838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837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836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833</v>
      </c>
      <c r="B558" t="s">
        <v>723</v>
      </c>
      <c r="C558" t="s">
        <v>782</v>
      </c>
      <c r="D558" t="s">
        <v>743</v>
      </c>
      <c r="E558" t="s">
        <v>828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832</v>
      </c>
      <c r="B559" t="s">
        <v>723</v>
      </c>
      <c r="C559" t="s">
        <v>782</v>
      </c>
      <c r="D559" t="s">
        <v>743</v>
      </c>
      <c r="E559" t="s">
        <v>828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831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830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829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827</v>
      </c>
      <c r="B563" t="s">
        <v>723</v>
      </c>
      <c r="C563" t="s">
        <v>782</v>
      </c>
      <c r="D563" t="s">
        <v>736</v>
      </c>
      <c r="E563" t="s">
        <v>826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825</v>
      </c>
      <c r="B564" t="s">
        <v>723</v>
      </c>
      <c r="C564" t="s">
        <v>782</v>
      </c>
      <c r="D564" t="s">
        <v>736</v>
      </c>
      <c r="E564" t="s">
        <v>824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823</v>
      </c>
      <c r="B565" t="s">
        <v>723</v>
      </c>
      <c r="C565" t="s">
        <v>782</v>
      </c>
      <c r="D565" t="s">
        <v>736</v>
      </c>
      <c r="E565" t="s">
        <v>821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822</v>
      </c>
      <c r="B566" t="s">
        <v>723</v>
      </c>
      <c r="C566" t="s">
        <v>782</v>
      </c>
      <c r="D566" t="s">
        <v>736</v>
      </c>
      <c r="E566" t="s">
        <v>821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820</v>
      </c>
      <c r="B567" t="s">
        <v>723</v>
      </c>
      <c r="C567" t="s">
        <v>782</v>
      </c>
      <c r="D567" t="s">
        <v>736</v>
      </c>
      <c r="E567" t="s">
        <v>818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819</v>
      </c>
      <c r="B568" t="s">
        <v>723</v>
      </c>
      <c r="C568" t="s">
        <v>782</v>
      </c>
      <c r="D568" t="s">
        <v>736</v>
      </c>
      <c r="E568" t="s">
        <v>818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817</v>
      </c>
      <c r="B569" t="s">
        <v>723</v>
      </c>
      <c r="C569" t="s">
        <v>782</v>
      </c>
      <c r="D569" t="s">
        <v>733</v>
      </c>
      <c r="E569" t="s">
        <v>816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815</v>
      </c>
      <c r="B570" t="s">
        <v>723</v>
      </c>
      <c r="C570" t="s">
        <v>782</v>
      </c>
      <c r="D570" t="s">
        <v>730</v>
      </c>
      <c r="E570" t="s">
        <v>814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813</v>
      </c>
      <c r="B571" t="s">
        <v>723</v>
      </c>
      <c r="C571" t="s">
        <v>782</v>
      </c>
      <c r="D571" t="s">
        <v>0</v>
      </c>
      <c r="E571" t="s">
        <v>812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811</v>
      </c>
      <c r="B572" t="s">
        <v>723</v>
      </c>
      <c r="C572" t="s">
        <v>782</v>
      </c>
      <c r="D572" t="s">
        <v>760</v>
      </c>
      <c r="E572" t="s">
        <v>810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809</v>
      </c>
      <c r="B573" t="s">
        <v>723</v>
      </c>
      <c r="C573" t="s">
        <v>782</v>
      </c>
      <c r="D573" t="s">
        <v>721</v>
      </c>
      <c r="E573" t="s">
        <v>802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808</v>
      </c>
      <c r="B574" t="s">
        <v>723</v>
      </c>
      <c r="C574" t="s">
        <v>782</v>
      </c>
      <c r="D574" t="s">
        <v>721</v>
      </c>
      <c r="E574" t="s">
        <v>802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807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806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805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804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803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801</v>
      </c>
      <c r="B580" t="s">
        <v>723</v>
      </c>
      <c r="C580" t="s">
        <v>782</v>
      </c>
      <c r="D580" t="s">
        <v>743</v>
      </c>
      <c r="E580" t="s">
        <v>797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800</v>
      </c>
      <c r="B581" t="s">
        <v>723</v>
      </c>
      <c r="C581" t="s">
        <v>782</v>
      </c>
      <c r="D581" t="s">
        <v>743</v>
      </c>
      <c r="E581" t="s">
        <v>797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799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798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796</v>
      </c>
      <c r="B584" t="s">
        <v>723</v>
      </c>
      <c r="C584" t="s">
        <v>782</v>
      </c>
      <c r="D584" t="s">
        <v>736</v>
      </c>
      <c r="E584" t="s">
        <v>792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795</v>
      </c>
      <c r="B585" t="s">
        <v>723</v>
      </c>
      <c r="C585" t="s">
        <v>782</v>
      </c>
      <c r="D585" t="s">
        <v>736</v>
      </c>
      <c r="E585" t="s">
        <v>792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794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793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791</v>
      </c>
      <c r="B588" t="s">
        <v>723</v>
      </c>
      <c r="C588" t="s">
        <v>782</v>
      </c>
      <c r="D588" t="s">
        <v>733</v>
      </c>
      <c r="E588" t="s">
        <v>790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789</v>
      </c>
      <c r="B589" t="s">
        <v>723</v>
      </c>
      <c r="C589" t="s">
        <v>782</v>
      </c>
      <c r="D589" t="s">
        <v>730</v>
      </c>
      <c r="E589" t="s">
        <v>788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787</v>
      </c>
      <c r="B590" t="s">
        <v>723</v>
      </c>
      <c r="C590" t="s">
        <v>782</v>
      </c>
      <c r="D590" t="s">
        <v>721</v>
      </c>
      <c r="E590" t="s">
        <v>783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786</v>
      </c>
      <c r="B591" t="s">
        <v>723</v>
      </c>
      <c r="C591" t="s">
        <v>782</v>
      </c>
      <c r="D591" t="s">
        <v>721</v>
      </c>
      <c r="E591" t="s">
        <v>783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785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784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781</v>
      </c>
      <c r="B594" t="s">
        <v>723</v>
      </c>
      <c r="C594" t="s">
        <v>722</v>
      </c>
      <c r="D594" t="s">
        <v>743</v>
      </c>
      <c r="E594" t="s">
        <v>775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780</v>
      </c>
      <c r="B595" t="s">
        <v>723</v>
      </c>
      <c r="C595" t="s">
        <v>722</v>
      </c>
      <c r="D595" t="s">
        <v>743</v>
      </c>
      <c r="E595" t="s">
        <v>775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779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778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777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776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774</v>
      </c>
      <c r="B600" t="s">
        <v>723</v>
      </c>
      <c r="C600" t="s">
        <v>722</v>
      </c>
      <c r="D600" t="s">
        <v>736</v>
      </c>
      <c r="E600" t="s">
        <v>768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773</v>
      </c>
      <c r="B601" t="s">
        <v>723</v>
      </c>
      <c r="C601" t="s">
        <v>722</v>
      </c>
      <c r="D601" t="s">
        <v>736</v>
      </c>
      <c r="E601" t="s">
        <v>768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772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771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770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769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767</v>
      </c>
      <c r="B606" t="s">
        <v>723</v>
      </c>
      <c r="C606" t="s">
        <v>722</v>
      </c>
      <c r="D606" t="s">
        <v>733</v>
      </c>
      <c r="E606" t="s">
        <v>766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765</v>
      </c>
      <c r="B607" t="s">
        <v>723</v>
      </c>
      <c r="C607" t="s">
        <v>722</v>
      </c>
      <c r="D607" t="s">
        <v>730</v>
      </c>
      <c r="E607" t="s">
        <v>763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764</v>
      </c>
      <c r="B608" t="s">
        <v>723</v>
      </c>
      <c r="C608" t="s">
        <v>722</v>
      </c>
      <c r="D608" t="s">
        <v>0</v>
      </c>
      <c r="E608" t="s">
        <v>763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762</v>
      </c>
      <c r="B609" t="s">
        <v>723</v>
      </c>
      <c r="C609" t="s">
        <v>722</v>
      </c>
      <c r="D609" t="s">
        <v>760</v>
      </c>
      <c r="E609" t="s">
        <v>761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759</v>
      </c>
      <c r="B610" t="s">
        <v>723</v>
      </c>
      <c r="C610" t="s">
        <v>722</v>
      </c>
      <c r="D610" t="s">
        <v>721</v>
      </c>
      <c r="E610" t="s">
        <v>750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758</v>
      </c>
      <c r="B611" t="s">
        <v>723</v>
      </c>
      <c r="C611" t="s">
        <v>722</v>
      </c>
      <c r="D611" t="s">
        <v>721</v>
      </c>
      <c r="E611" t="s">
        <v>750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757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756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755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754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753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752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751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749</v>
      </c>
      <c r="B619" t="s">
        <v>723</v>
      </c>
      <c r="C619" t="s">
        <v>722</v>
      </c>
      <c r="D619" t="s">
        <v>743</v>
      </c>
      <c r="E619" t="s">
        <v>744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748</v>
      </c>
      <c r="B620" t="s">
        <v>723</v>
      </c>
      <c r="C620" t="s">
        <v>722</v>
      </c>
      <c r="D620" t="s">
        <v>743</v>
      </c>
      <c r="E620" t="s">
        <v>744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747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746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745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742</v>
      </c>
      <c r="B624" t="s">
        <v>723</v>
      </c>
      <c r="C624" t="s">
        <v>722</v>
      </c>
      <c r="D624" t="s">
        <v>736</v>
      </c>
      <c r="E624" t="s">
        <v>737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741</v>
      </c>
      <c r="B625" t="s">
        <v>723</v>
      </c>
      <c r="C625" t="s">
        <v>722</v>
      </c>
      <c r="D625" t="s">
        <v>736</v>
      </c>
      <c r="E625" t="s">
        <v>737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740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739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738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735</v>
      </c>
      <c r="B629" t="s">
        <v>723</v>
      </c>
      <c r="C629" t="s">
        <v>722</v>
      </c>
      <c r="D629" t="s">
        <v>733</v>
      </c>
      <c r="E629" t="s">
        <v>734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732</v>
      </c>
      <c r="B630" t="s">
        <v>723</v>
      </c>
      <c r="C630" t="s">
        <v>722</v>
      </c>
      <c r="D630" t="s">
        <v>730</v>
      </c>
      <c r="E630" t="s">
        <v>731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729</v>
      </c>
      <c r="B631" t="s">
        <v>723</v>
      </c>
      <c r="C631" t="s">
        <v>722</v>
      </c>
      <c r="D631" t="s">
        <v>721</v>
      </c>
      <c r="E631" t="s">
        <v>724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728</v>
      </c>
      <c r="B632" t="s">
        <v>723</v>
      </c>
      <c r="C632" t="s">
        <v>722</v>
      </c>
      <c r="D632" t="s">
        <v>721</v>
      </c>
      <c r="E632" t="s">
        <v>724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727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726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725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3109</v>
      </c>
      <c r="B636" t="s">
        <v>26</v>
      </c>
      <c r="C636" t="s">
        <v>3117</v>
      </c>
      <c r="D636" t="s">
        <v>712</v>
      </c>
      <c r="E636" t="s">
        <v>3110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1A3a Transport - Aviation</v>
      </c>
    </row>
    <row r="637" spans="1:9" x14ac:dyDescent="0.25">
      <c r="A637" t="s">
        <v>3111</v>
      </c>
      <c r="B637" t="s">
        <v>26</v>
      </c>
      <c r="C637" t="s">
        <v>3117</v>
      </c>
      <c r="D637" t="s">
        <v>712</v>
      </c>
      <c r="E637" t="s">
        <v>3112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3113</v>
      </c>
      <c r="B638" t="s">
        <v>26</v>
      </c>
      <c r="C638" t="s">
        <v>3118</v>
      </c>
      <c r="D638" t="s">
        <v>712</v>
      </c>
      <c r="E638" t="s">
        <v>3114</v>
      </c>
      <c r="F638" t="e">
        <f>INDEX(IPCCMaps!H:H,MATCH(mapPRC!C638,IPCCMaps!G:G,0))</f>
        <v>#N/A</v>
      </c>
      <c r="G638" t="e">
        <f>INDEX(IPCCMaps!I:I,MATCH(mapPRC!C638,IPCCMaps!G:G,0))</f>
        <v>#N/A</v>
      </c>
      <c r="H638" t="e">
        <f>INDEX(IPCCMaps!J:J,MATCH(mapPRC!C638,IPCCMaps!G:G,0))</f>
        <v>#N/A</v>
      </c>
      <c r="I638" t="e">
        <f>INDEX(IPCCMaps!K:K,MATCH(mapPRC!C638,IPCCMaps!G:G,0))</f>
        <v>#N/A</v>
      </c>
    </row>
    <row r="639" spans="1:9" x14ac:dyDescent="0.25">
      <c r="A639" t="s">
        <v>3115</v>
      </c>
      <c r="B639" t="s">
        <v>26</v>
      </c>
      <c r="C639" t="s">
        <v>3118</v>
      </c>
      <c r="D639" t="s">
        <v>712</v>
      </c>
      <c r="E639" t="s">
        <v>3116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720</v>
      </c>
      <c r="B640" t="s">
        <v>26</v>
      </c>
      <c r="C640" t="s">
        <v>3117</v>
      </c>
      <c r="D640" t="s">
        <v>712</v>
      </c>
      <c r="E640" t="s">
        <v>719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x14ac:dyDescent="0.25">
      <c r="A641" t="s">
        <v>718</v>
      </c>
      <c r="B641" t="s">
        <v>26</v>
      </c>
      <c r="C641" t="s">
        <v>3117</v>
      </c>
      <c r="D641" t="s">
        <v>712</v>
      </c>
      <c r="E641" t="s">
        <v>717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716</v>
      </c>
      <c r="B642" t="s">
        <v>26</v>
      </c>
      <c r="C642" t="s">
        <v>3117</v>
      </c>
      <c r="D642" t="s">
        <v>712</v>
      </c>
      <c r="E642" t="s">
        <v>715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714</v>
      </c>
      <c r="B643" t="s">
        <v>26</v>
      </c>
      <c r="C643" t="s">
        <v>3117</v>
      </c>
      <c r="D643" t="s">
        <v>712</v>
      </c>
      <c r="E643" t="s">
        <v>713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711</v>
      </c>
      <c r="B644" t="s">
        <v>26</v>
      </c>
      <c r="C644" t="s">
        <v>37</v>
      </c>
      <c r="D644" t="s">
        <v>709</v>
      </c>
      <c r="E644" t="s">
        <v>710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1A3b Transport - Road</v>
      </c>
    </row>
    <row r="645" spans="1:9" x14ac:dyDescent="0.25">
      <c r="A645" t="s">
        <v>708</v>
      </c>
      <c r="B645" t="s">
        <v>26</v>
      </c>
      <c r="C645" t="s">
        <v>37</v>
      </c>
      <c r="D645" t="s">
        <v>706</v>
      </c>
      <c r="E645" t="s">
        <v>707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705</v>
      </c>
      <c r="B646" t="s">
        <v>26</v>
      </c>
      <c r="C646" t="s">
        <v>37</v>
      </c>
      <c r="D646" t="s">
        <v>697</v>
      </c>
      <c r="E646" t="s">
        <v>704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703</v>
      </c>
      <c r="B647" t="s">
        <v>26</v>
      </c>
      <c r="C647" t="s">
        <v>37</v>
      </c>
      <c r="D647" t="s">
        <v>697</v>
      </c>
      <c r="E647" t="s">
        <v>702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701</v>
      </c>
      <c r="B648" t="s">
        <v>26</v>
      </c>
      <c r="C648" t="s">
        <v>37</v>
      </c>
      <c r="D648" t="s">
        <v>697</v>
      </c>
      <c r="E648" t="s">
        <v>700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699</v>
      </c>
      <c r="B649" t="s">
        <v>26</v>
      </c>
      <c r="C649" t="s">
        <v>37</v>
      </c>
      <c r="D649" t="s">
        <v>697</v>
      </c>
      <c r="E649" t="s">
        <v>698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696</v>
      </c>
      <c r="B650" t="s">
        <v>26</v>
      </c>
      <c r="C650" t="s">
        <v>37</v>
      </c>
      <c r="D650" t="s">
        <v>684</v>
      </c>
      <c r="E650" t="s">
        <v>695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694</v>
      </c>
      <c r="B651" t="s">
        <v>26</v>
      </c>
      <c r="C651" t="s">
        <v>37</v>
      </c>
      <c r="D651" t="s">
        <v>665</v>
      </c>
      <c r="E651" t="s">
        <v>693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692</v>
      </c>
      <c r="B652" t="s">
        <v>26</v>
      </c>
      <c r="C652" t="s">
        <v>37</v>
      </c>
      <c r="D652" t="s">
        <v>662</v>
      </c>
      <c r="E652" t="s">
        <v>691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690</v>
      </c>
      <c r="B653" t="s">
        <v>26</v>
      </c>
      <c r="C653" t="s">
        <v>37</v>
      </c>
      <c r="D653" t="s">
        <v>657</v>
      </c>
      <c r="E653" t="s">
        <v>689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688</v>
      </c>
      <c r="B654" t="s">
        <v>26</v>
      </c>
      <c r="C654" t="s">
        <v>37</v>
      </c>
      <c r="D654" t="s">
        <v>657</v>
      </c>
      <c r="E654" t="s">
        <v>687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686</v>
      </c>
      <c r="B655" t="s">
        <v>26</v>
      </c>
      <c r="C655" t="s">
        <v>37</v>
      </c>
      <c r="D655" t="s">
        <v>684</v>
      </c>
      <c r="E655" t="s">
        <v>685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683</v>
      </c>
      <c r="B656" t="s">
        <v>26</v>
      </c>
      <c r="C656" t="s">
        <v>37</v>
      </c>
      <c r="D656" t="s">
        <v>665</v>
      </c>
      <c r="E656" t="s">
        <v>682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681</v>
      </c>
      <c r="B657" t="s">
        <v>26</v>
      </c>
      <c r="C657" t="s">
        <v>37</v>
      </c>
      <c r="D657" t="s">
        <v>662</v>
      </c>
      <c r="E657" t="s">
        <v>680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679</v>
      </c>
      <c r="B658" t="s">
        <v>26</v>
      </c>
      <c r="C658" t="s">
        <v>37</v>
      </c>
      <c r="D658" t="s">
        <v>657</v>
      </c>
      <c r="E658" t="s">
        <v>678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677</v>
      </c>
      <c r="B659" t="s">
        <v>26</v>
      </c>
      <c r="C659" t="s">
        <v>37</v>
      </c>
      <c r="D659" t="s">
        <v>657</v>
      </c>
      <c r="E659" t="s">
        <v>676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675</v>
      </c>
      <c r="B660" t="s">
        <v>26</v>
      </c>
      <c r="C660" t="s">
        <v>37</v>
      </c>
      <c r="D660" t="s">
        <v>665</v>
      </c>
      <c r="E660" t="s">
        <v>674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673</v>
      </c>
      <c r="B661" t="s">
        <v>26</v>
      </c>
      <c r="C661" t="s">
        <v>37</v>
      </c>
      <c r="D661" t="s">
        <v>662</v>
      </c>
      <c r="E661" t="s">
        <v>672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671</v>
      </c>
      <c r="B662" t="s">
        <v>26</v>
      </c>
      <c r="C662" t="s">
        <v>37</v>
      </c>
      <c r="D662" t="s">
        <v>657</v>
      </c>
      <c r="E662" t="s">
        <v>670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669</v>
      </c>
      <c r="B663" t="s">
        <v>26</v>
      </c>
      <c r="C663" t="s">
        <v>37</v>
      </c>
      <c r="D663" t="s">
        <v>657</v>
      </c>
      <c r="E663" t="s">
        <v>668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667</v>
      </c>
      <c r="B664" t="s">
        <v>26</v>
      </c>
      <c r="C664" t="s">
        <v>37</v>
      </c>
      <c r="D664" t="s">
        <v>665</v>
      </c>
      <c r="E664" t="s">
        <v>666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664</v>
      </c>
      <c r="B665" t="s">
        <v>26</v>
      </c>
      <c r="C665" t="s">
        <v>37</v>
      </c>
      <c r="D665" t="s">
        <v>662</v>
      </c>
      <c r="E665" t="s">
        <v>663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661</v>
      </c>
      <c r="B666" t="s">
        <v>26</v>
      </c>
      <c r="C666" t="s">
        <v>37</v>
      </c>
      <c r="D666" t="s">
        <v>657</v>
      </c>
      <c r="E666" t="s">
        <v>660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659</v>
      </c>
      <c r="B667" t="s">
        <v>26</v>
      </c>
      <c r="C667" t="s">
        <v>37</v>
      </c>
      <c r="D667" t="s">
        <v>657</v>
      </c>
      <c r="E667" t="s">
        <v>658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656</v>
      </c>
      <c r="B668" t="s">
        <v>26</v>
      </c>
      <c r="C668" t="s">
        <v>37</v>
      </c>
      <c r="D668" t="s">
        <v>630</v>
      </c>
      <c r="E668" t="s">
        <v>655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654</v>
      </c>
      <c r="B669" t="s">
        <v>26</v>
      </c>
      <c r="C669" t="s">
        <v>37</v>
      </c>
      <c r="D669" t="s">
        <v>627</v>
      </c>
      <c r="E669" t="s">
        <v>653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652</v>
      </c>
      <c r="B670" t="s">
        <v>26</v>
      </c>
      <c r="C670" t="s">
        <v>37</v>
      </c>
      <c r="D670" t="s">
        <v>622</v>
      </c>
      <c r="E670" t="s">
        <v>651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650</v>
      </c>
      <c r="B671" t="s">
        <v>26</v>
      </c>
      <c r="C671" t="s">
        <v>37</v>
      </c>
      <c r="D671" t="s">
        <v>622</v>
      </c>
      <c r="E671" t="s">
        <v>649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648</v>
      </c>
      <c r="B672" t="s">
        <v>26</v>
      </c>
      <c r="C672" t="s">
        <v>37</v>
      </c>
      <c r="D672" t="s">
        <v>630</v>
      </c>
      <c r="E672" t="s">
        <v>647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646</v>
      </c>
      <c r="B673" t="s">
        <v>26</v>
      </c>
      <c r="C673" t="s">
        <v>37</v>
      </c>
      <c r="D673" t="s">
        <v>627</v>
      </c>
      <c r="E673" t="s">
        <v>645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644</v>
      </c>
      <c r="B674" t="s">
        <v>26</v>
      </c>
      <c r="C674" t="s">
        <v>37</v>
      </c>
      <c r="D674" t="s">
        <v>622</v>
      </c>
      <c r="E674" t="s">
        <v>643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642</v>
      </c>
      <c r="B675" t="s">
        <v>26</v>
      </c>
      <c r="C675" t="s">
        <v>37</v>
      </c>
      <c r="D675" t="s">
        <v>622</v>
      </c>
      <c r="E675" t="s">
        <v>641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640</v>
      </c>
      <c r="B676" t="s">
        <v>26</v>
      </c>
      <c r="C676" t="s">
        <v>37</v>
      </c>
      <c r="D676" t="s">
        <v>630</v>
      </c>
      <c r="E676" t="s">
        <v>639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638</v>
      </c>
      <c r="B677" t="s">
        <v>26</v>
      </c>
      <c r="C677" t="s">
        <v>37</v>
      </c>
      <c r="D677" t="s">
        <v>627</v>
      </c>
      <c r="E677" t="s">
        <v>637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636</v>
      </c>
      <c r="B678" t="s">
        <v>26</v>
      </c>
      <c r="C678" t="s">
        <v>37</v>
      </c>
      <c r="D678" t="s">
        <v>622</v>
      </c>
      <c r="E678" t="s">
        <v>635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634</v>
      </c>
      <c r="B679" t="s">
        <v>26</v>
      </c>
      <c r="C679" t="s">
        <v>37</v>
      </c>
      <c r="D679" t="s">
        <v>622</v>
      </c>
      <c r="E679" t="s">
        <v>633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632</v>
      </c>
      <c r="B680" t="s">
        <v>26</v>
      </c>
      <c r="C680" t="s">
        <v>37</v>
      </c>
      <c r="D680" t="s">
        <v>630</v>
      </c>
      <c r="E680" t="s">
        <v>631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629</v>
      </c>
      <c r="B681" t="s">
        <v>26</v>
      </c>
      <c r="C681" t="s">
        <v>37</v>
      </c>
      <c r="D681" t="s">
        <v>627</v>
      </c>
      <c r="E681" t="s">
        <v>628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626</v>
      </c>
      <c r="B682" t="s">
        <v>26</v>
      </c>
      <c r="C682" t="s">
        <v>37</v>
      </c>
      <c r="D682" t="s">
        <v>622</v>
      </c>
      <c r="E682" t="s">
        <v>625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624</v>
      </c>
      <c r="B683" t="s">
        <v>26</v>
      </c>
      <c r="C683" t="s">
        <v>37</v>
      </c>
      <c r="D683" t="s">
        <v>622</v>
      </c>
      <c r="E683" t="s">
        <v>623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621</v>
      </c>
      <c r="B684" t="s">
        <v>26</v>
      </c>
      <c r="C684" t="s">
        <v>37</v>
      </c>
      <c r="D684" t="s">
        <v>619</v>
      </c>
      <c r="E684" t="s">
        <v>620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618</v>
      </c>
      <c r="B685" t="s">
        <v>26</v>
      </c>
      <c r="C685" t="s">
        <v>37</v>
      </c>
      <c r="D685" t="s">
        <v>616</v>
      </c>
      <c r="E685" t="s">
        <v>617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615</v>
      </c>
      <c r="B686" t="s">
        <v>26</v>
      </c>
      <c r="C686" t="s">
        <v>37</v>
      </c>
      <c r="D686" t="s">
        <v>607</v>
      </c>
      <c r="E686" t="s">
        <v>614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41</v>
      </c>
      <c r="B687" t="s">
        <v>26</v>
      </c>
      <c r="C687" t="s">
        <v>37</v>
      </c>
      <c r="D687" t="s">
        <v>36</v>
      </c>
      <c r="E687" t="s">
        <v>40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613</v>
      </c>
      <c r="B688" t="s">
        <v>26</v>
      </c>
      <c r="C688" t="s">
        <v>37</v>
      </c>
      <c r="D688" t="s">
        <v>607</v>
      </c>
      <c r="E688" t="s">
        <v>612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611</v>
      </c>
      <c r="B689" t="s">
        <v>26</v>
      </c>
      <c r="C689" t="s">
        <v>37</v>
      </c>
      <c r="D689" t="s">
        <v>607</v>
      </c>
      <c r="E689" t="s">
        <v>610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39</v>
      </c>
      <c r="B690" t="s">
        <v>26</v>
      </c>
      <c r="C690" t="s">
        <v>37</v>
      </c>
      <c r="D690" t="s">
        <v>36</v>
      </c>
      <c r="E690" t="s">
        <v>38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609</v>
      </c>
      <c r="B691" t="s">
        <v>26</v>
      </c>
      <c r="C691" t="s">
        <v>37</v>
      </c>
      <c r="D691" t="s">
        <v>607</v>
      </c>
      <c r="E691" t="s">
        <v>608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606</v>
      </c>
      <c r="B692" t="s">
        <v>26</v>
      </c>
      <c r="C692" t="s">
        <v>602</v>
      </c>
      <c r="D692" t="s">
        <v>602</v>
      </c>
      <c r="E692" t="s">
        <v>605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x14ac:dyDescent="0.25">
      <c r="A693" t="s">
        <v>604</v>
      </c>
      <c r="B693" t="s">
        <v>26</v>
      </c>
      <c r="C693" t="s">
        <v>602</v>
      </c>
      <c r="D693" t="s">
        <v>602</v>
      </c>
      <c r="E693" t="s">
        <v>603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601</v>
      </c>
      <c r="B694" t="s">
        <v>26</v>
      </c>
      <c r="C694" t="s">
        <v>582</v>
      </c>
      <c r="D694" t="s">
        <v>582</v>
      </c>
      <c r="E694" t="s">
        <v>600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1A3c Transport - Railways</v>
      </c>
    </row>
    <row r="695" spans="1:9" x14ac:dyDescent="0.25">
      <c r="A695" t="s">
        <v>599</v>
      </c>
      <c r="B695" t="s">
        <v>26</v>
      </c>
      <c r="C695" t="s">
        <v>582</v>
      </c>
      <c r="D695" t="s">
        <v>582</v>
      </c>
      <c r="E695" t="s">
        <v>598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1A3c Transport - Railways</v>
      </c>
    </row>
    <row r="696" spans="1:9" x14ac:dyDescent="0.25">
      <c r="A696" t="s">
        <v>597</v>
      </c>
      <c r="B696" t="s">
        <v>26</v>
      </c>
      <c r="C696" t="s">
        <v>582</v>
      </c>
      <c r="D696" t="s">
        <v>582</v>
      </c>
      <c r="E696" t="s">
        <v>596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x14ac:dyDescent="0.25">
      <c r="A697" t="s">
        <v>595</v>
      </c>
      <c r="B697" t="s">
        <v>26</v>
      </c>
      <c r="C697" t="s">
        <v>582</v>
      </c>
      <c r="D697" t="s">
        <v>582</v>
      </c>
      <c r="E697" t="s">
        <v>594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x14ac:dyDescent="0.25">
      <c r="A698" t="s">
        <v>593</v>
      </c>
      <c r="B698" t="s">
        <v>26</v>
      </c>
      <c r="C698" t="s">
        <v>582</v>
      </c>
      <c r="D698" t="s">
        <v>582</v>
      </c>
      <c r="E698" t="s">
        <v>591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x14ac:dyDescent="0.25">
      <c r="A699" t="s">
        <v>592</v>
      </c>
      <c r="B699" t="s">
        <v>26</v>
      </c>
      <c r="C699" t="s">
        <v>582</v>
      </c>
      <c r="D699" t="s">
        <v>582</v>
      </c>
      <c r="E699" t="s">
        <v>591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x14ac:dyDescent="0.25">
      <c r="A700" t="s">
        <v>590</v>
      </c>
      <c r="B700" t="s">
        <v>26</v>
      </c>
      <c r="C700" t="s">
        <v>582</v>
      </c>
      <c r="D700" t="s">
        <v>582</v>
      </c>
      <c r="E700" t="s">
        <v>589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x14ac:dyDescent="0.25">
      <c r="A701" t="s">
        <v>588</v>
      </c>
      <c r="B701" t="s">
        <v>26</v>
      </c>
      <c r="C701" t="s">
        <v>582</v>
      </c>
      <c r="D701" t="s">
        <v>582</v>
      </c>
      <c r="E701" t="s">
        <v>587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x14ac:dyDescent="0.25">
      <c r="A702" t="s">
        <v>586</v>
      </c>
      <c r="B702" t="s">
        <v>26</v>
      </c>
      <c r="C702" t="s">
        <v>582</v>
      </c>
      <c r="D702" t="s">
        <v>582</v>
      </c>
      <c r="E702" t="s">
        <v>585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x14ac:dyDescent="0.25">
      <c r="A703" t="s">
        <v>584</v>
      </c>
      <c r="B703" t="s">
        <v>26</v>
      </c>
      <c r="C703" t="s">
        <v>582</v>
      </c>
      <c r="D703" t="s">
        <v>582</v>
      </c>
      <c r="E703" t="s">
        <v>583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x14ac:dyDescent="0.25">
      <c r="A704" t="s">
        <v>581</v>
      </c>
      <c r="B704" t="s">
        <v>26</v>
      </c>
      <c r="C704" t="s">
        <v>30</v>
      </c>
      <c r="D704" t="s">
        <v>579</v>
      </c>
      <c r="E704" t="s">
        <v>580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578</v>
      </c>
      <c r="B705" t="s">
        <v>26</v>
      </c>
      <c r="C705" t="s">
        <v>30</v>
      </c>
      <c r="D705" t="s">
        <v>576</v>
      </c>
      <c r="E705" t="s">
        <v>577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575</v>
      </c>
      <c r="B706" t="s">
        <v>26</v>
      </c>
      <c r="C706" t="s">
        <v>30</v>
      </c>
      <c r="D706" t="s">
        <v>573</v>
      </c>
      <c r="E706" t="s">
        <v>574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572</v>
      </c>
      <c r="B707" t="s">
        <v>26</v>
      </c>
      <c r="C707" t="s">
        <v>30</v>
      </c>
      <c r="D707" t="s">
        <v>570</v>
      </c>
      <c r="E707" t="s">
        <v>571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569</v>
      </c>
      <c r="B708" t="s">
        <v>26</v>
      </c>
      <c r="C708" t="s">
        <v>30</v>
      </c>
      <c r="D708" t="s">
        <v>557</v>
      </c>
      <c r="E708" t="s">
        <v>568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565</v>
      </c>
      <c r="B709" t="s">
        <v>26</v>
      </c>
      <c r="C709" t="s">
        <v>30</v>
      </c>
      <c r="D709" t="s">
        <v>554</v>
      </c>
      <c r="E709" t="s">
        <v>564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567</v>
      </c>
      <c r="B710" t="s">
        <v>26</v>
      </c>
      <c r="C710" t="s">
        <v>30</v>
      </c>
      <c r="D710" t="s">
        <v>557</v>
      </c>
      <c r="E710" t="s">
        <v>566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563</v>
      </c>
      <c r="B711" t="s">
        <v>26</v>
      </c>
      <c r="C711" t="s">
        <v>30</v>
      </c>
      <c r="D711" t="s">
        <v>557</v>
      </c>
      <c r="E711" t="s">
        <v>562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559</v>
      </c>
      <c r="B712" t="s">
        <v>26</v>
      </c>
      <c r="C712" t="s">
        <v>30</v>
      </c>
      <c r="D712" t="s">
        <v>557</v>
      </c>
      <c r="E712" t="s">
        <v>558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556</v>
      </c>
      <c r="B713" t="s">
        <v>26</v>
      </c>
      <c r="C713" t="s">
        <v>30</v>
      </c>
      <c r="D713" t="s">
        <v>554</v>
      </c>
      <c r="E713" t="s">
        <v>555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561</v>
      </c>
      <c r="B714" t="s">
        <v>26</v>
      </c>
      <c r="C714" t="s">
        <v>30</v>
      </c>
      <c r="D714" t="s">
        <v>557</v>
      </c>
      <c r="E714" t="s">
        <v>560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35</v>
      </c>
      <c r="B715" t="s">
        <v>26</v>
      </c>
      <c r="C715" t="s">
        <v>30</v>
      </c>
      <c r="D715" t="s">
        <v>33</v>
      </c>
      <c r="E715" t="s">
        <v>34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553</v>
      </c>
      <c r="B716" t="s">
        <v>26</v>
      </c>
      <c r="C716" t="s">
        <v>30</v>
      </c>
      <c r="D716" t="s">
        <v>549</v>
      </c>
      <c r="E716" t="s">
        <v>552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551</v>
      </c>
      <c r="B717" t="s">
        <v>26</v>
      </c>
      <c r="C717" t="s">
        <v>30</v>
      </c>
      <c r="D717" t="s">
        <v>549</v>
      </c>
      <c r="E717" t="s">
        <v>550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548</v>
      </c>
      <c r="B718" t="s">
        <v>26</v>
      </c>
      <c r="C718" t="s">
        <v>30</v>
      </c>
      <c r="D718" t="s">
        <v>546</v>
      </c>
      <c r="E718" t="s">
        <v>547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3119</v>
      </c>
      <c r="B719" t="s">
        <v>26</v>
      </c>
      <c r="C719" t="s">
        <v>30</v>
      </c>
      <c r="D719" t="s">
        <v>29</v>
      </c>
      <c r="E719" t="s">
        <v>3120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32</v>
      </c>
      <c r="B720" t="s">
        <v>26</v>
      </c>
      <c r="C720" t="s">
        <v>30</v>
      </c>
      <c r="D720" t="s">
        <v>29</v>
      </c>
      <c r="E720" t="s">
        <v>31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545</v>
      </c>
      <c r="B721" t="s">
        <v>26</v>
      </c>
      <c r="C721" t="s">
        <v>30</v>
      </c>
      <c r="D721" t="s">
        <v>543</v>
      </c>
      <c r="E721" t="s">
        <v>544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542</v>
      </c>
      <c r="B722" t="s">
        <v>26</v>
      </c>
      <c r="C722" t="s">
        <v>30</v>
      </c>
      <c r="D722" t="s">
        <v>540</v>
      </c>
      <c r="E722" t="s">
        <v>541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539</v>
      </c>
      <c r="B723" t="s">
        <v>26</v>
      </c>
      <c r="C723" t="s">
        <v>30</v>
      </c>
      <c r="D723" t="s">
        <v>529</v>
      </c>
      <c r="E723" t="s">
        <v>538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535</v>
      </c>
      <c r="B724" t="s">
        <v>26</v>
      </c>
      <c r="C724" t="s">
        <v>30</v>
      </c>
      <c r="D724" t="s">
        <v>526</v>
      </c>
      <c r="E724" t="s">
        <v>534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537</v>
      </c>
      <c r="B725" t="s">
        <v>26</v>
      </c>
      <c r="C725" t="s">
        <v>30</v>
      </c>
      <c r="D725" t="s">
        <v>529</v>
      </c>
      <c r="E725" t="s">
        <v>536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533</v>
      </c>
      <c r="B726" t="s">
        <v>26</v>
      </c>
      <c r="C726" t="s">
        <v>30</v>
      </c>
      <c r="D726" t="s">
        <v>529</v>
      </c>
      <c r="E726" t="s">
        <v>532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3121</v>
      </c>
      <c r="B727" t="s">
        <v>26</v>
      </c>
      <c r="C727" t="s">
        <v>30</v>
      </c>
      <c r="D727" t="s">
        <v>526</v>
      </c>
      <c r="E727" t="s">
        <v>3122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528</v>
      </c>
      <c r="B728" t="s">
        <v>26</v>
      </c>
      <c r="C728" t="s">
        <v>30</v>
      </c>
      <c r="D728" t="s">
        <v>526</v>
      </c>
      <c r="E728" t="s">
        <v>527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531</v>
      </c>
      <c r="B729" t="s">
        <v>26</v>
      </c>
      <c r="C729" t="s">
        <v>30</v>
      </c>
      <c r="D729" t="s">
        <v>529</v>
      </c>
      <c r="E729" t="s">
        <v>530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525</v>
      </c>
      <c r="B730" t="s">
        <v>26</v>
      </c>
      <c r="C730" t="s">
        <v>25</v>
      </c>
      <c r="D730" t="s">
        <v>523</v>
      </c>
      <c r="E730" t="s">
        <v>524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522</v>
      </c>
      <c r="B731" t="s">
        <v>26</v>
      </c>
      <c r="C731" t="s">
        <v>25</v>
      </c>
      <c r="D731" t="s">
        <v>520</v>
      </c>
      <c r="E731" t="s">
        <v>521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519</v>
      </c>
      <c r="B732" t="s">
        <v>26</v>
      </c>
      <c r="C732" t="s">
        <v>25</v>
      </c>
      <c r="D732" t="s">
        <v>517</v>
      </c>
      <c r="E732" t="s">
        <v>518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516</v>
      </c>
      <c r="B733" t="s">
        <v>26</v>
      </c>
      <c r="C733" t="s">
        <v>25</v>
      </c>
      <c r="D733" t="s">
        <v>514</v>
      </c>
      <c r="E733" t="s">
        <v>515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513</v>
      </c>
      <c r="B734" t="s">
        <v>26</v>
      </c>
      <c r="C734" t="s">
        <v>25</v>
      </c>
      <c r="D734" t="s">
        <v>511</v>
      </c>
      <c r="E734" t="s">
        <v>512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510</v>
      </c>
      <c r="B735" t="s">
        <v>26</v>
      </c>
      <c r="C735" t="s">
        <v>25</v>
      </c>
      <c r="D735" t="s">
        <v>508</v>
      </c>
      <c r="E735" t="s">
        <v>509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507</v>
      </c>
      <c r="B736" t="s">
        <v>26</v>
      </c>
      <c r="C736" t="s">
        <v>25</v>
      </c>
      <c r="D736" t="s">
        <v>505</v>
      </c>
      <c r="E736" t="s">
        <v>506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504</v>
      </c>
      <c r="B737" t="s">
        <v>26</v>
      </c>
      <c r="C737" t="s">
        <v>25</v>
      </c>
      <c r="D737" t="s">
        <v>502</v>
      </c>
      <c r="E737" t="s">
        <v>503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501</v>
      </c>
      <c r="B738" t="s">
        <v>26</v>
      </c>
      <c r="C738" t="s">
        <v>25</v>
      </c>
      <c r="D738" t="s">
        <v>499</v>
      </c>
      <c r="E738" t="s">
        <v>500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498</v>
      </c>
      <c r="B739" t="s">
        <v>26</v>
      </c>
      <c r="C739" t="s">
        <v>25</v>
      </c>
      <c r="D739" t="s">
        <v>494</v>
      </c>
      <c r="E739" t="s">
        <v>497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496</v>
      </c>
      <c r="B740" t="s">
        <v>26</v>
      </c>
      <c r="C740" t="s">
        <v>25</v>
      </c>
      <c r="D740" t="s">
        <v>494</v>
      </c>
      <c r="E740" t="s">
        <v>495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493</v>
      </c>
      <c r="B741" t="s">
        <v>26</v>
      </c>
      <c r="C741" t="s">
        <v>25</v>
      </c>
      <c r="D741" t="s">
        <v>466</v>
      </c>
      <c r="E741" t="s">
        <v>492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491</v>
      </c>
      <c r="B742" t="s">
        <v>26</v>
      </c>
      <c r="C742" t="s">
        <v>25</v>
      </c>
      <c r="D742" t="s">
        <v>489</v>
      </c>
      <c r="E742" t="s">
        <v>490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28</v>
      </c>
      <c r="B743" t="s">
        <v>26</v>
      </c>
      <c r="C743" t="s">
        <v>25</v>
      </c>
      <c r="D743" t="s">
        <v>24</v>
      </c>
      <c r="E743" t="s">
        <v>27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488</v>
      </c>
      <c r="B744" t="s">
        <v>26</v>
      </c>
      <c r="C744" t="s">
        <v>25</v>
      </c>
      <c r="D744" t="s">
        <v>486</v>
      </c>
      <c r="E744" t="s">
        <v>487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485</v>
      </c>
      <c r="B745" t="s">
        <v>26</v>
      </c>
      <c r="C745" t="s">
        <v>25</v>
      </c>
      <c r="D745" t="s">
        <v>483</v>
      </c>
      <c r="E745" t="s">
        <v>484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482</v>
      </c>
      <c r="B746" t="s">
        <v>26</v>
      </c>
      <c r="C746" t="s">
        <v>25</v>
      </c>
      <c r="D746" t="s">
        <v>471</v>
      </c>
      <c r="E746" t="s">
        <v>481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478</v>
      </c>
      <c r="B747" t="s">
        <v>26</v>
      </c>
      <c r="C747" t="s">
        <v>25</v>
      </c>
      <c r="D747" t="s">
        <v>476</v>
      </c>
      <c r="E747" t="s">
        <v>477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480</v>
      </c>
      <c r="B748" t="s">
        <v>26</v>
      </c>
      <c r="C748" t="s">
        <v>25</v>
      </c>
      <c r="D748" t="s">
        <v>471</v>
      </c>
      <c r="E748" t="s">
        <v>479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475</v>
      </c>
      <c r="B749" t="s">
        <v>26</v>
      </c>
      <c r="C749" t="s">
        <v>25</v>
      </c>
      <c r="D749" t="s">
        <v>471</v>
      </c>
      <c r="E749" t="s">
        <v>474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473</v>
      </c>
      <c r="B750" t="s">
        <v>26</v>
      </c>
      <c r="C750" t="s">
        <v>25</v>
      </c>
      <c r="D750" t="s">
        <v>471</v>
      </c>
      <c r="E750" t="s">
        <v>472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470</v>
      </c>
      <c r="B751" t="s">
        <v>26</v>
      </c>
      <c r="C751" t="s">
        <v>25</v>
      </c>
      <c r="D751" t="s">
        <v>466</v>
      </c>
      <c r="E751" t="s">
        <v>469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468</v>
      </c>
      <c r="B752" t="s">
        <v>26</v>
      </c>
      <c r="C752" t="s">
        <v>25</v>
      </c>
      <c r="D752" t="s">
        <v>466</v>
      </c>
      <c r="E752" t="s">
        <v>467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465</v>
      </c>
      <c r="B753" t="s">
        <v>26</v>
      </c>
      <c r="C753" t="s">
        <v>461</v>
      </c>
      <c r="D753" t="s">
        <v>461</v>
      </c>
      <c r="E753" t="s">
        <v>464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1A3d Transport - Water borne navigation</v>
      </c>
    </row>
    <row r="754" spans="1:9" x14ac:dyDescent="0.25">
      <c r="A754" t="s">
        <v>463</v>
      </c>
      <c r="B754" t="s">
        <v>26</v>
      </c>
      <c r="C754" t="s">
        <v>461</v>
      </c>
      <c r="D754" t="s">
        <v>461</v>
      </c>
      <c r="E754" t="s">
        <v>462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1A3d Transport - Water borne navigation</v>
      </c>
    </row>
    <row r="755" spans="1:9" x14ac:dyDescent="0.25">
      <c r="A755" t="s">
        <v>460</v>
      </c>
      <c r="B755" t="s">
        <v>387</v>
      </c>
      <c r="C755" t="s">
        <v>449</v>
      </c>
      <c r="D755" t="s">
        <v>452</v>
      </c>
      <c r="E755" t="s">
        <v>459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1A1 Energy Industries</v>
      </c>
      <c r="I755" t="str">
        <f>INDEX(IPCCMaps!K:K,MATCH(mapPRC!C755,IPCCMaps!G:G,0))</f>
        <v xml:space="preserve">1A1b Petroleum refining </v>
      </c>
    </row>
    <row r="756" spans="1:9" x14ac:dyDescent="0.25">
      <c r="A756" t="s">
        <v>458</v>
      </c>
      <c r="B756" t="s">
        <v>387</v>
      </c>
      <c r="C756" t="s">
        <v>449</v>
      </c>
      <c r="D756" t="s">
        <v>448</v>
      </c>
      <c r="E756" t="s">
        <v>457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 xml:space="preserve">1A1b Petroleum refining </v>
      </c>
    </row>
    <row r="757" spans="1:9" x14ac:dyDescent="0.25">
      <c r="A757" t="s">
        <v>456</v>
      </c>
      <c r="B757" t="s">
        <v>387</v>
      </c>
      <c r="C757" t="s">
        <v>449</v>
      </c>
      <c r="D757" t="s">
        <v>452</v>
      </c>
      <c r="E757" t="s">
        <v>455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x14ac:dyDescent="0.25">
      <c r="A758" t="s">
        <v>454</v>
      </c>
      <c r="B758" t="s">
        <v>387</v>
      </c>
      <c r="C758" t="s">
        <v>449</v>
      </c>
      <c r="D758" t="s">
        <v>452</v>
      </c>
      <c r="E758" t="s">
        <v>453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x14ac:dyDescent="0.25">
      <c r="A759" t="s">
        <v>451</v>
      </c>
      <c r="B759" t="s">
        <v>387</v>
      </c>
      <c r="C759" t="s">
        <v>449</v>
      </c>
      <c r="D759" t="s">
        <v>448</v>
      </c>
      <c r="E759" t="s">
        <v>450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x14ac:dyDescent="0.25">
      <c r="A760" t="s">
        <v>447</v>
      </c>
      <c r="B760" t="s">
        <v>387</v>
      </c>
      <c r="C760" t="s">
        <v>386</v>
      </c>
      <c r="D760" t="s">
        <v>386</v>
      </c>
      <c r="E760" t="s">
        <v>446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x14ac:dyDescent="0.25">
      <c r="A761" t="s">
        <v>445</v>
      </c>
      <c r="B761" t="s">
        <v>387</v>
      </c>
      <c r="C761" t="s">
        <v>413</v>
      </c>
      <c r="D761" t="s">
        <v>413</v>
      </c>
      <c r="E761" t="s">
        <v>444</v>
      </c>
      <c r="F761" t="str">
        <f>INDEX(IPCCMaps!H:H,MATCH(mapPRC!C761,IPCCMaps!G:G,0))</f>
        <v>1 Energy</v>
      </c>
      <c r="G761" t="str">
        <f>INDEX(IPCCMaps!I:I,MATCH(mapPRC!C761,IPCCMaps!G:G,0))</f>
        <v>1B Fugitive Emissions from Fuels</v>
      </c>
      <c r="H761" t="str">
        <f>INDEX(IPCCMaps!J:J,MATCH(mapPRC!C761,IPCCMaps!G:G,0))</f>
        <v>1B3 Other Emissions</v>
      </c>
      <c r="I761" t="str">
        <f>INDEX(IPCCMaps!K:K,MATCH(mapPRC!C761,IPCCMaps!G:G,0))</f>
        <v>1B3 Other Emissions - Sasol</v>
      </c>
    </row>
    <row r="762" spans="1:9" x14ac:dyDescent="0.25">
      <c r="A762" t="s">
        <v>441</v>
      </c>
      <c r="B762" t="s">
        <v>387</v>
      </c>
      <c r="C762" t="s">
        <v>413</v>
      </c>
      <c r="D762" t="s">
        <v>413</v>
      </c>
      <c r="E762" t="s">
        <v>440</v>
      </c>
      <c r="F762" t="str">
        <f>INDEX(IPCCMaps!H:H,MATCH(mapPRC!C762,IPCCMaps!G:G,0))</f>
        <v>1 Energy</v>
      </c>
      <c r="G762" t="str">
        <f>INDEX(IPCCMaps!I:I,MATCH(mapPRC!C762,IPCCMaps!G:G,0))</f>
        <v>1B Fugitive Emissions from Fuels</v>
      </c>
      <c r="H762" t="str">
        <f>INDEX(IPCCMaps!J:J,MATCH(mapPRC!C762,IPCCMaps!G:G,0))</f>
        <v>1B3 Other Emissions</v>
      </c>
      <c r="I762" t="str">
        <f>INDEX(IPCCMaps!K:K,MATCH(mapPRC!C762,IPCCMaps!G:G,0))</f>
        <v>1B3 Other Emissions - Sasol</v>
      </c>
    </row>
    <row r="763" spans="1:9" x14ac:dyDescent="0.25">
      <c r="A763" t="s">
        <v>443</v>
      </c>
      <c r="B763" t="s">
        <v>387</v>
      </c>
      <c r="C763" t="s">
        <v>413</v>
      </c>
      <c r="D763" t="s">
        <v>413</v>
      </c>
      <c r="E763" t="s">
        <v>442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x14ac:dyDescent="0.25">
      <c r="A764" t="s">
        <v>439</v>
      </c>
      <c r="B764" t="s">
        <v>387</v>
      </c>
      <c r="C764" t="s">
        <v>386</v>
      </c>
      <c r="D764" t="s">
        <v>386</v>
      </c>
      <c r="E764" t="s">
        <v>438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1A1 Energy Industries</v>
      </c>
      <c r="I764" t="str">
        <f>INDEX(IPCCMaps!K:K,MATCH(mapPRC!C764,IPCCMaps!G:G,0))</f>
        <v xml:space="preserve">1A1b Petroleum refining </v>
      </c>
    </row>
    <row r="765" spans="1:9" x14ac:dyDescent="0.25">
      <c r="A765" t="s">
        <v>437</v>
      </c>
      <c r="D765" t="s">
        <v>0</v>
      </c>
      <c r="E765" t="s">
        <v>436</v>
      </c>
      <c r="F765" t="e">
        <f>INDEX(IPCCMaps!H:H,MATCH(mapPRC!C765,IPCCMaps!G:G,0))</f>
        <v>#N/A</v>
      </c>
      <c r="G765" t="e">
        <f>INDEX(IPCCMaps!I:I,MATCH(mapPRC!C765,IPCCMaps!G:G,0))</f>
        <v>#N/A</v>
      </c>
      <c r="H765" t="e">
        <f>INDEX(IPCCMaps!J:J,MATCH(mapPRC!C765,IPCCMaps!G:G,0))</f>
        <v>#N/A</v>
      </c>
      <c r="I765" t="e">
        <f>INDEX(IPCCMaps!K:K,MATCH(mapPRC!C765,IPCCMaps!G:G,0))</f>
        <v>#N/A</v>
      </c>
    </row>
    <row r="766" spans="1:9" x14ac:dyDescent="0.25">
      <c r="A766" t="s">
        <v>435</v>
      </c>
      <c r="D766" t="s">
        <v>0</v>
      </c>
      <c r="E766" t="s">
        <v>434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x14ac:dyDescent="0.25">
      <c r="A767" t="s">
        <v>431</v>
      </c>
      <c r="D767" t="s">
        <v>0</v>
      </c>
      <c r="E767" t="s">
        <v>430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433</v>
      </c>
      <c r="D768" t="s">
        <v>0</v>
      </c>
      <c r="E768" t="s">
        <v>432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429</v>
      </c>
      <c r="B769" t="s">
        <v>21</v>
      </c>
      <c r="C769" t="s">
        <v>425</v>
      </c>
      <c r="D769" t="s">
        <v>425</v>
      </c>
      <c r="E769" t="s">
        <v>428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1A2 Manufacturing Industries and Construction</v>
      </c>
      <c r="I769" t="str">
        <f>INDEX(IPCCMaps!K:K,MATCH(mapPRC!C769,IPCCMaps!G:G,0))</f>
        <v>1A2 Manufacturing Industries and Construction</v>
      </c>
    </row>
    <row r="770" spans="1:9" x14ac:dyDescent="0.25">
      <c r="A770" t="s">
        <v>427</v>
      </c>
      <c r="B770" t="s">
        <v>21</v>
      </c>
      <c r="C770" t="s">
        <v>425</v>
      </c>
      <c r="D770" t="s">
        <v>425</v>
      </c>
      <c r="E770" t="s">
        <v>426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1A2 Manufacturing Industries and Construction</v>
      </c>
      <c r="I770" t="str">
        <f>INDEX(IPCCMaps!K:K,MATCH(mapPRC!C770,IPCCMaps!G:G,0))</f>
        <v>1A2 Manufacturing Industries and Construction</v>
      </c>
    </row>
    <row r="771" spans="1:9" x14ac:dyDescent="0.25">
      <c r="A771" t="s">
        <v>424</v>
      </c>
      <c r="B771" t="s">
        <v>387</v>
      </c>
      <c r="C771" t="s">
        <v>418</v>
      </c>
      <c r="D771" t="s">
        <v>418</v>
      </c>
      <c r="E771" t="s">
        <v>423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1A1 Energy Industries</v>
      </c>
      <c r="I771" t="str">
        <f>INDEX(IPCCMaps!K:K,MATCH(mapPRC!C771,IPCCMaps!G:G,0))</f>
        <v>1A1c Manufacture of solid fuels and other energy industries</v>
      </c>
    </row>
    <row r="772" spans="1:9" x14ac:dyDescent="0.25">
      <c r="A772" t="s">
        <v>422</v>
      </c>
      <c r="B772" t="s">
        <v>387</v>
      </c>
      <c r="C772" t="s">
        <v>418</v>
      </c>
      <c r="D772" t="s">
        <v>418</v>
      </c>
      <c r="E772" t="s">
        <v>421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1A1 Energy Industries</v>
      </c>
      <c r="I772" t="str">
        <f>INDEX(IPCCMaps!K:K,MATCH(mapPRC!C772,IPCCMaps!G:G,0))</f>
        <v>1A1c Manufacture of solid fuels and other energy industries</v>
      </c>
    </row>
    <row r="773" spans="1:9" x14ac:dyDescent="0.25">
      <c r="A773" t="s">
        <v>420</v>
      </c>
      <c r="B773" t="s">
        <v>387</v>
      </c>
      <c r="C773" t="s">
        <v>418</v>
      </c>
      <c r="D773" t="s">
        <v>418</v>
      </c>
      <c r="E773" t="s">
        <v>419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1A1 Energy Industries</v>
      </c>
      <c r="I773" t="str">
        <f>INDEX(IPCCMaps!K:K,MATCH(mapPRC!C773,IPCCMaps!G:G,0))</f>
        <v>1A1c Manufacture of solid fuels and other energy industries</v>
      </c>
    </row>
    <row r="774" spans="1:9" x14ac:dyDescent="0.25">
      <c r="A774" t="s">
        <v>417</v>
      </c>
      <c r="B774" t="s">
        <v>387</v>
      </c>
      <c r="C774" t="s">
        <v>3166</v>
      </c>
      <c r="D774" t="s">
        <v>413</v>
      </c>
      <c r="E774" t="s">
        <v>416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1A1 Energy Industries</v>
      </c>
      <c r="I774" t="str">
        <f>INDEX(IPCCMaps!K:K,MATCH(mapPRC!C774,IPCCMaps!G:G,0))</f>
        <v>1A1c Manufacture of solid fuels and other energy industries</v>
      </c>
    </row>
    <row r="775" spans="1:9" x14ac:dyDescent="0.25">
      <c r="A775" t="s">
        <v>415</v>
      </c>
      <c r="B775" t="s">
        <v>387</v>
      </c>
      <c r="C775" t="s">
        <v>3166</v>
      </c>
      <c r="D775" t="s">
        <v>413</v>
      </c>
      <c r="E775" t="s">
        <v>414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1A1 Energy Industries</v>
      </c>
      <c r="I775" t="str">
        <f>INDEX(IPCCMaps!K:K,MATCH(mapPRC!C775,IPCCMaps!G:G,0))</f>
        <v>1A1c Manufacture of solid fuels and other energy industries</v>
      </c>
    </row>
    <row r="776" spans="1:9" x14ac:dyDescent="0.25">
      <c r="A776" t="s">
        <v>412</v>
      </c>
      <c r="B776" t="s">
        <v>387</v>
      </c>
      <c r="D776" t="s">
        <v>408</v>
      </c>
      <c r="E776" t="s">
        <v>411</v>
      </c>
      <c r="F776" t="e">
        <f>INDEX(IPCCMaps!H:H,MATCH(mapPRC!C776,IPCCMaps!G:G,0))</f>
        <v>#N/A</v>
      </c>
      <c r="G776" t="e">
        <f>INDEX(IPCCMaps!I:I,MATCH(mapPRC!C776,IPCCMaps!G:G,0))</f>
        <v>#N/A</v>
      </c>
      <c r="H776" t="e">
        <f>INDEX(IPCCMaps!J:J,MATCH(mapPRC!C776,IPCCMaps!G:G,0))</f>
        <v>#N/A</v>
      </c>
      <c r="I776" t="e">
        <f>INDEX(IPCCMaps!K:K,MATCH(mapPRC!C776,IPCCMaps!G:G,0))</f>
        <v>#N/A</v>
      </c>
    </row>
    <row r="777" spans="1:9" x14ac:dyDescent="0.25">
      <c r="A777" t="s">
        <v>410</v>
      </c>
      <c r="B777" t="s">
        <v>387</v>
      </c>
      <c r="D777" t="s">
        <v>408</v>
      </c>
      <c r="E777" t="s">
        <v>409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403</v>
      </c>
      <c r="B778" t="s">
        <v>401</v>
      </c>
      <c r="C778" t="s">
        <v>400</v>
      </c>
      <c r="D778" t="s">
        <v>399</v>
      </c>
      <c r="E778" t="s">
        <v>402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>
        <f>INDEX(IPCCMaps!J:J,MATCH(mapPRC!C778,IPCCMaps!G:G,0))</f>
        <v>0</v>
      </c>
      <c r="I778">
        <f>INDEX(IPCCMaps!K:K,MATCH(mapPRC!C778,IPCCMaps!G:G,0))</f>
        <v>0</v>
      </c>
    </row>
    <row r="779" spans="1:9" x14ac:dyDescent="0.25">
      <c r="A779" t="s">
        <v>407</v>
      </c>
      <c r="B779" t="s">
        <v>401</v>
      </c>
      <c r="C779" t="s">
        <v>405</v>
      </c>
      <c r="D779" t="s">
        <v>404</v>
      </c>
      <c r="E779" t="s">
        <v>406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>
        <f>INDEX(IPCCMaps!J:J,MATCH(mapPRC!C779,IPCCMaps!G:G,0))</f>
        <v>0</v>
      </c>
      <c r="I779">
        <f>INDEX(IPCCMaps!K:K,MATCH(mapPRC!C779,IPCCMaps!G:G,0))</f>
        <v>0</v>
      </c>
    </row>
    <row r="780" spans="1:9" x14ac:dyDescent="0.25">
      <c r="A780" t="s">
        <v>398</v>
      </c>
      <c r="B780" t="s">
        <v>387</v>
      </c>
      <c r="C780" t="s">
        <v>392</v>
      </c>
      <c r="D780" t="s">
        <v>392</v>
      </c>
      <c r="E780" t="s">
        <v>397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1A1 Energy Industries</v>
      </c>
      <c r="I780" t="str">
        <f>INDEX(IPCCMaps!K:K,MATCH(mapPRC!C780,IPCCMaps!G:G,0))</f>
        <v xml:space="preserve">1A1b Petroleum refining </v>
      </c>
    </row>
    <row r="781" spans="1:9" x14ac:dyDescent="0.25">
      <c r="A781" t="s">
        <v>396</v>
      </c>
      <c r="B781" t="s">
        <v>387</v>
      </c>
      <c r="C781" t="s">
        <v>392</v>
      </c>
      <c r="D781" t="s">
        <v>392</v>
      </c>
      <c r="E781" t="s">
        <v>395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x14ac:dyDescent="0.25">
      <c r="A782" t="s">
        <v>394</v>
      </c>
      <c r="B782" t="s">
        <v>387</v>
      </c>
      <c r="C782" t="s">
        <v>392</v>
      </c>
      <c r="D782" t="s">
        <v>392</v>
      </c>
      <c r="E782" t="s">
        <v>393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x14ac:dyDescent="0.25">
      <c r="A783" t="s">
        <v>391</v>
      </c>
      <c r="B783" t="s">
        <v>387</v>
      </c>
      <c r="C783" t="s">
        <v>386</v>
      </c>
      <c r="D783" t="s">
        <v>386</v>
      </c>
      <c r="E783" t="s">
        <v>390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389</v>
      </c>
      <c r="B784" t="s">
        <v>387</v>
      </c>
      <c r="C784" t="s">
        <v>386</v>
      </c>
      <c r="D784" t="s">
        <v>386</v>
      </c>
      <c r="E784" t="s">
        <v>388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385</v>
      </c>
      <c r="D785" t="s">
        <v>0</v>
      </c>
      <c r="E785" t="s">
        <v>384</v>
      </c>
      <c r="F785" t="e">
        <f>INDEX(IPCCMaps!H:H,MATCH(mapPRC!C785,IPCCMaps!G:G,0))</f>
        <v>#N/A</v>
      </c>
      <c r="G785" t="e">
        <f>INDEX(IPCCMaps!I:I,MATCH(mapPRC!C785,IPCCMaps!G:G,0))</f>
        <v>#N/A</v>
      </c>
      <c r="H785" t="e">
        <f>INDEX(IPCCMaps!J:J,MATCH(mapPRC!C785,IPCCMaps!G:G,0))</f>
        <v>#N/A</v>
      </c>
      <c r="I785" t="e">
        <f>INDEX(IPCCMaps!K:K,MATCH(mapPRC!C785,IPCCMaps!G:G,0))</f>
        <v>#N/A</v>
      </c>
    </row>
    <row r="786" spans="1:9" x14ac:dyDescent="0.25">
      <c r="A786" t="s">
        <v>382</v>
      </c>
      <c r="D786" t="s">
        <v>0</v>
      </c>
      <c r="E786" t="s">
        <v>381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380</v>
      </c>
      <c r="D787" t="s">
        <v>0</v>
      </c>
      <c r="E787" t="s">
        <v>379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x14ac:dyDescent="0.25">
      <c r="A788" t="s">
        <v>374</v>
      </c>
      <c r="D788" t="s">
        <v>0</v>
      </c>
      <c r="E788" t="s">
        <v>373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378</v>
      </c>
      <c r="D789" t="s">
        <v>0</v>
      </c>
      <c r="E789" t="s">
        <v>377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376</v>
      </c>
      <c r="D790" t="s">
        <v>0</v>
      </c>
      <c r="E790" t="s">
        <v>375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372</v>
      </c>
      <c r="D791" t="s">
        <v>0</v>
      </c>
      <c r="E791" t="s">
        <v>371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370</v>
      </c>
      <c r="D792" t="s">
        <v>0</v>
      </c>
      <c r="E792" t="s">
        <v>369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368</v>
      </c>
      <c r="B793" t="s">
        <v>145</v>
      </c>
      <c r="C793" t="s">
        <v>144</v>
      </c>
      <c r="D793" t="s">
        <v>366</v>
      </c>
      <c r="E793" t="s">
        <v>367</v>
      </c>
      <c r="F793" t="str">
        <f>INDEX(IPCCMaps!H:H,MATCH(mapPRC!C793,IPCCMaps!G:G,0))</f>
        <v>1 Energy</v>
      </c>
      <c r="G793">
        <f>INDEX(IPCCMaps!I:I,MATCH(mapPRC!C793,IPCCMaps!G:G,0))</f>
        <v>0</v>
      </c>
      <c r="H793">
        <f>INDEX(IPCCMaps!J:J,MATCH(mapPRC!C793,IPCCMaps!G:G,0))</f>
        <v>0</v>
      </c>
      <c r="I793">
        <f>INDEX(IPCCMaps!K:K,MATCH(mapPRC!C793,IPCCMaps!G:G,0))</f>
        <v>0</v>
      </c>
    </row>
    <row r="794" spans="1:9" x14ac:dyDescent="0.25">
      <c r="A794" t="s">
        <v>365</v>
      </c>
      <c r="D794" t="s">
        <v>0</v>
      </c>
      <c r="E794" t="s">
        <v>364</v>
      </c>
      <c r="F794" t="e">
        <f>INDEX(IPCCMaps!H:H,MATCH(mapPRC!C794,IPCCMaps!G:G,0))</f>
        <v>#N/A</v>
      </c>
      <c r="G794" t="e">
        <f>INDEX(IPCCMaps!I:I,MATCH(mapPRC!C794,IPCCMaps!G:G,0))</f>
        <v>#N/A</v>
      </c>
      <c r="H794" t="e">
        <f>INDEX(IPCCMaps!J:J,MATCH(mapPRC!C794,IPCCMaps!G:G,0))</f>
        <v>#N/A</v>
      </c>
      <c r="I794" t="e">
        <f>INDEX(IPCCMaps!K:K,MATCH(mapPRC!C794,IPCCMaps!G:G,0))</f>
        <v>#N/A</v>
      </c>
    </row>
    <row r="795" spans="1:9" x14ac:dyDescent="0.25">
      <c r="A795" t="s">
        <v>363</v>
      </c>
      <c r="D795" t="s">
        <v>0</v>
      </c>
      <c r="E795" t="s">
        <v>362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361</v>
      </c>
      <c r="D796" t="s">
        <v>0</v>
      </c>
      <c r="E796" t="s">
        <v>360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x14ac:dyDescent="0.25">
      <c r="A797" t="s">
        <v>359</v>
      </c>
      <c r="D797" t="s">
        <v>0</v>
      </c>
      <c r="E797" t="s">
        <v>358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357</v>
      </c>
      <c r="D798" t="s">
        <v>0</v>
      </c>
      <c r="E798" t="s">
        <v>356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355</v>
      </c>
      <c r="D799" t="s">
        <v>0</v>
      </c>
      <c r="E799" t="s">
        <v>354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353</v>
      </c>
      <c r="B800" t="s">
        <v>145</v>
      </c>
      <c r="C800" t="s">
        <v>144</v>
      </c>
      <c r="D800" t="s">
        <v>351</v>
      </c>
      <c r="E800" t="s">
        <v>352</v>
      </c>
      <c r="F800" t="str">
        <f>INDEX(IPCCMaps!H:H,MATCH(mapPRC!C800,IPCCMaps!G:G,0))</f>
        <v>1 Energy</v>
      </c>
      <c r="G800">
        <f>INDEX(IPCCMaps!I:I,MATCH(mapPRC!C800,IPCCMaps!G:G,0))</f>
        <v>0</v>
      </c>
      <c r="H800">
        <f>INDEX(IPCCMaps!J:J,MATCH(mapPRC!C800,IPCCMaps!G:G,0))</f>
        <v>0</v>
      </c>
      <c r="I800">
        <f>INDEX(IPCCMaps!K:K,MATCH(mapPRC!C800,IPCCMaps!G:G,0))</f>
        <v>0</v>
      </c>
    </row>
    <row r="801" spans="1:9" x14ac:dyDescent="0.25">
      <c r="A801" t="s">
        <v>350</v>
      </c>
      <c r="D801" t="s">
        <v>0</v>
      </c>
      <c r="E801" t="s">
        <v>349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348</v>
      </c>
      <c r="D802" t="s">
        <v>0</v>
      </c>
      <c r="E802" t="s">
        <v>347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346</v>
      </c>
      <c r="D803" t="s">
        <v>0</v>
      </c>
      <c r="E803" t="s">
        <v>345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344</v>
      </c>
      <c r="D804" t="s">
        <v>0</v>
      </c>
      <c r="E804" t="s">
        <v>343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342</v>
      </c>
      <c r="D805" t="s">
        <v>0</v>
      </c>
      <c r="E805" t="s">
        <v>341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340</v>
      </c>
      <c r="D806" t="s">
        <v>0</v>
      </c>
      <c r="E806" t="s">
        <v>339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338</v>
      </c>
      <c r="B807" t="s">
        <v>145</v>
      </c>
      <c r="C807" t="s">
        <v>144</v>
      </c>
      <c r="D807" t="s">
        <v>143</v>
      </c>
      <c r="E807" t="s">
        <v>337</v>
      </c>
      <c r="F807" t="str">
        <f>INDEX(IPCCMaps!H:H,MATCH(mapPRC!C807,IPCCMaps!G:G,0))</f>
        <v>1 Energy</v>
      </c>
      <c r="G807">
        <f>INDEX(IPCCMaps!I:I,MATCH(mapPRC!C807,IPCCMaps!G:G,0))</f>
        <v>0</v>
      </c>
      <c r="H807">
        <f>INDEX(IPCCMaps!J:J,MATCH(mapPRC!C807,IPCCMaps!G:G,0))</f>
        <v>0</v>
      </c>
      <c r="I807">
        <f>INDEX(IPCCMaps!K:K,MATCH(mapPRC!C807,IPCCMaps!G:G,0))</f>
        <v>0</v>
      </c>
    </row>
    <row r="808" spans="1:9" x14ac:dyDescent="0.25">
      <c r="A808" t="s">
        <v>336</v>
      </c>
      <c r="D808" t="s">
        <v>0</v>
      </c>
      <c r="E808" t="s">
        <v>335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333</v>
      </c>
      <c r="B809" t="s">
        <v>145</v>
      </c>
      <c r="C809" t="s">
        <v>144</v>
      </c>
      <c r="D809" t="s">
        <v>143</v>
      </c>
      <c r="E809" t="s">
        <v>332</v>
      </c>
      <c r="F809" t="str">
        <f>INDEX(IPCCMaps!H:H,MATCH(mapPRC!C809,IPCCMaps!G:G,0))</f>
        <v>1 Energy</v>
      </c>
      <c r="G809">
        <f>INDEX(IPCCMaps!I:I,MATCH(mapPRC!C809,IPCCMaps!G:G,0))</f>
        <v>0</v>
      </c>
      <c r="H809">
        <f>INDEX(IPCCMaps!J:J,MATCH(mapPRC!C809,IPCCMaps!G:G,0))</f>
        <v>0</v>
      </c>
      <c r="I809">
        <f>INDEX(IPCCMaps!K:K,MATCH(mapPRC!C809,IPCCMaps!G:G,0))</f>
        <v>0</v>
      </c>
    </row>
    <row r="810" spans="1:9" x14ac:dyDescent="0.25">
      <c r="A810" t="s">
        <v>331</v>
      </c>
      <c r="D810" t="s">
        <v>0</v>
      </c>
      <c r="E810" t="s">
        <v>330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328</v>
      </c>
      <c r="B811" t="s">
        <v>145</v>
      </c>
      <c r="C811" t="s">
        <v>144</v>
      </c>
      <c r="D811" t="s">
        <v>143</v>
      </c>
      <c r="E811" t="s">
        <v>327</v>
      </c>
      <c r="F811" t="str">
        <f>INDEX(IPCCMaps!H:H,MATCH(mapPRC!C811,IPCCMaps!G:G,0))</f>
        <v>1 Energy</v>
      </c>
      <c r="G811">
        <f>INDEX(IPCCMaps!I:I,MATCH(mapPRC!C811,IPCCMaps!G:G,0))</f>
        <v>0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x14ac:dyDescent="0.25">
      <c r="A812" t="s">
        <v>326</v>
      </c>
      <c r="D812" t="s">
        <v>0</v>
      </c>
      <c r="E812" t="s">
        <v>325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324</v>
      </c>
      <c r="D813" t="s">
        <v>0</v>
      </c>
      <c r="E813" t="s">
        <v>323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322</v>
      </c>
      <c r="D814" t="s">
        <v>0</v>
      </c>
      <c r="E814" t="s">
        <v>321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320</v>
      </c>
      <c r="D815" t="s">
        <v>0</v>
      </c>
      <c r="E815" t="s">
        <v>319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318</v>
      </c>
      <c r="B816" t="s">
        <v>145</v>
      </c>
      <c r="C816" t="s">
        <v>144</v>
      </c>
      <c r="D816" t="s">
        <v>143</v>
      </c>
      <c r="E816" t="s">
        <v>317</v>
      </c>
      <c r="F816" t="str">
        <f>INDEX(IPCCMaps!H:H,MATCH(mapPRC!C816,IPCCMaps!G:G,0))</f>
        <v>1 Energy</v>
      </c>
      <c r="G816">
        <f>INDEX(IPCCMaps!I:I,MATCH(mapPRC!C816,IPCCMaps!G:G,0))</f>
        <v>0</v>
      </c>
      <c r="H816">
        <f>INDEX(IPCCMaps!J:J,MATCH(mapPRC!C816,IPCCMaps!G:G,0))</f>
        <v>0</v>
      </c>
      <c r="I816">
        <f>INDEX(IPCCMaps!K:K,MATCH(mapPRC!C816,IPCCMaps!G:G,0))</f>
        <v>0</v>
      </c>
    </row>
    <row r="817" spans="1:9" x14ac:dyDescent="0.25">
      <c r="A817" t="s">
        <v>3123</v>
      </c>
      <c r="D817" t="s">
        <v>0</v>
      </c>
      <c r="E817" t="s">
        <v>3124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316</v>
      </c>
      <c r="D818" t="s">
        <v>0</v>
      </c>
      <c r="E818" t="s">
        <v>315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313</v>
      </c>
      <c r="D819" t="s">
        <v>0</v>
      </c>
      <c r="E819" t="s">
        <v>312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311</v>
      </c>
      <c r="D820" t="s">
        <v>0</v>
      </c>
      <c r="E820" t="s">
        <v>310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309</v>
      </c>
      <c r="D821" t="s">
        <v>0</v>
      </c>
      <c r="E821" t="s">
        <v>308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307</v>
      </c>
      <c r="D822" t="s">
        <v>0</v>
      </c>
      <c r="E822" t="s">
        <v>306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305</v>
      </c>
      <c r="B823" t="s">
        <v>145</v>
      </c>
      <c r="C823" t="s">
        <v>144</v>
      </c>
      <c r="D823" t="s">
        <v>143</v>
      </c>
      <c r="E823" t="s">
        <v>304</v>
      </c>
      <c r="F823" t="str">
        <f>INDEX(IPCCMaps!H:H,MATCH(mapPRC!C823,IPCCMaps!G:G,0))</f>
        <v>1 Energy</v>
      </c>
      <c r="G823">
        <f>INDEX(IPCCMaps!I:I,MATCH(mapPRC!C823,IPCCMaps!G:G,0))</f>
        <v>0</v>
      </c>
      <c r="H823">
        <f>INDEX(IPCCMaps!J:J,MATCH(mapPRC!C823,IPCCMaps!G:G,0))</f>
        <v>0</v>
      </c>
      <c r="I823">
        <f>INDEX(IPCCMaps!K:K,MATCH(mapPRC!C823,IPCCMaps!G:G,0))</f>
        <v>0</v>
      </c>
    </row>
    <row r="824" spans="1:9" x14ac:dyDescent="0.25">
      <c r="A824" t="s">
        <v>303</v>
      </c>
      <c r="D824" t="s">
        <v>0</v>
      </c>
      <c r="E824" t="s">
        <v>302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301</v>
      </c>
      <c r="D825" t="s">
        <v>0</v>
      </c>
      <c r="E825" t="s">
        <v>300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299</v>
      </c>
      <c r="D826" t="s">
        <v>0</v>
      </c>
      <c r="E826" t="s">
        <v>298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23</v>
      </c>
      <c r="D827" t="s">
        <v>0</v>
      </c>
      <c r="E827" t="s">
        <v>22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297</v>
      </c>
      <c r="D828" t="s">
        <v>0</v>
      </c>
      <c r="E828" t="s">
        <v>296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295</v>
      </c>
      <c r="D829" t="s">
        <v>0</v>
      </c>
      <c r="E829" t="s">
        <v>294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293</v>
      </c>
      <c r="D830" t="s">
        <v>0</v>
      </c>
      <c r="E830" t="s">
        <v>292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291</v>
      </c>
      <c r="D831" t="s">
        <v>0</v>
      </c>
      <c r="E831" t="s">
        <v>290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289</v>
      </c>
      <c r="D832" t="s">
        <v>0</v>
      </c>
      <c r="E832" t="s">
        <v>288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287</v>
      </c>
      <c r="D833" t="s">
        <v>0</v>
      </c>
      <c r="E833" t="s">
        <v>286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285</v>
      </c>
      <c r="D834" t="s">
        <v>0</v>
      </c>
      <c r="E834" t="s">
        <v>284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283</v>
      </c>
      <c r="D835" t="s">
        <v>0</v>
      </c>
      <c r="E835" t="s">
        <v>282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281</v>
      </c>
      <c r="D836" t="s">
        <v>0</v>
      </c>
      <c r="E836" t="s">
        <v>280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279</v>
      </c>
      <c r="D837" t="s">
        <v>0</v>
      </c>
      <c r="E837" t="s">
        <v>278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277</v>
      </c>
      <c r="B838" t="s">
        <v>145</v>
      </c>
      <c r="C838" t="s">
        <v>144</v>
      </c>
      <c r="D838" t="s">
        <v>143</v>
      </c>
      <c r="E838" t="s">
        <v>276</v>
      </c>
      <c r="F838" t="str">
        <f>INDEX(IPCCMaps!H:H,MATCH(mapPRC!C838,IPCCMaps!G:G,0))</f>
        <v>1 Energy</v>
      </c>
      <c r="G838">
        <f>INDEX(IPCCMaps!I:I,MATCH(mapPRC!C838,IPCCMaps!G:G,0))</f>
        <v>0</v>
      </c>
      <c r="H838">
        <f>INDEX(IPCCMaps!J:J,MATCH(mapPRC!C838,IPCCMaps!G:G,0))</f>
        <v>0</v>
      </c>
      <c r="I838">
        <f>INDEX(IPCCMaps!K:K,MATCH(mapPRC!C838,IPCCMaps!G:G,0))</f>
        <v>0</v>
      </c>
    </row>
    <row r="839" spans="1:9" x14ac:dyDescent="0.25">
      <c r="A839" t="s">
        <v>275</v>
      </c>
      <c r="D839" t="s">
        <v>0</v>
      </c>
      <c r="E839" t="s">
        <v>274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272</v>
      </c>
      <c r="D840" t="s">
        <v>0</v>
      </c>
      <c r="E840" t="s">
        <v>271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270</v>
      </c>
      <c r="D841" t="s">
        <v>0</v>
      </c>
      <c r="E841" t="s">
        <v>269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268</v>
      </c>
      <c r="B842" t="s">
        <v>145</v>
      </c>
      <c r="C842" t="s">
        <v>144</v>
      </c>
      <c r="D842" t="s">
        <v>143</v>
      </c>
      <c r="E842" t="s">
        <v>267</v>
      </c>
      <c r="F842" t="str">
        <f>INDEX(IPCCMaps!H:H,MATCH(mapPRC!C842,IPCCMaps!G:G,0))</f>
        <v>1 Energy</v>
      </c>
      <c r="G842">
        <f>INDEX(IPCCMaps!I:I,MATCH(mapPRC!C842,IPCCMaps!G:G,0))</f>
        <v>0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266</v>
      </c>
      <c r="D843" t="s">
        <v>0</v>
      </c>
      <c r="E843" t="s">
        <v>265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263</v>
      </c>
      <c r="D844" t="s">
        <v>0</v>
      </c>
      <c r="E844" t="s">
        <v>262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261</v>
      </c>
      <c r="B845" t="s">
        <v>145</v>
      </c>
      <c r="C845" t="s">
        <v>144</v>
      </c>
      <c r="D845" t="s">
        <v>143</v>
      </c>
      <c r="E845" t="s">
        <v>260</v>
      </c>
      <c r="F845" t="str">
        <f>INDEX(IPCCMaps!H:H,MATCH(mapPRC!C845,IPCCMaps!G:G,0))</f>
        <v>1 Energy</v>
      </c>
      <c r="G845">
        <f>INDEX(IPCCMaps!I:I,MATCH(mapPRC!C845,IPCCMaps!G:G,0))</f>
        <v>0</v>
      </c>
      <c r="H845">
        <f>INDEX(IPCCMaps!J:J,MATCH(mapPRC!C845,IPCCMaps!G:G,0))</f>
        <v>0</v>
      </c>
      <c r="I845">
        <f>INDEX(IPCCMaps!K:K,MATCH(mapPRC!C845,IPCCMaps!G:G,0))</f>
        <v>0</v>
      </c>
    </row>
    <row r="846" spans="1:9" x14ac:dyDescent="0.25">
      <c r="A846" t="s">
        <v>259</v>
      </c>
      <c r="D846" t="s">
        <v>0</v>
      </c>
      <c r="E846" t="s">
        <v>258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256</v>
      </c>
      <c r="D847" t="s">
        <v>0</v>
      </c>
      <c r="E847" t="s">
        <v>255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254</v>
      </c>
      <c r="D848" t="s">
        <v>0</v>
      </c>
      <c r="E848" t="s">
        <v>253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252</v>
      </c>
      <c r="B849" t="s">
        <v>145</v>
      </c>
      <c r="C849" t="s">
        <v>144</v>
      </c>
      <c r="D849" t="s">
        <v>143</v>
      </c>
      <c r="E849" t="s">
        <v>251</v>
      </c>
      <c r="F849" t="str">
        <f>INDEX(IPCCMaps!H:H,MATCH(mapPRC!C849,IPCCMaps!G:G,0))</f>
        <v>1 Energy</v>
      </c>
      <c r="G849">
        <f>INDEX(IPCCMaps!I:I,MATCH(mapPRC!C849,IPCCMaps!G:G,0))</f>
        <v>0</v>
      </c>
      <c r="H849">
        <f>INDEX(IPCCMaps!J:J,MATCH(mapPRC!C849,IPCCMaps!G:G,0))</f>
        <v>0</v>
      </c>
      <c r="I849">
        <f>INDEX(IPCCMaps!K:K,MATCH(mapPRC!C849,IPCCMaps!G:G,0))</f>
        <v>0</v>
      </c>
    </row>
    <row r="850" spans="1:9" x14ac:dyDescent="0.25">
      <c r="A850" t="s">
        <v>250</v>
      </c>
      <c r="D850" t="s">
        <v>0</v>
      </c>
      <c r="E850" t="s">
        <v>249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248</v>
      </c>
      <c r="D851" t="s">
        <v>0</v>
      </c>
      <c r="E851" t="s">
        <v>247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246</v>
      </c>
      <c r="D852" t="s">
        <v>0</v>
      </c>
      <c r="E852" t="s">
        <v>245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244</v>
      </c>
      <c r="D853" t="s">
        <v>0</v>
      </c>
      <c r="E853" t="s">
        <v>243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242</v>
      </c>
      <c r="D854" t="s">
        <v>0</v>
      </c>
      <c r="E854" t="s">
        <v>241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240</v>
      </c>
      <c r="D855" t="s">
        <v>0</v>
      </c>
      <c r="E855" t="s">
        <v>239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238</v>
      </c>
      <c r="D856" t="s">
        <v>0</v>
      </c>
      <c r="E856" t="s">
        <v>237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236</v>
      </c>
      <c r="D857" t="s">
        <v>0</v>
      </c>
      <c r="E857" t="s">
        <v>235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234</v>
      </c>
      <c r="D858" t="s">
        <v>0</v>
      </c>
      <c r="E858" t="s">
        <v>233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232</v>
      </c>
      <c r="D859" t="s">
        <v>0</v>
      </c>
      <c r="E859" t="s">
        <v>231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230</v>
      </c>
      <c r="D860" t="s">
        <v>0</v>
      </c>
      <c r="E860" t="s">
        <v>229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226</v>
      </c>
      <c r="D861" t="s">
        <v>0</v>
      </c>
      <c r="E861" t="s">
        <v>225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228</v>
      </c>
      <c r="D862" t="s">
        <v>0</v>
      </c>
      <c r="E862" t="s">
        <v>227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222</v>
      </c>
      <c r="D863" t="s">
        <v>0</v>
      </c>
      <c r="E863" t="s">
        <v>221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224</v>
      </c>
      <c r="D864" t="s">
        <v>0</v>
      </c>
      <c r="E864" t="s">
        <v>223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220</v>
      </c>
      <c r="D865" t="s">
        <v>0</v>
      </c>
      <c r="E865" t="s">
        <v>219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218</v>
      </c>
      <c r="D866" t="s">
        <v>0</v>
      </c>
      <c r="E866" t="s">
        <v>217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216</v>
      </c>
      <c r="D867" t="s">
        <v>0</v>
      </c>
      <c r="E867" t="s">
        <v>215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214</v>
      </c>
      <c r="D868" t="s">
        <v>0</v>
      </c>
      <c r="E868" t="s">
        <v>213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212</v>
      </c>
      <c r="D869" t="s">
        <v>0</v>
      </c>
      <c r="E869" t="s">
        <v>211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210</v>
      </c>
      <c r="D870" t="s">
        <v>0</v>
      </c>
      <c r="E870" t="s">
        <v>209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208</v>
      </c>
      <c r="D871" t="s">
        <v>0</v>
      </c>
      <c r="E871" t="s">
        <v>207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206</v>
      </c>
      <c r="D872" t="s">
        <v>0</v>
      </c>
      <c r="E872" t="s">
        <v>205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204</v>
      </c>
      <c r="D873" t="s">
        <v>0</v>
      </c>
      <c r="E873" t="s">
        <v>203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202</v>
      </c>
      <c r="D874" t="s">
        <v>0</v>
      </c>
      <c r="E874" t="s">
        <v>201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200</v>
      </c>
      <c r="D875" t="s">
        <v>0</v>
      </c>
      <c r="E875" t="s">
        <v>199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198</v>
      </c>
      <c r="D876" t="s">
        <v>0</v>
      </c>
      <c r="E876" t="s">
        <v>197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196</v>
      </c>
      <c r="D877" t="s">
        <v>0</v>
      </c>
      <c r="E877" t="s">
        <v>195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194</v>
      </c>
      <c r="D878" t="s">
        <v>0</v>
      </c>
      <c r="E878" t="s">
        <v>193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192</v>
      </c>
      <c r="B879" t="s">
        <v>145</v>
      </c>
      <c r="C879" t="s">
        <v>144</v>
      </c>
      <c r="D879" t="s">
        <v>190</v>
      </c>
      <c r="E879" t="s">
        <v>191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x14ac:dyDescent="0.25">
      <c r="A880" t="s">
        <v>189</v>
      </c>
      <c r="D880" t="s">
        <v>0</v>
      </c>
      <c r="E880" t="s">
        <v>188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187</v>
      </c>
      <c r="D881" t="s">
        <v>0</v>
      </c>
      <c r="E881" t="s">
        <v>186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185</v>
      </c>
      <c r="D882" t="s">
        <v>0</v>
      </c>
      <c r="E882" t="s">
        <v>184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183</v>
      </c>
      <c r="D883" t="s">
        <v>0</v>
      </c>
      <c r="E883" t="s">
        <v>182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181</v>
      </c>
      <c r="D884" t="s">
        <v>0</v>
      </c>
      <c r="E884" t="s">
        <v>180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179</v>
      </c>
      <c r="D885" t="s">
        <v>0</v>
      </c>
      <c r="E885" t="s">
        <v>178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177</v>
      </c>
      <c r="B886" t="s">
        <v>145</v>
      </c>
      <c r="C886" t="s">
        <v>144</v>
      </c>
      <c r="D886" t="s">
        <v>175</v>
      </c>
      <c r="E886" t="s">
        <v>176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174</v>
      </c>
      <c r="D887" t="s">
        <v>0</v>
      </c>
      <c r="E887" t="s">
        <v>173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172</v>
      </c>
      <c r="D888" t="s">
        <v>0</v>
      </c>
      <c r="E888" t="s">
        <v>171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170</v>
      </c>
      <c r="D889" t="s">
        <v>0</v>
      </c>
      <c r="E889" t="s">
        <v>169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168</v>
      </c>
      <c r="D890" t="s">
        <v>0</v>
      </c>
      <c r="E890" t="s">
        <v>167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166</v>
      </c>
      <c r="D891" t="s">
        <v>0</v>
      </c>
      <c r="E891" t="s">
        <v>165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164</v>
      </c>
      <c r="D892" t="s">
        <v>0</v>
      </c>
      <c r="E892" t="s">
        <v>163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162</v>
      </c>
      <c r="D893" t="s">
        <v>0</v>
      </c>
      <c r="E893" t="s">
        <v>161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160</v>
      </c>
      <c r="D894" t="s">
        <v>0</v>
      </c>
      <c r="E894" t="s">
        <v>159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158</v>
      </c>
      <c r="D895" t="s">
        <v>0</v>
      </c>
      <c r="E895" t="s">
        <v>157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156</v>
      </c>
      <c r="D896" t="s">
        <v>0</v>
      </c>
      <c r="E896" t="s">
        <v>155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154</v>
      </c>
      <c r="D897" t="s">
        <v>0</v>
      </c>
      <c r="E897" t="s">
        <v>153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150</v>
      </c>
      <c r="B898" t="s">
        <v>21</v>
      </c>
      <c r="D898" t="s">
        <v>0</v>
      </c>
      <c r="E898" t="s">
        <v>149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152</v>
      </c>
      <c r="D899" t="s">
        <v>0</v>
      </c>
      <c r="E899" t="s">
        <v>151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147</v>
      </c>
      <c r="B900" t="s">
        <v>145</v>
      </c>
      <c r="C900" t="s">
        <v>144</v>
      </c>
      <c r="D900" t="s">
        <v>143</v>
      </c>
      <c r="E900" t="s">
        <v>146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142</v>
      </c>
      <c r="B901" t="s">
        <v>21</v>
      </c>
      <c r="C901" t="s">
        <v>140</v>
      </c>
      <c r="D901" t="s">
        <v>0</v>
      </c>
      <c r="E901" t="s">
        <v>141</v>
      </c>
      <c r="F901" t="str">
        <f>INDEX(IPCCMaps!H:H,MATCH(mapPRC!C901,IPCCMaps!G:G,0))</f>
        <v>1 Energy</v>
      </c>
      <c r="G901" t="str">
        <f>INDEX(IPCCMaps!I:I,MATCH(mapPRC!C901,IPCCMaps!G:G,0))</f>
        <v>1B Fugitive Emissions from Fuels</v>
      </c>
      <c r="H901" t="str">
        <f>INDEX(IPCCMaps!J:J,MATCH(mapPRC!C901,IPCCMaps!G:G,0))</f>
        <v>1B2 Oil and Natural Gas</v>
      </c>
      <c r="I901" t="str">
        <f>INDEX(IPCCMaps!K:K,MATCH(mapPRC!C901,IPCCMaps!G:G,0))</f>
        <v>1B2 Oil and Natural Gas</v>
      </c>
    </row>
    <row r="902" spans="1:9" x14ac:dyDescent="0.25">
      <c r="A902" t="s">
        <v>139</v>
      </c>
      <c r="B902" t="s">
        <v>21</v>
      </c>
      <c r="C902" t="s">
        <v>137</v>
      </c>
      <c r="D902" t="s">
        <v>0</v>
      </c>
      <c r="E902" t="s">
        <v>138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1B3 Other Emissions</v>
      </c>
      <c r="I902" t="str">
        <f>INDEX(IPCCMaps!K:K,MATCH(mapPRC!C902,IPCCMaps!G:G,0))</f>
        <v>1B3 Other Emissions - Petro SA</v>
      </c>
    </row>
    <row r="903" spans="1:9" x14ac:dyDescent="0.25">
      <c r="A903" t="s">
        <v>136</v>
      </c>
      <c r="D903" t="s">
        <v>0</v>
      </c>
      <c r="E903" t="s">
        <v>135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134</v>
      </c>
      <c r="D904" t="s">
        <v>0</v>
      </c>
      <c r="E904" t="s">
        <v>133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132</v>
      </c>
      <c r="D905" t="s">
        <v>0</v>
      </c>
      <c r="E905" t="s">
        <v>131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130</v>
      </c>
      <c r="D906" t="s">
        <v>0</v>
      </c>
      <c r="E906" t="s">
        <v>129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128</v>
      </c>
      <c r="D907" t="s">
        <v>0</v>
      </c>
      <c r="E907" t="s">
        <v>127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126</v>
      </c>
      <c r="D908" t="s">
        <v>0</v>
      </c>
      <c r="E908" t="s">
        <v>125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124</v>
      </c>
      <c r="D909" t="s">
        <v>0</v>
      </c>
      <c r="E909" t="s">
        <v>123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122</v>
      </c>
      <c r="D910" t="s">
        <v>0</v>
      </c>
      <c r="E910" t="s">
        <v>121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120</v>
      </c>
      <c r="D911" t="s">
        <v>0</v>
      </c>
      <c r="E911" t="s">
        <v>119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118</v>
      </c>
      <c r="D912" t="s">
        <v>0</v>
      </c>
      <c r="E912" t="s">
        <v>117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116</v>
      </c>
      <c r="D913" t="s">
        <v>0</v>
      </c>
      <c r="E913" t="s">
        <v>115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114</v>
      </c>
      <c r="D914" t="s">
        <v>0</v>
      </c>
      <c r="E914" t="s">
        <v>113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112</v>
      </c>
      <c r="D915" t="s">
        <v>0</v>
      </c>
      <c r="E915" t="s">
        <v>111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110</v>
      </c>
      <c r="D916" t="s">
        <v>0</v>
      </c>
      <c r="E916" t="s">
        <v>109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108</v>
      </c>
      <c r="D917" t="s">
        <v>0</v>
      </c>
      <c r="E917" t="s">
        <v>107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106</v>
      </c>
      <c r="D918" t="s">
        <v>0</v>
      </c>
      <c r="E918" t="s">
        <v>105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104</v>
      </c>
      <c r="D919" t="s">
        <v>0</v>
      </c>
      <c r="E919" t="s">
        <v>103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102</v>
      </c>
      <c r="D920" t="s">
        <v>0</v>
      </c>
      <c r="E920" t="s">
        <v>101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100</v>
      </c>
      <c r="D921" t="s">
        <v>0</v>
      </c>
      <c r="E921" t="s">
        <v>99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98</v>
      </c>
      <c r="D922" t="s">
        <v>0</v>
      </c>
      <c r="E922" t="s">
        <v>97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96</v>
      </c>
      <c r="D923" t="s">
        <v>0</v>
      </c>
      <c r="E923" t="s">
        <v>95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3125</v>
      </c>
      <c r="D924" t="s">
        <v>0</v>
      </c>
      <c r="E924" t="s">
        <v>3126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94</v>
      </c>
      <c r="D925" t="s">
        <v>0</v>
      </c>
      <c r="E925" t="s">
        <v>93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92</v>
      </c>
      <c r="D926" t="s">
        <v>0</v>
      </c>
      <c r="E926" t="s">
        <v>77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91</v>
      </c>
      <c r="D927" t="s">
        <v>0</v>
      </c>
      <c r="E927" t="s">
        <v>90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89</v>
      </c>
      <c r="D928" t="s">
        <v>0</v>
      </c>
      <c r="E928" t="s">
        <v>88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87</v>
      </c>
      <c r="D929" t="s">
        <v>0</v>
      </c>
      <c r="E929" t="s">
        <v>86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85</v>
      </c>
      <c r="D930" t="s">
        <v>0</v>
      </c>
      <c r="E930" t="s">
        <v>84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83</v>
      </c>
      <c r="D931" t="s">
        <v>0</v>
      </c>
      <c r="E931" t="s">
        <v>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81</v>
      </c>
      <c r="D932" t="s">
        <v>0</v>
      </c>
      <c r="E932" t="s">
        <v>80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79</v>
      </c>
      <c r="D933" t="s">
        <v>0</v>
      </c>
      <c r="E933" t="s">
        <v>69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78</v>
      </c>
      <c r="D934" t="s">
        <v>0</v>
      </c>
      <c r="E934" t="s">
        <v>77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76</v>
      </c>
      <c r="D935" t="s">
        <v>0</v>
      </c>
      <c r="E935" t="s">
        <v>75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74</v>
      </c>
      <c r="D936" t="s">
        <v>0</v>
      </c>
      <c r="E936" t="s">
        <v>73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72</v>
      </c>
      <c r="D937" t="s">
        <v>0</v>
      </c>
      <c r="E937" t="s">
        <v>71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70</v>
      </c>
      <c r="D938" t="s">
        <v>0</v>
      </c>
      <c r="E938" t="s">
        <v>69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68</v>
      </c>
      <c r="D939" t="s">
        <v>0</v>
      </c>
      <c r="E939" t="s">
        <v>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67</v>
      </c>
      <c r="D940" t="s">
        <v>0</v>
      </c>
      <c r="E940" t="s">
        <v>66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65</v>
      </c>
      <c r="D941" t="s">
        <v>0</v>
      </c>
      <c r="E941" t="s">
        <v>51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64</v>
      </c>
      <c r="D942" t="s">
        <v>0</v>
      </c>
      <c r="E942" t="s">
        <v>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63</v>
      </c>
      <c r="D943" t="s">
        <v>0</v>
      </c>
      <c r="E943" t="s">
        <v>62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61</v>
      </c>
      <c r="D944" t="s">
        <v>0</v>
      </c>
      <c r="E944" t="s">
        <v>60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59</v>
      </c>
      <c r="D945" t="s">
        <v>0</v>
      </c>
      <c r="E945" t="s">
        <v>58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57</v>
      </c>
      <c r="D946" t="s">
        <v>0</v>
      </c>
      <c r="E946" t="s">
        <v>47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56</v>
      </c>
      <c r="D947" t="s">
        <v>0</v>
      </c>
      <c r="E947" t="s">
        <v>55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54</v>
      </c>
      <c r="D948" t="s">
        <v>0</v>
      </c>
      <c r="E948" t="s">
        <v>53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52</v>
      </c>
      <c r="D949" t="s">
        <v>0</v>
      </c>
      <c r="E949" t="s">
        <v>51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50</v>
      </c>
      <c r="D950" t="s">
        <v>0</v>
      </c>
      <c r="E950" t="s">
        <v>49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48</v>
      </c>
      <c r="D951" t="s">
        <v>0</v>
      </c>
      <c r="E951" t="s">
        <v>47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</sheetData>
  <autoFilter ref="A1:I951" xr:uid="{2F3FFDF7-7714-47AC-B254-A3709C093DA2}"/>
  <sortState xmlns:xlrd2="http://schemas.microsoft.com/office/spreadsheetml/2017/richdata2" ref="A78:I951">
    <sortCondition ref="A78:A951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5"/>
  <sheetViews>
    <sheetView topLeftCell="A21" workbookViewId="0">
      <selection activeCell="D38" sqref="D38:D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2415</v>
      </c>
      <c r="B2" t="s">
        <v>2414</v>
      </c>
      <c r="C2">
        <v>0</v>
      </c>
      <c r="D2">
        <v>0</v>
      </c>
    </row>
    <row r="3" spans="1:4" x14ac:dyDescent="0.25">
      <c r="A3" t="s">
        <v>2413</v>
      </c>
      <c r="B3" t="s">
        <v>2412</v>
      </c>
      <c r="C3" t="s">
        <v>2105</v>
      </c>
      <c r="D3">
        <v>0</v>
      </c>
    </row>
    <row r="4" spans="1:4" x14ac:dyDescent="0.25">
      <c r="A4" t="s">
        <v>2411</v>
      </c>
      <c r="B4" t="s">
        <v>2410</v>
      </c>
      <c r="C4" t="s">
        <v>2101</v>
      </c>
      <c r="D4">
        <v>0</v>
      </c>
    </row>
    <row r="5" spans="1:4" x14ac:dyDescent="0.25">
      <c r="A5" t="s">
        <v>2409</v>
      </c>
      <c r="B5" t="s">
        <v>2408</v>
      </c>
      <c r="C5" t="s">
        <v>2098</v>
      </c>
      <c r="D5">
        <v>0</v>
      </c>
    </row>
    <row r="6" spans="1:4" x14ac:dyDescent="0.25">
      <c r="A6" t="s">
        <v>2407</v>
      </c>
      <c r="B6" t="s">
        <v>2406</v>
      </c>
      <c r="C6" t="s">
        <v>19</v>
      </c>
      <c r="D6" t="s">
        <v>19</v>
      </c>
    </row>
    <row r="7" spans="1:4" x14ac:dyDescent="0.25">
      <c r="A7" t="s">
        <v>2405</v>
      </c>
      <c r="B7" t="s">
        <v>2404</v>
      </c>
      <c r="C7" t="s">
        <v>1718</v>
      </c>
      <c r="D7">
        <v>0</v>
      </c>
    </row>
    <row r="8" spans="1:4" x14ac:dyDescent="0.25">
      <c r="A8" t="s">
        <v>2403</v>
      </c>
      <c r="B8" t="s">
        <v>2402</v>
      </c>
      <c r="C8" t="s">
        <v>2090</v>
      </c>
      <c r="D8">
        <v>0</v>
      </c>
    </row>
    <row r="9" spans="1:4" x14ac:dyDescent="0.25">
      <c r="A9" t="s">
        <v>2401</v>
      </c>
      <c r="B9" t="s">
        <v>2400</v>
      </c>
      <c r="C9" t="s">
        <v>2087</v>
      </c>
      <c r="D9">
        <v>0</v>
      </c>
    </row>
    <row r="10" spans="1:4" x14ac:dyDescent="0.25">
      <c r="A10" t="s">
        <v>2399</v>
      </c>
      <c r="B10" t="s">
        <v>2398</v>
      </c>
      <c r="C10" t="s">
        <v>2084</v>
      </c>
      <c r="D10">
        <v>0</v>
      </c>
    </row>
    <row r="11" spans="1:4" x14ac:dyDescent="0.25">
      <c r="A11" t="s">
        <v>2397</v>
      </c>
      <c r="B11" t="s">
        <v>2396</v>
      </c>
      <c r="C11" t="s">
        <v>1713</v>
      </c>
      <c r="D11" t="s">
        <v>1713</v>
      </c>
    </row>
    <row r="12" spans="1:4" x14ac:dyDescent="0.25">
      <c r="A12" t="s">
        <v>2395</v>
      </c>
      <c r="B12" t="s">
        <v>2394</v>
      </c>
      <c r="C12" t="s">
        <v>1711</v>
      </c>
      <c r="D12" t="s">
        <v>1710</v>
      </c>
    </row>
    <row r="13" spans="1:4" x14ac:dyDescent="0.25">
      <c r="A13" t="s">
        <v>2393</v>
      </c>
      <c r="B13" t="s">
        <v>2392</v>
      </c>
      <c r="C13" t="s">
        <v>1708</v>
      </c>
      <c r="D13" t="s">
        <v>1707</v>
      </c>
    </row>
    <row r="14" spans="1:4" x14ac:dyDescent="0.25">
      <c r="A14" t="s">
        <v>2391</v>
      </c>
      <c r="B14" t="s">
        <v>2390</v>
      </c>
      <c r="C14" t="s">
        <v>2114</v>
      </c>
      <c r="D14" t="s">
        <v>2114</v>
      </c>
    </row>
    <row r="15" spans="1:4" x14ac:dyDescent="0.25">
      <c r="A15" t="s">
        <v>2389</v>
      </c>
      <c r="B15" t="s">
        <v>2388</v>
      </c>
      <c r="C15" t="s">
        <v>1704</v>
      </c>
      <c r="D15" t="s">
        <v>1704</v>
      </c>
    </row>
    <row r="16" spans="1:4" x14ac:dyDescent="0.25">
      <c r="A16" t="s">
        <v>2387</v>
      </c>
      <c r="B16" t="s">
        <v>2386</v>
      </c>
      <c r="C16" t="s">
        <v>2078</v>
      </c>
      <c r="D16">
        <v>0</v>
      </c>
    </row>
    <row r="17" spans="1:4" x14ac:dyDescent="0.25">
      <c r="A17" t="s">
        <v>2385</v>
      </c>
      <c r="B17" t="s">
        <v>2384</v>
      </c>
      <c r="C17" t="s">
        <v>2075</v>
      </c>
      <c r="D17">
        <v>0</v>
      </c>
    </row>
    <row r="18" spans="1:4" x14ac:dyDescent="0.25">
      <c r="A18" t="s">
        <v>2064</v>
      </c>
      <c r="B18" t="s">
        <v>2063</v>
      </c>
      <c r="C18">
        <v>0</v>
      </c>
      <c r="D18">
        <v>0</v>
      </c>
    </row>
    <row r="19" spans="1:4" x14ac:dyDescent="0.25">
      <c r="A19" t="s">
        <v>2062</v>
      </c>
      <c r="B19" t="s">
        <v>2061</v>
      </c>
      <c r="C19">
        <v>0</v>
      </c>
      <c r="D19">
        <v>0</v>
      </c>
    </row>
    <row r="20" spans="1:4" x14ac:dyDescent="0.25">
      <c r="A20" t="s">
        <v>2060</v>
      </c>
      <c r="B20" t="s">
        <v>2059</v>
      </c>
      <c r="C20">
        <v>0</v>
      </c>
      <c r="D20">
        <v>0</v>
      </c>
    </row>
    <row r="21" spans="1:4" x14ac:dyDescent="0.25">
      <c r="A21" t="s">
        <v>2058</v>
      </c>
      <c r="B21" t="s">
        <v>2057</v>
      </c>
      <c r="C21">
        <v>0</v>
      </c>
      <c r="D21">
        <v>0</v>
      </c>
    </row>
    <row r="22" spans="1:4" x14ac:dyDescent="0.25">
      <c r="A22" t="s">
        <v>2056</v>
      </c>
      <c r="B22" t="s">
        <v>2055</v>
      </c>
      <c r="C22">
        <v>0</v>
      </c>
      <c r="D22">
        <v>0</v>
      </c>
    </row>
    <row r="23" spans="1:4" x14ac:dyDescent="0.25">
      <c r="A23" t="s">
        <v>2383</v>
      </c>
      <c r="B23" t="s">
        <v>2382</v>
      </c>
      <c r="C23" t="s">
        <v>1726</v>
      </c>
      <c r="D23" t="s">
        <v>1725</v>
      </c>
    </row>
    <row r="24" spans="1:4" x14ac:dyDescent="0.25">
      <c r="A24" t="s">
        <v>2381</v>
      </c>
      <c r="B24" t="s">
        <v>2380</v>
      </c>
      <c r="C24" t="s">
        <v>1726</v>
      </c>
      <c r="D24" t="s">
        <v>1725</v>
      </c>
    </row>
    <row r="25" spans="1:4" x14ac:dyDescent="0.25">
      <c r="A25" t="s">
        <v>2379</v>
      </c>
      <c r="B25" t="s">
        <v>2378</v>
      </c>
      <c r="C25" t="s">
        <v>1726</v>
      </c>
      <c r="D25" t="s">
        <v>1725</v>
      </c>
    </row>
    <row r="26" spans="1:4" x14ac:dyDescent="0.25">
      <c r="A26" t="s">
        <v>2377</v>
      </c>
      <c r="B26" t="s">
        <v>2376</v>
      </c>
      <c r="C26" t="s">
        <v>2230</v>
      </c>
      <c r="D26">
        <v>0</v>
      </c>
    </row>
    <row r="27" spans="1:4" x14ac:dyDescent="0.25">
      <c r="A27" t="s">
        <v>2375</v>
      </c>
      <c r="B27" t="s">
        <v>2374</v>
      </c>
      <c r="C27" t="s">
        <v>1726</v>
      </c>
      <c r="D27" t="s">
        <v>1725</v>
      </c>
    </row>
    <row r="28" spans="1:4" x14ac:dyDescent="0.25">
      <c r="A28" t="s">
        <v>2373</v>
      </c>
      <c r="B28" t="s">
        <v>2372</v>
      </c>
      <c r="C28" t="s">
        <v>2168</v>
      </c>
      <c r="D28" t="s">
        <v>2167</v>
      </c>
    </row>
    <row r="29" spans="1:4" x14ac:dyDescent="0.25">
      <c r="A29" t="s">
        <v>2054</v>
      </c>
      <c r="B29" t="s">
        <v>2044</v>
      </c>
      <c r="C29">
        <v>0</v>
      </c>
      <c r="D29">
        <v>0</v>
      </c>
    </row>
    <row r="30" spans="1:4" x14ac:dyDescent="0.25">
      <c r="A30" t="s">
        <v>2053</v>
      </c>
      <c r="B30" t="s">
        <v>2042</v>
      </c>
      <c r="C30">
        <v>0</v>
      </c>
      <c r="D30">
        <v>0</v>
      </c>
    </row>
    <row r="31" spans="1:4" x14ac:dyDescent="0.25">
      <c r="A31" t="s">
        <v>2052</v>
      </c>
      <c r="B31" t="s">
        <v>2040</v>
      </c>
      <c r="C31">
        <v>0</v>
      </c>
      <c r="D31">
        <v>0</v>
      </c>
    </row>
    <row r="32" spans="1:4" x14ac:dyDescent="0.25">
      <c r="A32" t="s">
        <v>2051</v>
      </c>
      <c r="B32" t="s">
        <v>2038</v>
      </c>
      <c r="C32">
        <v>0</v>
      </c>
      <c r="D32">
        <v>0</v>
      </c>
    </row>
    <row r="33" spans="1:4" x14ac:dyDescent="0.25">
      <c r="A33" t="s">
        <v>2050</v>
      </c>
      <c r="B33" t="s">
        <v>2036</v>
      </c>
      <c r="C33">
        <v>0</v>
      </c>
      <c r="D33">
        <v>0</v>
      </c>
    </row>
    <row r="34" spans="1:4" x14ac:dyDescent="0.25">
      <c r="A34" t="s">
        <v>2049</v>
      </c>
      <c r="B34" t="s">
        <v>2034</v>
      </c>
      <c r="C34">
        <v>0</v>
      </c>
      <c r="D34">
        <v>0</v>
      </c>
    </row>
    <row r="35" spans="1:4" x14ac:dyDescent="0.25">
      <c r="A35" t="s">
        <v>2048</v>
      </c>
      <c r="B35" t="s">
        <v>2032</v>
      </c>
      <c r="C35">
        <v>0</v>
      </c>
      <c r="D35">
        <v>0</v>
      </c>
    </row>
    <row r="36" spans="1:4" x14ac:dyDescent="0.25">
      <c r="A36" t="s">
        <v>2047</v>
      </c>
      <c r="B36" t="s">
        <v>2030</v>
      </c>
      <c r="C36">
        <v>0</v>
      </c>
      <c r="D36">
        <v>0</v>
      </c>
    </row>
    <row r="37" spans="1:4" x14ac:dyDescent="0.25">
      <c r="A37" t="s">
        <v>2046</v>
      </c>
      <c r="B37" t="s">
        <v>2028</v>
      </c>
      <c r="C37">
        <v>0</v>
      </c>
      <c r="D37">
        <v>0</v>
      </c>
    </row>
    <row r="38" spans="1:4" x14ac:dyDescent="0.25">
      <c r="A38" t="s">
        <v>3210</v>
      </c>
      <c r="B38" t="s">
        <v>3212</v>
      </c>
      <c r="C38" t="s">
        <v>3210</v>
      </c>
      <c r="D38" t="s">
        <v>3210</v>
      </c>
    </row>
    <row r="39" spans="1:4" x14ac:dyDescent="0.25">
      <c r="A39" t="s">
        <v>3211</v>
      </c>
      <c r="B39" t="s">
        <v>3213</v>
      </c>
      <c r="C39" t="s">
        <v>3214</v>
      </c>
      <c r="D39" t="s">
        <v>3214</v>
      </c>
    </row>
    <row r="40" spans="1:4" x14ac:dyDescent="0.25">
      <c r="A40" t="s">
        <v>2371</v>
      </c>
      <c r="B40" t="s">
        <v>2370</v>
      </c>
      <c r="C40">
        <v>0</v>
      </c>
      <c r="D40">
        <v>0</v>
      </c>
    </row>
    <row r="41" spans="1:4" x14ac:dyDescent="0.25">
      <c r="A41" t="s">
        <v>2105</v>
      </c>
      <c r="B41" t="s">
        <v>2369</v>
      </c>
      <c r="C41">
        <v>0</v>
      </c>
      <c r="D41">
        <v>0</v>
      </c>
    </row>
    <row r="42" spans="1:4" x14ac:dyDescent="0.25">
      <c r="A42" t="s">
        <v>2368</v>
      </c>
      <c r="B42" t="s">
        <v>2357</v>
      </c>
      <c r="C42">
        <v>0</v>
      </c>
      <c r="D42">
        <v>0</v>
      </c>
    </row>
    <row r="43" spans="1:4" x14ac:dyDescent="0.25">
      <c r="A43" t="s">
        <v>2367</v>
      </c>
      <c r="B43" t="s">
        <v>2366</v>
      </c>
      <c r="C43" t="s">
        <v>2221</v>
      </c>
      <c r="D43" t="s">
        <v>19</v>
      </c>
    </row>
    <row r="44" spans="1:4" x14ac:dyDescent="0.25">
      <c r="A44" t="s">
        <v>2365</v>
      </c>
      <c r="B44" t="s">
        <v>2364</v>
      </c>
      <c r="C44" t="s">
        <v>19</v>
      </c>
      <c r="D44" t="s">
        <v>19</v>
      </c>
    </row>
    <row r="45" spans="1:4" x14ac:dyDescent="0.25">
      <c r="A45" t="s">
        <v>2101</v>
      </c>
      <c r="B45" t="s">
        <v>2363</v>
      </c>
      <c r="C45" t="s">
        <v>2101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2031</v>
      </c>
      <c r="B53" t="s">
        <v>2030</v>
      </c>
      <c r="C53">
        <v>0</v>
      </c>
      <c r="D53">
        <v>0</v>
      </c>
    </row>
    <row r="54" spans="1:4" x14ac:dyDescent="0.25">
      <c r="A54" t="s">
        <v>2029</v>
      </c>
      <c r="B54" t="s">
        <v>2028</v>
      </c>
      <c r="C54">
        <v>0</v>
      </c>
      <c r="D54">
        <v>0</v>
      </c>
    </row>
    <row r="55" spans="1:4" x14ac:dyDescent="0.25">
      <c r="A55" t="s">
        <v>2362</v>
      </c>
      <c r="B55" t="s">
        <v>2361</v>
      </c>
      <c r="C55" t="s">
        <v>2360</v>
      </c>
      <c r="D55">
        <v>0</v>
      </c>
    </row>
    <row r="56" spans="1:4" x14ac:dyDescent="0.25">
      <c r="A56" t="s">
        <v>2098</v>
      </c>
      <c r="B56" t="s">
        <v>2359</v>
      </c>
      <c r="C56" t="s">
        <v>1774</v>
      </c>
      <c r="D56">
        <v>0</v>
      </c>
    </row>
    <row r="57" spans="1:4" x14ac:dyDescent="0.25">
      <c r="A57" t="s">
        <v>2358</v>
      </c>
      <c r="B57" t="s">
        <v>2357</v>
      </c>
      <c r="C57" t="s">
        <v>1774</v>
      </c>
      <c r="D57">
        <v>0</v>
      </c>
    </row>
    <row r="58" spans="1:4" x14ac:dyDescent="0.25">
      <c r="A58" t="s">
        <v>2356</v>
      </c>
      <c r="B58" t="s">
        <v>2355</v>
      </c>
      <c r="C58" t="s">
        <v>1774</v>
      </c>
      <c r="D58">
        <v>0</v>
      </c>
    </row>
    <row r="59" spans="1:4" x14ac:dyDescent="0.25">
      <c r="A59" t="s">
        <v>2354</v>
      </c>
      <c r="B59" t="s">
        <v>2353</v>
      </c>
      <c r="C59" t="s">
        <v>19</v>
      </c>
      <c r="D59" t="s">
        <v>19</v>
      </c>
    </row>
    <row r="60" spans="1:4" x14ac:dyDescent="0.25">
      <c r="A60" t="s">
        <v>2352</v>
      </c>
      <c r="B60" t="s">
        <v>2351</v>
      </c>
      <c r="C60" t="s">
        <v>1777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>
        <v>0</v>
      </c>
      <c r="D63">
        <v>0</v>
      </c>
    </row>
    <row r="64" spans="1:4" x14ac:dyDescent="0.25">
      <c r="A64" t="s">
        <v>1842</v>
      </c>
      <c r="B64" t="s">
        <v>1841</v>
      </c>
      <c r="C64">
        <v>0</v>
      </c>
      <c r="D64">
        <v>0</v>
      </c>
    </row>
    <row r="65" spans="1:4" x14ac:dyDescent="0.25">
      <c r="A65" t="s">
        <v>1840</v>
      </c>
      <c r="B65" t="s">
        <v>1839</v>
      </c>
      <c r="C65" t="s">
        <v>1780</v>
      </c>
      <c r="D65">
        <v>0</v>
      </c>
    </row>
    <row r="66" spans="1:4" x14ac:dyDescent="0.25">
      <c r="A66" t="s">
        <v>2350</v>
      </c>
      <c r="B66" t="s">
        <v>2349</v>
      </c>
      <c r="C66" t="s">
        <v>2105</v>
      </c>
      <c r="D66">
        <v>0</v>
      </c>
    </row>
    <row r="67" spans="1:4" x14ac:dyDescent="0.25">
      <c r="A67" t="s">
        <v>2348</v>
      </c>
      <c r="B67" t="s">
        <v>2347</v>
      </c>
      <c r="C67" t="s">
        <v>2101</v>
      </c>
      <c r="D67">
        <v>0</v>
      </c>
    </row>
    <row r="68" spans="1:4" x14ac:dyDescent="0.25">
      <c r="A68" t="s">
        <v>1838</v>
      </c>
      <c r="B68" t="s">
        <v>1837</v>
      </c>
      <c r="C68" t="s">
        <v>1774</v>
      </c>
      <c r="D68">
        <v>0</v>
      </c>
    </row>
    <row r="69" spans="1:4" x14ac:dyDescent="0.25">
      <c r="A69" t="s">
        <v>2346</v>
      </c>
      <c r="B69" t="s">
        <v>2345</v>
      </c>
      <c r="C69" t="s">
        <v>2098</v>
      </c>
      <c r="D69">
        <v>0</v>
      </c>
    </row>
    <row r="70" spans="1:4" x14ac:dyDescent="0.25">
      <c r="A70" t="s">
        <v>2344</v>
      </c>
      <c r="B70" t="s">
        <v>2343</v>
      </c>
      <c r="C70" t="s">
        <v>19</v>
      </c>
      <c r="D70" t="s">
        <v>19</v>
      </c>
    </row>
    <row r="71" spans="1:4" x14ac:dyDescent="0.25">
      <c r="A71" t="s">
        <v>2342</v>
      </c>
      <c r="B71" t="s">
        <v>2341</v>
      </c>
      <c r="C71" t="s">
        <v>1718</v>
      </c>
      <c r="D71">
        <v>0</v>
      </c>
    </row>
    <row r="72" spans="1:4" x14ac:dyDescent="0.25">
      <c r="A72" t="s">
        <v>2340</v>
      </c>
      <c r="B72" t="s">
        <v>2339</v>
      </c>
      <c r="C72" t="s">
        <v>1680</v>
      </c>
      <c r="D72" t="s">
        <v>1680</v>
      </c>
    </row>
    <row r="73" spans="1:4" x14ac:dyDescent="0.25">
      <c r="A73" t="s">
        <v>1836</v>
      </c>
      <c r="B73" t="s">
        <v>1835</v>
      </c>
      <c r="C73" t="s">
        <v>1771</v>
      </c>
      <c r="D73">
        <v>0</v>
      </c>
    </row>
    <row r="74" spans="1:4" x14ac:dyDescent="0.25">
      <c r="A74" t="s">
        <v>2338</v>
      </c>
      <c r="B74" t="s">
        <v>2337</v>
      </c>
      <c r="C74" t="s">
        <v>2090</v>
      </c>
      <c r="D74">
        <v>0</v>
      </c>
    </row>
    <row r="75" spans="1:4" x14ac:dyDescent="0.25">
      <c r="A75" t="s">
        <v>2336</v>
      </c>
      <c r="B75" t="s">
        <v>2335</v>
      </c>
      <c r="C75" t="s">
        <v>2087</v>
      </c>
      <c r="D75">
        <v>0</v>
      </c>
    </row>
    <row r="76" spans="1:4" x14ac:dyDescent="0.25">
      <c r="A76" t="s">
        <v>1834</v>
      </c>
      <c r="B76" t="s">
        <v>1833</v>
      </c>
      <c r="C76" t="s">
        <v>1765</v>
      </c>
      <c r="D76">
        <v>0</v>
      </c>
    </row>
    <row r="77" spans="1:4" x14ac:dyDescent="0.25">
      <c r="A77" t="s">
        <v>2334</v>
      </c>
      <c r="B77" t="s">
        <v>2333</v>
      </c>
      <c r="C77" t="s">
        <v>2084</v>
      </c>
      <c r="D77">
        <v>0</v>
      </c>
    </row>
    <row r="78" spans="1:4" x14ac:dyDescent="0.25">
      <c r="A78" t="s">
        <v>2332</v>
      </c>
      <c r="B78" t="s">
        <v>2331</v>
      </c>
      <c r="C78" t="s">
        <v>1713</v>
      </c>
      <c r="D78" t="s">
        <v>1713</v>
      </c>
    </row>
    <row r="79" spans="1:4" x14ac:dyDescent="0.25">
      <c r="A79" t="s">
        <v>2330</v>
      </c>
      <c r="B79" t="s">
        <v>2329</v>
      </c>
      <c r="C79" t="s">
        <v>1711</v>
      </c>
      <c r="D79" t="s">
        <v>1710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1707</v>
      </c>
    </row>
    <row r="81" spans="1:4" x14ac:dyDescent="0.25">
      <c r="A81" t="s">
        <v>2326</v>
      </c>
      <c r="B81" t="s">
        <v>2325</v>
      </c>
      <c r="C81" t="s">
        <v>2114</v>
      </c>
      <c r="D81" t="s">
        <v>2114</v>
      </c>
    </row>
    <row r="82" spans="1:4" x14ac:dyDescent="0.25">
      <c r="A82" t="s">
        <v>2324</v>
      </c>
      <c r="B82" t="s">
        <v>2323</v>
      </c>
      <c r="C82" t="s">
        <v>1704</v>
      </c>
      <c r="D82" t="s">
        <v>1704</v>
      </c>
    </row>
    <row r="83" spans="1:4" x14ac:dyDescent="0.25">
      <c r="A83" t="s">
        <v>2322</v>
      </c>
      <c r="B83" t="s">
        <v>2321</v>
      </c>
      <c r="C83" t="s">
        <v>2078</v>
      </c>
      <c r="D83">
        <v>0</v>
      </c>
    </row>
    <row r="84" spans="1:4" x14ac:dyDescent="0.25">
      <c r="A84" t="s">
        <v>1832</v>
      </c>
      <c r="B84" t="s">
        <v>1831</v>
      </c>
      <c r="C84" t="s">
        <v>1759</v>
      </c>
      <c r="D84">
        <v>0</v>
      </c>
    </row>
    <row r="85" spans="1:4" x14ac:dyDescent="0.25">
      <c r="A85" t="s">
        <v>2320</v>
      </c>
      <c r="B85" t="s">
        <v>2319</v>
      </c>
      <c r="C85" t="s">
        <v>2075</v>
      </c>
      <c r="D85">
        <v>0</v>
      </c>
    </row>
    <row r="86" spans="1:4" x14ac:dyDescent="0.25">
      <c r="A86" t="s">
        <v>1830</v>
      </c>
      <c r="B86" t="s">
        <v>1829</v>
      </c>
      <c r="C86">
        <v>0</v>
      </c>
      <c r="D86">
        <v>0</v>
      </c>
    </row>
    <row r="87" spans="1:4" x14ac:dyDescent="0.25">
      <c r="A87" t="s">
        <v>1828</v>
      </c>
      <c r="B87" t="s">
        <v>1827</v>
      </c>
      <c r="C87">
        <v>0</v>
      </c>
      <c r="D87">
        <v>0</v>
      </c>
    </row>
    <row r="88" spans="1:4" x14ac:dyDescent="0.25">
      <c r="A88" t="s">
        <v>2318</v>
      </c>
      <c r="B88" t="s">
        <v>2317</v>
      </c>
      <c r="C88" t="s">
        <v>19</v>
      </c>
      <c r="D88" t="s">
        <v>19</v>
      </c>
    </row>
    <row r="89" spans="1:4" x14ac:dyDescent="0.25">
      <c r="A89" t="s">
        <v>2417</v>
      </c>
      <c r="B89" t="s">
        <v>2416</v>
      </c>
      <c r="C89" t="s">
        <v>1718</v>
      </c>
      <c r="D89">
        <v>0</v>
      </c>
    </row>
    <row r="90" spans="1:4" x14ac:dyDescent="0.25">
      <c r="A90" t="s">
        <v>2316</v>
      </c>
      <c r="B90" t="s">
        <v>2315</v>
      </c>
      <c r="C90" t="s">
        <v>1718</v>
      </c>
      <c r="D90">
        <v>0</v>
      </c>
    </row>
    <row r="91" spans="1:4" x14ac:dyDescent="0.25">
      <c r="A91" t="s">
        <v>3133</v>
      </c>
      <c r="B91" t="s">
        <v>3134</v>
      </c>
      <c r="C91" t="s">
        <v>3135</v>
      </c>
      <c r="D91" t="s">
        <v>3135</v>
      </c>
    </row>
    <row r="92" spans="1:4" x14ac:dyDescent="0.25">
      <c r="A92" t="s">
        <v>2429</v>
      </c>
      <c r="B92" t="s">
        <v>2428</v>
      </c>
      <c r="C92">
        <v>0</v>
      </c>
      <c r="D92">
        <v>0</v>
      </c>
    </row>
    <row r="93" spans="1:4" x14ac:dyDescent="0.25">
      <c r="A93" t="s">
        <v>2431</v>
      </c>
      <c r="B93" t="s">
        <v>2430</v>
      </c>
      <c r="C93">
        <v>0</v>
      </c>
      <c r="D93">
        <v>0</v>
      </c>
    </row>
    <row r="94" spans="1:4" x14ac:dyDescent="0.25">
      <c r="A94" t="s">
        <v>2427</v>
      </c>
      <c r="B94" t="s">
        <v>2426</v>
      </c>
      <c r="C94">
        <v>0</v>
      </c>
      <c r="D94">
        <v>0</v>
      </c>
    </row>
    <row r="95" spans="1:4" x14ac:dyDescent="0.25">
      <c r="A95" t="s">
        <v>2425</v>
      </c>
      <c r="B95" t="s">
        <v>2424</v>
      </c>
      <c r="C95">
        <v>0</v>
      </c>
      <c r="D95">
        <v>0</v>
      </c>
    </row>
    <row r="96" spans="1:4" x14ac:dyDescent="0.25">
      <c r="A96" t="s">
        <v>2419</v>
      </c>
      <c r="B96" t="s">
        <v>2418</v>
      </c>
      <c r="C96" t="s">
        <v>1680</v>
      </c>
      <c r="D96" t="s">
        <v>1680</v>
      </c>
    </row>
    <row r="97" spans="1:4" x14ac:dyDescent="0.25">
      <c r="A97" t="s">
        <v>2314</v>
      </c>
      <c r="B97" t="s">
        <v>2313</v>
      </c>
      <c r="C97" t="s">
        <v>1680</v>
      </c>
      <c r="D97" t="s">
        <v>1680</v>
      </c>
    </row>
    <row r="98" spans="1:4" x14ac:dyDescent="0.25">
      <c r="A98" t="s">
        <v>2312</v>
      </c>
      <c r="B98" t="s">
        <v>2311</v>
      </c>
      <c r="C98" t="s">
        <v>1680</v>
      </c>
      <c r="D98" t="s">
        <v>1680</v>
      </c>
    </row>
    <row r="99" spans="1:4" x14ac:dyDescent="0.25">
      <c r="A99" t="s">
        <v>2310</v>
      </c>
      <c r="B99" t="s">
        <v>2309</v>
      </c>
      <c r="C99" t="s">
        <v>1680</v>
      </c>
      <c r="D99" t="s">
        <v>1680</v>
      </c>
    </row>
    <row r="100" spans="1:4" x14ac:dyDescent="0.25">
      <c r="A100" t="s">
        <v>2308</v>
      </c>
      <c r="B100" t="s">
        <v>2307</v>
      </c>
      <c r="C100" t="s">
        <v>1680</v>
      </c>
      <c r="D100" t="s">
        <v>1680</v>
      </c>
    </row>
    <row r="101" spans="1:4" x14ac:dyDescent="0.25">
      <c r="A101" t="s">
        <v>2306</v>
      </c>
      <c r="B101" t="s">
        <v>2305</v>
      </c>
      <c r="C101" t="s">
        <v>1680</v>
      </c>
      <c r="D101" t="s">
        <v>1680</v>
      </c>
    </row>
    <row r="102" spans="1:4" x14ac:dyDescent="0.25">
      <c r="A102" t="s">
        <v>2304</v>
      </c>
      <c r="B102" t="s">
        <v>2303</v>
      </c>
      <c r="C102" t="s">
        <v>1680</v>
      </c>
      <c r="D102" t="s">
        <v>1680</v>
      </c>
    </row>
    <row r="103" spans="1:4" x14ac:dyDescent="0.25">
      <c r="A103" t="s">
        <v>2302</v>
      </c>
      <c r="B103" t="s">
        <v>2301</v>
      </c>
      <c r="C103" t="s">
        <v>1680</v>
      </c>
      <c r="D103" t="s">
        <v>1680</v>
      </c>
    </row>
    <row r="104" spans="1:4" x14ac:dyDescent="0.25">
      <c r="A104" t="s">
        <v>2300</v>
      </c>
      <c r="B104" t="s">
        <v>2299</v>
      </c>
      <c r="C104" t="s">
        <v>1680</v>
      </c>
      <c r="D104" t="s">
        <v>1680</v>
      </c>
    </row>
    <row r="105" spans="1:4" x14ac:dyDescent="0.25">
      <c r="A105" t="s">
        <v>2298</v>
      </c>
      <c r="B105" t="s">
        <v>2297</v>
      </c>
      <c r="C105" t="s">
        <v>1680</v>
      </c>
      <c r="D105" t="s">
        <v>1680</v>
      </c>
    </row>
    <row r="106" spans="1:4" x14ac:dyDescent="0.25">
      <c r="A106" t="s">
        <v>2296</v>
      </c>
      <c r="B106" t="s">
        <v>2295</v>
      </c>
      <c r="C106" t="s">
        <v>1679</v>
      </c>
      <c r="D106">
        <v>0</v>
      </c>
    </row>
    <row r="107" spans="1:4" x14ac:dyDescent="0.25">
      <c r="A107" t="s">
        <v>2294</v>
      </c>
      <c r="B107" t="s">
        <v>2293</v>
      </c>
      <c r="C107" t="s">
        <v>1679</v>
      </c>
      <c r="D107">
        <v>0</v>
      </c>
    </row>
    <row r="108" spans="1:4" x14ac:dyDescent="0.25">
      <c r="A108" t="s">
        <v>2292</v>
      </c>
      <c r="B108" t="s">
        <v>2291</v>
      </c>
      <c r="C108" t="s">
        <v>1679</v>
      </c>
      <c r="D108">
        <v>0</v>
      </c>
    </row>
    <row r="109" spans="1:4" x14ac:dyDescent="0.25">
      <c r="A109" t="s">
        <v>2290</v>
      </c>
      <c r="B109" t="s">
        <v>2289</v>
      </c>
      <c r="C109" t="s">
        <v>386</v>
      </c>
      <c r="D109">
        <v>0</v>
      </c>
    </row>
    <row r="110" spans="1:4" x14ac:dyDescent="0.25">
      <c r="A110" t="s">
        <v>2288</v>
      </c>
      <c r="B110" t="s">
        <v>2287</v>
      </c>
      <c r="C110" t="s">
        <v>2201</v>
      </c>
      <c r="D110">
        <v>0</v>
      </c>
    </row>
    <row r="111" spans="1:4" x14ac:dyDescent="0.25">
      <c r="A111" t="s">
        <v>3136</v>
      </c>
      <c r="B111" t="s">
        <v>3137</v>
      </c>
      <c r="C111" t="s">
        <v>3138</v>
      </c>
      <c r="D111" t="s">
        <v>3138</v>
      </c>
    </row>
    <row r="112" spans="1:4" x14ac:dyDescent="0.25">
      <c r="A112" t="s">
        <v>2027</v>
      </c>
      <c r="B112" t="s">
        <v>1300</v>
      </c>
      <c r="C112">
        <v>0</v>
      </c>
      <c r="D112">
        <v>0</v>
      </c>
    </row>
    <row r="113" spans="1:4" x14ac:dyDescent="0.25">
      <c r="A113" t="s">
        <v>2026</v>
      </c>
      <c r="B113" t="s">
        <v>1298</v>
      </c>
      <c r="C113">
        <v>0</v>
      </c>
      <c r="D113">
        <v>0</v>
      </c>
    </row>
    <row r="114" spans="1:4" x14ac:dyDescent="0.25">
      <c r="A114" t="s">
        <v>2025</v>
      </c>
      <c r="B114" t="s">
        <v>1296</v>
      </c>
      <c r="C114">
        <v>0</v>
      </c>
      <c r="D114">
        <v>0</v>
      </c>
    </row>
    <row r="115" spans="1:4" x14ac:dyDescent="0.25">
      <c r="A115" t="s">
        <v>1826</v>
      </c>
      <c r="B115" t="s">
        <v>1825</v>
      </c>
      <c r="C115" t="s">
        <v>1718</v>
      </c>
      <c r="D115">
        <v>0</v>
      </c>
    </row>
    <row r="116" spans="1:4" x14ac:dyDescent="0.25">
      <c r="A116" t="s">
        <v>2024</v>
      </c>
      <c r="B116" t="s">
        <v>1294</v>
      </c>
      <c r="C116">
        <v>0</v>
      </c>
      <c r="D116">
        <v>0</v>
      </c>
    </row>
    <row r="117" spans="1:4" x14ac:dyDescent="0.25">
      <c r="A117" t="s">
        <v>1824</v>
      </c>
      <c r="B117" t="s">
        <v>1823</v>
      </c>
      <c r="C117" t="s">
        <v>1680</v>
      </c>
      <c r="D117" t="s">
        <v>1680</v>
      </c>
    </row>
    <row r="118" spans="1:4" x14ac:dyDescent="0.25">
      <c r="A118" t="s">
        <v>2023</v>
      </c>
      <c r="B118" t="s">
        <v>1292</v>
      </c>
      <c r="C118">
        <v>0</v>
      </c>
      <c r="D118">
        <v>0</v>
      </c>
    </row>
    <row r="119" spans="1:4" x14ac:dyDescent="0.25">
      <c r="A119" t="s">
        <v>2022</v>
      </c>
      <c r="B119" t="s">
        <v>1290</v>
      </c>
      <c r="C119">
        <v>0</v>
      </c>
      <c r="D119">
        <v>0</v>
      </c>
    </row>
    <row r="120" spans="1:4" x14ac:dyDescent="0.25">
      <c r="A120" t="s">
        <v>2021</v>
      </c>
      <c r="B120" t="s">
        <v>1288</v>
      </c>
      <c r="C120">
        <v>0</v>
      </c>
      <c r="D120">
        <v>0</v>
      </c>
    </row>
    <row r="121" spans="1:4" x14ac:dyDescent="0.25">
      <c r="A121" t="s">
        <v>2020</v>
      </c>
      <c r="B121" t="s">
        <v>1286</v>
      </c>
      <c r="C121">
        <v>0</v>
      </c>
      <c r="D121">
        <v>0</v>
      </c>
    </row>
    <row r="122" spans="1:4" x14ac:dyDescent="0.25">
      <c r="A122" t="s">
        <v>2019</v>
      </c>
      <c r="B122" t="s">
        <v>1284</v>
      </c>
      <c r="C122">
        <v>0</v>
      </c>
      <c r="D122">
        <v>0</v>
      </c>
    </row>
    <row r="123" spans="1:4" x14ac:dyDescent="0.25">
      <c r="A123" t="s">
        <v>2018</v>
      </c>
      <c r="B123" t="s">
        <v>1273</v>
      </c>
      <c r="C123">
        <v>0</v>
      </c>
      <c r="D123">
        <v>0</v>
      </c>
    </row>
    <row r="124" spans="1:4" x14ac:dyDescent="0.25">
      <c r="A124" t="s">
        <v>2017</v>
      </c>
      <c r="B124" t="s">
        <v>1271</v>
      </c>
      <c r="C124">
        <v>0</v>
      </c>
      <c r="D124">
        <v>0</v>
      </c>
    </row>
    <row r="125" spans="1:4" x14ac:dyDescent="0.25">
      <c r="A125" t="s">
        <v>3139</v>
      </c>
      <c r="B125" t="s">
        <v>1883</v>
      </c>
      <c r="C125">
        <v>0</v>
      </c>
      <c r="D125">
        <v>0</v>
      </c>
    </row>
    <row r="126" spans="1:4" x14ac:dyDescent="0.25">
      <c r="A126" t="s">
        <v>1822</v>
      </c>
      <c r="B126" t="s">
        <v>1821</v>
      </c>
      <c r="C126" t="s">
        <v>1718</v>
      </c>
      <c r="D126">
        <v>0</v>
      </c>
    </row>
    <row r="127" spans="1:4" x14ac:dyDescent="0.25">
      <c r="A127" t="s">
        <v>1820</v>
      </c>
      <c r="B127" t="s">
        <v>1819</v>
      </c>
      <c r="C127" t="s">
        <v>1680</v>
      </c>
      <c r="D127" t="s">
        <v>1680</v>
      </c>
    </row>
    <row r="128" spans="1:4" x14ac:dyDescent="0.25">
      <c r="A128" t="s">
        <v>2016</v>
      </c>
      <c r="B128" t="s">
        <v>1264</v>
      </c>
      <c r="C128">
        <v>0</v>
      </c>
      <c r="D128">
        <v>0</v>
      </c>
    </row>
    <row r="129" spans="1:4" x14ac:dyDescent="0.25">
      <c r="A129" t="s">
        <v>2015</v>
      </c>
      <c r="B129" t="s">
        <v>1262</v>
      </c>
      <c r="C129">
        <v>0</v>
      </c>
      <c r="D129">
        <v>0</v>
      </c>
    </row>
    <row r="130" spans="1:4" x14ac:dyDescent="0.25">
      <c r="A130" t="s">
        <v>2014</v>
      </c>
      <c r="B130" t="s">
        <v>1260</v>
      </c>
      <c r="C130">
        <v>0</v>
      </c>
      <c r="D130">
        <v>0</v>
      </c>
    </row>
    <row r="131" spans="1:4" x14ac:dyDescent="0.25">
      <c r="A131" t="s">
        <v>1818</v>
      </c>
      <c r="B131" t="s">
        <v>1817</v>
      </c>
      <c r="C131" t="s">
        <v>1718</v>
      </c>
      <c r="D131">
        <v>0</v>
      </c>
    </row>
    <row r="132" spans="1:4" x14ac:dyDescent="0.25">
      <c r="A132" t="s">
        <v>2013</v>
      </c>
      <c r="B132" t="s">
        <v>1258</v>
      </c>
      <c r="C132">
        <v>0</v>
      </c>
      <c r="D132">
        <v>0</v>
      </c>
    </row>
    <row r="133" spans="1:4" x14ac:dyDescent="0.25">
      <c r="A133" t="s">
        <v>1816</v>
      </c>
      <c r="B133" t="s">
        <v>1815</v>
      </c>
      <c r="C133" t="s">
        <v>1680</v>
      </c>
      <c r="D133" t="s">
        <v>1680</v>
      </c>
    </row>
    <row r="134" spans="1:4" x14ac:dyDescent="0.25">
      <c r="A134" t="s">
        <v>2012</v>
      </c>
      <c r="B134" t="s">
        <v>1256</v>
      </c>
      <c r="C134">
        <v>0</v>
      </c>
      <c r="D134">
        <v>0</v>
      </c>
    </row>
    <row r="135" spans="1:4" x14ac:dyDescent="0.25">
      <c r="A135" t="s">
        <v>2011</v>
      </c>
      <c r="B135" t="s">
        <v>1254</v>
      </c>
      <c r="C135">
        <v>0</v>
      </c>
      <c r="D135">
        <v>0</v>
      </c>
    </row>
    <row r="136" spans="1:4" x14ac:dyDescent="0.25">
      <c r="A136" t="s">
        <v>2010</v>
      </c>
      <c r="B136" t="s">
        <v>1252</v>
      </c>
      <c r="C136">
        <v>0</v>
      </c>
      <c r="D136">
        <v>0</v>
      </c>
    </row>
    <row r="137" spans="1:4" x14ac:dyDescent="0.25">
      <c r="A137" t="s">
        <v>2009</v>
      </c>
      <c r="B137" t="s">
        <v>1250</v>
      </c>
      <c r="C137">
        <v>0</v>
      </c>
      <c r="D137">
        <v>0</v>
      </c>
    </row>
    <row r="138" spans="1:4" x14ac:dyDescent="0.25">
      <c r="A138" t="s">
        <v>2008</v>
      </c>
      <c r="B138" t="s">
        <v>1248</v>
      </c>
      <c r="C138">
        <v>0</v>
      </c>
      <c r="D138">
        <v>0</v>
      </c>
    </row>
    <row r="139" spans="1:4" x14ac:dyDescent="0.25">
      <c r="A139" t="s">
        <v>2007</v>
      </c>
      <c r="B139" t="s">
        <v>1240</v>
      </c>
      <c r="C139">
        <v>0</v>
      </c>
      <c r="D139">
        <v>0</v>
      </c>
    </row>
    <row r="140" spans="1:4" x14ac:dyDescent="0.25">
      <c r="A140" t="s">
        <v>1814</v>
      </c>
      <c r="B140" t="s">
        <v>1813</v>
      </c>
      <c r="C140" t="s">
        <v>1726</v>
      </c>
      <c r="D140" t="s">
        <v>1725</v>
      </c>
    </row>
    <row r="141" spans="1:4" x14ac:dyDescent="0.25">
      <c r="A141" t="s">
        <v>1812</v>
      </c>
      <c r="B141" t="s">
        <v>1811</v>
      </c>
      <c r="C141" t="s">
        <v>1777</v>
      </c>
      <c r="D141">
        <v>0</v>
      </c>
    </row>
    <row r="142" spans="1:4" x14ac:dyDescent="0.25">
      <c r="A142" t="s">
        <v>1810</v>
      </c>
      <c r="B142" t="s">
        <v>1809</v>
      </c>
      <c r="C142" t="s">
        <v>1808</v>
      </c>
      <c r="D142" t="s">
        <v>1807</v>
      </c>
    </row>
    <row r="143" spans="1:4" x14ac:dyDescent="0.25">
      <c r="A143" t="s">
        <v>1806</v>
      </c>
      <c r="B143" t="s">
        <v>1805</v>
      </c>
      <c r="C143" t="s">
        <v>1774</v>
      </c>
      <c r="D143">
        <v>0</v>
      </c>
    </row>
    <row r="144" spans="1:4" x14ac:dyDescent="0.25">
      <c r="A144" t="s">
        <v>1804</v>
      </c>
      <c r="B144" t="s">
        <v>1803</v>
      </c>
      <c r="C144" t="s">
        <v>19</v>
      </c>
      <c r="D144" t="s">
        <v>19</v>
      </c>
    </row>
    <row r="145" spans="1:4" x14ac:dyDescent="0.25">
      <c r="A145" t="s">
        <v>1802</v>
      </c>
      <c r="B145" t="s">
        <v>1801</v>
      </c>
      <c r="C145" t="s">
        <v>1800</v>
      </c>
      <c r="D145" t="s">
        <v>1799</v>
      </c>
    </row>
    <row r="146" spans="1:4" x14ac:dyDescent="0.25">
      <c r="A146" t="s">
        <v>1882</v>
      </c>
      <c r="B146" t="s">
        <v>1881</v>
      </c>
      <c r="C146" t="s">
        <v>3151</v>
      </c>
      <c r="D146" t="s">
        <v>3151</v>
      </c>
    </row>
    <row r="147" spans="1:4" x14ac:dyDescent="0.25">
      <c r="A147" t="s">
        <v>1798</v>
      </c>
      <c r="B147" t="s">
        <v>1797</v>
      </c>
      <c r="C147" t="s">
        <v>1718</v>
      </c>
      <c r="D147">
        <v>0</v>
      </c>
    </row>
    <row r="148" spans="1:4" x14ac:dyDescent="0.25">
      <c r="A148" t="s">
        <v>1796</v>
      </c>
      <c r="B148" t="s">
        <v>1795</v>
      </c>
      <c r="C148" t="s">
        <v>1680</v>
      </c>
      <c r="D148" t="s">
        <v>1680</v>
      </c>
    </row>
    <row r="149" spans="1:4" x14ac:dyDescent="0.25">
      <c r="A149" t="s">
        <v>3140</v>
      </c>
      <c r="B149" t="s">
        <v>3141</v>
      </c>
      <c r="C149" t="s">
        <v>3151</v>
      </c>
      <c r="D149" t="s">
        <v>3151</v>
      </c>
    </row>
    <row r="150" spans="1:4" x14ac:dyDescent="0.25">
      <c r="A150" t="s">
        <v>3142</v>
      </c>
      <c r="B150" t="s">
        <v>3143</v>
      </c>
      <c r="C150" t="s">
        <v>386</v>
      </c>
      <c r="D150">
        <v>0</v>
      </c>
    </row>
    <row r="151" spans="1:4" x14ac:dyDescent="0.25">
      <c r="A151" t="s">
        <v>3144</v>
      </c>
      <c r="B151" t="s">
        <v>3145</v>
      </c>
      <c r="C151" t="s">
        <v>1718</v>
      </c>
      <c r="D151">
        <v>0</v>
      </c>
    </row>
    <row r="152" spans="1:4" x14ac:dyDescent="0.25">
      <c r="A152" t="s">
        <v>3146</v>
      </c>
      <c r="B152" t="s">
        <v>3147</v>
      </c>
      <c r="C152" t="s">
        <v>386</v>
      </c>
      <c r="D152">
        <v>0</v>
      </c>
    </row>
    <row r="153" spans="1:4" x14ac:dyDescent="0.25">
      <c r="A153" t="s">
        <v>3148</v>
      </c>
      <c r="B153" t="s">
        <v>3149</v>
      </c>
      <c r="C153" t="s">
        <v>3150</v>
      </c>
      <c r="D153">
        <v>0</v>
      </c>
    </row>
    <row r="154" spans="1:4" x14ac:dyDescent="0.25">
      <c r="A154" t="s">
        <v>1794</v>
      </c>
      <c r="B154" t="s">
        <v>312</v>
      </c>
      <c r="C154" t="s">
        <v>1713</v>
      </c>
      <c r="D154" t="s">
        <v>1713</v>
      </c>
    </row>
    <row r="155" spans="1:4" x14ac:dyDescent="0.25">
      <c r="A155" t="s">
        <v>1793</v>
      </c>
      <c r="B155" t="s">
        <v>310</v>
      </c>
      <c r="C155" t="s">
        <v>1704</v>
      </c>
      <c r="D155" t="s">
        <v>1704</v>
      </c>
    </row>
    <row r="156" spans="1:4" x14ac:dyDescent="0.25">
      <c r="A156" t="s">
        <v>1792</v>
      </c>
      <c r="B156" t="s">
        <v>1791</v>
      </c>
      <c r="C156" t="s">
        <v>1790</v>
      </c>
      <c r="D156">
        <v>0</v>
      </c>
    </row>
    <row r="157" spans="1:4" x14ac:dyDescent="0.25">
      <c r="A157" t="s">
        <v>1789</v>
      </c>
      <c r="B157" t="s">
        <v>1788</v>
      </c>
      <c r="C157" t="s">
        <v>1787</v>
      </c>
      <c r="D157">
        <v>0</v>
      </c>
    </row>
    <row r="158" spans="1:4" x14ac:dyDescent="0.25">
      <c r="A158" t="s">
        <v>3152</v>
      </c>
      <c r="B158" t="s">
        <v>3153</v>
      </c>
      <c r="C158" t="s">
        <v>19</v>
      </c>
      <c r="D158" t="s">
        <v>19</v>
      </c>
    </row>
    <row r="159" spans="1:4" x14ac:dyDescent="0.25">
      <c r="A159" t="s">
        <v>2006</v>
      </c>
      <c r="B159" t="s">
        <v>1194</v>
      </c>
      <c r="C159">
        <v>0</v>
      </c>
      <c r="D159">
        <v>0</v>
      </c>
    </row>
    <row r="160" spans="1:4" x14ac:dyDescent="0.25">
      <c r="A160" t="s">
        <v>2005</v>
      </c>
      <c r="B160" t="s">
        <v>1192</v>
      </c>
      <c r="C160">
        <v>0</v>
      </c>
      <c r="D160">
        <v>0</v>
      </c>
    </row>
    <row r="161" spans="1:4" x14ac:dyDescent="0.25">
      <c r="A161" t="s">
        <v>2004</v>
      </c>
      <c r="B161" t="s">
        <v>1190</v>
      </c>
      <c r="C161">
        <v>0</v>
      </c>
      <c r="D161">
        <v>0</v>
      </c>
    </row>
    <row r="162" spans="1:4" x14ac:dyDescent="0.25">
      <c r="A162" t="s">
        <v>1786</v>
      </c>
      <c r="B162" t="s">
        <v>1785</v>
      </c>
      <c r="C162" t="s">
        <v>1718</v>
      </c>
      <c r="D162">
        <v>0</v>
      </c>
    </row>
    <row r="163" spans="1:4" x14ac:dyDescent="0.25">
      <c r="A163" t="s">
        <v>2003</v>
      </c>
      <c r="B163" t="s">
        <v>1188</v>
      </c>
      <c r="C163">
        <v>0</v>
      </c>
      <c r="D163">
        <v>0</v>
      </c>
    </row>
    <row r="164" spans="1:4" x14ac:dyDescent="0.25">
      <c r="A164" t="s">
        <v>1784</v>
      </c>
      <c r="B164" t="s">
        <v>1783</v>
      </c>
      <c r="C164" t="s">
        <v>1680</v>
      </c>
      <c r="D164" t="s">
        <v>1680</v>
      </c>
    </row>
    <row r="165" spans="1:4" x14ac:dyDescent="0.25">
      <c r="A165" t="s">
        <v>2002</v>
      </c>
      <c r="B165" t="s">
        <v>1186</v>
      </c>
      <c r="C165">
        <v>0</v>
      </c>
      <c r="D165">
        <v>0</v>
      </c>
    </row>
    <row r="166" spans="1:4" x14ac:dyDescent="0.25">
      <c r="A166" t="s">
        <v>2001</v>
      </c>
      <c r="B166" t="s">
        <v>1184</v>
      </c>
      <c r="C166">
        <v>0</v>
      </c>
      <c r="D166">
        <v>0</v>
      </c>
    </row>
    <row r="167" spans="1:4" x14ac:dyDescent="0.25">
      <c r="A167" t="s">
        <v>2000</v>
      </c>
      <c r="B167" t="s">
        <v>1182</v>
      </c>
      <c r="C167">
        <v>0</v>
      </c>
      <c r="D167">
        <v>0</v>
      </c>
    </row>
    <row r="168" spans="1:4" x14ac:dyDescent="0.25">
      <c r="A168" t="s">
        <v>1999</v>
      </c>
      <c r="B168" t="s">
        <v>1180</v>
      </c>
      <c r="C168">
        <v>0</v>
      </c>
      <c r="D168">
        <v>0</v>
      </c>
    </row>
    <row r="169" spans="1:4" x14ac:dyDescent="0.25">
      <c r="A169" t="s">
        <v>1998</v>
      </c>
      <c r="B169" t="s">
        <v>1178</v>
      </c>
      <c r="C169">
        <v>0</v>
      </c>
      <c r="D169">
        <v>0</v>
      </c>
    </row>
    <row r="170" spans="1:4" x14ac:dyDescent="0.25">
      <c r="A170" t="s">
        <v>1997</v>
      </c>
      <c r="B170" t="s">
        <v>1176</v>
      </c>
      <c r="C170">
        <v>0</v>
      </c>
      <c r="D170">
        <v>0</v>
      </c>
    </row>
    <row r="171" spans="1:4" x14ac:dyDescent="0.25">
      <c r="A171" t="s">
        <v>1996</v>
      </c>
      <c r="B171" t="s">
        <v>1164</v>
      </c>
      <c r="C171">
        <v>0</v>
      </c>
      <c r="D171">
        <v>0</v>
      </c>
    </row>
    <row r="172" spans="1:4" x14ac:dyDescent="0.25">
      <c r="A172" t="s">
        <v>2286</v>
      </c>
      <c r="B172" t="s">
        <v>2285</v>
      </c>
      <c r="C172" t="s">
        <v>1726</v>
      </c>
      <c r="D172" t="s">
        <v>1725</v>
      </c>
    </row>
    <row r="173" spans="1:4" x14ac:dyDescent="0.25">
      <c r="A173" t="s">
        <v>2284</v>
      </c>
      <c r="B173" t="s">
        <v>2283</v>
      </c>
      <c r="C173" t="s">
        <v>2168</v>
      </c>
      <c r="D173" t="s">
        <v>2167</v>
      </c>
    </row>
    <row r="174" spans="1:4" x14ac:dyDescent="0.25">
      <c r="A174" t="s">
        <v>3154</v>
      </c>
      <c r="B174" t="s">
        <v>3155</v>
      </c>
      <c r="C174" t="s">
        <v>3156</v>
      </c>
      <c r="D174">
        <v>0</v>
      </c>
    </row>
    <row r="175" spans="1:4" x14ac:dyDescent="0.25">
      <c r="A175" t="s">
        <v>1782</v>
      </c>
      <c r="B175" t="s">
        <v>1781</v>
      </c>
      <c r="C175" t="s">
        <v>1780</v>
      </c>
      <c r="D175">
        <v>0</v>
      </c>
    </row>
    <row r="176" spans="1:4" x14ac:dyDescent="0.25">
      <c r="A176" t="s">
        <v>2282</v>
      </c>
      <c r="B176" t="s">
        <v>2281</v>
      </c>
      <c r="C176" t="s">
        <v>2105</v>
      </c>
      <c r="D176">
        <v>0</v>
      </c>
    </row>
    <row r="177" spans="1:4" x14ac:dyDescent="0.25">
      <c r="A177" t="s">
        <v>1779</v>
      </c>
      <c r="B177" t="s">
        <v>1778</v>
      </c>
      <c r="C177" t="s">
        <v>1777</v>
      </c>
      <c r="D177">
        <v>0</v>
      </c>
    </row>
    <row r="178" spans="1:4" x14ac:dyDescent="0.25">
      <c r="A178" t="s">
        <v>1694</v>
      </c>
      <c r="B178" t="s">
        <v>1693</v>
      </c>
      <c r="C178" t="s">
        <v>19</v>
      </c>
      <c r="D178" t="s">
        <v>19</v>
      </c>
    </row>
    <row r="179" spans="1:4" x14ac:dyDescent="0.25">
      <c r="A179" t="s">
        <v>2280</v>
      </c>
      <c r="B179" t="s">
        <v>2279</v>
      </c>
      <c r="C179" t="s">
        <v>2101</v>
      </c>
      <c r="D179">
        <v>0</v>
      </c>
    </row>
    <row r="180" spans="1:4" x14ac:dyDescent="0.25">
      <c r="A180" t="s">
        <v>1776</v>
      </c>
      <c r="B180" t="s">
        <v>1775</v>
      </c>
      <c r="C180" t="s">
        <v>1774</v>
      </c>
      <c r="D180">
        <v>0</v>
      </c>
    </row>
    <row r="181" spans="1:4" x14ac:dyDescent="0.25">
      <c r="A181" t="s">
        <v>2278</v>
      </c>
      <c r="B181" t="s">
        <v>2277</v>
      </c>
      <c r="C181" t="s">
        <v>1774</v>
      </c>
      <c r="D181">
        <v>0</v>
      </c>
    </row>
    <row r="182" spans="1:4" x14ac:dyDescent="0.25">
      <c r="A182" t="s">
        <v>3157</v>
      </c>
      <c r="B182" t="s">
        <v>3158</v>
      </c>
      <c r="C182" t="s">
        <v>1774</v>
      </c>
      <c r="D182">
        <v>0</v>
      </c>
    </row>
    <row r="183" spans="1:4" x14ac:dyDescent="0.25">
      <c r="A183" t="s">
        <v>2276</v>
      </c>
      <c r="B183" t="s">
        <v>2275</v>
      </c>
      <c r="C183" t="s">
        <v>19</v>
      </c>
      <c r="D183" t="s">
        <v>19</v>
      </c>
    </row>
    <row r="184" spans="1:4" x14ac:dyDescent="0.25">
      <c r="A184" t="s">
        <v>2274</v>
      </c>
      <c r="B184" t="s">
        <v>1778</v>
      </c>
      <c r="C184" t="s">
        <v>1777</v>
      </c>
      <c r="D184">
        <v>0</v>
      </c>
    </row>
    <row r="185" spans="1:4" x14ac:dyDescent="0.25">
      <c r="A185" t="s">
        <v>2273</v>
      </c>
      <c r="B185" t="s">
        <v>292</v>
      </c>
      <c r="C185" t="s">
        <v>1718</v>
      </c>
      <c r="D185">
        <v>0</v>
      </c>
    </row>
    <row r="186" spans="1:4" x14ac:dyDescent="0.25">
      <c r="A186" t="s">
        <v>2272</v>
      </c>
      <c r="B186" t="s">
        <v>2271</v>
      </c>
      <c r="C186" t="s">
        <v>1680</v>
      </c>
      <c r="D186" t="s">
        <v>1680</v>
      </c>
    </row>
    <row r="187" spans="1:4" x14ac:dyDescent="0.25">
      <c r="A187" t="s">
        <v>1773</v>
      </c>
      <c r="B187" t="s">
        <v>1772</v>
      </c>
      <c r="C187" t="s">
        <v>1771</v>
      </c>
      <c r="D187">
        <v>0</v>
      </c>
    </row>
    <row r="188" spans="1:4" x14ac:dyDescent="0.25">
      <c r="A188" t="s">
        <v>2270</v>
      </c>
      <c r="B188" t="s">
        <v>2269</v>
      </c>
      <c r="C188" t="s">
        <v>1771</v>
      </c>
      <c r="D188">
        <v>0</v>
      </c>
    </row>
    <row r="189" spans="1:4" x14ac:dyDescent="0.25">
      <c r="A189" t="s">
        <v>1770</v>
      </c>
      <c r="B189" t="s">
        <v>1769</v>
      </c>
      <c r="C189" t="s">
        <v>1768</v>
      </c>
      <c r="D189">
        <v>0</v>
      </c>
    </row>
    <row r="190" spans="1:4" x14ac:dyDescent="0.25">
      <c r="A190" t="s">
        <v>2268</v>
      </c>
      <c r="B190" t="s">
        <v>2267</v>
      </c>
      <c r="C190" t="s">
        <v>1768</v>
      </c>
      <c r="D190">
        <v>0</v>
      </c>
    </row>
    <row r="191" spans="1:4" x14ac:dyDescent="0.25">
      <c r="A191" t="s">
        <v>1767</v>
      </c>
      <c r="B191" t="s">
        <v>1766</v>
      </c>
      <c r="C191" t="s">
        <v>1765</v>
      </c>
      <c r="D191">
        <v>0</v>
      </c>
    </row>
    <row r="192" spans="1:4" x14ac:dyDescent="0.25">
      <c r="A192" t="s">
        <v>2266</v>
      </c>
      <c r="B192" t="s">
        <v>2265</v>
      </c>
      <c r="C192" t="s">
        <v>1765</v>
      </c>
      <c r="D192">
        <v>0</v>
      </c>
    </row>
    <row r="193" spans="1:4" x14ac:dyDescent="0.25">
      <c r="A193" t="s">
        <v>2264</v>
      </c>
      <c r="B193" t="s">
        <v>2263</v>
      </c>
      <c r="C193" t="s">
        <v>1713</v>
      </c>
      <c r="D193" t="s">
        <v>1713</v>
      </c>
    </row>
    <row r="194" spans="1:4" x14ac:dyDescent="0.25">
      <c r="A194" t="s">
        <v>2262</v>
      </c>
      <c r="B194" t="s">
        <v>284</v>
      </c>
      <c r="C194" t="s">
        <v>1711</v>
      </c>
      <c r="D194" t="s">
        <v>1710</v>
      </c>
    </row>
    <row r="195" spans="1:4" x14ac:dyDescent="0.25">
      <c r="A195" t="s">
        <v>2261</v>
      </c>
      <c r="B195" t="s">
        <v>2260</v>
      </c>
      <c r="C195" t="s">
        <v>1708</v>
      </c>
      <c r="D195" t="s">
        <v>1707</v>
      </c>
    </row>
    <row r="196" spans="1:4" x14ac:dyDescent="0.25">
      <c r="A196" t="s">
        <v>2259</v>
      </c>
      <c r="B196" t="s">
        <v>2258</v>
      </c>
      <c r="C196" t="s">
        <v>1704</v>
      </c>
      <c r="D196" t="s">
        <v>1704</v>
      </c>
    </row>
    <row r="197" spans="1:4" x14ac:dyDescent="0.25">
      <c r="A197" t="s">
        <v>2257</v>
      </c>
      <c r="B197" t="s">
        <v>2256</v>
      </c>
      <c r="C197" t="s">
        <v>2078</v>
      </c>
      <c r="D197">
        <v>0</v>
      </c>
    </row>
    <row r="198" spans="1:4" x14ac:dyDescent="0.25">
      <c r="A198" t="s">
        <v>1764</v>
      </c>
      <c r="B198" t="s">
        <v>1763</v>
      </c>
      <c r="C198" t="s">
        <v>1762</v>
      </c>
      <c r="D198">
        <v>0</v>
      </c>
    </row>
    <row r="199" spans="1:4" x14ac:dyDescent="0.25">
      <c r="A199" t="s">
        <v>1761</v>
      </c>
      <c r="B199" t="s">
        <v>1760</v>
      </c>
      <c r="C199" t="s">
        <v>1759</v>
      </c>
      <c r="D199">
        <v>0</v>
      </c>
    </row>
    <row r="200" spans="1:4" x14ac:dyDescent="0.25">
      <c r="A200" t="s">
        <v>2255</v>
      </c>
      <c r="B200" t="s">
        <v>2254</v>
      </c>
      <c r="C200" t="s">
        <v>1759</v>
      </c>
      <c r="D200">
        <v>0</v>
      </c>
    </row>
    <row r="201" spans="1:4" x14ac:dyDescent="0.25">
      <c r="A201" t="s">
        <v>2253</v>
      </c>
      <c r="B201" t="s">
        <v>2252</v>
      </c>
      <c r="C201" t="s">
        <v>1787</v>
      </c>
      <c r="D201">
        <v>0</v>
      </c>
    </row>
    <row r="202" spans="1:4" x14ac:dyDescent="0.25">
      <c r="A202" t="s">
        <v>1995</v>
      </c>
      <c r="B202" t="s">
        <v>1135</v>
      </c>
      <c r="C202">
        <v>0</v>
      </c>
      <c r="D202">
        <v>0</v>
      </c>
    </row>
    <row r="203" spans="1:4" x14ac:dyDescent="0.25">
      <c r="A203" t="s">
        <v>1994</v>
      </c>
      <c r="B203" t="s">
        <v>1133</v>
      </c>
      <c r="C203">
        <v>0</v>
      </c>
      <c r="D203">
        <v>0</v>
      </c>
    </row>
    <row r="204" spans="1:4" x14ac:dyDescent="0.25">
      <c r="A204" t="s">
        <v>1993</v>
      </c>
      <c r="B204" t="s">
        <v>1131</v>
      </c>
      <c r="C204">
        <v>0</v>
      </c>
      <c r="D204">
        <v>0</v>
      </c>
    </row>
    <row r="205" spans="1:4" x14ac:dyDescent="0.25">
      <c r="A205" t="s">
        <v>1758</v>
      </c>
      <c r="B205" t="s">
        <v>1757</v>
      </c>
      <c r="C205" t="s">
        <v>1718</v>
      </c>
      <c r="D205">
        <v>0</v>
      </c>
    </row>
    <row r="206" spans="1:4" x14ac:dyDescent="0.25">
      <c r="A206" t="s">
        <v>1992</v>
      </c>
      <c r="B206" t="s">
        <v>1129</v>
      </c>
      <c r="C206">
        <v>0</v>
      </c>
      <c r="D206">
        <v>0</v>
      </c>
    </row>
    <row r="207" spans="1:4" x14ac:dyDescent="0.25">
      <c r="A207" t="s">
        <v>1756</v>
      </c>
      <c r="B207" t="s">
        <v>1755</v>
      </c>
      <c r="C207" t="s">
        <v>1680</v>
      </c>
      <c r="D207" t="s">
        <v>1680</v>
      </c>
    </row>
    <row r="208" spans="1:4" x14ac:dyDescent="0.25">
      <c r="A208" t="s">
        <v>1991</v>
      </c>
      <c r="B208" t="s">
        <v>1127</v>
      </c>
      <c r="C208">
        <v>0</v>
      </c>
      <c r="D208">
        <v>0</v>
      </c>
    </row>
    <row r="209" spans="1:4" x14ac:dyDescent="0.25">
      <c r="A209" t="s">
        <v>1990</v>
      </c>
      <c r="B209" t="s">
        <v>1125</v>
      </c>
      <c r="C209">
        <v>0</v>
      </c>
      <c r="D209">
        <v>0</v>
      </c>
    </row>
    <row r="210" spans="1:4" x14ac:dyDescent="0.25">
      <c r="A210" t="s">
        <v>1989</v>
      </c>
      <c r="B210" t="s">
        <v>1123</v>
      </c>
      <c r="C210">
        <v>0</v>
      </c>
      <c r="D210">
        <v>0</v>
      </c>
    </row>
    <row r="211" spans="1:4" x14ac:dyDescent="0.25">
      <c r="A211" t="s">
        <v>1988</v>
      </c>
      <c r="B211" t="s">
        <v>1121</v>
      </c>
      <c r="C211">
        <v>0</v>
      </c>
      <c r="D211">
        <v>0</v>
      </c>
    </row>
    <row r="212" spans="1:4" x14ac:dyDescent="0.25">
      <c r="A212" t="s">
        <v>1987</v>
      </c>
      <c r="B212" t="s">
        <v>1119</v>
      </c>
      <c r="C212">
        <v>0</v>
      </c>
      <c r="D212">
        <v>0</v>
      </c>
    </row>
    <row r="213" spans="1:4" x14ac:dyDescent="0.25">
      <c r="A213" t="s">
        <v>1986</v>
      </c>
      <c r="B213" t="s">
        <v>1112</v>
      </c>
      <c r="C213">
        <v>0</v>
      </c>
      <c r="D213">
        <v>0</v>
      </c>
    </row>
    <row r="214" spans="1:4" x14ac:dyDescent="0.25">
      <c r="A214" t="s">
        <v>1754</v>
      </c>
      <c r="B214" t="s">
        <v>1753</v>
      </c>
      <c r="C214" t="s">
        <v>1726</v>
      </c>
      <c r="D214" t="s">
        <v>1725</v>
      </c>
    </row>
    <row r="215" spans="1:4" x14ac:dyDescent="0.25">
      <c r="A215" t="s">
        <v>1880</v>
      </c>
      <c r="B215" t="s">
        <v>1106</v>
      </c>
      <c r="C215">
        <v>0</v>
      </c>
      <c r="D215">
        <v>0</v>
      </c>
    </row>
    <row r="216" spans="1:4" x14ac:dyDescent="0.25">
      <c r="A216" t="s">
        <v>1752</v>
      </c>
      <c r="B216" t="s">
        <v>1751</v>
      </c>
      <c r="C216">
        <v>0</v>
      </c>
      <c r="D216">
        <v>0</v>
      </c>
    </row>
    <row r="217" spans="1:4" x14ac:dyDescent="0.25">
      <c r="A217" t="s">
        <v>1879</v>
      </c>
      <c r="B217" t="s">
        <v>1878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>
        <v>0</v>
      </c>
      <c r="D218">
        <v>0</v>
      </c>
    </row>
    <row r="219" spans="1:4" x14ac:dyDescent="0.25">
      <c r="A219" t="s">
        <v>1748</v>
      </c>
      <c r="B219" t="s">
        <v>1747</v>
      </c>
      <c r="C219">
        <v>0</v>
      </c>
      <c r="D219">
        <v>0</v>
      </c>
    </row>
    <row r="220" spans="1:4" x14ac:dyDescent="0.25">
      <c r="A220" t="s">
        <v>1746</v>
      </c>
      <c r="B220" t="s">
        <v>1745</v>
      </c>
      <c r="C220" t="s">
        <v>19</v>
      </c>
      <c r="D220" t="s">
        <v>19</v>
      </c>
    </row>
    <row r="221" spans="1:4" x14ac:dyDescent="0.25">
      <c r="A221" t="s">
        <v>1744</v>
      </c>
      <c r="B221" t="s">
        <v>1743</v>
      </c>
      <c r="C221" t="s">
        <v>1718</v>
      </c>
      <c r="D221">
        <v>0</v>
      </c>
    </row>
    <row r="222" spans="1:4" x14ac:dyDescent="0.25">
      <c r="A222" t="s">
        <v>1742</v>
      </c>
      <c r="B222" t="s">
        <v>1741</v>
      </c>
      <c r="C222" t="s">
        <v>1680</v>
      </c>
      <c r="D222" t="s">
        <v>1680</v>
      </c>
    </row>
    <row r="223" spans="1:4" x14ac:dyDescent="0.25">
      <c r="A223" t="s">
        <v>1877</v>
      </c>
      <c r="B223" t="s">
        <v>1876</v>
      </c>
      <c r="C223">
        <v>0</v>
      </c>
      <c r="D223">
        <v>0</v>
      </c>
    </row>
    <row r="224" spans="1:4" x14ac:dyDescent="0.25">
      <c r="A224" t="s">
        <v>1740</v>
      </c>
      <c r="B224" t="s">
        <v>1739</v>
      </c>
      <c r="C224">
        <v>0</v>
      </c>
      <c r="D224">
        <v>0</v>
      </c>
    </row>
    <row r="225" spans="1:4" x14ac:dyDescent="0.25">
      <c r="A225" t="s">
        <v>1875</v>
      </c>
      <c r="B225" t="s">
        <v>1874</v>
      </c>
      <c r="C225">
        <v>0</v>
      </c>
      <c r="D225">
        <v>0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1736</v>
      </c>
      <c r="B227" t="s">
        <v>1735</v>
      </c>
      <c r="C227" t="s">
        <v>1713</v>
      </c>
      <c r="D227" t="s">
        <v>1713</v>
      </c>
    </row>
    <row r="228" spans="1:4" x14ac:dyDescent="0.25">
      <c r="A228" t="s">
        <v>1734</v>
      </c>
      <c r="B228" t="s">
        <v>1733</v>
      </c>
      <c r="C228">
        <v>0</v>
      </c>
      <c r="D228">
        <v>0</v>
      </c>
    </row>
    <row r="229" spans="1:4" x14ac:dyDescent="0.25">
      <c r="A229" t="s">
        <v>1873</v>
      </c>
      <c r="B229" t="s">
        <v>1065</v>
      </c>
      <c r="C229">
        <v>0</v>
      </c>
      <c r="D229">
        <v>0</v>
      </c>
    </row>
    <row r="230" spans="1:4" x14ac:dyDescent="0.25">
      <c r="A230" t="s">
        <v>1872</v>
      </c>
      <c r="B230" t="s">
        <v>1062</v>
      </c>
      <c r="C230">
        <v>0</v>
      </c>
      <c r="D230">
        <v>0</v>
      </c>
    </row>
    <row r="231" spans="1:4" x14ac:dyDescent="0.25">
      <c r="A231" t="s">
        <v>1871</v>
      </c>
      <c r="B231" t="s">
        <v>1059</v>
      </c>
      <c r="C231">
        <v>0</v>
      </c>
      <c r="D231">
        <v>0</v>
      </c>
    </row>
    <row r="232" spans="1:4" x14ac:dyDescent="0.25">
      <c r="A232" t="s">
        <v>1732</v>
      </c>
      <c r="B232" t="s">
        <v>1731</v>
      </c>
      <c r="C232" t="s">
        <v>1718</v>
      </c>
      <c r="D232">
        <v>0</v>
      </c>
    </row>
    <row r="233" spans="1:4" x14ac:dyDescent="0.25">
      <c r="A233" t="s">
        <v>1870</v>
      </c>
      <c r="B233" t="s">
        <v>1056</v>
      </c>
      <c r="C233">
        <v>0</v>
      </c>
      <c r="D233">
        <v>0</v>
      </c>
    </row>
    <row r="234" spans="1:4" x14ac:dyDescent="0.25">
      <c r="A234" t="s">
        <v>1730</v>
      </c>
      <c r="B234" t="s">
        <v>1729</v>
      </c>
      <c r="C234" t="s">
        <v>1680</v>
      </c>
      <c r="D234" t="s">
        <v>1680</v>
      </c>
    </row>
    <row r="235" spans="1:4" x14ac:dyDescent="0.25">
      <c r="A235" t="s">
        <v>1869</v>
      </c>
      <c r="B235" t="s">
        <v>1053</v>
      </c>
      <c r="C235">
        <v>0</v>
      </c>
      <c r="D235">
        <v>0</v>
      </c>
    </row>
    <row r="236" spans="1:4" x14ac:dyDescent="0.25">
      <c r="A236" t="s">
        <v>1868</v>
      </c>
      <c r="B236" t="s">
        <v>1050</v>
      </c>
      <c r="C236">
        <v>0</v>
      </c>
      <c r="D236">
        <v>0</v>
      </c>
    </row>
    <row r="237" spans="1:4" x14ac:dyDescent="0.25">
      <c r="A237" t="s">
        <v>1867</v>
      </c>
      <c r="B237" t="s">
        <v>1047</v>
      </c>
      <c r="C237">
        <v>0</v>
      </c>
      <c r="D237">
        <v>0</v>
      </c>
    </row>
    <row r="238" spans="1:4" x14ac:dyDescent="0.25">
      <c r="A238" t="s">
        <v>1866</v>
      </c>
      <c r="B238" t="s">
        <v>1045</v>
      </c>
      <c r="C238">
        <v>0</v>
      </c>
      <c r="D238">
        <v>0</v>
      </c>
    </row>
    <row r="239" spans="1:4" x14ac:dyDescent="0.25">
      <c r="A239" t="s">
        <v>1865</v>
      </c>
      <c r="B239" t="s">
        <v>1042</v>
      </c>
      <c r="C239">
        <v>0</v>
      </c>
      <c r="D239">
        <v>0</v>
      </c>
    </row>
    <row r="240" spans="1:4" x14ac:dyDescent="0.25">
      <c r="A240" t="s">
        <v>1864</v>
      </c>
      <c r="B240" t="s">
        <v>1039</v>
      </c>
      <c r="C240">
        <v>0</v>
      </c>
      <c r="D240">
        <v>0</v>
      </c>
    </row>
    <row r="241" spans="1:4" x14ac:dyDescent="0.25">
      <c r="A241" t="s">
        <v>1863</v>
      </c>
      <c r="B241" t="s">
        <v>1027</v>
      </c>
      <c r="C241">
        <v>0</v>
      </c>
      <c r="D241">
        <v>0</v>
      </c>
    </row>
    <row r="242" spans="1:4" x14ac:dyDescent="0.25">
      <c r="A242" t="s">
        <v>1728</v>
      </c>
      <c r="B242" t="s">
        <v>1727</v>
      </c>
      <c r="C242" t="s">
        <v>1726</v>
      </c>
      <c r="D242" t="s">
        <v>1725</v>
      </c>
    </row>
    <row r="243" spans="1:4" x14ac:dyDescent="0.25">
      <c r="A243" t="s">
        <v>1724</v>
      </c>
      <c r="B243" t="s">
        <v>1723</v>
      </c>
      <c r="C243">
        <v>0</v>
      </c>
      <c r="D243">
        <v>0</v>
      </c>
    </row>
    <row r="244" spans="1:4" x14ac:dyDescent="0.25">
      <c r="A244" t="s">
        <v>1722</v>
      </c>
      <c r="B244" t="s">
        <v>1721</v>
      </c>
      <c r="C244" t="s">
        <v>19</v>
      </c>
      <c r="D244" t="s">
        <v>19</v>
      </c>
    </row>
    <row r="245" spans="1:4" x14ac:dyDescent="0.25">
      <c r="A245" t="s">
        <v>1720</v>
      </c>
      <c r="B245" t="s">
        <v>1719</v>
      </c>
      <c r="C245" t="s">
        <v>1718</v>
      </c>
      <c r="D245">
        <v>0</v>
      </c>
    </row>
    <row r="246" spans="1:4" x14ac:dyDescent="0.25">
      <c r="A246" t="s">
        <v>1717</v>
      </c>
      <c r="B246" t="s">
        <v>1716</v>
      </c>
      <c r="C246" t="s">
        <v>1680</v>
      </c>
      <c r="D246" t="s">
        <v>1680</v>
      </c>
    </row>
    <row r="247" spans="1:4" x14ac:dyDescent="0.25">
      <c r="A247" t="s">
        <v>1715</v>
      </c>
      <c r="B247" t="s">
        <v>1714</v>
      </c>
      <c r="C247" t="s">
        <v>1713</v>
      </c>
      <c r="D247" t="s">
        <v>1713</v>
      </c>
    </row>
    <row r="248" spans="1:4" x14ac:dyDescent="0.25">
      <c r="A248" t="s">
        <v>1712</v>
      </c>
      <c r="B248" t="s">
        <v>245</v>
      </c>
      <c r="C248" t="s">
        <v>1711</v>
      </c>
      <c r="D248" t="s">
        <v>1710</v>
      </c>
    </row>
    <row r="249" spans="1:4" x14ac:dyDescent="0.25">
      <c r="A249" t="s">
        <v>1709</v>
      </c>
      <c r="B249" t="s">
        <v>243</v>
      </c>
      <c r="C249" t="s">
        <v>1708</v>
      </c>
      <c r="D249" t="s">
        <v>1707</v>
      </c>
    </row>
    <row r="250" spans="1:4" x14ac:dyDescent="0.25">
      <c r="A250" t="s">
        <v>1706</v>
      </c>
      <c r="B250" t="s">
        <v>1705</v>
      </c>
      <c r="C250" t="s">
        <v>1704</v>
      </c>
      <c r="D250" t="s">
        <v>1704</v>
      </c>
    </row>
    <row r="251" spans="1:4" x14ac:dyDescent="0.25">
      <c r="A251" t="s">
        <v>1862</v>
      </c>
      <c r="B251" t="s">
        <v>1861</v>
      </c>
      <c r="C251">
        <v>0</v>
      </c>
      <c r="D251">
        <v>0</v>
      </c>
    </row>
    <row r="252" spans="1:4" x14ac:dyDescent="0.25">
      <c r="A252" t="s">
        <v>1703</v>
      </c>
      <c r="B252" t="s">
        <v>1702</v>
      </c>
      <c r="C252">
        <v>0</v>
      </c>
      <c r="D252">
        <v>0</v>
      </c>
    </row>
    <row r="253" spans="1:4" x14ac:dyDescent="0.25">
      <c r="A253" t="s">
        <v>1860</v>
      </c>
      <c r="B253" t="s">
        <v>1859</v>
      </c>
      <c r="C253">
        <v>0</v>
      </c>
      <c r="D253">
        <v>0</v>
      </c>
    </row>
    <row r="254" spans="1:4" x14ac:dyDescent="0.25">
      <c r="A254" t="s">
        <v>1701</v>
      </c>
      <c r="B254" t="s">
        <v>1700</v>
      </c>
      <c r="C254">
        <v>0</v>
      </c>
      <c r="D254">
        <v>0</v>
      </c>
    </row>
    <row r="255" spans="1:4" x14ac:dyDescent="0.25">
      <c r="A255" t="s">
        <v>1699</v>
      </c>
      <c r="B255" t="s">
        <v>1698</v>
      </c>
      <c r="C255" t="s">
        <v>1697</v>
      </c>
      <c r="D255">
        <v>0</v>
      </c>
    </row>
    <row r="256" spans="1:4" x14ac:dyDescent="0.25">
      <c r="A256" t="s">
        <v>1696</v>
      </c>
      <c r="B256" t="s">
        <v>1695</v>
      </c>
      <c r="C256">
        <v>0</v>
      </c>
      <c r="D256">
        <v>0</v>
      </c>
    </row>
    <row r="257" spans="1:4" x14ac:dyDescent="0.25">
      <c r="A257" t="s">
        <v>2090</v>
      </c>
      <c r="B257" t="s">
        <v>2251</v>
      </c>
      <c r="C257">
        <v>0</v>
      </c>
      <c r="D257">
        <v>0</v>
      </c>
    </row>
    <row r="258" spans="1:4" x14ac:dyDescent="0.25">
      <c r="A258" t="s">
        <v>2087</v>
      </c>
      <c r="B258" t="s">
        <v>2250</v>
      </c>
      <c r="C258">
        <v>0</v>
      </c>
      <c r="D258">
        <v>0</v>
      </c>
    </row>
    <row r="259" spans="1:4" x14ac:dyDescent="0.25">
      <c r="A259" t="s">
        <v>2084</v>
      </c>
      <c r="B259" t="s">
        <v>2249</v>
      </c>
      <c r="C259">
        <v>0</v>
      </c>
      <c r="D259">
        <v>0</v>
      </c>
    </row>
    <row r="260" spans="1:4" x14ac:dyDescent="0.25">
      <c r="A260" t="s">
        <v>2248</v>
      </c>
      <c r="B260" t="s">
        <v>2247</v>
      </c>
      <c r="C260" t="s">
        <v>2184</v>
      </c>
      <c r="D260">
        <v>0</v>
      </c>
    </row>
    <row r="261" spans="1:4" x14ac:dyDescent="0.25">
      <c r="A261" t="s">
        <v>2246</v>
      </c>
      <c r="B261" t="s">
        <v>2245</v>
      </c>
      <c r="C261" t="s">
        <v>2120</v>
      </c>
      <c r="D261" t="s">
        <v>2119</v>
      </c>
    </row>
    <row r="262" spans="1:4" x14ac:dyDescent="0.25">
      <c r="A262" t="s">
        <v>2244</v>
      </c>
      <c r="B262" t="s">
        <v>2243</v>
      </c>
      <c r="C262" t="s">
        <v>2082</v>
      </c>
      <c r="D262">
        <v>0</v>
      </c>
    </row>
    <row r="263" spans="1:4" x14ac:dyDescent="0.25">
      <c r="A263" t="s">
        <v>2242</v>
      </c>
      <c r="B263" t="s">
        <v>2241</v>
      </c>
      <c r="C263" t="s">
        <v>1713</v>
      </c>
      <c r="D263" t="s">
        <v>1713</v>
      </c>
    </row>
    <row r="264" spans="1:4" x14ac:dyDescent="0.25">
      <c r="A264" t="s">
        <v>2240</v>
      </c>
      <c r="B264" t="s">
        <v>2239</v>
      </c>
      <c r="C264" t="s">
        <v>1711</v>
      </c>
      <c r="D264" t="s">
        <v>1710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1707</v>
      </c>
    </row>
    <row r="266" spans="1:4" x14ac:dyDescent="0.25">
      <c r="A266" t="s">
        <v>2236</v>
      </c>
      <c r="B266" t="s">
        <v>2235</v>
      </c>
      <c r="C266" t="s">
        <v>2114</v>
      </c>
      <c r="D266" t="s">
        <v>2114</v>
      </c>
    </row>
    <row r="267" spans="1:4" x14ac:dyDescent="0.25">
      <c r="A267" t="s">
        <v>2234</v>
      </c>
      <c r="B267" t="s">
        <v>2233</v>
      </c>
      <c r="C267" t="s">
        <v>1704</v>
      </c>
      <c r="D267" t="s">
        <v>1704</v>
      </c>
    </row>
    <row r="268" spans="1:4" x14ac:dyDescent="0.25">
      <c r="A268" t="s">
        <v>2423</v>
      </c>
      <c r="B268" t="s">
        <v>2422</v>
      </c>
      <c r="C268" t="s">
        <v>2421</v>
      </c>
      <c r="D268" t="s">
        <v>2420</v>
      </c>
    </row>
    <row r="269" spans="1:4" x14ac:dyDescent="0.25">
      <c r="A269" t="s">
        <v>3159</v>
      </c>
      <c r="B269" t="s">
        <v>3160</v>
      </c>
      <c r="C269" t="s">
        <v>3150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1674</v>
      </c>
      <c r="B272" t="s">
        <v>1673</v>
      </c>
      <c r="C272">
        <v>0</v>
      </c>
      <c r="D272">
        <v>0</v>
      </c>
    </row>
    <row r="273" spans="1:4" x14ac:dyDescent="0.25">
      <c r="A273" t="s">
        <v>1672</v>
      </c>
      <c r="B273" t="s">
        <v>1671</v>
      </c>
      <c r="C273">
        <v>0</v>
      </c>
      <c r="D273">
        <v>0</v>
      </c>
    </row>
    <row r="274" spans="1:4" x14ac:dyDescent="0.25">
      <c r="A274" t="s">
        <v>2232</v>
      </c>
      <c r="B274" t="s">
        <v>237</v>
      </c>
      <c r="C274" t="s">
        <v>1726</v>
      </c>
      <c r="D274" t="s">
        <v>1725</v>
      </c>
    </row>
    <row r="275" spans="1:4" x14ac:dyDescent="0.25">
      <c r="A275" t="s">
        <v>2231</v>
      </c>
      <c r="B275" t="s">
        <v>235</v>
      </c>
      <c r="C275" t="s">
        <v>2230</v>
      </c>
      <c r="D275">
        <v>0</v>
      </c>
    </row>
    <row r="276" spans="1:4" x14ac:dyDescent="0.25">
      <c r="A276" t="s">
        <v>2229</v>
      </c>
      <c r="B276" t="s">
        <v>233</v>
      </c>
      <c r="C276" t="s">
        <v>1726</v>
      </c>
      <c r="D276" t="s">
        <v>1725</v>
      </c>
    </row>
    <row r="277" spans="1:4" x14ac:dyDescent="0.25">
      <c r="A277" t="s">
        <v>2228</v>
      </c>
      <c r="B277" t="s">
        <v>231</v>
      </c>
      <c r="C277" t="s">
        <v>2168</v>
      </c>
      <c r="D277" t="s">
        <v>2167</v>
      </c>
    </row>
    <row r="278" spans="1:4" x14ac:dyDescent="0.25">
      <c r="A278" t="s">
        <v>2227</v>
      </c>
      <c r="B278" t="s">
        <v>2226</v>
      </c>
      <c r="C278" t="s">
        <v>2225</v>
      </c>
      <c r="D278">
        <v>0</v>
      </c>
    </row>
    <row r="279" spans="1:4" x14ac:dyDescent="0.25">
      <c r="A279" t="s">
        <v>2224</v>
      </c>
      <c r="B279" t="s">
        <v>2223</v>
      </c>
      <c r="C279" t="s">
        <v>2105</v>
      </c>
      <c r="D279">
        <v>0</v>
      </c>
    </row>
    <row r="280" spans="1:4" x14ac:dyDescent="0.25">
      <c r="A280" t="s">
        <v>2222</v>
      </c>
      <c r="B280" t="s">
        <v>229</v>
      </c>
      <c r="C280" t="s">
        <v>2221</v>
      </c>
      <c r="D280" t="s">
        <v>19</v>
      </c>
    </row>
    <row r="281" spans="1:4" x14ac:dyDescent="0.25">
      <c r="A281" t="s">
        <v>2220</v>
      </c>
      <c r="B281" t="s">
        <v>225</v>
      </c>
      <c r="C281" t="s">
        <v>19</v>
      </c>
      <c r="D281" t="s">
        <v>19</v>
      </c>
    </row>
    <row r="282" spans="1:4" x14ac:dyDescent="0.25">
      <c r="A282" t="s">
        <v>3028</v>
      </c>
      <c r="B282" t="s">
        <v>3029</v>
      </c>
      <c r="C282" t="s">
        <v>19</v>
      </c>
      <c r="D282" t="s">
        <v>19</v>
      </c>
    </row>
    <row r="283" spans="1:4" x14ac:dyDescent="0.25">
      <c r="A283" t="s">
        <v>3030</v>
      </c>
      <c r="B283" t="s">
        <v>3031</v>
      </c>
      <c r="C283" t="s">
        <v>19</v>
      </c>
      <c r="D283" t="s">
        <v>19</v>
      </c>
    </row>
    <row r="284" spans="1:4" x14ac:dyDescent="0.25">
      <c r="A284" t="s">
        <v>3032</v>
      </c>
      <c r="B284" t="s">
        <v>3033</v>
      </c>
      <c r="C284" t="s">
        <v>19</v>
      </c>
      <c r="D284" t="s">
        <v>19</v>
      </c>
    </row>
    <row r="285" spans="1:4" x14ac:dyDescent="0.25">
      <c r="A285" t="s">
        <v>3034</v>
      </c>
      <c r="B285" t="s">
        <v>3035</v>
      </c>
      <c r="C285" t="s">
        <v>19</v>
      </c>
      <c r="D285" t="s">
        <v>19</v>
      </c>
    </row>
    <row r="286" spans="1:4" x14ac:dyDescent="0.25">
      <c r="A286" t="s">
        <v>3036</v>
      </c>
      <c r="B286" t="s">
        <v>3037</v>
      </c>
      <c r="C286" t="s">
        <v>19</v>
      </c>
      <c r="D286" t="s">
        <v>19</v>
      </c>
    </row>
    <row r="287" spans="1:4" x14ac:dyDescent="0.25">
      <c r="A287" t="s">
        <v>3038</v>
      </c>
      <c r="B287" t="s">
        <v>3039</v>
      </c>
      <c r="C287" t="s">
        <v>19</v>
      </c>
      <c r="D287" t="s">
        <v>19</v>
      </c>
    </row>
    <row r="288" spans="1:4" x14ac:dyDescent="0.25">
      <c r="A288" t="s">
        <v>3040</v>
      </c>
      <c r="B288" t="s">
        <v>3041</v>
      </c>
      <c r="C288" t="s">
        <v>19</v>
      </c>
      <c r="D288" t="s">
        <v>19</v>
      </c>
    </row>
    <row r="289" spans="1:4" x14ac:dyDescent="0.25">
      <c r="A289" t="s">
        <v>3042</v>
      </c>
      <c r="B289" t="s">
        <v>3043</v>
      </c>
      <c r="C289" t="s">
        <v>19</v>
      </c>
      <c r="D289" t="s">
        <v>19</v>
      </c>
    </row>
    <row r="290" spans="1:4" x14ac:dyDescent="0.25">
      <c r="A290" t="s">
        <v>3054</v>
      </c>
      <c r="B290" t="s">
        <v>3055</v>
      </c>
      <c r="C290" t="s">
        <v>19</v>
      </c>
      <c r="D290" t="s">
        <v>19</v>
      </c>
    </row>
    <row r="291" spans="1:4" x14ac:dyDescent="0.25">
      <c r="A291" t="s">
        <v>3044</v>
      </c>
      <c r="B291" t="s">
        <v>3045</v>
      </c>
      <c r="C291" t="s">
        <v>19</v>
      </c>
      <c r="D291" t="s">
        <v>19</v>
      </c>
    </row>
    <row r="292" spans="1:4" x14ac:dyDescent="0.25">
      <c r="A292" t="s">
        <v>3046</v>
      </c>
      <c r="B292" t="s">
        <v>3047</v>
      </c>
      <c r="C292" t="s">
        <v>19</v>
      </c>
      <c r="D292" t="s">
        <v>19</v>
      </c>
    </row>
    <row r="293" spans="1:4" x14ac:dyDescent="0.25">
      <c r="A293" t="s">
        <v>3048</v>
      </c>
      <c r="B293" t="s">
        <v>3049</v>
      </c>
      <c r="C293" t="s">
        <v>19</v>
      </c>
      <c r="D293" t="s">
        <v>19</v>
      </c>
    </row>
    <row r="294" spans="1:4" x14ac:dyDescent="0.25">
      <c r="A294" t="s">
        <v>3050</v>
      </c>
      <c r="B294" t="s">
        <v>3051</v>
      </c>
      <c r="C294" t="s">
        <v>19</v>
      </c>
      <c r="D294" t="s">
        <v>19</v>
      </c>
    </row>
    <row r="295" spans="1:4" x14ac:dyDescent="0.25">
      <c r="A295" t="s">
        <v>3056</v>
      </c>
      <c r="B295" t="s">
        <v>3057</v>
      </c>
      <c r="C295" t="s">
        <v>19</v>
      </c>
      <c r="D295" t="s">
        <v>19</v>
      </c>
    </row>
    <row r="296" spans="1:4" x14ac:dyDescent="0.25">
      <c r="A296" t="s">
        <v>3052</v>
      </c>
      <c r="B296" t="s">
        <v>3053</v>
      </c>
      <c r="C296" t="s">
        <v>19</v>
      </c>
      <c r="D296" t="s">
        <v>19</v>
      </c>
    </row>
    <row r="297" spans="1:4" x14ac:dyDescent="0.25">
      <c r="A297" t="s">
        <v>3058</v>
      </c>
      <c r="B297" t="s">
        <v>3059</v>
      </c>
      <c r="C297" t="s">
        <v>19</v>
      </c>
      <c r="D297" t="s">
        <v>19</v>
      </c>
    </row>
    <row r="298" spans="1:4" x14ac:dyDescent="0.25">
      <c r="A298" t="s">
        <v>2219</v>
      </c>
      <c r="B298" t="s">
        <v>2218</v>
      </c>
      <c r="C298" t="s">
        <v>2217</v>
      </c>
      <c r="D298">
        <v>0</v>
      </c>
    </row>
    <row r="299" spans="1:4" x14ac:dyDescent="0.25">
      <c r="A299" t="s">
        <v>2216</v>
      </c>
      <c r="B299" t="s">
        <v>2215</v>
      </c>
      <c r="C299" t="s">
        <v>2101</v>
      </c>
      <c r="D299">
        <v>0</v>
      </c>
    </row>
    <row r="300" spans="1:4" x14ac:dyDescent="0.25">
      <c r="A300" t="s">
        <v>2214</v>
      </c>
      <c r="B300" t="s">
        <v>2213</v>
      </c>
      <c r="C300" t="s">
        <v>2212</v>
      </c>
      <c r="D300">
        <v>0</v>
      </c>
    </row>
    <row r="301" spans="1:4" x14ac:dyDescent="0.25">
      <c r="A301" t="s">
        <v>2211</v>
      </c>
      <c r="B301" t="s">
        <v>2210</v>
      </c>
      <c r="C301" t="s">
        <v>2098</v>
      </c>
      <c r="D301">
        <v>0</v>
      </c>
    </row>
    <row r="302" spans="1:4" x14ac:dyDescent="0.25">
      <c r="A302" t="s">
        <v>2209</v>
      </c>
      <c r="B302" t="s">
        <v>219</v>
      </c>
      <c r="C302" t="s">
        <v>19</v>
      </c>
      <c r="D302" t="s">
        <v>19</v>
      </c>
    </row>
    <row r="303" spans="1:4" x14ac:dyDescent="0.25">
      <c r="A303" t="s">
        <v>1692</v>
      </c>
      <c r="B303" t="s">
        <v>1691</v>
      </c>
      <c r="C303">
        <v>0</v>
      </c>
      <c r="D303">
        <v>0</v>
      </c>
    </row>
    <row r="304" spans="1:4" x14ac:dyDescent="0.25">
      <c r="A304" t="s">
        <v>2208</v>
      </c>
      <c r="B304" t="s">
        <v>217</v>
      </c>
      <c r="C304" t="s">
        <v>1680</v>
      </c>
      <c r="D304" t="s">
        <v>1680</v>
      </c>
    </row>
    <row r="305" spans="1:4" x14ac:dyDescent="0.25">
      <c r="A305" t="s">
        <v>2207</v>
      </c>
      <c r="B305" t="s">
        <v>215</v>
      </c>
      <c r="C305" t="s">
        <v>1680</v>
      </c>
      <c r="D305" t="s">
        <v>1680</v>
      </c>
    </row>
    <row r="306" spans="1:4" x14ac:dyDescent="0.25">
      <c r="A306" t="s">
        <v>2206</v>
      </c>
      <c r="B306" t="s">
        <v>213</v>
      </c>
      <c r="C306" t="s">
        <v>1680</v>
      </c>
      <c r="D306" t="s">
        <v>1680</v>
      </c>
    </row>
    <row r="307" spans="1:4" x14ac:dyDescent="0.25">
      <c r="A307" t="s">
        <v>2205</v>
      </c>
      <c r="B307" t="s">
        <v>211</v>
      </c>
      <c r="C307" t="s">
        <v>1680</v>
      </c>
      <c r="D307" t="s">
        <v>1680</v>
      </c>
    </row>
    <row r="308" spans="1:4" x14ac:dyDescent="0.25">
      <c r="A308" t="s">
        <v>2204</v>
      </c>
      <c r="B308" t="s">
        <v>209</v>
      </c>
      <c r="C308" t="s">
        <v>1680</v>
      </c>
      <c r="D308" t="s">
        <v>1680</v>
      </c>
    </row>
    <row r="309" spans="1:4" x14ac:dyDescent="0.25">
      <c r="A309" t="s">
        <v>2203</v>
      </c>
      <c r="B309" t="s">
        <v>207</v>
      </c>
      <c r="C309" t="s">
        <v>1680</v>
      </c>
      <c r="D309" t="s">
        <v>1680</v>
      </c>
    </row>
    <row r="310" spans="1:4" x14ac:dyDescent="0.25">
      <c r="A310" t="s">
        <v>2202</v>
      </c>
      <c r="B310" t="s">
        <v>205</v>
      </c>
      <c r="C310" t="s">
        <v>2201</v>
      </c>
      <c r="D310">
        <v>0</v>
      </c>
    </row>
    <row r="311" spans="1:4" x14ac:dyDescent="0.25">
      <c r="A311" t="s">
        <v>2200</v>
      </c>
      <c r="B311" t="s">
        <v>2199</v>
      </c>
      <c r="C311" t="s">
        <v>2198</v>
      </c>
      <c r="D311">
        <v>0</v>
      </c>
    </row>
    <row r="312" spans="1:4" x14ac:dyDescent="0.25">
      <c r="A312" t="s">
        <v>2197</v>
      </c>
      <c r="B312" t="s">
        <v>2196</v>
      </c>
      <c r="C312" t="s">
        <v>2090</v>
      </c>
      <c r="D312">
        <v>0</v>
      </c>
    </row>
    <row r="313" spans="1:4" x14ac:dyDescent="0.25">
      <c r="A313" t="s">
        <v>2195</v>
      </c>
      <c r="B313" t="s">
        <v>2194</v>
      </c>
      <c r="C313" t="s">
        <v>2193</v>
      </c>
      <c r="D313">
        <v>0</v>
      </c>
    </row>
    <row r="314" spans="1:4" x14ac:dyDescent="0.25">
      <c r="A314" t="s">
        <v>2192</v>
      </c>
      <c r="B314" t="s">
        <v>2191</v>
      </c>
      <c r="C314" t="s">
        <v>2087</v>
      </c>
      <c r="D314">
        <v>0</v>
      </c>
    </row>
    <row r="315" spans="1:4" x14ac:dyDescent="0.25">
      <c r="A315" t="s">
        <v>2190</v>
      </c>
      <c r="B315" t="s">
        <v>2189</v>
      </c>
      <c r="C315" t="s">
        <v>2188</v>
      </c>
      <c r="D315">
        <v>0</v>
      </c>
    </row>
    <row r="316" spans="1:4" x14ac:dyDescent="0.25">
      <c r="A316" t="s">
        <v>2187</v>
      </c>
      <c r="B316" t="s">
        <v>2186</v>
      </c>
      <c r="C316" t="s">
        <v>2084</v>
      </c>
      <c r="D316">
        <v>0</v>
      </c>
    </row>
    <row r="317" spans="1:4" x14ac:dyDescent="0.25">
      <c r="A317" t="s">
        <v>2185</v>
      </c>
      <c r="B317" t="s">
        <v>203</v>
      </c>
      <c r="C317" t="s">
        <v>2184</v>
      </c>
      <c r="D317">
        <v>0</v>
      </c>
    </row>
    <row r="318" spans="1:4" x14ac:dyDescent="0.25">
      <c r="A318" t="s">
        <v>2183</v>
      </c>
      <c r="B318" t="s">
        <v>201</v>
      </c>
      <c r="C318" t="s">
        <v>1713</v>
      </c>
      <c r="D318" t="s">
        <v>1713</v>
      </c>
    </row>
    <row r="319" spans="1:4" x14ac:dyDescent="0.25">
      <c r="A319" t="s">
        <v>2182</v>
      </c>
      <c r="B319" t="s">
        <v>2181</v>
      </c>
      <c r="C319" t="s">
        <v>2180</v>
      </c>
      <c r="D319">
        <v>0</v>
      </c>
    </row>
    <row r="320" spans="1:4" x14ac:dyDescent="0.25">
      <c r="A320" t="s">
        <v>2179</v>
      </c>
      <c r="B320" t="s">
        <v>2178</v>
      </c>
      <c r="C320" t="s">
        <v>2078</v>
      </c>
      <c r="D320">
        <v>0</v>
      </c>
    </row>
    <row r="321" spans="1:4" x14ac:dyDescent="0.25">
      <c r="A321" t="s">
        <v>2177</v>
      </c>
      <c r="B321" t="s">
        <v>199</v>
      </c>
      <c r="C321" t="s">
        <v>2138</v>
      </c>
      <c r="D321">
        <v>0</v>
      </c>
    </row>
    <row r="322" spans="1:4" x14ac:dyDescent="0.25">
      <c r="A322" t="s">
        <v>2176</v>
      </c>
      <c r="B322" t="s">
        <v>2175</v>
      </c>
      <c r="C322" t="s">
        <v>2174</v>
      </c>
      <c r="D322">
        <v>0</v>
      </c>
    </row>
    <row r="323" spans="1:4" x14ac:dyDescent="0.25">
      <c r="A323" t="s">
        <v>2173</v>
      </c>
      <c r="B323" t="s">
        <v>2172</v>
      </c>
      <c r="C323" t="s">
        <v>2075</v>
      </c>
      <c r="D323">
        <v>0</v>
      </c>
    </row>
    <row r="324" spans="1:4" x14ac:dyDescent="0.25">
      <c r="A324" t="s">
        <v>2171</v>
      </c>
      <c r="B324" t="s">
        <v>197</v>
      </c>
      <c r="C324" t="s">
        <v>2068</v>
      </c>
      <c r="D324">
        <v>0</v>
      </c>
    </row>
    <row r="325" spans="1:4" x14ac:dyDescent="0.25">
      <c r="A325" t="s">
        <v>2170</v>
      </c>
      <c r="B325" t="s">
        <v>2169</v>
      </c>
      <c r="C325" t="s">
        <v>2168</v>
      </c>
      <c r="D325" t="s">
        <v>2167</v>
      </c>
    </row>
    <row r="326" spans="1:4" x14ac:dyDescent="0.25">
      <c r="A326" t="s">
        <v>1858</v>
      </c>
      <c r="B326" t="s">
        <v>1857</v>
      </c>
      <c r="C326" t="s">
        <v>1780</v>
      </c>
      <c r="D326">
        <v>0</v>
      </c>
    </row>
    <row r="327" spans="1:4" x14ac:dyDescent="0.25">
      <c r="A327" t="s">
        <v>2166</v>
      </c>
      <c r="B327" t="s">
        <v>2165</v>
      </c>
      <c r="C327" t="s">
        <v>2105</v>
      </c>
      <c r="D327">
        <v>0</v>
      </c>
    </row>
    <row r="328" spans="1:4" x14ac:dyDescent="0.25">
      <c r="A328" t="s">
        <v>2164</v>
      </c>
      <c r="B328" t="s">
        <v>2163</v>
      </c>
      <c r="C328" t="s">
        <v>2101</v>
      </c>
      <c r="D328">
        <v>0</v>
      </c>
    </row>
    <row r="329" spans="1:4" x14ac:dyDescent="0.25">
      <c r="A329" t="s">
        <v>1856</v>
      </c>
      <c r="B329" t="s">
        <v>1855</v>
      </c>
      <c r="C329" t="s">
        <v>1774</v>
      </c>
      <c r="D329">
        <v>0</v>
      </c>
    </row>
    <row r="330" spans="1:4" x14ac:dyDescent="0.25">
      <c r="A330" t="s">
        <v>2162</v>
      </c>
      <c r="B330" t="s">
        <v>2161</v>
      </c>
      <c r="C330" t="s">
        <v>2098</v>
      </c>
      <c r="D330">
        <v>0</v>
      </c>
    </row>
    <row r="331" spans="1:4" x14ac:dyDescent="0.25">
      <c r="A331" t="s">
        <v>2160</v>
      </c>
      <c r="B331" t="s">
        <v>2159</v>
      </c>
      <c r="C331" t="s">
        <v>19</v>
      </c>
      <c r="D331" t="s">
        <v>19</v>
      </c>
    </row>
    <row r="332" spans="1:4" x14ac:dyDescent="0.25">
      <c r="A332" t="s">
        <v>2158</v>
      </c>
      <c r="B332" t="s">
        <v>2157</v>
      </c>
      <c r="C332" t="s">
        <v>1718</v>
      </c>
      <c r="D332">
        <v>0</v>
      </c>
    </row>
    <row r="333" spans="1:4" x14ac:dyDescent="0.25">
      <c r="A333" t="s">
        <v>2156</v>
      </c>
      <c r="B333" t="s">
        <v>2155</v>
      </c>
      <c r="C333" t="s">
        <v>1680</v>
      </c>
      <c r="D333" t="s">
        <v>1680</v>
      </c>
    </row>
    <row r="334" spans="1:4" x14ac:dyDescent="0.25">
      <c r="A334" t="s">
        <v>1854</v>
      </c>
      <c r="B334" t="s">
        <v>1853</v>
      </c>
      <c r="C334" t="s">
        <v>1771</v>
      </c>
      <c r="D334">
        <v>0</v>
      </c>
    </row>
    <row r="335" spans="1:4" x14ac:dyDescent="0.25">
      <c r="A335" t="s">
        <v>2154</v>
      </c>
      <c r="B335" t="s">
        <v>2153</v>
      </c>
      <c r="C335" t="s">
        <v>2090</v>
      </c>
      <c r="D335">
        <v>0</v>
      </c>
    </row>
    <row r="336" spans="1:4" x14ac:dyDescent="0.25">
      <c r="A336" t="s">
        <v>2152</v>
      </c>
      <c r="B336" t="s">
        <v>2151</v>
      </c>
      <c r="C336" t="s">
        <v>2087</v>
      </c>
      <c r="D336">
        <v>0</v>
      </c>
    </row>
    <row r="337" spans="1:4" x14ac:dyDescent="0.25">
      <c r="A337" t="s">
        <v>1852</v>
      </c>
      <c r="B337" t="s">
        <v>1851</v>
      </c>
      <c r="C337" t="s">
        <v>1765</v>
      </c>
      <c r="D337">
        <v>0</v>
      </c>
    </row>
    <row r="338" spans="1:4" x14ac:dyDescent="0.25">
      <c r="A338" t="s">
        <v>2150</v>
      </c>
      <c r="B338" t="s">
        <v>2149</v>
      </c>
      <c r="C338" t="s">
        <v>2084</v>
      </c>
      <c r="D338">
        <v>0</v>
      </c>
    </row>
    <row r="339" spans="1:4" x14ac:dyDescent="0.25">
      <c r="A339" t="s">
        <v>2148</v>
      </c>
      <c r="B339" t="s">
        <v>2147</v>
      </c>
      <c r="C339" t="s">
        <v>2114</v>
      </c>
      <c r="D339" t="s">
        <v>2114</v>
      </c>
    </row>
    <row r="340" spans="1:4" x14ac:dyDescent="0.25">
      <c r="A340" t="s">
        <v>2146</v>
      </c>
      <c r="B340" t="s">
        <v>2145</v>
      </c>
      <c r="C340" t="s">
        <v>1704</v>
      </c>
      <c r="D340" t="s">
        <v>1704</v>
      </c>
    </row>
    <row r="341" spans="1:4" x14ac:dyDescent="0.25">
      <c r="A341" t="s">
        <v>2144</v>
      </c>
      <c r="B341" t="s">
        <v>2143</v>
      </c>
      <c r="C341" t="s">
        <v>2078</v>
      </c>
      <c r="D341">
        <v>0</v>
      </c>
    </row>
    <row r="342" spans="1:4" x14ac:dyDescent="0.25">
      <c r="A342" t="s">
        <v>1850</v>
      </c>
      <c r="B342" t="s">
        <v>1849</v>
      </c>
      <c r="C342" t="s">
        <v>1759</v>
      </c>
      <c r="D342">
        <v>0</v>
      </c>
    </row>
    <row r="343" spans="1:4" x14ac:dyDescent="0.25">
      <c r="A343" t="s">
        <v>2142</v>
      </c>
      <c r="B343" t="s">
        <v>2141</v>
      </c>
      <c r="C343" t="s">
        <v>2075</v>
      </c>
      <c r="D343">
        <v>0</v>
      </c>
    </row>
    <row r="344" spans="1:4" x14ac:dyDescent="0.25">
      <c r="A344" t="s">
        <v>1985</v>
      </c>
      <c r="B344" t="s">
        <v>856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1979</v>
      </c>
      <c r="C347">
        <v>0</v>
      </c>
      <c r="D347">
        <v>0</v>
      </c>
    </row>
    <row r="348" spans="1:4" x14ac:dyDescent="0.25">
      <c r="A348" t="s">
        <v>1978</v>
      </c>
      <c r="B348" t="s">
        <v>1977</v>
      </c>
      <c r="C348">
        <v>0</v>
      </c>
      <c r="D348">
        <v>0</v>
      </c>
    </row>
    <row r="349" spans="1:4" x14ac:dyDescent="0.25">
      <c r="A349" t="s">
        <v>1976</v>
      </c>
      <c r="B349" t="s">
        <v>842</v>
      </c>
      <c r="C349">
        <v>0</v>
      </c>
      <c r="D349">
        <v>0</v>
      </c>
    </row>
    <row r="350" spans="1:4" x14ac:dyDescent="0.25">
      <c r="A350" t="s">
        <v>3127</v>
      </c>
      <c r="B350" t="s">
        <v>3128</v>
      </c>
      <c r="C350">
        <v>0</v>
      </c>
      <c r="D350">
        <v>0</v>
      </c>
    </row>
    <row r="351" spans="1:4" x14ac:dyDescent="0.25">
      <c r="A351" t="s">
        <v>1975</v>
      </c>
      <c r="B351" t="s">
        <v>1974</v>
      </c>
      <c r="C351">
        <v>0</v>
      </c>
      <c r="D351">
        <v>0</v>
      </c>
    </row>
    <row r="352" spans="1:4" x14ac:dyDescent="0.25">
      <c r="A352" t="s">
        <v>1973</v>
      </c>
      <c r="B352" t="s">
        <v>828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1967</v>
      </c>
      <c r="C355">
        <v>0</v>
      </c>
      <c r="D355">
        <v>0</v>
      </c>
    </row>
    <row r="356" spans="1:4" x14ac:dyDescent="0.25">
      <c r="A356" t="s">
        <v>1966</v>
      </c>
      <c r="B356" t="s">
        <v>1965</v>
      </c>
      <c r="C356">
        <v>0</v>
      </c>
      <c r="D356">
        <v>0</v>
      </c>
    </row>
    <row r="357" spans="1:4" x14ac:dyDescent="0.25">
      <c r="A357" t="s">
        <v>1964</v>
      </c>
      <c r="B357" t="s">
        <v>810</v>
      </c>
      <c r="C357">
        <v>0</v>
      </c>
      <c r="D357">
        <v>0</v>
      </c>
    </row>
    <row r="358" spans="1:4" x14ac:dyDescent="0.25">
      <c r="A358" t="s">
        <v>1963</v>
      </c>
      <c r="B358" t="s">
        <v>802</v>
      </c>
      <c r="C358">
        <v>0</v>
      </c>
      <c r="D358">
        <v>0</v>
      </c>
    </row>
    <row r="359" spans="1:4" x14ac:dyDescent="0.25">
      <c r="A359" t="s">
        <v>1962</v>
      </c>
      <c r="B359" t="s">
        <v>1961</v>
      </c>
      <c r="C359">
        <v>0</v>
      </c>
      <c r="D359">
        <v>0</v>
      </c>
    </row>
    <row r="360" spans="1:4" x14ac:dyDescent="0.25">
      <c r="A360" t="s">
        <v>1960</v>
      </c>
      <c r="B360" t="s">
        <v>797</v>
      </c>
      <c r="C360">
        <v>0</v>
      </c>
      <c r="D360">
        <v>0</v>
      </c>
    </row>
    <row r="361" spans="1:4" x14ac:dyDescent="0.25">
      <c r="A361" t="s">
        <v>1959</v>
      </c>
      <c r="B361" t="s">
        <v>1958</v>
      </c>
      <c r="C361">
        <v>0</v>
      </c>
      <c r="D361">
        <v>0</v>
      </c>
    </row>
    <row r="362" spans="1:4" x14ac:dyDescent="0.25">
      <c r="A362" t="s">
        <v>1957</v>
      </c>
      <c r="B362" t="s">
        <v>790</v>
      </c>
      <c r="C362">
        <v>0</v>
      </c>
      <c r="D362">
        <v>0</v>
      </c>
    </row>
    <row r="363" spans="1:4" x14ac:dyDescent="0.25">
      <c r="A363" t="s">
        <v>1956</v>
      </c>
      <c r="B363" t="s">
        <v>1955</v>
      </c>
      <c r="C363">
        <v>0</v>
      </c>
      <c r="D363">
        <v>0</v>
      </c>
    </row>
    <row r="364" spans="1:4" x14ac:dyDescent="0.25">
      <c r="A364" t="s">
        <v>1954</v>
      </c>
      <c r="B364" t="s">
        <v>1953</v>
      </c>
      <c r="C364">
        <v>0</v>
      </c>
      <c r="D364">
        <v>0</v>
      </c>
    </row>
    <row r="365" spans="1:4" x14ac:dyDescent="0.25">
      <c r="A365" t="s">
        <v>1952</v>
      </c>
      <c r="B365" t="s">
        <v>775</v>
      </c>
      <c r="C365">
        <v>0</v>
      </c>
      <c r="D365">
        <v>0</v>
      </c>
    </row>
    <row r="366" spans="1:4" x14ac:dyDescent="0.25">
      <c r="A366" t="s">
        <v>1951</v>
      </c>
      <c r="B366" t="s">
        <v>768</v>
      </c>
      <c r="C366">
        <v>0</v>
      </c>
      <c r="D366">
        <v>0</v>
      </c>
    </row>
    <row r="367" spans="1:4" x14ac:dyDescent="0.25">
      <c r="A367" t="s">
        <v>1950</v>
      </c>
      <c r="B367" t="s">
        <v>766</v>
      </c>
      <c r="C367">
        <v>0</v>
      </c>
      <c r="D367">
        <v>0</v>
      </c>
    </row>
    <row r="368" spans="1:4" x14ac:dyDescent="0.25">
      <c r="A368" t="s">
        <v>1949</v>
      </c>
      <c r="B368" t="s">
        <v>1948</v>
      </c>
      <c r="C368">
        <v>0</v>
      </c>
      <c r="D368">
        <v>0</v>
      </c>
    </row>
    <row r="369" spans="1:4" x14ac:dyDescent="0.25">
      <c r="A369" t="s">
        <v>1947</v>
      </c>
      <c r="B369" t="s">
        <v>1946</v>
      </c>
      <c r="C369">
        <v>0</v>
      </c>
      <c r="D369">
        <v>0</v>
      </c>
    </row>
    <row r="370" spans="1:4" x14ac:dyDescent="0.25">
      <c r="A370" t="s">
        <v>1945</v>
      </c>
      <c r="B370" t="s">
        <v>761</v>
      </c>
      <c r="C370">
        <v>0</v>
      </c>
      <c r="D370">
        <v>0</v>
      </c>
    </row>
    <row r="371" spans="1:4" x14ac:dyDescent="0.25">
      <c r="A371" t="s">
        <v>1944</v>
      </c>
      <c r="B371">
        <v>0</v>
      </c>
      <c r="C371">
        <v>0</v>
      </c>
      <c r="D371">
        <v>0</v>
      </c>
    </row>
    <row r="372" spans="1:4" x14ac:dyDescent="0.25">
      <c r="A372" t="s">
        <v>1943</v>
      </c>
      <c r="B372" t="s">
        <v>1935</v>
      </c>
      <c r="C372">
        <v>0</v>
      </c>
      <c r="D372">
        <v>0</v>
      </c>
    </row>
    <row r="373" spans="1:4" x14ac:dyDescent="0.25">
      <c r="A373" t="s">
        <v>1942</v>
      </c>
      <c r="B373" t="s">
        <v>744</v>
      </c>
      <c r="C373">
        <v>0</v>
      </c>
      <c r="D373">
        <v>0</v>
      </c>
    </row>
    <row r="374" spans="1:4" x14ac:dyDescent="0.25">
      <c r="A374" t="s">
        <v>1941</v>
      </c>
      <c r="B374" t="s">
        <v>1940</v>
      </c>
      <c r="C374">
        <v>0</v>
      </c>
      <c r="D374">
        <v>0</v>
      </c>
    </row>
    <row r="375" spans="1:4" x14ac:dyDescent="0.25">
      <c r="A375" t="s">
        <v>1939</v>
      </c>
      <c r="B375" t="s">
        <v>734</v>
      </c>
      <c r="C375">
        <v>0</v>
      </c>
      <c r="D375">
        <v>0</v>
      </c>
    </row>
    <row r="376" spans="1:4" x14ac:dyDescent="0.25">
      <c r="A376" t="s">
        <v>1938</v>
      </c>
      <c r="B376" t="s">
        <v>1937</v>
      </c>
      <c r="C376">
        <v>0</v>
      </c>
      <c r="D376">
        <v>0</v>
      </c>
    </row>
    <row r="377" spans="1:4" x14ac:dyDescent="0.25">
      <c r="A377" t="s">
        <v>1936</v>
      </c>
      <c r="B377" t="s">
        <v>1935</v>
      </c>
      <c r="C377">
        <v>0</v>
      </c>
      <c r="D377">
        <v>0</v>
      </c>
    </row>
    <row r="378" spans="1:4" x14ac:dyDescent="0.25">
      <c r="A378" t="s">
        <v>2140</v>
      </c>
      <c r="B378" t="s">
        <v>2139</v>
      </c>
      <c r="C378" t="s">
        <v>2138</v>
      </c>
      <c r="D378">
        <v>0</v>
      </c>
    </row>
    <row r="379" spans="1:4" x14ac:dyDescent="0.25">
      <c r="A379" t="s">
        <v>2075</v>
      </c>
      <c r="B379" t="s">
        <v>2137</v>
      </c>
      <c r="C379">
        <v>0</v>
      </c>
      <c r="D379">
        <v>0</v>
      </c>
    </row>
    <row r="380" spans="1:4" x14ac:dyDescent="0.25">
      <c r="A380" t="s">
        <v>3129</v>
      </c>
      <c r="B380" t="s">
        <v>3130</v>
      </c>
      <c r="C380" t="s">
        <v>2114</v>
      </c>
      <c r="D380" t="s">
        <v>2114</v>
      </c>
    </row>
    <row r="381" spans="1:4" x14ac:dyDescent="0.25">
      <c r="A381" t="s">
        <v>3131</v>
      </c>
      <c r="B381" t="s">
        <v>3132</v>
      </c>
      <c r="C381" t="s">
        <v>2114</v>
      </c>
      <c r="D381" t="s">
        <v>2114</v>
      </c>
    </row>
    <row r="382" spans="1:4" x14ac:dyDescent="0.25">
      <c r="A382" t="s">
        <v>1934</v>
      </c>
      <c r="B382" t="s">
        <v>1933</v>
      </c>
      <c r="C382" t="s">
        <v>2114</v>
      </c>
      <c r="D382" t="s">
        <v>2114</v>
      </c>
    </row>
    <row r="383" spans="1:4" x14ac:dyDescent="0.25">
      <c r="A383" t="s">
        <v>1932</v>
      </c>
      <c r="B383" t="s">
        <v>1931</v>
      </c>
      <c r="C383" t="s">
        <v>2120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1890</v>
      </c>
      <c r="B404" t="s">
        <v>1889</v>
      </c>
      <c r="C404">
        <v>0</v>
      </c>
      <c r="D404">
        <v>0</v>
      </c>
    </row>
    <row r="405" spans="1:4" x14ac:dyDescent="0.25">
      <c r="A405" t="s">
        <v>1888</v>
      </c>
      <c r="B405" t="s">
        <v>1887</v>
      </c>
      <c r="C405">
        <v>0</v>
      </c>
      <c r="D405">
        <v>0</v>
      </c>
    </row>
    <row r="406" spans="1:4" x14ac:dyDescent="0.25">
      <c r="A406" t="s">
        <v>2136</v>
      </c>
      <c r="B406" t="s">
        <v>2135</v>
      </c>
      <c r="C406" t="s">
        <v>2105</v>
      </c>
      <c r="D406">
        <v>0</v>
      </c>
    </row>
    <row r="407" spans="1:4" x14ac:dyDescent="0.25">
      <c r="A407" t="s">
        <v>2134</v>
      </c>
      <c r="B407" t="s">
        <v>2133</v>
      </c>
      <c r="C407" t="s">
        <v>2101</v>
      </c>
      <c r="D407">
        <v>0</v>
      </c>
    </row>
    <row r="408" spans="1:4" x14ac:dyDescent="0.25">
      <c r="A408" t="s">
        <v>2132</v>
      </c>
      <c r="B408" t="s">
        <v>2131</v>
      </c>
      <c r="C408" t="s">
        <v>2098</v>
      </c>
      <c r="D408">
        <v>0</v>
      </c>
    </row>
    <row r="409" spans="1:4" x14ac:dyDescent="0.25">
      <c r="A409" t="s">
        <v>2130</v>
      </c>
      <c r="B409" t="s">
        <v>176</v>
      </c>
      <c r="C409" t="s">
        <v>1718</v>
      </c>
      <c r="D409">
        <v>0</v>
      </c>
    </row>
    <row r="410" spans="1:4" x14ac:dyDescent="0.25">
      <c r="A410" t="s">
        <v>2129</v>
      </c>
      <c r="B410" t="s">
        <v>169</v>
      </c>
      <c r="C410" t="s">
        <v>1680</v>
      </c>
      <c r="D410" t="s">
        <v>1680</v>
      </c>
    </row>
    <row r="411" spans="1:4" x14ac:dyDescent="0.25">
      <c r="A411" t="s">
        <v>2128</v>
      </c>
      <c r="B411" t="s">
        <v>167</v>
      </c>
      <c r="C411" t="s">
        <v>386</v>
      </c>
      <c r="D411">
        <v>0</v>
      </c>
    </row>
    <row r="412" spans="1:4" x14ac:dyDescent="0.25">
      <c r="A412" t="s">
        <v>2127</v>
      </c>
      <c r="B412" t="s">
        <v>2126</v>
      </c>
      <c r="C412" t="s">
        <v>2090</v>
      </c>
      <c r="D412">
        <v>0</v>
      </c>
    </row>
    <row r="413" spans="1:4" x14ac:dyDescent="0.25">
      <c r="A413" t="s">
        <v>2125</v>
      </c>
      <c r="B413" t="s">
        <v>2124</v>
      </c>
      <c r="C413" t="s">
        <v>2087</v>
      </c>
      <c r="D413">
        <v>0</v>
      </c>
    </row>
    <row r="414" spans="1:4" x14ac:dyDescent="0.25">
      <c r="A414" t="s">
        <v>2123</v>
      </c>
      <c r="B414" t="s">
        <v>2122</v>
      </c>
      <c r="C414" t="s">
        <v>2084</v>
      </c>
      <c r="D414">
        <v>0</v>
      </c>
    </row>
    <row r="415" spans="1:4" x14ac:dyDescent="0.25">
      <c r="A415" t="s">
        <v>2121</v>
      </c>
      <c r="B415" t="s">
        <v>165</v>
      </c>
      <c r="C415" t="s">
        <v>2120</v>
      </c>
      <c r="D415" t="s">
        <v>2119</v>
      </c>
    </row>
    <row r="416" spans="1:4" x14ac:dyDescent="0.25">
      <c r="A416" t="s">
        <v>2118</v>
      </c>
      <c r="B416" t="s">
        <v>163</v>
      </c>
      <c r="C416" t="s">
        <v>1713</v>
      </c>
      <c r="D416" t="s">
        <v>1713</v>
      </c>
    </row>
    <row r="417" spans="1:4" x14ac:dyDescent="0.25">
      <c r="A417" t="s">
        <v>2117</v>
      </c>
      <c r="B417" t="s">
        <v>161</v>
      </c>
      <c r="C417" t="s">
        <v>1711</v>
      </c>
      <c r="D417" t="s">
        <v>1710</v>
      </c>
    </row>
    <row r="418" spans="1:4" x14ac:dyDescent="0.25">
      <c r="A418" t="s">
        <v>2116</v>
      </c>
      <c r="B418" t="s">
        <v>159</v>
      </c>
      <c r="C418" t="s">
        <v>1708</v>
      </c>
      <c r="D418" t="s">
        <v>1707</v>
      </c>
    </row>
    <row r="419" spans="1:4" x14ac:dyDescent="0.25">
      <c r="A419" t="s">
        <v>2115</v>
      </c>
      <c r="B419" t="s">
        <v>157</v>
      </c>
      <c r="C419" t="s">
        <v>2114</v>
      </c>
      <c r="D419" t="s">
        <v>2114</v>
      </c>
    </row>
    <row r="420" spans="1:4" x14ac:dyDescent="0.25">
      <c r="A420" t="s">
        <v>2113</v>
      </c>
      <c r="B420" t="s">
        <v>2112</v>
      </c>
      <c r="C420" t="s">
        <v>2078</v>
      </c>
      <c r="D420">
        <v>0</v>
      </c>
    </row>
    <row r="421" spans="1:4" x14ac:dyDescent="0.25">
      <c r="A421" t="s">
        <v>2111</v>
      </c>
      <c r="B421" t="s">
        <v>2110</v>
      </c>
      <c r="C421" t="s">
        <v>2075</v>
      </c>
      <c r="D421">
        <v>0</v>
      </c>
    </row>
    <row r="422" spans="1:4" x14ac:dyDescent="0.25">
      <c r="A422" t="s">
        <v>1886</v>
      </c>
      <c r="B422" t="s">
        <v>1885</v>
      </c>
      <c r="C422">
        <v>0</v>
      </c>
      <c r="D422">
        <v>0</v>
      </c>
    </row>
    <row r="423" spans="1:4" x14ac:dyDescent="0.25">
      <c r="A423" t="s">
        <v>2109</v>
      </c>
      <c r="B423" t="s">
        <v>155</v>
      </c>
      <c r="C423" t="s">
        <v>1726</v>
      </c>
      <c r="D423" t="s">
        <v>1725</v>
      </c>
    </row>
    <row r="424" spans="1:4" x14ac:dyDescent="0.25">
      <c r="A424" t="s">
        <v>2108</v>
      </c>
      <c r="B424" t="s">
        <v>153</v>
      </c>
      <c r="C424" t="s">
        <v>1726</v>
      </c>
      <c r="D424" t="s">
        <v>1725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149</v>
      </c>
      <c r="C426" t="s">
        <v>19</v>
      </c>
      <c r="D426" t="s">
        <v>19</v>
      </c>
    </row>
    <row r="427" spans="1:4" x14ac:dyDescent="0.25">
      <c r="A427" t="s">
        <v>2103</v>
      </c>
      <c r="B427" t="s">
        <v>2102</v>
      </c>
      <c r="C427" t="s">
        <v>2101</v>
      </c>
      <c r="D427">
        <v>0</v>
      </c>
    </row>
    <row r="428" spans="1:4" x14ac:dyDescent="0.25">
      <c r="A428" t="s">
        <v>2100</v>
      </c>
      <c r="B428" t="s">
        <v>2099</v>
      </c>
      <c r="C428" t="s">
        <v>2098</v>
      </c>
      <c r="D428">
        <v>0</v>
      </c>
    </row>
    <row r="429" spans="1:4" x14ac:dyDescent="0.25">
      <c r="A429" t="s">
        <v>2097</v>
      </c>
      <c r="B429" t="s">
        <v>146</v>
      </c>
      <c r="C429" t="s">
        <v>1718</v>
      </c>
      <c r="D429">
        <v>0</v>
      </c>
    </row>
    <row r="430" spans="1:4" x14ac:dyDescent="0.25">
      <c r="A430" t="s">
        <v>2096</v>
      </c>
      <c r="B430" t="s">
        <v>141</v>
      </c>
      <c r="C430" t="s">
        <v>1680</v>
      </c>
      <c r="D430" t="s">
        <v>1680</v>
      </c>
    </row>
    <row r="431" spans="1:4" x14ac:dyDescent="0.25">
      <c r="A431" t="s">
        <v>2095</v>
      </c>
      <c r="B431" t="s">
        <v>138</v>
      </c>
      <c r="C431" t="s">
        <v>1680</v>
      </c>
      <c r="D431" t="s">
        <v>1680</v>
      </c>
    </row>
    <row r="432" spans="1:4" x14ac:dyDescent="0.25">
      <c r="A432" t="s">
        <v>2094</v>
      </c>
      <c r="B432" t="s">
        <v>135</v>
      </c>
      <c r="C432" t="s">
        <v>1679</v>
      </c>
      <c r="D432">
        <v>0</v>
      </c>
    </row>
    <row r="433" spans="1:4" x14ac:dyDescent="0.25">
      <c r="A433" t="s">
        <v>2093</v>
      </c>
      <c r="B433" t="s">
        <v>133</v>
      </c>
      <c r="C433" t="s">
        <v>1679</v>
      </c>
      <c r="D433">
        <v>0</v>
      </c>
    </row>
    <row r="434" spans="1:4" x14ac:dyDescent="0.25">
      <c r="A434" t="s">
        <v>2092</v>
      </c>
      <c r="B434" t="s">
        <v>2091</v>
      </c>
      <c r="C434" t="s">
        <v>2090</v>
      </c>
      <c r="D434">
        <v>0</v>
      </c>
    </row>
    <row r="435" spans="1:4" x14ac:dyDescent="0.25">
      <c r="A435" t="s">
        <v>2089</v>
      </c>
      <c r="B435" t="s">
        <v>2088</v>
      </c>
      <c r="C435" t="s">
        <v>2087</v>
      </c>
      <c r="D435">
        <v>0</v>
      </c>
    </row>
    <row r="436" spans="1:4" x14ac:dyDescent="0.25">
      <c r="A436" t="s">
        <v>2086</v>
      </c>
      <c r="B436" t="s">
        <v>2085</v>
      </c>
      <c r="C436" t="s">
        <v>2084</v>
      </c>
      <c r="D436">
        <v>0</v>
      </c>
    </row>
    <row r="437" spans="1:4" x14ac:dyDescent="0.25">
      <c r="A437" t="s">
        <v>2083</v>
      </c>
      <c r="B437" t="s">
        <v>131</v>
      </c>
      <c r="C437" t="s">
        <v>2082</v>
      </c>
      <c r="D437">
        <v>0</v>
      </c>
    </row>
    <row r="438" spans="1:4" x14ac:dyDescent="0.25">
      <c r="A438" t="s">
        <v>2081</v>
      </c>
      <c r="B438" t="s">
        <v>129</v>
      </c>
      <c r="C438" t="s">
        <v>1708</v>
      </c>
      <c r="D438" t="s">
        <v>1707</v>
      </c>
    </row>
    <row r="439" spans="1:4" x14ac:dyDescent="0.25">
      <c r="A439" t="s">
        <v>2080</v>
      </c>
      <c r="B439" t="s">
        <v>2079</v>
      </c>
      <c r="C439" t="s">
        <v>2078</v>
      </c>
      <c r="D439">
        <v>0</v>
      </c>
    </row>
    <row r="440" spans="1:4" x14ac:dyDescent="0.25">
      <c r="A440" t="s">
        <v>2077</v>
      </c>
      <c r="B440" t="s">
        <v>2076</v>
      </c>
      <c r="C440" t="s">
        <v>2075</v>
      </c>
      <c r="D440">
        <v>0</v>
      </c>
    </row>
    <row r="441" spans="1:4" x14ac:dyDescent="0.25">
      <c r="A441" t="s">
        <v>2074</v>
      </c>
      <c r="B441" t="s">
        <v>2073</v>
      </c>
      <c r="C441" t="s">
        <v>1787</v>
      </c>
      <c r="D441">
        <v>0</v>
      </c>
    </row>
    <row r="442" spans="1:4" x14ac:dyDescent="0.25">
      <c r="A442" t="s">
        <v>2072</v>
      </c>
      <c r="B442" t="s">
        <v>2071</v>
      </c>
      <c r="C442" t="s">
        <v>2070</v>
      </c>
      <c r="D442">
        <v>0</v>
      </c>
    </row>
    <row r="443" spans="1:4" x14ac:dyDescent="0.25">
      <c r="A443" t="s">
        <v>2068</v>
      </c>
      <c r="B443" t="s">
        <v>2069</v>
      </c>
      <c r="C443" t="s">
        <v>2068</v>
      </c>
      <c r="D443">
        <v>0</v>
      </c>
    </row>
    <row r="444" spans="1:4" x14ac:dyDescent="0.25">
      <c r="A444" t="s">
        <v>1670</v>
      </c>
      <c r="B444" t="s">
        <v>1669</v>
      </c>
      <c r="C444">
        <v>0</v>
      </c>
      <c r="D444">
        <v>0</v>
      </c>
    </row>
    <row r="445" spans="1:4" x14ac:dyDescent="0.25">
      <c r="A445" t="s">
        <v>2067</v>
      </c>
      <c r="B445" t="s">
        <v>2066</v>
      </c>
      <c r="C445" t="s">
        <v>2065</v>
      </c>
      <c r="D445">
        <v>0</v>
      </c>
    </row>
  </sheetData>
  <autoFilter ref="A1:D445" xr:uid="{18E272ED-C44B-4DEA-95AB-B5234FBC1345}"/>
  <sortState xmlns:xlrd2="http://schemas.microsoft.com/office/spreadsheetml/2017/richdata2" ref="A2:D445">
    <sortCondition ref="A2:A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J911"/>
  <sheetViews>
    <sheetView topLeftCell="J1" workbookViewId="0">
      <selection activeCell="R118" sqref="R118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29" max="29" width="20.140625" customWidth="1"/>
  </cols>
  <sheetData>
    <row r="5" spans="1:3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 t="s">
        <v>2923</v>
      </c>
      <c r="Z5" s="2"/>
      <c r="AA5" s="2" t="s">
        <v>2924</v>
      </c>
      <c r="AB5" s="2"/>
      <c r="AE5" t="s">
        <v>3164</v>
      </c>
      <c r="AF5" s="2"/>
      <c r="AI5" t="s">
        <v>3027</v>
      </c>
    </row>
    <row r="6" spans="1:3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 t="s">
        <v>2848</v>
      </c>
      <c r="Z6" s="2" t="s">
        <v>2925</v>
      </c>
      <c r="AA6" s="2" t="s">
        <v>2847</v>
      </c>
      <c r="AB6" s="2" t="s">
        <v>2926</v>
      </c>
      <c r="AC6" s="2" t="s">
        <v>2988</v>
      </c>
      <c r="AD6" s="2" t="s">
        <v>2870</v>
      </c>
      <c r="AE6" s="2" t="s">
        <v>3163</v>
      </c>
      <c r="AI6" t="s">
        <v>2431</v>
      </c>
      <c r="AJ6" t="str">
        <f>""</f>
        <v/>
      </c>
    </row>
    <row r="7" spans="1:3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mapPRC!A78</f>
        <v>AHCOA-E</v>
      </c>
      <c r="R7" t="str">
        <f>IFERROR(INDEX($AD$7:$AD$88,MATCH(mapPRC!C78,$AC$7:$AC$88,0)),"")</f>
        <v>agr</v>
      </c>
      <c r="S7" t="s">
        <v>915</v>
      </c>
      <c r="T7" t="s">
        <v>2871</v>
      </c>
      <c r="U7" t="str">
        <f>mapCOM!A2</f>
        <v>ACTGRP</v>
      </c>
      <c r="V7" t="str">
        <f t="shared" ref="V7:V70" si="0">INDEX($AJ$6:$AJ$784,MATCH(U7,$AI$6:$AI$784,0))</f>
        <v/>
      </c>
      <c r="W7" t="s">
        <v>2431</v>
      </c>
      <c r="X7" t="s">
        <v>2431</v>
      </c>
      <c r="Y7" t="s">
        <v>2849</v>
      </c>
      <c r="Z7" t="s">
        <v>2927</v>
      </c>
      <c r="AA7" t="s">
        <v>2850</v>
      </c>
      <c r="AB7" t="s">
        <v>2928</v>
      </c>
      <c r="AC7" t="s">
        <v>1637</v>
      </c>
      <c r="AD7" t="str">
        <f>O7</f>
        <v>agr</v>
      </c>
      <c r="AE7" t="s">
        <v>2064</v>
      </c>
      <c r="AI7" t="s">
        <v>2429</v>
      </c>
      <c r="AJ7" t="s">
        <v>3016</v>
      </c>
    </row>
    <row r="8" spans="1:3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mapPRC!A79</f>
        <v>AHELC-E</v>
      </c>
      <c r="R8" t="str">
        <f>IFERROR(INDEX($AD$7:$AD$88,MATCH(mapPRC!C79,$AC$7:$AC$88,0)),"")</f>
        <v>agr</v>
      </c>
      <c r="S8" t="s">
        <v>905</v>
      </c>
      <c r="T8" t="s">
        <v>2921</v>
      </c>
      <c r="U8" t="str">
        <f>mapCOM!A3</f>
        <v>AGRCH4S</v>
      </c>
      <c r="V8" t="str">
        <f t="shared" si="0"/>
        <v/>
      </c>
      <c r="W8" t="s">
        <v>2429</v>
      </c>
      <c r="X8" t="s">
        <v>2429</v>
      </c>
      <c r="Y8" t="s">
        <v>2849</v>
      </c>
      <c r="Z8" t="s">
        <v>2929</v>
      </c>
      <c r="AA8" t="s">
        <v>2850</v>
      </c>
      <c r="AB8" t="s">
        <v>2930</v>
      </c>
      <c r="AC8" t="s">
        <v>1593</v>
      </c>
      <c r="AD8" t="str">
        <f>O18</f>
        <v>com</v>
      </c>
      <c r="AE8" t="s">
        <v>2062</v>
      </c>
      <c r="AI8" t="s">
        <v>2427</v>
      </c>
      <c r="AJ8" t="s">
        <v>3016</v>
      </c>
    </row>
    <row r="9" spans="1:3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mapPRC!A80</f>
        <v>AHOHF-E</v>
      </c>
      <c r="R9" t="str">
        <f>IFERROR(INDEX($AD$7:$AD$88,MATCH(mapPRC!C80,$AC$7:$AC$88,0)),"")</f>
        <v>agr</v>
      </c>
      <c r="S9" t="s">
        <v>445</v>
      </c>
      <c r="T9" t="s">
        <v>2869</v>
      </c>
      <c r="U9" t="str">
        <f>mapCOM!A4</f>
        <v>AGRCMOX</v>
      </c>
      <c r="V9" t="str">
        <f t="shared" si="0"/>
        <v/>
      </c>
      <c r="W9" t="s">
        <v>2427</v>
      </c>
      <c r="X9" t="s">
        <v>2427</v>
      </c>
      <c r="Y9" t="s">
        <v>2849</v>
      </c>
      <c r="Z9" t="s">
        <v>2931</v>
      </c>
      <c r="AA9" t="s">
        <v>2850</v>
      </c>
      <c r="AB9" t="s">
        <v>2932</v>
      </c>
      <c r="AC9" t="s">
        <v>1504</v>
      </c>
      <c r="AD9" t="str">
        <f>O18</f>
        <v>com</v>
      </c>
      <c r="AE9" t="s">
        <v>2060</v>
      </c>
      <c r="AI9" t="s">
        <v>2425</v>
      </c>
      <c r="AJ9" t="s">
        <v>3016</v>
      </c>
    </row>
    <row r="10" spans="1:3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mapPRC!A81</f>
        <v>AHOKE-E</v>
      </c>
      <c r="R10" t="str">
        <f>IFERROR(INDEX($AD$7:$AD$88,MATCH(mapPRC!C81,$AC$7:$AC$88,0)),"")</f>
        <v>agr</v>
      </c>
      <c r="S10" t="s">
        <v>439</v>
      </c>
      <c r="T10" t="s">
        <v>2862</v>
      </c>
      <c r="U10" t="str">
        <f>mapCOM!A5</f>
        <v>AGRCO2S</v>
      </c>
      <c r="V10" t="str">
        <f t="shared" si="0"/>
        <v/>
      </c>
      <c r="W10" t="s">
        <v>2425</v>
      </c>
      <c r="X10" t="s">
        <v>2425</v>
      </c>
      <c r="Y10" t="s">
        <v>2849</v>
      </c>
      <c r="Z10" t="s">
        <v>2933</v>
      </c>
      <c r="AA10" t="s">
        <v>2922</v>
      </c>
      <c r="AB10" t="s">
        <v>2934</v>
      </c>
      <c r="AC10" t="s">
        <v>3008</v>
      </c>
      <c r="AD10" t="s">
        <v>2858</v>
      </c>
      <c r="AE10" t="s">
        <v>2058</v>
      </c>
      <c r="AI10" t="s">
        <v>2423</v>
      </c>
      <c r="AJ10" t="s">
        <v>3016</v>
      </c>
    </row>
    <row r="11" spans="1:3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mapPRC!A82</f>
        <v>AHOLP-E</v>
      </c>
      <c r="R11" t="str">
        <f>IFERROR(INDEX($AD$7:$AD$88,MATCH(mapPRC!C82,$AC$7:$AC$88,0)),"")</f>
        <v>agr</v>
      </c>
      <c r="S11" t="s">
        <v>1661</v>
      </c>
      <c r="T11" t="s">
        <v>2991</v>
      </c>
      <c r="U11" t="str">
        <f>mapCOM!A6</f>
        <v>AGRCOA</v>
      </c>
      <c r="V11" t="str">
        <f t="shared" si="0"/>
        <v>ccoal-hgh</v>
      </c>
      <c r="W11" t="s">
        <v>1678</v>
      </c>
      <c r="X11" t="s">
        <v>2429</v>
      </c>
      <c r="Y11" t="s">
        <v>2849</v>
      </c>
      <c r="Z11" t="s">
        <v>2935</v>
      </c>
      <c r="AA11" t="s">
        <v>2852</v>
      </c>
      <c r="AB11" t="s">
        <v>2936</v>
      </c>
      <c r="AC11" t="s">
        <v>3009</v>
      </c>
      <c r="AD11" t="s">
        <v>2869</v>
      </c>
      <c r="AE11" t="s">
        <v>2056</v>
      </c>
      <c r="AI11" t="s">
        <v>2419</v>
      </c>
      <c r="AJ11" t="s">
        <v>3017</v>
      </c>
    </row>
    <row r="12" spans="1:3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mapPRC!A83</f>
        <v>AIELC-E</v>
      </c>
      <c r="R12" t="str">
        <f>IFERROR(INDEX($AD$7:$AD$88,MATCH(mapPRC!C83,$AC$7:$AC$88,0)),"")</f>
        <v>agr</v>
      </c>
      <c r="S12" t="s">
        <v>1636</v>
      </c>
      <c r="T12" t="s">
        <v>2465</v>
      </c>
      <c r="U12" t="str">
        <f>mapCOM!A7</f>
        <v>AGRELC</v>
      </c>
      <c r="V12" t="str">
        <f t="shared" si="0"/>
        <v>celec</v>
      </c>
      <c r="W12" t="s">
        <v>1676</v>
      </c>
      <c r="X12" t="s">
        <v>2431</v>
      </c>
      <c r="Y12" t="s">
        <v>2851</v>
      </c>
      <c r="Z12" t="s">
        <v>2937</v>
      </c>
      <c r="AA12" t="s">
        <v>2852</v>
      </c>
      <c r="AB12" t="s">
        <v>2938</v>
      </c>
      <c r="AC12" t="s">
        <v>1481</v>
      </c>
      <c r="AD12" t="s">
        <v>2863</v>
      </c>
      <c r="AE12" t="s">
        <v>2027</v>
      </c>
      <c r="AI12" t="s">
        <v>2417</v>
      </c>
      <c r="AJ12" t="s">
        <v>3018</v>
      </c>
    </row>
    <row r="13" spans="1:3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mapPRC!A84</f>
        <v>AIODS-E</v>
      </c>
      <c r="R13" t="str">
        <f>IFERROR(INDEX($AD$7:$AD$88,MATCH(mapPRC!C84,$AC$7:$AC$88,0)),"")</f>
        <v>agr</v>
      </c>
      <c r="S13" t="s">
        <v>720</v>
      </c>
      <c r="T13" t="s">
        <v>2867</v>
      </c>
      <c r="U13" t="str">
        <f>mapCOM!A8</f>
        <v>AGRN2OS</v>
      </c>
      <c r="V13" t="str">
        <f t="shared" si="0"/>
        <v/>
      </c>
      <c r="W13" t="s">
        <v>1674</v>
      </c>
      <c r="X13" t="s">
        <v>2427</v>
      </c>
      <c r="Y13" t="s">
        <v>2851</v>
      </c>
      <c r="Z13" t="s">
        <v>2939</v>
      </c>
      <c r="AA13" t="s">
        <v>2852</v>
      </c>
      <c r="AB13" t="s">
        <v>2940</v>
      </c>
      <c r="AC13" t="s">
        <v>1476</v>
      </c>
      <c r="AD13" t="str">
        <f t="shared" ref="AD13:AD24" si="1">AD12</f>
        <v>elec</v>
      </c>
      <c r="AE13" t="s">
        <v>2026</v>
      </c>
      <c r="AI13" t="s">
        <v>2415</v>
      </c>
      <c r="AJ13" t="s">
        <v>3016</v>
      </c>
    </row>
    <row r="14" spans="1:3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mapPRC!A85</f>
        <v>AIOGS-E</v>
      </c>
      <c r="R14" t="str">
        <f>IFERROR(INDEX($AD$7:$AD$88,MATCH(mapPRC!C85,$AC$7:$AC$88,0)),"")</f>
        <v>agr</v>
      </c>
      <c r="S14" t="s">
        <v>711</v>
      </c>
      <c r="T14" t="s">
        <v>2866</v>
      </c>
      <c r="U14" t="str">
        <f>mapCOM!A9</f>
        <v>AGRNMVS</v>
      </c>
      <c r="V14" t="str">
        <f t="shared" si="0"/>
        <v/>
      </c>
      <c r="W14" t="s">
        <v>1672</v>
      </c>
      <c r="X14" t="s">
        <v>2425</v>
      </c>
      <c r="Y14" t="s">
        <v>2851</v>
      </c>
      <c r="Z14" t="s">
        <v>2941</v>
      </c>
      <c r="AA14" t="s">
        <v>2852</v>
      </c>
      <c r="AB14" t="s">
        <v>2942</v>
      </c>
      <c r="AC14" t="s">
        <v>1469</v>
      </c>
      <c r="AD14" t="str">
        <f t="shared" si="1"/>
        <v>elec</v>
      </c>
      <c r="AE14" t="s">
        <v>2025</v>
      </c>
      <c r="AI14" t="s">
        <v>2413</v>
      </c>
      <c r="AJ14" t="s">
        <v>3016</v>
      </c>
    </row>
    <row r="15" spans="1:3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mapPRC!A86</f>
        <v>AOELC-E</v>
      </c>
      <c r="R15" t="str">
        <f>IFERROR(INDEX($AD$7:$AD$88,MATCH(mapPRC!C86,$AC$7:$AC$88,0)),"")</f>
        <v>agr</v>
      </c>
      <c r="S15" t="s">
        <v>525</v>
      </c>
      <c r="T15" t="s">
        <v>2865</v>
      </c>
      <c r="U15" t="str">
        <f>mapCOM!A10</f>
        <v>AGRNOXS</v>
      </c>
      <c r="V15" t="str">
        <f t="shared" si="0"/>
        <v/>
      </c>
      <c r="Y15" t="s">
        <v>2854</v>
      </c>
      <c r="Z15" t="s">
        <v>2943</v>
      </c>
      <c r="AA15" t="s">
        <v>2862</v>
      </c>
      <c r="AB15" t="s">
        <v>2944</v>
      </c>
      <c r="AC15" t="s">
        <v>1316</v>
      </c>
      <c r="AD15" t="str">
        <f t="shared" si="1"/>
        <v>elec</v>
      </c>
      <c r="AE15" t="s">
        <v>2024</v>
      </c>
      <c r="AI15" t="s">
        <v>2411</v>
      </c>
      <c r="AJ15" t="s">
        <v>3016</v>
      </c>
    </row>
    <row r="16" spans="1:3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mapPRC!A87</f>
        <v>APELC-E</v>
      </c>
      <c r="R16" t="str">
        <f>IFERROR(INDEX($AD$7:$AD$88,MATCH(mapPRC!C87,$AC$7:$AC$88,0)),"")</f>
        <v>agr</v>
      </c>
      <c r="S16" t="s">
        <v>465</v>
      </c>
      <c r="T16" t="s">
        <v>2868</v>
      </c>
      <c r="U16" t="str">
        <f>mapCOM!A11</f>
        <v>AGRODS</v>
      </c>
      <c r="V16" t="str">
        <f t="shared" si="0"/>
        <v>cpetr_d</v>
      </c>
      <c r="Y16" t="s">
        <v>2854</v>
      </c>
      <c r="Z16" t="s">
        <v>2989</v>
      </c>
      <c r="AA16" t="s">
        <v>2852</v>
      </c>
      <c r="AB16" t="s">
        <v>2945</v>
      </c>
      <c r="AC16" t="s">
        <v>1425</v>
      </c>
      <c r="AD16" t="str">
        <f t="shared" si="1"/>
        <v>elec</v>
      </c>
      <c r="AE16" t="s">
        <v>2023</v>
      </c>
      <c r="AI16" t="s">
        <v>2409</v>
      </c>
      <c r="AJ16" t="s">
        <v>3016</v>
      </c>
    </row>
    <row r="17" spans="1:3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mapPRC!A88</f>
        <v>ATELC-E</v>
      </c>
      <c r="R17" t="str">
        <f>IFERROR(INDEX($AD$7:$AD$88,MATCH(mapPRC!C88,$AC$7:$AC$88,0)),"")</f>
        <v>agr</v>
      </c>
      <c r="S17" t="s">
        <v>1301</v>
      </c>
      <c r="T17" t="s">
        <v>2858</v>
      </c>
      <c r="U17" t="str">
        <f>mapCOM!A12</f>
        <v>AGROGS</v>
      </c>
      <c r="V17" t="str">
        <f t="shared" si="0"/>
        <v/>
      </c>
      <c r="AA17" t="s">
        <v>2855</v>
      </c>
      <c r="AB17" t="s">
        <v>2946</v>
      </c>
      <c r="AC17" t="s">
        <v>1403</v>
      </c>
      <c r="AD17" t="str">
        <f t="shared" si="1"/>
        <v>elec</v>
      </c>
      <c r="AE17" t="s">
        <v>2022</v>
      </c>
      <c r="AI17" t="s">
        <v>2407</v>
      </c>
      <c r="AJ17" t="s">
        <v>3019</v>
      </c>
    </row>
    <row r="18" spans="1:3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mapPRC!A89</f>
        <v>ATODS-E</v>
      </c>
      <c r="R18" t="str">
        <f>IFERROR(INDEX($AD$7:$AD$88,MATCH(mapPRC!C89,$AC$7:$AC$88,0)),"")</f>
        <v>agr</v>
      </c>
      <c r="S18" t="s">
        <v>1265</v>
      </c>
      <c r="T18" t="s">
        <v>2855</v>
      </c>
      <c r="U18" t="str">
        <f>mapCOM!A13</f>
        <v>AGROHF</v>
      </c>
      <c r="V18" t="str">
        <f t="shared" si="0"/>
        <v>cpetr_o</v>
      </c>
      <c r="AA18" t="s">
        <v>2855</v>
      </c>
      <c r="AB18" t="s">
        <v>2947</v>
      </c>
      <c r="AC18" t="s">
        <v>1398</v>
      </c>
      <c r="AD18" t="str">
        <f t="shared" si="1"/>
        <v>elec</v>
      </c>
      <c r="AE18" t="s">
        <v>2021</v>
      </c>
      <c r="AI18" t="s">
        <v>2405</v>
      </c>
      <c r="AJ18" t="s">
        <v>3018</v>
      </c>
    </row>
    <row r="19" spans="1:3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mapPRC!A90</f>
        <v>ATOGS-E</v>
      </c>
      <c r="R19" t="str">
        <f>IFERROR(INDEX($AD$7:$AD$88,MATCH(mapPRC!C90,$AC$7:$AC$88,0)),"")</f>
        <v>agr</v>
      </c>
      <c r="S19" t="s">
        <v>1232</v>
      </c>
      <c r="T19" t="s">
        <v>2860</v>
      </c>
      <c r="U19" t="str">
        <f>mapCOM!A14</f>
        <v>AGROKE</v>
      </c>
      <c r="V19" t="str">
        <f t="shared" si="0"/>
        <v>cpetr_o</v>
      </c>
      <c r="AA19" t="s">
        <v>2856</v>
      </c>
      <c r="AB19" t="s">
        <v>2948</v>
      </c>
      <c r="AC19" t="s">
        <v>1372</v>
      </c>
      <c r="AD19" t="str">
        <f t="shared" si="1"/>
        <v>elec</v>
      </c>
      <c r="AE19" t="s">
        <v>2020</v>
      </c>
      <c r="AI19" t="s">
        <v>2403</v>
      </c>
      <c r="AJ19" t="s">
        <v>3016</v>
      </c>
    </row>
    <row r="20" spans="1:3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mapPRC!A91</f>
        <v>CECELCCEN-E</v>
      </c>
      <c r="R20" t="str">
        <f>IFERROR(INDEX($AD$7:$AD$88,MATCH(mapPRC!C91,$AC$7:$AC$88,0)),"")</f>
        <v>com</v>
      </c>
      <c r="S20" t="s">
        <v>1195</v>
      </c>
      <c r="T20" t="s">
        <v>2852</v>
      </c>
      <c r="U20" t="str">
        <f>mapCOM!A15</f>
        <v>AGROLP</v>
      </c>
      <c r="V20" t="str">
        <f t="shared" si="0"/>
        <v>cpetr_o</v>
      </c>
      <c r="AA20" t="s">
        <v>2856</v>
      </c>
      <c r="AB20" t="s">
        <v>2949</v>
      </c>
      <c r="AC20" t="s">
        <v>1329</v>
      </c>
      <c r="AD20" t="str">
        <f t="shared" si="1"/>
        <v>elec</v>
      </c>
      <c r="AE20" t="s">
        <v>2019</v>
      </c>
      <c r="AI20" t="s">
        <v>2401</v>
      </c>
      <c r="AJ20" t="s">
        <v>3016</v>
      </c>
    </row>
    <row r="21" spans="1:3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mapPRC!A92</f>
        <v>CECELCCEN-N</v>
      </c>
      <c r="R21" t="str">
        <f>IFERROR(INDEX($AD$7:$AD$88,MATCH(mapPRC!C92,$AC$7:$AC$88,0)),"")</f>
        <v>com</v>
      </c>
      <c r="S21" t="s">
        <v>1136</v>
      </c>
      <c r="T21" t="s">
        <v>2861</v>
      </c>
      <c r="U21" t="str">
        <f>mapCOM!A16</f>
        <v>AGRP10S</v>
      </c>
      <c r="V21" t="str">
        <f t="shared" si="0"/>
        <v/>
      </c>
      <c r="AA21" t="s">
        <v>2856</v>
      </c>
      <c r="AB21" t="s">
        <v>2950</v>
      </c>
      <c r="AC21" t="s">
        <v>1319</v>
      </c>
      <c r="AD21" t="str">
        <f t="shared" si="1"/>
        <v>elec</v>
      </c>
      <c r="AE21" t="s">
        <v>2018</v>
      </c>
      <c r="AI21" t="s">
        <v>2399</v>
      </c>
      <c r="AJ21" t="s">
        <v>3016</v>
      </c>
    </row>
    <row r="22" spans="1:3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mapPRC!A93</f>
        <v>CECELCCHIL-E</v>
      </c>
      <c r="R22" t="str">
        <f>IFERROR(INDEX($AD$7:$AD$88,MATCH(mapPRC!C93,$AC$7:$AC$88,0)),"")</f>
        <v>com</v>
      </c>
      <c r="S22" t="s">
        <v>1110</v>
      </c>
      <c r="T22" t="s">
        <v>2859</v>
      </c>
      <c r="U22" t="str">
        <f>mapCOM!A17</f>
        <v>AGRSOXS</v>
      </c>
      <c r="V22" t="str">
        <f t="shared" si="0"/>
        <v/>
      </c>
      <c r="AA22" t="s">
        <v>2856</v>
      </c>
      <c r="AB22" t="s">
        <v>2951</v>
      </c>
      <c r="AC22" t="s">
        <v>1311</v>
      </c>
      <c r="AD22" t="str">
        <f t="shared" si="1"/>
        <v>elec</v>
      </c>
      <c r="AE22" t="s">
        <v>2017</v>
      </c>
      <c r="AI22" t="s">
        <v>2397</v>
      </c>
      <c r="AJ22" t="s">
        <v>3020</v>
      </c>
    </row>
    <row r="23" spans="1:3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mapPRC!A94</f>
        <v>CECELCHP-E</v>
      </c>
      <c r="R23" t="str">
        <f>IFERROR(INDEX($AD$7:$AD$88,MATCH(mapPRC!C94,$AC$7:$AC$88,0)),"")</f>
        <v>com</v>
      </c>
      <c r="S23" t="s">
        <v>1066</v>
      </c>
      <c r="T23" t="s">
        <v>2856</v>
      </c>
      <c r="U23" t="str">
        <f>mapCOM!A18</f>
        <v>AH</v>
      </c>
      <c r="V23" t="str">
        <f t="shared" si="0"/>
        <v/>
      </c>
      <c r="AA23" t="s">
        <v>2856</v>
      </c>
      <c r="AB23" t="s">
        <v>2952</v>
      </c>
      <c r="AC23" t="s">
        <v>1307</v>
      </c>
      <c r="AD23" t="str">
        <f t="shared" si="1"/>
        <v>elec</v>
      </c>
      <c r="AE23" t="s">
        <v>2016</v>
      </c>
      <c r="AI23" t="s">
        <v>2395</v>
      </c>
      <c r="AJ23" t="s">
        <v>3016</v>
      </c>
    </row>
    <row r="24" spans="1:3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mapPRC!A95</f>
        <v>CECELCHP-N</v>
      </c>
      <c r="R24" t="str">
        <f>IFERROR(INDEX($AD$7:$AD$88,MATCH(mapPRC!C95,$AC$7:$AC$88,0)),"")</f>
        <v>com</v>
      </c>
      <c r="S24" t="s">
        <v>1020</v>
      </c>
      <c r="T24" t="s">
        <v>2857</v>
      </c>
      <c r="U24" t="str">
        <f>mapCOM!A19</f>
        <v>AI</v>
      </c>
      <c r="V24" t="str">
        <f t="shared" si="0"/>
        <v/>
      </c>
      <c r="AA24" t="s">
        <v>2857</v>
      </c>
      <c r="AB24" t="s">
        <v>2953</v>
      </c>
      <c r="AC24" t="s">
        <v>1302</v>
      </c>
      <c r="AD24" t="str">
        <f t="shared" si="1"/>
        <v>elec</v>
      </c>
      <c r="AE24" t="s">
        <v>2015</v>
      </c>
      <c r="AI24" t="s">
        <v>2393</v>
      </c>
      <c r="AJ24" t="s">
        <v>3021</v>
      </c>
    </row>
    <row r="25" spans="1:3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mapPRC!A96</f>
        <v>CECELCROOM-E</v>
      </c>
      <c r="R25" t="str">
        <f>IFERROR(INDEX($AD$7:$AD$88,MATCH(mapPRC!C96,$AC$7:$AC$88,0)),"")</f>
        <v>com</v>
      </c>
      <c r="S25" t="s">
        <v>922</v>
      </c>
      <c r="T25" t="s">
        <v>2922</v>
      </c>
      <c r="U25" t="str">
        <f>mapCOM!A20</f>
        <v>AO</v>
      </c>
      <c r="V25" t="str">
        <f t="shared" si="0"/>
        <v/>
      </c>
      <c r="AA25" t="s">
        <v>2856</v>
      </c>
      <c r="AB25" t="s">
        <v>2954</v>
      </c>
      <c r="AC25" t="s">
        <v>1270</v>
      </c>
      <c r="AD25" t="str">
        <f>O12</f>
        <v>cp</v>
      </c>
      <c r="AE25" t="s">
        <v>2014</v>
      </c>
      <c r="AI25" t="s">
        <v>2391</v>
      </c>
      <c r="AJ25" t="s">
        <v>3021</v>
      </c>
    </row>
    <row r="26" spans="1:3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mapPRC!A97</f>
        <v>CEGELCHAL-E</v>
      </c>
      <c r="R26" t="str">
        <f>IFERROR(INDEX($AD$7:$AD$88,MATCH(mapPRC!C97,$AC$7:$AC$88,0)),"")</f>
        <v>com</v>
      </c>
      <c r="S26" t="s">
        <v>1304</v>
      </c>
      <c r="T26" t="s">
        <v>2863</v>
      </c>
      <c r="U26" t="str">
        <f>mapCOM!A21</f>
        <v>AP</v>
      </c>
      <c r="V26" t="str">
        <f t="shared" si="0"/>
        <v/>
      </c>
      <c r="AA26" t="s">
        <v>2869</v>
      </c>
      <c r="AB26" t="s">
        <v>2955</v>
      </c>
      <c r="AC26" t="s">
        <v>1266</v>
      </c>
      <c r="AD26" t="str">
        <f>O14</f>
        <v>is</v>
      </c>
      <c r="AE26" t="s">
        <v>2013</v>
      </c>
      <c r="AI26" t="s">
        <v>2389</v>
      </c>
      <c r="AJ26" t="s">
        <v>3021</v>
      </c>
    </row>
    <row r="27" spans="1:3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mapPRC!A98</f>
        <v>CEGELCHPM-E</v>
      </c>
      <c r="R27" t="str">
        <f>IFERROR(INDEX($AD$7:$AD$88,MATCH(mapPRC!C98,$AC$7:$AC$88,0)),"")</f>
        <v>com</v>
      </c>
      <c r="U27" t="str">
        <f>mapCOM!A22</f>
        <v>AT</v>
      </c>
      <c r="V27" t="str">
        <f t="shared" si="0"/>
        <v/>
      </c>
      <c r="AA27" t="s">
        <v>2858</v>
      </c>
      <c r="AB27" t="s">
        <v>2956</v>
      </c>
      <c r="AC27" t="s">
        <v>1239</v>
      </c>
      <c r="AD27" t="str">
        <f>O9</f>
        <v>fb</v>
      </c>
      <c r="AE27" t="s">
        <v>2012</v>
      </c>
      <c r="AI27" t="s">
        <v>2387</v>
      </c>
      <c r="AJ27" t="s">
        <v>3016</v>
      </c>
    </row>
    <row r="28" spans="1:3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mapPRC!A99</f>
        <v>CEGELCHPS-E</v>
      </c>
      <c r="R28" t="str">
        <f>IFERROR(INDEX($AD$7:$AD$88,MATCH(mapPRC!C99,$AC$7:$AC$88,0)),"")</f>
        <v>com</v>
      </c>
      <c r="U28" t="str">
        <f>mapCOM!A23</f>
        <v>BIB</v>
      </c>
      <c r="V28" t="str">
        <f t="shared" si="0"/>
        <v/>
      </c>
      <c r="AA28" t="s">
        <v>2858</v>
      </c>
      <c r="AB28" t="s">
        <v>2957</v>
      </c>
      <c r="AC28" t="s">
        <v>1197</v>
      </c>
      <c r="AD28" t="str">
        <f>O14</f>
        <v>is</v>
      </c>
      <c r="AE28" t="s">
        <v>2011</v>
      </c>
      <c r="AI28" t="s">
        <v>2385</v>
      </c>
      <c r="AJ28" t="s">
        <v>3016</v>
      </c>
    </row>
    <row r="29" spans="1:3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mapPRC!A100</f>
        <v>CEGELCINC-E</v>
      </c>
      <c r="R29" t="str">
        <f>IFERROR(INDEX($AD$7:$AD$88,MATCH(mapPRC!C100,$AC$7:$AC$88,0)),"")</f>
        <v>com</v>
      </c>
      <c r="U29" t="str">
        <f>mapCOM!A24</f>
        <v>BID</v>
      </c>
      <c r="V29" t="str">
        <f t="shared" si="0"/>
        <v/>
      </c>
      <c r="AA29" t="s">
        <v>2858</v>
      </c>
      <c r="AB29" t="s">
        <v>2958</v>
      </c>
      <c r="AC29" t="s">
        <v>1163</v>
      </c>
      <c r="AD29" t="str">
        <f>O8</f>
        <v>mi</v>
      </c>
      <c r="AE29" t="s">
        <v>2010</v>
      </c>
      <c r="AI29" t="s">
        <v>2383</v>
      </c>
      <c r="AJ29" t="s">
        <v>3016</v>
      </c>
    </row>
    <row r="30" spans="1:3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mapPRC!A101</f>
        <v>CEGELCLED-N</v>
      </c>
      <c r="R30" t="str">
        <f>IFERROR(INDEX($AD$7:$AD$88,MATCH(mapPRC!C101,$AC$7:$AC$88,0)),"")</f>
        <v>com</v>
      </c>
      <c r="U30" t="str">
        <f>mapCOM!A25</f>
        <v>BIE</v>
      </c>
      <c r="V30" t="str">
        <f t="shared" si="0"/>
        <v/>
      </c>
      <c r="AA30" t="s">
        <v>2858</v>
      </c>
      <c r="AB30" t="s">
        <v>2959</v>
      </c>
      <c r="AC30" t="s">
        <v>425</v>
      </c>
      <c r="AD30" t="s">
        <v>2994</v>
      </c>
      <c r="AE30" t="s">
        <v>2009</v>
      </c>
      <c r="AI30" t="s">
        <v>2381</v>
      </c>
      <c r="AJ30" t="s">
        <v>3016</v>
      </c>
    </row>
    <row r="31" spans="1:36" x14ac:dyDescent="0.25">
      <c r="E31" t="s">
        <v>2921</v>
      </c>
      <c r="K31" t="s">
        <v>1469</v>
      </c>
      <c r="M31" t="s">
        <v>576</v>
      </c>
      <c r="Q31" t="str">
        <f>mapPRC!A102</f>
        <v>CEGELCMHL-E</v>
      </c>
      <c r="R31" t="str">
        <f>IFERROR(INDEX($AD$7:$AD$88,MATCH(mapPRC!C102,$AC$7:$AC$88,0)),"")</f>
        <v>com</v>
      </c>
      <c r="U31" t="str">
        <f>mapCOM!A26</f>
        <v>BIG</v>
      </c>
      <c r="V31" t="str">
        <f t="shared" si="0"/>
        <v/>
      </c>
      <c r="AA31" t="s">
        <v>2859</v>
      </c>
      <c r="AB31" t="s">
        <v>2960</v>
      </c>
      <c r="AC31" t="s">
        <v>1111</v>
      </c>
      <c r="AD31" t="str">
        <f>O15</f>
        <v>nf</v>
      </c>
      <c r="AE31" t="s">
        <v>2008</v>
      </c>
      <c r="AI31" t="s">
        <v>2379</v>
      </c>
      <c r="AJ31" t="s">
        <v>3016</v>
      </c>
    </row>
    <row r="32" spans="1:36" x14ac:dyDescent="0.25">
      <c r="E32" t="s">
        <v>2922</v>
      </c>
      <c r="K32" t="s">
        <v>1316</v>
      </c>
      <c r="M32" t="s">
        <v>579</v>
      </c>
      <c r="Q32" t="str">
        <f>mapPRC!A103</f>
        <v>CEHCOA-E</v>
      </c>
      <c r="R32" t="str">
        <f>IFERROR(INDEX($AD$7:$AD$88,MATCH(mapPRC!C103,$AC$7:$AC$88,0)),"")</f>
        <v>com</v>
      </c>
      <c r="U32" t="str">
        <f>mapCOM!A27</f>
        <v>BIO</v>
      </c>
      <c r="V32" t="str">
        <f t="shared" si="0"/>
        <v/>
      </c>
      <c r="AA32" t="s">
        <v>2859</v>
      </c>
      <c r="AB32" t="s">
        <v>2961</v>
      </c>
      <c r="AC32" t="s">
        <v>3086</v>
      </c>
      <c r="AD32" t="str">
        <f>AD31</f>
        <v>nf</v>
      </c>
      <c r="AE32" t="s">
        <v>2007</v>
      </c>
      <c r="AI32" t="s">
        <v>2377</v>
      </c>
      <c r="AJ32" t="s">
        <v>3016</v>
      </c>
    </row>
    <row r="33" spans="5:36" x14ac:dyDescent="0.25">
      <c r="E33" t="s">
        <v>3161</v>
      </c>
      <c r="K33" t="s">
        <v>1311</v>
      </c>
      <c r="M33" t="s">
        <v>573</v>
      </c>
      <c r="Q33" t="str">
        <f>mapPRC!A104</f>
        <v>CEHELC-E</v>
      </c>
      <c r="R33" t="str">
        <f>IFERROR(INDEX($AD$7:$AD$88,MATCH(mapPRC!C104,$AC$7:$AC$88,0)),"")</f>
        <v>com</v>
      </c>
      <c r="U33" t="str">
        <f>mapCOM!A28</f>
        <v>BIW</v>
      </c>
      <c r="V33" t="str">
        <f t="shared" si="0"/>
        <v/>
      </c>
      <c r="AA33" t="s">
        <v>2860</v>
      </c>
      <c r="AB33" t="s">
        <v>2962</v>
      </c>
      <c r="AC33" t="s">
        <v>1068</v>
      </c>
      <c r="AD33" t="str">
        <f>O13</f>
        <v>nm</v>
      </c>
      <c r="AE33" t="s">
        <v>2006</v>
      </c>
      <c r="AI33" t="s">
        <v>2375</v>
      </c>
      <c r="AJ33" t="s">
        <v>3016</v>
      </c>
    </row>
    <row r="34" spans="5:36" x14ac:dyDescent="0.25">
      <c r="E34" t="s">
        <v>3162</v>
      </c>
      <c r="K34" t="s">
        <v>1307</v>
      </c>
      <c r="M34" t="s">
        <v>554</v>
      </c>
      <c r="Q34" t="str">
        <f>mapPRC!A105</f>
        <v>CEHELC-N</v>
      </c>
      <c r="R34" t="str">
        <f>IFERROR(INDEX($AD$7:$AD$88,MATCH(mapPRC!C105,$AC$7:$AC$88,0)),"")</f>
        <v>com</v>
      </c>
      <c r="U34" t="str">
        <f>mapCOM!A29</f>
        <v>CEC</v>
      </c>
      <c r="V34" t="str">
        <f t="shared" si="0"/>
        <v/>
      </c>
      <c r="AA34" t="s">
        <v>2861</v>
      </c>
      <c r="AB34" t="s">
        <v>2963</v>
      </c>
      <c r="AC34" t="s">
        <v>1026</v>
      </c>
      <c r="AD34" t="str">
        <f>O10</f>
        <v>ot</v>
      </c>
      <c r="AE34" t="s">
        <v>2005</v>
      </c>
      <c r="AI34" t="s">
        <v>2373</v>
      </c>
      <c r="AJ34" t="s">
        <v>3016</v>
      </c>
    </row>
    <row r="35" spans="5:36" x14ac:dyDescent="0.25">
      <c r="K35" t="s">
        <v>1481</v>
      </c>
      <c r="M35" t="s">
        <v>570</v>
      </c>
      <c r="Q35" t="str">
        <f>mapPRC!A106</f>
        <v>CEHGAS-E</v>
      </c>
      <c r="R35" t="str">
        <f>IFERROR(INDEX($AD$7:$AD$88,MATCH(mapPRC!C106,$AC$7:$AC$88,0)),"")</f>
        <v>com</v>
      </c>
      <c r="U35" t="str">
        <f>mapCOM!A30</f>
        <v>CEG</v>
      </c>
      <c r="V35" t="str">
        <f t="shared" si="0"/>
        <v/>
      </c>
      <c r="AA35" t="s">
        <v>2856</v>
      </c>
      <c r="AB35" t="s">
        <v>2964</v>
      </c>
      <c r="AC35" t="s">
        <v>963</v>
      </c>
      <c r="AD35" t="str">
        <f>O11</f>
        <v>pp</v>
      </c>
      <c r="AE35" t="s">
        <v>2004</v>
      </c>
      <c r="AI35" t="s">
        <v>2371</v>
      </c>
      <c r="AJ35" t="s">
        <v>3016</v>
      </c>
    </row>
    <row r="36" spans="5:36" x14ac:dyDescent="0.25">
      <c r="K36" t="s">
        <v>1425</v>
      </c>
      <c r="M36" t="s">
        <v>557</v>
      </c>
      <c r="Q36" t="str">
        <f>mapPRC!A107</f>
        <v>CEHGAS-N</v>
      </c>
      <c r="R36" t="str">
        <f>IFERROR(INDEX($AD$7:$AD$88,MATCH(mapPRC!C107,$AC$7:$AC$88,0)),"")</f>
        <v>com</v>
      </c>
      <c r="U36" t="str">
        <f>mapCOM!A31</f>
        <v>CEH</v>
      </c>
      <c r="V36" t="str">
        <f t="shared" si="0"/>
        <v/>
      </c>
      <c r="AA36" t="s">
        <v>2856</v>
      </c>
      <c r="AB36" t="s">
        <v>2965</v>
      </c>
      <c r="AC36" t="s">
        <v>2873</v>
      </c>
      <c r="AD36" t="s">
        <v>2922</v>
      </c>
      <c r="AE36" t="s">
        <v>2003</v>
      </c>
      <c r="AI36" t="s">
        <v>2105</v>
      </c>
      <c r="AJ36" t="s">
        <v>3016</v>
      </c>
    </row>
    <row r="37" spans="5:36" x14ac:dyDescent="0.25">
      <c r="K37" t="s">
        <v>1302</v>
      </c>
      <c r="M37" t="s">
        <v>1082</v>
      </c>
      <c r="Q37" t="str">
        <f>mapPRC!A108</f>
        <v>CEKCOA-E</v>
      </c>
      <c r="R37" t="str">
        <f>IFERROR(INDEX($AD$7:$AD$88,MATCH(mapPRC!C108,$AC$7:$AC$88,0)),"")</f>
        <v>com</v>
      </c>
      <c r="U37" t="str">
        <f>mapCOM!A32</f>
        <v>CEK</v>
      </c>
      <c r="V37" t="str">
        <f t="shared" si="0"/>
        <v/>
      </c>
      <c r="AA37" t="s">
        <v>2856</v>
      </c>
      <c r="AB37" t="s">
        <v>2966</v>
      </c>
      <c r="AC37" t="s">
        <v>863</v>
      </c>
      <c r="AD37" t="s">
        <v>2995</v>
      </c>
      <c r="AE37" t="s">
        <v>2002</v>
      </c>
      <c r="AI37" t="s">
        <v>2368</v>
      </c>
      <c r="AJ37" t="s">
        <v>3016</v>
      </c>
    </row>
    <row r="38" spans="5:36" x14ac:dyDescent="0.25">
      <c r="K38" t="s">
        <v>1398</v>
      </c>
      <c r="M38" t="s">
        <v>1018</v>
      </c>
      <c r="Q38" t="str">
        <f>mapPRC!A109</f>
        <v>CEKELC-E</v>
      </c>
      <c r="R38" t="str">
        <f>IFERROR(INDEX($AD$7:$AD$88,MATCH(mapPRC!C109,$AC$7:$AC$88,0)),"")</f>
        <v>com</v>
      </c>
      <c r="U38" t="str">
        <f>mapCOM!A33</f>
        <v>CEL</v>
      </c>
      <c r="V38" t="str">
        <f t="shared" si="0"/>
        <v/>
      </c>
      <c r="AA38" t="s">
        <v>2856</v>
      </c>
      <c r="AB38" t="s">
        <v>2967</v>
      </c>
      <c r="AC38" t="s">
        <v>834</v>
      </c>
      <c r="AD38" t="str">
        <f>E9</f>
        <v>hhd-he</v>
      </c>
      <c r="AE38" t="s">
        <v>2001</v>
      </c>
      <c r="AI38" t="s">
        <v>2367</v>
      </c>
      <c r="AJ38" t="s">
        <v>3022</v>
      </c>
    </row>
    <row r="39" spans="5:36" x14ac:dyDescent="0.25">
      <c r="K39" t="s">
        <v>863</v>
      </c>
      <c r="M39" t="s">
        <v>1011</v>
      </c>
      <c r="Q39" t="str">
        <f>mapPRC!A110</f>
        <v>CEKOLP-E</v>
      </c>
      <c r="R39" t="str">
        <f>IFERROR(INDEX($AD$7:$AD$88,MATCH(mapPRC!C110,$AC$7:$AC$88,0)),"")</f>
        <v>com</v>
      </c>
      <c r="U39" t="str">
        <f>mapCOM!A34</f>
        <v>CEO</v>
      </c>
      <c r="V39" t="str">
        <f t="shared" si="0"/>
        <v/>
      </c>
      <c r="AA39" t="s">
        <v>2856</v>
      </c>
      <c r="AB39" t="s">
        <v>2968</v>
      </c>
      <c r="AC39" t="s">
        <v>782</v>
      </c>
      <c r="AD39" t="str">
        <f>E7</f>
        <v>hhd-le</v>
      </c>
      <c r="AE39" t="s">
        <v>2000</v>
      </c>
      <c r="AI39" t="s">
        <v>2365</v>
      </c>
      <c r="AJ39" t="s">
        <v>3023</v>
      </c>
    </row>
    <row r="40" spans="5:36" x14ac:dyDescent="0.25">
      <c r="K40" t="s">
        <v>42</v>
      </c>
      <c r="M40" t="s">
        <v>920</v>
      </c>
      <c r="Q40" t="str">
        <f>mapPRC!A111</f>
        <v>CELELCCFL-E</v>
      </c>
      <c r="R40" t="str">
        <f>IFERROR(INDEX($AD$7:$AD$88,MATCH(mapPRC!C111,$AC$7:$AC$88,0)),"")</f>
        <v>com</v>
      </c>
      <c r="U40" t="str">
        <f>mapCOM!A35</f>
        <v>CER</v>
      </c>
      <c r="V40" t="str">
        <f t="shared" si="0"/>
        <v/>
      </c>
      <c r="AA40" t="s">
        <v>2856</v>
      </c>
      <c r="AB40" t="s">
        <v>2969</v>
      </c>
      <c r="AC40" t="s">
        <v>722</v>
      </c>
      <c r="AD40" t="str">
        <f>E8</f>
        <v>hhd-me</v>
      </c>
      <c r="AE40" t="s">
        <v>1999</v>
      </c>
      <c r="AI40" t="s">
        <v>2101</v>
      </c>
      <c r="AJ40" t="s">
        <v>3016</v>
      </c>
    </row>
    <row r="41" spans="5:36" x14ac:dyDescent="0.25">
      <c r="K41" t="s">
        <v>2872</v>
      </c>
      <c r="M41" t="s">
        <v>925</v>
      </c>
      <c r="Q41" t="str">
        <f>mapPRC!A112</f>
        <v>CELELCFLU-E</v>
      </c>
      <c r="R41" t="str">
        <f>IFERROR(INDEX($AD$7:$AD$88,MATCH(mapPRC!C112,$AC$7:$AC$88,0)),"")</f>
        <v>com</v>
      </c>
      <c r="U41" t="str">
        <f>mapCOM!A36</f>
        <v>CET</v>
      </c>
      <c r="V41" t="str">
        <f t="shared" si="0"/>
        <v/>
      </c>
      <c r="AA41" t="s">
        <v>2856</v>
      </c>
      <c r="AB41" t="s">
        <v>2970</v>
      </c>
      <c r="AC41" t="s">
        <v>712</v>
      </c>
      <c r="AD41" t="str">
        <f>O21</f>
        <v>trana</v>
      </c>
      <c r="AE41" t="s">
        <v>1998</v>
      </c>
      <c r="AI41" t="s">
        <v>2362</v>
      </c>
      <c r="AJ41" t="s">
        <v>3016</v>
      </c>
    </row>
    <row r="42" spans="5:36" x14ac:dyDescent="0.25">
      <c r="K42" t="s">
        <v>2873</v>
      </c>
      <c r="M42" t="s">
        <v>1221</v>
      </c>
      <c r="Q42" t="str">
        <f>mapPRC!A113</f>
        <v>CELELCHAL-E</v>
      </c>
      <c r="R42" t="str">
        <f>IFERROR(INDEX($AD$7:$AD$88,MATCH(mapPRC!C113,$AC$7:$AC$88,0)),"")</f>
        <v>com</v>
      </c>
      <c r="U42" t="str">
        <f>mapCOM!A37</f>
        <v>CEW</v>
      </c>
      <c r="V42" t="str">
        <f t="shared" si="0"/>
        <v/>
      </c>
      <c r="AA42" t="s">
        <v>2856</v>
      </c>
      <c r="AB42" t="s">
        <v>2971</v>
      </c>
      <c r="AC42" t="s">
        <v>37</v>
      </c>
      <c r="AD42" t="str">
        <f>O20</f>
        <v>tranlf</v>
      </c>
      <c r="AE42" t="s">
        <v>1997</v>
      </c>
      <c r="AI42" t="s">
        <v>2098</v>
      </c>
      <c r="AJ42" t="s">
        <v>3016</v>
      </c>
    </row>
    <row r="43" spans="5:36" x14ac:dyDescent="0.25">
      <c r="K43" t="s">
        <v>2874</v>
      </c>
      <c r="M43" t="s">
        <v>1064</v>
      </c>
      <c r="Q43" t="str">
        <f>mapPRC!A114</f>
        <v>CELELCHID-E</v>
      </c>
      <c r="R43" t="str">
        <f>IFERROR(INDEX($AD$7:$AD$88,MATCH(mapPRC!C114,$AC$7:$AC$88,0)),"")</f>
        <v>com</v>
      </c>
      <c r="U43" t="str">
        <f>mapCOM!A40</f>
        <v>CH4RF</v>
      </c>
      <c r="V43" t="str">
        <f t="shared" si="0"/>
        <v/>
      </c>
      <c r="AA43" t="s">
        <v>2863</v>
      </c>
      <c r="AB43" t="s">
        <v>2972</v>
      </c>
      <c r="AC43" t="s">
        <v>602</v>
      </c>
      <c r="AD43" t="str">
        <f>O22</f>
        <v>trano</v>
      </c>
      <c r="AE43" t="s">
        <v>1996</v>
      </c>
      <c r="AI43" t="s">
        <v>2358</v>
      </c>
      <c r="AJ43" t="s">
        <v>3016</v>
      </c>
    </row>
    <row r="44" spans="5:36" x14ac:dyDescent="0.25">
      <c r="K44" t="s">
        <v>2920</v>
      </c>
      <c r="M44" t="s">
        <v>736</v>
      </c>
      <c r="Q44" t="str">
        <f>mapPRC!A115</f>
        <v>CELELCINC-E</v>
      </c>
      <c r="R44" t="str">
        <f>IFERROR(INDEX($AD$7:$AD$88,MATCH(mapPRC!C115,$AC$7:$AC$88,0)),"")</f>
        <v>com</v>
      </c>
      <c r="U44" t="str">
        <f>mapCOM!A41</f>
        <v>CH4S</v>
      </c>
      <c r="V44" t="str">
        <f t="shared" si="0"/>
        <v/>
      </c>
      <c r="AA44" t="s">
        <v>2864</v>
      </c>
      <c r="AB44" t="s">
        <v>2973</v>
      </c>
      <c r="AC44" t="s">
        <v>582</v>
      </c>
      <c r="AD44" t="str">
        <f>O20</f>
        <v>tranlf</v>
      </c>
      <c r="AE44" t="s">
        <v>1995</v>
      </c>
      <c r="AI44" t="s">
        <v>2356</v>
      </c>
      <c r="AJ44" t="s">
        <v>3016</v>
      </c>
    </row>
    <row r="45" spans="5:36" x14ac:dyDescent="0.25">
      <c r="K45" t="s">
        <v>2875</v>
      </c>
      <c r="M45" t="s">
        <v>1061</v>
      </c>
      <c r="Q45" t="str">
        <f>mapPRC!A116</f>
        <v>CELELCLED-N</v>
      </c>
      <c r="R45" t="str">
        <f>IFERROR(INDEX($AD$7:$AD$88,MATCH(mapPRC!C116,$AC$7:$AC$88,0)),"")</f>
        <v>com</v>
      </c>
      <c r="U45" t="str">
        <f>mapCOM!A42</f>
        <v>CH4SF</v>
      </c>
      <c r="V45" t="str">
        <f t="shared" si="0"/>
        <v/>
      </c>
      <c r="AA45" t="s">
        <v>2856</v>
      </c>
      <c r="AB45" t="s">
        <v>2974</v>
      </c>
      <c r="AC45" t="s">
        <v>30</v>
      </c>
      <c r="AD45" t="s">
        <v>2853</v>
      </c>
      <c r="AE45" t="s">
        <v>1994</v>
      </c>
      <c r="AI45" t="s">
        <v>2354</v>
      </c>
      <c r="AJ45" t="s">
        <v>3019</v>
      </c>
    </row>
    <row r="46" spans="5:36" x14ac:dyDescent="0.25">
      <c r="K46" t="s">
        <v>1266</v>
      </c>
      <c r="M46" t="s">
        <v>1224</v>
      </c>
      <c r="Q46" t="str">
        <f>mapPRC!A117</f>
        <v>CEOCOA-E</v>
      </c>
      <c r="R46" t="str">
        <f>IFERROR(INDEX($AD$7:$AD$88,MATCH(mapPRC!C117,$AC$7:$AC$88,0)),"")</f>
        <v>com</v>
      </c>
      <c r="U46" t="str">
        <f>mapCOM!A43</f>
        <v>CLD</v>
      </c>
      <c r="V46" t="str">
        <f t="shared" si="0"/>
        <v>ccoal-dis</v>
      </c>
      <c r="AA46" t="s">
        <v>2864</v>
      </c>
      <c r="AB46" t="s">
        <v>2975</v>
      </c>
      <c r="AC46" t="s">
        <v>25</v>
      </c>
      <c r="AD46" t="str">
        <f>O19</f>
        <v>tranlp</v>
      </c>
      <c r="AE46" t="s">
        <v>1993</v>
      </c>
      <c r="AI46" t="s">
        <v>2352</v>
      </c>
      <c r="AJ46" t="s">
        <v>3016</v>
      </c>
    </row>
    <row r="47" spans="5:36" x14ac:dyDescent="0.25">
      <c r="K47" t="s">
        <v>1239</v>
      </c>
      <c r="M47" t="s">
        <v>392</v>
      </c>
      <c r="Q47" t="str">
        <f>mapPRC!A118</f>
        <v>CEOELC-E</v>
      </c>
      <c r="R47" t="str">
        <f>IFERROR(INDEX($AD$7:$AD$88,MATCH(mapPRC!C118,$AC$7:$AC$88,0)),"")</f>
        <v>com</v>
      </c>
      <c r="U47" t="str">
        <f>mapCOM!A44</f>
        <v>CLE</v>
      </c>
      <c r="V47" t="str">
        <f t="shared" si="0"/>
        <v>ccoal-low</v>
      </c>
      <c r="AA47" t="s">
        <v>2864</v>
      </c>
      <c r="AB47" t="s">
        <v>2976</v>
      </c>
      <c r="AC47" t="s">
        <v>461</v>
      </c>
      <c r="AD47" t="str">
        <f>O22</f>
        <v>trano</v>
      </c>
      <c r="AE47" t="s">
        <v>1992</v>
      </c>
      <c r="AI47" t="s">
        <v>2350</v>
      </c>
      <c r="AJ47" t="s">
        <v>3016</v>
      </c>
    </row>
    <row r="48" spans="5:36" x14ac:dyDescent="0.25">
      <c r="K48" t="s">
        <v>602</v>
      </c>
      <c r="M48" t="s">
        <v>413</v>
      </c>
      <c r="Q48" t="str">
        <f>mapPRC!A119</f>
        <v>CEOGAS-E</v>
      </c>
      <c r="R48" t="str">
        <f>IFERROR(INDEX($AD$7:$AD$88,MATCH(mapPRC!C119,$AC$7:$AC$88,0)),"")</f>
        <v>com</v>
      </c>
      <c r="U48" t="str">
        <f>mapCOM!A45</f>
        <v>CMOX</v>
      </c>
      <c r="V48" t="str">
        <f t="shared" si="0"/>
        <v/>
      </c>
      <c r="AA48" t="s">
        <v>2864</v>
      </c>
      <c r="AB48" t="s">
        <v>2977</v>
      </c>
      <c r="AC48" t="s">
        <v>449</v>
      </c>
      <c r="AD48" t="str">
        <f>O23</f>
        <v>petr</v>
      </c>
      <c r="AE48" t="s">
        <v>1991</v>
      </c>
      <c r="AI48" t="s">
        <v>2348</v>
      </c>
      <c r="AJ48" t="s">
        <v>3016</v>
      </c>
    </row>
    <row r="49" spans="11:36" x14ac:dyDescent="0.25">
      <c r="K49" t="s">
        <v>582</v>
      </c>
      <c r="M49" t="s">
        <v>1004</v>
      </c>
      <c r="Q49" t="str">
        <f>mapPRC!A120</f>
        <v>CEOODS-E</v>
      </c>
      <c r="R49" t="str">
        <f>IFERROR(INDEX($AD$7:$AD$88,MATCH(mapPRC!C120,$AC$7:$AC$88,0)),"")</f>
        <v>com</v>
      </c>
      <c r="U49" t="str">
        <f>mapCOM!A46</f>
        <v>CNC</v>
      </c>
      <c r="V49" t="str">
        <f t="shared" si="0"/>
        <v/>
      </c>
      <c r="AA49" t="s">
        <v>2865</v>
      </c>
      <c r="AB49" t="s">
        <v>2978</v>
      </c>
      <c r="AC49" t="s">
        <v>386</v>
      </c>
      <c r="AD49" t="str">
        <f>O16</f>
        <v>hydr</v>
      </c>
      <c r="AE49" t="s">
        <v>1990</v>
      </c>
      <c r="AI49" t="s">
        <v>2346</v>
      </c>
      <c r="AJ49" t="s">
        <v>3016</v>
      </c>
    </row>
    <row r="50" spans="11:36" x14ac:dyDescent="0.25">
      <c r="K50" t="s">
        <v>37</v>
      </c>
      <c r="M50" t="s">
        <v>1213</v>
      </c>
      <c r="Q50" t="str">
        <f>mapPRC!A121</f>
        <v>CEOOGS-E</v>
      </c>
      <c r="R50" t="str">
        <f>IFERROR(INDEX($AD$7:$AD$88,MATCH(mapPRC!C121,$AC$7:$AC$88,0)),"")</f>
        <v>com</v>
      </c>
      <c r="U50" t="str">
        <f>mapCOM!A47</f>
        <v>CNG</v>
      </c>
      <c r="V50" t="str">
        <f t="shared" si="0"/>
        <v/>
      </c>
      <c r="AA50" t="s">
        <v>2866</v>
      </c>
      <c r="AB50" t="s">
        <v>2979</v>
      </c>
      <c r="AC50" t="s">
        <v>413</v>
      </c>
      <c r="AD50" t="str">
        <f>O23</f>
        <v>petr</v>
      </c>
      <c r="AE50" t="s">
        <v>1989</v>
      </c>
      <c r="AI50" t="s">
        <v>2344</v>
      </c>
      <c r="AJ50" t="s">
        <v>3019</v>
      </c>
    </row>
    <row r="51" spans="11:36" x14ac:dyDescent="0.25">
      <c r="K51" t="s">
        <v>400</v>
      </c>
      <c r="M51" t="s">
        <v>1215</v>
      </c>
      <c r="Q51" t="str">
        <f>mapPRC!A122</f>
        <v>CEOOHF-E</v>
      </c>
      <c r="R51" t="str">
        <f>IFERROR(INDEX($AD$7:$AD$88,MATCH(mapPRC!C122,$AC$7:$AC$88,0)),"")</f>
        <v>com</v>
      </c>
      <c r="U51" t="str">
        <f>mapCOM!A48</f>
        <v>CNH</v>
      </c>
      <c r="V51" t="str">
        <f t="shared" si="0"/>
        <v/>
      </c>
      <c r="AA51" t="s">
        <v>2868</v>
      </c>
      <c r="AB51" t="s">
        <v>2980</v>
      </c>
      <c r="AC51" t="s">
        <v>418</v>
      </c>
      <c r="AD51" t="str">
        <f>O23</f>
        <v>petr</v>
      </c>
      <c r="AE51" t="s">
        <v>1988</v>
      </c>
      <c r="AI51" t="s">
        <v>2342</v>
      </c>
      <c r="AJ51" t="s">
        <v>3018</v>
      </c>
    </row>
    <row r="52" spans="11:36" x14ac:dyDescent="0.25">
      <c r="K52" t="s">
        <v>418</v>
      </c>
      <c r="M52" t="s">
        <v>1210</v>
      </c>
      <c r="Q52" t="str">
        <f>mapPRC!A123</f>
        <v>CEOOKE-E</v>
      </c>
      <c r="R52" t="str">
        <f>IFERROR(INDEX($AD$7:$AD$88,MATCH(mapPRC!C123,$AC$7:$AC$88,0)),"")</f>
        <v>com</v>
      </c>
      <c r="U52" t="str">
        <f>mapCOM!A49</f>
        <v>CNK</v>
      </c>
      <c r="V52" t="str">
        <f t="shared" si="0"/>
        <v/>
      </c>
      <c r="AA52" t="s">
        <v>2867</v>
      </c>
      <c r="AB52" t="s">
        <v>2981</v>
      </c>
      <c r="AC52" t="s">
        <v>405</v>
      </c>
      <c r="AD52" t="str">
        <f>O26</f>
        <v>gas</v>
      </c>
      <c r="AE52" t="s">
        <v>1987</v>
      </c>
      <c r="AI52" t="s">
        <v>2340</v>
      </c>
      <c r="AJ52" t="s">
        <v>3017</v>
      </c>
    </row>
    <row r="53" spans="11:36" x14ac:dyDescent="0.25">
      <c r="K53" t="s">
        <v>834</v>
      </c>
      <c r="M53" t="s">
        <v>1395</v>
      </c>
      <c r="Q53" t="str">
        <f>mapPRC!A124</f>
        <v>CERELC-E</v>
      </c>
      <c r="R53" t="str">
        <f>IFERROR(INDEX($AD$7:$AD$88,MATCH(mapPRC!C124,$AC$7:$AC$88,0)),"")</f>
        <v>com</v>
      </c>
      <c r="U53" t="str">
        <f>mapCOM!A50</f>
        <v>CNL</v>
      </c>
      <c r="V53" t="str">
        <f t="shared" si="0"/>
        <v/>
      </c>
      <c r="AA53" t="s">
        <v>2864</v>
      </c>
      <c r="AB53" t="s">
        <v>2982</v>
      </c>
      <c r="AC53" t="s">
        <v>400</v>
      </c>
      <c r="AD53" t="str">
        <f>O26</f>
        <v>gas</v>
      </c>
      <c r="AE53" t="s">
        <v>1986</v>
      </c>
      <c r="AI53" t="s">
        <v>2338</v>
      </c>
      <c r="AJ53" t="s">
        <v>3016</v>
      </c>
    </row>
    <row r="54" spans="11:36" x14ac:dyDescent="0.25">
      <c r="K54" t="s">
        <v>386</v>
      </c>
      <c r="M54" t="s">
        <v>1378</v>
      </c>
      <c r="Q54" t="str">
        <f>mapPRC!A125</f>
        <v>CERELC-N</v>
      </c>
      <c r="R54" t="str">
        <f>IFERROR(INDEX($AD$7:$AD$88,MATCH(mapPRC!C125,$AC$7:$AC$88,0)),"")</f>
        <v>com</v>
      </c>
      <c r="U54" t="str">
        <f>mapCOM!A51</f>
        <v>CNO</v>
      </c>
      <c r="V54" t="str">
        <f t="shared" si="0"/>
        <v/>
      </c>
      <c r="AA54" t="s">
        <v>2864</v>
      </c>
      <c r="AB54" t="s">
        <v>2983</v>
      </c>
      <c r="AC54" t="s">
        <v>392</v>
      </c>
      <c r="AD54" t="str">
        <f>O23</f>
        <v>petr</v>
      </c>
      <c r="AE54" t="s">
        <v>1873</v>
      </c>
      <c r="AI54" t="s">
        <v>2336</v>
      </c>
      <c r="AJ54" t="s">
        <v>3016</v>
      </c>
    </row>
    <row r="55" spans="11:36" x14ac:dyDescent="0.25">
      <c r="K55" t="s">
        <v>425</v>
      </c>
      <c r="M55" t="s">
        <v>1375</v>
      </c>
      <c r="Q55" t="str">
        <f>mapPRC!A126</f>
        <v>CETELC-E</v>
      </c>
      <c r="R55" t="str">
        <f>IFERROR(INDEX($AD$7:$AD$88,MATCH(mapPRC!C126,$AC$7:$AC$88,0)),"")</f>
        <v>com</v>
      </c>
      <c r="U55" t="str">
        <f>mapCOM!A52</f>
        <v>CNR</v>
      </c>
      <c r="V55" t="str">
        <f t="shared" si="0"/>
        <v/>
      </c>
      <c r="AA55" t="s">
        <v>2864</v>
      </c>
      <c r="AB55" t="s">
        <v>2984</v>
      </c>
      <c r="AC55" t="s">
        <v>144</v>
      </c>
      <c r="AD55" t="str">
        <f>O17</f>
        <v>elec</v>
      </c>
      <c r="AE55" t="s">
        <v>1872</v>
      </c>
      <c r="AI55" t="s">
        <v>2334</v>
      </c>
      <c r="AJ55" t="s">
        <v>3016</v>
      </c>
    </row>
    <row r="56" spans="11:36" x14ac:dyDescent="0.25">
      <c r="K56" t="s">
        <v>1026</v>
      </c>
      <c r="M56" t="s">
        <v>1371</v>
      </c>
      <c r="Q56" t="str">
        <f>mapPRC!A127</f>
        <v>CEWCOA-E</v>
      </c>
      <c r="R56" t="str">
        <f>IFERROR(INDEX($AD$7:$AD$88,MATCH(mapPRC!C127,$AC$7:$AC$88,0)),"")</f>
        <v>com</v>
      </c>
      <c r="U56" t="str">
        <f>mapCOM!A53</f>
        <v>CNT</v>
      </c>
      <c r="V56" t="str">
        <f t="shared" si="0"/>
        <v/>
      </c>
      <c r="AA56" t="s">
        <v>2864</v>
      </c>
      <c r="AB56" t="s">
        <v>2985</v>
      </c>
      <c r="AE56" t="s">
        <v>1871</v>
      </c>
      <c r="AI56" t="s">
        <v>2332</v>
      </c>
      <c r="AJ56" t="s">
        <v>3020</v>
      </c>
    </row>
    <row r="57" spans="11:36" x14ac:dyDescent="0.25">
      <c r="K57" t="s">
        <v>1197</v>
      </c>
      <c r="M57" t="s">
        <v>1476</v>
      </c>
      <c r="Q57" t="str">
        <f>mapPRC!A128</f>
        <v>CEWELC-E</v>
      </c>
      <c r="R57" t="str">
        <f>IFERROR(INDEX($AD$7:$AD$88,MATCH(mapPRC!C128,$AC$7:$AC$88,0)),"")</f>
        <v>com</v>
      </c>
      <c r="U57" t="str">
        <f>mapCOM!A54</f>
        <v>CNW</v>
      </c>
      <c r="V57" t="str">
        <f t="shared" si="0"/>
        <v/>
      </c>
      <c r="AA57" t="s">
        <v>2864</v>
      </c>
      <c r="AB57" t="s">
        <v>2986</v>
      </c>
      <c r="AE57" t="s">
        <v>1870</v>
      </c>
      <c r="AI57" t="s">
        <v>2330</v>
      </c>
      <c r="AJ57" t="s">
        <v>3016</v>
      </c>
    </row>
    <row r="58" spans="11:36" x14ac:dyDescent="0.25">
      <c r="K58" t="s">
        <v>3238</v>
      </c>
      <c r="M58" t="s">
        <v>1328</v>
      </c>
      <c r="Q58" t="str">
        <f>mapPRC!A129</f>
        <v>CEWELCHP-N</v>
      </c>
      <c r="R58" t="str">
        <f>IFERROR(INDEX($AD$7:$AD$88,MATCH(mapPRC!C129,$AC$7:$AC$88,0)),"")</f>
        <v>com</v>
      </c>
      <c r="U58" t="str">
        <f>mapCOM!A55</f>
        <v>CO2EQS</v>
      </c>
      <c r="V58" t="str">
        <f t="shared" si="0"/>
        <v/>
      </c>
      <c r="AA58" t="s">
        <v>2864</v>
      </c>
      <c r="AB58" t="s">
        <v>2987</v>
      </c>
      <c r="AE58" t="s">
        <v>1869</v>
      </c>
      <c r="AI58" t="s">
        <v>2328</v>
      </c>
      <c r="AJ58" t="s">
        <v>3021</v>
      </c>
    </row>
    <row r="59" spans="11:36" x14ac:dyDescent="0.25">
      <c r="K59" t="s">
        <v>405</v>
      </c>
      <c r="M59" t="s">
        <v>1333</v>
      </c>
      <c r="Q59" t="str">
        <f>mapPRC!A130</f>
        <v>CEWELC-N</v>
      </c>
      <c r="R59" t="str">
        <f>IFERROR(INDEX($AD$7:$AD$88,MATCH(mapPRC!C130,$AC$7:$AC$88,0)),"")</f>
        <v>com</v>
      </c>
      <c r="U59" t="str">
        <f>mapCOM!A56</f>
        <v>CO2S</v>
      </c>
      <c r="V59" t="str">
        <f t="shared" si="0"/>
        <v/>
      </c>
      <c r="AA59" t="s">
        <v>3161</v>
      </c>
      <c r="AB59" t="s">
        <v>2962</v>
      </c>
      <c r="AE59" t="s">
        <v>1868</v>
      </c>
      <c r="AI59" t="s">
        <v>2326</v>
      </c>
      <c r="AJ59" t="s">
        <v>3021</v>
      </c>
    </row>
    <row r="60" spans="11:36" x14ac:dyDescent="0.25">
      <c r="K60" t="s">
        <v>782</v>
      </c>
      <c r="M60" t="s">
        <v>1403</v>
      </c>
      <c r="Q60" t="str">
        <f>mapPRC!A131</f>
        <v>CEWGAS-E</v>
      </c>
      <c r="R60" t="str">
        <f>IFERROR(INDEX($AD$7:$AD$88,MATCH(mapPRC!C131,$AC$7:$AC$88,0)),"")</f>
        <v>com</v>
      </c>
      <c r="U60" t="str">
        <f>mapCOM!A57</f>
        <v>CO2SF</v>
      </c>
      <c r="V60" t="str">
        <f t="shared" si="0"/>
        <v/>
      </c>
      <c r="AA60" t="s">
        <v>3162</v>
      </c>
      <c r="AB60" t="s">
        <v>2963</v>
      </c>
      <c r="AE60" t="s">
        <v>1867</v>
      </c>
      <c r="AI60" t="s">
        <v>2324</v>
      </c>
      <c r="AJ60" t="s">
        <v>3021</v>
      </c>
    </row>
    <row r="61" spans="11:36" x14ac:dyDescent="0.25">
      <c r="K61" t="s">
        <v>722</v>
      </c>
      <c r="M61" t="s">
        <v>366</v>
      </c>
      <c r="Q61" t="str">
        <f>mapPRC!A132</f>
        <v>CEWOKE-E</v>
      </c>
      <c r="R61" t="str">
        <f>IFERROR(INDEX($AD$7:$AD$88,MATCH(mapPRC!C132,$AC$7:$AC$88,0)),"")</f>
        <v>com</v>
      </c>
      <c r="U61" t="str">
        <f>mapCOM!A58</f>
        <v>CO2SP</v>
      </c>
      <c r="V61" t="str">
        <f t="shared" si="0"/>
        <v/>
      </c>
      <c r="AE61" t="s">
        <v>1866</v>
      </c>
      <c r="AI61" t="s">
        <v>2322</v>
      </c>
      <c r="AJ61" t="s">
        <v>3016</v>
      </c>
    </row>
    <row r="62" spans="11:36" x14ac:dyDescent="0.25">
      <c r="K62" t="s">
        <v>1163</v>
      </c>
      <c r="M62" t="s">
        <v>351</v>
      </c>
      <c r="Q62" t="str">
        <f>mapPRC!A133</f>
        <v>CEWOLP-E</v>
      </c>
      <c r="R62" t="str">
        <f>IFERROR(INDEX($AD$7:$AD$88,MATCH(mapPRC!C133,$AC$7:$AC$88,0)),"")</f>
        <v>com</v>
      </c>
      <c r="U62" t="str">
        <f>mapCOM!A59</f>
        <v>COA</v>
      </c>
      <c r="V62" t="str">
        <f t="shared" si="0"/>
        <v>ccoal-hgh</v>
      </c>
      <c r="AE62" t="s">
        <v>1865</v>
      </c>
      <c r="AI62" t="s">
        <v>2320</v>
      </c>
      <c r="AJ62" t="s">
        <v>3016</v>
      </c>
    </row>
    <row r="63" spans="11:36" x14ac:dyDescent="0.25">
      <c r="K63" t="s">
        <v>1068</v>
      </c>
      <c r="M63" t="s">
        <v>143</v>
      </c>
      <c r="Q63" t="str">
        <f>mapPRC!A134</f>
        <v>CNCELCCEN-E</v>
      </c>
      <c r="R63" t="str">
        <f>IFERROR(INDEX($AD$7:$AD$88,MATCH(mapPRC!C134,$AC$7:$AC$88,0)),"")</f>
        <v>com</v>
      </c>
      <c r="U63" t="str">
        <f>mapCOM!A60</f>
        <v>COK</v>
      </c>
      <c r="V63" t="str">
        <f t="shared" si="0"/>
        <v/>
      </c>
      <c r="AE63" t="s">
        <v>1863</v>
      </c>
      <c r="AI63" t="s">
        <v>2318</v>
      </c>
      <c r="AJ63" t="s">
        <v>3016</v>
      </c>
    </row>
    <row r="64" spans="11:36" x14ac:dyDescent="0.25">
      <c r="K64" t="s">
        <v>30</v>
      </c>
      <c r="M64" t="s">
        <v>190</v>
      </c>
      <c r="Q64" t="str">
        <f>mapPRC!A135</f>
        <v>CNCELCCEN-N</v>
      </c>
      <c r="R64" t="str">
        <f>IFERROR(INDEX($AD$7:$AD$88,MATCH(mapPRC!C135,$AC$7:$AC$88,0)),"")</f>
        <v>com</v>
      </c>
      <c r="U64" t="str">
        <f>mapCOM!A61</f>
        <v>COM_CHILLERHEAT-E</v>
      </c>
      <c r="V64" t="str">
        <f t="shared" si="0"/>
        <v/>
      </c>
      <c r="AE64" t="s">
        <v>1985</v>
      </c>
      <c r="AI64" t="s">
        <v>2316</v>
      </c>
      <c r="AJ64" t="s">
        <v>3018</v>
      </c>
    </row>
    <row r="65" spans="11:36" x14ac:dyDescent="0.25">
      <c r="K65" t="s">
        <v>25</v>
      </c>
      <c r="M65" t="s">
        <v>175</v>
      </c>
      <c r="Q65" t="str">
        <f>mapPRC!A136</f>
        <v>CNCELCCHIL-E</v>
      </c>
      <c r="R65" t="str">
        <f>IFERROR(INDEX($AD$7:$AD$88,MATCH(mapPRC!C136,$AC$7:$AC$88,0)),"")</f>
        <v>com</v>
      </c>
      <c r="U65" t="str">
        <f>mapCOM!A62</f>
        <v>COM_CHILLERHEAT-N</v>
      </c>
      <c r="V65" t="str">
        <f t="shared" si="0"/>
        <v/>
      </c>
      <c r="AE65" t="s">
        <v>1984</v>
      </c>
      <c r="AI65" t="s">
        <v>2314</v>
      </c>
      <c r="AJ65" t="s">
        <v>3017</v>
      </c>
    </row>
    <row r="66" spans="11:36" x14ac:dyDescent="0.25">
      <c r="K66" t="s">
        <v>1111</v>
      </c>
      <c r="M66" t="s">
        <v>1319</v>
      </c>
      <c r="Q66" t="str">
        <f>mapPRC!A137</f>
        <v>CNCELCHP-E</v>
      </c>
      <c r="R66" t="str">
        <f>IFERROR(INDEX($AD$7:$AD$88,MATCH(mapPRC!C137,$AC$7:$AC$88,0)),"")</f>
        <v>com</v>
      </c>
      <c r="U66" t="str">
        <f>mapCOM!A63</f>
        <v>COM_HEAT-E</v>
      </c>
      <c r="V66" t="str">
        <f t="shared" si="0"/>
        <v/>
      </c>
      <c r="AE66" t="s">
        <v>1982</v>
      </c>
      <c r="AI66" t="s">
        <v>2312</v>
      </c>
      <c r="AJ66" t="s">
        <v>3017</v>
      </c>
    </row>
    <row r="67" spans="11:36" x14ac:dyDescent="0.25">
      <c r="K67" t="s">
        <v>3206</v>
      </c>
      <c r="M67" t="s">
        <v>1469</v>
      </c>
      <c r="Q67" t="str">
        <f>mapPRC!A138</f>
        <v>CNCELCHP-N</v>
      </c>
      <c r="R67" t="str">
        <f>IFERROR(INDEX($AD$7:$AD$88,MATCH(mapPRC!C138,$AC$7:$AC$88,0)),"")</f>
        <v>com</v>
      </c>
      <c r="U67" t="str">
        <f>mapCOM!A64</f>
        <v>COM_HEAT-N</v>
      </c>
      <c r="V67" t="str">
        <f t="shared" si="0"/>
        <v/>
      </c>
      <c r="AE67" t="s">
        <v>1978</v>
      </c>
      <c r="AI67" t="s">
        <v>2310</v>
      </c>
      <c r="AJ67" t="s">
        <v>3017</v>
      </c>
    </row>
    <row r="68" spans="11:36" x14ac:dyDescent="0.25">
      <c r="K68" t="s">
        <v>963</v>
      </c>
      <c r="M68" t="s">
        <v>1316</v>
      </c>
      <c r="Q68" t="str">
        <f>mapPRC!A139</f>
        <v>CNCELCROOM-E</v>
      </c>
      <c r="R68" t="str">
        <f>IFERROR(INDEX($AD$7:$AD$88,MATCH(mapPRC!C139,$AC$7:$AC$88,0)),"")</f>
        <v>com</v>
      </c>
      <c r="U68" t="str">
        <f>mapCOM!A65</f>
        <v>COMCH4</v>
      </c>
      <c r="V68" t="str">
        <f t="shared" si="0"/>
        <v/>
      </c>
      <c r="AE68" t="s">
        <v>1976</v>
      </c>
      <c r="AI68" t="s">
        <v>2308</v>
      </c>
      <c r="AJ68" t="s">
        <v>3017</v>
      </c>
    </row>
    <row r="69" spans="11:36" x14ac:dyDescent="0.25">
      <c r="K69" t="s">
        <v>461</v>
      </c>
      <c r="M69" t="s">
        <v>1049</v>
      </c>
      <c r="Q69" t="str">
        <f>mapPRC!A140</f>
        <v>CNGELCHAL-E</v>
      </c>
      <c r="R69" t="str">
        <f>IFERROR(INDEX($AD$7:$AD$88,MATCH(mapPRC!C140,$AC$7:$AC$88,0)),"")</f>
        <v>com</v>
      </c>
      <c r="U69" t="str">
        <f>mapCOM!A66</f>
        <v>COMCH4S</v>
      </c>
      <c r="V69" t="str">
        <f t="shared" si="0"/>
        <v/>
      </c>
      <c r="AE69" t="s">
        <v>1975</v>
      </c>
      <c r="AI69" t="s">
        <v>2306</v>
      </c>
      <c r="AJ69" t="s">
        <v>3017</v>
      </c>
    </row>
    <row r="70" spans="11:36" x14ac:dyDescent="0.25">
      <c r="K70" t="s">
        <v>1787</v>
      </c>
      <c r="M70" t="s">
        <v>1058</v>
      </c>
      <c r="Q70" t="str">
        <f>mapPRC!A141</f>
        <v>CNGELCHPM-E</v>
      </c>
      <c r="R70" t="str">
        <f>IFERROR(INDEX($AD$7:$AD$88,MATCH(mapPRC!C141,$AC$7:$AC$88,0)),"")</f>
        <v>com</v>
      </c>
      <c r="U70" t="str">
        <f>mapCOM!A67</f>
        <v>COMCMOX</v>
      </c>
      <c r="V70" t="str">
        <f t="shared" si="0"/>
        <v/>
      </c>
      <c r="AE70" t="s">
        <v>1973</v>
      </c>
      <c r="AI70" t="s">
        <v>2304</v>
      </c>
      <c r="AJ70" t="s">
        <v>3017</v>
      </c>
    </row>
    <row r="71" spans="11:36" x14ac:dyDescent="0.25">
      <c r="M71" t="s">
        <v>1311</v>
      </c>
      <c r="Q71" t="str">
        <f>mapPRC!A142</f>
        <v>CNGELCHPS-E</v>
      </c>
      <c r="R71" t="str">
        <f>IFERROR(INDEX($AD$7:$AD$88,MATCH(mapPRC!C142,$AC$7:$AC$88,0)),"")</f>
        <v>com</v>
      </c>
      <c r="U71" t="str">
        <f>mapCOM!A68</f>
        <v>COMCO2</v>
      </c>
      <c r="V71" t="str">
        <f t="shared" ref="V71:V134" si="2">INDEX($AJ$6:$AJ$784,MATCH(U71,$AI$6:$AI$784,0))</f>
        <v/>
      </c>
      <c r="AE71" t="s">
        <v>1972</v>
      </c>
      <c r="AI71" t="s">
        <v>2302</v>
      </c>
      <c r="AJ71" t="s">
        <v>3017</v>
      </c>
    </row>
    <row r="72" spans="11:36" x14ac:dyDescent="0.25">
      <c r="M72" t="s">
        <v>1307</v>
      </c>
      <c r="Q72" t="str">
        <f>mapPRC!A143</f>
        <v>CNGELCINC-E</v>
      </c>
      <c r="R72" t="str">
        <f>IFERROR(INDEX($AD$7:$AD$88,MATCH(mapPRC!C143,$AC$7:$AC$88,0)),"")</f>
        <v>com</v>
      </c>
      <c r="U72" t="str">
        <f>mapCOM!A69</f>
        <v>COMCO2S</v>
      </c>
      <c r="V72" t="str">
        <f t="shared" si="2"/>
        <v/>
      </c>
      <c r="AE72" t="s">
        <v>1970</v>
      </c>
      <c r="AI72" t="s">
        <v>2300</v>
      </c>
      <c r="AJ72" t="s">
        <v>3017</v>
      </c>
    </row>
    <row r="73" spans="11:36" x14ac:dyDescent="0.25">
      <c r="M73" t="s">
        <v>1481</v>
      </c>
      <c r="Q73" t="str">
        <f>mapPRC!A144</f>
        <v>CNGELCLED-N</v>
      </c>
      <c r="R73" t="str">
        <f>IFERROR(INDEX($AD$7:$AD$88,MATCH(mapPRC!C144,$AC$7:$AC$88,0)),"")</f>
        <v>com</v>
      </c>
      <c r="U73" t="str">
        <f>mapCOM!A70</f>
        <v>COMCOA</v>
      </c>
      <c r="V73" t="str">
        <f t="shared" si="2"/>
        <v>ccoal-hgh</v>
      </c>
      <c r="AE73" t="s">
        <v>1966</v>
      </c>
      <c r="AI73" t="s">
        <v>2298</v>
      </c>
      <c r="AJ73" t="s">
        <v>3017</v>
      </c>
    </row>
    <row r="74" spans="11:36" x14ac:dyDescent="0.25">
      <c r="M74" t="s">
        <v>1448</v>
      </c>
      <c r="Q74" t="str">
        <f>mapPRC!A145</f>
        <v>CNGELCMHL-E</v>
      </c>
      <c r="R74" t="str">
        <f>IFERROR(INDEX($AD$7:$AD$88,MATCH(mapPRC!C145,$AC$7:$AC$88,0)),"")</f>
        <v>com</v>
      </c>
      <c r="U74" t="str">
        <f>mapCOM!A71</f>
        <v>COMELC</v>
      </c>
      <c r="V74" t="str">
        <f t="shared" si="2"/>
        <v>celec</v>
      </c>
      <c r="AE74" t="s">
        <v>1964</v>
      </c>
      <c r="AI74" t="s">
        <v>2296</v>
      </c>
      <c r="AJ74" t="s">
        <v>3016</v>
      </c>
    </row>
    <row r="75" spans="11:36" x14ac:dyDescent="0.25">
      <c r="M75" t="s">
        <v>1428</v>
      </c>
      <c r="Q75" t="str">
        <f>mapPRC!A146</f>
        <v>CNHCOA-E</v>
      </c>
      <c r="R75" t="str">
        <f>IFERROR(INDEX($AD$7:$AD$88,MATCH(mapPRC!C146,$AC$7:$AC$88,0)),"")</f>
        <v>com</v>
      </c>
      <c r="U75" t="str">
        <f>mapCOM!A72</f>
        <v>COMGAS</v>
      </c>
      <c r="V75" t="str">
        <f t="shared" si="2"/>
        <v>cngas</v>
      </c>
      <c r="AE75" t="s">
        <v>1963</v>
      </c>
      <c r="AI75" t="s">
        <v>2294</v>
      </c>
      <c r="AJ75" t="s">
        <v>3016</v>
      </c>
    </row>
    <row r="76" spans="11:36" x14ac:dyDescent="0.25">
      <c r="M76" t="s">
        <v>1431</v>
      </c>
      <c r="Q76" t="str">
        <f>mapPRC!A147</f>
        <v>CNHELC-E</v>
      </c>
      <c r="R76" t="str">
        <f>IFERROR(INDEX($AD$7:$AD$88,MATCH(mapPRC!C147,$AC$7:$AC$88,0)),"")</f>
        <v>com</v>
      </c>
      <c r="U76" t="str">
        <f>mapCOM!A73</f>
        <v>COMN2O</v>
      </c>
      <c r="V76" t="str">
        <f t="shared" si="2"/>
        <v/>
      </c>
      <c r="AE76" t="s">
        <v>1957</v>
      </c>
      <c r="AI76" t="s">
        <v>2292</v>
      </c>
      <c r="AJ76" t="s">
        <v>3016</v>
      </c>
    </row>
    <row r="77" spans="11:36" x14ac:dyDescent="0.25">
      <c r="M77" t="s">
        <v>1424</v>
      </c>
      <c r="Q77" t="str">
        <f>mapPRC!A148</f>
        <v>CNHELC-N</v>
      </c>
      <c r="R77" t="str">
        <f>IFERROR(INDEX($AD$7:$AD$88,MATCH(mapPRC!C148,$AC$7:$AC$88,0)),"")</f>
        <v>com</v>
      </c>
      <c r="U77" t="str">
        <f>mapCOM!A74</f>
        <v>COMN2OS</v>
      </c>
      <c r="V77" t="str">
        <f t="shared" si="2"/>
        <v/>
      </c>
      <c r="AE77" t="s">
        <v>1952</v>
      </c>
      <c r="AI77" t="s">
        <v>2290</v>
      </c>
      <c r="AJ77" t="s">
        <v>3024</v>
      </c>
    </row>
    <row r="78" spans="11:36" x14ac:dyDescent="0.25">
      <c r="M78" t="s">
        <v>1302</v>
      </c>
      <c r="Q78" t="str">
        <f>mapPRC!A149</f>
        <v>CNHGAS-E</v>
      </c>
      <c r="R78" t="str">
        <f>IFERROR(INDEX($AD$7:$AD$88,MATCH(mapPRC!C149,$AC$7:$AC$88,0)),"")</f>
        <v>com</v>
      </c>
      <c r="U78" t="str">
        <f>mapCOM!A75</f>
        <v>COMNMVS</v>
      </c>
      <c r="V78" t="str">
        <f t="shared" si="2"/>
        <v/>
      </c>
      <c r="AE78" t="s">
        <v>1951</v>
      </c>
      <c r="AI78" t="s">
        <v>2288</v>
      </c>
      <c r="AJ78" t="s">
        <v>3016</v>
      </c>
    </row>
    <row r="79" spans="11:36" x14ac:dyDescent="0.25">
      <c r="M79" t="s">
        <v>1398</v>
      </c>
      <c r="Q79" t="str">
        <f>mapPRC!A150</f>
        <v>CNHGAS-N</v>
      </c>
      <c r="R79" t="str">
        <f>IFERROR(INDEX($AD$7:$AD$88,MATCH(mapPRC!C150,$AC$7:$AC$88,0)),"")</f>
        <v>com</v>
      </c>
      <c r="U79" t="str">
        <f>mapCOM!A76</f>
        <v>COMNOX</v>
      </c>
      <c r="V79" t="str">
        <f t="shared" si="2"/>
        <v/>
      </c>
      <c r="AE79" t="s">
        <v>1950</v>
      </c>
      <c r="AI79" t="s">
        <v>2286</v>
      </c>
      <c r="AJ79" t="s">
        <v>3016</v>
      </c>
    </row>
    <row r="80" spans="11:36" x14ac:dyDescent="0.25">
      <c r="M80" t="s">
        <v>863</v>
      </c>
      <c r="Q80" t="str">
        <f>mapPRC!A151</f>
        <v>CNKCOA-E</v>
      </c>
      <c r="R80" t="str">
        <f>IFERROR(INDEX($AD$7:$AD$88,MATCH(mapPRC!C151,$AC$7:$AC$88,0)),"")</f>
        <v>com</v>
      </c>
      <c r="U80" t="str">
        <f>mapCOM!A77</f>
        <v>COMNOXS</v>
      </c>
      <c r="V80" t="str">
        <f t="shared" si="2"/>
        <v/>
      </c>
      <c r="AE80" t="s">
        <v>1947</v>
      </c>
      <c r="AI80" t="s">
        <v>2284</v>
      </c>
      <c r="AJ80" t="s">
        <v>3016</v>
      </c>
    </row>
    <row r="81" spans="13:36" x14ac:dyDescent="0.25">
      <c r="M81" t="s">
        <v>1055</v>
      </c>
      <c r="Q81" t="str">
        <f>mapPRC!A152</f>
        <v>CNKELC-E</v>
      </c>
      <c r="R81" t="str">
        <f>IFERROR(INDEX($AD$7:$AD$88,MATCH(mapPRC!C152,$AC$7:$AC$88,0)),"")</f>
        <v>com</v>
      </c>
      <c r="U81" t="str">
        <f>mapCOM!A78</f>
        <v>COMODS</v>
      </c>
      <c r="V81" t="str">
        <f t="shared" si="2"/>
        <v>cpetr_d</v>
      </c>
      <c r="AE81" t="s">
        <v>1945</v>
      </c>
      <c r="AI81" t="s">
        <v>2282</v>
      </c>
      <c r="AJ81" t="s">
        <v>3016</v>
      </c>
    </row>
    <row r="82" spans="13:36" x14ac:dyDescent="0.25">
      <c r="M82" t="s">
        <v>602</v>
      </c>
      <c r="Q82" t="str">
        <f>mapPRC!A153</f>
        <v>CNKOLP-E</v>
      </c>
      <c r="R82" t="str">
        <f>IFERROR(INDEX($AD$7:$AD$88,MATCH(mapPRC!C153,$AC$7:$AC$88,0)),"")</f>
        <v>com</v>
      </c>
      <c r="U82" t="str">
        <f>mapCOM!A79</f>
        <v>COMOGS</v>
      </c>
      <c r="V82" t="str">
        <f t="shared" si="2"/>
        <v/>
      </c>
      <c r="AE82" t="s">
        <v>1944</v>
      </c>
      <c r="AI82" t="s">
        <v>2280</v>
      </c>
      <c r="AJ82" t="s">
        <v>3016</v>
      </c>
    </row>
    <row r="83" spans="13:36" x14ac:dyDescent="0.25">
      <c r="M83" t="s">
        <v>582</v>
      </c>
      <c r="Q83" t="str">
        <f>mapPRC!A154</f>
        <v>CNLELCCFL-E</v>
      </c>
      <c r="R83" t="str">
        <f>IFERROR(INDEX($AD$7:$AD$88,MATCH(mapPRC!C154,$AC$7:$AC$88,0)),"")</f>
        <v>com</v>
      </c>
      <c r="U83" t="str">
        <f>mapCOM!A80</f>
        <v>COMOHF</v>
      </c>
      <c r="V83" t="str">
        <f t="shared" si="2"/>
        <v>cpetr_o</v>
      </c>
      <c r="AE83" t="s">
        <v>1943</v>
      </c>
      <c r="AI83" t="s">
        <v>2278</v>
      </c>
      <c r="AJ83" t="s">
        <v>3016</v>
      </c>
    </row>
    <row r="84" spans="13:36" x14ac:dyDescent="0.25">
      <c r="M84" t="s">
        <v>913</v>
      </c>
      <c r="Q84" t="str">
        <f>mapPRC!A155</f>
        <v>CNLELCFLU-E</v>
      </c>
      <c r="R84" t="str">
        <f>IFERROR(INDEX($AD$7:$AD$88,MATCH(mapPRC!C155,$AC$7:$AC$88,0)),"")</f>
        <v>com</v>
      </c>
      <c r="U84" t="str">
        <f>mapCOM!A81</f>
        <v>COMOKE</v>
      </c>
      <c r="V84" t="str">
        <f t="shared" si="2"/>
        <v>cpetr_o</v>
      </c>
      <c r="AE84" t="s">
        <v>1939</v>
      </c>
      <c r="AI84" t="s">
        <v>2276</v>
      </c>
      <c r="AJ84" t="s">
        <v>3019</v>
      </c>
    </row>
    <row r="85" spans="13:36" x14ac:dyDescent="0.25">
      <c r="M85" t="s">
        <v>910</v>
      </c>
      <c r="Q85" t="str">
        <f>mapPRC!A156</f>
        <v>CNLELCHAL-E</v>
      </c>
      <c r="R85" t="str">
        <f>IFERROR(INDEX($AD$7:$AD$88,MATCH(mapPRC!C156,$AC$7:$AC$88,0)),"")</f>
        <v>com</v>
      </c>
      <c r="U85" t="str">
        <f>mapCOM!A82</f>
        <v>COMOLP</v>
      </c>
      <c r="V85" t="str">
        <f t="shared" si="2"/>
        <v>cpetr_o</v>
      </c>
      <c r="AE85" t="s">
        <v>1910</v>
      </c>
      <c r="AI85" t="s">
        <v>2274</v>
      </c>
      <c r="AJ85" t="s">
        <v>3016</v>
      </c>
    </row>
    <row r="86" spans="13:36" x14ac:dyDescent="0.25">
      <c r="M86" t="s">
        <v>1075</v>
      </c>
      <c r="Q86" t="str">
        <f>mapPRC!A157</f>
        <v>CNLELCHID-E</v>
      </c>
      <c r="R86" t="str">
        <f>IFERROR(INDEX($AD$7:$AD$88,MATCH(mapPRC!C157,$AC$7:$AC$88,0)),"")</f>
        <v>com</v>
      </c>
      <c r="U86" t="str">
        <f>mapCOM!A83</f>
        <v>COMP10S</v>
      </c>
      <c r="V86" t="str">
        <f t="shared" si="2"/>
        <v/>
      </c>
      <c r="AE86" t="s">
        <v>3131</v>
      </c>
      <c r="AI86" t="s">
        <v>2273</v>
      </c>
      <c r="AJ86" t="s">
        <v>3018</v>
      </c>
    </row>
    <row r="87" spans="13:36" x14ac:dyDescent="0.25">
      <c r="M87" t="s">
        <v>418</v>
      </c>
      <c r="Q87" t="str">
        <f>mapPRC!A158</f>
        <v>CNLELCINC-E</v>
      </c>
      <c r="R87" t="str">
        <f>IFERROR(INDEX($AD$7:$AD$88,MATCH(mapPRC!C158,$AC$7:$AC$88,0)),"")</f>
        <v>com</v>
      </c>
      <c r="U87" t="str">
        <f>mapCOM!A84</f>
        <v>COMSOX</v>
      </c>
      <c r="V87" t="str">
        <f t="shared" si="2"/>
        <v/>
      </c>
      <c r="AE87" t="s">
        <v>3129</v>
      </c>
      <c r="AI87" t="s">
        <v>2272</v>
      </c>
      <c r="AJ87" t="s">
        <v>3017</v>
      </c>
    </row>
    <row r="88" spans="13:36" x14ac:dyDescent="0.25">
      <c r="M88" t="s">
        <v>709</v>
      </c>
      <c r="Q88" t="str">
        <f>mapPRC!A159</f>
        <v>CNLELCLED-N</v>
      </c>
      <c r="R88" t="str">
        <f>IFERROR(INDEX($AD$7:$AD$88,MATCH(mapPRC!C159,$AC$7:$AC$88,0)),"")</f>
        <v>com</v>
      </c>
      <c r="U88" t="str">
        <f>mapCOM!A85</f>
        <v>COMSOXS</v>
      </c>
      <c r="V88" t="str">
        <f t="shared" si="2"/>
        <v/>
      </c>
      <c r="AE88" t="s">
        <v>1932</v>
      </c>
      <c r="AI88" t="s">
        <v>2270</v>
      </c>
      <c r="AJ88" t="s">
        <v>3016</v>
      </c>
    </row>
    <row r="89" spans="13:36" x14ac:dyDescent="0.25">
      <c r="M89" t="s">
        <v>706</v>
      </c>
      <c r="Q89" t="str">
        <f>mapPRC!A160</f>
        <v>CNOCOA-E</v>
      </c>
      <c r="R89" t="str">
        <f>IFERROR(INDEX($AD$7:$AD$88,MATCH(mapPRC!C160,$AC$7:$AC$88,0)),"")</f>
        <v>com</v>
      </c>
      <c r="U89" t="str">
        <f>mapCOM!A86</f>
        <v>COMTHRM-E</v>
      </c>
      <c r="V89" t="str">
        <f t="shared" si="2"/>
        <v/>
      </c>
      <c r="AE89" t="s">
        <v>1912</v>
      </c>
      <c r="AI89" t="s">
        <v>2268</v>
      </c>
      <c r="AJ89" t="s">
        <v>3016</v>
      </c>
    </row>
    <row r="90" spans="13:36" x14ac:dyDescent="0.25">
      <c r="M90" t="s">
        <v>697</v>
      </c>
      <c r="Q90" t="str">
        <f>mapPRC!A161</f>
        <v>CNOELC-E</v>
      </c>
      <c r="R90" t="str">
        <f>IFERROR(INDEX($AD$7:$AD$88,MATCH(mapPRC!C161,$AC$7:$AC$88,0)),"")</f>
        <v>com</v>
      </c>
      <c r="U90" t="str">
        <f>mapCOM!A87</f>
        <v>COMTHRM-N</v>
      </c>
      <c r="V90" t="str">
        <f t="shared" si="2"/>
        <v/>
      </c>
      <c r="AE90" t="s">
        <v>1930</v>
      </c>
      <c r="AI90" t="s">
        <v>2266</v>
      </c>
      <c r="AJ90" t="s">
        <v>3016</v>
      </c>
    </row>
    <row r="91" spans="13:36" x14ac:dyDescent="0.25">
      <c r="M91" t="s">
        <v>684</v>
      </c>
      <c r="Q91" t="str">
        <f>mapPRC!A162</f>
        <v>CNOGAS-E</v>
      </c>
      <c r="R91" t="str">
        <f>IFERROR(INDEX($AD$7:$AD$88,MATCH(mapPRC!C162,$AC$7:$AC$88,0)),"")</f>
        <v>com</v>
      </c>
      <c r="U91" t="str">
        <f>mapCOM!A88</f>
        <v>CRB</v>
      </c>
      <c r="V91" t="str">
        <f t="shared" si="2"/>
        <v/>
      </c>
      <c r="AE91" t="s">
        <v>1928</v>
      </c>
      <c r="AI91" t="s">
        <v>2264</v>
      </c>
      <c r="AJ91" t="s">
        <v>3020</v>
      </c>
    </row>
    <row r="92" spans="13:36" x14ac:dyDescent="0.25">
      <c r="M92" t="s">
        <v>665</v>
      </c>
      <c r="Q92" t="str">
        <f>mapPRC!A163</f>
        <v>CNOODS-E</v>
      </c>
      <c r="R92" t="str">
        <f>IFERROR(INDEX($AD$7:$AD$88,MATCH(mapPRC!C163,$AC$7:$AC$88,0)),"")</f>
        <v>com</v>
      </c>
      <c r="U92" t="str">
        <f>mapCOM!A89</f>
        <v>ELC</v>
      </c>
      <c r="V92" t="str">
        <f t="shared" si="2"/>
        <v>celec</v>
      </c>
      <c r="AE92" t="s">
        <v>1926</v>
      </c>
      <c r="AI92" t="s">
        <v>2262</v>
      </c>
      <c r="AJ92" t="s">
        <v>3016</v>
      </c>
    </row>
    <row r="93" spans="13:36" x14ac:dyDescent="0.25">
      <c r="M93" t="s">
        <v>662</v>
      </c>
      <c r="Q93" t="str">
        <f>mapPRC!A164</f>
        <v>CNOOGS-E</v>
      </c>
      <c r="R93" t="str">
        <f>IFERROR(INDEX($AD$7:$AD$88,MATCH(mapPRC!C164,$AC$7:$AC$88,0)),"")</f>
        <v>com</v>
      </c>
      <c r="U93" t="str">
        <f>mapCOM!A90</f>
        <v>ELCC</v>
      </c>
      <c r="V93" t="str">
        <f t="shared" si="2"/>
        <v>celec</v>
      </c>
      <c r="AE93" t="s">
        <v>1924</v>
      </c>
      <c r="AI93" t="s">
        <v>2261</v>
      </c>
      <c r="AJ93" t="s">
        <v>3021</v>
      </c>
    </row>
    <row r="94" spans="13:36" x14ac:dyDescent="0.25">
      <c r="M94" t="s">
        <v>657</v>
      </c>
      <c r="Q94" t="str">
        <f>mapPRC!A165</f>
        <v>CNOOHF-E</v>
      </c>
      <c r="R94" t="str">
        <f>IFERROR(INDEX($AD$7:$AD$88,MATCH(mapPRC!C165,$AC$7:$AC$88,0)),"")</f>
        <v>com</v>
      </c>
      <c r="U94" t="str">
        <f>mapCOM!A91</f>
        <v>FEORE</v>
      </c>
      <c r="V94" t="str">
        <f t="shared" si="2"/>
        <v/>
      </c>
      <c r="AE94" t="s">
        <v>1922</v>
      </c>
      <c r="AI94" t="s">
        <v>2259</v>
      </c>
      <c r="AJ94" t="s">
        <v>3021</v>
      </c>
    </row>
    <row r="95" spans="13:36" x14ac:dyDescent="0.25">
      <c r="M95" t="s">
        <v>630</v>
      </c>
      <c r="Q95" t="str">
        <f>mapPRC!A166</f>
        <v>CNOOKE-E</v>
      </c>
      <c r="R95" t="str">
        <f>IFERROR(INDEX($AD$7:$AD$88,MATCH(mapPRC!C166,$AC$7:$AC$88,0)),"")</f>
        <v>com</v>
      </c>
      <c r="U95" t="str">
        <f>mapCOM!A92</f>
        <v>flab-m</v>
      </c>
      <c r="V95" t="str">
        <f t="shared" si="2"/>
        <v/>
      </c>
      <c r="AE95" t="s">
        <v>1920</v>
      </c>
      <c r="AI95" t="s">
        <v>2257</v>
      </c>
      <c r="AJ95" t="s">
        <v>3016</v>
      </c>
    </row>
    <row r="96" spans="13:36" x14ac:dyDescent="0.25">
      <c r="M96" t="s">
        <v>627</v>
      </c>
      <c r="Q96" t="str">
        <f>mapPRC!A167</f>
        <v>CNRELC-E</v>
      </c>
      <c r="R96" t="str">
        <f>IFERROR(INDEX($AD$7:$AD$88,MATCH(mapPRC!C167,$AC$7:$AC$88,0)),"")</f>
        <v>com</v>
      </c>
      <c r="U96" t="str">
        <f>mapCOM!A93</f>
        <v>flab-p</v>
      </c>
      <c r="V96" t="str">
        <f t="shared" si="2"/>
        <v/>
      </c>
      <c r="AE96" t="s">
        <v>1918</v>
      </c>
      <c r="AI96" t="s">
        <v>2255</v>
      </c>
      <c r="AJ96" t="s">
        <v>3016</v>
      </c>
    </row>
    <row r="97" spans="13:36" x14ac:dyDescent="0.25">
      <c r="M97" t="s">
        <v>622</v>
      </c>
      <c r="Q97" t="str">
        <f>mapPRC!A168</f>
        <v>CNRELC-N</v>
      </c>
      <c r="R97" t="str">
        <f>IFERROR(INDEX($AD$7:$AD$88,MATCH(mapPRC!C168,$AC$7:$AC$88,0)),"")</f>
        <v>com</v>
      </c>
      <c r="U97" t="str">
        <f>mapCOM!A94</f>
        <v>flab-s</v>
      </c>
      <c r="V97" t="str">
        <f t="shared" si="2"/>
        <v/>
      </c>
      <c r="AE97" t="s">
        <v>1916</v>
      </c>
      <c r="AI97" t="s">
        <v>2253</v>
      </c>
      <c r="AJ97" t="s">
        <v>3016</v>
      </c>
    </row>
    <row r="98" spans="13:36" x14ac:dyDescent="0.25">
      <c r="M98" t="s">
        <v>1052</v>
      </c>
      <c r="Q98" t="str">
        <f>mapPRC!A169</f>
        <v>CNTELC-E</v>
      </c>
      <c r="R98" t="str">
        <f>IFERROR(INDEX($AD$7:$AD$88,MATCH(mapPRC!C169,$AC$7:$AC$88,0)),"")</f>
        <v>com</v>
      </c>
      <c r="U98" t="str">
        <f>mapCOM!A95</f>
        <v>flab-t</v>
      </c>
      <c r="V98" t="str">
        <f t="shared" si="2"/>
        <v/>
      </c>
      <c r="AE98" t="s">
        <v>1914</v>
      </c>
      <c r="AI98" t="s">
        <v>2090</v>
      </c>
      <c r="AJ98" t="s">
        <v>3016</v>
      </c>
    </row>
    <row r="99" spans="13:36" x14ac:dyDescent="0.25">
      <c r="M99" t="s">
        <v>386</v>
      </c>
      <c r="Q99" t="str">
        <f>mapPRC!A170</f>
        <v>CNWCOA-E</v>
      </c>
      <c r="R99" t="str">
        <f>IFERROR(INDEX($AD$7:$AD$88,MATCH(mapPRC!C170,$AC$7:$AC$88,0)),"")</f>
        <v>com</v>
      </c>
      <c r="U99" t="str">
        <f>mapCOM!A96</f>
        <v>GAS</v>
      </c>
      <c r="V99" t="str">
        <f t="shared" si="2"/>
        <v>cngas</v>
      </c>
      <c r="AE99" t="s">
        <v>1908</v>
      </c>
      <c r="AI99" t="s">
        <v>2087</v>
      </c>
      <c r="AJ99" t="s">
        <v>3016</v>
      </c>
    </row>
    <row r="100" spans="13:36" x14ac:dyDescent="0.25">
      <c r="M100" t="s">
        <v>425</v>
      </c>
      <c r="Q100" t="str">
        <f>mapPRC!A171</f>
        <v>CNWELC-E</v>
      </c>
      <c r="R100" t="str">
        <f>IFERROR(INDEX($AD$7:$AD$88,MATCH(mapPRC!C171,$AC$7:$AC$88,0)),"")</f>
        <v>com</v>
      </c>
      <c r="U100" t="str">
        <f>mapCOM!A97</f>
        <v>GIB</v>
      </c>
      <c r="V100" t="str">
        <f t="shared" si="2"/>
        <v>cngas</v>
      </c>
      <c r="AE100" t="s">
        <v>1904</v>
      </c>
      <c r="AI100" t="s">
        <v>2084</v>
      </c>
      <c r="AJ100" t="s">
        <v>3016</v>
      </c>
    </row>
    <row r="101" spans="13:36" x14ac:dyDescent="0.25">
      <c r="M101" t="s">
        <v>3238</v>
      </c>
      <c r="Q101" t="str">
        <f>mapPRC!A172</f>
        <v>CNWELCHP-N</v>
      </c>
      <c r="R101" t="str">
        <f>IFERROR(INDEX($AD$7:$AD$88,MATCH(mapPRC!C172,$AC$7:$AC$88,0)),"")</f>
        <v>com</v>
      </c>
      <c r="U101" t="str">
        <f>mapCOM!A98</f>
        <v>GIC</v>
      </c>
      <c r="V101" t="str">
        <f t="shared" si="2"/>
        <v>cngas</v>
      </c>
      <c r="AE101" t="s">
        <v>1906</v>
      </c>
      <c r="AI101" t="s">
        <v>2248</v>
      </c>
      <c r="AJ101" t="s">
        <v>3016</v>
      </c>
    </row>
    <row r="102" spans="13:36" x14ac:dyDescent="0.25">
      <c r="M102" t="s">
        <v>619</v>
      </c>
      <c r="Q102" t="str">
        <f>mapPRC!A173</f>
        <v>CNWELC-N</v>
      </c>
      <c r="R102" t="str">
        <f>IFERROR(INDEX($AD$7:$AD$88,MATCH(mapPRC!C173,$AC$7:$AC$88,0)),"")</f>
        <v>com</v>
      </c>
      <c r="U102" t="str">
        <f>mapCOM!A99</f>
        <v>GIH</v>
      </c>
      <c r="V102" t="str">
        <f t="shared" si="2"/>
        <v>cngas</v>
      </c>
      <c r="AE102" t="s">
        <v>1902</v>
      </c>
      <c r="AI102" t="s">
        <v>2246</v>
      </c>
      <c r="AJ102" t="s">
        <v>3021</v>
      </c>
    </row>
    <row r="103" spans="13:36" x14ac:dyDescent="0.25">
      <c r="M103" t="s">
        <v>616</v>
      </c>
      <c r="Q103" t="str">
        <f>mapPRC!A174</f>
        <v>CNWGAS-E</v>
      </c>
      <c r="R103" t="str">
        <f>IFERROR(INDEX($AD$7:$AD$88,MATCH(mapPRC!C174,$AC$7:$AC$88,0)),"")</f>
        <v>com</v>
      </c>
      <c r="U103" t="str">
        <f>mapCOM!A100</f>
        <v>GIM</v>
      </c>
      <c r="V103" t="str">
        <f t="shared" si="2"/>
        <v>cngas</v>
      </c>
      <c r="AE103" t="s">
        <v>1900</v>
      </c>
      <c r="AI103" t="s">
        <v>2244</v>
      </c>
      <c r="AJ103" t="s">
        <v>3025</v>
      </c>
    </row>
    <row r="104" spans="13:36" x14ac:dyDescent="0.25">
      <c r="M104" t="s">
        <v>36</v>
      </c>
      <c r="Q104" t="str">
        <f>mapPRC!A175</f>
        <v>CNWOKE-E</v>
      </c>
      <c r="R104" t="str">
        <f>IFERROR(INDEX($AD$7:$AD$88,MATCH(mapPRC!C175,$AC$7:$AC$88,0)),"")</f>
        <v>com</v>
      </c>
      <c r="U104" t="str">
        <f>mapCOM!A101</f>
        <v>GRL</v>
      </c>
      <c r="V104" t="str">
        <f t="shared" si="2"/>
        <v>cngas</v>
      </c>
      <c r="AE104" t="s">
        <v>1898</v>
      </c>
      <c r="AI104" t="s">
        <v>2242</v>
      </c>
      <c r="AJ104" t="s">
        <v>3020</v>
      </c>
    </row>
    <row r="105" spans="13:36" x14ac:dyDescent="0.25">
      <c r="M105" t="s">
        <v>607</v>
      </c>
      <c r="Q105" t="str">
        <f>mapPRC!A176</f>
        <v>CNWOLP-E</v>
      </c>
      <c r="R105" t="str">
        <f>IFERROR(INDEX($AD$7:$AD$88,MATCH(mapPRC!C176,$AC$7:$AC$88,0)),"")</f>
        <v>com</v>
      </c>
      <c r="U105" t="str">
        <f>mapCOM!A102</f>
        <v>GRM</v>
      </c>
      <c r="V105" t="str">
        <f t="shared" si="2"/>
        <v>cngas</v>
      </c>
      <c r="AE105" t="s">
        <v>1896</v>
      </c>
      <c r="AI105" t="s">
        <v>2240</v>
      </c>
      <c r="AJ105" t="s">
        <v>3026</v>
      </c>
    </row>
    <row r="106" spans="13:36" x14ac:dyDescent="0.25">
      <c r="M106" t="s">
        <v>733</v>
      </c>
      <c r="Q106" t="str">
        <f>mapPRC!A177</f>
        <v>COM_ACHILLER-E</v>
      </c>
      <c r="R106" t="str">
        <f>IFERROR(INDEX($AD$7:$AD$88,MATCH(mapPRC!C177,$AC$7:$AC$88,0)),"")</f>
        <v/>
      </c>
      <c r="U106" t="str">
        <f>mapCOM!A103</f>
        <v>GRN</v>
      </c>
      <c r="V106" t="str">
        <f t="shared" si="2"/>
        <v>cngas</v>
      </c>
      <c r="AE106" t="s">
        <v>1894</v>
      </c>
      <c r="AI106" t="s">
        <v>2238</v>
      </c>
      <c r="AJ106" t="s">
        <v>3021</v>
      </c>
    </row>
    <row r="107" spans="13:36" x14ac:dyDescent="0.25">
      <c r="M107" t="s">
        <v>1067</v>
      </c>
      <c r="Q107" t="str">
        <f>mapPRC!A178</f>
        <v>COM_ACHILLER-N</v>
      </c>
      <c r="R107" t="str">
        <f>IFERROR(INDEX($AD$7:$AD$88,MATCH(mapPRC!C178,$AC$7:$AC$88,0)),"")</f>
        <v/>
      </c>
      <c r="U107" t="str">
        <f>mapCOM!A104</f>
        <v>GRS</v>
      </c>
      <c r="V107" t="str">
        <f t="shared" si="2"/>
        <v>cngas</v>
      </c>
      <c r="AE107" t="s">
        <v>1892</v>
      </c>
      <c r="AI107" t="s">
        <v>2236</v>
      </c>
      <c r="AJ107" t="s">
        <v>3021</v>
      </c>
    </row>
    <row r="108" spans="13:36" x14ac:dyDescent="0.25">
      <c r="M108" t="s">
        <v>404</v>
      </c>
      <c r="Q108" t="str">
        <f>mapPRC!A179</f>
        <v>COM_HEATER-E</v>
      </c>
      <c r="R108" t="str">
        <f>IFERROR(INDEX($AD$7:$AD$88,MATCH(mapPRC!C179,$AC$7:$AC$88,0)),"")</f>
        <v/>
      </c>
      <c r="U108" t="str">
        <f>mapCOM!A105</f>
        <v>GWL</v>
      </c>
      <c r="V108" t="str">
        <f t="shared" si="2"/>
        <v>cngas</v>
      </c>
      <c r="AE108" t="s">
        <v>1890</v>
      </c>
      <c r="AI108" t="s">
        <v>2234</v>
      </c>
      <c r="AJ108" t="s">
        <v>3021</v>
      </c>
    </row>
    <row r="109" spans="13:36" x14ac:dyDescent="0.25">
      <c r="M109" t="s">
        <v>399</v>
      </c>
      <c r="Q109" t="str">
        <f>mapPRC!A180</f>
        <v>COM_HEATER-N</v>
      </c>
      <c r="R109" t="str">
        <f>IFERROR(INDEX($AD$7:$AD$88,MATCH(mapPRC!C180,$AC$7:$AC$88,0)),"")</f>
        <v/>
      </c>
      <c r="U109" t="str">
        <f>mapCOM!A106</f>
        <v>HEE</v>
      </c>
      <c r="V109" t="str">
        <f t="shared" si="2"/>
        <v/>
      </c>
      <c r="AE109" t="s">
        <v>1888</v>
      </c>
      <c r="AI109" t="s">
        <v>2232</v>
      </c>
      <c r="AJ109" t="s">
        <v>3016</v>
      </c>
    </row>
    <row r="110" spans="13:36" x14ac:dyDescent="0.25">
      <c r="M110" t="s">
        <v>995</v>
      </c>
      <c r="Q110" t="str">
        <f>mapPRC!A181</f>
        <v>COMTHRM_SWITCH-E</v>
      </c>
      <c r="R110" t="str">
        <f>IFERROR(INDEX($AD$7:$AD$88,MATCH(mapPRC!C181,$AC$7:$AC$88,0)),"")</f>
        <v/>
      </c>
      <c r="U110" t="str">
        <f>mapCOM!A107</f>
        <v>HEN</v>
      </c>
      <c r="V110" t="str">
        <f t="shared" si="2"/>
        <v/>
      </c>
      <c r="AE110" t="s">
        <v>1886</v>
      </c>
      <c r="AI110" t="s">
        <v>2231</v>
      </c>
      <c r="AJ110" t="s">
        <v>3016</v>
      </c>
    </row>
    <row r="111" spans="13:36" x14ac:dyDescent="0.25">
      <c r="M111" t="s">
        <v>24</v>
      </c>
      <c r="Q111" t="str">
        <f>mapPRC!A182</f>
        <v>COMTHRM_SWITCH-N</v>
      </c>
      <c r="R111" t="str">
        <f>IFERROR(INDEX($AD$7:$AD$88,MATCH(mapPRC!C182,$AC$7:$AC$88,0)),"")</f>
        <v/>
      </c>
      <c r="U111" t="str">
        <f>mapCOM!A108</f>
        <v>HET</v>
      </c>
      <c r="V111" t="str">
        <f t="shared" si="2"/>
        <v/>
      </c>
      <c r="AE111" t="s">
        <v>2054</v>
      </c>
      <c r="AI111" t="s">
        <v>2229</v>
      </c>
      <c r="AJ111" t="s">
        <v>3016</v>
      </c>
    </row>
    <row r="112" spans="13:36" x14ac:dyDescent="0.25">
      <c r="M112" t="s">
        <v>489</v>
      </c>
      <c r="Q112" t="str">
        <f>mapPRC!A183</f>
        <v>COMTRI_1-E</v>
      </c>
      <c r="R112" t="str">
        <f>IFERROR(INDEX($AD$7:$AD$88,MATCH(mapPRC!C183,$AC$7:$AC$88,0)),"")</f>
        <v/>
      </c>
      <c r="U112" t="str">
        <f>mapCOM!A109</f>
        <v>HGN</v>
      </c>
      <c r="V112" t="str">
        <f t="shared" si="2"/>
        <v>chydr</v>
      </c>
      <c r="AE112" t="s">
        <v>2053</v>
      </c>
      <c r="AI112" t="s">
        <v>2228</v>
      </c>
      <c r="AJ112" t="s">
        <v>3016</v>
      </c>
    </row>
    <row r="113" spans="13:36" x14ac:dyDescent="0.25">
      <c r="M113" t="s">
        <v>486</v>
      </c>
      <c r="Q113" t="str">
        <f>mapPRC!A184</f>
        <v>COMTRI_1-N</v>
      </c>
      <c r="R113" t="str">
        <f>IFERROR(INDEX($AD$7:$AD$88,MATCH(mapPRC!C184,$AC$7:$AC$88,0)),"")</f>
        <v/>
      </c>
      <c r="U113" t="str">
        <f>mapCOM!A110</f>
        <v>HYD</v>
      </c>
      <c r="V113" t="str">
        <f t="shared" si="2"/>
        <v/>
      </c>
      <c r="AE113" t="s">
        <v>2052</v>
      </c>
      <c r="AI113" t="s">
        <v>2227</v>
      </c>
      <c r="AJ113" t="s">
        <v>3016</v>
      </c>
    </row>
    <row r="114" spans="13:36" x14ac:dyDescent="0.25">
      <c r="M114" t="s">
        <v>476</v>
      </c>
      <c r="Q114" t="str">
        <f>mapPRC!A185</f>
        <v>EP_FLAB-M</v>
      </c>
      <c r="R114" t="str">
        <f>IFERROR(INDEX($AD$7:$AD$88,MATCH(mapPRC!C185,$AC$7:$AC$88,0)),"")</f>
        <v/>
      </c>
      <c r="U114" t="str">
        <f>mapCOM!A111</f>
        <v>IALM</v>
      </c>
      <c r="V114" t="str">
        <f t="shared" si="2"/>
        <v/>
      </c>
      <c r="AE114" t="s">
        <v>2051</v>
      </c>
      <c r="AI114" t="s">
        <v>2224</v>
      </c>
      <c r="AJ114" t="s">
        <v>3016</v>
      </c>
    </row>
    <row r="115" spans="13:36" x14ac:dyDescent="0.25">
      <c r="M115" t="s">
        <v>483</v>
      </c>
      <c r="Q115" t="str">
        <f>mapPRC!A186</f>
        <v>EP_FLAB-P</v>
      </c>
      <c r="R115" t="str">
        <f>IFERROR(INDEX($AD$7:$AD$88,MATCH(mapPRC!C186,$AC$7:$AC$88,0)),"")</f>
        <v/>
      </c>
      <c r="U115" t="str">
        <f>mapCOM!A112</f>
        <v>ICPA</v>
      </c>
      <c r="V115" t="str">
        <f t="shared" si="2"/>
        <v/>
      </c>
      <c r="AE115" t="s">
        <v>2050</v>
      </c>
      <c r="AI115" t="s">
        <v>2222</v>
      </c>
      <c r="AJ115" t="s">
        <v>3022</v>
      </c>
    </row>
    <row r="116" spans="13:36" x14ac:dyDescent="0.25">
      <c r="M116" t="s">
        <v>471</v>
      </c>
      <c r="Q116" t="str">
        <f>mapPRC!A187</f>
        <v>EP_FLAB-S</v>
      </c>
      <c r="R116" t="str">
        <f>IFERROR(INDEX($AD$7:$AD$88,MATCH(mapPRC!C187,$AC$7:$AC$88,0)),"")</f>
        <v/>
      </c>
      <c r="U116" t="str">
        <f>mapCOM!A113</f>
        <v>ICPC</v>
      </c>
      <c r="V116" t="str">
        <f t="shared" si="2"/>
        <v/>
      </c>
      <c r="AE116" t="s">
        <v>2049</v>
      </c>
      <c r="AI116" t="s">
        <v>2220</v>
      </c>
      <c r="AJ116" t="s">
        <v>3023</v>
      </c>
    </row>
    <row r="117" spans="13:36" x14ac:dyDescent="0.25">
      <c r="M117" t="s">
        <v>33</v>
      </c>
      <c r="Q117" t="str">
        <f>mapPRC!A188</f>
        <v>EP_FLAB-T</v>
      </c>
      <c r="R117" t="str">
        <f>IFERROR(INDEX($AD$7:$AD$88,MATCH(mapPRC!C188,$AC$7:$AC$88,0)),"")</f>
        <v/>
      </c>
      <c r="U117" t="str">
        <f>mapCOM!A114</f>
        <v>ICPE</v>
      </c>
      <c r="V117" t="str">
        <f t="shared" si="2"/>
        <v/>
      </c>
      <c r="AE117" t="s">
        <v>2048</v>
      </c>
      <c r="AI117" t="s">
        <v>2219</v>
      </c>
      <c r="AJ117" t="s">
        <v>3016</v>
      </c>
    </row>
    <row r="118" spans="13:36" x14ac:dyDescent="0.25">
      <c r="M118" t="s">
        <v>549</v>
      </c>
      <c r="Q118" t="str">
        <f>mapPRC!A189</f>
        <v>EPTSTO-E</v>
      </c>
      <c r="R118" t="str">
        <f>IFERROR(INDEX($AD$7:$AD$88,MATCH(mapPRC!C189,$AC$7:$AC$88,0)),"")</f>
        <v>elec</v>
      </c>
      <c r="U118" t="str">
        <f>mapCOM!A115</f>
        <v>ICPELC</v>
      </c>
      <c r="V118" t="str">
        <f t="shared" si="2"/>
        <v>celec</v>
      </c>
      <c r="AE118" t="s">
        <v>2047</v>
      </c>
      <c r="AI118" t="s">
        <v>2216</v>
      </c>
      <c r="AJ118" t="s">
        <v>3016</v>
      </c>
    </row>
    <row r="119" spans="13:36" x14ac:dyDescent="0.25">
      <c r="M119" t="s">
        <v>730</v>
      </c>
      <c r="Q119" t="str">
        <f>mapPRC!A190</f>
        <v>EPTSTO-N</v>
      </c>
      <c r="R119" t="str">
        <f>IFERROR(INDEX($AD$7:$AD$88,MATCH(mapPRC!C190,$AC$7:$AC$88,0)),"")</f>
        <v>elec</v>
      </c>
      <c r="U119" t="str">
        <f>mapCOM!A116</f>
        <v>ICPF</v>
      </c>
      <c r="V119" t="str">
        <f t="shared" si="2"/>
        <v/>
      </c>
      <c r="AE119" t="s">
        <v>2046</v>
      </c>
      <c r="AI119" t="s">
        <v>2214</v>
      </c>
      <c r="AJ119" t="s">
        <v>3016</v>
      </c>
    </row>
    <row r="120" spans="13:36" x14ac:dyDescent="0.25">
      <c r="M120" t="s">
        <v>0</v>
      </c>
      <c r="Q120" t="str">
        <f>mapPRC!A191</f>
        <v>ERBIG-N</v>
      </c>
      <c r="R120" t="str">
        <f>IFERROR(INDEX($AD$7:$AD$88,MATCH(mapPRC!C191,$AC$7:$AC$88,0)),"")</f>
        <v>elec</v>
      </c>
      <c r="U120" t="str">
        <f>mapCOM!A117</f>
        <v>ICPGAS</v>
      </c>
      <c r="V120" t="str">
        <f t="shared" si="2"/>
        <v>cngas</v>
      </c>
      <c r="AE120" t="s">
        <v>2045</v>
      </c>
      <c r="AI120" t="s">
        <v>2211</v>
      </c>
      <c r="AJ120" t="s">
        <v>3016</v>
      </c>
    </row>
    <row r="121" spans="13:36" x14ac:dyDescent="0.25">
      <c r="M121" t="s">
        <v>1044</v>
      </c>
      <c r="Q121" t="str">
        <f>mapPRC!A192</f>
        <v>ERBIO-N</v>
      </c>
      <c r="R121" t="str">
        <f>IFERROR(INDEX($AD$7:$AD$88,MATCH(mapPRC!C192,$AC$7:$AC$88,0)),"")</f>
        <v>elec</v>
      </c>
      <c r="U121" t="str">
        <f>mapCOM!A118</f>
        <v>ICPH</v>
      </c>
      <c r="V121" t="str">
        <f t="shared" si="2"/>
        <v/>
      </c>
      <c r="AE121" t="s">
        <v>2043</v>
      </c>
      <c r="AI121" t="s">
        <v>2209</v>
      </c>
      <c r="AJ121" t="s">
        <v>3016</v>
      </c>
    </row>
    <row r="122" spans="13:36" x14ac:dyDescent="0.25">
      <c r="M122" t="s">
        <v>1204</v>
      </c>
      <c r="Q122" t="str">
        <f>mapPRC!A193</f>
        <v>ERHYDB-I</v>
      </c>
      <c r="R122" t="str">
        <f>IFERROR(INDEX($AD$7:$AD$88,MATCH(mapPRC!C193,$AC$7:$AC$88,0)),"")</f>
        <v>imp</v>
      </c>
      <c r="U122" t="str">
        <f>mapCOM!A119</f>
        <v>ICPK</v>
      </c>
      <c r="V122" t="str">
        <f t="shared" si="2"/>
        <v/>
      </c>
      <c r="AE122" t="s">
        <v>2041</v>
      </c>
      <c r="AI122" t="s">
        <v>2208</v>
      </c>
      <c r="AJ122" t="s">
        <v>3017</v>
      </c>
    </row>
    <row r="123" spans="13:36" x14ac:dyDescent="0.25">
      <c r="M123" t="s">
        <v>987</v>
      </c>
      <c r="Q123" t="str">
        <f>mapPRC!A194</f>
        <v>ERHYD-E</v>
      </c>
      <c r="R123" t="str">
        <f>IFERROR(INDEX($AD$7:$AD$88,MATCH(mapPRC!C194,$AC$7:$AC$88,0)),"")</f>
        <v>elec</v>
      </c>
      <c r="U123" t="str">
        <f>mapCOM!A120</f>
        <v>ICPL</v>
      </c>
      <c r="V123" t="str">
        <f t="shared" si="2"/>
        <v/>
      </c>
      <c r="AE123" t="s">
        <v>2039</v>
      </c>
      <c r="AI123" t="s">
        <v>2207</v>
      </c>
      <c r="AJ123" t="s">
        <v>3017</v>
      </c>
    </row>
    <row r="124" spans="13:36" x14ac:dyDescent="0.25">
      <c r="M124" t="s">
        <v>466</v>
      </c>
      <c r="Q124" t="str">
        <f>mapPRC!A195</f>
        <v>ERHYDF-I</v>
      </c>
      <c r="R124" t="str">
        <f>IFERROR(INDEX($AD$7:$AD$88,MATCH(mapPRC!C195,$AC$7:$AC$88,0)),"")</f>
        <v>imp</v>
      </c>
      <c r="U124" t="str">
        <f>mapCOM!A121</f>
        <v>ICPO</v>
      </c>
      <c r="V124" t="str">
        <f t="shared" si="2"/>
        <v/>
      </c>
      <c r="AE124" t="s">
        <v>2037</v>
      </c>
      <c r="AI124" t="s">
        <v>2206</v>
      </c>
      <c r="AJ124" t="s">
        <v>3017</v>
      </c>
    </row>
    <row r="125" spans="13:36" x14ac:dyDescent="0.25">
      <c r="M125" t="s">
        <v>3206</v>
      </c>
      <c r="Q125" t="str">
        <f>mapPRC!A196</f>
        <v>ERHYDGIE-I</v>
      </c>
      <c r="R125" t="str">
        <f>IFERROR(INDEX($AD$7:$AD$88,MATCH(mapPRC!C196,$AC$7:$AC$88,0)),"")</f>
        <v>imp</v>
      </c>
      <c r="U125" t="str">
        <f>mapCOM!A122</f>
        <v>ICPP</v>
      </c>
      <c r="V125" t="str">
        <f t="shared" si="2"/>
        <v/>
      </c>
      <c r="AE125" t="s">
        <v>2035</v>
      </c>
      <c r="AI125" t="s">
        <v>2205</v>
      </c>
      <c r="AJ125" t="s">
        <v>3017</v>
      </c>
    </row>
    <row r="126" spans="13:36" x14ac:dyDescent="0.25">
      <c r="M126" t="s">
        <v>1025</v>
      </c>
      <c r="Q126" t="str">
        <f>mapPRC!A197</f>
        <v>ERHYDGIW-I</v>
      </c>
      <c r="R126" t="str">
        <f>IFERROR(INDEX($AD$7:$AD$88,MATCH(mapPRC!C197,$AC$7:$AC$88,0)),"")</f>
        <v>imp</v>
      </c>
      <c r="U126" t="str">
        <f>mapCOM!A123</f>
        <v>ICPS</v>
      </c>
      <c r="V126" t="str">
        <f t="shared" si="2"/>
        <v/>
      </c>
      <c r="AE126" t="s">
        <v>2033</v>
      </c>
      <c r="AI126" t="s">
        <v>2204</v>
      </c>
      <c r="AJ126" t="s">
        <v>3017</v>
      </c>
    </row>
    <row r="127" spans="13:36" x14ac:dyDescent="0.25">
      <c r="M127" t="s">
        <v>1568</v>
      </c>
      <c r="Q127" t="str">
        <f>mapPRC!A198</f>
        <v>ERHYDH-I</v>
      </c>
      <c r="R127" t="str">
        <f>IFERROR(INDEX($AD$7:$AD$88,MATCH(mapPRC!C198,$AC$7:$AC$88,0)),"")</f>
        <v>imp</v>
      </c>
      <c r="U127" t="str">
        <f>mapCOM!A124</f>
        <v>ICPT</v>
      </c>
      <c r="V127" t="str">
        <f t="shared" si="2"/>
        <v/>
      </c>
      <c r="AE127" t="s">
        <v>2031</v>
      </c>
      <c r="AI127" t="s">
        <v>2203</v>
      </c>
      <c r="AJ127" t="s">
        <v>3017</v>
      </c>
    </row>
    <row r="128" spans="13:36" x14ac:dyDescent="0.25">
      <c r="M128" t="s">
        <v>1519</v>
      </c>
      <c r="Q128" t="str">
        <f>mapPRC!A199</f>
        <v>ERHYD-I</v>
      </c>
      <c r="R128" t="str">
        <f>IFERROR(INDEX($AD$7:$AD$88,MATCH(mapPRC!C199,$AC$7:$AC$88,0)),"")</f>
        <v>imp</v>
      </c>
      <c r="U128" t="str">
        <f>mapCOM!A125</f>
        <v>IFAM</v>
      </c>
      <c r="V128" t="str">
        <f t="shared" si="2"/>
        <v/>
      </c>
      <c r="AE128" t="s">
        <v>2029</v>
      </c>
      <c r="AI128" t="s">
        <v>2202</v>
      </c>
      <c r="AJ128" t="s">
        <v>3016</v>
      </c>
    </row>
    <row r="129" spans="13:36" x14ac:dyDescent="0.25">
      <c r="M129" t="s">
        <v>1041</v>
      </c>
      <c r="Q129" t="str">
        <f>mapPRC!A200</f>
        <v>ERHYDI-I</v>
      </c>
      <c r="R129" t="str">
        <f>IFERROR(INDEX($AD$7:$AD$88,MATCH(mapPRC!C200,$AC$7:$AC$88,0)),"")</f>
        <v>imp</v>
      </c>
      <c r="U129" t="str">
        <f>mapCOM!A126</f>
        <v>IFAELC</v>
      </c>
      <c r="V129" t="str">
        <f t="shared" si="2"/>
        <v>celec</v>
      </c>
      <c r="AE129" t="s">
        <v>1882</v>
      </c>
      <c r="AI129" t="s">
        <v>2200</v>
      </c>
      <c r="AJ129" t="s">
        <v>3016</v>
      </c>
    </row>
    <row r="130" spans="13:36" x14ac:dyDescent="0.25">
      <c r="M130" t="s">
        <v>760</v>
      </c>
      <c r="Q130" t="str">
        <f>mapPRC!A201</f>
        <v>ERHYDK-I</v>
      </c>
      <c r="R130" t="str">
        <f>IFERROR(INDEX($AD$7:$AD$88,MATCH(mapPRC!C201,$AC$7:$AC$88,0)),"")</f>
        <v>imp</v>
      </c>
      <c r="U130" t="str">
        <f>mapCOM!A127</f>
        <v>IFAGAS</v>
      </c>
      <c r="V130" t="str">
        <f t="shared" si="2"/>
        <v>cngas</v>
      </c>
      <c r="AE130" t="s">
        <v>1880</v>
      </c>
      <c r="AI130" t="s">
        <v>2197</v>
      </c>
      <c r="AJ130" t="s">
        <v>3016</v>
      </c>
    </row>
    <row r="131" spans="13:36" x14ac:dyDescent="0.25">
      <c r="M131" t="s">
        <v>1200</v>
      </c>
      <c r="Q131" t="str">
        <f>mapPRC!A202</f>
        <v>ERHYDM-I</v>
      </c>
      <c r="R131" t="str">
        <f>IFERROR(INDEX($AD$7:$AD$88,MATCH(mapPRC!C202,$AC$7:$AC$88,0)),"")</f>
        <v>imp</v>
      </c>
      <c r="U131" t="str">
        <f>mapCOM!A128</f>
        <v>IFBA</v>
      </c>
      <c r="V131" t="str">
        <f t="shared" si="2"/>
        <v/>
      </c>
      <c r="AE131" t="s">
        <v>1879</v>
      </c>
      <c r="AI131" t="s">
        <v>2195</v>
      </c>
      <c r="AJ131" t="s">
        <v>3016</v>
      </c>
    </row>
    <row r="132" spans="13:36" x14ac:dyDescent="0.25">
      <c r="M132" t="s">
        <v>1196</v>
      </c>
      <c r="Q132" t="str">
        <f>mapPRC!A203</f>
        <v>ERHYD-N</v>
      </c>
      <c r="R132" t="str">
        <f>IFERROR(INDEX($AD$7:$AD$88,MATCH(mapPRC!C203,$AC$7:$AC$88,0)),"")</f>
        <v>elec</v>
      </c>
      <c r="U132" t="str">
        <f>mapCOM!A129</f>
        <v>IFBC</v>
      </c>
      <c r="V132" t="str">
        <f t="shared" si="2"/>
        <v/>
      </c>
      <c r="AE132" t="s">
        <v>1877</v>
      </c>
      <c r="AI132" t="s">
        <v>2192</v>
      </c>
      <c r="AJ132" t="s">
        <v>3016</v>
      </c>
    </row>
    <row r="133" spans="13:36" x14ac:dyDescent="0.25">
      <c r="M133" t="s">
        <v>3087</v>
      </c>
      <c r="Q133" t="str">
        <f>mapPRC!A204</f>
        <v>ERSOLPCF-N</v>
      </c>
      <c r="R133" t="str">
        <f>IFERROR(INDEX($AD$7:$AD$88,MATCH(mapPRC!C204,$AC$7:$AC$88,0)),"")</f>
        <v>elec</v>
      </c>
      <c r="U133" t="str">
        <f>mapCOM!A130</f>
        <v>IFBE</v>
      </c>
      <c r="V133" t="str">
        <f t="shared" si="2"/>
        <v/>
      </c>
      <c r="AE133" t="s">
        <v>1875</v>
      </c>
      <c r="AI133" t="s">
        <v>2190</v>
      </c>
      <c r="AJ133" t="s">
        <v>3016</v>
      </c>
    </row>
    <row r="134" spans="13:36" x14ac:dyDescent="0.25">
      <c r="M134" t="s">
        <v>743</v>
      </c>
      <c r="Q134" t="str">
        <f>mapPRC!A205</f>
        <v>ERSOLPCT-N</v>
      </c>
      <c r="R134" t="str">
        <f>IFERROR(INDEX($AD$7:$AD$88,MATCH(mapPRC!C205,$AC$7:$AC$88,0)),"")</f>
        <v>elec</v>
      </c>
      <c r="U134" t="str">
        <f>mapCOM!A131</f>
        <v>IFBELC</v>
      </c>
      <c r="V134" t="str">
        <f t="shared" si="2"/>
        <v>celec</v>
      </c>
      <c r="AE134" t="s">
        <v>1864</v>
      </c>
      <c r="AI134" t="s">
        <v>2187</v>
      </c>
      <c r="AJ134" t="s">
        <v>3016</v>
      </c>
    </row>
    <row r="135" spans="13:36" x14ac:dyDescent="0.25">
      <c r="M135" t="s">
        <v>3170</v>
      </c>
      <c r="Q135" t="str">
        <f>mapPRC!A206</f>
        <v>ERSOLPICP-N</v>
      </c>
      <c r="R135" t="str">
        <f>IFERROR(INDEX($AD$7:$AD$88,MATCH(mapPRC!C206,$AC$7:$AC$88,0)),"")</f>
        <v>elec</v>
      </c>
      <c r="U135" t="str">
        <f>mapCOM!A132</f>
        <v>IFBF</v>
      </c>
      <c r="V135" t="str">
        <f t="shared" ref="V135:V198" si="3">INDEX($AJ$6:$AJ$784,MATCH(U135,$AI$6:$AI$784,0))</f>
        <v/>
      </c>
      <c r="AE135" t="s">
        <v>1862</v>
      </c>
      <c r="AI135" t="s">
        <v>2185</v>
      </c>
      <c r="AJ135" t="s">
        <v>3016</v>
      </c>
    </row>
    <row r="136" spans="13:36" x14ac:dyDescent="0.25">
      <c r="M136" t="s">
        <v>29</v>
      </c>
      <c r="Q136" t="str">
        <f>mapPRC!A207</f>
        <v>ERSOLPIFA-N</v>
      </c>
      <c r="R136" t="str">
        <f>IFERROR(INDEX($AD$7:$AD$88,MATCH(mapPRC!C207,$AC$7:$AC$88,0)),"")</f>
        <v>elec</v>
      </c>
      <c r="U136" t="str">
        <f>mapCOM!A133</f>
        <v>IFBGAS</v>
      </c>
      <c r="V136" t="str">
        <f t="shared" si="3"/>
        <v>cngas</v>
      </c>
      <c r="AE136" t="s">
        <v>1860</v>
      </c>
      <c r="AI136" t="s">
        <v>2183</v>
      </c>
      <c r="AJ136" t="s">
        <v>3020</v>
      </c>
    </row>
    <row r="137" spans="13:36" x14ac:dyDescent="0.25">
      <c r="M137" t="s">
        <v>546</v>
      </c>
      <c r="Q137" t="str">
        <f>mapPRC!A208</f>
        <v>ERSOLPIFB-N</v>
      </c>
      <c r="R137" t="str">
        <f>IFERROR(INDEX($AD$7:$AD$88,MATCH(mapPRC!C208,$AC$7:$AC$88,0)),"")</f>
        <v>elec</v>
      </c>
      <c r="U137" t="str">
        <f>mapCOM!A134</f>
        <v>IFBH</v>
      </c>
      <c r="V137" t="str">
        <f t="shared" si="3"/>
        <v/>
      </c>
      <c r="AE137" t="s">
        <v>3139</v>
      </c>
      <c r="AI137" t="s">
        <v>2182</v>
      </c>
      <c r="AJ137" t="s">
        <v>3016</v>
      </c>
    </row>
    <row r="138" spans="13:36" x14ac:dyDescent="0.25">
      <c r="M138" t="s">
        <v>543</v>
      </c>
      <c r="Q138" t="str">
        <f>mapPRC!A209</f>
        <v>ERSOLPIIS-N</v>
      </c>
      <c r="R138" t="str">
        <f>IFERROR(INDEX($AD$7:$AD$88,MATCH(mapPRC!C209,$AC$7:$AC$88,0)),"")</f>
        <v>elec</v>
      </c>
      <c r="U138" t="str">
        <f>mapCOM!A135</f>
        <v>IFBK</v>
      </c>
      <c r="V138" t="str">
        <f t="shared" si="3"/>
        <v/>
      </c>
      <c r="AI138" t="s">
        <v>2179</v>
      </c>
      <c r="AJ138" t="s">
        <v>3016</v>
      </c>
    </row>
    <row r="139" spans="13:36" x14ac:dyDescent="0.25">
      <c r="M139" t="s">
        <v>526</v>
      </c>
      <c r="Q139" t="str">
        <f>mapPRC!A210</f>
        <v>ERSOLPINF-N</v>
      </c>
      <c r="R139" t="str">
        <f>IFERROR(INDEX($AD$7:$AD$88,MATCH(mapPRC!C210,$AC$7:$AC$88,0)),"")</f>
        <v>elec</v>
      </c>
      <c r="U139" t="str">
        <f>mapCOM!A136</f>
        <v>IFBL</v>
      </c>
      <c r="V139" t="str">
        <f t="shared" si="3"/>
        <v/>
      </c>
      <c r="AI139" t="s">
        <v>2177</v>
      </c>
      <c r="AJ139" t="s">
        <v>3016</v>
      </c>
    </row>
    <row r="140" spans="13:36" x14ac:dyDescent="0.25">
      <c r="M140" t="s">
        <v>540</v>
      </c>
      <c r="Q140" t="str">
        <f>mapPRC!A211</f>
        <v>ERSOLPINM-N</v>
      </c>
      <c r="R140" t="str">
        <f>IFERROR(INDEX($AD$7:$AD$88,MATCH(mapPRC!C211,$AC$7:$AC$88,0)),"")</f>
        <v>elec</v>
      </c>
      <c r="U140" t="str">
        <f>mapCOM!A137</f>
        <v>IFBO</v>
      </c>
      <c r="V140" t="str">
        <f t="shared" si="3"/>
        <v/>
      </c>
      <c r="AI140" t="s">
        <v>2176</v>
      </c>
      <c r="AJ140" t="s">
        <v>3016</v>
      </c>
    </row>
    <row r="141" spans="13:36" x14ac:dyDescent="0.25">
      <c r="M141" t="s">
        <v>529</v>
      </c>
      <c r="Q141" t="str">
        <f>mapPRC!A212</f>
        <v>ERSOLPIOT-N</v>
      </c>
      <c r="R141" t="str">
        <f>IFERROR(INDEX($AD$7:$AD$88,MATCH(mapPRC!C212,$AC$7:$AC$88,0)),"")</f>
        <v>elec</v>
      </c>
      <c r="U141" t="str">
        <f>mapCOM!A138</f>
        <v>IFBP</v>
      </c>
      <c r="V141" t="str">
        <f t="shared" si="3"/>
        <v/>
      </c>
      <c r="AI141" t="s">
        <v>2173</v>
      </c>
      <c r="AJ141" t="s">
        <v>3016</v>
      </c>
    </row>
    <row r="142" spans="13:36" x14ac:dyDescent="0.25">
      <c r="M142" t="s">
        <v>461</v>
      </c>
      <c r="Q142" t="str">
        <f>mapPRC!A213</f>
        <v>ERSOLPIPP-N</v>
      </c>
      <c r="R142" t="str">
        <f>IFERROR(INDEX($AD$7:$AD$88,MATCH(mapPRC!C213,$AC$7:$AC$88,0)),"")</f>
        <v>elec</v>
      </c>
      <c r="U142" t="str">
        <f>mapCOM!A139</f>
        <v>IFBS</v>
      </c>
      <c r="V142" t="str">
        <f t="shared" si="3"/>
        <v/>
      </c>
      <c r="AI142" t="s">
        <v>2171</v>
      </c>
      <c r="AJ142" t="s">
        <v>3016</v>
      </c>
    </row>
    <row r="143" spans="13:36" x14ac:dyDescent="0.25">
      <c r="M143" t="s">
        <v>1787</v>
      </c>
      <c r="Q143" t="str">
        <f>mapPRC!A214</f>
        <v>ERSOLPRC-N</v>
      </c>
      <c r="R143" t="str">
        <f>IFERROR(INDEX($AD$7:$AD$88,MATCH(mapPRC!C214,$AC$7:$AC$88,0)),"")</f>
        <v>elec</v>
      </c>
      <c r="U143" t="str">
        <f>mapCOM!A140</f>
        <v>IISBIO</v>
      </c>
      <c r="V143" t="str">
        <f t="shared" si="3"/>
        <v/>
      </c>
      <c r="AI143" t="s">
        <v>2170</v>
      </c>
      <c r="AJ143" t="s">
        <v>3016</v>
      </c>
    </row>
    <row r="144" spans="13:36" x14ac:dyDescent="0.25">
      <c r="M144" t="s">
        <v>721</v>
      </c>
      <c r="Q144" t="str">
        <f>mapPRC!A215</f>
        <v>ERSOLPRI-N</v>
      </c>
      <c r="R144" t="str">
        <f>IFERROR(INDEX($AD$7:$AD$88,MATCH(mapPRC!C215,$AC$7:$AC$88,0)),"")</f>
        <v>elec</v>
      </c>
      <c r="U144" t="str">
        <f>mapCOM!A141</f>
        <v>IISCKC</v>
      </c>
      <c r="V144" t="str">
        <f t="shared" si="3"/>
        <v/>
      </c>
      <c r="AI144" t="s">
        <v>2166</v>
      </c>
      <c r="AJ144" t="s">
        <v>3016</v>
      </c>
    </row>
    <row r="145" spans="17:36" x14ac:dyDescent="0.25">
      <c r="Q145" t="str">
        <f>mapPRC!A216</f>
        <v>ERSOLPRR-N</v>
      </c>
      <c r="R145" t="str">
        <f>IFERROR(INDEX($AD$7:$AD$88,MATCH(mapPRC!C216,$AC$7:$AC$88,0)),"")</f>
        <v>elec</v>
      </c>
      <c r="U145" t="str">
        <f>mapCOM!A142</f>
        <v>IISCKE</v>
      </c>
      <c r="V145" t="str">
        <f t="shared" si="3"/>
        <v>ccoal-hgh</v>
      </c>
      <c r="AI145" t="s">
        <v>2164</v>
      </c>
      <c r="AJ145" t="s">
        <v>3016</v>
      </c>
    </row>
    <row r="146" spans="17:36" x14ac:dyDescent="0.25">
      <c r="Q146" t="str">
        <f>mapPRC!A217</f>
        <v>ERSOLTC03-N</v>
      </c>
      <c r="R146" t="str">
        <f>IFERROR(INDEX($AD$7:$AD$88,MATCH(mapPRC!C217,$AC$7:$AC$88,0)),"")</f>
        <v>elec</v>
      </c>
      <c r="U146" t="str">
        <f>mapCOM!A143</f>
        <v>IISCO2</v>
      </c>
      <c r="V146" t="str">
        <f t="shared" si="3"/>
        <v/>
      </c>
      <c r="AI146" t="s">
        <v>2162</v>
      </c>
      <c r="AJ146" t="s">
        <v>3016</v>
      </c>
    </row>
    <row r="147" spans="17:36" x14ac:dyDescent="0.25">
      <c r="Q147" t="str">
        <f>mapPRC!A218</f>
        <v>ERSOLTC06-N</v>
      </c>
      <c r="R147" t="str">
        <f>IFERROR(INDEX($AD$7:$AD$88,MATCH(mapPRC!C218,$AC$7:$AC$88,0)),"")</f>
        <v>elec</v>
      </c>
      <c r="U147" t="str">
        <f>mapCOM!A144</f>
        <v>IISCOA</v>
      </c>
      <c r="V147" t="str">
        <f t="shared" si="3"/>
        <v>ccoal-hgh</v>
      </c>
      <c r="AI147" t="s">
        <v>2160</v>
      </c>
      <c r="AJ147" t="s">
        <v>3019</v>
      </c>
    </row>
    <row r="148" spans="17:36" x14ac:dyDescent="0.25">
      <c r="Q148" t="str">
        <f>mapPRC!A219</f>
        <v>ERSOLTC09C-N</v>
      </c>
      <c r="R148" t="str">
        <f>IFERROR(INDEX($AD$7:$AD$88,MATCH(mapPRC!C219,$AC$7:$AC$88,0)),"")</f>
        <v>elec</v>
      </c>
      <c r="U148" t="str">
        <f>mapCOM!A145</f>
        <v>IISCOG</v>
      </c>
      <c r="V148" t="str">
        <f t="shared" si="3"/>
        <v/>
      </c>
      <c r="AI148" t="s">
        <v>2158</v>
      </c>
      <c r="AJ148" t="s">
        <v>3018</v>
      </c>
    </row>
    <row r="149" spans="17:36" x14ac:dyDescent="0.25">
      <c r="Q149" t="str">
        <f>mapPRC!A220</f>
        <v>ERSOLTC09-N</v>
      </c>
      <c r="R149" t="str">
        <f>IFERROR(INDEX($AD$7:$AD$88,MATCH(mapPRC!C220,$AC$7:$AC$88,0)),"")</f>
        <v>elec</v>
      </c>
      <c r="U149" t="str">
        <f>mapCOM!A146</f>
        <v>IISCRS</v>
      </c>
      <c r="V149" t="str">
        <f t="shared" si="3"/>
        <v/>
      </c>
      <c r="AI149" t="s">
        <v>2156</v>
      </c>
      <c r="AJ149" t="s">
        <v>3017</v>
      </c>
    </row>
    <row r="150" spans="17:36" x14ac:dyDescent="0.25">
      <c r="Q150" t="str">
        <f>mapPRC!A221</f>
        <v>ERSOLTC12-N</v>
      </c>
      <c r="R150" t="str">
        <f>IFERROR(INDEX($AD$7:$AD$88,MATCH(mapPRC!C221,$AC$7:$AC$88,0)),"")</f>
        <v>elec</v>
      </c>
      <c r="U150" t="str">
        <f>mapCOM!A147</f>
        <v>IISELC</v>
      </c>
      <c r="V150" t="str">
        <f t="shared" si="3"/>
        <v>celec</v>
      </c>
      <c r="AI150" t="s">
        <v>2154</v>
      </c>
      <c r="AJ150" t="s">
        <v>3016</v>
      </c>
    </row>
    <row r="151" spans="17:36" x14ac:dyDescent="0.25">
      <c r="Q151" t="str">
        <f>mapPRC!A222</f>
        <v>ERSOLTC14-N</v>
      </c>
      <c r="R151" t="str">
        <f>IFERROR(INDEX($AD$7:$AD$88,MATCH(mapPRC!C222,$AC$7:$AC$88,0)),"")</f>
        <v>elec</v>
      </c>
      <c r="U151" t="str">
        <f>mapCOM!A148</f>
        <v>IISGAS</v>
      </c>
      <c r="V151" t="str">
        <f t="shared" si="3"/>
        <v>cngas</v>
      </c>
      <c r="AI151" t="s">
        <v>2152</v>
      </c>
      <c r="AJ151" t="s">
        <v>3016</v>
      </c>
    </row>
    <row r="152" spans="17:36" x14ac:dyDescent="0.25">
      <c r="Q152" t="str">
        <f>mapPRC!A223</f>
        <v>ERSOLTT00-N</v>
      </c>
      <c r="R152" t="str">
        <f>IFERROR(INDEX($AD$7:$AD$88,MATCH(mapPRC!C223,$AC$7:$AC$88,0)),"")</f>
        <v>elec</v>
      </c>
      <c r="U152" t="str">
        <f>mapCOM!A149</f>
        <v>IISHBI</v>
      </c>
      <c r="V152" t="str">
        <f t="shared" si="3"/>
        <v/>
      </c>
      <c r="AI152" t="s">
        <v>2150</v>
      </c>
      <c r="AJ152" t="s">
        <v>3016</v>
      </c>
    </row>
    <row r="153" spans="17:36" x14ac:dyDescent="0.25">
      <c r="Q153" t="str">
        <f>mapPRC!A224</f>
        <v>ERSOLTT03-N</v>
      </c>
      <c r="R153" t="str">
        <f>IFERROR(INDEX($AD$7:$AD$88,MATCH(mapPRC!C224,$AC$7:$AC$88,0)),"")</f>
        <v>elec</v>
      </c>
      <c r="U153" t="str">
        <f>mapCOM!A150</f>
        <v>IISHGCRS</v>
      </c>
      <c r="V153" t="str">
        <f t="shared" si="3"/>
        <v/>
      </c>
      <c r="AI153" t="s">
        <v>2148</v>
      </c>
      <c r="AJ153" t="s">
        <v>3021</v>
      </c>
    </row>
    <row r="154" spans="17:36" x14ac:dyDescent="0.25">
      <c r="Q154" t="str">
        <f>mapPRC!A225</f>
        <v>ERSOLTT06-N</v>
      </c>
      <c r="R154" t="str">
        <f>IFERROR(INDEX($AD$7:$AD$88,MATCH(mapPRC!C225,$AC$7:$AC$88,0)),"")</f>
        <v>elec</v>
      </c>
      <c r="U154" t="str">
        <f>mapCOM!A151</f>
        <v>IISHHELC</v>
      </c>
      <c r="V154" t="str">
        <f t="shared" si="3"/>
        <v>celec</v>
      </c>
      <c r="AI154" t="s">
        <v>2146</v>
      </c>
      <c r="AJ154" t="s">
        <v>3021</v>
      </c>
    </row>
    <row r="155" spans="17:36" x14ac:dyDescent="0.25">
      <c r="Q155" t="str">
        <f>mapPRC!A226</f>
        <v>ERSOLTT09-N</v>
      </c>
      <c r="R155" t="str">
        <f>IFERROR(INDEX($AD$7:$AD$88,MATCH(mapPRC!C226,$AC$7:$AC$88,0)),"")</f>
        <v>elec</v>
      </c>
      <c r="U155" t="str">
        <f>mapCOM!A152</f>
        <v>IISHHGN</v>
      </c>
      <c r="V155" t="str">
        <f t="shared" si="3"/>
        <v>chydr</v>
      </c>
      <c r="AI155" t="s">
        <v>2144</v>
      </c>
      <c r="AJ155" t="s">
        <v>3016</v>
      </c>
    </row>
    <row r="156" spans="17:36" x14ac:dyDescent="0.25">
      <c r="Q156" t="str">
        <f>mapPRC!A227</f>
        <v>ERWNDH-N</v>
      </c>
      <c r="R156" t="str">
        <f>IFERROR(INDEX($AD$7:$AD$88,MATCH(mapPRC!C227,$AC$7:$AC$88,0)),"")</f>
        <v>elec</v>
      </c>
      <c r="U156" t="str">
        <f>mapCOM!A153</f>
        <v>IISHOXY</v>
      </c>
      <c r="V156" t="str">
        <f t="shared" si="3"/>
        <v/>
      </c>
      <c r="AI156" t="s">
        <v>2142</v>
      </c>
      <c r="AJ156" t="s">
        <v>3016</v>
      </c>
    </row>
    <row r="157" spans="17:36" x14ac:dyDescent="0.25">
      <c r="Q157" t="str">
        <f>mapPRC!A228</f>
        <v>ERWNDM-N</v>
      </c>
      <c r="R157" t="str">
        <f>IFERROR(INDEX($AD$7:$AD$88,MATCH(mapPRC!C228,$AC$7:$AC$88,0)),"")</f>
        <v>elec</v>
      </c>
      <c r="U157" t="str">
        <f>mapCOM!A154</f>
        <v>IISOIL</v>
      </c>
      <c r="V157" t="str">
        <f t="shared" si="3"/>
        <v>cpetr_o</v>
      </c>
      <c r="AI157" t="s">
        <v>2140</v>
      </c>
      <c r="AJ157" t="s">
        <v>3016</v>
      </c>
    </row>
    <row r="158" spans="17:36" x14ac:dyDescent="0.25">
      <c r="Q158" t="str">
        <f>mapPRC!A229</f>
        <v>ESTSCOM</v>
      </c>
      <c r="R158" t="str">
        <f>IFERROR(INDEX($AD$7:$AD$88,MATCH(mapPRC!C229,$AC$7:$AC$88,0)),"")</f>
        <v>elec</v>
      </c>
      <c r="U158" t="str">
        <f>mapCOM!A155</f>
        <v>IISOLP</v>
      </c>
      <c r="V158" t="str">
        <f t="shared" si="3"/>
        <v>cpetr_o</v>
      </c>
      <c r="AI158" t="s">
        <v>2075</v>
      </c>
      <c r="AJ158" t="s">
        <v>3016</v>
      </c>
    </row>
    <row r="159" spans="17:36" x14ac:dyDescent="0.25">
      <c r="Q159" t="str">
        <f>mapPRC!A230</f>
        <v>ESTSICP</v>
      </c>
      <c r="R159" t="str">
        <f>IFERROR(INDEX($AD$7:$AD$88,MATCH(mapPRC!C230,$AC$7:$AC$88,0)),"")</f>
        <v>elec</v>
      </c>
      <c r="U159" t="str">
        <f>mapCOM!A156</f>
        <v>IISSSC</v>
      </c>
      <c r="V159" t="str">
        <f t="shared" si="3"/>
        <v/>
      </c>
      <c r="AI159" t="s">
        <v>2136</v>
      </c>
      <c r="AJ159" t="s">
        <v>3016</v>
      </c>
    </row>
    <row r="160" spans="17:36" x14ac:dyDescent="0.25">
      <c r="Q160" t="str">
        <f>mapPRC!A231</f>
        <v>ESTSIFA</v>
      </c>
      <c r="R160" t="str">
        <f>IFERROR(INDEX($AD$7:$AD$88,MATCH(mapPRC!C231,$AC$7:$AC$88,0)),"")</f>
        <v>elec</v>
      </c>
      <c r="U160" t="str">
        <f>mapCOM!A157</f>
        <v>IISWAS</v>
      </c>
      <c r="V160" t="str">
        <f t="shared" si="3"/>
        <v/>
      </c>
      <c r="AI160" t="s">
        <v>2134</v>
      </c>
      <c r="AJ160" t="s">
        <v>3016</v>
      </c>
    </row>
    <row r="161" spans="17:36" x14ac:dyDescent="0.25">
      <c r="Q161" t="str">
        <f>mapPRC!A232</f>
        <v>ESTSIFB</v>
      </c>
      <c r="R161" t="str">
        <f>IFERROR(INDEX($AD$7:$AD$88,MATCH(mapPRC!C232,$AC$7:$AC$88,0)),"")</f>
        <v>elec</v>
      </c>
      <c r="U161" t="str">
        <f>mapCOM!A158</f>
        <v>IMECOA</v>
      </c>
      <c r="V161" t="str">
        <f t="shared" si="3"/>
        <v/>
      </c>
      <c r="AI161" t="s">
        <v>2132</v>
      </c>
      <c r="AJ161" t="s">
        <v>3016</v>
      </c>
    </row>
    <row r="162" spans="17:36" x14ac:dyDescent="0.25">
      <c r="Q162" t="str">
        <f>mapPRC!A233</f>
        <v>ESTSIIS</v>
      </c>
      <c r="R162" t="str">
        <f>IFERROR(INDEX($AD$7:$AD$88,MATCH(mapPRC!C233,$AC$7:$AC$88,0)),"")</f>
        <v>elec</v>
      </c>
      <c r="U162" t="str">
        <f>mapCOM!A159</f>
        <v>IMIA</v>
      </c>
      <c r="V162" t="str">
        <f t="shared" si="3"/>
        <v/>
      </c>
      <c r="AI162" t="s">
        <v>2130</v>
      </c>
      <c r="AJ162" t="s">
        <v>3018</v>
      </c>
    </row>
    <row r="163" spans="17:36" x14ac:dyDescent="0.25">
      <c r="Q163" t="str">
        <f>mapPRC!A234</f>
        <v>ESTSINF</v>
      </c>
      <c r="R163" t="str">
        <f>IFERROR(INDEX($AD$7:$AD$88,MATCH(mapPRC!C234,$AC$7:$AC$88,0)),"")</f>
        <v>elec</v>
      </c>
      <c r="U163" t="str">
        <f>mapCOM!A160</f>
        <v>IMIC</v>
      </c>
      <c r="V163" t="str">
        <f t="shared" si="3"/>
        <v/>
      </c>
      <c r="AI163" t="s">
        <v>2129</v>
      </c>
      <c r="AJ163" t="s">
        <v>3017</v>
      </c>
    </row>
    <row r="164" spans="17:36" x14ac:dyDescent="0.25">
      <c r="Q164" t="str">
        <f>mapPRC!A235</f>
        <v>ESTSINM</v>
      </c>
      <c r="R164" t="str">
        <f>IFERROR(INDEX($AD$7:$AD$88,MATCH(mapPRC!C235,$AC$7:$AC$88,0)),"")</f>
        <v>elec</v>
      </c>
      <c r="U164" t="str">
        <f>mapCOM!A161</f>
        <v>IMIE</v>
      </c>
      <c r="V164" t="str">
        <f t="shared" si="3"/>
        <v/>
      </c>
      <c r="AI164" t="s">
        <v>2128</v>
      </c>
      <c r="AJ164" t="s">
        <v>3024</v>
      </c>
    </row>
    <row r="165" spans="17:36" x14ac:dyDescent="0.25">
      <c r="Q165" t="str">
        <f>mapPRC!A236</f>
        <v>ESTSIOT</v>
      </c>
      <c r="R165" t="str">
        <f>IFERROR(INDEX($AD$7:$AD$88,MATCH(mapPRC!C236,$AC$7:$AC$88,0)),"")</f>
        <v>elec</v>
      </c>
      <c r="U165" t="str">
        <f>mapCOM!A162</f>
        <v>IMIELC</v>
      </c>
      <c r="V165" t="str">
        <f t="shared" si="3"/>
        <v>celec</v>
      </c>
      <c r="AI165" t="s">
        <v>2127</v>
      </c>
      <c r="AJ165" t="s">
        <v>3016</v>
      </c>
    </row>
    <row r="166" spans="17:36" x14ac:dyDescent="0.25">
      <c r="Q166" t="str">
        <f>mapPRC!A237</f>
        <v>ESTSIPP</v>
      </c>
      <c r="R166" t="str">
        <f>IFERROR(INDEX($AD$7:$AD$88,MATCH(mapPRC!C237,$AC$7:$AC$88,0)),"")</f>
        <v>elec</v>
      </c>
      <c r="U166" t="str">
        <f>mapCOM!A163</f>
        <v>IMIF</v>
      </c>
      <c r="V166" t="str">
        <f t="shared" si="3"/>
        <v/>
      </c>
      <c r="AI166" t="s">
        <v>2125</v>
      </c>
      <c r="AJ166" t="s">
        <v>3016</v>
      </c>
    </row>
    <row r="167" spans="17:36" x14ac:dyDescent="0.25">
      <c r="Q167" t="str">
        <f>mapPRC!A238</f>
        <v>ESTSRES</v>
      </c>
      <c r="R167" t="str">
        <f>IFERROR(INDEX($AD$7:$AD$88,MATCH(mapPRC!C238,$AC$7:$AC$88,0)),"")</f>
        <v>elec</v>
      </c>
      <c r="U167" t="str">
        <f>mapCOM!A164</f>
        <v>IMIGAS</v>
      </c>
      <c r="V167" t="str">
        <f t="shared" si="3"/>
        <v>cngas</v>
      </c>
      <c r="AI167" t="s">
        <v>2123</v>
      </c>
      <c r="AJ167" t="s">
        <v>3016</v>
      </c>
    </row>
    <row r="168" spans="17:36" x14ac:dyDescent="0.25">
      <c r="Q168" t="str">
        <f>mapPRC!A239</f>
        <v>ESTSUTL</v>
      </c>
      <c r="R168" t="str">
        <f>IFERROR(INDEX($AD$7:$AD$88,MATCH(mapPRC!C239,$AC$7:$AC$88,0)),"")</f>
        <v>elec</v>
      </c>
      <c r="U168" t="str">
        <f>mapCOM!A165</f>
        <v>IMIH</v>
      </c>
      <c r="V168" t="str">
        <f t="shared" si="3"/>
        <v/>
      </c>
      <c r="AI168" t="s">
        <v>2121</v>
      </c>
      <c r="AJ168" t="s">
        <v>3021</v>
      </c>
    </row>
    <row r="169" spans="17:36" x14ac:dyDescent="0.25">
      <c r="Q169" t="str">
        <f>mapPRC!A240</f>
        <v>ETCLDFB-N</v>
      </c>
      <c r="R169" t="str">
        <f>IFERROR(INDEX($AD$7:$AD$88,MATCH(mapPRC!C240,$AC$7:$AC$88,0)),"")</f>
        <v>elec</v>
      </c>
      <c r="U169" t="str">
        <f>mapCOM!A166</f>
        <v>IMIK</v>
      </c>
      <c r="V169" t="str">
        <f t="shared" si="3"/>
        <v/>
      </c>
      <c r="AI169" t="s">
        <v>2118</v>
      </c>
      <c r="AJ169" t="s">
        <v>3020</v>
      </c>
    </row>
    <row r="170" spans="17:36" x14ac:dyDescent="0.25">
      <c r="Q170" t="str">
        <f>mapPRC!A241</f>
        <v>ETCLEARNO-E</v>
      </c>
      <c r="R170" t="str">
        <f>IFERROR(INDEX($AD$7:$AD$88,MATCH(mapPRC!C241,$AC$7:$AC$88,0)),"")</f>
        <v>elec</v>
      </c>
      <c r="U170" t="str">
        <f>mapCOM!A167</f>
        <v>IMIL</v>
      </c>
      <c r="V170" t="str">
        <f t="shared" si="3"/>
        <v/>
      </c>
      <c r="AI170" t="s">
        <v>2117</v>
      </c>
      <c r="AJ170" t="s">
        <v>3026</v>
      </c>
    </row>
    <row r="171" spans="17:36" x14ac:dyDescent="0.25">
      <c r="Q171" t="str">
        <f>mapPRC!A242</f>
        <v>ETCLECAMD-E</v>
      </c>
      <c r="R171" t="str">
        <f>IFERROR(INDEX($AD$7:$AD$88,MATCH(mapPRC!C242,$AC$7:$AC$88,0)),"")</f>
        <v>elec</v>
      </c>
      <c r="U171" t="str">
        <f>mapCOM!A168</f>
        <v>IMIO</v>
      </c>
      <c r="V171" t="str">
        <f t="shared" si="3"/>
        <v/>
      </c>
      <c r="AI171" t="s">
        <v>2116</v>
      </c>
      <c r="AJ171" t="s">
        <v>3021</v>
      </c>
    </row>
    <row r="172" spans="17:36" x14ac:dyDescent="0.25">
      <c r="Q172" t="str">
        <f>mapPRC!A243</f>
        <v>ETCLEDUVH-E</v>
      </c>
      <c r="R172" t="str">
        <f>IFERROR(INDEX($AD$7:$AD$88,MATCH(mapPRC!C243,$AC$7:$AC$88,0)),"")</f>
        <v>elec</v>
      </c>
      <c r="U172" t="str">
        <f>mapCOM!A169</f>
        <v>IMIP</v>
      </c>
      <c r="V172" t="str">
        <f t="shared" si="3"/>
        <v/>
      </c>
      <c r="AI172" t="s">
        <v>2115</v>
      </c>
      <c r="AJ172" t="s">
        <v>3021</v>
      </c>
    </row>
    <row r="173" spans="17:36" x14ac:dyDescent="0.25">
      <c r="Q173" t="str">
        <f>mapPRC!A244</f>
        <v>ETCLEGROO-E</v>
      </c>
      <c r="R173" t="str">
        <f>IFERROR(INDEX($AD$7:$AD$88,MATCH(mapPRC!C244,$AC$7:$AC$88,0)),"")</f>
        <v>elec</v>
      </c>
      <c r="U173" t="str">
        <f>mapCOM!A170</f>
        <v>IMIR</v>
      </c>
      <c r="V173" t="str">
        <f t="shared" si="3"/>
        <v/>
      </c>
      <c r="AI173" t="s">
        <v>2113</v>
      </c>
      <c r="AJ173" t="s">
        <v>3016</v>
      </c>
    </row>
    <row r="174" spans="17:36" x14ac:dyDescent="0.25">
      <c r="Q174" t="str">
        <f>mapPRC!A245</f>
        <v>ETCLEHEND-E</v>
      </c>
      <c r="R174" t="str">
        <f>IFERROR(INDEX($AD$7:$AD$88,MATCH(mapPRC!C245,$AC$7:$AC$88,0)),"")</f>
        <v>elec</v>
      </c>
      <c r="U174" t="str">
        <f>mapCOM!A171</f>
        <v>IMIS</v>
      </c>
      <c r="V174" t="str">
        <f t="shared" si="3"/>
        <v/>
      </c>
      <c r="AI174" t="s">
        <v>2111</v>
      </c>
      <c r="AJ174" t="s">
        <v>3016</v>
      </c>
    </row>
    <row r="175" spans="17:36" x14ac:dyDescent="0.25">
      <c r="Q175" t="str">
        <f>mapPRC!A246</f>
        <v>ETCLEIG-N</v>
      </c>
      <c r="R175" t="str">
        <f>IFERROR(INDEX($AD$7:$AD$88,MATCH(mapPRC!C246,$AC$7:$AC$88,0)),"")</f>
        <v>elec</v>
      </c>
      <c r="U175" t="str">
        <f>mapCOM!A172</f>
        <v>INDBIB</v>
      </c>
      <c r="V175" t="str">
        <f t="shared" si="3"/>
        <v/>
      </c>
      <c r="AI175" t="s">
        <v>2109</v>
      </c>
      <c r="AJ175" t="s">
        <v>3016</v>
      </c>
    </row>
    <row r="176" spans="17:36" x14ac:dyDescent="0.25">
      <c r="Q176" t="str">
        <f>mapPRC!A247</f>
        <v>ETCLEKELB-E</v>
      </c>
      <c r="R176" t="str">
        <f>IFERROR(INDEX($AD$7:$AD$88,MATCH(mapPRC!C247,$AC$7:$AC$88,0)),"")</f>
        <v>elec</v>
      </c>
      <c r="U176" t="str">
        <f>mapCOM!A173</f>
        <v>INDBIW</v>
      </c>
      <c r="V176" t="str">
        <f t="shared" si="3"/>
        <v/>
      </c>
      <c r="AI176" t="s">
        <v>2108</v>
      </c>
      <c r="AJ176" t="s">
        <v>3016</v>
      </c>
    </row>
    <row r="177" spans="17:36" x14ac:dyDescent="0.25">
      <c r="Q177" t="str">
        <f>mapPRC!A248</f>
        <v>ETCLEKEND-E</v>
      </c>
      <c r="R177" t="str">
        <f>IFERROR(INDEX($AD$7:$AD$88,MATCH(mapPRC!C248,$AC$7:$AC$88,0)),"")</f>
        <v>elec</v>
      </c>
      <c r="U177" t="str">
        <f>mapCOM!A174</f>
        <v>INDCF46P</v>
      </c>
      <c r="V177" t="str">
        <f t="shared" si="3"/>
        <v/>
      </c>
      <c r="AI177" t="s">
        <v>2107</v>
      </c>
      <c r="AJ177" t="s">
        <v>3016</v>
      </c>
    </row>
    <row r="178" spans="17:36" x14ac:dyDescent="0.25">
      <c r="Q178" t="str">
        <f>mapPRC!A249</f>
        <v>ETCLEKOMA-E</v>
      </c>
      <c r="R178" t="str">
        <f>IFERROR(INDEX($AD$7:$AD$88,MATCH(mapPRC!C249,$AC$7:$AC$88,0)),"")</f>
        <v>elec</v>
      </c>
      <c r="U178" t="str">
        <f>mapCOM!A175</f>
        <v>INDCH4</v>
      </c>
      <c r="V178" t="str">
        <f t="shared" si="3"/>
        <v/>
      </c>
      <c r="AI178" t="s">
        <v>2104</v>
      </c>
      <c r="AJ178" t="s">
        <v>3023</v>
      </c>
    </row>
    <row r="179" spans="17:36" x14ac:dyDescent="0.25">
      <c r="Q179" t="str">
        <f>mapPRC!A250</f>
        <v>ETCLEKRIE-E</v>
      </c>
      <c r="R179" t="str">
        <f>IFERROR(INDEX($AD$7:$AD$88,MATCH(mapPRC!C250,$AC$7:$AC$88,0)),"")</f>
        <v>elec</v>
      </c>
      <c r="U179" t="str">
        <f>mapCOM!A176</f>
        <v>INDCH4S</v>
      </c>
      <c r="V179" t="str">
        <f t="shared" si="3"/>
        <v/>
      </c>
      <c r="AI179" t="s">
        <v>2103</v>
      </c>
      <c r="AJ179" t="s">
        <v>3016</v>
      </c>
    </row>
    <row r="180" spans="17:36" x14ac:dyDescent="0.25">
      <c r="Q180" t="str">
        <f>mapPRC!A251</f>
        <v>ETCLEKUSI-N</v>
      </c>
      <c r="R180" t="str">
        <f>IFERROR(INDEX($AD$7:$AD$88,MATCH(mapPRC!C251,$AC$7:$AC$88,0)),"")</f>
        <v>elec</v>
      </c>
      <c r="U180" t="str">
        <f>mapCOM!A177</f>
        <v>INDCKC</v>
      </c>
      <c r="V180" t="str">
        <f t="shared" si="3"/>
        <v/>
      </c>
      <c r="AI180" t="s">
        <v>2100</v>
      </c>
      <c r="AJ180" t="s">
        <v>3016</v>
      </c>
    </row>
    <row r="181" spans="17:36" x14ac:dyDescent="0.25">
      <c r="Q181" t="str">
        <f>mapPRC!A252</f>
        <v>ETCLELETH-E</v>
      </c>
      <c r="R181" t="str">
        <f>IFERROR(INDEX($AD$7:$AD$88,MATCH(mapPRC!C252,$AC$7:$AC$88,0)),"")</f>
        <v>elec</v>
      </c>
      <c r="U181" t="str">
        <f>mapCOM!A178</f>
        <v>INDCLE</v>
      </c>
      <c r="V181" t="str">
        <f t="shared" si="3"/>
        <v>ccoal-low</v>
      </c>
      <c r="AI181" t="s">
        <v>2097</v>
      </c>
      <c r="AJ181" t="s">
        <v>3018</v>
      </c>
    </row>
    <row r="182" spans="17:36" x14ac:dyDescent="0.25">
      <c r="Q182" t="str">
        <f>mapPRC!A253</f>
        <v>ETCLEMAJD-E</v>
      </c>
      <c r="R182" t="str">
        <f>IFERROR(INDEX($AD$7:$AD$88,MATCH(mapPRC!C253,$AC$7:$AC$88,0)),"")</f>
        <v>elec</v>
      </c>
      <c r="U182" t="str">
        <f>mapCOM!A179</f>
        <v>INDCMOX</v>
      </c>
      <c r="V182" t="str">
        <f t="shared" si="3"/>
        <v/>
      </c>
      <c r="AI182" t="s">
        <v>2096</v>
      </c>
      <c r="AJ182" t="s">
        <v>3017</v>
      </c>
    </row>
    <row r="183" spans="17:36" x14ac:dyDescent="0.25">
      <c r="Q183" t="str">
        <f>mapPRC!A254</f>
        <v>ETCLEMAJW-E</v>
      </c>
      <c r="R183" t="str">
        <f>IFERROR(INDEX($AD$7:$AD$88,MATCH(mapPRC!C254,$AC$7:$AC$88,0)),"")</f>
        <v>elec</v>
      </c>
      <c r="U183" t="str">
        <f>mapCOM!A180</f>
        <v>INDCO2</v>
      </c>
      <c r="V183" t="str">
        <f t="shared" si="3"/>
        <v/>
      </c>
      <c r="AI183" t="s">
        <v>2095</v>
      </c>
      <c r="AJ183" t="s">
        <v>3017</v>
      </c>
    </row>
    <row r="184" spans="17:36" x14ac:dyDescent="0.25">
      <c r="Q184" t="str">
        <f>mapPRC!A255</f>
        <v>ETCLEMATI-E</v>
      </c>
      <c r="R184" t="str">
        <f>IFERROR(INDEX($AD$7:$AD$88,MATCH(mapPRC!C255,$AC$7:$AC$88,0)),"")</f>
        <v>elec</v>
      </c>
      <c r="U184" t="str">
        <f>mapCOM!A181</f>
        <v>INDCO2S</v>
      </c>
      <c r="V184" t="str">
        <f t="shared" si="3"/>
        <v/>
      </c>
      <c r="AI184" t="s">
        <v>2094</v>
      </c>
      <c r="AJ184" t="s">
        <v>3016</v>
      </c>
    </row>
    <row r="185" spans="17:36" x14ac:dyDescent="0.25">
      <c r="Q185" t="str">
        <f>mapPRC!A256</f>
        <v>ETCLEMATL-E</v>
      </c>
      <c r="R185" t="str">
        <f>IFERROR(INDEX($AD$7:$AD$88,MATCH(mapPRC!C256,$AC$7:$AC$88,0)),"")</f>
        <v>elec</v>
      </c>
      <c r="U185" t="str">
        <f>mapCOM!A182</f>
        <v>INDCO2SP</v>
      </c>
      <c r="V185" t="str">
        <f t="shared" si="3"/>
        <v/>
      </c>
      <c r="AI185" t="s">
        <v>2093</v>
      </c>
      <c r="AJ185" t="s">
        <v>3016</v>
      </c>
    </row>
    <row r="186" spans="17:36" x14ac:dyDescent="0.25">
      <c r="Q186" t="str">
        <f>mapPRC!A257</f>
        <v>ETCLEMEDU-N</v>
      </c>
      <c r="R186" t="str">
        <f>IFERROR(INDEX($AD$7:$AD$88,MATCH(mapPRC!C257,$AC$7:$AC$88,0)),"")</f>
        <v>elec</v>
      </c>
      <c r="U186" t="str">
        <f>mapCOM!A183</f>
        <v>INDCOA</v>
      </c>
      <c r="V186" t="str">
        <f t="shared" si="3"/>
        <v>ccoal-hgh</v>
      </c>
      <c r="AI186" t="s">
        <v>2092</v>
      </c>
      <c r="AJ186" t="s">
        <v>3016</v>
      </c>
    </row>
    <row r="187" spans="17:36" x14ac:dyDescent="0.25">
      <c r="Q187" t="str">
        <f>mapPRC!A258</f>
        <v>ETCLEPFSI-E</v>
      </c>
      <c r="R187" t="str">
        <f>IFERROR(INDEX($AD$7:$AD$88,MATCH(mapPRC!C258,$AC$7:$AC$88,0)),"")</f>
        <v>cp</v>
      </c>
      <c r="U187" t="str">
        <f>mapCOM!A184</f>
        <v>INDCOK</v>
      </c>
      <c r="V187" t="str">
        <f t="shared" si="3"/>
        <v/>
      </c>
      <c r="AI187" t="s">
        <v>2089</v>
      </c>
      <c r="AJ187" t="s">
        <v>3016</v>
      </c>
    </row>
    <row r="188" spans="17:36" x14ac:dyDescent="0.25">
      <c r="Q188" t="str">
        <f>mapPRC!A259</f>
        <v>ETCLEPFSS-E</v>
      </c>
      <c r="R188" t="str">
        <f>IFERROR(INDEX($AD$7:$AD$88,MATCH(mapPRC!C259,$AC$7:$AC$88,0)),"")</f>
        <v>petr</v>
      </c>
      <c r="U188" t="str">
        <f>mapCOM!A185</f>
        <v>INDELC</v>
      </c>
      <c r="V188" t="str">
        <f t="shared" si="3"/>
        <v>celec</v>
      </c>
      <c r="AI188" t="s">
        <v>2086</v>
      </c>
      <c r="AJ188" t="s">
        <v>3016</v>
      </c>
    </row>
    <row r="189" spans="17:36" x14ac:dyDescent="0.25">
      <c r="Q189" t="str">
        <f>mapPRC!A260</f>
        <v>ETCLETUTU-E</v>
      </c>
      <c r="R189" t="str">
        <f>IFERROR(INDEX($AD$7:$AD$88,MATCH(mapPRC!C260,$AC$7:$AC$88,0)),"")</f>
        <v>elec</v>
      </c>
      <c r="U189" t="str">
        <f>mapCOM!A186</f>
        <v>INDGAS</v>
      </c>
      <c r="V189" t="str">
        <f t="shared" si="3"/>
        <v>cngas</v>
      </c>
      <c r="AI189" t="s">
        <v>2083</v>
      </c>
      <c r="AJ189" t="s">
        <v>3025</v>
      </c>
    </row>
    <row r="190" spans="17:36" x14ac:dyDescent="0.25">
      <c r="Q190" t="str">
        <f>mapPRC!A261</f>
        <v>ETCLEWATE-N</v>
      </c>
      <c r="R190" t="str">
        <f>IFERROR(INDEX($AD$7:$AD$88,MATCH(mapPRC!C261,$AC$7:$AC$88,0)),"")</f>
        <v>elec</v>
      </c>
      <c r="U190" t="str">
        <f>mapCOM!A187</f>
        <v>INDN2O</v>
      </c>
      <c r="V190" t="str">
        <f t="shared" si="3"/>
        <v/>
      </c>
      <c r="AI190" t="s">
        <v>2081</v>
      </c>
      <c r="AJ190" t="s">
        <v>3021</v>
      </c>
    </row>
    <row r="191" spans="17:36" x14ac:dyDescent="0.25">
      <c r="Q191" t="str">
        <f>mapPRC!A262</f>
        <v>ETGASENSI-N</v>
      </c>
      <c r="R191" t="str">
        <f>IFERROR(INDEX($AD$7:$AD$88,MATCH(mapPRC!C262,$AC$7:$AC$88,0)),"")</f>
        <v>cp</v>
      </c>
      <c r="U191" t="str">
        <f>mapCOM!A188</f>
        <v>INDN2OS</v>
      </c>
      <c r="V191" t="str">
        <f t="shared" si="3"/>
        <v/>
      </c>
      <c r="AI191" t="s">
        <v>2080</v>
      </c>
      <c r="AJ191" t="s">
        <v>3016</v>
      </c>
    </row>
    <row r="192" spans="17:36" x14ac:dyDescent="0.25">
      <c r="Q192" t="str">
        <f>mapPRC!A263</f>
        <v>ETGASENSS-N</v>
      </c>
      <c r="R192" t="str">
        <f>IFERROR(INDEX($AD$7:$AD$88,MATCH(mapPRC!C263,$AC$7:$AC$88,0)),"")</f>
        <v>petr</v>
      </c>
      <c r="U192" t="str">
        <f>mapCOM!A189</f>
        <v>INDNMV</v>
      </c>
      <c r="V192" t="str">
        <f t="shared" si="3"/>
        <v/>
      </c>
      <c r="AI192" t="s">
        <v>2077</v>
      </c>
      <c r="AJ192" t="s">
        <v>3016</v>
      </c>
    </row>
    <row r="193" spans="17:36" x14ac:dyDescent="0.25">
      <c r="Q193" t="str">
        <f>mapPRC!A264</f>
        <v>ETGICCC-N</v>
      </c>
      <c r="R193" t="str">
        <f>IFERROR(INDEX($AD$7:$AD$88,MATCH(mapPRC!C264,$AC$7:$AC$88,0)),"")</f>
        <v>elec</v>
      </c>
      <c r="U193" t="str">
        <f>mapCOM!A190</f>
        <v>INDNMVS</v>
      </c>
      <c r="V193" t="str">
        <f t="shared" si="3"/>
        <v/>
      </c>
      <c r="AI193" t="s">
        <v>2074</v>
      </c>
      <c r="AJ193" t="s">
        <v>3016</v>
      </c>
    </row>
    <row r="194" spans="17:36" x14ac:dyDescent="0.25">
      <c r="Q194" t="str">
        <f>mapPRC!A265</f>
        <v>ETGICEN-N</v>
      </c>
      <c r="R194" t="str">
        <f>IFERROR(INDEX($AD$7:$AD$88,MATCH(mapPRC!C265,$AC$7:$AC$88,0)),"")</f>
        <v>elec</v>
      </c>
      <c r="U194" t="str">
        <f>mapCOM!A191</f>
        <v>INDNOX</v>
      </c>
      <c r="V194" t="str">
        <f t="shared" si="3"/>
        <v/>
      </c>
      <c r="AI194" t="s">
        <v>2072</v>
      </c>
      <c r="AJ194" t="s">
        <v>3016</v>
      </c>
    </row>
    <row r="195" spans="17:36" x14ac:dyDescent="0.25">
      <c r="Q195" t="str">
        <f>mapPRC!A266</f>
        <v>ETGICGT-N</v>
      </c>
      <c r="R195" t="str">
        <f>IFERROR(INDEX($AD$7:$AD$88,MATCH(mapPRC!C266,$AC$7:$AC$88,0)),"")</f>
        <v>elec</v>
      </c>
      <c r="U195" t="str">
        <f>mapCOM!A192</f>
        <v>INDNOXS</v>
      </c>
      <c r="V195" t="str">
        <f t="shared" si="3"/>
        <v/>
      </c>
      <c r="AI195" t="s">
        <v>2068</v>
      </c>
      <c r="AJ195" t="s">
        <v>3016</v>
      </c>
    </row>
    <row r="196" spans="17:36" x14ac:dyDescent="0.25">
      <c r="Q196" t="str">
        <f>mapPRC!A267</f>
        <v>ETGIHCC-N</v>
      </c>
      <c r="R196" t="str">
        <f>IFERROR(INDEX($AD$7:$AD$88,MATCH(mapPRC!C267,$AC$7:$AC$88,0)),"")</f>
        <v>elec</v>
      </c>
      <c r="U196" t="str">
        <f>mapCOM!A193</f>
        <v>INDODS</v>
      </c>
      <c r="V196" t="str">
        <f t="shared" si="3"/>
        <v>cpetr_d</v>
      </c>
      <c r="AI196" t="s">
        <v>2067</v>
      </c>
      <c r="AJ196" t="s">
        <v>3016</v>
      </c>
    </row>
    <row r="197" spans="17:36" x14ac:dyDescent="0.25">
      <c r="Q197" t="str">
        <f>mapPRC!A268</f>
        <v>ETGIHGT-N</v>
      </c>
      <c r="R197" t="str">
        <f>IFERROR(INDEX($AD$7:$AD$88,MATCH(mapPRC!C268,$AC$7:$AC$88,0)),"")</f>
        <v>elec</v>
      </c>
      <c r="U197" t="str">
        <f>mapCOM!A194</f>
        <v>INDOGS</v>
      </c>
      <c r="V197" t="str">
        <f t="shared" si="3"/>
        <v/>
      </c>
      <c r="AI197" t="s">
        <v>2064</v>
      </c>
      <c r="AJ197" t="s">
        <v>3016</v>
      </c>
    </row>
    <row r="198" spans="17:36" x14ac:dyDescent="0.25">
      <c r="Q198" t="str">
        <f>mapPRC!A269</f>
        <v>ETGRMCC-N</v>
      </c>
      <c r="R198" t="str">
        <f>IFERROR(INDEX($AD$7:$AD$88,MATCH(mapPRC!C269,$AC$7:$AC$88,0)),"")</f>
        <v>elec</v>
      </c>
      <c r="U198" t="str">
        <f>mapCOM!A195</f>
        <v>INDOHF</v>
      </c>
      <c r="V198" t="str">
        <f t="shared" si="3"/>
        <v>cpetr_o</v>
      </c>
      <c r="AI198" t="s">
        <v>2062</v>
      </c>
      <c r="AJ198" t="s">
        <v>3016</v>
      </c>
    </row>
    <row r="199" spans="17:36" x14ac:dyDescent="0.25">
      <c r="Q199" t="str">
        <f>mapPRC!A270</f>
        <v>ETGRNCC-I</v>
      </c>
      <c r="R199" t="str">
        <f>IFERROR(INDEX($AD$7:$AD$88,MATCH(mapPRC!C270,$AC$7:$AC$88,0)),"")</f>
        <v>imp</v>
      </c>
      <c r="U199" t="str">
        <f>mapCOM!A196</f>
        <v>INDOLP</v>
      </c>
      <c r="V199" t="str">
        <f t="shared" ref="V199:V262" si="4">INDEX($AJ$6:$AJ$784,MATCH(U199,$AI$6:$AI$784,0))</f>
        <v>cpetr_o</v>
      </c>
      <c r="AI199" t="s">
        <v>2060</v>
      </c>
      <c r="AJ199" t="s">
        <v>3016</v>
      </c>
    </row>
    <row r="200" spans="17:36" x14ac:dyDescent="0.25">
      <c r="Q200" t="str">
        <f>mapPRC!A271</f>
        <v>ETNUC-E</v>
      </c>
      <c r="R200" t="str">
        <f>IFERROR(INDEX($AD$7:$AD$88,MATCH(mapPRC!C271,$AC$7:$AC$88,0)),"")</f>
        <v>elec</v>
      </c>
      <c r="U200" t="str">
        <f>mapCOM!A197</f>
        <v>INDP10S</v>
      </c>
      <c r="V200" t="str">
        <f t="shared" si="4"/>
        <v/>
      </c>
      <c r="AI200" t="s">
        <v>2058</v>
      </c>
      <c r="AJ200" t="s">
        <v>3016</v>
      </c>
    </row>
    <row r="201" spans="17:36" x14ac:dyDescent="0.25">
      <c r="Q201" t="str">
        <f>mapPRC!A272</f>
        <v>ETNUC-N</v>
      </c>
      <c r="R201" t="str">
        <f>IFERROR(INDEX($AD$7:$AD$88,MATCH(mapPRC!C272,$AC$7:$AC$88,0)),"")</f>
        <v>elec</v>
      </c>
      <c r="U201" t="str">
        <f>mapCOM!A198</f>
        <v>INDPM10</v>
      </c>
      <c r="V201" t="str">
        <f t="shared" si="4"/>
        <v/>
      </c>
      <c r="AI201" t="s">
        <v>2056</v>
      </c>
      <c r="AJ201" t="s">
        <v>3016</v>
      </c>
    </row>
    <row r="202" spans="17:36" x14ac:dyDescent="0.25">
      <c r="Q202" t="str">
        <f>mapPRC!A273</f>
        <v>ETODSGT-E</v>
      </c>
      <c r="R202" t="str">
        <f>IFERROR(INDEX($AD$7:$AD$88,MATCH(mapPRC!C273,$AC$7:$AC$88,0)),"")</f>
        <v>elec</v>
      </c>
      <c r="U202" t="str">
        <f>mapCOM!A199</f>
        <v>INDSOX</v>
      </c>
      <c r="V202" t="str">
        <f t="shared" si="4"/>
        <v/>
      </c>
      <c r="AI202" t="s">
        <v>1858</v>
      </c>
      <c r="AJ202" t="s">
        <v>3016</v>
      </c>
    </row>
    <row r="203" spans="17:36" x14ac:dyDescent="0.25">
      <c r="Q203" t="str">
        <f>mapPRC!A274</f>
        <v>ETODSGT-N</v>
      </c>
      <c r="R203" t="str">
        <f>IFERROR(INDEX($AD$7:$AD$88,MATCH(mapPRC!C274,$AC$7:$AC$88,0)),"")</f>
        <v>elec</v>
      </c>
      <c r="U203" t="str">
        <f>mapCOM!A200</f>
        <v>INDSOXS</v>
      </c>
      <c r="V203" t="str">
        <f t="shared" si="4"/>
        <v/>
      </c>
      <c r="AI203" t="s">
        <v>1856</v>
      </c>
      <c r="AJ203" t="s">
        <v>3016</v>
      </c>
    </row>
    <row r="204" spans="17:36" x14ac:dyDescent="0.25">
      <c r="Q204" t="str">
        <f>mapPRC!A275</f>
        <v>ETRANS</v>
      </c>
      <c r="R204" t="str">
        <f>IFERROR(INDEX($AD$7:$AD$88,MATCH(mapPRC!C275,$AC$7:$AC$88,0)),"")</f>
        <v/>
      </c>
      <c r="U204" t="str">
        <f>mapCOM!A201</f>
        <v>INDWAS</v>
      </c>
      <c r="V204" t="str">
        <f t="shared" si="4"/>
        <v/>
      </c>
      <c r="AI204" t="s">
        <v>1854</v>
      </c>
      <c r="AJ204" t="s">
        <v>3016</v>
      </c>
    </row>
    <row r="205" spans="17:36" x14ac:dyDescent="0.25">
      <c r="Q205" t="str">
        <f>mapPRC!A276</f>
        <v>ETRANSDUM</v>
      </c>
      <c r="R205" t="str">
        <f>IFERROR(INDEX($AD$7:$AD$88,MATCH(mapPRC!C276,$AC$7:$AC$88,0)),"")</f>
        <v>elec</v>
      </c>
      <c r="U205" t="str">
        <f>mapCOM!A202</f>
        <v>INFA</v>
      </c>
      <c r="V205" t="str">
        <f t="shared" si="4"/>
        <v/>
      </c>
      <c r="AI205" t="s">
        <v>1852</v>
      </c>
      <c r="AJ205" t="s">
        <v>3016</v>
      </c>
    </row>
    <row r="206" spans="17:36" x14ac:dyDescent="0.25">
      <c r="Q206" t="str">
        <f>mapPRC!A277</f>
        <v>IALPOT</v>
      </c>
      <c r="R206" t="str">
        <f>IFERROR(INDEX($AD$7:$AD$88,MATCH(mapPRC!C277,$AC$7:$AC$88,0)),"")</f>
        <v>nf</v>
      </c>
      <c r="U206" t="str">
        <f>mapCOM!A203</f>
        <v>INFC</v>
      </c>
      <c r="V206" t="str">
        <f t="shared" si="4"/>
        <v/>
      </c>
      <c r="AI206" t="s">
        <v>1850</v>
      </c>
      <c r="AJ206" t="s">
        <v>3016</v>
      </c>
    </row>
    <row r="207" spans="17:36" x14ac:dyDescent="0.25">
      <c r="Q207" t="str">
        <f>mapPRC!A278</f>
        <v>ICPAELC-E</v>
      </c>
      <c r="R207" t="str">
        <f>IFERROR(INDEX($AD$7:$AD$88,MATCH(mapPRC!C278,$AC$7:$AC$88,0)),"")</f>
        <v>cp</v>
      </c>
      <c r="U207" t="str">
        <f>mapCOM!A204</f>
        <v>INFE</v>
      </c>
      <c r="V207" t="str">
        <f t="shared" si="4"/>
        <v/>
      </c>
      <c r="AI207" t="s">
        <v>1985</v>
      </c>
      <c r="AJ207" t="s">
        <v>3016</v>
      </c>
    </row>
    <row r="208" spans="17:36" x14ac:dyDescent="0.25">
      <c r="Q208" t="str">
        <f>mapPRC!A279</f>
        <v>ICPCELC-E</v>
      </c>
      <c r="R208" t="str">
        <f>IFERROR(INDEX($AD$7:$AD$88,MATCH(mapPRC!C279,$AC$7:$AC$88,0)),"")</f>
        <v>cp</v>
      </c>
      <c r="U208" t="str">
        <f>mapCOM!A205</f>
        <v>INFELC</v>
      </c>
      <c r="V208" t="str">
        <f t="shared" si="4"/>
        <v>celec</v>
      </c>
      <c r="AI208" t="s">
        <v>1984</v>
      </c>
      <c r="AJ208" t="s">
        <v>3016</v>
      </c>
    </row>
    <row r="209" spans="17:36" x14ac:dyDescent="0.25">
      <c r="Q209" t="str">
        <f>mapPRC!A280</f>
        <v>ICPEELC-E</v>
      </c>
      <c r="R209" t="str">
        <f>IFERROR(INDEX($AD$7:$AD$88,MATCH(mapPRC!C280,$AC$7:$AC$88,0)),"")</f>
        <v>cp</v>
      </c>
      <c r="U209" t="str">
        <f>mapCOM!A206</f>
        <v>INFF</v>
      </c>
      <c r="V209" t="str">
        <f t="shared" si="4"/>
        <v/>
      </c>
      <c r="AI209" t="s">
        <v>1982</v>
      </c>
      <c r="AJ209" t="s">
        <v>3016</v>
      </c>
    </row>
    <row r="210" spans="17:36" x14ac:dyDescent="0.25">
      <c r="Q210" t="str">
        <f>mapPRC!A281</f>
        <v>ICPFELC-E</v>
      </c>
      <c r="R210" t="str">
        <f>IFERROR(INDEX($AD$7:$AD$88,MATCH(mapPRC!C281,$AC$7:$AC$88,0)),"")</f>
        <v>cp</v>
      </c>
      <c r="U210" t="str">
        <f>mapCOM!A207</f>
        <v>INFGAS</v>
      </c>
      <c r="V210" t="str">
        <f t="shared" si="4"/>
        <v>cngas</v>
      </c>
      <c r="AI210" t="s">
        <v>1980</v>
      </c>
      <c r="AJ210" t="s">
        <v>3016</v>
      </c>
    </row>
    <row r="211" spans="17:36" x14ac:dyDescent="0.25">
      <c r="Q211" t="str">
        <f>mapPRC!A282</f>
        <v>ICPHELC-E</v>
      </c>
      <c r="R211" t="str">
        <f>IFERROR(INDEX($AD$7:$AD$88,MATCH(mapPRC!C282,$AC$7:$AC$88,0)),"")</f>
        <v>cp</v>
      </c>
      <c r="U211" t="str">
        <f>mapCOM!A208</f>
        <v>INFH</v>
      </c>
      <c r="V211" t="str">
        <f t="shared" si="4"/>
        <v/>
      </c>
      <c r="AI211" t="s">
        <v>1978</v>
      </c>
      <c r="AJ211" t="s">
        <v>3016</v>
      </c>
    </row>
    <row r="212" spans="17:36" x14ac:dyDescent="0.25">
      <c r="Q212" t="str">
        <f>mapPRC!A283</f>
        <v>ICPKELC-E</v>
      </c>
      <c r="R212" t="str">
        <f>IFERROR(INDEX($AD$7:$AD$88,MATCH(mapPRC!C283,$AC$7:$AC$88,0)),"")</f>
        <v>cp</v>
      </c>
      <c r="U212" t="str">
        <f>mapCOM!A209</f>
        <v>INFK</v>
      </c>
      <c r="V212" t="str">
        <f t="shared" si="4"/>
        <v/>
      </c>
      <c r="AI212" t="s">
        <v>1976</v>
      </c>
      <c r="AJ212" t="s">
        <v>3016</v>
      </c>
    </row>
    <row r="213" spans="17:36" x14ac:dyDescent="0.25">
      <c r="Q213" t="str">
        <f>mapPRC!A284</f>
        <v>ICPLELC-E</v>
      </c>
      <c r="R213" t="str">
        <f>IFERROR(INDEX($AD$7:$AD$88,MATCH(mapPRC!C284,$AC$7:$AC$88,0)),"")</f>
        <v>cp</v>
      </c>
      <c r="U213" t="str">
        <f>mapCOM!A210</f>
        <v>INFL</v>
      </c>
      <c r="V213" t="str">
        <f t="shared" si="4"/>
        <v/>
      </c>
      <c r="AI213" t="s">
        <v>1975</v>
      </c>
      <c r="AJ213" t="s">
        <v>3016</v>
      </c>
    </row>
    <row r="214" spans="17:36" x14ac:dyDescent="0.25">
      <c r="Q214" t="str">
        <f>mapPRC!A285</f>
        <v>ICPOELC-E</v>
      </c>
      <c r="R214" t="str">
        <f>IFERROR(INDEX($AD$7:$AD$88,MATCH(mapPRC!C285,$AC$7:$AC$88,0)),"")</f>
        <v>cp</v>
      </c>
      <c r="U214" t="str">
        <f>mapCOM!A211</f>
        <v>INFO</v>
      </c>
      <c r="V214" t="str">
        <f t="shared" si="4"/>
        <v/>
      </c>
      <c r="AI214" t="s">
        <v>1973</v>
      </c>
      <c r="AJ214" t="s">
        <v>3016</v>
      </c>
    </row>
    <row r="215" spans="17:36" x14ac:dyDescent="0.25">
      <c r="Q215" t="str">
        <f>mapPRC!A286</f>
        <v>ICPPELC-E</v>
      </c>
      <c r="R215" t="str">
        <f>IFERROR(INDEX($AD$7:$AD$88,MATCH(mapPRC!C286,$AC$7:$AC$88,0)),"")</f>
        <v>cp</v>
      </c>
      <c r="U215" t="str">
        <f>mapCOM!A212</f>
        <v>INFP</v>
      </c>
      <c r="V215" t="str">
        <f t="shared" si="4"/>
        <v/>
      </c>
      <c r="AI215" t="s">
        <v>1972</v>
      </c>
      <c r="AJ215" t="s">
        <v>3016</v>
      </c>
    </row>
    <row r="216" spans="17:36" x14ac:dyDescent="0.25">
      <c r="Q216" t="str">
        <f>mapPRC!A287</f>
        <v>ICPSCLE-E</v>
      </c>
      <c r="R216" t="str">
        <f>IFERROR(INDEX($AD$7:$AD$88,MATCH(mapPRC!C287,$AC$7:$AC$88,0)),"")</f>
        <v>cp</v>
      </c>
      <c r="U216" t="str">
        <f>mapCOM!A213</f>
        <v>INFS</v>
      </c>
      <c r="V216" t="str">
        <f t="shared" si="4"/>
        <v/>
      </c>
      <c r="AI216" t="s">
        <v>1970</v>
      </c>
      <c r="AJ216" t="s">
        <v>3016</v>
      </c>
    </row>
    <row r="217" spans="17:36" x14ac:dyDescent="0.25">
      <c r="Q217" t="str">
        <f>mapPRC!A288</f>
        <v>ICPSELC-E</v>
      </c>
      <c r="R217" t="str">
        <f>IFERROR(INDEX($AD$7:$AD$88,MATCH(mapPRC!C288,$AC$7:$AC$88,0)),"")</f>
        <v>cp</v>
      </c>
      <c r="U217" t="str">
        <f>mapCOM!A214</f>
        <v>INMBIO</v>
      </c>
      <c r="V217" t="str">
        <f t="shared" si="4"/>
        <v/>
      </c>
      <c r="AI217" t="s">
        <v>1968</v>
      </c>
      <c r="AJ217" t="s">
        <v>3016</v>
      </c>
    </row>
    <row r="218" spans="17:36" x14ac:dyDescent="0.25">
      <c r="Q218" t="str">
        <f>mapPRC!A289</f>
        <v>ICPSGAS-E</v>
      </c>
      <c r="R218" t="str">
        <f>IFERROR(INDEX($AD$7:$AD$88,MATCH(mapPRC!C289,$AC$7:$AC$88,0)),"")</f>
        <v>cp</v>
      </c>
      <c r="U218" t="str">
        <f>mapCOM!A215</f>
        <v>INMBRI</v>
      </c>
      <c r="V218" t="str">
        <f t="shared" si="4"/>
        <v/>
      </c>
      <c r="AI218" t="s">
        <v>1966</v>
      </c>
      <c r="AJ218" t="s">
        <v>3016</v>
      </c>
    </row>
    <row r="219" spans="17:36" x14ac:dyDescent="0.25">
      <c r="Q219" t="str">
        <f>mapPRC!A290</f>
        <v>ICPSOHF-E</v>
      </c>
      <c r="R219" t="str">
        <f>IFERROR(INDEX($AD$7:$AD$88,MATCH(mapPRC!C290,$AC$7:$AC$88,0)),"")</f>
        <v>cp</v>
      </c>
      <c r="U219" t="str">
        <f>mapCOM!A216</f>
        <v>INMBRITHF</v>
      </c>
      <c r="V219" t="str">
        <f t="shared" si="4"/>
        <v/>
      </c>
      <c r="AI219" t="s">
        <v>1964</v>
      </c>
      <c r="AJ219" t="s">
        <v>3016</v>
      </c>
    </row>
    <row r="220" spans="17:36" x14ac:dyDescent="0.25">
      <c r="Q220" t="str">
        <f>mapPRC!A291</f>
        <v>ICPSOLP-E</v>
      </c>
      <c r="R220" t="str">
        <f>IFERROR(INDEX($AD$7:$AD$88,MATCH(mapPRC!C291,$AC$7:$AC$88,0)),"")</f>
        <v>cp</v>
      </c>
      <c r="U220" t="str">
        <f>mapCOM!A217</f>
        <v>INMCEM</v>
      </c>
      <c r="V220" t="str">
        <f t="shared" si="4"/>
        <v/>
      </c>
      <c r="AI220" t="s">
        <v>1963</v>
      </c>
      <c r="AJ220" t="s">
        <v>3016</v>
      </c>
    </row>
    <row r="221" spans="17:36" x14ac:dyDescent="0.25">
      <c r="Q221" t="str">
        <f>mapPRC!A292</f>
        <v>ICPSWAS-E</v>
      </c>
      <c r="R221" t="str">
        <f>IFERROR(INDEX($AD$7:$AD$88,MATCH(mapPRC!C292,$AC$7:$AC$88,0)),"")</f>
        <v>cp</v>
      </c>
      <c r="U221" t="str">
        <f>mapCOM!A218</f>
        <v>INMCEMTHF</v>
      </c>
      <c r="V221" t="str">
        <f t="shared" si="4"/>
        <v/>
      </c>
      <c r="AI221" t="s">
        <v>1962</v>
      </c>
      <c r="AJ221" t="s">
        <v>3016</v>
      </c>
    </row>
    <row r="222" spans="17:36" x14ac:dyDescent="0.25">
      <c r="Q222" t="str">
        <f>mapPRC!A293</f>
        <v>ICPTGAS-E</v>
      </c>
      <c r="R222" t="str">
        <f>IFERROR(INDEX($AD$7:$AD$88,MATCH(mapPRC!C293,$AC$7:$AC$88,0)),"")</f>
        <v>cp</v>
      </c>
      <c r="U222" t="str">
        <f>mapCOM!A219</f>
        <v>INMCLI</v>
      </c>
      <c r="V222" t="str">
        <f t="shared" si="4"/>
        <v/>
      </c>
      <c r="AI222" t="s">
        <v>1960</v>
      </c>
      <c r="AJ222" t="s">
        <v>3016</v>
      </c>
    </row>
    <row r="223" spans="17:36" x14ac:dyDescent="0.25">
      <c r="Q223" t="str">
        <f>mapPRC!A294</f>
        <v>IFAEAF</v>
      </c>
      <c r="R223" t="str">
        <f>IFERROR(INDEX($AD$7:$AD$88,MATCH(mapPRC!C294,$AC$7:$AC$88,0)),"")</f>
        <v>is</v>
      </c>
      <c r="U223" t="str">
        <f>mapCOM!A220</f>
        <v>INMCOA</v>
      </c>
      <c r="V223" t="str">
        <f t="shared" si="4"/>
        <v>ccoal-hgh</v>
      </c>
      <c r="AI223" t="s">
        <v>1959</v>
      </c>
      <c r="AJ223" t="s">
        <v>3016</v>
      </c>
    </row>
    <row r="224" spans="17:36" x14ac:dyDescent="0.25">
      <c r="Q224" t="str">
        <f>mapPRC!A295</f>
        <v>IFBAELC-E</v>
      </c>
      <c r="R224" t="str">
        <f>IFERROR(INDEX($AD$7:$AD$88,MATCH(mapPRC!C295,$AC$7:$AC$88,0)),"")</f>
        <v>fb</v>
      </c>
      <c r="U224" t="str">
        <f>mapCOM!A221</f>
        <v>INMELC</v>
      </c>
      <c r="V224" t="str">
        <f t="shared" si="4"/>
        <v>celec</v>
      </c>
      <c r="AI224" t="s">
        <v>1957</v>
      </c>
      <c r="AJ224" t="s">
        <v>3016</v>
      </c>
    </row>
    <row r="225" spans="17:36" x14ac:dyDescent="0.25">
      <c r="Q225" t="str">
        <f>mapPRC!A296</f>
        <v>IFBCELC-E</v>
      </c>
      <c r="R225" t="str">
        <f>IFERROR(INDEX($AD$7:$AD$88,MATCH(mapPRC!C296,$AC$7:$AC$88,0)),"")</f>
        <v>fb</v>
      </c>
      <c r="U225" t="str">
        <f>mapCOM!A222</f>
        <v>INMGAS</v>
      </c>
      <c r="V225" t="str">
        <f t="shared" si="4"/>
        <v>cngas</v>
      </c>
      <c r="AI225" t="s">
        <v>1956</v>
      </c>
      <c r="AJ225" t="s">
        <v>3016</v>
      </c>
    </row>
    <row r="226" spans="17:36" x14ac:dyDescent="0.25">
      <c r="Q226" t="str">
        <f>mapPRC!A297</f>
        <v>IFBEELC-E</v>
      </c>
      <c r="R226" t="str">
        <f>IFERROR(INDEX($AD$7:$AD$88,MATCH(mapPRC!C297,$AC$7:$AC$88,0)),"")</f>
        <v>fb</v>
      </c>
      <c r="U226" t="str">
        <f>mapCOM!A223</f>
        <v>INMGLA</v>
      </c>
      <c r="V226" t="str">
        <f t="shared" si="4"/>
        <v/>
      </c>
      <c r="AI226" t="s">
        <v>1954</v>
      </c>
      <c r="AJ226" t="s">
        <v>3016</v>
      </c>
    </row>
    <row r="227" spans="17:36" x14ac:dyDescent="0.25">
      <c r="Q227" t="str">
        <f>mapPRC!A298</f>
        <v>IFBFELC-E</v>
      </c>
      <c r="R227" t="str">
        <f>IFERROR(INDEX($AD$7:$AD$88,MATCH(mapPRC!C298,$AC$7:$AC$88,0)),"")</f>
        <v>fb</v>
      </c>
      <c r="U227" t="str">
        <f>mapCOM!A224</f>
        <v>INMGLATHF</v>
      </c>
      <c r="V227" t="str">
        <f t="shared" si="4"/>
        <v/>
      </c>
      <c r="AI227" t="s">
        <v>1952</v>
      </c>
      <c r="AJ227" t="s">
        <v>3016</v>
      </c>
    </row>
    <row r="228" spans="17:36" x14ac:dyDescent="0.25">
      <c r="Q228" t="str">
        <f>mapPRC!A299</f>
        <v>IFBHELC-E</v>
      </c>
      <c r="R228" t="str">
        <f>IFERROR(INDEX($AD$7:$AD$88,MATCH(mapPRC!C299,$AC$7:$AC$88,0)),"")</f>
        <v>fb</v>
      </c>
      <c r="U228" t="str">
        <f>mapCOM!A225</f>
        <v>INMLIM</v>
      </c>
      <c r="V228" t="str">
        <f t="shared" si="4"/>
        <v/>
      </c>
      <c r="AI228" t="s">
        <v>1951</v>
      </c>
      <c r="AJ228" t="s">
        <v>3016</v>
      </c>
    </row>
    <row r="229" spans="17:36" x14ac:dyDescent="0.25">
      <c r="Q229" t="str">
        <f>mapPRC!A300</f>
        <v>IFBKELC-E</v>
      </c>
      <c r="R229" t="str">
        <f>IFERROR(INDEX($AD$7:$AD$88,MATCH(mapPRC!C300,$AC$7:$AC$88,0)),"")</f>
        <v>fb</v>
      </c>
      <c r="U229" t="str">
        <f>mapCOM!A226</f>
        <v>INMLIMTHF</v>
      </c>
      <c r="V229" t="str">
        <f t="shared" si="4"/>
        <v/>
      </c>
      <c r="AI229" t="s">
        <v>1950</v>
      </c>
      <c r="AJ229" t="s">
        <v>3016</v>
      </c>
    </row>
    <row r="230" spans="17:36" x14ac:dyDescent="0.25">
      <c r="Q230" t="str">
        <f>mapPRC!A301</f>
        <v>IFBLELC-E</v>
      </c>
      <c r="R230" t="str">
        <f>IFERROR(INDEX($AD$7:$AD$88,MATCH(mapPRC!C301,$AC$7:$AC$88,0)),"")</f>
        <v>fb</v>
      </c>
      <c r="U230" t="str">
        <f>mapCOM!A227</f>
        <v>INMOIL</v>
      </c>
      <c r="V230" t="str">
        <f t="shared" si="4"/>
        <v>cpetr_o</v>
      </c>
      <c r="AI230" t="s">
        <v>1949</v>
      </c>
      <c r="AJ230" t="s">
        <v>3016</v>
      </c>
    </row>
    <row r="231" spans="17:36" x14ac:dyDescent="0.25">
      <c r="Q231" t="str">
        <f>mapPRC!A302</f>
        <v>IFBOELC-E</v>
      </c>
      <c r="R231" t="str">
        <f>IFERROR(INDEX($AD$7:$AD$88,MATCH(mapPRC!C302,$AC$7:$AC$88,0)),"")</f>
        <v>fb</v>
      </c>
      <c r="U231" t="str">
        <f>mapCOM!A228</f>
        <v>INMRWM</v>
      </c>
      <c r="V231" t="str">
        <f t="shared" si="4"/>
        <v/>
      </c>
      <c r="AI231" t="s">
        <v>1947</v>
      </c>
      <c r="AJ231" t="s">
        <v>3016</v>
      </c>
    </row>
    <row r="232" spans="17:36" x14ac:dyDescent="0.25">
      <c r="Q232" t="str">
        <f>mapPRC!A303</f>
        <v>IFBPELC-E</v>
      </c>
      <c r="R232" t="str">
        <f>IFERROR(INDEX($AD$7:$AD$88,MATCH(mapPRC!C303,$AC$7:$AC$88,0)),"")</f>
        <v>fb</v>
      </c>
      <c r="U232" t="str">
        <f>mapCOM!A229</f>
        <v>IOTA</v>
      </c>
      <c r="V232" t="str">
        <f t="shared" si="4"/>
        <v/>
      </c>
      <c r="AI232" t="s">
        <v>1945</v>
      </c>
      <c r="AJ232" t="s">
        <v>3016</v>
      </c>
    </row>
    <row r="233" spans="17:36" x14ac:dyDescent="0.25">
      <c r="Q233" t="str">
        <f>mapPRC!A304</f>
        <v>IFBSBIB-E</v>
      </c>
      <c r="R233" t="str">
        <f>IFERROR(INDEX($AD$7:$AD$88,MATCH(mapPRC!C304,$AC$7:$AC$88,0)),"")</f>
        <v>fb</v>
      </c>
      <c r="U233" t="str">
        <f>mapCOM!A230</f>
        <v>IOTC</v>
      </c>
      <c r="V233" t="str">
        <f t="shared" si="4"/>
        <v/>
      </c>
      <c r="AI233" t="s">
        <v>1944</v>
      </c>
      <c r="AJ233" t="s">
        <v>3016</v>
      </c>
    </row>
    <row r="234" spans="17:36" x14ac:dyDescent="0.25">
      <c r="Q234" t="str">
        <f>mapPRC!A305</f>
        <v>IFBSCOA-E</v>
      </c>
      <c r="R234" t="str">
        <f>IFERROR(INDEX($AD$7:$AD$88,MATCH(mapPRC!C305,$AC$7:$AC$88,0)),"")</f>
        <v>fb</v>
      </c>
      <c r="U234" t="str">
        <f>mapCOM!A231</f>
        <v>IOTE</v>
      </c>
      <c r="V234" t="str">
        <f t="shared" si="4"/>
        <v/>
      </c>
      <c r="AI234" t="s">
        <v>1943</v>
      </c>
      <c r="AJ234" t="s">
        <v>3016</v>
      </c>
    </row>
    <row r="235" spans="17:36" x14ac:dyDescent="0.25">
      <c r="Q235" t="str">
        <f>mapPRC!A306</f>
        <v>IFBSELC-E</v>
      </c>
      <c r="R235" t="str">
        <f>IFERROR(INDEX($AD$7:$AD$88,MATCH(mapPRC!C306,$AC$7:$AC$88,0)),"")</f>
        <v>fb</v>
      </c>
      <c r="U235" t="str">
        <f>mapCOM!A232</f>
        <v>IOTELC</v>
      </c>
      <c r="V235" t="str">
        <f t="shared" si="4"/>
        <v>celec</v>
      </c>
      <c r="AI235" t="s">
        <v>1942</v>
      </c>
      <c r="AJ235" t="s">
        <v>3016</v>
      </c>
    </row>
    <row r="236" spans="17:36" x14ac:dyDescent="0.25">
      <c r="Q236" t="str">
        <f>mapPRC!A307</f>
        <v>IFBSGAS-E</v>
      </c>
      <c r="R236" t="str">
        <f>IFERROR(INDEX($AD$7:$AD$88,MATCH(mapPRC!C307,$AC$7:$AC$88,0)),"")</f>
        <v>fb</v>
      </c>
      <c r="U236" t="str">
        <f>mapCOM!A233</f>
        <v>IOTF</v>
      </c>
      <c r="V236" t="str">
        <f t="shared" si="4"/>
        <v/>
      </c>
      <c r="AI236" t="s">
        <v>1941</v>
      </c>
      <c r="AJ236" t="s">
        <v>3016</v>
      </c>
    </row>
    <row r="237" spans="17:36" x14ac:dyDescent="0.25">
      <c r="Q237" t="str">
        <f>mapPRC!A308</f>
        <v>IFBSOHF-E</v>
      </c>
      <c r="R237" t="str">
        <f>IFERROR(INDEX($AD$7:$AD$88,MATCH(mapPRC!C308,$AC$7:$AC$88,0)),"")</f>
        <v>fb</v>
      </c>
      <c r="U237" t="str">
        <f>mapCOM!A234</f>
        <v>IOTGAS</v>
      </c>
      <c r="V237" t="str">
        <f t="shared" si="4"/>
        <v>cngas</v>
      </c>
      <c r="AI237" t="s">
        <v>1939</v>
      </c>
      <c r="AJ237" t="s">
        <v>3016</v>
      </c>
    </row>
    <row r="238" spans="17:36" x14ac:dyDescent="0.25">
      <c r="Q238" t="str">
        <f>mapPRC!A309</f>
        <v>IFBSOLP-E</v>
      </c>
      <c r="R238" t="str">
        <f>IFERROR(INDEX($AD$7:$AD$88,MATCH(mapPRC!C309,$AC$7:$AC$88,0)),"")</f>
        <v>fb</v>
      </c>
      <c r="U238" t="str">
        <f>mapCOM!A235</f>
        <v>IOTH</v>
      </c>
      <c r="V238" t="str">
        <f t="shared" si="4"/>
        <v/>
      </c>
      <c r="AI238" t="s">
        <v>1938</v>
      </c>
      <c r="AJ238" t="s">
        <v>3016</v>
      </c>
    </row>
    <row r="239" spans="17:36" x14ac:dyDescent="0.25">
      <c r="Q239" t="str">
        <f>mapPRC!A310</f>
        <v>IFBSWAS-E</v>
      </c>
      <c r="R239" t="str">
        <f>IFERROR(INDEX($AD$7:$AD$88,MATCH(mapPRC!C310,$AC$7:$AC$88,0)),"")</f>
        <v>fb</v>
      </c>
      <c r="U239" t="str">
        <f>mapCOM!A236</f>
        <v>IOTK</v>
      </c>
      <c r="V239" t="str">
        <f t="shared" si="4"/>
        <v/>
      </c>
      <c r="AI239" t="s">
        <v>1936</v>
      </c>
      <c r="AJ239" t="s">
        <v>3016</v>
      </c>
    </row>
    <row r="240" spans="17:36" x14ac:dyDescent="0.25">
      <c r="Q240" t="str">
        <f>mapPRC!A311</f>
        <v>IISBFBOF-E</v>
      </c>
      <c r="R240" t="str">
        <f>IFERROR(INDEX($AD$7:$AD$88,MATCH(mapPRC!C311,$AC$7:$AC$88,0)),"")</f>
        <v>is</v>
      </c>
      <c r="U240" t="str">
        <f>mapCOM!A237</f>
        <v>IOTL</v>
      </c>
      <c r="V240" t="str">
        <f t="shared" si="4"/>
        <v/>
      </c>
      <c r="AI240" t="s">
        <v>2054</v>
      </c>
      <c r="AJ240" t="s">
        <v>3016</v>
      </c>
    </row>
    <row r="241" spans="17:36" x14ac:dyDescent="0.25">
      <c r="Q241" t="str">
        <f>mapPRC!A312</f>
        <v>IISBFBOF-E-T1</v>
      </c>
      <c r="R241" t="str">
        <f>IFERROR(INDEX($AD$7:$AD$88,MATCH(mapPRC!C312,$AC$7:$AC$88,0)),"")</f>
        <v>is</v>
      </c>
      <c r="U241" t="str">
        <f>mapCOM!A238</f>
        <v>IOTO</v>
      </c>
      <c r="V241" t="str">
        <f t="shared" si="4"/>
        <v/>
      </c>
      <c r="AI241" t="s">
        <v>2053</v>
      </c>
      <c r="AJ241" t="s">
        <v>3016</v>
      </c>
    </row>
    <row r="242" spans="17:36" x14ac:dyDescent="0.25">
      <c r="Q242" t="str">
        <f>mapPRC!A313</f>
        <v>IISBFBOF-E-T2</v>
      </c>
      <c r="R242" t="str">
        <f>IFERROR(INDEX($AD$7:$AD$88,MATCH(mapPRC!C313,$AC$7:$AC$88,0)),"")</f>
        <v>is</v>
      </c>
      <c r="U242" t="str">
        <f>mapCOM!A239</f>
        <v>IOTP</v>
      </c>
      <c r="V242" t="str">
        <f t="shared" si="4"/>
        <v/>
      </c>
      <c r="AI242" t="s">
        <v>2052</v>
      </c>
      <c r="AJ242" t="s">
        <v>3016</v>
      </c>
    </row>
    <row r="243" spans="17:36" x14ac:dyDescent="0.25">
      <c r="Q243" t="str">
        <f>mapPRC!A314</f>
        <v>IISBFBOF-N</v>
      </c>
      <c r="R243" t="str">
        <f>IFERROR(INDEX($AD$7:$AD$88,MATCH(mapPRC!C314,$AC$7:$AC$88,0)),"")</f>
        <v>is</v>
      </c>
      <c r="U243" t="str">
        <f>mapCOM!A240</f>
        <v>IOTR</v>
      </c>
      <c r="V243" t="str">
        <f t="shared" si="4"/>
        <v/>
      </c>
      <c r="AI243" t="s">
        <v>2051</v>
      </c>
      <c r="AJ243" t="s">
        <v>3016</v>
      </c>
    </row>
    <row r="244" spans="17:36" x14ac:dyDescent="0.25">
      <c r="Q244" t="str">
        <f>mapPRC!A315</f>
        <v>IISCOREAF-E</v>
      </c>
      <c r="R244" t="str">
        <f>IFERROR(INDEX($AD$7:$AD$88,MATCH(mapPRC!C315,$AC$7:$AC$88,0)),"")</f>
        <v>is</v>
      </c>
      <c r="U244" t="str">
        <f>mapCOM!A241</f>
        <v>IOTS</v>
      </c>
      <c r="V244" t="str">
        <f t="shared" si="4"/>
        <v/>
      </c>
      <c r="AI244" t="s">
        <v>2050</v>
      </c>
      <c r="AJ244" t="s">
        <v>3016</v>
      </c>
    </row>
    <row r="245" spans="17:36" x14ac:dyDescent="0.25">
      <c r="Q245" t="str">
        <f>mapPRC!A316</f>
        <v>IISCOREAF-E-T1</v>
      </c>
      <c r="R245" t="str">
        <f>IFERROR(INDEX($AD$7:$AD$88,MATCH(mapPRC!C316,$AC$7:$AC$88,0)),"")</f>
        <v>is</v>
      </c>
      <c r="U245" t="str">
        <f>mapCOM!A242</f>
        <v>IPPBIO</v>
      </c>
      <c r="V245" t="str">
        <f t="shared" si="4"/>
        <v/>
      </c>
      <c r="AI245" t="s">
        <v>2049</v>
      </c>
      <c r="AJ245" t="s">
        <v>3016</v>
      </c>
    </row>
    <row r="246" spans="17:36" x14ac:dyDescent="0.25">
      <c r="Q246" t="str">
        <f>mapPRC!A317</f>
        <v>IISCOREAF-E-T2</v>
      </c>
      <c r="R246" t="str">
        <f>IFERROR(INDEX($AD$7:$AD$88,MATCH(mapPRC!C317,$AC$7:$AC$88,0)),"")</f>
        <v>is</v>
      </c>
      <c r="U246" t="str">
        <f>mapCOM!A243</f>
        <v>IPPBLQ</v>
      </c>
      <c r="V246" t="str">
        <f t="shared" si="4"/>
        <v/>
      </c>
      <c r="AI246" t="s">
        <v>2048</v>
      </c>
      <c r="AJ246" t="s">
        <v>3016</v>
      </c>
    </row>
    <row r="247" spans="17:36" x14ac:dyDescent="0.25">
      <c r="Q247" t="str">
        <f>mapPRC!A318</f>
        <v>IISCOV</v>
      </c>
      <c r="R247" t="str">
        <f>IFERROR(INDEX($AD$7:$AD$88,MATCH(mapPRC!C318,$AC$7:$AC$88,0)),"")</f>
        <v>is</v>
      </c>
      <c r="U247" t="str">
        <f>mapCOM!A244</f>
        <v>IPPCOA</v>
      </c>
      <c r="V247" t="str">
        <f t="shared" si="4"/>
        <v>ccoal-hgh</v>
      </c>
      <c r="AI247" t="s">
        <v>2047</v>
      </c>
      <c r="AJ247" t="s">
        <v>3016</v>
      </c>
    </row>
    <row r="248" spans="17:36" x14ac:dyDescent="0.25">
      <c r="Q248" t="str">
        <f>mapPRC!A319</f>
        <v>IISDRIEAF-E</v>
      </c>
      <c r="R248" t="str">
        <f>IFERROR(INDEX($AD$7:$AD$88,MATCH(mapPRC!C319,$AC$7:$AC$88,0)),"")</f>
        <v>is</v>
      </c>
      <c r="U248" t="str">
        <f>mapCOM!A245</f>
        <v>IPPELC</v>
      </c>
      <c r="V248" t="str">
        <f t="shared" si="4"/>
        <v>celec</v>
      </c>
      <c r="AI248" t="s">
        <v>2046</v>
      </c>
      <c r="AJ248" t="s">
        <v>3016</v>
      </c>
    </row>
    <row r="249" spans="17:36" x14ac:dyDescent="0.25">
      <c r="Q249" t="str">
        <f>mapPRC!A320</f>
        <v>IISDRIEAF-E-T1</v>
      </c>
      <c r="R249" t="str">
        <f>IFERROR(INDEX($AD$7:$AD$88,MATCH(mapPRC!C320,$AC$7:$AC$88,0)),"")</f>
        <v>is</v>
      </c>
      <c r="U249" t="str">
        <f>mapCOM!A246</f>
        <v>IPPGAS</v>
      </c>
      <c r="V249" t="str">
        <f t="shared" si="4"/>
        <v>cngas</v>
      </c>
      <c r="AI249" t="s">
        <v>2045</v>
      </c>
      <c r="AJ249" t="s">
        <v>3016</v>
      </c>
    </row>
    <row r="250" spans="17:36" x14ac:dyDescent="0.25">
      <c r="Q250" t="str">
        <f>mapPRC!A321</f>
        <v>IISDRIEAF-E-T2</v>
      </c>
      <c r="R250" t="str">
        <f>IFERROR(INDEX($AD$7:$AD$88,MATCH(mapPRC!C321,$AC$7:$AC$88,0)),"")</f>
        <v>is</v>
      </c>
      <c r="U250" t="str">
        <f>mapCOM!A247</f>
        <v>IPPODS</v>
      </c>
      <c r="V250" t="str">
        <f t="shared" si="4"/>
        <v>cpetr_d</v>
      </c>
      <c r="AI250" t="s">
        <v>2043</v>
      </c>
      <c r="AJ250" t="s">
        <v>3016</v>
      </c>
    </row>
    <row r="251" spans="17:36" x14ac:dyDescent="0.25">
      <c r="Q251" t="str">
        <f>mapPRC!A322</f>
        <v>IISDRIEAF-NC</v>
      </c>
      <c r="R251" t="str">
        <f>IFERROR(INDEX($AD$7:$AD$88,MATCH(mapPRC!C322,$AC$7:$AC$88,0)),"")</f>
        <v>is</v>
      </c>
      <c r="U251" t="str">
        <f>mapCOM!A248</f>
        <v>IPPOGS</v>
      </c>
      <c r="V251" t="str">
        <f t="shared" si="4"/>
        <v/>
      </c>
      <c r="AI251" t="s">
        <v>2041</v>
      </c>
      <c r="AJ251" t="s">
        <v>3016</v>
      </c>
    </row>
    <row r="252" spans="17:36" x14ac:dyDescent="0.25">
      <c r="Q252" t="str">
        <f>mapPRC!A323</f>
        <v>IISDRIEAF-NG</v>
      </c>
      <c r="R252" t="str">
        <f>IFERROR(INDEX($AD$7:$AD$88,MATCH(mapPRC!C323,$AC$7:$AC$88,0)),"")</f>
        <v>is</v>
      </c>
      <c r="U252" t="str">
        <f>mapCOM!A249</f>
        <v>IPPOHF</v>
      </c>
      <c r="V252" t="str">
        <f t="shared" si="4"/>
        <v>cpetr_o</v>
      </c>
      <c r="AI252" t="s">
        <v>2039</v>
      </c>
      <c r="AJ252" t="s">
        <v>3016</v>
      </c>
    </row>
    <row r="253" spans="17:36" x14ac:dyDescent="0.25">
      <c r="Q253" t="str">
        <f>mapPRC!A324</f>
        <v>IISHDRIEAF-N</v>
      </c>
      <c r="R253" t="str">
        <f>IFERROR(INDEX($AD$7:$AD$88,MATCH(mapPRC!C324,$AC$7:$AC$88,0)),"")</f>
        <v>is</v>
      </c>
      <c r="U253" t="str">
        <f>mapCOM!A250</f>
        <v>IPPOLP</v>
      </c>
      <c r="V253" t="str">
        <f t="shared" si="4"/>
        <v>cpetr_o</v>
      </c>
      <c r="AI253" t="s">
        <v>2037</v>
      </c>
      <c r="AJ253" t="s">
        <v>3016</v>
      </c>
    </row>
    <row r="254" spans="17:36" x14ac:dyDescent="0.25">
      <c r="Q254" t="str">
        <f>mapPRC!A325</f>
        <v>IISHDRIHBI-STOR</v>
      </c>
      <c r="R254" t="str">
        <f>IFERROR(INDEX($AD$7:$AD$88,MATCH(mapPRC!C325,$AC$7:$AC$88,0)),"")</f>
        <v>is</v>
      </c>
      <c r="U254" t="str">
        <f>mapCOM!A251</f>
        <v>IPPPAP</v>
      </c>
      <c r="V254" t="str">
        <f t="shared" si="4"/>
        <v/>
      </c>
      <c r="AI254" t="s">
        <v>2035</v>
      </c>
      <c r="AJ254" t="s">
        <v>3016</v>
      </c>
    </row>
    <row r="255" spans="17:36" x14ac:dyDescent="0.25">
      <c r="Q255" t="str">
        <f>mapPRC!A326</f>
        <v>IISHHDRI-N</v>
      </c>
      <c r="R255" t="str">
        <f>IFERROR(INDEX($AD$7:$AD$88,MATCH(mapPRC!C326,$AC$7:$AC$88,0)),"")</f>
        <v>is</v>
      </c>
      <c r="U255" t="str">
        <f>mapCOM!A252</f>
        <v>IPPPULP</v>
      </c>
      <c r="V255" t="str">
        <f t="shared" si="4"/>
        <v/>
      </c>
      <c r="AI255" t="s">
        <v>2033</v>
      </c>
      <c r="AJ255" t="s">
        <v>3016</v>
      </c>
    </row>
    <row r="256" spans="17:36" x14ac:dyDescent="0.25">
      <c r="Q256" t="str">
        <f>mapPRC!A327</f>
        <v>IISHHGNSTOR-N</v>
      </c>
      <c r="R256" t="str">
        <f>IFERROR(INDEX($AD$7:$AD$88,MATCH(mapPRC!C327,$AC$7:$AC$88,0)),"")</f>
        <v>is</v>
      </c>
      <c r="U256" t="str">
        <f>mapCOM!A253</f>
        <v>IPPPULPD</v>
      </c>
      <c r="V256" t="str">
        <f t="shared" si="4"/>
        <v/>
      </c>
      <c r="AI256" t="s">
        <v>2031</v>
      </c>
      <c r="AJ256" t="s">
        <v>3016</v>
      </c>
    </row>
    <row r="257" spans="17:36" x14ac:dyDescent="0.25">
      <c r="Q257" t="str">
        <f>mapPRC!A328</f>
        <v>IISHPEMHGN</v>
      </c>
      <c r="R257" t="str">
        <f>IFERROR(INDEX($AD$7:$AD$88,MATCH(mapPRC!C328,$AC$7:$AC$88,0)),"")</f>
        <v>is</v>
      </c>
      <c r="U257" t="str">
        <f>mapCOM!A254</f>
        <v>IPPREC</v>
      </c>
      <c r="V257" t="str">
        <f t="shared" si="4"/>
        <v/>
      </c>
      <c r="AI257" t="s">
        <v>2029</v>
      </c>
      <c r="AJ257" t="s">
        <v>3016</v>
      </c>
    </row>
    <row r="258" spans="17:36" x14ac:dyDescent="0.25">
      <c r="Q258" t="str">
        <f>mapPRC!A329</f>
        <v>IISHXCRS</v>
      </c>
      <c r="R258" t="str">
        <f>IFERROR(INDEX($AD$7:$AD$88,MATCH(mapPRC!C329,$AC$7:$AC$88,0)),"")</f>
        <v>is</v>
      </c>
      <c r="U258" t="str">
        <f>mapCOM!A255</f>
        <v>IPPSTM</v>
      </c>
      <c r="V258" t="str">
        <f t="shared" si="4"/>
        <v/>
      </c>
      <c r="AI258" t="s">
        <v>1848</v>
      </c>
      <c r="AJ258" t="s">
        <v>3016</v>
      </c>
    </row>
    <row r="259" spans="17:36" x14ac:dyDescent="0.25">
      <c r="Q259" t="str">
        <f>mapPRC!A330</f>
        <v>IISOTHEAF-E</v>
      </c>
      <c r="R259" t="str">
        <f>IFERROR(INDEX($AD$7:$AD$88,MATCH(mapPRC!C330,$AC$7:$AC$88,0)),"")</f>
        <v>is</v>
      </c>
      <c r="U259" t="str">
        <f>mapCOM!A256</f>
        <v>IPPTHF</v>
      </c>
      <c r="V259" t="str">
        <f t="shared" si="4"/>
        <v/>
      </c>
      <c r="AI259" t="s">
        <v>1846</v>
      </c>
      <c r="AJ259" t="s">
        <v>3016</v>
      </c>
    </row>
    <row r="260" spans="17:36" x14ac:dyDescent="0.25">
      <c r="Q260" t="str">
        <f>mapPRC!A331</f>
        <v>IISOTHEAF-E-T1</v>
      </c>
      <c r="R260" t="str">
        <f>IFERROR(INDEX($AD$7:$AD$88,MATCH(mapPRC!C331,$AC$7:$AC$88,0)),"")</f>
        <v>is</v>
      </c>
      <c r="U260" t="str">
        <f>mapCOM!A257</f>
        <v>N2OS</v>
      </c>
      <c r="V260" t="str">
        <f t="shared" si="4"/>
        <v/>
      </c>
      <c r="AI260" t="s">
        <v>1844</v>
      </c>
      <c r="AJ260" t="s">
        <v>3016</v>
      </c>
    </row>
    <row r="261" spans="17:36" x14ac:dyDescent="0.25">
      <c r="Q261" t="str">
        <f>mapPRC!A332</f>
        <v>IISOTHEAF-E-T2</v>
      </c>
      <c r="R261" t="str">
        <f>IFERROR(INDEX($AD$7:$AD$88,MATCH(mapPRC!C332,$AC$7:$AC$88,0)),"")</f>
        <v>is</v>
      </c>
      <c r="U261" t="str">
        <f>mapCOM!A258</f>
        <v>NMVS</v>
      </c>
      <c r="V261" t="str">
        <f t="shared" si="4"/>
        <v/>
      </c>
      <c r="AI261" t="s">
        <v>1842</v>
      </c>
      <c r="AJ261" t="s">
        <v>3016</v>
      </c>
    </row>
    <row r="262" spans="17:36" x14ac:dyDescent="0.25">
      <c r="Q262" t="str">
        <f>mapPRC!A333</f>
        <v>IISSCREAF-E</v>
      </c>
      <c r="R262" t="str">
        <f>IFERROR(INDEX($AD$7:$AD$88,MATCH(mapPRC!C333,$AC$7:$AC$88,0)),"")</f>
        <v>is</v>
      </c>
      <c r="U262" t="str">
        <f>mapCOM!A259</f>
        <v>NOXS</v>
      </c>
      <c r="V262" t="str">
        <f t="shared" si="4"/>
        <v/>
      </c>
      <c r="AI262" t="s">
        <v>1840</v>
      </c>
      <c r="AJ262" t="s">
        <v>3016</v>
      </c>
    </row>
    <row r="263" spans="17:36" x14ac:dyDescent="0.25">
      <c r="Q263" t="str">
        <f>mapPRC!A334</f>
        <v>IISSCREAF-E-T1</v>
      </c>
      <c r="R263" t="str">
        <f>IFERROR(INDEX($AD$7:$AD$88,MATCH(mapPRC!C334,$AC$7:$AC$88,0)),"")</f>
        <v>is</v>
      </c>
      <c r="U263" t="str">
        <f>mapCOM!A260</f>
        <v>NUC</v>
      </c>
      <c r="V263" t="str">
        <f t="shared" ref="V263:V326" si="5">INDEX($AJ$6:$AJ$784,MATCH(U263,$AI$6:$AI$784,0))</f>
        <v/>
      </c>
      <c r="AI263" t="s">
        <v>1838</v>
      </c>
      <c r="AJ263" t="s">
        <v>3016</v>
      </c>
    </row>
    <row r="264" spans="17:36" x14ac:dyDescent="0.25">
      <c r="Q264" t="str">
        <f>mapPRC!A335</f>
        <v>IISSCREAF-E-T2</v>
      </c>
      <c r="R264" t="str">
        <f>IFERROR(INDEX($AD$7:$AD$88,MATCH(mapPRC!C335,$AC$7:$AC$88,0)),"")</f>
        <v>is</v>
      </c>
      <c r="U264" t="str">
        <f>mapCOM!A261</f>
        <v>OAG</v>
      </c>
      <c r="V264" t="str">
        <f t="shared" si="5"/>
        <v>cpetr_o</v>
      </c>
      <c r="AI264" t="s">
        <v>1836</v>
      </c>
      <c r="AJ264" t="s">
        <v>3016</v>
      </c>
    </row>
    <row r="265" spans="17:36" x14ac:dyDescent="0.25">
      <c r="Q265" t="str">
        <f>mapPRC!A336</f>
        <v>IISSCREAF-N</v>
      </c>
      <c r="R265" t="str">
        <f>IFERROR(INDEX($AD$7:$AD$88,MATCH(mapPRC!C336,$AC$7:$AC$88,0)),"")</f>
        <v>is</v>
      </c>
      <c r="U265" t="str">
        <f>mapCOM!A262</f>
        <v>OCR</v>
      </c>
      <c r="V265" t="str">
        <f t="shared" si="5"/>
        <v>ccoil</v>
      </c>
      <c r="AI265" t="s">
        <v>1834</v>
      </c>
      <c r="AJ265" t="s">
        <v>3016</v>
      </c>
    </row>
    <row r="266" spans="17:36" x14ac:dyDescent="0.25">
      <c r="Q266" t="str">
        <f>mapPRC!A337</f>
        <v>IMIAELC-E</v>
      </c>
      <c r="R266" t="str">
        <f>IFERROR(INDEX($AD$7:$AD$88,MATCH(mapPRC!C337,$AC$7:$AC$88,0)),"")</f>
        <v>mi</v>
      </c>
      <c r="U266" t="str">
        <f>mapCOM!A263</f>
        <v>ODS</v>
      </c>
      <c r="V266" t="str">
        <f t="shared" si="5"/>
        <v>cpetr_d</v>
      </c>
      <c r="AI266" t="s">
        <v>1832</v>
      </c>
      <c r="AJ266" t="s">
        <v>3016</v>
      </c>
    </row>
    <row r="267" spans="17:36" x14ac:dyDescent="0.25">
      <c r="Q267" t="str">
        <f>mapPRC!A338</f>
        <v>IMICELC-E</v>
      </c>
      <c r="R267" t="str">
        <f>IFERROR(INDEX($AD$7:$AD$88,MATCH(mapPRC!C338,$AC$7:$AC$88,0)),"")</f>
        <v>mi</v>
      </c>
      <c r="U267" t="str">
        <f>mapCOM!A264</f>
        <v>OGS</v>
      </c>
      <c r="V267" t="str">
        <f t="shared" si="5"/>
        <v>cpetr_p</v>
      </c>
      <c r="AI267" t="s">
        <v>1830</v>
      </c>
      <c r="AJ267" t="s">
        <v>3016</v>
      </c>
    </row>
    <row r="268" spans="17:36" x14ac:dyDescent="0.25">
      <c r="Q268" t="str">
        <f>mapPRC!A339</f>
        <v>IMIEELC-E</v>
      </c>
      <c r="R268" t="str">
        <f>IFERROR(INDEX($AD$7:$AD$88,MATCH(mapPRC!C339,$AC$7:$AC$88,0)),"")</f>
        <v>mi</v>
      </c>
      <c r="U268" t="str">
        <f>mapCOM!A265</f>
        <v>OHF</v>
      </c>
      <c r="V268" t="str">
        <f t="shared" si="5"/>
        <v>cpetr_o</v>
      </c>
      <c r="AI268" t="s">
        <v>1828</v>
      </c>
      <c r="AJ268" t="s">
        <v>3016</v>
      </c>
    </row>
    <row r="269" spans="17:36" x14ac:dyDescent="0.25">
      <c r="Q269" t="str">
        <f>mapPRC!A340</f>
        <v>IMIFELC-E</v>
      </c>
      <c r="R269" t="str">
        <f>IFERROR(INDEX($AD$7:$AD$88,MATCH(mapPRC!C340,$AC$7:$AC$88,0)),"")</f>
        <v>mi</v>
      </c>
      <c r="U269" t="str">
        <f>mapCOM!A266</f>
        <v>OKE</v>
      </c>
      <c r="V269" t="str">
        <f t="shared" si="5"/>
        <v>cpetr_o</v>
      </c>
      <c r="AI269" t="s">
        <v>1934</v>
      </c>
      <c r="AJ269" t="s">
        <v>3016</v>
      </c>
    </row>
    <row r="270" spans="17:36" x14ac:dyDescent="0.25">
      <c r="Q270" t="str">
        <f>mapPRC!A341</f>
        <v>IMIHELC-E</v>
      </c>
      <c r="R270" t="str">
        <f>IFERROR(INDEX($AD$7:$AD$88,MATCH(mapPRC!C341,$AC$7:$AC$88,0)),"")</f>
        <v>mi</v>
      </c>
      <c r="U270" t="str">
        <f>mapCOM!A267</f>
        <v>OLP</v>
      </c>
      <c r="V270" t="str">
        <f t="shared" si="5"/>
        <v>cpetr_o</v>
      </c>
      <c r="AI270" t="s">
        <v>1932</v>
      </c>
      <c r="AJ270" t="s">
        <v>3016</v>
      </c>
    </row>
    <row r="271" spans="17:36" x14ac:dyDescent="0.25">
      <c r="Q271" t="str">
        <f>mapPRC!A342</f>
        <v>IMIKELC-E</v>
      </c>
      <c r="R271" t="str">
        <f>IFERROR(INDEX($AD$7:$AD$88,MATCH(mapPRC!C342,$AC$7:$AC$88,0)),"")</f>
        <v>mi</v>
      </c>
      <c r="U271" t="str">
        <f>mapCOM!A268</f>
        <v>OTH</v>
      </c>
      <c r="V271" t="str">
        <f t="shared" si="5"/>
        <v/>
      </c>
      <c r="AI271" t="s">
        <v>1930</v>
      </c>
      <c r="AJ271" t="s">
        <v>3016</v>
      </c>
    </row>
    <row r="272" spans="17:36" x14ac:dyDescent="0.25">
      <c r="Q272" t="str">
        <f>mapPRC!A343</f>
        <v>IMILELC-E</v>
      </c>
      <c r="R272" t="str">
        <f>IFERROR(INDEX($AD$7:$AD$88,MATCH(mapPRC!C343,$AC$7:$AC$88,0)),"")</f>
        <v>mi</v>
      </c>
      <c r="U272" t="str">
        <f>mapCOM!A269</f>
        <v>OXYEXP</v>
      </c>
      <c r="V272" t="str">
        <f t="shared" si="5"/>
        <v/>
      </c>
      <c r="AI272" t="s">
        <v>1928</v>
      </c>
      <c r="AJ272" t="s">
        <v>3016</v>
      </c>
    </row>
    <row r="273" spans="17:36" x14ac:dyDescent="0.25">
      <c r="Q273" t="str">
        <f>mapPRC!A344</f>
        <v>IMIOELC-E</v>
      </c>
      <c r="R273" t="str">
        <f>IFERROR(INDEX($AD$7:$AD$88,MATCH(mapPRC!C344,$AC$7:$AC$88,0)),"")</f>
        <v>mi</v>
      </c>
      <c r="U273" t="str">
        <f>mapCOM!A270</f>
        <v>PWR_FLAB-M</v>
      </c>
      <c r="V273" t="str">
        <f t="shared" si="5"/>
        <v/>
      </c>
      <c r="AI273" t="s">
        <v>1926</v>
      </c>
      <c r="AJ273" t="s">
        <v>3016</v>
      </c>
    </row>
    <row r="274" spans="17:36" x14ac:dyDescent="0.25">
      <c r="Q274" t="str">
        <f>mapPRC!A345</f>
        <v>IMIPELC-E</v>
      </c>
      <c r="R274" t="str">
        <f>IFERROR(INDEX($AD$7:$AD$88,MATCH(mapPRC!C345,$AC$7:$AC$88,0)),"")</f>
        <v>mi</v>
      </c>
      <c r="U274" t="str">
        <f>mapCOM!A271</f>
        <v>PWR_FLAB-P</v>
      </c>
      <c r="V274" t="str">
        <f t="shared" si="5"/>
        <v/>
      </c>
      <c r="AI274" t="s">
        <v>1924</v>
      </c>
      <c r="AJ274" t="s">
        <v>3016</v>
      </c>
    </row>
    <row r="275" spans="17:36" x14ac:dyDescent="0.25">
      <c r="Q275" t="str">
        <f>mapPRC!A346</f>
        <v>IMIRODS-E</v>
      </c>
      <c r="R275" t="str">
        <f>IFERROR(INDEX($AD$7:$AD$88,MATCH(mapPRC!C346,$AC$7:$AC$88,0)),"")</f>
        <v>mi</v>
      </c>
      <c r="U275" t="str">
        <f>mapCOM!A272</f>
        <v>PWR_FLAB-S</v>
      </c>
      <c r="V275" t="str">
        <f t="shared" si="5"/>
        <v/>
      </c>
      <c r="AI275" t="s">
        <v>1922</v>
      </c>
      <c r="AJ275" t="s">
        <v>3016</v>
      </c>
    </row>
    <row r="276" spans="17:36" x14ac:dyDescent="0.25">
      <c r="Q276" t="str">
        <f>mapPRC!A347</f>
        <v>IMISCOA-E</v>
      </c>
      <c r="R276" t="str">
        <f>IFERROR(INDEX($AD$7:$AD$88,MATCH(mapPRC!C347,$AC$7:$AC$88,0)),"")</f>
        <v>mi</v>
      </c>
      <c r="U276" t="str">
        <f>mapCOM!A273</f>
        <v>PWR_FLAB-T</v>
      </c>
      <c r="V276" t="str">
        <f t="shared" si="5"/>
        <v/>
      </c>
      <c r="AI276" t="s">
        <v>1920</v>
      </c>
      <c r="AJ276" t="s">
        <v>3016</v>
      </c>
    </row>
    <row r="277" spans="17:36" x14ac:dyDescent="0.25">
      <c r="Q277" t="str">
        <f>mapPRC!A348</f>
        <v>IMISELC-E</v>
      </c>
      <c r="R277" t="str">
        <f>IFERROR(INDEX($AD$7:$AD$88,MATCH(mapPRC!C348,$AC$7:$AC$88,0)),"")</f>
        <v>mi</v>
      </c>
      <c r="U277" t="str">
        <f>mapCOM!A274</f>
        <v>PWRBIB</v>
      </c>
      <c r="V277" t="str">
        <f t="shared" si="5"/>
        <v/>
      </c>
      <c r="AI277" t="s">
        <v>1918</v>
      </c>
      <c r="AJ277" t="s">
        <v>3016</v>
      </c>
    </row>
    <row r="278" spans="17:36" x14ac:dyDescent="0.25">
      <c r="Q278" t="str">
        <f>mapPRC!A349</f>
        <v>IMISGAS-E</v>
      </c>
      <c r="R278" t="str">
        <f>IFERROR(INDEX($AD$7:$AD$88,MATCH(mapPRC!C349,$AC$7:$AC$88,0)),"")</f>
        <v>mi</v>
      </c>
      <c r="U278" t="str">
        <f>mapCOM!A275</f>
        <v>PWRBIG</v>
      </c>
      <c r="V278" t="str">
        <f t="shared" si="5"/>
        <v/>
      </c>
      <c r="AI278" t="s">
        <v>1916</v>
      </c>
      <c r="AJ278" t="s">
        <v>3016</v>
      </c>
    </row>
    <row r="279" spans="17:36" x14ac:dyDescent="0.25">
      <c r="Q279" t="str">
        <f>mapPRC!A350</f>
        <v>IMISOHF-E</v>
      </c>
      <c r="R279" t="str">
        <f>IFERROR(INDEX($AD$7:$AD$88,MATCH(mapPRC!C350,$AC$7:$AC$88,0)),"")</f>
        <v>mi</v>
      </c>
      <c r="U279" t="str">
        <f>mapCOM!A276</f>
        <v>PWRBIO</v>
      </c>
      <c r="V279" t="str">
        <f t="shared" si="5"/>
        <v/>
      </c>
      <c r="AI279" t="s">
        <v>1914</v>
      </c>
      <c r="AJ279" t="s">
        <v>3016</v>
      </c>
    </row>
    <row r="280" spans="17:36" x14ac:dyDescent="0.25">
      <c r="Q280" t="str">
        <f>mapPRC!A351</f>
        <v>IMISOLP-E</v>
      </c>
      <c r="R280" t="str">
        <f>IFERROR(INDEX($AD$7:$AD$88,MATCH(mapPRC!C351,$AC$7:$AC$88,0)),"")</f>
        <v>mi</v>
      </c>
      <c r="U280" t="str">
        <f>mapCOM!A277</f>
        <v>PWRBIW</v>
      </c>
      <c r="V280" t="str">
        <f t="shared" si="5"/>
        <v/>
      </c>
      <c r="AI280" t="s">
        <v>1912</v>
      </c>
      <c r="AJ280" t="s">
        <v>3016</v>
      </c>
    </row>
    <row r="281" spans="17:36" x14ac:dyDescent="0.25">
      <c r="Q281" t="str">
        <f>mapPRC!A352</f>
        <v>IMISWAS-E</v>
      </c>
      <c r="R281" t="str">
        <f>IFERROR(INDEX($AD$7:$AD$88,MATCH(mapPRC!C352,$AC$7:$AC$88,0)),"")</f>
        <v>mi</v>
      </c>
      <c r="U281" t="str">
        <f>mapCOM!A278</f>
        <v>PWRCH4R</v>
      </c>
      <c r="V281" t="str">
        <f t="shared" si="5"/>
        <v/>
      </c>
      <c r="AI281" t="s">
        <v>1910</v>
      </c>
      <c r="AJ281" t="s">
        <v>3016</v>
      </c>
    </row>
    <row r="282" spans="17:36" x14ac:dyDescent="0.25">
      <c r="Q282" t="str">
        <f>mapPRC!A353</f>
        <v>IMPBID</v>
      </c>
      <c r="R282" t="str">
        <f>IFERROR(INDEX($AD$7:$AD$88,MATCH(mapPRC!C353,$AC$7:$AC$88,0)),"")</f>
        <v>imp</v>
      </c>
      <c r="U282" t="str">
        <f>mapCOM!A279</f>
        <v>PWRCH4S</v>
      </c>
      <c r="V282" t="str">
        <f t="shared" si="5"/>
        <v/>
      </c>
      <c r="AI282" t="s">
        <v>1908</v>
      </c>
      <c r="AJ282" t="s">
        <v>3016</v>
      </c>
    </row>
    <row r="283" spans="17:36" x14ac:dyDescent="0.25">
      <c r="Q283" t="str">
        <f>mapPRC!A354</f>
        <v>IMPBIE</v>
      </c>
      <c r="R283" t="str">
        <f>IFERROR(INDEX($AD$7:$AD$88,MATCH(mapPRC!C354,$AC$7:$AC$88,0)),"")</f>
        <v>imp</v>
      </c>
      <c r="U283" t="str">
        <f>mapCOM!A280</f>
        <v>PWRCLD</v>
      </c>
      <c r="V283" t="str">
        <f t="shared" si="5"/>
        <v>ccoal-dis</v>
      </c>
      <c r="AI283" t="s">
        <v>1906</v>
      </c>
      <c r="AJ283" t="s">
        <v>3016</v>
      </c>
    </row>
    <row r="284" spans="17:36" x14ac:dyDescent="0.25">
      <c r="Q284" t="str">
        <f>mapPRC!A355</f>
        <v>IMPCOK</v>
      </c>
      <c r="R284" t="str">
        <f>IFERROR(INDEX($AD$7:$AD$88,MATCH(mapPRC!C355,$AC$7:$AC$88,0)),"")</f>
        <v>imp</v>
      </c>
      <c r="U284" t="str">
        <f>mapCOM!A281</f>
        <v>PWRCLE</v>
      </c>
      <c r="V284" t="str">
        <f t="shared" si="5"/>
        <v>ccoal-low</v>
      </c>
      <c r="AI284" t="s">
        <v>1904</v>
      </c>
      <c r="AJ284" t="s">
        <v>3016</v>
      </c>
    </row>
    <row r="285" spans="17:36" x14ac:dyDescent="0.25">
      <c r="Q285" t="str">
        <f>mapPRC!A356</f>
        <v>IMPGRL</v>
      </c>
      <c r="R285" t="str">
        <f>IFERROR(INDEX($AD$7:$AD$88,MATCH(mapPRC!C356,$AC$7:$AC$88,0)),"")</f>
        <v>imp</v>
      </c>
      <c r="U285" t="str">
        <f>mapCOM!A282</f>
        <v>PWRCLEARNO</v>
      </c>
      <c r="V285" t="str">
        <f t="shared" si="5"/>
        <v>ccoal-low</v>
      </c>
      <c r="AI285" t="s">
        <v>1902</v>
      </c>
      <c r="AJ285" t="s">
        <v>3016</v>
      </c>
    </row>
    <row r="286" spans="17:36" x14ac:dyDescent="0.25">
      <c r="Q286" t="str">
        <f>mapPRC!A357</f>
        <v>IMPGWL</v>
      </c>
      <c r="R286" t="str">
        <f>IFERROR(INDEX($AD$7:$AD$88,MATCH(mapPRC!C357,$AC$7:$AC$88,0)),"")</f>
        <v>imp</v>
      </c>
      <c r="U286" t="str">
        <f>mapCOM!A283</f>
        <v>PWRCLECAMD</v>
      </c>
      <c r="V286" t="str">
        <f t="shared" si="5"/>
        <v>ccoal-low</v>
      </c>
      <c r="AI286" t="s">
        <v>1900</v>
      </c>
      <c r="AJ286" t="s">
        <v>3016</v>
      </c>
    </row>
    <row r="287" spans="17:36" x14ac:dyDescent="0.25">
      <c r="Q287" t="str">
        <f>mapPRC!A358</f>
        <v>IMPNUC</v>
      </c>
      <c r="R287" t="str">
        <f>IFERROR(INDEX($AD$7:$AD$88,MATCH(mapPRC!C358,$AC$7:$AC$88,0)),"")</f>
        <v>imp</v>
      </c>
      <c r="U287" t="str">
        <f>mapCOM!A284</f>
        <v>PWRCLEDUVH</v>
      </c>
      <c r="V287" t="str">
        <f t="shared" si="5"/>
        <v>ccoal-low</v>
      </c>
      <c r="AI287" t="s">
        <v>1898</v>
      </c>
      <c r="AJ287" t="s">
        <v>3016</v>
      </c>
    </row>
    <row r="288" spans="17:36" x14ac:dyDescent="0.25">
      <c r="Q288" t="str">
        <f>mapPRC!A359</f>
        <v>IMPOAG</v>
      </c>
      <c r="R288" t="str">
        <f>IFERROR(INDEX($AD$7:$AD$88,MATCH(mapPRC!C359,$AC$7:$AC$88,0)),"")</f>
        <v>imp</v>
      </c>
      <c r="U288" t="str">
        <f>mapCOM!A285</f>
        <v>PWRCLEGROO</v>
      </c>
      <c r="V288" t="str">
        <f t="shared" si="5"/>
        <v>ccoal-low</v>
      </c>
      <c r="AI288" t="s">
        <v>1896</v>
      </c>
      <c r="AJ288" t="s">
        <v>3016</v>
      </c>
    </row>
    <row r="289" spans="17:36" x14ac:dyDescent="0.25">
      <c r="Q289" t="str">
        <f>mapPRC!A360</f>
        <v>IMPOCR</v>
      </c>
      <c r="R289" t="str">
        <f>IFERROR(INDEX($AD$7:$AD$88,MATCH(mapPRC!C360,$AC$7:$AC$88,0)),"")</f>
        <v>imp</v>
      </c>
      <c r="U289" t="str">
        <f>mapCOM!A286</f>
        <v>PWRCLEHEND</v>
      </c>
      <c r="V289" t="str">
        <f t="shared" si="5"/>
        <v>ccoal-low</v>
      </c>
      <c r="AI289" t="s">
        <v>1894</v>
      </c>
      <c r="AJ289" t="s">
        <v>3016</v>
      </c>
    </row>
    <row r="290" spans="17:36" x14ac:dyDescent="0.25">
      <c r="Q290" t="str">
        <f>mapPRC!A361</f>
        <v>IMPODS</v>
      </c>
      <c r="R290" t="str">
        <f>IFERROR(INDEX($AD$7:$AD$88,MATCH(mapPRC!C361,$AC$7:$AC$88,0)),"")</f>
        <v>imp</v>
      </c>
      <c r="U290" t="str">
        <f>mapCOM!A287</f>
        <v>PWRCLEKEND</v>
      </c>
      <c r="V290" t="str">
        <f t="shared" si="5"/>
        <v>ccoal-low</v>
      </c>
      <c r="AI290" t="s">
        <v>1892</v>
      </c>
      <c r="AJ290" t="s">
        <v>3016</v>
      </c>
    </row>
    <row r="291" spans="17:36" x14ac:dyDescent="0.25">
      <c r="Q291" t="str">
        <f>mapPRC!A362</f>
        <v>IMPOGS</v>
      </c>
      <c r="R291" t="str">
        <f>IFERROR(INDEX($AD$7:$AD$88,MATCH(mapPRC!C362,$AC$7:$AC$88,0)),"")</f>
        <v>imp</v>
      </c>
      <c r="U291" t="str">
        <f>mapCOM!A288</f>
        <v>PWRCLEKOMA</v>
      </c>
      <c r="V291" t="str">
        <f t="shared" si="5"/>
        <v>ccoal-low</v>
      </c>
      <c r="AI291" t="s">
        <v>1890</v>
      </c>
      <c r="AJ291" t="s">
        <v>3016</v>
      </c>
    </row>
    <row r="292" spans="17:36" x14ac:dyDescent="0.25">
      <c r="Q292" t="str">
        <f>mapPRC!A363</f>
        <v>IMPOHF</v>
      </c>
      <c r="R292" t="str">
        <f>IFERROR(INDEX($AD$7:$AD$88,MATCH(mapPRC!C363,$AC$7:$AC$88,0)),"")</f>
        <v>imp</v>
      </c>
      <c r="U292" t="str">
        <f>mapCOM!A289</f>
        <v>PWRCLEKRIE</v>
      </c>
      <c r="V292" t="str">
        <f t="shared" si="5"/>
        <v>ccoal-low</v>
      </c>
      <c r="AI292" t="s">
        <v>1888</v>
      </c>
      <c r="AJ292" t="s">
        <v>3016</v>
      </c>
    </row>
    <row r="293" spans="17:36" x14ac:dyDescent="0.25">
      <c r="Q293" t="str">
        <f>mapPRC!A364</f>
        <v>IMPOKE</v>
      </c>
      <c r="R293" t="str">
        <f>IFERROR(INDEX($AD$7:$AD$88,MATCH(mapPRC!C364,$AC$7:$AC$88,0)),"")</f>
        <v>imp</v>
      </c>
      <c r="U293" t="str">
        <f>mapCOM!A290</f>
        <v>PWRCLEKUSI</v>
      </c>
      <c r="V293" t="str">
        <f t="shared" si="5"/>
        <v>ccoal-low</v>
      </c>
      <c r="AI293" t="s">
        <v>1886</v>
      </c>
      <c r="AJ293" t="s">
        <v>3016</v>
      </c>
    </row>
    <row r="294" spans="17:36" x14ac:dyDescent="0.25">
      <c r="Q294" t="str">
        <f>mapPRC!A365</f>
        <v>IMPOLP</v>
      </c>
      <c r="R294" t="str">
        <f>IFERROR(INDEX($AD$7:$AD$88,MATCH(mapPRC!C365,$AC$7:$AC$88,0)),"")</f>
        <v>imp</v>
      </c>
      <c r="U294" t="str">
        <f>mapCOM!A291</f>
        <v>PWRCLELETH</v>
      </c>
      <c r="V294" t="str">
        <f t="shared" si="5"/>
        <v>ccoal-low</v>
      </c>
      <c r="AI294" t="s">
        <v>2027</v>
      </c>
      <c r="AJ294" t="s">
        <v>3016</v>
      </c>
    </row>
    <row r="295" spans="17:36" x14ac:dyDescent="0.25">
      <c r="Q295" t="str">
        <f>mapPRC!A366</f>
        <v>INFAELC-E</v>
      </c>
      <c r="R295" t="str">
        <f>IFERROR(INDEX($AD$7:$AD$88,MATCH(mapPRC!C366,$AC$7:$AC$88,0)),"")</f>
        <v>nf</v>
      </c>
      <c r="U295" t="str">
        <f>mapCOM!A292</f>
        <v>PWRCLEMAJU</v>
      </c>
      <c r="V295" t="str">
        <f t="shared" si="5"/>
        <v>ccoal-low</v>
      </c>
      <c r="AI295" t="s">
        <v>2026</v>
      </c>
      <c r="AJ295" t="s">
        <v>3016</v>
      </c>
    </row>
    <row r="296" spans="17:36" x14ac:dyDescent="0.25">
      <c r="Q296" t="str">
        <f>mapPRC!A367</f>
        <v>INFCELC-E</v>
      </c>
      <c r="R296" t="str">
        <f>IFERROR(INDEX($AD$7:$AD$88,MATCH(mapPRC!C367,$AC$7:$AC$88,0)),"")</f>
        <v>nf</v>
      </c>
      <c r="U296" t="str">
        <f>mapCOM!A293</f>
        <v>PWRCLEMATI</v>
      </c>
      <c r="V296" t="str">
        <f t="shared" si="5"/>
        <v>ccoal-low</v>
      </c>
      <c r="AI296" t="s">
        <v>2025</v>
      </c>
      <c r="AJ296" t="s">
        <v>3016</v>
      </c>
    </row>
    <row r="297" spans="17:36" x14ac:dyDescent="0.25">
      <c r="Q297" t="str">
        <f>mapPRC!A368</f>
        <v>INFEELC-E</v>
      </c>
      <c r="R297" t="str">
        <f>IFERROR(INDEX($AD$7:$AD$88,MATCH(mapPRC!C368,$AC$7:$AC$88,0)),"")</f>
        <v>nf</v>
      </c>
      <c r="U297" t="str">
        <f>mapCOM!A294</f>
        <v>PWRCLEMATL</v>
      </c>
      <c r="V297" t="str">
        <f t="shared" si="5"/>
        <v>ccoal-low</v>
      </c>
      <c r="AI297" t="s">
        <v>1826</v>
      </c>
      <c r="AJ297" t="s">
        <v>3018</v>
      </c>
    </row>
    <row r="298" spans="17:36" x14ac:dyDescent="0.25">
      <c r="Q298" t="str">
        <f>mapPRC!A369</f>
        <v>INFFELC-E</v>
      </c>
      <c r="R298" t="str">
        <f>IFERROR(INDEX($AD$7:$AD$88,MATCH(mapPRC!C369,$AC$7:$AC$88,0)),"")</f>
        <v>nf</v>
      </c>
      <c r="U298" t="str">
        <f>mapCOM!A295</f>
        <v>PWRCLEMEDU</v>
      </c>
      <c r="V298" t="str">
        <f t="shared" si="5"/>
        <v>ccoal-low</v>
      </c>
      <c r="AI298" t="s">
        <v>2024</v>
      </c>
      <c r="AJ298" t="s">
        <v>3016</v>
      </c>
    </row>
    <row r="299" spans="17:36" x14ac:dyDescent="0.25">
      <c r="Q299" t="str">
        <f>mapPRC!A370</f>
        <v>INFHELC-E</v>
      </c>
      <c r="R299" t="str">
        <f>IFERROR(INDEX($AD$7:$AD$88,MATCH(mapPRC!C370,$AC$7:$AC$88,0)),"")</f>
        <v>nf</v>
      </c>
      <c r="U299" t="str">
        <f>mapCOM!A296</f>
        <v>PWRCLETUTU</v>
      </c>
      <c r="V299" t="str">
        <f t="shared" si="5"/>
        <v>ccoal-low</v>
      </c>
      <c r="AI299" t="s">
        <v>1824</v>
      </c>
      <c r="AJ299" t="s">
        <v>3017</v>
      </c>
    </row>
    <row r="300" spans="17:36" x14ac:dyDescent="0.25">
      <c r="Q300" t="str">
        <f>mapPRC!A371</f>
        <v>INFKELC-E</v>
      </c>
      <c r="R300" t="str">
        <f>IFERROR(INDEX($AD$7:$AD$88,MATCH(mapPRC!C371,$AC$7:$AC$88,0)),"")</f>
        <v>nf</v>
      </c>
      <c r="U300" t="str">
        <f>mapCOM!A297</f>
        <v>PWRCLEWATE</v>
      </c>
      <c r="V300" t="str">
        <f t="shared" si="5"/>
        <v>ccoal-low</v>
      </c>
      <c r="AI300" t="s">
        <v>2023</v>
      </c>
      <c r="AJ300" t="s">
        <v>3016</v>
      </c>
    </row>
    <row r="301" spans="17:36" x14ac:dyDescent="0.25">
      <c r="Q301" t="str">
        <f>mapPRC!A372</f>
        <v>INFLELC-E</v>
      </c>
      <c r="R301" t="str">
        <f>IFERROR(INDEX($AD$7:$AD$88,MATCH(mapPRC!C372,$AC$7:$AC$88,0)),"")</f>
        <v>nf</v>
      </c>
      <c r="U301" t="str">
        <f>mapCOM!A298</f>
        <v>PWRCMOR</v>
      </c>
      <c r="V301" t="str">
        <f t="shared" si="5"/>
        <v/>
      </c>
      <c r="AI301" t="s">
        <v>2022</v>
      </c>
      <c r="AJ301" t="s">
        <v>3016</v>
      </c>
    </row>
    <row r="302" spans="17:36" x14ac:dyDescent="0.25">
      <c r="Q302" t="str">
        <f>mapPRC!A373</f>
        <v>INFOELC-E</v>
      </c>
      <c r="R302" t="str">
        <f>IFERROR(INDEX($AD$7:$AD$88,MATCH(mapPRC!C373,$AC$7:$AC$88,0)),"")</f>
        <v>nf</v>
      </c>
      <c r="U302" t="str">
        <f>mapCOM!A299</f>
        <v>PWRCMOX</v>
      </c>
      <c r="V302" t="str">
        <f t="shared" si="5"/>
        <v/>
      </c>
      <c r="AI302" t="s">
        <v>2021</v>
      </c>
      <c r="AJ302" t="s">
        <v>3016</v>
      </c>
    </row>
    <row r="303" spans="17:36" x14ac:dyDescent="0.25">
      <c r="Q303" t="str">
        <f>mapPRC!A374</f>
        <v>INFPELC-E</v>
      </c>
      <c r="R303" t="str">
        <f>IFERROR(INDEX($AD$7:$AD$88,MATCH(mapPRC!C374,$AC$7:$AC$88,0)),"")</f>
        <v>nf</v>
      </c>
      <c r="U303" t="str">
        <f>mapCOM!A300</f>
        <v>PWRCO2R</v>
      </c>
      <c r="V303" t="str">
        <f t="shared" si="5"/>
        <v/>
      </c>
      <c r="AI303" t="s">
        <v>2020</v>
      </c>
      <c r="AJ303" t="s">
        <v>3016</v>
      </c>
    </row>
    <row r="304" spans="17:36" x14ac:dyDescent="0.25">
      <c r="Q304" t="str">
        <f>mapPRC!A375</f>
        <v>INFSCOA-E</v>
      </c>
      <c r="R304" t="str">
        <f>IFERROR(INDEX($AD$7:$AD$88,MATCH(mapPRC!C375,$AC$7:$AC$88,0)),"")</f>
        <v>nf</v>
      </c>
      <c r="U304" t="str">
        <f>mapCOM!A301</f>
        <v>PWRCO2S</v>
      </c>
      <c r="V304" t="str">
        <f t="shared" si="5"/>
        <v/>
      </c>
      <c r="AI304" t="s">
        <v>2019</v>
      </c>
      <c r="AJ304" t="s">
        <v>3016</v>
      </c>
    </row>
    <row r="305" spans="17:36" x14ac:dyDescent="0.25">
      <c r="Q305" t="str">
        <f>mapPRC!A376</f>
        <v>INFSELC-E</v>
      </c>
      <c r="R305" t="str">
        <f>IFERROR(INDEX($AD$7:$AD$88,MATCH(mapPRC!C376,$AC$7:$AC$88,0)),"")</f>
        <v>nf</v>
      </c>
      <c r="U305" t="str">
        <f>mapCOM!A302</f>
        <v>PWRCRB</v>
      </c>
      <c r="V305" t="str">
        <f t="shared" si="5"/>
        <v/>
      </c>
      <c r="AI305" t="s">
        <v>2018</v>
      </c>
      <c r="AJ305" t="s">
        <v>3016</v>
      </c>
    </row>
    <row r="306" spans="17:36" x14ac:dyDescent="0.25">
      <c r="Q306" t="str">
        <f>mapPRC!A377</f>
        <v>INFSGAS-E</v>
      </c>
      <c r="R306" t="str">
        <f>IFERROR(INDEX($AD$7:$AD$88,MATCH(mapPRC!C377,$AC$7:$AC$88,0)),"")</f>
        <v>nf</v>
      </c>
      <c r="U306" t="str">
        <f>mapCOM!A303</f>
        <v>PWRENV</v>
      </c>
      <c r="V306" t="str">
        <f t="shared" si="5"/>
        <v/>
      </c>
      <c r="AI306" t="s">
        <v>2017</v>
      </c>
      <c r="AJ306" t="s">
        <v>3016</v>
      </c>
    </row>
    <row r="307" spans="17:36" x14ac:dyDescent="0.25">
      <c r="Q307" t="str">
        <f>mapPRC!A378</f>
        <v>INFSOHF-E</v>
      </c>
      <c r="R307" t="str">
        <f>IFERROR(INDEX($AD$7:$AD$88,MATCH(mapPRC!C378,$AC$7:$AC$88,0)),"")</f>
        <v>nf</v>
      </c>
      <c r="U307" t="str">
        <f>mapCOM!A304</f>
        <v>PWRGAS</v>
      </c>
      <c r="V307" t="str">
        <f t="shared" si="5"/>
        <v>cngas</v>
      </c>
      <c r="AI307" t="s">
        <v>1884</v>
      </c>
      <c r="AJ307" t="s">
        <v>3016</v>
      </c>
    </row>
    <row r="308" spans="17:36" x14ac:dyDescent="0.25">
      <c r="Q308" t="str">
        <f>mapPRC!A379</f>
        <v>INFSOLP-E</v>
      </c>
      <c r="R308" t="str">
        <f>IFERROR(INDEX($AD$7:$AD$88,MATCH(mapPRC!C379,$AC$7:$AC$88,0)),"")</f>
        <v>nf</v>
      </c>
      <c r="U308" t="str">
        <f>mapCOM!A305</f>
        <v>PWRGIC</v>
      </c>
      <c r="V308" t="str">
        <f t="shared" si="5"/>
        <v>cngas</v>
      </c>
      <c r="AI308" t="s">
        <v>1822</v>
      </c>
      <c r="AJ308" t="s">
        <v>3018</v>
      </c>
    </row>
    <row r="309" spans="17:36" x14ac:dyDescent="0.25">
      <c r="Q309" t="str">
        <f>mapPRC!A380</f>
        <v>INFSWAS-E</v>
      </c>
      <c r="R309" t="str">
        <f>IFERROR(INDEX($AD$7:$AD$88,MATCH(mapPRC!C380,$AC$7:$AC$88,0)),"")</f>
        <v>nf</v>
      </c>
      <c r="U309" t="str">
        <f>mapCOM!A306</f>
        <v>PWRGIH</v>
      </c>
      <c r="V309" t="str">
        <f t="shared" si="5"/>
        <v>cngas</v>
      </c>
      <c r="AI309" t="s">
        <v>1820</v>
      </c>
      <c r="AJ309" t="s">
        <v>3017</v>
      </c>
    </row>
    <row r="310" spans="17:36" x14ac:dyDescent="0.25">
      <c r="Q310" t="str">
        <f>mapPRC!A381</f>
        <v>INMBRIADV</v>
      </c>
      <c r="R310" t="str">
        <f>IFERROR(INDEX($AD$7:$AD$88,MATCH(mapPRC!C381,$AC$7:$AC$88,0)),"")</f>
        <v>nm</v>
      </c>
      <c r="U310" t="str">
        <f>mapCOM!A307</f>
        <v>PWRGRM</v>
      </c>
      <c r="V310" t="str">
        <f t="shared" si="5"/>
        <v>cngas</v>
      </c>
      <c r="AI310" t="s">
        <v>2016</v>
      </c>
      <c r="AJ310" t="s">
        <v>3016</v>
      </c>
    </row>
    <row r="311" spans="17:36" x14ac:dyDescent="0.25">
      <c r="Q311" t="str">
        <f>mapPRC!A382</f>
        <v>INMBRIF2TF</v>
      </c>
      <c r="R311" t="str">
        <f>IFERROR(INDEX($AD$7:$AD$88,MATCH(mapPRC!C382,$AC$7:$AC$88,0)),"")</f>
        <v>nm</v>
      </c>
      <c r="U311" t="str">
        <f>mapCOM!A308</f>
        <v>PWRGRN</v>
      </c>
      <c r="V311" t="str">
        <f t="shared" si="5"/>
        <v>cngas</v>
      </c>
      <c r="AI311" t="s">
        <v>2015</v>
      </c>
      <c r="AJ311" t="s">
        <v>3016</v>
      </c>
    </row>
    <row r="312" spans="17:36" x14ac:dyDescent="0.25">
      <c r="Q312" t="str">
        <f>mapPRC!A383</f>
        <v>INMBRISTD</v>
      </c>
      <c r="R312" t="str">
        <f>IFERROR(INDEX($AD$7:$AD$88,MATCH(mapPRC!C383,$AC$7:$AC$88,0)),"")</f>
        <v>nm</v>
      </c>
      <c r="U312" t="str">
        <f>mapCOM!A309</f>
        <v>PWRGRS</v>
      </c>
      <c r="V312" t="str">
        <f t="shared" si="5"/>
        <v>cngas</v>
      </c>
      <c r="AI312" t="s">
        <v>2014</v>
      </c>
      <c r="AJ312" t="s">
        <v>3016</v>
      </c>
    </row>
    <row r="313" spans="17:36" x14ac:dyDescent="0.25">
      <c r="Q313" t="str">
        <f>mapPRC!A384</f>
        <v>INMCEMF2TF</v>
      </c>
      <c r="R313" t="str">
        <f>IFERROR(INDEX($AD$7:$AD$88,MATCH(mapPRC!C384,$AC$7:$AC$88,0)),"")</f>
        <v>nm</v>
      </c>
      <c r="U313" t="str">
        <f>mapCOM!A310</f>
        <v>PWRHYD</v>
      </c>
      <c r="V313" t="str">
        <f t="shared" si="5"/>
        <v/>
      </c>
      <c r="AI313" t="s">
        <v>1818</v>
      </c>
      <c r="AJ313" t="s">
        <v>3018</v>
      </c>
    </row>
    <row r="314" spans="17:36" x14ac:dyDescent="0.25">
      <c r="Q314" t="str">
        <f>mapPRC!A385</f>
        <v>INMCEMFGBM</v>
      </c>
      <c r="R314" t="str">
        <f>IFERROR(INDEX($AD$7:$AD$88,MATCH(mapPRC!C385,$AC$7:$AC$88,0)),"")</f>
        <v>nm</v>
      </c>
      <c r="U314" t="str">
        <f>mapCOM!A311</f>
        <v>PWRN2OR</v>
      </c>
      <c r="V314" t="str">
        <f t="shared" si="5"/>
        <v/>
      </c>
      <c r="AI314" t="s">
        <v>2013</v>
      </c>
      <c r="AJ314" t="s">
        <v>3016</v>
      </c>
    </row>
    <row r="315" spans="17:36" x14ac:dyDescent="0.25">
      <c r="Q315" t="str">
        <f>mapPRC!A386</f>
        <v>INMCEMFGRP</v>
      </c>
      <c r="R315" t="str">
        <f>IFERROR(INDEX($AD$7:$AD$88,MATCH(mapPRC!C386,$AC$7:$AC$88,0)),"")</f>
        <v>nm</v>
      </c>
      <c r="U315" t="str">
        <f>mapCOM!A312</f>
        <v>PWRN2OS</v>
      </c>
      <c r="V315" t="str">
        <f t="shared" si="5"/>
        <v/>
      </c>
      <c r="AI315" t="s">
        <v>1816</v>
      </c>
      <c r="AJ315" t="s">
        <v>3017</v>
      </c>
    </row>
    <row r="316" spans="17:36" x14ac:dyDescent="0.25">
      <c r="Q316" t="str">
        <f>mapPRC!A387</f>
        <v>INMCEMKLD-E</v>
      </c>
      <c r="R316" t="str">
        <f>IFERROR(INDEX($AD$7:$AD$88,MATCH(mapPRC!C387,$AC$7:$AC$88,0)),"")</f>
        <v>nm</v>
      </c>
      <c r="U316" t="str">
        <f>mapCOM!A313</f>
        <v>PWRNMVR</v>
      </c>
      <c r="V316" t="str">
        <f t="shared" si="5"/>
        <v/>
      </c>
      <c r="AI316" t="s">
        <v>2012</v>
      </c>
      <c r="AJ316" t="s">
        <v>3016</v>
      </c>
    </row>
    <row r="317" spans="17:36" x14ac:dyDescent="0.25">
      <c r="Q317" t="str">
        <f>mapPRC!A388</f>
        <v>INMCEMKLD-E-T1</v>
      </c>
      <c r="R317" t="str">
        <f>IFERROR(INDEX($AD$7:$AD$88,MATCH(mapPRC!C388,$AC$7:$AC$88,0)),"")</f>
        <v>nm</v>
      </c>
      <c r="U317" t="str">
        <f>mapCOM!A314</f>
        <v>PWRNMVS</v>
      </c>
      <c r="V317" t="str">
        <f t="shared" si="5"/>
        <v/>
      </c>
      <c r="AI317" t="s">
        <v>2011</v>
      </c>
      <c r="AJ317" t="s">
        <v>3016</v>
      </c>
    </row>
    <row r="318" spans="17:36" x14ac:dyDescent="0.25">
      <c r="Q318" t="str">
        <f>mapPRC!A389</f>
        <v>INMCEMKLD-E-T2</v>
      </c>
      <c r="R318" t="str">
        <f>IFERROR(INDEX($AD$7:$AD$88,MATCH(mapPRC!C389,$AC$7:$AC$88,0)),"")</f>
        <v>nm</v>
      </c>
      <c r="U318" t="str">
        <f>mapCOM!A315</f>
        <v>PWRNOXR</v>
      </c>
      <c r="V318" t="str">
        <f t="shared" si="5"/>
        <v/>
      </c>
      <c r="AI318" t="s">
        <v>2010</v>
      </c>
      <c r="AJ318" t="s">
        <v>3016</v>
      </c>
    </row>
    <row r="319" spans="17:36" x14ac:dyDescent="0.25">
      <c r="Q319" t="str">
        <f>mapPRC!A390</f>
        <v>INMCEMKPP-E</v>
      </c>
      <c r="R319" t="str">
        <f>IFERROR(INDEX($AD$7:$AD$88,MATCH(mapPRC!C390,$AC$7:$AC$88,0)),"")</f>
        <v>nm</v>
      </c>
      <c r="U319" t="str">
        <f>mapCOM!A316</f>
        <v>PWRNOXS</v>
      </c>
      <c r="V319" t="str">
        <f t="shared" si="5"/>
        <v/>
      </c>
      <c r="AI319" t="s">
        <v>2009</v>
      </c>
      <c r="AJ319" t="s">
        <v>3016</v>
      </c>
    </row>
    <row r="320" spans="17:36" x14ac:dyDescent="0.25">
      <c r="Q320" t="str">
        <f>mapPRC!A391</f>
        <v>INMCEMKPP-E-T1</v>
      </c>
      <c r="R320" t="str">
        <f>IFERROR(INDEX($AD$7:$AD$88,MATCH(mapPRC!C391,$AC$7:$AC$88,0)),"")</f>
        <v>nm</v>
      </c>
      <c r="U320" t="str">
        <f>mapCOM!A317</f>
        <v>PWRNUC</v>
      </c>
      <c r="V320" t="str">
        <f t="shared" si="5"/>
        <v/>
      </c>
      <c r="AI320" t="s">
        <v>2008</v>
      </c>
      <c r="AJ320" t="s">
        <v>3016</v>
      </c>
    </row>
    <row r="321" spans="17:36" x14ac:dyDescent="0.25">
      <c r="Q321" t="str">
        <f>mapPRC!A392</f>
        <v>INMCEMKPP-E-T2</v>
      </c>
      <c r="R321" t="str">
        <f>IFERROR(INDEX($AD$7:$AD$88,MATCH(mapPRC!C392,$AC$7:$AC$88,0)),"")</f>
        <v>nm</v>
      </c>
      <c r="U321" t="str">
        <f>mapCOM!A318</f>
        <v>PWRODS</v>
      </c>
      <c r="V321" t="str">
        <f t="shared" si="5"/>
        <v>cpetr_d</v>
      </c>
      <c r="AI321" t="s">
        <v>2007</v>
      </c>
      <c r="AJ321" t="s">
        <v>3016</v>
      </c>
    </row>
    <row r="322" spans="17:36" x14ac:dyDescent="0.25">
      <c r="Q322" t="str">
        <f>mapPRC!A393</f>
        <v>INMCEMKPP-N</v>
      </c>
      <c r="R322" t="str">
        <f>IFERROR(INDEX($AD$7:$AD$88,MATCH(mapPRC!C393,$AC$7:$AC$88,0)),"")</f>
        <v>nm</v>
      </c>
      <c r="U322" t="str">
        <f>mapCOM!A319</f>
        <v>PWRP10R</v>
      </c>
      <c r="V322" t="str">
        <f t="shared" si="5"/>
        <v/>
      </c>
      <c r="AI322" t="s">
        <v>1814</v>
      </c>
      <c r="AJ322" t="s">
        <v>3016</v>
      </c>
    </row>
    <row r="323" spans="17:36" x14ac:dyDescent="0.25">
      <c r="Q323" t="str">
        <f>mapPRC!A394</f>
        <v>INMCEMKSP-E</v>
      </c>
      <c r="R323" t="str">
        <f>IFERROR(INDEX($AD$7:$AD$88,MATCH(mapPRC!C394,$AC$7:$AC$88,0)),"")</f>
        <v>nm</v>
      </c>
      <c r="U323" t="str">
        <f>mapCOM!A320</f>
        <v>PWRP10S</v>
      </c>
      <c r="V323" t="str">
        <f t="shared" si="5"/>
        <v/>
      </c>
      <c r="AI323" t="s">
        <v>1812</v>
      </c>
      <c r="AJ323" t="s">
        <v>3016</v>
      </c>
    </row>
    <row r="324" spans="17:36" x14ac:dyDescent="0.25">
      <c r="Q324" t="str">
        <f>mapPRC!A395</f>
        <v>INMCEMKSP-E-T1</v>
      </c>
      <c r="R324" t="str">
        <f>IFERROR(INDEX($AD$7:$AD$88,MATCH(mapPRC!C395,$AC$7:$AC$88,0)),"")</f>
        <v>nm</v>
      </c>
      <c r="U324" t="str">
        <f>mapCOM!A321</f>
        <v>PWRSOL</v>
      </c>
      <c r="V324" t="str">
        <f t="shared" si="5"/>
        <v/>
      </c>
      <c r="AI324" t="s">
        <v>1810</v>
      </c>
      <c r="AJ324" t="s">
        <v>3019</v>
      </c>
    </row>
    <row r="325" spans="17:36" x14ac:dyDescent="0.25">
      <c r="Q325" t="str">
        <f>mapPRC!A396</f>
        <v>INMCEMKSP-E-T2</v>
      </c>
      <c r="R325" t="str">
        <f>IFERROR(INDEX($AD$7:$AD$88,MATCH(mapPRC!C396,$AC$7:$AC$88,0)),"")</f>
        <v>nm</v>
      </c>
      <c r="U325" t="str">
        <f>mapCOM!A322</f>
        <v>PWRSOXR</v>
      </c>
      <c r="V325" t="str">
        <f t="shared" si="5"/>
        <v/>
      </c>
      <c r="AI325" t="s">
        <v>1806</v>
      </c>
      <c r="AJ325" t="s">
        <v>3016</v>
      </c>
    </row>
    <row r="326" spans="17:36" x14ac:dyDescent="0.25">
      <c r="Q326" t="str">
        <f>mapPRC!A397</f>
        <v>INMCEMKSP-N</v>
      </c>
      <c r="R326" t="str">
        <f>IFERROR(INDEX($AD$7:$AD$88,MATCH(mapPRC!C397,$AC$7:$AC$88,0)),"")</f>
        <v>nm</v>
      </c>
      <c r="U326" t="str">
        <f>mapCOM!A323</f>
        <v>PWRSOXS</v>
      </c>
      <c r="V326" t="str">
        <f t="shared" si="5"/>
        <v/>
      </c>
      <c r="AI326" t="s">
        <v>1804</v>
      </c>
      <c r="AJ326" t="s">
        <v>3019</v>
      </c>
    </row>
    <row r="327" spans="17:36" x14ac:dyDescent="0.25">
      <c r="Q327" t="str">
        <f>mapPRC!A398</f>
        <v>INMCEMPGBM</v>
      </c>
      <c r="R327" t="str">
        <f>IFERROR(INDEX($AD$7:$AD$88,MATCH(mapPRC!C398,$AC$7:$AC$88,0)),"")</f>
        <v>nm</v>
      </c>
      <c r="U327" t="str">
        <f>mapCOM!A324</f>
        <v>PWRWND</v>
      </c>
      <c r="V327" t="str">
        <f t="shared" ref="V327:V390" si="6">INDEX($AJ$6:$AJ$784,MATCH(U327,$AI$6:$AI$784,0))</f>
        <v/>
      </c>
      <c r="AI327" t="s">
        <v>1802</v>
      </c>
      <c r="AJ327" t="s">
        <v>3016</v>
      </c>
    </row>
    <row r="328" spans="17:36" x14ac:dyDescent="0.25">
      <c r="Q328" t="str">
        <f>mapPRC!A399</f>
        <v>INMCEMPGRP</v>
      </c>
      <c r="R328" t="str">
        <f>IFERROR(INDEX($AD$7:$AD$88,MATCH(mapPRC!C399,$AC$7:$AC$88,0)),"")</f>
        <v>nm</v>
      </c>
      <c r="U328" t="str">
        <f>mapCOM!A325</f>
        <v>RESBIW</v>
      </c>
      <c r="V328" t="str">
        <f t="shared" si="6"/>
        <v/>
      </c>
      <c r="AI328" t="s">
        <v>1882</v>
      </c>
      <c r="AJ328" t="s">
        <v>3016</v>
      </c>
    </row>
    <row r="329" spans="17:36" x14ac:dyDescent="0.25">
      <c r="Q329" t="str">
        <f>mapPRC!A400</f>
        <v>INMGLAADV</v>
      </c>
      <c r="R329" t="str">
        <f>IFERROR(INDEX($AD$7:$AD$88,MATCH(mapPRC!C400,$AC$7:$AC$88,0)),"")</f>
        <v>nm</v>
      </c>
      <c r="U329" t="str">
        <f>mapCOM!A326</f>
        <v>RESCH4</v>
      </c>
      <c r="V329" t="str">
        <f t="shared" si="6"/>
        <v/>
      </c>
      <c r="AI329" t="s">
        <v>1798</v>
      </c>
      <c r="AJ329" t="s">
        <v>3018</v>
      </c>
    </row>
    <row r="330" spans="17:36" x14ac:dyDescent="0.25">
      <c r="Q330" t="str">
        <f>mapPRC!A401</f>
        <v>INMGLAF2TF</v>
      </c>
      <c r="R330" t="str">
        <f>IFERROR(INDEX($AD$7:$AD$88,MATCH(mapPRC!C401,$AC$7:$AC$88,0)),"")</f>
        <v>nm</v>
      </c>
      <c r="U330" t="str">
        <f>mapCOM!A327</f>
        <v>RESCH4S</v>
      </c>
      <c r="V330" t="str">
        <f t="shared" si="6"/>
        <v/>
      </c>
      <c r="AI330" t="s">
        <v>1796</v>
      </c>
      <c r="AJ330" t="s">
        <v>3017</v>
      </c>
    </row>
    <row r="331" spans="17:36" x14ac:dyDescent="0.25">
      <c r="Q331" t="str">
        <f>mapPRC!A402</f>
        <v>INMGLASTD</v>
      </c>
      <c r="R331" t="str">
        <f>IFERROR(INDEX($AD$7:$AD$88,MATCH(mapPRC!C402,$AC$7:$AC$88,0)),"")</f>
        <v>nm</v>
      </c>
      <c r="U331" t="str">
        <f>mapCOM!A328</f>
        <v>RESCMOX</v>
      </c>
      <c r="V331" t="str">
        <f t="shared" si="6"/>
        <v/>
      </c>
      <c r="AI331" t="s">
        <v>1794</v>
      </c>
      <c r="AJ331" t="s">
        <v>3021</v>
      </c>
    </row>
    <row r="332" spans="17:36" x14ac:dyDescent="0.25">
      <c r="Q332" t="str">
        <f>mapPRC!A403</f>
        <v>INMLIMADV</v>
      </c>
      <c r="R332" t="str">
        <f>IFERROR(INDEX($AD$7:$AD$88,MATCH(mapPRC!C403,$AC$7:$AC$88,0)),"")</f>
        <v>nm</v>
      </c>
      <c r="U332" t="str">
        <f>mapCOM!A329</f>
        <v>RESCO2</v>
      </c>
      <c r="V332" t="str">
        <f t="shared" si="6"/>
        <v/>
      </c>
      <c r="AI332" t="s">
        <v>1793</v>
      </c>
      <c r="AJ332" t="s">
        <v>3021</v>
      </c>
    </row>
    <row r="333" spans="17:36" x14ac:dyDescent="0.25">
      <c r="Q333" t="str">
        <f>mapPRC!A404</f>
        <v>INMLIMF2TF</v>
      </c>
      <c r="R333" t="str">
        <f>IFERROR(INDEX($AD$7:$AD$88,MATCH(mapPRC!C404,$AC$7:$AC$88,0)),"")</f>
        <v>nm</v>
      </c>
      <c r="U333" t="str">
        <f>mapCOM!A330</f>
        <v>RESCO2S</v>
      </c>
      <c r="V333" t="str">
        <f t="shared" si="6"/>
        <v/>
      </c>
      <c r="AI333" t="s">
        <v>1792</v>
      </c>
      <c r="AJ333" t="s">
        <v>3016</v>
      </c>
    </row>
    <row r="334" spans="17:36" x14ac:dyDescent="0.25">
      <c r="Q334" t="str">
        <f>mapPRC!A405</f>
        <v>INMLIMSTD</v>
      </c>
      <c r="R334" t="str">
        <f>IFERROR(INDEX($AD$7:$AD$88,MATCH(mapPRC!C405,$AC$7:$AC$88,0)),"")</f>
        <v>nm</v>
      </c>
      <c r="U334" t="str">
        <f>mapCOM!A331</f>
        <v>RESCOA</v>
      </c>
      <c r="V334" t="str">
        <f t="shared" si="6"/>
        <v>ccoal-hgh</v>
      </c>
      <c r="AI334" t="s">
        <v>1789</v>
      </c>
      <c r="AJ334" t="s">
        <v>3016</v>
      </c>
    </row>
    <row r="335" spans="17:36" x14ac:dyDescent="0.25">
      <c r="Q335" t="str">
        <f>mapPRC!A406</f>
        <v>IOTAELC-E</v>
      </c>
      <c r="R335" t="str">
        <f>IFERROR(INDEX($AD$7:$AD$88,MATCH(mapPRC!C406,$AC$7:$AC$88,0)),"")</f>
        <v>ot</v>
      </c>
      <c r="U335" t="str">
        <f>mapCOM!A332</f>
        <v>RESELC</v>
      </c>
      <c r="V335" t="str">
        <f t="shared" si="6"/>
        <v>celec</v>
      </c>
      <c r="AI335" t="s">
        <v>2006</v>
      </c>
      <c r="AJ335" t="s">
        <v>3016</v>
      </c>
    </row>
    <row r="336" spans="17:36" x14ac:dyDescent="0.25">
      <c r="Q336" t="str">
        <f>mapPRC!A407</f>
        <v>IOTCELC-E</v>
      </c>
      <c r="R336" t="str">
        <f>IFERROR(INDEX($AD$7:$AD$88,MATCH(mapPRC!C407,$AC$7:$AC$88,0)),"")</f>
        <v>ot</v>
      </c>
      <c r="U336" t="str">
        <f>mapCOM!A333</f>
        <v>RESGAS</v>
      </c>
      <c r="V336" t="str">
        <f t="shared" si="6"/>
        <v>cngas</v>
      </c>
      <c r="AI336" t="s">
        <v>2005</v>
      </c>
      <c r="AJ336" t="s">
        <v>3016</v>
      </c>
    </row>
    <row r="337" spans="17:36" x14ac:dyDescent="0.25">
      <c r="Q337" t="str">
        <f>mapPRC!A408</f>
        <v>IOTEELC-E</v>
      </c>
      <c r="R337" t="str">
        <f>IFERROR(INDEX($AD$7:$AD$88,MATCH(mapPRC!C408,$AC$7:$AC$88,0)),"")</f>
        <v>ot</v>
      </c>
      <c r="U337" t="str">
        <f>mapCOM!A334</f>
        <v>RESN2O</v>
      </c>
      <c r="V337" t="str">
        <f t="shared" si="6"/>
        <v/>
      </c>
      <c r="AI337" t="s">
        <v>2004</v>
      </c>
      <c r="AJ337" t="s">
        <v>3016</v>
      </c>
    </row>
    <row r="338" spans="17:36" x14ac:dyDescent="0.25">
      <c r="Q338" t="str">
        <f>mapPRC!A409</f>
        <v>IOTFELC-E</v>
      </c>
      <c r="R338" t="str">
        <f>IFERROR(INDEX($AD$7:$AD$88,MATCH(mapPRC!C409,$AC$7:$AC$88,0)),"")</f>
        <v>ot</v>
      </c>
      <c r="U338" t="str">
        <f>mapCOM!A335</f>
        <v>RESN2OS</v>
      </c>
      <c r="V338" t="str">
        <f t="shared" si="6"/>
        <v/>
      </c>
      <c r="AI338" t="s">
        <v>1786</v>
      </c>
      <c r="AJ338" t="s">
        <v>3018</v>
      </c>
    </row>
    <row r="339" spans="17:36" x14ac:dyDescent="0.25">
      <c r="Q339" t="str">
        <f>mapPRC!A410</f>
        <v>IOTHELC-E</v>
      </c>
      <c r="R339" t="str">
        <f>IFERROR(INDEX($AD$7:$AD$88,MATCH(mapPRC!C410,$AC$7:$AC$88,0)),"")</f>
        <v>ot</v>
      </c>
      <c r="U339" t="str">
        <f>mapCOM!A336</f>
        <v>RESNMVS</v>
      </c>
      <c r="V339" t="str">
        <f t="shared" si="6"/>
        <v/>
      </c>
      <c r="AI339" t="s">
        <v>2003</v>
      </c>
      <c r="AJ339" t="s">
        <v>3016</v>
      </c>
    </row>
    <row r="340" spans="17:36" x14ac:dyDescent="0.25">
      <c r="Q340" t="str">
        <f>mapPRC!A411</f>
        <v>IOTKELC-E</v>
      </c>
      <c r="R340" t="str">
        <f>IFERROR(INDEX($AD$7:$AD$88,MATCH(mapPRC!C411,$AC$7:$AC$88,0)),"")</f>
        <v>ot</v>
      </c>
      <c r="U340" t="str">
        <f>mapCOM!A337</f>
        <v>RESNOX</v>
      </c>
      <c r="V340" t="str">
        <f t="shared" si="6"/>
        <v/>
      </c>
      <c r="AI340" t="s">
        <v>1784</v>
      </c>
      <c r="AJ340" t="s">
        <v>3017</v>
      </c>
    </row>
    <row r="341" spans="17:36" x14ac:dyDescent="0.25">
      <c r="Q341" t="str">
        <f>mapPRC!A412</f>
        <v>IOTLELC-E</v>
      </c>
      <c r="R341" t="str">
        <f>IFERROR(INDEX($AD$7:$AD$88,MATCH(mapPRC!C412,$AC$7:$AC$88,0)),"")</f>
        <v>ot</v>
      </c>
      <c r="U341" t="str">
        <f>mapCOM!A338</f>
        <v>RESNOXS</v>
      </c>
      <c r="V341" t="str">
        <f t="shared" si="6"/>
        <v/>
      </c>
      <c r="AI341" t="s">
        <v>2002</v>
      </c>
      <c r="AJ341" t="s">
        <v>3016</v>
      </c>
    </row>
    <row r="342" spans="17:36" x14ac:dyDescent="0.25">
      <c r="Q342" t="str">
        <f>mapPRC!A413</f>
        <v>IOTOELC-E</v>
      </c>
      <c r="R342" t="str">
        <f>IFERROR(INDEX($AD$7:$AD$88,MATCH(mapPRC!C413,$AC$7:$AC$88,0)),"")</f>
        <v>ot</v>
      </c>
      <c r="U342" t="str">
        <f>mapCOM!A339</f>
        <v>RESOKE</v>
      </c>
      <c r="V342" t="str">
        <f t="shared" si="6"/>
        <v>cpetr_o</v>
      </c>
      <c r="AI342" t="s">
        <v>2001</v>
      </c>
      <c r="AJ342" t="s">
        <v>3016</v>
      </c>
    </row>
    <row r="343" spans="17:36" x14ac:dyDescent="0.25">
      <c r="Q343" t="str">
        <f>mapPRC!A414</f>
        <v>IOTPELC-E</v>
      </c>
      <c r="R343" t="str">
        <f>IFERROR(INDEX($AD$7:$AD$88,MATCH(mapPRC!C414,$AC$7:$AC$88,0)),"")</f>
        <v>ot</v>
      </c>
      <c r="U343" t="str">
        <f>mapCOM!A340</f>
        <v>RESOLP</v>
      </c>
      <c r="V343" t="str">
        <f t="shared" si="6"/>
        <v>cpetr_o</v>
      </c>
      <c r="AI343" t="s">
        <v>2000</v>
      </c>
      <c r="AJ343" t="s">
        <v>3016</v>
      </c>
    </row>
    <row r="344" spans="17:36" x14ac:dyDescent="0.25">
      <c r="Q344" t="str">
        <f>mapPRC!A415</f>
        <v>IOTRODS-E</v>
      </c>
      <c r="R344" t="str">
        <f>IFERROR(INDEX($AD$7:$AD$88,MATCH(mapPRC!C415,$AC$7:$AC$88,0)),"")</f>
        <v>ot</v>
      </c>
      <c r="U344" t="str">
        <f>mapCOM!A341</f>
        <v>RESP10S</v>
      </c>
      <c r="V344" t="str">
        <f t="shared" si="6"/>
        <v/>
      </c>
      <c r="AI344" t="s">
        <v>1999</v>
      </c>
      <c r="AJ344" t="s">
        <v>3016</v>
      </c>
    </row>
    <row r="345" spans="17:36" x14ac:dyDescent="0.25">
      <c r="Q345" t="str">
        <f>mapPRC!A416</f>
        <v>IOTSCOA-E</v>
      </c>
      <c r="R345" t="str">
        <f>IFERROR(INDEX($AD$7:$AD$88,MATCH(mapPRC!C416,$AC$7:$AC$88,0)),"")</f>
        <v>ot</v>
      </c>
      <c r="U345" t="str">
        <f>mapCOM!A342</f>
        <v>RESSOX</v>
      </c>
      <c r="V345" t="str">
        <f t="shared" si="6"/>
        <v/>
      </c>
      <c r="AI345" t="s">
        <v>1998</v>
      </c>
      <c r="AJ345" t="s">
        <v>3016</v>
      </c>
    </row>
    <row r="346" spans="17:36" x14ac:dyDescent="0.25">
      <c r="Q346" t="str">
        <f>mapPRC!A417</f>
        <v>IOTSELC-E</v>
      </c>
      <c r="R346" t="str">
        <f>IFERROR(INDEX($AD$7:$AD$88,MATCH(mapPRC!C417,$AC$7:$AC$88,0)),"")</f>
        <v>ot</v>
      </c>
      <c r="U346" t="str">
        <f>mapCOM!A343</f>
        <v>RESSOXS</v>
      </c>
      <c r="V346" t="str">
        <f t="shared" si="6"/>
        <v/>
      </c>
      <c r="AI346" t="s">
        <v>1997</v>
      </c>
      <c r="AJ346" t="s">
        <v>3016</v>
      </c>
    </row>
    <row r="347" spans="17:36" x14ac:dyDescent="0.25">
      <c r="Q347" t="str">
        <f>mapPRC!A418</f>
        <v>IOTSGAS-E</v>
      </c>
      <c r="R347" t="str">
        <f>IFERROR(INDEX($AD$7:$AD$88,MATCH(mapPRC!C418,$AC$7:$AC$88,0)),"")</f>
        <v>ot</v>
      </c>
      <c r="U347" t="str">
        <f>mapCOM!A344</f>
        <v>RHEH</v>
      </c>
      <c r="V347" t="str">
        <f t="shared" si="6"/>
        <v/>
      </c>
      <c r="AI347" t="s">
        <v>1996</v>
      </c>
      <c r="AJ347" t="s">
        <v>3016</v>
      </c>
    </row>
    <row r="348" spans="17:36" x14ac:dyDescent="0.25">
      <c r="Q348" t="str">
        <f>mapPRC!A419</f>
        <v>IOTSOHF-E</v>
      </c>
      <c r="R348" t="str">
        <f>IFERROR(INDEX($AD$7:$AD$88,MATCH(mapPRC!C419,$AC$7:$AC$88,0)),"")</f>
        <v>ot</v>
      </c>
      <c r="U348" t="str">
        <f>mapCOM!A345</f>
        <v>RHEK</v>
      </c>
      <c r="V348" t="str">
        <f t="shared" si="6"/>
        <v/>
      </c>
      <c r="AI348" t="s">
        <v>1782</v>
      </c>
      <c r="AJ348" t="s">
        <v>3016</v>
      </c>
    </row>
    <row r="349" spans="17:36" x14ac:dyDescent="0.25">
      <c r="Q349" t="str">
        <f>mapPRC!A420</f>
        <v>IOTSOLP-E</v>
      </c>
      <c r="R349" t="str">
        <f>IFERROR(INDEX($AD$7:$AD$88,MATCH(mapPRC!C420,$AC$7:$AC$88,0)),"")</f>
        <v>ot</v>
      </c>
      <c r="U349" t="str">
        <f>mapCOM!A346</f>
        <v>RHEL</v>
      </c>
      <c r="V349" t="str">
        <f t="shared" si="6"/>
        <v/>
      </c>
      <c r="AI349" t="s">
        <v>1779</v>
      </c>
      <c r="AJ349" t="s">
        <v>3016</v>
      </c>
    </row>
    <row r="350" spans="17:36" x14ac:dyDescent="0.25">
      <c r="Q350" t="str">
        <f>mapPRC!A421</f>
        <v>IOTSWAS-E</v>
      </c>
      <c r="R350" t="str">
        <f>IFERROR(INDEX($AD$7:$AD$88,MATCH(mapPRC!C421,$AC$7:$AC$88,0)),"")</f>
        <v>ot</v>
      </c>
      <c r="U350" t="str">
        <f>mapCOM!A347</f>
        <v>RHEN</v>
      </c>
      <c r="V350" t="str">
        <f t="shared" si="6"/>
        <v/>
      </c>
      <c r="AI350" t="s">
        <v>1776</v>
      </c>
      <c r="AJ350" t="s">
        <v>3016</v>
      </c>
    </row>
    <row r="351" spans="17:36" x14ac:dyDescent="0.25">
      <c r="Q351" t="str">
        <f>mapPRC!A422</f>
        <v>IPPCHE-E</v>
      </c>
      <c r="R351" t="str">
        <f>IFERROR(INDEX($AD$7:$AD$88,MATCH(mapPRC!C422,$AC$7:$AC$88,0)),"")</f>
        <v>pp</v>
      </c>
      <c r="U351" t="str">
        <f>mapCOM!A348</f>
        <v>RHEO</v>
      </c>
      <c r="V351" t="str">
        <f t="shared" si="6"/>
        <v/>
      </c>
      <c r="AI351" t="s">
        <v>1773</v>
      </c>
      <c r="AJ351" t="s">
        <v>3016</v>
      </c>
    </row>
    <row r="352" spans="17:36" x14ac:dyDescent="0.25">
      <c r="Q352" t="str">
        <f>mapPRC!A423</f>
        <v>IPPCHE-E-T1</v>
      </c>
      <c r="R352" t="str">
        <f>IFERROR(INDEX($AD$7:$AD$88,MATCH(mapPRC!C423,$AC$7:$AC$88,0)),"")</f>
        <v>pp</v>
      </c>
      <c r="U352" t="str">
        <f>mapCOM!A349</f>
        <v>RHER</v>
      </c>
      <c r="V352" t="str">
        <f t="shared" si="6"/>
        <v/>
      </c>
      <c r="AI352" t="s">
        <v>1770</v>
      </c>
      <c r="AJ352" t="s">
        <v>3016</v>
      </c>
    </row>
    <row r="353" spans="17:36" x14ac:dyDescent="0.25">
      <c r="Q353" t="str">
        <f>mapPRC!A424</f>
        <v>IPPCHE-E-T2</v>
      </c>
      <c r="R353" t="str">
        <f>IFERROR(INDEX($AD$7:$AD$88,MATCH(mapPRC!C424,$AC$7:$AC$88,0)),"")</f>
        <v>pp</v>
      </c>
      <c r="U353" t="str">
        <f>mapCOM!A350</f>
        <v>RHEW</v>
      </c>
      <c r="V353" t="str">
        <f t="shared" si="6"/>
        <v/>
      </c>
      <c r="AI353" t="s">
        <v>1767</v>
      </c>
      <c r="AJ353" t="s">
        <v>3016</v>
      </c>
    </row>
    <row r="354" spans="17:36" x14ac:dyDescent="0.25">
      <c r="Q354" t="str">
        <f>mapPRC!A425</f>
        <v>IPPCHE-N</v>
      </c>
      <c r="R354" t="str">
        <f>IFERROR(INDEX($AD$7:$AD$88,MATCH(mapPRC!C425,$AC$7:$AC$88,0)),"")</f>
        <v>pp</v>
      </c>
      <c r="U354" t="str">
        <f>mapCOM!A351</f>
        <v>RHEWG</v>
      </c>
      <c r="V354" t="str">
        <f t="shared" si="6"/>
        <v/>
      </c>
      <c r="AI354" t="s">
        <v>1764</v>
      </c>
      <c r="AJ354" t="s">
        <v>3016</v>
      </c>
    </row>
    <row r="355" spans="17:36" x14ac:dyDescent="0.25">
      <c r="Q355" t="str">
        <f>mapPRC!A426</f>
        <v>IPPCHPGAS01-N</v>
      </c>
      <c r="R355" t="str">
        <f>IFERROR(INDEX($AD$7:$AD$88,MATCH(mapPRC!C426,$AC$7:$AC$88,0)),"")</f>
        <v>pp</v>
      </c>
      <c r="U355" t="str">
        <f>mapCOM!A352</f>
        <v>RLEH</v>
      </c>
      <c r="V355" t="str">
        <f t="shared" si="6"/>
        <v/>
      </c>
      <c r="AI355" t="s">
        <v>1761</v>
      </c>
      <c r="AJ355" t="s">
        <v>3016</v>
      </c>
    </row>
    <row r="356" spans="17:36" x14ac:dyDescent="0.25">
      <c r="Q356" t="str">
        <f>mapPRC!A427</f>
        <v>IPPCHPGAS02-N</v>
      </c>
      <c r="R356" t="str">
        <f>IFERROR(INDEX($AD$7:$AD$88,MATCH(mapPRC!C427,$AC$7:$AC$88,0)),"")</f>
        <v>pp</v>
      </c>
      <c r="U356" t="str">
        <f>mapCOM!A353</f>
        <v>RLEK</v>
      </c>
      <c r="V356" t="str">
        <f t="shared" si="6"/>
        <v/>
      </c>
      <c r="AI356" t="s">
        <v>1995</v>
      </c>
      <c r="AJ356" t="s">
        <v>3016</v>
      </c>
    </row>
    <row r="357" spans="17:36" x14ac:dyDescent="0.25">
      <c r="Q357" t="str">
        <f>mapPRC!A428</f>
        <v>IPPCHPSTM01-N</v>
      </c>
      <c r="R357" t="str">
        <f>IFERROR(INDEX($AD$7:$AD$88,MATCH(mapPRC!C428,$AC$7:$AC$88,0)),"")</f>
        <v>pp</v>
      </c>
      <c r="U357" t="str">
        <f>mapCOM!A354</f>
        <v>RLEL</v>
      </c>
      <c r="V357" t="str">
        <f t="shared" si="6"/>
        <v/>
      </c>
      <c r="AI357" t="s">
        <v>1994</v>
      </c>
      <c r="AJ357" t="s">
        <v>3016</v>
      </c>
    </row>
    <row r="358" spans="17:36" x14ac:dyDescent="0.25">
      <c r="Q358" t="str">
        <f>mapPRC!A429</f>
        <v>IPPDIS-E</v>
      </c>
      <c r="R358" t="str">
        <f>IFERROR(INDEX($AD$7:$AD$88,MATCH(mapPRC!C429,$AC$7:$AC$88,0)),"")</f>
        <v>pp</v>
      </c>
      <c r="U358" t="str">
        <f>mapCOM!A355</f>
        <v>RLEN</v>
      </c>
      <c r="V358" t="str">
        <f t="shared" si="6"/>
        <v/>
      </c>
      <c r="AI358" t="s">
        <v>1993</v>
      </c>
      <c r="AJ358" t="s">
        <v>3016</v>
      </c>
    </row>
    <row r="359" spans="17:36" x14ac:dyDescent="0.25">
      <c r="Q359" t="str">
        <f>mapPRC!A430</f>
        <v>IPPDIS-E-T1</v>
      </c>
      <c r="R359" t="str">
        <f>IFERROR(INDEX($AD$7:$AD$88,MATCH(mapPRC!C430,$AC$7:$AC$88,0)),"")</f>
        <v>pp</v>
      </c>
      <c r="U359" t="str">
        <f>mapCOM!A356</f>
        <v>RLEO</v>
      </c>
      <c r="V359" t="str">
        <f t="shared" si="6"/>
        <v/>
      </c>
      <c r="AI359" t="s">
        <v>1758</v>
      </c>
      <c r="AJ359" t="s">
        <v>3018</v>
      </c>
    </row>
    <row r="360" spans="17:36" x14ac:dyDescent="0.25">
      <c r="Q360" t="str">
        <f>mapPRC!A431</f>
        <v>IPPDIS-E-T2</v>
      </c>
      <c r="R360" t="str">
        <f>IFERROR(INDEX($AD$7:$AD$88,MATCH(mapPRC!C431,$AC$7:$AC$88,0)),"")</f>
        <v>pp</v>
      </c>
      <c r="U360" t="str">
        <f>mapCOM!A357</f>
        <v>RLER</v>
      </c>
      <c r="V360" t="str">
        <f t="shared" si="6"/>
        <v/>
      </c>
      <c r="AI360" t="s">
        <v>1992</v>
      </c>
      <c r="AJ360" t="s">
        <v>3016</v>
      </c>
    </row>
    <row r="361" spans="17:36" x14ac:dyDescent="0.25">
      <c r="Q361" t="str">
        <f>mapPRC!A432</f>
        <v>IPPDIS-N</v>
      </c>
      <c r="R361" t="str">
        <f>IFERROR(INDEX($AD$7:$AD$88,MATCH(mapPRC!C432,$AC$7:$AC$88,0)),"")</f>
        <v>pp</v>
      </c>
      <c r="U361" t="str">
        <f>mapCOM!A358</f>
        <v>RLEW</v>
      </c>
      <c r="V361" t="str">
        <f t="shared" si="6"/>
        <v/>
      </c>
      <c r="AI361" t="s">
        <v>1756</v>
      </c>
      <c r="AJ361" t="s">
        <v>3017</v>
      </c>
    </row>
    <row r="362" spans="17:36" x14ac:dyDescent="0.25">
      <c r="Q362" t="str">
        <f>mapPRC!A433</f>
        <v>IPPELCSTM-E</v>
      </c>
      <c r="R362" t="str">
        <f>IFERROR(INDEX($AD$7:$AD$88,MATCH(mapPRC!C433,$AC$7:$AC$88,0)),"")</f>
        <v>pp</v>
      </c>
      <c r="U362" t="str">
        <f>mapCOM!A359</f>
        <v>RLEWG</v>
      </c>
      <c r="V362" t="str">
        <f t="shared" si="6"/>
        <v/>
      </c>
      <c r="AI362" t="s">
        <v>1991</v>
      </c>
      <c r="AJ362" t="s">
        <v>3016</v>
      </c>
    </row>
    <row r="363" spans="17:36" x14ac:dyDescent="0.25">
      <c r="Q363" t="str">
        <f>mapPRC!A434</f>
        <v>IPPMCH-E</v>
      </c>
      <c r="R363" t="str">
        <f>IFERROR(INDEX($AD$7:$AD$88,MATCH(mapPRC!C434,$AC$7:$AC$88,0)),"")</f>
        <v>pp</v>
      </c>
      <c r="U363" t="str">
        <f>mapCOM!A360</f>
        <v>RLNH</v>
      </c>
      <c r="V363" t="str">
        <f t="shared" si="6"/>
        <v/>
      </c>
      <c r="AI363" t="s">
        <v>1990</v>
      </c>
      <c r="AJ363" t="s">
        <v>3016</v>
      </c>
    </row>
    <row r="364" spans="17:36" x14ac:dyDescent="0.25">
      <c r="Q364" t="str">
        <f>mapPRC!A435</f>
        <v>IPPMCH-E-T1</v>
      </c>
      <c r="R364" t="str">
        <f>IFERROR(INDEX($AD$7:$AD$88,MATCH(mapPRC!C435,$AC$7:$AC$88,0)),"")</f>
        <v>pp</v>
      </c>
      <c r="U364" t="str">
        <f>mapCOM!A361</f>
        <v>RLNK</v>
      </c>
      <c r="V364" t="str">
        <f t="shared" si="6"/>
        <v/>
      </c>
      <c r="AI364" t="s">
        <v>1989</v>
      </c>
      <c r="AJ364" t="s">
        <v>3016</v>
      </c>
    </row>
    <row r="365" spans="17:36" x14ac:dyDescent="0.25">
      <c r="Q365" t="str">
        <f>mapPRC!A436</f>
        <v>IPPMCH-E-T2</v>
      </c>
      <c r="R365" t="str">
        <f>IFERROR(INDEX($AD$7:$AD$88,MATCH(mapPRC!C436,$AC$7:$AC$88,0)),"")</f>
        <v>pp</v>
      </c>
      <c r="U365" t="str">
        <f>mapCOM!A362</f>
        <v>RLNL</v>
      </c>
      <c r="V365" t="str">
        <f t="shared" si="6"/>
        <v/>
      </c>
      <c r="AI365" t="s">
        <v>1988</v>
      </c>
      <c r="AJ365" t="s">
        <v>3016</v>
      </c>
    </row>
    <row r="366" spans="17:36" x14ac:dyDescent="0.25">
      <c r="Q366" t="str">
        <f>mapPRC!A437</f>
        <v>IPPMCH-N</v>
      </c>
      <c r="R366" t="str">
        <f>IFERROR(INDEX($AD$7:$AD$88,MATCH(mapPRC!C437,$AC$7:$AC$88,0)),"")</f>
        <v>pp</v>
      </c>
      <c r="U366" t="str">
        <f>mapCOM!A363</f>
        <v>RLNN</v>
      </c>
      <c r="V366" t="str">
        <f t="shared" si="6"/>
        <v/>
      </c>
      <c r="AI366" t="s">
        <v>1987</v>
      </c>
      <c r="AJ366" t="s">
        <v>3016</v>
      </c>
    </row>
    <row r="367" spans="17:36" x14ac:dyDescent="0.25">
      <c r="Q367" t="str">
        <f>mapPRC!A438</f>
        <v>IPPPAP-E</v>
      </c>
      <c r="R367" t="str">
        <f>IFERROR(INDEX($AD$7:$AD$88,MATCH(mapPRC!C438,$AC$7:$AC$88,0)),"")</f>
        <v>pp</v>
      </c>
      <c r="U367" t="str">
        <f>mapCOM!A364</f>
        <v>RLNW</v>
      </c>
      <c r="V367" t="str">
        <f t="shared" si="6"/>
        <v/>
      </c>
      <c r="AI367" t="s">
        <v>1986</v>
      </c>
      <c r="AJ367" t="s">
        <v>3016</v>
      </c>
    </row>
    <row r="368" spans="17:36" x14ac:dyDescent="0.25">
      <c r="Q368" t="str">
        <f>mapPRC!A439</f>
        <v>IPPPAP-E-T1</v>
      </c>
      <c r="R368" t="str">
        <f>IFERROR(INDEX($AD$7:$AD$88,MATCH(mapPRC!C439,$AC$7:$AC$88,0)),"")</f>
        <v>pp</v>
      </c>
      <c r="U368" t="str">
        <f>mapCOM!A365</f>
        <v>RMEH</v>
      </c>
      <c r="V368" t="str">
        <f t="shared" si="6"/>
        <v/>
      </c>
      <c r="AI368" t="s">
        <v>1754</v>
      </c>
      <c r="AJ368" t="s">
        <v>3016</v>
      </c>
    </row>
    <row r="369" spans="17:36" x14ac:dyDescent="0.25">
      <c r="Q369" t="str">
        <f>mapPRC!A440</f>
        <v>IPPPAP-E-T2</v>
      </c>
      <c r="R369" t="str">
        <f>IFERROR(INDEX($AD$7:$AD$88,MATCH(mapPRC!C440,$AC$7:$AC$88,0)),"")</f>
        <v>pp</v>
      </c>
      <c r="U369" t="str">
        <f>mapCOM!A366</f>
        <v>RMEK</v>
      </c>
      <c r="V369" t="str">
        <f t="shared" si="6"/>
        <v/>
      </c>
      <c r="AI369" t="s">
        <v>1880</v>
      </c>
      <c r="AJ369" t="s">
        <v>3016</v>
      </c>
    </row>
    <row r="370" spans="17:36" x14ac:dyDescent="0.25">
      <c r="Q370" t="str">
        <f>mapPRC!A441</f>
        <v>IPPPAP-N</v>
      </c>
      <c r="R370" t="str">
        <f>IFERROR(INDEX($AD$7:$AD$88,MATCH(mapPRC!C441,$AC$7:$AC$88,0)),"")</f>
        <v>pp</v>
      </c>
      <c r="U370" t="str">
        <f>mapCOM!A367</f>
        <v>RMEL</v>
      </c>
      <c r="V370" t="str">
        <f t="shared" si="6"/>
        <v/>
      </c>
      <c r="AI370" t="s">
        <v>1752</v>
      </c>
      <c r="AJ370" t="s">
        <v>3016</v>
      </c>
    </row>
    <row r="371" spans="17:36" x14ac:dyDescent="0.25">
      <c r="Q371" t="str">
        <f>mapPRC!A442</f>
        <v>IPPREC-E</v>
      </c>
      <c r="R371" t="str">
        <f>IFERROR(INDEX($AD$7:$AD$88,MATCH(mapPRC!C442,$AC$7:$AC$88,0)),"")</f>
        <v>pp</v>
      </c>
      <c r="U371" t="str">
        <f>mapCOM!A368</f>
        <v>RMEN</v>
      </c>
      <c r="V371" t="str">
        <f t="shared" si="6"/>
        <v/>
      </c>
      <c r="AI371" t="s">
        <v>1879</v>
      </c>
      <c r="AJ371" t="s">
        <v>3016</v>
      </c>
    </row>
    <row r="372" spans="17:36" x14ac:dyDescent="0.25">
      <c r="Q372" t="str">
        <f>mapPRC!A443</f>
        <v>IPPREC-E-T1</v>
      </c>
      <c r="R372" t="str">
        <f>IFERROR(INDEX($AD$7:$AD$88,MATCH(mapPRC!C443,$AC$7:$AC$88,0)),"")</f>
        <v>pp</v>
      </c>
      <c r="U372" t="str">
        <f>mapCOM!A369</f>
        <v>RMEO</v>
      </c>
      <c r="V372" t="str">
        <f t="shared" si="6"/>
        <v/>
      </c>
      <c r="AI372" t="s">
        <v>1750</v>
      </c>
      <c r="AJ372" t="s">
        <v>3016</v>
      </c>
    </row>
    <row r="373" spans="17:36" x14ac:dyDescent="0.25">
      <c r="Q373" t="str">
        <f>mapPRC!A444</f>
        <v>IPPREC-E-T2</v>
      </c>
      <c r="R373" t="str">
        <f>IFERROR(INDEX($AD$7:$AD$88,MATCH(mapPRC!C444,$AC$7:$AC$88,0)),"")</f>
        <v>pp</v>
      </c>
      <c r="U373" t="str">
        <f>mapCOM!A370</f>
        <v>RMER</v>
      </c>
      <c r="V373" t="str">
        <f t="shared" si="6"/>
        <v/>
      </c>
      <c r="AI373" t="s">
        <v>1748</v>
      </c>
      <c r="AJ373" t="s">
        <v>3016</v>
      </c>
    </row>
    <row r="374" spans="17:36" x14ac:dyDescent="0.25">
      <c r="Q374" t="str">
        <f>mapPRC!A445</f>
        <v>IPPREC-N</v>
      </c>
      <c r="R374" t="str">
        <f>IFERROR(INDEX($AD$7:$AD$88,MATCH(mapPRC!C445,$AC$7:$AC$88,0)),"")</f>
        <v>pp</v>
      </c>
      <c r="U374" t="str">
        <f>mapCOM!A371</f>
        <v>RMEW</v>
      </c>
      <c r="V374" t="str">
        <f t="shared" si="6"/>
        <v/>
      </c>
      <c r="AI374" t="s">
        <v>1746</v>
      </c>
      <c r="AJ374" t="s">
        <v>3019</v>
      </c>
    </row>
    <row r="375" spans="17:36" x14ac:dyDescent="0.25">
      <c r="Q375" t="str">
        <f>mapPRC!A446</f>
        <v>IPPSTMBIO-E</v>
      </c>
      <c r="R375" t="str">
        <f>IFERROR(INDEX($AD$7:$AD$88,MATCH(mapPRC!C446,$AC$7:$AC$88,0)),"")</f>
        <v>pp</v>
      </c>
      <c r="U375" t="str">
        <f>mapCOM!A372</f>
        <v>RMEWG</v>
      </c>
      <c r="V375" t="str">
        <f t="shared" si="6"/>
        <v/>
      </c>
      <c r="AI375" t="s">
        <v>1744</v>
      </c>
      <c r="AJ375" t="s">
        <v>3018</v>
      </c>
    </row>
    <row r="376" spans="17:36" x14ac:dyDescent="0.25">
      <c r="Q376" t="str">
        <f>mapPRC!A447</f>
        <v>IPPSTMBIO-N</v>
      </c>
      <c r="R376" t="str">
        <f>IFERROR(INDEX($AD$7:$AD$88,MATCH(mapPRC!C447,$AC$7:$AC$88,0)),"")</f>
        <v>pp</v>
      </c>
      <c r="U376" t="str">
        <f>mapCOM!A373</f>
        <v>RMNH</v>
      </c>
      <c r="V376" t="str">
        <f t="shared" si="6"/>
        <v/>
      </c>
      <c r="AI376" t="s">
        <v>1742</v>
      </c>
      <c r="AJ376" t="s">
        <v>3017</v>
      </c>
    </row>
    <row r="377" spans="17:36" x14ac:dyDescent="0.25">
      <c r="Q377" t="str">
        <f>mapPRC!A448</f>
        <v>IPPSTMBLQ-E</v>
      </c>
      <c r="R377" t="str">
        <f>IFERROR(INDEX($AD$7:$AD$88,MATCH(mapPRC!C448,$AC$7:$AC$88,0)),"")</f>
        <v>pp</v>
      </c>
      <c r="U377" t="str">
        <f>mapCOM!A374</f>
        <v>RMNK</v>
      </c>
      <c r="V377" t="str">
        <f t="shared" si="6"/>
        <v/>
      </c>
      <c r="AI377" t="s">
        <v>1877</v>
      </c>
      <c r="AJ377" t="s">
        <v>3016</v>
      </c>
    </row>
    <row r="378" spans="17:36" x14ac:dyDescent="0.25">
      <c r="Q378" t="str">
        <f>mapPRC!A449</f>
        <v>IPPSTMBLQ-N</v>
      </c>
      <c r="R378" t="str">
        <f>IFERROR(INDEX($AD$7:$AD$88,MATCH(mapPRC!C449,$AC$7:$AC$88,0)),"")</f>
        <v>pp</v>
      </c>
      <c r="U378" t="str">
        <f>mapCOM!A375</f>
        <v>RMNL</v>
      </c>
      <c r="V378" t="str">
        <f t="shared" si="6"/>
        <v/>
      </c>
      <c r="AI378" t="s">
        <v>1740</v>
      </c>
      <c r="AJ378" t="s">
        <v>3016</v>
      </c>
    </row>
    <row r="379" spans="17:36" x14ac:dyDescent="0.25">
      <c r="Q379" t="str">
        <f>mapPRC!A450</f>
        <v>IPPSTMCOA-E</v>
      </c>
      <c r="R379" t="str">
        <f>IFERROR(INDEX($AD$7:$AD$88,MATCH(mapPRC!C450,$AC$7:$AC$88,0)),"")</f>
        <v>pp</v>
      </c>
      <c r="U379" t="str">
        <f>mapCOM!A376</f>
        <v>RMNN</v>
      </c>
      <c r="V379" t="str">
        <f t="shared" si="6"/>
        <v/>
      </c>
      <c r="AI379" t="s">
        <v>1875</v>
      </c>
      <c r="AJ379" t="s">
        <v>3016</v>
      </c>
    </row>
    <row r="380" spans="17:36" x14ac:dyDescent="0.25">
      <c r="Q380" t="str">
        <f>mapPRC!A451</f>
        <v>IPPSTMCOA-N</v>
      </c>
      <c r="R380" t="str">
        <f>IFERROR(INDEX($AD$7:$AD$88,MATCH(mapPRC!C451,$AC$7:$AC$88,0)),"")</f>
        <v>pp</v>
      </c>
      <c r="U380" t="str">
        <f>mapCOM!A377</f>
        <v>RMNW</v>
      </c>
      <c r="V380" t="str">
        <f t="shared" si="6"/>
        <v/>
      </c>
      <c r="AI380" t="s">
        <v>1738</v>
      </c>
      <c r="AJ380" t="s">
        <v>3016</v>
      </c>
    </row>
    <row r="381" spans="17:36" x14ac:dyDescent="0.25">
      <c r="Q381" t="str">
        <f>mapPRC!A452</f>
        <v>IPPSTMCOAOIL</v>
      </c>
      <c r="R381" t="str">
        <f>IFERROR(INDEX($AD$7:$AD$88,MATCH(mapPRC!C452,$AC$7:$AC$88,0)),"")</f>
        <v>pp</v>
      </c>
      <c r="U381" t="str">
        <f>mapCOM!A378</f>
        <v>SOL</v>
      </c>
      <c r="V381" t="str">
        <f t="shared" si="6"/>
        <v/>
      </c>
      <c r="AI381" t="s">
        <v>1736</v>
      </c>
      <c r="AJ381" t="s">
        <v>3021</v>
      </c>
    </row>
    <row r="382" spans="17:36" x14ac:dyDescent="0.25">
      <c r="Q382" t="str">
        <f>mapPRC!A453</f>
        <v>IPPSTMGAS-E</v>
      </c>
      <c r="R382" t="str">
        <f>IFERROR(INDEX($AD$7:$AD$88,MATCH(mapPRC!C453,$AC$7:$AC$88,0)),"")</f>
        <v>pp</v>
      </c>
      <c r="U382" t="str">
        <f>mapCOM!A379</f>
        <v>SOXS</v>
      </c>
      <c r="V382" t="str">
        <f t="shared" si="6"/>
        <v/>
      </c>
      <c r="AI382" t="s">
        <v>1734</v>
      </c>
      <c r="AJ382" t="s">
        <v>3016</v>
      </c>
    </row>
    <row r="383" spans="17:36" x14ac:dyDescent="0.25">
      <c r="Q383" t="str">
        <f>mapPRC!A454</f>
        <v>IPPSTMGAS-N</v>
      </c>
      <c r="R383" t="str">
        <f>IFERROR(INDEX($AD$7:$AD$88,MATCH(mapPRC!C454,$AC$7:$AC$88,0)),"")</f>
        <v>pp</v>
      </c>
      <c r="U383" t="str">
        <f>mapCOM!A380</f>
        <v>TADJET</v>
      </c>
      <c r="V383" t="str">
        <f t="shared" si="6"/>
        <v>cpetr_o</v>
      </c>
      <c r="AI383" t="s">
        <v>1873</v>
      </c>
      <c r="AJ383" t="s">
        <v>3016</v>
      </c>
    </row>
    <row r="384" spans="17:36" x14ac:dyDescent="0.25">
      <c r="Q384" t="str">
        <f>mapPRC!A455</f>
        <v>IPPSTMOIL-N</v>
      </c>
      <c r="R384" t="str">
        <f>IFERROR(INDEX($AD$7:$AD$88,MATCH(mapPRC!C455,$AC$7:$AC$88,0)),"")</f>
        <v>pp</v>
      </c>
      <c r="U384" t="str">
        <f>mapCOM!A381</f>
        <v>TAIJET</v>
      </c>
      <c r="V384" t="str">
        <f t="shared" si="6"/>
        <v>cpetr_o</v>
      </c>
      <c r="AI384" t="s">
        <v>1872</v>
      </c>
      <c r="AJ384" t="s">
        <v>3016</v>
      </c>
    </row>
    <row r="385" spans="17:36" x14ac:dyDescent="0.25">
      <c r="Q385" t="str">
        <f>mapPRC!A456</f>
        <v>MIN_FLAB-M</v>
      </c>
      <c r="R385" t="str">
        <f>IFERROR(INDEX($AD$7:$AD$88,MATCH(mapPRC!C456,$AC$7:$AC$88,0)),"")</f>
        <v/>
      </c>
      <c r="U385" t="str">
        <f>mapCOM!A382</f>
        <v>TAJET</v>
      </c>
      <c r="V385" t="str">
        <f t="shared" si="6"/>
        <v/>
      </c>
      <c r="AI385" t="s">
        <v>1871</v>
      </c>
      <c r="AJ385" t="s">
        <v>3016</v>
      </c>
    </row>
    <row r="386" spans="17:36" x14ac:dyDescent="0.25">
      <c r="Q386" t="str">
        <f>mapPRC!A457</f>
        <v>MIN_FLAB-P</v>
      </c>
      <c r="R386" t="str">
        <f>IFERROR(INDEX($AD$7:$AD$88,MATCH(mapPRC!C457,$AC$7:$AC$88,0)),"")</f>
        <v/>
      </c>
      <c r="U386" t="str">
        <f>mapCOM!A383</f>
        <v>TAOAG</v>
      </c>
      <c r="V386" t="str">
        <f t="shared" si="6"/>
        <v/>
      </c>
      <c r="AI386" t="s">
        <v>1732</v>
      </c>
      <c r="AJ386" t="s">
        <v>3018</v>
      </c>
    </row>
    <row r="387" spans="17:36" x14ac:dyDescent="0.25">
      <c r="Q387" t="str">
        <f>mapPRC!A458</f>
        <v>MIN_FLAB-S</v>
      </c>
      <c r="R387" t="str">
        <f>IFERROR(INDEX($AD$7:$AD$88,MATCH(mapPRC!C458,$AC$7:$AC$88,0)),"")</f>
        <v/>
      </c>
      <c r="U387" t="str">
        <f>mapCOM!A384</f>
        <v>TFHCV1</v>
      </c>
      <c r="V387" t="str">
        <f t="shared" si="6"/>
        <v/>
      </c>
      <c r="AI387" t="s">
        <v>1870</v>
      </c>
      <c r="AJ387" t="s">
        <v>3016</v>
      </c>
    </row>
    <row r="388" spans="17:36" x14ac:dyDescent="0.25">
      <c r="Q388" t="str">
        <f>mapPRC!A459</f>
        <v>MIN_FLAB-T</v>
      </c>
      <c r="R388" t="str">
        <f>IFERROR(INDEX($AD$7:$AD$88,MATCH(mapPRC!C459,$AC$7:$AC$88,0)),"")</f>
        <v/>
      </c>
      <c r="U388" t="str">
        <f>mapCOM!A385</f>
        <v>TFHCV2</v>
      </c>
      <c r="V388" t="str">
        <f t="shared" si="6"/>
        <v/>
      </c>
      <c r="AI388" t="s">
        <v>1730</v>
      </c>
      <c r="AJ388" t="s">
        <v>3017</v>
      </c>
    </row>
    <row r="389" spans="17:36" x14ac:dyDescent="0.25">
      <c r="Q389" t="str">
        <f>mapPRC!A460</f>
        <v>MINAGR-N</v>
      </c>
      <c r="R389" t="str">
        <f>IFERROR(INDEX($AD$7:$AD$88,MATCH(mapPRC!C460,$AC$7:$AC$88,0)),"")</f>
        <v/>
      </c>
      <c r="U389" t="str">
        <f>mapCOM!A386</f>
        <v>TFHCV3</v>
      </c>
      <c r="V389" t="str">
        <f t="shared" si="6"/>
        <v/>
      </c>
      <c r="AI389" t="s">
        <v>1869</v>
      </c>
      <c r="AJ389" t="s">
        <v>3016</v>
      </c>
    </row>
    <row r="390" spans="17:36" x14ac:dyDescent="0.25">
      <c r="Q390" t="str">
        <f>mapPRC!A461</f>
        <v>MINBBE</v>
      </c>
      <c r="R390" t="str">
        <f>IFERROR(INDEX($AD$7:$AD$88,MATCH(mapPRC!C461,$AC$7:$AC$88,0)),"")</f>
        <v/>
      </c>
      <c r="U390" t="str">
        <f>mapCOM!A387</f>
        <v>TFHCV4</v>
      </c>
      <c r="V390" t="str">
        <f t="shared" si="6"/>
        <v/>
      </c>
      <c r="AI390" t="s">
        <v>1868</v>
      </c>
      <c r="AJ390" t="s">
        <v>3016</v>
      </c>
    </row>
    <row r="391" spans="17:36" x14ac:dyDescent="0.25">
      <c r="Q391" t="str">
        <f>mapPRC!A462</f>
        <v>MINBCA</v>
      </c>
      <c r="R391" t="str">
        <f>IFERROR(INDEX($AD$7:$AD$88,MATCH(mapPRC!C462,$AC$7:$AC$88,0)),"")</f>
        <v/>
      </c>
      <c r="U391" t="str">
        <f>mapCOM!A388</f>
        <v>TFHCV5</v>
      </c>
      <c r="V391" t="str">
        <f t="shared" ref="V391:V447" si="7">INDEX($AJ$6:$AJ$784,MATCH(U391,$AI$6:$AI$784,0))</f>
        <v/>
      </c>
      <c r="AI391" t="s">
        <v>1867</v>
      </c>
      <c r="AJ391" t="s">
        <v>3016</v>
      </c>
    </row>
    <row r="392" spans="17:36" x14ac:dyDescent="0.25">
      <c r="Q392" t="str">
        <f>mapPRC!A463</f>
        <v>MINBIB</v>
      </c>
      <c r="R392" t="str">
        <f>IFERROR(INDEX($AD$7:$AD$88,MATCH(mapPRC!C463,$AC$7:$AC$88,0)),"")</f>
        <v/>
      </c>
      <c r="U392" t="str">
        <f>mapCOM!A389</f>
        <v>TFHCV6</v>
      </c>
      <c r="V392" t="str">
        <f t="shared" si="7"/>
        <v/>
      </c>
      <c r="AI392" t="s">
        <v>1866</v>
      </c>
      <c r="AJ392" t="s">
        <v>3016</v>
      </c>
    </row>
    <row r="393" spans="17:36" x14ac:dyDescent="0.25">
      <c r="Q393" t="str">
        <f>mapPRC!A464</f>
        <v>MINBIG</v>
      </c>
      <c r="R393" t="str">
        <f>IFERROR(INDEX($AD$7:$AD$88,MATCH(mapPRC!C464,$AC$7:$AC$88,0)),"")</f>
        <v/>
      </c>
      <c r="U393" t="str">
        <f>mapCOM!A390</f>
        <v>TFHCV7</v>
      </c>
      <c r="V393" t="str">
        <f t="shared" si="7"/>
        <v/>
      </c>
      <c r="AI393" t="s">
        <v>1865</v>
      </c>
      <c r="AJ393" t="s">
        <v>3016</v>
      </c>
    </row>
    <row r="394" spans="17:36" x14ac:dyDescent="0.25">
      <c r="Q394" t="str">
        <f>mapPRC!A465</f>
        <v>MINBIO</v>
      </c>
      <c r="R394" t="str">
        <f>IFERROR(INDEX($AD$7:$AD$88,MATCH(mapPRC!C465,$AC$7:$AC$88,0)),"")</f>
        <v/>
      </c>
      <c r="U394" t="str">
        <f>mapCOM!A391</f>
        <v>TFHCV8</v>
      </c>
      <c r="V394" t="str">
        <f t="shared" si="7"/>
        <v/>
      </c>
      <c r="AI394" t="s">
        <v>1864</v>
      </c>
      <c r="AJ394" t="s">
        <v>3016</v>
      </c>
    </row>
    <row r="395" spans="17:36" x14ac:dyDescent="0.25">
      <c r="Q395" t="str">
        <f>mapPRC!A466</f>
        <v>MINBIW</v>
      </c>
      <c r="R395" t="str">
        <f>IFERROR(INDEX($AD$7:$AD$88,MATCH(mapPRC!C466,$AC$7:$AC$88,0)),"")</f>
        <v/>
      </c>
      <c r="U395" t="str">
        <f>mapCOM!A392</f>
        <v>TFHCV9</v>
      </c>
      <c r="V395" t="str">
        <f t="shared" si="7"/>
        <v/>
      </c>
      <c r="AI395" t="s">
        <v>1863</v>
      </c>
      <c r="AJ395" t="s">
        <v>3016</v>
      </c>
    </row>
    <row r="396" spans="17:36" x14ac:dyDescent="0.25">
      <c r="Q396" t="str">
        <f>mapPRC!A467</f>
        <v>MINBSC</v>
      </c>
      <c r="R396" t="str">
        <f>IFERROR(INDEX($AD$7:$AD$88,MATCH(mapPRC!C467,$AC$7:$AC$88,0)),"")</f>
        <v/>
      </c>
      <c r="U396" t="str">
        <f>mapCOM!A393</f>
        <v>TFLCV</v>
      </c>
      <c r="V396" t="str">
        <f t="shared" si="7"/>
        <v/>
      </c>
      <c r="AI396" t="s">
        <v>1728</v>
      </c>
      <c r="AJ396" t="s">
        <v>3016</v>
      </c>
    </row>
    <row r="397" spans="17:36" x14ac:dyDescent="0.25">
      <c r="Q397" t="str">
        <f>mapPRC!A468</f>
        <v>MINBSR</v>
      </c>
      <c r="R397" t="str">
        <f>IFERROR(INDEX($AD$7:$AD$88,MATCH(mapPRC!C468,$AC$7:$AC$88,0)),"")</f>
        <v/>
      </c>
      <c r="U397" t="str">
        <f>mapCOM!A394</f>
        <v>TFPIP</v>
      </c>
      <c r="V397" t="str">
        <f t="shared" si="7"/>
        <v/>
      </c>
      <c r="AI397" t="s">
        <v>1724</v>
      </c>
      <c r="AJ397" t="s">
        <v>3016</v>
      </c>
    </row>
    <row r="398" spans="17:36" x14ac:dyDescent="0.25">
      <c r="Q398" t="str">
        <f>mapPRC!A469</f>
        <v>MINBSY</v>
      </c>
      <c r="R398" t="str">
        <f>IFERROR(INDEX($AD$7:$AD$88,MATCH(mapPRC!C469,$AC$7:$AC$88,0)),"")</f>
        <v/>
      </c>
      <c r="U398" t="str">
        <f>mapCOM!A395</f>
        <v>TFRCO</v>
      </c>
      <c r="V398" t="str">
        <f t="shared" si="7"/>
        <v/>
      </c>
      <c r="AI398" t="s">
        <v>1722</v>
      </c>
      <c r="AJ398" t="s">
        <v>3019</v>
      </c>
    </row>
    <row r="399" spans="17:36" x14ac:dyDescent="0.25">
      <c r="Q399" t="str">
        <f>mapPRC!A470</f>
        <v>MINCLD</v>
      </c>
      <c r="R399" t="str">
        <f>IFERROR(INDEX($AD$7:$AD$88,MATCH(mapPRC!C470,$AC$7:$AC$88,0)),"")</f>
        <v/>
      </c>
      <c r="U399" t="str">
        <f>mapCOM!A396</f>
        <v>TFREX</v>
      </c>
      <c r="V399" t="str">
        <f t="shared" si="7"/>
        <v/>
      </c>
      <c r="AI399" t="s">
        <v>1720</v>
      </c>
      <c r="AJ399" t="s">
        <v>3018</v>
      </c>
    </row>
    <row r="400" spans="17:36" x14ac:dyDescent="0.25">
      <c r="Q400" t="str">
        <f>mapPRC!A471</f>
        <v>MINCLE</v>
      </c>
      <c r="R400" t="str">
        <f>IFERROR(INDEX($AD$7:$AD$88,MATCH(mapPRC!C471,$AC$7:$AC$88,0)),"")</f>
        <v>coal</v>
      </c>
      <c r="U400" t="str">
        <f>mapCOM!A397</f>
        <v>TFROT</v>
      </c>
      <c r="V400" t="str">
        <f t="shared" si="7"/>
        <v/>
      </c>
      <c r="AI400" t="s">
        <v>1717</v>
      </c>
      <c r="AJ400" t="s">
        <v>3017</v>
      </c>
    </row>
    <row r="401" spans="17:36" x14ac:dyDescent="0.25">
      <c r="Q401" t="str">
        <f>mapPRC!A472</f>
        <v>MINCLE1</v>
      </c>
      <c r="R401" t="str">
        <f>IFERROR(INDEX($AD$7:$AD$88,MATCH(mapPRC!C472,$AC$7:$AC$88,0)),"")</f>
        <v>coal</v>
      </c>
      <c r="U401" t="str">
        <f>mapCOM!A398</f>
        <v>TPPRCAR</v>
      </c>
      <c r="V401" t="str">
        <f t="shared" si="7"/>
        <v/>
      </c>
      <c r="AI401" t="s">
        <v>1715</v>
      </c>
      <c r="AJ401" t="s">
        <v>3020</v>
      </c>
    </row>
    <row r="402" spans="17:36" x14ac:dyDescent="0.25">
      <c r="Q402" t="str">
        <f>mapPRC!A473</f>
        <v>MINCLE2</v>
      </c>
      <c r="R402" t="str">
        <f>IFERROR(INDEX($AD$7:$AD$88,MATCH(mapPRC!C473,$AC$7:$AC$88,0)),"")</f>
        <v>coal</v>
      </c>
      <c r="U402" t="str">
        <f>mapCOM!A399</f>
        <v>TPPRMOT</v>
      </c>
      <c r="V402" t="str">
        <f t="shared" si="7"/>
        <v/>
      </c>
      <c r="AI402" t="s">
        <v>1712</v>
      </c>
      <c r="AJ402" t="s">
        <v>3016</v>
      </c>
    </row>
    <row r="403" spans="17:36" x14ac:dyDescent="0.25">
      <c r="Q403" t="str">
        <f>mapPRC!A474</f>
        <v>MINCLE3</v>
      </c>
      <c r="R403" t="str">
        <f>IFERROR(INDEX($AD$7:$AD$88,MATCH(mapPRC!C474,$AC$7:$AC$88,0)),"")</f>
        <v>coal</v>
      </c>
      <c r="U403" t="str">
        <f>mapCOM!A400</f>
        <v>TPPRSUV</v>
      </c>
      <c r="V403" t="str">
        <f t="shared" si="7"/>
        <v/>
      </c>
      <c r="AI403" t="s">
        <v>1709</v>
      </c>
      <c r="AJ403" t="s">
        <v>3021</v>
      </c>
    </row>
    <row r="404" spans="17:36" x14ac:dyDescent="0.25">
      <c r="Q404" t="str">
        <f>mapPRC!A475</f>
        <v>MINCLE-A</v>
      </c>
      <c r="R404" t="str">
        <f>IFERROR(INDEX($AD$7:$AD$88,MATCH(mapPRC!C475,$AC$7:$AC$88,0)),"")</f>
        <v>coal</v>
      </c>
      <c r="U404" t="str">
        <f>mapCOM!A401</f>
        <v>TPPUBRT</v>
      </c>
      <c r="V404" t="str">
        <f t="shared" si="7"/>
        <v/>
      </c>
      <c r="AI404" t="s">
        <v>1706</v>
      </c>
      <c r="AJ404" t="s">
        <v>3021</v>
      </c>
    </row>
    <row r="405" spans="17:36" x14ac:dyDescent="0.25">
      <c r="Q405" t="str">
        <f>mapPRC!A476</f>
        <v>MINCLN</v>
      </c>
      <c r="R405" t="str">
        <f>IFERROR(INDEX($AD$7:$AD$88,MATCH(mapPRC!C476,$AC$7:$AC$88,0)),"")</f>
        <v>coal</v>
      </c>
      <c r="U405" t="str">
        <f>mapCOM!A402</f>
        <v>TPPUBUS</v>
      </c>
      <c r="V405" t="str">
        <f t="shared" si="7"/>
        <v/>
      </c>
      <c r="AI405" t="s">
        <v>1862</v>
      </c>
      <c r="AJ405" t="s">
        <v>3016</v>
      </c>
    </row>
    <row r="406" spans="17:36" x14ac:dyDescent="0.25">
      <c r="Q406" t="str">
        <f>mapPRC!A477</f>
        <v>MINCLN-A</v>
      </c>
      <c r="R406" t="str">
        <f>IFERROR(INDEX($AD$7:$AD$88,MATCH(mapPRC!C477,$AC$7:$AC$88,0)),"")</f>
        <v>coal</v>
      </c>
      <c r="U406" t="str">
        <f>mapCOM!A403</f>
        <v>TPPUGAT</v>
      </c>
      <c r="V406" t="str">
        <f t="shared" si="7"/>
        <v/>
      </c>
      <c r="AI406" t="s">
        <v>1703</v>
      </c>
      <c r="AJ406" t="s">
        <v>3016</v>
      </c>
    </row>
    <row r="407" spans="17:36" x14ac:dyDescent="0.25">
      <c r="Q407" t="str">
        <f>mapPRC!A478</f>
        <v>MINCLNU-A</v>
      </c>
      <c r="R407" t="str">
        <f>IFERROR(INDEX($AD$7:$AD$88,MATCH(mapPRC!C478,$AC$7:$AC$88,0)),"")</f>
        <v>coal</v>
      </c>
      <c r="U407" t="str">
        <f>mapCOM!A404</f>
        <v>TPPUMBT</v>
      </c>
      <c r="V407" t="str">
        <f t="shared" si="7"/>
        <v/>
      </c>
      <c r="AI407" t="s">
        <v>1860</v>
      </c>
      <c r="AJ407" t="s">
        <v>3016</v>
      </c>
    </row>
    <row r="408" spans="17:36" x14ac:dyDescent="0.25">
      <c r="Q408" t="str">
        <f>mapPRC!A479</f>
        <v>MINCLS</v>
      </c>
      <c r="R408" t="str">
        <f>IFERROR(INDEX($AD$7:$AD$88,MATCH(mapPRC!C479,$AC$7:$AC$88,0)),"")</f>
        <v>coal</v>
      </c>
      <c r="U408" t="str">
        <f>mapCOM!A405</f>
        <v>TPPUMER</v>
      </c>
      <c r="V408" t="str">
        <f t="shared" si="7"/>
        <v/>
      </c>
      <c r="AI408" t="s">
        <v>1701</v>
      </c>
      <c r="AJ408" t="s">
        <v>3016</v>
      </c>
    </row>
    <row r="409" spans="17:36" x14ac:dyDescent="0.25">
      <c r="Q409" t="str">
        <f>mapPRC!A480</f>
        <v>MINCLS-A</v>
      </c>
      <c r="R409" t="str">
        <f>IFERROR(INDEX($AD$7:$AD$88,MATCH(mapPRC!C480,$AC$7:$AC$88,0)),"")</f>
        <v>coal</v>
      </c>
      <c r="U409" t="str">
        <f>mapCOM!A406</f>
        <v>TRACH4S</v>
      </c>
      <c r="V409" t="str">
        <f t="shared" si="7"/>
        <v/>
      </c>
      <c r="AI409" t="s">
        <v>1699</v>
      </c>
      <c r="AJ409" t="s">
        <v>3016</v>
      </c>
    </row>
    <row r="410" spans="17:36" x14ac:dyDescent="0.25">
      <c r="Q410" t="str">
        <f>mapPRC!A481</f>
        <v>MINCOA</v>
      </c>
      <c r="R410" t="str">
        <f>IFERROR(INDEX($AD$7:$AD$88,MATCH(mapPRC!C481,$AC$7:$AC$88,0)),"")</f>
        <v>coal</v>
      </c>
      <c r="U410" t="str">
        <f>mapCOM!A407</f>
        <v>TRACMOX</v>
      </c>
      <c r="V410" t="str">
        <f t="shared" si="7"/>
        <v/>
      </c>
      <c r="AI410" t="s">
        <v>1696</v>
      </c>
      <c r="AJ410" t="s">
        <v>3016</v>
      </c>
    </row>
    <row r="411" spans="17:36" x14ac:dyDescent="0.25">
      <c r="Q411" t="str">
        <f>mapPRC!A482</f>
        <v>MINCSARNOVRS</v>
      </c>
      <c r="R411" t="str">
        <f>IFERROR(INDEX($AD$7:$AD$88,MATCH(mapPRC!C482,$AC$7:$AC$88,0)),"")</f>
        <v>coal</v>
      </c>
      <c r="U411" t="str">
        <f>mapCOM!A408</f>
        <v>TRACO2S</v>
      </c>
      <c r="V411" t="str">
        <f t="shared" si="7"/>
        <v/>
      </c>
      <c r="AI411" t="s">
        <v>1694</v>
      </c>
      <c r="AJ411" t="s">
        <v>3023</v>
      </c>
    </row>
    <row r="412" spans="17:36" x14ac:dyDescent="0.25">
      <c r="Q412" t="str">
        <f>mapPRC!A483</f>
        <v>MINCSCAMDVRS</v>
      </c>
      <c r="R412" t="str">
        <f>IFERROR(INDEX($AD$7:$AD$88,MATCH(mapPRC!C483,$AC$7:$AC$88,0)),"")</f>
        <v>coal</v>
      </c>
      <c r="U412" t="str">
        <f>mapCOM!A409</f>
        <v>TRAELC</v>
      </c>
      <c r="V412" t="str">
        <f t="shared" si="7"/>
        <v>celec</v>
      </c>
      <c r="AI412" t="s">
        <v>1692</v>
      </c>
      <c r="AJ412" t="s">
        <v>3016</v>
      </c>
    </row>
    <row r="413" spans="17:36" x14ac:dyDescent="0.25">
      <c r="Q413" t="str">
        <f>mapPRC!A484</f>
        <v>MINCSDUVHS32</v>
      </c>
      <c r="R413" t="str">
        <f>IFERROR(INDEX($AD$7:$AD$88,MATCH(mapPRC!C484,$AC$7:$AC$88,0)),"")</f>
        <v>coal</v>
      </c>
      <c r="U413" t="str">
        <f>mapCOM!A410</f>
        <v>TRAGAS</v>
      </c>
      <c r="V413" t="str">
        <f t="shared" si="7"/>
        <v>cngas</v>
      </c>
      <c r="AI413" t="s">
        <v>1690</v>
      </c>
      <c r="AJ413" t="s">
        <v>3018</v>
      </c>
    </row>
    <row r="414" spans="17:36" x14ac:dyDescent="0.25">
      <c r="Q414" t="str">
        <f>mapPRC!A485</f>
        <v>MINCSDUVHVRS</v>
      </c>
      <c r="R414" t="str">
        <f>IFERROR(INDEX($AD$7:$AD$88,MATCH(mapPRC!C485,$AC$7:$AC$88,0)),"")</f>
        <v>coal</v>
      </c>
      <c r="U414" t="str">
        <f>mapCOM!A411</f>
        <v>TRAHGN</v>
      </c>
      <c r="V414" t="str">
        <f t="shared" si="7"/>
        <v>chydr</v>
      </c>
      <c r="AI414" t="s">
        <v>1689</v>
      </c>
      <c r="AJ414" t="s">
        <v>3018</v>
      </c>
    </row>
    <row r="415" spans="17:36" x14ac:dyDescent="0.25">
      <c r="Q415" t="str">
        <f>mapPRC!A486</f>
        <v>MINCSGROOVRS</v>
      </c>
      <c r="R415" t="str">
        <f>IFERROR(INDEX($AD$7:$AD$88,MATCH(mapPRC!C486,$AC$7:$AC$88,0)),"")</f>
        <v>coal</v>
      </c>
      <c r="U415" t="str">
        <f>mapCOM!A412</f>
        <v>TRAN2OS</v>
      </c>
      <c r="V415" t="str">
        <f t="shared" si="7"/>
        <v/>
      </c>
      <c r="AI415" t="s">
        <v>1688</v>
      </c>
      <c r="AJ415" t="s">
        <v>3023</v>
      </c>
    </row>
    <row r="416" spans="17:36" x14ac:dyDescent="0.25">
      <c r="Q416" t="str">
        <f>mapPRC!A487</f>
        <v>MINCSHENDVRS</v>
      </c>
      <c r="R416" t="str">
        <f>IFERROR(INDEX($AD$7:$AD$88,MATCH(mapPRC!C487,$AC$7:$AC$88,0)),"")</f>
        <v>coal</v>
      </c>
      <c r="U416" t="str">
        <f>mapCOM!A413</f>
        <v>TRANMVS</v>
      </c>
      <c r="V416" t="str">
        <f t="shared" si="7"/>
        <v/>
      </c>
      <c r="AI416" t="s">
        <v>1687</v>
      </c>
      <c r="AJ416" t="s">
        <v>3023</v>
      </c>
    </row>
    <row r="417" spans="17:36" x14ac:dyDescent="0.25">
      <c r="Q417" t="str">
        <f>mapPRC!A488</f>
        <v>MINCSKENDS32</v>
      </c>
      <c r="R417" t="str">
        <f>IFERROR(INDEX($AD$7:$AD$88,MATCH(mapPRC!C488,$AC$7:$AC$88,0)),"")</f>
        <v>coal</v>
      </c>
      <c r="U417" t="str">
        <f>mapCOM!A414</f>
        <v>TRANOXS</v>
      </c>
      <c r="V417" t="str">
        <f t="shared" si="7"/>
        <v/>
      </c>
      <c r="AI417" t="s">
        <v>1686</v>
      </c>
      <c r="AJ417" t="s">
        <v>3023</v>
      </c>
    </row>
    <row r="418" spans="17:36" x14ac:dyDescent="0.25">
      <c r="Q418" t="str">
        <f>mapPRC!A489</f>
        <v>MINCSKENDVRS</v>
      </c>
      <c r="R418" t="str">
        <f>IFERROR(INDEX($AD$7:$AD$88,MATCH(mapPRC!C489,$AC$7:$AC$88,0)),"")</f>
        <v>coal</v>
      </c>
      <c r="U418" t="str">
        <f>mapCOM!A415</f>
        <v>TRAOAG</v>
      </c>
      <c r="V418" t="str">
        <f t="shared" si="7"/>
        <v>cpetr_o</v>
      </c>
      <c r="AI418" t="s">
        <v>1685</v>
      </c>
      <c r="AJ418" t="s">
        <v>3023</v>
      </c>
    </row>
    <row r="419" spans="17:36" x14ac:dyDescent="0.25">
      <c r="Q419" t="str">
        <f>mapPRC!A490</f>
        <v>MINCSKOMAVRS</v>
      </c>
      <c r="R419" t="str">
        <f>IFERROR(INDEX($AD$7:$AD$88,MATCH(mapPRC!C490,$AC$7:$AC$88,0)),"")</f>
        <v>coal</v>
      </c>
      <c r="U419" t="str">
        <f>mapCOM!A416</f>
        <v>TRAODS</v>
      </c>
      <c r="V419" t="str">
        <f t="shared" si="7"/>
        <v>cpetr_d</v>
      </c>
      <c r="AI419" t="s">
        <v>1684</v>
      </c>
      <c r="AJ419" t="s">
        <v>3023</v>
      </c>
    </row>
    <row r="420" spans="17:36" x14ac:dyDescent="0.25">
      <c r="Q420" t="str">
        <f>mapPRC!A491</f>
        <v>MINCSKRIESER</v>
      </c>
      <c r="R420" t="str">
        <f>IFERROR(INDEX($AD$7:$AD$88,MATCH(mapPRC!C491,$AC$7:$AC$88,0)),"")</f>
        <v>coal</v>
      </c>
      <c r="U420" t="str">
        <f>mapCOM!A417</f>
        <v>TRAOGS</v>
      </c>
      <c r="V420" t="str">
        <f t="shared" si="7"/>
        <v>cpetr_p</v>
      </c>
      <c r="AI420" t="s">
        <v>1683</v>
      </c>
      <c r="AJ420" t="s">
        <v>3023</v>
      </c>
    </row>
    <row r="421" spans="17:36" x14ac:dyDescent="0.25">
      <c r="Q421" t="str">
        <f>mapPRC!A492</f>
        <v>MINCSKRIEVRS</v>
      </c>
      <c r="R421" t="str">
        <f>IFERROR(INDEX($AD$7:$AD$88,MATCH(mapPRC!C492,$AC$7:$AC$88,0)),"")</f>
        <v>coal</v>
      </c>
      <c r="U421" t="str">
        <f>mapCOM!A418</f>
        <v>TRAOHF</v>
      </c>
      <c r="V421" t="str">
        <f t="shared" si="7"/>
        <v>cpetr_o</v>
      </c>
      <c r="AI421" t="s">
        <v>1682</v>
      </c>
      <c r="AJ421" t="s">
        <v>3019</v>
      </c>
    </row>
    <row r="422" spans="17:36" x14ac:dyDescent="0.25">
      <c r="Q422" t="str">
        <f>mapPRC!A493</f>
        <v>MINCSKUSINLG</v>
      </c>
      <c r="R422" t="str">
        <f>IFERROR(INDEX($AD$7:$AD$88,MATCH(mapPRC!C493,$AC$7:$AC$88,0)),"")</f>
        <v>coal</v>
      </c>
      <c r="U422" t="str">
        <f>mapCOM!A419</f>
        <v>TRAOKE</v>
      </c>
      <c r="V422" t="str">
        <f t="shared" si="7"/>
        <v>cpetr_o</v>
      </c>
      <c r="AI422" t="s">
        <v>1681</v>
      </c>
      <c r="AJ422" t="s">
        <v>3019</v>
      </c>
    </row>
    <row r="423" spans="17:36" x14ac:dyDescent="0.25">
      <c r="Q423" t="str">
        <f>mapPRC!A494</f>
        <v>MINCSKUSIVRS</v>
      </c>
      <c r="R423" t="str">
        <f>IFERROR(INDEX($AD$7:$AD$88,MATCH(mapPRC!C494,$AC$7:$AC$88,0)),"")</f>
        <v>coal</v>
      </c>
      <c r="U423" t="str">
        <f>mapCOM!A420</f>
        <v>TRAP10S</v>
      </c>
      <c r="V423" t="str">
        <f t="shared" si="7"/>
        <v/>
      </c>
      <c r="AI423" t="s">
        <v>3028</v>
      </c>
      <c r="AJ423" t="s">
        <v>3023</v>
      </c>
    </row>
    <row r="424" spans="17:36" x14ac:dyDescent="0.25">
      <c r="Q424" t="str">
        <f>mapPRC!A495</f>
        <v>MINCSLETHSER</v>
      </c>
      <c r="R424" t="str">
        <f>IFERROR(INDEX($AD$7:$AD$88,MATCH(mapPRC!C495,$AC$7:$AC$88,0)),"")</f>
        <v>coal</v>
      </c>
      <c r="U424" t="str">
        <f>mapCOM!A421</f>
        <v>TRASOXS</v>
      </c>
      <c r="V424" t="str">
        <f t="shared" si="7"/>
        <v/>
      </c>
      <c r="AI424" t="s">
        <v>3030</v>
      </c>
      <c r="AJ424" t="s">
        <v>3023</v>
      </c>
    </row>
    <row r="425" spans="17:36" x14ac:dyDescent="0.25">
      <c r="Q425" t="str">
        <f>mapPRC!A496</f>
        <v>MINCSMAJUVRS</v>
      </c>
      <c r="R425" t="str">
        <f>IFERROR(INDEX($AD$7:$AD$88,MATCH(mapPRC!C496,$AC$7:$AC$88,0)),"")</f>
        <v>coal</v>
      </c>
      <c r="U425" t="str">
        <f>mapCOM!A422</f>
        <v>TSHFO</v>
      </c>
      <c r="V425" t="str">
        <f t="shared" si="7"/>
        <v/>
      </c>
      <c r="AI425" t="s">
        <v>3032</v>
      </c>
      <c r="AJ425" t="s">
        <v>3023</v>
      </c>
    </row>
    <row r="426" spans="17:36" x14ac:dyDescent="0.25">
      <c r="Q426" t="str">
        <f>mapPRC!A497</f>
        <v>MINCSMATIEXX</v>
      </c>
      <c r="R426" t="str">
        <f>IFERROR(INDEX($AD$7:$AD$88,MATCH(mapPRC!C497,$AC$7:$AC$88,0)),"")</f>
        <v>coal</v>
      </c>
      <c r="U426" t="str">
        <f>mapCOM!A423</f>
        <v>UPSBID</v>
      </c>
      <c r="V426" t="str">
        <f t="shared" si="7"/>
        <v/>
      </c>
      <c r="AI426" t="s">
        <v>3034</v>
      </c>
      <c r="AJ426" t="s">
        <v>3023</v>
      </c>
    </row>
    <row r="427" spans="17:36" x14ac:dyDescent="0.25">
      <c r="Q427" t="str">
        <f>mapPRC!A498</f>
        <v>MINCSMATLEXX</v>
      </c>
      <c r="R427" t="str">
        <f>IFERROR(INDEX($AD$7:$AD$88,MATCH(mapPRC!C498,$AC$7:$AC$88,0)),"")</f>
        <v>coal</v>
      </c>
      <c r="U427" t="str">
        <f>mapCOM!A424</f>
        <v>UPSBIE</v>
      </c>
      <c r="V427" t="str">
        <f t="shared" si="7"/>
        <v/>
      </c>
      <c r="AI427" t="s">
        <v>3036</v>
      </c>
      <c r="AJ427" t="s">
        <v>3023</v>
      </c>
    </row>
    <row r="428" spans="17:36" x14ac:dyDescent="0.25">
      <c r="Q428" t="str">
        <f>mapPRC!A499</f>
        <v>MINCSMATLVRS</v>
      </c>
      <c r="R428" t="str">
        <f>IFERROR(INDEX($AD$7:$AD$88,MATCH(mapPRC!C499,$AC$7:$AC$88,0)),"")</f>
        <v>coal</v>
      </c>
      <c r="U428" t="str">
        <f>mapCOM!A425</f>
        <v>UPSCH4S</v>
      </c>
      <c r="V428" t="str">
        <f t="shared" si="7"/>
        <v/>
      </c>
      <c r="AI428" t="s">
        <v>3038</v>
      </c>
      <c r="AJ428" t="s">
        <v>3023</v>
      </c>
    </row>
    <row r="429" spans="17:36" x14ac:dyDescent="0.25">
      <c r="Q429" t="str">
        <f>mapPRC!A500</f>
        <v>MINCSMEDUEXX</v>
      </c>
      <c r="R429" t="str">
        <f>IFERROR(INDEX($AD$7:$AD$88,MATCH(mapPRC!C500,$AC$7:$AC$88,0)),"")</f>
        <v>coal</v>
      </c>
      <c r="U429" t="str">
        <f>mapCOM!A426</f>
        <v>UPSCLE</v>
      </c>
      <c r="V429" t="str">
        <f t="shared" si="7"/>
        <v>ccoal-low</v>
      </c>
      <c r="AI429" t="s">
        <v>3040</v>
      </c>
      <c r="AJ429" t="s">
        <v>3023</v>
      </c>
    </row>
    <row r="430" spans="17:36" x14ac:dyDescent="0.25">
      <c r="Q430" t="str">
        <f>mapPRC!A501</f>
        <v>MINCSTUTUSER</v>
      </c>
      <c r="R430" t="str">
        <f>IFERROR(INDEX($AD$7:$AD$88,MATCH(mapPRC!C501,$AC$7:$AC$88,0)),"")</f>
        <v>coal</v>
      </c>
      <c r="U430" t="str">
        <f>mapCOM!A427</f>
        <v>UPSCMOX</v>
      </c>
      <c r="V430" t="str">
        <f t="shared" si="7"/>
        <v/>
      </c>
      <c r="AI430" t="s">
        <v>3042</v>
      </c>
      <c r="AJ430" t="s">
        <v>3023</v>
      </c>
    </row>
    <row r="431" spans="17:36" x14ac:dyDescent="0.25">
      <c r="Q431" t="str">
        <f>mapPRC!A502</f>
        <v>MINCSTUTUVRS</v>
      </c>
      <c r="R431" t="str">
        <f>IFERROR(INDEX($AD$7:$AD$88,MATCH(mapPRC!C502,$AC$7:$AC$88,0)),"")</f>
        <v>coal</v>
      </c>
      <c r="U431" t="str">
        <f>mapCOM!A428</f>
        <v>UPSCO2S</v>
      </c>
      <c r="V431" t="str">
        <f t="shared" si="7"/>
        <v/>
      </c>
      <c r="AI431" t="s">
        <v>3044</v>
      </c>
      <c r="AJ431" t="s">
        <v>3023</v>
      </c>
    </row>
    <row r="432" spans="17:36" x14ac:dyDescent="0.25">
      <c r="Q432" t="str">
        <f>mapPRC!A503</f>
        <v>MINCSWATEVRS</v>
      </c>
      <c r="R432" t="str">
        <f>IFERROR(INDEX($AD$7:$AD$88,MATCH(mapPRC!C503,$AC$7:$AC$88,0)),"")</f>
        <v>coal</v>
      </c>
      <c r="U432" t="str">
        <f>mapCOM!A429</f>
        <v>UPSELC</v>
      </c>
      <c r="V432" t="str">
        <f t="shared" si="7"/>
        <v>celec</v>
      </c>
      <c r="AI432" t="s">
        <v>3046</v>
      </c>
      <c r="AJ432" t="s">
        <v>3023</v>
      </c>
    </row>
    <row r="433" spans="17:36" x14ac:dyDescent="0.25">
      <c r="Q433" t="str">
        <f>mapPRC!A504</f>
        <v>MINFEORE</v>
      </c>
      <c r="R433" t="str">
        <f>IFERROR(INDEX($AD$7:$AD$88,MATCH(mapPRC!C504,$AC$7:$AC$88,0)),"")</f>
        <v/>
      </c>
      <c r="U433" t="str">
        <f>mapCOM!A430</f>
        <v>UPSGAS</v>
      </c>
      <c r="V433" t="str">
        <f t="shared" si="7"/>
        <v>cngas</v>
      </c>
      <c r="AI433" t="s">
        <v>3048</v>
      </c>
      <c r="AJ433" t="s">
        <v>3023</v>
      </c>
    </row>
    <row r="434" spans="17:36" x14ac:dyDescent="0.25">
      <c r="Q434" t="str">
        <f>mapPRC!A505</f>
        <v>MINGAS</v>
      </c>
      <c r="R434" t="str">
        <f>IFERROR(INDEX($AD$7:$AD$88,MATCH(mapPRC!C505,$AC$7:$AC$88,0)),"")</f>
        <v/>
      </c>
      <c r="U434" t="str">
        <f>mapCOM!A431</f>
        <v>UPSGIC</v>
      </c>
      <c r="V434" t="str">
        <f t="shared" si="7"/>
        <v>cngas</v>
      </c>
      <c r="AI434" t="s">
        <v>3050</v>
      </c>
      <c r="AJ434" t="s">
        <v>3023</v>
      </c>
    </row>
    <row r="435" spans="17:36" x14ac:dyDescent="0.25">
      <c r="Q435" t="str">
        <f>mapPRC!A506</f>
        <v>MINGIB</v>
      </c>
      <c r="R435" t="str">
        <f>IFERROR(INDEX($AD$7:$AD$88,MATCH(mapPRC!C506,$AC$7:$AC$88,0)),"")</f>
        <v/>
      </c>
      <c r="U435" t="str">
        <f>mapCOM!A432</f>
        <v>UPSHEE</v>
      </c>
      <c r="V435" t="str">
        <f t="shared" si="7"/>
        <v/>
      </c>
      <c r="AI435" t="s">
        <v>3052</v>
      </c>
      <c r="AJ435" t="s">
        <v>3023</v>
      </c>
    </row>
    <row r="436" spans="17:36" x14ac:dyDescent="0.25">
      <c r="Q436" t="str">
        <f>mapPRC!A507</f>
        <v>MINGIC</v>
      </c>
      <c r="R436" t="str">
        <f>IFERROR(INDEX($AD$7:$AD$88,MATCH(mapPRC!C507,$AC$7:$AC$88,0)),"")</f>
        <v/>
      </c>
      <c r="U436" t="str">
        <f>mapCOM!A433</f>
        <v>UPSHEN</v>
      </c>
      <c r="V436" t="str">
        <f t="shared" si="7"/>
        <v/>
      </c>
      <c r="AI436" t="s">
        <v>3054</v>
      </c>
      <c r="AJ436" t="s">
        <v>3023</v>
      </c>
    </row>
    <row r="437" spans="17:36" x14ac:dyDescent="0.25">
      <c r="Q437" t="str">
        <f>mapPRC!A508</f>
        <v>MINGIH</v>
      </c>
      <c r="R437" t="str">
        <f>IFERROR(INDEX($AD$7:$AD$88,MATCH(mapPRC!C508,$AC$7:$AC$88,0)),"")</f>
        <v/>
      </c>
      <c r="U437" t="str">
        <f>mapCOM!A434</f>
        <v>UPSN2OS</v>
      </c>
      <c r="V437" t="str">
        <f t="shared" si="7"/>
        <v/>
      </c>
      <c r="AI437" t="s">
        <v>3056</v>
      </c>
      <c r="AJ437" t="s">
        <v>3023</v>
      </c>
    </row>
    <row r="438" spans="17:36" x14ac:dyDescent="0.25">
      <c r="Q438" t="str">
        <f>mapPRC!A509</f>
        <v>MINHYD</v>
      </c>
      <c r="R438" t="str">
        <f>IFERROR(INDEX($AD$7:$AD$88,MATCH(mapPRC!C509,$AC$7:$AC$88,0)),"")</f>
        <v/>
      </c>
      <c r="U438" t="str">
        <f>mapCOM!A435</f>
        <v>UPSNMVS</v>
      </c>
      <c r="V438" t="str">
        <f t="shared" si="7"/>
        <v/>
      </c>
      <c r="AI438" t="s">
        <v>3058</v>
      </c>
      <c r="AJ438" t="s">
        <v>3023</v>
      </c>
    </row>
    <row r="439" spans="17:36" x14ac:dyDescent="0.25">
      <c r="Q439" t="str">
        <f>mapPRC!A510</f>
        <v>MINMTH</v>
      </c>
      <c r="R439" t="str">
        <f>IFERROR(INDEX($AD$7:$AD$88,MATCH(mapPRC!C510,$AC$7:$AC$88,0)),"")</f>
        <v/>
      </c>
      <c r="U439" t="str">
        <f>mapCOM!A436</f>
        <v>UPSNOXS</v>
      </c>
      <c r="V439" t="str">
        <f t="shared" si="7"/>
        <v/>
      </c>
      <c r="AI439" t="s">
        <v>1678</v>
      </c>
      <c r="AJ439" t="str">
        <f>""</f>
        <v/>
      </c>
    </row>
    <row r="440" spans="17:36" x14ac:dyDescent="0.25">
      <c r="Q440" t="str">
        <f>mapPRC!A511</f>
        <v>MINOCR</v>
      </c>
      <c r="R440" t="str">
        <f>IFERROR(INDEX($AD$7:$AD$88,MATCH(mapPRC!C511,$AC$7:$AC$88,0)),"")</f>
        <v/>
      </c>
      <c r="U440" t="str">
        <f>mapCOM!A437</f>
        <v>UPSOCR</v>
      </c>
      <c r="V440" t="str">
        <f t="shared" si="7"/>
        <v>ccoil</v>
      </c>
      <c r="AI440" t="s">
        <v>1676</v>
      </c>
      <c r="AJ440" t="str">
        <f>""</f>
        <v/>
      </c>
    </row>
    <row r="441" spans="17:36" x14ac:dyDescent="0.25">
      <c r="Q441" t="str">
        <f>mapPRC!A512</f>
        <v>MINSOL</v>
      </c>
      <c r="R441" t="str">
        <f>IFERROR(INDEX($AD$7:$AD$88,MATCH(mapPRC!C512,$AC$7:$AC$88,0)),"")</f>
        <v/>
      </c>
      <c r="U441" t="str">
        <f>mapCOM!A438</f>
        <v>UPSOHF</v>
      </c>
      <c r="V441" t="str">
        <f t="shared" si="7"/>
        <v>cpetr_o</v>
      </c>
      <c r="AI441" t="s">
        <v>1674</v>
      </c>
      <c r="AJ441" t="str">
        <f>""</f>
        <v/>
      </c>
    </row>
    <row r="442" spans="17:36" x14ac:dyDescent="0.25">
      <c r="Q442" t="str">
        <f>mapPRC!A513</f>
        <v>MINWAS</v>
      </c>
      <c r="R442" t="str">
        <f>IFERROR(INDEX($AD$7:$AD$88,MATCH(mapPRC!C513,$AC$7:$AC$88,0)),"")</f>
        <v/>
      </c>
      <c r="U442" t="str">
        <f>mapCOM!A439</f>
        <v>UPSP10S</v>
      </c>
      <c r="V442" t="str">
        <f t="shared" si="7"/>
        <v/>
      </c>
      <c r="AI442" t="s">
        <v>1672</v>
      </c>
      <c r="AJ442" t="str">
        <f>""</f>
        <v/>
      </c>
    </row>
    <row r="443" spans="17:36" x14ac:dyDescent="0.25">
      <c r="Q443" t="str">
        <f>mapPRC!A514</f>
        <v>MINWAT</v>
      </c>
      <c r="R443" t="str">
        <f>IFERROR(INDEX($AD$7:$AD$88,MATCH(mapPRC!C514,$AC$7:$AC$88,0)),"")</f>
        <v/>
      </c>
      <c r="U443" t="str">
        <f>mapCOM!A440</f>
        <v>UPSSOXS</v>
      </c>
      <c r="V443" t="str">
        <f t="shared" si="7"/>
        <v/>
      </c>
      <c r="AI443" t="s">
        <v>1670</v>
      </c>
      <c r="AJ443" t="str">
        <f>""</f>
        <v/>
      </c>
    </row>
    <row r="444" spans="17:36" x14ac:dyDescent="0.25">
      <c r="Q444" t="str">
        <f>mapPRC!A515</f>
        <v>MINWND</v>
      </c>
      <c r="R444" t="str">
        <f>IFERROR(INDEX($AD$7:$AD$88,MATCH(mapPRC!C515,$AC$7:$AC$88,0)),"")</f>
        <v/>
      </c>
      <c r="U444" t="str">
        <f>mapCOM!A441</f>
        <v>WAS</v>
      </c>
      <c r="V444" t="str">
        <f t="shared" si="7"/>
        <v/>
      </c>
      <c r="AI444" t="s">
        <v>3133</v>
      </c>
      <c r="AJ444" t="str">
        <f>""</f>
        <v/>
      </c>
    </row>
    <row r="445" spans="17:36" x14ac:dyDescent="0.25">
      <c r="Q445" t="str">
        <f>mapPRC!A516</f>
        <v>MINZZ</v>
      </c>
      <c r="R445" t="str">
        <f>IFERROR(INDEX($AD$7:$AD$88,MATCH(mapPRC!C516,$AC$7:$AC$88,0)),"")</f>
        <v/>
      </c>
      <c r="U445" t="str">
        <f>mapCOM!A442</f>
        <v>WAT</v>
      </c>
      <c r="V445" t="str">
        <f t="shared" si="7"/>
        <v/>
      </c>
      <c r="AI445" t="s">
        <v>3136</v>
      </c>
      <c r="AJ445" t="str">
        <f>""</f>
        <v/>
      </c>
    </row>
    <row r="446" spans="17:36" x14ac:dyDescent="0.25">
      <c r="Q446" t="str">
        <f>mapPRC!A517</f>
        <v>MIRCRB</v>
      </c>
      <c r="R446" t="str">
        <f>IFERROR(INDEX($AD$7:$AD$88,MATCH(mapPRC!C517,$AC$7:$AC$88,0)),"")</f>
        <v/>
      </c>
      <c r="U446" t="str">
        <f>mapCOM!A443</f>
        <v>WND</v>
      </c>
      <c r="V446" t="str">
        <f t="shared" si="7"/>
        <v/>
      </c>
      <c r="AI446" t="s">
        <v>3139</v>
      </c>
      <c r="AJ446" t="str">
        <f>""</f>
        <v/>
      </c>
    </row>
    <row r="447" spans="17:36" x14ac:dyDescent="0.25">
      <c r="Q447" t="str">
        <f>mapPRC!A518</f>
        <v>MIRGRM</v>
      </c>
      <c r="R447" t="str">
        <f>IFERROR(INDEX($AD$7:$AD$88,MATCH(mapPRC!C518,$AC$7:$AC$88,0)),"")</f>
        <v/>
      </c>
      <c r="U447" t="str">
        <f>mapCOM!A444</f>
        <v>ZDUMETRANS</v>
      </c>
      <c r="V447" t="str">
        <f t="shared" si="7"/>
        <v/>
      </c>
      <c r="AI447" t="s">
        <v>3140</v>
      </c>
      <c r="AJ447" t="str">
        <f>""</f>
        <v/>
      </c>
    </row>
    <row r="448" spans="17:36" x14ac:dyDescent="0.25">
      <c r="Q448" t="str">
        <f>mapPRC!A519</f>
        <v>MIRGRN</v>
      </c>
      <c r="R448" t="str">
        <f>IFERROR(INDEX($AD$7:$AD$88,MATCH(mapPRC!C519,$AC$7:$AC$88,0)),"")</f>
        <v/>
      </c>
      <c r="U448" t="str">
        <f>mapCOM!A445</f>
        <v>ZZZ</v>
      </c>
      <c r="V448" t="str">
        <f>INDEX($AJ$6:$AJ$784,MATCH(U448,$AI$6:$AI$784,0))</f>
        <v/>
      </c>
      <c r="AI448" t="s">
        <v>3142</v>
      </c>
      <c r="AJ448" t="str">
        <f>""</f>
        <v/>
      </c>
    </row>
    <row r="449" spans="17:36" x14ac:dyDescent="0.25">
      <c r="Q449" t="str">
        <f>mapPRC!A520</f>
        <v>MIRGRS</v>
      </c>
      <c r="R449" t="str">
        <f>IFERROR(INDEX($AD$7:$AD$88,MATCH(mapPRC!C520,$AC$7:$AC$88,0)),"")</f>
        <v/>
      </c>
      <c r="AI449" t="s">
        <v>3144</v>
      </c>
      <c r="AJ449" t="s">
        <v>3018</v>
      </c>
    </row>
    <row r="450" spans="17:36" x14ac:dyDescent="0.25">
      <c r="Q450" t="str">
        <f>mapPRC!A521</f>
        <v>MNWAT</v>
      </c>
      <c r="R450" t="str">
        <f>IFERROR(INDEX($AD$7:$AD$88,MATCH(mapPRC!C521,$AC$7:$AC$88,0)),"")</f>
        <v/>
      </c>
      <c r="AI450" t="s">
        <v>3146</v>
      </c>
      <c r="AJ450" t="s">
        <v>3024</v>
      </c>
    </row>
    <row r="451" spans="17:36" x14ac:dyDescent="0.25">
      <c r="Q451" t="str">
        <f>mapPRC!A522</f>
        <v>MNZZZ</v>
      </c>
      <c r="R451" t="str">
        <f>IFERROR(INDEX($AD$7:$AD$88,MATCH(mapPRC!C522,$AC$7:$AC$88,0)),"")</f>
        <v/>
      </c>
      <c r="AI451" t="s">
        <v>3148</v>
      </c>
      <c r="AJ451" t="str">
        <f>""</f>
        <v/>
      </c>
    </row>
    <row r="452" spans="17:36" x14ac:dyDescent="0.25">
      <c r="Q452" t="str">
        <f>mapPRC!A523</f>
        <v>PEXCME</v>
      </c>
      <c r="R452" t="str">
        <f>IFERROR(INDEX($AD$7:$AD$88,MATCH(mapPRC!C523,$AC$7:$AC$88,0)),"")</f>
        <v>exp</v>
      </c>
      <c r="AI452" t="s">
        <v>3152</v>
      </c>
      <c r="AJ452" t="str">
        <f>""</f>
        <v/>
      </c>
    </row>
    <row r="453" spans="17:36" x14ac:dyDescent="0.25">
      <c r="Q453" t="str">
        <f>mapPRC!A524</f>
        <v>PEXCOA</v>
      </c>
      <c r="R453" t="str">
        <f>IFERROR(INDEX($AD$7:$AD$88,MATCH(mapPRC!C524,$AC$7:$AC$88,0)),"")</f>
        <v>exp</v>
      </c>
      <c r="AI453" t="s">
        <v>3154</v>
      </c>
      <c r="AJ453" t="str">
        <f>""</f>
        <v/>
      </c>
    </row>
    <row r="454" spans="17:36" x14ac:dyDescent="0.25">
      <c r="Q454" t="str">
        <f>mapPRC!A525</f>
        <v>PEXCOK</v>
      </c>
      <c r="R454" t="str">
        <f>IFERROR(INDEX($AD$7:$AD$88,MATCH(mapPRC!C525,$AC$7:$AC$88,0)),"")</f>
        <v>exp</v>
      </c>
      <c r="AI454" t="s">
        <v>3157</v>
      </c>
      <c r="AJ454" t="str">
        <f>""</f>
        <v/>
      </c>
    </row>
    <row r="455" spans="17:36" x14ac:dyDescent="0.25">
      <c r="Q455" t="str">
        <f>mapPRC!A526</f>
        <v>PEXELC</v>
      </c>
      <c r="R455" t="str">
        <f>IFERROR(INDEX($AD$7:$AD$88,MATCH(mapPRC!C526,$AC$7:$AC$88,0)),"")</f>
        <v>exp</v>
      </c>
      <c r="AI455" t="s">
        <v>3159</v>
      </c>
      <c r="AJ455" t="str">
        <f>""</f>
        <v/>
      </c>
    </row>
    <row r="456" spans="17:36" x14ac:dyDescent="0.25">
      <c r="Q456" t="str">
        <f>mapPRC!A527</f>
        <v>PEXHBI</v>
      </c>
      <c r="R456" t="str">
        <f>IFERROR(INDEX($AD$7:$AD$88,MATCH(mapPRC!C527,$AC$7:$AC$88,0)),"")</f>
        <v/>
      </c>
      <c r="AI456" t="s">
        <v>3127</v>
      </c>
      <c r="AJ456" t="str">
        <f>""</f>
        <v/>
      </c>
    </row>
    <row r="457" spans="17:36" x14ac:dyDescent="0.25">
      <c r="Q457" t="str">
        <f>mapPRC!A528</f>
        <v>PEXHGN</v>
      </c>
      <c r="R457" t="str">
        <f>IFERROR(INDEX($AD$7:$AD$88,MATCH(mapPRC!C528,$AC$7:$AC$88,0)),"")</f>
        <v>exp</v>
      </c>
      <c r="AI457" t="s">
        <v>3129</v>
      </c>
      <c r="AJ457" t="s">
        <v>3021</v>
      </c>
    </row>
    <row r="458" spans="17:36" x14ac:dyDescent="0.25">
      <c r="Q458" t="str">
        <f>mapPRC!A529</f>
        <v>PEXGAS</v>
      </c>
      <c r="R458" t="str">
        <f>IFERROR(INDEX($AD$7:$AD$88,MATCH(mapPRC!C529,$AC$7:$AC$88,0)),"")</f>
        <v>exp</v>
      </c>
      <c r="AI458" t="s">
        <v>3131</v>
      </c>
      <c r="AJ458" t="s">
        <v>3021</v>
      </c>
    </row>
    <row r="459" spans="17:36" x14ac:dyDescent="0.25">
      <c r="Q459" t="str">
        <f>mapPRC!A530</f>
        <v>PEXOAG</v>
      </c>
      <c r="R459" t="str">
        <f>IFERROR(INDEX($AD$7:$AD$88,MATCH(mapPRC!C530,$AC$7:$AC$88,0)),"")</f>
        <v>exp</v>
      </c>
    </row>
    <row r="460" spans="17:36" x14ac:dyDescent="0.25">
      <c r="Q460" t="str">
        <f>mapPRC!A531</f>
        <v>PEXOCR</v>
      </c>
      <c r="R460" t="str">
        <f>IFERROR(INDEX($AD$7:$AD$88,MATCH(mapPRC!C531,$AC$7:$AC$88,0)),"")</f>
        <v>exp</v>
      </c>
    </row>
    <row r="461" spans="17:36" x14ac:dyDescent="0.25">
      <c r="Q461" t="str">
        <f>mapPRC!A532</f>
        <v>PEXODS</v>
      </c>
      <c r="R461" t="str">
        <f>IFERROR(INDEX($AD$7:$AD$88,MATCH(mapPRC!C532,$AC$7:$AC$88,0)),"")</f>
        <v>exp</v>
      </c>
    </row>
    <row r="462" spans="17:36" x14ac:dyDescent="0.25">
      <c r="Q462" t="str">
        <f>mapPRC!A533</f>
        <v>PEXOGS</v>
      </c>
      <c r="R462" t="str">
        <f>IFERROR(INDEX($AD$7:$AD$88,MATCH(mapPRC!C533,$AC$7:$AC$88,0)),"")</f>
        <v>exp</v>
      </c>
    </row>
    <row r="463" spans="17:36" x14ac:dyDescent="0.25">
      <c r="Q463" t="str">
        <f>mapPRC!A534</f>
        <v>PEXOHF</v>
      </c>
      <c r="R463" t="str">
        <f>IFERROR(INDEX($AD$7:$AD$88,MATCH(mapPRC!C534,$AC$7:$AC$88,0)),"")</f>
        <v>exp</v>
      </c>
    </row>
    <row r="464" spans="17:36" x14ac:dyDescent="0.25">
      <c r="Q464" t="str">
        <f>mapPRC!A535</f>
        <v>PEXOKE</v>
      </c>
      <c r="R464" t="str">
        <f>IFERROR(INDEX($AD$7:$AD$88,MATCH(mapPRC!C535,$AC$7:$AC$88,0)),"")</f>
        <v>exp</v>
      </c>
    </row>
    <row r="465" spans="17:18" x14ac:dyDescent="0.25">
      <c r="Q465" t="str">
        <f>mapPRC!A536</f>
        <v>PEXOXY</v>
      </c>
      <c r="R465" t="str">
        <f>IFERROR(INDEX($AD$7:$AD$88,MATCH(mapPRC!C536,$AC$7:$AC$88,0)),"")</f>
        <v/>
      </c>
    </row>
    <row r="466" spans="17:18" x14ac:dyDescent="0.25">
      <c r="Q466" t="str">
        <f>mapPRC!A537</f>
        <v>RHEHBIWSTOV-E</v>
      </c>
      <c r="R466" t="str">
        <f>IFERROR(INDEX($AD$7:$AD$88,MATCH(mapPRC!C537,$AC$7:$AC$88,0)),"")</f>
        <v>hhd-he</v>
      </c>
    </row>
    <row r="467" spans="17:18" x14ac:dyDescent="0.25">
      <c r="Q467" t="str">
        <f>mapPRC!A538</f>
        <v>RHEHCOASTOV-E</v>
      </c>
      <c r="R467" t="str">
        <f>IFERROR(INDEX($AD$7:$AD$88,MATCH(mapPRC!C538,$AC$7:$AC$88,0)),"")</f>
        <v>hhd-he</v>
      </c>
    </row>
    <row r="468" spans="17:18" x14ac:dyDescent="0.25">
      <c r="Q468" t="str">
        <f>mapPRC!A539</f>
        <v>RHEHELCHEATFIN-E</v>
      </c>
      <c r="R468" t="str">
        <f>IFERROR(INDEX($AD$7:$AD$88,MATCH(mapPRC!C539,$AC$7:$AC$88,0)),"")</f>
        <v>hhd-he</v>
      </c>
    </row>
    <row r="469" spans="17:18" x14ac:dyDescent="0.25">
      <c r="Q469" t="str">
        <f>mapPRC!A540</f>
        <v>RHEHGASHEAT-N</v>
      </c>
      <c r="R469" t="str">
        <f>IFERROR(INDEX($AD$7:$AD$88,MATCH(mapPRC!C540,$AC$7:$AC$88,0)),"")</f>
        <v>hhd-he</v>
      </c>
    </row>
    <row r="470" spans="17:18" x14ac:dyDescent="0.25">
      <c r="Q470" t="str">
        <f>mapPRC!A541</f>
        <v>RHEHOKEHEAT-E</v>
      </c>
      <c r="R470" t="str">
        <f>IFERROR(INDEX($AD$7:$AD$88,MATCH(mapPRC!C541,$AC$7:$AC$88,0)),"")</f>
        <v>hhd-he</v>
      </c>
    </row>
    <row r="471" spans="17:18" x14ac:dyDescent="0.25">
      <c r="Q471" t="str">
        <f>mapPRC!A542</f>
        <v>RHEHOLPHEAT-E</v>
      </c>
      <c r="R471" t="str">
        <f>IFERROR(INDEX($AD$7:$AD$88,MATCH(mapPRC!C542,$AC$7:$AC$88,0)),"")</f>
        <v>hhd-he</v>
      </c>
    </row>
    <row r="472" spans="17:18" x14ac:dyDescent="0.25">
      <c r="Q472" t="str">
        <f>mapPRC!A543</f>
        <v>RHEKBIWSTOV-E</v>
      </c>
      <c r="R472" t="str">
        <f>IFERROR(INDEX($AD$7:$AD$88,MATCH(mapPRC!C543,$AC$7:$AC$88,0)),"")</f>
        <v>hhd-he</v>
      </c>
    </row>
    <row r="473" spans="17:18" x14ac:dyDescent="0.25">
      <c r="Q473" t="str">
        <f>mapPRC!A544</f>
        <v>RHEKELCSTOV-E</v>
      </c>
      <c r="R473" t="str">
        <f>IFERROR(INDEX($AD$7:$AD$88,MATCH(mapPRC!C544,$AC$7:$AC$88,0)),"")</f>
        <v>hhd-he</v>
      </c>
    </row>
    <row r="474" spans="17:18" x14ac:dyDescent="0.25">
      <c r="Q474" t="str">
        <f>mapPRC!A545</f>
        <v>RHEKGASSTOV-E</v>
      </c>
      <c r="R474" t="str">
        <f>IFERROR(INDEX($AD$7:$AD$88,MATCH(mapPRC!C545,$AC$7:$AC$88,0)),"")</f>
        <v>hhd-he</v>
      </c>
    </row>
    <row r="475" spans="17:18" x14ac:dyDescent="0.25">
      <c r="Q475" t="str">
        <f>mapPRC!A546</f>
        <v>RHEKOKEPRIMUS-E</v>
      </c>
      <c r="R475" t="str">
        <f>IFERROR(INDEX($AD$7:$AD$88,MATCH(mapPRC!C546,$AC$7:$AC$88,0)),"")</f>
        <v>hhd-he</v>
      </c>
    </row>
    <row r="476" spans="17:18" x14ac:dyDescent="0.25">
      <c r="Q476" t="str">
        <f>mapPRC!A547</f>
        <v>RHEKOLPSTOV-E</v>
      </c>
      <c r="R476" t="str">
        <f>IFERROR(INDEX($AD$7:$AD$88,MATCH(mapPRC!C547,$AC$7:$AC$88,0)),"")</f>
        <v>hhd-he</v>
      </c>
    </row>
    <row r="477" spans="17:18" x14ac:dyDescent="0.25">
      <c r="Q477" t="str">
        <f>mapPRC!A548</f>
        <v>RHELELCINC-E</v>
      </c>
      <c r="R477" t="str">
        <f>IFERROR(INDEX($AD$7:$AD$88,MATCH(mapPRC!C548,$AC$7:$AC$88,0)),"")</f>
        <v>hhd-he</v>
      </c>
    </row>
    <row r="478" spans="17:18" x14ac:dyDescent="0.25">
      <c r="Q478" t="str">
        <f>mapPRC!A549</f>
        <v>RHENOKEOTH-E</v>
      </c>
      <c r="R478" t="str">
        <f>IFERROR(INDEX($AD$7:$AD$88,MATCH(mapPRC!C549,$AC$7:$AC$88,0)),"")</f>
        <v>hhd-he</v>
      </c>
    </row>
    <row r="479" spans="17:18" x14ac:dyDescent="0.25">
      <c r="Q479" t="str">
        <f>mapPRC!A550</f>
        <v>RHEOELCOTH-E</v>
      </c>
      <c r="R479" t="str">
        <f>IFERROR(INDEX($AD$7:$AD$88,MATCH(mapPRC!C550,$AC$7:$AC$88,0)),"")</f>
        <v>hhd-he</v>
      </c>
    </row>
    <row r="480" spans="17:18" x14ac:dyDescent="0.25">
      <c r="Q480" t="str">
        <f>mapPRC!A551</f>
        <v>RHERELCREF-E</v>
      </c>
      <c r="R480" t="str">
        <f>IFERROR(INDEX($AD$7:$AD$88,MATCH(mapPRC!C551,$AC$7:$AC$88,0)),"")</f>
        <v>hhd-he</v>
      </c>
    </row>
    <row r="481" spans="17:18" x14ac:dyDescent="0.25">
      <c r="Q481" t="str">
        <f>mapPRC!A552</f>
        <v>RHEWELCCHP-N</v>
      </c>
      <c r="R481" t="str">
        <f>IFERROR(INDEX($AD$7:$AD$88,MATCH(mapPRC!C552,$AC$7:$AC$88,0)),"")</f>
        <v>hhd-he</v>
      </c>
    </row>
    <row r="482" spans="17:18" x14ac:dyDescent="0.25">
      <c r="Q482" t="str">
        <f>mapPRC!A553</f>
        <v>RHEWELCGEY-E</v>
      </c>
      <c r="R482" t="str">
        <f>IFERROR(INDEX($AD$7:$AD$88,MATCH(mapPRC!C553,$AC$7:$AC$88,0)),"")</f>
        <v>hhd-he</v>
      </c>
    </row>
    <row r="483" spans="17:18" x14ac:dyDescent="0.25">
      <c r="Q483" t="str">
        <f>mapPRC!A554</f>
        <v>RHEWELCSWH-E</v>
      </c>
      <c r="R483" t="str">
        <f>IFERROR(INDEX($AD$7:$AD$88,MATCH(mapPRC!C554,$AC$7:$AC$88,0)),"")</f>
        <v>hhd-he</v>
      </c>
    </row>
    <row r="484" spans="17:18" x14ac:dyDescent="0.25">
      <c r="Q484" t="str">
        <f>mapPRC!A555</f>
        <v>RHEWGASHEAT-N</v>
      </c>
      <c r="R484" t="str">
        <f>IFERROR(INDEX($AD$7:$AD$88,MATCH(mapPRC!C555,$AC$7:$AC$88,0)),"")</f>
        <v>hhd-he</v>
      </c>
    </row>
    <row r="485" spans="17:18" x14ac:dyDescent="0.25">
      <c r="Q485" t="str">
        <f>mapPRC!A556</f>
        <v>RHEWOKESTOV-E</v>
      </c>
      <c r="R485" t="str">
        <f>IFERROR(INDEX($AD$7:$AD$88,MATCH(mapPRC!C556,$AC$7:$AC$88,0)),"")</f>
        <v>hhd-he</v>
      </c>
    </row>
    <row r="486" spans="17:18" x14ac:dyDescent="0.25">
      <c r="Q486" t="str">
        <f>mapPRC!A557</f>
        <v>RHEWOLPSTOV-E</v>
      </c>
      <c r="R486" t="str">
        <f>IFERROR(INDEX($AD$7:$AD$88,MATCH(mapPRC!C557,$AC$7:$AC$88,0)),"")</f>
        <v>hhd-he</v>
      </c>
    </row>
    <row r="487" spans="17:18" x14ac:dyDescent="0.25">
      <c r="Q487" t="str">
        <f>mapPRC!A558</f>
        <v>RLEHBIWOPEN-E</v>
      </c>
      <c r="R487" t="str">
        <f>IFERROR(INDEX($AD$7:$AD$88,MATCH(mapPRC!C558,$AC$7:$AC$88,0)),"")</f>
        <v>hhd-le</v>
      </c>
    </row>
    <row r="488" spans="17:18" x14ac:dyDescent="0.25">
      <c r="Q488" t="str">
        <f>mapPRC!A559</f>
        <v>RLEHCOABNM-E</v>
      </c>
      <c r="R488" t="str">
        <f>IFERROR(INDEX($AD$7:$AD$88,MATCH(mapPRC!C559,$AC$7:$AC$88,0)),"")</f>
        <v>hhd-le</v>
      </c>
    </row>
    <row r="489" spans="17:18" x14ac:dyDescent="0.25">
      <c r="Q489" t="str">
        <f>mapPRC!A560</f>
        <v>RLEHELCHEATBAR-E</v>
      </c>
      <c r="R489" t="str">
        <f>IFERROR(INDEX($AD$7:$AD$88,MATCH(mapPRC!C560,$AC$7:$AC$88,0)),"")</f>
        <v>hhd-le</v>
      </c>
    </row>
    <row r="490" spans="17:18" x14ac:dyDescent="0.25">
      <c r="Q490" t="str">
        <f>mapPRC!A561</f>
        <v>RLEHOKEHEAT-E</v>
      </c>
      <c r="R490" t="str">
        <f>IFERROR(INDEX($AD$7:$AD$88,MATCH(mapPRC!C561,$AC$7:$AC$88,0)),"")</f>
        <v>hhd-le</v>
      </c>
    </row>
    <row r="491" spans="17:18" x14ac:dyDescent="0.25">
      <c r="Q491" t="str">
        <f>mapPRC!A562</f>
        <v>RLEHOLPHET-E</v>
      </c>
      <c r="R491" t="str">
        <f>IFERROR(INDEX($AD$7:$AD$88,MATCH(mapPRC!C562,$AC$7:$AC$88,0)),"")</f>
        <v>hhd-le</v>
      </c>
    </row>
    <row r="492" spans="17:18" x14ac:dyDescent="0.25">
      <c r="Q492" t="str">
        <f>mapPRC!A563</f>
        <v>RLEKBIWBNM-E</v>
      </c>
      <c r="R492" t="str">
        <f>IFERROR(INDEX($AD$7:$AD$88,MATCH(mapPRC!C563,$AC$7:$AC$88,0)),"")</f>
        <v>hhd-le</v>
      </c>
    </row>
    <row r="493" spans="17:18" x14ac:dyDescent="0.25">
      <c r="Q493" t="str">
        <f>mapPRC!A564</f>
        <v>RLEKCOABNM-E</v>
      </c>
      <c r="R493" t="str">
        <f>IFERROR(INDEX($AD$7:$AD$88,MATCH(mapPRC!C564,$AC$7:$AC$88,0)),"")</f>
        <v>hhd-le</v>
      </c>
    </row>
    <row r="494" spans="17:18" x14ac:dyDescent="0.25">
      <c r="Q494" t="str">
        <f>mapPRC!A565</f>
        <v>RLEKELCHOT-E</v>
      </c>
      <c r="R494" t="str">
        <f>IFERROR(INDEX($AD$7:$AD$88,MATCH(mapPRC!C565,$AC$7:$AC$88,0)),"")</f>
        <v>hhd-le</v>
      </c>
    </row>
    <row r="495" spans="17:18" x14ac:dyDescent="0.25">
      <c r="Q495" t="str">
        <f>mapPRC!A566</f>
        <v>RLEKELCSTOV-E</v>
      </c>
      <c r="R495" t="str">
        <f>IFERROR(INDEX($AD$7:$AD$88,MATCH(mapPRC!C566,$AC$7:$AC$88,0)),"")</f>
        <v>hhd-le</v>
      </c>
    </row>
    <row r="496" spans="17:18" x14ac:dyDescent="0.25">
      <c r="Q496" t="str">
        <f>mapPRC!A567</f>
        <v>RLEKOKEWICK-E</v>
      </c>
      <c r="R496" t="str">
        <f>IFERROR(INDEX($AD$7:$AD$88,MATCH(mapPRC!C567,$AC$7:$AC$88,0)),"")</f>
        <v>hhd-le</v>
      </c>
    </row>
    <row r="497" spans="17:18" x14ac:dyDescent="0.25">
      <c r="Q497" t="str">
        <f>mapPRC!A568</f>
        <v>RLEKOLPRING-E</v>
      </c>
      <c r="R497" t="str">
        <f>IFERROR(INDEX($AD$7:$AD$88,MATCH(mapPRC!C568,$AC$7:$AC$88,0)),"")</f>
        <v>hhd-le</v>
      </c>
    </row>
    <row r="498" spans="17:18" x14ac:dyDescent="0.25">
      <c r="Q498" t="str">
        <f>mapPRC!A569</f>
        <v>RLELELCINC-E</v>
      </c>
      <c r="R498" t="str">
        <f>IFERROR(INDEX($AD$7:$AD$88,MATCH(mapPRC!C569,$AC$7:$AC$88,0)),"")</f>
        <v>hhd-le</v>
      </c>
    </row>
    <row r="499" spans="17:18" x14ac:dyDescent="0.25">
      <c r="Q499" t="str">
        <f>mapPRC!A570</f>
        <v>RLENOKEOTH-E</v>
      </c>
      <c r="R499" t="str">
        <f>IFERROR(INDEX($AD$7:$AD$88,MATCH(mapPRC!C570,$AC$7:$AC$88,0)),"")</f>
        <v>hhd-le</v>
      </c>
    </row>
    <row r="500" spans="17:18" x14ac:dyDescent="0.25">
      <c r="Q500" t="str">
        <f>mapPRC!A571</f>
        <v>RLEOELCOTH-E</v>
      </c>
      <c r="R500" t="str">
        <f>IFERROR(INDEX($AD$7:$AD$88,MATCH(mapPRC!C571,$AC$7:$AC$88,0)),"")</f>
        <v>hhd-le</v>
      </c>
    </row>
    <row r="501" spans="17:18" x14ac:dyDescent="0.25">
      <c r="Q501" t="str">
        <f>mapPRC!A572</f>
        <v>RLERELCREF-E</v>
      </c>
      <c r="R501" t="str">
        <f>IFERROR(INDEX($AD$7:$AD$88,MATCH(mapPRC!C572,$AC$7:$AC$88,0)),"")</f>
        <v>hhd-le</v>
      </c>
    </row>
    <row r="502" spans="17:18" x14ac:dyDescent="0.25">
      <c r="Q502" t="str">
        <f>mapPRC!A573</f>
        <v>RLEWBIWKETBI-E</v>
      </c>
      <c r="R502" t="str">
        <f>IFERROR(INDEX($AD$7:$AD$88,MATCH(mapPRC!C573,$AC$7:$AC$88,0)),"")</f>
        <v>hhd-le</v>
      </c>
    </row>
    <row r="503" spans="17:18" x14ac:dyDescent="0.25">
      <c r="Q503" t="str">
        <f>mapPRC!A574</f>
        <v>RLEWCOAKETCOA-E</v>
      </c>
      <c r="R503" t="str">
        <f>IFERROR(INDEX($AD$7:$AD$88,MATCH(mapPRC!C574,$AC$7:$AC$88,0)),"")</f>
        <v>hhd-le</v>
      </c>
    </row>
    <row r="504" spans="17:18" x14ac:dyDescent="0.25">
      <c r="Q504" t="str">
        <f>mapPRC!A575</f>
        <v>RLEWELCGEY-E</v>
      </c>
      <c r="R504" t="str">
        <f>IFERROR(INDEX($AD$7:$AD$88,MATCH(mapPRC!C575,$AC$7:$AC$88,0)),"")</f>
        <v>hhd-le</v>
      </c>
    </row>
    <row r="505" spans="17:18" x14ac:dyDescent="0.25">
      <c r="Q505" t="str">
        <f>mapPRC!A576</f>
        <v>RLEWELCKET-E</v>
      </c>
      <c r="R505" t="str">
        <f>IFERROR(INDEX($AD$7:$AD$88,MATCH(mapPRC!C576,$AC$7:$AC$88,0)),"")</f>
        <v>hhd-le</v>
      </c>
    </row>
    <row r="506" spans="17:18" x14ac:dyDescent="0.25">
      <c r="Q506" t="str">
        <f>mapPRC!A577</f>
        <v>RLEWELCSWH-E</v>
      </c>
      <c r="R506" t="str">
        <f>IFERROR(INDEX($AD$7:$AD$88,MATCH(mapPRC!C577,$AC$7:$AC$88,0)),"")</f>
        <v>hhd-le</v>
      </c>
    </row>
    <row r="507" spans="17:18" x14ac:dyDescent="0.25">
      <c r="Q507" t="str">
        <f>mapPRC!A578</f>
        <v>RLEWOKEKETWI-E</v>
      </c>
      <c r="R507" t="str">
        <f>IFERROR(INDEX($AD$7:$AD$88,MATCH(mapPRC!C578,$AC$7:$AC$88,0)),"")</f>
        <v>hhd-le</v>
      </c>
    </row>
    <row r="508" spans="17:18" x14ac:dyDescent="0.25">
      <c r="Q508" t="str">
        <f>mapPRC!A579</f>
        <v>RLEWOLPKETLPG-E</v>
      </c>
      <c r="R508" t="str">
        <f>IFERROR(INDEX($AD$7:$AD$88,MATCH(mapPRC!C579,$AC$7:$AC$88,0)),"")</f>
        <v>hhd-le</v>
      </c>
    </row>
    <row r="509" spans="17:18" x14ac:dyDescent="0.25">
      <c r="Q509" t="str">
        <f>mapPRC!A580</f>
        <v>RLNHBIWOPEN-E</v>
      </c>
      <c r="R509" t="str">
        <f>IFERROR(INDEX($AD$7:$AD$88,MATCH(mapPRC!C580,$AC$7:$AC$88,0)),"")</f>
        <v>hhd-le</v>
      </c>
    </row>
    <row r="510" spans="17:18" x14ac:dyDescent="0.25">
      <c r="Q510" t="str">
        <f>mapPRC!A581</f>
        <v>RLNHCOABNM-E</v>
      </c>
      <c r="R510" t="str">
        <f>IFERROR(INDEX($AD$7:$AD$88,MATCH(mapPRC!C581,$AC$7:$AC$88,0)),"")</f>
        <v>hhd-le</v>
      </c>
    </row>
    <row r="511" spans="17:18" x14ac:dyDescent="0.25">
      <c r="Q511" t="str">
        <f>mapPRC!A582</f>
        <v>RLNHOKEHEAT-E</v>
      </c>
      <c r="R511" t="str">
        <f>IFERROR(INDEX($AD$7:$AD$88,MATCH(mapPRC!C582,$AC$7:$AC$88,0)),"")</f>
        <v>hhd-le</v>
      </c>
    </row>
    <row r="512" spans="17:18" x14ac:dyDescent="0.25">
      <c r="Q512" t="str">
        <f>mapPRC!A583</f>
        <v>RLNHOLPHET-E</v>
      </c>
      <c r="R512" t="str">
        <f>IFERROR(INDEX($AD$7:$AD$88,MATCH(mapPRC!C583,$AC$7:$AC$88,0)),"")</f>
        <v>hhd-le</v>
      </c>
    </row>
    <row r="513" spans="17:18" x14ac:dyDescent="0.25">
      <c r="Q513" t="str">
        <f>mapPRC!A584</f>
        <v>RLNKBIWBNM-E</v>
      </c>
      <c r="R513" t="str">
        <f>IFERROR(INDEX($AD$7:$AD$88,MATCH(mapPRC!C584,$AC$7:$AC$88,0)),"")</f>
        <v>hhd-le</v>
      </c>
    </row>
    <row r="514" spans="17:18" x14ac:dyDescent="0.25">
      <c r="Q514" t="str">
        <f>mapPRC!A585</f>
        <v>RLNKCOABNM-E</v>
      </c>
      <c r="R514" t="str">
        <f>IFERROR(INDEX($AD$7:$AD$88,MATCH(mapPRC!C585,$AC$7:$AC$88,0)),"")</f>
        <v>hhd-le</v>
      </c>
    </row>
    <row r="515" spans="17:18" x14ac:dyDescent="0.25">
      <c r="Q515" t="str">
        <f>mapPRC!A586</f>
        <v>RLNKOKEWICK-E</v>
      </c>
      <c r="R515" t="str">
        <f>IFERROR(INDEX($AD$7:$AD$88,MATCH(mapPRC!C586,$AC$7:$AC$88,0)),"")</f>
        <v>hhd-le</v>
      </c>
    </row>
    <row r="516" spans="17:18" x14ac:dyDescent="0.25">
      <c r="Q516" t="str">
        <f>mapPRC!A587</f>
        <v>RLNKOLPRING-E</v>
      </c>
      <c r="R516" t="str">
        <f>IFERROR(INDEX($AD$7:$AD$88,MATCH(mapPRC!C587,$AC$7:$AC$88,0)),"")</f>
        <v>hhd-le</v>
      </c>
    </row>
    <row r="517" spans="17:18" x14ac:dyDescent="0.25">
      <c r="Q517" t="str">
        <f>mapPRC!A588</f>
        <v>RLNLOKEWICK-E</v>
      </c>
      <c r="R517" t="str">
        <f>IFERROR(INDEX($AD$7:$AD$88,MATCH(mapPRC!C588,$AC$7:$AC$88,0)),"")</f>
        <v>hhd-le</v>
      </c>
    </row>
    <row r="518" spans="17:18" x14ac:dyDescent="0.25">
      <c r="Q518" t="str">
        <f>mapPRC!A589</f>
        <v>RLNNOKEOTH-E</v>
      </c>
      <c r="R518" t="str">
        <f>IFERROR(INDEX($AD$7:$AD$88,MATCH(mapPRC!C589,$AC$7:$AC$88,0)),"")</f>
        <v>hhd-le</v>
      </c>
    </row>
    <row r="519" spans="17:18" x14ac:dyDescent="0.25">
      <c r="Q519" t="str">
        <f>mapPRC!A590</f>
        <v>RLNWBIWKETBI-E</v>
      </c>
      <c r="R519" t="str">
        <f>IFERROR(INDEX($AD$7:$AD$88,MATCH(mapPRC!C590,$AC$7:$AC$88,0)),"")</f>
        <v>hhd-le</v>
      </c>
    </row>
    <row r="520" spans="17:18" x14ac:dyDescent="0.25">
      <c r="Q520" t="str">
        <f>mapPRC!A591</f>
        <v>RLNWCOABNM-E</v>
      </c>
      <c r="R520" t="str">
        <f>IFERROR(INDEX($AD$7:$AD$88,MATCH(mapPRC!C591,$AC$7:$AC$88,0)),"")</f>
        <v>hhd-le</v>
      </c>
    </row>
    <row r="521" spans="17:18" x14ac:dyDescent="0.25">
      <c r="Q521" t="str">
        <f>mapPRC!A592</f>
        <v>RLNWOKEKETWI-E</v>
      </c>
      <c r="R521" t="str">
        <f>IFERROR(INDEX($AD$7:$AD$88,MATCH(mapPRC!C592,$AC$7:$AC$88,0)),"")</f>
        <v>hhd-le</v>
      </c>
    </row>
    <row r="522" spans="17:18" x14ac:dyDescent="0.25">
      <c r="Q522" t="str">
        <f>mapPRC!A593</f>
        <v>RLNWOLPKETLPG-E</v>
      </c>
      <c r="R522" t="str">
        <f>IFERROR(INDEX($AD$7:$AD$88,MATCH(mapPRC!C593,$AC$7:$AC$88,0)),"")</f>
        <v>hhd-le</v>
      </c>
    </row>
    <row r="523" spans="17:18" x14ac:dyDescent="0.25">
      <c r="Q523" t="str">
        <f>mapPRC!A594</f>
        <v>RMEHBIWSTOV-E</v>
      </c>
      <c r="R523" t="str">
        <f>IFERROR(INDEX($AD$7:$AD$88,MATCH(mapPRC!C594,$AC$7:$AC$88,0)),"")</f>
        <v>hhd-me</v>
      </c>
    </row>
    <row r="524" spans="17:18" x14ac:dyDescent="0.25">
      <c r="Q524" t="str">
        <f>mapPRC!A595</f>
        <v>RMEHCOASTOV-E</v>
      </c>
      <c r="R524" t="str">
        <f>IFERROR(INDEX($AD$7:$AD$88,MATCH(mapPRC!C595,$AC$7:$AC$88,0)),"")</f>
        <v>hhd-me</v>
      </c>
    </row>
    <row r="525" spans="17:18" x14ac:dyDescent="0.25">
      <c r="Q525" t="str">
        <f>mapPRC!A596</f>
        <v>RMEHELCHEATFIN-E</v>
      </c>
      <c r="R525" t="str">
        <f>IFERROR(INDEX($AD$7:$AD$88,MATCH(mapPRC!C596,$AC$7:$AC$88,0)),"")</f>
        <v>hhd-me</v>
      </c>
    </row>
    <row r="526" spans="17:18" x14ac:dyDescent="0.25">
      <c r="Q526" t="str">
        <f>mapPRC!A597</f>
        <v>RMEHGASHEAT-N</v>
      </c>
      <c r="R526" t="str">
        <f>IFERROR(INDEX($AD$7:$AD$88,MATCH(mapPRC!C597,$AC$7:$AC$88,0)),"")</f>
        <v>hhd-me</v>
      </c>
    </row>
    <row r="527" spans="17:18" x14ac:dyDescent="0.25">
      <c r="Q527" t="str">
        <f>mapPRC!A598</f>
        <v>RMEHOKEHEAT-E</v>
      </c>
      <c r="R527" t="str">
        <f>IFERROR(INDEX($AD$7:$AD$88,MATCH(mapPRC!C598,$AC$7:$AC$88,0)),"")</f>
        <v>hhd-me</v>
      </c>
    </row>
    <row r="528" spans="17:18" x14ac:dyDescent="0.25">
      <c r="Q528" t="str">
        <f>mapPRC!A599</f>
        <v>RMEHOLPHEAT-E</v>
      </c>
      <c r="R528" t="str">
        <f>IFERROR(INDEX($AD$7:$AD$88,MATCH(mapPRC!C599,$AC$7:$AC$88,0)),"")</f>
        <v>hhd-me</v>
      </c>
    </row>
    <row r="529" spans="17:18" x14ac:dyDescent="0.25">
      <c r="Q529" t="str">
        <f>mapPRC!A600</f>
        <v>RMEKBIWSTOV-E</v>
      </c>
      <c r="R529" t="str">
        <f>IFERROR(INDEX($AD$7:$AD$88,MATCH(mapPRC!C600,$AC$7:$AC$88,0)),"")</f>
        <v>hhd-me</v>
      </c>
    </row>
    <row r="530" spans="17:18" x14ac:dyDescent="0.25">
      <c r="Q530" t="str">
        <f>mapPRC!A601</f>
        <v>RMEKCOABNM-E</v>
      </c>
      <c r="R530" t="str">
        <f>IFERROR(INDEX($AD$7:$AD$88,MATCH(mapPRC!C601,$AC$7:$AC$88,0)),"")</f>
        <v>hhd-me</v>
      </c>
    </row>
    <row r="531" spans="17:18" x14ac:dyDescent="0.25">
      <c r="Q531" t="str">
        <f>mapPRC!A602</f>
        <v>RMEKELCSTOV-E</v>
      </c>
      <c r="R531" t="str">
        <f>IFERROR(INDEX($AD$7:$AD$88,MATCH(mapPRC!C602,$AC$7:$AC$88,0)),"")</f>
        <v>hhd-me</v>
      </c>
    </row>
    <row r="532" spans="17:18" x14ac:dyDescent="0.25">
      <c r="Q532" t="str">
        <f>mapPRC!A603</f>
        <v>RMEKGASSTOV-E</v>
      </c>
      <c r="R532" t="str">
        <f>IFERROR(INDEX($AD$7:$AD$88,MATCH(mapPRC!C603,$AC$7:$AC$88,0)),"")</f>
        <v>hhd-me</v>
      </c>
    </row>
    <row r="533" spans="17:18" x14ac:dyDescent="0.25">
      <c r="Q533" t="str">
        <f>mapPRC!A604</f>
        <v>RMEKOKEWICK-E</v>
      </c>
      <c r="R533" t="str">
        <f>IFERROR(INDEX($AD$7:$AD$88,MATCH(mapPRC!C604,$AC$7:$AC$88,0)),"")</f>
        <v>hhd-me</v>
      </c>
    </row>
    <row r="534" spans="17:18" x14ac:dyDescent="0.25">
      <c r="Q534" t="str">
        <f>mapPRC!A605</f>
        <v>RMEKOLPSTOV-E</v>
      </c>
      <c r="R534" t="str">
        <f>IFERROR(INDEX($AD$7:$AD$88,MATCH(mapPRC!C605,$AC$7:$AC$88,0)),"")</f>
        <v>hhd-me</v>
      </c>
    </row>
    <row r="535" spans="17:18" x14ac:dyDescent="0.25">
      <c r="Q535" t="str">
        <f>mapPRC!A606</f>
        <v>RMELELCINC-E</v>
      </c>
      <c r="R535" t="str">
        <f>IFERROR(INDEX($AD$7:$AD$88,MATCH(mapPRC!C606,$AC$7:$AC$88,0)),"")</f>
        <v>hhd-me</v>
      </c>
    </row>
    <row r="536" spans="17:18" x14ac:dyDescent="0.25">
      <c r="Q536" t="str">
        <f>mapPRC!A607</f>
        <v>RMENOKEOTH-E</v>
      </c>
      <c r="R536" t="str">
        <f>IFERROR(INDEX($AD$7:$AD$88,MATCH(mapPRC!C607,$AC$7:$AC$88,0)),"")</f>
        <v>hhd-me</v>
      </c>
    </row>
    <row r="537" spans="17:18" x14ac:dyDescent="0.25">
      <c r="Q537" t="str">
        <f>mapPRC!A608</f>
        <v>RMEOELCOTH-E</v>
      </c>
      <c r="R537" t="str">
        <f>IFERROR(INDEX($AD$7:$AD$88,MATCH(mapPRC!C608,$AC$7:$AC$88,0)),"")</f>
        <v>hhd-me</v>
      </c>
    </row>
    <row r="538" spans="17:18" x14ac:dyDescent="0.25">
      <c r="Q538" t="str">
        <f>mapPRC!A609</f>
        <v>RMERELCREF-E</v>
      </c>
      <c r="R538" t="str">
        <f>IFERROR(INDEX($AD$7:$AD$88,MATCH(mapPRC!C609,$AC$7:$AC$88,0)),"")</f>
        <v>hhd-me</v>
      </c>
    </row>
    <row r="539" spans="17:18" x14ac:dyDescent="0.25">
      <c r="Q539" t="str">
        <f>mapPRC!A610</f>
        <v>RMEWBIWKETBI-E</v>
      </c>
      <c r="R539" t="str">
        <f>IFERROR(INDEX($AD$7:$AD$88,MATCH(mapPRC!C610,$AC$7:$AC$88,0)),"")</f>
        <v>hhd-me</v>
      </c>
    </row>
    <row r="540" spans="17:18" x14ac:dyDescent="0.25">
      <c r="Q540" t="str">
        <f>mapPRC!A611</f>
        <v>RMEWCOASTOV-E</v>
      </c>
      <c r="R540" t="str">
        <f>IFERROR(INDEX($AD$7:$AD$88,MATCH(mapPRC!C611,$AC$7:$AC$88,0)),"")</f>
        <v>hhd-me</v>
      </c>
    </row>
    <row r="541" spans="17:18" x14ac:dyDescent="0.25">
      <c r="Q541" t="str">
        <f>mapPRC!A612</f>
        <v>RMEWELCCHP-N</v>
      </c>
      <c r="R541" t="str">
        <f>IFERROR(INDEX($AD$7:$AD$88,MATCH(mapPRC!C612,$AC$7:$AC$88,0)),"")</f>
        <v>hhd-me</v>
      </c>
    </row>
    <row r="542" spans="17:18" x14ac:dyDescent="0.25">
      <c r="Q542" t="str">
        <f>mapPRC!A613</f>
        <v>RMEWELCGEY-E</v>
      </c>
      <c r="R542" t="str">
        <f>IFERROR(INDEX($AD$7:$AD$88,MATCH(mapPRC!C613,$AC$7:$AC$88,0)),"")</f>
        <v>hhd-me</v>
      </c>
    </row>
    <row r="543" spans="17:18" x14ac:dyDescent="0.25">
      <c r="Q543" t="str">
        <f>mapPRC!A614</f>
        <v>RMEWELCKET-E</v>
      </c>
      <c r="R543" t="str">
        <f>IFERROR(INDEX($AD$7:$AD$88,MATCH(mapPRC!C614,$AC$7:$AC$88,0)),"")</f>
        <v>hhd-me</v>
      </c>
    </row>
    <row r="544" spans="17:18" x14ac:dyDescent="0.25">
      <c r="Q544" t="str">
        <f>mapPRC!A615</f>
        <v>RMEWELCSWH-E</v>
      </c>
      <c r="R544" t="str">
        <f>IFERROR(INDEX($AD$7:$AD$88,MATCH(mapPRC!C615,$AC$7:$AC$88,0)),"")</f>
        <v>hhd-me</v>
      </c>
    </row>
    <row r="545" spans="17:18" x14ac:dyDescent="0.25">
      <c r="Q545" t="str">
        <f>mapPRC!A616</f>
        <v>RMEWGASGEY-N</v>
      </c>
      <c r="R545" t="str">
        <f>IFERROR(INDEX($AD$7:$AD$88,MATCH(mapPRC!C616,$AC$7:$AC$88,0)),"")</f>
        <v>hhd-me</v>
      </c>
    </row>
    <row r="546" spans="17:18" x14ac:dyDescent="0.25">
      <c r="Q546" t="str">
        <f>mapPRC!A617</f>
        <v>RMEWOKEKETPR-E</v>
      </c>
      <c r="R546" t="str">
        <f>IFERROR(INDEX($AD$7:$AD$88,MATCH(mapPRC!C617,$AC$7:$AC$88,0)),"")</f>
        <v>hhd-me</v>
      </c>
    </row>
    <row r="547" spans="17:18" x14ac:dyDescent="0.25">
      <c r="Q547" t="str">
        <f>mapPRC!A618</f>
        <v>RMEWOLPKETLPG-E</v>
      </c>
      <c r="R547" t="str">
        <f>IFERROR(INDEX($AD$7:$AD$88,MATCH(mapPRC!C618,$AC$7:$AC$88,0)),"")</f>
        <v>hhd-me</v>
      </c>
    </row>
    <row r="548" spans="17:18" x14ac:dyDescent="0.25">
      <c r="Q548" t="str">
        <f>mapPRC!A619</f>
        <v>RMNHBIWOPEN-E</v>
      </c>
      <c r="R548" t="str">
        <f>IFERROR(INDEX($AD$7:$AD$88,MATCH(mapPRC!C619,$AC$7:$AC$88,0)),"")</f>
        <v>hhd-me</v>
      </c>
    </row>
    <row r="549" spans="17:18" x14ac:dyDescent="0.25">
      <c r="Q549" t="str">
        <f>mapPRC!A620</f>
        <v>RMNHCOABNM-E</v>
      </c>
      <c r="R549" t="str">
        <f>IFERROR(INDEX($AD$7:$AD$88,MATCH(mapPRC!C620,$AC$7:$AC$88,0)),"")</f>
        <v>hhd-me</v>
      </c>
    </row>
    <row r="550" spans="17:18" x14ac:dyDescent="0.25">
      <c r="Q550" t="str">
        <f>mapPRC!A621</f>
        <v>RMNHGASHET-N</v>
      </c>
      <c r="R550" t="str">
        <f>IFERROR(INDEX($AD$7:$AD$88,MATCH(mapPRC!C621,$AC$7:$AC$88,0)),"")</f>
        <v>hhd-me</v>
      </c>
    </row>
    <row r="551" spans="17:18" x14ac:dyDescent="0.25">
      <c r="Q551" t="str">
        <f>mapPRC!A622</f>
        <v>RMNHOKEHEAT-E</v>
      </c>
      <c r="R551" t="str">
        <f>IFERROR(INDEX($AD$7:$AD$88,MATCH(mapPRC!C622,$AC$7:$AC$88,0)),"")</f>
        <v>hhd-me</v>
      </c>
    </row>
    <row r="552" spans="17:18" x14ac:dyDescent="0.25">
      <c r="Q552" t="str">
        <f>mapPRC!A623</f>
        <v>RMNHOLPHET-E</v>
      </c>
      <c r="R552" t="str">
        <f>IFERROR(INDEX($AD$7:$AD$88,MATCH(mapPRC!C623,$AC$7:$AC$88,0)),"")</f>
        <v>hhd-me</v>
      </c>
    </row>
    <row r="553" spans="17:18" x14ac:dyDescent="0.25">
      <c r="Q553" t="str">
        <f>mapPRC!A624</f>
        <v>RMNKBIWBNM-E</v>
      </c>
      <c r="R553" t="str">
        <f>IFERROR(INDEX($AD$7:$AD$88,MATCH(mapPRC!C624,$AC$7:$AC$88,0)),"")</f>
        <v>hhd-me</v>
      </c>
    </row>
    <row r="554" spans="17:18" x14ac:dyDescent="0.25">
      <c r="Q554" t="str">
        <f>mapPRC!A625</f>
        <v>RMNKCOABNM-E</v>
      </c>
      <c r="R554" t="str">
        <f>IFERROR(INDEX($AD$7:$AD$88,MATCH(mapPRC!C625,$AC$7:$AC$88,0)),"")</f>
        <v>hhd-me</v>
      </c>
    </row>
    <row r="555" spans="17:18" x14ac:dyDescent="0.25">
      <c r="Q555" t="str">
        <f>mapPRC!A626</f>
        <v>RMNKGASSTOV-N</v>
      </c>
      <c r="R555" t="str">
        <f>IFERROR(INDEX($AD$7:$AD$88,MATCH(mapPRC!C626,$AC$7:$AC$88,0)),"")</f>
        <v>hhd-me</v>
      </c>
    </row>
    <row r="556" spans="17:18" x14ac:dyDescent="0.25">
      <c r="Q556" t="str">
        <f>mapPRC!A627</f>
        <v>RMNKOKEWICK-E</v>
      </c>
      <c r="R556" t="str">
        <f>IFERROR(INDEX($AD$7:$AD$88,MATCH(mapPRC!C627,$AC$7:$AC$88,0)),"")</f>
        <v>hhd-me</v>
      </c>
    </row>
    <row r="557" spans="17:18" x14ac:dyDescent="0.25">
      <c r="Q557" t="str">
        <f>mapPRC!A628</f>
        <v>RMNKOLPRING-E</v>
      </c>
      <c r="R557" t="str">
        <f>IFERROR(INDEX($AD$7:$AD$88,MATCH(mapPRC!C628,$AC$7:$AC$88,0)),"")</f>
        <v>hhd-me</v>
      </c>
    </row>
    <row r="558" spans="17:18" x14ac:dyDescent="0.25">
      <c r="Q558" t="str">
        <f>mapPRC!A629</f>
        <v>RMNLOKEWICK-E</v>
      </c>
      <c r="R558" t="str">
        <f>IFERROR(INDEX($AD$7:$AD$88,MATCH(mapPRC!C629,$AC$7:$AC$88,0)),"")</f>
        <v>hhd-me</v>
      </c>
    </row>
    <row r="559" spans="17:18" x14ac:dyDescent="0.25">
      <c r="Q559" t="str">
        <f>mapPRC!A630</f>
        <v>RMNNOKEOTH-E</v>
      </c>
      <c r="R559" t="str">
        <f>IFERROR(INDEX($AD$7:$AD$88,MATCH(mapPRC!C630,$AC$7:$AC$88,0)),"")</f>
        <v>hhd-me</v>
      </c>
    </row>
    <row r="560" spans="17:18" x14ac:dyDescent="0.25">
      <c r="Q560" t="str">
        <f>mapPRC!A631</f>
        <v>RMNWBIWKETBI-E</v>
      </c>
      <c r="R560" t="str">
        <f>IFERROR(INDEX($AD$7:$AD$88,MATCH(mapPRC!C631,$AC$7:$AC$88,0)),"")</f>
        <v>hhd-me</v>
      </c>
    </row>
    <row r="561" spans="17:18" x14ac:dyDescent="0.25">
      <c r="Q561" t="str">
        <f>mapPRC!A632</f>
        <v>RMNWCOAKETCOA-E</v>
      </c>
      <c r="R561" t="str">
        <f>IFERROR(INDEX($AD$7:$AD$88,MATCH(mapPRC!C632,$AC$7:$AC$88,0)),"")</f>
        <v>hhd-me</v>
      </c>
    </row>
    <row r="562" spans="17:18" x14ac:dyDescent="0.25">
      <c r="Q562" t="str">
        <f>mapPRC!A633</f>
        <v>RMNWGASGEY-N</v>
      </c>
      <c r="R562" t="str">
        <f>IFERROR(INDEX($AD$7:$AD$88,MATCH(mapPRC!C633,$AC$7:$AC$88,0)),"")</f>
        <v>hhd-me</v>
      </c>
    </row>
    <row r="563" spans="17:18" x14ac:dyDescent="0.25">
      <c r="Q563" t="str">
        <f>mapPRC!A634</f>
        <v>RMNWOKEKETWI-E</v>
      </c>
      <c r="R563" t="str">
        <f>IFERROR(INDEX($AD$7:$AD$88,MATCH(mapPRC!C634,$AC$7:$AC$88,0)),"")</f>
        <v>hhd-me</v>
      </c>
    </row>
    <row r="564" spans="17:18" x14ac:dyDescent="0.25">
      <c r="Q564" t="str">
        <f>mapPRC!A635</f>
        <v>RMNWOLPKETLPG-E</v>
      </c>
      <c r="R564" t="str">
        <f>IFERROR(INDEX($AD$7:$AD$88,MATCH(mapPRC!C635,$AC$7:$AC$88,0)),"")</f>
        <v>hhd-me</v>
      </c>
    </row>
    <row r="565" spans="17:18" x14ac:dyDescent="0.25">
      <c r="Q565" t="str">
        <f>mapPRC!A636</f>
        <v>TADJETOKE-E</v>
      </c>
      <c r="R565" t="str">
        <f>IFERROR(INDEX($AD$7:$AD$88,MATCH(mapPRC!C636,$AC$7:$AC$88,0)),"")</f>
        <v/>
      </c>
    </row>
    <row r="566" spans="17:18" x14ac:dyDescent="0.25">
      <c r="Q566" t="str">
        <f>mapPRC!A637</f>
        <v>TADJETOKE-N</v>
      </c>
      <c r="R566" t="str">
        <f>IFERROR(INDEX($AD$7:$AD$88,MATCH(mapPRC!C637,$AC$7:$AC$88,0)),"")</f>
        <v/>
      </c>
    </row>
    <row r="567" spans="17:18" x14ac:dyDescent="0.25">
      <c r="Q567" t="str">
        <f>mapPRC!A638</f>
        <v>TAIJETOKE-E</v>
      </c>
      <c r="R567" t="str">
        <f>IFERROR(INDEX($AD$7:$AD$88,MATCH(mapPRC!C638,$AC$7:$AC$88,0)),"")</f>
        <v/>
      </c>
    </row>
    <row r="568" spans="17:18" x14ac:dyDescent="0.25">
      <c r="Q568" t="str">
        <f>mapPRC!A639</f>
        <v>TAIJETOKE-N</v>
      </c>
      <c r="R568" t="str">
        <f>IFERROR(INDEX($AD$7:$AD$88,MATCH(mapPRC!C639,$AC$7:$AC$88,0)),"")</f>
        <v/>
      </c>
    </row>
    <row r="569" spans="17:18" x14ac:dyDescent="0.25">
      <c r="Q569" t="str">
        <f>mapPRC!A640</f>
        <v>TAJETOKE-E</v>
      </c>
      <c r="R569" t="str">
        <f>IFERROR(INDEX($AD$7:$AD$88,MATCH(mapPRC!C640,$AC$7:$AC$88,0)),"")</f>
        <v/>
      </c>
    </row>
    <row r="570" spans="17:18" x14ac:dyDescent="0.25">
      <c r="Q570" t="str">
        <f>mapPRC!A641</f>
        <v>TAJETOKE-N</v>
      </c>
      <c r="R570" t="str">
        <f>IFERROR(INDEX($AD$7:$AD$88,MATCH(mapPRC!C641,$AC$7:$AC$88,0)),"")</f>
        <v/>
      </c>
    </row>
    <row r="571" spans="17:18" x14ac:dyDescent="0.25">
      <c r="Q571" t="str">
        <f>mapPRC!A642</f>
        <v>TAOAGOAG-E</v>
      </c>
      <c r="R571" t="str">
        <f>IFERROR(INDEX($AD$7:$AD$88,MATCH(mapPRC!C642,$AC$7:$AC$88,0)),"")</f>
        <v/>
      </c>
    </row>
    <row r="572" spans="17:18" x14ac:dyDescent="0.25">
      <c r="Q572" t="str">
        <f>mapPRC!A643</f>
        <v>TAOAGOAG-N</v>
      </c>
      <c r="R572" t="str">
        <f>IFERROR(INDEX($AD$7:$AD$88,MATCH(mapPRC!C643,$AC$7:$AC$88,0)),"")</f>
        <v/>
      </c>
    </row>
    <row r="573" spans="17:18" x14ac:dyDescent="0.25">
      <c r="Q573" t="str">
        <f>mapPRC!A644</f>
        <v>TFHCV1ELC-N</v>
      </c>
      <c r="R573" t="str">
        <f>IFERROR(INDEX($AD$7:$AD$88,MATCH(mapPRC!C644,$AC$7:$AC$88,0)),"")</f>
        <v>tranlf</v>
      </c>
    </row>
    <row r="574" spans="17:18" x14ac:dyDescent="0.25">
      <c r="Q574" t="str">
        <f>mapPRC!A645</f>
        <v>TFHCV1GAS-N</v>
      </c>
      <c r="R574" t="str">
        <f>IFERROR(INDEX($AD$7:$AD$88,MATCH(mapPRC!C645,$AC$7:$AC$88,0)),"")</f>
        <v>tranlf</v>
      </c>
    </row>
    <row r="575" spans="17:18" x14ac:dyDescent="0.25">
      <c r="Q575" t="str">
        <f>mapPRC!A646</f>
        <v>TFHCV1ODS-E</v>
      </c>
      <c r="R575" t="str">
        <f>IFERROR(INDEX($AD$7:$AD$88,MATCH(mapPRC!C646,$AC$7:$AC$88,0)),"")</f>
        <v>tranlf</v>
      </c>
    </row>
    <row r="576" spans="17:18" x14ac:dyDescent="0.25">
      <c r="Q576" t="str">
        <f>mapPRC!A647</f>
        <v>TFHCV1ODS-N</v>
      </c>
      <c r="R576" t="str">
        <f>IFERROR(INDEX($AD$7:$AD$88,MATCH(mapPRC!C647,$AC$7:$AC$88,0)),"")</f>
        <v>tranlf</v>
      </c>
    </row>
    <row r="577" spans="17:18" x14ac:dyDescent="0.25">
      <c r="Q577" t="str">
        <f>mapPRC!A648</f>
        <v>TFHCV1OGS-E</v>
      </c>
      <c r="R577" t="str">
        <f>IFERROR(INDEX($AD$7:$AD$88,MATCH(mapPRC!C648,$AC$7:$AC$88,0)),"")</f>
        <v>tranlf</v>
      </c>
    </row>
    <row r="578" spans="17:18" x14ac:dyDescent="0.25">
      <c r="Q578" t="str">
        <f>mapPRC!A649</f>
        <v>TFHCV1OGS-N</v>
      </c>
      <c r="R578" t="str">
        <f>IFERROR(INDEX($AD$7:$AD$88,MATCH(mapPRC!C649,$AC$7:$AC$88,0)),"")</f>
        <v>tranlf</v>
      </c>
    </row>
    <row r="579" spans="17:18" x14ac:dyDescent="0.25">
      <c r="Q579" t="str">
        <f>mapPRC!A650</f>
        <v>TFHCV2ELC-N</v>
      </c>
      <c r="R579" t="str">
        <f>IFERROR(INDEX($AD$7:$AD$88,MATCH(mapPRC!C650,$AC$7:$AC$88,0)),"")</f>
        <v>tranlf</v>
      </c>
    </row>
    <row r="580" spans="17:18" x14ac:dyDescent="0.25">
      <c r="Q580" t="str">
        <f>mapPRC!A651</f>
        <v>TFHCV2GAS-N</v>
      </c>
      <c r="R580" t="str">
        <f>IFERROR(INDEX($AD$7:$AD$88,MATCH(mapPRC!C651,$AC$7:$AC$88,0)),"")</f>
        <v>tranlf</v>
      </c>
    </row>
    <row r="581" spans="17:18" x14ac:dyDescent="0.25">
      <c r="Q581" t="str">
        <f>mapPRC!A652</f>
        <v>TFHCV2HGN-N</v>
      </c>
      <c r="R581" t="str">
        <f>IFERROR(INDEX($AD$7:$AD$88,MATCH(mapPRC!C652,$AC$7:$AC$88,0)),"")</f>
        <v>tranlf</v>
      </c>
    </row>
    <row r="582" spans="17:18" x14ac:dyDescent="0.25">
      <c r="Q582" t="str">
        <f>mapPRC!A653</f>
        <v>TFHCV2ODS-E</v>
      </c>
      <c r="R582" t="str">
        <f>IFERROR(INDEX($AD$7:$AD$88,MATCH(mapPRC!C653,$AC$7:$AC$88,0)),"")</f>
        <v>tranlf</v>
      </c>
    </row>
    <row r="583" spans="17:18" x14ac:dyDescent="0.25">
      <c r="Q583" t="str">
        <f>mapPRC!A654</f>
        <v>TFHCV2ODS-N</v>
      </c>
      <c r="R583" t="str">
        <f>IFERROR(INDEX($AD$7:$AD$88,MATCH(mapPRC!C654,$AC$7:$AC$88,0)),"")</f>
        <v>tranlf</v>
      </c>
    </row>
    <row r="584" spans="17:18" x14ac:dyDescent="0.25">
      <c r="Q584" t="str">
        <f>mapPRC!A655</f>
        <v>TFHCV3ELC-N</v>
      </c>
      <c r="R584" t="str">
        <f>IFERROR(INDEX($AD$7:$AD$88,MATCH(mapPRC!C655,$AC$7:$AC$88,0)),"")</f>
        <v>tranlf</v>
      </c>
    </row>
    <row r="585" spans="17:18" x14ac:dyDescent="0.25">
      <c r="Q585" t="str">
        <f>mapPRC!A656</f>
        <v>TFHCV3GAS-N</v>
      </c>
      <c r="R585" t="str">
        <f>IFERROR(INDEX($AD$7:$AD$88,MATCH(mapPRC!C656,$AC$7:$AC$88,0)),"")</f>
        <v>tranlf</v>
      </c>
    </row>
    <row r="586" spans="17:18" x14ac:dyDescent="0.25">
      <c r="Q586" t="str">
        <f>mapPRC!A657</f>
        <v>TFHCV3HGN-N</v>
      </c>
      <c r="R586" t="str">
        <f>IFERROR(INDEX($AD$7:$AD$88,MATCH(mapPRC!C657,$AC$7:$AC$88,0)),"")</f>
        <v>tranlf</v>
      </c>
    </row>
    <row r="587" spans="17:18" x14ac:dyDescent="0.25">
      <c r="Q587" t="str">
        <f>mapPRC!A658</f>
        <v>TFHCV3ODS-E</v>
      </c>
      <c r="R587" t="str">
        <f>IFERROR(INDEX($AD$7:$AD$88,MATCH(mapPRC!C658,$AC$7:$AC$88,0)),"")</f>
        <v>tranlf</v>
      </c>
    </row>
    <row r="588" spans="17:18" x14ac:dyDescent="0.25">
      <c r="Q588" t="str">
        <f>mapPRC!A659</f>
        <v>TFHCV3ODS-N</v>
      </c>
      <c r="R588" t="str">
        <f>IFERROR(INDEX($AD$7:$AD$88,MATCH(mapPRC!C659,$AC$7:$AC$88,0)),"")</f>
        <v>tranlf</v>
      </c>
    </row>
    <row r="589" spans="17:18" x14ac:dyDescent="0.25">
      <c r="Q589" t="str">
        <f>mapPRC!A660</f>
        <v>TFHCV4GAS-N</v>
      </c>
      <c r="R589" t="str">
        <f>IFERROR(INDEX($AD$7:$AD$88,MATCH(mapPRC!C660,$AC$7:$AC$88,0)),"")</f>
        <v>tranlf</v>
      </c>
    </row>
    <row r="590" spans="17:18" x14ac:dyDescent="0.25">
      <c r="Q590" t="str">
        <f>mapPRC!A661</f>
        <v>TFHCV4HGN-N</v>
      </c>
      <c r="R590" t="str">
        <f>IFERROR(INDEX($AD$7:$AD$88,MATCH(mapPRC!C661,$AC$7:$AC$88,0)),"")</f>
        <v>tranlf</v>
      </c>
    </row>
    <row r="591" spans="17:18" x14ac:dyDescent="0.25">
      <c r="Q591" t="str">
        <f>mapPRC!A662</f>
        <v>TFHCV4ODS-E</v>
      </c>
      <c r="R591" t="str">
        <f>IFERROR(INDEX($AD$7:$AD$88,MATCH(mapPRC!C662,$AC$7:$AC$88,0)),"")</f>
        <v>tranlf</v>
      </c>
    </row>
    <row r="592" spans="17:18" x14ac:dyDescent="0.25">
      <c r="Q592" t="str">
        <f>mapPRC!A663</f>
        <v>TFHCV4ODS-N</v>
      </c>
      <c r="R592" t="str">
        <f>IFERROR(INDEX($AD$7:$AD$88,MATCH(mapPRC!C663,$AC$7:$AC$88,0)),"")</f>
        <v>tranlf</v>
      </c>
    </row>
    <row r="593" spans="17:18" x14ac:dyDescent="0.25">
      <c r="Q593" t="str">
        <f>mapPRC!A664</f>
        <v>TFHCV5GAS-N</v>
      </c>
      <c r="R593" t="str">
        <f>IFERROR(INDEX($AD$7:$AD$88,MATCH(mapPRC!C664,$AC$7:$AC$88,0)),"")</f>
        <v>tranlf</v>
      </c>
    </row>
    <row r="594" spans="17:18" x14ac:dyDescent="0.25">
      <c r="Q594" t="str">
        <f>mapPRC!A665</f>
        <v>TFHCV5HGN-N</v>
      </c>
      <c r="R594" t="str">
        <f>IFERROR(INDEX($AD$7:$AD$88,MATCH(mapPRC!C665,$AC$7:$AC$88,0)),"")</f>
        <v>tranlf</v>
      </c>
    </row>
    <row r="595" spans="17:18" x14ac:dyDescent="0.25">
      <c r="Q595" t="str">
        <f>mapPRC!A666</f>
        <v>TFHCV5ODS-E</v>
      </c>
      <c r="R595" t="str">
        <f>IFERROR(INDEX($AD$7:$AD$88,MATCH(mapPRC!C666,$AC$7:$AC$88,0)),"")</f>
        <v>tranlf</v>
      </c>
    </row>
    <row r="596" spans="17:18" x14ac:dyDescent="0.25">
      <c r="Q596" t="str">
        <f>mapPRC!A667</f>
        <v>TFHCV5ODS-N</v>
      </c>
      <c r="R596" t="str">
        <f>IFERROR(INDEX($AD$7:$AD$88,MATCH(mapPRC!C667,$AC$7:$AC$88,0)),"")</f>
        <v>tranlf</v>
      </c>
    </row>
    <row r="597" spans="17:18" x14ac:dyDescent="0.25">
      <c r="Q597" t="str">
        <f>mapPRC!A668</f>
        <v>TFHCV6GAS-N</v>
      </c>
      <c r="R597" t="str">
        <f>IFERROR(INDEX($AD$7:$AD$88,MATCH(mapPRC!C668,$AC$7:$AC$88,0)),"")</f>
        <v>tranlf</v>
      </c>
    </row>
    <row r="598" spans="17:18" x14ac:dyDescent="0.25">
      <c r="Q598" t="str">
        <f>mapPRC!A669</f>
        <v>TFHCV6HGN-N</v>
      </c>
      <c r="R598" t="str">
        <f>IFERROR(INDEX($AD$7:$AD$88,MATCH(mapPRC!C669,$AC$7:$AC$88,0)),"")</f>
        <v>tranlf</v>
      </c>
    </row>
    <row r="599" spans="17:18" x14ac:dyDescent="0.25">
      <c r="Q599" t="str">
        <f>mapPRC!A670</f>
        <v>TFHCV6ODS-E</v>
      </c>
      <c r="R599" t="str">
        <f>IFERROR(INDEX($AD$7:$AD$88,MATCH(mapPRC!C670,$AC$7:$AC$88,0)),"")</f>
        <v>tranlf</v>
      </c>
    </row>
    <row r="600" spans="17:18" x14ac:dyDescent="0.25">
      <c r="Q600" t="str">
        <f>mapPRC!A671</f>
        <v>TFHCV6ODS-N</v>
      </c>
      <c r="R600" t="str">
        <f>IFERROR(INDEX($AD$7:$AD$88,MATCH(mapPRC!C671,$AC$7:$AC$88,0)),"")</f>
        <v>tranlf</v>
      </c>
    </row>
    <row r="601" spans="17:18" x14ac:dyDescent="0.25">
      <c r="Q601" t="str">
        <f>mapPRC!A672</f>
        <v>TFHCV7GAS-N</v>
      </c>
      <c r="R601" t="str">
        <f>IFERROR(INDEX($AD$7:$AD$88,MATCH(mapPRC!C672,$AC$7:$AC$88,0)),"")</f>
        <v>tranlf</v>
      </c>
    </row>
    <row r="602" spans="17:18" x14ac:dyDescent="0.25">
      <c r="Q602" t="str">
        <f>mapPRC!A673</f>
        <v>TFHCV7HGN-N</v>
      </c>
      <c r="R602" t="str">
        <f>IFERROR(INDEX($AD$7:$AD$88,MATCH(mapPRC!C673,$AC$7:$AC$88,0)),"")</f>
        <v>tranlf</v>
      </c>
    </row>
    <row r="603" spans="17:18" x14ac:dyDescent="0.25">
      <c r="Q603" t="str">
        <f>mapPRC!A674</f>
        <v>TFHCV7ODS-E</v>
      </c>
      <c r="R603" t="str">
        <f>IFERROR(INDEX($AD$7:$AD$88,MATCH(mapPRC!C674,$AC$7:$AC$88,0)),"")</f>
        <v>tranlf</v>
      </c>
    </row>
    <row r="604" spans="17:18" x14ac:dyDescent="0.25">
      <c r="Q604" t="str">
        <f>mapPRC!A675</f>
        <v>TFHCV7ODS-N</v>
      </c>
      <c r="R604" t="str">
        <f>IFERROR(INDEX($AD$7:$AD$88,MATCH(mapPRC!C675,$AC$7:$AC$88,0)),"")</f>
        <v>tranlf</v>
      </c>
    </row>
    <row r="605" spans="17:18" x14ac:dyDescent="0.25">
      <c r="Q605" t="str">
        <f>mapPRC!A676</f>
        <v>TFHCV8GAS-N</v>
      </c>
      <c r="R605" t="str">
        <f>IFERROR(INDEX($AD$7:$AD$88,MATCH(mapPRC!C676,$AC$7:$AC$88,0)),"")</f>
        <v>tranlf</v>
      </c>
    </row>
    <row r="606" spans="17:18" x14ac:dyDescent="0.25">
      <c r="Q606" t="str">
        <f>mapPRC!A677</f>
        <v>TFHCV8HGN-N</v>
      </c>
      <c r="R606" t="str">
        <f>IFERROR(INDEX($AD$7:$AD$88,MATCH(mapPRC!C677,$AC$7:$AC$88,0)),"")</f>
        <v>tranlf</v>
      </c>
    </row>
    <row r="607" spans="17:18" x14ac:dyDescent="0.25">
      <c r="Q607" t="str">
        <f>mapPRC!A678</f>
        <v>TFHCV8ODS-E</v>
      </c>
      <c r="R607" t="str">
        <f>IFERROR(INDEX($AD$7:$AD$88,MATCH(mapPRC!C678,$AC$7:$AC$88,0)),"")</f>
        <v>tranlf</v>
      </c>
    </row>
    <row r="608" spans="17:18" x14ac:dyDescent="0.25">
      <c r="Q608" t="str">
        <f>mapPRC!A679</f>
        <v>TFHCV8ODS-N</v>
      </c>
      <c r="R608" t="str">
        <f>IFERROR(INDEX($AD$7:$AD$88,MATCH(mapPRC!C679,$AC$7:$AC$88,0)),"")</f>
        <v>tranlf</v>
      </c>
    </row>
    <row r="609" spans="17:18" x14ac:dyDescent="0.25">
      <c r="Q609" t="str">
        <f>mapPRC!A680</f>
        <v>TFHCV9GAS-N</v>
      </c>
      <c r="R609" t="str">
        <f>IFERROR(INDEX($AD$7:$AD$88,MATCH(mapPRC!C680,$AC$7:$AC$88,0)),"")</f>
        <v>tranlf</v>
      </c>
    </row>
    <row r="610" spans="17:18" x14ac:dyDescent="0.25">
      <c r="Q610" t="str">
        <f>mapPRC!A681</f>
        <v>TFHCV9HGN-N</v>
      </c>
      <c r="R610" t="str">
        <f>IFERROR(INDEX($AD$7:$AD$88,MATCH(mapPRC!C681,$AC$7:$AC$88,0)),"")</f>
        <v>tranlf</v>
      </c>
    </row>
    <row r="611" spans="17:18" x14ac:dyDescent="0.25">
      <c r="Q611" t="str">
        <f>mapPRC!A682</f>
        <v>TFHCV9ODS-E</v>
      </c>
      <c r="R611" t="str">
        <f>IFERROR(INDEX($AD$7:$AD$88,MATCH(mapPRC!C682,$AC$7:$AC$88,0)),"")</f>
        <v>tranlf</v>
      </c>
    </row>
    <row r="612" spans="17:18" x14ac:dyDescent="0.25">
      <c r="Q612" t="str">
        <f>mapPRC!A683</f>
        <v>TFHCV9ODS-N</v>
      </c>
      <c r="R612" t="str">
        <f>IFERROR(INDEX($AD$7:$AD$88,MATCH(mapPRC!C683,$AC$7:$AC$88,0)),"")</f>
        <v>tranlf</v>
      </c>
    </row>
    <row r="613" spans="17:18" x14ac:dyDescent="0.25">
      <c r="Q613" t="str">
        <f>mapPRC!A684</f>
        <v>TFLCVELC-N</v>
      </c>
      <c r="R613" t="str">
        <f>IFERROR(INDEX($AD$7:$AD$88,MATCH(mapPRC!C684,$AC$7:$AC$88,0)),"")</f>
        <v>tranlf</v>
      </c>
    </row>
    <row r="614" spans="17:18" x14ac:dyDescent="0.25">
      <c r="Q614" t="str">
        <f>mapPRC!A685</f>
        <v>TFLCVGAS-N</v>
      </c>
      <c r="R614" t="str">
        <f>IFERROR(INDEX($AD$7:$AD$88,MATCH(mapPRC!C685,$AC$7:$AC$88,0)),"")</f>
        <v>tranlf</v>
      </c>
    </row>
    <row r="615" spans="17:18" x14ac:dyDescent="0.25">
      <c r="Q615" t="str">
        <f>mapPRC!A686</f>
        <v>TFLCVODS-E</v>
      </c>
      <c r="R615" t="str">
        <f>IFERROR(INDEX($AD$7:$AD$88,MATCH(mapPRC!C686,$AC$7:$AC$88,0)),"")</f>
        <v>tranlf</v>
      </c>
    </row>
    <row r="616" spans="17:18" x14ac:dyDescent="0.25">
      <c r="Q616" t="str">
        <f>mapPRC!A687</f>
        <v>TFLCVODSH-N</v>
      </c>
      <c r="R616" t="str">
        <f>IFERROR(INDEX($AD$7:$AD$88,MATCH(mapPRC!C687,$AC$7:$AC$88,0)),"")</f>
        <v>tranlf</v>
      </c>
    </row>
    <row r="617" spans="17:18" x14ac:dyDescent="0.25">
      <c r="Q617" t="str">
        <f>mapPRC!A688</f>
        <v>TFLCVODS-N</v>
      </c>
      <c r="R617" t="str">
        <f>IFERROR(INDEX($AD$7:$AD$88,MATCH(mapPRC!C688,$AC$7:$AC$88,0)),"")</f>
        <v>tranlf</v>
      </c>
    </row>
    <row r="618" spans="17:18" x14ac:dyDescent="0.25">
      <c r="Q618" t="str">
        <f>mapPRC!A689</f>
        <v>TFLCVOGS-E</v>
      </c>
      <c r="R618" t="str">
        <f>IFERROR(INDEX($AD$7:$AD$88,MATCH(mapPRC!C689,$AC$7:$AC$88,0)),"")</f>
        <v>tranlf</v>
      </c>
    </row>
    <row r="619" spans="17:18" x14ac:dyDescent="0.25">
      <c r="Q619" t="str">
        <f>mapPRC!A690</f>
        <v>TFLCVOGSH-N</v>
      </c>
      <c r="R619" t="str">
        <f>IFERROR(INDEX($AD$7:$AD$88,MATCH(mapPRC!C690,$AC$7:$AC$88,0)),"")</f>
        <v>tranlf</v>
      </c>
    </row>
    <row r="620" spans="17:18" x14ac:dyDescent="0.25">
      <c r="Q620" t="str">
        <f>mapPRC!A691</f>
        <v>TFLCVOGS-N</v>
      </c>
      <c r="R620" t="str">
        <f>IFERROR(INDEX($AD$7:$AD$88,MATCH(mapPRC!C691,$AC$7:$AC$88,0)),"")</f>
        <v>tranlf</v>
      </c>
    </row>
    <row r="621" spans="17:18" x14ac:dyDescent="0.25">
      <c r="Q621" t="str">
        <f>mapPRC!A692</f>
        <v>TFPIPELC-E</v>
      </c>
      <c r="R621" t="str">
        <f>IFERROR(INDEX($AD$7:$AD$88,MATCH(mapPRC!C692,$AC$7:$AC$88,0)),"")</f>
        <v>trano</v>
      </c>
    </row>
    <row r="622" spans="17:18" x14ac:dyDescent="0.25">
      <c r="Q622" t="str">
        <f>mapPRC!A693</f>
        <v>TFPIPELC-N</v>
      </c>
      <c r="R622" t="str">
        <f>IFERROR(INDEX($AD$7:$AD$88,MATCH(mapPRC!C693,$AC$7:$AC$88,0)),"")</f>
        <v>trano</v>
      </c>
    </row>
    <row r="623" spans="17:18" x14ac:dyDescent="0.25">
      <c r="Q623" t="str">
        <f>mapPRC!A694</f>
        <v>TFRCOELC-E</v>
      </c>
      <c r="R623" t="str">
        <f>IFERROR(INDEX($AD$7:$AD$88,MATCH(mapPRC!C694,$AC$7:$AC$88,0)),"")</f>
        <v>tranlf</v>
      </c>
    </row>
    <row r="624" spans="17:18" x14ac:dyDescent="0.25">
      <c r="Q624" t="str">
        <f>mapPRC!A695</f>
        <v>TFRCOELC-N</v>
      </c>
      <c r="R624" t="str">
        <f>IFERROR(INDEX($AD$7:$AD$88,MATCH(mapPRC!C695,$AC$7:$AC$88,0)),"")</f>
        <v>tranlf</v>
      </c>
    </row>
    <row r="625" spans="17:18" x14ac:dyDescent="0.25">
      <c r="Q625" t="str">
        <f>mapPRC!A696</f>
        <v>TFRCOGAS-N</v>
      </c>
      <c r="R625" t="str">
        <f>IFERROR(INDEX($AD$7:$AD$88,MATCH(mapPRC!C696,$AC$7:$AC$88,0)),"")</f>
        <v>tranlf</v>
      </c>
    </row>
    <row r="626" spans="17:18" x14ac:dyDescent="0.25">
      <c r="Q626" t="str">
        <f>mapPRC!A697</f>
        <v>TFRCOODS-E</v>
      </c>
      <c r="R626" t="str">
        <f>IFERROR(INDEX($AD$7:$AD$88,MATCH(mapPRC!C697,$AC$7:$AC$88,0)),"")</f>
        <v>tranlf</v>
      </c>
    </row>
    <row r="627" spans="17:18" x14ac:dyDescent="0.25">
      <c r="Q627" t="str">
        <f>mapPRC!A698</f>
        <v>TFREXELC-N</v>
      </c>
      <c r="R627" t="str">
        <f>IFERROR(INDEX($AD$7:$AD$88,MATCH(mapPRC!C698,$AC$7:$AC$88,0)),"")</f>
        <v>tranlf</v>
      </c>
    </row>
    <row r="628" spans="17:18" x14ac:dyDescent="0.25">
      <c r="Q628" t="str">
        <f>mapPRC!A699</f>
        <v>TFREXELCR-E</v>
      </c>
      <c r="R628" t="str">
        <f>IFERROR(INDEX($AD$7:$AD$88,MATCH(mapPRC!C699,$AC$7:$AC$88,0)),"")</f>
        <v>tranlf</v>
      </c>
    </row>
    <row r="629" spans="17:18" x14ac:dyDescent="0.25">
      <c r="Q629" t="str">
        <f>mapPRC!A700</f>
        <v>TFREXODSR-E</v>
      </c>
      <c r="R629" t="str">
        <f>IFERROR(INDEX($AD$7:$AD$88,MATCH(mapPRC!C700,$AC$7:$AC$88,0)),"")</f>
        <v>tranlf</v>
      </c>
    </row>
    <row r="630" spans="17:18" x14ac:dyDescent="0.25">
      <c r="Q630" t="str">
        <f>mapPRC!A701</f>
        <v>TFROTELC-E</v>
      </c>
      <c r="R630" t="str">
        <f>IFERROR(INDEX($AD$7:$AD$88,MATCH(mapPRC!C701,$AC$7:$AC$88,0)),"")</f>
        <v>tranlf</v>
      </c>
    </row>
    <row r="631" spans="17:18" x14ac:dyDescent="0.25">
      <c r="Q631" t="str">
        <f>mapPRC!A702</f>
        <v>TFROTELC-N</v>
      </c>
      <c r="R631" t="str">
        <f>IFERROR(INDEX($AD$7:$AD$88,MATCH(mapPRC!C702,$AC$7:$AC$88,0)),"")</f>
        <v>tranlf</v>
      </c>
    </row>
    <row r="632" spans="17:18" x14ac:dyDescent="0.25">
      <c r="Q632" t="str">
        <f>mapPRC!A703</f>
        <v>TFROTODS-E</v>
      </c>
      <c r="R632" t="str">
        <f>IFERROR(INDEX($AD$7:$AD$88,MATCH(mapPRC!C703,$AC$7:$AC$88,0)),"")</f>
        <v>tranlf</v>
      </c>
    </row>
    <row r="633" spans="17:18" x14ac:dyDescent="0.25">
      <c r="Q633" t="str">
        <f>mapPRC!A704</f>
        <v>TPPRCARBGS-N</v>
      </c>
      <c r="R633" t="str">
        <f>IFERROR(INDEX($AD$7:$AD$88,MATCH(mapPRC!C704,$AC$7:$AC$88,0)),"")</f>
        <v>tppr</v>
      </c>
    </row>
    <row r="634" spans="17:18" x14ac:dyDescent="0.25">
      <c r="Q634" t="str">
        <f>mapPRC!A705</f>
        <v>TPPRCARELC-N</v>
      </c>
      <c r="R634" t="str">
        <f>IFERROR(INDEX($AD$7:$AD$88,MATCH(mapPRC!C705,$AC$7:$AC$88,0)),"")</f>
        <v>tppr</v>
      </c>
    </row>
    <row r="635" spans="17:18" x14ac:dyDescent="0.25">
      <c r="Q635" t="str">
        <f>mapPRC!A706</f>
        <v>TPPRCARGAS-N</v>
      </c>
      <c r="R635" t="str">
        <f>IFERROR(INDEX($AD$7:$AD$88,MATCH(mapPRC!C706,$AC$7:$AC$88,0)),"")</f>
        <v>tppr</v>
      </c>
    </row>
    <row r="636" spans="17:18" x14ac:dyDescent="0.25">
      <c r="Q636" t="str">
        <f>mapPRC!A707</f>
        <v>TPPRCARHGNF-N</v>
      </c>
      <c r="R636" t="str">
        <f>IFERROR(INDEX($AD$7:$AD$88,MATCH(mapPRC!C707,$AC$7:$AC$88,0)),"")</f>
        <v>tppr</v>
      </c>
    </row>
    <row r="637" spans="17:18" x14ac:dyDescent="0.25">
      <c r="Q637" t="str">
        <f>mapPRC!A708</f>
        <v>TPPRCARODS-E</v>
      </c>
      <c r="R637" t="str">
        <f>IFERROR(INDEX($AD$7:$AD$88,MATCH(mapPRC!C708,$AC$7:$AC$88,0)),"")</f>
        <v>tppr</v>
      </c>
    </row>
    <row r="638" spans="17:18" x14ac:dyDescent="0.25">
      <c r="Q638" t="str">
        <f>mapPRC!A709</f>
        <v>TPPRCARODSH-N</v>
      </c>
      <c r="R638" t="str">
        <f>IFERROR(INDEX($AD$7:$AD$88,MATCH(mapPRC!C709,$AC$7:$AC$88,0)),"")</f>
        <v>tppr</v>
      </c>
    </row>
    <row r="639" spans="17:18" x14ac:dyDescent="0.25">
      <c r="Q639" t="str">
        <f>mapPRC!A710</f>
        <v>TPPRCARODS-N</v>
      </c>
      <c r="R639" t="str">
        <f>IFERROR(INDEX($AD$7:$AD$88,MATCH(mapPRC!C710,$AC$7:$AC$88,0)),"")</f>
        <v>tppr</v>
      </c>
    </row>
    <row r="640" spans="17:18" x14ac:dyDescent="0.25">
      <c r="Q640" t="str">
        <f>mapPRC!A711</f>
        <v>TPPRCAROGS-E</v>
      </c>
      <c r="R640" t="str">
        <f>IFERROR(INDEX($AD$7:$AD$88,MATCH(mapPRC!C711,$AC$7:$AC$88,0)),"")</f>
        <v>tppr</v>
      </c>
    </row>
    <row r="641" spans="17:18" x14ac:dyDescent="0.25">
      <c r="Q641" t="str">
        <f>mapPRC!A712</f>
        <v>TPPRCAROGSH-E</v>
      </c>
      <c r="R641" t="str">
        <f>IFERROR(INDEX($AD$7:$AD$88,MATCH(mapPRC!C712,$AC$7:$AC$88,0)),"")</f>
        <v>tppr</v>
      </c>
    </row>
    <row r="642" spans="17:18" x14ac:dyDescent="0.25">
      <c r="Q642" t="str">
        <f>mapPRC!A713</f>
        <v>TPPRCAROGSH-N</v>
      </c>
      <c r="R642" t="str">
        <f>IFERROR(INDEX($AD$7:$AD$88,MATCH(mapPRC!C713,$AC$7:$AC$88,0)),"")</f>
        <v>tppr</v>
      </c>
    </row>
    <row r="643" spans="17:18" x14ac:dyDescent="0.25">
      <c r="Q643" t="str">
        <f>mapPRC!A714</f>
        <v>TPPRCAROGS-N</v>
      </c>
      <c r="R643" t="str">
        <f>IFERROR(INDEX($AD$7:$AD$88,MATCH(mapPRC!C714,$AC$7:$AC$88,0)),"")</f>
        <v>tppr</v>
      </c>
    </row>
    <row r="644" spans="17:18" x14ac:dyDescent="0.25">
      <c r="Q644" t="str">
        <f>mapPRC!A715</f>
        <v>TPPRMOTELC-N</v>
      </c>
      <c r="R644" t="str">
        <f>IFERROR(INDEX($AD$7:$AD$88,MATCH(mapPRC!C715,$AC$7:$AC$88,0)),"")</f>
        <v>tppr</v>
      </c>
    </row>
    <row r="645" spans="17:18" x14ac:dyDescent="0.25">
      <c r="Q645" t="str">
        <f>mapPRC!A716</f>
        <v>TPPRMOTOGS-E</v>
      </c>
      <c r="R645" t="str">
        <f>IFERROR(INDEX($AD$7:$AD$88,MATCH(mapPRC!C716,$AC$7:$AC$88,0)),"")</f>
        <v>tppr</v>
      </c>
    </row>
    <row r="646" spans="17:18" x14ac:dyDescent="0.25">
      <c r="Q646" t="str">
        <f>mapPRC!A717</f>
        <v>TPPRMOTOGS-N</v>
      </c>
      <c r="R646" t="str">
        <f>IFERROR(INDEX($AD$7:$AD$88,MATCH(mapPRC!C717,$AC$7:$AC$88,0)),"")</f>
        <v>tppr</v>
      </c>
    </row>
    <row r="647" spans="17:18" x14ac:dyDescent="0.25">
      <c r="Q647" t="str">
        <f>mapPRC!A718</f>
        <v>TPPRSUVBGS-N</v>
      </c>
      <c r="R647" t="str">
        <f>IFERROR(INDEX($AD$7:$AD$88,MATCH(mapPRC!C718,$AC$7:$AC$88,0)),"")</f>
        <v>tppr</v>
      </c>
    </row>
    <row r="648" spans="17:18" x14ac:dyDescent="0.25">
      <c r="Q648" t="str">
        <f>mapPRC!A719</f>
        <v>TPPRSUVELC-E</v>
      </c>
      <c r="R648" t="str">
        <f>IFERROR(INDEX($AD$7:$AD$88,MATCH(mapPRC!C719,$AC$7:$AC$88,0)),"")</f>
        <v>tppr</v>
      </c>
    </row>
    <row r="649" spans="17:18" x14ac:dyDescent="0.25">
      <c r="Q649" t="str">
        <f>mapPRC!A720</f>
        <v>TPPRSUVELC-N</v>
      </c>
      <c r="R649" t="str">
        <f>IFERROR(INDEX($AD$7:$AD$88,MATCH(mapPRC!C720,$AC$7:$AC$88,0)),"")</f>
        <v>tppr</v>
      </c>
    </row>
    <row r="650" spans="17:18" x14ac:dyDescent="0.25">
      <c r="Q650" t="str">
        <f>mapPRC!A721</f>
        <v>TPPRSUVGAS-N</v>
      </c>
      <c r="R650" t="str">
        <f>IFERROR(INDEX($AD$7:$AD$88,MATCH(mapPRC!C721,$AC$7:$AC$88,0)),"")</f>
        <v>tppr</v>
      </c>
    </row>
    <row r="651" spans="17:18" x14ac:dyDescent="0.25">
      <c r="Q651" t="str">
        <f>mapPRC!A722</f>
        <v>TPPRSUVHGNF-N</v>
      </c>
      <c r="R651" t="str">
        <f>IFERROR(INDEX($AD$7:$AD$88,MATCH(mapPRC!C722,$AC$7:$AC$88,0)),"")</f>
        <v>tppr</v>
      </c>
    </row>
    <row r="652" spans="17:18" x14ac:dyDescent="0.25">
      <c r="Q652" t="str">
        <f>mapPRC!A723</f>
        <v>TPPRSUVODS-E</v>
      </c>
      <c r="R652" t="str">
        <f>IFERROR(INDEX($AD$7:$AD$88,MATCH(mapPRC!C723,$AC$7:$AC$88,0)),"")</f>
        <v>tppr</v>
      </c>
    </row>
    <row r="653" spans="17:18" x14ac:dyDescent="0.25">
      <c r="Q653" t="str">
        <f>mapPRC!A724</f>
        <v>TPPRSUVODSH-N</v>
      </c>
      <c r="R653" t="str">
        <f>IFERROR(INDEX($AD$7:$AD$88,MATCH(mapPRC!C724,$AC$7:$AC$88,0)),"")</f>
        <v>tppr</v>
      </c>
    </row>
    <row r="654" spans="17:18" x14ac:dyDescent="0.25">
      <c r="Q654" t="str">
        <f>mapPRC!A725</f>
        <v>TPPRSUVODS-N</v>
      </c>
      <c r="R654" t="str">
        <f>IFERROR(INDEX($AD$7:$AD$88,MATCH(mapPRC!C725,$AC$7:$AC$88,0)),"")</f>
        <v>tppr</v>
      </c>
    </row>
    <row r="655" spans="17:18" x14ac:dyDescent="0.25">
      <c r="Q655" t="str">
        <f>mapPRC!A726</f>
        <v>TPPRSUVOGS-E</v>
      </c>
      <c r="R655" t="str">
        <f>IFERROR(INDEX($AD$7:$AD$88,MATCH(mapPRC!C726,$AC$7:$AC$88,0)),"")</f>
        <v>tppr</v>
      </c>
    </row>
    <row r="656" spans="17:18" x14ac:dyDescent="0.25">
      <c r="Q656" t="str">
        <f>mapPRC!A727</f>
        <v>TPPRSUVOGSH-E</v>
      </c>
      <c r="R656" t="str">
        <f>IFERROR(INDEX($AD$7:$AD$88,MATCH(mapPRC!C727,$AC$7:$AC$88,0)),"")</f>
        <v>tppr</v>
      </c>
    </row>
    <row r="657" spans="17:18" x14ac:dyDescent="0.25">
      <c r="Q657" t="str">
        <f>mapPRC!A728</f>
        <v>TPPRSUVOGSH-N</v>
      </c>
      <c r="R657" t="str">
        <f>IFERROR(INDEX($AD$7:$AD$88,MATCH(mapPRC!C728,$AC$7:$AC$88,0)),"")</f>
        <v>tppr</v>
      </c>
    </row>
    <row r="658" spans="17:18" x14ac:dyDescent="0.25">
      <c r="Q658" t="str">
        <f>mapPRC!A729</f>
        <v>TPPRSUVOGS-N</v>
      </c>
      <c r="R658" t="str">
        <f>IFERROR(INDEX($AD$7:$AD$88,MATCH(mapPRC!C729,$AC$7:$AC$88,0)),"")</f>
        <v>tppr</v>
      </c>
    </row>
    <row r="659" spans="17:18" x14ac:dyDescent="0.25">
      <c r="Q659" t="str">
        <f>mapPRC!A730</f>
        <v>TPPUBRTBGS-N</v>
      </c>
      <c r="R659" t="str">
        <f>IFERROR(INDEX($AD$7:$AD$88,MATCH(mapPRC!C730,$AC$7:$AC$88,0)),"")</f>
        <v>tranlp</v>
      </c>
    </row>
    <row r="660" spans="17:18" x14ac:dyDescent="0.25">
      <c r="Q660" t="str">
        <f>mapPRC!A731</f>
        <v>TPPUBRTELC-N</v>
      </c>
      <c r="R660" t="str">
        <f>IFERROR(INDEX($AD$7:$AD$88,MATCH(mapPRC!C731,$AC$7:$AC$88,0)),"")</f>
        <v>tranlp</v>
      </c>
    </row>
    <row r="661" spans="17:18" x14ac:dyDescent="0.25">
      <c r="Q661" t="str">
        <f>mapPRC!A732</f>
        <v>TPPUBRTGAS-N</v>
      </c>
      <c r="R661" t="str">
        <f>IFERROR(INDEX($AD$7:$AD$88,MATCH(mapPRC!C732,$AC$7:$AC$88,0)),"")</f>
        <v>tranlp</v>
      </c>
    </row>
    <row r="662" spans="17:18" x14ac:dyDescent="0.25">
      <c r="Q662" t="str">
        <f>mapPRC!A733</f>
        <v>TPPUBRTHGNF-N</v>
      </c>
      <c r="R662" t="str">
        <f>IFERROR(INDEX($AD$7:$AD$88,MATCH(mapPRC!C733,$AC$7:$AC$88,0)),"")</f>
        <v>tranlp</v>
      </c>
    </row>
    <row r="663" spans="17:18" x14ac:dyDescent="0.25">
      <c r="Q663" t="str">
        <f>mapPRC!A734</f>
        <v>TPPUBRTODS-N</v>
      </c>
      <c r="R663" t="str">
        <f>IFERROR(INDEX($AD$7:$AD$88,MATCH(mapPRC!C734,$AC$7:$AC$88,0)),"")</f>
        <v>tranlp</v>
      </c>
    </row>
    <row r="664" spans="17:18" x14ac:dyDescent="0.25">
      <c r="Q664" t="str">
        <f>mapPRC!A735</f>
        <v>TPPUBUSBGS-N</v>
      </c>
      <c r="R664" t="str">
        <f>IFERROR(INDEX($AD$7:$AD$88,MATCH(mapPRC!C735,$AC$7:$AC$88,0)),"")</f>
        <v>tranlp</v>
      </c>
    </row>
    <row r="665" spans="17:18" x14ac:dyDescent="0.25">
      <c r="Q665" t="str">
        <f>mapPRC!A736</f>
        <v>TPPUBUSELC-N</v>
      </c>
      <c r="R665" t="str">
        <f>IFERROR(INDEX($AD$7:$AD$88,MATCH(mapPRC!C736,$AC$7:$AC$88,0)),"")</f>
        <v>tranlp</v>
      </c>
    </row>
    <row r="666" spans="17:18" x14ac:dyDescent="0.25">
      <c r="Q666" t="str">
        <f>mapPRC!A737</f>
        <v>TPPUBUSGAS-N</v>
      </c>
      <c r="R666" t="str">
        <f>IFERROR(INDEX($AD$7:$AD$88,MATCH(mapPRC!C737,$AC$7:$AC$88,0)),"")</f>
        <v>tranlp</v>
      </c>
    </row>
    <row r="667" spans="17:18" x14ac:dyDescent="0.25">
      <c r="Q667" t="str">
        <f>mapPRC!A738</f>
        <v>TPPUBUSHGNF-N</v>
      </c>
      <c r="R667" t="str">
        <f>IFERROR(INDEX($AD$7:$AD$88,MATCH(mapPRC!C738,$AC$7:$AC$88,0)),"")</f>
        <v>tranlp</v>
      </c>
    </row>
    <row r="668" spans="17:18" x14ac:dyDescent="0.25">
      <c r="Q668" t="str">
        <f>mapPRC!A739</f>
        <v>TPPUBUSODS-E</v>
      </c>
      <c r="R668" t="str">
        <f>IFERROR(INDEX($AD$7:$AD$88,MATCH(mapPRC!C739,$AC$7:$AC$88,0)),"")</f>
        <v>tranlp</v>
      </c>
    </row>
    <row r="669" spans="17:18" x14ac:dyDescent="0.25">
      <c r="Q669" t="str">
        <f>mapPRC!A740</f>
        <v>TPPUBUSODS-N</v>
      </c>
      <c r="R669" t="str">
        <f>IFERROR(INDEX($AD$7:$AD$88,MATCH(mapPRC!C740,$AC$7:$AC$88,0)),"")</f>
        <v>tranlp</v>
      </c>
    </row>
    <row r="670" spans="17:18" x14ac:dyDescent="0.25">
      <c r="Q670" t="str">
        <f>mapPRC!A741</f>
        <v>TPPUGATELC-N</v>
      </c>
      <c r="R670" t="str">
        <f>IFERROR(INDEX($AD$7:$AD$88,MATCH(mapPRC!C741,$AC$7:$AC$88,0)),"")</f>
        <v>tranlp</v>
      </c>
    </row>
    <row r="671" spans="17:18" x14ac:dyDescent="0.25">
      <c r="Q671" t="str">
        <f>mapPRC!A742</f>
        <v>TPPUMBTBGS-N</v>
      </c>
      <c r="R671" t="str">
        <f>IFERROR(INDEX($AD$7:$AD$88,MATCH(mapPRC!C742,$AC$7:$AC$88,0)),"")</f>
        <v>tranlp</v>
      </c>
    </row>
    <row r="672" spans="17:18" x14ac:dyDescent="0.25">
      <c r="Q672" t="str">
        <f>mapPRC!A743</f>
        <v>TPPUMBTELC-N</v>
      </c>
      <c r="R672" t="str">
        <f>IFERROR(INDEX($AD$7:$AD$88,MATCH(mapPRC!C743,$AC$7:$AC$88,0)),"")</f>
        <v>tranlp</v>
      </c>
    </row>
    <row r="673" spans="17:18" x14ac:dyDescent="0.25">
      <c r="Q673" t="str">
        <f>mapPRC!A744</f>
        <v>TPPUMBTGAS-N</v>
      </c>
      <c r="R673" t="str">
        <f>IFERROR(INDEX($AD$7:$AD$88,MATCH(mapPRC!C744,$AC$7:$AC$88,0)),"")</f>
        <v>tranlp</v>
      </c>
    </row>
    <row r="674" spans="17:18" x14ac:dyDescent="0.25">
      <c r="Q674" t="str">
        <f>mapPRC!A745</f>
        <v>TPPUMBTHGNF-N</v>
      </c>
      <c r="R674" t="str">
        <f>IFERROR(INDEX($AD$7:$AD$88,MATCH(mapPRC!C745,$AC$7:$AC$88,0)),"")</f>
        <v>tranlp</v>
      </c>
    </row>
    <row r="675" spans="17:18" x14ac:dyDescent="0.25">
      <c r="Q675" t="str">
        <f>mapPRC!A746</f>
        <v>TPPUMBTODS-E</v>
      </c>
      <c r="R675" t="str">
        <f>IFERROR(INDEX($AD$7:$AD$88,MATCH(mapPRC!C746,$AC$7:$AC$88,0)),"")</f>
        <v>tranlp</v>
      </c>
    </row>
    <row r="676" spans="17:18" x14ac:dyDescent="0.25">
      <c r="Q676" t="str">
        <f>mapPRC!A747</f>
        <v>TPPUMBTODSH-N</v>
      </c>
      <c r="R676" t="str">
        <f>IFERROR(INDEX($AD$7:$AD$88,MATCH(mapPRC!C747,$AC$7:$AC$88,0)),"")</f>
        <v>tranlp</v>
      </c>
    </row>
    <row r="677" spans="17:18" x14ac:dyDescent="0.25">
      <c r="Q677" t="str">
        <f>mapPRC!A748</f>
        <v>TPPUMBTODS-N</v>
      </c>
      <c r="R677" t="str">
        <f>IFERROR(INDEX($AD$7:$AD$88,MATCH(mapPRC!C748,$AC$7:$AC$88,0)),"")</f>
        <v>tranlp</v>
      </c>
    </row>
    <row r="678" spans="17:18" x14ac:dyDescent="0.25">
      <c r="Q678" t="str">
        <f>mapPRC!A749</f>
        <v>TPPUMBTOGS-E</v>
      </c>
      <c r="R678" t="str">
        <f>IFERROR(INDEX($AD$7:$AD$88,MATCH(mapPRC!C749,$AC$7:$AC$88,0)),"")</f>
        <v>tranlp</v>
      </c>
    </row>
    <row r="679" spans="17:18" x14ac:dyDescent="0.25">
      <c r="Q679" t="str">
        <f>mapPRC!A750</f>
        <v>TPPUMBTOGS-N</v>
      </c>
      <c r="R679" t="str">
        <f>IFERROR(INDEX($AD$7:$AD$88,MATCH(mapPRC!C750,$AC$7:$AC$88,0)),"")</f>
        <v>tranlp</v>
      </c>
    </row>
    <row r="680" spans="17:18" x14ac:dyDescent="0.25">
      <c r="Q680" t="str">
        <f>mapPRC!A751</f>
        <v>TPPUMERELC-E</v>
      </c>
      <c r="R680" t="str">
        <f>IFERROR(INDEX($AD$7:$AD$88,MATCH(mapPRC!C751,$AC$7:$AC$88,0)),"")</f>
        <v>tranlp</v>
      </c>
    </row>
    <row r="681" spans="17:18" x14ac:dyDescent="0.25">
      <c r="Q681" t="str">
        <f>mapPRC!A752</f>
        <v>TPPUMERELC-N</v>
      </c>
      <c r="R681" t="str">
        <f>IFERROR(INDEX($AD$7:$AD$88,MATCH(mapPRC!C752,$AC$7:$AC$88,0)),"")</f>
        <v>tranlp</v>
      </c>
    </row>
    <row r="682" spans="17:18" x14ac:dyDescent="0.25">
      <c r="Q682" t="str">
        <f>mapPRC!A753</f>
        <v>TSHFOOHF-E</v>
      </c>
      <c r="R682" t="str">
        <f>IFERROR(INDEX($AD$7:$AD$88,MATCH(mapPRC!C753,$AC$7:$AC$88,0)),"")</f>
        <v>trano</v>
      </c>
    </row>
    <row r="683" spans="17:18" x14ac:dyDescent="0.25">
      <c r="Q683" t="str">
        <f>mapPRC!A754</f>
        <v>TSHFOOHF-N</v>
      </c>
      <c r="R683" t="str">
        <f>IFERROR(INDEX($AD$7:$AD$88,MATCH(mapPRC!C754,$AC$7:$AC$88,0)),"")</f>
        <v>trano</v>
      </c>
    </row>
    <row r="684" spans="17:18" x14ac:dyDescent="0.25">
      <c r="Q684" t="str">
        <f>mapPRC!A755</f>
        <v>UBBEBIE-N</v>
      </c>
      <c r="R684" t="str">
        <f>IFERROR(INDEX($AD$7:$AD$88,MATCH(mapPRC!C755,$AC$7:$AC$88,0)),"")</f>
        <v>petr</v>
      </c>
    </row>
    <row r="685" spans="17:18" x14ac:dyDescent="0.25">
      <c r="Q685" t="str">
        <f>mapPRC!A756</f>
        <v>UBCABID-N</v>
      </c>
      <c r="R685" t="str">
        <f>IFERROR(INDEX($AD$7:$AD$88,MATCH(mapPRC!C756,$AC$7:$AC$88,0)),"")</f>
        <v>petr</v>
      </c>
    </row>
    <row r="686" spans="17:18" x14ac:dyDescent="0.25">
      <c r="Q686" t="str">
        <f>mapPRC!A757</f>
        <v>UBSCBIE-N</v>
      </c>
      <c r="R686" t="str">
        <f>IFERROR(INDEX($AD$7:$AD$88,MATCH(mapPRC!C757,$AC$7:$AC$88,0)),"")</f>
        <v>petr</v>
      </c>
    </row>
    <row r="687" spans="17:18" x14ac:dyDescent="0.25">
      <c r="Q687" t="str">
        <f>mapPRC!A758</f>
        <v>UBSRBIE-N</v>
      </c>
      <c r="R687" t="str">
        <f>IFERROR(INDEX($AD$7:$AD$88,MATCH(mapPRC!C758,$AC$7:$AC$88,0)),"")</f>
        <v>petr</v>
      </c>
    </row>
    <row r="688" spans="17:18" x14ac:dyDescent="0.25">
      <c r="Q688" t="str">
        <f>mapPRC!A759</f>
        <v>UBSYBID-N</v>
      </c>
      <c r="R688" t="str">
        <f>IFERROR(INDEX($AD$7:$AD$88,MATCH(mapPRC!C759,$AC$7:$AC$88,0)),"")</f>
        <v>petr</v>
      </c>
    </row>
    <row r="689" spans="17:18" x14ac:dyDescent="0.25">
      <c r="Q689" t="str">
        <f>mapPRC!A760</f>
        <v>UCOGCLEHGN</v>
      </c>
      <c r="R689" t="str">
        <f>IFERROR(INDEX($AD$7:$AD$88,MATCH(mapPRC!C760,$AC$7:$AC$88,0)),"")</f>
        <v>hydr</v>
      </c>
    </row>
    <row r="690" spans="17:18" x14ac:dyDescent="0.25">
      <c r="Q690" t="str">
        <f>mapPRC!A761</f>
        <v>UCTLCLEIN-E</v>
      </c>
      <c r="R690" t="str">
        <f>IFERROR(INDEX($AD$7:$AD$88,MATCH(mapPRC!C761,$AC$7:$AC$88,0)),"")</f>
        <v>petr</v>
      </c>
    </row>
    <row r="691" spans="17:18" x14ac:dyDescent="0.25">
      <c r="Q691" t="str">
        <f>mapPRC!A762</f>
        <v>UCTLCLEIN-N</v>
      </c>
      <c r="R691" t="str">
        <f>IFERROR(INDEX($AD$7:$AD$88,MATCH(mapPRC!C762,$AC$7:$AC$88,0)),"")</f>
        <v>petr</v>
      </c>
    </row>
    <row r="692" spans="17:18" x14ac:dyDescent="0.25">
      <c r="Q692" t="str">
        <f>mapPRC!A763</f>
        <v>UCTLCLEIN-N-A</v>
      </c>
      <c r="R692" t="str">
        <f>IFERROR(INDEX($AD$7:$AD$88,MATCH(mapPRC!C763,$AC$7:$AC$88,0)),"")</f>
        <v>petr</v>
      </c>
    </row>
    <row r="693" spans="17:18" x14ac:dyDescent="0.25">
      <c r="Q693" t="str">
        <f>mapPRC!A764</f>
        <v>UELEHGN</v>
      </c>
      <c r="R693" t="str">
        <f>IFERROR(INDEX($AD$7:$AD$88,MATCH(mapPRC!C764,$AC$7:$AC$88,0)),"")</f>
        <v>hydr</v>
      </c>
    </row>
    <row r="694" spans="17:18" x14ac:dyDescent="0.25">
      <c r="Q694" t="str">
        <f>mapPRC!A765</f>
        <v>UGASGIB-N</v>
      </c>
      <c r="R694" t="str">
        <f>IFERROR(INDEX($AD$7:$AD$88,MATCH(mapPRC!C765,$AC$7:$AC$88,0)),"")</f>
        <v/>
      </c>
    </row>
    <row r="695" spans="17:18" x14ac:dyDescent="0.25">
      <c r="Q695" t="str">
        <f>mapPRC!A766</f>
        <v>UGASGIC-N</v>
      </c>
      <c r="R695" t="str">
        <f>IFERROR(INDEX($AD$7:$AD$88,MATCH(mapPRC!C766,$AC$7:$AC$88,0)),"")</f>
        <v/>
      </c>
    </row>
    <row r="696" spans="17:18" x14ac:dyDescent="0.25">
      <c r="Q696" t="str">
        <f>mapPRC!A767</f>
        <v>UGASGIHE-N</v>
      </c>
      <c r="R696" t="str">
        <f>IFERROR(INDEX($AD$7:$AD$88,MATCH(mapPRC!C767,$AC$7:$AC$88,0)),"")</f>
        <v/>
      </c>
    </row>
    <row r="697" spans="17:18" x14ac:dyDescent="0.25">
      <c r="Q697" t="str">
        <f>mapPRC!A768</f>
        <v>UGASGIH-N</v>
      </c>
      <c r="R697" t="str">
        <f>IFERROR(INDEX($AD$7:$AD$88,MATCH(mapPRC!C768,$AC$7:$AC$88,0)),"")</f>
        <v/>
      </c>
    </row>
    <row r="698" spans="17:18" x14ac:dyDescent="0.25">
      <c r="Q698" t="str">
        <f>mapPRC!A769</f>
        <v>UGASGRM-N</v>
      </c>
      <c r="R698" t="str">
        <f>IFERROR(INDEX($AD$7:$AD$88,MATCH(mapPRC!C769,$AC$7:$AC$88,0)),"")</f>
        <v>imp</v>
      </c>
    </row>
    <row r="699" spans="17:18" x14ac:dyDescent="0.25">
      <c r="Q699" t="str">
        <f>mapPRC!A770</f>
        <v>UGASGRS-N</v>
      </c>
      <c r="R699" t="str">
        <f>IFERROR(INDEX($AD$7:$AD$88,MATCH(mapPRC!C770,$AC$7:$AC$88,0)),"")</f>
        <v>imp</v>
      </c>
    </row>
    <row r="700" spans="17:18" x14ac:dyDescent="0.25">
      <c r="Q700" t="str">
        <f>mapPRC!A771</f>
        <v>UGTLGASIN-N</v>
      </c>
      <c r="R700" t="str">
        <f>IFERROR(INDEX($AD$7:$AD$88,MATCH(mapPRC!C771,$AC$7:$AC$88,0)),"")</f>
        <v>petr</v>
      </c>
    </row>
    <row r="701" spans="17:18" x14ac:dyDescent="0.25">
      <c r="Q701" t="str">
        <f>mapPRC!A772</f>
        <v>UGTLGICCO-E</v>
      </c>
      <c r="R701" t="str">
        <f>IFERROR(INDEX($AD$7:$AD$88,MATCH(mapPRC!C772,$AC$7:$AC$88,0)),"")</f>
        <v>petr</v>
      </c>
    </row>
    <row r="702" spans="17:18" x14ac:dyDescent="0.25">
      <c r="Q702" t="str">
        <f>mapPRC!A773</f>
        <v>UGTLGICCO-N</v>
      </c>
      <c r="R702" t="str">
        <f>IFERROR(INDEX($AD$7:$AD$88,MATCH(mapPRC!C773,$AC$7:$AC$88,0)),"")</f>
        <v>petr</v>
      </c>
    </row>
    <row r="703" spans="17:18" x14ac:dyDescent="0.25">
      <c r="Q703" t="str">
        <f>mapPRC!A774</f>
        <v>UHETCLE-E</v>
      </c>
      <c r="R703" t="str">
        <f>IFERROR(INDEX($AD$7:$AD$88,MATCH(mapPRC!C774,$AC$7:$AC$88,0)),"")</f>
        <v/>
      </c>
    </row>
    <row r="704" spans="17:18" x14ac:dyDescent="0.25">
      <c r="Q704" t="str">
        <f>mapPRC!A775</f>
        <v>UHETCLE-N</v>
      </c>
      <c r="R704" t="str">
        <f>IFERROR(INDEX($AD$7:$AD$88,MATCH(mapPRC!C775,$AC$7:$AC$88,0)),"")</f>
        <v/>
      </c>
    </row>
    <row r="705" spans="17:18" x14ac:dyDescent="0.25">
      <c r="Q705" t="str">
        <f>mapPRC!A776</f>
        <v>UINDSCOA1-N</v>
      </c>
      <c r="R705" t="str">
        <f>IFERROR(INDEX($AD$7:$AD$88,MATCH(mapPRC!C776,$AC$7:$AC$88,0)),"")</f>
        <v/>
      </c>
    </row>
    <row r="706" spans="17:18" x14ac:dyDescent="0.25">
      <c r="Q706" t="str">
        <f>mapPRC!A777</f>
        <v>UINDSGAS1-N</v>
      </c>
      <c r="R706" t="str">
        <f>IFERROR(INDEX($AD$7:$AD$88,MATCH(mapPRC!C777,$AC$7:$AC$88,0)),"")</f>
        <v/>
      </c>
    </row>
    <row r="707" spans="17:18" x14ac:dyDescent="0.25">
      <c r="Q707" t="str">
        <f>mapPRC!A778</f>
        <v>ULGTGRLFSRU-N</v>
      </c>
      <c r="R707" t="str">
        <f>IFERROR(INDEX($AD$7:$AD$88,MATCH(mapPRC!C778,$AC$7:$AC$88,0)),"")</f>
        <v>gas</v>
      </c>
    </row>
    <row r="708" spans="17:18" x14ac:dyDescent="0.25">
      <c r="Q708" t="str">
        <f>mapPRC!A779</f>
        <v>ULGTGRL-N</v>
      </c>
      <c r="R708" t="str">
        <f>IFERROR(INDEX($AD$7:$AD$88,MATCH(mapPRC!C779,$AC$7:$AC$88,0)),"")</f>
        <v>gas</v>
      </c>
    </row>
    <row r="709" spans="17:18" x14ac:dyDescent="0.25">
      <c r="Q709" t="str">
        <f>mapPRC!A780</f>
        <v>UREFOCRCO-E</v>
      </c>
      <c r="R709" t="str">
        <f>IFERROR(INDEX($AD$7:$AD$88,MATCH(mapPRC!C780,$AC$7:$AC$88,0)),"")</f>
        <v>petr</v>
      </c>
    </row>
    <row r="710" spans="17:18" x14ac:dyDescent="0.25">
      <c r="Q710" t="str">
        <f>mapPRC!A781</f>
        <v>UREFOCRCO-N</v>
      </c>
      <c r="R710" t="str">
        <f>IFERROR(INDEX($AD$7:$AD$88,MATCH(mapPRC!C781,$AC$7:$AC$88,0)),"")</f>
        <v>petr</v>
      </c>
    </row>
    <row r="711" spans="17:18" x14ac:dyDescent="0.25">
      <c r="Q711" t="str">
        <f>mapPRC!A782</f>
        <v>UREFOCRIN-E</v>
      </c>
      <c r="R711" t="str">
        <f>IFERROR(INDEX($AD$7:$AD$88,MATCH(mapPRC!C782,$AC$7:$AC$88,0)),"")</f>
        <v>petr</v>
      </c>
    </row>
    <row r="712" spans="17:18" x14ac:dyDescent="0.25">
      <c r="Q712" t="str">
        <f>mapPRC!A783</f>
        <v>USMRGASHGN</v>
      </c>
      <c r="R712" t="str">
        <f>IFERROR(INDEX($AD$7:$AD$88,MATCH(mapPRC!C783,$AC$7:$AC$88,0)),"")</f>
        <v>hydr</v>
      </c>
    </row>
    <row r="713" spans="17:18" x14ac:dyDescent="0.25">
      <c r="Q713" t="str">
        <f>mapPRC!A784</f>
        <v>USMRGICHGN</v>
      </c>
      <c r="R713" t="str">
        <f>IFERROR(INDEX($AD$7:$AD$88,MATCH(mapPRC!C784,$AC$7:$AC$88,0)),"")</f>
        <v>hydr</v>
      </c>
    </row>
    <row r="714" spans="17:18" x14ac:dyDescent="0.25">
      <c r="Q714" t="str">
        <f>mapPRC!A785</f>
        <v>UTRNGIMGAS</v>
      </c>
      <c r="R714" t="str">
        <f>IFERROR(INDEX($AD$7:$AD$88,MATCH(mapPRC!C785,$AC$7:$AC$88,0)),"")</f>
        <v/>
      </c>
    </row>
    <row r="715" spans="17:18" x14ac:dyDescent="0.25">
      <c r="Q715" t="str">
        <f>mapPRC!A786</f>
        <v>UXCWCME</v>
      </c>
      <c r="R715" t="str">
        <f>IFERROR(INDEX($AD$7:$AD$88,MATCH(mapPRC!C786,$AC$7:$AC$88,0)),"")</f>
        <v/>
      </c>
    </row>
    <row r="716" spans="17:18" x14ac:dyDescent="0.25">
      <c r="Q716" t="str">
        <f>mapPRC!A787</f>
        <v>UXCWCOA</v>
      </c>
      <c r="R716" t="str">
        <f>IFERROR(INDEX($AD$7:$AD$88,MATCH(mapPRC!C787,$AC$7:$AC$88,0)),"")</f>
        <v/>
      </c>
    </row>
    <row r="717" spans="17:18" x14ac:dyDescent="0.25">
      <c r="Q717" t="str">
        <f>mapPRC!A788</f>
        <v>UXLE2-AB</v>
      </c>
      <c r="R717" t="str">
        <f>IFERROR(INDEX($AD$7:$AD$88,MATCH(mapPRC!C788,$AC$7:$AC$88,0)),"")</f>
        <v/>
      </c>
    </row>
    <row r="718" spans="17:18" x14ac:dyDescent="0.25">
      <c r="Q718" t="str">
        <f>mapPRC!A789</f>
        <v>UXLE-AB</v>
      </c>
      <c r="R718" t="str">
        <f>IFERROR(INDEX($AD$7:$AD$88,MATCH(mapPRC!C789,$AC$7:$AC$88,0)),"")</f>
        <v/>
      </c>
    </row>
    <row r="719" spans="17:18" x14ac:dyDescent="0.25">
      <c r="Q719" t="str">
        <f>mapPRC!A790</f>
        <v>UXLE-BR</v>
      </c>
      <c r="R719" t="str">
        <f>IFERROR(INDEX($AD$7:$AD$88,MATCH(mapPRC!C790,$AC$7:$AC$88,0)),"")</f>
        <v/>
      </c>
    </row>
    <row r="720" spans="17:18" x14ac:dyDescent="0.25">
      <c r="Q720" t="str">
        <f>mapPRC!A791</f>
        <v>XAGRBIO</v>
      </c>
      <c r="R720" t="str">
        <f>IFERROR(INDEX($AD$7:$AD$88,MATCH(mapPRC!C791,$AC$7:$AC$88,0)),"")</f>
        <v/>
      </c>
    </row>
    <row r="721" spans="17:18" x14ac:dyDescent="0.25">
      <c r="Q721" t="str">
        <f>mapPRC!A792</f>
        <v>XAGRCOA</v>
      </c>
      <c r="R721" t="str">
        <f>IFERROR(INDEX($AD$7:$AD$88,MATCH(mapPRC!C792,$AC$7:$AC$88,0)),"")</f>
        <v/>
      </c>
    </row>
    <row r="722" spans="17:18" x14ac:dyDescent="0.25">
      <c r="Q722" t="str">
        <f>mapPRC!A793</f>
        <v>XAGRELC</v>
      </c>
      <c r="R722" t="str">
        <f>IFERROR(INDEX($AD$7:$AD$88,MATCH(mapPRC!C793,$AC$7:$AC$88,0)),"")</f>
        <v>elec</v>
      </c>
    </row>
    <row r="723" spans="17:18" x14ac:dyDescent="0.25">
      <c r="Q723" t="str">
        <f>mapPRC!A794</f>
        <v>XAGRODS</v>
      </c>
      <c r="R723" t="str">
        <f>IFERROR(INDEX($AD$7:$AD$88,MATCH(mapPRC!C794,$AC$7:$AC$88,0)),"")</f>
        <v/>
      </c>
    </row>
    <row r="724" spans="17:18" x14ac:dyDescent="0.25">
      <c r="Q724" t="str">
        <f>mapPRC!A795</f>
        <v>XAGROGS</v>
      </c>
      <c r="R724" t="str">
        <f>IFERROR(INDEX($AD$7:$AD$88,MATCH(mapPRC!C795,$AC$7:$AC$88,0)),"")</f>
        <v/>
      </c>
    </row>
    <row r="725" spans="17:18" x14ac:dyDescent="0.25">
      <c r="Q725" t="str">
        <f>mapPRC!A796</f>
        <v>XAGROHF</v>
      </c>
      <c r="R725" t="str">
        <f>IFERROR(INDEX($AD$7:$AD$88,MATCH(mapPRC!C796,$AC$7:$AC$88,0)),"")</f>
        <v/>
      </c>
    </row>
    <row r="726" spans="17:18" x14ac:dyDescent="0.25">
      <c r="Q726" t="str">
        <f>mapPRC!A797</f>
        <v>XAGROKE</v>
      </c>
      <c r="R726" t="str">
        <f>IFERROR(INDEX($AD$7:$AD$88,MATCH(mapPRC!C797,$AC$7:$AC$88,0)),"")</f>
        <v/>
      </c>
    </row>
    <row r="727" spans="17:18" x14ac:dyDescent="0.25">
      <c r="Q727" t="str">
        <f>mapPRC!A798</f>
        <v>XAGROLP</v>
      </c>
      <c r="R727" t="str">
        <f>IFERROR(INDEX($AD$7:$AD$88,MATCH(mapPRC!C798,$AC$7:$AC$88,0)),"")</f>
        <v/>
      </c>
    </row>
    <row r="728" spans="17:18" x14ac:dyDescent="0.25">
      <c r="Q728" t="str">
        <f>mapPRC!A799</f>
        <v>XCOMCOA</v>
      </c>
      <c r="R728" t="str">
        <f>IFERROR(INDEX($AD$7:$AD$88,MATCH(mapPRC!C799,$AC$7:$AC$88,0)),"")</f>
        <v/>
      </c>
    </row>
    <row r="729" spans="17:18" x14ac:dyDescent="0.25">
      <c r="Q729" t="str">
        <f>mapPRC!A800</f>
        <v>XCOMELC</v>
      </c>
      <c r="R729" t="str">
        <f>IFERROR(INDEX($AD$7:$AD$88,MATCH(mapPRC!C800,$AC$7:$AC$88,0)),"")</f>
        <v>elec</v>
      </c>
    </row>
    <row r="730" spans="17:18" x14ac:dyDescent="0.25">
      <c r="Q730" t="str">
        <f>mapPRC!A801</f>
        <v>XCOMGAS</v>
      </c>
      <c r="R730" t="str">
        <f>IFERROR(INDEX($AD$7:$AD$88,MATCH(mapPRC!C801,$AC$7:$AC$88,0)),"")</f>
        <v/>
      </c>
    </row>
    <row r="731" spans="17:18" x14ac:dyDescent="0.25">
      <c r="Q731" t="str">
        <f>mapPRC!A802</f>
        <v>XCOMODS</v>
      </c>
      <c r="R731" t="str">
        <f>IFERROR(INDEX($AD$7:$AD$88,MATCH(mapPRC!C802,$AC$7:$AC$88,0)),"")</f>
        <v/>
      </c>
    </row>
    <row r="732" spans="17:18" x14ac:dyDescent="0.25">
      <c r="Q732" t="str">
        <f>mapPRC!A803</f>
        <v>XCOMOGS</v>
      </c>
      <c r="R732" t="str">
        <f>IFERROR(INDEX($AD$7:$AD$88,MATCH(mapPRC!C803,$AC$7:$AC$88,0)),"")</f>
        <v/>
      </c>
    </row>
    <row r="733" spans="17:18" x14ac:dyDescent="0.25">
      <c r="Q733" t="str">
        <f>mapPRC!A804</f>
        <v>XCOMOHF</v>
      </c>
      <c r="R733" t="str">
        <f>IFERROR(INDEX($AD$7:$AD$88,MATCH(mapPRC!C804,$AC$7:$AC$88,0)),"")</f>
        <v/>
      </c>
    </row>
    <row r="734" spans="17:18" x14ac:dyDescent="0.25">
      <c r="Q734" t="str">
        <f>mapPRC!A805</f>
        <v>XCOMOKE</v>
      </c>
      <c r="R734" t="str">
        <f>IFERROR(INDEX($AD$7:$AD$88,MATCH(mapPRC!C805,$AC$7:$AC$88,0)),"")</f>
        <v/>
      </c>
    </row>
    <row r="735" spans="17:18" x14ac:dyDescent="0.25">
      <c r="Q735" t="str">
        <f>mapPRC!A806</f>
        <v>XCOMOLP</v>
      </c>
      <c r="R735" t="str">
        <f>IFERROR(INDEX($AD$7:$AD$88,MATCH(mapPRC!C806,$AC$7:$AC$88,0)),"")</f>
        <v/>
      </c>
    </row>
    <row r="736" spans="17:18" x14ac:dyDescent="0.25">
      <c r="Q736" t="str">
        <f>mapPRC!A807</f>
        <v>XICPELC</v>
      </c>
      <c r="R736" t="str">
        <f>IFERROR(INDEX($AD$7:$AD$88,MATCH(mapPRC!C807,$AC$7:$AC$88,0)),"")</f>
        <v>elec</v>
      </c>
    </row>
    <row r="737" spans="17:18" x14ac:dyDescent="0.25">
      <c r="Q737" t="str">
        <f>mapPRC!A808</f>
        <v>XICPGAS</v>
      </c>
      <c r="R737" t="str">
        <f>IFERROR(INDEX($AD$7:$AD$88,MATCH(mapPRC!C808,$AC$7:$AC$88,0)),"")</f>
        <v/>
      </c>
    </row>
    <row r="738" spans="17:18" x14ac:dyDescent="0.25">
      <c r="Q738" t="str">
        <f>mapPRC!A809</f>
        <v>XIFAELC</v>
      </c>
      <c r="R738" t="str">
        <f>IFERROR(INDEX($AD$7:$AD$88,MATCH(mapPRC!C809,$AC$7:$AC$88,0)),"")</f>
        <v>elec</v>
      </c>
    </row>
    <row r="739" spans="17:18" x14ac:dyDescent="0.25">
      <c r="Q739" t="str">
        <f>mapPRC!A810</f>
        <v>XIFAGAS</v>
      </c>
      <c r="R739" t="str">
        <f>IFERROR(INDEX($AD$7:$AD$88,MATCH(mapPRC!C810,$AC$7:$AC$88,0)),"")</f>
        <v/>
      </c>
    </row>
    <row r="740" spans="17:18" x14ac:dyDescent="0.25">
      <c r="Q740" t="str">
        <f>mapPRC!A811</f>
        <v>XIFBELC</v>
      </c>
      <c r="R740" t="str">
        <f>IFERROR(INDEX($AD$7:$AD$88,MATCH(mapPRC!C811,$AC$7:$AC$88,0)),"")</f>
        <v>elec</v>
      </c>
    </row>
    <row r="741" spans="17:18" x14ac:dyDescent="0.25">
      <c r="Q741" t="str">
        <f>mapPRC!A812</f>
        <v>XIFBGAS</v>
      </c>
      <c r="R741" t="str">
        <f>IFERROR(INDEX($AD$7:$AD$88,MATCH(mapPRC!C812,$AC$7:$AC$88,0)),"")</f>
        <v/>
      </c>
    </row>
    <row r="742" spans="17:18" x14ac:dyDescent="0.25">
      <c r="Q742" t="str">
        <f>mapPRC!A813</f>
        <v>XIISBIO</v>
      </c>
      <c r="R742" t="str">
        <f>IFERROR(INDEX($AD$7:$AD$88,MATCH(mapPRC!C813,$AC$7:$AC$88,0)),"")</f>
        <v/>
      </c>
    </row>
    <row r="743" spans="17:18" x14ac:dyDescent="0.25">
      <c r="Q743" t="str">
        <f>mapPRC!A814</f>
        <v>XIISCKC</v>
      </c>
      <c r="R743" t="str">
        <f>IFERROR(INDEX($AD$7:$AD$88,MATCH(mapPRC!C814,$AC$7:$AC$88,0)),"")</f>
        <v/>
      </c>
    </row>
    <row r="744" spans="17:18" x14ac:dyDescent="0.25">
      <c r="Q744" t="str">
        <f>mapPRC!A815</f>
        <v>XIISCOA</v>
      </c>
      <c r="R744" t="str">
        <f>IFERROR(INDEX($AD$7:$AD$88,MATCH(mapPRC!C815,$AC$7:$AC$88,0)),"")</f>
        <v/>
      </c>
    </row>
    <row r="745" spans="17:18" x14ac:dyDescent="0.25">
      <c r="Q745" t="str">
        <f>mapPRC!A816</f>
        <v>XIISELC</v>
      </c>
      <c r="R745" t="str">
        <f>IFERROR(INDEX($AD$7:$AD$88,MATCH(mapPRC!C816,$AC$7:$AC$88,0)),"")</f>
        <v>elec</v>
      </c>
    </row>
    <row r="746" spans="17:18" x14ac:dyDescent="0.25">
      <c r="Q746" t="str">
        <f>mapPRC!A817</f>
        <v>XIISELCHY</v>
      </c>
      <c r="R746" t="str">
        <f>IFERROR(INDEX($AD$7:$AD$88,MATCH(mapPRC!C817,$AC$7:$AC$88,0)),"")</f>
        <v/>
      </c>
    </row>
    <row r="747" spans="17:18" x14ac:dyDescent="0.25">
      <c r="Q747" t="str">
        <f>mapPRC!A818</f>
        <v>XIISGAS</v>
      </c>
      <c r="R747" t="str">
        <f>IFERROR(INDEX($AD$7:$AD$88,MATCH(mapPRC!C818,$AC$7:$AC$88,0)),"")</f>
        <v/>
      </c>
    </row>
    <row r="748" spans="17:18" x14ac:dyDescent="0.25">
      <c r="Q748" t="str">
        <f>mapPRC!A819</f>
        <v>XIISOIL</v>
      </c>
      <c r="R748" t="str">
        <f>IFERROR(INDEX($AD$7:$AD$88,MATCH(mapPRC!C819,$AC$7:$AC$88,0)),"")</f>
        <v/>
      </c>
    </row>
    <row r="749" spans="17:18" x14ac:dyDescent="0.25">
      <c r="Q749" t="str">
        <f>mapPRC!A820</f>
        <v>XIISOLP</v>
      </c>
      <c r="R749" t="str">
        <f>IFERROR(INDEX($AD$7:$AD$88,MATCH(mapPRC!C820,$AC$7:$AC$88,0)),"")</f>
        <v/>
      </c>
    </row>
    <row r="750" spans="17:18" x14ac:dyDescent="0.25">
      <c r="Q750" t="str">
        <f>mapPRC!A821</f>
        <v>XIISSSC</v>
      </c>
      <c r="R750" t="str">
        <f>IFERROR(INDEX($AD$7:$AD$88,MATCH(mapPRC!C821,$AC$7:$AC$88,0)),"")</f>
        <v/>
      </c>
    </row>
    <row r="751" spans="17:18" x14ac:dyDescent="0.25">
      <c r="Q751" t="str">
        <f>mapPRC!A822</f>
        <v>XIISWAS</v>
      </c>
      <c r="R751" t="str">
        <f>IFERROR(INDEX($AD$7:$AD$88,MATCH(mapPRC!C822,$AC$7:$AC$88,0)),"")</f>
        <v/>
      </c>
    </row>
    <row r="752" spans="17:18" x14ac:dyDescent="0.25">
      <c r="Q752" t="str">
        <f>mapPRC!A823</f>
        <v>XIMIELC</v>
      </c>
      <c r="R752" t="str">
        <f>IFERROR(INDEX($AD$7:$AD$88,MATCH(mapPRC!C823,$AC$7:$AC$88,0)),"")</f>
        <v>elec</v>
      </c>
    </row>
    <row r="753" spans="17:18" x14ac:dyDescent="0.25">
      <c r="Q753" t="str">
        <f>mapPRC!A824</f>
        <v>XIMIGAS</v>
      </c>
      <c r="R753" t="str">
        <f>IFERROR(INDEX($AD$7:$AD$88,MATCH(mapPRC!C824,$AC$7:$AC$88,0)),"")</f>
        <v/>
      </c>
    </row>
    <row r="754" spans="17:18" x14ac:dyDescent="0.25">
      <c r="Q754" t="str">
        <f>mapPRC!A825</f>
        <v>XINDBIB</v>
      </c>
      <c r="R754" t="str">
        <f>IFERROR(INDEX($AD$7:$AD$88,MATCH(mapPRC!C825,$AC$7:$AC$88,0)),"")</f>
        <v/>
      </c>
    </row>
    <row r="755" spans="17:18" x14ac:dyDescent="0.25">
      <c r="Q755" t="str">
        <f>mapPRC!A826</f>
        <v>XINDBIW</v>
      </c>
      <c r="R755" t="str">
        <f>IFERROR(INDEX($AD$7:$AD$88,MATCH(mapPRC!C826,$AC$7:$AC$88,0)),"")</f>
        <v/>
      </c>
    </row>
    <row r="756" spans="17:18" x14ac:dyDescent="0.25">
      <c r="Q756" t="str">
        <f>mapPRC!A827</f>
        <v>XINDCLE</v>
      </c>
      <c r="R756" t="str">
        <f>IFERROR(INDEX($AD$7:$AD$88,MATCH(mapPRC!C827,$AC$7:$AC$88,0)),"")</f>
        <v/>
      </c>
    </row>
    <row r="757" spans="17:18" x14ac:dyDescent="0.25">
      <c r="Q757" t="str">
        <f>mapPRC!A828</f>
        <v>XINDCOA</v>
      </c>
      <c r="R757" t="str">
        <f>IFERROR(INDEX($AD$7:$AD$88,MATCH(mapPRC!C828,$AC$7:$AC$88,0)),"")</f>
        <v/>
      </c>
    </row>
    <row r="758" spans="17:18" x14ac:dyDescent="0.25">
      <c r="Q758" t="str">
        <f>mapPRC!A829</f>
        <v>XINDCOK</v>
      </c>
      <c r="R758" t="str">
        <f>IFERROR(INDEX($AD$7:$AD$88,MATCH(mapPRC!C829,$AC$7:$AC$88,0)),"")</f>
        <v/>
      </c>
    </row>
    <row r="759" spans="17:18" x14ac:dyDescent="0.25">
      <c r="Q759" t="str">
        <f>mapPRC!A830</f>
        <v>XINDELC</v>
      </c>
      <c r="R759" t="str">
        <f>IFERROR(INDEX($AD$7:$AD$88,MATCH(mapPRC!C830,$AC$7:$AC$88,0)),"")</f>
        <v/>
      </c>
    </row>
    <row r="760" spans="17:18" x14ac:dyDescent="0.25">
      <c r="Q760" t="str">
        <f>mapPRC!A831</f>
        <v>XINDELP</v>
      </c>
      <c r="R760" t="str">
        <f>IFERROR(INDEX($AD$7:$AD$88,MATCH(mapPRC!C831,$AC$7:$AC$88,0)),"")</f>
        <v/>
      </c>
    </row>
    <row r="761" spans="17:18" x14ac:dyDescent="0.25">
      <c r="Q761" t="str">
        <f>mapPRC!A832</f>
        <v>XINDGAS</v>
      </c>
      <c r="R761" t="str">
        <f>IFERROR(INDEX($AD$7:$AD$88,MATCH(mapPRC!C832,$AC$7:$AC$88,0)),"")</f>
        <v/>
      </c>
    </row>
    <row r="762" spans="17:18" x14ac:dyDescent="0.25">
      <c r="Q762" t="str">
        <f>mapPRC!A833</f>
        <v>XINDODS</v>
      </c>
      <c r="R762" t="str">
        <f>IFERROR(INDEX($AD$7:$AD$88,MATCH(mapPRC!C833,$AC$7:$AC$88,0)),"")</f>
        <v/>
      </c>
    </row>
    <row r="763" spans="17:18" x14ac:dyDescent="0.25">
      <c r="Q763" t="str">
        <f>mapPRC!A834</f>
        <v>XINDOGS</v>
      </c>
      <c r="R763" t="str">
        <f>IFERROR(INDEX($AD$7:$AD$88,MATCH(mapPRC!C834,$AC$7:$AC$88,0)),"")</f>
        <v/>
      </c>
    </row>
    <row r="764" spans="17:18" x14ac:dyDescent="0.25">
      <c r="Q764" t="str">
        <f>mapPRC!A835</f>
        <v>XINDOHF</v>
      </c>
      <c r="R764" t="str">
        <f>IFERROR(INDEX($AD$7:$AD$88,MATCH(mapPRC!C835,$AC$7:$AC$88,0)),"")</f>
        <v/>
      </c>
    </row>
    <row r="765" spans="17:18" x14ac:dyDescent="0.25">
      <c r="Q765" t="str">
        <f>mapPRC!A836</f>
        <v>XINDOLP</v>
      </c>
      <c r="R765" t="str">
        <f>IFERROR(INDEX($AD$7:$AD$88,MATCH(mapPRC!C836,$AC$7:$AC$88,0)),"")</f>
        <v/>
      </c>
    </row>
    <row r="766" spans="17:18" x14ac:dyDescent="0.25">
      <c r="Q766" t="str">
        <f>mapPRC!A837</f>
        <v>XINDWAS</v>
      </c>
      <c r="R766" t="str">
        <f>IFERROR(INDEX($AD$7:$AD$88,MATCH(mapPRC!C837,$AC$7:$AC$88,0)),"")</f>
        <v/>
      </c>
    </row>
    <row r="767" spans="17:18" x14ac:dyDescent="0.25">
      <c r="Q767" t="str">
        <f>mapPRC!A838</f>
        <v>XINFELC</v>
      </c>
      <c r="R767" t="str">
        <f>IFERROR(INDEX($AD$7:$AD$88,MATCH(mapPRC!C838,$AC$7:$AC$88,0)),"")</f>
        <v>elec</v>
      </c>
    </row>
    <row r="768" spans="17:18" x14ac:dyDescent="0.25">
      <c r="Q768" t="str">
        <f>mapPRC!A839</f>
        <v>XINFGAS</v>
      </c>
      <c r="R768" t="str">
        <f>IFERROR(INDEX($AD$7:$AD$88,MATCH(mapPRC!C839,$AC$7:$AC$88,0)),"")</f>
        <v/>
      </c>
    </row>
    <row r="769" spans="17:18" x14ac:dyDescent="0.25">
      <c r="Q769" t="str">
        <f>mapPRC!A840</f>
        <v>XINMBIO</v>
      </c>
      <c r="R769" t="str">
        <f>IFERROR(INDEX($AD$7:$AD$88,MATCH(mapPRC!C840,$AC$7:$AC$88,0)),"")</f>
        <v/>
      </c>
    </row>
    <row r="770" spans="17:18" x14ac:dyDescent="0.25">
      <c r="Q770" t="str">
        <f>mapPRC!A841</f>
        <v>XINMCOA</v>
      </c>
      <c r="R770" t="str">
        <f>IFERROR(INDEX($AD$7:$AD$88,MATCH(mapPRC!C841,$AC$7:$AC$88,0)),"")</f>
        <v/>
      </c>
    </row>
    <row r="771" spans="17:18" x14ac:dyDescent="0.25">
      <c r="Q771" t="str">
        <f>mapPRC!A842</f>
        <v>XINMELC</v>
      </c>
      <c r="R771" t="str">
        <f>IFERROR(INDEX($AD$7:$AD$88,MATCH(mapPRC!C842,$AC$7:$AC$88,0)),"")</f>
        <v>elec</v>
      </c>
    </row>
    <row r="772" spans="17:18" x14ac:dyDescent="0.25">
      <c r="Q772" t="str">
        <f>mapPRC!A843</f>
        <v>XINMGAS</v>
      </c>
      <c r="R772" t="str">
        <f>IFERROR(INDEX($AD$7:$AD$88,MATCH(mapPRC!C843,$AC$7:$AC$88,0)),"")</f>
        <v/>
      </c>
    </row>
    <row r="773" spans="17:18" x14ac:dyDescent="0.25">
      <c r="Q773" t="str">
        <f>mapPRC!A844</f>
        <v>XINMOIL</v>
      </c>
      <c r="R773" t="str">
        <f>IFERROR(INDEX($AD$7:$AD$88,MATCH(mapPRC!C844,$AC$7:$AC$88,0)),"")</f>
        <v/>
      </c>
    </row>
    <row r="774" spans="17:18" x14ac:dyDescent="0.25">
      <c r="Q774" t="str">
        <f>mapPRC!A845</f>
        <v>XIOTELC</v>
      </c>
      <c r="R774" t="str">
        <f>IFERROR(INDEX($AD$7:$AD$88,MATCH(mapPRC!C845,$AC$7:$AC$88,0)),"")</f>
        <v>elec</v>
      </c>
    </row>
    <row r="775" spans="17:18" x14ac:dyDescent="0.25">
      <c r="Q775" t="str">
        <f>mapPRC!A846</f>
        <v>XIOTGAS</v>
      </c>
      <c r="R775" t="str">
        <f>IFERROR(INDEX($AD$7:$AD$88,MATCH(mapPRC!C846,$AC$7:$AC$88,0)),"")</f>
        <v/>
      </c>
    </row>
    <row r="776" spans="17:18" x14ac:dyDescent="0.25">
      <c r="Q776" t="str">
        <f>mapPRC!A847</f>
        <v>XIPPBIB</v>
      </c>
      <c r="R776" t="str">
        <f>IFERROR(INDEX($AD$7:$AD$88,MATCH(mapPRC!C847,$AC$7:$AC$88,0)),"")</f>
        <v/>
      </c>
    </row>
    <row r="777" spans="17:18" x14ac:dyDescent="0.25">
      <c r="Q777" t="str">
        <f>mapPRC!A848</f>
        <v>XIPPCOA</v>
      </c>
      <c r="R777" t="str">
        <f>IFERROR(INDEX($AD$7:$AD$88,MATCH(mapPRC!C848,$AC$7:$AC$88,0)),"")</f>
        <v/>
      </c>
    </row>
    <row r="778" spans="17:18" x14ac:dyDescent="0.25">
      <c r="Q778" t="str">
        <f>mapPRC!A849</f>
        <v>XIPPELC</v>
      </c>
      <c r="R778" t="str">
        <f>IFERROR(INDEX($AD$7:$AD$88,MATCH(mapPRC!C849,$AC$7:$AC$88,0)),"")</f>
        <v>elec</v>
      </c>
    </row>
    <row r="779" spans="17:18" x14ac:dyDescent="0.25">
      <c r="Q779" t="str">
        <f>mapPRC!A850</f>
        <v>XIPPGAS</v>
      </c>
      <c r="R779" t="str">
        <f>IFERROR(INDEX($AD$7:$AD$88,MATCH(mapPRC!C850,$AC$7:$AC$88,0)),"")</f>
        <v/>
      </c>
    </row>
    <row r="780" spans="17:18" x14ac:dyDescent="0.25">
      <c r="Q780" t="str">
        <f>mapPRC!A851</f>
        <v>XIPPODS</v>
      </c>
      <c r="R780" t="str">
        <f>IFERROR(INDEX($AD$7:$AD$88,MATCH(mapPRC!C851,$AC$7:$AC$88,0)),"")</f>
        <v/>
      </c>
    </row>
    <row r="781" spans="17:18" x14ac:dyDescent="0.25">
      <c r="Q781" t="str">
        <f>mapPRC!A852</f>
        <v>XIPPOGS</v>
      </c>
      <c r="R781" t="str">
        <f>IFERROR(INDEX($AD$7:$AD$88,MATCH(mapPRC!C852,$AC$7:$AC$88,0)),"")</f>
        <v/>
      </c>
    </row>
    <row r="782" spans="17:18" x14ac:dyDescent="0.25">
      <c r="Q782" t="str">
        <f>mapPRC!A853</f>
        <v>XIPPOHF</v>
      </c>
      <c r="R782" t="str">
        <f>IFERROR(INDEX($AD$7:$AD$88,MATCH(mapPRC!C853,$AC$7:$AC$88,0)),"")</f>
        <v/>
      </c>
    </row>
    <row r="783" spans="17:18" x14ac:dyDescent="0.25">
      <c r="Q783" t="str">
        <f>mapPRC!A854</f>
        <v>XIPPOLP</v>
      </c>
      <c r="R783" t="str">
        <f>IFERROR(INDEX($AD$7:$AD$88,MATCH(mapPRC!C854,$AC$7:$AC$88,0)),"")</f>
        <v/>
      </c>
    </row>
    <row r="784" spans="17:18" x14ac:dyDescent="0.25">
      <c r="Q784" t="str">
        <f>mapPRC!A855</f>
        <v>XIPPRECP</v>
      </c>
      <c r="R784" t="str">
        <f>IFERROR(INDEX($AD$7:$AD$88,MATCH(mapPRC!C855,$AC$7:$AC$88,0)),"")</f>
        <v/>
      </c>
    </row>
    <row r="785" spans="17:18" x14ac:dyDescent="0.25">
      <c r="Q785" t="str">
        <f>mapPRC!A856</f>
        <v>XPWRBIB</v>
      </c>
      <c r="R785" t="str">
        <f>IFERROR(INDEX($AD$7:$AD$88,MATCH(mapPRC!C856,$AC$7:$AC$88,0)),"")</f>
        <v/>
      </c>
    </row>
    <row r="786" spans="17:18" x14ac:dyDescent="0.25">
      <c r="Q786" t="str">
        <f>mapPRC!A857</f>
        <v>XPWRBIG</v>
      </c>
      <c r="R786" t="str">
        <f>IFERROR(INDEX($AD$7:$AD$88,MATCH(mapPRC!C857,$AC$7:$AC$88,0)),"")</f>
        <v/>
      </c>
    </row>
    <row r="787" spans="17:18" x14ac:dyDescent="0.25">
      <c r="Q787" t="str">
        <f>mapPRC!A858</f>
        <v>XPWRBIO</v>
      </c>
      <c r="R787" t="str">
        <f>IFERROR(INDEX($AD$7:$AD$88,MATCH(mapPRC!C858,$AC$7:$AC$88,0)),"")</f>
        <v/>
      </c>
    </row>
    <row r="788" spans="17:18" x14ac:dyDescent="0.25">
      <c r="Q788" t="str">
        <f>mapPRC!A859</f>
        <v>XPWRBIW</v>
      </c>
      <c r="R788" t="str">
        <f>IFERROR(INDEX($AD$7:$AD$88,MATCH(mapPRC!C859,$AC$7:$AC$88,0)),"")</f>
        <v/>
      </c>
    </row>
    <row r="789" spans="17:18" x14ac:dyDescent="0.25">
      <c r="Q789" t="str">
        <f>mapPRC!A860</f>
        <v>XPWRCLD</v>
      </c>
      <c r="R789" t="str">
        <f>IFERROR(INDEX($AD$7:$AD$88,MATCH(mapPRC!C860,$AC$7:$AC$88,0)),"")</f>
        <v/>
      </c>
    </row>
    <row r="790" spans="17:18" x14ac:dyDescent="0.25">
      <c r="Q790" t="str">
        <f>mapPRC!A861</f>
        <v>XPWRCLE</v>
      </c>
      <c r="R790" t="str">
        <f>IFERROR(INDEX($AD$7:$AD$88,MATCH(mapPRC!C861,$AC$7:$AC$88,0)),"")</f>
        <v/>
      </c>
    </row>
    <row r="791" spans="17:18" x14ac:dyDescent="0.25">
      <c r="Q791" t="str">
        <f>mapPRC!A862</f>
        <v>XPWRCLE-A</v>
      </c>
      <c r="R791" t="str">
        <f>IFERROR(INDEX($AD$7:$AD$88,MATCH(mapPRC!C862,$AC$7:$AC$88,0)),"")</f>
        <v/>
      </c>
    </row>
    <row r="792" spans="17:18" x14ac:dyDescent="0.25">
      <c r="Q792" t="str">
        <f>mapPRC!A863</f>
        <v>XPWRCLEC</v>
      </c>
      <c r="R792" t="str">
        <f>IFERROR(INDEX($AD$7:$AD$88,MATCH(mapPRC!C863,$AC$7:$AC$88,0)),"")</f>
        <v/>
      </c>
    </row>
    <row r="793" spans="17:18" x14ac:dyDescent="0.25">
      <c r="Q793" t="str">
        <f>mapPRC!A864</f>
        <v>XPWRCLEC-A</v>
      </c>
      <c r="R793" t="str">
        <f>IFERROR(INDEX($AD$7:$AD$88,MATCH(mapPRC!C864,$AC$7:$AC$88,0)),"")</f>
        <v/>
      </c>
    </row>
    <row r="794" spans="17:18" x14ac:dyDescent="0.25">
      <c r="Q794" t="str">
        <f>mapPRC!A865</f>
        <v>XPWRCRB</v>
      </c>
      <c r="R794" t="str">
        <f>IFERROR(INDEX($AD$7:$AD$88,MATCH(mapPRC!C865,$AC$7:$AC$88,0)),"")</f>
        <v/>
      </c>
    </row>
    <row r="795" spans="17:18" x14ac:dyDescent="0.25">
      <c r="Q795" t="str">
        <f>mapPRC!A866</f>
        <v>XPWRGAS</v>
      </c>
      <c r="R795" t="str">
        <f>IFERROR(INDEX($AD$7:$AD$88,MATCH(mapPRC!C866,$AC$7:$AC$88,0)),"")</f>
        <v/>
      </c>
    </row>
    <row r="796" spans="17:18" x14ac:dyDescent="0.25">
      <c r="Q796" t="str">
        <f>mapPRC!A867</f>
        <v>XPWRGIC</v>
      </c>
      <c r="R796" t="str">
        <f>IFERROR(INDEX($AD$7:$AD$88,MATCH(mapPRC!C867,$AC$7:$AC$88,0)),"")</f>
        <v/>
      </c>
    </row>
    <row r="797" spans="17:18" x14ac:dyDescent="0.25">
      <c r="Q797" t="str">
        <f>mapPRC!A868</f>
        <v>XPWRGIH</v>
      </c>
      <c r="R797" t="str">
        <f>IFERROR(INDEX($AD$7:$AD$88,MATCH(mapPRC!C868,$AC$7:$AC$88,0)),"")</f>
        <v/>
      </c>
    </row>
    <row r="798" spans="17:18" x14ac:dyDescent="0.25">
      <c r="Q798" t="str">
        <f>mapPRC!A869</f>
        <v>XPWRGRM</v>
      </c>
      <c r="R798" t="str">
        <f>IFERROR(INDEX($AD$7:$AD$88,MATCH(mapPRC!C869,$AC$7:$AC$88,0)),"")</f>
        <v/>
      </c>
    </row>
    <row r="799" spans="17:18" x14ac:dyDescent="0.25">
      <c r="Q799" t="str">
        <f>mapPRC!A870</f>
        <v>XPWRGRN</v>
      </c>
      <c r="R799" t="str">
        <f>IFERROR(INDEX($AD$7:$AD$88,MATCH(mapPRC!C870,$AC$7:$AC$88,0)),"")</f>
        <v/>
      </c>
    </row>
    <row r="800" spans="17:18" x14ac:dyDescent="0.25">
      <c r="Q800" t="str">
        <f>mapPRC!A871</f>
        <v>XPWRGRS</v>
      </c>
      <c r="R800" t="str">
        <f>IFERROR(INDEX($AD$7:$AD$88,MATCH(mapPRC!C871,$AC$7:$AC$88,0)),"")</f>
        <v/>
      </c>
    </row>
    <row r="801" spans="17:18" x14ac:dyDescent="0.25">
      <c r="Q801" t="str">
        <f>mapPRC!A872</f>
        <v>XPWRHYD</v>
      </c>
      <c r="R801" t="str">
        <f>IFERROR(INDEX($AD$7:$AD$88,MATCH(mapPRC!C872,$AC$7:$AC$88,0)),"")</f>
        <v/>
      </c>
    </row>
    <row r="802" spans="17:18" x14ac:dyDescent="0.25">
      <c r="Q802" t="str">
        <f>mapPRC!A873</f>
        <v>XPWRNUC</v>
      </c>
      <c r="R802" t="str">
        <f>IFERROR(INDEX($AD$7:$AD$88,MATCH(mapPRC!C873,$AC$7:$AC$88,0)),"")</f>
        <v/>
      </c>
    </row>
    <row r="803" spans="17:18" x14ac:dyDescent="0.25">
      <c r="Q803" t="str">
        <f>mapPRC!A874</f>
        <v>XPWRODS</v>
      </c>
      <c r="R803" t="str">
        <f>IFERROR(INDEX($AD$7:$AD$88,MATCH(mapPRC!C874,$AC$7:$AC$88,0)),"")</f>
        <v/>
      </c>
    </row>
    <row r="804" spans="17:18" x14ac:dyDescent="0.25">
      <c r="Q804" t="str">
        <f>mapPRC!A875</f>
        <v>XPWRSOL</v>
      </c>
      <c r="R804" t="str">
        <f>IFERROR(INDEX($AD$7:$AD$88,MATCH(mapPRC!C875,$AC$7:$AC$88,0)),"")</f>
        <v/>
      </c>
    </row>
    <row r="805" spans="17:18" x14ac:dyDescent="0.25">
      <c r="Q805" t="str">
        <f>mapPRC!A876</f>
        <v>XPWRWND</v>
      </c>
      <c r="R805" t="str">
        <f>IFERROR(INDEX($AD$7:$AD$88,MATCH(mapPRC!C876,$AC$7:$AC$88,0)),"")</f>
        <v/>
      </c>
    </row>
    <row r="806" spans="17:18" x14ac:dyDescent="0.25">
      <c r="Q806" t="str">
        <f>mapPRC!A877</f>
        <v>XRESBIW</v>
      </c>
      <c r="R806" t="str">
        <f>IFERROR(INDEX($AD$7:$AD$88,MATCH(mapPRC!C877,$AC$7:$AC$88,0)),"")</f>
        <v/>
      </c>
    </row>
    <row r="807" spans="17:18" x14ac:dyDescent="0.25">
      <c r="Q807" t="str">
        <f>mapPRC!A878</f>
        <v>XRESCOA</v>
      </c>
      <c r="R807" t="str">
        <f>IFERROR(INDEX($AD$7:$AD$88,MATCH(mapPRC!C878,$AC$7:$AC$88,0)),"")</f>
        <v/>
      </c>
    </row>
    <row r="808" spans="17:18" x14ac:dyDescent="0.25">
      <c r="Q808" t="str">
        <f>mapPRC!A879</f>
        <v>XRESELC</v>
      </c>
      <c r="R808" t="str">
        <f>IFERROR(INDEX($AD$7:$AD$88,MATCH(mapPRC!C879,$AC$7:$AC$88,0)),"")</f>
        <v>elec</v>
      </c>
    </row>
    <row r="809" spans="17:18" x14ac:dyDescent="0.25">
      <c r="Q809" t="str">
        <f>mapPRC!A880</f>
        <v>XRESGAS</v>
      </c>
      <c r="R809" t="str">
        <f>IFERROR(INDEX($AD$7:$AD$88,MATCH(mapPRC!C880,$AC$7:$AC$88,0)),"")</f>
        <v/>
      </c>
    </row>
    <row r="810" spans="17:18" x14ac:dyDescent="0.25">
      <c r="Q810" t="str">
        <f>mapPRC!A881</f>
        <v>XRESOKE</v>
      </c>
      <c r="R810" t="str">
        <f>IFERROR(INDEX($AD$7:$AD$88,MATCH(mapPRC!C881,$AC$7:$AC$88,0)),"")</f>
        <v/>
      </c>
    </row>
    <row r="811" spans="17:18" x14ac:dyDescent="0.25">
      <c r="Q811" t="str">
        <f>mapPRC!A882</f>
        <v>XRESOLP</v>
      </c>
      <c r="R811" t="str">
        <f>IFERROR(INDEX($AD$7:$AD$88,MATCH(mapPRC!C882,$AC$7:$AC$88,0)),"")</f>
        <v/>
      </c>
    </row>
    <row r="812" spans="17:18" x14ac:dyDescent="0.25">
      <c r="Q812" t="str">
        <f>mapPRC!A883</f>
        <v>XTRABGS</v>
      </c>
      <c r="R812" t="str">
        <f>IFERROR(INDEX($AD$7:$AD$88,MATCH(mapPRC!C883,$AC$7:$AC$88,0)),"")</f>
        <v/>
      </c>
    </row>
    <row r="813" spans="17:18" x14ac:dyDescent="0.25">
      <c r="Q813" t="str">
        <f>mapPRC!A884</f>
        <v>XTRABID</v>
      </c>
      <c r="R813" t="str">
        <f>IFERROR(INDEX($AD$7:$AD$88,MATCH(mapPRC!C884,$AC$7:$AC$88,0)),"")</f>
        <v/>
      </c>
    </row>
    <row r="814" spans="17:18" x14ac:dyDescent="0.25">
      <c r="Q814" t="str">
        <f>mapPRC!A885</f>
        <v>XTRABIE</v>
      </c>
      <c r="R814" t="str">
        <f>IFERROR(INDEX($AD$7:$AD$88,MATCH(mapPRC!C885,$AC$7:$AC$88,0)),"")</f>
        <v/>
      </c>
    </row>
    <row r="815" spans="17:18" x14ac:dyDescent="0.25">
      <c r="Q815" t="str">
        <f>mapPRC!A886</f>
        <v>XTRAELC</v>
      </c>
      <c r="R815" t="str">
        <f>IFERROR(INDEX($AD$7:$AD$88,MATCH(mapPRC!C886,$AC$7:$AC$88,0)),"")</f>
        <v>elec</v>
      </c>
    </row>
    <row r="816" spans="17:18" x14ac:dyDescent="0.25">
      <c r="Q816" t="str">
        <f>mapPRC!A887</f>
        <v>XTRAEVF</v>
      </c>
      <c r="R816" t="str">
        <f>IFERROR(INDEX($AD$7:$AD$88,MATCH(mapPRC!C887,$AC$7:$AC$88,0)),"")</f>
        <v/>
      </c>
    </row>
    <row r="817" spans="17:18" x14ac:dyDescent="0.25">
      <c r="Q817" t="str">
        <f>mapPRC!A888</f>
        <v>XTRAEVP</v>
      </c>
      <c r="R817" t="str">
        <f>IFERROR(INDEX($AD$7:$AD$88,MATCH(mapPRC!C888,$AC$7:$AC$88,0)),"")</f>
        <v/>
      </c>
    </row>
    <row r="818" spans="17:18" x14ac:dyDescent="0.25">
      <c r="Q818" t="str">
        <f>mapPRC!A889</f>
        <v>XTRAGAS</v>
      </c>
      <c r="R818" t="str">
        <f>IFERROR(INDEX($AD$7:$AD$88,MATCH(mapPRC!C889,$AC$7:$AC$88,0)),"")</f>
        <v/>
      </c>
    </row>
    <row r="819" spans="17:18" x14ac:dyDescent="0.25">
      <c r="Q819" t="str">
        <f>mapPRC!A890</f>
        <v>XTRAHGN</v>
      </c>
      <c r="R819" t="str">
        <f>IFERROR(INDEX($AD$7:$AD$88,MATCH(mapPRC!C890,$AC$7:$AC$88,0)),"")</f>
        <v/>
      </c>
    </row>
    <row r="820" spans="17:18" x14ac:dyDescent="0.25">
      <c r="Q820" t="str">
        <f>mapPRC!A891</f>
        <v>XTRAOAG</v>
      </c>
      <c r="R820" t="str">
        <f>IFERROR(INDEX($AD$7:$AD$88,MATCH(mapPRC!C891,$AC$7:$AC$88,0)),"")</f>
        <v/>
      </c>
    </row>
    <row r="821" spans="17:18" x14ac:dyDescent="0.25">
      <c r="Q821" t="str">
        <f>mapPRC!A892</f>
        <v>XTRAODS</v>
      </c>
      <c r="R821" t="str">
        <f>IFERROR(INDEX($AD$7:$AD$88,MATCH(mapPRC!C892,$AC$7:$AC$88,0)),"")</f>
        <v/>
      </c>
    </row>
    <row r="822" spans="17:18" x14ac:dyDescent="0.25">
      <c r="Q822" t="str">
        <f>mapPRC!A893</f>
        <v>XTRAOGS</v>
      </c>
      <c r="R822" t="str">
        <f>IFERROR(INDEX($AD$7:$AD$88,MATCH(mapPRC!C893,$AC$7:$AC$88,0)),"")</f>
        <v/>
      </c>
    </row>
    <row r="823" spans="17:18" x14ac:dyDescent="0.25">
      <c r="Q823" t="str">
        <f>mapPRC!A894</f>
        <v>XTRAOHF</v>
      </c>
      <c r="R823" t="str">
        <f>IFERROR(INDEX($AD$7:$AD$88,MATCH(mapPRC!C894,$AC$7:$AC$88,0)),"")</f>
        <v/>
      </c>
    </row>
    <row r="824" spans="17:18" x14ac:dyDescent="0.25">
      <c r="Q824" t="str">
        <f>mapPRC!A895</f>
        <v>XTRAOKE</v>
      </c>
      <c r="R824" t="str">
        <f>IFERROR(INDEX($AD$7:$AD$88,MATCH(mapPRC!C895,$AC$7:$AC$88,0)),"")</f>
        <v/>
      </c>
    </row>
    <row r="825" spans="17:18" x14ac:dyDescent="0.25">
      <c r="Q825" t="str">
        <f>mapPRC!A896</f>
        <v>XUPSBID</v>
      </c>
      <c r="R825" t="str">
        <f>IFERROR(INDEX($AD$7:$AD$88,MATCH(mapPRC!C896,$AC$7:$AC$88,0)),"")</f>
        <v/>
      </c>
    </row>
    <row r="826" spans="17:18" x14ac:dyDescent="0.25">
      <c r="Q826" t="str">
        <f>mapPRC!A897</f>
        <v>XUPSBIE</v>
      </c>
      <c r="R826" t="str">
        <f>IFERROR(INDEX($AD$7:$AD$88,MATCH(mapPRC!C897,$AC$7:$AC$88,0)),"")</f>
        <v/>
      </c>
    </row>
    <row r="827" spans="17:18" x14ac:dyDescent="0.25">
      <c r="Q827" t="str">
        <f>mapPRC!A898</f>
        <v>XUPSCLE</v>
      </c>
      <c r="R827" t="str">
        <f>IFERROR(INDEX($AD$7:$AD$88,MATCH(mapPRC!C898,$AC$7:$AC$88,0)),"")</f>
        <v/>
      </c>
    </row>
    <row r="828" spans="17:18" x14ac:dyDescent="0.25">
      <c r="Q828" t="str">
        <f>mapPRC!A899</f>
        <v>XUPSCLE-S</v>
      </c>
      <c r="R828" t="str">
        <f>IFERROR(INDEX($AD$7:$AD$88,MATCH(mapPRC!C899,$AC$7:$AC$88,0)),"")</f>
        <v/>
      </c>
    </row>
    <row r="829" spans="17:18" x14ac:dyDescent="0.25">
      <c r="Q829" t="str">
        <f>mapPRC!A900</f>
        <v>XUPSELC</v>
      </c>
      <c r="R829" t="str">
        <f>IFERROR(INDEX($AD$7:$AD$88,MATCH(mapPRC!C900,$AC$7:$AC$88,0)),"")</f>
        <v>elec</v>
      </c>
    </row>
    <row r="830" spans="17:18" x14ac:dyDescent="0.25">
      <c r="Q830" t="str">
        <f>mapPRC!A901</f>
        <v>XUPSGAS</v>
      </c>
      <c r="R830" t="str">
        <f>IFERROR(INDEX($AD$7:$AD$88,MATCH(mapPRC!C901,$AC$7:$AC$88,0)),"")</f>
        <v/>
      </c>
    </row>
    <row r="831" spans="17:18" x14ac:dyDescent="0.25">
      <c r="Q831" t="str">
        <f>mapPRC!A902</f>
        <v>XUPSGIC</v>
      </c>
      <c r="R831" t="str">
        <f>IFERROR(INDEX($AD$7:$AD$88,MATCH(mapPRC!C902,$AC$7:$AC$88,0)),"")</f>
        <v/>
      </c>
    </row>
    <row r="832" spans="17:18" x14ac:dyDescent="0.25">
      <c r="Q832" t="str">
        <f>mapPRC!A903</f>
        <v>XUPSHEE</v>
      </c>
      <c r="R832" t="str">
        <f>IFERROR(INDEX($AD$7:$AD$88,MATCH(mapPRC!C903,$AC$7:$AC$88,0)),"")</f>
        <v/>
      </c>
    </row>
    <row r="833" spans="17:18" x14ac:dyDescent="0.25">
      <c r="Q833" t="str">
        <f>mapPRC!A904</f>
        <v>XUPSHEN</v>
      </c>
      <c r="R833" t="str">
        <f>IFERROR(INDEX($AD$7:$AD$88,MATCH(mapPRC!C904,$AC$7:$AC$88,0)),"")</f>
        <v/>
      </c>
    </row>
    <row r="834" spans="17:18" x14ac:dyDescent="0.25">
      <c r="Q834" t="str">
        <f>mapPRC!A905</f>
        <v>XUPSOCR</v>
      </c>
      <c r="R834" t="str">
        <f>IFERROR(INDEX($AD$7:$AD$88,MATCH(mapPRC!C905,$AC$7:$AC$88,0)),"")</f>
        <v/>
      </c>
    </row>
    <row r="835" spans="17:18" x14ac:dyDescent="0.25">
      <c r="Q835" t="str">
        <f>mapPRC!A906</f>
        <v>XUPSOHF</v>
      </c>
      <c r="R835" t="str">
        <f>IFERROR(INDEX($AD$7:$AD$88,MATCH(mapPRC!C906,$AC$7:$AC$88,0)),"")</f>
        <v/>
      </c>
    </row>
    <row r="836" spans="17:18" x14ac:dyDescent="0.25">
      <c r="Q836" t="str">
        <f>mapPRC!A907</f>
        <v>ZZBKELCC</v>
      </c>
      <c r="R836" t="str">
        <f>IFERROR(INDEX($AD$7:$AD$88,MATCH(mapPRC!C907,$AC$7:$AC$88,0)),"")</f>
        <v/>
      </c>
    </row>
    <row r="837" spans="17:18" x14ac:dyDescent="0.25">
      <c r="Q837" t="str">
        <f>mapPRC!A908</f>
        <v>ZZBKNRG</v>
      </c>
      <c r="R837" t="str">
        <f>IFERROR(INDEX($AD$7:$AD$88,MATCH(mapPRC!C908,$AC$7:$AC$88,0)),"")</f>
        <v/>
      </c>
    </row>
    <row r="838" spans="17:18" x14ac:dyDescent="0.25">
      <c r="Q838" t="str">
        <f>mapPRC!A909</f>
        <v>ZZCOMCEC</v>
      </c>
      <c r="R838" t="str">
        <f>IFERROR(INDEX($AD$7:$AD$88,MATCH(mapPRC!C909,$AC$7:$AC$88,0)),"")</f>
        <v/>
      </c>
    </row>
    <row r="839" spans="17:18" x14ac:dyDescent="0.25">
      <c r="Q839" t="str">
        <f>mapPRC!A910</f>
        <v>ZZCOMCEG</v>
      </c>
      <c r="R839" t="str">
        <f>IFERROR(INDEX($AD$7:$AD$88,MATCH(mapPRC!C910,$AC$7:$AC$88,0)),"")</f>
        <v/>
      </c>
    </row>
    <row r="840" spans="17:18" x14ac:dyDescent="0.25">
      <c r="Q840" t="str">
        <f>mapPRC!A911</f>
        <v>ZZCOMCEH</v>
      </c>
      <c r="R840" t="str">
        <f>IFERROR(INDEX($AD$7:$AD$88,MATCH(mapPRC!C911,$AC$7:$AC$88,0)),"")</f>
        <v/>
      </c>
    </row>
    <row r="841" spans="17:18" x14ac:dyDescent="0.25">
      <c r="Q841" t="str">
        <f>mapPRC!A912</f>
        <v>ZZCOMCEK</v>
      </c>
      <c r="R841" t="str">
        <f>IFERROR(INDEX($AD$7:$AD$88,MATCH(mapPRC!C912,$AC$7:$AC$88,0)),"")</f>
        <v/>
      </c>
    </row>
    <row r="842" spans="17:18" x14ac:dyDescent="0.25">
      <c r="Q842" t="str">
        <f>mapPRC!A913</f>
        <v>ZZCOMCEL</v>
      </c>
      <c r="R842" t="str">
        <f>IFERROR(INDEX($AD$7:$AD$88,MATCH(mapPRC!C913,$AC$7:$AC$88,0)),"")</f>
        <v/>
      </c>
    </row>
    <row r="843" spans="17:18" x14ac:dyDescent="0.25">
      <c r="Q843" t="str">
        <f>mapPRC!A914</f>
        <v>ZZCOMCEO</v>
      </c>
      <c r="R843" t="str">
        <f>IFERROR(INDEX($AD$7:$AD$88,MATCH(mapPRC!C914,$AC$7:$AC$88,0)),"")</f>
        <v/>
      </c>
    </row>
    <row r="844" spans="17:18" x14ac:dyDescent="0.25">
      <c r="Q844" t="str">
        <f>mapPRC!A915</f>
        <v>ZZCOMCER</v>
      </c>
      <c r="R844" t="str">
        <f>IFERROR(INDEX($AD$7:$AD$88,MATCH(mapPRC!C915,$AC$7:$AC$88,0)),"")</f>
        <v/>
      </c>
    </row>
    <row r="845" spans="17:18" x14ac:dyDescent="0.25">
      <c r="Q845" t="str">
        <f>mapPRC!A916</f>
        <v>ZZCOMCET</v>
      </c>
      <c r="R845" t="str">
        <f>IFERROR(INDEX($AD$7:$AD$88,MATCH(mapPRC!C916,$AC$7:$AC$88,0)),"")</f>
        <v/>
      </c>
    </row>
    <row r="846" spans="17:18" x14ac:dyDescent="0.25">
      <c r="Q846" t="str">
        <f>mapPRC!A917</f>
        <v>ZZCOMCEW</v>
      </c>
      <c r="R846" t="str">
        <f>IFERROR(INDEX($AD$7:$AD$88,MATCH(mapPRC!C917,$AC$7:$AC$88,0)),"")</f>
        <v/>
      </c>
    </row>
    <row r="847" spans="17:18" x14ac:dyDescent="0.25">
      <c r="Q847" t="str">
        <f>mapPRC!A918</f>
        <v>ZZRHEH</v>
      </c>
      <c r="R847" t="str">
        <f>IFERROR(INDEX($AD$7:$AD$88,MATCH(mapPRC!C918,$AC$7:$AC$88,0)),"")</f>
        <v/>
      </c>
    </row>
    <row r="848" spans="17:18" x14ac:dyDescent="0.25">
      <c r="Q848" t="str">
        <f>mapPRC!A919</f>
        <v>ZZRHEK</v>
      </c>
      <c r="R848" t="str">
        <f>IFERROR(INDEX($AD$7:$AD$88,MATCH(mapPRC!C919,$AC$7:$AC$88,0)),"")</f>
        <v/>
      </c>
    </row>
    <row r="849" spans="17:18" x14ac:dyDescent="0.25">
      <c r="Q849" t="str">
        <f>mapPRC!A920</f>
        <v>ZZRHEL</v>
      </c>
      <c r="R849" t="str">
        <f>IFERROR(INDEX($AD$7:$AD$88,MATCH(mapPRC!C920,$AC$7:$AC$88,0)),"")</f>
        <v/>
      </c>
    </row>
    <row r="850" spans="17:18" x14ac:dyDescent="0.25">
      <c r="Q850" t="str">
        <f>mapPRC!A921</f>
        <v>ZZRHEN</v>
      </c>
      <c r="R850" t="str">
        <f>IFERROR(INDEX($AD$7:$AD$88,MATCH(mapPRC!C921,$AC$7:$AC$88,0)),"")</f>
        <v/>
      </c>
    </row>
    <row r="851" spans="17:18" x14ac:dyDescent="0.25">
      <c r="Q851" t="str">
        <f>mapPRC!A922</f>
        <v>ZZRHEO</v>
      </c>
      <c r="R851" t="str">
        <f>IFERROR(INDEX($AD$7:$AD$88,MATCH(mapPRC!C922,$AC$7:$AC$88,0)),"")</f>
        <v/>
      </c>
    </row>
    <row r="852" spans="17:18" x14ac:dyDescent="0.25">
      <c r="Q852" t="str">
        <f>mapPRC!A923</f>
        <v>ZZRHER</v>
      </c>
      <c r="R852" t="str">
        <f>IFERROR(INDEX($AD$7:$AD$88,MATCH(mapPRC!C923,$AC$7:$AC$88,0)),"")</f>
        <v/>
      </c>
    </row>
    <row r="853" spans="17:18" x14ac:dyDescent="0.25">
      <c r="Q853" t="str">
        <f>mapPRC!A924</f>
        <v>ZZRHEW</v>
      </c>
      <c r="R853" t="str">
        <f>IFERROR(INDEX($AD$7:$AD$88,MATCH(mapPRC!C924,$AC$7:$AC$88,0)),"")</f>
        <v/>
      </c>
    </row>
    <row r="854" spans="17:18" x14ac:dyDescent="0.25">
      <c r="Q854" t="str">
        <f>mapPRC!A925</f>
        <v>ZZRHEWG</v>
      </c>
      <c r="R854" t="str">
        <f>IFERROR(INDEX($AD$7:$AD$88,MATCH(mapPRC!C925,$AC$7:$AC$88,0)),"")</f>
        <v/>
      </c>
    </row>
    <row r="855" spans="17:18" x14ac:dyDescent="0.25">
      <c r="Q855" t="str">
        <f>mapPRC!A926</f>
        <v>ZZRLEH</v>
      </c>
      <c r="R855" t="str">
        <f>IFERROR(INDEX($AD$7:$AD$88,MATCH(mapPRC!C926,$AC$7:$AC$88,0)),"")</f>
        <v/>
      </c>
    </row>
    <row r="856" spans="17:18" x14ac:dyDescent="0.25">
      <c r="Q856" t="str">
        <f>mapPRC!A927</f>
        <v>ZZRLEK</v>
      </c>
      <c r="R856" t="str">
        <f>IFERROR(INDEX($AD$7:$AD$88,MATCH(mapPRC!C927,$AC$7:$AC$88,0)),"")</f>
        <v/>
      </c>
    </row>
    <row r="857" spans="17:18" x14ac:dyDescent="0.25">
      <c r="Q857" t="str">
        <f>mapPRC!A928</f>
        <v>ZZRLEL</v>
      </c>
      <c r="R857" t="str">
        <f>IFERROR(INDEX($AD$7:$AD$88,MATCH(mapPRC!C928,$AC$7:$AC$88,0)),"")</f>
        <v/>
      </c>
    </row>
    <row r="858" spans="17:18" x14ac:dyDescent="0.25">
      <c r="Q858" t="str">
        <f>mapPRC!A929</f>
        <v>ZZRLEN</v>
      </c>
      <c r="R858" t="str">
        <f>IFERROR(INDEX($AD$7:$AD$88,MATCH(mapPRC!C929,$AC$7:$AC$88,0)),"")</f>
        <v/>
      </c>
    </row>
    <row r="859" spans="17:18" x14ac:dyDescent="0.25">
      <c r="Q859" t="str">
        <f>mapPRC!A930</f>
        <v>ZZRLEO</v>
      </c>
      <c r="R859" t="str">
        <f>IFERROR(INDEX($AD$7:$AD$88,MATCH(mapPRC!C930,$AC$7:$AC$88,0)),"")</f>
        <v/>
      </c>
    </row>
    <row r="860" spans="17:18" x14ac:dyDescent="0.25">
      <c r="Q860" t="str">
        <f>mapPRC!A931</f>
        <v>ZZRLER</v>
      </c>
      <c r="R860" t="str">
        <f>IFERROR(INDEX($AD$7:$AD$88,MATCH(mapPRC!C931,$AC$7:$AC$88,0)),"")</f>
        <v/>
      </c>
    </row>
    <row r="861" spans="17:18" x14ac:dyDescent="0.25">
      <c r="Q861" t="str">
        <f>mapPRC!A932</f>
        <v>ZZRLEW</v>
      </c>
      <c r="R861" t="str">
        <f>IFERROR(INDEX($AD$7:$AD$88,MATCH(mapPRC!C932,$AC$7:$AC$88,0)),"")</f>
        <v/>
      </c>
    </row>
    <row r="862" spans="17:18" x14ac:dyDescent="0.25">
      <c r="Q862" t="str">
        <f>mapPRC!A933</f>
        <v>ZZRLEWG</v>
      </c>
      <c r="R862" t="str">
        <f>IFERROR(INDEX($AD$7:$AD$88,MATCH(mapPRC!C933,$AC$7:$AC$88,0)),"")</f>
        <v/>
      </c>
    </row>
    <row r="863" spans="17:18" x14ac:dyDescent="0.25">
      <c r="Q863" t="str">
        <f>mapPRC!A934</f>
        <v>ZZRLNH</v>
      </c>
      <c r="R863" t="str">
        <f>IFERROR(INDEX($AD$7:$AD$88,MATCH(mapPRC!C934,$AC$7:$AC$88,0)),"")</f>
        <v/>
      </c>
    </row>
    <row r="864" spans="17:18" x14ac:dyDescent="0.25">
      <c r="Q864" t="str">
        <f>mapPRC!A935</f>
        <v>ZZRLNK</v>
      </c>
      <c r="R864" t="str">
        <f>IFERROR(INDEX($AD$7:$AD$88,MATCH(mapPRC!C935,$AC$7:$AC$88,0)),"")</f>
        <v/>
      </c>
    </row>
    <row r="865" spans="17:18" x14ac:dyDescent="0.25">
      <c r="Q865" t="str">
        <f>mapPRC!A936</f>
        <v>ZZRLNL</v>
      </c>
      <c r="R865" t="str">
        <f>IFERROR(INDEX($AD$7:$AD$88,MATCH(mapPRC!C936,$AC$7:$AC$88,0)),"")</f>
        <v/>
      </c>
    </row>
    <row r="866" spans="17:18" x14ac:dyDescent="0.25">
      <c r="Q866" t="str">
        <f>mapPRC!A937</f>
        <v>ZZRLNN</v>
      </c>
      <c r="R866" t="str">
        <f>IFERROR(INDEX($AD$7:$AD$88,MATCH(mapPRC!C937,$AC$7:$AC$88,0)),"")</f>
        <v/>
      </c>
    </row>
    <row r="867" spans="17:18" x14ac:dyDescent="0.25">
      <c r="Q867" t="str">
        <f>mapPRC!A938</f>
        <v>ZZRLNW</v>
      </c>
      <c r="R867" t="str">
        <f>IFERROR(INDEX($AD$7:$AD$88,MATCH(mapPRC!C938,$AC$7:$AC$88,0)),"")</f>
        <v/>
      </c>
    </row>
    <row r="868" spans="17:18" x14ac:dyDescent="0.25">
      <c r="Q868" t="str">
        <f>mapPRC!A939</f>
        <v>ZZRMEH</v>
      </c>
      <c r="R868" t="str">
        <f>IFERROR(INDEX($AD$7:$AD$88,MATCH(mapPRC!C939,$AC$7:$AC$88,0)),"")</f>
        <v/>
      </c>
    </row>
    <row r="869" spans="17:18" x14ac:dyDescent="0.25">
      <c r="Q869" t="str">
        <f>mapPRC!A940</f>
        <v>ZZRMEK</v>
      </c>
      <c r="R869" t="str">
        <f>IFERROR(INDEX($AD$7:$AD$88,MATCH(mapPRC!C940,$AC$7:$AC$88,0)),"")</f>
        <v/>
      </c>
    </row>
    <row r="870" spans="17:18" x14ac:dyDescent="0.25">
      <c r="Q870" t="str">
        <f>mapPRC!A941</f>
        <v>ZZRMEL</v>
      </c>
      <c r="R870" t="str">
        <f>IFERROR(INDEX($AD$7:$AD$88,MATCH(mapPRC!C941,$AC$7:$AC$88,0)),"")</f>
        <v/>
      </c>
    </row>
    <row r="871" spans="17:18" x14ac:dyDescent="0.25">
      <c r="Q871" t="str">
        <f>mapPRC!A942</f>
        <v>ZZRMEN</v>
      </c>
      <c r="R871" t="str">
        <f>IFERROR(INDEX($AD$7:$AD$88,MATCH(mapPRC!C942,$AC$7:$AC$88,0)),"")</f>
        <v/>
      </c>
    </row>
    <row r="872" spans="17:18" x14ac:dyDescent="0.25">
      <c r="Q872" t="str">
        <f>mapPRC!A943</f>
        <v>ZZRMEO</v>
      </c>
      <c r="R872" t="str">
        <f>IFERROR(INDEX($AD$7:$AD$88,MATCH(mapPRC!C943,$AC$7:$AC$88,0)),"")</f>
        <v/>
      </c>
    </row>
    <row r="873" spans="17:18" x14ac:dyDescent="0.25">
      <c r="Q873" t="str">
        <f>mapPRC!A944</f>
        <v>ZZRMER</v>
      </c>
      <c r="R873" t="str">
        <f>IFERROR(INDEX($AD$7:$AD$88,MATCH(mapPRC!C944,$AC$7:$AC$88,0)),"")</f>
        <v/>
      </c>
    </row>
    <row r="874" spans="17:18" x14ac:dyDescent="0.25">
      <c r="Q874" t="str">
        <f>mapPRC!A945</f>
        <v>ZZRMEW</v>
      </c>
      <c r="R874" t="str">
        <f>IFERROR(INDEX($AD$7:$AD$88,MATCH(mapPRC!C945,$AC$7:$AC$88,0)),"")</f>
        <v/>
      </c>
    </row>
    <row r="875" spans="17:18" x14ac:dyDescent="0.25">
      <c r="Q875" t="str">
        <f>mapPRC!A946</f>
        <v>ZZRMEWG</v>
      </c>
      <c r="R875" t="str">
        <f>IFERROR(INDEX($AD$7:$AD$88,MATCH(mapPRC!C946,$AC$7:$AC$88,0)),"")</f>
        <v/>
      </c>
    </row>
    <row r="876" spans="17:18" x14ac:dyDescent="0.25">
      <c r="Q876" t="str">
        <f>mapPRC!A947</f>
        <v>ZZRMNH</v>
      </c>
      <c r="R876" t="str">
        <f>IFERROR(INDEX($AD$7:$AD$88,MATCH(mapPRC!C947,$AC$7:$AC$88,0)),"")</f>
        <v/>
      </c>
    </row>
    <row r="877" spans="17:18" x14ac:dyDescent="0.25">
      <c r="Q877" t="str">
        <f>mapPRC!A948</f>
        <v>ZZRMNK</v>
      </c>
      <c r="R877" t="str">
        <f>IFERROR(INDEX($AD$7:$AD$88,MATCH(mapPRC!C948,$AC$7:$AC$88,0)),"")</f>
        <v/>
      </c>
    </row>
    <row r="878" spans="17:18" x14ac:dyDescent="0.25">
      <c r="Q878" t="str">
        <f>mapPRC!A949</f>
        <v>ZZRMNL</v>
      </c>
      <c r="R878" t="str">
        <f>IFERROR(INDEX($AD$7:$AD$88,MATCH(mapPRC!C949,$AC$7:$AC$88,0)),"")</f>
        <v/>
      </c>
    </row>
    <row r="879" spans="17:18" x14ac:dyDescent="0.25">
      <c r="Q879" t="str">
        <f>mapPRC!A950</f>
        <v>ZZRMNN</v>
      </c>
      <c r="R879" t="str">
        <f>IFERROR(INDEX($AD$7:$AD$88,MATCH(mapPRC!C950,$AC$7:$AC$88,0)),"")</f>
        <v/>
      </c>
    </row>
    <row r="880" spans="17:18" x14ac:dyDescent="0.25">
      <c r="Q880" t="str">
        <f>mapPRC!A951</f>
        <v>ZZRMNW</v>
      </c>
      <c r="R880" t="str">
        <f>IFERROR(INDEX($AD$7:$AD$88,MATCH(mapPRC!C951,$AC$7:$AC$88,0)),"")</f>
        <v/>
      </c>
    </row>
    <row r="881" spans="18:18" x14ac:dyDescent="0.25">
      <c r="R881" t="str">
        <f>IFERROR(INDEX($AD$7:$AD$88,MATCH(mapPRC!C952,$AC$7:$AC$88,0)),"")</f>
        <v/>
      </c>
    </row>
    <row r="882" spans="18:18" x14ac:dyDescent="0.25">
      <c r="R882" t="str">
        <f>IFERROR(INDEX($AD$7:$AD$88,MATCH(mapPRC!C953,$AC$7:$AC$88,0)),"")</f>
        <v/>
      </c>
    </row>
    <row r="883" spans="18:18" x14ac:dyDescent="0.25">
      <c r="R883" t="str">
        <f>IFERROR(INDEX($AD$7:$AD$88,MATCH(mapPRC!C954,$AC$7:$AC$88,0)),"")</f>
        <v/>
      </c>
    </row>
    <row r="884" spans="18:18" x14ac:dyDescent="0.25">
      <c r="R884" t="str">
        <f>IFERROR(INDEX($AD$7:$AD$88,MATCH(mapPRC!C955,$AC$7:$AC$88,0)),"")</f>
        <v/>
      </c>
    </row>
    <row r="885" spans="18:18" x14ac:dyDescent="0.25">
      <c r="R885" t="str">
        <f>IFERROR(INDEX($AD$7:$AD$88,MATCH(mapPRC!C956,$AC$7:$AC$88,0)),"")</f>
        <v/>
      </c>
    </row>
    <row r="886" spans="18:18" x14ac:dyDescent="0.25">
      <c r="R886" t="str">
        <f>IFERROR(INDEX($AD$7:$AD$88,MATCH(mapPRC!C957,$AC$7:$AC$88,0)),"")</f>
        <v/>
      </c>
    </row>
    <row r="887" spans="18:18" x14ac:dyDescent="0.25">
      <c r="R887" t="str">
        <f>IFERROR(INDEX($AD$7:$AD$88,MATCH(mapPRC!C958,$AC$7:$AC$88,0)),"")</f>
        <v/>
      </c>
    </row>
    <row r="888" spans="18:18" x14ac:dyDescent="0.25">
      <c r="R888" t="str">
        <f>IFERROR(INDEX($AD$7:$AD$88,MATCH(mapPRC!C959,$AC$7:$AC$88,0)),"")</f>
        <v/>
      </c>
    </row>
    <row r="889" spans="18:18" x14ac:dyDescent="0.25">
      <c r="R889" t="str">
        <f>IFERROR(INDEX($AD$7:$AD$88,MATCH(mapPRC!C960,$AC$7:$AC$88,0)),"")</f>
        <v/>
      </c>
    </row>
    <row r="890" spans="18:18" x14ac:dyDescent="0.25">
      <c r="R890" t="str">
        <f>IFERROR(INDEX($AD$7:$AD$88,MATCH(mapPRC!C961,$AC$7:$AC$88,0)),"")</f>
        <v/>
      </c>
    </row>
    <row r="891" spans="18:18" x14ac:dyDescent="0.25">
      <c r="R891" t="str">
        <f>IFERROR(INDEX($AD$7:$AD$88,MATCH(mapPRC!C962,$AC$7:$AC$88,0)),"")</f>
        <v/>
      </c>
    </row>
    <row r="892" spans="18:18" x14ac:dyDescent="0.25">
      <c r="R892" t="str">
        <f>IFERROR(INDEX($AD$7:$AD$88,MATCH(mapPRC!C963,$AC$7:$AC$88,0)),"")</f>
        <v/>
      </c>
    </row>
    <row r="893" spans="18:18" x14ac:dyDescent="0.25">
      <c r="R893" t="str">
        <f>IFERROR(INDEX($AD$7:$AD$88,MATCH(mapPRC!C964,$AC$7:$AC$88,0)),"")</f>
        <v/>
      </c>
    </row>
    <row r="894" spans="18:18" x14ac:dyDescent="0.25">
      <c r="R894" t="str">
        <f>IFERROR(INDEX($AD$7:$AD$88,MATCH(mapPRC!C965,$AC$7:$AC$88,0)),"")</f>
        <v/>
      </c>
    </row>
    <row r="895" spans="18:18" x14ac:dyDescent="0.25">
      <c r="R895" t="str">
        <f>IFERROR(INDEX($AD$7:$AD$88,MATCH(mapPRC!C966,$AC$7:$AC$88,0)),"")</f>
        <v/>
      </c>
    </row>
    <row r="896" spans="18:18" x14ac:dyDescent="0.25">
      <c r="R896" t="str">
        <f>IFERROR(INDEX($AD$7:$AD$88,MATCH(mapPRC!C967,$AC$7:$AC$88,0)),"")</f>
        <v/>
      </c>
    </row>
    <row r="897" spans="18:18" x14ac:dyDescent="0.25">
      <c r="R897" t="str">
        <f>IFERROR(INDEX($AD$7:$AD$88,MATCH(mapPRC!C968,$AC$7:$AC$88,0)),"")</f>
        <v/>
      </c>
    </row>
    <row r="898" spans="18:18" x14ac:dyDescent="0.25">
      <c r="R898" t="str">
        <f>IFERROR(INDEX($AD$7:$AD$88,MATCH(mapPRC!C969,$AC$7:$AC$88,0)),"")</f>
        <v/>
      </c>
    </row>
    <row r="899" spans="18:18" x14ac:dyDescent="0.25">
      <c r="R899" t="str">
        <f>IFERROR(INDEX($AD$7:$AD$88,MATCH(mapPRC!C970,$AC$7:$AC$88,0)),"")</f>
        <v/>
      </c>
    </row>
    <row r="900" spans="18:18" x14ac:dyDescent="0.25">
      <c r="R900" t="str">
        <f>IFERROR(INDEX($AD$7:$AD$88,MATCH(mapPRC!C971,$AC$7:$AC$88,0)),"")</f>
        <v/>
      </c>
    </row>
    <row r="901" spans="18:18" x14ac:dyDescent="0.25">
      <c r="R901" t="str">
        <f>IFERROR(INDEX($AD$7:$AD$88,MATCH(mapPRC!C972,$AC$7:$AC$88,0)),"")</f>
        <v/>
      </c>
    </row>
    <row r="902" spans="18:18" x14ac:dyDescent="0.25">
      <c r="R902" t="str">
        <f>IFERROR(INDEX($AD$7:$AD$88,MATCH(mapPRC!C973,$AC$7:$AC$88,0)),"")</f>
        <v/>
      </c>
    </row>
    <row r="903" spans="18:18" x14ac:dyDescent="0.25">
      <c r="R903" t="str">
        <f>IFERROR(INDEX($AD$7:$AD$88,MATCH(mapPRC!C974,$AC$7:$AC$88,0)),"")</f>
        <v/>
      </c>
    </row>
    <row r="904" spans="18:18" x14ac:dyDescent="0.25">
      <c r="R904" t="str">
        <f>IFERROR(INDEX($AD$7:$AD$88,MATCH(mapPRC!C975,$AC$7:$AC$88,0)),"")</f>
        <v/>
      </c>
    </row>
    <row r="905" spans="18:18" x14ac:dyDescent="0.25">
      <c r="R905" t="str">
        <f>IFERROR(INDEX($AD$7:$AD$88,MATCH(mapPRC!C976,$AC$7:$AC$88,0)),"")</f>
        <v/>
      </c>
    </row>
    <row r="906" spans="18:18" x14ac:dyDescent="0.25">
      <c r="R906" t="str">
        <f>IFERROR(INDEX($AD$7:$AD$88,MATCH(mapPRC!C977,$AC$7:$AC$88,0)),"")</f>
        <v/>
      </c>
    </row>
    <row r="907" spans="18:18" x14ac:dyDescent="0.25">
      <c r="R907" t="str">
        <f>IFERROR(INDEX($AD$7:$AD$88,MATCH(mapPRC!C978,$AC$7:$AC$88,0)),"")</f>
        <v/>
      </c>
    </row>
    <row r="908" spans="18:18" x14ac:dyDescent="0.25">
      <c r="R908" t="str">
        <f>IFERROR(INDEX($AD$7:$AD$88,MATCH(mapPRC!C979,$AC$7:$AC$88,0)),"")</f>
        <v/>
      </c>
    </row>
    <row r="909" spans="18:18" x14ac:dyDescent="0.25">
      <c r="R909" t="str">
        <f>IFERROR(INDEX($AD$7:$AD$88,MATCH(mapPRC!C980,$AC$7:$AC$88,0)),"")</f>
        <v/>
      </c>
    </row>
    <row r="910" spans="18:18" x14ac:dyDescent="0.25">
      <c r="R910" t="str">
        <f>IFERROR(INDEX($AD$7:$AD$88,MATCH(mapPRC!C981,$AC$7:$AC$88,0)),"")</f>
        <v/>
      </c>
    </row>
    <row r="911" spans="18:18" x14ac:dyDescent="0.25">
      <c r="R911" t="str">
        <f>IFERROR(INDEX($AD$7:$AD$88,MATCH(mapPRC!C982,$AC$7:$AC$88,0)),"")</f>
        <v/>
      </c>
    </row>
  </sheetData>
  <autoFilter ref="A6:AD872" xr:uid="{5840DC9A-3776-4E58-B434-39C6A0E79E1E}"/>
  <sortState xmlns:xlrd2="http://schemas.microsoft.com/office/spreadsheetml/2017/richdata2" ref="AS1:AS933">
    <sortCondition ref="AS10"/>
  </sortState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6:C10"/>
  <sheetViews>
    <sheetView workbookViewId="0">
      <selection activeCell="A6" sqref="A6:C10"/>
    </sheetView>
  </sheetViews>
  <sheetFormatPr defaultRowHeight="15" x14ac:dyDescent="0.25"/>
  <sheetData>
    <row r="6" spans="1:3" x14ac:dyDescent="0.25">
      <c r="A6" s="2" t="s">
        <v>3326</v>
      </c>
    </row>
    <row r="7" spans="1:3" x14ac:dyDescent="0.25">
      <c r="B7" t="s">
        <v>3327</v>
      </c>
      <c r="C7" t="s">
        <v>3328</v>
      </c>
    </row>
    <row r="8" spans="1:3" x14ac:dyDescent="0.25">
      <c r="A8" t="s">
        <v>2849</v>
      </c>
      <c r="B8">
        <v>0</v>
      </c>
      <c r="C8">
        <v>19200</v>
      </c>
    </row>
    <row r="9" spans="1:3" x14ac:dyDescent="0.25">
      <c r="A9" t="s">
        <v>2851</v>
      </c>
      <c r="B9">
        <v>19200</v>
      </c>
      <c r="C9">
        <v>76800</v>
      </c>
    </row>
    <row r="10" spans="1:3" x14ac:dyDescent="0.25">
      <c r="A10" t="s">
        <v>2854</v>
      </c>
      <c r="B10">
        <v>76800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2020-08-20T15:04:14Z</dcterms:modified>
</cp:coreProperties>
</file>