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04\SetsAndMaps\"/>
    </mc:Choice>
  </mc:AlternateContent>
  <xr:revisionPtr revIDLastSave="0" documentId="13_ncr:1_{D799200A-7E64-4E82-A456-B26D32C2960D}" xr6:coauthVersionLast="44" xr6:coauthVersionMax="44" xr10:uidLastSave="{00000000-0000-0000-0000-000000000000}"/>
  <bookViews>
    <workbookView xWindow="0" yWindow="30" windowWidth="28770" windowHeight="1560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</sheets>
  <definedNames>
    <definedName name="_xlnm._FilterDatabase" localSheetId="3" hidden="1">IPCCMaps!$G$1:$K$54</definedName>
    <definedName name="_xlnm._FilterDatabase" localSheetId="2" hidden="1">mapCOM!$A$1:$D$443</definedName>
    <definedName name="_xlnm._FilterDatabase" localSheetId="1" hidden="1">mapPRC!$A$1:$I$875</definedName>
    <definedName name="_xlnm._FilterDatabase" localSheetId="5" hidden="1">OtherSets!$A$6:$X$872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1" i="1" l="1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87" i="6"/>
  <c r="L188" i="6"/>
  <c r="L191" i="6"/>
  <c r="L192" i="6"/>
  <c r="L204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565" i="6"/>
  <c r="L566" i="6"/>
  <c r="L567" i="6"/>
  <c r="L568" i="6"/>
  <c r="L569" i="6"/>
  <c r="L570" i="6"/>
  <c r="L571" i="6"/>
  <c r="L57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94" i="6"/>
  <c r="L695" i="6"/>
  <c r="L696" i="6"/>
  <c r="L697" i="6"/>
  <c r="L698" i="6"/>
  <c r="L699" i="6"/>
  <c r="L705" i="6"/>
  <c r="L706" i="6"/>
  <c r="L714" i="6"/>
  <c r="L715" i="6"/>
  <c r="L716" i="6"/>
  <c r="L717" i="6"/>
  <c r="L718" i="6"/>
  <c r="L719" i="6"/>
  <c r="L720" i="6"/>
  <c r="L721" i="6"/>
  <c r="L723" i="6"/>
  <c r="L724" i="6"/>
  <c r="L725" i="6"/>
  <c r="L726" i="6"/>
  <c r="L727" i="6"/>
  <c r="L728" i="6"/>
  <c r="L730" i="6"/>
  <c r="L731" i="6"/>
  <c r="L732" i="6"/>
  <c r="L733" i="6"/>
  <c r="L734" i="6"/>
  <c r="L735" i="6"/>
  <c r="L737" i="6"/>
  <c r="L739" i="6"/>
  <c r="L741" i="6"/>
  <c r="L742" i="6"/>
  <c r="L743" i="6"/>
  <c r="L744" i="6"/>
  <c r="L746" i="6"/>
  <c r="L747" i="6"/>
  <c r="L748" i="6"/>
  <c r="L749" i="6"/>
  <c r="L750" i="6"/>
  <c r="L751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8" i="6"/>
  <c r="L769" i="6"/>
  <c r="L770" i="6"/>
  <c r="L772" i="6"/>
  <c r="L773" i="6"/>
  <c r="L775" i="6"/>
  <c r="L776" i="6"/>
  <c r="L777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9" i="6"/>
  <c r="L810" i="6"/>
  <c r="L811" i="6"/>
  <c r="L812" i="6"/>
  <c r="L813" i="6"/>
  <c r="L814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AD445" i="6" l="1"/>
  <c r="AD446" i="6"/>
  <c r="AD447" i="6"/>
  <c r="AD448" i="6"/>
  <c r="AD444" i="6"/>
  <c r="AD452" i="6"/>
  <c r="AD453" i="6"/>
  <c r="AD454" i="6"/>
  <c r="AD455" i="6"/>
  <c r="AD456" i="6"/>
  <c r="AD451" i="6"/>
  <c r="O435" i="6"/>
  <c r="P435" i="6" s="1"/>
  <c r="O436" i="6"/>
  <c r="P436" i="6" s="1"/>
  <c r="O437" i="6"/>
  <c r="P437" i="6" s="1"/>
  <c r="O438" i="6"/>
  <c r="P438" i="6" s="1"/>
  <c r="O439" i="6"/>
  <c r="P439" i="6" s="1"/>
  <c r="O440" i="6"/>
  <c r="P440" i="6" s="1"/>
  <c r="O441" i="6"/>
  <c r="P441" i="6" s="1"/>
  <c r="O442" i="6"/>
  <c r="P442" i="6" s="1"/>
  <c r="O443" i="6"/>
  <c r="P443" i="6" s="1"/>
  <c r="O444" i="6"/>
  <c r="P444" i="6" s="1"/>
  <c r="O445" i="6"/>
  <c r="P445" i="6" s="1"/>
  <c r="O446" i="6"/>
  <c r="P446" i="6" s="1"/>
  <c r="O447" i="6"/>
  <c r="P447" i="6" s="1"/>
  <c r="O448" i="6"/>
  <c r="P448" i="6" s="1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90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O420" i="6"/>
  <c r="O421" i="6"/>
  <c r="O422" i="6"/>
  <c r="O423" i="6"/>
  <c r="O424" i="6"/>
  <c r="O425" i="6"/>
  <c r="O426" i="6"/>
  <c r="O427" i="6"/>
  <c r="O428" i="6"/>
  <c r="O429" i="6"/>
  <c r="O430" i="6"/>
  <c r="O431" i="6"/>
  <c r="O432" i="6"/>
  <c r="O433" i="6"/>
  <c r="O434" i="6"/>
  <c r="K861" i="6" l="1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F848" i="2"/>
  <c r="G848" i="2"/>
  <c r="H848" i="2"/>
  <c r="I848" i="2"/>
  <c r="F741" i="2"/>
  <c r="G741" i="2"/>
  <c r="H741" i="2"/>
  <c r="I741" i="2"/>
  <c r="I651" i="2"/>
  <c r="H651" i="2"/>
  <c r="G651" i="2"/>
  <c r="F651" i="2"/>
  <c r="I643" i="2"/>
  <c r="H643" i="2"/>
  <c r="G643" i="2"/>
  <c r="F643" i="2"/>
  <c r="F560" i="2"/>
  <c r="G560" i="2"/>
  <c r="H560" i="2"/>
  <c r="I560" i="2"/>
  <c r="F561" i="2"/>
  <c r="G561" i="2"/>
  <c r="H561" i="2"/>
  <c r="I561" i="2"/>
  <c r="F562" i="2"/>
  <c r="G562" i="2"/>
  <c r="H562" i="2"/>
  <c r="I562" i="2"/>
  <c r="F563" i="2"/>
  <c r="G563" i="2"/>
  <c r="H563" i="2"/>
  <c r="I563" i="2"/>
  <c r="F451" i="2"/>
  <c r="G451" i="2"/>
  <c r="H451" i="2"/>
  <c r="I451" i="2"/>
  <c r="F452" i="2"/>
  <c r="G452" i="2"/>
  <c r="H452" i="2"/>
  <c r="I452" i="2"/>
  <c r="F428" i="2"/>
  <c r="G428" i="2"/>
  <c r="H428" i="2"/>
  <c r="I428" i="2"/>
  <c r="F248" i="2"/>
  <c r="G248" i="2"/>
  <c r="H248" i="2"/>
  <c r="I248" i="2"/>
  <c r="F249" i="2"/>
  <c r="G249" i="2"/>
  <c r="H249" i="2"/>
  <c r="I249" i="2"/>
  <c r="F250" i="2"/>
  <c r="G250" i="2"/>
  <c r="H250" i="2"/>
  <c r="I250" i="2"/>
  <c r="F251" i="2"/>
  <c r="G251" i="2"/>
  <c r="H251" i="2"/>
  <c r="I251" i="2"/>
  <c r="F252" i="2"/>
  <c r="G252" i="2"/>
  <c r="H252" i="2"/>
  <c r="I252" i="2"/>
  <c r="F253" i="2"/>
  <c r="G253" i="2"/>
  <c r="H253" i="2"/>
  <c r="I253" i="2"/>
  <c r="J27" i="4"/>
  <c r="H201" i="2" s="1"/>
  <c r="F3" i="2"/>
  <c r="G3" i="2"/>
  <c r="I3" i="2"/>
  <c r="F4" i="2"/>
  <c r="G4" i="2"/>
  <c r="I4" i="2"/>
  <c r="F5" i="2"/>
  <c r="G5" i="2"/>
  <c r="I5" i="2"/>
  <c r="F6" i="2"/>
  <c r="G6" i="2"/>
  <c r="I6" i="2"/>
  <c r="F7" i="2"/>
  <c r="G7" i="2"/>
  <c r="I7" i="2"/>
  <c r="F8" i="2"/>
  <c r="G8" i="2"/>
  <c r="I8" i="2"/>
  <c r="F9" i="2"/>
  <c r="G9" i="2"/>
  <c r="I9" i="2"/>
  <c r="F10" i="2"/>
  <c r="G10" i="2"/>
  <c r="I10" i="2"/>
  <c r="F11" i="2"/>
  <c r="G11" i="2"/>
  <c r="I11" i="2"/>
  <c r="F12" i="2"/>
  <c r="G12" i="2"/>
  <c r="I12" i="2"/>
  <c r="F13" i="2"/>
  <c r="G13" i="2"/>
  <c r="I13" i="2"/>
  <c r="F14" i="2"/>
  <c r="G14" i="2"/>
  <c r="I14" i="2"/>
  <c r="F15" i="2"/>
  <c r="G15" i="2"/>
  <c r="I15" i="2"/>
  <c r="F16" i="2"/>
  <c r="G16" i="2"/>
  <c r="I16" i="2"/>
  <c r="F17" i="2"/>
  <c r="G17" i="2"/>
  <c r="I17" i="2"/>
  <c r="F18" i="2"/>
  <c r="G18" i="2"/>
  <c r="I18" i="2"/>
  <c r="F19" i="2"/>
  <c r="G19" i="2"/>
  <c r="I19" i="2"/>
  <c r="F20" i="2"/>
  <c r="G20" i="2"/>
  <c r="I20" i="2"/>
  <c r="F21" i="2"/>
  <c r="G21" i="2"/>
  <c r="I21" i="2"/>
  <c r="F22" i="2"/>
  <c r="G22" i="2"/>
  <c r="I22" i="2"/>
  <c r="F23" i="2"/>
  <c r="G23" i="2"/>
  <c r="I23" i="2"/>
  <c r="F24" i="2"/>
  <c r="G24" i="2"/>
  <c r="I24" i="2"/>
  <c r="F25" i="2"/>
  <c r="G25" i="2"/>
  <c r="I25" i="2"/>
  <c r="F26" i="2"/>
  <c r="G26" i="2"/>
  <c r="I26" i="2"/>
  <c r="F27" i="2"/>
  <c r="G27" i="2"/>
  <c r="I27" i="2"/>
  <c r="F28" i="2"/>
  <c r="G28" i="2"/>
  <c r="I28" i="2"/>
  <c r="F29" i="2"/>
  <c r="G29" i="2"/>
  <c r="I29" i="2"/>
  <c r="F30" i="2"/>
  <c r="G30" i="2"/>
  <c r="I30" i="2"/>
  <c r="F31" i="2"/>
  <c r="G31" i="2"/>
  <c r="I31" i="2"/>
  <c r="F32" i="2"/>
  <c r="G32" i="2"/>
  <c r="I32" i="2"/>
  <c r="F33" i="2"/>
  <c r="G33" i="2"/>
  <c r="I33" i="2"/>
  <c r="F34" i="2"/>
  <c r="G34" i="2"/>
  <c r="I34" i="2"/>
  <c r="F35" i="2"/>
  <c r="G35" i="2"/>
  <c r="I35" i="2"/>
  <c r="F36" i="2"/>
  <c r="G36" i="2"/>
  <c r="I36" i="2"/>
  <c r="F37" i="2"/>
  <c r="G37" i="2"/>
  <c r="I37" i="2"/>
  <c r="F38" i="2"/>
  <c r="G38" i="2"/>
  <c r="I38" i="2"/>
  <c r="F39" i="2"/>
  <c r="G39" i="2"/>
  <c r="I39" i="2"/>
  <c r="F40" i="2"/>
  <c r="G40" i="2"/>
  <c r="I40" i="2"/>
  <c r="F41" i="2"/>
  <c r="G41" i="2"/>
  <c r="I41" i="2"/>
  <c r="F42" i="2"/>
  <c r="G42" i="2"/>
  <c r="I42" i="2"/>
  <c r="F43" i="2"/>
  <c r="G43" i="2"/>
  <c r="I43" i="2"/>
  <c r="F44" i="2"/>
  <c r="G44" i="2"/>
  <c r="I44" i="2"/>
  <c r="F45" i="2"/>
  <c r="G45" i="2"/>
  <c r="I45" i="2"/>
  <c r="F46" i="2"/>
  <c r="G46" i="2"/>
  <c r="I46" i="2"/>
  <c r="F47" i="2"/>
  <c r="G47" i="2"/>
  <c r="I47" i="2"/>
  <c r="F48" i="2"/>
  <c r="G48" i="2"/>
  <c r="I48" i="2"/>
  <c r="F49" i="2"/>
  <c r="G49" i="2"/>
  <c r="I49" i="2"/>
  <c r="F50" i="2"/>
  <c r="G50" i="2"/>
  <c r="I50" i="2"/>
  <c r="F51" i="2"/>
  <c r="G51" i="2"/>
  <c r="I51" i="2"/>
  <c r="F52" i="2"/>
  <c r="G52" i="2"/>
  <c r="I52" i="2"/>
  <c r="F53" i="2"/>
  <c r="G53" i="2"/>
  <c r="I53" i="2"/>
  <c r="F54" i="2"/>
  <c r="G54" i="2"/>
  <c r="I54" i="2"/>
  <c r="F55" i="2"/>
  <c r="G55" i="2"/>
  <c r="I55" i="2"/>
  <c r="F56" i="2"/>
  <c r="G56" i="2"/>
  <c r="I56" i="2"/>
  <c r="F57" i="2"/>
  <c r="G57" i="2"/>
  <c r="I57" i="2"/>
  <c r="F58" i="2"/>
  <c r="G58" i="2"/>
  <c r="I58" i="2"/>
  <c r="F59" i="2"/>
  <c r="G59" i="2"/>
  <c r="I59" i="2"/>
  <c r="F60" i="2"/>
  <c r="G60" i="2"/>
  <c r="I60" i="2"/>
  <c r="F61" i="2"/>
  <c r="G61" i="2"/>
  <c r="I61" i="2"/>
  <c r="F62" i="2"/>
  <c r="G62" i="2"/>
  <c r="I62" i="2"/>
  <c r="F63" i="2"/>
  <c r="G63" i="2"/>
  <c r="I63" i="2"/>
  <c r="F64" i="2"/>
  <c r="G64" i="2"/>
  <c r="I64" i="2"/>
  <c r="F65" i="2"/>
  <c r="G65" i="2"/>
  <c r="I65" i="2"/>
  <c r="F66" i="2"/>
  <c r="G66" i="2"/>
  <c r="I66" i="2"/>
  <c r="F67" i="2"/>
  <c r="G67" i="2"/>
  <c r="I67" i="2"/>
  <c r="F68" i="2"/>
  <c r="G68" i="2"/>
  <c r="I68" i="2"/>
  <c r="F69" i="2"/>
  <c r="G69" i="2"/>
  <c r="I69" i="2"/>
  <c r="F70" i="2"/>
  <c r="G70" i="2"/>
  <c r="I70" i="2"/>
  <c r="F71" i="2"/>
  <c r="G71" i="2"/>
  <c r="I71" i="2"/>
  <c r="F72" i="2"/>
  <c r="G72" i="2"/>
  <c r="I72" i="2"/>
  <c r="F73" i="2"/>
  <c r="G73" i="2"/>
  <c r="I73" i="2"/>
  <c r="F74" i="2"/>
  <c r="G74" i="2"/>
  <c r="I74" i="2"/>
  <c r="F75" i="2"/>
  <c r="G75" i="2"/>
  <c r="I75" i="2"/>
  <c r="F76" i="2"/>
  <c r="G76" i="2"/>
  <c r="I76" i="2"/>
  <c r="F77" i="2"/>
  <c r="G77" i="2"/>
  <c r="I77" i="2"/>
  <c r="F78" i="2"/>
  <c r="G78" i="2"/>
  <c r="I78" i="2"/>
  <c r="F79" i="2"/>
  <c r="G79" i="2"/>
  <c r="I79" i="2"/>
  <c r="F80" i="2"/>
  <c r="G80" i="2"/>
  <c r="I80" i="2"/>
  <c r="F81" i="2"/>
  <c r="G81" i="2"/>
  <c r="I81" i="2"/>
  <c r="F82" i="2"/>
  <c r="G82" i="2"/>
  <c r="I82" i="2"/>
  <c r="F83" i="2"/>
  <c r="G83" i="2"/>
  <c r="I83" i="2"/>
  <c r="F84" i="2"/>
  <c r="G84" i="2"/>
  <c r="I84" i="2"/>
  <c r="F85" i="2"/>
  <c r="G85" i="2"/>
  <c r="I85" i="2"/>
  <c r="F86" i="2"/>
  <c r="G86" i="2"/>
  <c r="I86" i="2"/>
  <c r="F87" i="2"/>
  <c r="G87" i="2"/>
  <c r="I87" i="2"/>
  <c r="F88" i="2"/>
  <c r="G88" i="2"/>
  <c r="I88" i="2"/>
  <c r="F89" i="2"/>
  <c r="G89" i="2"/>
  <c r="I89" i="2"/>
  <c r="F90" i="2"/>
  <c r="G90" i="2"/>
  <c r="I90" i="2"/>
  <c r="F91" i="2"/>
  <c r="G91" i="2"/>
  <c r="I91" i="2"/>
  <c r="F92" i="2"/>
  <c r="G92" i="2"/>
  <c r="I92" i="2"/>
  <c r="F93" i="2"/>
  <c r="G93" i="2"/>
  <c r="I93" i="2"/>
  <c r="F94" i="2"/>
  <c r="G94" i="2"/>
  <c r="I94" i="2"/>
  <c r="F95" i="2"/>
  <c r="G95" i="2"/>
  <c r="I95" i="2"/>
  <c r="F96" i="2"/>
  <c r="G96" i="2"/>
  <c r="I96" i="2"/>
  <c r="F97" i="2"/>
  <c r="G97" i="2"/>
  <c r="I97" i="2"/>
  <c r="F98" i="2"/>
  <c r="G98" i="2"/>
  <c r="I98" i="2"/>
  <c r="F99" i="2"/>
  <c r="G99" i="2"/>
  <c r="I99" i="2"/>
  <c r="F100" i="2"/>
  <c r="G100" i="2"/>
  <c r="I100" i="2"/>
  <c r="F101" i="2"/>
  <c r="G101" i="2"/>
  <c r="H101" i="2"/>
  <c r="I101" i="2"/>
  <c r="F102" i="2"/>
  <c r="G102" i="2"/>
  <c r="H102" i="2"/>
  <c r="I102" i="2"/>
  <c r="F103" i="2"/>
  <c r="G103" i="2"/>
  <c r="H103" i="2"/>
  <c r="I103" i="2"/>
  <c r="F104" i="2"/>
  <c r="G104" i="2"/>
  <c r="H104" i="2"/>
  <c r="I104" i="2"/>
  <c r="F105" i="2"/>
  <c r="G105" i="2"/>
  <c r="H105" i="2"/>
  <c r="I105" i="2"/>
  <c r="F106" i="2"/>
  <c r="G106" i="2"/>
  <c r="H106" i="2"/>
  <c r="I106" i="2"/>
  <c r="F107" i="2"/>
  <c r="G107" i="2"/>
  <c r="H107" i="2"/>
  <c r="I107" i="2"/>
  <c r="F108" i="2"/>
  <c r="G108" i="2"/>
  <c r="H108" i="2"/>
  <c r="I108" i="2"/>
  <c r="F109" i="2"/>
  <c r="G109" i="2"/>
  <c r="H109" i="2"/>
  <c r="I109" i="2"/>
  <c r="F110" i="2"/>
  <c r="G110" i="2"/>
  <c r="H110" i="2"/>
  <c r="I110" i="2"/>
  <c r="F111" i="2"/>
  <c r="G111" i="2"/>
  <c r="H111" i="2"/>
  <c r="I111" i="2"/>
  <c r="F112" i="2"/>
  <c r="G112" i="2"/>
  <c r="H112" i="2"/>
  <c r="I112" i="2"/>
  <c r="F113" i="2"/>
  <c r="G113" i="2"/>
  <c r="I113" i="2"/>
  <c r="F114" i="2"/>
  <c r="G114" i="2"/>
  <c r="I114" i="2"/>
  <c r="F115" i="2"/>
  <c r="G115" i="2"/>
  <c r="I115" i="2"/>
  <c r="F116" i="2"/>
  <c r="G116" i="2"/>
  <c r="I116" i="2"/>
  <c r="F117" i="2"/>
  <c r="G117" i="2"/>
  <c r="I117" i="2"/>
  <c r="F118" i="2"/>
  <c r="G118" i="2"/>
  <c r="I118" i="2"/>
  <c r="F119" i="2"/>
  <c r="G119" i="2"/>
  <c r="I119" i="2"/>
  <c r="F120" i="2"/>
  <c r="G120" i="2"/>
  <c r="I120" i="2"/>
  <c r="F121" i="2"/>
  <c r="G121" i="2"/>
  <c r="I121" i="2"/>
  <c r="F122" i="2"/>
  <c r="G122" i="2"/>
  <c r="I122" i="2"/>
  <c r="F123" i="2"/>
  <c r="G123" i="2"/>
  <c r="I123" i="2"/>
  <c r="F124" i="2"/>
  <c r="G124" i="2"/>
  <c r="I124" i="2"/>
  <c r="F125" i="2"/>
  <c r="G125" i="2"/>
  <c r="I125" i="2"/>
  <c r="F126" i="2"/>
  <c r="G126" i="2"/>
  <c r="I126" i="2"/>
  <c r="F127" i="2"/>
  <c r="G127" i="2"/>
  <c r="I127" i="2"/>
  <c r="F128" i="2"/>
  <c r="G128" i="2"/>
  <c r="I128" i="2"/>
  <c r="F129" i="2"/>
  <c r="G129" i="2"/>
  <c r="I129" i="2"/>
  <c r="F130" i="2"/>
  <c r="G130" i="2"/>
  <c r="I130" i="2"/>
  <c r="F131" i="2"/>
  <c r="G131" i="2"/>
  <c r="I131" i="2"/>
  <c r="F132" i="2"/>
  <c r="G132" i="2"/>
  <c r="I132" i="2"/>
  <c r="F133" i="2"/>
  <c r="G133" i="2"/>
  <c r="I133" i="2"/>
  <c r="F134" i="2"/>
  <c r="G134" i="2"/>
  <c r="I134" i="2"/>
  <c r="F135" i="2"/>
  <c r="G135" i="2"/>
  <c r="I135" i="2"/>
  <c r="F136" i="2"/>
  <c r="G136" i="2"/>
  <c r="I136" i="2"/>
  <c r="F137" i="2"/>
  <c r="G137" i="2"/>
  <c r="I137" i="2"/>
  <c r="F138" i="2"/>
  <c r="G138" i="2"/>
  <c r="I138" i="2"/>
  <c r="F139" i="2"/>
  <c r="G139" i="2"/>
  <c r="I139" i="2"/>
  <c r="F140" i="2"/>
  <c r="G140" i="2"/>
  <c r="I140" i="2"/>
  <c r="F141" i="2"/>
  <c r="G141" i="2"/>
  <c r="I141" i="2"/>
  <c r="F142" i="2"/>
  <c r="G142" i="2"/>
  <c r="I142" i="2"/>
  <c r="F143" i="2"/>
  <c r="G143" i="2"/>
  <c r="I143" i="2"/>
  <c r="F144" i="2"/>
  <c r="G144" i="2"/>
  <c r="I144" i="2"/>
  <c r="F145" i="2"/>
  <c r="G145" i="2"/>
  <c r="I145" i="2"/>
  <c r="F146" i="2"/>
  <c r="G146" i="2"/>
  <c r="I146" i="2"/>
  <c r="F147" i="2"/>
  <c r="G147" i="2"/>
  <c r="I147" i="2"/>
  <c r="F148" i="2"/>
  <c r="G148" i="2"/>
  <c r="I148" i="2"/>
  <c r="F149" i="2"/>
  <c r="G149" i="2"/>
  <c r="I149" i="2"/>
  <c r="F150" i="2"/>
  <c r="G150" i="2"/>
  <c r="I150" i="2"/>
  <c r="F151" i="2"/>
  <c r="G151" i="2"/>
  <c r="I151" i="2"/>
  <c r="F152" i="2"/>
  <c r="G152" i="2"/>
  <c r="I152" i="2"/>
  <c r="F153" i="2"/>
  <c r="G153" i="2"/>
  <c r="I153" i="2"/>
  <c r="F154" i="2"/>
  <c r="G154" i="2"/>
  <c r="I154" i="2"/>
  <c r="F155" i="2"/>
  <c r="G155" i="2"/>
  <c r="I155" i="2"/>
  <c r="F156" i="2"/>
  <c r="G156" i="2"/>
  <c r="I156" i="2"/>
  <c r="F157" i="2"/>
  <c r="G157" i="2"/>
  <c r="I157" i="2"/>
  <c r="F158" i="2"/>
  <c r="G158" i="2"/>
  <c r="I158" i="2"/>
  <c r="F159" i="2"/>
  <c r="G159" i="2"/>
  <c r="I159" i="2"/>
  <c r="F160" i="2"/>
  <c r="G160" i="2"/>
  <c r="I160" i="2"/>
  <c r="F161" i="2"/>
  <c r="G161" i="2"/>
  <c r="I161" i="2"/>
  <c r="F162" i="2"/>
  <c r="G162" i="2"/>
  <c r="I162" i="2"/>
  <c r="F163" i="2"/>
  <c r="G163" i="2"/>
  <c r="I163" i="2"/>
  <c r="F164" i="2"/>
  <c r="G164" i="2"/>
  <c r="I164" i="2"/>
  <c r="F165" i="2"/>
  <c r="G165" i="2"/>
  <c r="I165" i="2"/>
  <c r="F166" i="2"/>
  <c r="G166" i="2"/>
  <c r="I166" i="2"/>
  <c r="F167" i="2"/>
  <c r="G167" i="2"/>
  <c r="I167" i="2"/>
  <c r="F168" i="2"/>
  <c r="G168" i="2"/>
  <c r="I168" i="2"/>
  <c r="F169" i="2"/>
  <c r="G169" i="2"/>
  <c r="I169" i="2"/>
  <c r="F170" i="2"/>
  <c r="G170" i="2"/>
  <c r="I170" i="2"/>
  <c r="F171" i="2"/>
  <c r="G171" i="2"/>
  <c r="I171" i="2"/>
  <c r="F172" i="2"/>
  <c r="G172" i="2"/>
  <c r="I172" i="2"/>
  <c r="F173" i="2"/>
  <c r="G173" i="2"/>
  <c r="I173" i="2"/>
  <c r="F174" i="2"/>
  <c r="G174" i="2"/>
  <c r="I174" i="2"/>
  <c r="F175" i="2"/>
  <c r="G175" i="2"/>
  <c r="I175" i="2"/>
  <c r="F176" i="2"/>
  <c r="G176" i="2"/>
  <c r="I176" i="2"/>
  <c r="F177" i="2"/>
  <c r="G177" i="2"/>
  <c r="I177" i="2"/>
  <c r="F178" i="2"/>
  <c r="G178" i="2"/>
  <c r="I178" i="2"/>
  <c r="F179" i="2"/>
  <c r="G179" i="2"/>
  <c r="I179" i="2"/>
  <c r="F180" i="2"/>
  <c r="G180" i="2"/>
  <c r="I180" i="2"/>
  <c r="F181" i="2"/>
  <c r="G181" i="2"/>
  <c r="I181" i="2"/>
  <c r="F182" i="2"/>
  <c r="G182" i="2"/>
  <c r="I182" i="2"/>
  <c r="F183" i="2"/>
  <c r="G183" i="2"/>
  <c r="I183" i="2"/>
  <c r="F184" i="2"/>
  <c r="G184" i="2"/>
  <c r="I184" i="2"/>
  <c r="F185" i="2"/>
  <c r="G185" i="2"/>
  <c r="I185" i="2"/>
  <c r="F186" i="2"/>
  <c r="G186" i="2"/>
  <c r="I186" i="2"/>
  <c r="F187" i="2"/>
  <c r="G187" i="2"/>
  <c r="I187" i="2"/>
  <c r="F188" i="2"/>
  <c r="G188" i="2"/>
  <c r="I188" i="2"/>
  <c r="F189" i="2"/>
  <c r="G189" i="2"/>
  <c r="I189" i="2"/>
  <c r="F190" i="2"/>
  <c r="G190" i="2"/>
  <c r="I190" i="2"/>
  <c r="F191" i="2"/>
  <c r="G191" i="2"/>
  <c r="I191" i="2"/>
  <c r="F192" i="2"/>
  <c r="G192" i="2"/>
  <c r="I192" i="2"/>
  <c r="F193" i="2"/>
  <c r="G193" i="2"/>
  <c r="I193" i="2"/>
  <c r="F194" i="2"/>
  <c r="G194" i="2"/>
  <c r="I194" i="2"/>
  <c r="F195" i="2"/>
  <c r="G195" i="2"/>
  <c r="I195" i="2"/>
  <c r="F196" i="2"/>
  <c r="G196" i="2"/>
  <c r="I196" i="2"/>
  <c r="F197" i="2"/>
  <c r="G197" i="2"/>
  <c r="I197" i="2"/>
  <c r="F198" i="2"/>
  <c r="G198" i="2"/>
  <c r="I198" i="2"/>
  <c r="F199" i="2"/>
  <c r="G199" i="2"/>
  <c r="H199" i="2"/>
  <c r="I199" i="2"/>
  <c r="F200" i="2"/>
  <c r="G200" i="2"/>
  <c r="I200" i="2"/>
  <c r="F201" i="2"/>
  <c r="G201" i="2"/>
  <c r="I201" i="2"/>
  <c r="F202" i="2"/>
  <c r="G202" i="2"/>
  <c r="I202" i="2"/>
  <c r="F203" i="2"/>
  <c r="G203" i="2"/>
  <c r="I203" i="2"/>
  <c r="F204" i="2"/>
  <c r="G204" i="2"/>
  <c r="I204" i="2"/>
  <c r="F205" i="2"/>
  <c r="G205" i="2"/>
  <c r="I205" i="2"/>
  <c r="F206" i="2"/>
  <c r="G206" i="2"/>
  <c r="I206" i="2"/>
  <c r="F207" i="2"/>
  <c r="G207" i="2"/>
  <c r="I207" i="2"/>
  <c r="F208" i="2"/>
  <c r="G208" i="2"/>
  <c r="I208" i="2"/>
  <c r="F209" i="2"/>
  <c r="G209" i="2"/>
  <c r="I209" i="2"/>
  <c r="F210" i="2"/>
  <c r="G210" i="2"/>
  <c r="I210" i="2"/>
  <c r="F211" i="2"/>
  <c r="G211" i="2"/>
  <c r="I211" i="2"/>
  <c r="F212" i="2"/>
  <c r="G212" i="2"/>
  <c r="I212" i="2"/>
  <c r="F213" i="2"/>
  <c r="G213" i="2"/>
  <c r="I213" i="2"/>
  <c r="F214" i="2"/>
  <c r="G214" i="2"/>
  <c r="I214" i="2"/>
  <c r="F215" i="2"/>
  <c r="G215" i="2"/>
  <c r="I215" i="2"/>
  <c r="F216" i="2"/>
  <c r="G216" i="2"/>
  <c r="I216" i="2"/>
  <c r="F217" i="2"/>
  <c r="G217" i="2"/>
  <c r="I217" i="2"/>
  <c r="F218" i="2"/>
  <c r="G218" i="2"/>
  <c r="I218" i="2"/>
  <c r="F219" i="2"/>
  <c r="G219" i="2"/>
  <c r="I219" i="2"/>
  <c r="F220" i="2"/>
  <c r="G220" i="2"/>
  <c r="I220" i="2"/>
  <c r="F221" i="2"/>
  <c r="G221" i="2"/>
  <c r="I221" i="2"/>
  <c r="F222" i="2"/>
  <c r="G222" i="2"/>
  <c r="I222" i="2"/>
  <c r="F223" i="2"/>
  <c r="G223" i="2"/>
  <c r="I223" i="2"/>
  <c r="F224" i="2"/>
  <c r="G224" i="2"/>
  <c r="I224" i="2"/>
  <c r="F225" i="2"/>
  <c r="G225" i="2"/>
  <c r="I225" i="2"/>
  <c r="F226" i="2"/>
  <c r="G226" i="2"/>
  <c r="I226" i="2"/>
  <c r="F227" i="2"/>
  <c r="G227" i="2"/>
  <c r="I227" i="2"/>
  <c r="F228" i="2"/>
  <c r="G228" i="2"/>
  <c r="I228" i="2"/>
  <c r="F229" i="2"/>
  <c r="G229" i="2"/>
  <c r="I229" i="2"/>
  <c r="F230" i="2"/>
  <c r="G230" i="2"/>
  <c r="I230" i="2"/>
  <c r="F231" i="2"/>
  <c r="G231" i="2"/>
  <c r="I231" i="2"/>
  <c r="F232" i="2"/>
  <c r="G232" i="2"/>
  <c r="I232" i="2"/>
  <c r="F233" i="2"/>
  <c r="G233" i="2"/>
  <c r="I233" i="2"/>
  <c r="F234" i="2"/>
  <c r="G234" i="2"/>
  <c r="I234" i="2"/>
  <c r="F235" i="2"/>
  <c r="G235" i="2"/>
  <c r="I235" i="2"/>
  <c r="F236" i="2"/>
  <c r="G236" i="2"/>
  <c r="I236" i="2"/>
  <c r="F237" i="2"/>
  <c r="G237" i="2"/>
  <c r="I237" i="2"/>
  <c r="F238" i="2"/>
  <c r="G238" i="2"/>
  <c r="I238" i="2"/>
  <c r="F239" i="2"/>
  <c r="G239" i="2"/>
  <c r="I239" i="2"/>
  <c r="F240" i="2"/>
  <c r="G240" i="2"/>
  <c r="I240" i="2"/>
  <c r="F241" i="2"/>
  <c r="G241" i="2"/>
  <c r="I241" i="2"/>
  <c r="F242" i="2"/>
  <c r="G242" i="2"/>
  <c r="I242" i="2"/>
  <c r="F243" i="2"/>
  <c r="G243" i="2"/>
  <c r="I243" i="2"/>
  <c r="F244" i="2"/>
  <c r="G244" i="2"/>
  <c r="I244" i="2"/>
  <c r="F245" i="2"/>
  <c r="G245" i="2"/>
  <c r="I245" i="2"/>
  <c r="F246" i="2"/>
  <c r="G246" i="2"/>
  <c r="I246" i="2"/>
  <c r="F247" i="2"/>
  <c r="G247" i="2"/>
  <c r="I247" i="2"/>
  <c r="F254" i="2"/>
  <c r="G254" i="2"/>
  <c r="I254" i="2"/>
  <c r="F255" i="2"/>
  <c r="G255" i="2"/>
  <c r="I255" i="2"/>
  <c r="F256" i="2"/>
  <c r="G256" i="2"/>
  <c r="I256" i="2"/>
  <c r="F257" i="2"/>
  <c r="G257" i="2"/>
  <c r="I257" i="2"/>
  <c r="F258" i="2"/>
  <c r="G258" i="2"/>
  <c r="I258" i="2"/>
  <c r="F259" i="2"/>
  <c r="G259" i="2"/>
  <c r="I259" i="2"/>
  <c r="F260" i="2"/>
  <c r="G260" i="2"/>
  <c r="I260" i="2"/>
  <c r="F261" i="2"/>
  <c r="G261" i="2"/>
  <c r="I261" i="2"/>
  <c r="F262" i="2"/>
  <c r="G262" i="2"/>
  <c r="I262" i="2"/>
  <c r="F263" i="2"/>
  <c r="G263" i="2"/>
  <c r="I263" i="2"/>
  <c r="F264" i="2"/>
  <c r="G264" i="2"/>
  <c r="I264" i="2"/>
  <c r="F265" i="2"/>
  <c r="G265" i="2"/>
  <c r="I265" i="2"/>
  <c r="F266" i="2"/>
  <c r="G266" i="2"/>
  <c r="I266" i="2"/>
  <c r="F267" i="2"/>
  <c r="G267" i="2"/>
  <c r="I267" i="2"/>
  <c r="F268" i="2"/>
  <c r="G268" i="2"/>
  <c r="I268" i="2"/>
  <c r="F269" i="2"/>
  <c r="G269" i="2"/>
  <c r="I269" i="2"/>
  <c r="F270" i="2"/>
  <c r="G270" i="2"/>
  <c r="I270" i="2"/>
  <c r="F271" i="2"/>
  <c r="G271" i="2"/>
  <c r="I271" i="2"/>
  <c r="F272" i="2"/>
  <c r="G272" i="2"/>
  <c r="I272" i="2"/>
  <c r="F273" i="2"/>
  <c r="G273" i="2"/>
  <c r="I273" i="2"/>
  <c r="F274" i="2"/>
  <c r="G274" i="2"/>
  <c r="I274" i="2"/>
  <c r="F275" i="2"/>
  <c r="G275" i="2"/>
  <c r="I275" i="2"/>
  <c r="F276" i="2"/>
  <c r="G276" i="2"/>
  <c r="I276" i="2"/>
  <c r="F277" i="2"/>
  <c r="G277" i="2"/>
  <c r="I277" i="2"/>
  <c r="F278" i="2"/>
  <c r="G278" i="2"/>
  <c r="I278" i="2"/>
  <c r="F279" i="2"/>
  <c r="G279" i="2"/>
  <c r="I279" i="2"/>
  <c r="F280" i="2"/>
  <c r="G280" i="2"/>
  <c r="I280" i="2"/>
  <c r="F281" i="2"/>
  <c r="G281" i="2"/>
  <c r="I281" i="2"/>
  <c r="F282" i="2"/>
  <c r="G282" i="2"/>
  <c r="I282" i="2"/>
  <c r="F283" i="2"/>
  <c r="G283" i="2"/>
  <c r="I283" i="2"/>
  <c r="F284" i="2"/>
  <c r="G284" i="2"/>
  <c r="I284" i="2"/>
  <c r="F285" i="2"/>
  <c r="G285" i="2"/>
  <c r="I285" i="2"/>
  <c r="F286" i="2"/>
  <c r="G286" i="2"/>
  <c r="I286" i="2"/>
  <c r="F287" i="2"/>
  <c r="G287" i="2"/>
  <c r="I287" i="2"/>
  <c r="F288" i="2"/>
  <c r="G288" i="2"/>
  <c r="I288" i="2"/>
  <c r="F289" i="2"/>
  <c r="G289" i="2"/>
  <c r="I289" i="2"/>
  <c r="F290" i="2"/>
  <c r="G290" i="2"/>
  <c r="I290" i="2"/>
  <c r="F291" i="2"/>
  <c r="G291" i="2"/>
  <c r="I291" i="2"/>
  <c r="F292" i="2"/>
  <c r="G292" i="2"/>
  <c r="I292" i="2"/>
  <c r="F293" i="2"/>
  <c r="G293" i="2"/>
  <c r="I293" i="2"/>
  <c r="F294" i="2"/>
  <c r="G294" i="2"/>
  <c r="I294" i="2"/>
  <c r="F295" i="2"/>
  <c r="G295" i="2"/>
  <c r="I295" i="2"/>
  <c r="F296" i="2"/>
  <c r="G296" i="2"/>
  <c r="I296" i="2"/>
  <c r="F297" i="2"/>
  <c r="G297" i="2"/>
  <c r="I297" i="2"/>
  <c r="F298" i="2"/>
  <c r="G298" i="2"/>
  <c r="I298" i="2"/>
  <c r="F299" i="2"/>
  <c r="G299" i="2"/>
  <c r="I299" i="2"/>
  <c r="F300" i="2"/>
  <c r="G300" i="2"/>
  <c r="I300" i="2"/>
  <c r="F301" i="2"/>
  <c r="G301" i="2"/>
  <c r="I301" i="2"/>
  <c r="F302" i="2"/>
  <c r="G302" i="2"/>
  <c r="I302" i="2"/>
  <c r="F303" i="2"/>
  <c r="G303" i="2"/>
  <c r="I303" i="2"/>
  <c r="F304" i="2"/>
  <c r="G304" i="2"/>
  <c r="I304" i="2"/>
  <c r="F305" i="2"/>
  <c r="G305" i="2"/>
  <c r="I305" i="2"/>
  <c r="F306" i="2"/>
  <c r="G306" i="2"/>
  <c r="I306" i="2"/>
  <c r="F307" i="2"/>
  <c r="G307" i="2"/>
  <c r="I307" i="2"/>
  <c r="F308" i="2"/>
  <c r="G308" i="2"/>
  <c r="I308" i="2"/>
  <c r="F309" i="2"/>
  <c r="G309" i="2"/>
  <c r="I309" i="2"/>
  <c r="F310" i="2"/>
  <c r="G310" i="2"/>
  <c r="I310" i="2"/>
  <c r="F311" i="2"/>
  <c r="G311" i="2"/>
  <c r="I311" i="2"/>
  <c r="F312" i="2"/>
  <c r="G312" i="2"/>
  <c r="I312" i="2"/>
  <c r="F313" i="2"/>
  <c r="G313" i="2"/>
  <c r="I313" i="2"/>
  <c r="F314" i="2"/>
  <c r="G314" i="2"/>
  <c r="I314" i="2"/>
  <c r="F315" i="2"/>
  <c r="G315" i="2"/>
  <c r="I315" i="2"/>
  <c r="F316" i="2"/>
  <c r="G316" i="2"/>
  <c r="I316" i="2"/>
  <c r="F317" i="2"/>
  <c r="G317" i="2"/>
  <c r="I317" i="2"/>
  <c r="F318" i="2"/>
  <c r="G318" i="2"/>
  <c r="I318" i="2"/>
  <c r="F319" i="2"/>
  <c r="G319" i="2"/>
  <c r="I319" i="2"/>
  <c r="F320" i="2"/>
  <c r="G320" i="2"/>
  <c r="I320" i="2"/>
  <c r="F321" i="2"/>
  <c r="G321" i="2"/>
  <c r="I321" i="2"/>
  <c r="F322" i="2"/>
  <c r="G322" i="2"/>
  <c r="I322" i="2"/>
  <c r="F323" i="2"/>
  <c r="G323" i="2"/>
  <c r="I323" i="2"/>
  <c r="F324" i="2"/>
  <c r="G324" i="2"/>
  <c r="I324" i="2"/>
  <c r="F325" i="2"/>
  <c r="G325" i="2"/>
  <c r="I325" i="2"/>
  <c r="F326" i="2"/>
  <c r="G326" i="2"/>
  <c r="I326" i="2"/>
  <c r="F327" i="2"/>
  <c r="G327" i="2"/>
  <c r="I327" i="2"/>
  <c r="F328" i="2"/>
  <c r="G328" i="2"/>
  <c r="I328" i="2"/>
  <c r="F329" i="2"/>
  <c r="G329" i="2"/>
  <c r="I329" i="2"/>
  <c r="F330" i="2"/>
  <c r="G330" i="2"/>
  <c r="I330" i="2"/>
  <c r="F331" i="2"/>
  <c r="G331" i="2"/>
  <c r="I331" i="2"/>
  <c r="F332" i="2"/>
  <c r="G332" i="2"/>
  <c r="I332" i="2"/>
  <c r="F333" i="2"/>
  <c r="G333" i="2"/>
  <c r="I333" i="2"/>
  <c r="F334" i="2"/>
  <c r="G334" i="2"/>
  <c r="I334" i="2"/>
  <c r="F335" i="2"/>
  <c r="G335" i="2"/>
  <c r="I335" i="2"/>
  <c r="F336" i="2"/>
  <c r="G336" i="2"/>
  <c r="I336" i="2"/>
  <c r="F337" i="2"/>
  <c r="G337" i="2"/>
  <c r="I337" i="2"/>
  <c r="F338" i="2"/>
  <c r="G338" i="2"/>
  <c r="I338" i="2"/>
  <c r="F339" i="2"/>
  <c r="G339" i="2"/>
  <c r="I339" i="2"/>
  <c r="F340" i="2"/>
  <c r="G340" i="2"/>
  <c r="I340" i="2"/>
  <c r="F341" i="2"/>
  <c r="G341" i="2"/>
  <c r="I341" i="2"/>
  <c r="F342" i="2"/>
  <c r="G342" i="2"/>
  <c r="I342" i="2"/>
  <c r="F343" i="2"/>
  <c r="G343" i="2"/>
  <c r="I343" i="2"/>
  <c r="F344" i="2"/>
  <c r="G344" i="2"/>
  <c r="I344" i="2"/>
  <c r="F345" i="2"/>
  <c r="G345" i="2"/>
  <c r="I345" i="2"/>
  <c r="F346" i="2"/>
  <c r="G346" i="2"/>
  <c r="I346" i="2"/>
  <c r="F347" i="2"/>
  <c r="G347" i="2"/>
  <c r="I347" i="2"/>
  <c r="F348" i="2"/>
  <c r="G348" i="2"/>
  <c r="I348" i="2"/>
  <c r="F349" i="2"/>
  <c r="G349" i="2"/>
  <c r="I349" i="2"/>
  <c r="F350" i="2"/>
  <c r="G350" i="2"/>
  <c r="I350" i="2"/>
  <c r="F351" i="2"/>
  <c r="G351" i="2"/>
  <c r="I351" i="2"/>
  <c r="F352" i="2"/>
  <c r="G352" i="2"/>
  <c r="I352" i="2"/>
  <c r="F353" i="2"/>
  <c r="G353" i="2"/>
  <c r="I353" i="2"/>
  <c r="F354" i="2"/>
  <c r="G354" i="2"/>
  <c r="I354" i="2"/>
  <c r="F355" i="2"/>
  <c r="G355" i="2"/>
  <c r="I355" i="2"/>
  <c r="F356" i="2"/>
  <c r="G356" i="2"/>
  <c r="I356" i="2"/>
  <c r="F357" i="2"/>
  <c r="G357" i="2"/>
  <c r="I357" i="2"/>
  <c r="F358" i="2"/>
  <c r="G358" i="2"/>
  <c r="I358" i="2"/>
  <c r="F359" i="2"/>
  <c r="G359" i="2"/>
  <c r="I359" i="2"/>
  <c r="F360" i="2"/>
  <c r="G360" i="2"/>
  <c r="I360" i="2"/>
  <c r="F361" i="2"/>
  <c r="G361" i="2"/>
  <c r="I361" i="2"/>
  <c r="F362" i="2"/>
  <c r="G362" i="2"/>
  <c r="I362" i="2"/>
  <c r="F363" i="2"/>
  <c r="G363" i="2"/>
  <c r="I363" i="2"/>
  <c r="F364" i="2"/>
  <c r="G364" i="2"/>
  <c r="I364" i="2"/>
  <c r="F365" i="2"/>
  <c r="G365" i="2"/>
  <c r="I365" i="2"/>
  <c r="F366" i="2"/>
  <c r="G366" i="2"/>
  <c r="I366" i="2"/>
  <c r="F367" i="2"/>
  <c r="G367" i="2"/>
  <c r="I367" i="2"/>
  <c r="F368" i="2"/>
  <c r="G368" i="2"/>
  <c r="I368" i="2"/>
  <c r="F369" i="2"/>
  <c r="G369" i="2"/>
  <c r="I369" i="2"/>
  <c r="F370" i="2"/>
  <c r="G370" i="2"/>
  <c r="I370" i="2"/>
  <c r="F371" i="2"/>
  <c r="G371" i="2"/>
  <c r="I371" i="2"/>
  <c r="F372" i="2"/>
  <c r="G372" i="2"/>
  <c r="I372" i="2"/>
  <c r="F373" i="2"/>
  <c r="G373" i="2"/>
  <c r="I373" i="2"/>
  <c r="F374" i="2"/>
  <c r="G374" i="2"/>
  <c r="I374" i="2"/>
  <c r="F375" i="2"/>
  <c r="G375" i="2"/>
  <c r="I375" i="2"/>
  <c r="F376" i="2"/>
  <c r="G376" i="2"/>
  <c r="I376" i="2"/>
  <c r="F377" i="2"/>
  <c r="G377" i="2"/>
  <c r="I377" i="2"/>
  <c r="F378" i="2"/>
  <c r="G378" i="2"/>
  <c r="I378" i="2"/>
  <c r="F379" i="2"/>
  <c r="G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F386" i="2"/>
  <c r="G386" i="2"/>
  <c r="H386" i="2"/>
  <c r="I386" i="2"/>
  <c r="F387" i="2"/>
  <c r="G387" i="2"/>
  <c r="H387" i="2"/>
  <c r="I387" i="2"/>
  <c r="F388" i="2"/>
  <c r="G388" i="2"/>
  <c r="H388" i="2"/>
  <c r="I388" i="2"/>
  <c r="F389" i="2"/>
  <c r="G389" i="2"/>
  <c r="H389" i="2"/>
  <c r="I389" i="2"/>
  <c r="F390" i="2"/>
  <c r="G390" i="2"/>
  <c r="H390" i="2"/>
  <c r="I390" i="2"/>
  <c r="F391" i="2"/>
  <c r="G391" i="2"/>
  <c r="H391" i="2"/>
  <c r="I391" i="2"/>
  <c r="F392" i="2"/>
  <c r="G392" i="2"/>
  <c r="H392" i="2"/>
  <c r="I392" i="2"/>
  <c r="F393" i="2"/>
  <c r="G393" i="2"/>
  <c r="H393" i="2"/>
  <c r="I393" i="2"/>
  <c r="F394" i="2"/>
  <c r="G394" i="2"/>
  <c r="H394" i="2"/>
  <c r="I394" i="2"/>
  <c r="F395" i="2"/>
  <c r="G395" i="2"/>
  <c r="H395" i="2"/>
  <c r="I395" i="2"/>
  <c r="F396" i="2"/>
  <c r="G396" i="2"/>
  <c r="H396" i="2"/>
  <c r="I396" i="2"/>
  <c r="F397" i="2"/>
  <c r="G397" i="2"/>
  <c r="H397" i="2"/>
  <c r="I397" i="2"/>
  <c r="F398" i="2"/>
  <c r="G398" i="2"/>
  <c r="H398" i="2"/>
  <c r="I398" i="2"/>
  <c r="F399" i="2"/>
  <c r="G399" i="2"/>
  <c r="H399" i="2"/>
  <c r="I399" i="2"/>
  <c r="F400" i="2"/>
  <c r="G400" i="2"/>
  <c r="H400" i="2"/>
  <c r="I400" i="2"/>
  <c r="F401" i="2"/>
  <c r="G401" i="2"/>
  <c r="H401" i="2"/>
  <c r="I401" i="2"/>
  <c r="F402" i="2"/>
  <c r="G402" i="2"/>
  <c r="H402" i="2"/>
  <c r="I402" i="2"/>
  <c r="F403" i="2"/>
  <c r="G403" i="2"/>
  <c r="H403" i="2"/>
  <c r="I403" i="2"/>
  <c r="F404" i="2"/>
  <c r="G404" i="2"/>
  <c r="H404" i="2"/>
  <c r="I404" i="2"/>
  <c r="F405" i="2"/>
  <c r="G405" i="2"/>
  <c r="H405" i="2"/>
  <c r="I405" i="2"/>
  <c r="F406" i="2"/>
  <c r="G406" i="2"/>
  <c r="H406" i="2"/>
  <c r="I406" i="2"/>
  <c r="F407" i="2"/>
  <c r="G407" i="2"/>
  <c r="H407" i="2"/>
  <c r="I407" i="2"/>
  <c r="F408" i="2"/>
  <c r="G408" i="2"/>
  <c r="H408" i="2"/>
  <c r="I408" i="2"/>
  <c r="F409" i="2"/>
  <c r="G409" i="2"/>
  <c r="H409" i="2"/>
  <c r="I409" i="2"/>
  <c r="F410" i="2"/>
  <c r="G410" i="2"/>
  <c r="H410" i="2"/>
  <c r="I410" i="2"/>
  <c r="F411" i="2"/>
  <c r="G411" i="2"/>
  <c r="H411" i="2"/>
  <c r="I411" i="2"/>
  <c r="F412" i="2"/>
  <c r="G412" i="2"/>
  <c r="H412" i="2"/>
  <c r="I412" i="2"/>
  <c r="F413" i="2"/>
  <c r="G413" i="2"/>
  <c r="H413" i="2"/>
  <c r="I413" i="2"/>
  <c r="F414" i="2"/>
  <c r="G414" i="2"/>
  <c r="H414" i="2"/>
  <c r="I414" i="2"/>
  <c r="F415" i="2"/>
  <c r="G415" i="2"/>
  <c r="H415" i="2"/>
  <c r="I415" i="2"/>
  <c r="F416" i="2"/>
  <c r="G416" i="2"/>
  <c r="H416" i="2"/>
  <c r="I416" i="2"/>
  <c r="F417" i="2"/>
  <c r="G417" i="2"/>
  <c r="H417" i="2"/>
  <c r="I417" i="2"/>
  <c r="F418" i="2"/>
  <c r="G418" i="2"/>
  <c r="H418" i="2"/>
  <c r="I418" i="2"/>
  <c r="F419" i="2"/>
  <c r="G419" i="2"/>
  <c r="H419" i="2"/>
  <c r="I419" i="2"/>
  <c r="F420" i="2"/>
  <c r="G420" i="2"/>
  <c r="H420" i="2"/>
  <c r="I420" i="2"/>
  <c r="F421" i="2"/>
  <c r="G421" i="2"/>
  <c r="H421" i="2"/>
  <c r="I421" i="2"/>
  <c r="F422" i="2"/>
  <c r="G422" i="2"/>
  <c r="H422" i="2"/>
  <c r="I422" i="2"/>
  <c r="F423" i="2"/>
  <c r="G423" i="2"/>
  <c r="H423" i="2"/>
  <c r="I423" i="2"/>
  <c r="F424" i="2"/>
  <c r="G424" i="2"/>
  <c r="H424" i="2"/>
  <c r="I424" i="2"/>
  <c r="F425" i="2"/>
  <c r="G425" i="2"/>
  <c r="H425" i="2"/>
  <c r="I425" i="2"/>
  <c r="F426" i="2"/>
  <c r="G426" i="2"/>
  <c r="H426" i="2"/>
  <c r="I426" i="2"/>
  <c r="F427" i="2"/>
  <c r="G427" i="2"/>
  <c r="H427" i="2"/>
  <c r="I427" i="2"/>
  <c r="F429" i="2"/>
  <c r="G429" i="2"/>
  <c r="H429" i="2"/>
  <c r="F430" i="2"/>
  <c r="G430" i="2"/>
  <c r="H430" i="2"/>
  <c r="F431" i="2"/>
  <c r="G431" i="2"/>
  <c r="H431" i="2"/>
  <c r="F432" i="2"/>
  <c r="G432" i="2"/>
  <c r="H432" i="2"/>
  <c r="F433" i="2"/>
  <c r="G433" i="2"/>
  <c r="H433" i="2"/>
  <c r="I433" i="2"/>
  <c r="F434" i="2"/>
  <c r="G434" i="2"/>
  <c r="H434" i="2"/>
  <c r="I434" i="2"/>
  <c r="F435" i="2"/>
  <c r="G435" i="2"/>
  <c r="H435" i="2"/>
  <c r="F436" i="2"/>
  <c r="G436" i="2"/>
  <c r="H436" i="2"/>
  <c r="I436" i="2"/>
  <c r="F437" i="2"/>
  <c r="G437" i="2"/>
  <c r="H437" i="2"/>
  <c r="I437" i="2"/>
  <c r="F438" i="2"/>
  <c r="G438" i="2"/>
  <c r="H438" i="2"/>
  <c r="I438" i="2"/>
  <c r="F439" i="2"/>
  <c r="G439" i="2"/>
  <c r="H439" i="2"/>
  <c r="I439" i="2"/>
  <c r="F440" i="2"/>
  <c r="G440" i="2"/>
  <c r="I440" i="2"/>
  <c r="F441" i="2"/>
  <c r="G441" i="2"/>
  <c r="H441" i="2"/>
  <c r="I441" i="2"/>
  <c r="F442" i="2"/>
  <c r="G442" i="2"/>
  <c r="H442" i="2"/>
  <c r="I442" i="2"/>
  <c r="F443" i="2"/>
  <c r="G443" i="2"/>
  <c r="H443" i="2"/>
  <c r="I443" i="2"/>
  <c r="F444" i="2"/>
  <c r="G444" i="2"/>
  <c r="H444" i="2"/>
  <c r="I444" i="2"/>
  <c r="F445" i="2"/>
  <c r="G445" i="2"/>
  <c r="H445" i="2"/>
  <c r="I445" i="2"/>
  <c r="F446" i="2"/>
  <c r="G446" i="2"/>
  <c r="H446" i="2"/>
  <c r="I446" i="2"/>
  <c r="F447" i="2"/>
  <c r="G447" i="2"/>
  <c r="I447" i="2"/>
  <c r="F448" i="2"/>
  <c r="G448" i="2"/>
  <c r="I448" i="2"/>
  <c r="F449" i="2"/>
  <c r="G449" i="2"/>
  <c r="I449" i="2"/>
  <c r="F450" i="2"/>
  <c r="G450" i="2"/>
  <c r="I450" i="2"/>
  <c r="F453" i="2"/>
  <c r="G453" i="2"/>
  <c r="I453" i="2"/>
  <c r="F454" i="2"/>
  <c r="G454" i="2"/>
  <c r="I454" i="2"/>
  <c r="F455" i="2"/>
  <c r="G455" i="2"/>
  <c r="I455" i="2"/>
  <c r="F456" i="2"/>
  <c r="G456" i="2"/>
  <c r="I456" i="2"/>
  <c r="F457" i="2"/>
  <c r="G457" i="2"/>
  <c r="I457" i="2"/>
  <c r="F458" i="2"/>
  <c r="G458" i="2"/>
  <c r="I458" i="2"/>
  <c r="F459" i="2"/>
  <c r="G459" i="2"/>
  <c r="I459" i="2"/>
  <c r="F461" i="2"/>
  <c r="G461" i="2"/>
  <c r="I461" i="2"/>
  <c r="F462" i="2"/>
  <c r="G462" i="2"/>
  <c r="I462" i="2"/>
  <c r="F463" i="2"/>
  <c r="G463" i="2"/>
  <c r="I463" i="2"/>
  <c r="F464" i="2"/>
  <c r="G464" i="2"/>
  <c r="I464" i="2"/>
  <c r="F465" i="2"/>
  <c r="G465" i="2"/>
  <c r="I465" i="2"/>
  <c r="F466" i="2"/>
  <c r="G466" i="2"/>
  <c r="I466" i="2"/>
  <c r="F467" i="2"/>
  <c r="G467" i="2"/>
  <c r="I467" i="2"/>
  <c r="F468" i="2"/>
  <c r="G468" i="2"/>
  <c r="I468" i="2"/>
  <c r="F469" i="2"/>
  <c r="G469" i="2"/>
  <c r="I469" i="2"/>
  <c r="F470" i="2"/>
  <c r="G470" i="2"/>
  <c r="I470" i="2"/>
  <c r="F471" i="2"/>
  <c r="G471" i="2"/>
  <c r="I471" i="2"/>
  <c r="F472" i="2"/>
  <c r="G472" i="2"/>
  <c r="I472" i="2"/>
  <c r="F473" i="2"/>
  <c r="G473" i="2"/>
  <c r="I473" i="2"/>
  <c r="F474" i="2"/>
  <c r="G474" i="2"/>
  <c r="I474" i="2"/>
  <c r="F475" i="2"/>
  <c r="G475" i="2"/>
  <c r="I475" i="2"/>
  <c r="F476" i="2"/>
  <c r="G476" i="2"/>
  <c r="I476" i="2"/>
  <c r="F477" i="2"/>
  <c r="G477" i="2"/>
  <c r="I477" i="2"/>
  <c r="F478" i="2"/>
  <c r="G478" i="2"/>
  <c r="I478" i="2"/>
  <c r="F479" i="2"/>
  <c r="G479" i="2"/>
  <c r="I479" i="2"/>
  <c r="F480" i="2"/>
  <c r="G480" i="2"/>
  <c r="I480" i="2"/>
  <c r="F481" i="2"/>
  <c r="G481" i="2"/>
  <c r="I481" i="2"/>
  <c r="F482" i="2"/>
  <c r="G482" i="2"/>
  <c r="I482" i="2"/>
  <c r="F483" i="2"/>
  <c r="G483" i="2"/>
  <c r="I483" i="2"/>
  <c r="F484" i="2"/>
  <c r="G484" i="2"/>
  <c r="I484" i="2"/>
  <c r="F485" i="2"/>
  <c r="G485" i="2"/>
  <c r="I485" i="2"/>
  <c r="F486" i="2"/>
  <c r="G486" i="2"/>
  <c r="I486" i="2"/>
  <c r="F487" i="2"/>
  <c r="G487" i="2"/>
  <c r="I487" i="2"/>
  <c r="F488" i="2"/>
  <c r="G488" i="2"/>
  <c r="I488" i="2"/>
  <c r="F489" i="2"/>
  <c r="G489" i="2"/>
  <c r="I489" i="2"/>
  <c r="F490" i="2"/>
  <c r="G490" i="2"/>
  <c r="I490" i="2"/>
  <c r="F491" i="2"/>
  <c r="G491" i="2"/>
  <c r="I491" i="2"/>
  <c r="F492" i="2"/>
  <c r="G492" i="2"/>
  <c r="I492" i="2"/>
  <c r="F493" i="2"/>
  <c r="G493" i="2"/>
  <c r="I493" i="2"/>
  <c r="F494" i="2"/>
  <c r="G494" i="2"/>
  <c r="I494" i="2"/>
  <c r="F495" i="2"/>
  <c r="G495" i="2"/>
  <c r="I495" i="2"/>
  <c r="F496" i="2"/>
  <c r="G496" i="2"/>
  <c r="I496" i="2"/>
  <c r="F497" i="2"/>
  <c r="G497" i="2"/>
  <c r="I497" i="2"/>
  <c r="F498" i="2"/>
  <c r="G498" i="2"/>
  <c r="I498" i="2"/>
  <c r="F499" i="2"/>
  <c r="G499" i="2"/>
  <c r="I499" i="2"/>
  <c r="F500" i="2"/>
  <c r="G500" i="2"/>
  <c r="I500" i="2"/>
  <c r="F501" i="2"/>
  <c r="G501" i="2"/>
  <c r="I501" i="2"/>
  <c r="F502" i="2"/>
  <c r="G502" i="2"/>
  <c r="I502" i="2"/>
  <c r="F503" i="2"/>
  <c r="G503" i="2"/>
  <c r="I503" i="2"/>
  <c r="F504" i="2"/>
  <c r="G504" i="2"/>
  <c r="I504" i="2"/>
  <c r="F505" i="2"/>
  <c r="G505" i="2"/>
  <c r="I505" i="2"/>
  <c r="F506" i="2"/>
  <c r="G506" i="2"/>
  <c r="I506" i="2"/>
  <c r="F507" i="2"/>
  <c r="G507" i="2"/>
  <c r="I507" i="2"/>
  <c r="F508" i="2"/>
  <c r="G508" i="2"/>
  <c r="I508" i="2"/>
  <c r="F509" i="2"/>
  <c r="G509" i="2"/>
  <c r="I509" i="2"/>
  <c r="F510" i="2"/>
  <c r="G510" i="2"/>
  <c r="I510" i="2"/>
  <c r="F511" i="2"/>
  <c r="G511" i="2"/>
  <c r="I511" i="2"/>
  <c r="F512" i="2"/>
  <c r="G512" i="2"/>
  <c r="I512" i="2"/>
  <c r="F513" i="2"/>
  <c r="G513" i="2"/>
  <c r="I513" i="2"/>
  <c r="F514" i="2"/>
  <c r="G514" i="2"/>
  <c r="I514" i="2"/>
  <c r="F515" i="2"/>
  <c r="G515" i="2"/>
  <c r="I515" i="2"/>
  <c r="F516" i="2"/>
  <c r="G516" i="2"/>
  <c r="I516" i="2"/>
  <c r="F517" i="2"/>
  <c r="G517" i="2"/>
  <c r="I517" i="2"/>
  <c r="F518" i="2"/>
  <c r="G518" i="2"/>
  <c r="I518" i="2"/>
  <c r="F519" i="2"/>
  <c r="G519" i="2"/>
  <c r="I519" i="2"/>
  <c r="F520" i="2"/>
  <c r="G520" i="2"/>
  <c r="I520" i="2"/>
  <c r="F521" i="2"/>
  <c r="G521" i="2"/>
  <c r="I521" i="2"/>
  <c r="F522" i="2"/>
  <c r="G522" i="2"/>
  <c r="I522" i="2"/>
  <c r="F523" i="2"/>
  <c r="G523" i="2"/>
  <c r="I523" i="2"/>
  <c r="F524" i="2"/>
  <c r="G524" i="2"/>
  <c r="I524" i="2"/>
  <c r="F525" i="2"/>
  <c r="G525" i="2"/>
  <c r="I525" i="2"/>
  <c r="F526" i="2"/>
  <c r="G526" i="2"/>
  <c r="I526" i="2"/>
  <c r="F527" i="2"/>
  <c r="G527" i="2"/>
  <c r="I527" i="2"/>
  <c r="F528" i="2"/>
  <c r="G528" i="2"/>
  <c r="I528" i="2"/>
  <c r="F529" i="2"/>
  <c r="G529" i="2"/>
  <c r="I529" i="2"/>
  <c r="F530" i="2"/>
  <c r="G530" i="2"/>
  <c r="I530" i="2"/>
  <c r="F531" i="2"/>
  <c r="G531" i="2"/>
  <c r="I531" i="2"/>
  <c r="F532" i="2"/>
  <c r="G532" i="2"/>
  <c r="I532" i="2"/>
  <c r="F533" i="2"/>
  <c r="G533" i="2"/>
  <c r="I533" i="2"/>
  <c r="F534" i="2"/>
  <c r="G534" i="2"/>
  <c r="I534" i="2"/>
  <c r="F535" i="2"/>
  <c r="G535" i="2"/>
  <c r="I535" i="2"/>
  <c r="F536" i="2"/>
  <c r="G536" i="2"/>
  <c r="I536" i="2"/>
  <c r="F537" i="2"/>
  <c r="G537" i="2"/>
  <c r="I537" i="2"/>
  <c r="F538" i="2"/>
  <c r="G538" i="2"/>
  <c r="I538" i="2"/>
  <c r="F539" i="2"/>
  <c r="G539" i="2"/>
  <c r="I539" i="2"/>
  <c r="F540" i="2"/>
  <c r="G540" i="2"/>
  <c r="I540" i="2"/>
  <c r="F541" i="2"/>
  <c r="G541" i="2"/>
  <c r="I541" i="2"/>
  <c r="F542" i="2"/>
  <c r="G542" i="2"/>
  <c r="I542" i="2"/>
  <c r="F543" i="2"/>
  <c r="G543" i="2"/>
  <c r="I543" i="2"/>
  <c r="F544" i="2"/>
  <c r="G544" i="2"/>
  <c r="I544" i="2"/>
  <c r="F545" i="2"/>
  <c r="G545" i="2"/>
  <c r="I545" i="2"/>
  <c r="F546" i="2"/>
  <c r="G546" i="2"/>
  <c r="I546" i="2"/>
  <c r="F547" i="2"/>
  <c r="G547" i="2"/>
  <c r="I547" i="2"/>
  <c r="F548" i="2"/>
  <c r="G548" i="2"/>
  <c r="I548" i="2"/>
  <c r="F549" i="2"/>
  <c r="G549" i="2"/>
  <c r="I549" i="2"/>
  <c r="F550" i="2"/>
  <c r="G550" i="2"/>
  <c r="I550" i="2"/>
  <c r="F551" i="2"/>
  <c r="G551" i="2"/>
  <c r="I551" i="2"/>
  <c r="F552" i="2"/>
  <c r="G552" i="2"/>
  <c r="I552" i="2"/>
  <c r="F553" i="2"/>
  <c r="G553" i="2"/>
  <c r="I553" i="2"/>
  <c r="F554" i="2"/>
  <c r="G554" i="2"/>
  <c r="I554" i="2"/>
  <c r="F555" i="2"/>
  <c r="G555" i="2"/>
  <c r="I555" i="2"/>
  <c r="F556" i="2"/>
  <c r="G556" i="2"/>
  <c r="I556" i="2"/>
  <c r="F557" i="2"/>
  <c r="G557" i="2"/>
  <c r="I557" i="2"/>
  <c r="F558" i="2"/>
  <c r="G558" i="2"/>
  <c r="I558" i="2"/>
  <c r="F559" i="2"/>
  <c r="G559" i="2"/>
  <c r="I559" i="2"/>
  <c r="F564" i="2"/>
  <c r="G564" i="2"/>
  <c r="I564" i="2"/>
  <c r="F565" i="2"/>
  <c r="G565" i="2"/>
  <c r="I565" i="2"/>
  <c r="F566" i="2"/>
  <c r="G566" i="2"/>
  <c r="I566" i="2"/>
  <c r="F567" i="2"/>
  <c r="G567" i="2"/>
  <c r="I567" i="2"/>
  <c r="F568" i="2"/>
  <c r="G568" i="2"/>
  <c r="I568" i="2"/>
  <c r="F569" i="2"/>
  <c r="G569" i="2"/>
  <c r="I569" i="2"/>
  <c r="F570" i="2"/>
  <c r="G570" i="2"/>
  <c r="I570" i="2"/>
  <c r="F571" i="2"/>
  <c r="G571" i="2"/>
  <c r="I571" i="2"/>
  <c r="F572" i="2"/>
  <c r="G572" i="2"/>
  <c r="I572" i="2"/>
  <c r="F573" i="2"/>
  <c r="G573" i="2"/>
  <c r="I573" i="2"/>
  <c r="F574" i="2"/>
  <c r="G574" i="2"/>
  <c r="I574" i="2"/>
  <c r="F575" i="2"/>
  <c r="G575" i="2"/>
  <c r="I575" i="2"/>
  <c r="F576" i="2"/>
  <c r="G576" i="2"/>
  <c r="I576" i="2"/>
  <c r="F577" i="2"/>
  <c r="G577" i="2"/>
  <c r="I577" i="2"/>
  <c r="F578" i="2"/>
  <c r="G578" i="2"/>
  <c r="I578" i="2"/>
  <c r="F579" i="2"/>
  <c r="G579" i="2"/>
  <c r="I579" i="2"/>
  <c r="F580" i="2"/>
  <c r="G580" i="2"/>
  <c r="I580" i="2"/>
  <c r="F581" i="2"/>
  <c r="G581" i="2"/>
  <c r="I581" i="2"/>
  <c r="F582" i="2"/>
  <c r="G582" i="2"/>
  <c r="I582" i="2"/>
  <c r="F583" i="2"/>
  <c r="G583" i="2"/>
  <c r="I583" i="2"/>
  <c r="F584" i="2"/>
  <c r="G584" i="2"/>
  <c r="I584" i="2"/>
  <c r="F585" i="2"/>
  <c r="G585" i="2"/>
  <c r="I585" i="2"/>
  <c r="F586" i="2"/>
  <c r="G586" i="2"/>
  <c r="I586" i="2"/>
  <c r="F587" i="2"/>
  <c r="G587" i="2"/>
  <c r="I587" i="2"/>
  <c r="F588" i="2"/>
  <c r="G588" i="2"/>
  <c r="I588" i="2"/>
  <c r="F589" i="2"/>
  <c r="G589" i="2"/>
  <c r="I589" i="2"/>
  <c r="F590" i="2"/>
  <c r="G590" i="2"/>
  <c r="I590" i="2"/>
  <c r="F591" i="2"/>
  <c r="G591" i="2"/>
  <c r="I591" i="2"/>
  <c r="F592" i="2"/>
  <c r="G592" i="2"/>
  <c r="I592" i="2"/>
  <c r="F593" i="2"/>
  <c r="G593" i="2"/>
  <c r="I593" i="2"/>
  <c r="F594" i="2"/>
  <c r="G594" i="2"/>
  <c r="I594" i="2"/>
  <c r="F595" i="2"/>
  <c r="G595" i="2"/>
  <c r="I595" i="2"/>
  <c r="F596" i="2"/>
  <c r="G596" i="2"/>
  <c r="I596" i="2"/>
  <c r="F597" i="2"/>
  <c r="G597" i="2"/>
  <c r="I597" i="2"/>
  <c r="F598" i="2"/>
  <c r="G598" i="2"/>
  <c r="I598" i="2"/>
  <c r="F599" i="2"/>
  <c r="G599" i="2"/>
  <c r="I599" i="2"/>
  <c r="F600" i="2"/>
  <c r="G600" i="2"/>
  <c r="I600" i="2"/>
  <c r="F601" i="2"/>
  <c r="G601" i="2"/>
  <c r="I601" i="2"/>
  <c r="F602" i="2"/>
  <c r="G602" i="2"/>
  <c r="I602" i="2"/>
  <c r="F603" i="2"/>
  <c r="G603" i="2"/>
  <c r="I603" i="2"/>
  <c r="F604" i="2"/>
  <c r="G604" i="2"/>
  <c r="I604" i="2"/>
  <c r="F605" i="2"/>
  <c r="G605" i="2"/>
  <c r="I605" i="2"/>
  <c r="F606" i="2"/>
  <c r="G606" i="2"/>
  <c r="I606" i="2"/>
  <c r="F607" i="2"/>
  <c r="G607" i="2"/>
  <c r="I607" i="2"/>
  <c r="F608" i="2"/>
  <c r="G608" i="2"/>
  <c r="I608" i="2"/>
  <c r="F609" i="2"/>
  <c r="G609" i="2"/>
  <c r="I609" i="2"/>
  <c r="F610" i="2"/>
  <c r="G610" i="2"/>
  <c r="I610" i="2"/>
  <c r="F611" i="2"/>
  <c r="G611" i="2"/>
  <c r="I611" i="2"/>
  <c r="F612" i="2"/>
  <c r="G612" i="2"/>
  <c r="I612" i="2"/>
  <c r="F613" i="2"/>
  <c r="G613" i="2"/>
  <c r="I613" i="2"/>
  <c r="F614" i="2"/>
  <c r="G614" i="2"/>
  <c r="I614" i="2"/>
  <c r="F615" i="2"/>
  <c r="G615" i="2"/>
  <c r="I615" i="2"/>
  <c r="F616" i="2"/>
  <c r="G616" i="2"/>
  <c r="I616" i="2"/>
  <c r="F617" i="2"/>
  <c r="G617" i="2"/>
  <c r="I617" i="2"/>
  <c r="F618" i="2"/>
  <c r="G618" i="2"/>
  <c r="I618" i="2"/>
  <c r="F619" i="2"/>
  <c r="G619" i="2"/>
  <c r="I619" i="2"/>
  <c r="F620" i="2"/>
  <c r="G620" i="2"/>
  <c r="I620" i="2"/>
  <c r="F621" i="2"/>
  <c r="G621" i="2"/>
  <c r="I621" i="2"/>
  <c r="F622" i="2"/>
  <c r="G622" i="2"/>
  <c r="I622" i="2"/>
  <c r="F623" i="2"/>
  <c r="G623" i="2"/>
  <c r="I623" i="2"/>
  <c r="F624" i="2"/>
  <c r="G624" i="2"/>
  <c r="I624" i="2"/>
  <c r="F625" i="2"/>
  <c r="G625" i="2"/>
  <c r="I625" i="2"/>
  <c r="F626" i="2"/>
  <c r="G626" i="2"/>
  <c r="I626" i="2"/>
  <c r="F627" i="2"/>
  <c r="G627" i="2"/>
  <c r="I627" i="2"/>
  <c r="F628" i="2"/>
  <c r="G628" i="2"/>
  <c r="I628" i="2"/>
  <c r="F629" i="2"/>
  <c r="G629" i="2"/>
  <c r="I629" i="2"/>
  <c r="F630" i="2"/>
  <c r="G630" i="2"/>
  <c r="I630" i="2"/>
  <c r="F631" i="2"/>
  <c r="G631" i="2"/>
  <c r="I631" i="2"/>
  <c r="F632" i="2"/>
  <c r="G632" i="2"/>
  <c r="I632" i="2"/>
  <c r="F633" i="2"/>
  <c r="G633" i="2"/>
  <c r="I633" i="2"/>
  <c r="F634" i="2"/>
  <c r="G634" i="2"/>
  <c r="I634" i="2"/>
  <c r="F635" i="2"/>
  <c r="G635" i="2"/>
  <c r="I635" i="2"/>
  <c r="F636" i="2"/>
  <c r="G636" i="2"/>
  <c r="I636" i="2"/>
  <c r="F637" i="2"/>
  <c r="G637" i="2"/>
  <c r="I637" i="2"/>
  <c r="F638" i="2"/>
  <c r="G638" i="2"/>
  <c r="I638" i="2"/>
  <c r="F639" i="2"/>
  <c r="G639" i="2"/>
  <c r="I639" i="2"/>
  <c r="F640" i="2"/>
  <c r="G640" i="2"/>
  <c r="I640" i="2"/>
  <c r="F641" i="2"/>
  <c r="G641" i="2"/>
  <c r="I641" i="2"/>
  <c r="F642" i="2"/>
  <c r="G642" i="2"/>
  <c r="I642" i="2"/>
  <c r="F644" i="2"/>
  <c r="G644" i="2"/>
  <c r="I644" i="2"/>
  <c r="F645" i="2"/>
  <c r="G645" i="2"/>
  <c r="I645" i="2"/>
  <c r="F646" i="2"/>
  <c r="G646" i="2"/>
  <c r="I646" i="2"/>
  <c r="F647" i="2"/>
  <c r="G647" i="2"/>
  <c r="I647" i="2"/>
  <c r="F648" i="2"/>
  <c r="G648" i="2"/>
  <c r="I648" i="2"/>
  <c r="F649" i="2"/>
  <c r="G649" i="2"/>
  <c r="I649" i="2"/>
  <c r="F650" i="2"/>
  <c r="G650" i="2"/>
  <c r="I650" i="2"/>
  <c r="F652" i="2"/>
  <c r="G652" i="2"/>
  <c r="I652" i="2"/>
  <c r="F653" i="2"/>
  <c r="G653" i="2"/>
  <c r="I653" i="2"/>
  <c r="F654" i="2"/>
  <c r="G654" i="2"/>
  <c r="I654" i="2"/>
  <c r="F655" i="2"/>
  <c r="G655" i="2"/>
  <c r="I655" i="2"/>
  <c r="F656" i="2"/>
  <c r="G656" i="2"/>
  <c r="I656" i="2"/>
  <c r="F657" i="2"/>
  <c r="G657" i="2"/>
  <c r="I657" i="2"/>
  <c r="F658" i="2"/>
  <c r="G658" i="2"/>
  <c r="I658" i="2"/>
  <c r="F659" i="2"/>
  <c r="G659" i="2"/>
  <c r="I659" i="2"/>
  <c r="F660" i="2"/>
  <c r="G660" i="2"/>
  <c r="I660" i="2"/>
  <c r="F661" i="2"/>
  <c r="G661" i="2"/>
  <c r="I661" i="2"/>
  <c r="F662" i="2"/>
  <c r="G662" i="2"/>
  <c r="I662" i="2"/>
  <c r="F663" i="2"/>
  <c r="G663" i="2"/>
  <c r="I663" i="2"/>
  <c r="F664" i="2"/>
  <c r="G664" i="2"/>
  <c r="I664" i="2"/>
  <c r="F665" i="2"/>
  <c r="G665" i="2"/>
  <c r="I665" i="2"/>
  <c r="F666" i="2"/>
  <c r="G666" i="2"/>
  <c r="I666" i="2"/>
  <c r="F667" i="2"/>
  <c r="G667" i="2"/>
  <c r="I667" i="2"/>
  <c r="F668" i="2"/>
  <c r="G668" i="2"/>
  <c r="I668" i="2"/>
  <c r="F669" i="2"/>
  <c r="G669" i="2"/>
  <c r="I669" i="2"/>
  <c r="F670" i="2"/>
  <c r="G670" i="2"/>
  <c r="I670" i="2"/>
  <c r="F671" i="2"/>
  <c r="G671" i="2"/>
  <c r="I671" i="2"/>
  <c r="F672" i="2"/>
  <c r="G672" i="2"/>
  <c r="I672" i="2"/>
  <c r="F673" i="2"/>
  <c r="G673" i="2"/>
  <c r="I673" i="2"/>
  <c r="F674" i="2"/>
  <c r="G674" i="2"/>
  <c r="I674" i="2"/>
  <c r="F675" i="2"/>
  <c r="G675" i="2"/>
  <c r="I675" i="2"/>
  <c r="F676" i="2"/>
  <c r="G676" i="2"/>
  <c r="I676" i="2"/>
  <c r="F677" i="2"/>
  <c r="G677" i="2"/>
  <c r="I677" i="2"/>
  <c r="F678" i="2"/>
  <c r="G678" i="2"/>
  <c r="I678" i="2"/>
  <c r="F679" i="2"/>
  <c r="G679" i="2"/>
  <c r="I679" i="2"/>
  <c r="F680" i="2"/>
  <c r="G680" i="2"/>
  <c r="I680" i="2"/>
  <c r="F681" i="2"/>
  <c r="G681" i="2"/>
  <c r="I681" i="2"/>
  <c r="F682" i="2"/>
  <c r="G682" i="2"/>
  <c r="I682" i="2"/>
  <c r="F683" i="2"/>
  <c r="G683" i="2"/>
  <c r="I683" i="2"/>
  <c r="F684" i="2"/>
  <c r="G684" i="2"/>
  <c r="I684" i="2"/>
  <c r="F685" i="2"/>
  <c r="G685" i="2"/>
  <c r="I685" i="2"/>
  <c r="F686" i="2"/>
  <c r="G686" i="2"/>
  <c r="I686" i="2"/>
  <c r="F687" i="2"/>
  <c r="G687" i="2"/>
  <c r="I687" i="2"/>
  <c r="F688" i="2"/>
  <c r="G688" i="2"/>
  <c r="I688" i="2"/>
  <c r="F689" i="2"/>
  <c r="G689" i="2"/>
  <c r="H689" i="2"/>
  <c r="I689" i="2"/>
  <c r="F690" i="2"/>
  <c r="G690" i="2"/>
  <c r="H690" i="2"/>
  <c r="I690" i="2"/>
  <c r="F691" i="2"/>
  <c r="G691" i="2"/>
  <c r="H691" i="2"/>
  <c r="I691" i="2"/>
  <c r="F692" i="2"/>
  <c r="G692" i="2"/>
  <c r="H692" i="2"/>
  <c r="I692" i="2"/>
  <c r="F693" i="2"/>
  <c r="G693" i="2"/>
  <c r="I693" i="2"/>
  <c r="F694" i="2"/>
  <c r="G694" i="2"/>
  <c r="I694" i="2"/>
  <c r="F695" i="2"/>
  <c r="G695" i="2"/>
  <c r="I695" i="2"/>
  <c r="F696" i="2"/>
  <c r="G696" i="2"/>
  <c r="I696" i="2"/>
  <c r="F697" i="2"/>
  <c r="G697" i="2"/>
  <c r="I697" i="2"/>
  <c r="F698" i="2"/>
  <c r="G698" i="2"/>
  <c r="I698" i="2"/>
  <c r="F699" i="2"/>
  <c r="G699" i="2"/>
  <c r="I699" i="2"/>
  <c r="F700" i="2"/>
  <c r="G700" i="2"/>
  <c r="H700" i="2"/>
  <c r="I700" i="2"/>
  <c r="F701" i="2"/>
  <c r="G701" i="2"/>
  <c r="H701" i="2"/>
  <c r="I701" i="2"/>
  <c r="F702" i="2"/>
  <c r="G702" i="2"/>
  <c r="I702" i="2"/>
  <c r="F703" i="2"/>
  <c r="G703" i="2"/>
  <c r="I703" i="2"/>
  <c r="F704" i="2"/>
  <c r="G704" i="2"/>
  <c r="I704" i="2"/>
  <c r="F705" i="2"/>
  <c r="G705" i="2"/>
  <c r="I705" i="2"/>
  <c r="F706" i="2"/>
  <c r="G706" i="2"/>
  <c r="I706" i="2"/>
  <c r="F707" i="2"/>
  <c r="G707" i="2"/>
  <c r="I707" i="2"/>
  <c r="F708" i="2"/>
  <c r="G708" i="2"/>
  <c r="I708" i="2"/>
  <c r="F709" i="2"/>
  <c r="G709" i="2"/>
  <c r="H709" i="2"/>
  <c r="I709" i="2"/>
  <c r="F710" i="2"/>
  <c r="G710" i="2"/>
  <c r="H710" i="2"/>
  <c r="I710" i="2"/>
  <c r="F711" i="2"/>
  <c r="G711" i="2"/>
  <c r="H711" i="2"/>
  <c r="I711" i="2"/>
  <c r="F712" i="2"/>
  <c r="G712" i="2"/>
  <c r="H712" i="2"/>
  <c r="I712" i="2"/>
  <c r="F713" i="2"/>
  <c r="G713" i="2"/>
  <c r="H713" i="2"/>
  <c r="I713" i="2"/>
  <c r="F714" i="2"/>
  <c r="G714" i="2"/>
  <c r="H714" i="2"/>
  <c r="I714" i="2"/>
  <c r="F715" i="2"/>
  <c r="G715" i="2"/>
  <c r="H715" i="2"/>
  <c r="I715" i="2"/>
  <c r="F716" i="2"/>
  <c r="G716" i="2"/>
  <c r="H716" i="2"/>
  <c r="I716" i="2"/>
  <c r="F717" i="2"/>
  <c r="G717" i="2"/>
  <c r="I717" i="2"/>
  <c r="F718" i="2"/>
  <c r="G718" i="2"/>
  <c r="H718" i="2"/>
  <c r="I718" i="2"/>
  <c r="F719" i="2"/>
  <c r="G719" i="2"/>
  <c r="H719" i="2"/>
  <c r="I719" i="2"/>
  <c r="F720" i="2"/>
  <c r="G720" i="2"/>
  <c r="H720" i="2"/>
  <c r="I720" i="2"/>
  <c r="F721" i="2"/>
  <c r="G721" i="2"/>
  <c r="H721" i="2"/>
  <c r="I721" i="2"/>
  <c r="F722" i="2"/>
  <c r="G722" i="2"/>
  <c r="H722" i="2"/>
  <c r="I722" i="2"/>
  <c r="F723" i="2"/>
  <c r="G723" i="2"/>
  <c r="H723" i="2"/>
  <c r="I723" i="2"/>
  <c r="F724" i="2"/>
  <c r="G724" i="2"/>
  <c r="I724" i="2"/>
  <c r="F725" i="2"/>
  <c r="G725" i="2"/>
  <c r="H725" i="2"/>
  <c r="I725" i="2"/>
  <c r="F726" i="2"/>
  <c r="G726" i="2"/>
  <c r="H726" i="2"/>
  <c r="I726" i="2"/>
  <c r="F727" i="2"/>
  <c r="G727" i="2"/>
  <c r="H727" i="2"/>
  <c r="I727" i="2"/>
  <c r="F728" i="2"/>
  <c r="G728" i="2"/>
  <c r="H728" i="2"/>
  <c r="I728" i="2"/>
  <c r="F729" i="2"/>
  <c r="G729" i="2"/>
  <c r="H729" i="2"/>
  <c r="I729" i="2"/>
  <c r="F730" i="2"/>
  <c r="G730" i="2"/>
  <c r="H730" i="2"/>
  <c r="I730" i="2"/>
  <c r="F731" i="2"/>
  <c r="G731" i="2"/>
  <c r="I731" i="2"/>
  <c r="F732" i="2"/>
  <c r="F733" i="2"/>
  <c r="G733" i="2"/>
  <c r="I733" i="2"/>
  <c r="F734" i="2"/>
  <c r="G734" i="2"/>
  <c r="F735" i="2"/>
  <c r="G735" i="2"/>
  <c r="I735" i="2"/>
  <c r="F736" i="2"/>
  <c r="G736" i="2"/>
  <c r="H736" i="2"/>
  <c r="I736" i="2"/>
  <c r="F737" i="2"/>
  <c r="G737" i="2"/>
  <c r="H737" i="2"/>
  <c r="I737" i="2"/>
  <c r="F738" i="2"/>
  <c r="G738" i="2"/>
  <c r="H738" i="2"/>
  <c r="I738" i="2"/>
  <c r="F739" i="2"/>
  <c r="G739" i="2"/>
  <c r="H739" i="2"/>
  <c r="I739" i="2"/>
  <c r="F740" i="2"/>
  <c r="G740" i="2"/>
  <c r="I740" i="2"/>
  <c r="F742" i="2"/>
  <c r="G742" i="2"/>
  <c r="F743" i="2"/>
  <c r="G743" i="2"/>
  <c r="H743" i="2"/>
  <c r="I743" i="2"/>
  <c r="F744" i="2"/>
  <c r="G744" i="2"/>
  <c r="H744" i="2"/>
  <c r="I744" i="2"/>
  <c r="F745" i="2"/>
  <c r="G745" i="2"/>
  <c r="H745" i="2"/>
  <c r="I745" i="2"/>
  <c r="F746" i="2"/>
  <c r="G746" i="2"/>
  <c r="H746" i="2"/>
  <c r="I746" i="2"/>
  <c r="F747" i="2"/>
  <c r="G747" i="2"/>
  <c r="I747" i="2"/>
  <c r="F748" i="2"/>
  <c r="G748" i="2"/>
  <c r="H748" i="2"/>
  <c r="I748" i="2"/>
  <c r="F749" i="2"/>
  <c r="G749" i="2"/>
  <c r="H749" i="2"/>
  <c r="I749" i="2"/>
  <c r="F750" i="2"/>
  <c r="G750" i="2"/>
  <c r="H750" i="2"/>
  <c r="I750" i="2"/>
  <c r="F751" i="2"/>
  <c r="G751" i="2"/>
  <c r="H751" i="2"/>
  <c r="I751" i="2"/>
  <c r="F752" i="2"/>
  <c r="G752" i="2"/>
  <c r="H752" i="2"/>
  <c r="I752" i="2"/>
  <c r="F753" i="2"/>
  <c r="G753" i="2"/>
  <c r="H753" i="2"/>
  <c r="I753" i="2"/>
  <c r="F754" i="2"/>
  <c r="G754" i="2"/>
  <c r="H754" i="2"/>
  <c r="I754" i="2"/>
  <c r="F755" i="2"/>
  <c r="G755" i="2"/>
  <c r="H755" i="2"/>
  <c r="I755" i="2"/>
  <c r="F756" i="2"/>
  <c r="G756" i="2"/>
  <c r="H756" i="2"/>
  <c r="I756" i="2"/>
  <c r="F757" i="2"/>
  <c r="G757" i="2"/>
  <c r="H757" i="2"/>
  <c r="I757" i="2"/>
  <c r="F758" i="2"/>
  <c r="G758" i="2"/>
  <c r="H758" i="2"/>
  <c r="I758" i="2"/>
  <c r="F759" i="2"/>
  <c r="G759" i="2"/>
  <c r="H759" i="2"/>
  <c r="I759" i="2"/>
  <c r="F760" i="2"/>
  <c r="G760" i="2"/>
  <c r="H760" i="2"/>
  <c r="I760" i="2"/>
  <c r="F761" i="2"/>
  <c r="G761" i="2"/>
  <c r="H761" i="2"/>
  <c r="I761" i="2"/>
  <c r="F762" i="2"/>
  <c r="G762" i="2"/>
  <c r="I762" i="2"/>
  <c r="F763" i="2"/>
  <c r="G763" i="2"/>
  <c r="F764" i="2"/>
  <c r="G764" i="2"/>
  <c r="H764" i="2"/>
  <c r="I764" i="2"/>
  <c r="F765" i="2"/>
  <c r="G765" i="2"/>
  <c r="H765" i="2"/>
  <c r="I765" i="2"/>
  <c r="F766" i="2"/>
  <c r="G766" i="2"/>
  <c r="I766" i="2"/>
  <c r="F767" i="2"/>
  <c r="G767" i="2"/>
  <c r="H767" i="2"/>
  <c r="I767" i="2"/>
  <c r="F768" i="2"/>
  <c r="G768" i="2"/>
  <c r="H768" i="2"/>
  <c r="I768" i="2"/>
  <c r="F769" i="2"/>
  <c r="G769" i="2"/>
  <c r="I769" i="2"/>
  <c r="F770" i="2"/>
  <c r="F771" i="2"/>
  <c r="G771" i="2"/>
  <c r="H771" i="2"/>
  <c r="I771" i="2"/>
  <c r="F772" i="2"/>
  <c r="G772" i="2"/>
  <c r="H772" i="2"/>
  <c r="I772" i="2"/>
  <c r="F773" i="2"/>
  <c r="G773" i="2"/>
  <c r="I773" i="2"/>
  <c r="F774" i="2"/>
  <c r="G774" i="2"/>
  <c r="H774" i="2"/>
  <c r="I774" i="2"/>
  <c r="F775" i="2"/>
  <c r="G775" i="2"/>
  <c r="H775" i="2"/>
  <c r="I775" i="2"/>
  <c r="F776" i="2"/>
  <c r="G776" i="2"/>
  <c r="H776" i="2"/>
  <c r="I776" i="2"/>
  <c r="F777" i="2"/>
  <c r="G777" i="2"/>
  <c r="H777" i="2"/>
  <c r="I777" i="2"/>
  <c r="F778" i="2"/>
  <c r="G778" i="2"/>
  <c r="H778" i="2"/>
  <c r="I778" i="2"/>
  <c r="F779" i="2"/>
  <c r="G779" i="2"/>
  <c r="H779" i="2"/>
  <c r="I779" i="2"/>
  <c r="F780" i="2"/>
  <c r="G780" i="2"/>
  <c r="H780" i="2"/>
  <c r="I780" i="2"/>
  <c r="F781" i="2"/>
  <c r="G781" i="2"/>
  <c r="H781" i="2"/>
  <c r="I781" i="2"/>
  <c r="F782" i="2"/>
  <c r="G782" i="2"/>
  <c r="H782" i="2"/>
  <c r="I782" i="2"/>
  <c r="F783" i="2"/>
  <c r="G783" i="2"/>
  <c r="H783" i="2"/>
  <c r="I783" i="2"/>
  <c r="F784" i="2"/>
  <c r="G784" i="2"/>
  <c r="H784" i="2"/>
  <c r="I784" i="2"/>
  <c r="F785" i="2"/>
  <c r="G785" i="2"/>
  <c r="H785" i="2"/>
  <c r="I785" i="2"/>
  <c r="F786" i="2"/>
  <c r="G786" i="2"/>
  <c r="H786" i="2"/>
  <c r="I786" i="2"/>
  <c r="F787" i="2"/>
  <c r="G787" i="2"/>
  <c r="H787" i="2"/>
  <c r="I787" i="2"/>
  <c r="F788" i="2"/>
  <c r="G788" i="2"/>
  <c r="H788" i="2"/>
  <c r="I788" i="2"/>
  <c r="F789" i="2"/>
  <c r="G789" i="2"/>
  <c r="H789" i="2"/>
  <c r="I789" i="2"/>
  <c r="F790" i="2"/>
  <c r="G790" i="2"/>
  <c r="H790" i="2"/>
  <c r="I790" i="2"/>
  <c r="F791" i="2"/>
  <c r="G791" i="2"/>
  <c r="H791" i="2"/>
  <c r="I791" i="2"/>
  <c r="F792" i="2"/>
  <c r="G792" i="2"/>
  <c r="H792" i="2"/>
  <c r="I792" i="2"/>
  <c r="F793" i="2"/>
  <c r="G793" i="2"/>
  <c r="H793" i="2"/>
  <c r="I793" i="2"/>
  <c r="F794" i="2"/>
  <c r="G794" i="2"/>
  <c r="H794" i="2"/>
  <c r="I794" i="2"/>
  <c r="F795" i="2"/>
  <c r="G795" i="2"/>
  <c r="H795" i="2"/>
  <c r="I795" i="2"/>
  <c r="F796" i="2"/>
  <c r="G796" i="2"/>
  <c r="H796" i="2"/>
  <c r="I796" i="2"/>
  <c r="F797" i="2"/>
  <c r="G797" i="2"/>
  <c r="H797" i="2"/>
  <c r="I797" i="2"/>
  <c r="F798" i="2"/>
  <c r="G798" i="2"/>
  <c r="H798" i="2"/>
  <c r="I798" i="2"/>
  <c r="F799" i="2"/>
  <c r="G799" i="2"/>
  <c r="H799" i="2"/>
  <c r="I799" i="2"/>
  <c r="F800" i="2"/>
  <c r="G800" i="2"/>
  <c r="H800" i="2"/>
  <c r="I800" i="2"/>
  <c r="F801" i="2"/>
  <c r="G801" i="2"/>
  <c r="H801" i="2"/>
  <c r="I801" i="2"/>
  <c r="F802" i="2"/>
  <c r="G802" i="2"/>
  <c r="H802" i="2"/>
  <c r="I802" i="2"/>
  <c r="F803" i="2"/>
  <c r="G803" i="2"/>
  <c r="I803" i="2"/>
  <c r="F804" i="2"/>
  <c r="G804" i="2"/>
  <c r="H804" i="2"/>
  <c r="I804" i="2"/>
  <c r="F805" i="2"/>
  <c r="G805" i="2"/>
  <c r="H805" i="2"/>
  <c r="I805" i="2"/>
  <c r="F806" i="2"/>
  <c r="G806" i="2"/>
  <c r="H806" i="2"/>
  <c r="I806" i="2"/>
  <c r="F807" i="2"/>
  <c r="G807" i="2"/>
  <c r="H807" i="2"/>
  <c r="I807" i="2"/>
  <c r="F808" i="2"/>
  <c r="G808" i="2"/>
  <c r="H808" i="2"/>
  <c r="I808" i="2"/>
  <c r="F809" i="2"/>
  <c r="G809" i="2"/>
  <c r="H809" i="2"/>
  <c r="I809" i="2"/>
  <c r="F810" i="2"/>
  <c r="G810" i="2"/>
  <c r="I810" i="2"/>
  <c r="F811" i="2"/>
  <c r="G811" i="2"/>
  <c r="H811" i="2"/>
  <c r="I811" i="2"/>
  <c r="F812" i="2"/>
  <c r="G812" i="2"/>
  <c r="H812" i="2"/>
  <c r="I812" i="2"/>
  <c r="F813" i="2"/>
  <c r="G813" i="2"/>
  <c r="H813" i="2"/>
  <c r="I813" i="2"/>
  <c r="F814" i="2"/>
  <c r="G814" i="2"/>
  <c r="H814" i="2"/>
  <c r="I814" i="2"/>
  <c r="F815" i="2"/>
  <c r="G815" i="2"/>
  <c r="H815" i="2"/>
  <c r="I815" i="2"/>
  <c r="F816" i="2"/>
  <c r="G816" i="2"/>
  <c r="H816" i="2"/>
  <c r="I816" i="2"/>
  <c r="F817" i="2"/>
  <c r="G817" i="2"/>
  <c r="H817" i="2"/>
  <c r="I817" i="2"/>
  <c r="F818" i="2"/>
  <c r="G818" i="2"/>
  <c r="H818" i="2"/>
  <c r="I818" i="2"/>
  <c r="F819" i="2"/>
  <c r="G819" i="2"/>
  <c r="H819" i="2"/>
  <c r="I819" i="2"/>
  <c r="F820" i="2"/>
  <c r="G820" i="2"/>
  <c r="H820" i="2"/>
  <c r="I820" i="2"/>
  <c r="F821" i="2"/>
  <c r="G821" i="2"/>
  <c r="H821" i="2"/>
  <c r="I821" i="2"/>
  <c r="F822" i="2"/>
  <c r="G822" i="2"/>
  <c r="H822" i="2"/>
  <c r="I822" i="2"/>
  <c r="F823" i="2"/>
  <c r="G823" i="2"/>
  <c r="H823" i="2"/>
  <c r="I823" i="2"/>
  <c r="F824" i="2"/>
  <c r="G824" i="2"/>
  <c r="I824" i="2"/>
  <c r="F825" i="2"/>
  <c r="G825" i="2"/>
  <c r="F826" i="2"/>
  <c r="G826" i="2"/>
  <c r="H826" i="2"/>
  <c r="I826" i="2"/>
  <c r="F827" i="2"/>
  <c r="G827" i="2"/>
  <c r="H827" i="2"/>
  <c r="I827" i="2"/>
  <c r="F828" i="2"/>
  <c r="G828" i="2"/>
  <c r="H828" i="2"/>
  <c r="I828" i="2"/>
  <c r="F829" i="2"/>
  <c r="G829" i="2"/>
  <c r="H829" i="2"/>
  <c r="I829" i="2"/>
  <c r="F830" i="2"/>
  <c r="G830" i="2"/>
  <c r="H830" i="2"/>
  <c r="I830" i="2"/>
  <c r="F831" i="2"/>
  <c r="G831" i="2"/>
  <c r="H831" i="2"/>
  <c r="I831" i="2"/>
  <c r="F832" i="2"/>
  <c r="G832" i="2"/>
  <c r="H832" i="2"/>
  <c r="I832" i="2"/>
  <c r="F833" i="2"/>
  <c r="G833" i="2"/>
  <c r="H833" i="2"/>
  <c r="I833" i="2"/>
  <c r="F834" i="2"/>
  <c r="G834" i="2"/>
  <c r="H834" i="2"/>
  <c r="I834" i="2"/>
  <c r="F835" i="2"/>
  <c r="G835" i="2"/>
  <c r="H835" i="2"/>
  <c r="I835" i="2"/>
  <c r="F836" i="2"/>
  <c r="G836" i="2"/>
  <c r="H836" i="2"/>
  <c r="I836" i="2"/>
  <c r="F837" i="2"/>
  <c r="G837" i="2"/>
  <c r="H837" i="2"/>
  <c r="I837" i="2"/>
  <c r="F838" i="2"/>
  <c r="G838" i="2"/>
  <c r="H838" i="2"/>
  <c r="I838" i="2"/>
  <c r="F839" i="2"/>
  <c r="G839" i="2"/>
  <c r="H839" i="2"/>
  <c r="I839" i="2"/>
  <c r="F840" i="2"/>
  <c r="G840" i="2"/>
  <c r="H840" i="2"/>
  <c r="I840" i="2"/>
  <c r="F841" i="2"/>
  <c r="G841" i="2"/>
  <c r="H841" i="2"/>
  <c r="I841" i="2"/>
  <c r="F842" i="2"/>
  <c r="G842" i="2"/>
  <c r="H842" i="2"/>
  <c r="I842" i="2"/>
  <c r="F843" i="2"/>
  <c r="G843" i="2"/>
  <c r="H843" i="2"/>
  <c r="I843" i="2"/>
  <c r="F844" i="2"/>
  <c r="G844" i="2"/>
  <c r="H844" i="2"/>
  <c r="I844" i="2"/>
  <c r="F845" i="2"/>
  <c r="G845" i="2"/>
  <c r="H845" i="2"/>
  <c r="I845" i="2"/>
  <c r="F846" i="2"/>
  <c r="G846" i="2"/>
  <c r="H846" i="2"/>
  <c r="I846" i="2"/>
  <c r="F847" i="2"/>
  <c r="G847" i="2"/>
  <c r="H847" i="2"/>
  <c r="I847" i="2"/>
  <c r="F849" i="2"/>
  <c r="G849" i="2"/>
  <c r="H849" i="2"/>
  <c r="I849" i="2"/>
  <c r="F850" i="2"/>
  <c r="G850" i="2"/>
  <c r="H850" i="2"/>
  <c r="I850" i="2"/>
  <c r="F851" i="2"/>
  <c r="G851" i="2"/>
  <c r="H851" i="2"/>
  <c r="I851" i="2"/>
  <c r="F852" i="2"/>
  <c r="G852" i="2"/>
  <c r="H852" i="2"/>
  <c r="I852" i="2"/>
  <c r="F853" i="2"/>
  <c r="G853" i="2"/>
  <c r="H853" i="2"/>
  <c r="I853" i="2"/>
  <c r="F854" i="2"/>
  <c r="G854" i="2"/>
  <c r="H854" i="2"/>
  <c r="I854" i="2"/>
  <c r="F855" i="2"/>
  <c r="G855" i="2"/>
  <c r="H855" i="2"/>
  <c r="I855" i="2"/>
  <c r="F856" i="2"/>
  <c r="G856" i="2"/>
  <c r="H856" i="2"/>
  <c r="I856" i="2"/>
  <c r="F857" i="2"/>
  <c r="G857" i="2"/>
  <c r="H857" i="2"/>
  <c r="I857" i="2"/>
  <c r="F858" i="2"/>
  <c r="G858" i="2"/>
  <c r="H858" i="2"/>
  <c r="I858" i="2"/>
  <c r="F859" i="2"/>
  <c r="G859" i="2"/>
  <c r="H859" i="2"/>
  <c r="I859" i="2"/>
  <c r="F860" i="2"/>
  <c r="G860" i="2"/>
  <c r="H860" i="2"/>
  <c r="I860" i="2"/>
  <c r="F861" i="2"/>
  <c r="G861" i="2"/>
  <c r="H861" i="2"/>
  <c r="I861" i="2"/>
  <c r="F862" i="2"/>
  <c r="G862" i="2"/>
  <c r="H862" i="2"/>
  <c r="I862" i="2"/>
  <c r="F863" i="2"/>
  <c r="G863" i="2"/>
  <c r="H863" i="2"/>
  <c r="I863" i="2"/>
  <c r="F864" i="2"/>
  <c r="G864" i="2"/>
  <c r="H864" i="2"/>
  <c r="I864" i="2"/>
  <c r="F865" i="2"/>
  <c r="G865" i="2"/>
  <c r="H865" i="2"/>
  <c r="I865" i="2"/>
  <c r="F866" i="2"/>
  <c r="G866" i="2"/>
  <c r="H866" i="2"/>
  <c r="I866" i="2"/>
  <c r="F867" i="2"/>
  <c r="G867" i="2"/>
  <c r="H867" i="2"/>
  <c r="I867" i="2"/>
  <c r="F868" i="2"/>
  <c r="G868" i="2"/>
  <c r="H868" i="2"/>
  <c r="I868" i="2"/>
  <c r="F869" i="2"/>
  <c r="G869" i="2"/>
  <c r="H869" i="2"/>
  <c r="I869" i="2"/>
  <c r="F870" i="2"/>
  <c r="G870" i="2"/>
  <c r="H870" i="2"/>
  <c r="I870" i="2"/>
  <c r="F871" i="2"/>
  <c r="G871" i="2"/>
  <c r="H871" i="2"/>
  <c r="I871" i="2"/>
  <c r="F872" i="2"/>
  <c r="G872" i="2"/>
  <c r="H872" i="2"/>
  <c r="I872" i="2"/>
  <c r="F873" i="2"/>
  <c r="G873" i="2"/>
  <c r="H873" i="2"/>
  <c r="I873" i="2"/>
  <c r="F874" i="2"/>
  <c r="G874" i="2"/>
  <c r="H874" i="2"/>
  <c r="I874" i="2"/>
  <c r="F875" i="2"/>
  <c r="G875" i="2"/>
  <c r="H875" i="2"/>
  <c r="I875" i="2"/>
  <c r="C20" i="1" l="1"/>
  <c r="C19" i="1"/>
  <c r="C18" i="1"/>
  <c r="C17" i="1"/>
  <c r="C16" i="1"/>
  <c r="C15" i="1"/>
  <c r="C10" i="1"/>
  <c r="C11" i="1"/>
  <c r="AD440" i="6" l="1"/>
  <c r="AD441" i="6"/>
  <c r="AD442" i="6"/>
  <c r="AD443" i="6"/>
  <c r="AD439" i="6"/>
  <c r="AD6" i="6" l="1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O7" i="6"/>
  <c r="P7" i="6" s="1"/>
  <c r="J6" i="4" l="1"/>
  <c r="H183" i="2" l="1"/>
  <c r="H187" i="2"/>
  <c r="K7" i="6" l="1"/>
  <c r="K33" i="4" l="1"/>
  <c r="I435" i="2" s="1"/>
  <c r="K32" i="4"/>
  <c r="J19" i="4"/>
  <c r="H200" i="2" s="1"/>
  <c r="I430" i="2" l="1"/>
  <c r="I431" i="2"/>
  <c r="I429" i="2"/>
  <c r="I432" i="2"/>
  <c r="X55" i="6"/>
  <c r="X54" i="6"/>
  <c r="X53" i="6"/>
  <c r="L707" i="6" s="1"/>
  <c r="X52" i="6"/>
  <c r="L708" i="6" s="1"/>
  <c r="X51" i="6"/>
  <c r="X50" i="6"/>
  <c r="X49" i="6"/>
  <c r="X48" i="6"/>
  <c r="L684" i="6" l="1"/>
  <c r="L685" i="6"/>
  <c r="L686" i="6"/>
  <c r="L687" i="6"/>
  <c r="L688" i="6"/>
  <c r="L693" i="6"/>
  <c r="L712" i="6"/>
  <c r="L689" i="6"/>
  <c r="L713" i="6"/>
  <c r="L692" i="6"/>
  <c r="L704" i="6"/>
  <c r="L690" i="6"/>
  <c r="L691" i="6"/>
  <c r="L703" i="6"/>
  <c r="L700" i="6"/>
  <c r="L701" i="6"/>
  <c r="L702" i="6"/>
  <c r="L709" i="6"/>
  <c r="L710" i="6"/>
  <c r="L711" i="6"/>
  <c r="L740" i="6"/>
  <c r="L752" i="6"/>
  <c r="L774" i="6"/>
  <c r="L729" i="6"/>
  <c r="L778" i="6"/>
  <c r="L767" i="6"/>
  <c r="L815" i="6"/>
  <c r="L745" i="6"/>
  <c r="L829" i="6"/>
  <c r="L738" i="6"/>
  <c r="L722" i="6"/>
  <c r="L771" i="6"/>
  <c r="L736" i="6"/>
  <c r="L808" i="6"/>
  <c r="X47" i="6"/>
  <c r="X46" i="6"/>
  <c r="X44" i="6"/>
  <c r="X43" i="6"/>
  <c r="X42" i="6"/>
  <c r="X41" i="6"/>
  <c r="X40" i="6"/>
  <c r="X39" i="6"/>
  <c r="X38" i="6"/>
  <c r="X35" i="6"/>
  <c r="X34" i="6"/>
  <c r="X33" i="6"/>
  <c r="X31" i="6"/>
  <c r="X29" i="6"/>
  <c r="X28" i="6"/>
  <c r="X27" i="6"/>
  <c r="X26" i="6"/>
  <c r="L223" i="6" s="1"/>
  <c r="X25" i="6"/>
  <c r="X9" i="6"/>
  <c r="X8" i="6"/>
  <c r="X7" i="6"/>
  <c r="C14" i="1"/>
  <c r="C13" i="1"/>
  <c r="C12" i="1"/>
  <c r="L682" i="6" l="1"/>
  <c r="L683" i="6"/>
  <c r="L344" i="6"/>
  <c r="L345" i="6"/>
  <c r="L346" i="6"/>
  <c r="L343" i="6"/>
  <c r="L335" i="6"/>
  <c r="L347" i="6"/>
  <c r="L336" i="6"/>
  <c r="L348" i="6"/>
  <c r="L337" i="6"/>
  <c r="L349" i="6"/>
  <c r="L342" i="6"/>
  <c r="L338" i="6"/>
  <c r="L350" i="6"/>
  <c r="L339" i="6"/>
  <c r="L340" i="6"/>
  <c r="L341" i="6"/>
  <c r="L356" i="6"/>
  <c r="L368" i="6"/>
  <c r="L380" i="6"/>
  <c r="L357" i="6"/>
  <c r="L369" i="6"/>
  <c r="L381" i="6"/>
  <c r="L367" i="6"/>
  <c r="L358" i="6"/>
  <c r="L370" i="6"/>
  <c r="L382" i="6"/>
  <c r="L359" i="6"/>
  <c r="L371" i="6"/>
  <c r="L383" i="6"/>
  <c r="L355" i="6"/>
  <c r="L360" i="6"/>
  <c r="L372" i="6"/>
  <c r="L384" i="6"/>
  <c r="L361" i="6"/>
  <c r="L373" i="6"/>
  <c r="L362" i="6"/>
  <c r="L374" i="6"/>
  <c r="L378" i="6"/>
  <c r="L351" i="6"/>
  <c r="L363" i="6"/>
  <c r="L375" i="6"/>
  <c r="L366" i="6"/>
  <c r="L352" i="6"/>
  <c r="L364" i="6"/>
  <c r="L376" i="6"/>
  <c r="L353" i="6"/>
  <c r="L365" i="6"/>
  <c r="L377" i="6"/>
  <c r="L354" i="6"/>
  <c r="L379" i="6"/>
  <c r="L8" i="6"/>
  <c r="L9" i="6"/>
  <c r="L10" i="6"/>
  <c r="L19" i="6"/>
  <c r="L11" i="6"/>
  <c r="L12" i="6"/>
  <c r="L13" i="6"/>
  <c r="L14" i="6"/>
  <c r="L15" i="6"/>
  <c r="L16" i="6"/>
  <c r="L17" i="6"/>
  <c r="L18" i="6"/>
  <c r="L476" i="6"/>
  <c r="L477" i="6"/>
  <c r="L475" i="6"/>
  <c r="L466" i="6"/>
  <c r="L478" i="6"/>
  <c r="L467" i="6"/>
  <c r="L479" i="6"/>
  <c r="L468" i="6"/>
  <c r="L480" i="6"/>
  <c r="L469" i="6"/>
  <c r="L481" i="6"/>
  <c r="L470" i="6"/>
  <c r="L482" i="6"/>
  <c r="L474" i="6"/>
  <c r="L471" i="6"/>
  <c r="L483" i="6"/>
  <c r="L472" i="6"/>
  <c r="L484" i="6"/>
  <c r="L473" i="6"/>
  <c r="L485" i="6"/>
  <c r="L486" i="6"/>
  <c r="L272" i="6"/>
  <c r="L273" i="6"/>
  <c r="L271" i="6"/>
  <c r="L274" i="6"/>
  <c r="L275" i="6"/>
  <c r="L276" i="6"/>
  <c r="L277" i="6"/>
  <c r="L266" i="6"/>
  <c r="L278" i="6"/>
  <c r="L267" i="6"/>
  <c r="L279" i="6"/>
  <c r="L268" i="6"/>
  <c r="L280" i="6"/>
  <c r="L269" i="6"/>
  <c r="L281" i="6"/>
  <c r="L270" i="6"/>
  <c r="L668" i="6"/>
  <c r="L680" i="6"/>
  <c r="L669" i="6"/>
  <c r="L681" i="6"/>
  <c r="L670" i="6"/>
  <c r="L660" i="6"/>
  <c r="L659" i="6"/>
  <c r="L671" i="6"/>
  <c r="L672" i="6"/>
  <c r="L678" i="6"/>
  <c r="L679" i="6"/>
  <c r="L661" i="6"/>
  <c r="L673" i="6"/>
  <c r="L667" i="6"/>
  <c r="L662" i="6"/>
  <c r="L674" i="6"/>
  <c r="L666" i="6"/>
  <c r="L663" i="6"/>
  <c r="L675" i="6"/>
  <c r="L664" i="6"/>
  <c r="L676" i="6"/>
  <c r="L665" i="6"/>
  <c r="L677" i="6"/>
  <c r="L320" i="6"/>
  <c r="L332" i="6"/>
  <c r="L319" i="6"/>
  <c r="L321" i="6"/>
  <c r="L333" i="6"/>
  <c r="L310" i="6"/>
  <c r="L322" i="6"/>
  <c r="L334" i="6"/>
  <c r="L311" i="6"/>
  <c r="L323" i="6"/>
  <c r="L312" i="6"/>
  <c r="L324" i="6"/>
  <c r="L313" i="6"/>
  <c r="L325" i="6"/>
  <c r="L314" i="6"/>
  <c r="L326" i="6"/>
  <c r="L315" i="6"/>
  <c r="L327" i="6"/>
  <c r="L318" i="6"/>
  <c r="L331" i="6"/>
  <c r="L316" i="6"/>
  <c r="L328" i="6"/>
  <c r="L330" i="6"/>
  <c r="L317" i="6"/>
  <c r="L329" i="6"/>
  <c r="X32" i="6"/>
  <c r="L206" i="6" s="1"/>
  <c r="L296" i="6"/>
  <c r="L308" i="6"/>
  <c r="L297" i="6"/>
  <c r="L309" i="6"/>
  <c r="L298" i="6"/>
  <c r="L299" i="6"/>
  <c r="L300" i="6"/>
  <c r="L301" i="6"/>
  <c r="L302" i="6"/>
  <c r="L307" i="6"/>
  <c r="L303" i="6"/>
  <c r="L304" i="6"/>
  <c r="L295" i="6"/>
  <c r="L305" i="6"/>
  <c r="L306" i="6"/>
  <c r="L584" i="6"/>
  <c r="L596" i="6"/>
  <c r="L608" i="6"/>
  <c r="L620" i="6"/>
  <c r="L607" i="6"/>
  <c r="L573" i="6"/>
  <c r="L585" i="6"/>
  <c r="L597" i="6"/>
  <c r="L609" i="6"/>
  <c r="L600" i="6"/>
  <c r="L574" i="6"/>
  <c r="L586" i="6"/>
  <c r="L598" i="6"/>
  <c r="L610" i="6"/>
  <c r="L588" i="6"/>
  <c r="L583" i="6"/>
  <c r="L575" i="6"/>
  <c r="L587" i="6"/>
  <c r="L599" i="6"/>
  <c r="L611" i="6"/>
  <c r="L576" i="6"/>
  <c r="L612" i="6"/>
  <c r="L595" i="6"/>
  <c r="L577" i="6"/>
  <c r="L589" i="6"/>
  <c r="L601" i="6"/>
  <c r="L613" i="6"/>
  <c r="L578" i="6"/>
  <c r="L590" i="6"/>
  <c r="L602" i="6"/>
  <c r="L614" i="6"/>
  <c r="L594" i="6"/>
  <c r="L619" i="6"/>
  <c r="L579" i="6"/>
  <c r="L591" i="6"/>
  <c r="L603" i="6"/>
  <c r="L615" i="6"/>
  <c r="L582" i="6"/>
  <c r="L580" i="6"/>
  <c r="L592" i="6"/>
  <c r="L604" i="6"/>
  <c r="L616" i="6"/>
  <c r="L606" i="6"/>
  <c r="L581" i="6"/>
  <c r="L593" i="6"/>
  <c r="L605" i="6"/>
  <c r="L617" i="6"/>
  <c r="L618" i="6"/>
  <c r="L20" i="6"/>
  <c r="L32" i="6"/>
  <c r="L44" i="6"/>
  <c r="L56" i="6"/>
  <c r="L21" i="6"/>
  <c r="L33" i="6"/>
  <c r="L45" i="6"/>
  <c r="L57" i="6"/>
  <c r="L43" i="6"/>
  <c r="L22" i="6"/>
  <c r="L34" i="6"/>
  <c r="L46" i="6"/>
  <c r="L58" i="6"/>
  <c r="L23" i="6"/>
  <c r="L35" i="6"/>
  <c r="L47" i="6"/>
  <c r="L59" i="6"/>
  <c r="L55" i="6"/>
  <c r="L24" i="6"/>
  <c r="L36" i="6"/>
  <c r="L48" i="6"/>
  <c r="L60" i="6"/>
  <c r="L25" i="6"/>
  <c r="L37" i="6"/>
  <c r="L49" i="6"/>
  <c r="L61" i="6"/>
  <c r="L26" i="6"/>
  <c r="L38" i="6"/>
  <c r="L50" i="6"/>
  <c r="L62" i="6"/>
  <c r="L27" i="6"/>
  <c r="L39" i="6"/>
  <c r="L51" i="6"/>
  <c r="L54" i="6"/>
  <c r="L31" i="6"/>
  <c r="L28" i="6"/>
  <c r="L40" i="6"/>
  <c r="L52" i="6"/>
  <c r="L30" i="6"/>
  <c r="L29" i="6"/>
  <c r="L41" i="6"/>
  <c r="L53" i="6"/>
  <c r="L42" i="6"/>
  <c r="L68" i="6"/>
  <c r="L80" i="6"/>
  <c r="L92" i="6"/>
  <c r="L104" i="6"/>
  <c r="L69" i="6"/>
  <c r="L81" i="6"/>
  <c r="L93" i="6"/>
  <c r="L105" i="6"/>
  <c r="L70" i="6"/>
  <c r="L82" i="6"/>
  <c r="L94" i="6"/>
  <c r="L71" i="6"/>
  <c r="L83" i="6"/>
  <c r="L95" i="6"/>
  <c r="L72" i="6"/>
  <c r="L84" i="6"/>
  <c r="L96" i="6"/>
  <c r="L73" i="6"/>
  <c r="L85" i="6"/>
  <c r="L97" i="6"/>
  <c r="L91" i="6"/>
  <c r="L74" i="6"/>
  <c r="L86" i="6"/>
  <c r="L98" i="6"/>
  <c r="L67" i="6"/>
  <c r="L63" i="6"/>
  <c r="L75" i="6"/>
  <c r="L87" i="6"/>
  <c r="L99" i="6"/>
  <c r="L64" i="6"/>
  <c r="L76" i="6"/>
  <c r="L88" i="6"/>
  <c r="L100" i="6"/>
  <c r="L79" i="6"/>
  <c r="L65" i="6"/>
  <c r="L77" i="6"/>
  <c r="L89" i="6"/>
  <c r="L101" i="6"/>
  <c r="L66" i="6"/>
  <c r="L78" i="6"/>
  <c r="L90" i="6"/>
  <c r="L102" i="6"/>
  <c r="L103" i="6"/>
  <c r="L212" i="6"/>
  <c r="L211" i="6"/>
  <c r="L213" i="6"/>
  <c r="L214" i="6"/>
  <c r="L215" i="6"/>
  <c r="L216" i="6"/>
  <c r="L217" i="6"/>
  <c r="L218" i="6"/>
  <c r="L207" i="6"/>
  <c r="L219" i="6"/>
  <c r="L222" i="6"/>
  <c r="L208" i="6"/>
  <c r="L220" i="6"/>
  <c r="L210" i="6"/>
  <c r="L209" i="6"/>
  <c r="L221" i="6"/>
  <c r="L621" i="6"/>
  <c r="L622" i="6"/>
  <c r="L488" i="6"/>
  <c r="L500" i="6"/>
  <c r="L512" i="6"/>
  <c r="L489" i="6"/>
  <c r="L501" i="6"/>
  <c r="L513" i="6"/>
  <c r="L490" i="6"/>
  <c r="L502" i="6"/>
  <c r="L514" i="6"/>
  <c r="L491" i="6"/>
  <c r="L503" i="6"/>
  <c r="L515" i="6"/>
  <c r="L487" i="6"/>
  <c r="L492" i="6"/>
  <c r="L504" i="6"/>
  <c r="L516" i="6"/>
  <c r="L493" i="6"/>
  <c r="L505" i="6"/>
  <c r="L517" i="6"/>
  <c r="L494" i="6"/>
  <c r="L506" i="6"/>
  <c r="L518" i="6"/>
  <c r="L522" i="6"/>
  <c r="L511" i="6"/>
  <c r="L495" i="6"/>
  <c r="L507" i="6"/>
  <c r="L519" i="6"/>
  <c r="L498" i="6"/>
  <c r="L496" i="6"/>
  <c r="L508" i="6"/>
  <c r="L520" i="6"/>
  <c r="L510" i="6"/>
  <c r="L499" i="6"/>
  <c r="L497" i="6"/>
  <c r="L509" i="6"/>
  <c r="L521" i="6"/>
  <c r="L524" i="6"/>
  <c r="L536" i="6"/>
  <c r="L548" i="6"/>
  <c r="L560" i="6"/>
  <c r="L523" i="6"/>
  <c r="L525" i="6"/>
  <c r="L537" i="6"/>
  <c r="L549" i="6"/>
  <c r="L561" i="6"/>
  <c r="L526" i="6"/>
  <c r="L538" i="6"/>
  <c r="L550" i="6"/>
  <c r="L562" i="6"/>
  <c r="L527" i="6"/>
  <c r="L539" i="6"/>
  <c r="L551" i="6"/>
  <c r="L563" i="6"/>
  <c r="L558" i="6"/>
  <c r="L528" i="6"/>
  <c r="L540" i="6"/>
  <c r="L552" i="6"/>
  <c r="L564" i="6"/>
  <c r="L529" i="6"/>
  <c r="L541" i="6"/>
  <c r="L553" i="6"/>
  <c r="L546" i="6"/>
  <c r="L535" i="6"/>
  <c r="L530" i="6"/>
  <c r="L542" i="6"/>
  <c r="L554" i="6"/>
  <c r="L531" i="6"/>
  <c r="L543" i="6"/>
  <c r="L555" i="6"/>
  <c r="L559" i="6"/>
  <c r="L532" i="6"/>
  <c r="L544" i="6"/>
  <c r="L556" i="6"/>
  <c r="L533" i="6"/>
  <c r="L545" i="6"/>
  <c r="L557" i="6"/>
  <c r="L534" i="6"/>
  <c r="L547" i="6"/>
  <c r="L224" i="6"/>
  <c r="L236" i="6"/>
  <c r="L225" i="6"/>
  <c r="L237" i="6"/>
  <c r="L226" i="6"/>
  <c r="L238" i="6"/>
  <c r="L227" i="6"/>
  <c r="L239" i="6"/>
  <c r="L228" i="6"/>
  <c r="L229" i="6"/>
  <c r="L235" i="6"/>
  <c r="L230" i="6"/>
  <c r="L231" i="6"/>
  <c r="L232" i="6"/>
  <c r="L234" i="6"/>
  <c r="L233" i="6"/>
  <c r="L248" i="6"/>
  <c r="L260" i="6"/>
  <c r="L249" i="6"/>
  <c r="L261" i="6"/>
  <c r="L250" i="6"/>
  <c r="L262" i="6"/>
  <c r="L247" i="6"/>
  <c r="L251" i="6"/>
  <c r="L263" i="6"/>
  <c r="L259" i="6"/>
  <c r="L240" i="6"/>
  <c r="L252" i="6"/>
  <c r="L264" i="6"/>
  <c r="L241" i="6"/>
  <c r="L253" i="6"/>
  <c r="L265" i="6"/>
  <c r="L242" i="6"/>
  <c r="L254" i="6"/>
  <c r="L243" i="6"/>
  <c r="L255" i="6"/>
  <c r="L258" i="6"/>
  <c r="L244" i="6"/>
  <c r="L256" i="6"/>
  <c r="L246" i="6"/>
  <c r="L245" i="6"/>
  <c r="L257" i="6"/>
  <c r="L632" i="6"/>
  <c r="L624" i="6"/>
  <c r="L623" i="6"/>
  <c r="L625" i="6"/>
  <c r="L630" i="6"/>
  <c r="L626" i="6"/>
  <c r="L627" i="6"/>
  <c r="L628" i="6"/>
  <c r="L631" i="6"/>
  <c r="L629" i="6"/>
  <c r="L7" i="6"/>
  <c r="X13" i="6" l="1"/>
  <c r="L120" i="6" l="1"/>
  <c r="L121" i="6"/>
  <c r="X14" i="6"/>
  <c r="L132" i="6" l="1"/>
  <c r="L123" i="6"/>
  <c r="X15" i="6"/>
  <c r="L128" i="6" l="1"/>
  <c r="L129" i="6"/>
  <c r="L130" i="6"/>
  <c r="L127" i="6"/>
  <c r="L131" i="6"/>
  <c r="L122" i="6"/>
  <c r="L124" i="6"/>
  <c r="L126" i="6"/>
  <c r="L125" i="6"/>
  <c r="L199" i="6"/>
  <c r="X16" i="6"/>
  <c r="L140" i="6" l="1"/>
  <c r="L141" i="6"/>
  <c r="L142" i="6"/>
  <c r="L143" i="6"/>
  <c r="L144" i="6"/>
  <c r="L133" i="6"/>
  <c r="L145" i="6"/>
  <c r="L134" i="6"/>
  <c r="L135" i="6"/>
  <c r="L139" i="6"/>
  <c r="L136" i="6"/>
  <c r="L137" i="6"/>
  <c r="L138" i="6"/>
  <c r="X17" i="6"/>
  <c r="L152" i="6" l="1"/>
  <c r="L153" i="6"/>
  <c r="L154" i="6"/>
  <c r="L155" i="6"/>
  <c r="L151" i="6"/>
  <c r="L146" i="6"/>
  <c r="L147" i="6"/>
  <c r="L148" i="6"/>
  <c r="L150" i="6"/>
  <c r="L149" i="6"/>
  <c r="X18" i="6"/>
  <c r="L156" i="6" l="1"/>
  <c r="L157" i="6"/>
  <c r="X19" i="6"/>
  <c r="L164" i="6" l="1"/>
  <c r="L165" i="6"/>
  <c r="L163" i="6"/>
  <c r="L166" i="6"/>
  <c r="L167" i="6"/>
  <c r="L168" i="6"/>
  <c r="L158" i="6"/>
  <c r="L159" i="6"/>
  <c r="L162" i="6"/>
  <c r="L160" i="6"/>
  <c r="L161" i="6"/>
  <c r="X20" i="6"/>
  <c r="L176" i="6" l="1"/>
  <c r="L177" i="6"/>
  <c r="L189" i="6"/>
  <c r="L178" i="6"/>
  <c r="L190" i="6"/>
  <c r="L179" i="6"/>
  <c r="L180" i="6"/>
  <c r="L169" i="6"/>
  <c r="L181" i="6"/>
  <c r="L170" i="6"/>
  <c r="L182" i="6"/>
  <c r="L171" i="6"/>
  <c r="L183" i="6"/>
  <c r="L172" i="6"/>
  <c r="L184" i="6"/>
  <c r="L174" i="6"/>
  <c r="L186" i="6"/>
  <c r="L175" i="6"/>
  <c r="L173" i="6"/>
  <c r="L185" i="6"/>
  <c r="X21" i="6"/>
  <c r="L193" i="6" l="1"/>
  <c r="L194" i="6"/>
  <c r="L195" i="6"/>
  <c r="L198" i="6"/>
  <c r="L196" i="6"/>
  <c r="L197" i="6"/>
  <c r="X22" i="6"/>
  <c r="L200" i="6" l="1"/>
  <c r="L201" i="6"/>
  <c r="X23" i="6"/>
  <c r="L202" i="6" l="1"/>
  <c r="L203" i="6"/>
  <c r="X24" i="6"/>
  <c r="L205" i="6" s="1"/>
  <c r="J2" i="4" l="1"/>
  <c r="J3" i="4"/>
  <c r="J4" i="4"/>
  <c r="J5" i="4"/>
  <c r="J7" i="4"/>
  <c r="J8" i="4"/>
  <c r="J9" i="4"/>
  <c r="J10" i="4"/>
  <c r="J11" i="4"/>
  <c r="J12" i="4"/>
  <c r="J13" i="4"/>
  <c r="J14" i="4"/>
  <c r="C15" i="4"/>
  <c r="J15" i="4"/>
  <c r="C16" i="4"/>
  <c r="J16" i="4"/>
  <c r="C17" i="4"/>
  <c r="J17" i="4"/>
  <c r="J18" i="4"/>
  <c r="J20" i="4"/>
  <c r="J21" i="4"/>
  <c r="H218" i="2" s="1"/>
  <c r="J22" i="4"/>
  <c r="J23" i="4"/>
  <c r="J24" i="4"/>
  <c r="J25" i="4"/>
  <c r="J26" i="4"/>
  <c r="J28" i="4"/>
  <c r="J29" i="4"/>
  <c r="J30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H703" i="2" s="1"/>
  <c r="J50" i="4"/>
  <c r="H702" i="2" s="1"/>
  <c r="J51" i="4"/>
  <c r="J52" i="4"/>
  <c r="J53" i="4"/>
  <c r="H440" i="2" s="1"/>
  <c r="J54" i="4"/>
  <c r="J55" i="4"/>
  <c r="K55" i="4" s="1"/>
  <c r="J56" i="4"/>
  <c r="I60" i="4"/>
  <c r="G732" i="2" s="1"/>
  <c r="J61" i="4"/>
  <c r="J62" i="4"/>
  <c r="J63" i="4"/>
  <c r="I64" i="4"/>
  <c r="F2" i="2"/>
  <c r="G2" i="2"/>
  <c r="H2" i="2"/>
  <c r="I2" i="2"/>
  <c r="H706" i="2" l="1"/>
  <c r="H704" i="2"/>
  <c r="H705" i="2"/>
  <c r="H578" i="2"/>
  <c r="H590" i="2"/>
  <c r="H596" i="2"/>
  <c r="H608" i="2"/>
  <c r="H570" i="2"/>
  <c r="H579" i="2"/>
  <c r="H585" i="2"/>
  <c r="H591" i="2"/>
  <c r="H600" i="2"/>
  <c r="H609" i="2"/>
  <c r="H612" i="2"/>
  <c r="H576" i="2"/>
  <c r="H588" i="2"/>
  <c r="H594" i="2"/>
  <c r="H597" i="2"/>
  <c r="H606" i="2"/>
  <c r="H615" i="2"/>
  <c r="H573" i="2"/>
  <c r="H582" i="2"/>
  <c r="H603" i="2"/>
  <c r="H571" i="2"/>
  <c r="H577" i="2"/>
  <c r="H583" i="2"/>
  <c r="H586" i="2"/>
  <c r="H592" i="2"/>
  <c r="H598" i="2"/>
  <c r="H604" i="2"/>
  <c r="H607" i="2"/>
  <c r="H613" i="2"/>
  <c r="H568" i="2"/>
  <c r="H574" i="2"/>
  <c r="H580" i="2"/>
  <c r="H589" i="2"/>
  <c r="H595" i="2"/>
  <c r="H601" i="2"/>
  <c r="H610" i="2"/>
  <c r="H569" i="2"/>
  <c r="H572" i="2"/>
  <c r="H575" i="2"/>
  <c r="H581" i="2"/>
  <c r="H584" i="2"/>
  <c r="H587" i="2"/>
  <c r="H593" i="2"/>
  <c r="H599" i="2"/>
  <c r="H602" i="2"/>
  <c r="H605" i="2"/>
  <c r="H611" i="2"/>
  <c r="H614" i="2"/>
  <c r="H237" i="2"/>
  <c r="H240" i="2"/>
  <c r="H243" i="2"/>
  <c r="H246" i="2"/>
  <c r="H255" i="2"/>
  <c r="H258" i="2"/>
  <c r="H235" i="2"/>
  <c r="H241" i="2"/>
  <c r="H247" i="2"/>
  <c r="H259" i="2"/>
  <c r="H238" i="2"/>
  <c r="H244" i="2"/>
  <c r="H256" i="2"/>
  <c r="H254" i="2"/>
  <c r="H245" i="2"/>
  <c r="H242" i="2"/>
  <c r="H239" i="2"/>
  <c r="H236" i="2"/>
  <c r="H260" i="2"/>
  <c r="H257" i="2"/>
  <c r="H151" i="2"/>
  <c r="H152" i="2"/>
  <c r="H261" i="2"/>
  <c r="H264" i="2"/>
  <c r="H267" i="2"/>
  <c r="H270" i="2"/>
  <c r="H273" i="2"/>
  <c r="H276" i="2"/>
  <c r="H265" i="2"/>
  <c r="H271" i="2"/>
  <c r="H262" i="2"/>
  <c r="H268" i="2"/>
  <c r="H274" i="2"/>
  <c r="H272" i="2"/>
  <c r="H269" i="2"/>
  <c r="H266" i="2"/>
  <c r="H263" i="2"/>
  <c r="H275" i="2"/>
  <c r="H566" i="2"/>
  <c r="H564" i="2"/>
  <c r="H567" i="2"/>
  <c r="H565" i="2"/>
  <c r="H129" i="2"/>
  <c r="H132" i="2"/>
  <c r="H135" i="2"/>
  <c r="H138" i="2"/>
  <c r="H130" i="2"/>
  <c r="H133" i="2"/>
  <c r="H136" i="2"/>
  <c r="H139" i="2"/>
  <c r="H128" i="2"/>
  <c r="H131" i="2"/>
  <c r="H134" i="2"/>
  <c r="H137" i="2"/>
  <c r="H140" i="2"/>
  <c r="H141" i="2"/>
  <c r="H144" i="2"/>
  <c r="H147" i="2"/>
  <c r="H150" i="2"/>
  <c r="H142" i="2"/>
  <c r="H145" i="2"/>
  <c r="H148" i="2"/>
  <c r="H143" i="2"/>
  <c r="H146" i="2"/>
  <c r="H149" i="2"/>
  <c r="K62" i="4"/>
  <c r="I742" i="2" s="1"/>
  <c r="H742" i="2"/>
  <c r="H695" i="2"/>
  <c r="H696" i="2"/>
  <c r="H697" i="2"/>
  <c r="H484" i="2"/>
  <c r="H493" i="2"/>
  <c r="H502" i="2"/>
  <c r="H511" i="2"/>
  <c r="H488" i="2"/>
  <c r="H503" i="2"/>
  <c r="H509" i="2"/>
  <c r="H512" i="2"/>
  <c r="H482" i="2"/>
  <c r="H485" i="2"/>
  <c r="H491" i="2"/>
  <c r="H494" i="2"/>
  <c r="H497" i="2"/>
  <c r="H500" i="2"/>
  <c r="H506" i="2"/>
  <c r="H515" i="2"/>
  <c r="H510" i="2"/>
  <c r="H483" i="2"/>
  <c r="H486" i="2"/>
  <c r="H489" i="2"/>
  <c r="H492" i="2"/>
  <c r="H495" i="2"/>
  <c r="H498" i="2"/>
  <c r="H501" i="2"/>
  <c r="H504" i="2"/>
  <c r="H507" i="2"/>
  <c r="H513" i="2"/>
  <c r="H516" i="2"/>
  <c r="H487" i="2"/>
  <c r="H490" i="2"/>
  <c r="H496" i="2"/>
  <c r="H499" i="2"/>
  <c r="H505" i="2"/>
  <c r="H508" i="2"/>
  <c r="H514" i="2"/>
  <c r="H517" i="2"/>
  <c r="H204" i="2"/>
  <c r="H207" i="2"/>
  <c r="H210" i="2"/>
  <c r="H213" i="2"/>
  <c r="H216" i="2"/>
  <c r="H202" i="2"/>
  <c r="H208" i="2"/>
  <c r="H214" i="2"/>
  <c r="H205" i="2"/>
  <c r="H211" i="2"/>
  <c r="H217" i="2"/>
  <c r="H212" i="2"/>
  <c r="H209" i="2"/>
  <c r="H206" i="2"/>
  <c r="H203" i="2"/>
  <c r="H215" i="2"/>
  <c r="H117" i="2"/>
  <c r="H120" i="2"/>
  <c r="H123" i="2"/>
  <c r="H126" i="2"/>
  <c r="H121" i="2"/>
  <c r="H124" i="2"/>
  <c r="H119" i="2"/>
  <c r="H122" i="2"/>
  <c r="H125" i="2"/>
  <c r="H194" i="2"/>
  <c r="H153" i="2"/>
  <c r="H156" i="2"/>
  <c r="H159" i="2"/>
  <c r="H162" i="2"/>
  <c r="H157" i="2"/>
  <c r="H163" i="2"/>
  <c r="H154" i="2"/>
  <c r="H160" i="2"/>
  <c r="H155" i="2"/>
  <c r="H158" i="2"/>
  <c r="H161" i="2"/>
  <c r="H219" i="2"/>
  <c r="H222" i="2"/>
  <c r="H225" i="2"/>
  <c r="H228" i="2"/>
  <c r="H231" i="2"/>
  <c r="H220" i="2"/>
  <c r="H226" i="2"/>
  <c r="H232" i="2"/>
  <c r="H223" i="2"/>
  <c r="H229" i="2"/>
  <c r="H234" i="2"/>
  <c r="H230" i="2"/>
  <c r="H227" i="2"/>
  <c r="H224" i="2"/>
  <c r="H221" i="2"/>
  <c r="H233" i="2"/>
  <c r="K63" i="4"/>
  <c r="I763" i="2" s="1"/>
  <c r="H763" i="2"/>
  <c r="H698" i="2"/>
  <c r="H686" i="2"/>
  <c r="H687" i="2"/>
  <c r="H699" i="2"/>
  <c r="H685" i="2"/>
  <c r="H463" i="2"/>
  <c r="H466" i="2"/>
  <c r="H472" i="2"/>
  <c r="H478" i="2"/>
  <c r="H461" i="2"/>
  <c r="H464" i="2"/>
  <c r="H467" i="2"/>
  <c r="H470" i="2"/>
  <c r="H473" i="2"/>
  <c r="H476" i="2"/>
  <c r="H479" i="2"/>
  <c r="H462" i="2"/>
  <c r="H465" i="2"/>
  <c r="H468" i="2"/>
  <c r="H471" i="2"/>
  <c r="H474" i="2"/>
  <c r="H477" i="2"/>
  <c r="H480" i="2"/>
  <c r="H469" i="2"/>
  <c r="H475" i="2"/>
  <c r="H481" i="2"/>
  <c r="H198" i="2"/>
  <c r="H197" i="2"/>
  <c r="H118" i="2"/>
  <c r="H127" i="2"/>
  <c r="H747" i="2"/>
  <c r="H740" i="2"/>
  <c r="H766" i="2"/>
  <c r="H769" i="2"/>
  <c r="H731" i="2"/>
  <c r="H735" i="2"/>
  <c r="H773" i="2"/>
  <c r="H803" i="2"/>
  <c r="H824" i="2"/>
  <c r="H717" i="2"/>
  <c r="H810" i="2"/>
  <c r="H733" i="2"/>
  <c r="H724" i="2"/>
  <c r="H762" i="2"/>
  <c r="J60" i="4"/>
  <c r="H707" i="2"/>
  <c r="H684" i="2"/>
  <c r="H708" i="2"/>
  <c r="H688" i="2"/>
  <c r="H448" i="2"/>
  <c r="H453" i="2"/>
  <c r="H459" i="2"/>
  <c r="H449" i="2"/>
  <c r="H454" i="2"/>
  <c r="H457" i="2"/>
  <c r="H447" i="2"/>
  <c r="H450" i="2"/>
  <c r="H455" i="2"/>
  <c r="H458" i="2"/>
  <c r="H456" i="2"/>
  <c r="H195" i="2"/>
  <c r="H196" i="2"/>
  <c r="H115" i="2"/>
  <c r="H116" i="2"/>
  <c r="H658" i="2"/>
  <c r="H670" i="2"/>
  <c r="H662" i="2"/>
  <c r="H668" i="2"/>
  <c r="H656" i="2"/>
  <c r="H659" i="2"/>
  <c r="H671" i="2"/>
  <c r="H674" i="2"/>
  <c r="H665" i="2"/>
  <c r="H657" i="2"/>
  <c r="H663" i="2"/>
  <c r="H669" i="2"/>
  <c r="H675" i="2"/>
  <c r="H654" i="2"/>
  <c r="H660" i="2"/>
  <c r="H666" i="2"/>
  <c r="H672" i="2"/>
  <c r="H655" i="2"/>
  <c r="H661" i="2"/>
  <c r="H664" i="2"/>
  <c r="H667" i="2"/>
  <c r="H673" i="2"/>
  <c r="H676" i="2"/>
  <c r="H679" i="2"/>
  <c r="H683" i="2"/>
  <c r="H680" i="2"/>
  <c r="H681" i="2"/>
  <c r="H682" i="2"/>
  <c r="H347" i="2"/>
  <c r="H350" i="2"/>
  <c r="H353" i="2"/>
  <c r="H356" i="2"/>
  <c r="H359" i="2"/>
  <c r="H362" i="2"/>
  <c r="H365" i="2"/>
  <c r="H368" i="2"/>
  <c r="H371" i="2"/>
  <c r="H374" i="2"/>
  <c r="H377" i="2"/>
  <c r="H348" i="2"/>
  <c r="H351" i="2"/>
  <c r="H354" i="2"/>
  <c r="H357" i="2"/>
  <c r="H360" i="2"/>
  <c r="H363" i="2"/>
  <c r="H366" i="2"/>
  <c r="H369" i="2"/>
  <c r="H372" i="2"/>
  <c r="H375" i="2"/>
  <c r="H378" i="2"/>
  <c r="H346" i="2"/>
  <c r="H349" i="2"/>
  <c r="H352" i="2"/>
  <c r="H355" i="2"/>
  <c r="H358" i="2"/>
  <c r="H361" i="2"/>
  <c r="H364" i="2"/>
  <c r="H367" i="2"/>
  <c r="H370" i="2"/>
  <c r="H373" i="2"/>
  <c r="H376" i="2"/>
  <c r="H379" i="2"/>
  <c r="H114" i="2"/>
  <c r="H113" i="2"/>
  <c r="H617" i="2"/>
  <c r="H616" i="2"/>
  <c r="J64" i="4"/>
  <c r="H770" i="2" s="1"/>
  <c r="G770" i="2"/>
  <c r="H520" i="2"/>
  <c r="H526" i="2"/>
  <c r="H538" i="2"/>
  <c r="H547" i="2"/>
  <c r="H553" i="2"/>
  <c r="H542" i="2"/>
  <c r="H518" i="2"/>
  <c r="H521" i="2"/>
  <c r="H527" i="2"/>
  <c r="H530" i="2"/>
  <c r="H533" i="2"/>
  <c r="H536" i="2"/>
  <c r="H545" i="2"/>
  <c r="H551" i="2"/>
  <c r="H554" i="2"/>
  <c r="H524" i="2"/>
  <c r="H539" i="2"/>
  <c r="H548" i="2"/>
  <c r="H557" i="2"/>
  <c r="H528" i="2"/>
  <c r="H534" i="2"/>
  <c r="H540" i="2"/>
  <c r="H546" i="2"/>
  <c r="H549" i="2"/>
  <c r="H555" i="2"/>
  <c r="H519" i="2"/>
  <c r="H522" i="2"/>
  <c r="H525" i="2"/>
  <c r="H531" i="2"/>
  <c r="H537" i="2"/>
  <c r="H543" i="2"/>
  <c r="H552" i="2"/>
  <c r="H558" i="2"/>
  <c r="H523" i="2"/>
  <c r="H529" i="2"/>
  <c r="H532" i="2"/>
  <c r="H535" i="2"/>
  <c r="H541" i="2"/>
  <c r="H544" i="2"/>
  <c r="H550" i="2"/>
  <c r="H556" i="2"/>
  <c r="H559" i="2"/>
  <c r="K61" i="4"/>
  <c r="I734" i="2" s="1"/>
  <c r="H734" i="2"/>
  <c r="K56" i="4"/>
  <c r="I825" i="2" s="1"/>
  <c r="H825" i="2"/>
  <c r="H677" i="2"/>
  <c r="H678" i="2"/>
  <c r="H332" i="2"/>
  <c r="H335" i="2"/>
  <c r="H338" i="2"/>
  <c r="H341" i="2"/>
  <c r="H344" i="2"/>
  <c r="H330" i="2"/>
  <c r="H333" i="2"/>
  <c r="H336" i="2"/>
  <c r="H339" i="2"/>
  <c r="H342" i="2"/>
  <c r="H345" i="2"/>
  <c r="H331" i="2"/>
  <c r="H334" i="2"/>
  <c r="H337" i="2"/>
  <c r="H340" i="2"/>
  <c r="H343" i="2"/>
  <c r="H189" i="2"/>
  <c r="H192" i="2"/>
  <c r="H193" i="2"/>
  <c r="H190" i="2"/>
  <c r="H191" i="2"/>
  <c r="H188" i="2"/>
  <c r="H186" i="2"/>
  <c r="H182" i="2"/>
  <c r="H60" i="2"/>
  <c r="H63" i="2"/>
  <c r="H66" i="2"/>
  <c r="H69" i="2"/>
  <c r="H72" i="2"/>
  <c r="H75" i="2"/>
  <c r="H78" i="2"/>
  <c r="H81" i="2"/>
  <c r="H84" i="2"/>
  <c r="H87" i="2"/>
  <c r="H90" i="2"/>
  <c r="H93" i="2"/>
  <c r="H96" i="2"/>
  <c r="H99" i="2"/>
  <c r="H58" i="2"/>
  <c r="H61" i="2"/>
  <c r="H64" i="2"/>
  <c r="H67" i="2"/>
  <c r="H70" i="2"/>
  <c r="H73" i="2"/>
  <c r="H76" i="2"/>
  <c r="H79" i="2"/>
  <c r="H82" i="2"/>
  <c r="H85" i="2"/>
  <c r="H88" i="2"/>
  <c r="H91" i="2"/>
  <c r="H94" i="2"/>
  <c r="H97" i="2"/>
  <c r="H100" i="2"/>
  <c r="H59" i="2"/>
  <c r="H62" i="2"/>
  <c r="H65" i="2"/>
  <c r="H68" i="2"/>
  <c r="H71" i="2"/>
  <c r="H74" i="2"/>
  <c r="H77" i="2"/>
  <c r="H80" i="2"/>
  <c r="H83" i="2"/>
  <c r="H86" i="2"/>
  <c r="H89" i="2"/>
  <c r="H92" i="2"/>
  <c r="H95" i="2"/>
  <c r="H98" i="2"/>
  <c r="H635" i="2"/>
  <c r="H648" i="2"/>
  <c r="H636" i="2"/>
  <c r="H646" i="2"/>
  <c r="H653" i="2"/>
  <c r="H630" i="2"/>
  <c r="H639" i="2"/>
  <c r="H649" i="2"/>
  <c r="H633" i="2"/>
  <c r="H642" i="2"/>
  <c r="H628" i="2"/>
  <c r="H634" i="2"/>
  <c r="H640" i="2"/>
  <c r="H644" i="2"/>
  <c r="H650" i="2"/>
  <c r="H631" i="2"/>
  <c r="H637" i="2"/>
  <c r="H647" i="2"/>
  <c r="H629" i="2"/>
  <c r="H632" i="2"/>
  <c r="H638" i="2"/>
  <c r="H641" i="2"/>
  <c r="H645" i="2"/>
  <c r="H652" i="2"/>
  <c r="H294" i="2"/>
  <c r="H297" i="2"/>
  <c r="H300" i="2"/>
  <c r="H295" i="2"/>
  <c r="H301" i="2"/>
  <c r="H292" i="2"/>
  <c r="H298" i="2"/>
  <c r="H304" i="2"/>
  <c r="H291" i="2"/>
  <c r="H303" i="2"/>
  <c r="H290" i="2"/>
  <c r="H302" i="2"/>
  <c r="H299" i="2"/>
  <c r="H296" i="2"/>
  <c r="H293" i="2"/>
  <c r="H165" i="2"/>
  <c r="H168" i="2"/>
  <c r="H171" i="2"/>
  <c r="H174" i="2"/>
  <c r="H177" i="2"/>
  <c r="H180" i="2"/>
  <c r="H169" i="2"/>
  <c r="H175" i="2"/>
  <c r="H181" i="2"/>
  <c r="H166" i="2"/>
  <c r="H172" i="2"/>
  <c r="H178" i="2"/>
  <c r="H184" i="2"/>
  <c r="H173" i="2"/>
  <c r="H170" i="2"/>
  <c r="H167" i="2"/>
  <c r="H185" i="2"/>
  <c r="H164" i="2"/>
  <c r="H179" i="2"/>
  <c r="H176" i="2"/>
  <c r="H15" i="2"/>
  <c r="H18" i="2"/>
  <c r="H21" i="2"/>
  <c r="H24" i="2"/>
  <c r="H27" i="2"/>
  <c r="H30" i="2"/>
  <c r="H33" i="2"/>
  <c r="H36" i="2"/>
  <c r="H39" i="2"/>
  <c r="H42" i="2"/>
  <c r="H45" i="2"/>
  <c r="H48" i="2"/>
  <c r="H51" i="2"/>
  <c r="H54" i="2"/>
  <c r="H57" i="2"/>
  <c r="H16" i="2"/>
  <c r="H19" i="2"/>
  <c r="H22" i="2"/>
  <c r="H25" i="2"/>
  <c r="H28" i="2"/>
  <c r="H31" i="2"/>
  <c r="H34" i="2"/>
  <c r="H37" i="2"/>
  <c r="H40" i="2"/>
  <c r="H43" i="2"/>
  <c r="H46" i="2"/>
  <c r="H49" i="2"/>
  <c r="H52" i="2"/>
  <c r="H55" i="2"/>
  <c r="H17" i="2"/>
  <c r="H20" i="2"/>
  <c r="H23" i="2"/>
  <c r="H26" i="2"/>
  <c r="H29" i="2"/>
  <c r="H32" i="2"/>
  <c r="H35" i="2"/>
  <c r="H38" i="2"/>
  <c r="H41" i="2"/>
  <c r="H44" i="2"/>
  <c r="H47" i="2"/>
  <c r="H50" i="2"/>
  <c r="H53" i="2"/>
  <c r="H56" i="2"/>
  <c r="H306" i="2"/>
  <c r="H315" i="2"/>
  <c r="H309" i="2"/>
  <c r="H321" i="2"/>
  <c r="H312" i="2"/>
  <c r="H307" i="2"/>
  <c r="H313" i="2"/>
  <c r="H319" i="2"/>
  <c r="H325" i="2"/>
  <c r="H310" i="2"/>
  <c r="H316" i="2"/>
  <c r="H322" i="2"/>
  <c r="H318" i="2"/>
  <c r="H308" i="2"/>
  <c r="H326" i="2"/>
  <c r="H329" i="2"/>
  <c r="H305" i="2"/>
  <c r="H323" i="2"/>
  <c r="H320" i="2"/>
  <c r="H327" i="2"/>
  <c r="H317" i="2"/>
  <c r="H324" i="2"/>
  <c r="H314" i="2"/>
  <c r="H328" i="2"/>
  <c r="H311" i="2"/>
  <c r="H623" i="2"/>
  <c r="H624" i="2"/>
  <c r="H627" i="2"/>
  <c r="H621" i="2"/>
  <c r="H618" i="2"/>
  <c r="H619" i="2"/>
  <c r="H622" i="2"/>
  <c r="H625" i="2"/>
  <c r="H620" i="2"/>
  <c r="H626" i="2"/>
  <c r="H285" i="2"/>
  <c r="H282" i="2"/>
  <c r="H288" i="2"/>
  <c r="H277" i="2"/>
  <c r="H283" i="2"/>
  <c r="H289" i="2"/>
  <c r="H280" i="2"/>
  <c r="H286" i="2"/>
  <c r="H279" i="2"/>
  <c r="H694" i="2"/>
  <c r="H287" i="2"/>
  <c r="H284" i="2"/>
  <c r="H281" i="2"/>
  <c r="H278" i="2"/>
  <c r="H693" i="2"/>
  <c r="H3" i="2"/>
  <c r="H6" i="2"/>
  <c r="H9" i="2"/>
  <c r="H12" i="2"/>
  <c r="H4" i="2"/>
  <c r="H7" i="2"/>
  <c r="H10" i="2"/>
  <c r="H13" i="2"/>
  <c r="H5" i="2"/>
  <c r="H8" i="2"/>
  <c r="H11" i="2"/>
  <c r="H14" i="2"/>
  <c r="K64" i="4"/>
  <c r="I770" i="2" s="1"/>
  <c r="K60" i="4" l="1"/>
  <c r="I732" i="2" s="1"/>
  <c r="H7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<sst xmlns="http://schemas.openxmlformats.org/spreadsheetml/2006/main" count="7457" uniqueCount="3173">
  <si>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</si>
  <si>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</si>
  <si>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</si>
  <si>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</si>
  <si>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</si>
  <si>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</si>
  <si>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</si>
  <si>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</si>
  <si>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</si>
  <si>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</si>
  <si>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</si>
  <si>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</si>
  <si>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</si>
  <si>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</si>
  <si>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</si>
  <si>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</si>
  <si>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</si>
  <si>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</si>
  <si>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</si>
  <si>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</si>
  <si>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</si>
  <si>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</si>
  <si>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</si>
  <si>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</si>
  <si>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</si>
  <si>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</si>
  <si>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</si>
  <si>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</si>
  <si>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</si>
  <si>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</si>
  <si>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</si>
  <si>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</si>
  <si>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</si>
  <si>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</si>
  <si>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</si>
  <si>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</si>
  <si>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</si>
  <si>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</si>
  <si>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</si>
  <si>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</si>
  <si>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</si>
  <si>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</si>
  <si>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</si>
  <si>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</si>
  <si>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</si>
  <si>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</si>
  <si>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</si>
  <si>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</si>
  <si>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</si>
  <si>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</si>
  <si>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</si>
  <si>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</si>
  <si>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</si>
  <si>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</si>
  <si>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</si>
  <si>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</si>
  <si>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</si>
  <si>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</si>
  <si>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</si>
  <si>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</si>
  <si>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</si>
  <si>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</si>
  <si>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</si>
  <si>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</si>
  <si>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</si>
  <si>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</si>
  <si>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</si>
  <si>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</si>
  <si>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</si>
  <si>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</si>
  <si>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</si>
  <si>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</si>
  <si>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</si>
  <si>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</si>
  <si>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</si>
  <si>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</si>
  <si>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</si>
  <si>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</si>
  <si>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</si>
  <si>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</si>
  <si>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</si>
  <si>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</si>
  <si>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</si>
  <si>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</si>
  <si>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</si>
  <si>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</si>
  <si>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</si>
  <si>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</si>
  <si>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</si>
  <si>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</si>
  <si>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</si>
  <si>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</si>
  <si>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</si>
  <si>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</si>
  <si>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</si>
  <si>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</si>
  <si>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</si>
  <si>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</si>
  <si>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</si>
  <si>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</si>
  <si>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</si>
  <si>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</si>
  <si>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</si>
  <si>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</si>
  <si>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</si>
  <si>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</si>
  <si>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</si>
  <si>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</si>
  <si>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</si>
  <si>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</si>
  <si>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</si>
  <si>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</si>
  <si>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</si>
  <si>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</si>
  <si>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</si>
  <si>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</si>
  <si>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</si>
  <si>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</si>
  <si>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</si>
  <si>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</si>
  <si>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</si>
  <si>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</si>
  <si>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</si>
  <si>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</si>
  <si>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</si>
  <si>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</si>
  <si>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</si>
  <si>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</si>
  <si>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</si>
  <si>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</si>
  <si>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</si>
  <si>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</si>
  <si>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</si>
  <si>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</si>
  <si>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</si>
  <si>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</si>
  <si>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</si>
  <si>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</si>
  <si>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</si>
  <si>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</si>
  <si>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</si>
  <si>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</si>
  <si>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</si>
  <si>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</si>
  <si>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</si>
  <si>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</si>
  <si>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</si>
  <si>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</si>
  <si>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</si>
  <si>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</si>
  <si>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</si>
  <si>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</si>
  <si>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</si>
  <si>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</si>
  <si>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</si>
  <si>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</si>
  <si>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</si>
  <si>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</si>
  <si>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</si>
  <si>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</si>
  <si>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</si>
  <si>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</si>
  <si>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</si>
  <si>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</si>
  <si>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</si>
  <si>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</si>
  <si>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</si>
  <si>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</si>
  <si>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</si>
  <si>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</si>
  <si>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</si>
  <si>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</si>
  <si>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</si>
  <si>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</si>
  <si>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</si>
  <si>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</si>
  <si>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</si>
  <si>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</si>
  <si>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</si>
  <si>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</si>
  <si>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</si>
  <si>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</si>
  <si>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</si>
  <si>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</si>
  <si>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</si>
  <si>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</si>
  <si>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</si>
  <si>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</si>
  <si>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</si>
  <si>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</si>
  <si>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</si>
  <si>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</si>
  <si>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</si>
  <si>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</si>
  <si>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</si>
  <si>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</si>
  <si>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</si>
  <si>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</si>
  <si>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</si>
  <si>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</si>
  <si>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</si>
  <si>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</si>
  <si>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</si>
  <si>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</si>
  <si>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</si>
  <si>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</si>
  <si>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</si>
  <si>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</si>
  <si>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</si>
  <si>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</si>
  <si>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</si>
  <si>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</si>
  <si>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</si>
  <si>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</si>
  <si>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</si>
  <si>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</si>
  <si>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</si>
  <si>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</si>
  <si>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</si>
  <si>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</si>
  <si>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</si>
  <si>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</si>
  <si>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</si>
  <si>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</si>
  <si>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</si>
  <si>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</si>
  <si>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</si>
  <si>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</si>
  <si>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</si>
  <si>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</si>
  <si>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</si>
  <si>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</si>
  <si>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</si>
  <si>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</si>
  <si>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</si>
  <si>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</si>
  <si>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</si>
  <si>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</si>
  <si>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</si>
  <si>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</si>
  <si>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</si>
  <si>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</si>
  <si>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</si>
  <si>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</si>
  <si>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</si>
  <si>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</si>
  <si>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</si>
  <si>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</si>
  <si>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</si>
  <si>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</si>
  <si>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</si>
  <si>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</si>
  <si>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</si>
  <si>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</si>
  <si>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</si>
  <si>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</si>
  <si>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</si>
  <si>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</si>
  <si>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</si>
  <si>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</si>
  <si>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</si>
  <si>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</si>
  <si>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</si>
  <si>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</si>
  <si>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</si>
  <si>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</si>
  <si>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</si>
  <si>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</si>
  <si>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</si>
  <si>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</si>
  <si>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</si>
  <si>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</si>
  <si>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</si>
  <si>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</si>
  <si>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</si>
  <si>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</si>
  <si>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</si>
  <si>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</si>
  <si>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</si>
  <si>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</si>
  <si>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</si>
  <si>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</si>
  <si>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</si>
  <si>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</si>
  <si>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</si>
  <si>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</si>
  <si>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</si>
  <si>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</si>
  <si>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</si>
  <si>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</si>
  <si>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</si>
  <si>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</si>
  <si>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</si>
  <si>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</si>
  <si>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</si>
  <si>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</si>
  <si>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</si>
  <si>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</si>
  <si>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</si>
  <si>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</si>
  <si>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</si>
  <si>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</si>
  <si>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</si>
  <si>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</si>
  <si>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</si>
  <si>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</si>
  <si>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</si>
  <si>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</si>
  <si>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</si>
  <si>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</si>
  <si>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</si>
  <si>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</si>
  <si>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</si>
  <si>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</si>
  <si>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</si>
  <si>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</si>
  <si>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</si>
  <si>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</si>
  <si>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</si>
  <si>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</si>
  <si>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</si>
  <si>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</si>
  <si>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</si>
  <si>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</si>
  <si>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</si>
  <si>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</si>
  <si>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</si>
  <si>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</si>
  <si>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</si>
  <si>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</si>
  <si>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</si>
  <si>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</si>
  <si>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</si>
  <si>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</si>
  <si>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</si>
  <si>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</si>
  <si>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</si>
  <si>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</si>
  <si>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</si>
  <si>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</si>
  <si>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</si>
  <si>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</si>
  <si>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</si>
  <si>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</si>
  <si>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</si>
  <si>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</si>
  <si>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</si>
  <si>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</si>
  <si>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</si>
  <si>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</si>
  <si>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</si>
  <si>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</si>
  <si>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</si>
  <si>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</si>
  <si>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</si>
  <si>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</si>
  <si>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</si>
  <si>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</si>
  <si>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</si>
  <si>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</si>
  <si>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</si>
  <si>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</si>
  <si>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</si>
  <si>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</si>
  <si>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</si>
  <si>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</si>
  <si>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</si>
  <si>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</si>
  <si>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</si>
  <si>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</si>
  <si>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</si>
  <si>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</si>
  <si>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</si>
  <si>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</si>
  <si>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</si>
  <si>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</si>
  <si>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</si>
  <si>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</si>
  <si>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</si>
  <si>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</si>
  <si>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</si>
  <si>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</si>
  <si>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</si>
  <si>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</si>
  <si>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</si>
  <si>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</si>
  <si>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</si>
  <si>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</si>
  <si>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</si>
  <si>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</si>
  <si>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</si>
  <si>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</si>
  <si>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</si>
  <si>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</si>
  <si>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</si>
  <si>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</si>
  <si>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</si>
  <si>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</si>
  <si>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</si>
  <si>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</si>
  <si>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</si>
  <si>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</si>
  <si>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</si>
  <si>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</si>
  <si>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</si>
  <si>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</si>
  <si>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</si>
  <si>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</si>
  <si>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</si>
  <si>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</si>
  <si>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</si>
  <si>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</si>
  <si>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</si>
  <si>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</si>
  <si>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</si>
  <si>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</si>
  <si>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</si>
  <si>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</si>
  <si>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</si>
  <si>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</si>
  <si>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</si>
  <si>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</si>
  <si>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</si>
  <si>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</si>
  <si>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</si>
  <si>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</si>
  <si>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</si>
  <si>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</si>
  <si>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</si>
  <si>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</si>
  <si>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</si>
  <si>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</si>
  <si>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</si>
  <si>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</si>
  <si>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</si>
  <si>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</si>
  <si>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</si>
  <si>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</si>
  <si>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</si>
  <si>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</si>
  <si>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</si>
  <si>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</si>
  <si>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</si>
  <si>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</si>
  <si>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</si>
  <si>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</si>
  <si>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</si>
  <si>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</si>
  <si>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</si>
  <si>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</si>
  <si>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</si>
  <si>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</si>
  <si>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</si>
  <si>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</si>
  <si>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</si>
  <si>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</si>
  <si>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</si>
  <si>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</si>
  <si>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</si>
  <si>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</si>
  <si>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</si>
  <si>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</si>
  <si>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</si>
  <si>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</si>
  <si>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</si>
  <si>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</si>
  <si>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</si>
  <si>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</si>
  <si>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</si>
  <si>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</si>
  <si>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</si>
  <si>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</si>
  <si>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</si>
  <si>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</si>
  <si>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</si>
  <si>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</si>
  <si>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</si>
  <si>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</si>
  <si>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</si>
  <si>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</si>
  <si>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</si>
  <si>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</si>
  <si>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</si>
  <si>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</si>
  <si>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</si>
  <si>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</si>
  <si>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</si>
  <si>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</si>
  <si>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</si>
  <si>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</si>
  <si>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</si>
  <si>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</si>
  <si>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</si>
  <si>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</si>
  <si>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</si>
  <si>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</si>
  <si>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</si>
  <si>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</si>
  <si>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</si>
  <si>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</si>
  <si>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</si>
  <si>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</si>
  <si>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</si>
  <si>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</si>
  <si>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</si>
  <si>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</si>
  <si>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</si>
  <si>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</si>
  <si>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</si>
  <si>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</si>
  <si>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</si>
  <si>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</si>
  <si>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</si>
  <si>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</si>
  <si>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</si>
  <si>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</si>
  <si>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</si>
  <si>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</si>
  <si>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</si>
  <si>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</si>
  <si>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</si>
  <si>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</si>
  <si>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</si>
  <si>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</si>
  <si>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</si>
  <si>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</si>
  <si>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</si>
  <si>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</si>
  <si>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</si>
  <si>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</si>
  <si>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</si>
  <si>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</si>
  <si>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</si>
  <si>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</si>
  <si>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</si>
  <si>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</si>
  <si>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</si>
  <si>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</si>
  <si>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</si>
  <si>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</si>
  <si>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</si>
  <si>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</si>
  <si>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</si>
  <si>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</si>
  <si>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</si>
  <si>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</si>
  <si>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</si>
  <si>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</si>
  <si>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</si>
  <si>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</si>
  <si>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</si>
  <si>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</si>
  <si>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</si>
  <si>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</si>
  <si>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</si>
  <si>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</si>
  <si>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</si>
  <si>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</si>
  <si>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</si>
  <si>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</si>
  <si>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</si>
  <si>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</si>
  <si>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</si>
  <si>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</si>
  <si>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</si>
  <si>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</si>
  <si>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</si>
  <si>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</si>
  <si>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</si>
  <si>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</si>
  <si>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</si>
  <si>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</si>
  <si>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</si>
  <si>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</si>
  <si>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</si>
  <si>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</si>
  <si>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</si>
  <si>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</si>
  <si>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</si>
  <si>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</si>
  <si>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</si>
  <si>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</si>
  <si>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</si>
  <si>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</si>
  <si>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</si>
  <si>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</si>
  <si>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</si>
  <si>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</si>
  <si>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</si>
  <si>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</si>
  <si>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</si>
  <si>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</si>
  <si>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</si>
  <si>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</si>
  <si>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</si>
  <si>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</si>
  <si>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</si>
  <si>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</si>
  <si>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</si>
  <si>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</si>
  <si>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</si>
  <si>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</si>
  <si>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</si>
  <si>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</si>
  <si>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</si>
  <si>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</si>
  <si>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</si>
  <si>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</si>
  <si>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</si>
  <si>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</si>
  <si>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</si>
  <si>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</si>
  <si>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</si>
  <si>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</si>
  <si>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</si>
  <si>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</si>
  <si>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</si>
  <si>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</si>
  <si>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</si>
  <si>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</si>
  <si>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</si>
  <si>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</si>
  <si>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</si>
  <si>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</si>
  <si>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</si>
  <si>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</si>
  <si>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</si>
  <si>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</si>
  <si>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</si>
  <si>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</si>
  <si>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</si>
  <si>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</si>
  <si>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</si>
  <si>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</si>
  <si>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</si>
  <si>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</si>
  <si>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</si>
  <si>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</si>
  <si>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</si>
  <si>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</si>
  <si>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</si>
  <si>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</si>
  <si>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</si>
  <si>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</si>
  <si>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</si>
  <si>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</si>
  <si>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</si>
  <si>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</si>
  <si>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</si>
  <si>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</si>
  <si>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</si>
  <si>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</si>
  <si>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</si>
  <si>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</si>
  <si>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</si>
  <si>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</si>
  <si>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</si>
  <si>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</si>
  <si>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</si>
  <si>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</si>
  <si>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</si>
  <si>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</si>
  <si>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</si>
  <si>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</si>
  <si>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</si>
  <si>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</si>
  <si>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</si>
  <si>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</si>
  <si>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</si>
  <si>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</si>
  <si>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</si>
  <si>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</si>
  <si>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</si>
  <si>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</si>
  <si>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</si>
  <si>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</si>
  <si>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</si>
  <si>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</si>
  <si>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</si>
  <si>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</si>
  <si>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</si>
  <si>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</si>
  <si>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</si>
  <si>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</si>
  <si>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</si>
  <si>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</si>
  <si>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</si>
  <si>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</si>
  <si>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</si>
  <si>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</si>
  <si>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</si>
  <si>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</si>
  <si>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</si>
  <si>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</si>
  <si>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</si>
  <si>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</si>
  <si>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</si>
  <si>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</si>
  <si>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</si>
  <si>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</si>
  <si>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</si>
  <si>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</si>
  <si>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</si>
  <si>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</si>
  <si>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</si>
  <si>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</si>
  <si>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</si>
  <si>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</si>
  <si>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</si>
  <si>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</si>
  <si>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</si>
  <si>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</si>
  <si>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</si>
  <si>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</si>
  <si>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</si>
  <si>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</si>
  <si>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</si>
  <si>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</si>
  <si>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</si>
  <si>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</si>
  <si>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</si>
  <si>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</si>
  <si>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</si>
  <si>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</si>
  <si>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</si>
  <si>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</si>
  <si>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</si>
  <si>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</si>
  <si>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</si>
  <si>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</si>
  <si>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</si>
  <si>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</si>
  <si>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</si>
  <si>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</si>
  <si>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</si>
  <si>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</si>
  <si>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</si>
  <si>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</si>
  <si>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</si>
  <si>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</si>
  <si>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</si>
  <si>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</si>
  <si>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</si>
  <si>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</si>
  <si>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</si>
  <si>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</si>
  <si>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</si>
  <si>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</si>
  <si>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</si>
  <si>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</si>
  <si>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</si>
  <si>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</si>
  <si>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</si>
  <si>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</si>
  <si>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</si>
  <si>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</si>
  <si>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</si>
  <si>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</si>
  <si>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</si>
  <si>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</si>
  <si>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</si>
  <si>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</si>
  <si>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</si>
  <si>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</si>
  <si>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</si>
  <si>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</si>
  <si>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</si>
  <si>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</si>
  <si>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</si>
  <si>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</si>
  <si>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</si>
  <si>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</si>
  <si>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</si>
  <si>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</si>
  <si>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</si>
  <si>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</si>
  <si>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</si>
  <si>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</si>
  <si>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</si>
  <si>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</si>
  <si>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</si>
  <si>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</si>
  <si>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</si>
  <si>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</si>
  <si>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</si>
  <si>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</si>
  <si>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</si>
  <si>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</si>
  <si>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</si>
  <si>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</si>
  <si>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</si>
  <si>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</si>
  <si>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</si>
  <si>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</si>
  <si>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</si>
  <si>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</si>
  <si>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</si>
  <si>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</si>
  <si>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</si>
  <si>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</si>
  <si>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</si>
  <si>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</si>
  <si>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</si>
  <si>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</si>
  <si>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</si>
  <si>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</si>
  <si>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</si>
  <si>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</si>
  <si>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</si>
  <si>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</si>
  <si>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</si>
  <si>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</si>
  <si>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</si>
  <si>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</si>
  <si>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</si>
  <si>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</si>
  <si>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</si>
  <si>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</si>
  <si>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</si>
  <si>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</si>
  <si>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</si>
  <si>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</si>
  <si>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</si>
  <si>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</si>
  <si>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</si>
  <si>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</si>
  <si>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</si>
  <si>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</si>
  <si>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</si>
  <si>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</si>
  <si>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</si>
  <si>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</si>
  <si>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</si>
  <si>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</si>
  <si>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</si>
  <si>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</si>
  <si>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</si>
  <si>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</si>
  <si>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</si>
  <si>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</si>
  <si>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</si>
  <si>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</si>
  <si>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</si>
  <si>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</si>
  <si>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</si>
  <si>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</si>
  <si>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</si>
  <si>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</si>
  <si>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</si>
  <si>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</si>
  <si>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</si>
  <si>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</si>
  <si>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</si>
  <si>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</si>
  <si>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</si>
  <si>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</si>
  <si>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</si>
  <si>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</si>
  <si>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</si>
  <si>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</si>
  <si>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</si>
  <si>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</si>
  <si>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</si>
  <si>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</si>
  <si>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</si>
  <si>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</si>
  <si>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</si>
  <si>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</si>
  <si>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</si>
  <si>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</si>
  <si>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</si>
  <si>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</si>
  <si>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</si>
  <si>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</si>
  <si>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</si>
  <si>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</si>
  <si>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</si>
  <si>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</si>
  <si>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</si>
  <si>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</si>
  <si>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</si>
  <si>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</si>
  <si>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</si>
  <si>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</si>
  <si>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</si>
  <si>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</si>
  <si>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</si>
  <si>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</si>
  <si>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</si>
  <si>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</si>
  <si>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</si>
  <si>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</si>
  <si>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</si>
  <si>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</si>
  <si>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</si>
  <si>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</si>
  <si>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</si>
  <si>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</si>
  <si>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</si>
  <si>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</si>
  <si>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</si>
  <si>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</si>
  <si>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</si>
  <si>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</si>
  <si>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</si>
  <si>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</si>
  <si>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</si>
  <si>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</si>
  <si>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</si>
  <si>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</si>
  <si>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</si>
  <si>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</si>
  <si>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</si>
  <si>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</si>
  <si>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</si>
  <si>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</si>
  <si>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</si>
  <si>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</si>
  <si>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</si>
  <si>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</si>
  <si>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</si>
  <si>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</si>
  <si>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</si>
  <si>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</si>
  <si>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</si>
  <si>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</si>
  <si>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</si>
  <si>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</si>
  <si>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</si>
  <si>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</si>
  <si>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</si>
  <si>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</si>
  <si>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</si>
  <si>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</si>
  <si>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</si>
  <si>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</si>
  <si>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</si>
  <si>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</si>
  <si>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</si>
  <si>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</si>
  <si>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</si>
  <si>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</si>
  <si>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</si>
  <si>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</si>
  <si>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</si>
  <si>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</si>
  <si>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</si>
  <si>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</si>
  <si>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</si>
  <si>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</si>
  <si>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</si>
  <si>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</si>
  <si>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</si>
  <si>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</si>
  <si>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</si>
  <si>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</si>
  <si>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</si>
  <si>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</si>
  <si>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</si>
  <si>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</si>
  <si>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</si>
  <si>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</si>
  <si>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</si>
  <si>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</si>
  <si>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</si>
  <si>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</si>
  <si>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</si>
  <si>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</si>
  <si>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</si>
  <si>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</si>
  <si>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</si>
  <si>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</si>
  <si>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</si>
  <si>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</si>
  <si>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</si>
  <si>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</si>
  <si>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</si>
  <si>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</si>
  <si>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</si>
  <si>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</si>
  <si>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</si>
  <si>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</si>
  <si>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</si>
  <si>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</si>
  <si>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</si>
  <si>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</si>
  <si>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</si>
  <si>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</si>
  <si>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</si>
  <si>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</si>
  <si>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</si>
  <si>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</si>
  <si>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</si>
  <si>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</si>
  <si>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</si>
  <si>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</si>
  <si>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</si>
  <si>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</si>
  <si>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</si>
  <si>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</si>
  <si>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</si>
  <si>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</si>
  <si>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</si>
  <si>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</si>
  <si>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</si>
  <si>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</si>
  <si>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</si>
  <si>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</si>
  <si>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</si>
  <si>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</si>
  <si>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</si>
  <si>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</si>
  <si>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</si>
  <si>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</si>
  <si>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</si>
  <si>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</si>
  <si>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</si>
  <si>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</si>
  <si>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</si>
  <si>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</si>
  <si>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</si>
  <si>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</si>
  <si>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</si>
  <si>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</si>
  <si>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</si>
  <si>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</si>
  <si>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</si>
  <si>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</si>
  <si>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</si>
  <si>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</si>
  <si>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</si>
  <si>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</si>
  <si>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</si>
  <si>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</si>
  <si>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</si>
  <si>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</si>
  <si>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</si>
  <si>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</si>
  <si>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</si>
  <si>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</si>
  <si>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</si>
  <si>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</si>
  <si>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</si>
  <si>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</si>
  <si>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</si>
  <si>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</si>
  <si>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</si>
  <si>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</si>
  <si>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</si>
  <si>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</si>
  <si>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</si>
  <si>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</si>
  <si>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</si>
  <si>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</si>
  <si>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</si>
  <si>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</si>
  <si>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</si>
  <si>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</si>
  <si>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</si>
  <si>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</si>
  <si>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</si>
  <si>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</si>
  <si>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</si>
  <si>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</si>
  <si>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</si>
  <si>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</si>
  <si>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</si>
  <si>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</si>
  <si>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</si>
  <si>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</si>
  <si>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</si>
  <si>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</si>
  <si>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</si>
  <si>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</si>
  <si>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</si>
  <si>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</si>
  <si>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</si>
  <si>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</si>
  <si>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</si>
  <si>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</si>
  <si>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</si>
  <si>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</si>
  <si>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</si>
  <si>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</si>
  <si>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</si>
  <si>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</si>
  <si>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</si>
  <si>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</si>
  <si>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</si>
  <si>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</si>
  <si>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</si>
  <si>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</si>
  <si>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</si>
  <si>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</si>
  <si>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</si>
  <si>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</si>
  <si>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</si>
  <si>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</si>
  <si>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</si>
  <si>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</si>
  <si>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</si>
  <si>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</si>
  <si>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</si>
  <si>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</si>
  <si>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</si>
  <si>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</si>
  <si>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</si>
  <si>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</si>
  <si>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</si>
  <si>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</si>
  <si>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</si>
  <si>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</si>
  <si>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</si>
  <si>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</si>
  <si>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</si>
  <si>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</si>
  <si>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</si>
  <si>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</si>
  <si>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</si>
  <si>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</si>
  <si>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</si>
  <si>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</si>
  <si>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</si>
  <si>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</si>
  <si>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</si>
  <si>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</si>
  <si>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</si>
  <si>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</si>
  <si>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</si>
  <si>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</si>
  <si>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</si>
  <si>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</si>
  <si>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</si>
  <si>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</si>
  <si>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</si>
  <si>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</si>
  <si>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</si>
  <si>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</si>
  <si>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</si>
  <si>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</si>
  <si>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</si>
  <si>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</si>
  <si>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</si>
  <si>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</si>
  <si>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</si>
  <si>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</si>
  <si>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</si>
  <si>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</si>
  <si>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</si>
  <si>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</si>
  <si>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</si>
  <si>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</si>
  <si>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</si>
  <si>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</si>
  <si>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</si>
  <si>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</si>
  <si>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</si>
  <si>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</si>
  <si>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</si>
  <si>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</si>
  <si>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</si>
  <si>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</si>
  <si>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</si>
  <si>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</si>
  <si>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</si>
  <si>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</si>
  <si>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</si>
  <si>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</si>
  <si>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</si>
  <si>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</si>
  <si>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</si>
  <si>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</si>
  <si>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</si>
  <si>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</si>
  <si>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</si>
  <si>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</si>
  <si>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</si>
  <si>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</si>
  <si>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</si>
  <si>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</si>
  <si>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</si>
  <si>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</si>
  <si>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</si>
  <si>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</si>
  <si>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</si>
  <si>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</si>
  <si>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</si>
  <si>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</si>
  <si>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</si>
  <si>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</si>
  <si>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</si>
  <si>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</si>
  <si>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</si>
  <si>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</si>
  <si>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</si>
  <si>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</si>
  <si>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</si>
  <si>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</si>
  <si>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</si>
  <si>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</si>
  <si>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</si>
  <si>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</si>
  <si>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</si>
  <si>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</si>
  <si>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</si>
  <si>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</si>
  <si>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</si>
  <si>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</si>
  <si>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</si>
  <si>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</si>
  <si>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</si>
  <si>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</si>
  <si>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</si>
  <si>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</si>
  <si>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</si>
  <si>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</si>
  <si>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</si>
  <si>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</si>
  <si>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</si>
  <si>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</si>
  <si>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</si>
  <si>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</si>
  <si>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</si>
  <si>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</si>
  <si>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</si>
  <si>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</si>
  <si>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</si>
  <si>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</si>
  <si>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</si>
  <si>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</si>
  <si>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</si>
  <si>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</si>
  <si>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</si>
  <si>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</si>
  <si>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</si>
  <si>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</si>
  <si>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</si>
  <si>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</si>
  <si>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</si>
  <si>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</si>
  <si>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</si>
  <si>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</si>
  <si>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</si>
  <si>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</si>
  <si>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</si>
  <si>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</si>
  <si>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</si>
  <si>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</si>
  <si>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</si>
  <si>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</si>
  <si>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</si>
  <si>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</si>
  <si>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</si>
  <si>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</si>
  <si>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</si>
  <si>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</si>
  <si>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</si>
  <si>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</si>
  <si>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</si>
  <si>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</si>
  <si>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</si>
  <si>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</si>
  <si>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</si>
  <si>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</si>
  <si>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</si>
  <si>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</si>
  <si>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</si>
  <si>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</si>
  <si>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</si>
  <si>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</si>
  <si>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</si>
  <si>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</si>
  <si>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</si>
  <si>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</si>
  <si>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</si>
  <si>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</si>
  <si>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</si>
  <si>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</si>
  <si>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</si>
  <si>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</si>
  <si>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</si>
  <si>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</si>
  <si>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</si>
  <si>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</si>
  <si>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</si>
  <si>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</si>
  <si>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</si>
  <si>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</si>
  <si>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</si>
  <si>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</si>
  <si>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</si>
  <si>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</si>
  <si>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</si>
  <si>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</si>
  <si>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</si>
  <si>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</si>
  <si>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</si>
  <si>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</si>
  <si>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</si>
  <si>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</si>
  <si>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</si>
  <si>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</si>
  <si>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</si>
  <si>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</si>
  <si>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</si>
  <si>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</si>
  <si>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</si>
  <si>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</si>
  <si>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</si>
  <si>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</si>
  <si>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</si>
  <si>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</si>
  <si>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</si>
  <si>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</si>
  <si>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</si>
  <si>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</si>
  <si>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</si>
  <si>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</si>
  <si>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</si>
  <si>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</si>
  <si>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</si>
  <si>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</si>
  <si>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</si>
  <si>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</si>
  <si>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</si>
  <si>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</si>
  <si>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</si>
  <si>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</si>
  <si>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</si>
  <si>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</si>
  <si>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</si>
  <si>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</si>
  <si>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</si>
  <si>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</si>
  <si>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</si>
  <si>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</si>
  <si>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</si>
  <si>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</si>
  <si>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</si>
  <si>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</si>
  <si>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</si>
  <si>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</si>
  <si>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</si>
  <si>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</si>
  <si>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</si>
  <si>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</si>
  <si>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</si>
  <si>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</si>
  <si>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</si>
  <si>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</si>
  <si>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</si>
  <si>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</si>
  <si>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</si>
  <si>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</si>
  <si>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</si>
  <si>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</si>
  <si>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</si>
  <si>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</si>
  <si>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</si>
  <si>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</si>
  <si>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</si>
  <si>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</si>
  <si>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</si>
  <si>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</si>
  <si>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</si>
  <si>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</si>
  <si>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</si>
  <si>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</si>
  <si>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</si>
  <si>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</si>
  <si>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</si>
  <si>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</si>
  <si>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</si>
  <si>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</si>
  <si>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</si>
  <si>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</si>
  <si>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</si>
  <si>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</si>
  <si>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</si>
  <si>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</si>
  <si>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</si>
  <si>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</si>
  <si>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</si>
  <si>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</si>
  <si>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</si>
  <si>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</si>
  <si>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</si>
  <si>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</si>
  <si>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</si>
  <si>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</si>
  <si>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</si>
  <si>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</si>
  <si>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</si>
  <si>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</si>
  <si>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</si>
  <si>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</si>
  <si>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</si>
  <si>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</si>
  <si>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</si>
  <si>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</si>
  <si>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</si>
  <si>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</si>
  <si>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</si>
  <si>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</si>
  <si>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</si>
  <si>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</si>
  <si>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</si>
  <si>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</si>
  <si>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</si>
  <si>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</si>
  <si>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</si>
  <si>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</si>
  <si>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</si>
  <si>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</si>
  <si>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</si>
  <si>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</si>
  <si>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</si>
  <si>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</si>
  <si>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</si>
  <si>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</si>
  <si>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</si>
  <si>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</si>
  <si>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</si>
  <si>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</si>
  <si>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</si>
  <si>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</si>
  <si>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</si>
  <si>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</si>
  <si>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</si>
  <si>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</si>
  <si>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</si>
  <si>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</si>
  <si>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</si>
  <si>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</si>
  <si>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</si>
  <si>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</si>
  <si>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</si>
  <si>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</si>
  <si>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</si>
  <si>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</si>
  <si>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</si>
  <si>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</si>
  <si>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</si>
  <si>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</si>
  <si>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</si>
  <si>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</si>
  <si>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</si>
  <si>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</si>
  <si>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</si>
  <si>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</si>
  <si>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</si>
  <si>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</si>
  <si>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</si>
  <si>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</si>
  <si>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</si>
  <si>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</si>
  <si>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</si>
  <si>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</si>
  <si>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</si>
  <si>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</si>
  <si>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</si>
  <si>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</si>
  <si>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</si>
  <si>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</si>
  <si>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</si>
  <si>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</si>
  <si>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</si>
  <si>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</si>
  <si>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</si>
  <si>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</si>
  <si>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</si>
  <si>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</si>
  <si>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</si>
  <si>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</si>
  <si>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</si>
  <si>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</si>
  <si>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</si>
  <si>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</si>
  <si>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</si>
  <si>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</si>
  <si>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</si>
  <si>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</si>
  <si>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</si>
  <si>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</si>
  <si>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</si>
  <si>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</si>
  <si>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</si>
  <si>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</si>
  <si>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</si>
  <si>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</si>
  <si>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</si>
  <si>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</si>
  <si>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</si>
  <si>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</si>
  <si>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</si>
  <si>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</si>
  <si>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</si>
  <si>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</si>
  <si>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</si>
  <si>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</si>
  <si>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</si>
  <si>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</si>
  <si>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</si>
  <si>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</si>
  <si>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</si>
  <si>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</si>
  <si>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</si>
  <si>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</si>
  <si>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</si>
  <si>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</si>
  <si>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</si>
  <si>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</si>
  <si>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</si>
  <si>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</si>
  <si>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</si>
  <si>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</si>
  <si>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</si>
  <si>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</si>
  <si>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</si>
  <si>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</si>
  <si>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</si>
  <si>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</si>
  <si>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</si>
  <si>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</si>
  <si>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</si>
  <si>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</si>
  <si>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</si>
  <si>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</si>
  <si>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</si>
  <si>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</si>
  <si>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</si>
  <si>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</si>
  <si>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</si>
  <si>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</si>
  <si>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</si>
  <si>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</si>
  <si>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</si>
  <si>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</si>
  <si>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</si>
  <si>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</si>
  <si>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</si>
  <si>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</si>
  <si>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</si>
  <si>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</si>
  <si>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</si>
  <si>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</si>
  <si>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</si>
  <si>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</si>
  <si>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</si>
  <si>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</si>
  <si>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</si>
  <si>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</si>
  <si>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</si>
  <si>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</si>
  <si>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</si>
  <si>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</si>
  <si>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</si>
  <si>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</si>
  <si>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</si>
  <si>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</si>
  <si>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</si>
  <si>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</si>
  <si>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</si>
  <si>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</si>
  <si>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</si>
  <si>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</si>
  <si>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</si>
  <si>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</si>
  <si>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</si>
  <si>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</si>
  <si>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</si>
  <si>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</si>
  <si>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</si>
  <si>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</si>
  <si>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</si>
  <si>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</si>
  <si>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</si>
  <si>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</si>
  <si>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</si>
  <si>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</si>
  <si>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</si>
  <si>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</si>
  <si>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</si>
  <si>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</si>
  <si>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</si>
  <si>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</si>
  <si>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</si>
  <si>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</si>
  <si>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</si>
  <si>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</si>
  <si>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</si>
  <si>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</si>
  <si>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</si>
  <si>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</si>
  <si>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</si>
  <si>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</si>
  <si>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</si>
  <si>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</si>
  <si>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</si>
  <si>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</si>
  <si>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</si>
  <si>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</si>
  <si>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</si>
  <si>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</si>
  <si>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</si>
  <si>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</si>
  <si>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</si>
  <si>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</si>
  <si>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</si>
  <si>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</si>
  <si>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</si>
  <si>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</si>
  <si>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</si>
  <si>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</si>
  <si>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</si>
  <si>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</si>
  <si>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</si>
  <si>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</si>
  <si>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</si>
  <si>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</si>
  <si>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</si>
  <si>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</si>
  <si>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</si>
  <si>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</si>
  <si>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</si>
  <si>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</si>
  <si>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</si>
  <si>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</si>
  <si>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</si>
  <si>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</si>
  <si>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</si>
  <si>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</si>
  <si>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</si>
  <si>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</si>
  <si>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</si>
  <si>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</si>
  <si>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</si>
  <si>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</si>
  <si>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</si>
  <si>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</si>
  <si>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</si>
  <si>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</si>
  <si>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</si>
  <si>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</si>
  <si>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</si>
  <si>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</si>
  <si>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</si>
  <si>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</si>
  <si>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</si>
  <si>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</si>
  <si>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</si>
  <si>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</si>
  <si>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</si>
  <si>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</si>
  <si>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</si>
  <si>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</si>
  <si>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</si>
  <si>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</si>
  <si>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</si>
  <si>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</si>
  <si>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</si>
  <si>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</si>
  <si>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</si>
  <si>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</si>
  <si>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</si>
  <si>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</si>
  <si>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</si>
  <si>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</si>
  <si>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Subsubsector</t>
  </si>
  <si>
    <t>Subsector</t>
  </si>
  <si>
    <t>Sector</t>
  </si>
  <si>
    <t>TechDescription</t>
  </si>
  <si>
    <t>Process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</si>
  <si>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</si>
  <si>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</si>
  <si>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</si>
  <si>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</si>
  <si>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</si>
  <si>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</si>
  <si>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</si>
  <si>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</si>
  <si>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</si>
  <si>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</si>
  <si>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</si>
  <si>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</si>
  <si>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</si>
  <si>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</si>
  <si>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</si>
  <si>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</si>
  <si>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</si>
  <si>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</si>
  <si>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</si>
  <si>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</si>
  <si>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</si>
  <si>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</si>
  <si>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</si>
  <si>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</si>
  <si>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</si>
  <si>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</si>
  <si>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</si>
  <si>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</si>
  <si>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</si>
  <si>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</si>
  <si>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</si>
  <si>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</si>
  <si>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</si>
  <si>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</si>
  <si>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</si>
  <si>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</si>
  <si>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</si>
  <si>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</si>
  <si>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</si>
  <si>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</si>
  <si>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</si>
  <si>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</si>
  <si>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</si>
  <si>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</si>
  <si>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</si>
  <si>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</si>
  <si>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</si>
  <si>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</si>
  <si>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</si>
  <si>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</si>
  <si>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</si>
  <si>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</si>
  <si>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</si>
  <si>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</si>
  <si>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</si>
  <si>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</si>
  <si>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</si>
  <si>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</si>
  <si>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</si>
  <si>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</si>
  <si>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</si>
  <si>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</si>
  <si>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</si>
  <si>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</si>
  <si>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</si>
  <si>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</si>
  <si>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</si>
  <si>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</si>
  <si>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</si>
  <si>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</si>
  <si>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</si>
  <si>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</si>
  <si>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</si>
  <si>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</si>
  <si>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</si>
  <si>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</si>
  <si>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</si>
  <si>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</si>
  <si>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</si>
  <si>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</si>
  <si>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</si>
  <si>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</si>
  <si>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</si>
  <si>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</si>
  <si>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</si>
  <si>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</si>
  <si>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</si>
  <si>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</si>
  <si>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</si>
  <si>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</si>
  <si>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</si>
  <si>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</si>
  <si>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</si>
  <si>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</si>
  <si>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</si>
  <si>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</si>
  <si>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</si>
  <si>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</si>
  <si>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</si>
  <si>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</si>
  <si>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</si>
  <si>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</si>
  <si>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</si>
  <si>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</si>
  <si>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</si>
  <si>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</si>
  <si>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</si>
  <si>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</si>
  <si>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</si>
  <si>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</si>
  <si>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</si>
  <si>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</si>
  <si>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</si>
  <si>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</si>
  <si>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</si>
  <si>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</si>
  <si>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</si>
  <si>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</si>
  <si>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</si>
  <si>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</si>
  <si>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</si>
  <si>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</si>
  <si>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</si>
  <si>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</si>
  <si>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</si>
  <si>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</si>
  <si>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</si>
  <si>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</si>
  <si>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</si>
  <si>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</si>
  <si>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</si>
  <si>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</si>
  <si>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</si>
  <si>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</si>
  <si>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</si>
  <si>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</si>
  <si>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</si>
  <si>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</si>
  <si>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</si>
  <si>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</si>
  <si>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</si>
  <si>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</si>
  <si>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</si>
  <si>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</si>
  <si>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</si>
  <si>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</si>
  <si>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</si>
  <si>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</si>
  <si>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</si>
  <si>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</si>
  <si>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</si>
  <si>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</si>
  <si>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</si>
  <si>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</si>
  <si>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</si>
  <si>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</si>
  <si>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</si>
  <si>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</si>
  <si>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</si>
  <si>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</si>
  <si>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</si>
  <si>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</si>
  <si>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</si>
  <si>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</si>
  <si>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</si>
  <si>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</si>
  <si>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</si>
  <si>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</si>
  <si>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</si>
  <si>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</si>
  <si>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</si>
  <si>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</si>
  <si>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</si>
  <si>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</si>
  <si>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</si>
  <si>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</si>
  <si>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</si>
  <si>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</si>
  <si>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</si>
  <si>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</si>
  <si>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</si>
  <si>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</si>
  <si>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</si>
  <si>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</si>
  <si>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</si>
  <si>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</si>
  <si>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</si>
  <si>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</si>
  <si>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</si>
  <si>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</si>
  <si>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</si>
  <si>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</si>
  <si>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</si>
  <si>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</si>
  <si>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</si>
  <si>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</si>
  <si>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</si>
  <si>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</si>
  <si>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</si>
  <si>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</si>
  <si>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</si>
  <si>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</si>
  <si>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</si>
  <si>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</si>
  <si>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</si>
  <si>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</si>
  <si>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</si>
  <si>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</si>
  <si>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</si>
  <si>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</si>
  <si>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</si>
  <si>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</si>
  <si>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</si>
  <si>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</si>
  <si>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</si>
  <si>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</si>
  <si>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</si>
  <si>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</si>
  <si>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</si>
  <si>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</si>
  <si>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</si>
  <si>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</si>
  <si>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</si>
  <si>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</si>
  <si>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</si>
  <si>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</si>
  <si>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</si>
  <si>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</si>
  <si>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</si>
  <si>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</si>
  <si>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</si>
  <si>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</si>
  <si>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</si>
  <si>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</si>
  <si>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</si>
  <si>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</si>
  <si>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</si>
  <si>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</si>
  <si>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</si>
  <si>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</si>
  <si>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</si>
  <si>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</si>
  <si>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</si>
  <si>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</si>
  <si>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</si>
  <si>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</si>
  <si>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</si>
  <si>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</si>
  <si>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</si>
  <si>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</si>
  <si>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</si>
  <si>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</si>
  <si>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</si>
  <si>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</si>
  <si>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</si>
  <si>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</si>
  <si>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</si>
  <si>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</si>
  <si>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</si>
  <si>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</si>
  <si>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</si>
  <si>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</si>
  <si>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</si>
  <si>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</si>
  <si>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</si>
  <si>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</si>
  <si>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</si>
  <si>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</si>
  <si>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</si>
  <si>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</si>
  <si>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</si>
  <si>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</si>
  <si>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</si>
  <si>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</si>
  <si>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</si>
  <si>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</si>
  <si>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</si>
  <si>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</si>
  <si>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</si>
  <si>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</si>
  <si>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</si>
  <si>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</si>
  <si>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</si>
  <si>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</si>
  <si>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</si>
  <si>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</si>
  <si>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</si>
  <si>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</si>
  <si>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</si>
  <si>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</si>
  <si>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</si>
  <si>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</si>
  <si>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</si>
  <si>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</si>
  <si>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</si>
  <si>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</si>
  <si>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</si>
  <si>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</si>
  <si>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</si>
  <si>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</si>
  <si>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</si>
  <si>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</si>
  <si>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</si>
  <si>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</si>
  <si>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</si>
  <si>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</si>
  <si>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</si>
  <si>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</si>
  <si>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</si>
  <si>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</si>
  <si>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</si>
  <si>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</si>
  <si>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</si>
  <si>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</si>
  <si>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</si>
  <si>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</si>
  <si>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</si>
  <si>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</si>
  <si>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</si>
  <si>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</si>
  <si>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</si>
  <si>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</si>
  <si>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</si>
  <si>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</si>
  <si>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</si>
  <si>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</si>
  <si>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</si>
  <si>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</si>
  <si>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</si>
  <si>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</si>
  <si>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</si>
  <si>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</si>
  <si>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</si>
  <si>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</si>
  <si>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</si>
  <si>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</si>
  <si>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</si>
  <si>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</si>
  <si>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</si>
  <si>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</si>
  <si>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</si>
  <si>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</si>
  <si>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</si>
  <si>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</si>
  <si>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</si>
  <si>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</si>
  <si>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</si>
  <si>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</si>
  <si>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</si>
  <si>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</si>
  <si>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</si>
  <si>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</si>
  <si>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</si>
  <si>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</si>
  <si>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</si>
  <si>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</si>
  <si>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</si>
  <si>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</si>
  <si>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</si>
  <si>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</si>
  <si>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</si>
  <si>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</si>
  <si>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</si>
  <si>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</si>
  <si>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</si>
  <si>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</si>
  <si>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</si>
  <si>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</si>
  <si>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</si>
  <si>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</si>
  <si>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</si>
  <si>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</si>
  <si>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</si>
  <si>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</si>
  <si>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</si>
  <si>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</si>
  <si>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</si>
  <si>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</si>
  <si>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</si>
  <si>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</si>
  <si>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</si>
  <si>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</si>
  <si>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</si>
  <si>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</si>
  <si>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</si>
  <si>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</si>
  <si>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</si>
  <si>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</si>
  <si>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</si>
  <si>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</si>
  <si>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</si>
  <si>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</si>
  <si>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</si>
  <si>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</si>
  <si>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</si>
  <si>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</si>
  <si>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</si>
  <si>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</si>
  <si>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</si>
  <si>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</si>
  <si>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</si>
  <si>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</si>
  <si>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</si>
  <si>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</si>
  <si>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</si>
  <si>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</si>
  <si>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</si>
  <si>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</si>
  <si>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</si>
  <si>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</si>
  <si>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</si>
  <si>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</si>
  <si>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</si>
  <si>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</si>
  <si>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</si>
  <si>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</si>
  <si>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</si>
  <si>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</si>
  <si>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</si>
  <si>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</si>
  <si>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</si>
  <si>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</si>
  <si>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</si>
  <si>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</si>
  <si>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</si>
  <si>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</si>
  <si>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</si>
  <si>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</si>
  <si>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</si>
  <si>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</si>
  <si>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</si>
  <si>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</si>
  <si>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</si>
  <si>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</si>
  <si>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</si>
  <si>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</si>
  <si>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</si>
  <si>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</si>
  <si>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</si>
  <si>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</si>
  <si>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</si>
  <si>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</si>
  <si>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</si>
  <si>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</si>
  <si>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</si>
  <si>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</si>
  <si>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</si>
  <si>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</si>
  <si>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</si>
  <si>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</si>
  <si>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</si>
  <si>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</si>
  <si>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</si>
  <si>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</si>
  <si>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</si>
  <si>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</si>
  <si>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</si>
  <si>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</si>
  <si>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</si>
  <si>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</si>
  <si>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</si>
  <si>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</si>
  <si>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</si>
  <si>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</si>
  <si>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</si>
  <si>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</si>
  <si>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</si>
  <si>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</si>
  <si>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</si>
  <si>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</si>
  <si>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</si>
  <si>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</si>
  <si>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</si>
  <si>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</si>
  <si>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</si>
  <si>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</si>
  <si>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</si>
  <si>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</si>
  <si>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</si>
  <si>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</si>
  <si>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</si>
  <si>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</si>
  <si>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</si>
  <si>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</si>
  <si>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</si>
  <si>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</si>
  <si>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</si>
  <si>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</si>
  <si>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</si>
  <si>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</si>
  <si>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</si>
  <si>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</si>
  <si>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</si>
  <si>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</si>
  <si>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</si>
  <si>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</si>
  <si>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</si>
  <si>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</si>
  <si>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</si>
  <si>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</si>
  <si>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</si>
  <si>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</si>
  <si>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</si>
  <si>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</si>
  <si>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</si>
  <si>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</si>
  <si>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</si>
  <si>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</si>
  <si>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</si>
  <si>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</si>
  <si>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</si>
  <si>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</si>
  <si>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</si>
  <si>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</si>
  <si>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</si>
  <si>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</si>
  <si>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</si>
  <si>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</si>
  <si>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</si>
  <si>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</si>
  <si>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</si>
  <si>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</si>
  <si>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</si>
  <si>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</si>
  <si>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</si>
  <si>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</si>
  <si>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</si>
  <si>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</si>
  <si>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</si>
  <si>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</si>
  <si>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</si>
  <si>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</si>
  <si>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</si>
  <si>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</si>
  <si>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</si>
  <si>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</si>
  <si>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</si>
  <si>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</si>
  <si>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</si>
  <si>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</si>
  <si>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</si>
  <si>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</si>
  <si>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</si>
  <si>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</si>
  <si>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</si>
  <si>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</si>
  <si>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</si>
  <si>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</si>
  <si>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</si>
  <si>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</si>
  <si>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</si>
  <si>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</si>
  <si>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</si>
  <si>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</si>
  <si>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</si>
  <si>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</si>
  <si>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</si>
  <si>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</si>
  <si>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</si>
  <si>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</si>
  <si>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</si>
  <si>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</si>
  <si>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</si>
  <si>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</si>
  <si>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</si>
  <si>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</si>
  <si>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</si>
  <si>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</si>
  <si>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</si>
  <si>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</si>
  <si>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</si>
  <si>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</si>
  <si>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</si>
  <si>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</si>
  <si>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</si>
  <si>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</si>
  <si>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</si>
  <si>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</si>
  <si>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</si>
  <si>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</si>
  <si>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</si>
  <si>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</si>
  <si>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</si>
  <si>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</si>
  <si>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</si>
  <si>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</si>
  <si>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</si>
  <si>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</si>
  <si>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</si>
  <si>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</si>
  <si>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</si>
  <si>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</si>
  <si>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</si>
  <si>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</si>
  <si>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</si>
  <si>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</si>
  <si>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</si>
  <si>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</si>
  <si>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</si>
  <si>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</si>
  <si>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</si>
  <si>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</si>
  <si>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</si>
  <si>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</si>
  <si>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</si>
  <si>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</si>
  <si>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</si>
  <si>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</si>
  <si>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</si>
  <si>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</si>
  <si>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</si>
  <si>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</si>
  <si>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</si>
  <si>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</si>
  <si>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</si>
  <si>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</si>
  <si>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</si>
  <si>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</si>
  <si>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</si>
  <si>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</si>
  <si>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</si>
  <si>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</si>
  <si>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</si>
  <si>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</si>
  <si>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</si>
  <si>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</si>
  <si>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</si>
  <si>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</si>
  <si>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</si>
  <si>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</si>
  <si>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</si>
  <si>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</si>
  <si>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</si>
  <si>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</si>
  <si>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</si>
  <si>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</si>
  <si>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</si>
  <si>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</si>
  <si>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</si>
  <si>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</si>
  <si>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</si>
  <si>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</si>
  <si>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</si>
  <si>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</si>
  <si>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</si>
  <si>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</si>
  <si>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</si>
  <si>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</si>
  <si>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</si>
  <si>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</si>
  <si>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</si>
  <si>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</si>
  <si>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</si>
  <si>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</si>
  <si>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</si>
  <si>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</si>
  <si>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</si>
  <si>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</si>
  <si>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</si>
  <si>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</si>
  <si>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</si>
  <si>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</si>
  <si>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</si>
  <si>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</si>
  <si>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</si>
  <si>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</si>
  <si>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</si>
  <si>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</si>
  <si>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</si>
  <si>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</si>
  <si>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</si>
  <si>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</si>
  <si>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</si>
  <si>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</si>
  <si>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</si>
  <si>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</si>
  <si>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</si>
  <si>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</si>
  <si>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</si>
  <si>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</si>
  <si>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</si>
  <si>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</si>
  <si>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</si>
  <si>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</si>
  <si>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</si>
  <si>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</si>
  <si>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</si>
  <si>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</si>
  <si>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</si>
  <si>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</si>
  <si>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</si>
  <si>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</si>
  <si>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</si>
  <si>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</si>
  <si>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</si>
  <si>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</si>
  <si>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</si>
  <si>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</si>
  <si>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</si>
  <si>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</si>
  <si>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</si>
  <si>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</si>
  <si>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</si>
  <si>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</si>
  <si>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</si>
  <si>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</si>
  <si>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</si>
  <si>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</si>
  <si>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</si>
  <si>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</si>
  <si>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</si>
  <si>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</si>
  <si>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</si>
  <si>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</si>
  <si>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</si>
  <si>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</si>
  <si>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</si>
  <si>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</si>
  <si>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</si>
  <si>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</si>
  <si>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</si>
  <si>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</si>
  <si>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</si>
  <si>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</si>
  <si>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</si>
  <si>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</si>
  <si>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</si>
  <si>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</si>
  <si>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</si>
  <si>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</si>
  <si>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</si>
  <si>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</si>
  <si>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</si>
  <si>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</si>
  <si>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</si>
  <si>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</si>
  <si>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</si>
  <si>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</si>
  <si>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</si>
  <si>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</si>
  <si>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</si>
  <si>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</si>
  <si>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</si>
  <si>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</si>
  <si>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</si>
  <si>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</si>
  <si>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</si>
  <si>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</si>
  <si>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</si>
  <si>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</si>
  <si>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</si>
  <si>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</si>
  <si>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</si>
  <si>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</si>
  <si>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</si>
  <si>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</si>
  <si>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</si>
  <si>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</si>
  <si>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</si>
  <si>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</si>
  <si>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</si>
  <si>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</si>
  <si>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</si>
  <si>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</si>
  <si>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</si>
  <si>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</si>
  <si>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</si>
  <si>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</si>
  <si>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</si>
  <si>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</si>
  <si>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</si>
  <si>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</si>
  <si>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</si>
  <si>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</si>
  <si>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</si>
  <si>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</si>
  <si>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</si>
  <si>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</si>
  <si>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</si>
  <si>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</si>
  <si>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</si>
  <si>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</si>
  <si>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</si>
  <si>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</si>
  <si>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</si>
  <si>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</si>
  <si>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</si>
  <si>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</si>
  <si>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</si>
  <si>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</si>
  <si>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</si>
  <si>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</si>
  <si>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</si>
  <si>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</si>
  <si>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</si>
  <si>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</si>
  <si>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</si>
  <si>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</si>
  <si>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</si>
  <si>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</si>
  <si>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</si>
  <si>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</si>
  <si>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</si>
  <si>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</si>
  <si>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</si>
  <si>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</si>
  <si>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</si>
  <si>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</si>
  <si>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</si>
  <si>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</si>
  <si>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</si>
  <si>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</si>
  <si>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</si>
  <si>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</si>
  <si>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</si>
  <si>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</si>
  <si>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</si>
  <si>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</si>
  <si>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</si>
  <si>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</si>
  <si>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</si>
  <si>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</si>
  <si>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</si>
  <si>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</si>
  <si>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</si>
  <si>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</si>
  <si>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</si>
  <si>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</si>
  <si>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</si>
  <si>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</si>
  <si>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</si>
  <si>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</si>
  <si>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</si>
  <si>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</si>
  <si>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</si>
  <si>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</si>
  <si>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</si>
  <si>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</si>
  <si>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</si>
  <si>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</si>
  <si>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</si>
  <si>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</si>
  <si>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</si>
  <si>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</si>
  <si>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</si>
  <si>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</si>
  <si>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</si>
  <si>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</si>
  <si>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</si>
  <si>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</si>
  <si>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</si>
  <si>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</si>
  <si>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</si>
  <si>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</si>
  <si>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</si>
  <si>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</si>
  <si>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</si>
  <si>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</si>
  <si>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</si>
  <si>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</si>
  <si>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</si>
  <si>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</si>
  <si>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</si>
  <si>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</si>
  <si>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</si>
  <si>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</si>
  <si>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</si>
  <si>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</si>
  <si>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</si>
  <si>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</si>
  <si>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</si>
  <si>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</si>
  <si>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</si>
  <si>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</si>
  <si>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</si>
  <si>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</si>
  <si>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</si>
  <si>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</si>
  <si>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</si>
  <si>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</si>
  <si>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</si>
  <si>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</si>
  <si>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</si>
  <si>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</si>
  <si>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</si>
  <si>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</si>
  <si>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</si>
  <si>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</si>
  <si>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</si>
  <si>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</si>
  <si>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</si>
  <si>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</si>
  <si>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</si>
  <si>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</si>
  <si>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</si>
  <si>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</si>
  <si>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</si>
  <si>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</si>
  <si>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</si>
  <si>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</si>
  <si>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</si>
  <si>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</si>
  <si>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</si>
  <si>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</si>
  <si>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</si>
  <si>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</si>
  <si>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</si>
  <si>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</si>
  <si>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</si>
  <si>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</si>
  <si>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</si>
  <si>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</si>
  <si>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</si>
  <si>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</si>
  <si>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</si>
  <si>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</si>
  <si>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</si>
  <si>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</si>
  <si>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</si>
  <si>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</si>
  <si>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</si>
  <si>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</si>
  <si>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</si>
  <si>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</si>
  <si>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</si>
  <si>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</si>
  <si>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</si>
  <si>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</si>
  <si>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</si>
  <si>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</si>
  <si>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</si>
  <si>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</si>
  <si>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</si>
  <si>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</si>
  <si>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</si>
  <si>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</si>
  <si>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</si>
  <si>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</si>
  <si>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</si>
  <si>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</si>
  <si>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</si>
  <si>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</si>
  <si>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</si>
  <si>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</si>
  <si>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</si>
  <si>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</si>
  <si>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</si>
  <si>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</si>
  <si>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</si>
  <si>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</si>
  <si>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</si>
  <si>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</si>
  <si>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</si>
  <si>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</si>
  <si>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</si>
  <si>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</si>
  <si>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</si>
  <si>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</si>
  <si>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</si>
  <si>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</si>
  <si>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</si>
  <si>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</si>
  <si>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</si>
  <si>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</si>
  <si>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</si>
  <si>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</si>
  <si>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</si>
  <si>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</si>
  <si>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</si>
  <si>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</si>
  <si>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</si>
  <si>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</si>
  <si>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</si>
  <si>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</si>
  <si>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</si>
  <si>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</si>
  <si>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</si>
  <si>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</si>
  <si>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</si>
  <si>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</si>
  <si>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</si>
  <si>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</si>
  <si>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</si>
  <si>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</si>
  <si>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</si>
  <si>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</si>
  <si>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</si>
  <si>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</si>
  <si>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</si>
  <si>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</si>
  <si>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</si>
  <si>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</si>
  <si>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</si>
  <si>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</si>
  <si>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</si>
  <si>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</si>
  <si>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</si>
  <si>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</si>
  <si>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</si>
  <si>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</si>
  <si>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</si>
  <si>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</si>
  <si>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</si>
  <si>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</si>
  <si>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</si>
  <si>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</si>
  <si>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</si>
  <si>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</si>
  <si>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</si>
  <si>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</si>
  <si>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</si>
  <si>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</si>
  <si>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</si>
  <si>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</si>
  <si>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</si>
  <si>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</si>
  <si>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</si>
  <si>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</si>
  <si>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</si>
  <si>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</si>
  <si>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</si>
  <si>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</si>
  <si>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</si>
  <si>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</si>
  <si>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</si>
  <si>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</si>
  <si>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</si>
  <si>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</si>
  <si>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</si>
  <si>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</si>
  <si>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</si>
  <si>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</si>
  <si>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</si>
  <si>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</si>
  <si>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</si>
  <si>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</si>
  <si>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</si>
  <si>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</si>
  <si>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</si>
  <si>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</si>
  <si>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</si>
  <si>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</si>
  <si>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</si>
  <si>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</si>
  <si>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</si>
  <si>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</si>
  <si>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</si>
  <si>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</si>
  <si>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</si>
  <si>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</si>
  <si>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</si>
  <si>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</si>
  <si>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</si>
  <si>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</si>
  <si>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</si>
  <si>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</si>
  <si>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</si>
  <si>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</si>
  <si>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</si>
  <si>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</si>
  <si>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</si>
  <si>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</si>
  <si>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</si>
  <si>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</si>
  <si>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</si>
  <si>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</si>
  <si>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</si>
  <si>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</si>
  <si>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</si>
  <si>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</si>
  <si>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</si>
  <si>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</si>
  <si>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</si>
  <si>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</si>
  <si>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</si>
  <si>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</si>
  <si>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</si>
  <si>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</si>
  <si>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</si>
  <si>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</si>
  <si>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</si>
  <si>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</si>
  <si>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</si>
  <si>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</si>
  <si>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</si>
  <si>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</si>
  <si>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</si>
  <si>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</si>
  <si>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</si>
  <si>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</si>
  <si>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</si>
  <si>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</si>
  <si>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</si>
  <si>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</si>
  <si>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</si>
  <si>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</si>
  <si>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</si>
  <si>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</si>
  <si>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</si>
  <si>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</si>
  <si>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</si>
  <si>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</si>
  <si>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</si>
  <si>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</si>
  <si>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</si>
  <si>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</si>
  <si>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</si>
  <si>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</si>
  <si>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</si>
  <si>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</si>
  <si>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</si>
  <si>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</si>
  <si>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</si>
  <si>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</si>
  <si>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</si>
  <si>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</si>
  <si>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</si>
  <si>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</si>
  <si>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</si>
  <si>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</si>
  <si>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</si>
  <si>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</si>
  <si>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</si>
  <si>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</si>
  <si>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</si>
  <si>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</si>
  <si>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</si>
  <si>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</si>
  <si>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</si>
  <si>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</si>
  <si>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</si>
  <si>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</si>
  <si>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</si>
  <si>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</si>
  <si>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</si>
  <si>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</si>
  <si>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</si>
  <si>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</si>
  <si>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</si>
  <si>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</si>
  <si>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</si>
  <si>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</si>
  <si>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</si>
  <si>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</si>
  <si>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</si>
  <si>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</si>
  <si>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</si>
  <si>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</si>
  <si>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</si>
  <si>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</si>
  <si>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</si>
  <si>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</si>
  <si>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</si>
  <si>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</si>
  <si>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</si>
  <si>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</si>
  <si>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</si>
  <si>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</si>
  <si>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</si>
  <si>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</si>
  <si>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</si>
  <si>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</si>
  <si>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</si>
  <si>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</si>
  <si>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</si>
  <si>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</si>
  <si>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</si>
  <si>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</si>
  <si>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</si>
  <si>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</si>
  <si>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</si>
  <si>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</si>
  <si>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</si>
  <si>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</si>
  <si>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</si>
  <si>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</si>
  <si>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</si>
  <si>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</si>
  <si>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</si>
  <si>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</si>
  <si>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</si>
  <si>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</si>
  <si>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</si>
  <si>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</si>
  <si>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</si>
  <si>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</si>
  <si>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</si>
  <si>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</si>
  <si>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</si>
  <si>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</si>
  <si>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</si>
  <si>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</si>
  <si>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</si>
  <si>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</si>
  <si>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</si>
  <si>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</si>
  <si>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</si>
  <si>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</si>
  <si>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</si>
  <si>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</si>
  <si>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</si>
  <si>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</si>
  <si>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</si>
  <si>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</si>
  <si>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</si>
  <si>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</si>
  <si>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</si>
  <si>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</si>
  <si>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</si>
  <si>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</si>
  <si>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</si>
  <si>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</si>
  <si>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</si>
  <si>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</si>
  <si>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</si>
  <si>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</si>
  <si>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</si>
  <si>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</si>
  <si>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</si>
  <si>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</si>
  <si>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</si>
  <si>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</si>
  <si>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</si>
  <si>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</si>
  <si>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</si>
  <si>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</si>
  <si>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</si>
  <si>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</si>
  <si>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</si>
  <si>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</si>
  <si>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</si>
  <si>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</si>
  <si>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</si>
  <si>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</si>
  <si>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</si>
  <si>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</si>
  <si>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</si>
  <si>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</si>
  <si>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</si>
  <si>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</si>
  <si>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</si>
  <si>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</si>
  <si>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</si>
  <si>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</si>
  <si>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</si>
  <si>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</si>
  <si>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</si>
  <si>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</si>
  <si>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</si>
  <si>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</si>
  <si>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</si>
  <si>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1B1a Coal mining and handling</t>
  </si>
  <si>
    <t>1B Fugitive emissions from fuels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</si>
  <si>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</si>
  <si>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</si>
  <si>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</si>
  <si>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</si>
  <si>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</si>
  <si>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</si>
  <si>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</si>
  <si>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</si>
  <si>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</si>
  <si>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</si>
  <si>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</si>
  <si>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</si>
  <si>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</si>
  <si>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</si>
  <si>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</si>
  <si>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</si>
  <si>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</si>
  <si>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</si>
  <si>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</si>
  <si>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</si>
  <si>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</si>
  <si>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</si>
  <si>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</si>
  <si>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</si>
  <si>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</si>
  <si>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</si>
  <si>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</si>
  <si>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</si>
  <si>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</si>
  <si>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</si>
  <si>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</si>
  <si>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</si>
  <si>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</si>
  <si>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</si>
  <si>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</si>
  <si>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</si>
  <si>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</si>
  <si>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</si>
  <si>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</si>
  <si>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</si>
  <si>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</si>
  <si>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</si>
  <si>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</si>
  <si>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</si>
  <si>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</si>
  <si>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</si>
  <si>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</si>
  <si>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</si>
  <si>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</si>
  <si>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</si>
  <si>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</si>
  <si>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</si>
  <si>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</si>
  <si>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</si>
  <si>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</si>
  <si>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</si>
  <si>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</si>
  <si>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</si>
  <si>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</si>
  <si>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</si>
  <si>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</si>
  <si>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</si>
  <si>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</si>
  <si>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</si>
  <si>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</si>
  <si>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</si>
  <si>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</si>
  <si>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</si>
  <si>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</si>
  <si>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</si>
  <si>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</si>
  <si>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</si>
  <si>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</si>
  <si>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</si>
  <si>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</si>
  <si>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</si>
  <si>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</si>
  <si>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</si>
  <si>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</si>
  <si>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</si>
  <si>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</si>
  <si>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</si>
  <si>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</si>
  <si>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</si>
  <si>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</si>
  <si>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</si>
  <si>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</si>
  <si>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</si>
  <si>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</si>
  <si>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</si>
  <si>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</si>
  <si>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</si>
  <si>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</si>
  <si>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</si>
  <si>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2 Energy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</si>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</sst>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21"/>
  <sheetViews>
    <sheetView workbookViewId="0">
      <selection activeCell="B22" sqref="B22"/>
    </sheetView>
  </sheetViews>
  <sheetFormatPr defaultRowHeight="15" x14ac:dyDescent="0.25"/>
  <cols>
    <col min="3" max="3" width="18.28515625" bestFit="1" customWidth="1"/>
  </cols>
  <sheetData>
    <row r="6" spans="1:7" x14ac:dyDescent="0.25">
      <c r="D6" t="s">
        <v>2468</v>
      </c>
      <c r="E6" t="s">
        <v>3083</v>
      </c>
      <c r="F6" t="s">
        <v>3084</v>
      </c>
    </row>
    <row r="7" spans="1:7" x14ac:dyDescent="0.25">
      <c r="A7" t="s">
        <v>3082</v>
      </c>
      <c r="B7" t="s">
        <v>2466</v>
      </c>
      <c r="C7" t="s">
        <v>2467</v>
      </c>
      <c r="D7">
        <v>1</v>
      </c>
    </row>
    <row r="8" spans="1:7" x14ac:dyDescent="0.25">
      <c r="A8" t="s">
        <v>3082</v>
      </c>
      <c r="B8" t="s">
        <v>2469</v>
      </c>
      <c r="C8" t="s">
        <v>2470</v>
      </c>
      <c r="D8">
        <v>1</v>
      </c>
    </row>
    <row r="9" spans="1:7" x14ac:dyDescent="0.25">
      <c r="A9" t="s">
        <v>3082</v>
      </c>
      <c r="B9" t="s">
        <v>2848</v>
      </c>
      <c r="C9" t="s">
        <v>2849</v>
      </c>
      <c r="D9">
        <v>1</v>
      </c>
    </row>
    <row r="10" spans="1:7" x14ac:dyDescent="0.25">
      <c r="A10" t="s">
        <v>2465</v>
      </c>
      <c r="B10" t="s">
        <v>2996</v>
      </c>
      <c r="C10" t="str">
        <f>"OtherSets!"&amp;ADDRESS(ROW(OtherSets!A7),COLUMN(OtherSets!A7),4)</f>
        <v>OtherSets!A7</v>
      </c>
      <c r="D10">
        <v>1</v>
      </c>
    </row>
    <row r="11" spans="1:7" x14ac:dyDescent="0.25">
      <c r="A11" t="s">
        <v>3082</v>
      </c>
      <c r="B11" t="s">
        <v>3067</v>
      </c>
      <c r="C11" t="str">
        <f>"OtherSets!"&amp;ADDRESS(ROW(OtherSets!C7),COLUMN(OtherSets!C7),4)</f>
        <v>OtherSets!C7</v>
      </c>
      <c r="D11">
        <v>1</v>
      </c>
    </row>
    <row r="12" spans="1:7" x14ac:dyDescent="0.25">
      <c r="A12" t="s">
        <v>3082</v>
      </c>
      <c r="B12" t="s">
        <v>2850</v>
      </c>
      <c r="C12" t="str">
        <f>"OtherSets!"&amp;ADDRESS(ROW(OtherSets!E7),COLUMN(OtherSets!E7),4)</f>
        <v>OtherSets!E7</v>
      </c>
      <c r="D12">
        <v>1</v>
      </c>
    </row>
    <row r="13" spans="1:7" x14ac:dyDescent="0.25">
      <c r="A13" t="s">
        <v>2465</v>
      </c>
      <c r="B13" t="s">
        <v>2852</v>
      </c>
      <c r="C13" t="str">
        <f>"OtherSets!"&amp;ADDRESS(ROW(OtherSets!G7),COLUMN(OtherSets!G7),4)</f>
        <v>OtherSets!G7</v>
      </c>
      <c r="D13">
        <v>1</v>
      </c>
    </row>
    <row r="14" spans="1:7" x14ac:dyDescent="0.25">
      <c r="A14" t="s">
        <v>2465</v>
      </c>
      <c r="B14" t="s">
        <v>2851</v>
      </c>
      <c r="C14" t="str">
        <f>"OtherSets!"&amp;ADDRESS(ROW(OtherSets!I7),COLUMN(OtherSets!I7),4)</f>
        <v>OtherSets!I7</v>
      </c>
      <c r="D14">
        <v>1</v>
      </c>
    </row>
    <row r="15" spans="1:7" x14ac:dyDescent="0.25">
      <c r="A15" t="s">
        <v>2465</v>
      </c>
      <c r="B15" t="s">
        <v>2929</v>
      </c>
      <c r="C15" t="str">
        <f>"OtherSets!"&amp;ADDRESS(ROW(OtherSets!S7),COLUMN(OtherSets!S7),4)</f>
        <v>OtherSets!S7</v>
      </c>
      <c r="D15">
        <v>2</v>
      </c>
      <c r="G15" t="s">
        <v>3085</v>
      </c>
    </row>
    <row r="16" spans="1:7" x14ac:dyDescent="0.25">
      <c r="A16" t="s">
        <v>2465</v>
      </c>
      <c r="B16" t="s">
        <v>2930</v>
      </c>
      <c r="C16" t="str">
        <f>"OtherSets!"&amp;ADDRESS(ROW(OtherSets!U7),COLUMN(OtherSets!U7),4)</f>
        <v>OtherSets!U7</v>
      </c>
      <c r="D16">
        <v>2</v>
      </c>
      <c r="G16" t="s">
        <v>3085</v>
      </c>
    </row>
    <row r="17" spans="1:7" x14ac:dyDescent="0.25">
      <c r="A17" t="s">
        <v>2465</v>
      </c>
      <c r="B17" t="s">
        <v>2999</v>
      </c>
      <c r="C17" t="str">
        <f>"OtherSets!"&amp;ADDRESS(ROW(OtherSets!K7),COLUMN(OtherSets!K7),4)</f>
        <v>OtherSets!K7</v>
      </c>
      <c r="D17">
        <v>2</v>
      </c>
      <c r="G17" t="s">
        <v>3085</v>
      </c>
    </row>
    <row r="18" spans="1:7" x14ac:dyDescent="0.25">
      <c r="A18" t="s">
        <v>2465</v>
      </c>
      <c r="B18" t="s">
        <v>2998</v>
      </c>
      <c r="C18" t="str">
        <f>"OtherSets!"&amp;ADDRESS(ROW(OtherSets!M7),COLUMN(OtherSets!M7),4)</f>
        <v>OtherSets!M7</v>
      </c>
      <c r="D18">
        <v>2</v>
      </c>
      <c r="G18" t="s">
        <v>3085</v>
      </c>
    </row>
    <row r="19" spans="1:7" x14ac:dyDescent="0.25">
      <c r="A19" t="s">
        <v>2465</v>
      </c>
      <c r="B19" t="s">
        <v>3021</v>
      </c>
      <c r="C19" t="str">
        <f>"OtherSets!"&amp;ADDRESS(ROW(OtherSets!O7),COLUMN(OtherSets!O7),4)</f>
        <v>OtherSets!O7</v>
      </c>
      <c r="D19">
        <v>2</v>
      </c>
      <c r="G19" t="s">
        <v>3085</v>
      </c>
    </row>
    <row r="20" spans="1:7" x14ac:dyDescent="0.25">
      <c r="A20" t="s">
        <v>2465</v>
      </c>
      <c r="B20" t="s">
        <v>3086</v>
      </c>
      <c r="C20" t="str">
        <f>"OtherSets!"&amp;ADDRESS(ROW(OtherSets!Q7),COLUMN(OtherSets!Q7),4)</f>
        <v>OtherSets!Q7</v>
      </c>
      <c r="D20">
        <v>2</v>
      </c>
      <c r="G20" t="s">
        <v>3085</v>
      </c>
    </row>
    <row r="21" spans="1:7" x14ac:dyDescent="0.25">
      <c r="A21" t="s">
        <v>3082</v>
      </c>
      <c r="B21" t="s">
        <v>3172</v>
      </c>
      <c r="C21" t="str">
        <f>"OtherSets!"&amp;ADDRESS(ROW(OtherSets!Y7),COLUMN(OtherSets!Y7),4)</f>
        <v>OtherSets!Y7</v>
      </c>
      <c r="D2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875"/>
  <sheetViews>
    <sheetView tabSelected="1" workbookViewId="0">
      <selection activeCell="C570" sqref="C570"/>
    </sheetView>
  </sheetViews>
  <sheetFormatPr defaultRowHeight="15" x14ac:dyDescent="0.25"/>
  <cols>
    <col min="1" max="1" width="16.85546875" customWidth="1"/>
    <col min="2" max="2" width="44.7109375" customWidth="1"/>
    <col min="3" max="3" width="11" bestFit="1" customWidth="1"/>
    <col min="4" max="4" width="28" customWidth="1"/>
    <col min="5" max="5" width="26.7109375" bestFit="1" customWidth="1"/>
    <col min="6" max="6" width="19.42578125" customWidth="1"/>
    <col min="7" max="8" width="16.85546875" bestFit="1" customWidth="1"/>
    <col min="9" max="9" width="41.85546875" bestFit="1" customWidth="1"/>
  </cols>
  <sheetData>
    <row r="1" spans="1:9" x14ac:dyDescent="0.25">
      <c r="A1" t="s">
        <v>1672</v>
      </c>
      <c r="B1" t="s">
        <v>1671</v>
      </c>
      <c r="C1" t="s">
        <v>1670</v>
      </c>
      <c r="D1" t="s">
        <v>1669</v>
      </c>
      <c r="E1" t="s">
        <v>1668</v>
      </c>
      <c r="F1" t="s">
        <v>1667</v>
      </c>
      <c r="G1" t="s">
        <v>1666</v>
      </c>
      <c r="H1" t="s">
        <v>1665</v>
      </c>
      <c r="I1" t="s">
        <v>1664</v>
      </c>
    </row>
    <row r="2" spans="1:9" hidden="1" x14ac:dyDescent="0.25">
      <c r="A2" t="s">
        <v>1663</v>
      </c>
      <c r="B2" t="s">
        <v>1662</v>
      </c>
      <c r="C2" t="s">
        <v>1637</v>
      </c>
      <c r="D2" t="s">
        <v>1637</v>
      </c>
      <c r="E2" t="s">
        <v>0</v>
      </c>
      <c r="F2" t="str">
        <f>INDEX(IPCCMaps!H:H,MATCH(mapPRC!D2,IPCCMaps!G:G,0))</f>
        <v>1 Energy</v>
      </c>
      <c r="G2" t="str">
        <f>INDEX(IPCCMaps!I:I,MATCH(mapPRC!D2,IPCCMaps!G:G,0))</f>
        <v>1A Fuel Combustion Activities</v>
      </c>
      <c r="H2" t="str">
        <f>INDEX(IPCCMaps!J:J,MATCH(mapPRC!D2,IPCCMaps!G:G,0))</f>
        <v>1A4 Other Sectors</v>
      </c>
      <c r="I2" t="str">
        <f>INDEX(IPCCMaps!K:K,MATCH(mapPRC!D2,IPCCMaps!G:G,0))</f>
        <v>1A4c Agriculture/Forestry/Fishing/Fish Farms</v>
      </c>
    </row>
    <row r="3" spans="1:9" hidden="1" x14ac:dyDescent="0.25">
      <c r="A3" t="s">
        <v>1661</v>
      </c>
      <c r="B3" t="s">
        <v>1660</v>
      </c>
      <c r="C3" t="s">
        <v>1637</v>
      </c>
      <c r="D3" t="s">
        <v>1637</v>
      </c>
      <c r="E3" t="s">
        <v>0</v>
      </c>
      <c r="F3" t="str">
        <f>INDEX(IPCCMaps!H:H,MATCH(mapPRC!D3,IPCCMaps!G:G,0))</f>
        <v>1 Energy</v>
      </c>
      <c r="G3" t="str">
        <f>INDEX(IPCCMaps!I:I,MATCH(mapPRC!D3,IPCCMaps!G:G,0))</f>
        <v>1A Fuel Combustion Activities</v>
      </c>
      <c r="H3" t="str">
        <f>INDEX(IPCCMaps!J:J,MATCH(mapPRC!D3,IPCCMaps!G:G,0))</f>
        <v>1A4 Other Sectors</v>
      </c>
      <c r="I3" t="str">
        <f>INDEX(IPCCMaps!K:K,MATCH(mapPRC!D3,IPCCMaps!G:G,0))</f>
        <v>1A4c Agriculture/Forestry/Fishing/Fish Farms</v>
      </c>
    </row>
    <row r="4" spans="1:9" hidden="1" x14ac:dyDescent="0.25">
      <c r="A4" t="s">
        <v>1659</v>
      </c>
      <c r="B4" t="s">
        <v>1658</v>
      </c>
      <c r="C4" t="s">
        <v>1637</v>
      </c>
      <c r="D4" t="s">
        <v>1637</v>
      </c>
      <c r="E4" t="s">
        <v>0</v>
      </c>
      <c r="F4" t="str">
        <f>INDEX(IPCCMaps!H:H,MATCH(mapPRC!D4,IPCCMaps!G:G,0))</f>
        <v>1 Energy</v>
      </c>
      <c r="G4" t="str">
        <f>INDEX(IPCCMaps!I:I,MATCH(mapPRC!D4,IPCCMaps!G:G,0))</f>
        <v>1A Fuel Combustion Activities</v>
      </c>
      <c r="H4" t="str">
        <f>INDEX(IPCCMaps!J:J,MATCH(mapPRC!D4,IPCCMaps!G:G,0))</f>
        <v>1A4 Other Sectors</v>
      </c>
      <c r="I4" t="str">
        <f>INDEX(IPCCMaps!K:K,MATCH(mapPRC!D4,IPCCMaps!G:G,0))</f>
        <v>1A4c Agriculture/Forestry/Fishing/Fish Farms</v>
      </c>
    </row>
    <row r="5" spans="1:9" hidden="1" x14ac:dyDescent="0.25">
      <c r="A5" t="s">
        <v>1657</v>
      </c>
      <c r="B5" t="s">
        <v>1656</v>
      </c>
      <c r="C5" t="s">
        <v>1637</v>
      </c>
      <c r="D5" t="s">
        <v>1637</v>
      </c>
      <c r="E5" t="s">
        <v>0</v>
      </c>
      <c r="F5" t="str">
        <f>INDEX(IPCCMaps!H:H,MATCH(mapPRC!D5,IPCCMaps!G:G,0))</f>
        <v>1 Energy</v>
      </c>
      <c r="G5" t="str">
        <f>INDEX(IPCCMaps!I:I,MATCH(mapPRC!D5,IPCCMaps!G:G,0))</f>
        <v>1A Fuel Combustion Activities</v>
      </c>
      <c r="H5" t="str">
        <f>INDEX(IPCCMaps!J:J,MATCH(mapPRC!D5,IPCCMaps!G:G,0))</f>
        <v>1A4 Other Sectors</v>
      </c>
      <c r="I5" t="str">
        <f>INDEX(IPCCMaps!K:K,MATCH(mapPRC!D5,IPCCMaps!G:G,0))</f>
        <v>1A4c Agriculture/Forestry/Fishing/Fish Farms</v>
      </c>
    </row>
    <row r="6" spans="1:9" hidden="1" x14ac:dyDescent="0.25">
      <c r="A6" t="s">
        <v>1655</v>
      </c>
      <c r="B6" t="s">
        <v>1654</v>
      </c>
      <c r="C6" t="s">
        <v>1637</v>
      </c>
      <c r="D6" t="s">
        <v>1637</v>
      </c>
      <c r="E6" t="s">
        <v>0</v>
      </c>
      <c r="F6" t="str">
        <f>INDEX(IPCCMaps!H:H,MATCH(mapPRC!D6,IPCCMaps!G:G,0))</f>
        <v>1 Energy</v>
      </c>
      <c r="G6" t="str">
        <f>INDEX(IPCCMaps!I:I,MATCH(mapPRC!D6,IPCCMaps!G:G,0))</f>
        <v>1A Fuel Combustion Activities</v>
      </c>
      <c r="H6" t="str">
        <f>INDEX(IPCCMaps!J:J,MATCH(mapPRC!D6,IPCCMaps!G:G,0))</f>
        <v>1A4 Other Sectors</v>
      </c>
      <c r="I6" t="str">
        <f>INDEX(IPCCMaps!K:K,MATCH(mapPRC!D6,IPCCMaps!G:G,0))</f>
        <v>1A4c Agriculture/Forestry/Fishing/Fish Farms</v>
      </c>
    </row>
    <row r="7" spans="1:9" hidden="1" x14ac:dyDescent="0.25">
      <c r="A7" t="s">
        <v>1653</v>
      </c>
      <c r="B7" t="s">
        <v>1652</v>
      </c>
      <c r="C7" t="s">
        <v>1637</v>
      </c>
      <c r="D7" t="s">
        <v>1637</v>
      </c>
      <c r="E7" t="s">
        <v>0</v>
      </c>
      <c r="F7" t="str">
        <f>INDEX(IPCCMaps!H:H,MATCH(mapPRC!D7,IPCCMaps!G:G,0))</f>
        <v>1 Energy</v>
      </c>
      <c r="G7" t="str">
        <f>INDEX(IPCCMaps!I:I,MATCH(mapPRC!D7,IPCCMaps!G:G,0))</f>
        <v>1A Fuel Combustion Activities</v>
      </c>
      <c r="H7" t="str">
        <f>INDEX(IPCCMaps!J:J,MATCH(mapPRC!D7,IPCCMaps!G:G,0))</f>
        <v>1A4 Other Sectors</v>
      </c>
      <c r="I7" t="str">
        <f>INDEX(IPCCMaps!K:K,MATCH(mapPRC!D7,IPCCMaps!G:G,0))</f>
        <v>1A4c Agriculture/Forestry/Fishing/Fish Farms</v>
      </c>
    </row>
    <row r="8" spans="1:9" hidden="1" x14ac:dyDescent="0.25">
      <c r="A8" t="s">
        <v>1651</v>
      </c>
      <c r="B8" t="s">
        <v>1650</v>
      </c>
      <c r="C8" t="s">
        <v>1637</v>
      </c>
      <c r="D8" t="s">
        <v>1637</v>
      </c>
      <c r="E8" t="s">
        <v>0</v>
      </c>
      <c r="F8" t="str">
        <f>INDEX(IPCCMaps!H:H,MATCH(mapPRC!D8,IPCCMaps!G:G,0))</f>
        <v>1 Energy</v>
      </c>
      <c r="G8" t="str">
        <f>INDEX(IPCCMaps!I:I,MATCH(mapPRC!D8,IPCCMaps!G:G,0))</f>
        <v>1A Fuel Combustion Activities</v>
      </c>
      <c r="H8" t="str">
        <f>INDEX(IPCCMaps!J:J,MATCH(mapPRC!D8,IPCCMaps!G:G,0))</f>
        <v>1A4 Other Sectors</v>
      </c>
      <c r="I8" t="str">
        <f>INDEX(IPCCMaps!K:K,MATCH(mapPRC!D8,IPCCMaps!G:G,0))</f>
        <v>1A4c Agriculture/Forestry/Fishing/Fish Farms</v>
      </c>
    </row>
    <row r="9" spans="1:9" hidden="1" x14ac:dyDescent="0.25">
      <c r="A9" t="s">
        <v>1649</v>
      </c>
      <c r="B9" t="s">
        <v>1648</v>
      </c>
      <c r="C9" t="s">
        <v>1637</v>
      </c>
      <c r="D9" t="s">
        <v>1637</v>
      </c>
      <c r="E9" t="s">
        <v>0</v>
      </c>
      <c r="F9" t="str">
        <f>INDEX(IPCCMaps!H:H,MATCH(mapPRC!D9,IPCCMaps!G:G,0))</f>
        <v>1 Energy</v>
      </c>
      <c r="G9" t="str">
        <f>INDEX(IPCCMaps!I:I,MATCH(mapPRC!D9,IPCCMaps!G:G,0))</f>
        <v>1A Fuel Combustion Activities</v>
      </c>
      <c r="H9" t="str">
        <f>INDEX(IPCCMaps!J:J,MATCH(mapPRC!D9,IPCCMaps!G:G,0))</f>
        <v>1A4 Other Sectors</v>
      </c>
      <c r="I9" t="str">
        <f>INDEX(IPCCMaps!K:K,MATCH(mapPRC!D9,IPCCMaps!G:G,0))</f>
        <v>1A4c Agriculture/Forestry/Fishing/Fish Farms</v>
      </c>
    </row>
    <row r="10" spans="1:9" hidden="1" x14ac:dyDescent="0.25">
      <c r="A10" t="s">
        <v>1647</v>
      </c>
      <c r="B10" t="s">
        <v>1646</v>
      </c>
      <c r="C10" t="s">
        <v>1637</v>
      </c>
      <c r="D10" t="s">
        <v>1637</v>
      </c>
      <c r="E10" t="s">
        <v>0</v>
      </c>
      <c r="F10" t="str">
        <f>INDEX(IPCCMaps!H:H,MATCH(mapPRC!D10,IPCCMaps!G:G,0))</f>
        <v>1 Energy</v>
      </c>
      <c r="G10" t="str">
        <f>INDEX(IPCCMaps!I:I,MATCH(mapPRC!D10,IPCCMaps!G:G,0))</f>
        <v>1A Fuel Combustion Activities</v>
      </c>
      <c r="H10" t="str">
        <f>INDEX(IPCCMaps!J:J,MATCH(mapPRC!D10,IPCCMaps!G:G,0))</f>
        <v>1A4 Other Sectors</v>
      </c>
      <c r="I10" t="str">
        <f>INDEX(IPCCMaps!K:K,MATCH(mapPRC!D10,IPCCMaps!G:G,0))</f>
        <v>1A4c Agriculture/Forestry/Fishing/Fish Farms</v>
      </c>
    </row>
    <row r="11" spans="1:9" hidden="1" x14ac:dyDescent="0.25">
      <c r="A11" t="s">
        <v>1645</v>
      </c>
      <c r="B11" t="s">
        <v>1644</v>
      </c>
      <c r="C11" t="s">
        <v>1637</v>
      </c>
      <c r="D11" t="s">
        <v>1637</v>
      </c>
      <c r="E11" t="s">
        <v>0</v>
      </c>
      <c r="F11" t="str">
        <f>INDEX(IPCCMaps!H:H,MATCH(mapPRC!D11,IPCCMaps!G:G,0))</f>
        <v>1 Energy</v>
      </c>
      <c r="G11" t="str">
        <f>INDEX(IPCCMaps!I:I,MATCH(mapPRC!D11,IPCCMaps!G:G,0))</f>
        <v>1A Fuel Combustion Activities</v>
      </c>
      <c r="H11" t="str">
        <f>INDEX(IPCCMaps!J:J,MATCH(mapPRC!D11,IPCCMaps!G:G,0))</f>
        <v>1A4 Other Sectors</v>
      </c>
      <c r="I11" t="str">
        <f>INDEX(IPCCMaps!K:K,MATCH(mapPRC!D11,IPCCMaps!G:G,0))</f>
        <v>1A4c Agriculture/Forestry/Fishing/Fish Farms</v>
      </c>
    </row>
    <row r="12" spans="1:9" hidden="1" x14ac:dyDescent="0.25">
      <c r="A12" t="s">
        <v>1643</v>
      </c>
      <c r="B12" t="s">
        <v>1642</v>
      </c>
      <c r="C12" t="s">
        <v>1637</v>
      </c>
      <c r="D12" t="s">
        <v>1637</v>
      </c>
      <c r="E12" t="s">
        <v>0</v>
      </c>
      <c r="F12" t="str">
        <f>INDEX(IPCCMaps!H:H,MATCH(mapPRC!D12,IPCCMaps!G:G,0))</f>
        <v>1 Energy</v>
      </c>
      <c r="G12" t="str">
        <f>INDEX(IPCCMaps!I:I,MATCH(mapPRC!D12,IPCCMaps!G:G,0))</f>
        <v>1A Fuel Combustion Activities</v>
      </c>
      <c r="H12" t="str">
        <f>INDEX(IPCCMaps!J:J,MATCH(mapPRC!D12,IPCCMaps!G:G,0))</f>
        <v>1A4 Other Sectors</v>
      </c>
      <c r="I12" t="str">
        <f>INDEX(IPCCMaps!K:K,MATCH(mapPRC!D12,IPCCMaps!G:G,0))</f>
        <v>1A4c Agriculture/Forestry/Fishing/Fish Farms</v>
      </c>
    </row>
    <row r="13" spans="1:9" hidden="1" x14ac:dyDescent="0.25">
      <c r="A13" t="s">
        <v>1641</v>
      </c>
      <c r="B13" t="s">
        <v>1640</v>
      </c>
      <c r="C13" t="s">
        <v>1637</v>
      </c>
      <c r="D13" t="s">
        <v>1637</v>
      </c>
      <c r="E13" t="s">
        <v>0</v>
      </c>
      <c r="F13" t="str">
        <f>INDEX(IPCCMaps!H:H,MATCH(mapPRC!D13,IPCCMaps!G:G,0))</f>
        <v>1 Energy</v>
      </c>
      <c r="G13" t="str">
        <f>INDEX(IPCCMaps!I:I,MATCH(mapPRC!D13,IPCCMaps!G:G,0))</f>
        <v>1A Fuel Combustion Activities</v>
      </c>
      <c r="H13" t="str">
        <f>INDEX(IPCCMaps!J:J,MATCH(mapPRC!D13,IPCCMaps!G:G,0))</f>
        <v>1A4 Other Sectors</v>
      </c>
      <c r="I13" t="str">
        <f>INDEX(IPCCMaps!K:K,MATCH(mapPRC!D13,IPCCMaps!G:G,0))</f>
        <v>1A4c Agriculture/Forestry/Fishing/Fish Farms</v>
      </c>
    </row>
    <row r="14" spans="1:9" hidden="1" x14ac:dyDescent="0.25">
      <c r="A14" t="s">
        <v>1639</v>
      </c>
      <c r="B14" t="s">
        <v>1638</v>
      </c>
      <c r="C14" t="s">
        <v>1637</v>
      </c>
      <c r="D14" t="s">
        <v>1637</v>
      </c>
      <c r="E14" t="s">
        <v>0</v>
      </c>
      <c r="F14" t="str">
        <f>INDEX(IPCCMaps!H:H,MATCH(mapPRC!D14,IPCCMaps!G:G,0))</f>
        <v>1 Energy</v>
      </c>
      <c r="G14" t="str">
        <f>INDEX(IPCCMaps!I:I,MATCH(mapPRC!D14,IPCCMaps!G:G,0))</f>
        <v>1A Fuel Combustion Activities</v>
      </c>
      <c r="H14" t="str">
        <f>INDEX(IPCCMaps!J:J,MATCH(mapPRC!D14,IPCCMaps!G:G,0))</f>
        <v>1A4 Other Sectors</v>
      </c>
      <c r="I14" t="str">
        <f>INDEX(IPCCMaps!K:K,MATCH(mapPRC!D14,IPCCMaps!G:G,0))</f>
        <v>1A4c Agriculture/Forestry/Fishing/Fish Farms</v>
      </c>
    </row>
    <row r="15" spans="1:9" hidden="1" x14ac:dyDescent="0.25">
      <c r="A15" t="s">
        <v>1636</v>
      </c>
      <c r="B15" t="s">
        <v>1591</v>
      </c>
      <c r="C15" t="s">
        <v>1487</v>
      </c>
      <c r="D15" t="s">
        <v>1593</v>
      </c>
      <c r="E15" t="s">
        <v>1061</v>
      </c>
      <c r="F15" t="str">
        <f>INDEX(IPCCMaps!H:H,MATCH(mapPRC!D15,IPCCMaps!G:G,0))</f>
        <v>1 Energy</v>
      </c>
      <c r="G15" t="str">
        <f>INDEX(IPCCMaps!I:I,MATCH(mapPRC!D15,IPCCMaps!G:G,0))</f>
        <v>1A Fuel Combustion Activities</v>
      </c>
      <c r="H15" t="str">
        <f>INDEX(IPCCMaps!J:J,MATCH(mapPRC!D15,IPCCMaps!G:G,0))</f>
        <v>1A4 Other Sectors</v>
      </c>
      <c r="I15" t="str">
        <f>INDEX(IPCCMaps!K:K,MATCH(mapPRC!D15,IPCCMaps!G:G,0))</f>
        <v>1A4a Commercial/Institutional</v>
      </c>
    </row>
    <row r="16" spans="1:9" hidden="1" x14ac:dyDescent="0.25">
      <c r="A16" t="s">
        <v>1635</v>
      </c>
      <c r="B16" t="s">
        <v>1589</v>
      </c>
      <c r="C16" t="s">
        <v>1487</v>
      </c>
      <c r="D16" t="s">
        <v>1593</v>
      </c>
      <c r="E16" t="s">
        <v>1061</v>
      </c>
      <c r="F16" t="str">
        <f>INDEX(IPCCMaps!H:H,MATCH(mapPRC!D16,IPCCMaps!G:G,0))</f>
        <v>1 Energy</v>
      </c>
      <c r="G16" t="str">
        <f>INDEX(IPCCMaps!I:I,MATCH(mapPRC!D16,IPCCMaps!G:G,0))</f>
        <v>1A Fuel Combustion Activities</v>
      </c>
      <c r="H16" t="str">
        <f>INDEX(IPCCMaps!J:J,MATCH(mapPRC!D16,IPCCMaps!G:G,0))</f>
        <v>1A4 Other Sectors</v>
      </c>
      <c r="I16" t="str">
        <f>INDEX(IPCCMaps!K:K,MATCH(mapPRC!D16,IPCCMaps!G:G,0))</f>
        <v>1A4a Commercial/Institutional</v>
      </c>
    </row>
    <row r="17" spans="1:9" hidden="1" x14ac:dyDescent="0.25">
      <c r="A17" t="s">
        <v>1634</v>
      </c>
      <c r="B17" t="s">
        <v>1587</v>
      </c>
      <c r="C17" t="s">
        <v>1487</v>
      </c>
      <c r="D17" t="s">
        <v>1593</v>
      </c>
      <c r="E17" t="s">
        <v>1061</v>
      </c>
      <c r="F17" t="str">
        <f>INDEX(IPCCMaps!H:H,MATCH(mapPRC!D17,IPCCMaps!G:G,0))</f>
        <v>1 Energy</v>
      </c>
      <c r="G17" t="str">
        <f>INDEX(IPCCMaps!I:I,MATCH(mapPRC!D17,IPCCMaps!G:G,0))</f>
        <v>1A Fuel Combustion Activities</v>
      </c>
      <c r="H17" t="str">
        <f>INDEX(IPCCMaps!J:J,MATCH(mapPRC!D17,IPCCMaps!G:G,0))</f>
        <v>1A4 Other Sectors</v>
      </c>
      <c r="I17" t="str">
        <f>INDEX(IPCCMaps!K:K,MATCH(mapPRC!D17,IPCCMaps!G:G,0))</f>
        <v>1A4a Commercial/Institutional</v>
      </c>
    </row>
    <row r="18" spans="1:9" hidden="1" x14ac:dyDescent="0.25">
      <c r="A18" t="s">
        <v>1633</v>
      </c>
      <c r="B18" t="s">
        <v>1585</v>
      </c>
      <c r="C18" t="s">
        <v>1487</v>
      </c>
      <c r="D18" t="s">
        <v>1593</v>
      </c>
      <c r="E18" t="s">
        <v>1061</v>
      </c>
      <c r="F18" t="str">
        <f>INDEX(IPCCMaps!H:H,MATCH(mapPRC!D18,IPCCMaps!G:G,0))</f>
        <v>1 Energy</v>
      </c>
      <c r="G18" t="str">
        <f>INDEX(IPCCMaps!I:I,MATCH(mapPRC!D18,IPCCMaps!G:G,0))</f>
        <v>1A Fuel Combustion Activities</v>
      </c>
      <c r="H18" t="str">
        <f>INDEX(IPCCMaps!J:J,MATCH(mapPRC!D18,IPCCMaps!G:G,0))</f>
        <v>1A4 Other Sectors</v>
      </c>
      <c r="I18" t="str">
        <f>INDEX(IPCCMaps!K:K,MATCH(mapPRC!D18,IPCCMaps!G:G,0))</f>
        <v>1A4a Commercial/Institutional</v>
      </c>
    </row>
    <row r="19" spans="1:9" hidden="1" x14ac:dyDescent="0.25">
      <c r="A19" t="s">
        <v>1632</v>
      </c>
      <c r="B19" t="s">
        <v>1583</v>
      </c>
      <c r="C19" t="s">
        <v>1487</v>
      </c>
      <c r="D19" t="s">
        <v>1593</v>
      </c>
      <c r="E19" t="s">
        <v>1061</v>
      </c>
      <c r="F19" t="str">
        <f>INDEX(IPCCMaps!H:H,MATCH(mapPRC!D19,IPCCMaps!G:G,0))</f>
        <v>1 Energy</v>
      </c>
      <c r="G19" t="str">
        <f>INDEX(IPCCMaps!I:I,MATCH(mapPRC!D19,IPCCMaps!G:G,0))</f>
        <v>1A Fuel Combustion Activities</v>
      </c>
      <c r="H19" t="str">
        <f>INDEX(IPCCMaps!J:J,MATCH(mapPRC!D19,IPCCMaps!G:G,0))</f>
        <v>1A4 Other Sectors</v>
      </c>
      <c r="I19" t="str">
        <f>INDEX(IPCCMaps!K:K,MATCH(mapPRC!D19,IPCCMaps!G:G,0))</f>
        <v>1A4a Commercial/Institutional</v>
      </c>
    </row>
    <row r="20" spans="1:9" hidden="1" x14ac:dyDescent="0.25">
      <c r="A20" t="s">
        <v>1631</v>
      </c>
      <c r="B20" t="s">
        <v>1581</v>
      </c>
      <c r="C20" t="s">
        <v>1487</v>
      </c>
      <c r="D20" t="s">
        <v>1593</v>
      </c>
      <c r="E20" t="s">
        <v>1061</v>
      </c>
      <c r="F20" t="str">
        <f>INDEX(IPCCMaps!H:H,MATCH(mapPRC!D20,IPCCMaps!G:G,0))</f>
        <v>1 Energy</v>
      </c>
      <c r="G20" t="str">
        <f>INDEX(IPCCMaps!I:I,MATCH(mapPRC!D20,IPCCMaps!G:G,0))</f>
        <v>1A Fuel Combustion Activities</v>
      </c>
      <c r="H20" t="str">
        <f>INDEX(IPCCMaps!J:J,MATCH(mapPRC!D20,IPCCMaps!G:G,0))</f>
        <v>1A4 Other Sectors</v>
      </c>
      <c r="I20" t="str">
        <f>INDEX(IPCCMaps!K:K,MATCH(mapPRC!D20,IPCCMaps!G:G,0))</f>
        <v>1A4a Commercial/Institutional</v>
      </c>
    </row>
    <row r="21" spans="1:9" hidden="1" x14ac:dyDescent="0.25">
      <c r="A21" t="s">
        <v>1630</v>
      </c>
      <c r="B21" t="s">
        <v>1579</v>
      </c>
      <c r="C21" t="s">
        <v>1487</v>
      </c>
      <c r="D21" t="s">
        <v>1593</v>
      </c>
      <c r="E21" t="s">
        <v>1568</v>
      </c>
      <c r="F21" t="str">
        <f>INDEX(IPCCMaps!H:H,MATCH(mapPRC!D21,IPCCMaps!G:G,0))</f>
        <v>1 Energy</v>
      </c>
      <c r="G21" t="str">
        <f>INDEX(IPCCMaps!I:I,MATCH(mapPRC!D21,IPCCMaps!G:G,0))</f>
        <v>1A Fuel Combustion Activities</v>
      </c>
      <c r="H21" t="str">
        <f>INDEX(IPCCMaps!J:J,MATCH(mapPRC!D21,IPCCMaps!G:G,0))</f>
        <v>1A4 Other Sectors</v>
      </c>
      <c r="I21" t="str">
        <f>INDEX(IPCCMaps!K:K,MATCH(mapPRC!D21,IPCCMaps!G:G,0))</f>
        <v>1A4a Commercial/Institutional</v>
      </c>
    </row>
    <row r="22" spans="1:9" hidden="1" x14ac:dyDescent="0.25">
      <c r="A22" t="s">
        <v>1629</v>
      </c>
      <c r="B22" t="s">
        <v>1577</v>
      </c>
      <c r="C22" t="s">
        <v>1487</v>
      </c>
      <c r="D22" t="s">
        <v>1593</v>
      </c>
      <c r="E22" t="s">
        <v>1568</v>
      </c>
      <c r="F22" t="str">
        <f>INDEX(IPCCMaps!H:H,MATCH(mapPRC!D22,IPCCMaps!G:G,0))</f>
        <v>1 Energy</v>
      </c>
      <c r="G22" t="str">
        <f>INDEX(IPCCMaps!I:I,MATCH(mapPRC!D22,IPCCMaps!G:G,0))</f>
        <v>1A Fuel Combustion Activities</v>
      </c>
      <c r="H22" t="str">
        <f>INDEX(IPCCMaps!J:J,MATCH(mapPRC!D22,IPCCMaps!G:G,0))</f>
        <v>1A4 Other Sectors</v>
      </c>
      <c r="I22" t="str">
        <f>INDEX(IPCCMaps!K:K,MATCH(mapPRC!D22,IPCCMaps!G:G,0))</f>
        <v>1A4a Commercial/Institutional</v>
      </c>
    </row>
    <row r="23" spans="1:9" hidden="1" x14ac:dyDescent="0.25">
      <c r="A23" t="s">
        <v>1628</v>
      </c>
      <c r="B23" t="s">
        <v>1575</v>
      </c>
      <c r="C23" t="s">
        <v>1487</v>
      </c>
      <c r="D23" t="s">
        <v>1593</v>
      </c>
      <c r="E23" t="s">
        <v>1568</v>
      </c>
      <c r="F23" t="str">
        <f>INDEX(IPCCMaps!H:H,MATCH(mapPRC!D23,IPCCMaps!G:G,0))</f>
        <v>1 Energy</v>
      </c>
      <c r="G23" t="str">
        <f>INDEX(IPCCMaps!I:I,MATCH(mapPRC!D23,IPCCMaps!G:G,0))</f>
        <v>1A Fuel Combustion Activities</v>
      </c>
      <c r="H23" t="str">
        <f>INDEX(IPCCMaps!J:J,MATCH(mapPRC!D23,IPCCMaps!G:G,0))</f>
        <v>1A4 Other Sectors</v>
      </c>
      <c r="I23" t="str">
        <f>INDEX(IPCCMaps!K:K,MATCH(mapPRC!D23,IPCCMaps!G:G,0))</f>
        <v>1A4a Commercial/Institutional</v>
      </c>
    </row>
    <row r="24" spans="1:9" hidden="1" x14ac:dyDescent="0.25">
      <c r="A24" t="s">
        <v>1627</v>
      </c>
      <c r="B24" t="s">
        <v>1573</v>
      </c>
      <c r="C24" t="s">
        <v>1487</v>
      </c>
      <c r="D24" t="s">
        <v>1593</v>
      </c>
      <c r="E24" t="s">
        <v>1568</v>
      </c>
      <c r="F24" t="str">
        <f>INDEX(IPCCMaps!H:H,MATCH(mapPRC!D24,IPCCMaps!G:G,0))</f>
        <v>1 Energy</v>
      </c>
      <c r="G24" t="str">
        <f>INDEX(IPCCMaps!I:I,MATCH(mapPRC!D24,IPCCMaps!G:G,0))</f>
        <v>1A Fuel Combustion Activities</v>
      </c>
      <c r="H24" t="str">
        <f>INDEX(IPCCMaps!J:J,MATCH(mapPRC!D24,IPCCMaps!G:G,0))</f>
        <v>1A4 Other Sectors</v>
      </c>
      <c r="I24" t="str">
        <f>INDEX(IPCCMaps!K:K,MATCH(mapPRC!D24,IPCCMaps!G:G,0))</f>
        <v>1A4a Commercial/Institutional</v>
      </c>
    </row>
    <row r="25" spans="1:9" hidden="1" x14ac:dyDescent="0.25">
      <c r="A25" t="s">
        <v>1626</v>
      </c>
      <c r="B25" t="s">
        <v>1571</v>
      </c>
      <c r="C25" t="s">
        <v>1487</v>
      </c>
      <c r="D25" t="s">
        <v>1593</v>
      </c>
      <c r="E25" t="s">
        <v>1568</v>
      </c>
      <c r="F25" t="str">
        <f>INDEX(IPCCMaps!H:H,MATCH(mapPRC!D25,IPCCMaps!G:G,0))</f>
        <v>1 Energy</v>
      </c>
      <c r="G25" t="str">
        <f>INDEX(IPCCMaps!I:I,MATCH(mapPRC!D25,IPCCMaps!G:G,0))</f>
        <v>1A Fuel Combustion Activities</v>
      </c>
      <c r="H25" t="str">
        <f>INDEX(IPCCMaps!J:J,MATCH(mapPRC!D25,IPCCMaps!G:G,0))</f>
        <v>1A4 Other Sectors</v>
      </c>
      <c r="I25" t="str">
        <f>INDEX(IPCCMaps!K:K,MATCH(mapPRC!D25,IPCCMaps!G:G,0))</f>
        <v>1A4a Commercial/Institutional</v>
      </c>
    </row>
    <row r="26" spans="1:9" hidden="1" x14ac:dyDescent="0.25">
      <c r="A26" t="s">
        <v>1625</v>
      </c>
      <c r="B26" t="s">
        <v>1569</v>
      </c>
      <c r="C26" t="s">
        <v>1487</v>
      </c>
      <c r="D26" t="s">
        <v>1593</v>
      </c>
      <c r="E26" t="s">
        <v>1568</v>
      </c>
      <c r="F26" t="str">
        <f>INDEX(IPCCMaps!H:H,MATCH(mapPRC!D26,IPCCMaps!G:G,0))</f>
        <v>1 Energy</v>
      </c>
      <c r="G26" t="str">
        <f>INDEX(IPCCMaps!I:I,MATCH(mapPRC!D26,IPCCMaps!G:G,0))</f>
        <v>1A Fuel Combustion Activities</v>
      </c>
      <c r="H26" t="str">
        <f>INDEX(IPCCMaps!J:J,MATCH(mapPRC!D26,IPCCMaps!G:G,0))</f>
        <v>1A4 Other Sectors</v>
      </c>
      <c r="I26" t="str">
        <f>INDEX(IPCCMaps!K:K,MATCH(mapPRC!D26,IPCCMaps!G:G,0))</f>
        <v>1A4a Commercial/Institutional</v>
      </c>
    </row>
    <row r="27" spans="1:9" hidden="1" x14ac:dyDescent="0.25">
      <c r="A27" t="s">
        <v>1624</v>
      </c>
      <c r="B27" t="s">
        <v>1566</v>
      </c>
      <c r="C27" t="s">
        <v>1487</v>
      </c>
      <c r="D27" t="s">
        <v>1593</v>
      </c>
      <c r="E27" t="s">
        <v>743</v>
      </c>
      <c r="F27" t="str">
        <f>INDEX(IPCCMaps!H:H,MATCH(mapPRC!D27,IPCCMaps!G:G,0))</f>
        <v>1 Energy</v>
      </c>
      <c r="G27" t="str">
        <f>INDEX(IPCCMaps!I:I,MATCH(mapPRC!D27,IPCCMaps!G:G,0))</f>
        <v>1A Fuel Combustion Activities</v>
      </c>
      <c r="H27" t="str">
        <f>INDEX(IPCCMaps!J:J,MATCH(mapPRC!D27,IPCCMaps!G:G,0))</f>
        <v>1A4 Other Sectors</v>
      </c>
      <c r="I27" t="str">
        <f>INDEX(IPCCMaps!K:K,MATCH(mapPRC!D27,IPCCMaps!G:G,0))</f>
        <v>1A4a Commercial/Institutional</v>
      </c>
    </row>
    <row r="28" spans="1:9" hidden="1" x14ac:dyDescent="0.25">
      <c r="A28" t="s">
        <v>1623</v>
      </c>
      <c r="B28" t="s">
        <v>1564</v>
      </c>
      <c r="C28" t="s">
        <v>1487</v>
      </c>
      <c r="D28" t="s">
        <v>1593</v>
      </c>
      <c r="E28" t="s">
        <v>743</v>
      </c>
      <c r="F28" t="str">
        <f>INDEX(IPCCMaps!H:H,MATCH(mapPRC!D28,IPCCMaps!G:G,0))</f>
        <v>1 Energy</v>
      </c>
      <c r="G28" t="str">
        <f>INDEX(IPCCMaps!I:I,MATCH(mapPRC!D28,IPCCMaps!G:G,0))</f>
        <v>1A Fuel Combustion Activities</v>
      </c>
      <c r="H28" t="str">
        <f>INDEX(IPCCMaps!J:J,MATCH(mapPRC!D28,IPCCMaps!G:G,0))</f>
        <v>1A4 Other Sectors</v>
      </c>
      <c r="I28" t="str">
        <f>INDEX(IPCCMaps!K:K,MATCH(mapPRC!D28,IPCCMaps!G:G,0))</f>
        <v>1A4a Commercial/Institutional</v>
      </c>
    </row>
    <row r="29" spans="1:9" hidden="1" x14ac:dyDescent="0.25">
      <c r="A29" t="s">
        <v>1622</v>
      </c>
      <c r="B29" t="s">
        <v>1562</v>
      </c>
      <c r="C29" t="s">
        <v>1487</v>
      </c>
      <c r="D29" t="s">
        <v>1593</v>
      </c>
      <c r="E29" t="s">
        <v>743</v>
      </c>
      <c r="F29" t="str">
        <f>INDEX(IPCCMaps!H:H,MATCH(mapPRC!D29,IPCCMaps!G:G,0))</f>
        <v>1 Energy</v>
      </c>
      <c r="G29" t="str">
        <f>INDEX(IPCCMaps!I:I,MATCH(mapPRC!D29,IPCCMaps!G:G,0))</f>
        <v>1A Fuel Combustion Activities</v>
      </c>
      <c r="H29" t="str">
        <f>INDEX(IPCCMaps!J:J,MATCH(mapPRC!D29,IPCCMaps!G:G,0))</f>
        <v>1A4 Other Sectors</v>
      </c>
      <c r="I29" t="str">
        <f>INDEX(IPCCMaps!K:K,MATCH(mapPRC!D29,IPCCMaps!G:G,0))</f>
        <v>1A4a Commercial/Institutional</v>
      </c>
    </row>
    <row r="30" spans="1:9" hidden="1" x14ac:dyDescent="0.25">
      <c r="A30" t="s">
        <v>1621</v>
      </c>
      <c r="B30" t="s">
        <v>1560</v>
      </c>
      <c r="C30" t="s">
        <v>1487</v>
      </c>
      <c r="D30" t="s">
        <v>1593</v>
      </c>
      <c r="E30" t="s">
        <v>743</v>
      </c>
      <c r="F30" t="str">
        <f>INDEX(IPCCMaps!H:H,MATCH(mapPRC!D30,IPCCMaps!G:G,0))</f>
        <v>1 Energy</v>
      </c>
      <c r="G30" t="str">
        <f>INDEX(IPCCMaps!I:I,MATCH(mapPRC!D30,IPCCMaps!G:G,0))</f>
        <v>1A Fuel Combustion Activities</v>
      </c>
      <c r="H30" t="str">
        <f>INDEX(IPCCMaps!J:J,MATCH(mapPRC!D30,IPCCMaps!G:G,0))</f>
        <v>1A4 Other Sectors</v>
      </c>
      <c r="I30" t="str">
        <f>INDEX(IPCCMaps!K:K,MATCH(mapPRC!D30,IPCCMaps!G:G,0))</f>
        <v>1A4a Commercial/Institutional</v>
      </c>
    </row>
    <row r="31" spans="1:9" hidden="1" x14ac:dyDescent="0.25">
      <c r="A31" t="s">
        <v>1620</v>
      </c>
      <c r="B31" t="s">
        <v>1558</v>
      </c>
      <c r="C31" t="s">
        <v>1487</v>
      </c>
      <c r="D31" t="s">
        <v>1593</v>
      </c>
      <c r="E31" t="s">
        <v>743</v>
      </c>
      <c r="F31" t="str">
        <f>INDEX(IPCCMaps!H:H,MATCH(mapPRC!D31,IPCCMaps!G:G,0))</f>
        <v>1 Energy</v>
      </c>
      <c r="G31" t="str">
        <f>INDEX(IPCCMaps!I:I,MATCH(mapPRC!D31,IPCCMaps!G:G,0))</f>
        <v>1A Fuel Combustion Activities</v>
      </c>
      <c r="H31" t="str">
        <f>INDEX(IPCCMaps!J:J,MATCH(mapPRC!D31,IPCCMaps!G:G,0))</f>
        <v>1A4 Other Sectors</v>
      </c>
      <c r="I31" t="str">
        <f>INDEX(IPCCMaps!K:K,MATCH(mapPRC!D31,IPCCMaps!G:G,0))</f>
        <v>1A4a Commercial/Institutional</v>
      </c>
    </row>
    <row r="32" spans="1:9" hidden="1" x14ac:dyDescent="0.25">
      <c r="A32" t="s">
        <v>1619</v>
      </c>
      <c r="B32" t="s">
        <v>1556</v>
      </c>
      <c r="C32" t="s">
        <v>1487</v>
      </c>
      <c r="D32" t="s">
        <v>1593</v>
      </c>
      <c r="E32" t="s">
        <v>736</v>
      </c>
      <c r="F32" t="str">
        <f>INDEX(IPCCMaps!H:H,MATCH(mapPRC!D32,IPCCMaps!G:G,0))</f>
        <v>1 Energy</v>
      </c>
      <c r="G32" t="str">
        <f>INDEX(IPCCMaps!I:I,MATCH(mapPRC!D32,IPCCMaps!G:G,0))</f>
        <v>1A Fuel Combustion Activities</v>
      </c>
      <c r="H32" t="str">
        <f>INDEX(IPCCMaps!J:J,MATCH(mapPRC!D32,IPCCMaps!G:G,0))</f>
        <v>1A4 Other Sectors</v>
      </c>
      <c r="I32" t="str">
        <f>INDEX(IPCCMaps!K:K,MATCH(mapPRC!D32,IPCCMaps!G:G,0))</f>
        <v>1A4a Commercial/Institutional</v>
      </c>
    </row>
    <row r="33" spans="1:9" hidden="1" x14ac:dyDescent="0.25">
      <c r="A33" t="s">
        <v>1618</v>
      </c>
      <c r="B33" t="s">
        <v>1554</v>
      </c>
      <c r="C33" t="s">
        <v>1487</v>
      </c>
      <c r="D33" t="s">
        <v>1593</v>
      </c>
      <c r="E33" t="s">
        <v>736</v>
      </c>
      <c r="F33" t="str">
        <f>INDEX(IPCCMaps!H:H,MATCH(mapPRC!D33,IPCCMaps!G:G,0))</f>
        <v>1 Energy</v>
      </c>
      <c r="G33" t="str">
        <f>INDEX(IPCCMaps!I:I,MATCH(mapPRC!D33,IPCCMaps!G:G,0))</f>
        <v>1A Fuel Combustion Activities</v>
      </c>
      <c r="H33" t="str">
        <f>INDEX(IPCCMaps!J:J,MATCH(mapPRC!D33,IPCCMaps!G:G,0))</f>
        <v>1A4 Other Sectors</v>
      </c>
      <c r="I33" t="str">
        <f>INDEX(IPCCMaps!K:K,MATCH(mapPRC!D33,IPCCMaps!G:G,0))</f>
        <v>1A4a Commercial/Institutional</v>
      </c>
    </row>
    <row r="34" spans="1:9" hidden="1" x14ac:dyDescent="0.25">
      <c r="A34" t="s">
        <v>1617</v>
      </c>
      <c r="B34" t="s">
        <v>1552</v>
      </c>
      <c r="C34" t="s">
        <v>1487</v>
      </c>
      <c r="D34" t="s">
        <v>1593</v>
      </c>
      <c r="E34" t="s">
        <v>736</v>
      </c>
      <c r="F34" t="str">
        <f>INDEX(IPCCMaps!H:H,MATCH(mapPRC!D34,IPCCMaps!G:G,0))</f>
        <v>1 Energy</v>
      </c>
      <c r="G34" t="str">
        <f>INDEX(IPCCMaps!I:I,MATCH(mapPRC!D34,IPCCMaps!G:G,0))</f>
        <v>1A Fuel Combustion Activities</v>
      </c>
      <c r="H34" t="str">
        <f>INDEX(IPCCMaps!J:J,MATCH(mapPRC!D34,IPCCMaps!G:G,0))</f>
        <v>1A4 Other Sectors</v>
      </c>
      <c r="I34" t="str">
        <f>INDEX(IPCCMaps!K:K,MATCH(mapPRC!D34,IPCCMaps!G:G,0))</f>
        <v>1A4a Commercial/Institutional</v>
      </c>
    </row>
    <row r="35" spans="1:9" hidden="1" x14ac:dyDescent="0.25">
      <c r="A35" t="s">
        <v>1616</v>
      </c>
      <c r="B35" t="s">
        <v>1550</v>
      </c>
      <c r="C35" t="s">
        <v>1487</v>
      </c>
      <c r="D35" t="s">
        <v>1593</v>
      </c>
      <c r="E35" t="s">
        <v>733</v>
      </c>
      <c r="F35" t="str">
        <f>INDEX(IPCCMaps!H:H,MATCH(mapPRC!D35,IPCCMaps!G:G,0))</f>
        <v>1 Energy</v>
      </c>
      <c r="G35" t="str">
        <f>INDEX(IPCCMaps!I:I,MATCH(mapPRC!D35,IPCCMaps!G:G,0))</f>
        <v>1A Fuel Combustion Activities</v>
      </c>
      <c r="H35" t="str">
        <f>INDEX(IPCCMaps!J:J,MATCH(mapPRC!D35,IPCCMaps!G:G,0))</f>
        <v>1A4 Other Sectors</v>
      </c>
      <c r="I35" t="str">
        <f>INDEX(IPCCMaps!K:K,MATCH(mapPRC!D35,IPCCMaps!G:G,0))</f>
        <v>1A4a Commercial/Institutional</v>
      </c>
    </row>
    <row r="36" spans="1:9" hidden="1" x14ac:dyDescent="0.25">
      <c r="A36" t="s">
        <v>1615</v>
      </c>
      <c r="B36" t="s">
        <v>1548</v>
      </c>
      <c r="C36" t="s">
        <v>1487</v>
      </c>
      <c r="D36" t="s">
        <v>1593</v>
      </c>
      <c r="E36" t="s">
        <v>733</v>
      </c>
      <c r="F36" t="str">
        <f>INDEX(IPCCMaps!H:H,MATCH(mapPRC!D36,IPCCMaps!G:G,0))</f>
        <v>1 Energy</v>
      </c>
      <c r="G36" t="str">
        <f>INDEX(IPCCMaps!I:I,MATCH(mapPRC!D36,IPCCMaps!G:G,0))</f>
        <v>1A Fuel Combustion Activities</v>
      </c>
      <c r="H36" t="str">
        <f>INDEX(IPCCMaps!J:J,MATCH(mapPRC!D36,IPCCMaps!G:G,0))</f>
        <v>1A4 Other Sectors</v>
      </c>
      <c r="I36" t="str">
        <f>INDEX(IPCCMaps!K:K,MATCH(mapPRC!D36,IPCCMaps!G:G,0))</f>
        <v>1A4a Commercial/Institutional</v>
      </c>
    </row>
    <row r="37" spans="1:9" hidden="1" x14ac:dyDescent="0.25">
      <c r="A37" t="s">
        <v>1614</v>
      </c>
      <c r="B37" t="s">
        <v>1546</v>
      </c>
      <c r="C37" t="s">
        <v>1487</v>
      </c>
      <c r="D37" t="s">
        <v>1593</v>
      </c>
      <c r="E37" t="s">
        <v>733</v>
      </c>
      <c r="F37" t="str">
        <f>INDEX(IPCCMaps!H:H,MATCH(mapPRC!D37,IPCCMaps!G:G,0))</f>
        <v>1 Energy</v>
      </c>
      <c r="G37" t="str">
        <f>INDEX(IPCCMaps!I:I,MATCH(mapPRC!D37,IPCCMaps!G:G,0))</f>
        <v>1A Fuel Combustion Activities</v>
      </c>
      <c r="H37" t="str">
        <f>INDEX(IPCCMaps!J:J,MATCH(mapPRC!D37,IPCCMaps!G:G,0))</f>
        <v>1A4 Other Sectors</v>
      </c>
      <c r="I37" t="str">
        <f>INDEX(IPCCMaps!K:K,MATCH(mapPRC!D37,IPCCMaps!G:G,0))</f>
        <v>1A4a Commercial/Institutional</v>
      </c>
    </row>
    <row r="38" spans="1:9" hidden="1" x14ac:dyDescent="0.25">
      <c r="A38" t="s">
        <v>1613</v>
      </c>
      <c r="B38" t="s">
        <v>1544</v>
      </c>
      <c r="C38" t="s">
        <v>1487</v>
      </c>
      <c r="D38" t="s">
        <v>1593</v>
      </c>
      <c r="E38" t="s">
        <v>733</v>
      </c>
      <c r="F38" t="str">
        <f>INDEX(IPCCMaps!H:H,MATCH(mapPRC!D38,IPCCMaps!G:G,0))</f>
        <v>1 Energy</v>
      </c>
      <c r="G38" t="str">
        <f>INDEX(IPCCMaps!I:I,MATCH(mapPRC!D38,IPCCMaps!G:G,0))</f>
        <v>1A Fuel Combustion Activities</v>
      </c>
      <c r="H38" t="str">
        <f>INDEX(IPCCMaps!J:J,MATCH(mapPRC!D38,IPCCMaps!G:G,0))</f>
        <v>1A4 Other Sectors</v>
      </c>
      <c r="I38" t="str">
        <f>INDEX(IPCCMaps!K:K,MATCH(mapPRC!D38,IPCCMaps!G:G,0))</f>
        <v>1A4a Commercial/Institutional</v>
      </c>
    </row>
    <row r="39" spans="1:9" hidden="1" x14ac:dyDescent="0.25">
      <c r="A39" t="s">
        <v>1612</v>
      </c>
      <c r="B39" t="s">
        <v>1542</v>
      </c>
      <c r="C39" t="s">
        <v>1487</v>
      </c>
      <c r="D39" t="s">
        <v>1593</v>
      </c>
      <c r="E39" t="s">
        <v>733</v>
      </c>
      <c r="F39" t="str">
        <f>INDEX(IPCCMaps!H:H,MATCH(mapPRC!D39,IPCCMaps!G:G,0))</f>
        <v>1 Energy</v>
      </c>
      <c r="G39" t="str">
        <f>INDEX(IPCCMaps!I:I,MATCH(mapPRC!D39,IPCCMaps!G:G,0))</f>
        <v>1A Fuel Combustion Activities</v>
      </c>
      <c r="H39" t="str">
        <f>INDEX(IPCCMaps!J:J,MATCH(mapPRC!D39,IPCCMaps!G:G,0))</f>
        <v>1A4 Other Sectors</v>
      </c>
      <c r="I39" t="str">
        <f>INDEX(IPCCMaps!K:K,MATCH(mapPRC!D39,IPCCMaps!G:G,0))</f>
        <v>1A4a Commercial/Institutional</v>
      </c>
    </row>
    <row r="40" spans="1:9" hidden="1" x14ac:dyDescent="0.25">
      <c r="A40" t="s">
        <v>1611</v>
      </c>
      <c r="B40" t="s">
        <v>1540</v>
      </c>
      <c r="C40" t="s">
        <v>1487</v>
      </c>
      <c r="D40" t="s">
        <v>1593</v>
      </c>
      <c r="E40" t="s">
        <v>733</v>
      </c>
      <c r="F40" t="str">
        <f>INDEX(IPCCMaps!H:H,MATCH(mapPRC!D40,IPCCMaps!G:G,0))</f>
        <v>1 Energy</v>
      </c>
      <c r="G40" t="str">
        <f>INDEX(IPCCMaps!I:I,MATCH(mapPRC!D40,IPCCMaps!G:G,0))</f>
        <v>1A Fuel Combustion Activities</v>
      </c>
      <c r="H40" t="str">
        <f>INDEX(IPCCMaps!J:J,MATCH(mapPRC!D40,IPCCMaps!G:G,0))</f>
        <v>1A4 Other Sectors</v>
      </c>
      <c r="I40" t="str">
        <f>INDEX(IPCCMaps!K:K,MATCH(mapPRC!D40,IPCCMaps!G:G,0))</f>
        <v>1A4a Commercial/Institutional</v>
      </c>
    </row>
    <row r="41" spans="1:9" hidden="1" x14ac:dyDescent="0.25">
      <c r="A41" t="s">
        <v>1610</v>
      </c>
      <c r="B41" t="s">
        <v>1538</v>
      </c>
      <c r="C41" t="s">
        <v>1487</v>
      </c>
      <c r="D41" t="s">
        <v>1593</v>
      </c>
      <c r="E41" t="s">
        <v>0</v>
      </c>
      <c r="F41" t="str">
        <f>INDEX(IPCCMaps!H:H,MATCH(mapPRC!D41,IPCCMaps!G:G,0))</f>
        <v>1 Energy</v>
      </c>
      <c r="G41" t="str">
        <f>INDEX(IPCCMaps!I:I,MATCH(mapPRC!D41,IPCCMaps!G:G,0))</f>
        <v>1A Fuel Combustion Activities</v>
      </c>
      <c r="H41" t="str">
        <f>INDEX(IPCCMaps!J:J,MATCH(mapPRC!D41,IPCCMaps!G:G,0))</f>
        <v>1A4 Other Sectors</v>
      </c>
      <c r="I41" t="str">
        <f>INDEX(IPCCMaps!K:K,MATCH(mapPRC!D41,IPCCMaps!G:G,0))</f>
        <v>1A4a Commercial/Institutional</v>
      </c>
    </row>
    <row r="42" spans="1:9" hidden="1" x14ac:dyDescent="0.25">
      <c r="A42" t="s">
        <v>1609</v>
      </c>
      <c r="B42" t="s">
        <v>1536</v>
      </c>
      <c r="C42" t="s">
        <v>1487</v>
      </c>
      <c r="D42" t="s">
        <v>1593</v>
      </c>
      <c r="E42" t="s">
        <v>0</v>
      </c>
      <c r="F42" t="str">
        <f>INDEX(IPCCMaps!H:H,MATCH(mapPRC!D42,IPCCMaps!G:G,0))</f>
        <v>1 Energy</v>
      </c>
      <c r="G42" t="str">
        <f>INDEX(IPCCMaps!I:I,MATCH(mapPRC!D42,IPCCMaps!G:G,0))</f>
        <v>1A Fuel Combustion Activities</v>
      </c>
      <c r="H42" t="str">
        <f>INDEX(IPCCMaps!J:J,MATCH(mapPRC!D42,IPCCMaps!G:G,0))</f>
        <v>1A4 Other Sectors</v>
      </c>
      <c r="I42" t="str">
        <f>INDEX(IPCCMaps!K:K,MATCH(mapPRC!D42,IPCCMaps!G:G,0))</f>
        <v>1A4a Commercial/Institutional</v>
      </c>
    </row>
    <row r="43" spans="1:9" hidden="1" x14ac:dyDescent="0.25">
      <c r="A43" t="s">
        <v>1608</v>
      </c>
      <c r="B43" t="s">
        <v>1534</v>
      </c>
      <c r="C43" t="s">
        <v>1487</v>
      </c>
      <c r="D43" t="s">
        <v>1593</v>
      </c>
      <c r="E43" t="s">
        <v>0</v>
      </c>
      <c r="F43" t="str">
        <f>INDEX(IPCCMaps!H:H,MATCH(mapPRC!D43,IPCCMaps!G:G,0))</f>
        <v>1 Energy</v>
      </c>
      <c r="G43" t="str">
        <f>INDEX(IPCCMaps!I:I,MATCH(mapPRC!D43,IPCCMaps!G:G,0))</f>
        <v>1A Fuel Combustion Activities</v>
      </c>
      <c r="H43" t="str">
        <f>INDEX(IPCCMaps!J:J,MATCH(mapPRC!D43,IPCCMaps!G:G,0))</f>
        <v>1A4 Other Sectors</v>
      </c>
      <c r="I43" t="str">
        <f>INDEX(IPCCMaps!K:K,MATCH(mapPRC!D43,IPCCMaps!G:G,0))</f>
        <v>1A4a Commercial/Institutional</v>
      </c>
    </row>
    <row r="44" spans="1:9" hidden="1" x14ac:dyDescent="0.25">
      <c r="A44" t="s">
        <v>1607</v>
      </c>
      <c r="B44" t="s">
        <v>1532</v>
      </c>
      <c r="C44" t="s">
        <v>1487</v>
      </c>
      <c r="D44" t="s">
        <v>1593</v>
      </c>
      <c r="E44" t="s">
        <v>0</v>
      </c>
      <c r="F44" t="str">
        <f>INDEX(IPCCMaps!H:H,MATCH(mapPRC!D44,IPCCMaps!G:G,0))</f>
        <v>1 Energy</v>
      </c>
      <c r="G44" t="str">
        <f>INDEX(IPCCMaps!I:I,MATCH(mapPRC!D44,IPCCMaps!G:G,0))</f>
        <v>1A Fuel Combustion Activities</v>
      </c>
      <c r="H44" t="str">
        <f>INDEX(IPCCMaps!J:J,MATCH(mapPRC!D44,IPCCMaps!G:G,0))</f>
        <v>1A4 Other Sectors</v>
      </c>
      <c r="I44" t="str">
        <f>INDEX(IPCCMaps!K:K,MATCH(mapPRC!D44,IPCCMaps!G:G,0))</f>
        <v>1A4a Commercial/Institutional</v>
      </c>
    </row>
    <row r="45" spans="1:9" hidden="1" x14ac:dyDescent="0.25">
      <c r="A45" t="s">
        <v>1606</v>
      </c>
      <c r="B45" t="s">
        <v>1530</v>
      </c>
      <c r="C45" t="s">
        <v>1487</v>
      </c>
      <c r="D45" t="s">
        <v>1593</v>
      </c>
      <c r="E45" t="s">
        <v>0</v>
      </c>
      <c r="F45" t="str">
        <f>INDEX(IPCCMaps!H:H,MATCH(mapPRC!D45,IPCCMaps!G:G,0))</f>
        <v>1 Energy</v>
      </c>
      <c r="G45" t="str">
        <f>INDEX(IPCCMaps!I:I,MATCH(mapPRC!D45,IPCCMaps!G:G,0))</f>
        <v>1A Fuel Combustion Activities</v>
      </c>
      <c r="H45" t="str">
        <f>INDEX(IPCCMaps!J:J,MATCH(mapPRC!D45,IPCCMaps!G:G,0))</f>
        <v>1A4 Other Sectors</v>
      </c>
      <c r="I45" t="str">
        <f>INDEX(IPCCMaps!K:K,MATCH(mapPRC!D45,IPCCMaps!G:G,0))</f>
        <v>1A4a Commercial/Institutional</v>
      </c>
    </row>
    <row r="46" spans="1:9" hidden="1" x14ac:dyDescent="0.25">
      <c r="A46" t="s">
        <v>1605</v>
      </c>
      <c r="B46" t="s">
        <v>1528</v>
      </c>
      <c r="C46" t="s">
        <v>1487</v>
      </c>
      <c r="D46" t="s">
        <v>1593</v>
      </c>
      <c r="E46" t="s">
        <v>0</v>
      </c>
      <c r="F46" t="str">
        <f>INDEX(IPCCMaps!H:H,MATCH(mapPRC!D46,IPCCMaps!G:G,0))</f>
        <v>1 Energy</v>
      </c>
      <c r="G46" t="str">
        <f>INDEX(IPCCMaps!I:I,MATCH(mapPRC!D46,IPCCMaps!G:G,0))</f>
        <v>1A Fuel Combustion Activities</v>
      </c>
      <c r="H46" t="str">
        <f>INDEX(IPCCMaps!J:J,MATCH(mapPRC!D46,IPCCMaps!G:G,0))</f>
        <v>1A4 Other Sectors</v>
      </c>
      <c r="I46" t="str">
        <f>INDEX(IPCCMaps!K:K,MATCH(mapPRC!D46,IPCCMaps!G:G,0))</f>
        <v>1A4a Commercial/Institutional</v>
      </c>
    </row>
    <row r="47" spans="1:9" hidden="1" x14ac:dyDescent="0.25">
      <c r="A47" t="s">
        <v>1604</v>
      </c>
      <c r="B47" t="s">
        <v>1526</v>
      </c>
      <c r="C47" t="s">
        <v>1487</v>
      </c>
      <c r="D47" t="s">
        <v>1593</v>
      </c>
      <c r="E47" t="s">
        <v>0</v>
      </c>
      <c r="F47" t="str">
        <f>INDEX(IPCCMaps!H:H,MATCH(mapPRC!D47,IPCCMaps!G:G,0))</f>
        <v>1 Energy</v>
      </c>
      <c r="G47" t="str">
        <f>INDEX(IPCCMaps!I:I,MATCH(mapPRC!D47,IPCCMaps!G:G,0))</f>
        <v>1A Fuel Combustion Activities</v>
      </c>
      <c r="H47" t="str">
        <f>INDEX(IPCCMaps!J:J,MATCH(mapPRC!D47,IPCCMaps!G:G,0))</f>
        <v>1A4 Other Sectors</v>
      </c>
      <c r="I47" t="str">
        <f>INDEX(IPCCMaps!K:K,MATCH(mapPRC!D47,IPCCMaps!G:G,0))</f>
        <v>1A4a Commercial/Institutional</v>
      </c>
    </row>
    <row r="48" spans="1:9" hidden="1" x14ac:dyDescent="0.25">
      <c r="A48" t="s">
        <v>1603</v>
      </c>
      <c r="B48" t="s">
        <v>1524</v>
      </c>
      <c r="C48" t="s">
        <v>1487</v>
      </c>
      <c r="D48" t="s">
        <v>1593</v>
      </c>
      <c r="E48" t="s">
        <v>760</v>
      </c>
      <c r="F48" t="str">
        <f>INDEX(IPCCMaps!H:H,MATCH(mapPRC!D48,IPCCMaps!G:G,0))</f>
        <v>1 Energy</v>
      </c>
      <c r="G48" t="str">
        <f>INDEX(IPCCMaps!I:I,MATCH(mapPRC!D48,IPCCMaps!G:G,0))</f>
        <v>1A Fuel Combustion Activities</v>
      </c>
      <c r="H48" t="str">
        <f>INDEX(IPCCMaps!J:J,MATCH(mapPRC!D48,IPCCMaps!G:G,0))</f>
        <v>1A4 Other Sectors</v>
      </c>
      <c r="I48" t="str">
        <f>INDEX(IPCCMaps!K:K,MATCH(mapPRC!D48,IPCCMaps!G:G,0))</f>
        <v>1A4a Commercial/Institutional</v>
      </c>
    </row>
    <row r="49" spans="1:9" hidden="1" x14ac:dyDescent="0.25">
      <c r="A49" t="s">
        <v>1602</v>
      </c>
      <c r="B49" t="s">
        <v>1522</v>
      </c>
      <c r="C49" t="s">
        <v>1487</v>
      </c>
      <c r="D49" t="s">
        <v>1593</v>
      </c>
      <c r="E49" t="s">
        <v>760</v>
      </c>
      <c r="F49" t="str">
        <f>INDEX(IPCCMaps!H:H,MATCH(mapPRC!D49,IPCCMaps!G:G,0))</f>
        <v>1 Energy</v>
      </c>
      <c r="G49" t="str">
        <f>INDEX(IPCCMaps!I:I,MATCH(mapPRC!D49,IPCCMaps!G:G,0))</f>
        <v>1A Fuel Combustion Activities</v>
      </c>
      <c r="H49" t="str">
        <f>INDEX(IPCCMaps!J:J,MATCH(mapPRC!D49,IPCCMaps!G:G,0))</f>
        <v>1A4 Other Sectors</v>
      </c>
      <c r="I49" t="str">
        <f>INDEX(IPCCMaps!K:K,MATCH(mapPRC!D49,IPCCMaps!G:G,0))</f>
        <v>1A4a Commercial/Institutional</v>
      </c>
    </row>
    <row r="50" spans="1:9" hidden="1" x14ac:dyDescent="0.25">
      <c r="A50" t="s">
        <v>1601</v>
      </c>
      <c r="B50" t="s">
        <v>1520</v>
      </c>
      <c r="C50" t="s">
        <v>1487</v>
      </c>
      <c r="D50" t="s">
        <v>1593</v>
      </c>
      <c r="E50" t="s">
        <v>1519</v>
      </c>
      <c r="F50" t="str">
        <f>INDEX(IPCCMaps!H:H,MATCH(mapPRC!D50,IPCCMaps!G:G,0))</f>
        <v>1 Energy</v>
      </c>
      <c r="G50" t="str">
        <f>INDEX(IPCCMaps!I:I,MATCH(mapPRC!D50,IPCCMaps!G:G,0))</f>
        <v>1A Fuel Combustion Activities</v>
      </c>
      <c r="H50" t="str">
        <f>INDEX(IPCCMaps!J:J,MATCH(mapPRC!D50,IPCCMaps!G:G,0))</f>
        <v>1A4 Other Sectors</v>
      </c>
      <c r="I50" t="str">
        <f>INDEX(IPCCMaps!K:K,MATCH(mapPRC!D50,IPCCMaps!G:G,0))</f>
        <v>1A4a Commercial/Institutional</v>
      </c>
    </row>
    <row r="51" spans="1:9" hidden="1" x14ac:dyDescent="0.25">
      <c r="A51" t="s">
        <v>1600</v>
      </c>
      <c r="B51" t="s">
        <v>1517</v>
      </c>
      <c r="C51" t="s">
        <v>1487</v>
      </c>
      <c r="D51" t="s">
        <v>1593</v>
      </c>
      <c r="E51" t="s">
        <v>721</v>
      </c>
      <c r="F51" t="str">
        <f>INDEX(IPCCMaps!H:H,MATCH(mapPRC!D51,IPCCMaps!G:G,0))</f>
        <v>1 Energy</v>
      </c>
      <c r="G51" t="str">
        <f>INDEX(IPCCMaps!I:I,MATCH(mapPRC!D51,IPCCMaps!G:G,0))</f>
        <v>1A Fuel Combustion Activities</v>
      </c>
      <c r="H51" t="str">
        <f>INDEX(IPCCMaps!J:J,MATCH(mapPRC!D51,IPCCMaps!G:G,0))</f>
        <v>1A4 Other Sectors</v>
      </c>
      <c r="I51" t="str">
        <f>INDEX(IPCCMaps!K:K,MATCH(mapPRC!D51,IPCCMaps!G:G,0))</f>
        <v>1A4a Commercial/Institutional</v>
      </c>
    </row>
    <row r="52" spans="1:9" hidden="1" x14ac:dyDescent="0.25">
      <c r="A52" t="s">
        <v>1599</v>
      </c>
      <c r="B52" t="s">
        <v>1515</v>
      </c>
      <c r="C52" t="s">
        <v>1487</v>
      </c>
      <c r="D52" t="s">
        <v>1593</v>
      </c>
      <c r="E52" t="s">
        <v>721</v>
      </c>
      <c r="F52" t="str">
        <f>INDEX(IPCCMaps!H:H,MATCH(mapPRC!D52,IPCCMaps!G:G,0))</f>
        <v>1 Energy</v>
      </c>
      <c r="G52" t="str">
        <f>INDEX(IPCCMaps!I:I,MATCH(mapPRC!D52,IPCCMaps!G:G,0))</f>
        <v>1A Fuel Combustion Activities</v>
      </c>
      <c r="H52" t="str">
        <f>INDEX(IPCCMaps!J:J,MATCH(mapPRC!D52,IPCCMaps!G:G,0))</f>
        <v>1A4 Other Sectors</v>
      </c>
      <c r="I52" t="str">
        <f>INDEX(IPCCMaps!K:K,MATCH(mapPRC!D52,IPCCMaps!G:G,0))</f>
        <v>1A4a Commercial/Institutional</v>
      </c>
    </row>
    <row r="53" spans="1:9" hidden="1" x14ac:dyDescent="0.25">
      <c r="A53" t="s">
        <v>1597</v>
      </c>
      <c r="B53" t="s">
        <v>1511</v>
      </c>
      <c r="C53" t="s">
        <v>1487</v>
      </c>
      <c r="D53" t="s">
        <v>1593</v>
      </c>
      <c r="E53" t="s">
        <v>721</v>
      </c>
      <c r="F53" t="str">
        <f>INDEX(IPCCMaps!H:H,MATCH(mapPRC!D53,IPCCMaps!G:G,0))</f>
        <v>1 Energy</v>
      </c>
      <c r="G53" t="str">
        <f>INDEX(IPCCMaps!I:I,MATCH(mapPRC!D53,IPCCMaps!G:G,0))</f>
        <v>1A Fuel Combustion Activities</v>
      </c>
      <c r="H53" t="str">
        <f>INDEX(IPCCMaps!J:J,MATCH(mapPRC!D53,IPCCMaps!G:G,0))</f>
        <v>1A4 Other Sectors</v>
      </c>
      <c r="I53" t="str">
        <f>INDEX(IPCCMaps!K:K,MATCH(mapPRC!D53,IPCCMaps!G:G,0))</f>
        <v>1A4a Commercial/Institutional</v>
      </c>
    </row>
    <row r="54" spans="1:9" hidden="1" x14ac:dyDescent="0.25">
      <c r="A54" t="s">
        <v>1598</v>
      </c>
      <c r="B54" t="s">
        <v>1513</v>
      </c>
      <c r="C54" t="s">
        <v>1487</v>
      </c>
      <c r="D54" t="s">
        <v>1593</v>
      </c>
      <c r="E54" t="s">
        <v>721</v>
      </c>
      <c r="F54" t="str">
        <f>INDEX(IPCCMaps!H:H,MATCH(mapPRC!D54,IPCCMaps!G:G,0))</f>
        <v>1 Energy</v>
      </c>
      <c r="G54" t="str">
        <f>INDEX(IPCCMaps!I:I,MATCH(mapPRC!D54,IPCCMaps!G:G,0))</f>
        <v>1A Fuel Combustion Activities</v>
      </c>
      <c r="H54" t="str">
        <f>INDEX(IPCCMaps!J:J,MATCH(mapPRC!D54,IPCCMaps!G:G,0))</f>
        <v>1A4 Other Sectors</v>
      </c>
      <c r="I54" t="str">
        <f>INDEX(IPCCMaps!K:K,MATCH(mapPRC!D54,IPCCMaps!G:G,0))</f>
        <v>1A4a Commercial/Institutional</v>
      </c>
    </row>
    <row r="55" spans="1:9" hidden="1" x14ac:dyDescent="0.25">
      <c r="A55" t="s">
        <v>1596</v>
      </c>
      <c r="B55" t="s">
        <v>1509</v>
      </c>
      <c r="C55" t="s">
        <v>1487</v>
      </c>
      <c r="D55" t="s">
        <v>1593</v>
      </c>
      <c r="E55" t="s">
        <v>721</v>
      </c>
      <c r="F55" t="str">
        <f>INDEX(IPCCMaps!H:H,MATCH(mapPRC!D55,IPCCMaps!G:G,0))</f>
        <v>1 Energy</v>
      </c>
      <c r="G55" t="str">
        <f>INDEX(IPCCMaps!I:I,MATCH(mapPRC!D55,IPCCMaps!G:G,0))</f>
        <v>1A Fuel Combustion Activities</v>
      </c>
      <c r="H55" t="str">
        <f>INDEX(IPCCMaps!J:J,MATCH(mapPRC!D55,IPCCMaps!G:G,0))</f>
        <v>1A4 Other Sectors</v>
      </c>
      <c r="I55" t="str">
        <f>INDEX(IPCCMaps!K:K,MATCH(mapPRC!D55,IPCCMaps!G:G,0))</f>
        <v>1A4a Commercial/Institutional</v>
      </c>
    </row>
    <row r="56" spans="1:9" hidden="1" x14ac:dyDescent="0.25">
      <c r="A56" t="s">
        <v>1595</v>
      </c>
      <c r="B56" t="s">
        <v>1507</v>
      </c>
      <c r="C56" t="s">
        <v>1487</v>
      </c>
      <c r="D56" t="s">
        <v>1593</v>
      </c>
      <c r="E56" t="s">
        <v>721</v>
      </c>
      <c r="F56" t="str">
        <f>INDEX(IPCCMaps!H:H,MATCH(mapPRC!D56,IPCCMaps!G:G,0))</f>
        <v>1 Energy</v>
      </c>
      <c r="G56" t="str">
        <f>INDEX(IPCCMaps!I:I,MATCH(mapPRC!D56,IPCCMaps!G:G,0))</f>
        <v>1A Fuel Combustion Activities</v>
      </c>
      <c r="H56" t="str">
        <f>INDEX(IPCCMaps!J:J,MATCH(mapPRC!D56,IPCCMaps!G:G,0))</f>
        <v>1A4 Other Sectors</v>
      </c>
      <c r="I56" t="str">
        <f>INDEX(IPCCMaps!K:K,MATCH(mapPRC!D56,IPCCMaps!G:G,0))</f>
        <v>1A4a Commercial/Institutional</v>
      </c>
    </row>
    <row r="57" spans="1:9" hidden="1" x14ac:dyDescent="0.25">
      <c r="A57" t="s">
        <v>1594</v>
      </c>
      <c r="B57" t="s">
        <v>1505</v>
      </c>
      <c r="C57" t="s">
        <v>1487</v>
      </c>
      <c r="D57" t="s">
        <v>1593</v>
      </c>
      <c r="E57" t="s">
        <v>721</v>
      </c>
      <c r="F57" t="str">
        <f>INDEX(IPCCMaps!H:H,MATCH(mapPRC!D57,IPCCMaps!G:G,0))</f>
        <v>1 Energy</v>
      </c>
      <c r="G57" t="str">
        <f>INDEX(IPCCMaps!I:I,MATCH(mapPRC!D57,IPCCMaps!G:G,0))</f>
        <v>1A Fuel Combustion Activities</v>
      </c>
      <c r="H57" t="str">
        <f>INDEX(IPCCMaps!J:J,MATCH(mapPRC!D57,IPCCMaps!G:G,0))</f>
        <v>1A4 Other Sectors</v>
      </c>
      <c r="I57" t="str">
        <f>INDEX(IPCCMaps!K:K,MATCH(mapPRC!D57,IPCCMaps!G:G,0))</f>
        <v>1A4a Commercial/Institutional</v>
      </c>
    </row>
    <row r="58" spans="1:9" hidden="1" x14ac:dyDescent="0.25">
      <c r="A58" t="s">
        <v>1592</v>
      </c>
      <c r="B58" t="s">
        <v>1591</v>
      </c>
      <c r="C58" t="s">
        <v>1487</v>
      </c>
      <c r="D58" t="s">
        <v>1504</v>
      </c>
      <c r="E58" t="s">
        <v>1061</v>
      </c>
      <c r="F58" t="str">
        <f>INDEX(IPCCMaps!H:H,MATCH(mapPRC!D58,IPCCMaps!G:G,0))</f>
        <v>1 Energy</v>
      </c>
      <c r="G58" t="str">
        <f>INDEX(IPCCMaps!I:I,MATCH(mapPRC!D58,IPCCMaps!G:G,0))</f>
        <v>1A Fuel Combustion Activities</v>
      </c>
      <c r="H58" t="str">
        <f>INDEX(IPCCMaps!J:J,MATCH(mapPRC!D58,IPCCMaps!G:G,0))</f>
        <v>1A4 Other Sectors</v>
      </c>
      <c r="I58" t="str">
        <f>INDEX(IPCCMaps!K:K,MATCH(mapPRC!D58,IPCCMaps!G:G,0))</f>
        <v>1A4a Commercial/Institutional</v>
      </c>
    </row>
    <row r="59" spans="1:9" hidden="1" x14ac:dyDescent="0.25">
      <c r="A59" t="s">
        <v>1590</v>
      </c>
      <c r="B59" t="s">
        <v>1589</v>
      </c>
      <c r="C59" t="s">
        <v>1487</v>
      </c>
      <c r="D59" t="s">
        <v>1504</v>
      </c>
      <c r="E59" t="s">
        <v>1061</v>
      </c>
      <c r="F59" t="str">
        <f>INDEX(IPCCMaps!H:H,MATCH(mapPRC!D59,IPCCMaps!G:G,0))</f>
        <v>1 Energy</v>
      </c>
      <c r="G59" t="str">
        <f>INDEX(IPCCMaps!I:I,MATCH(mapPRC!D59,IPCCMaps!G:G,0))</f>
        <v>1A Fuel Combustion Activities</v>
      </c>
      <c r="H59" t="str">
        <f>INDEX(IPCCMaps!J:J,MATCH(mapPRC!D59,IPCCMaps!G:G,0))</f>
        <v>1A4 Other Sectors</v>
      </c>
      <c r="I59" t="str">
        <f>INDEX(IPCCMaps!K:K,MATCH(mapPRC!D59,IPCCMaps!G:G,0))</f>
        <v>1A4a Commercial/Institutional</v>
      </c>
    </row>
    <row r="60" spans="1:9" hidden="1" x14ac:dyDescent="0.25">
      <c r="A60" t="s">
        <v>1588</v>
      </c>
      <c r="B60" t="s">
        <v>1587</v>
      </c>
      <c r="C60" t="s">
        <v>1487</v>
      </c>
      <c r="D60" t="s">
        <v>1504</v>
      </c>
      <c r="E60" t="s">
        <v>1061</v>
      </c>
      <c r="F60" t="str">
        <f>INDEX(IPCCMaps!H:H,MATCH(mapPRC!D60,IPCCMaps!G:G,0))</f>
        <v>1 Energy</v>
      </c>
      <c r="G60" t="str">
        <f>INDEX(IPCCMaps!I:I,MATCH(mapPRC!D60,IPCCMaps!G:G,0))</f>
        <v>1A Fuel Combustion Activities</v>
      </c>
      <c r="H60" t="str">
        <f>INDEX(IPCCMaps!J:J,MATCH(mapPRC!D60,IPCCMaps!G:G,0))</f>
        <v>1A4 Other Sectors</v>
      </c>
      <c r="I60" t="str">
        <f>INDEX(IPCCMaps!K:K,MATCH(mapPRC!D60,IPCCMaps!G:G,0))</f>
        <v>1A4a Commercial/Institutional</v>
      </c>
    </row>
    <row r="61" spans="1:9" hidden="1" x14ac:dyDescent="0.25">
      <c r="A61" t="s">
        <v>1586</v>
      </c>
      <c r="B61" t="s">
        <v>1585</v>
      </c>
      <c r="C61" t="s">
        <v>1487</v>
      </c>
      <c r="D61" t="s">
        <v>1504</v>
      </c>
      <c r="E61" t="s">
        <v>1061</v>
      </c>
      <c r="F61" t="str">
        <f>INDEX(IPCCMaps!H:H,MATCH(mapPRC!D61,IPCCMaps!G:G,0))</f>
        <v>1 Energy</v>
      </c>
      <c r="G61" t="str">
        <f>INDEX(IPCCMaps!I:I,MATCH(mapPRC!D61,IPCCMaps!G:G,0))</f>
        <v>1A Fuel Combustion Activities</v>
      </c>
      <c r="H61" t="str">
        <f>INDEX(IPCCMaps!J:J,MATCH(mapPRC!D61,IPCCMaps!G:G,0))</f>
        <v>1A4 Other Sectors</v>
      </c>
      <c r="I61" t="str">
        <f>INDEX(IPCCMaps!K:K,MATCH(mapPRC!D61,IPCCMaps!G:G,0))</f>
        <v>1A4a Commercial/Institutional</v>
      </c>
    </row>
    <row r="62" spans="1:9" hidden="1" x14ac:dyDescent="0.25">
      <c r="A62" t="s">
        <v>1584</v>
      </c>
      <c r="B62" t="s">
        <v>1583</v>
      </c>
      <c r="C62" t="s">
        <v>1487</v>
      </c>
      <c r="D62" t="s">
        <v>1504</v>
      </c>
      <c r="E62" t="s">
        <v>1061</v>
      </c>
      <c r="F62" t="str">
        <f>INDEX(IPCCMaps!H:H,MATCH(mapPRC!D62,IPCCMaps!G:G,0))</f>
        <v>1 Energy</v>
      </c>
      <c r="G62" t="str">
        <f>INDEX(IPCCMaps!I:I,MATCH(mapPRC!D62,IPCCMaps!G:G,0))</f>
        <v>1A Fuel Combustion Activities</v>
      </c>
      <c r="H62" t="str">
        <f>INDEX(IPCCMaps!J:J,MATCH(mapPRC!D62,IPCCMaps!G:G,0))</f>
        <v>1A4 Other Sectors</v>
      </c>
      <c r="I62" t="str">
        <f>INDEX(IPCCMaps!K:K,MATCH(mapPRC!D62,IPCCMaps!G:G,0))</f>
        <v>1A4a Commercial/Institutional</v>
      </c>
    </row>
    <row r="63" spans="1:9" hidden="1" x14ac:dyDescent="0.25">
      <c r="A63" t="s">
        <v>1582</v>
      </c>
      <c r="B63" t="s">
        <v>1581</v>
      </c>
      <c r="C63" t="s">
        <v>1487</v>
      </c>
      <c r="D63" t="s">
        <v>1504</v>
      </c>
      <c r="E63" t="s">
        <v>1061</v>
      </c>
      <c r="F63" t="str">
        <f>INDEX(IPCCMaps!H:H,MATCH(mapPRC!D63,IPCCMaps!G:G,0))</f>
        <v>1 Energy</v>
      </c>
      <c r="G63" t="str">
        <f>INDEX(IPCCMaps!I:I,MATCH(mapPRC!D63,IPCCMaps!G:G,0))</f>
        <v>1A Fuel Combustion Activities</v>
      </c>
      <c r="H63" t="str">
        <f>INDEX(IPCCMaps!J:J,MATCH(mapPRC!D63,IPCCMaps!G:G,0))</f>
        <v>1A4 Other Sectors</v>
      </c>
      <c r="I63" t="str">
        <f>INDEX(IPCCMaps!K:K,MATCH(mapPRC!D63,IPCCMaps!G:G,0))</f>
        <v>1A4a Commercial/Institutional</v>
      </c>
    </row>
    <row r="64" spans="1:9" hidden="1" x14ac:dyDescent="0.25">
      <c r="A64" t="s">
        <v>1580</v>
      </c>
      <c r="B64" t="s">
        <v>1579</v>
      </c>
      <c r="C64" t="s">
        <v>1487</v>
      </c>
      <c r="D64" t="s">
        <v>1504</v>
      </c>
      <c r="E64" t="s">
        <v>1568</v>
      </c>
      <c r="F64" t="str">
        <f>INDEX(IPCCMaps!H:H,MATCH(mapPRC!D64,IPCCMaps!G:G,0))</f>
        <v>1 Energy</v>
      </c>
      <c r="G64" t="str">
        <f>INDEX(IPCCMaps!I:I,MATCH(mapPRC!D64,IPCCMaps!G:G,0))</f>
        <v>1A Fuel Combustion Activities</v>
      </c>
      <c r="H64" t="str">
        <f>INDEX(IPCCMaps!J:J,MATCH(mapPRC!D64,IPCCMaps!G:G,0))</f>
        <v>1A4 Other Sectors</v>
      </c>
      <c r="I64" t="str">
        <f>INDEX(IPCCMaps!K:K,MATCH(mapPRC!D64,IPCCMaps!G:G,0))</f>
        <v>1A4a Commercial/Institutional</v>
      </c>
    </row>
    <row r="65" spans="1:9" hidden="1" x14ac:dyDescent="0.25">
      <c r="A65" t="s">
        <v>1578</v>
      </c>
      <c r="B65" t="s">
        <v>1577</v>
      </c>
      <c r="C65" t="s">
        <v>1487</v>
      </c>
      <c r="D65" t="s">
        <v>1504</v>
      </c>
      <c r="E65" t="s">
        <v>1568</v>
      </c>
      <c r="F65" t="str">
        <f>INDEX(IPCCMaps!H:H,MATCH(mapPRC!D65,IPCCMaps!G:G,0))</f>
        <v>1 Energy</v>
      </c>
      <c r="G65" t="str">
        <f>INDEX(IPCCMaps!I:I,MATCH(mapPRC!D65,IPCCMaps!G:G,0))</f>
        <v>1A Fuel Combustion Activities</v>
      </c>
      <c r="H65" t="str">
        <f>INDEX(IPCCMaps!J:J,MATCH(mapPRC!D65,IPCCMaps!G:G,0))</f>
        <v>1A4 Other Sectors</v>
      </c>
      <c r="I65" t="str">
        <f>INDEX(IPCCMaps!K:K,MATCH(mapPRC!D65,IPCCMaps!G:G,0))</f>
        <v>1A4a Commercial/Institutional</v>
      </c>
    </row>
    <row r="66" spans="1:9" hidden="1" x14ac:dyDescent="0.25">
      <c r="A66" t="s">
        <v>1576</v>
      </c>
      <c r="B66" t="s">
        <v>1575</v>
      </c>
      <c r="C66" t="s">
        <v>1487</v>
      </c>
      <c r="D66" t="s">
        <v>1504</v>
      </c>
      <c r="E66" t="s">
        <v>1568</v>
      </c>
      <c r="F66" t="str">
        <f>INDEX(IPCCMaps!H:H,MATCH(mapPRC!D66,IPCCMaps!G:G,0))</f>
        <v>1 Energy</v>
      </c>
      <c r="G66" t="str">
        <f>INDEX(IPCCMaps!I:I,MATCH(mapPRC!D66,IPCCMaps!G:G,0))</f>
        <v>1A Fuel Combustion Activities</v>
      </c>
      <c r="H66" t="str">
        <f>INDEX(IPCCMaps!J:J,MATCH(mapPRC!D66,IPCCMaps!G:G,0))</f>
        <v>1A4 Other Sectors</v>
      </c>
      <c r="I66" t="str">
        <f>INDEX(IPCCMaps!K:K,MATCH(mapPRC!D66,IPCCMaps!G:G,0))</f>
        <v>1A4a Commercial/Institutional</v>
      </c>
    </row>
    <row r="67" spans="1:9" hidden="1" x14ac:dyDescent="0.25">
      <c r="A67" t="s">
        <v>1574</v>
      </c>
      <c r="B67" t="s">
        <v>1573</v>
      </c>
      <c r="C67" t="s">
        <v>1487</v>
      </c>
      <c r="D67" t="s">
        <v>1504</v>
      </c>
      <c r="E67" t="s">
        <v>1568</v>
      </c>
      <c r="F67" t="str">
        <f>INDEX(IPCCMaps!H:H,MATCH(mapPRC!D67,IPCCMaps!G:G,0))</f>
        <v>1 Energy</v>
      </c>
      <c r="G67" t="str">
        <f>INDEX(IPCCMaps!I:I,MATCH(mapPRC!D67,IPCCMaps!G:G,0))</f>
        <v>1A Fuel Combustion Activities</v>
      </c>
      <c r="H67" t="str">
        <f>INDEX(IPCCMaps!J:J,MATCH(mapPRC!D67,IPCCMaps!G:G,0))</f>
        <v>1A4 Other Sectors</v>
      </c>
      <c r="I67" t="str">
        <f>INDEX(IPCCMaps!K:K,MATCH(mapPRC!D67,IPCCMaps!G:G,0))</f>
        <v>1A4a Commercial/Institutional</v>
      </c>
    </row>
    <row r="68" spans="1:9" hidden="1" x14ac:dyDescent="0.25">
      <c r="A68" t="s">
        <v>1572</v>
      </c>
      <c r="B68" t="s">
        <v>1571</v>
      </c>
      <c r="C68" t="s">
        <v>1487</v>
      </c>
      <c r="D68" t="s">
        <v>1504</v>
      </c>
      <c r="E68" t="s">
        <v>1568</v>
      </c>
      <c r="F68" t="str">
        <f>INDEX(IPCCMaps!H:H,MATCH(mapPRC!D68,IPCCMaps!G:G,0))</f>
        <v>1 Energy</v>
      </c>
      <c r="G68" t="str">
        <f>INDEX(IPCCMaps!I:I,MATCH(mapPRC!D68,IPCCMaps!G:G,0))</f>
        <v>1A Fuel Combustion Activities</v>
      </c>
      <c r="H68" t="str">
        <f>INDEX(IPCCMaps!J:J,MATCH(mapPRC!D68,IPCCMaps!G:G,0))</f>
        <v>1A4 Other Sectors</v>
      </c>
      <c r="I68" t="str">
        <f>INDEX(IPCCMaps!K:K,MATCH(mapPRC!D68,IPCCMaps!G:G,0))</f>
        <v>1A4a Commercial/Institutional</v>
      </c>
    </row>
    <row r="69" spans="1:9" hidden="1" x14ac:dyDescent="0.25">
      <c r="A69" t="s">
        <v>1570</v>
      </c>
      <c r="B69" t="s">
        <v>1569</v>
      </c>
      <c r="C69" t="s">
        <v>1487</v>
      </c>
      <c r="D69" t="s">
        <v>1504</v>
      </c>
      <c r="E69" t="s">
        <v>1568</v>
      </c>
      <c r="F69" t="str">
        <f>INDEX(IPCCMaps!H:H,MATCH(mapPRC!D69,IPCCMaps!G:G,0))</f>
        <v>1 Energy</v>
      </c>
      <c r="G69" t="str">
        <f>INDEX(IPCCMaps!I:I,MATCH(mapPRC!D69,IPCCMaps!G:G,0))</f>
        <v>1A Fuel Combustion Activities</v>
      </c>
      <c r="H69" t="str">
        <f>INDEX(IPCCMaps!J:J,MATCH(mapPRC!D69,IPCCMaps!G:G,0))</f>
        <v>1A4 Other Sectors</v>
      </c>
      <c r="I69" t="str">
        <f>INDEX(IPCCMaps!K:K,MATCH(mapPRC!D69,IPCCMaps!G:G,0))</f>
        <v>1A4a Commercial/Institutional</v>
      </c>
    </row>
    <row r="70" spans="1:9" hidden="1" x14ac:dyDescent="0.25">
      <c r="A70" t="s">
        <v>1567</v>
      </c>
      <c r="B70" t="s">
        <v>1566</v>
      </c>
      <c r="C70" t="s">
        <v>1487</v>
      </c>
      <c r="D70" t="s">
        <v>1504</v>
      </c>
      <c r="E70" t="s">
        <v>743</v>
      </c>
      <c r="F70" t="str">
        <f>INDEX(IPCCMaps!H:H,MATCH(mapPRC!D70,IPCCMaps!G:G,0))</f>
        <v>1 Energy</v>
      </c>
      <c r="G70" t="str">
        <f>INDEX(IPCCMaps!I:I,MATCH(mapPRC!D70,IPCCMaps!G:G,0))</f>
        <v>1A Fuel Combustion Activities</v>
      </c>
      <c r="H70" t="str">
        <f>INDEX(IPCCMaps!J:J,MATCH(mapPRC!D70,IPCCMaps!G:G,0))</f>
        <v>1A4 Other Sectors</v>
      </c>
      <c r="I70" t="str">
        <f>INDEX(IPCCMaps!K:K,MATCH(mapPRC!D70,IPCCMaps!G:G,0))</f>
        <v>1A4a Commercial/Institutional</v>
      </c>
    </row>
    <row r="71" spans="1:9" hidden="1" x14ac:dyDescent="0.25">
      <c r="A71" t="s">
        <v>1565</v>
      </c>
      <c r="B71" t="s">
        <v>1564</v>
      </c>
      <c r="C71" t="s">
        <v>1487</v>
      </c>
      <c r="D71" t="s">
        <v>1504</v>
      </c>
      <c r="E71" t="s">
        <v>743</v>
      </c>
      <c r="F71" t="str">
        <f>INDEX(IPCCMaps!H:H,MATCH(mapPRC!D71,IPCCMaps!G:G,0))</f>
        <v>1 Energy</v>
      </c>
      <c r="G71" t="str">
        <f>INDEX(IPCCMaps!I:I,MATCH(mapPRC!D71,IPCCMaps!G:G,0))</f>
        <v>1A Fuel Combustion Activities</v>
      </c>
      <c r="H71" t="str">
        <f>INDEX(IPCCMaps!J:J,MATCH(mapPRC!D71,IPCCMaps!G:G,0))</f>
        <v>1A4 Other Sectors</v>
      </c>
      <c r="I71" t="str">
        <f>INDEX(IPCCMaps!K:K,MATCH(mapPRC!D71,IPCCMaps!G:G,0))</f>
        <v>1A4a Commercial/Institutional</v>
      </c>
    </row>
    <row r="72" spans="1:9" hidden="1" x14ac:dyDescent="0.25">
      <c r="A72" t="s">
        <v>1563</v>
      </c>
      <c r="B72" t="s">
        <v>1562</v>
      </c>
      <c r="C72" t="s">
        <v>1487</v>
      </c>
      <c r="D72" t="s">
        <v>1504</v>
      </c>
      <c r="E72" t="s">
        <v>743</v>
      </c>
      <c r="F72" t="str">
        <f>INDEX(IPCCMaps!H:H,MATCH(mapPRC!D72,IPCCMaps!G:G,0))</f>
        <v>1 Energy</v>
      </c>
      <c r="G72" t="str">
        <f>INDEX(IPCCMaps!I:I,MATCH(mapPRC!D72,IPCCMaps!G:G,0))</f>
        <v>1A Fuel Combustion Activities</v>
      </c>
      <c r="H72" t="str">
        <f>INDEX(IPCCMaps!J:J,MATCH(mapPRC!D72,IPCCMaps!G:G,0))</f>
        <v>1A4 Other Sectors</v>
      </c>
      <c r="I72" t="str">
        <f>INDEX(IPCCMaps!K:K,MATCH(mapPRC!D72,IPCCMaps!G:G,0))</f>
        <v>1A4a Commercial/Institutional</v>
      </c>
    </row>
    <row r="73" spans="1:9" hidden="1" x14ac:dyDescent="0.25">
      <c r="A73" t="s">
        <v>1561</v>
      </c>
      <c r="B73" t="s">
        <v>1560</v>
      </c>
      <c r="C73" t="s">
        <v>1487</v>
      </c>
      <c r="D73" t="s">
        <v>1504</v>
      </c>
      <c r="E73" t="s">
        <v>743</v>
      </c>
      <c r="F73" t="str">
        <f>INDEX(IPCCMaps!H:H,MATCH(mapPRC!D73,IPCCMaps!G:G,0))</f>
        <v>1 Energy</v>
      </c>
      <c r="G73" t="str">
        <f>INDEX(IPCCMaps!I:I,MATCH(mapPRC!D73,IPCCMaps!G:G,0))</f>
        <v>1A Fuel Combustion Activities</v>
      </c>
      <c r="H73" t="str">
        <f>INDEX(IPCCMaps!J:J,MATCH(mapPRC!D73,IPCCMaps!G:G,0))</f>
        <v>1A4 Other Sectors</v>
      </c>
      <c r="I73" t="str">
        <f>INDEX(IPCCMaps!K:K,MATCH(mapPRC!D73,IPCCMaps!G:G,0))</f>
        <v>1A4a Commercial/Institutional</v>
      </c>
    </row>
    <row r="74" spans="1:9" hidden="1" x14ac:dyDescent="0.25">
      <c r="A74" t="s">
        <v>1559</v>
      </c>
      <c r="B74" t="s">
        <v>1558</v>
      </c>
      <c r="C74" t="s">
        <v>1487</v>
      </c>
      <c r="D74" t="s">
        <v>1504</v>
      </c>
      <c r="E74" t="s">
        <v>743</v>
      </c>
      <c r="F74" t="str">
        <f>INDEX(IPCCMaps!H:H,MATCH(mapPRC!D74,IPCCMaps!G:G,0))</f>
        <v>1 Energy</v>
      </c>
      <c r="G74" t="str">
        <f>INDEX(IPCCMaps!I:I,MATCH(mapPRC!D74,IPCCMaps!G:G,0))</f>
        <v>1A Fuel Combustion Activities</v>
      </c>
      <c r="H74" t="str">
        <f>INDEX(IPCCMaps!J:J,MATCH(mapPRC!D74,IPCCMaps!G:G,0))</f>
        <v>1A4 Other Sectors</v>
      </c>
      <c r="I74" t="str">
        <f>INDEX(IPCCMaps!K:K,MATCH(mapPRC!D74,IPCCMaps!G:G,0))</f>
        <v>1A4a Commercial/Institutional</v>
      </c>
    </row>
    <row r="75" spans="1:9" hidden="1" x14ac:dyDescent="0.25">
      <c r="A75" t="s">
        <v>1557</v>
      </c>
      <c r="B75" t="s">
        <v>1556</v>
      </c>
      <c r="C75" t="s">
        <v>1487</v>
      </c>
      <c r="D75" t="s">
        <v>1504</v>
      </c>
      <c r="E75" t="s">
        <v>736</v>
      </c>
      <c r="F75" t="str">
        <f>INDEX(IPCCMaps!H:H,MATCH(mapPRC!D75,IPCCMaps!G:G,0))</f>
        <v>1 Energy</v>
      </c>
      <c r="G75" t="str">
        <f>INDEX(IPCCMaps!I:I,MATCH(mapPRC!D75,IPCCMaps!G:G,0))</f>
        <v>1A Fuel Combustion Activities</v>
      </c>
      <c r="H75" t="str">
        <f>INDEX(IPCCMaps!J:J,MATCH(mapPRC!D75,IPCCMaps!G:G,0))</f>
        <v>1A4 Other Sectors</v>
      </c>
      <c r="I75" t="str">
        <f>INDEX(IPCCMaps!K:K,MATCH(mapPRC!D75,IPCCMaps!G:G,0))</f>
        <v>1A4a Commercial/Institutional</v>
      </c>
    </row>
    <row r="76" spans="1:9" hidden="1" x14ac:dyDescent="0.25">
      <c r="A76" t="s">
        <v>1555</v>
      </c>
      <c r="B76" t="s">
        <v>1554</v>
      </c>
      <c r="C76" t="s">
        <v>1487</v>
      </c>
      <c r="D76" t="s">
        <v>1504</v>
      </c>
      <c r="E76" t="s">
        <v>736</v>
      </c>
      <c r="F76" t="str">
        <f>INDEX(IPCCMaps!H:H,MATCH(mapPRC!D76,IPCCMaps!G:G,0))</f>
        <v>1 Energy</v>
      </c>
      <c r="G76" t="str">
        <f>INDEX(IPCCMaps!I:I,MATCH(mapPRC!D76,IPCCMaps!G:G,0))</f>
        <v>1A Fuel Combustion Activities</v>
      </c>
      <c r="H76" t="str">
        <f>INDEX(IPCCMaps!J:J,MATCH(mapPRC!D76,IPCCMaps!G:G,0))</f>
        <v>1A4 Other Sectors</v>
      </c>
      <c r="I76" t="str">
        <f>INDEX(IPCCMaps!K:K,MATCH(mapPRC!D76,IPCCMaps!G:G,0))</f>
        <v>1A4a Commercial/Institutional</v>
      </c>
    </row>
    <row r="77" spans="1:9" hidden="1" x14ac:dyDescent="0.25">
      <c r="A77" t="s">
        <v>1553</v>
      </c>
      <c r="B77" t="s">
        <v>1552</v>
      </c>
      <c r="C77" t="s">
        <v>1487</v>
      </c>
      <c r="D77" t="s">
        <v>1504</v>
      </c>
      <c r="E77" t="s">
        <v>736</v>
      </c>
      <c r="F77" t="str">
        <f>INDEX(IPCCMaps!H:H,MATCH(mapPRC!D77,IPCCMaps!G:G,0))</f>
        <v>1 Energy</v>
      </c>
      <c r="G77" t="str">
        <f>INDEX(IPCCMaps!I:I,MATCH(mapPRC!D77,IPCCMaps!G:G,0))</f>
        <v>1A Fuel Combustion Activities</v>
      </c>
      <c r="H77" t="str">
        <f>INDEX(IPCCMaps!J:J,MATCH(mapPRC!D77,IPCCMaps!G:G,0))</f>
        <v>1A4 Other Sectors</v>
      </c>
      <c r="I77" t="str">
        <f>INDEX(IPCCMaps!K:K,MATCH(mapPRC!D77,IPCCMaps!G:G,0))</f>
        <v>1A4a Commercial/Institutional</v>
      </c>
    </row>
    <row r="78" spans="1:9" hidden="1" x14ac:dyDescent="0.25">
      <c r="A78" t="s">
        <v>1551</v>
      </c>
      <c r="B78" t="s">
        <v>1550</v>
      </c>
      <c r="C78" t="s">
        <v>1487</v>
      </c>
      <c r="D78" t="s">
        <v>1504</v>
      </c>
      <c r="E78" t="s">
        <v>733</v>
      </c>
      <c r="F78" t="str">
        <f>INDEX(IPCCMaps!H:H,MATCH(mapPRC!D78,IPCCMaps!G:G,0))</f>
        <v>1 Energy</v>
      </c>
      <c r="G78" t="str">
        <f>INDEX(IPCCMaps!I:I,MATCH(mapPRC!D78,IPCCMaps!G:G,0))</f>
        <v>1A Fuel Combustion Activities</v>
      </c>
      <c r="H78" t="str">
        <f>INDEX(IPCCMaps!J:J,MATCH(mapPRC!D78,IPCCMaps!G:G,0))</f>
        <v>1A4 Other Sectors</v>
      </c>
      <c r="I78" t="str">
        <f>INDEX(IPCCMaps!K:K,MATCH(mapPRC!D78,IPCCMaps!G:G,0))</f>
        <v>1A4a Commercial/Institutional</v>
      </c>
    </row>
    <row r="79" spans="1:9" hidden="1" x14ac:dyDescent="0.25">
      <c r="A79" t="s">
        <v>1549</v>
      </c>
      <c r="B79" t="s">
        <v>1548</v>
      </c>
      <c r="C79" t="s">
        <v>1487</v>
      </c>
      <c r="D79" t="s">
        <v>1504</v>
      </c>
      <c r="E79" t="s">
        <v>733</v>
      </c>
      <c r="F79" t="str">
        <f>INDEX(IPCCMaps!H:H,MATCH(mapPRC!D79,IPCCMaps!G:G,0))</f>
        <v>1 Energy</v>
      </c>
      <c r="G79" t="str">
        <f>INDEX(IPCCMaps!I:I,MATCH(mapPRC!D79,IPCCMaps!G:G,0))</f>
        <v>1A Fuel Combustion Activities</v>
      </c>
      <c r="H79" t="str">
        <f>INDEX(IPCCMaps!J:J,MATCH(mapPRC!D79,IPCCMaps!G:G,0))</f>
        <v>1A4 Other Sectors</v>
      </c>
      <c r="I79" t="str">
        <f>INDEX(IPCCMaps!K:K,MATCH(mapPRC!D79,IPCCMaps!G:G,0))</f>
        <v>1A4a Commercial/Institutional</v>
      </c>
    </row>
    <row r="80" spans="1:9" hidden="1" x14ac:dyDescent="0.25">
      <c r="A80" t="s">
        <v>1547</v>
      </c>
      <c r="B80" t="s">
        <v>1546</v>
      </c>
      <c r="C80" t="s">
        <v>1487</v>
      </c>
      <c r="D80" t="s">
        <v>1504</v>
      </c>
      <c r="E80" t="s">
        <v>733</v>
      </c>
      <c r="F80" t="str">
        <f>INDEX(IPCCMaps!H:H,MATCH(mapPRC!D80,IPCCMaps!G:G,0))</f>
        <v>1 Energy</v>
      </c>
      <c r="G80" t="str">
        <f>INDEX(IPCCMaps!I:I,MATCH(mapPRC!D80,IPCCMaps!G:G,0))</f>
        <v>1A Fuel Combustion Activities</v>
      </c>
      <c r="H80" t="str">
        <f>INDEX(IPCCMaps!J:J,MATCH(mapPRC!D80,IPCCMaps!G:G,0))</f>
        <v>1A4 Other Sectors</v>
      </c>
      <c r="I80" t="str">
        <f>INDEX(IPCCMaps!K:K,MATCH(mapPRC!D80,IPCCMaps!G:G,0))</f>
        <v>1A4a Commercial/Institutional</v>
      </c>
    </row>
    <row r="81" spans="1:9" hidden="1" x14ac:dyDescent="0.25">
      <c r="A81" t="s">
        <v>1545</v>
      </c>
      <c r="B81" t="s">
        <v>1544</v>
      </c>
      <c r="C81" t="s">
        <v>1487</v>
      </c>
      <c r="D81" t="s">
        <v>1504</v>
      </c>
      <c r="E81" t="s">
        <v>733</v>
      </c>
      <c r="F81" t="str">
        <f>INDEX(IPCCMaps!H:H,MATCH(mapPRC!D81,IPCCMaps!G:G,0))</f>
        <v>1 Energy</v>
      </c>
      <c r="G81" t="str">
        <f>INDEX(IPCCMaps!I:I,MATCH(mapPRC!D81,IPCCMaps!G:G,0))</f>
        <v>1A Fuel Combustion Activities</v>
      </c>
      <c r="H81" t="str">
        <f>INDEX(IPCCMaps!J:J,MATCH(mapPRC!D81,IPCCMaps!G:G,0))</f>
        <v>1A4 Other Sectors</v>
      </c>
      <c r="I81" t="str">
        <f>INDEX(IPCCMaps!K:K,MATCH(mapPRC!D81,IPCCMaps!G:G,0))</f>
        <v>1A4a Commercial/Institutional</v>
      </c>
    </row>
    <row r="82" spans="1:9" hidden="1" x14ac:dyDescent="0.25">
      <c r="A82" t="s">
        <v>1543</v>
      </c>
      <c r="B82" t="s">
        <v>1542</v>
      </c>
      <c r="C82" t="s">
        <v>1487</v>
      </c>
      <c r="D82" t="s">
        <v>1504</v>
      </c>
      <c r="E82" t="s">
        <v>733</v>
      </c>
      <c r="F82" t="str">
        <f>INDEX(IPCCMaps!H:H,MATCH(mapPRC!D82,IPCCMaps!G:G,0))</f>
        <v>1 Energy</v>
      </c>
      <c r="G82" t="str">
        <f>INDEX(IPCCMaps!I:I,MATCH(mapPRC!D82,IPCCMaps!G:G,0))</f>
        <v>1A Fuel Combustion Activities</v>
      </c>
      <c r="H82" t="str">
        <f>INDEX(IPCCMaps!J:J,MATCH(mapPRC!D82,IPCCMaps!G:G,0))</f>
        <v>1A4 Other Sectors</v>
      </c>
      <c r="I82" t="str">
        <f>INDEX(IPCCMaps!K:K,MATCH(mapPRC!D82,IPCCMaps!G:G,0))</f>
        <v>1A4a Commercial/Institutional</v>
      </c>
    </row>
    <row r="83" spans="1:9" hidden="1" x14ac:dyDescent="0.25">
      <c r="A83" t="s">
        <v>1541</v>
      </c>
      <c r="B83" t="s">
        <v>1540</v>
      </c>
      <c r="C83" t="s">
        <v>1487</v>
      </c>
      <c r="D83" t="s">
        <v>1504</v>
      </c>
      <c r="E83" t="s">
        <v>733</v>
      </c>
      <c r="F83" t="str">
        <f>INDEX(IPCCMaps!H:H,MATCH(mapPRC!D83,IPCCMaps!G:G,0))</f>
        <v>1 Energy</v>
      </c>
      <c r="G83" t="str">
        <f>INDEX(IPCCMaps!I:I,MATCH(mapPRC!D83,IPCCMaps!G:G,0))</f>
        <v>1A Fuel Combustion Activities</v>
      </c>
      <c r="H83" t="str">
        <f>INDEX(IPCCMaps!J:J,MATCH(mapPRC!D83,IPCCMaps!G:G,0))</f>
        <v>1A4 Other Sectors</v>
      </c>
      <c r="I83" t="str">
        <f>INDEX(IPCCMaps!K:K,MATCH(mapPRC!D83,IPCCMaps!G:G,0))</f>
        <v>1A4a Commercial/Institutional</v>
      </c>
    </row>
    <row r="84" spans="1:9" hidden="1" x14ac:dyDescent="0.25">
      <c r="A84" t="s">
        <v>1539</v>
      </c>
      <c r="B84" t="s">
        <v>1538</v>
      </c>
      <c r="C84" t="s">
        <v>1487</v>
      </c>
      <c r="D84" t="s">
        <v>1504</v>
      </c>
      <c r="E84" t="s">
        <v>0</v>
      </c>
      <c r="F84" t="str">
        <f>INDEX(IPCCMaps!H:H,MATCH(mapPRC!D84,IPCCMaps!G:G,0))</f>
        <v>1 Energy</v>
      </c>
      <c r="G84" t="str">
        <f>INDEX(IPCCMaps!I:I,MATCH(mapPRC!D84,IPCCMaps!G:G,0))</f>
        <v>1A Fuel Combustion Activities</v>
      </c>
      <c r="H84" t="str">
        <f>INDEX(IPCCMaps!J:J,MATCH(mapPRC!D84,IPCCMaps!G:G,0))</f>
        <v>1A4 Other Sectors</v>
      </c>
      <c r="I84" t="str">
        <f>INDEX(IPCCMaps!K:K,MATCH(mapPRC!D84,IPCCMaps!G:G,0))</f>
        <v>1A4a Commercial/Institutional</v>
      </c>
    </row>
    <row r="85" spans="1:9" hidden="1" x14ac:dyDescent="0.25">
      <c r="A85" t="s">
        <v>1537</v>
      </c>
      <c r="B85" t="s">
        <v>1536</v>
      </c>
      <c r="C85" t="s">
        <v>1487</v>
      </c>
      <c r="D85" t="s">
        <v>1504</v>
      </c>
      <c r="E85" t="s">
        <v>0</v>
      </c>
      <c r="F85" t="str">
        <f>INDEX(IPCCMaps!H:H,MATCH(mapPRC!D85,IPCCMaps!G:G,0))</f>
        <v>1 Energy</v>
      </c>
      <c r="G85" t="str">
        <f>INDEX(IPCCMaps!I:I,MATCH(mapPRC!D85,IPCCMaps!G:G,0))</f>
        <v>1A Fuel Combustion Activities</v>
      </c>
      <c r="H85" t="str">
        <f>INDEX(IPCCMaps!J:J,MATCH(mapPRC!D85,IPCCMaps!G:G,0))</f>
        <v>1A4 Other Sectors</v>
      </c>
      <c r="I85" t="str">
        <f>INDEX(IPCCMaps!K:K,MATCH(mapPRC!D85,IPCCMaps!G:G,0))</f>
        <v>1A4a Commercial/Institutional</v>
      </c>
    </row>
    <row r="86" spans="1:9" hidden="1" x14ac:dyDescent="0.25">
      <c r="A86" t="s">
        <v>1535</v>
      </c>
      <c r="B86" t="s">
        <v>1534</v>
      </c>
      <c r="C86" t="s">
        <v>1487</v>
      </c>
      <c r="D86" t="s">
        <v>1504</v>
      </c>
      <c r="E86" t="s">
        <v>0</v>
      </c>
      <c r="F86" t="str">
        <f>INDEX(IPCCMaps!H:H,MATCH(mapPRC!D86,IPCCMaps!G:G,0))</f>
        <v>1 Energy</v>
      </c>
      <c r="G86" t="str">
        <f>INDEX(IPCCMaps!I:I,MATCH(mapPRC!D86,IPCCMaps!G:G,0))</f>
        <v>1A Fuel Combustion Activities</v>
      </c>
      <c r="H86" t="str">
        <f>INDEX(IPCCMaps!J:J,MATCH(mapPRC!D86,IPCCMaps!G:G,0))</f>
        <v>1A4 Other Sectors</v>
      </c>
      <c r="I86" t="str">
        <f>INDEX(IPCCMaps!K:K,MATCH(mapPRC!D86,IPCCMaps!G:G,0))</f>
        <v>1A4a Commercial/Institutional</v>
      </c>
    </row>
    <row r="87" spans="1:9" hidden="1" x14ac:dyDescent="0.25">
      <c r="A87" t="s">
        <v>1533</v>
      </c>
      <c r="B87" t="s">
        <v>1532</v>
      </c>
      <c r="C87" t="s">
        <v>1487</v>
      </c>
      <c r="D87" t="s">
        <v>1504</v>
      </c>
      <c r="E87" t="s">
        <v>0</v>
      </c>
      <c r="F87" t="str">
        <f>INDEX(IPCCMaps!H:H,MATCH(mapPRC!D87,IPCCMaps!G:G,0))</f>
        <v>1 Energy</v>
      </c>
      <c r="G87" t="str">
        <f>INDEX(IPCCMaps!I:I,MATCH(mapPRC!D87,IPCCMaps!G:G,0))</f>
        <v>1A Fuel Combustion Activities</v>
      </c>
      <c r="H87" t="str">
        <f>INDEX(IPCCMaps!J:J,MATCH(mapPRC!D87,IPCCMaps!G:G,0))</f>
        <v>1A4 Other Sectors</v>
      </c>
      <c r="I87" t="str">
        <f>INDEX(IPCCMaps!K:K,MATCH(mapPRC!D87,IPCCMaps!G:G,0))</f>
        <v>1A4a Commercial/Institutional</v>
      </c>
    </row>
    <row r="88" spans="1:9" hidden="1" x14ac:dyDescent="0.25">
      <c r="A88" t="s">
        <v>1531</v>
      </c>
      <c r="B88" t="s">
        <v>1530</v>
      </c>
      <c r="C88" t="s">
        <v>1487</v>
      </c>
      <c r="D88" t="s">
        <v>1504</v>
      </c>
      <c r="E88" t="s">
        <v>0</v>
      </c>
      <c r="F88" t="str">
        <f>INDEX(IPCCMaps!H:H,MATCH(mapPRC!D88,IPCCMaps!G:G,0))</f>
        <v>1 Energy</v>
      </c>
      <c r="G88" t="str">
        <f>INDEX(IPCCMaps!I:I,MATCH(mapPRC!D88,IPCCMaps!G:G,0))</f>
        <v>1A Fuel Combustion Activities</v>
      </c>
      <c r="H88" t="str">
        <f>INDEX(IPCCMaps!J:J,MATCH(mapPRC!D88,IPCCMaps!G:G,0))</f>
        <v>1A4 Other Sectors</v>
      </c>
      <c r="I88" t="str">
        <f>INDEX(IPCCMaps!K:K,MATCH(mapPRC!D88,IPCCMaps!G:G,0))</f>
        <v>1A4a Commercial/Institutional</v>
      </c>
    </row>
    <row r="89" spans="1:9" hidden="1" x14ac:dyDescent="0.25">
      <c r="A89" t="s">
        <v>1529</v>
      </c>
      <c r="B89" t="s">
        <v>1528</v>
      </c>
      <c r="C89" t="s">
        <v>1487</v>
      </c>
      <c r="D89" t="s">
        <v>1504</v>
      </c>
      <c r="E89" t="s">
        <v>0</v>
      </c>
      <c r="F89" t="str">
        <f>INDEX(IPCCMaps!H:H,MATCH(mapPRC!D89,IPCCMaps!G:G,0))</f>
        <v>1 Energy</v>
      </c>
      <c r="G89" t="str">
        <f>INDEX(IPCCMaps!I:I,MATCH(mapPRC!D89,IPCCMaps!G:G,0))</f>
        <v>1A Fuel Combustion Activities</v>
      </c>
      <c r="H89" t="str">
        <f>INDEX(IPCCMaps!J:J,MATCH(mapPRC!D89,IPCCMaps!G:G,0))</f>
        <v>1A4 Other Sectors</v>
      </c>
      <c r="I89" t="str">
        <f>INDEX(IPCCMaps!K:K,MATCH(mapPRC!D89,IPCCMaps!G:G,0))</f>
        <v>1A4a Commercial/Institutional</v>
      </c>
    </row>
    <row r="90" spans="1:9" hidden="1" x14ac:dyDescent="0.25">
      <c r="A90" t="s">
        <v>1527</v>
      </c>
      <c r="B90" t="s">
        <v>1526</v>
      </c>
      <c r="C90" t="s">
        <v>1487</v>
      </c>
      <c r="D90" t="s">
        <v>1504</v>
      </c>
      <c r="E90" t="s">
        <v>0</v>
      </c>
      <c r="F90" t="str">
        <f>INDEX(IPCCMaps!H:H,MATCH(mapPRC!D90,IPCCMaps!G:G,0))</f>
        <v>1 Energy</v>
      </c>
      <c r="G90" t="str">
        <f>INDEX(IPCCMaps!I:I,MATCH(mapPRC!D90,IPCCMaps!G:G,0))</f>
        <v>1A Fuel Combustion Activities</v>
      </c>
      <c r="H90" t="str">
        <f>INDEX(IPCCMaps!J:J,MATCH(mapPRC!D90,IPCCMaps!G:G,0))</f>
        <v>1A4 Other Sectors</v>
      </c>
      <c r="I90" t="str">
        <f>INDEX(IPCCMaps!K:K,MATCH(mapPRC!D90,IPCCMaps!G:G,0))</f>
        <v>1A4a Commercial/Institutional</v>
      </c>
    </row>
    <row r="91" spans="1:9" hidden="1" x14ac:dyDescent="0.25">
      <c r="A91" t="s">
        <v>1525</v>
      </c>
      <c r="B91" t="s">
        <v>1524</v>
      </c>
      <c r="C91" t="s">
        <v>1487</v>
      </c>
      <c r="D91" t="s">
        <v>1504</v>
      </c>
      <c r="E91" t="s">
        <v>760</v>
      </c>
      <c r="F91" t="str">
        <f>INDEX(IPCCMaps!H:H,MATCH(mapPRC!D91,IPCCMaps!G:G,0))</f>
        <v>1 Energy</v>
      </c>
      <c r="G91" t="str">
        <f>INDEX(IPCCMaps!I:I,MATCH(mapPRC!D91,IPCCMaps!G:G,0))</f>
        <v>1A Fuel Combustion Activities</v>
      </c>
      <c r="H91" t="str">
        <f>INDEX(IPCCMaps!J:J,MATCH(mapPRC!D91,IPCCMaps!G:G,0))</f>
        <v>1A4 Other Sectors</v>
      </c>
      <c r="I91" t="str">
        <f>INDEX(IPCCMaps!K:K,MATCH(mapPRC!D91,IPCCMaps!G:G,0))</f>
        <v>1A4a Commercial/Institutional</v>
      </c>
    </row>
    <row r="92" spans="1:9" hidden="1" x14ac:dyDescent="0.25">
      <c r="A92" t="s">
        <v>1523</v>
      </c>
      <c r="B92" t="s">
        <v>1522</v>
      </c>
      <c r="C92" t="s">
        <v>1487</v>
      </c>
      <c r="D92" t="s">
        <v>1504</v>
      </c>
      <c r="E92" t="s">
        <v>760</v>
      </c>
      <c r="F92" t="str">
        <f>INDEX(IPCCMaps!H:H,MATCH(mapPRC!D92,IPCCMaps!G:G,0))</f>
        <v>1 Energy</v>
      </c>
      <c r="G92" t="str">
        <f>INDEX(IPCCMaps!I:I,MATCH(mapPRC!D92,IPCCMaps!G:G,0))</f>
        <v>1A Fuel Combustion Activities</v>
      </c>
      <c r="H92" t="str">
        <f>INDEX(IPCCMaps!J:J,MATCH(mapPRC!D92,IPCCMaps!G:G,0))</f>
        <v>1A4 Other Sectors</v>
      </c>
      <c r="I92" t="str">
        <f>INDEX(IPCCMaps!K:K,MATCH(mapPRC!D92,IPCCMaps!G:G,0))</f>
        <v>1A4a Commercial/Institutional</v>
      </c>
    </row>
    <row r="93" spans="1:9" hidden="1" x14ac:dyDescent="0.25">
      <c r="A93" t="s">
        <v>1521</v>
      </c>
      <c r="B93" t="s">
        <v>1520</v>
      </c>
      <c r="C93" t="s">
        <v>1487</v>
      </c>
      <c r="D93" t="s">
        <v>1504</v>
      </c>
      <c r="E93" t="s">
        <v>1519</v>
      </c>
      <c r="F93" t="str">
        <f>INDEX(IPCCMaps!H:H,MATCH(mapPRC!D93,IPCCMaps!G:G,0))</f>
        <v>1 Energy</v>
      </c>
      <c r="G93" t="str">
        <f>INDEX(IPCCMaps!I:I,MATCH(mapPRC!D93,IPCCMaps!G:G,0))</f>
        <v>1A Fuel Combustion Activities</v>
      </c>
      <c r="H93" t="str">
        <f>INDEX(IPCCMaps!J:J,MATCH(mapPRC!D93,IPCCMaps!G:G,0))</f>
        <v>1A4 Other Sectors</v>
      </c>
      <c r="I93" t="str">
        <f>INDEX(IPCCMaps!K:K,MATCH(mapPRC!D93,IPCCMaps!G:G,0))</f>
        <v>1A4a Commercial/Institutional</v>
      </c>
    </row>
    <row r="94" spans="1:9" hidden="1" x14ac:dyDescent="0.25">
      <c r="A94" t="s">
        <v>1518</v>
      </c>
      <c r="B94" t="s">
        <v>1517</v>
      </c>
      <c r="C94" t="s">
        <v>1487</v>
      </c>
      <c r="D94" t="s">
        <v>1504</v>
      </c>
      <c r="E94" t="s">
        <v>721</v>
      </c>
      <c r="F94" t="str">
        <f>INDEX(IPCCMaps!H:H,MATCH(mapPRC!D94,IPCCMaps!G:G,0))</f>
        <v>1 Energy</v>
      </c>
      <c r="G94" t="str">
        <f>INDEX(IPCCMaps!I:I,MATCH(mapPRC!D94,IPCCMaps!G:G,0))</f>
        <v>1A Fuel Combustion Activities</v>
      </c>
      <c r="H94" t="str">
        <f>INDEX(IPCCMaps!J:J,MATCH(mapPRC!D94,IPCCMaps!G:G,0))</f>
        <v>1A4 Other Sectors</v>
      </c>
      <c r="I94" t="str">
        <f>INDEX(IPCCMaps!K:K,MATCH(mapPRC!D94,IPCCMaps!G:G,0))</f>
        <v>1A4a Commercial/Institutional</v>
      </c>
    </row>
    <row r="95" spans="1:9" hidden="1" x14ac:dyDescent="0.25">
      <c r="A95" t="s">
        <v>1516</v>
      </c>
      <c r="B95" t="s">
        <v>1515</v>
      </c>
      <c r="C95" t="s">
        <v>1487</v>
      </c>
      <c r="D95" t="s">
        <v>1504</v>
      </c>
      <c r="E95" t="s">
        <v>721</v>
      </c>
      <c r="F95" t="str">
        <f>INDEX(IPCCMaps!H:H,MATCH(mapPRC!D95,IPCCMaps!G:G,0))</f>
        <v>1 Energy</v>
      </c>
      <c r="G95" t="str">
        <f>INDEX(IPCCMaps!I:I,MATCH(mapPRC!D95,IPCCMaps!G:G,0))</f>
        <v>1A Fuel Combustion Activities</v>
      </c>
      <c r="H95" t="str">
        <f>INDEX(IPCCMaps!J:J,MATCH(mapPRC!D95,IPCCMaps!G:G,0))</f>
        <v>1A4 Other Sectors</v>
      </c>
      <c r="I95" t="str">
        <f>INDEX(IPCCMaps!K:K,MATCH(mapPRC!D95,IPCCMaps!G:G,0))</f>
        <v>1A4a Commercial/Institutional</v>
      </c>
    </row>
    <row r="96" spans="1:9" hidden="1" x14ac:dyDescent="0.25">
      <c r="A96" t="s">
        <v>1512</v>
      </c>
      <c r="B96" t="s">
        <v>1511</v>
      </c>
      <c r="C96" t="s">
        <v>1487</v>
      </c>
      <c r="D96" t="s">
        <v>1504</v>
      </c>
      <c r="E96" t="s">
        <v>721</v>
      </c>
      <c r="F96" t="str">
        <f>INDEX(IPCCMaps!H:H,MATCH(mapPRC!D96,IPCCMaps!G:G,0))</f>
        <v>1 Energy</v>
      </c>
      <c r="G96" t="str">
        <f>INDEX(IPCCMaps!I:I,MATCH(mapPRC!D96,IPCCMaps!G:G,0))</f>
        <v>1A Fuel Combustion Activities</v>
      </c>
      <c r="H96" t="str">
        <f>INDEX(IPCCMaps!J:J,MATCH(mapPRC!D96,IPCCMaps!G:G,0))</f>
        <v>1A4 Other Sectors</v>
      </c>
      <c r="I96" t="str">
        <f>INDEX(IPCCMaps!K:K,MATCH(mapPRC!D96,IPCCMaps!G:G,0))</f>
        <v>1A4a Commercial/Institutional</v>
      </c>
    </row>
    <row r="97" spans="1:9" hidden="1" x14ac:dyDescent="0.25">
      <c r="A97" t="s">
        <v>1514</v>
      </c>
      <c r="B97" t="s">
        <v>1513</v>
      </c>
      <c r="C97" t="s">
        <v>1487</v>
      </c>
      <c r="D97" t="s">
        <v>1504</v>
      </c>
      <c r="E97" t="s">
        <v>721</v>
      </c>
      <c r="F97" t="str">
        <f>INDEX(IPCCMaps!H:H,MATCH(mapPRC!D97,IPCCMaps!G:G,0))</f>
        <v>1 Energy</v>
      </c>
      <c r="G97" t="str">
        <f>INDEX(IPCCMaps!I:I,MATCH(mapPRC!D97,IPCCMaps!G:G,0))</f>
        <v>1A Fuel Combustion Activities</v>
      </c>
      <c r="H97" t="str">
        <f>INDEX(IPCCMaps!J:J,MATCH(mapPRC!D97,IPCCMaps!G:G,0))</f>
        <v>1A4 Other Sectors</v>
      </c>
      <c r="I97" t="str">
        <f>INDEX(IPCCMaps!K:K,MATCH(mapPRC!D97,IPCCMaps!G:G,0))</f>
        <v>1A4a Commercial/Institutional</v>
      </c>
    </row>
    <row r="98" spans="1:9" hidden="1" x14ac:dyDescent="0.25">
      <c r="A98" t="s">
        <v>1510</v>
      </c>
      <c r="B98" t="s">
        <v>1509</v>
      </c>
      <c r="C98" t="s">
        <v>1487</v>
      </c>
      <c r="D98" t="s">
        <v>1504</v>
      </c>
      <c r="E98" t="s">
        <v>721</v>
      </c>
      <c r="F98" t="str">
        <f>INDEX(IPCCMaps!H:H,MATCH(mapPRC!D98,IPCCMaps!G:G,0))</f>
        <v>1 Energy</v>
      </c>
      <c r="G98" t="str">
        <f>INDEX(IPCCMaps!I:I,MATCH(mapPRC!D98,IPCCMaps!G:G,0))</f>
        <v>1A Fuel Combustion Activities</v>
      </c>
      <c r="H98" t="str">
        <f>INDEX(IPCCMaps!J:J,MATCH(mapPRC!D98,IPCCMaps!G:G,0))</f>
        <v>1A4 Other Sectors</v>
      </c>
      <c r="I98" t="str">
        <f>INDEX(IPCCMaps!K:K,MATCH(mapPRC!D98,IPCCMaps!G:G,0))</f>
        <v>1A4a Commercial/Institutional</v>
      </c>
    </row>
    <row r="99" spans="1:9" hidden="1" x14ac:dyDescent="0.25">
      <c r="A99" t="s">
        <v>1508</v>
      </c>
      <c r="B99" t="s">
        <v>1507</v>
      </c>
      <c r="C99" t="s">
        <v>1487</v>
      </c>
      <c r="D99" t="s">
        <v>1504</v>
      </c>
      <c r="E99" t="s">
        <v>721</v>
      </c>
      <c r="F99" t="str">
        <f>INDEX(IPCCMaps!H:H,MATCH(mapPRC!D99,IPCCMaps!G:G,0))</f>
        <v>1 Energy</v>
      </c>
      <c r="G99" t="str">
        <f>INDEX(IPCCMaps!I:I,MATCH(mapPRC!D99,IPCCMaps!G:G,0))</f>
        <v>1A Fuel Combustion Activities</v>
      </c>
      <c r="H99" t="str">
        <f>INDEX(IPCCMaps!J:J,MATCH(mapPRC!D99,IPCCMaps!G:G,0))</f>
        <v>1A4 Other Sectors</v>
      </c>
      <c r="I99" t="str">
        <f>INDEX(IPCCMaps!K:K,MATCH(mapPRC!D99,IPCCMaps!G:G,0))</f>
        <v>1A4a Commercial/Institutional</v>
      </c>
    </row>
    <row r="100" spans="1:9" hidden="1" x14ac:dyDescent="0.25">
      <c r="A100" t="s">
        <v>1506</v>
      </c>
      <c r="B100" t="s">
        <v>1505</v>
      </c>
      <c r="C100" t="s">
        <v>1487</v>
      </c>
      <c r="D100" t="s">
        <v>1504</v>
      </c>
      <c r="E100" t="s">
        <v>721</v>
      </c>
      <c r="F100" t="str">
        <f>INDEX(IPCCMaps!H:H,MATCH(mapPRC!D100,IPCCMaps!G:G,0))</f>
        <v>1 Energy</v>
      </c>
      <c r="G100" t="str">
        <f>INDEX(IPCCMaps!I:I,MATCH(mapPRC!D100,IPCCMaps!G:G,0))</f>
        <v>1A Fuel Combustion Activities</v>
      </c>
      <c r="H100" t="str">
        <f>INDEX(IPCCMaps!J:J,MATCH(mapPRC!D100,IPCCMaps!G:G,0))</f>
        <v>1A4 Other Sectors</v>
      </c>
      <c r="I100" t="str">
        <f>INDEX(IPCCMaps!K:K,MATCH(mapPRC!D100,IPCCMaps!G:G,0))</f>
        <v>1A4a Commercial/Institutional</v>
      </c>
    </row>
    <row r="101" spans="1:9" hidden="1" x14ac:dyDescent="0.25">
      <c r="A101" t="s">
        <v>1503</v>
      </c>
      <c r="B101" t="s">
        <v>1502</v>
      </c>
      <c r="C101" t="s">
        <v>1487</v>
      </c>
      <c r="D101" t="s">
        <v>1486</v>
      </c>
      <c r="E101" t="s">
        <v>1061</v>
      </c>
      <c r="F101" t="e">
        <f>INDEX(IPCCMaps!H:H,MATCH(mapPRC!D101,IPCCMaps!G:G,0))</f>
        <v>#N/A</v>
      </c>
      <c r="G101" t="e">
        <f>INDEX(IPCCMaps!I:I,MATCH(mapPRC!D101,IPCCMaps!G:G,0))</f>
        <v>#N/A</v>
      </c>
      <c r="H101" t="e">
        <f>INDEX(IPCCMaps!J:J,MATCH(mapPRC!D101,IPCCMaps!G:G,0))</f>
        <v>#N/A</v>
      </c>
      <c r="I101" t="e">
        <f>INDEX(IPCCMaps!K:K,MATCH(mapPRC!D101,IPCCMaps!G:G,0))</f>
        <v>#N/A</v>
      </c>
    </row>
    <row r="102" spans="1:9" hidden="1" x14ac:dyDescent="0.25">
      <c r="A102" t="s">
        <v>1501</v>
      </c>
      <c r="B102" t="s">
        <v>1500</v>
      </c>
      <c r="C102" t="s">
        <v>1487</v>
      </c>
      <c r="D102" t="s">
        <v>1486</v>
      </c>
      <c r="E102" t="s">
        <v>1061</v>
      </c>
      <c r="F102" t="e">
        <f>INDEX(IPCCMaps!H:H,MATCH(mapPRC!D102,IPCCMaps!G:G,0))</f>
        <v>#N/A</v>
      </c>
      <c r="G102" t="e">
        <f>INDEX(IPCCMaps!I:I,MATCH(mapPRC!D102,IPCCMaps!G:G,0))</f>
        <v>#N/A</v>
      </c>
      <c r="H102" t="e">
        <f>INDEX(IPCCMaps!J:J,MATCH(mapPRC!D102,IPCCMaps!G:G,0))</f>
        <v>#N/A</v>
      </c>
      <c r="I102" t="e">
        <f>INDEX(IPCCMaps!K:K,MATCH(mapPRC!D102,IPCCMaps!G:G,0))</f>
        <v>#N/A</v>
      </c>
    </row>
    <row r="103" spans="1:9" hidden="1" x14ac:dyDescent="0.25">
      <c r="A103" t="s">
        <v>1499</v>
      </c>
      <c r="B103" t="s">
        <v>1498</v>
      </c>
      <c r="C103" t="s">
        <v>1487</v>
      </c>
      <c r="D103" t="s">
        <v>1486</v>
      </c>
      <c r="E103" t="s">
        <v>743</v>
      </c>
      <c r="F103" t="e">
        <f>INDEX(IPCCMaps!H:H,MATCH(mapPRC!D103,IPCCMaps!G:G,0))</f>
        <v>#N/A</v>
      </c>
      <c r="G103" t="e">
        <f>INDEX(IPCCMaps!I:I,MATCH(mapPRC!D103,IPCCMaps!G:G,0))</f>
        <v>#N/A</v>
      </c>
      <c r="H103" t="e">
        <f>INDEX(IPCCMaps!J:J,MATCH(mapPRC!D103,IPCCMaps!G:G,0))</f>
        <v>#N/A</v>
      </c>
      <c r="I103" t="e">
        <f>INDEX(IPCCMaps!K:K,MATCH(mapPRC!D103,IPCCMaps!G:G,0))</f>
        <v>#N/A</v>
      </c>
    </row>
    <row r="104" spans="1:9" hidden="1" x14ac:dyDescent="0.25">
      <c r="A104" t="s">
        <v>1497</v>
      </c>
      <c r="B104" t="s">
        <v>1496</v>
      </c>
      <c r="C104" t="s">
        <v>1487</v>
      </c>
      <c r="D104" t="s">
        <v>1486</v>
      </c>
      <c r="E104" t="s">
        <v>743</v>
      </c>
      <c r="F104" t="e">
        <f>INDEX(IPCCMaps!H:H,MATCH(mapPRC!D104,IPCCMaps!G:G,0))</f>
        <v>#N/A</v>
      </c>
      <c r="G104" t="e">
        <f>INDEX(IPCCMaps!I:I,MATCH(mapPRC!D104,IPCCMaps!G:G,0))</f>
        <v>#N/A</v>
      </c>
      <c r="H104" t="e">
        <f>INDEX(IPCCMaps!J:J,MATCH(mapPRC!D104,IPCCMaps!G:G,0))</f>
        <v>#N/A</v>
      </c>
      <c r="I104" t="e">
        <f>INDEX(IPCCMaps!K:K,MATCH(mapPRC!D104,IPCCMaps!G:G,0))</f>
        <v>#N/A</v>
      </c>
    </row>
    <row r="105" spans="1:9" hidden="1" x14ac:dyDescent="0.25">
      <c r="A105" t="s">
        <v>1495</v>
      </c>
      <c r="B105" t="s">
        <v>1494</v>
      </c>
      <c r="E105" t="s">
        <v>0</v>
      </c>
      <c r="F105" t="e">
        <f>INDEX(IPCCMaps!H:H,MATCH(mapPRC!D105,IPCCMaps!G:G,0))</f>
        <v>#N/A</v>
      </c>
      <c r="G105" t="e">
        <f>INDEX(IPCCMaps!I:I,MATCH(mapPRC!D105,IPCCMaps!G:G,0))</f>
        <v>#N/A</v>
      </c>
      <c r="H105" t="e">
        <f>INDEX(IPCCMaps!J:J,MATCH(mapPRC!D105,IPCCMaps!G:G,0))</f>
        <v>#N/A</v>
      </c>
      <c r="I105" t="e">
        <f>INDEX(IPCCMaps!K:K,MATCH(mapPRC!D105,IPCCMaps!G:G,0))</f>
        <v>#N/A</v>
      </c>
    </row>
    <row r="106" spans="1:9" hidden="1" x14ac:dyDescent="0.25">
      <c r="A106" t="s">
        <v>1493</v>
      </c>
      <c r="B106" t="s">
        <v>1492</v>
      </c>
      <c r="E106" t="s">
        <v>0</v>
      </c>
      <c r="F106" t="e">
        <f>INDEX(IPCCMaps!H:H,MATCH(mapPRC!D106,IPCCMaps!G:G,0))</f>
        <v>#N/A</v>
      </c>
      <c r="G106" t="e">
        <f>INDEX(IPCCMaps!I:I,MATCH(mapPRC!D106,IPCCMaps!G:G,0))</f>
        <v>#N/A</v>
      </c>
      <c r="H106" t="e">
        <f>INDEX(IPCCMaps!J:J,MATCH(mapPRC!D106,IPCCMaps!G:G,0))</f>
        <v>#N/A</v>
      </c>
      <c r="I106" t="e">
        <f>INDEX(IPCCMaps!K:K,MATCH(mapPRC!D106,IPCCMaps!G:G,0))</f>
        <v>#N/A</v>
      </c>
    </row>
    <row r="107" spans="1:9" hidden="1" x14ac:dyDescent="0.25">
      <c r="A107" t="s">
        <v>1491</v>
      </c>
      <c r="B107" t="s">
        <v>1490</v>
      </c>
      <c r="C107" t="s">
        <v>1487</v>
      </c>
      <c r="D107" t="s">
        <v>1486</v>
      </c>
      <c r="E107" t="s">
        <v>1011</v>
      </c>
      <c r="F107" t="e">
        <f>INDEX(IPCCMaps!H:H,MATCH(mapPRC!D107,IPCCMaps!G:G,0))</f>
        <v>#N/A</v>
      </c>
      <c r="G107" t="e">
        <f>INDEX(IPCCMaps!I:I,MATCH(mapPRC!D107,IPCCMaps!G:G,0))</f>
        <v>#N/A</v>
      </c>
      <c r="H107" t="e">
        <f>INDEX(IPCCMaps!J:J,MATCH(mapPRC!D107,IPCCMaps!G:G,0))</f>
        <v>#N/A</v>
      </c>
      <c r="I107" t="e">
        <f>INDEX(IPCCMaps!K:K,MATCH(mapPRC!D107,IPCCMaps!G:G,0))</f>
        <v>#N/A</v>
      </c>
    </row>
    <row r="108" spans="1:9" hidden="1" x14ac:dyDescent="0.25">
      <c r="A108" t="s">
        <v>1489</v>
      </c>
      <c r="B108" t="s">
        <v>1488</v>
      </c>
      <c r="C108" t="s">
        <v>1487</v>
      </c>
      <c r="D108" t="s">
        <v>1486</v>
      </c>
      <c r="E108" t="s">
        <v>1011</v>
      </c>
      <c r="F108" t="e">
        <f>INDEX(IPCCMaps!H:H,MATCH(mapPRC!D108,IPCCMaps!G:G,0))</f>
        <v>#N/A</v>
      </c>
      <c r="G108" t="e">
        <f>INDEX(IPCCMaps!I:I,MATCH(mapPRC!D108,IPCCMaps!G:G,0))</f>
        <v>#N/A</v>
      </c>
      <c r="H108" t="e">
        <f>INDEX(IPCCMaps!J:J,MATCH(mapPRC!D108,IPCCMaps!G:G,0))</f>
        <v>#N/A</v>
      </c>
      <c r="I108" t="e">
        <f>INDEX(IPCCMaps!K:K,MATCH(mapPRC!D108,IPCCMaps!G:G,0))</f>
        <v>#N/A</v>
      </c>
    </row>
    <row r="109" spans="1:9" hidden="1" x14ac:dyDescent="0.25">
      <c r="A109" t="s">
        <v>16</v>
      </c>
      <c r="B109" t="s">
        <v>15</v>
      </c>
      <c r="E109" t="s">
        <v>0</v>
      </c>
      <c r="F109" t="e">
        <f>INDEX(IPCCMaps!H:H,MATCH(mapPRC!D109,IPCCMaps!G:G,0))</f>
        <v>#N/A</v>
      </c>
      <c r="G109" t="e">
        <f>INDEX(IPCCMaps!I:I,MATCH(mapPRC!D109,IPCCMaps!G:G,0))</f>
        <v>#N/A</v>
      </c>
      <c r="H109" t="e">
        <f>INDEX(IPCCMaps!J:J,MATCH(mapPRC!D109,IPCCMaps!G:G,0))</f>
        <v>#N/A</v>
      </c>
      <c r="I109" t="e">
        <f>INDEX(IPCCMaps!K:K,MATCH(mapPRC!D109,IPCCMaps!G:G,0))</f>
        <v>#N/A</v>
      </c>
    </row>
    <row r="110" spans="1:9" hidden="1" x14ac:dyDescent="0.25">
      <c r="A110" t="s">
        <v>14</v>
      </c>
      <c r="B110" t="s">
        <v>13</v>
      </c>
      <c r="E110" t="s">
        <v>0</v>
      </c>
      <c r="F110" t="e">
        <f>INDEX(IPCCMaps!H:H,MATCH(mapPRC!D110,IPCCMaps!G:G,0))</f>
        <v>#N/A</v>
      </c>
      <c r="G110" t="e">
        <f>INDEX(IPCCMaps!I:I,MATCH(mapPRC!D110,IPCCMaps!G:G,0))</f>
        <v>#N/A</v>
      </c>
      <c r="H110" t="e">
        <f>INDEX(IPCCMaps!J:J,MATCH(mapPRC!D110,IPCCMaps!G:G,0))</f>
        <v>#N/A</v>
      </c>
      <c r="I110" t="e">
        <f>INDEX(IPCCMaps!K:K,MATCH(mapPRC!D110,IPCCMaps!G:G,0))</f>
        <v>#N/A</v>
      </c>
    </row>
    <row r="111" spans="1:9" hidden="1" x14ac:dyDescent="0.25">
      <c r="A111" t="s">
        <v>12</v>
      </c>
      <c r="B111" t="s">
        <v>11</v>
      </c>
      <c r="E111" t="s">
        <v>0</v>
      </c>
      <c r="F111" t="e">
        <f>INDEX(IPCCMaps!H:H,MATCH(mapPRC!D111,IPCCMaps!G:G,0))</f>
        <v>#N/A</v>
      </c>
      <c r="G111" t="e">
        <f>INDEX(IPCCMaps!I:I,MATCH(mapPRC!D111,IPCCMaps!G:G,0))</f>
        <v>#N/A</v>
      </c>
      <c r="H111" t="e">
        <f>INDEX(IPCCMaps!J:J,MATCH(mapPRC!D111,IPCCMaps!G:G,0))</f>
        <v>#N/A</v>
      </c>
      <c r="I111" t="e">
        <f>INDEX(IPCCMaps!K:K,MATCH(mapPRC!D111,IPCCMaps!G:G,0))</f>
        <v>#N/A</v>
      </c>
    </row>
    <row r="112" spans="1:9" hidden="1" x14ac:dyDescent="0.25">
      <c r="A112" t="s">
        <v>10</v>
      </c>
      <c r="B112" t="s">
        <v>9</v>
      </c>
      <c r="E112" t="s">
        <v>0</v>
      </c>
      <c r="F112" t="e">
        <f>INDEX(IPCCMaps!H:H,MATCH(mapPRC!D112,IPCCMaps!G:G,0))</f>
        <v>#N/A</v>
      </c>
      <c r="G112" t="e">
        <f>INDEX(IPCCMaps!I:I,MATCH(mapPRC!D112,IPCCMaps!G:G,0))</f>
        <v>#N/A</v>
      </c>
      <c r="H112" t="e">
        <f>INDEX(IPCCMaps!J:J,MATCH(mapPRC!D112,IPCCMaps!G:G,0))</f>
        <v>#N/A</v>
      </c>
      <c r="I112" t="e">
        <f>INDEX(IPCCMaps!K:K,MATCH(mapPRC!D112,IPCCMaps!G:G,0))</f>
        <v>#N/A</v>
      </c>
    </row>
    <row r="113" spans="1:9" hidden="1" x14ac:dyDescent="0.25">
      <c r="A113" t="s">
        <v>1483</v>
      </c>
      <c r="B113" t="s">
        <v>1482</v>
      </c>
      <c r="C113" t="s">
        <v>145</v>
      </c>
      <c r="D113" t="s">
        <v>1481</v>
      </c>
      <c r="E113" t="s">
        <v>1481</v>
      </c>
      <c r="F113" t="str">
        <f>INDEX(IPCCMaps!H:H,MATCH(mapPRC!D113,IPCCMaps!G:G,0))</f>
        <v>1 Energy</v>
      </c>
      <c r="G113" t="str">
        <f>INDEX(IPCCMaps!I:I,MATCH(mapPRC!D113,IPCCMaps!G:G,0))</f>
        <v>1A Fuel Combustion Activities</v>
      </c>
      <c r="H113" t="str">
        <f>INDEX(IPCCMaps!J:J,MATCH(mapPRC!D113,IPCCMaps!G:G,0))</f>
        <v>1A1 Energy Industries</v>
      </c>
      <c r="I113" t="str">
        <f>INDEX(IPCCMaps!K:K,MATCH(mapPRC!D113,IPCCMaps!G:G,0))</f>
        <v>1A1a Electricity and Heat Production</v>
      </c>
    </row>
    <row r="114" spans="1:9" hidden="1" x14ac:dyDescent="0.25">
      <c r="A114" t="s">
        <v>1485</v>
      </c>
      <c r="B114" t="s">
        <v>1484</v>
      </c>
      <c r="C114" t="s">
        <v>145</v>
      </c>
      <c r="D114" t="s">
        <v>1481</v>
      </c>
      <c r="E114" t="s">
        <v>1481</v>
      </c>
      <c r="F114" t="str">
        <f>INDEX(IPCCMaps!H:H,MATCH(mapPRC!D114,IPCCMaps!G:G,0))</f>
        <v>1 Energy</v>
      </c>
      <c r="G114" t="str">
        <f>INDEX(IPCCMaps!I:I,MATCH(mapPRC!D114,IPCCMaps!G:G,0))</f>
        <v>1A Fuel Combustion Activities</v>
      </c>
      <c r="H114" t="str">
        <f>INDEX(IPCCMaps!J:J,MATCH(mapPRC!D114,IPCCMaps!G:G,0))</f>
        <v>1A1 Energy Industries</v>
      </c>
      <c r="I114" t="str">
        <f>INDEX(IPCCMaps!K:K,MATCH(mapPRC!D114,IPCCMaps!G:G,0))</f>
        <v>1A1a Electricity and Heat Production</v>
      </c>
    </row>
    <row r="115" spans="1:9" hidden="1" x14ac:dyDescent="0.25">
      <c r="A115" t="s">
        <v>1480</v>
      </c>
      <c r="B115" t="s">
        <v>1479</v>
      </c>
      <c r="C115" t="s">
        <v>145</v>
      </c>
      <c r="D115" t="s">
        <v>1476</v>
      </c>
      <c r="E115" t="s">
        <v>1476</v>
      </c>
      <c r="F115" t="str">
        <f>INDEX(IPCCMaps!H:H,MATCH(mapPRC!D115,IPCCMaps!G:G,0))</f>
        <v>1 Energy</v>
      </c>
      <c r="G115" t="str">
        <f>INDEX(IPCCMaps!I:I,MATCH(mapPRC!D115,IPCCMaps!G:G,0))</f>
        <v>1A Fuel Combustion Activities</v>
      </c>
      <c r="H115" t="str">
        <f>INDEX(IPCCMaps!J:J,MATCH(mapPRC!D115,IPCCMaps!G:G,0))</f>
        <v>1A1 Energy Industries</v>
      </c>
      <c r="I115" t="str">
        <f>INDEX(IPCCMaps!K:K,MATCH(mapPRC!D115,IPCCMaps!G:G,0))</f>
        <v>1A1a Electricity and Heat Production</v>
      </c>
    </row>
    <row r="116" spans="1:9" hidden="1" x14ac:dyDescent="0.25">
      <c r="A116" t="s">
        <v>1478</v>
      </c>
      <c r="B116" t="s">
        <v>1477</v>
      </c>
      <c r="C116" t="s">
        <v>145</v>
      </c>
      <c r="D116" t="s">
        <v>1476</v>
      </c>
      <c r="E116" t="s">
        <v>1476</v>
      </c>
      <c r="F116" t="str">
        <f>INDEX(IPCCMaps!H:H,MATCH(mapPRC!D116,IPCCMaps!G:G,0))</f>
        <v>1 Energy</v>
      </c>
      <c r="G116" t="str">
        <f>INDEX(IPCCMaps!I:I,MATCH(mapPRC!D116,IPCCMaps!G:G,0))</f>
        <v>1A Fuel Combustion Activities</v>
      </c>
      <c r="H116" t="str">
        <f>INDEX(IPCCMaps!J:J,MATCH(mapPRC!D116,IPCCMaps!G:G,0))</f>
        <v>1A1 Energy Industries</v>
      </c>
      <c r="I116" t="str">
        <f>INDEX(IPCCMaps!K:K,MATCH(mapPRC!D116,IPCCMaps!G:G,0))</f>
        <v>1A1a Electricity and Heat Production</v>
      </c>
    </row>
    <row r="117" spans="1:9" hidden="1" x14ac:dyDescent="0.25">
      <c r="A117" t="s">
        <v>1468</v>
      </c>
      <c r="B117" t="s">
        <v>1467</v>
      </c>
      <c r="C117" t="s">
        <v>145</v>
      </c>
      <c r="D117" t="s">
        <v>1316</v>
      </c>
      <c r="E117" t="s">
        <v>1316</v>
      </c>
      <c r="F117" t="str">
        <f>INDEX(IPCCMaps!H:H,MATCH(mapPRC!D117,IPCCMaps!G:G,0))</f>
        <v>1 Energy</v>
      </c>
      <c r="G117" t="str">
        <f>INDEX(IPCCMaps!I:I,MATCH(mapPRC!D117,IPCCMaps!G:G,0))</f>
        <v>1A Fuel Combustion Activities</v>
      </c>
      <c r="H117" t="str">
        <f>INDEX(IPCCMaps!J:J,MATCH(mapPRC!D117,IPCCMaps!G:G,0))</f>
        <v>1A1 Energy Industries</v>
      </c>
      <c r="I117" t="str">
        <f>INDEX(IPCCMaps!K:K,MATCH(mapPRC!D117,IPCCMaps!G:G,0))</f>
        <v>1A1a Electricity and Heat Production</v>
      </c>
    </row>
    <row r="118" spans="1:9" hidden="1" x14ac:dyDescent="0.25">
      <c r="A118" t="s">
        <v>1475</v>
      </c>
      <c r="B118" t="s">
        <v>1474</v>
      </c>
      <c r="C118" t="s">
        <v>145</v>
      </c>
      <c r="D118" t="s">
        <v>1469</v>
      </c>
      <c r="E118" t="s">
        <v>1469</v>
      </c>
      <c r="F118" t="str">
        <f>INDEX(IPCCMaps!H:H,MATCH(mapPRC!D118,IPCCMaps!G:G,0))</f>
        <v>1 Energy</v>
      </c>
      <c r="G118" t="str">
        <f>INDEX(IPCCMaps!I:I,MATCH(mapPRC!D118,IPCCMaps!G:G,0))</f>
        <v>1A Fuel Combustion Activities</v>
      </c>
      <c r="H118" t="str">
        <f>INDEX(IPCCMaps!J:J,MATCH(mapPRC!D118,IPCCMaps!G:G,0))</f>
        <v>1A1 Energy Industries</v>
      </c>
      <c r="I118" t="str">
        <f>INDEX(IPCCMaps!K:K,MATCH(mapPRC!D118,IPCCMaps!G:G,0))</f>
        <v>1A1a Electricity and Heat Production</v>
      </c>
    </row>
    <row r="119" spans="1:9" hidden="1" x14ac:dyDescent="0.25">
      <c r="A119" t="s">
        <v>1466</v>
      </c>
      <c r="B119" t="s">
        <v>1465</v>
      </c>
      <c r="C119" t="s">
        <v>145</v>
      </c>
      <c r="D119" t="s">
        <v>1316</v>
      </c>
      <c r="E119" t="s">
        <v>1316</v>
      </c>
      <c r="F119" t="str">
        <f>INDEX(IPCCMaps!H:H,MATCH(mapPRC!D119,IPCCMaps!G:G,0))</f>
        <v>1 Energy</v>
      </c>
      <c r="G119" t="str">
        <f>INDEX(IPCCMaps!I:I,MATCH(mapPRC!D119,IPCCMaps!G:G,0))</f>
        <v>1A Fuel Combustion Activities</v>
      </c>
      <c r="H119" t="str">
        <f>INDEX(IPCCMaps!J:J,MATCH(mapPRC!D119,IPCCMaps!G:G,0))</f>
        <v>1A1 Energy Industries</v>
      </c>
      <c r="I119" t="str">
        <f>INDEX(IPCCMaps!K:K,MATCH(mapPRC!D119,IPCCMaps!G:G,0))</f>
        <v>1A1a Electricity and Heat Production</v>
      </c>
    </row>
    <row r="120" spans="1:9" hidden="1" x14ac:dyDescent="0.25">
      <c r="A120" t="s">
        <v>1464</v>
      </c>
      <c r="B120" t="s">
        <v>1463</v>
      </c>
      <c r="C120" t="s">
        <v>145</v>
      </c>
      <c r="D120" t="s">
        <v>1316</v>
      </c>
      <c r="E120" t="s">
        <v>1316</v>
      </c>
      <c r="F120" t="str">
        <f>INDEX(IPCCMaps!H:H,MATCH(mapPRC!D120,IPCCMaps!G:G,0))</f>
        <v>1 Energy</v>
      </c>
      <c r="G120" t="str">
        <f>INDEX(IPCCMaps!I:I,MATCH(mapPRC!D120,IPCCMaps!G:G,0))</f>
        <v>1A Fuel Combustion Activities</v>
      </c>
      <c r="H120" t="str">
        <f>INDEX(IPCCMaps!J:J,MATCH(mapPRC!D120,IPCCMaps!G:G,0))</f>
        <v>1A1 Energy Industries</v>
      </c>
      <c r="I120" t="str">
        <f>INDEX(IPCCMaps!K:K,MATCH(mapPRC!D120,IPCCMaps!G:G,0))</f>
        <v>1A1a Electricity and Heat Production</v>
      </c>
    </row>
    <row r="121" spans="1:9" hidden="1" x14ac:dyDescent="0.25">
      <c r="A121" t="s">
        <v>1462</v>
      </c>
      <c r="B121" t="s">
        <v>1461</v>
      </c>
      <c r="C121" t="s">
        <v>145</v>
      </c>
      <c r="D121" t="s">
        <v>1316</v>
      </c>
      <c r="E121" t="s">
        <v>1316</v>
      </c>
      <c r="F121" t="str">
        <f>INDEX(IPCCMaps!H:H,MATCH(mapPRC!D121,IPCCMaps!G:G,0))</f>
        <v>1 Energy</v>
      </c>
      <c r="G121" t="str">
        <f>INDEX(IPCCMaps!I:I,MATCH(mapPRC!D121,IPCCMaps!G:G,0))</f>
        <v>1A Fuel Combustion Activities</v>
      </c>
      <c r="H121" t="str">
        <f>INDEX(IPCCMaps!J:J,MATCH(mapPRC!D121,IPCCMaps!G:G,0))</f>
        <v>1A1 Energy Industries</v>
      </c>
      <c r="I121" t="str">
        <f>INDEX(IPCCMaps!K:K,MATCH(mapPRC!D121,IPCCMaps!G:G,0))</f>
        <v>1A1a Electricity and Heat Production</v>
      </c>
    </row>
    <row r="122" spans="1:9" hidden="1" x14ac:dyDescent="0.25">
      <c r="A122" t="s">
        <v>1460</v>
      </c>
      <c r="B122" t="s">
        <v>1459</v>
      </c>
      <c r="C122" t="s">
        <v>145</v>
      </c>
      <c r="D122" t="s">
        <v>1316</v>
      </c>
      <c r="E122" t="s">
        <v>1316</v>
      </c>
      <c r="F122" t="str">
        <f>INDEX(IPCCMaps!H:H,MATCH(mapPRC!D122,IPCCMaps!G:G,0))</f>
        <v>1 Energy</v>
      </c>
      <c r="G122" t="str">
        <f>INDEX(IPCCMaps!I:I,MATCH(mapPRC!D122,IPCCMaps!G:G,0))</f>
        <v>1A Fuel Combustion Activities</v>
      </c>
      <c r="H122" t="str">
        <f>INDEX(IPCCMaps!J:J,MATCH(mapPRC!D122,IPCCMaps!G:G,0))</f>
        <v>1A1 Energy Industries</v>
      </c>
      <c r="I122" t="str">
        <f>INDEX(IPCCMaps!K:K,MATCH(mapPRC!D122,IPCCMaps!G:G,0))</f>
        <v>1A1a Electricity and Heat Production</v>
      </c>
    </row>
    <row r="123" spans="1:9" hidden="1" x14ac:dyDescent="0.25">
      <c r="A123" t="s">
        <v>1473</v>
      </c>
      <c r="B123" t="s">
        <v>1472</v>
      </c>
      <c r="C123" t="s">
        <v>145</v>
      </c>
      <c r="D123" t="s">
        <v>1316</v>
      </c>
      <c r="E123" t="s">
        <v>1316</v>
      </c>
      <c r="F123" t="str">
        <f>INDEX(IPCCMaps!H:H,MATCH(mapPRC!D123,IPCCMaps!G:G,0))</f>
        <v>1 Energy</v>
      </c>
      <c r="G123" t="str">
        <f>INDEX(IPCCMaps!I:I,MATCH(mapPRC!D123,IPCCMaps!G:G,0))</f>
        <v>1A Fuel Combustion Activities</v>
      </c>
      <c r="H123" t="str">
        <f>INDEX(IPCCMaps!J:J,MATCH(mapPRC!D123,IPCCMaps!G:G,0))</f>
        <v>1A1 Energy Industries</v>
      </c>
      <c r="I123" t="str">
        <f>INDEX(IPCCMaps!K:K,MATCH(mapPRC!D123,IPCCMaps!G:G,0))</f>
        <v>1A1a Electricity and Heat Production</v>
      </c>
    </row>
    <row r="124" spans="1:9" hidden="1" x14ac:dyDescent="0.25">
      <c r="A124" t="s">
        <v>1458</v>
      </c>
      <c r="B124" t="s">
        <v>1457</v>
      </c>
      <c r="C124" t="s">
        <v>145</v>
      </c>
      <c r="D124" t="s">
        <v>1316</v>
      </c>
      <c r="E124" t="s">
        <v>1316</v>
      </c>
      <c r="F124" t="str">
        <f>INDEX(IPCCMaps!H:H,MATCH(mapPRC!D124,IPCCMaps!G:G,0))</f>
        <v>1 Energy</v>
      </c>
      <c r="G124" t="str">
        <f>INDEX(IPCCMaps!I:I,MATCH(mapPRC!D124,IPCCMaps!G:G,0))</f>
        <v>1A Fuel Combustion Activities</v>
      </c>
      <c r="H124" t="str">
        <f>INDEX(IPCCMaps!J:J,MATCH(mapPRC!D124,IPCCMaps!G:G,0))</f>
        <v>1A1 Energy Industries</v>
      </c>
      <c r="I124" t="str">
        <f>INDEX(IPCCMaps!K:K,MATCH(mapPRC!D124,IPCCMaps!G:G,0))</f>
        <v>1A1a Electricity and Heat Production</v>
      </c>
    </row>
    <row r="125" spans="1:9" hidden="1" x14ac:dyDescent="0.25">
      <c r="A125" t="s">
        <v>1456</v>
      </c>
      <c r="B125" t="s">
        <v>1455</v>
      </c>
      <c r="C125" t="s">
        <v>145</v>
      </c>
      <c r="D125" t="s">
        <v>1316</v>
      </c>
      <c r="E125" t="s">
        <v>1316</v>
      </c>
      <c r="F125" t="str">
        <f>INDEX(IPCCMaps!H:H,MATCH(mapPRC!D125,IPCCMaps!G:G,0))</f>
        <v>1 Energy</v>
      </c>
      <c r="G125" t="str">
        <f>INDEX(IPCCMaps!I:I,MATCH(mapPRC!D125,IPCCMaps!G:G,0))</f>
        <v>1A Fuel Combustion Activities</v>
      </c>
      <c r="H125" t="str">
        <f>INDEX(IPCCMaps!J:J,MATCH(mapPRC!D125,IPCCMaps!G:G,0))</f>
        <v>1A1 Energy Industries</v>
      </c>
      <c r="I125" t="str">
        <f>INDEX(IPCCMaps!K:K,MATCH(mapPRC!D125,IPCCMaps!G:G,0))</f>
        <v>1A1a Electricity and Heat Production</v>
      </c>
    </row>
    <row r="126" spans="1:9" hidden="1" x14ac:dyDescent="0.25">
      <c r="A126" t="s">
        <v>1454</v>
      </c>
      <c r="B126" t="s">
        <v>1453</v>
      </c>
      <c r="C126" t="s">
        <v>145</v>
      </c>
      <c r="D126" t="s">
        <v>1316</v>
      </c>
      <c r="E126" t="s">
        <v>1316</v>
      </c>
      <c r="F126" t="str">
        <f>INDEX(IPCCMaps!H:H,MATCH(mapPRC!D126,IPCCMaps!G:G,0))</f>
        <v>1 Energy</v>
      </c>
      <c r="G126" t="str">
        <f>INDEX(IPCCMaps!I:I,MATCH(mapPRC!D126,IPCCMaps!G:G,0))</f>
        <v>1A Fuel Combustion Activities</v>
      </c>
      <c r="H126" t="str">
        <f>INDEX(IPCCMaps!J:J,MATCH(mapPRC!D126,IPCCMaps!G:G,0))</f>
        <v>1A1 Energy Industries</v>
      </c>
      <c r="I126" t="str">
        <f>INDEX(IPCCMaps!K:K,MATCH(mapPRC!D126,IPCCMaps!G:G,0))</f>
        <v>1A1a Electricity and Heat Production</v>
      </c>
    </row>
    <row r="127" spans="1:9" hidden="1" x14ac:dyDescent="0.25">
      <c r="A127" t="s">
        <v>1471</v>
      </c>
      <c r="B127" t="s">
        <v>1470</v>
      </c>
      <c r="C127" t="s">
        <v>145</v>
      </c>
      <c r="D127" t="s">
        <v>1469</v>
      </c>
      <c r="E127" t="s">
        <v>1469</v>
      </c>
      <c r="F127" t="str">
        <f>INDEX(IPCCMaps!H:H,MATCH(mapPRC!D127,IPCCMaps!G:G,0))</f>
        <v>1 Energy</v>
      </c>
      <c r="G127" t="str">
        <f>INDEX(IPCCMaps!I:I,MATCH(mapPRC!D127,IPCCMaps!G:G,0))</f>
        <v>1A Fuel Combustion Activities</v>
      </c>
      <c r="H127" t="str">
        <f>INDEX(IPCCMaps!J:J,MATCH(mapPRC!D127,IPCCMaps!G:G,0))</f>
        <v>1A1 Energy Industries</v>
      </c>
      <c r="I127" t="str">
        <f>INDEX(IPCCMaps!K:K,MATCH(mapPRC!D127,IPCCMaps!G:G,0))</f>
        <v>1A1a Electricity and Heat Production</v>
      </c>
    </row>
    <row r="128" spans="1:9" hidden="1" x14ac:dyDescent="0.25">
      <c r="A128" t="s">
        <v>1452</v>
      </c>
      <c r="B128" t="s">
        <v>1451</v>
      </c>
      <c r="C128" t="s">
        <v>145</v>
      </c>
      <c r="D128" t="s">
        <v>1425</v>
      </c>
      <c r="E128" t="s">
        <v>1448</v>
      </c>
      <c r="F128" t="str">
        <f>INDEX(IPCCMaps!H:H,MATCH(mapPRC!D128,IPCCMaps!G:G,0))</f>
        <v>1 Energy</v>
      </c>
      <c r="G128" t="str">
        <f>INDEX(IPCCMaps!I:I,MATCH(mapPRC!D128,IPCCMaps!G:G,0))</f>
        <v>1A Fuel Combustion Activities</v>
      </c>
      <c r="H128" t="str">
        <f>INDEX(IPCCMaps!J:J,MATCH(mapPRC!D128,IPCCMaps!G:G,0))</f>
        <v>1A1 Energy Industries</v>
      </c>
      <c r="I128" t="str">
        <f>INDEX(IPCCMaps!K:K,MATCH(mapPRC!D128,IPCCMaps!G:G,0))</f>
        <v>1A1a Electricity and Heat Production</v>
      </c>
    </row>
    <row r="129" spans="1:9" hidden="1" x14ac:dyDescent="0.25">
      <c r="A129" t="s">
        <v>1450</v>
      </c>
      <c r="B129" t="s">
        <v>1449</v>
      </c>
      <c r="C129" t="s">
        <v>145</v>
      </c>
      <c r="D129" t="s">
        <v>1425</v>
      </c>
      <c r="E129" t="s">
        <v>1448</v>
      </c>
      <c r="F129" t="str">
        <f>INDEX(IPCCMaps!H:H,MATCH(mapPRC!D129,IPCCMaps!G:G,0))</f>
        <v>1 Energy</v>
      </c>
      <c r="G129" t="str">
        <f>INDEX(IPCCMaps!I:I,MATCH(mapPRC!D129,IPCCMaps!G:G,0))</f>
        <v>1A Fuel Combustion Activities</v>
      </c>
      <c r="H129" t="str">
        <f>INDEX(IPCCMaps!J:J,MATCH(mapPRC!D129,IPCCMaps!G:G,0))</f>
        <v>1A1 Energy Industries</v>
      </c>
      <c r="I129" t="str">
        <f>INDEX(IPCCMaps!K:K,MATCH(mapPRC!D129,IPCCMaps!G:G,0))</f>
        <v>1A1a Electricity and Heat Production</v>
      </c>
    </row>
    <row r="130" spans="1:9" hidden="1" x14ac:dyDescent="0.25">
      <c r="A130" t="s">
        <v>1447</v>
      </c>
      <c r="B130" t="s">
        <v>1446</v>
      </c>
      <c r="C130" t="s">
        <v>145</v>
      </c>
      <c r="D130" t="s">
        <v>1425</v>
      </c>
      <c r="E130" t="s">
        <v>1431</v>
      </c>
      <c r="F130" t="str">
        <f>INDEX(IPCCMaps!H:H,MATCH(mapPRC!D130,IPCCMaps!G:G,0))</f>
        <v>1 Energy</v>
      </c>
      <c r="G130" t="str">
        <f>INDEX(IPCCMaps!I:I,MATCH(mapPRC!D130,IPCCMaps!G:G,0))</f>
        <v>1A Fuel Combustion Activities</v>
      </c>
      <c r="H130" t="str">
        <f>INDEX(IPCCMaps!J:J,MATCH(mapPRC!D130,IPCCMaps!G:G,0))</f>
        <v>1A1 Energy Industries</v>
      </c>
      <c r="I130" t="str">
        <f>INDEX(IPCCMaps!K:K,MATCH(mapPRC!D130,IPCCMaps!G:G,0))</f>
        <v>1A1a Electricity and Heat Production</v>
      </c>
    </row>
    <row r="131" spans="1:9" hidden="1" x14ac:dyDescent="0.25">
      <c r="A131" t="s">
        <v>1445</v>
      </c>
      <c r="B131" t="s">
        <v>1444</v>
      </c>
      <c r="C131" t="s">
        <v>145</v>
      </c>
      <c r="D131" t="s">
        <v>1425</v>
      </c>
      <c r="E131" t="s">
        <v>1431</v>
      </c>
      <c r="F131" t="str">
        <f>INDEX(IPCCMaps!H:H,MATCH(mapPRC!D131,IPCCMaps!G:G,0))</f>
        <v>1 Energy</v>
      </c>
      <c r="G131" t="str">
        <f>INDEX(IPCCMaps!I:I,MATCH(mapPRC!D131,IPCCMaps!G:G,0))</f>
        <v>1A Fuel Combustion Activities</v>
      </c>
      <c r="H131" t="str">
        <f>INDEX(IPCCMaps!J:J,MATCH(mapPRC!D131,IPCCMaps!G:G,0))</f>
        <v>1A1 Energy Industries</v>
      </c>
      <c r="I131" t="str">
        <f>INDEX(IPCCMaps!K:K,MATCH(mapPRC!D131,IPCCMaps!G:G,0))</f>
        <v>1A1a Electricity and Heat Production</v>
      </c>
    </row>
    <row r="132" spans="1:9" hidden="1" x14ac:dyDescent="0.25">
      <c r="A132" t="s">
        <v>1443</v>
      </c>
      <c r="B132" t="s">
        <v>1442</v>
      </c>
      <c r="C132" t="s">
        <v>145</v>
      </c>
      <c r="D132" t="s">
        <v>1425</v>
      </c>
      <c r="E132" t="s">
        <v>1431</v>
      </c>
      <c r="F132" t="str">
        <f>INDEX(IPCCMaps!H:H,MATCH(mapPRC!D132,IPCCMaps!G:G,0))</f>
        <v>1 Energy</v>
      </c>
      <c r="G132" t="str">
        <f>INDEX(IPCCMaps!I:I,MATCH(mapPRC!D132,IPCCMaps!G:G,0))</f>
        <v>1A Fuel Combustion Activities</v>
      </c>
      <c r="H132" t="str">
        <f>INDEX(IPCCMaps!J:J,MATCH(mapPRC!D132,IPCCMaps!G:G,0))</f>
        <v>1A1 Energy Industries</v>
      </c>
      <c r="I132" t="str">
        <f>INDEX(IPCCMaps!K:K,MATCH(mapPRC!D132,IPCCMaps!G:G,0))</f>
        <v>1A1a Electricity and Heat Production</v>
      </c>
    </row>
    <row r="133" spans="1:9" hidden="1" x14ac:dyDescent="0.25">
      <c r="A133" t="s">
        <v>1441</v>
      </c>
      <c r="B133" t="s">
        <v>1440</v>
      </c>
      <c r="C133" t="s">
        <v>145</v>
      </c>
      <c r="D133" t="s">
        <v>1425</v>
      </c>
      <c r="E133" t="s">
        <v>1431</v>
      </c>
      <c r="F133" t="str">
        <f>INDEX(IPCCMaps!H:H,MATCH(mapPRC!D133,IPCCMaps!G:G,0))</f>
        <v>1 Energy</v>
      </c>
      <c r="G133" t="str">
        <f>INDEX(IPCCMaps!I:I,MATCH(mapPRC!D133,IPCCMaps!G:G,0))</f>
        <v>1A Fuel Combustion Activities</v>
      </c>
      <c r="H133" t="str">
        <f>INDEX(IPCCMaps!J:J,MATCH(mapPRC!D133,IPCCMaps!G:G,0))</f>
        <v>1A1 Energy Industries</v>
      </c>
      <c r="I133" t="str">
        <f>INDEX(IPCCMaps!K:K,MATCH(mapPRC!D133,IPCCMaps!G:G,0))</f>
        <v>1A1a Electricity and Heat Production</v>
      </c>
    </row>
    <row r="134" spans="1:9" hidden="1" x14ac:dyDescent="0.25">
      <c r="A134" t="s">
        <v>1439</v>
      </c>
      <c r="B134" t="s">
        <v>1438</v>
      </c>
      <c r="C134" t="s">
        <v>145</v>
      </c>
      <c r="D134" t="s">
        <v>1425</v>
      </c>
      <c r="E134" t="s">
        <v>1431</v>
      </c>
      <c r="F134" t="str">
        <f>INDEX(IPCCMaps!H:H,MATCH(mapPRC!D134,IPCCMaps!G:G,0))</f>
        <v>1 Energy</v>
      </c>
      <c r="G134" t="str">
        <f>INDEX(IPCCMaps!I:I,MATCH(mapPRC!D134,IPCCMaps!G:G,0))</f>
        <v>1A Fuel Combustion Activities</v>
      </c>
      <c r="H134" t="str">
        <f>INDEX(IPCCMaps!J:J,MATCH(mapPRC!D134,IPCCMaps!G:G,0))</f>
        <v>1A1 Energy Industries</v>
      </c>
      <c r="I134" t="str">
        <f>INDEX(IPCCMaps!K:K,MATCH(mapPRC!D134,IPCCMaps!G:G,0))</f>
        <v>1A1a Electricity and Heat Production</v>
      </c>
    </row>
    <row r="135" spans="1:9" hidden="1" x14ac:dyDescent="0.25">
      <c r="A135" t="s">
        <v>1437</v>
      </c>
      <c r="B135" t="s">
        <v>1436</v>
      </c>
      <c r="C135" t="s">
        <v>145</v>
      </c>
      <c r="D135" t="s">
        <v>1425</v>
      </c>
      <c r="E135" t="s">
        <v>1431</v>
      </c>
      <c r="F135" t="str">
        <f>INDEX(IPCCMaps!H:H,MATCH(mapPRC!D135,IPCCMaps!G:G,0))</f>
        <v>1 Energy</v>
      </c>
      <c r="G135" t="str">
        <f>INDEX(IPCCMaps!I:I,MATCH(mapPRC!D135,IPCCMaps!G:G,0))</f>
        <v>1A Fuel Combustion Activities</v>
      </c>
      <c r="H135" t="str">
        <f>INDEX(IPCCMaps!J:J,MATCH(mapPRC!D135,IPCCMaps!G:G,0))</f>
        <v>1A1 Energy Industries</v>
      </c>
      <c r="I135" t="str">
        <f>INDEX(IPCCMaps!K:K,MATCH(mapPRC!D135,IPCCMaps!G:G,0))</f>
        <v>1A1a Electricity and Heat Production</v>
      </c>
    </row>
    <row r="136" spans="1:9" hidden="1" x14ac:dyDescent="0.25">
      <c r="A136" t="s">
        <v>1435</v>
      </c>
      <c r="B136" t="s">
        <v>1434</v>
      </c>
      <c r="C136" t="s">
        <v>145</v>
      </c>
      <c r="D136" t="s">
        <v>1425</v>
      </c>
      <c r="E136" t="s">
        <v>1431</v>
      </c>
      <c r="F136" t="str">
        <f>INDEX(IPCCMaps!H:H,MATCH(mapPRC!D136,IPCCMaps!G:G,0))</f>
        <v>1 Energy</v>
      </c>
      <c r="G136" t="str">
        <f>INDEX(IPCCMaps!I:I,MATCH(mapPRC!D136,IPCCMaps!G:G,0))</f>
        <v>1A Fuel Combustion Activities</v>
      </c>
      <c r="H136" t="str">
        <f>INDEX(IPCCMaps!J:J,MATCH(mapPRC!D136,IPCCMaps!G:G,0))</f>
        <v>1A1 Energy Industries</v>
      </c>
      <c r="I136" t="str">
        <f>INDEX(IPCCMaps!K:K,MATCH(mapPRC!D136,IPCCMaps!G:G,0))</f>
        <v>1A1a Electricity and Heat Production</v>
      </c>
    </row>
    <row r="137" spans="1:9" hidden="1" x14ac:dyDescent="0.25">
      <c r="A137" t="s">
        <v>1433</v>
      </c>
      <c r="B137" t="s">
        <v>1432</v>
      </c>
      <c r="C137" t="s">
        <v>145</v>
      </c>
      <c r="D137" t="s">
        <v>1425</v>
      </c>
      <c r="E137" t="s">
        <v>1431</v>
      </c>
      <c r="F137" t="str">
        <f>INDEX(IPCCMaps!H:H,MATCH(mapPRC!D137,IPCCMaps!G:G,0))</f>
        <v>1 Energy</v>
      </c>
      <c r="G137" t="str">
        <f>INDEX(IPCCMaps!I:I,MATCH(mapPRC!D137,IPCCMaps!G:G,0))</f>
        <v>1A Fuel Combustion Activities</v>
      </c>
      <c r="H137" t="str">
        <f>INDEX(IPCCMaps!J:J,MATCH(mapPRC!D137,IPCCMaps!G:G,0))</f>
        <v>1A1 Energy Industries</v>
      </c>
      <c r="I137" t="str">
        <f>INDEX(IPCCMaps!K:K,MATCH(mapPRC!D137,IPCCMaps!G:G,0))</f>
        <v>1A1a Electricity and Heat Production</v>
      </c>
    </row>
    <row r="138" spans="1:9" hidden="1" x14ac:dyDescent="0.25">
      <c r="A138" t="s">
        <v>1430</v>
      </c>
      <c r="B138" t="s">
        <v>1429</v>
      </c>
      <c r="C138" t="s">
        <v>145</v>
      </c>
      <c r="D138" t="s">
        <v>1425</v>
      </c>
      <c r="E138" t="s">
        <v>1428</v>
      </c>
      <c r="F138" t="str">
        <f>INDEX(IPCCMaps!H:H,MATCH(mapPRC!D138,IPCCMaps!G:G,0))</f>
        <v>1 Energy</v>
      </c>
      <c r="G138" t="str">
        <f>INDEX(IPCCMaps!I:I,MATCH(mapPRC!D138,IPCCMaps!G:G,0))</f>
        <v>1A Fuel Combustion Activities</v>
      </c>
      <c r="H138" t="str">
        <f>INDEX(IPCCMaps!J:J,MATCH(mapPRC!D138,IPCCMaps!G:G,0))</f>
        <v>1A1 Energy Industries</v>
      </c>
      <c r="I138" t="str">
        <f>INDEX(IPCCMaps!K:K,MATCH(mapPRC!D138,IPCCMaps!G:G,0))</f>
        <v>1A1a Electricity and Heat Production</v>
      </c>
    </row>
    <row r="139" spans="1:9" hidden="1" x14ac:dyDescent="0.25">
      <c r="A139" t="s">
        <v>3088</v>
      </c>
      <c r="B139" t="s">
        <v>3089</v>
      </c>
      <c r="C139" t="s">
        <v>145</v>
      </c>
      <c r="D139" t="s">
        <v>1425</v>
      </c>
      <c r="E139" t="s">
        <v>1431</v>
      </c>
      <c r="F139" t="str">
        <f>INDEX(IPCCMaps!H:H,MATCH(mapPRC!D139,IPCCMaps!G:G,0))</f>
        <v>1 Energy</v>
      </c>
      <c r="G139" t="str">
        <f>INDEX(IPCCMaps!I:I,MATCH(mapPRC!D139,IPCCMaps!G:G,0))</f>
        <v>1A Fuel Combustion Activities</v>
      </c>
      <c r="H139" t="str">
        <f>INDEX(IPCCMaps!J:J,MATCH(mapPRC!D139,IPCCMaps!G:G,0))</f>
        <v>1A1 Energy Industries</v>
      </c>
      <c r="I139" t="str">
        <f>INDEX(IPCCMaps!K:K,MATCH(mapPRC!D139,IPCCMaps!G:G,0))</f>
        <v>1A1a Electricity and Heat Production</v>
      </c>
    </row>
    <row r="140" spans="1:9" hidden="1" x14ac:dyDescent="0.25">
      <c r="A140" t="s">
        <v>1427</v>
      </c>
      <c r="B140" t="s">
        <v>1426</v>
      </c>
      <c r="C140" t="s">
        <v>145</v>
      </c>
      <c r="D140" t="s">
        <v>1425</v>
      </c>
      <c r="E140" t="s">
        <v>1424</v>
      </c>
      <c r="F140" t="str">
        <f>INDEX(IPCCMaps!H:H,MATCH(mapPRC!D140,IPCCMaps!G:G,0))</f>
        <v>1 Energy</v>
      </c>
      <c r="G140" t="str">
        <f>INDEX(IPCCMaps!I:I,MATCH(mapPRC!D140,IPCCMaps!G:G,0))</f>
        <v>1A Fuel Combustion Activities</v>
      </c>
      <c r="H140" t="str">
        <f>INDEX(IPCCMaps!J:J,MATCH(mapPRC!D140,IPCCMaps!G:G,0))</f>
        <v>1A1 Energy Industries</v>
      </c>
      <c r="I140" t="str">
        <f>INDEX(IPCCMaps!K:K,MATCH(mapPRC!D140,IPCCMaps!G:G,0))</f>
        <v>1A1a Electricity and Heat Production</v>
      </c>
    </row>
    <row r="141" spans="1:9" hidden="1" x14ac:dyDescent="0.25">
      <c r="A141" t="s">
        <v>1423</v>
      </c>
      <c r="B141" t="s">
        <v>1422</v>
      </c>
      <c r="C141" t="s">
        <v>145</v>
      </c>
      <c r="D141" t="s">
        <v>1403</v>
      </c>
      <c r="E141" t="s">
        <v>1403</v>
      </c>
      <c r="F141" t="str">
        <f>INDEX(IPCCMaps!H:H,MATCH(mapPRC!D141,IPCCMaps!G:G,0))</f>
        <v>1 Energy</v>
      </c>
      <c r="G141" t="str">
        <f>INDEX(IPCCMaps!I:I,MATCH(mapPRC!D141,IPCCMaps!G:G,0))</f>
        <v>1A Fuel Combustion Activities</v>
      </c>
      <c r="H141" t="str">
        <f>INDEX(IPCCMaps!J:J,MATCH(mapPRC!D141,IPCCMaps!G:G,0))</f>
        <v>1A1 Energy Industries</v>
      </c>
      <c r="I141" t="str">
        <f>INDEX(IPCCMaps!K:K,MATCH(mapPRC!D141,IPCCMaps!G:G,0))</f>
        <v>1A1a Electricity and Heat Production</v>
      </c>
    </row>
    <row r="142" spans="1:9" hidden="1" x14ac:dyDescent="0.25">
      <c r="A142" t="s">
        <v>1421</v>
      </c>
      <c r="B142" t="s">
        <v>1420</v>
      </c>
      <c r="C142" t="s">
        <v>145</v>
      </c>
      <c r="D142" t="s">
        <v>1403</v>
      </c>
      <c r="E142" t="s">
        <v>1403</v>
      </c>
      <c r="F142" t="str">
        <f>INDEX(IPCCMaps!H:H,MATCH(mapPRC!D142,IPCCMaps!G:G,0))</f>
        <v>1 Energy</v>
      </c>
      <c r="G142" t="str">
        <f>INDEX(IPCCMaps!I:I,MATCH(mapPRC!D142,IPCCMaps!G:G,0))</f>
        <v>1A Fuel Combustion Activities</v>
      </c>
      <c r="H142" t="str">
        <f>INDEX(IPCCMaps!J:J,MATCH(mapPRC!D142,IPCCMaps!G:G,0))</f>
        <v>1A1 Energy Industries</v>
      </c>
      <c r="I142" t="str">
        <f>INDEX(IPCCMaps!K:K,MATCH(mapPRC!D142,IPCCMaps!G:G,0))</f>
        <v>1A1a Electricity and Heat Production</v>
      </c>
    </row>
    <row r="143" spans="1:9" hidden="1" x14ac:dyDescent="0.25">
      <c r="A143" t="s">
        <v>1417</v>
      </c>
      <c r="B143" t="s">
        <v>1416</v>
      </c>
      <c r="C143" t="s">
        <v>145</v>
      </c>
      <c r="D143" t="s">
        <v>1403</v>
      </c>
      <c r="E143" t="s">
        <v>1403</v>
      </c>
      <c r="F143" t="str">
        <f>INDEX(IPCCMaps!H:H,MATCH(mapPRC!D143,IPCCMaps!G:G,0))</f>
        <v>1 Energy</v>
      </c>
      <c r="G143" t="str">
        <f>INDEX(IPCCMaps!I:I,MATCH(mapPRC!D143,IPCCMaps!G:G,0))</f>
        <v>1A Fuel Combustion Activities</v>
      </c>
      <c r="H143" t="str">
        <f>INDEX(IPCCMaps!J:J,MATCH(mapPRC!D143,IPCCMaps!G:G,0))</f>
        <v>1A1 Energy Industries</v>
      </c>
      <c r="I143" t="str">
        <f>INDEX(IPCCMaps!K:K,MATCH(mapPRC!D143,IPCCMaps!G:G,0))</f>
        <v>1A1a Electricity and Heat Production</v>
      </c>
    </row>
    <row r="144" spans="1:9" hidden="1" x14ac:dyDescent="0.25">
      <c r="A144" t="s">
        <v>1419</v>
      </c>
      <c r="B144" t="s">
        <v>1418</v>
      </c>
      <c r="C144" t="s">
        <v>145</v>
      </c>
      <c r="D144" t="s">
        <v>1403</v>
      </c>
      <c r="E144" t="s">
        <v>1403</v>
      </c>
      <c r="F144" t="str">
        <f>INDEX(IPCCMaps!H:H,MATCH(mapPRC!D144,IPCCMaps!G:G,0))</f>
        <v>1 Energy</v>
      </c>
      <c r="G144" t="str">
        <f>INDEX(IPCCMaps!I:I,MATCH(mapPRC!D144,IPCCMaps!G:G,0))</f>
        <v>1A Fuel Combustion Activities</v>
      </c>
      <c r="H144" t="str">
        <f>INDEX(IPCCMaps!J:J,MATCH(mapPRC!D144,IPCCMaps!G:G,0))</f>
        <v>1A1 Energy Industries</v>
      </c>
      <c r="I144" t="str">
        <f>INDEX(IPCCMaps!K:K,MATCH(mapPRC!D144,IPCCMaps!G:G,0))</f>
        <v>1A1a Electricity and Heat Production</v>
      </c>
    </row>
    <row r="145" spans="1:9" hidden="1" x14ac:dyDescent="0.25">
      <c r="A145" t="s">
        <v>1415</v>
      </c>
      <c r="B145" t="s">
        <v>1414</v>
      </c>
      <c r="C145" t="s">
        <v>145</v>
      </c>
      <c r="D145" t="s">
        <v>1403</v>
      </c>
      <c r="E145" t="s">
        <v>1403</v>
      </c>
      <c r="F145" t="str">
        <f>INDEX(IPCCMaps!H:H,MATCH(mapPRC!D145,IPCCMaps!G:G,0))</f>
        <v>1 Energy</v>
      </c>
      <c r="G145" t="str">
        <f>INDEX(IPCCMaps!I:I,MATCH(mapPRC!D145,IPCCMaps!G:G,0))</f>
        <v>1A Fuel Combustion Activities</v>
      </c>
      <c r="H145" t="str">
        <f>INDEX(IPCCMaps!J:J,MATCH(mapPRC!D145,IPCCMaps!G:G,0))</f>
        <v>1A1 Energy Industries</v>
      </c>
      <c r="I145" t="str">
        <f>INDEX(IPCCMaps!K:K,MATCH(mapPRC!D145,IPCCMaps!G:G,0))</f>
        <v>1A1a Electricity and Heat Production</v>
      </c>
    </row>
    <row r="146" spans="1:9" hidden="1" x14ac:dyDescent="0.25">
      <c r="A146" t="s">
        <v>1413</v>
      </c>
      <c r="B146" t="s">
        <v>1412</v>
      </c>
      <c r="C146" t="s">
        <v>145</v>
      </c>
      <c r="D146" t="s">
        <v>1403</v>
      </c>
      <c r="E146" t="s">
        <v>1403</v>
      </c>
      <c r="F146" t="str">
        <f>INDEX(IPCCMaps!H:H,MATCH(mapPRC!D146,IPCCMaps!G:G,0))</f>
        <v>1 Energy</v>
      </c>
      <c r="G146" t="str">
        <f>INDEX(IPCCMaps!I:I,MATCH(mapPRC!D146,IPCCMaps!G:G,0))</f>
        <v>1A Fuel Combustion Activities</v>
      </c>
      <c r="H146" t="str">
        <f>INDEX(IPCCMaps!J:J,MATCH(mapPRC!D146,IPCCMaps!G:G,0))</f>
        <v>1A1 Energy Industries</v>
      </c>
      <c r="I146" t="str">
        <f>INDEX(IPCCMaps!K:K,MATCH(mapPRC!D146,IPCCMaps!G:G,0))</f>
        <v>1A1a Electricity and Heat Production</v>
      </c>
    </row>
    <row r="147" spans="1:9" hidden="1" x14ac:dyDescent="0.25">
      <c r="A147" t="s">
        <v>1411</v>
      </c>
      <c r="B147" t="s">
        <v>1410</v>
      </c>
      <c r="C147" t="s">
        <v>145</v>
      </c>
      <c r="D147" t="s">
        <v>1403</v>
      </c>
      <c r="E147" t="s">
        <v>1403</v>
      </c>
      <c r="F147" t="str">
        <f>INDEX(IPCCMaps!H:H,MATCH(mapPRC!D147,IPCCMaps!G:G,0))</f>
        <v>1 Energy</v>
      </c>
      <c r="G147" t="str">
        <f>INDEX(IPCCMaps!I:I,MATCH(mapPRC!D147,IPCCMaps!G:G,0))</f>
        <v>1A Fuel Combustion Activities</v>
      </c>
      <c r="H147" t="str">
        <f>INDEX(IPCCMaps!J:J,MATCH(mapPRC!D147,IPCCMaps!G:G,0))</f>
        <v>1A1 Energy Industries</v>
      </c>
      <c r="I147" t="str">
        <f>INDEX(IPCCMaps!K:K,MATCH(mapPRC!D147,IPCCMaps!G:G,0))</f>
        <v>1A1a Electricity and Heat Production</v>
      </c>
    </row>
    <row r="148" spans="1:9" hidden="1" x14ac:dyDescent="0.25">
      <c r="A148" t="s">
        <v>1409</v>
      </c>
      <c r="B148" t="s">
        <v>1408</v>
      </c>
      <c r="C148" t="s">
        <v>145</v>
      </c>
      <c r="D148" t="s">
        <v>1403</v>
      </c>
      <c r="E148" t="s">
        <v>1403</v>
      </c>
      <c r="F148" t="str">
        <f>INDEX(IPCCMaps!H:H,MATCH(mapPRC!D148,IPCCMaps!G:G,0))</f>
        <v>1 Energy</v>
      </c>
      <c r="G148" t="str">
        <f>INDEX(IPCCMaps!I:I,MATCH(mapPRC!D148,IPCCMaps!G:G,0))</f>
        <v>1A Fuel Combustion Activities</v>
      </c>
      <c r="H148" t="str">
        <f>INDEX(IPCCMaps!J:J,MATCH(mapPRC!D148,IPCCMaps!G:G,0))</f>
        <v>1A1 Energy Industries</v>
      </c>
      <c r="I148" t="str">
        <f>INDEX(IPCCMaps!K:K,MATCH(mapPRC!D148,IPCCMaps!G:G,0))</f>
        <v>1A1a Electricity and Heat Production</v>
      </c>
    </row>
    <row r="149" spans="1:9" hidden="1" x14ac:dyDescent="0.25">
      <c r="A149" t="s">
        <v>1407</v>
      </c>
      <c r="B149" t="s">
        <v>1406</v>
      </c>
      <c r="C149" t="s">
        <v>145</v>
      </c>
      <c r="D149" t="s">
        <v>1403</v>
      </c>
      <c r="E149" t="s">
        <v>1403</v>
      </c>
      <c r="F149" t="str">
        <f>INDEX(IPCCMaps!H:H,MATCH(mapPRC!D149,IPCCMaps!G:G,0))</f>
        <v>1 Energy</v>
      </c>
      <c r="G149" t="str">
        <f>INDEX(IPCCMaps!I:I,MATCH(mapPRC!D149,IPCCMaps!G:G,0))</f>
        <v>1A Fuel Combustion Activities</v>
      </c>
      <c r="H149" t="str">
        <f>INDEX(IPCCMaps!J:J,MATCH(mapPRC!D149,IPCCMaps!G:G,0))</f>
        <v>1A1 Energy Industries</v>
      </c>
      <c r="I149" t="str">
        <f>INDEX(IPCCMaps!K:K,MATCH(mapPRC!D149,IPCCMaps!G:G,0))</f>
        <v>1A1a Electricity and Heat Production</v>
      </c>
    </row>
    <row r="150" spans="1:9" hidden="1" x14ac:dyDescent="0.25">
      <c r="A150" t="s">
        <v>1405</v>
      </c>
      <c r="B150" t="s">
        <v>1404</v>
      </c>
      <c r="C150" t="s">
        <v>145</v>
      </c>
      <c r="D150" t="s">
        <v>1403</v>
      </c>
      <c r="E150" t="s">
        <v>1403</v>
      </c>
      <c r="F150" t="str">
        <f>INDEX(IPCCMaps!H:H,MATCH(mapPRC!D150,IPCCMaps!G:G,0))</f>
        <v>1 Energy</v>
      </c>
      <c r="G150" t="str">
        <f>INDEX(IPCCMaps!I:I,MATCH(mapPRC!D150,IPCCMaps!G:G,0))</f>
        <v>1A Fuel Combustion Activities</v>
      </c>
      <c r="H150" t="str">
        <f>INDEX(IPCCMaps!J:J,MATCH(mapPRC!D150,IPCCMaps!G:G,0))</f>
        <v>1A1 Energy Industries</v>
      </c>
      <c r="I150" t="str">
        <f>INDEX(IPCCMaps!K:K,MATCH(mapPRC!D150,IPCCMaps!G:G,0))</f>
        <v>1A1a Electricity and Heat Production</v>
      </c>
    </row>
    <row r="151" spans="1:9" hidden="1" x14ac:dyDescent="0.25">
      <c r="A151" t="s">
        <v>1402</v>
      </c>
      <c r="B151" t="s">
        <v>1401</v>
      </c>
      <c r="C151" t="s">
        <v>145</v>
      </c>
      <c r="D151" t="s">
        <v>1398</v>
      </c>
      <c r="E151" t="s">
        <v>1398</v>
      </c>
      <c r="F151" t="str">
        <f>INDEX(IPCCMaps!H:H,MATCH(mapPRC!D151,IPCCMaps!G:G,0))</f>
        <v>1 Energy</v>
      </c>
      <c r="G151" t="str">
        <f>INDEX(IPCCMaps!I:I,MATCH(mapPRC!D151,IPCCMaps!G:G,0))</f>
        <v>1A Fuel Combustion Activities</v>
      </c>
      <c r="H151" t="str">
        <f>INDEX(IPCCMaps!J:J,MATCH(mapPRC!D151,IPCCMaps!G:G,0))</f>
        <v>1A1 Energy Industries</v>
      </c>
      <c r="I151" t="str">
        <f>INDEX(IPCCMaps!K:K,MATCH(mapPRC!D151,IPCCMaps!G:G,0))</f>
        <v>1A1a Electricity and Heat Production</v>
      </c>
    </row>
    <row r="152" spans="1:9" hidden="1" x14ac:dyDescent="0.25">
      <c r="A152" t="s">
        <v>1400</v>
      </c>
      <c r="B152" t="s">
        <v>1399</v>
      </c>
      <c r="C152" t="s">
        <v>145</v>
      </c>
      <c r="D152" t="s">
        <v>1398</v>
      </c>
      <c r="E152" t="s">
        <v>1398</v>
      </c>
      <c r="F152" t="str">
        <f>INDEX(IPCCMaps!H:H,MATCH(mapPRC!D152,IPCCMaps!G:G,0))</f>
        <v>1 Energy</v>
      </c>
      <c r="G152" t="str">
        <f>INDEX(IPCCMaps!I:I,MATCH(mapPRC!D152,IPCCMaps!G:G,0))</f>
        <v>1A Fuel Combustion Activities</v>
      </c>
      <c r="H152" t="str">
        <f>INDEX(IPCCMaps!J:J,MATCH(mapPRC!D152,IPCCMaps!G:G,0))</f>
        <v>1A1 Energy Industries</v>
      </c>
      <c r="I152" t="str">
        <f>INDEX(IPCCMaps!K:K,MATCH(mapPRC!D152,IPCCMaps!G:G,0))</f>
        <v>1A1a Electricity and Heat Production</v>
      </c>
    </row>
    <row r="153" spans="1:9" hidden="1" x14ac:dyDescent="0.25">
      <c r="A153" t="s">
        <v>1397</v>
      </c>
      <c r="B153" t="s">
        <v>1396</v>
      </c>
      <c r="C153" t="s">
        <v>145</v>
      </c>
      <c r="D153" t="s">
        <v>1372</v>
      </c>
      <c r="E153" t="s">
        <v>1395</v>
      </c>
      <c r="F153" t="str">
        <f>INDEX(IPCCMaps!H:H,MATCH(mapPRC!D153,IPCCMaps!G:G,0))</f>
        <v>1 Energy</v>
      </c>
      <c r="G153" t="str">
        <f>INDEX(IPCCMaps!I:I,MATCH(mapPRC!D153,IPCCMaps!G:G,0))</f>
        <v>1A Fuel Combustion Activities</v>
      </c>
      <c r="H153" t="str">
        <f>INDEX(IPCCMaps!J:J,MATCH(mapPRC!D153,IPCCMaps!G:G,0))</f>
        <v>1A1 Energy Industries</v>
      </c>
      <c r="I153" t="str">
        <f>INDEX(IPCCMaps!K:K,MATCH(mapPRC!D153,IPCCMaps!G:G,0))</f>
        <v>1A1a Electricity and Heat Production</v>
      </c>
    </row>
    <row r="154" spans="1:9" hidden="1" x14ac:dyDescent="0.25">
      <c r="A154" t="s">
        <v>1394</v>
      </c>
      <c r="B154" t="s">
        <v>1393</v>
      </c>
      <c r="C154" t="s">
        <v>145</v>
      </c>
      <c r="D154" t="s">
        <v>1372</v>
      </c>
      <c r="E154" t="s">
        <v>1378</v>
      </c>
      <c r="F154" t="str">
        <f>INDEX(IPCCMaps!H:H,MATCH(mapPRC!D154,IPCCMaps!G:G,0))</f>
        <v>1 Energy</v>
      </c>
      <c r="G154" t="str">
        <f>INDEX(IPCCMaps!I:I,MATCH(mapPRC!D154,IPCCMaps!G:G,0))</f>
        <v>1A Fuel Combustion Activities</v>
      </c>
      <c r="H154" t="str">
        <f>INDEX(IPCCMaps!J:J,MATCH(mapPRC!D154,IPCCMaps!G:G,0))</f>
        <v>1A1 Energy Industries</v>
      </c>
      <c r="I154" t="str">
        <f>INDEX(IPCCMaps!K:K,MATCH(mapPRC!D154,IPCCMaps!G:G,0))</f>
        <v>1A1a Electricity and Heat Production</v>
      </c>
    </row>
    <row r="155" spans="1:9" hidden="1" x14ac:dyDescent="0.25">
      <c r="A155" t="s">
        <v>1392</v>
      </c>
      <c r="B155" t="s">
        <v>1391</v>
      </c>
      <c r="C155" t="s">
        <v>145</v>
      </c>
      <c r="D155" t="s">
        <v>1372</v>
      </c>
      <c r="E155" t="s">
        <v>1378</v>
      </c>
      <c r="F155" t="str">
        <f>INDEX(IPCCMaps!H:H,MATCH(mapPRC!D155,IPCCMaps!G:G,0))</f>
        <v>1 Energy</v>
      </c>
      <c r="G155" t="str">
        <f>INDEX(IPCCMaps!I:I,MATCH(mapPRC!D155,IPCCMaps!G:G,0))</f>
        <v>1A Fuel Combustion Activities</v>
      </c>
      <c r="H155" t="str">
        <f>INDEX(IPCCMaps!J:J,MATCH(mapPRC!D155,IPCCMaps!G:G,0))</f>
        <v>1A1 Energy Industries</v>
      </c>
      <c r="I155" t="str">
        <f>INDEX(IPCCMaps!K:K,MATCH(mapPRC!D155,IPCCMaps!G:G,0))</f>
        <v>1A1a Electricity and Heat Production</v>
      </c>
    </row>
    <row r="156" spans="1:9" hidden="1" x14ac:dyDescent="0.25">
      <c r="A156" t="s">
        <v>1390</v>
      </c>
      <c r="B156" t="s">
        <v>1389</v>
      </c>
      <c r="C156" t="s">
        <v>145</v>
      </c>
      <c r="D156" t="s">
        <v>1372</v>
      </c>
      <c r="E156" t="s">
        <v>1378</v>
      </c>
      <c r="F156" t="str">
        <f>INDEX(IPCCMaps!H:H,MATCH(mapPRC!D156,IPCCMaps!G:G,0))</f>
        <v>1 Energy</v>
      </c>
      <c r="G156" t="str">
        <f>INDEX(IPCCMaps!I:I,MATCH(mapPRC!D156,IPCCMaps!G:G,0))</f>
        <v>1A Fuel Combustion Activities</v>
      </c>
      <c r="H156" t="str">
        <f>INDEX(IPCCMaps!J:J,MATCH(mapPRC!D156,IPCCMaps!G:G,0))</f>
        <v>1A1 Energy Industries</v>
      </c>
      <c r="I156" t="str">
        <f>INDEX(IPCCMaps!K:K,MATCH(mapPRC!D156,IPCCMaps!G:G,0))</f>
        <v>1A1a Electricity and Heat Production</v>
      </c>
    </row>
    <row r="157" spans="1:9" hidden="1" x14ac:dyDescent="0.25">
      <c r="A157" t="s">
        <v>1388</v>
      </c>
      <c r="B157" t="s">
        <v>1387</v>
      </c>
      <c r="C157" t="s">
        <v>145</v>
      </c>
      <c r="D157" t="s">
        <v>1372</v>
      </c>
      <c r="E157" t="s">
        <v>1378</v>
      </c>
      <c r="F157" t="str">
        <f>INDEX(IPCCMaps!H:H,MATCH(mapPRC!D157,IPCCMaps!G:G,0))</f>
        <v>1 Energy</v>
      </c>
      <c r="G157" t="str">
        <f>INDEX(IPCCMaps!I:I,MATCH(mapPRC!D157,IPCCMaps!G:G,0))</f>
        <v>1A Fuel Combustion Activities</v>
      </c>
      <c r="H157" t="str">
        <f>INDEX(IPCCMaps!J:J,MATCH(mapPRC!D157,IPCCMaps!G:G,0))</f>
        <v>1A1 Energy Industries</v>
      </c>
      <c r="I157" t="str">
        <f>INDEX(IPCCMaps!K:K,MATCH(mapPRC!D157,IPCCMaps!G:G,0))</f>
        <v>1A1a Electricity and Heat Production</v>
      </c>
    </row>
    <row r="158" spans="1:9" hidden="1" x14ac:dyDescent="0.25">
      <c r="A158" t="s">
        <v>1386</v>
      </c>
      <c r="B158" t="s">
        <v>1385</v>
      </c>
      <c r="C158" t="s">
        <v>145</v>
      </c>
      <c r="D158" t="s">
        <v>1372</v>
      </c>
      <c r="E158" t="s">
        <v>1378</v>
      </c>
      <c r="F158" t="str">
        <f>INDEX(IPCCMaps!H:H,MATCH(mapPRC!D158,IPCCMaps!G:G,0))</f>
        <v>1 Energy</v>
      </c>
      <c r="G158" t="str">
        <f>INDEX(IPCCMaps!I:I,MATCH(mapPRC!D158,IPCCMaps!G:G,0))</f>
        <v>1A Fuel Combustion Activities</v>
      </c>
      <c r="H158" t="str">
        <f>INDEX(IPCCMaps!J:J,MATCH(mapPRC!D158,IPCCMaps!G:G,0))</f>
        <v>1A1 Energy Industries</v>
      </c>
      <c r="I158" t="str">
        <f>INDEX(IPCCMaps!K:K,MATCH(mapPRC!D158,IPCCMaps!G:G,0))</f>
        <v>1A1a Electricity and Heat Production</v>
      </c>
    </row>
    <row r="159" spans="1:9" hidden="1" x14ac:dyDescent="0.25">
      <c r="A159" t="s">
        <v>1384</v>
      </c>
      <c r="B159" t="s">
        <v>1383</v>
      </c>
      <c r="C159" t="s">
        <v>145</v>
      </c>
      <c r="D159" t="s">
        <v>1372</v>
      </c>
      <c r="E159" t="s">
        <v>1378</v>
      </c>
      <c r="F159" t="str">
        <f>INDEX(IPCCMaps!H:H,MATCH(mapPRC!D159,IPCCMaps!G:G,0))</f>
        <v>1 Energy</v>
      </c>
      <c r="G159" t="str">
        <f>INDEX(IPCCMaps!I:I,MATCH(mapPRC!D159,IPCCMaps!G:G,0))</f>
        <v>1A Fuel Combustion Activities</v>
      </c>
      <c r="H159" t="str">
        <f>INDEX(IPCCMaps!J:J,MATCH(mapPRC!D159,IPCCMaps!G:G,0))</f>
        <v>1A1 Energy Industries</v>
      </c>
      <c r="I159" t="str">
        <f>INDEX(IPCCMaps!K:K,MATCH(mapPRC!D159,IPCCMaps!G:G,0))</f>
        <v>1A1a Electricity and Heat Production</v>
      </c>
    </row>
    <row r="160" spans="1:9" hidden="1" x14ac:dyDescent="0.25">
      <c r="A160" t="s">
        <v>1382</v>
      </c>
      <c r="B160" t="s">
        <v>1381</v>
      </c>
      <c r="C160" t="s">
        <v>145</v>
      </c>
      <c r="D160" t="s">
        <v>1372</v>
      </c>
      <c r="E160" t="s">
        <v>1378</v>
      </c>
      <c r="F160" t="str">
        <f>INDEX(IPCCMaps!H:H,MATCH(mapPRC!D160,IPCCMaps!G:G,0))</f>
        <v>1 Energy</v>
      </c>
      <c r="G160" t="str">
        <f>INDEX(IPCCMaps!I:I,MATCH(mapPRC!D160,IPCCMaps!G:G,0))</f>
        <v>1A Fuel Combustion Activities</v>
      </c>
      <c r="H160" t="str">
        <f>INDEX(IPCCMaps!J:J,MATCH(mapPRC!D160,IPCCMaps!G:G,0))</f>
        <v>1A1 Energy Industries</v>
      </c>
      <c r="I160" t="str">
        <f>INDEX(IPCCMaps!K:K,MATCH(mapPRC!D160,IPCCMaps!G:G,0))</f>
        <v>1A1a Electricity and Heat Production</v>
      </c>
    </row>
    <row r="161" spans="1:9" hidden="1" x14ac:dyDescent="0.25">
      <c r="A161" t="s">
        <v>1380</v>
      </c>
      <c r="B161" t="s">
        <v>1379</v>
      </c>
      <c r="C161" t="s">
        <v>145</v>
      </c>
      <c r="D161" t="s">
        <v>1372</v>
      </c>
      <c r="E161" t="s">
        <v>1378</v>
      </c>
      <c r="F161" t="str">
        <f>INDEX(IPCCMaps!H:H,MATCH(mapPRC!D161,IPCCMaps!G:G,0))</f>
        <v>1 Energy</v>
      </c>
      <c r="G161" t="str">
        <f>INDEX(IPCCMaps!I:I,MATCH(mapPRC!D161,IPCCMaps!G:G,0))</f>
        <v>1A Fuel Combustion Activities</v>
      </c>
      <c r="H161" t="str">
        <f>INDEX(IPCCMaps!J:J,MATCH(mapPRC!D161,IPCCMaps!G:G,0))</f>
        <v>1A1 Energy Industries</v>
      </c>
      <c r="I161" t="str">
        <f>INDEX(IPCCMaps!K:K,MATCH(mapPRC!D161,IPCCMaps!G:G,0))</f>
        <v>1A1a Electricity and Heat Production</v>
      </c>
    </row>
    <row r="162" spans="1:9" hidden="1" x14ac:dyDescent="0.25">
      <c r="A162" t="s">
        <v>1377</v>
      </c>
      <c r="B162" t="s">
        <v>1376</v>
      </c>
      <c r="C162" t="s">
        <v>145</v>
      </c>
      <c r="D162" t="s">
        <v>1372</v>
      </c>
      <c r="E162" t="s">
        <v>1375</v>
      </c>
      <c r="F162" t="str">
        <f>INDEX(IPCCMaps!H:H,MATCH(mapPRC!D162,IPCCMaps!G:G,0))</f>
        <v>1 Energy</v>
      </c>
      <c r="G162" t="str">
        <f>INDEX(IPCCMaps!I:I,MATCH(mapPRC!D162,IPCCMaps!G:G,0))</f>
        <v>1A Fuel Combustion Activities</v>
      </c>
      <c r="H162" t="str">
        <f>INDEX(IPCCMaps!J:J,MATCH(mapPRC!D162,IPCCMaps!G:G,0))</f>
        <v>1A1 Energy Industries</v>
      </c>
      <c r="I162" t="str">
        <f>INDEX(IPCCMaps!K:K,MATCH(mapPRC!D162,IPCCMaps!G:G,0))</f>
        <v>1A1a Electricity and Heat Production</v>
      </c>
    </row>
    <row r="163" spans="1:9" hidden="1" x14ac:dyDescent="0.25">
      <c r="A163" t="s">
        <v>1374</v>
      </c>
      <c r="B163" t="s">
        <v>1373</v>
      </c>
      <c r="C163" t="s">
        <v>145</v>
      </c>
      <c r="D163" t="s">
        <v>1372</v>
      </c>
      <c r="E163" t="s">
        <v>1371</v>
      </c>
      <c r="F163" t="str">
        <f>INDEX(IPCCMaps!H:H,MATCH(mapPRC!D163,IPCCMaps!G:G,0))</f>
        <v>1 Energy</v>
      </c>
      <c r="G163" t="str">
        <f>INDEX(IPCCMaps!I:I,MATCH(mapPRC!D163,IPCCMaps!G:G,0))</f>
        <v>1A Fuel Combustion Activities</v>
      </c>
      <c r="H163" t="str">
        <f>INDEX(IPCCMaps!J:J,MATCH(mapPRC!D163,IPCCMaps!G:G,0))</f>
        <v>1A1 Energy Industries</v>
      </c>
      <c r="I163" t="str">
        <f>INDEX(IPCCMaps!K:K,MATCH(mapPRC!D163,IPCCMaps!G:G,0))</f>
        <v>1A1a Electricity and Heat Production</v>
      </c>
    </row>
    <row r="164" spans="1:9" hidden="1" x14ac:dyDescent="0.25">
      <c r="A164" t="s">
        <v>1370</v>
      </c>
      <c r="B164" t="s">
        <v>1369</v>
      </c>
      <c r="C164" t="s">
        <v>145</v>
      </c>
      <c r="D164" t="s">
        <v>1329</v>
      </c>
      <c r="E164" t="s">
        <v>1328</v>
      </c>
      <c r="F164" t="str">
        <f>INDEX(IPCCMaps!H:H,MATCH(mapPRC!D164,IPCCMaps!G:G,0))</f>
        <v>1 Energy</v>
      </c>
      <c r="G164" t="str">
        <f>INDEX(IPCCMaps!I:I,MATCH(mapPRC!D164,IPCCMaps!G:G,0))</f>
        <v>1A Fuel Combustion Activities</v>
      </c>
      <c r="H164" t="str">
        <f>INDEX(IPCCMaps!J:J,MATCH(mapPRC!D164,IPCCMaps!G:G,0))</f>
        <v>1A1 Energy Industries</v>
      </c>
      <c r="I164" t="str">
        <f>INDEX(IPCCMaps!K:K,MATCH(mapPRC!D164,IPCCMaps!G:G,0))</f>
        <v>1A1a Electricity and Heat Production</v>
      </c>
    </row>
    <row r="165" spans="1:9" hidden="1" x14ac:dyDescent="0.25">
      <c r="A165" t="s">
        <v>1368</v>
      </c>
      <c r="B165" t="s">
        <v>1367</v>
      </c>
      <c r="C165" t="s">
        <v>145</v>
      </c>
      <c r="D165" t="s">
        <v>1329</v>
      </c>
      <c r="E165" t="s">
        <v>1328</v>
      </c>
      <c r="F165" t="str">
        <f>INDEX(IPCCMaps!H:H,MATCH(mapPRC!D165,IPCCMaps!G:G,0))</f>
        <v>1 Energy</v>
      </c>
      <c r="G165" t="str">
        <f>INDEX(IPCCMaps!I:I,MATCH(mapPRC!D165,IPCCMaps!G:G,0))</f>
        <v>1A Fuel Combustion Activities</v>
      </c>
      <c r="H165" t="str">
        <f>INDEX(IPCCMaps!J:J,MATCH(mapPRC!D165,IPCCMaps!G:G,0))</f>
        <v>1A1 Energy Industries</v>
      </c>
      <c r="I165" t="str">
        <f>INDEX(IPCCMaps!K:K,MATCH(mapPRC!D165,IPCCMaps!G:G,0))</f>
        <v>1A1a Electricity and Heat Production</v>
      </c>
    </row>
    <row r="166" spans="1:9" hidden="1" x14ac:dyDescent="0.25">
      <c r="A166" t="s">
        <v>1366</v>
      </c>
      <c r="B166" t="s">
        <v>1365</v>
      </c>
      <c r="C166" t="s">
        <v>145</v>
      </c>
      <c r="D166" t="s">
        <v>1329</v>
      </c>
      <c r="E166" t="s">
        <v>1328</v>
      </c>
      <c r="F166" t="str">
        <f>INDEX(IPCCMaps!H:H,MATCH(mapPRC!D166,IPCCMaps!G:G,0))</f>
        <v>1 Energy</v>
      </c>
      <c r="G166" t="str">
        <f>INDEX(IPCCMaps!I:I,MATCH(mapPRC!D166,IPCCMaps!G:G,0))</f>
        <v>1A Fuel Combustion Activities</v>
      </c>
      <c r="H166" t="str">
        <f>INDEX(IPCCMaps!J:J,MATCH(mapPRC!D166,IPCCMaps!G:G,0))</f>
        <v>1A1 Energy Industries</v>
      </c>
      <c r="I166" t="str">
        <f>INDEX(IPCCMaps!K:K,MATCH(mapPRC!D166,IPCCMaps!G:G,0))</f>
        <v>1A1a Electricity and Heat Production</v>
      </c>
    </row>
    <row r="167" spans="1:9" hidden="1" x14ac:dyDescent="0.25">
      <c r="A167" t="s">
        <v>1364</v>
      </c>
      <c r="B167" t="s">
        <v>1363</v>
      </c>
      <c r="C167" t="s">
        <v>145</v>
      </c>
      <c r="D167" t="s">
        <v>1329</v>
      </c>
      <c r="E167" t="s">
        <v>1328</v>
      </c>
      <c r="F167" t="str">
        <f>INDEX(IPCCMaps!H:H,MATCH(mapPRC!D167,IPCCMaps!G:G,0))</f>
        <v>1 Energy</v>
      </c>
      <c r="G167" t="str">
        <f>INDEX(IPCCMaps!I:I,MATCH(mapPRC!D167,IPCCMaps!G:G,0))</f>
        <v>1A Fuel Combustion Activities</v>
      </c>
      <c r="H167" t="str">
        <f>INDEX(IPCCMaps!J:J,MATCH(mapPRC!D167,IPCCMaps!G:G,0))</f>
        <v>1A1 Energy Industries</v>
      </c>
      <c r="I167" t="str">
        <f>INDEX(IPCCMaps!K:K,MATCH(mapPRC!D167,IPCCMaps!G:G,0))</f>
        <v>1A1a Electricity and Heat Production</v>
      </c>
    </row>
    <row r="168" spans="1:9" hidden="1" x14ac:dyDescent="0.25">
      <c r="A168" t="s">
        <v>1362</v>
      </c>
      <c r="B168" t="s">
        <v>1361</v>
      </c>
      <c r="C168" t="s">
        <v>145</v>
      </c>
      <c r="D168" t="s">
        <v>1329</v>
      </c>
      <c r="E168" t="s">
        <v>1328</v>
      </c>
      <c r="F168" t="str">
        <f>INDEX(IPCCMaps!H:H,MATCH(mapPRC!D168,IPCCMaps!G:G,0))</f>
        <v>1 Energy</v>
      </c>
      <c r="G168" t="str">
        <f>INDEX(IPCCMaps!I:I,MATCH(mapPRC!D168,IPCCMaps!G:G,0))</f>
        <v>1A Fuel Combustion Activities</v>
      </c>
      <c r="H168" t="str">
        <f>INDEX(IPCCMaps!J:J,MATCH(mapPRC!D168,IPCCMaps!G:G,0))</f>
        <v>1A1 Energy Industries</v>
      </c>
      <c r="I168" t="str">
        <f>INDEX(IPCCMaps!K:K,MATCH(mapPRC!D168,IPCCMaps!G:G,0))</f>
        <v>1A1a Electricity and Heat Production</v>
      </c>
    </row>
    <row r="169" spans="1:9" hidden="1" x14ac:dyDescent="0.25">
      <c r="A169" t="s">
        <v>1360</v>
      </c>
      <c r="B169" t="s">
        <v>1359</v>
      </c>
      <c r="C169" t="s">
        <v>145</v>
      </c>
      <c r="D169" t="s">
        <v>1329</v>
      </c>
      <c r="E169" t="s">
        <v>1328</v>
      </c>
      <c r="F169" t="str">
        <f>INDEX(IPCCMaps!H:H,MATCH(mapPRC!D169,IPCCMaps!G:G,0))</f>
        <v>1 Energy</v>
      </c>
      <c r="G169" t="str">
        <f>INDEX(IPCCMaps!I:I,MATCH(mapPRC!D169,IPCCMaps!G:G,0))</f>
        <v>1A Fuel Combustion Activities</v>
      </c>
      <c r="H169" t="str">
        <f>INDEX(IPCCMaps!J:J,MATCH(mapPRC!D169,IPCCMaps!G:G,0))</f>
        <v>1A1 Energy Industries</v>
      </c>
      <c r="I169" t="str">
        <f>INDEX(IPCCMaps!K:K,MATCH(mapPRC!D169,IPCCMaps!G:G,0))</f>
        <v>1A1a Electricity and Heat Production</v>
      </c>
    </row>
    <row r="170" spans="1:9" hidden="1" x14ac:dyDescent="0.25">
      <c r="A170" t="s">
        <v>1358</v>
      </c>
      <c r="B170" t="s">
        <v>1357</v>
      </c>
      <c r="C170" t="s">
        <v>145</v>
      </c>
      <c r="D170" t="s">
        <v>1329</v>
      </c>
      <c r="E170" t="s">
        <v>1328</v>
      </c>
      <c r="F170" t="str">
        <f>INDEX(IPCCMaps!H:H,MATCH(mapPRC!D170,IPCCMaps!G:G,0))</f>
        <v>1 Energy</v>
      </c>
      <c r="G170" t="str">
        <f>INDEX(IPCCMaps!I:I,MATCH(mapPRC!D170,IPCCMaps!G:G,0))</f>
        <v>1A Fuel Combustion Activities</v>
      </c>
      <c r="H170" t="str">
        <f>INDEX(IPCCMaps!J:J,MATCH(mapPRC!D170,IPCCMaps!G:G,0))</f>
        <v>1A1 Energy Industries</v>
      </c>
      <c r="I170" t="str">
        <f>INDEX(IPCCMaps!K:K,MATCH(mapPRC!D170,IPCCMaps!G:G,0))</f>
        <v>1A1a Electricity and Heat Production</v>
      </c>
    </row>
    <row r="171" spans="1:9" hidden="1" x14ac:dyDescent="0.25">
      <c r="A171" t="s">
        <v>1356</v>
      </c>
      <c r="B171" t="s">
        <v>1355</v>
      </c>
      <c r="C171" t="s">
        <v>145</v>
      </c>
      <c r="D171" t="s">
        <v>1329</v>
      </c>
      <c r="E171" t="s">
        <v>1328</v>
      </c>
      <c r="F171" t="str">
        <f>INDEX(IPCCMaps!H:H,MATCH(mapPRC!D171,IPCCMaps!G:G,0))</f>
        <v>1 Energy</v>
      </c>
      <c r="G171" t="str">
        <f>INDEX(IPCCMaps!I:I,MATCH(mapPRC!D171,IPCCMaps!G:G,0))</f>
        <v>1A Fuel Combustion Activities</v>
      </c>
      <c r="H171" t="str">
        <f>INDEX(IPCCMaps!J:J,MATCH(mapPRC!D171,IPCCMaps!G:G,0))</f>
        <v>1A1 Energy Industries</v>
      </c>
      <c r="I171" t="str">
        <f>INDEX(IPCCMaps!K:K,MATCH(mapPRC!D171,IPCCMaps!G:G,0))</f>
        <v>1A1a Electricity and Heat Production</v>
      </c>
    </row>
    <row r="172" spans="1:9" hidden="1" x14ac:dyDescent="0.25">
      <c r="A172" t="s">
        <v>1354</v>
      </c>
      <c r="B172" t="s">
        <v>1353</v>
      </c>
      <c r="C172" t="s">
        <v>145</v>
      </c>
      <c r="D172" t="s">
        <v>1329</v>
      </c>
      <c r="E172" t="s">
        <v>1328</v>
      </c>
      <c r="F172" t="str">
        <f>INDEX(IPCCMaps!H:H,MATCH(mapPRC!D172,IPCCMaps!G:G,0))</f>
        <v>1 Energy</v>
      </c>
      <c r="G172" t="str">
        <f>INDEX(IPCCMaps!I:I,MATCH(mapPRC!D172,IPCCMaps!G:G,0))</f>
        <v>1A Fuel Combustion Activities</v>
      </c>
      <c r="H172" t="str">
        <f>INDEX(IPCCMaps!J:J,MATCH(mapPRC!D172,IPCCMaps!G:G,0))</f>
        <v>1A1 Energy Industries</v>
      </c>
      <c r="I172" t="str">
        <f>INDEX(IPCCMaps!K:K,MATCH(mapPRC!D172,IPCCMaps!G:G,0))</f>
        <v>1A1a Electricity and Heat Production</v>
      </c>
    </row>
    <row r="173" spans="1:9" hidden="1" x14ac:dyDescent="0.25">
      <c r="A173" t="s">
        <v>1352</v>
      </c>
      <c r="B173" t="s">
        <v>1351</v>
      </c>
      <c r="C173" t="s">
        <v>145</v>
      </c>
      <c r="D173" t="s">
        <v>1329</v>
      </c>
      <c r="E173" t="s">
        <v>1328</v>
      </c>
      <c r="F173" t="str">
        <f>INDEX(IPCCMaps!H:H,MATCH(mapPRC!D173,IPCCMaps!G:G,0))</f>
        <v>1 Energy</v>
      </c>
      <c r="G173" t="str">
        <f>INDEX(IPCCMaps!I:I,MATCH(mapPRC!D173,IPCCMaps!G:G,0))</f>
        <v>1A Fuel Combustion Activities</v>
      </c>
      <c r="H173" t="str">
        <f>INDEX(IPCCMaps!J:J,MATCH(mapPRC!D173,IPCCMaps!G:G,0))</f>
        <v>1A1 Energy Industries</v>
      </c>
      <c r="I173" t="str">
        <f>INDEX(IPCCMaps!K:K,MATCH(mapPRC!D173,IPCCMaps!G:G,0))</f>
        <v>1A1a Electricity and Heat Production</v>
      </c>
    </row>
    <row r="174" spans="1:9" hidden="1" x14ac:dyDescent="0.25">
      <c r="A174" t="s">
        <v>1350</v>
      </c>
      <c r="B174" t="s">
        <v>1349</v>
      </c>
      <c r="C174" t="s">
        <v>145</v>
      </c>
      <c r="D174" t="s">
        <v>1329</v>
      </c>
      <c r="E174" t="s">
        <v>1328</v>
      </c>
      <c r="F174" t="str">
        <f>INDEX(IPCCMaps!H:H,MATCH(mapPRC!D174,IPCCMaps!G:G,0))</f>
        <v>1 Energy</v>
      </c>
      <c r="G174" t="str">
        <f>INDEX(IPCCMaps!I:I,MATCH(mapPRC!D174,IPCCMaps!G:G,0))</f>
        <v>1A Fuel Combustion Activities</v>
      </c>
      <c r="H174" t="str">
        <f>INDEX(IPCCMaps!J:J,MATCH(mapPRC!D174,IPCCMaps!G:G,0))</f>
        <v>1A1 Energy Industries</v>
      </c>
      <c r="I174" t="str">
        <f>INDEX(IPCCMaps!K:K,MATCH(mapPRC!D174,IPCCMaps!G:G,0))</f>
        <v>1A1a Electricity and Heat Production</v>
      </c>
    </row>
    <row r="175" spans="1:9" hidden="1" x14ac:dyDescent="0.25">
      <c r="A175" t="s">
        <v>3005</v>
      </c>
      <c r="B175" t="s">
        <v>1332</v>
      </c>
      <c r="C175" t="s">
        <v>145</v>
      </c>
      <c r="D175" t="s">
        <v>1329</v>
      </c>
      <c r="E175" t="s">
        <v>1328</v>
      </c>
      <c r="F175" t="str">
        <f>INDEX(IPCCMaps!H:H,MATCH(mapPRC!D175,IPCCMaps!G:G,0))</f>
        <v>1 Energy</v>
      </c>
      <c r="G175" t="str">
        <f>INDEX(IPCCMaps!I:I,MATCH(mapPRC!D175,IPCCMaps!G:G,0))</f>
        <v>1A Fuel Combustion Activities</v>
      </c>
      <c r="H175" t="str">
        <f>INDEX(IPCCMaps!J:J,MATCH(mapPRC!D175,IPCCMaps!G:G,0))</f>
        <v>1A1 Energy Industries</v>
      </c>
      <c r="I175" t="str">
        <f>INDEX(IPCCMaps!K:K,MATCH(mapPRC!D175,IPCCMaps!G:G,0))</f>
        <v>1A1a Electricity and Heat Production</v>
      </c>
    </row>
    <row r="176" spans="1:9" hidden="1" x14ac:dyDescent="0.25">
      <c r="A176" t="s">
        <v>1348</v>
      </c>
      <c r="B176" t="s">
        <v>1347</v>
      </c>
      <c r="C176" t="s">
        <v>145</v>
      </c>
      <c r="D176" t="s">
        <v>1329</v>
      </c>
      <c r="E176" t="s">
        <v>1328</v>
      </c>
      <c r="F176" t="str">
        <f>INDEX(IPCCMaps!H:H,MATCH(mapPRC!D176,IPCCMaps!G:G,0))</f>
        <v>1 Energy</v>
      </c>
      <c r="G176" t="str">
        <f>INDEX(IPCCMaps!I:I,MATCH(mapPRC!D176,IPCCMaps!G:G,0))</f>
        <v>1A Fuel Combustion Activities</v>
      </c>
      <c r="H176" t="str">
        <f>INDEX(IPCCMaps!J:J,MATCH(mapPRC!D176,IPCCMaps!G:G,0))</f>
        <v>1A1 Energy Industries</v>
      </c>
      <c r="I176" t="str">
        <f>INDEX(IPCCMaps!K:K,MATCH(mapPRC!D176,IPCCMaps!G:G,0))</f>
        <v>1A1a Electricity and Heat Production</v>
      </c>
    </row>
    <row r="177" spans="1:9" hidden="1" x14ac:dyDescent="0.25">
      <c r="A177" t="s">
        <v>1346</v>
      </c>
      <c r="B177" t="s">
        <v>1345</v>
      </c>
      <c r="C177" t="s">
        <v>145</v>
      </c>
      <c r="D177" t="s">
        <v>1329</v>
      </c>
      <c r="E177" t="s">
        <v>1328</v>
      </c>
      <c r="F177" t="str">
        <f>INDEX(IPCCMaps!H:H,MATCH(mapPRC!D177,IPCCMaps!G:G,0))</f>
        <v>1 Energy</v>
      </c>
      <c r="G177" t="str">
        <f>INDEX(IPCCMaps!I:I,MATCH(mapPRC!D177,IPCCMaps!G:G,0))</f>
        <v>1A Fuel Combustion Activities</v>
      </c>
      <c r="H177" t="str">
        <f>INDEX(IPCCMaps!J:J,MATCH(mapPRC!D177,IPCCMaps!G:G,0))</f>
        <v>1A1 Energy Industries</v>
      </c>
      <c r="I177" t="str">
        <f>INDEX(IPCCMaps!K:K,MATCH(mapPRC!D177,IPCCMaps!G:G,0))</f>
        <v>1A1a Electricity and Heat Production</v>
      </c>
    </row>
    <row r="178" spans="1:9" hidden="1" x14ac:dyDescent="0.25">
      <c r="A178" t="s">
        <v>1344</v>
      </c>
      <c r="B178" t="s">
        <v>1343</v>
      </c>
      <c r="C178" t="s">
        <v>145</v>
      </c>
      <c r="D178" t="s">
        <v>1329</v>
      </c>
      <c r="E178" t="s">
        <v>1328</v>
      </c>
      <c r="F178" t="str">
        <f>INDEX(IPCCMaps!H:H,MATCH(mapPRC!D178,IPCCMaps!G:G,0))</f>
        <v>1 Energy</v>
      </c>
      <c r="G178" t="str">
        <f>INDEX(IPCCMaps!I:I,MATCH(mapPRC!D178,IPCCMaps!G:G,0))</f>
        <v>1A Fuel Combustion Activities</v>
      </c>
      <c r="H178" t="str">
        <f>INDEX(IPCCMaps!J:J,MATCH(mapPRC!D178,IPCCMaps!G:G,0))</f>
        <v>1A1 Energy Industries</v>
      </c>
      <c r="I178" t="str">
        <f>INDEX(IPCCMaps!K:K,MATCH(mapPRC!D178,IPCCMaps!G:G,0))</f>
        <v>1A1a Electricity and Heat Production</v>
      </c>
    </row>
    <row r="179" spans="1:9" hidden="1" x14ac:dyDescent="0.25">
      <c r="A179" t="s">
        <v>1342</v>
      </c>
      <c r="B179" t="s">
        <v>1341</v>
      </c>
      <c r="C179" t="s">
        <v>145</v>
      </c>
      <c r="D179" t="s">
        <v>1329</v>
      </c>
      <c r="E179" t="s">
        <v>1328</v>
      </c>
      <c r="F179" t="str">
        <f>INDEX(IPCCMaps!H:H,MATCH(mapPRC!D179,IPCCMaps!G:G,0))</f>
        <v>1 Energy</v>
      </c>
      <c r="G179" t="str">
        <f>INDEX(IPCCMaps!I:I,MATCH(mapPRC!D179,IPCCMaps!G:G,0))</f>
        <v>1A Fuel Combustion Activities</v>
      </c>
      <c r="H179" t="str">
        <f>INDEX(IPCCMaps!J:J,MATCH(mapPRC!D179,IPCCMaps!G:G,0))</f>
        <v>1A1 Energy Industries</v>
      </c>
      <c r="I179" t="str">
        <f>INDEX(IPCCMaps!K:K,MATCH(mapPRC!D179,IPCCMaps!G:G,0))</f>
        <v>1A1a Electricity and Heat Production</v>
      </c>
    </row>
    <row r="180" spans="1:9" hidden="1" x14ac:dyDescent="0.25">
      <c r="A180" t="s">
        <v>1340</v>
      </c>
      <c r="B180" t="s">
        <v>1339</v>
      </c>
      <c r="C180" t="s">
        <v>145</v>
      </c>
      <c r="D180" t="s">
        <v>1329</v>
      </c>
      <c r="E180" t="s">
        <v>1328</v>
      </c>
      <c r="F180" t="str">
        <f>INDEX(IPCCMaps!H:H,MATCH(mapPRC!D180,IPCCMaps!G:G,0))</f>
        <v>1 Energy</v>
      </c>
      <c r="G180" t="str">
        <f>INDEX(IPCCMaps!I:I,MATCH(mapPRC!D180,IPCCMaps!G:G,0))</f>
        <v>1A Fuel Combustion Activities</v>
      </c>
      <c r="H180" t="str">
        <f>INDEX(IPCCMaps!J:J,MATCH(mapPRC!D180,IPCCMaps!G:G,0))</f>
        <v>1A1 Energy Industries</v>
      </c>
      <c r="I180" t="str">
        <f>INDEX(IPCCMaps!K:K,MATCH(mapPRC!D180,IPCCMaps!G:G,0))</f>
        <v>1A1a Electricity and Heat Production</v>
      </c>
    </row>
    <row r="181" spans="1:9" hidden="1" x14ac:dyDescent="0.25">
      <c r="A181" t="s">
        <v>3002</v>
      </c>
      <c r="B181" t="s">
        <v>1338</v>
      </c>
      <c r="C181" t="s">
        <v>145</v>
      </c>
      <c r="D181" t="s">
        <v>1329</v>
      </c>
      <c r="E181" t="s">
        <v>1333</v>
      </c>
      <c r="F181" t="str">
        <f>INDEX(IPCCMaps!H:H,MATCH(mapPRC!D181,IPCCMaps!G:G,0))</f>
        <v>1 Energy</v>
      </c>
      <c r="G181" t="str">
        <f>INDEX(IPCCMaps!I:I,MATCH(mapPRC!D181,IPCCMaps!G:G,0))</f>
        <v>1A Fuel Combustion Activities</v>
      </c>
      <c r="H181" t="str">
        <f>INDEX(IPCCMaps!J:J,MATCH(mapPRC!D181,IPCCMaps!G:G,0))</f>
        <v>1A1 Energy Industries</v>
      </c>
      <c r="I181" t="str">
        <f>INDEX(IPCCMaps!K:K,MATCH(mapPRC!D181,IPCCMaps!G:G,0))</f>
        <v>1A1a Electricity and Heat Production</v>
      </c>
    </row>
    <row r="182" spans="1:9" hidden="1" x14ac:dyDescent="0.25">
      <c r="A182" t="s">
        <v>1337</v>
      </c>
      <c r="B182" t="s">
        <v>1336</v>
      </c>
      <c r="C182" t="s">
        <v>145</v>
      </c>
      <c r="D182" t="s">
        <v>3014</v>
      </c>
      <c r="E182" t="s">
        <v>3016</v>
      </c>
      <c r="F182" t="str">
        <f>INDEX(IPCCMaps!H:H,MATCH(mapPRC!D182,IPCCMaps!G:G,0))</f>
        <v>1 Energy</v>
      </c>
      <c r="G182" t="str">
        <f>INDEX(IPCCMaps!I:I,MATCH(mapPRC!D182,IPCCMaps!G:G,0))</f>
        <v>1A Fuel Combustion Activities</v>
      </c>
      <c r="H182" t="str">
        <f>INDEX(IPCCMaps!J:J,MATCH(mapPRC!D182,IPCCMaps!G:G,0))</f>
        <v>1A2 Manufacturing Industries and Construction</v>
      </c>
      <c r="I182" t="str">
        <f>INDEX(IPCCMaps!K:K,MATCH(mapPRC!D182,IPCCMaps!G:G,0))</f>
        <v>1A2 Manufacturing Industries and Construction</v>
      </c>
    </row>
    <row r="183" spans="1:9" hidden="1" x14ac:dyDescent="0.25">
      <c r="A183" t="s">
        <v>1335</v>
      </c>
      <c r="B183" t="s">
        <v>1334</v>
      </c>
      <c r="C183" t="s">
        <v>145</v>
      </c>
      <c r="D183" t="s">
        <v>3015</v>
      </c>
      <c r="E183" t="s">
        <v>3017</v>
      </c>
      <c r="F183" t="str">
        <f>INDEX(IPCCMaps!H:H,MATCH(mapPRC!D183,IPCCMaps!G:G,0))</f>
        <v>2 Energy</v>
      </c>
      <c r="G183" t="str">
        <f>INDEX(IPCCMaps!I:I,MATCH(mapPRC!D183,IPCCMaps!G:G,0))</f>
        <v>1A Fuel Combustion Activities</v>
      </c>
      <c r="H183" t="str">
        <f>INDEX(IPCCMaps!J:J,MATCH(mapPRC!D183,IPCCMaps!G:G,0))</f>
        <v>1A1 Energy Industries</v>
      </c>
      <c r="I183" t="str">
        <f>INDEX(IPCCMaps!K:K,MATCH(mapPRC!D183,IPCCMaps!G:G,0))</f>
        <v>1A1a Electricity and Heat Production</v>
      </c>
    </row>
    <row r="184" spans="1:9" hidden="1" x14ac:dyDescent="0.25">
      <c r="A184" t="s">
        <v>1331</v>
      </c>
      <c r="B184" t="s">
        <v>1330</v>
      </c>
      <c r="C184" t="s">
        <v>145</v>
      </c>
      <c r="D184" t="s">
        <v>1329</v>
      </c>
      <c r="E184" t="s">
        <v>1328</v>
      </c>
      <c r="F184" t="str">
        <f>INDEX(IPCCMaps!H:H,MATCH(mapPRC!D184,IPCCMaps!G:G,0))</f>
        <v>1 Energy</v>
      </c>
      <c r="G184" t="str">
        <f>INDEX(IPCCMaps!I:I,MATCH(mapPRC!D184,IPCCMaps!G:G,0))</f>
        <v>1A Fuel Combustion Activities</v>
      </c>
      <c r="H184" t="str">
        <f>INDEX(IPCCMaps!J:J,MATCH(mapPRC!D184,IPCCMaps!G:G,0))</f>
        <v>1A1 Energy Industries</v>
      </c>
      <c r="I184" t="str">
        <f>INDEX(IPCCMaps!K:K,MATCH(mapPRC!D184,IPCCMaps!G:G,0))</f>
        <v>1A1a Electricity and Heat Production</v>
      </c>
    </row>
    <row r="185" spans="1:9" hidden="1" x14ac:dyDescent="0.25">
      <c r="A185" t="s">
        <v>3003</v>
      </c>
      <c r="B185" t="s">
        <v>3004</v>
      </c>
      <c r="C185" t="s">
        <v>145</v>
      </c>
      <c r="D185" t="s">
        <v>1329</v>
      </c>
      <c r="E185" t="s">
        <v>1333</v>
      </c>
      <c r="F185" t="str">
        <f>INDEX(IPCCMaps!H:H,MATCH(mapPRC!D185,IPCCMaps!G:G,0))</f>
        <v>1 Energy</v>
      </c>
      <c r="G185" t="str">
        <f>INDEX(IPCCMaps!I:I,MATCH(mapPRC!D185,IPCCMaps!G:G,0))</f>
        <v>1A Fuel Combustion Activities</v>
      </c>
      <c r="H185" t="str">
        <f>INDEX(IPCCMaps!J:J,MATCH(mapPRC!D185,IPCCMaps!G:G,0))</f>
        <v>1A1 Energy Industries</v>
      </c>
      <c r="I185" t="str">
        <f>INDEX(IPCCMaps!K:K,MATCH(mapPRC!D185,IPCCMaps!G:G,0))</f>
        <v>1A1a Electricity and Heat Production</v>
      </c>
    </row>
    <row r="186" spans="1:9" hidden="1" x14ac:dyDescent="0.25">
      <c r="A186" t="s">
        <v>3012</v>
      </c>
      <c r="B186" t="s">
        <v>3013</v>
      </c>
      <c r="C186" t="s">
        <v>145</v>
      </c>
      <c r="D186" t="s">
        <v>3014</v>
      </c>
      <c r="E186" t="s">
        <v>3018</v>
      </c>
      <c r="F186" t="str">
        <f>INDEX(IPCCMaps!H:H,MATCH(mapPRC!D186,IPCCMaps!G:G,0))</f>
        <v>1 Energy</v>
      </c>
      <c r="G186" t="str">
        <f>INDEX(IPCCMaps!I:I,MATCH(mapPRC!D186,IPCCMaps!G:G,0))</f>
        <v>1A Fuel Combustion Activities</v>
      </c>
      <c r="H186" t="str">
        <f>INDEX(IPCCMaps!J:J,MATCH(mapPRC!D186,IPCCMaps!G:G,0))</f>
        <v>1A2 Manufacturing Industries and Construction</v>
      </c>
      <c r="I186" t="str">
        <f>INDEX(IPCCMaps!K:K,MATCH(mapPRC!D186,IPCCMaps!G:G,0))</f>
        <v>1A2 Manufacturing Industries and Construction</v>
      </c>
    </row>
    <row r="187" spans="1:9" hidden="1" x14ac:dyDescent="0.25">
      <c r="A187" t="s">
        <v>3090</v>
      </c>
      <c r="B187" t="s">
        <v>3011</v>
      </c>
      <c r="C187" t="s">
        <v>145</v>
      </c>
      <c r="D187" t="s">
        <v>3015</v>
      </c>
      <c r="E187" t="s">
        <v>3019</v>
      </c>
      <c r="F187" t="str">
        <f>INDEX(IPCCMaps!H:H,MATCH(mapPRC!D187,IPCCMaps!G:G,0))</f>
        <v>2 Energy</v>
      </c>
      <c r="G187" t="str">
        <f>INDEX(IPCCMaps!I:I,MATCH(mapPRC!D187,IPCCMaps!G:G,0))</f>
        <v>1A Fuel Combustion Activities</v>
      </c>
      <c r="H187" t="str">
        <f>INDEX(IPCCMaps!J:J,MATCH(mapPRC!D187,IPCCMaps!G:G,0))</f>
        <v>1A1 Energy Industries</v>
      </c>
      <c r="I187" t="str">
        <f>INDEX(IPCCMaps!K:K,MATCH(mapPRC!D187,IPCCMaps!G:G,0))</f>
        <v>1A1a Electricity and Heat Production</v>
      </c>
    </row>
    <row r="188" spans="1:9" hidden="1" x14ac:dyDescent="0.25">
      <c r="A188" t="s">
        <v>1327</v>
      </c>
      <c r="B188" t="s">
        <v>3008</v>
      </c>
      <c r="C188" t="s">
        <v>145</v>
      </c>
      <c r="D188" t="s">
        <v>1319</v>
      </c>
      <c r="E188" t="s">
        <v>1319</v>
      </c>
      <c r="F188" t="str">
        <f>INDEX(IPCCMaps!H:H,MATCH(mapPRC!D188,IPCCMaps!G:G,0))</f>
        <v>1 Energy</v>
      </c>
      <c r="G188" t="str">
        <f>INDEX(IPCCMaps!I:I,MATCH(mapPRC!D188,IPCCMaps!G:G,0))</f>
        <v>1A Fuel Combustion Activities</v>
      </c>
      <c r="H188" t="str">
        <f>INDEX(IPCCMaps!J:J,MATCH(mapPRC!D188,IPCCMaps!G:G,0))</f>
        <v>1A1 Energy Industries</v>
      </c>
      <c r="I188" t="str">
        <f>INDEX(IPCCMaps!K:K,MATCH(mapPRC!D188,IPCCMaps!G:G,0))</f>
        <v>1A1a Electricity and Heat Production</v>
      </c>
    </row>
    <row r="189" spans="1:9" hidden="1" x14ac:dyDescent="0.25">
      <c r="A189" t="s">
        <v>3009</v>
      </c>
      <c r="B189" t="s">
        <v>3010</v>
      </c>
      <c r="C189" t="s">
        <v>145</v>
      </c>
      <c r="D189" t="s">
        <v>1319</v>
      </c>
      <c r="E189" t="s">
        <v>1319</v>
      </c>
      <c r="F189" t="str">
        <f>INDEX(IPCCMaps!H:H,MATCH(mapPRC!D189,IPCCMaps!G:G,0))</f>
        <v>1 Energy</v>
      </c>
      <c r="G189" t="str">
        <f>INDEX(IPCCMaps!I:I,MATCH(mapPRC!D189,IPCCMaps!G:G,0))</f>
        <v>1A Fuel Combustion Activities</v>
      </c>
      <c r="H189" t="str">
        <f>INDEX(IPCCMaps!J:J,MATCH(mapPRC!D189,IPCCMaps!G:G,0))</f>
        <v>1A1 Energy Industries</v>
      </c>
      <c r="I189" t="str">
        <f>INDEX(IPCCMaps!K:K,MATCH(mapPRC!D189,IPCCMaps!G:G,0))</f>
        <v>1A1a Electricity and Heat Production</v>
      </c>
    </row>
    <row r="190" spans="1:9" hidden="1" x14ac:dyDescent="0.25">
      <c r="A190" t="s">
        <v>1326</v>
      </c>
      <c r="B190" t="s">
        <v>3007</v>
      </c>
      <c r="C190" t="s">
        <v>145</v>
      </c>
      <c r="D190" t="s">
        <v>1319</v>
      </c>
      <c r="E190" t="s">
        <v>1319</v>
      </c>
      <c r="F190" t="str">
        <f>INDEX(IPCCMaps!H:H,MATCH(mapPRC!D190,IPCCMaps!G:G,0))</f>
        <v>1 Energy</v>
      </c>
      <c r="G190" t="str">
        <f>INDEX(IPCCMaps!I:I,MATCH(mapPRC!D190,IPCCMaps!G:G,0))</f>
        <v>1A Fuel Combustion Activities</v>
      </c>
      <c r="H190" t="str">
        <f>INDEX(IPCCMaps!J:J,MATCH(mapPRC!D190,IPCCMaps!G:G,0))</f>
        <v>1A1 Energy Industries</v>
      </c>
      <c r="I190" t="str">
        <f>INDEX(IPCCMaps!K:K,MATCH(mapPRC!D190,IPCCMaps!G:G,0))</f>
        <v>1A1a Electricity and Heat Production</v>
      </c>
    </row>
    <row r="191" spans="1:9" hidden="1" x14ac:dyDescent="0.25">
      <c r="A191" t="s">
        <v>1325</v>
      </c>
      <c r="B191" t="s">
        <v>1324</v>
      </c>
      <c r="C191" t="s">
        <v>145</v>
      </c>
      <c r="D191" t="s">
        <v>1319</v>
      </c>
      <c r="E191" t="s">
        <v>1319</v>
      </c>
      <c r="F191" t="str">
        <f>INDEX(IPCCMaps!H:H,MATCH(mapPRC!D191,IPCCMaps!G:G,0))</f>
        <v>1 Energy</v>
      </c>
      <c r="G191" t="str">
        <f>INDEX(IPCCMaps!I:I,MATCH(mapPRC!D191,IPCCMaps!G:G,0))</f>
        <v>1A Fuel Combustion Activities</v>
      </c>
      <c r="H191" t="str">
        <f>INDEX(IPCCMaps!J:J,MATCH(mapPRC!D191,IPCCMaps!G:G,0))</f>
        <v>1A1 Energy Industries</v>
      </c>
      <c r="I191" t="str">
        <f>INDEX(IPCCMaps!K:K,MATCH(mapPRC!D191,IPCCMaps!G:G,0))</f>
        <v>1A1a Electricity and Heat Production</v>
      </c>
    </row>
    <row r="192" spans="1:9" hidden="1" x14ac:dyDescent="0.25">
      <c r="A192" t="s">
        <v>1323</v>
      </c>
      <c r="B192" t="s">
        <v>1322</v>
      </c>
      <c r="C192" t="s">
        <v>145</v>
      </c>
      <c r="D192" t="s">
        <v>1319</v>
      </c>
      <c r="E192" t="s">
        <v>1319</v>
      </c>
      <c r="F192" t="str">
        <f>INDEX(IPCCMaps!H:H,MATCH(mapPRC!D192,IPCCMaps!G:G,0))</f>
        <v>1 Energy</v>
      </c>
      <c r="G192" t="str">
        <f>INDEX(IPCCMaps!I:I,MATCH(mapPRC!D192,IPCCMaps!G:G,0))</f>
        <v>1A Fuel Combustion Activities</v>
      </c>
      <c r="H192" t="str">
        <f>INDEX(IPCCMaps!J:J,MATCH(mapPRC!D192,IPCCMaps!G:G,0))</f>
        <v>1A1 Energy Industries</v>
      </c>
      <c r="I192" t="str">
        <f>INDEX(IPCCMaps!K:K,MATCH(mapPRC!D192,IPCCMaps!G:G,0))</f>
        <v>1A1a Electricity and Heat Production</v>
      </c>
    </row>
    <row r="193" spans="1:9" hidden="1" x14ac:dyDescent="0.25">
      <c r="A193" t="s">
        <v>1321</v>
      </c>
      <c r="B193" t="s">
        <v>1320</v>
      </c>
      <c r="C193" t="s">
        <v>145</v>
      </c>
      <c r="D193" t="s">
        <v>1319</v>
      </c>
      <c r="E193" t="s">
        <v>1319</v>
      </c>
      <c r="F193" t="str">
        <f>INDEX(IPCCMaps!H:H,MATCH(mapPRC!D193,IPCCMaps!G:G,0))</f>
        <v>1 Energy</v>
      </c>
      <c r="G193" t="str">
        <f>INDEX(IPCCMaps!I:I,MATCH(mapPRC!D193,IPCCMaps!G:G,0))</f>
        <v>1A Fuel Combustion Activities</v>
      </c>
      <c r="H193" t="str">
        <f>INDEX(IPCCMaps!J:J,MATCH(mapPRC!D193,IPCCMaps!G:G,0))</f>
        <v>1A1 Energy Industries</v>
      </c>
      <c r="I193" t="str">
        <f>INDEX(IPCCMaps!K:K,MATCH(mapPRC!D193,IPCCMaps!G:G,0))</f>
        <v>1A1a Electricity and Heat Production</v>
      </c>
    </row>
    <row r="194" spans="1:9" hidden="1" x14ac:dyDescent="0.25">
      <c r="A194" t="s">
        <v>1318</v>
      </c>
      <c r="B194" t="s">
        <v>1317</v>
      </c>
      <c r="C194" t="s">
        <v>145</v>
      </c>
      <c r="D194" t="s">
        <v>1316</v>
      </c>
      <c r="E194" t="s">
        <v>1316</v>
      </c>
      <c r="F194" t="str">
        <f>INDEX(IPCCMaps!H:H,MATCH(mapPRC!D194,IPCCMaps!G:G,0))</f>
        <v>1 Energy</v>
      </c>
      <c r="G194" t="str">
        <f>INDEX(IPCCMaps!I:I,MATCH(mapPRC!D194,IPCCMaps!G:G,0))</f>
        <v>1A Fuel Combustion Activities</v>
      </c>
      <c r="H194" t="str">
        <f>INDEX(IPCCMaps!J:J,MATCH(mapPRC!D194,IPCCMaps!G:G,0))</f>
        <v>1A1 Energy Industries</v>
      </c>
      <c r="I194" t="str">
        <f>INDEX(IPCCMaps!K:K,MATCH(mapPRC!D194,IPCCMaps!G:G,0))</f>
        <v>1A1a Electricity and Heat Production</v>
      </c>
    </row>
    <row r="195" spans="1:9" hidden="1" x14ac:dyDescent="0.25">
      <c r="A195" t="s">
        <v>1315</v>
      </c>
      <c r="B195" t="s">
        <v>1314</v>
      </c>
      <c r="C195" t="s">
        <v>145</v>
      </c>
      <c r="D195" t="s">
        <v>1311</v>
      </c>
      <c r="E195" t="s">
        <v>1311</v>
      </c>
      <c r="F195" t="str">
        <f>INDEX(IPCCMaps!H:H,MATCH(mapPRC!D195,IPCCMaps!G:G,0))</f>
        <v>1 Energy</v>
      </c>
      <c r="G195" t="str">
        <f>INDEX(IPCCMaps!I:I,MATCH(mapPRC!D195,IPCCMaps!G:G,0))</f>
        <v>1A Fuel Combustion Activities</v>
      </c>
      <c r="H195" t="str">
        <f>INDEX(IPCCMaps!J:J,MATCH(mapPRC!D195,IPCCMaps!G:G,0))</f>
        <v>1A1 Energy Industries</v>
      </c>
      <c r="I195" t="str">
        <f>INDEX(IPCCMaps!K:K,MATCH(mapPRC!D195,IPCCMaps!G:G,0))</f>
        <v>1A1a Electricity and Heat Production</v>
      </c>
    </row>
    <row r="196" spans="1:9" hidden="1" x14ac:dyDescent="0.25">
      <c r="A196" t="s">
        <v>1313</v>
      </c>
      <c r="B196" t="s">
        <v>1312</v>
      </c>
      <c r="C196" t="s">
        <v>145</v>
      </c>
      <c r="D196" t="s">
        <v>1311</v>
      </c>
      <c r="E196" t="s">
        <v>1311</v>
      </c>
      <c r="F196" t="str">
        <f>INDEX(IPCCMaps!H:H,MATCH(mapPRC!D196,IPCCMaps!G:G,0))</f>
        <v>1 Energy</v>
      </c>
      <c r="G196" t="str">
        <f>INDEX(IPCCMaps!I:I,MATCH(mapPRC!D196,IPCCMaps!G:G,0))</f>
        <v>1A Fuel Combustion Activities</v>
      </c>
      <c r="H196" t="str">
        <f>INDEX(IPCCMaps!J:J,MATCH(mapPRC!D196,IPCCMaps!G:G,0))</f>
        <v>1A1 Energy Industries</v>
      </c>
      <c r="I196" t="str">
        <f>INDEX(IPCCMaps!K:K,MATCH(mapPRC!D196,IPCCMaps!G:G,0))</f>
        <v>1A1a Electricity and Heat Production</v>
      </c>
    </row>
    <row r="197" spans="1:9" hidden="1" x14ac:dyDescent="0.25">
      <c r="A197" t="s">
        <v>1310</v>
      </c>
      <c r="B197" t="s">
        <v>1309</v>
      </c>
      <c r="C197" t="s">
        <v>145</v>
      </c>
      <c r="D197" t="s">
        <v>1307</v>
      </c>
      <c r="E197" t="s">
        <v>1307</v>
      </c>
      <c r="F197" t="str">
        <f>INDEX(IPCCMaps!H:H,MATCH(mapPRC!D197,IPCCMaps!G:G,0))</f>
        <v>1 Energy</v>
      </c>
      <c r="G197" t="str">
        <f>INDEX(IPCCMaps!I:I,MATCH(mapPRC!D197,IPCCMaps!G:G,0))</f>
        <v>1A Fuel Combustion Activities</v>
      </c>
      <c r="H197" t="str">
        <f>INDEX(IPCCMaps!J:J,MATCH(mapPRC!D197,IPCCMaps!G:G,0))</f>
        <v>1A1 Energy Industries</v>
      </c>
      <c r="I197" t="str">
        <f>INDEX(IPCCMaps!K:K,MATCH(mapPRC!D197,IPCCMaps!G:G,0))</f>
        <v>1A1a Electricity and Heat Production</v>
      </c>
    </row>
    <row r="198" spans="1:9" hidden="1" x14ac:dyDescent="0.25">
      <c r="A198" t="s">
        <v>1308</v>
      </c>
      <c r="B198" t="s">
        <v>3006</v>
      </c>
      <c r="C198" t="s">
        <v>145</v>
      </c>
      <c r="D198" t="s">
        <v>1307</v>
      </c>
      <c r="E198" t="s">
        <v>1307</v>
      </c>
      <c r="F198" t="str">
        <f>INDEX(IPCCMaps!H:H,MATCH(mapPRC!D198,IPCCMaps!G:G,0))</f>
        <v>1 Energy</v>
      </c>
      <c r="G198" t="str">
        <f>INDEX(IPCCMaps!I:I,MATCH(mapPRC!D198,IPCCMaps!G:G,0))</f>
        <v>1A Fuel Combustion Activities</v>
      </c>
      <c r="H198" t="str">
        <f>INDEX(IPCCMaps!J:J,MATCH(mapPRC!D198,IPCCMaps!G:G,0))</f>
        <v>1A1 Energy Industries</v>
      </c>
      <c r="I198" t="str">
        <f>INDEX(IPCCMaps!K:K,MATCH(mapPRC!D198,IPCCMaps!G:G,0))</f>
        <v>1A1a Electricity and Heat Production</v>
      </c>
    </row>
    <row r="199" spans="1:9" hidden="1" x14ac:dyDescent="0.25">
      <c r="A199" t="s">
        <v>1306</v>
      </c>
      <c r="B199" t="s">
        <v>1305</v>
      </c>
      <c r="E199" t="s">
        <v>0</v>
      </c>
      <c r="F199" t="e">
        <f>INDEX(IPCCMaps!H:H,MATCH(mapPRC!D199,IPCCMaps!G:G,0))</f>
        <v>#N/A</v>
      </c>
      <c r="G199" t="e">
        <f>INDEX(IPCCMaps!I:I,MATCH(mapPRC!D199,IPCCMaps!G:G,0))</f>
        <v>#N/A</v>
      </c>
      <c r="H199" t="e">
        <f>INDEX(IPCCMaps!J:J,MATCH(mapPRC!D199,IPCCMaps!G:G,0))</f>
        <v>#N/A</v>
      </c>
      <c r="I199" t="e">
        <f>INDEX(IPCCMaps!K:K,MATCH(mapPRC!D199,IPCCMaps!G:G,0))</f>
        <v>#N/A</v>
      </c>
    </row>
    <row r="200" spans="1:9" hidden="1" x14ac:dyDescent="0.25">
      <c r="A200" t="s">
        <v>1304</v>
      </c>
      <c r="B200" t="s">
        <v>1303</v>
      </c>
      <c r="C200" t="s">
        <v>145</v>
      </c>
      <c r="D200" t="s">
        <v>1302</v>
      </c>
      <c r="E200" t="s">
        <v>1302</v>
      </c>
      <c r="F200" t="str">
        <f>INDEX(IPCCMaps!H:H,MATCH(mapPRC!D200,IPCCMaps!G:G,0))</f>
        <v>1 Energy</v>
      </c>
      <c r="G200">
        <f>INDEX(IPCCMaps!I:I,MATCH(mapPRC!D200,IPCCMaps!G:G,0))</f>
        <v>0</v>
      </c>
      <c r="H200">
        <f>INDEX(IPCCMaps!J:J,MATCH(mapPRC!D200,IPCCMaps!G:G,0))</f>
        <v>0</v>
      </c>
      <c r="I200">
        <f>INDEX(IPCCMaps!K:K,MATCH(mapPRC!D200,IPCCMaps!G:G,0))</f>
        <v>0</v>
      </c>
    </row>
    <row r="201" spans="1:9" hidden="1" x14ac:dyDescent="0.25">
      <c r="A201" t="s">
        <v>3091</v>
      </c>
      <c r="B201" t="s">
        <v>3092</v>
      </c>
      <c r="C201" t="s">
        <v>964</v>
      </c>
      <c r="D201" t="s">
        <v>3093</v>
      </c>
      <c r="E201" t="s">
        <v>3094</v>
      </c>
      <c r="F201" t="str">
        <f>INDEX(IPCCMaps!H:H,MATCH(mapPRC!D201,IPCCMaps!G:G,0))</f>
        <v>1 Energy</v>
      </c>
      <c r="G201" t="str">
        <f>INDEX(IPCCMaps!I:I,MATCH(mapPRC!D201,IPCCMaps!G:G,0))</f>
        <v>1A Fuel Combustion Activities</v>
      </c>
      <c r="H201" t="str">
        <f>INDEX(IPCCMaps!J:J,MATCH(mapPRC!D201,IPCCMaps!G:G,0))</f>
        <v>1A2 Manufacturing Industries and Construction</v>
      </c>
      <c r="I201" t="str">
        <f>INDEX(IPCCMaps!K:K,MATCH(mapPRC!D201,IPCCMaps!G:G,0))</f>
        <v>1A2 Manufacturing Industries and Construction</v>
      </c>
    </row>
    <row r="202" spans="1:9" hidden="1" x14ac:dyDescent="0.25">
      <c r="A202" t="s">
        <v>1301</v>
      </c>
      <c r="B202" t="s">
        <v>1300</v>
      </c>
      <c r="C202" t="s">
        <v>964</v>
      </c>
      <c r="D202" t="s">
        <v>1270</v>
      </c>
      <c r="E202" t="s">
        <v>1064</v>
      </c>
      <c r="F202" t="str">
        <f>INDEX(IPCCMaps!H:H,MATCH(mapPRC!D202,IPCCMaps!G:G,0))</f>
        <v>1 Energy</v>
      </c>
      <c r="G202" t="str">
        <f>INDEX(IPCCMaps!I:I,MATCH(mapPRC!D202,IPCCMaps!G:G,0))</f>
        <v>1A Fuel Combustion Activities</v>
      </c>
      <c r="H202" t="str">
        <f>INDEX(IPCCMaps!J:J,MATCH(mapPRC!D202,IPCCMaps!G:G,0))</f>
        <v>1A2 Manufacturing Industries and Construction</v>
      </c>
      <c r="I202" t="str">
        <f>INDEX(IPCCMaps!K:K,MATCH(mapPRC!D202,IPCCMaps!G:G,0))</f>
        <v>1A2 Manufacturing Industries and Construction</v>
      </c>
    </row>
    <row r="203" spans="1:9" hidden="1" x14ac:dyDescent="0.25">
      <c r="A203" t="s">
        <v>1299</v>
      </c>
      <c r="B203" t="s">
        <v>1298</v>
      </c>
      <c r="C203" t="s">
        <v>964</v>
      </c>
      <c r="D203" t="s">
        <v>1270</v>
      </c>
      <c r="E203" t="s">
        <v>1061</v>
      </c>
      <c r="F203" t="str">
        <f>INDEX(IPCCMaps!H:H,MATCH(mapPRC!D203,IPCCMaps!G:G,0))</f>
        <v>1 Energy</v>
      </c>
      <c r="G203" t="str">
        <f>INDEX(IPCCMaps!I:I,MATCH(mapPRC!D203,IPCCMaps!G:G,0))</f>
        <v>1A Fuel Combustion Activities</v>
      </c>
      <c r="H203" t="str">
        <f>INDEX(IPCCMaps!J:J,MATCH(mapPRC!D203,IPCCMaps!G:G,0))</f>
        <v>1A2 Manufacturing Industries and Construction</v>
      </c>
      <c r="I203" t="str">
        <f>INDEX(IPCCMaps!K:K,MATCH(mapPRC!D203,IPCCMaps!G:G,0))</f>
        <v>1A2 Manufacturing Industries and Construction</v>
      </c>
    </row>
    <row r="204" spans="1:9" hidden="1" x14ac:dyDescent="0.25">
      <c r="A204" t="s">
        <v>1297</v>
      </c>
      <c r="B204" t="s">
        <v>1296</v>
      </c>
      <c r="C204" t="s">
        <v>964</v>
      </c>
      <c r="D204" t="s">
        <v>1270</v>
      </c>
      <c r="E204" t="s">
        <v>1058</v>
      </c>
      <c r="F204" t="str">
        <f>INDEX(IPCCMaps!H:H,MATCH(mapPRC!D204,IPCCMaps!G:G,0))</f>
        <v>1 Energy</v>
      </c>
      <c r="G204" t="str">
        <f>INDEX(IPCCMaps!I:I,MATCH(mapPRC!D204,IPCCMaps!G:G,0))</f>
        <v>1A Fuel Combustion Activities</v>
      </c>
      <c r="H204" t="str">
        <f>INDEX(IPCCMaps!J:J,MATCH(mapPRC!D204,IPCCMaps!G:G,0))</f>
        <v>1A2 Manufacturing Industries and Construction</v>
      </c>
      <c r="I204" t="str">
        <f>INDEX(IPCCMaps!K:K,MATCH(mapPRC!D204,IPCCMaps!G:G,0))</f>
        <v>1A2 Manufacturing Industries and Construction</v>
      </c>
    </row>
    <row r="205" spans="1:9" hidden="1" x14ac:dyDescent="0.25">
      <c r="A205" t="s">
        <v>1295</v>
      </c>
      <c r="B205" t="s">
        <v>1294</v>
      </c>
      <c r="C205" t="s">
        <v>964</v>
      </c>
      <c r="D205" t="s">
        <v>1270</v>
      </c>
      <c r="E205" t="s">
        <v>1055</v>
      </c>
      <c r="F205" t="str">
        <f>INDEX(IPCCMaps!H:H,MATCH(mapPRC!D205,IPCCMaps!G:G,0))</f>
        <v>1 Energy</v>
      </c>
      <c r="G205" t="str">
        <f>INDEX(IPCCMaps!I:I,MATCH(mapPRC!D205,IPCCMaps!G:G,0))</f>
        <v>1A Fuel Combustion Activities</v>
      </c>
      <c r="H205" t="str">
        <f>INDEX(IPCCMaps!J:J,MATCH(mapPRC!D205,IPCCMaps!G:G,0))</f>
        <v>1A2 Manufacturing Industries and Construction</v>
      </c>
      <c r="I205" t="str">
        <f>INDEX(IPCCMaps!K:K,MATCH(mapPRC!D205,IPCCMaps!G:G,0))</f>
        <v>1A2 Manufacturing Industries and Construction</v>
      </c>
    </row>
    <row r="206" spans="1:9" hidden="1" x14ac:dyDescent="0.25">
      <c r="A206" t="s">
        <v>1293</v>
      </c>
      <c r="B206" t="s">
        <v>1292</v>
      </c>
      <c r="C206" t="s">
        <v>964</v>
      </c>
      <c r="D206" t="s">
        <v>1270</v>
      </c>
      <c r="E206" t="s">
        <v>1052</v>
      </c>
      <c r="F206" t="str">
        <f>INDEX(IPCCMaps!H:H,MATCH(mapPRC!D206,IPCCMaps!G:G,0))</f>
        <v>1 Energy</v>
      </c>
      <c r="G206" t="str">
        <f>INDEX(IPCCMaps!I:I,MATCH(mapPRC!D206,IPCCMaps!G:G,0))</f>
        <v>1A Fuel Combustion Activities</v>
      </c>
      <c r="H206" t="str">
        <f>INDEX(IPCCMaps!J:J,MATCH(mapPRC!D206,IPCCMaps!G:G,0))</f>
        <v>1A2 Manufacturing Industries and Construction</v>
      </c>
      <c r="I206" t="str">
        <f>INDEX(IPCCMaps!K:K,MATCH(mapPRC!D206,IPCCMaps!G:G,0))</f>
        <v>1A2 Manufacturing Industries and Construction</v>
      </c>
    </row>
    <row r="207" spans="1:9" hidden="1" x14ac:dyDescent="0.25">
      <c r="A207" t="s">
        <v>1291</v>
      </c>
      <c r="B207" t="s">
        <v>1290</v>
      </c>
      <c r="C207" t="s">
        <v>964</v>
      </c>
      <c r="D207" t="s">
        <v>1270</v>
      </c>
      <c r="E207" t="s">
        <v>1049</v>
      </c>
      <c r="F207" t="str">
        <f>INDEX(IPCCMaps!H:H,MATCH(mapPRC!D207,IPCCMaps!G:G,0))</f>
        <v>1 Energy</v>
      </c>
      <c r="G207" t="str">
        <f>INDEX(IPCCMaps!I:I,MATCH(mapPRC!D207,IPCCMaps!G:G,0))</f>
        <v>1A Fuel Combustion Activities</v>
      </c>
      <c r="H207" t="str">
        <f>INDEX(IPCCMaps!J:J,MATCH(mapPRC!D207,IPCCMaps!G:G,0))</f>
        <v>1A2 Manufacturing Industries and Construction</v>
      </c>
      <c r="I207" t="str">
        <f>INDEX(IPCCMaps!K:K,MATCH(mapPRC!D207,IPCCMaps!G:G,0))</f>
        <v>1A2 Manufacturing Industries and Construction</v>
      </c>
    </row>
    <row r="208" spans="1:9" hidden="1" x14ac:dyDescent="0.25">
      <c r="A208" t="s">
        <v>1289</v>
      </c>
      <c r="B208" t="s">
        <v>1288</v>
      </c>
      <c r="C208" t="s">
        <v>964</v>
      </c>
      <c r="D208" t="s">
        <v>1270</v>
      </c>
      <c r="E208" t="s">
        <v>733</v>
      </c>
      <c r="F208" t="str">
        <f>INDEX(IPCCMaps!H:H,MATCH(mapPRC!D208,IPCCMaps!G:G,0))</f>
        <v>1 Energy</v>
      </c>
      <c r="G208" t="str">
        <f>INDEX(IPCCMaps!I:I,MATCH(mapPRC!D208,IPCCMaps!G:G,0))</f>
        <v>1A Fuel Combustion Activities</v>
      </c>
      <c r="H208" t="str">
        <f>INDEX(IPCCMaps!J:J,MATCH(mapPRC!D208,IPCCMaps!G:G,0))</f>
        <v>1A2 Manufacturing Industries and Construction</v>
      </c>
      <c r="I208" t="str">
        <f>INDEX(IPCCMaps!K:K,MATCH(mapPRC!D208,IPCCMaps!G:G,0))</f>
        <v>1A2 Manufacturing Industries and Construction</v>
      </c>
    </row>
    <row r="209" spans="1:9" hidden="1" x14ac:dyDescent="0.25">
      <c r="A209" t="s">
        <v>1287</v>
      </c>
      <c r="B209" t="s">
        <v>1286</v>
      </c>
      <c r="C209" t="s">
        <v>964</v>
      </c>
      <c r="D209" t="s">
        <v>1270</v>
      </c>
      <c r="E209" t="s">
        <v>1044</v>
      </c>
      <c r="F209" t="str">
        <f>INDEX(IPCCMaps!H:H,MATCH(mapPRC!D209,IPCCMaps!G:G,0))</f>
        <v>1 Energy</v>
      </c>
      <c r="G209" t="str">
        <f>INDEX(IPCCMaps!I:I,MATCH(mapPRC!D209,IPCCMaps!G:G,0))</f>
        <v>1A Fuel Combustion Activities</v>
      </c>
      <c r="H209" t="str">
        <f>INDEX(IPCCMaps!J:J,MATCH(mapPRC!D209,IPCCMaps!G:G,0))</f>
        <v>1A2 Manufacturing Industries and Construction</v>
      </c>
      <c r="I209" t="str">
        <f>INDEX(IPCCMaps!K:K,MATCH(mapPRC!D209,IPCCMaps!G:G,0))</f>
        <v>1A2 Manufacturing Industries and Construction</v>
      </c>
    </row>
    <row r="210" spans="1:9" hidden="1" x14ac:dyDescent="0.25">
      <c r="A210" t="s">
        <v>1285</v>
      </c>
      <c r="B210" t="s">
        <v>1284</v>
      </c>
      <c r="C210" t="s">
        <v>964</v>
      </c>
      <c r="D210" t="s">
        <v>1270</v>
      </c>
      <c r="E210" t="s">
        <v>1041</v>
      </c>
      <c r="F210" t="str">
        <f>INDEX(IPCCMaps!H:H,MATCH(mapPRC!D210,IPCCMaps!G:G,0))</f>
        <v>1 Energy</v>
      </c>
      <c r="G210" t="str">
        <f>INDEX(IPCCMaps!I:I,MATCH(mapPRC!D210,IPCCMaps!G:G,0))</f>
        <v>1A Fuel Combustion Activities</v>
      </c>
      <c r="H210" t="str">
        <f>INDEX(IPCCMaps!J:J,MATCH(mapPRC!D210,IPCCMaps!G:G,0))</f>
        <v>1A2 Manufacturing Industries and Construction</v>
      </c>
      <c r="I210" t="str">
        <f>INDEX(IPCCMaps!K:K,MATCH(mapPRC!D210,IPCCMaps!G:G,0))</f>
        <v>1A2 Manufacturing Industries and Construction</v>
      </c>
    </row>
    <row r="211" spans="1:9" hidden="1" x14ac:dyDescent="0.25">
      <c r="A211" t="s">
        <v>3095</v>
      </c>
      <c r="B211" t="s">
        <v>1283</v>
      </c>
      <c r="C211" t="s">
        <v>964</v>
      </c>
      <c r="D211" t="s">
        <v>1270</v>
      </c>
      <c r="E211" t="s">
        <v>1025</v>
      </c>
      <c r="F211" t="str">
        <f>INDEX(IPCCMaps!H:H,MATCH(mapPRC!D211,IPCCMaps!G:G,0))</f>
        <v>1 Energy</v>
      </c>
      <c r="G211" t="str">
        <f>INDEX(IPCCMaps!I:I,MATCH(mapPRC!D211,IPCCMaps!G:G,0))</f>
        <v>1A Fuel Combustion Activities</v>
      </c>
      <c r="H211" t="str">
        <f>INDEX(IPCCMaps!J:J,MATCH(mapPRC!D211,IPCCMaps!G:G,0))</f>
        <v>1A2 Manufacturing Industries and Construction</v>
      </c>
      <c r="I211" t="str">
        <f>INDEX(IPCCMaps!K:K,MATCH(mapPRC!D211,IPCCMaps!G:G,0))</f>
        <v>1A2 Manufacturing Industries and Construction</v>
      </c>
    </row>
    <row r="212" spans="1:9" hidden="1" x14ac:dyDescent="0.25">
      <c r="A212" t="s">
        <v>1282</v>
      </c>
      <c r="B212" t="s">
        <v>1281</v>
      </c>
      <c r="C212" t="s">
        <v>964</v>
      </c>
      <c r="D212" t="s">
        <v>1270</v>
      </c>
      <c r="E212" t="s">
        <v>1025</v>
      </c>
      <c r="F212" t="str">
        <f>INDEX(IPCCMaps!H:H,MATCH(mapPRC!D212,IPCCMaps!G:G,0))</f>
        <v>1 Energy</v>
      </c>
      <c r="G212" t="str">
        <f>INDEX(IPCCMaps!I:I,MATCH(mapPRC!D212,IPCCMaps!G:G,0))</f>
        <v>1A Fuel Combustion Activities</v>
      </c>
      <c r="H212" t="str">
        <f>INDEX(IPCCMaps!J:J,MATCH(mapPRC!D212,IPCCMaps!G:G,0))</f>
        <v>1A2 Manufacturing Industries and Construction</v>
      </c>
      <c r="I212" t="str">
        <f>INDEX(IPCCMaps!K:K,MATCH(mapPRC!D212,IPCCMaps!G:G,0))</f>
        <v>1A2 Manufacturing Industries and Construction</v>
      </c>
    </row>
    <row r="213" spans="1:9" hidden="1" x14ac:dyDescent="0.25">
      <c r="A213" t="s">
        <v>1280</v>
      </c>
      <c r="B213" t="s">
        <v>1279</v>
      </c>
      <c r="C213" t="s">
        <v>964</v>
      </c>
      <c r="D213" t="s">
        <v>1270</v>
      </c>
      <c r="E213" t="s">
        <v>1025</v>
      </c>
      <c r="F213" t="str">
        <f>INDEX(IPCCMaps!H:H,MATCH(mapPRC!D213,IPCCMaps!G:G,0))</f>
        <v>1 Energy</v>
      </c>
      <c r="G213" t="str">
        <f>INDEX(IPCCMaps!I:I,MATCH(mapPRC!D213,IPCCMaps!G:G,0))</f>
        <v>1A Fuel Combustion Activities</v>
      </c>
      <c r="H213" t="str">
        <f>INDEX(IPCCMaps!J:J,MATCH(mapPRC!D213,IPCCMaps!G:G,0))</f>
        <v>1A2 Manufacturing Industries and Construction</v>
      </c>
      <c r="I213" t="str">
        <f>INDEX(IPCCMaps!K:K,MATCH(mapPRC!D213,IPCCMaps!G:G,0))</f>
        <v>1A2 Manufacturing Industries and Construction</v>
      </c>
    </row>
    <row r="214" spans="1:9" hidden="1" x14ac:dyDescent="0.25">
      <c r="A214" t="s">
        <v>1278</v>
      </c>
      <c r="B214" t="s">
        <v>1277</v>
      </c>
      <c r="C214" t="s">
        <v>964</v>
      </c>
      <c r="D214" t="s">
        <v>1270</v>
      </c>
      <c r="E214" t="s">
        <v>1025</v>
      </c>
      <c r="F214" t="str">
        <f>INDEX(IPCCMaps!H:H,MATCH(mapPRC!D214,IPCCMaps!G:G,0))</f>
        <v>1 Energy</v>
      </c>
      <c r="G214" t="str">
        <f>INDEX(IPCCMaps!I:I,MATCH(mapPRC!D214,IPCCMaps!G:G,0))</f>
        <v>1A Fuel Combustion Activities</v>
      </c>
      <c r="H214" t="str">
        <f>INDEX(IPCCMaps!J:J,MATCH(mapPRC!D214,IPCCMaps!G:G,0))</f>
        <v>1A2 Manufacturing Industries and Construction</v>
      </c>
      <c r="I214" t="str">
        <f>INDEX(IPCCMaps!K:K,MATCH(mapPRC!D214,IPCCMaps!G:G,0))</f>
        <v>1A2 Manufacturing Industries and Construction</v>
      </c>
    </row>
    <row r="215" spans="1:9" hidden="1" x14ac:dyDescent="0.25">
      <c r="A215" t="s">
        <v>1276</v>
      </c>
      <c r="B215" t="s">
        <v>1275</v>
      </c>
      <c r="C215" t="s">
        <v>964</v>
      </c>
      <c r="D215" t="s">
        <v>1270</v>
      </c>
      <c r="E215" t="s">
        <v>1025</v>
      </c>
      <c r="F215" t="str">
        <f>INDEX(IPCCMaps!H:H,MATCH(mapPRC!D215,IPCCMaps!G:G,0))</f>
        <v>1 Energy</v>
      </c>
      <c r="G215" t="str">
        <f>INDEX(IPCCMaps!I:I,MATCH(mapPRC!D215,IPCCMaps!G:G,0))</f>
        <v>1A Fuel Combustion Activities</v>
      </c>
      <c r="H215" t="str">
        <f>INDEX(IPCCMaps!J:J,MATCH(mapPRC!D215,IPCCMaps!G:G,0))</f>
        <v>1A2 Manufacturing Industries and Construction</v>
      </c>
      <c r="I215" t="str">
        <f>INDEX(IPCCMaps!K:K,MATCH(mapPRC!D215,IPCCMaps!G:G,0))</f>
        <v>1A2 Manufacturing Industries and Construction</v>
      </c>
    </row>
    <row r="216" spans="1:9" hidden="1" x14ac:dyDescent="0.25">
      <c r="A216" t="s">
        <v>1274</v>
      </c>
      <c r="B216" t="s">
        <v>1273</v>
      </c>
      <c r="C216" t="s">
        <v>964</v>
      </c>
      <c r="D216" t="s">
        <v>1270</v>
      </c>
      <c r="E216" t="s">
        <v>1025</v>
      </c>
      <c r="F216" t="str">
        <f>INDEX(IPCCMaps!H:H,MATCH(mapPRC!D216,IPCCMaps!G:G,0))</f>
        <v>1 Energy</v>
      </c>
      <c r="G216" t="str">
        <f>INDEX(IPCCMaps!I:I,MATCH(mapPRC!D216,IPCCMaps!G:G,0))</f>
        <v>1A Fuel Combustion Activities</v>
      </c>
      <c r="H216" t="str">
        <f>INDEX(IPCCMaps!J:J,MATCH(mapPRC!D216,IPCCMaps!G:G,0))</f>
        <v>1A2 Manufacturing Industries and Construction</v>
      </c>
      <c r="I216" t="str">
        <f>INDEX(IPCCMaps!K:K,MATCH(mapPRC!D216,IPCCMaps!G:G,0))</f>
        <v>1A2 Manufacturing Industries and Construction</v>
      </c>
    </row>
    <row r="217" spans="1:9" hidden="1" x14ac:dyDescent="0.25">
      <c r="A217" t="s">
        <v>1272</v>
      </c>
      <c r="B217" t="s">
        <v>1271</v>
      </c>
      <c r="C217" t="s">
        <v>964</v>
      </c>
      <c r="D217" t="s">
        <v>1270</v>
      </c>
      <c r="E217" t="s">
        <v>1269</v>
      </c>
      <c r="F217" t="str">
        <f>INDEX(IPCCMaps!H:H,MATCH(mapPRC!D217,IPCCMaps!G:G,0))</f>
        <v>1 Energy</v>
      </c>
      <c r="G217" t="str">
        <f>INDEX(IPCCMaps!I:I,MATCH(mapPRC!D217,IPCCMaps!G:G,0))</f>
        <v>1A Fuel Combustion Activities</v>
      </c>
      <c r="H217" t="str">
        <f>INDEX(IPCCMaps!J:J,MATCH(mapPRC!D217,IPCCMaps!G:G,0))</f>
        <v>1A2 Manufacturing Industries and Construction</v>
      </c>
      <c r="I217" t="str">
        <f>INDEX(IPCCMaps!K:K,MATCH(mapPRC!D217,IPCCMaps!G:G,0))</f>
        <v>1A2 Manufacturing Industries and Construction</v>
      </c>
    </row>
    <row r="218" spans="1:9" hidden="1" x14ac:dyDescent="0.25">
      <c r="A218" t="s">
        <v>1268</v>
      </c>
      <c r="B218" t="s">
        <v>1267</v>
      </c>
      <c r="C218" t="s">
        <v>964</v>
      </c>
      <c r="D218" t="s">
        <v>1266</v>
      </c>
      <c r="E218" t="s">
        <v>0</v>
      </c>
      <c r="F218" t="str">
        <f>INDEX(IPCCMaps!H:H,MATCH(mapPRC!D218,IPCCMaps!G:G,0))</f>
        <v>1 Energy</v>
      </c>
      <c r="G218" t="str">
        <f>INDEX(IPCCMaps!I:I,MATCH(mapPRC!D218,IPCCMaps!G:G,0))</f>
        <v>1A Fuel Combustion Activities</v>
      </c>
      <c r="H218" t="str">
        <f>INDEX(IPCCMaps!J:J,MATCH(mapPRC!D218,IPCCMaps!G:G,0))</f>
        <v>1A2 Manufacturing Industries and Construction</v>
      </c>
      <c r="I218" t="str">
        <f>INDEX(IPCCMaps!K:K,MATCH(mapPRC!D218,IPCCMaps!G:G,0))</f>
        <v>1A2 Manufacturing Industries and Construction</v>
      </c>
    </row>
    <row r="219" spans="1:9" hidden="1" x14ac:dyDescent="0.25">
      <c r="A219" t="s">
        <v>1265</v>
      </c>
      <c r="B219" t="s">
        <v>1264</v>
      </c>
      <c r="C219" t="s">
        <v>964</v>
      </c>
      <c r="D219" t="s">
        <v>1239</v>
      </c>
      <c r="E219" t="s">
        <v>1064</v>
      </c>
      <c r="F219" t="str">
        <f>INDEX(IPCCMaps!H:H,MATCH(mapPRC!D219,IPCCMaps!G:G,0))</f>
        <v>1 Energy</v>
      </c>
      <c r="G219" t="str">
        <f>INDEX(IPCCMaps!I:I,MATCH(mapPRC!D219,IPCCMaps!G:G,0))</f>
        <v>1A Fuel Combustion Activities</v>
      </c>
      <c r="H219" t="str">
        <f>INDEX(IPCCMaps!J:J,MATCH(mapPRC!D219,IPCCMaps!G:G,0))</f>
        <v>1A2 Manufacturing Industries and Construction</v>
      </c>
      <c r="I219" t="str">
        <f>INDEX(IPCCMaps!K:K,MATCH(mapPRC!D219,IPCCMaps!G:G,0))</f>
        <v>1A2 Manufacturing Industries and Construction</v>
      </c>
    </row>
    <row r="220" spans="1:9" hidden="1" x14ac:dyDescent="0.25">
      <c r="A220" t="s">
        <v>1263</v>
      </c>
      <c r="B220" t="s">
        <v>1262</v>
      </c>
      <c r="C220" t="s">
        <v>964</v>
      </c>
      <c r="D220" t="s">
        <v>1239</v>
      </c>
      <c r="E220" t="s">
        <v>1061</v>
      </c>
      <c r="F220" t="str">
        <f>INDEX(IPCCMaps!H:H,MATCH(mapPRC!D220,IPCCMaps!G:G,0))</f>
        <v>1 Energy</v>
      </c>
      <c r="G220" t="str">
        <f>INDEX(IPCCMaps!I:I,MATCH(mapPRC!D220,IPCCMaps!G:G,0))</f>
        <v>1A Fuel Combustion Activities</v>
      </c>
      <c r="H220" t="str">
        <f>INDEX(IPCCMaps!J:J,MATCH(mapPRC!D220,IPCCMaps!G:G,0))</f>
        <v>1A2 Manufacturing Industries and Construction</v>
      </c>
      <c r="I220" t="str">
        <f>INDEX(IPCCMaps!K:K,MATCH(mapPRC!D220,IPCCMaps!G:G,0))</f>
        <v>1A2 Manufacturing Industries and Construction</v>
      </c>
    </row>
    <row r="221" spans="1:9" hidden="1" x14ac:dyDescent="0.25">
      <c r="A221" t="s">
        <v>1261</v>
      </c>
      <c r="B221" t="s">
        <v>1260</v>
      </c>
      <c r="C221" t="s">
        <v>964</v>
      </c>
      <c r="D221" t="s">
        <v>1239</v>
      </c>
      <c r="E221" t="s">
        <v>1058</v>
      </c>
      <c r="F221" t="str">
        <f>INDEX(IPCCMaps!H:H,MATCH(mapPRC!D221,IPCCMaps!G:G,0))</f>
        <v>1 Energy</v>
      </c>
      <c r="G221" t="str">
        <f>INDEX(IPCCMaps!I:I,MATCH(mapPRC!D221,IPCCMaps!G:G,0))</f>
        <v>1A Fuel Combustion Activities</v>
      </c>
      <c r="H221" t="str">
        <f>INDEX(IPCCMaps!J:J,MATCH(mapPRC!D221,IPCCMaps!G:G,0))</f>
        <v>1A2 Manufacturing Industries and Construction</v>
      </c>
      <c r="I221" t="str">
        <f>INDEX(IPCCMaps!K:K,MATCH(mapPRC!D221,IPCCMaps!G:G,0))</f>
        <v>1A2 Manufacturing Industries and Construction</v>
      </c>
    </row>
    <row r="222" spans="1:9" hidden="1" x14ac:dyDescent="0.25">
      <c r="A222" t="s">
        <v>1259</v>
      </c>
      <c r="B222" t="s">
        <v>1258</v>
      </c>
      <c r="C222" t="s">
        <v>964</v>
      </c>
      <c r="D222" t="s">
        <v>1239</v>
      </c>
      <c r="E222" t="s">
        <v>1055</v>
      </c>
      <c r="F222" t="str">
        <f>INDEX(IPCCMaps!H:H,MATCH(mapPRC!D222,IPCCMaps!G:G,0))</f>
        <v>1 Energy</v>
      </c>
      <c r="G222" t="str">
        <f>INDEX(IPCCMaps!I:I,MATCH(mapPRC!D222,IPCCMaps!G:G,0))</f>
        <v>1A Fuel Combustion Activities</v>
      </c>
      <c r="H222" t="str">
        <f>INDEX(IPCCMaps!J:J,MATCH(mapPRC!D222,IPCCMaps!G:G,0))</f>
        <v>1A2 Manufacturing Industries and Construction</v>
      </c>
      <c r="I222" t="str">
        <f>INDEX(IPCCMaps!K:K,MATCH(mapPRC!D222,IPCCMaps!G:G,0))</f>
        <v>1A2 Manufacturing Industries and Construction</v>
      </c>
    </row>
    <row r="223" spans="1:9" hidden="1" x14ac:dyDescent="0.25">
      <c r="A223" t="s">
        <v>1257</v>
      </c>
      <c r="B223" t="s">
        <v>1256</v>
      </c>
      <c r="C223" t="s">
        <v>964</v>
      </c>
      <c r="D223" t="s">
        <v>1239</v>
      </c>
      <c r="E223" t="s">
        <v>1052</v>
      </c>
      <c r="F223" t="str">
        <f>INDEX(IPCCMaps!H:H,MATCH(mapPRC!D223,IPCCMaps!G:G,0))</f>
        <v>1 Energy</v>
      </c>
      <c r="G223" t="str">
        <f>INDEX(IPCCMaps!I:I,MATCH(mapPRC!D223,IPCCMaps!G:G,0))</f>
        <v>1A Fuel Combustion Activities</v>
      </c>
      <c r="H223" t="str">
        <f>INDEX(IPCCMaps!J:J,MATCH(mapPRC!D223,IPCCMaps!G:G,0))</f>
        <v>1A2 Manufacturing Industries and Construction</v>
      </c>
      <c r="I223" t="str">
        <f>INDEX(IPCCMaps!K:K,MATCH(mapPRC!D223,IPCCMaps!G:G,0))</f>
        <v>1A2 Manufacturing Industries and Construction</v>
      </c>
    </row>
    <row r="224" spans="1:9" hidden="1" x14ac:dyDescent="0.25">
      <c r="A224" t="s">
        <v>1255</v>
      </c>
      <c r="B224" t="s">
        <v>1254</v>
      </c>
      <c r="C224" t="s">
        <v>964</v>
      </c>
      <c r="D224" t="s">
        <v>1239</v>
      </c>
      <c r="E224" t="s">
        <v>1049</v>
      </c>
      <c r="F224" t="str">
        <f>INDEX(IPCCMaps!H:H,MATCH(mapPRC!D224,IPCCMaps!G:G,0))</f>
        <v>1 Energy</v>
      </c>
      <c r="G224" t="str">
        <f>INDEX(IPCCMaps!I:I,MATCH(mapPRC!D224,IPCCMaps!G:G,0))</f>
        <v>1A Fuel Combustion Activities</v>
      </c>
      <c r="H224" t="str">
        <f>INDEX(IPCCMaps!J:J,MATCH(mapPRC!D224,IPCCMaps!G:G,0))</f>
        <v>1A2 Manufacturing Industries and Construction</v>
      </c>
      <c r="I224" t="str">
        <f>INDEX(IPCCMaps!K:K,MATCH(mapPRC!D224,IPCCMaps!G:G,0))</f>
        <v>1A2 Manufacturing Industries and Construction</v>
      </c>
    </row>
    <row r="225" spans="1:9" hidden="1" x14ac:dyDescent="0.25">
      <c r="A225" t="s">
        <v>1253</v>
      </c>
      <c r="B225" t="s">
        <v>1252</v>
      </c>
      <c r="C225" t="s">
        <v>964</v>
      </c>
      <c r="D225" t="s">
        <v>1239</v>
      </c>
      <c r="E225" t="s">
        <v>733</v>
      </c>
      <c r="F225" t="str">
        <f>INDEX(IPCCMaps!H:H,MATCH(mapPRC!D225,IPCCMaps!G:G,0))</f>
        <v>1 Energy</v>
      </c>
      <c r="G225" t="str">
        <f>INDEX(IPCCMaps!I:I,MATCH(mapPRC!D225,IPCCMaps!G:G,0))</f>
        <v>1A Fuel Combustion Activities</v>
      </c>
      <c r="H225" t="str">
        <f>INDEX(IPCCMaps!J:J,MATCH(mapPRC!D225,IPCCMaps!G:G,0))</f>
        <v>1A2 Manufacturing Industries and Construction</v>
      </c>
      <c r="I225" t="str">
        <f>INDEX(IPCCMaps!K:K,MATCH(mapPRC!D225,IPCCMaps!G:G,0))</f>
        <v>1A2 Manufacturing Industries and Construction</v>
      </c>
    </row>
    <row r="226" spans="1:9" hidden="1" x14ac:dyDescent="0.25">
      <c r="A226" t="s">
        <v>1251</v>
      </c>
      <c r="B226" t="s">
        <v>1250</v>
      </c>
      <c r="C226" t="s">
        <v>964</v>
      </c>
      <c r="D226" t="s">
        <v>1239</v>
      </c>
      <c r="E226" t="s">
        <v>1044</v>
      </c>
      <c r="F226" t="str">
        <f>INDEX(IPCCMaps!H:H,MATCH(mapPRC!D226,IPCCMaps!G:G,0))</f>
        <v>1 Energy</v>
      </c>
      <c r="G226" t="str">
        <f>INDEX(IPCCMaps!I:I,MATCH(mapPRC!D226,IPCCMaps!G:G,0))</f>
        <v>1A Fuel Combustion Activities</v>
      </c>
      <c r="H226" t="str">
        <f>INDEX(IPCCMaps!J:J,MATCH(mapPRC!D226,IPCCMaps!G:G,0))</f>
        <v>1A2 Manufacturing Industries and Construction</v>
      </c>
      <c r="I226" t="str">
        <f>INDEX(IPCCMaps!K:K,MATCH(mapPRC!D226,IPCCMaps!G:G,0))</f>
        <v>1A2 Manufacturing Industries and Construction</v>
      </c>
    </row>
    <row r="227" spans="1:9" hidden="1" x14ac:dyDescent="0.25">
      <c r="A227" t="s">
        <v>1249</v>
      </c>
      <c r="B227" t="s">
        <v>1248</v>
      </c>
      <c r="C227" t="s">
        <v>964</v>
      </c>
      <c r="D227" t="s">
        <v>1239</v>
      </c>
      <c r="E227" t="s">
        <v>1041</v>
      </c>
      <c r="F227" t="str">
        <f>INDEX(IPCCMaps!H:H,MATCH(mapPRC!D227,IPCCMaps!G:G,0))</f>
        <v>1 Energy</v>
      </c>
      <c r="G227" t="str">
        <f>INDEX(IPCCMaps!I:I,MATCH(mapPRC!D227,IPCCMaps!G:G,0))</f>
        <v>1A Fuel Combustion Activities</v>
      </c>
      <c r="H227" t="str">
        <f>INDEX(IPCCMaps!J:J,MATCH(mapPRC!D227,IPCCMaps!G:G,0))</f>
        <v>1A2 Manufacturing Industries and Construction</v>
      </c>
      <c r="I227" t="str">
        <f>INDEX(IPCCMaps!K:K,MATCH(mapPRC!D227,IPCCMaps!G:G,0))</f>
        <v>1A2 Manufacturing Industries and Construction</v>
      </c>
    </row>
    <row r="228" spans="1:9" hidden="1" x14ac:dyDescent="0.25">
      <c r="A228" t="s">
        <v>1247</v>
      </c>
      <c r="B228" t="s">
        <v>1240</v>
      </c>
      <c r="C228" t="s">
        <v>964</v>
      </c>
      <c r="D228" t="s">
        <v>1239</v>
      </c>
      <c r="E228" t="s">
        <v>1025</v>
      </c>
      <c r="F228" t="str">
        <f>INDEX(IPCCMaps!H:H,MATCH(mapPRC!D228,IPCCMaps!G:G,0))</f>
        <v>1 Energy</v>
      </c>
      <c r="G228" t="str">
        <f>INDEX(IPCCMaps!I:I,MATCH(mapPRC!D228,IPCCMaps!G:G,0))</f>
        <v>1A Fuel Combustion Activities</v>
      </c>
      <c r="H228" t="str">
        <f>INDEX(IPCCMaps!J:J,MATCH(mapPRC!D228,IPCCMaps!G:G,0))</f>
        <v>1A2 Manufacturing Industries and Construction</v>
      </c>
      <c r="I228" t="str">
        <f>INDEX(IPCCMaps!K:K,MATCH(mapPRC!D228,IPCCMaps!G:G,0))</f>
        <v>1A2 Manufacturing Industries and Construction</v>
      </c>
    </row>
    <row r="229" spans="1:9" hidden="1" x14ac:dyDescent="0.25">
      <c r="A229" t="s">
        <v>1246</v>
      </c>
      <c r="B229" t="s">
        <v>1240</v>
      </c>
      <c r="C229" t="s">
        <v>964</v>
      </c>
      <c r="D229" t="s">
        <v>1239</v>
      </c>
      <c r="E229" t="s">
        <v>1025</v>
      </c>
      <c r="F229" t="str">
        <f>INDEX(IPCCMaps!H:H,MATCH(mapPRC!D229,IPCCMaps!G:G,0))</f>
        <v>1 Energy</v>
      </c>
      <c r="G229" t="str">
        <f>INDEX(IPCCMaps!I:I,MATCH(mapPRC!D229,IPCCMaps!G:G,0))</f>
        <v>1A Fuel Combustion Activities</v>
      </c>
      <c r="H229" t="str">
        <f>INDEX(IPCCMaps!J:J,MATCH(mapPRC!D229,IPCCMaps!G:G,0))</f>
        <v>1A2 Manufacturing Industries and Construction</v>
      </c>
      <c r="I229" t="str">
        <f>INDEX(IPCCMaps!K:K,MATCH(mapPRC!D229,IPCCMaps!G:G,0))</f>
        <v>1A2 Manufacturing Industries and Construction</v>
      </c>
    </row>
    <row r="230" spans="1:9" hidden="1" x14ac:dyDescent="0.25">
      <c r="A230" t="s">
        <v>1245</v>
      </c>
      <c r="B230" t="s">
        <v>1240</v>
      </c>
      <c r="C230" t="s">
        <v>964</v>
      </c>
      <c r="D230" t="s">
        <v>1239</v>
      </c>
      <c r="E230" t="s">
        <v>1025</v>
      </c>
      <c r="F230" t="str">
        <f>INDEX(IPCCMaps!H:H,MATCH(mapPRC!D230,IPCCMaps!G:G,0))</f>
        <v>1 Energy</v>
      </c>
      <c r="G230" t="str">
        <f>INDEX(IPCCMaps!I:I,MATCH(mapPRC!D230,IPCCMaps!G:G,0))</f>
        <v>1A Fuel Combustion Activities</v>
      </c>
      <c r="H230" t="str">
        <f>INDEX(IPCCMaps!J:J,MATCH(mapPRC!D230,IPCCMaps!G:G,0))</f>
        <v>1A2 Manufacturing Industries and Construction</v>
      </c>
      <c r="I230" t="str">
        <f>INDEX(IPCCMaps!K:K,MATCH(mapPRC!D230,IPCCMaps!G:G,0))</f>
        <v>1A2 Manufacturing Industries and Construction</v>
      </c>
    </row>
    <row r="231" spans="1:9" hidden="1" x14ac:dyDescent="0.25">
      <c r="A231" t="s">
        <v>1244</v>
      </c>
      <c r="B231" t="s">
        <v>1240</v>
      </c>
      <c r="C231" t="s">
        <v>964</v>
      </c>
      <c r="D231" t="s">
        <v>1239</v>
      </c>
      <c r="E231" t="s">
        <v>1025</v>
      </c>
      <c r="F231" t="str">
        <f>INDEX(IPCCMaps!H:H,MATCH(mapPRC!D231,IPCCMaps!G:G,0))</f>
        <v>1 Energy</v>
      </c>
      <c r="G231" t="str">
        <f>INDEX(IPCCMaps!I:I,MATCH(mapPRC!D231,IPCCMaps!G:G,0))</f>
        <v>1A Fuel Combustion Activities</v>
      </c>
      <c r="H231" t="str">
        <f>INDEX(IPCCMaps!J:J,MATCH(mapPRC!D231,IPCCMaps!G:G,0))</f>
        <v>1A2 Manufacturing Industries and Construction</v>
      </c>
      <c r="I231" t="str">
        <f>INDEX(IPCCMaps!K:K,MATCH(mapPRC!D231,IPCCMaps!G:G,0))</f>
        <v>1A2 Manufacturing Industries and Construction</v>
      </c>
    </row>
    <row r="232" spans="1:9" hidden="1" x14ac:dyDescent="0.25">
      <c r="A232" t="s">
        <v>1243</v>
      </c>
      <c r="B232" t="s">
        <v>1240</v>
      </c>
      <c r="C232" t="s">
        <v>964</v>
      </c>
      <c r="D232" t="s">
        <v>1239</v>
      </c>
      <c r="E232" t="s">
        <v>1025</v>
      </c>
      <c r="F232" t="str">
        <f>INDEX(IPCCMaps!H:H,MATCH(mapPRC!D232,IPCCMaps!G:G,0))</f>
        <v>1 Energy</v>
      </c>
      <c r="G232" t="str">
        <f>INDEX(IPCCMaps!I:I,MATCH(mapPRC!D232,IPCCMaps!G:G,0))</f>
        <v>1A Fuel Combustion Activities</v>
      </c>
      <c r="H232" t="str">
        <f>INDEX(IPCCMaps!J:J,MATCH(mapPRC!D232,IPCCMaps!G:G,0))</f>
        <v>1A2 Manufacturing Industries and Construction</v>
      </c>
      <c r="I232" t="str">
        <f>INDEX(IPCCMaps!K:K,MATCH(mapPRC!D232,IPCCMaps!G:G,0))</f>
        <v>1A2 Manufacturing Industries and Construction</v>
      </c>
    </row>
    <row r="233" spans="1:9" hidden="1" x14ac:dyDescent="0.25">
      <c r="A233" t="s">
        <v>1242</v>
      </c>
      <c r="B233" t="s">
        <v>1240</v>
      </c>
      <c r="C233" t="s">
        <v>964</v>
      </c>
      <c r="D233" t="s">
        <v>1239</v>
      </c>
      <c r="E233" t="s">
        <v>1025</v>
      </c>
      <c r="F233" t="str">
        <f>INDEX(IPCCMaps!H:H,MATCH(mapPRC!D233,IPCCMaps!G:G,0))</f>
        <v>1 Energy</v>
      </c>
      <c r="G233" t="str">
        <f>INDEX(IPCCMaps!I:I,MATCH(mapPRC!D233,IPCCMaps!G:G,0))</f>
        <v>1A Fuel Combustion Activities</v>
      </c>
      <c r="H233" t="str">
        <f>INDEX(IPCCMaps!J:J,MATCH(mapPRC!D233,IPCCMaps!G:G,0))</f>
        <v>1A2 Manufacturing Industries and Construction</v>
      </c>
      <c r="I233" t="str">
        <f>INDEX(IPCCMaps!K:K,MATCH(mapPRC!D233,IPCCMaps!G:G,0))</f>
        <v>1A2 Manufacturing Industries and Construction</v>
      </c>
    </row>
    <row r="234" spans="1:9" hidden="1" x14ac:dyDescent="0.25">
      <c r="A234" t="s">
        <v>1241</v>
      </c>
      <c r="B234" t="s">
        <v>1240</v>
      </c>
      <c r="C234" t="s">
        <v>964</v>
      </c>
      <c r="D234" t="s">
        <v>1239</v>
      </c>
      <c r="E234" t="s">
        <v>1025</v>
      </c>
      <c r="F234" t="str">
        <f>INDEX(IPCCMaps!H:H,MATCH(mapPRC!D234,IPCCMaps!G:G,0))</f>
        <v>1 Energy</v>
      </c>
      <c r="G234" t="str">
        <f>INDEX(IPCCMaps!I:I,MATCH(mapPRC!D234,IPCCMaps!G:G,0))</f>
        <v>1A Fuel Combustion Activities</v>
      </c>
      <c r="H234" t="str">
        <f>INDEX(IPCCMaps!J:J,MATCH(mapPRC!D234,IPCCMaps!G:G,0))</f>
        <v>1A2 Manufacturing Industries and Construction</v>
      </c>
      <c r="I234" t="str">
        <f>INDEX(IPCCMaps!K:K,MATCH(mapPRC!D234,IPCCMaps!G:G,0))</f>
        <v>1A2 Manufacturing Industries and Construction</v>
      </c>
    </row>
    <row r="235" spans="1:9" hidden="1" x14ac:dyDescent="0.25">
      <c r="A235" t="s">
        <v>1235</v>
      </c>
      <c r="B235" t="s">
        <v>1234</v>
      </c>
      <c r="C235" t="s">
        <v>964</v>
      </c>
      <c r="D235" t="s">
        <v>1197</v>
      </c>
      <c r="E235" t="s">
        <v>1233</v>
      </c>
      <c r="F235" t="str">
        <f>INDEX(IPCCMaps!H:H,MATCH(mapPRC!D235,IPCCMaps!G:G,0))</f>
        <v>1 Energy</v>
      </c>
      <c r="G235" t="str">
        <f>INDEX(IPCCMaps!I:I,MATCH(mapPRC!D235,IPCCMaps!G:G,0))</f>
        <v>1A Fuel Combustion Activities</v>
      </c>
      <c r="H235" t="str">
        <f>INDEX(IPCCMaps!J:J,MATCH(mapPRC!D235,IPCCMaps!G:G,0))</f>
        <v>1A2 Manufacturing Industries and Construction</v>
      </c>
      <c r="I235" t="str">
        <f>INDEX(IPCCMaps!K:K,MATCH(mapPRC!D235,IPCCMaps!G:G,0))</f>
        <v>1A2 Manufacturing Industries and Construction</v>
      </c>
    </row>
    <row r="236" spans="1:9" hidden="1" x14ac:dyDescent="0.25">
      <c r="A236" t="s">
        <v>1238</v>
      </c>
      <c r="B236" t="s">
        <v>1236</v>
      </c>
      <c r="C236" t="s">
        <v>964</v>
      </c>
      <c r="D236" t="s">
        <v>1197</v>
      </c>
      <c r="E236" t="s">
        <v>1233</v>
      </c>
      <c r="F236" t="str">
        <f>INDEX(IPCCMaps!H:H,MATCH(mapPRC!D236,IPCCMaps!G:G,0))</f>
        <v>1 Energy</v>
      </c>
      <c r="G236" t="str">
        <f>INDEX(IPCCMaps!I:I,MATCH(mapPRC!D236,IPCCMaps!G:G,0))</f>
        <v>1A Fuel Combustion Activities</v>
      </c>
      <c r="H236" t="str">
        <f>INDEX(IPCCMaps!J:J,MATCH(mapPRC!D236,IPCCMaps!G:G,0))</f>
        <v>1A2 Manufacturing Industries and Construction</v>
      </c>
      <c r="I236" t="str">
        <f>INDEX(IPCCMaps!K:K,MATCH(mapPRC!D236,IPCCMaps!G:G,0))</f>
        <v>1A2 Manufacturing Industries and Construction</v>
      </c>
    </row>
    <row r="237" spans="1:9" hidden="1" x14ac:dyDescent="0.25">
      <c r="A237" t="s">
        <v>1237</v>
      </c>
      <c r="B237" t="s">
        <v>1236</v>
      </c>
      <c r="C237" t="s">
        <v>964</v>
      </c>
      <c r="D237" t="s">
        <v>1197</v>
      </c>
      <c r="E237" t="s">
        <v>1233</v>
      </c>
      <c r="F237" t="str">
        <f>INDEX(IPCCMaps!H:H,MATCH(mapPRC!D237,IPCCMaps!G:G,0))</f>
        <v>1 Energy</v>
      </c>
      <c r="G237" t="str">
        <f>INDEX(IPCCMaps!I:I,MATCH(mapPRC!D237,IPCCMaps!G:G,0))</f>
        <v>1A Fuel Combustion Activities</v>
      </c>
      <c r="H237" t="str">
        <f>INDEX(IPCCMaps!J:J,MATCH(mapPRC!D237,IPCCMaps!G:G,0))</f>
        <v>1A2 Manufacturing Industries and Construction</v>
      </c>
      <c r="I237" t="str">
        <f>INDEX(IPCCMaps!K:K,MATCH(mapPRC!D237,IPCCMaps!G:G,0))</f>
        <v>1A2 Manufacturing Industries and Construction</v>
      </c>
    </row>
    <row r="238" spans="1:9" hidden="1" x14ac:dyDescent="0.25">
      <c r="A238" t="s">
        <v>1232</v>
      </c>
      <c r="B238" t="s">
        <v>1231</v>
      </c>
      <c r="C238" t="s">
        <v>964</v>
      </c>
      <c r="D238" t="s">
        <v>1197</v>
      </c>
      <c r="E238" t="s">
        <v>1230</v>
      </c>
      <c r="F238" t="str">
        <f>INDEX(IPCCMaps!H:H,MATCH(mapPRC!D238,IPCCMaps!G:G,0))</f>
        <v>1 Energy</v>
      </c>
      <c r="G238" t="str">
        <f>INDEX(IPCCMaps!I:I,MATCH(mapPRC!D238,IPCCMaps!G:G,0))</f>
        <v>1A Fuel Combustion Activities</v>
      </c>
      <c r="H238" t="str">
        <f>INDEX(IPCCMaps!J:J,MATCH(mapPRC!D238,IPCCMaps!G:G,0))</f>
        <v>1A2 Manufacturing Industries and Construction</v>
      </c>
      <c r="I238" t="str">
        <f>INDEX(IPCCMaps!K:K,MATCH(mapPRC!D238,IPCCMaps!G:G,0))</f>
        <v>1A2 Manufacturing Industries and Construction</v>
      </c>
    </row>
    <row r="239" spans="1:9" hidden="1" x14ac:dyDescent="0.25">
      <c r="A239" t="s">
        <v>1226</v>
      </c>
      <c r="B239" t="s">
        <v>1225</v>
      </c>
      <c r="C239" t="s">
        <v>964</v>
      </c>
      <c r="D239" t="s">
        <v>1197</v>
      </c>
      <c r="E239" t="s">
        <v>1224</v>
      </c>
      <c r="F239" t="str">
        <f>INDEX(IPCCMaps!H:H,MATCH(mapPRC!D239,IPCCMaps!G:G,0))</f>
        <v>1 Energy</v>
      </c>
      <c r="G239" t="str">
        <f>INDEX(IPCCMaps!I:I,MATCH(mapPRC!D239,IPCCMaps!G:G,0))</f>
        <v>1A Fuel Combustion Activities</v>
      </c>
      <c r="H239" t="str">
        <f>INDEX(IPCCMaps!J:J,MATCH(mapPRC!D239,IPCCMaps!G:G,0))</f>
        <v>1A2 Manufacturing Industries and Construction</v>
      </c>
      <c r="I239" t="str">
        <f>INDEX(IPCCMaps!K:K,MATCH(mapPRC!D239,IPCCMaps!G:G,0))</f>
        <v>1A2 Manufacturing Industries and Construction</v>
      </c>
    </row>
    <row r="240" spans="1:9" hidden="1" x14ac:dyDescent="0.25">
      <c r="A240" t="s">
        <v>1229</v>
      </c>
      <c r="B240" t="s">
        <v>1227</v>
      </c>
      <c r="C240" t="s">
        <v>964</v>
      </c>
      <c r="D240" t="s">
        <v>1197</v>
      </c>
      <c r="E240" t="s">
        <v>1224</v>
      </c>
      <c r="F240" t="str">
        <f>INDEX(IPCCMaps!H:H,MATCH(mapPRC!D240,IPCCMaps!G:G,0))</f>
        <v>1 Energy</v>
      </c>
      <c r="G240" t="str">
        <f>INDEX(IPCCMaps!I:I,MATCH(mapPRC!D240,IPCCMaps!G:G,0))</f>
        <v>1A Fuel Combustion Activities</v>
      </c>
      <c r="H240" t="str">
        <f>INDEX(IPCCMaps!J:J,MATCH(mapPRC!D240,IPCCMaps!G:G,0))</f>
        <v>1A2 Manufacturing Industries and Construction</v>
      </c>
      <c r="I240" t="str">
        <f>INDEX(IPCCMaps!K:K,MATCH(mapPRC!D240,IPCCMaps!G:G,0))</f>
        <v>1A2 Manufacturing Industries and Construction</v>
      </c>
    </row>
    <row r="241" spans="1:9" hidden="1" x14ac:dyDescent="0.25">
      <c r="A241" t="s">
        <v>1228</v>
      </c>
      <c r="B241" t="s">
        <v>1227</v>
      </c>
      <c r="C241" t="s">
        <v>964</v>
      </c>
      <c r="D241" t="s">
        <v>1197</v>
      </c>
      <c r="E241" t="s">
        <v>1224</v>
      </c>
      <c r="F241" t="str">
        <f>INDEX(IPCCMaps!H:H,MATCH(mapPRC!D241,IPCCMaps!G:G,0))</f>
        <v>1 Energy</v>
      </c>
      <c r="G241" t="str">
        <f>INDEX(IPCCMaps!I:I,MATCH(mapPRC!D241,IPCCMaps!G:G,0))</f>
        <v>1A Fuel Combustion Activities</v>
      </c>
      <c r="H241" t="str">
        <f>INDEX(IPCCMaps!J:J,MATCH(mapPRC!D241,IPCCMaps!G:G,0))</f>
        <v>1A2 Manufacturing Industries and Construction</v>
      </c>
      <c r="I241" t="str">
        <f>INDEX(IPCCMaps!K:K,MATCH(mapPRC!D241,IPCCMaps!G:G,0))</f>
        <v>1A2 Manufacturing Industries and Construction</v>
      </c>
    </row>
    <row r="242" spans="1:9" hidden="1" x14ac:dyDescent="0.25">
      <c r="A242" t="s">
        <v>1223</v>
      </c>
      <c r="B242" t="s">
        <v>1222</v>
      </c>
      <c r="C242" t="s">
        <v>964</v>
      </c>
      <c r="D242" t="s">
        <v>1197</v>
      </c>
      <c r="E242" t="s">
        <v>1221</v>
      </c>
      <c r="F242" t="str">
        <f>INDEX(IPCCMaps!H:H,MATCH(mapPRC!D242,IPCCMaps!G:G,0))</f>
        <v>1 Energy</v>
      </c>
      <c r="G242" t="str">
        <f>INDEX(IPCCMaps!I:I,MATCH(mapPRC!D242,IPCCMaps!G:G,0))</f>
        <v>1A Fuel Combustion Activities</v>
      </c>
      <c r="H242" t="str">
        <f>INDEX(IPCCMaps!J:J,MATCH(mapPRC!D242,IPCCMaps!G:G,0))</f>
        <v>1A2 Manufacturing Industries and Construction</v>
      </c>
      <c r="I242" t="str">
        <f>INDEX(IPCCMaps!K:K,MATCH(mapPRC!D242,IPCCMaps!G:G,0))</f>
        <v>1A2 Manufacturing Industries and Construction</v>
      </c>
    </row>
    <row r="243" spans="1:9" hidden="1" x14ac:dyDescent="0.25">
      <c r="A243" t="s">
        <v>1217</v>
      </c>
      <c r="B243" t="s">
        <v>1216</v>
      </c>
      <c r="C243" t="s">
        <v>964</v>
      </c>
      <c r="D243" t="s">
        <v>1197</v>
      </c>
      <c r="E243" t="s">
        <v>1215</v>
      </c>
      <c r="F243" t="str">
        <f>INDEX(IPCCMaps!H:H,MATCH(mapPRC!D243,IPCCMaps!G:G,0))</f>
        <v>1 Energy</v>
      </c>
      <c r="G243" t="str">
        <f>INDEX(IPCCMaps!I:I,MATCH(mapPRC!D243,IPCCMaps!G:G,0))</f>
        <v>1A Fuel Combustion Activities</v>
      </c>
      <c r="H243" t="str">
        <f>INDEX(IPCCMaps!J:J,MATCH(mapPRC!D243,IPCCMaps!G:G,0))</f>
        <v>1A2 Manufacturing Industries and Construction</v>
      </c>
      <c r="I243" t="str">
        <f>INDEX(IPCCMaps!K:K,MATCH(mapPRC!D243,IPCCMaps!G:G,0))</f>
        <v>1A2 Manufacturing Industries and Construction</v>
      </c>
    </row>
    <row r="244" spans="1:9" hidden="1" x14ac:dyDescent="0.25">
      <c r="A244" t="s">
        <v>1220</v>
      </c>
      <c r="B244" t="s">
        <v>1216</v>
      </c>
      <c r="C244" t="s">
        <v>964</v>
      </c>
      <c r="D244" t="s">
        <v>1197</v>
      </c>
      <c r="E244" t="s">
        <v>1215</v>
      </c>
      <c r="F244" t="str">
        <f>INDEX(IPCCMaps!H:H,MATCH(mapPRC!D244,IPCCMaps!G:G,0))</f>
        <v>1 Energy</v>
      </c>
      <c r="G244" t="str">
        <f>INDEX(IPCCMaps!I:I,MATCH(mapPRC!D244,IPCCMaps!G:G,0))</f>
        <v>1A Fuel Combustion Activities</v>
      </c>
      <c r="H244" t="str">
        <f>INDEX(IPCCMaps!J:J,MATCH(mapPRC!D244,IPCCMaps!G:G,0))</f>
        <v>1A2 Manufacturing Industries and Construction</v>
      </c>
      <c r="I244" t="str">
        <f>INDEX(IPCCMaps!K:K,MATCH(mapPRC!D244,IPCCMaps!G:G,0))</f>
        <v>1A2 Manufacturing Industries and Construction</v>
      </c>
    </row>
    <row r="245" spans="1:9" hidden="1" x14ac:dyDescent="0.25">
      <c r="A245" t="s">
        <v>1219</v>
      </c>
      <c r="B245" t="s">
        <v>1218</v>
      </c>
      <c r="C245" t="s">
        <v>964</v>
      </c>
      <c r="D245" t="s">
        <v>1197</v>
      </c>
      <c r="E245" t="s">
        <v>1215</v>
      </c>
      <c r="F245" t="str">
        <f>INDEX(IPCCMaps!H:H,MATCH(mapPRC!D245,IPCCMaps!G:G,0))</f>
        <v>1 Energy</v>
      </c>
      <c r="G245" t="str">
        <f>INDEX(IPCCMaps!I:I,MATCH(mapPRC!D245,IPCCMaps!G:G,0))</f>
        <v>1A Fuel Combustion Activities</v>
      </c>
      <c r="H245" t="str">
        <f>INDEX(IPCCMaps!J:J,MATCH(mapPRC!D245,IPCCMaps!G:G,0))</f>
        <v>1A2 Manufacturing Industries and Construction</v>
      </c>
      <c r="I245" t="str">
        <f>INDEX(IPCCMaps!K:K,MATCH(mapPRC!D245,IPCCMaps!G:G,0))</f>
        <v>1A2 Manufacturing Industries and Construction</v>
      </c>
    </row>
    <row r="246" spans="1:9" hidden="1" x14ac:dyDescent="0.25">
      <c r="A246" t="s">
        <v>1214</v>
      </c>
      <c r="B246" t="s">
        <v>1211</v>
      </c>
      <c r="C246" t="s">
        <v>964</v>
      </c>
      <c r="D246" t="s">
        <v>1197</v>
      </c>
      <c r="E246" t="s">
        <v>1213</v>
      </c>
      <c r="F246" t="str">
        <f>INDEX(IPCCMaps!H:H,MATCH(mapPRC!D246,IPCCMaps!G:G,0))</f>
        <v>1 Energy</v>
      </c>
      <c r="G246" t="str">
        <f>INDEX(IPCCMaps!I:I,MATCH(mapPRC!D246,IPCCMaps!G:G,0))</f>
        <v>1A Fuel Combustion Activities</v>
      </c>
      <c r="H246" t="str">
        <f>INDEX(IPCCMaps!J:J,MATCH(mapPRC!D246,IPCCMaps!G:G,0))</f>
        <v>1A2 Manufacturing Industries and Construction</v>
      </c>
      <c r="I246" t="str">
        <f>INDEX(IPCCMaps!K:K,MATCH(mapPRC!D246,IPCCMaps!G:G,0))</f>
        <v>1A2 Manufacturing Industries and Construction</v>
      </c>
    </row>
    <row r="247" spans="1:9" hidden="1" x14ac:dyDescent="0.25">
      <c r="A247" t="s">
        <v>1212</v>
      </c>
      <c r="B247" t="s">
        <v>1211</v>
      </c>
      <c r="C247" t="s">
        <v>964</v>
      </c>
      <c r="D247" t="s">
        <v>1197</v>
      </c>
      <c r="E247" t="s">
        <v>1210</v>
      </c>
      <c r="F247" t="str">
        <f>INDEX(IPCCMaps!H:H,MATCH(mapPRC!D247,IPCCMaps!G:G,0))</f>
        <v>1 Energy</v>
      </c>
      <c r="G247" t="str">
        <f>INDEX(IPCCMaps!I:I,MATCH(mapPRC!D247,IPCCMaps!G:G,0))</f>
        <v>1A Fuel Combustion Activities</v>
      </c>
      <c r="H247" t="str">
        <f>INDEX(IPCCMaps!J:J,MATCH(mapPRC!D247,IPCCMaps!G:G,0))</f>
        <v>1A2 Manufacturing Industries and Construction</v>
      </c>
      <c r="I247" t="str">
        <f>INDEX(IPCCMaps!K:K,MATCH(mapPRC!D247,IPCCMaps!G:G,0))</f>
        <v>1A2 Manufacturing Industries and Construction</v>
      </c>
    </row>
    <row r="248" spans="1:9" hidden="1" x14ac:dyDescent="0.25">
      <c r="A248" t="s">
        <v>3096</v>
      </c>
      <c r="B248" t="s">
        <v>3097</v>
      </c>
      <c r="D248" t="s">
        <v>1197</v>
      </c>
      <c r="E248" t="s">
        <v>1210</v>
      </c>
      <c r="F248" t="str">
        <f>INDEX(IPCCMaps!H:H,MATCH(mapPRC!D248,IPCCMaps!G:G,0))</f>
        <v>1 Energy</v>
      </c>
      <c r="G248" t="str">
        <f>INDEX(IPCCMaps!I:I,MATCH(mapPRC!D248,IPCCMaps!G:G,0))</f>
        <v>1A Fuel Combustion Activities</v>
      </c>
      <c r="H248" t="str">
        <f>INDEX(IPCCMaps!J:J,MATCH(mapPRC!D248,IPCCMaps!G:G,0))</f>
        <v>1A2 Manufacturing Industries and Construction</v>
      </c>
      <c r="I248" t="str">
        <f>INDEX(IPCCMaps!K:K,MATCH(mapPRC!D248,IPCCMaps!G:G,0))</f>
        <v>1A2 Manufacturing Industries and Construction</v>
      </c>
    </row>
    <row r="249" spans="1:9" hidden="1" x14ac:dyDescent="0.25">
      <c r="A249" t="s">
        <v>3098</v>
      </c>
      <c r="B249" t="s">
        <v>3099</v>
      </c>
      <c r="D249" t="s">
        <v>1197</v>
      </c>
      <c r="E249" t="s">
        <v>1210</v>
      </c>
      <c r="F249" t="str">
        <f>INDEX(IPCCMaps!H:H,MATCH(mapPRC!D249,IPCCMaps!G:G,0))</f>
        <v>1 Energy</v>
      </c>
      <c r="G249" t="str">
        <f>INDEX(IPCCMaps!I:I,MATCH(mapPRC!D249,IPCCMaps!G:G,0))</f>
        <v>1A Fuel Combustion Activities</v>
      </c>
      <c r="H249" t="str">
        <f>INDEX(IPCCMaps!J:J,MATCH(mapPRC!D249,IPCCMaps!G:G,0))</f>
        <v>1A2 Manufacturing Industries and Construction</v>
      </c>
      <c r="I249" t="str">
        <f>INDEX(IPCCMaps!K:K,MATCH(mapPRC!D249,IPCCMaps!G:G,0))</f>
        <v>1A2 Manufacturing Industries and Construction</v>
      </c>
    </row>
    <row r="250" spans="1:9" hidden="1" x14ac:dyDescent="0.25">
      <c r="A250" t="s">
        <v>3100</v>
      </c>
      <c r="B250" t="s">
        <v>3101</v>
      </c>
      <c r="D250" t="s">
        <v>1197</v>
      </c>
      <c r="E250" t="s">
        <v>1210</v>
      </c>
      <c r="F250" t="str">
        <f>INDEX(IPCCMaps!H:H,MATCH(mapPRC!D250,IPCCMaps!G:G,0))</f>
        <v>1 Energy</v>
      </c>
      <c r="G250" t="str">
        <f>INDEX(IPCCMaps!I:I,MATCH(mapPRC!D250,IPCCMaps!G:G,0))</f>
        <v>1A Fuel Combustion Activities</v>
      </c>
      <c r="H250" t="str">
        <f>INDEX(IPCCMaps!J:J,MATCH(mapPRC!D250,IPCCMaps!G:G,0))</f>
        <v>1A2 Manufacturing Industries and Construction</v>
      </c>
      <c r="I250" t="str">
        <f>INDEX(IPCCMaps!K:K,MATCH(mapPRC!D250,IPCCMaps!G:G,0))</f>
        <v>1A2 Manufacturing Industries and Construction</v>
      </c>
    </row>
    <row r="251" spans="1:9" hidden="1" x14ac:dyDescent="0.25">
      <c r="A251" t="s">
        <v>3102</v>
      </c>
      <c r="B251" t="s">
        <v>3103</v>
      </c>
      <c r="D251" t="s">
        <v>1197</v>
      </c>
      <c r="E251" t="s">
        <v>1210</v>
      </c>
      <c r="F251" t="str">
        <f>INDEX(IPCCMaps!H:H,MATCH(mapPRC!D251,IPCCMaps!G:G,0))</f>
        <v>1 Energy</v>
      </c>
      <c r="G251" t="str">
        <f>INDEX(IPCCMaps!I:I,MATCH(mapPRC!D251,IPCCMaps!G:G,0))</f>
        <v>1A Fuel Combustion Activities</v>
      </c>
      <c r="H251" t="str">
        <f>INDEX(IPCCMaps!J:J,MATCH(mapPRC!D251,IPCCMaps!G:G,0))</f>
        <v>1A2 Manufacturing Industries and Construction</v>
      </c>
      <c r="I251" t="str">
        <f>INDEX(IPCCMaps!K:K,MATCH(mapPRC!D251,IPCCMaps!G:G,0))</f>
        <v>1A2 Manufacturing Industries and Construction</v>
      </c>
    </row>
    <row r="252" spans="1:9" hidden="1" x14ac:dyDescent="0.25">
      <c r="A252" t="s">
        <v>3104</v>
      </c>
      <c r="B252" t="s">
        <v>3105</v>
      </c>
      <c r="D252" t="s">
        <v>1197</v>
      </c>
      <c r="E252" t="s">
        <v>1210</v>
      </c>
      <c r="F252" t="str">
        <f>INDEX(IPCCMaps!H:H,MATCH(mapPRC!D252,IPCCMaps!G:G,0))</f>
        <v>1 Energy</v>
      </c>
      <c r="G252" t="str">
        <f>INDEX(IPCCMaps!I:I,MATCH(mapPRC!D252,IPCCMaps!G:G,0))</f>
        <v>1A Fuel Combustion Activities</v>
      </c>
      <c r="H252" t="str">
        <f>INDEX(IPCCMaps!J:J,MATCH(mapPRC!D252,IPCCMaps!G:G,0))</f>
        <v>1A2 Manufacturing Industries and Construction</v>
      </c>
      <c r="I252" t="str">
        <f>INDEX(IPCCMaps!K:K,MATCH(mapPRC!D252,IPCCMaps!G:G,0))</f>
        <v>1A2 Manufacturing Industries and Construction</v>
      </c>
    </row>
    <row r="253" spans="1:9" hidden="1" x14ac:dyDescent="0.25">
      <c r="A253" t="s">
        <v>3106</v>
      </c>
      <c r="B253" t="s">
        <v>3107</v>
      </c>
      <c r="D253" t="s">
        <v>1197</v>
      </c>
      <c r="E253" t="s">
        <v>1210</v>
      </c>
      <c r="F253" t="str">
        <f>INDEX(IPCCMaps!H:H,MATCH(mapPRC!D253,IPCCMaps!G:G,0))</f>
        <v>1 Energy</v>
      </c>
      <c r="G253" t="str">
        <f>INDEX(IPCCMaps!I:I,MATCH(mapPRC!D253,IPCCMaps!G:G,0))</f>
        <v>1A Fuel Combustion Activities</v>
      </c>
      <c r="H253" t="str">
        <f>INDEX(IPCCMaps!J:J,MATCH(mapPRC!D253,IPCCMaps!G:G,0))</f>
        <v>1A2 Manufacturing Industries and Construction</v>
      </c>
      <c r="I253" t="str">
        <f>INDEX(IPCCMaps!K:K,MATCH(mapPRC!D253,IPCCMaps!G:G,0))</f>
        <v>1A2 Manufacturing Industries and Construction</v>
      </c>
    </row>
    <row r="254" spans="1:9" hidden="1" x14ac:dyDescent="0.25">
      <c r="A254" t="s">
        <v>1206</v>
      </c>
      <c r="B254" t="s">
        <v>1205</v>
      </c>
      <c r="C254" t="s">
        <v>964</v>
      </c>
      <c r="D254" t="s">
        <v>1197</v>
      </c>
      <c r="E254" t="s">
        <v>1204</v>
      </c>
      <c r="F254" t="str">
        <f>INDEX(IPCCMaps!H:H,MATCH(mapPRC!D254,IPCCMaps!G:G,0))</f>
        <v>1 Energy</v>
      </c>
      <c r="G254" t="str">
        <f>INDEX(IPCCMaps!I:I,MATCH(mapPRC!D254,IPCCMaps!G:G,0))</f>
        <v>1A Fuel Combustion Activities</v>
      </c>
      <c r="H254" t="str">
        <f>INDEX(IPCCMaps!J:J,MATCH(mapPRC!D254,IPCCMaps!G:G,0))</f>
        <v>1A2 Manufacturing Industries and Construction</v>
      </c>
      <c r="I254" t="str">
        <f>INDEX(IPCCMaps!K:K,MATCH(mapPRC!D254,IPCCMaps!G:G,0))</f>
        <v>1A2 Manufacturing Industries and Construction</v>
      </c>
    </row>
    <row r="255" spans="1:9" hidden="1" x14ac:dyDescent="0.25">
      <c r="A255" t="s">
        <v>1209</v>
      </c>
      <c r="B255" t="s">
        <v>1207</v>
      </c>
      <c r="C255" t="s">
        <v>964</v>
      </c>
      <c r="D255" t="s">
        <v>1197</v>
      </c>
      <c r="E255" t="s">
        <v>1204</v>
      </c>
      <c r="F255" t="str">
        <f>INDEX(IPCCMaps!H:H,MATCH(mapPRC!D255,IPCCMaps!G:G,0))</f>
        <v>1 Energy</v>
      </c>
      <c r="G255" t="str">
        <f>INDEX(IPCCMaps!I:I,MATCH(mapPRC!D255,IPCCMaps!G:G,0))</f>
        <v>1A Fuel Combustion Activities</v>
      </c>
      <c r="H255" t="str">
        <f>INDEX(IPCCMaps!J:J,MATCH(mapPRC!D255,IPCCMaps!G:G,0))</f>
        <v>1A2 Manufacturing Industries and Construction</v>
      </c>
      <c r="I255" t="str">
        <f>INDEX(IPCCMaps!K:K,MATCH(mapPRC!D255,IPCCMaps!G:G,0))</f>
        <v>1A2 Manufacturing Industries and Construction</v>
      </c>
    </row>
    <row r="256" spans="1:9" hidden="1" x14ac:dyDescent="0.25">
      <c r="A256" t="s">
        <v>1208</v>
      </c>
      <c r="B256" t="s">
        <v>1207</v>
      </c>
      <c r="C256" t="s">
        <v>964</v>
      </c>
      <c r="D256" t="s">
        <v>1197</v>
      </c>
      <c r="E256" t="s">
        <v>1204</v>
      </c>
      <c r="F256" t="str">
        <f>INDEX(IPCCMaps!H:H,MATCH(mapPRC!D256,IPCCMaps!G:G,0))</f>
        <v>1 Energy</v>
      </c>
      <c r="G256" t="str">
        <f>INDEX(IPCCMaps!I:I,MATCH(mapPRC!D256,IPCCMaps!G:G,0))</f>
        <v>1A Fuel Combustion Activities</v>
      </c>
      <c r="H256" t="str">
        <f>INDEX(IPCCMaps!J:J,MATCH(mapPRC!D256,IPCCMaps!G:G,0))</f>
        <v>1A2 Manufacturing Industries and Construction</v>
      </c>
      <c r="I256" t="str">
        <f>INDEX(IPCCMaps!K:K,MATCH(mapPRC!D256,IPCCMaps!G:G,0))</f>
        <v>1A2 Manufacturing Industries and Construction</v>
      </c>
    </row>
    <row r="257" spans="1:9" hidden="1" x14ac:dyDescent="0.25">
      <c r="A257" t="s">
        <v>1201</v>
      </c>
      <c r="B257" t="s">
        <v>1198</v>
      </c>
      <c r="C257" t="s">
        <v>964</v>
      </c>
      <c r="D257" t="s">
        <v>1197</v>
      </c>
      <c r="E257" t="s">
        <v>1200</v>
      </c>
      <c r="F257" t="str">
        <f>INDEX(IPCCMaps!H:H,MATCH(mapPRC!D257,IPCCMaps!G:G,0))</f>
        <v>1 Energy</v>
      </c>
      <c r="G257" t="str">
        <f>INDEX(IPCCMaps!I:I,MATCH(mapPRC!D257,IPCCMaps!G:G,0))</f>
        <v>1A Fuel Combustion Activities</v>
      </c>
      <c r="H257" t="str">
        <f>INDEX(IPCCMaps!J:J,MATCH(mapPRC!D257,IPCCMaps!G:G,0))</f>
        <v>1A2 Manufacturing Industries and Construction</v>
      </c>
      <c r="I257" t="str">
        <f>INDEX(IPCCMaps!K:K,MATCH(mapPRC!D257,IPCCMaps!G:G,0))</f>
        <v>1A2 Manufacturing Industries and Construction</v>
      </c>
    </row>
    <row r="258" spans="1:9" hidden="1" x14ac:dyDescent="0.25">
      <c r="A258" t="s">
        <v>1203</v>
      </c>
      <c r="B258" t="s">
        <v>1198</v>
      </c>
      <c r="C258" t="s">
        <v>964</v>
      </c>
      <c r="D258" t="s">
        <v>1197</v>
      </c>
      <c r="E258" t="s">
        <v>1200</v>
      </c>
      <c r="F258" t="str">
        <f>INDEX(IPCCMaps!H:H,MATCH(mapPRC!D258,IPCCMaps!G:G,0))</f>
        <v>1 Energy</v>
      </c>
      <c r="G258" t="str">
        <f>INDEX(IPCCMaps!I:I,MATCH(mapPRC!D258,IPCCMaps!G:G,0))</f>
        <v>1A Fuel Combustion Activities</v>
      </c>
      <c r="H258" t="str">
        <f>INDEX(IPCCMaps!J:J,MATCH(mapPRC!D258,IPCCMaps!G:G,0))</f>
        <v>1A2 Manufacturing Industries and Construction</v>
      </c>
      <c r="I258" t="str">
        <f>INDEX(IPCCMaps!K:K,MATCH(mapPRC!D258,IPCCMaps!G:G,0))</f>
        <v>1A2 Manufacturing Industries and Construction</v>
      </c>
    </row>
    <row r="259" spans="1:9" hidden="1" x14ac:dyDescent="0.25">
      <c r="A259" t="s">
        <v>1202</v>
      </c>
      <c r="B259" t="s">
        <v>1198</v>
      </c>
      <c r="C259" t="s">
        <v>964</v>
      </c>
      <c r="D259" t="s">
        <v>1197</v>
      </c>
      <c r="E259" t="s">
        <v>1200</v>
      </c>
      <c r="F259" t="str">
        <f>INDEX(IPCCMaps!H:H,MATCH(mapPRC!D259,IPCCMaps!G:G,0))</f>
        <v>1 Energy</v>
      </c>
      <c r="G259" t="str">
        <f>INDEX(IPCCMaps!I:I,MATCH(mapPRC!D259,IPCCMaps!G:G,0))</f>
        <v>1A Fuel Combustion Activities</v>
      </c>
      <c r="H259" t="str">
        <f>INDEX(IPCCMaps!J:J,MATCH(mapPRC!D259,IPCCMaps!G:G,0))</f>
        <v>1A2 Manufacturing Industries and Construction</v>
      </c>
      <c r="I259" t="str">
        <f>INDEX(IPCCMaps!K:K,MATCH(mapPRC!D259,IPCCMaps!G:G,0))</f>
        <v>1A2 Manufacturing Industries and Construction</v>
      </c>
    </row>
    <row r="260" spans="1:9" hidden="1" x14ac:dyDescent="0.25">
      <c r="A260" t="s">
        <v>1199</v>
      </c>
      <c r="B260" t="s">
        <v>1198</v>
      </c>
      <c r="C260" t="s">
        <v>964</v>
      </c>
      <c r="D260" t="s">
        <v>1197</v>
      </c>
      <c r="E260" t="s">
        <v>1196</v>
      </c>
      <c r="F260" t="str">
        <f>INDEX(IPCCMaps!H:H,MATCH(mapPRC!D260,IPCCMaps!G:G,0))</f>
        <v>1 Energy</v>
      </c>
      <c r="G260" t="str">
        <f>INDEX(IPCCMaps!I:I,MATCH(mapPRC!D260,IPCCMaps!G:G,0))</f>
        <v>1A Fuel Combustion Activities</v>
      </c>
      <c r="H260" t="str">
        <f>INDEX(IPCCMaps!J:J,MATCH(mapPRC!D260,IPCCMaps!G:G,0))</f>
        <v>1A2 Manufacturing Industries and Construction</v>
      </c>
      <c r="I260" t="str">
        <f>INDEX(IPCCMaps!K:K,MATCH(mapPRC!D260,IPCCMaps!G:G,0))</f>
        <v>1A2 Manufacturing Industries and Construction</v>
      </c>
    </row>
    <row r="261" spans="1:9" hidden="1" x14ac:dyDescent="0.25">
      <c r="A261" t="s">
        <v>1195</v>
      </c>
      <c r="B261" t="s">
        <v>1194</v>
      </c>
      <c r="C261" t="s">
        <v>964</v>
      </c>
      <c r="D261" t="s">
        <v>1163</v>
      </c>
      <c r="E261" t="s">
        <v>1064</v>
      </c>
      <c r="F261" t="str">
        <f>INDEX(IPCCMaps!H:H,MATCH(mapPRC!D261,IPCCMaps!G:G,0))</f>
        <v>1 Energy</v>
      </c>
      <c r="G261" t="str">
        <f>INDEX(IPCCMaps!I:I,MATCH(mapPRC!D261,IPCCMaps!G:G,0))</f>
        <v>1A Fuel Combustion Activities</v>
      </c>
      <c r="H261" t="str">
        <f>INDEX(IPCCMaps!J:J,MATCH(mapPRC!D261,IPCCMaps!G:G,0))</f>
        <v>1A2 Manufacturing Industries and Construction</v>
      </c>
      <c r="I261" t="str">
        <f>INDEX(IPCCMaps!K:K,MATCH(mapPRC!D261,IPCCMaps!G:G,0))</f>
        <v>1A2 Manufacturing Industries and Construction</v>
      </c>
    </row>
    <row r="262" spans="1:9" hidden="1" x14ac:dyDescent="0.25">
      <c r="A262" t="s">
        <v>1193</v>
      </c>
      <c r="B262" t="s">
        <v>1192</v>
      </c>
      <c r="C262" t="s">
        <v>964</v>
      </c>
      <c r="D262" t="s">
        <v>1163</v>
      </c>
      <c r="E262" t="s">
        <v>1061</v>
      </c>
      <c r="F262" t="str">
        <f>INDEX(IPCCMaps!H:H,MATCH(mapPRC!D262,IPCCMaps!G:G,0))</f>
        <v>1 Energy</v>
      </c>
      <c r="G262" t="str">
        <f>INDEX(IPCCMaps!I:I,MATCH(mapPRC!D262,IPCCMaps!G:G,0))</f>
        <v>1A Fuel Combustion Activities</v>
      </c>
      <c r="H262" t="str">
        <f>INDEX(IPCCMaps!J:J,MATCH(mapPRC!D262,IPCCMaps!G:G,0))</f>
        <v>1A2 Manufacturing Industries and Construction</v>
      </c>
      <c r="I262" t="str">
        <f>INDEX(IPCCMaps!K:K,MATCH(mapPRC!D262,IPCCMaps!G:G,0))</f>
        <v>1A2 Manufacturing Industries and Construction</v>
      </c>
    </row>
    <row r="263" spans="1:9" hidden="1" x14ac:dyDescent="0.25">
      <c r="A263" t="s">
        <v>1191</v>
      </c>
      <c r="B263" t="s">
        <v>1190</v>
      </c>
      <c r="C263" t="s">
        <v>964</v>
      </c>
      <c r="D263" t="s">
        <v>1163</v>
      </c>
      <c r="E263" t="s">
        <v>1058</v>
      </c>
      <c r="F263" t="str">
        <f>INDEX(IPCCMaps!H:H,MATCH(mapPRC!D263,IPCCMaps!G:G,0))</f>
        <v>1 Energy</v>
      </c>
      <c r="G263" t="str">
        <f>INDEX(IPCCMaps!I:I,MATCH(mapPRC!D263,IPCCMaps!G:G,0))</f>
        <v>1A Fuel Combustion Activities</v>
      </c>
      <c r="H263" t="str">
        <f>INDEX(IPCCMaps!J:J,MATCH(mapPRC!D263,IPCCMaps!G:G,0))</f>
        <v>1A2 Manufacturing Industries and Construction</v>
      </c>
      <c r="I263" t="str">
        <f>INDEX(IPCCMaps!K:K,MATCH(mapPRC!D263,IPCCMaps!G:G,0))</f>
        <v>1A2 Manufacturing Industries and Construction</v>
      </c>
    </row>
    <row r="264" spans="1:9" hidden="1" x14ac:dyDescent="0.25">
      <c r="A264" t="s">
        <v>1189</v>
      </c>
      <c r="B264" t="s">
        <v>1188</v>
      </c>
      <c r="C264" t="s">
        <v>964</v>
      </c>
      <c r="D264" t="s">
        <v>1163</v>
      </c>
      <c r="E264" t="s">
        <v>1055</v>
      </c>
      <c r="F264" t="str">
        <f>INDEX(IPCCMaps!H:H,MATCH(mapPRC!D264,IPCCMaps!G:G,0))</f>
        <v>1 Energy</v>
      </c>
      <c r="G264" t="str">
        <f>INDEX(IPCCMaps!I:I,MATCH(mapPRC!D264,IPCCMaps!G:G,0))</f>
        <v>1A Fuel Combustion Activities</v>
      </c>
      <c r="H264" t="str">
        <f>INDEX(IPCCMaps!J:J,MATCH(mapPRC!D264,IPCCMaps!G:G,0))</f>
        <v>1A2 Manufacturing Industries and Construction</v>
      </c>
      <c r="I264" t="str">
        <f>INDEX(IPCCMaps!K:K,MATCH(mapPRC!D264,IPCCMaps!G:G,0))</f>
        <v>1A2 Manufacturing Industries and Construction</v>
      </c>
    </row>
    <row r="265" spans="1:9" hidden="1" x14ac:dyDescent="0.25">
      <c r="A265" t="s">
        <v>1187</v>
      </c>
      <c r="B265" t="s">
        <v>1186</v>
      </c>
      <c r="C265" t="s">
        <v>964</v>
      </c>
      <c r="D265" t="s">
        <v>1163</v>
      </c>
      <c r="E265" t="s">
        <v>1052</v>
      </c>
      <c r="F265" t="str">
        <f>INDEX(IPCCMaps!H:H,MATCH(mapPRC!D265,IPCCMaps!G:G,0))</f>
        <v>1 Energy</v>
      </c>
      <c r="G265" t="str">
        <f>INDEX(IPCCMaps!I:I,MATCH(mapPRC!D265,IPCCMaps!G:G,0))</f>
        <v>1A Fuel Combustion Activities</v>
      </c>
      <c r="H265" t="str">
        <f>INDEX(IPCCMaps!J:J,MATCH(mapPRC!D265,IPCCMaps!G:G,0))</f>
        <v>1A2 Manufacturing Industries and Construction</v>
      </c>
      <c r="I265" t="str">
        <f>INDEX(IPCCMaps!K:K,MATCH(mapPRC!D265,IPCCMaps!G:G,0))</f>
        <v>1A2 Manufacturing Industries and Construction</v>
      </c>
    </row>
    <row r="266" spans="1:9" hidden="1" x14ac:dyDescent="0.25">
      <c r="A266" t="s">
        <v>1185</v>
      </c>
      <c r="B266" t="s">
        <v>1184</v>
      </c>
      <c r="C266" t="s">
        <v>964</v>
      </c>
      <c r="D266" t="s">
        <v>1163</v>
      </c>
      <c r="E266" t="s">
        <v>1049</v>
      </c>
      <c r="F266" t="str">
        <f>INDEX(IPCCMaps!H:H,MATCH(mapPRC!D266,IPCCMaps!G:G,0))</f>
        <v>1 Energy</v>
      </c>
      <c r="G266" t="str">
        <f>INDEX(IPCCMaps!I:I,MATCH(mapPRC!D266,IPCCMaps!G:G,0))</f>
        <v>1A Fuel Combustion Activities</v>
      </c>
      <c r="H266" t="str">
        <f>INDEX(IPCCMaps!J:J,MATCH(mapPRC!D266,IPCCMaps!G:G,0))</f>
        <v>1A2 Manufacturing Industries and Construction</v>
      </c>
      <c r="I266" t="str">
        <f>INDEX(IPCCMaps!K:K,MATCH(mapPRC!D266,IPCCMaps!G:G,0))</f>
        <v>1A2 Manufacturing Industries and Construction</v>
      </c>
    </row>
    <row r="267" spans="1:9" hidden="1" x14ac:dyDescent="0.25">
      <c r="A267" t="s">
        <v>1183</v>
      </c>
      <c r="B267" t="s">
        <v>1182</v>
      </c>
      <c r="C267" t="s">
        <v>964</v>
      </c>
      <c r="D267" t="s">
        <v>1163</v>
      </c>
      <c r="E267" t="s">
        <v>733</v>
      </c>
      <c r="F267" t="str">
        <f>INDEX(IPCCMaps!H:H,MATCH(mapPRC!D267,IPCCMaps!G:G,0))</f>
        <v>1 Energy</v>
      </c>
      <c r="G267" t="str">
        <f>INDEX(IPCCMaps!I:I,MATCH(mapPRC!D267,IPCCMaps!G:G,0))</f>
        <v>1A Fuel Combustion Activities</v>
      </c>
      <c r="H267" t="str">
        <f>INDEX(IPCCMaps!J:J,MATCH(mapPRC!D267,IPCCMaps!G:G,0))</f>
        <v>1A2 Manufacturing Industries and Construction</v>
      </c>
      <c r="I267" t="str">
        <f>INDEX(IPCCMaps!K:K,MATCH(mapPRC!D267,IPCCMaps!G:G,0))</f>
        <v>1A2 Manufacturing Industries and Construction</v>
      </c>
    </row>
    <row r="268" spans="1:9" hidden="1" x14ac:dyDescent="0.25">
      <c r="A268" t="s">
        <v>1181</v>
      </c>
      <c r="B268" t="s">
        <v>1180</v>
      </c>
      <c r="C268" t="s">
        <v>964</v>
      </c>
      <c r="D268" t="s">
        <v>1163</v>
      </c>
      <c r="E268" t="s">
        <v>1044</v>
      </c>
      <c r="F268" t="str">
        <f>INDEX(IPCCMaps!H:H,MATCH(mapPRC!D268,IPCCMaps!G:G,0))</f>
        <v>1 Energy</v>
      </c>
      <c r="G268" t="str">
        <f>INDEX(IPCCMaps!I:I,MATCH(mapPRC!D268,IPCCMaps!G:G,0))</f>
        <v>1A Fuel Combustion Activities</v>
      </c>
      <c r="H268" t="str">
        <f>INDEX(IPCCMaps!J:J,MATCH(mapPRC!D268,IPCCMaps!G:G,0))</f>
        <v>1A2 Manufacturing Industries and Construction</v>
      </c>
      <c r="I268" t="str">
        <f>INDEX(IPCCMaps!K:K,MATCH(mapPRC!D268,IPCCMaps!G:G,0))</f>
        <v>1A2 Manufacturing Industries and Construction</v>
      </c>
    </row>
    <row r="269" spans="1:9" hidden="1" x14ac:dyDescent="0.25">
      <c r="A269" t="s">
        <v>1179</v>
      </c>
      <c r="B269" t="s">
        <v>1178</v>
      </c>
      <c r="C269" t="s">
        <v>964</v>
      </c>
      <c r="D269" t="s">
        <v>1163</v>
      </c>
      <c r="E269" t="s">
        <v>1041</v>
      </c>
      <c r="F269" t="str">
        <f>INDEX(IPCCMaps!H:H,MATCH(mapPRC!D269,IPCCMaps!G:G,0))</f>
        <v>1 Energy</v>
      </c>
      <c r="G269" t="str">
        <f>INDEX(IPCCMaps!I:I,MATCH(mapPRC!D269,IPCCMaps!G:G,0))</f>
        <v>1A Fuel Combustion Activities</v>
      </c>
      <c r="H269" t="str">
        <f>INDEX(IPCCMaps!J:J,MATCH(mapPRC!D269,IPCCMaps!G:G,0))</f>
        <v>1A2 Manufacturing Industries and Construction</v>
      </c>
      <c r="I269" t="str">
        <f>INDEX(IPCCMaps!K:K,MATCH(mapPRC!D269,IPCCMaps!G:G,0))</f>
        <v>1A2 Manufacturing Industries and Construction</v>
      </c>
    </row>
    <row r="270" spans="1:9" hidden="1" x14ac:dyDescent="0.25">
      <c r="A270" t="s">
        <v>1177</v>
      </c>
      <c r="B270" t="s">
        <v>1176</v>
      </c>
      <c r="C270" t="s">
        <v>964</v>
      </c>
      <c r="D270" t="s">
        <v>1163</v>
      </c>
      <c r="E270" t="s">
        <v>0</v>
      </c>
      <c r="F270" t="str">
        <f>INDEX(IPCCMaps!H:H,MATCH(mapPRC!D270,IPCCMaps!G:G,0))</f>
        <v>1 Energy</v>
      </c>
      <c r="G270" t="str">
        <f>INDEX(IPCCMaps!I:I,MATCH(mapPRC!D270,IPCCMaps!G:G,0))</f>
        <v>1A Fuel Combustion Activities</v>
      </c>
      <c r="H270" t="str">
        <f>INDEX(IPCCMaps!J:J,MATCH(mapPRC!D270,IPCCMaps!G:G,0))</f>
        <v>1A2 Manufacturing Industries and Construction</v>
      </c>
      <c r="I270" t="str">
        <f>INDEX(IPCCMaps!K:K,MATCH(mapPRC!D270,IPCCMaps!G:G,0))</f>
        <v>1A2 Manufacturing Industries and Construction</v>
      </c>
    </row>
    <row r="271" spans="1:9" hidden="1" x14ac:dyDescent="0.25">
      <c r="A271" t="s">
        <v>1175</v>
      </c>
      <c r="B271" t="s">
        <v>1174</v>
      </c>
      <c r="C271" t="s">
        <v>964</v>
      </c>
      <c r="D271" t="s">
        <v>1163</v>
      </c>
      <c r="E271" t="s">
        <v>1025</v>
      </c>
      <c r="F271" t="str">
        <f>INDEX(IPCCMaps!H:H,MATCH(mapPRC!D271,IPCCMaps!G:G,0))</f>
        <v>1 Energy</v>
      </c>
      <c r="G271" t="str">
        <f>INDEX(IPCCMaps!I:I,MATCH(mapPRC!D271,IPCCMaps!G:G,0))</f>
        <v>1A Fuel Combustion Activities</v>
      </c>
      <c r="H271" t="str">
        <f>INDEX(IPCCMaps!J:J,MATCH(mapPRC!D271,IPCCMaps!G:G,0))</f>
        <v>1A2 Manufacturing Industries and Construction</v>
      </c>
      <c r="I271" t="str">
        <f>INDEX(IPCCMaps!K:K,MATCH(mapPRC!D271,IPCCMaps!G:G,0))</f>
        <v>1A2 Manufacturing Industries and Construction</v>
      </c>
    </row>
    <row r="272" spans="1:9" hidden="1" x14ac:dyDescent="0.25">
      <c r="A272" t="s">
        <v>1173</v>
      </c>
      <c r="B272" t="s">
        <v>1172</v>
      </c>
      <c r="C272" t="s">
        <v>964</v>
      </c>
      <c r="D272" t="s">
        <v>1163</v>
      </c>
      <c r="E272" t="s">
        <v>1025</v>
      </c>
      <c r="F272" t="str">
        <f>INDEX(IPCCMaps!H:H,MATCH(mapPRC!D272,IPCCMaps!G:G,0))</f>
        <v>1 Energy</v>
      </c>
      <c r="G272" t="str">
        <f>INDEX(IPCCMaps!I:I,MATCH(mapPRC!D272,IPCCMaps!G:G,0))</f>
        <v>1A Fuel Combustion Activities</v>
      </c>
      <c r="H272" t="str">
        <f>INDEX(IPCCMaps!J:J,MATCH(mapPRC!D272,IPCCMaps!G:G,0))</f>
        <v>1A2 Manufacturing Industries and Construction</v>
      </c>
      <c r="I272" t="str">
        <f>INDEX(IPCCMaps!K:K,MATCH(mapPRC!D272,IPCCMaps!G:G,0))</f>
        <v>1A2 Manufacturing Industries and Construction</v>
      </c>
    </row>
    <row r="273" spans="1:9" hidden="1" x14ac:dyDescent="0.25">
      <c r="A273" t="s">
        <v>1171</v>
      </c>
      <c r="B273" t="s">
        <v>1170</v>
      </c>
      <c r="C273" t="s">
        <v>964</v>
      </c>
      <c r="D273" t="s">
        <v>1163</v>
      </c>
      <c r="E273" t="s">
        <v>1025</v>
      </c>
      <c r="F273" t="str">
        <f>INDEX(IPCCMaps!H:H,MATCH(mapPRC!D273,IPCCMaps!G:G,0))</f>
        <v>1 Energy</v>
      </c>
      <c r="G273" t="str">
        <f>INDEX(IPCCMaps!I:I,MATCH(mapPRC!D273,IPCCMaps!G:G,0))</f>
        <v>1A Fuel Combustion Activities</v>
      </c>
      <c r="H273" t="str">
        <f>INDEX(IPCCMaps!J:J,MATCH(mapPRC!D273,IPCCMaps!G:G,0))</f>
        <v>1A2 Manufacturing Industries and Construction</v>
      </c>
      <c r="I273" t="str">
        <f>INDEX(IPCCMaps!K:K,MATCH(mapPRC!D273,IPCCMaps!G:G,0))</f>
        <v>1A2 Manufacturing Industries and Construction</v>
      </c>
    </row>
    <row r="274" spans="1:9" hidden="1" x14ac:dyDescent="0.25">
      <c r="A274" t="s">
        <v>1169</v>
      </c>
      <c r="B274" t="s">
        <v>1168</v>
      </c>
      <c r="C274" t="s">
        <v>964</v>
      </c>
      <c r="D274" t="s">
        <v>1163</v>
      </c>
      <c r="E274" t="s">
        <v>1025</v>
      </c>
      <c r="F274" t="str">
        <f>INDEX(IPCCMaps!H:H,MATCH(mapPRC!D274,IPCCMaps!G:G,0))</f>
        <v>1 Energy</v>
      </c>
      <c r="G274" t="str">
        <f>INDEX(IPCCMaps!I:I,MATCH(mapPRC!D274,IPCCMaps!G:G,0))</f>
        <v>1A Fuel Combustion Activities</v>
      </c>
      <c r="H274" t="str">
        <f>INDEX(IPCCMaps!J:J,MATCH(mapPRC!D274,IPCCMaps!G:G,0))</f>
        <v>1A2 Manufacturing Industries and Construction</v>
      </c>
      <c r="I274" t="str">
        <f>INDEX(IPCCMaps!K:K,MATCH(mapPRC!D274,IPCCMaps!G:G,0))</f>
        <v>1A2 Manufacturing Industries and Construction</v>
      </c>
    </row>
    <row r="275" spans="1:9" hidden="1" x14ac:dyDescent="0.25">
      <c r="A275" t="s">
        <v>1167</v>
      </c>
      <c r="B275" t="s">
        <v>1166</v>
      </c>
      <c r="C275" t="s">
        <v>964</v>
      </c>
      <c r="D275" t="s">
        <v>1163</v>
      </c>
      <c r="E275" t="s">
        <v>1025</v>
      </c>
      <c r="F275" t="str">
        <f>INDEX(IPCCMaps!H:H,MATCH(mapPRC!D275,IPCCMaps!G:G,0))</f>
        <v>1 Energy</v>
      </c>
      <c r="G275" t="str">
        <f>INDEX(IPCCMaps!I:I,MATCH(mapPRC!D275,IPCCMaps!G:G,0))</f>
        <v>1A Fuel Combustion Activities</v>
      </c>
      <c r="H275" t="str">
        <f>INDEX(IPCCMaps!J:J,MATCH(mapPRC!D275,IPCCMaps!G:G,0))</f>
        <v>1A2 Manufacturing Industries and Construction</v>
      </c>
      <c r="I275" t="str">
        <f>INDEX(IPCCMaps!K:K,MATCH(mapPRC!D275,IPCCMaps!G:G,0))</f>
        <v>1A2 Manufacturing Industries and Construction</v>
      </c>
    </row>
    <row r="276" spans="1:9" hidden="1" x14ac:dyDescent="0.25">
      <c r="A276" t="s">
        <v>1165</v>
      </c>
      <c r="B276" t="s">
        <v>1164</v>
      </c>
      <c r="C276" t="s">
        <v>964</v>
      </c>
      <c r="D276" t="s">
        <v>1163</v>
      </c>
      <c r="E276" t="s">
        <v>1025</v>
      </c>
      <c r="F276" t="str">
        <f>INDEX(IPCCMaps!H:H,MATCH(mapPRC!D276,IPCCMaps!G:G,0))</f>
        <v>1 Energy</v>
      </c>
      <c r="G276" t="str">
        <f>INDEX(IPCCMaps!I:I,MATCH(mapPRC!D276,IPCCMaps!G:G,0))</f>
        <v>1A Fuel Combustion Activities</v>
      </c>
      <c r="H276" t="str">
        <f>INDEX(IPCCMaps!J:J,MATCH(mapPRC!D276,IPCCMaps!G:G,0))</f>
        <v>1A2 Manufacturing Industries and Construction</v>
      </c>
      <c r="I276" t="str">
        <f>INDEX(IPCCMaps!K:K,MATCH(mapPRC!D276,IPCCMaps!G:G,0))</f>
        <v>1A2 Manufacturing Industries and Construction</v>
      </c>
    </row>
    <row r="277" spans="1:9" hidden="1" x14ac:dyDescent="0.25">
      <c r="A277" t="s">
        <v>1162</v>
      </c>
      <c r="B277" t="s">
        <v>1161</v>
      </c>
      <c r="C277" t="s">
        <v>21</v>
      </c>
      <c r="D277" t="s">
        <v>425</v>
      </c>
      <c r="E277" t="s">
        <v>425</v>
      </c>
      <c r="F277" t="str">
        <f>INDEX(IPCCMaps!H:H,MATCH(mapPRC!D277,IPCCMaps!G:G,0))</f>
        <v>1 Energy</v>
      </c>
      <c r="G277" t="str">
        <f>INDEX(IPCCMaps!I:I,MATCH(mapPRC!D277,IPCCMaps!G:G,0))</f>
        <v>1A Fuel Combustion Activities</v>
      </c>
      <c r="H277" t="str">
        <f>INDEX(IPCCMaps!J:J,MATCH(mapPRC!D277,IPCCMaps!G:G,0))</f>
        <v>1A2 Manufacturing Industries and Construction</v>
      </c>
      <c r="I277" t="str">
        <f>INDEX(IPCCMaps!K:K,MATCH(mapPRC!D277,IPCCMaps!G:G,0))</f>
        <v>1A2 Manufacturing Industries and Construction</v>
      </c>
    </row>
    <row r="278" spans="1:9" hidden="1" x14ac:dyDescent="0.25">
      <c r="A278" t="s">
        <v>1160</v>
      </c>
      <c r="B278" t="s">
        <v>1159</v>
      </c>
      <c r="C278" t="s">
        <v>21</v>
      </c>
      <c r="D278" t="s">
        <v>425</v>
      </c>
      <c r="E278" t="s">
        <v>425</v>
      </c>
      <c r="F278" t="str">
        <f>INDEX(IPCCMaps!H:H,MATCH(mapPRC!D278,IPCCMaps!G:G,0))</f>
        <v>1 Energy</v>
      </c>
      <c r="G278" t="str">
        <f>INDEX(IPCCMaps!I:I,MATCH(mapPRC!D278,IPCCMaps!G:G,0))</f>
        <v>1A Fuel Combustion Activities</v>
      </c>
      <c r="H278" t="str">
        <f>INDEX(IPCCMaps!J:J,MATCH(mapPRC!D278,IPCCMaps!G:G,0))</f>
        <v>1A2 Manufacturing Industries and Construction</v>
      </c>
      <c r="I278" t="str">
        <f>INDEX(IPCCMaps!K:K,MATCH(mapPRC!D278,IPCCMaps!G:G,0))</f>
        <v>1A2 Manufacturing Industries and Construction</v>
      </c>
    </row>
    <row r="279" spans="1:9" hidden="1" x14ac:dyDescent="0.25">
      <c r="A279" t="s">
        <v>1158</v>
      </c>
      <c r="B279" t="s">
        <v>1157</v>
      </c>
      <c r="C279" t="s">
        <v>21</v>
      </c>
      <c r="D279" t="s">
        <v>425</v>
      </c>
      <c r="E279" t="s">
        <v>425</v>
      </c>
      <c r="F279" t="str">
        <f>INDEX(IPCCMaps!H:H,MATCH(mapPRC!D279,IPCCMaps!G:G,0))</f>
        <v>1 Energy</v>
      </c>
      <c r="G279" t="str">
        <f>INDEX(IPCCMaps!I:I,MATCH(mapPRC!D279,IPCCMaps!G:G,0))</f>
        <v>1A Fuel Combustion Activities</v>
      </c>
      <c r="H279" t="str">
        <f>INDEX(IPCCMaps!J:J,MATCH(mapPRC!D279,IPCCMaps!G:G,0))</f>
        <v>1A2 Manufacturing Industries and Construction</v>
      </c>
      <c r="I279" t="str">
        <f>INDEX(IPCCMaps!K:K,MATCH(mapPRC!D279,IPCCMaps!G:G,0))</f>
        <v>1A2 Manufacturing Industries and Construction</v>
      </c>
    </row>
    <row r="280" spans="1:9" hidden="1" x14ac:dyDescent="0.25">
      <c r="A280" t="s">
        <v>1156</v>
      </c>
      <c r="B280" t="s">
        <v>1155</v>
      </c>
      <c r="C280" t="s">
        <v>21</v>
      </c>
      <c r="D280" t="s">
        <v>425</v>
      </c>
      <c r="E280" t="s">
        <v>425</v>
      </c>
      <c r="F280" t="str">
        <f>INDEX(IPCCMaps!H:H,MATCH(mapPRC!D280,IPCCMaps!G:G,0))</f>
        <v>1 Energy</v>
      </c>
      <c r="G280" t="str">
        <f>INDEX(IPCCMaps!I:I,MATCH(mapPRC!D280,IPCCMaps!G:G,0))</f>
        <v>1A Fuel Combustion Activities</v>
      </c>
      <c r="H280" t="str">
        <f>INDEX(IPCCMaps!J:J,MATCH(mapPRC!D280,IPCCMaps!G:G,0))</f>
        <v>1A2 Manufacturing Industries and Construction</v>
      </c>
      <c r="I280" t="str">
        <f>INDEX(IPCCMaps!K:K,MATCH(mapPRC!D280,IPCCMaps!G:G,0))</f>
        <v>1A2 Manufacturing Industries and Construction</v>
      </c>
    </row>
    <row r="281" spans="1:9" hidden="1" x14ac:dyDescent="0.25">
      <c r="A281" t="s">
        <v>1154</v>
      </c>
      <c r="B281" t="s">
        <v>1153</v>
      </c>
      <c r="C281" t="s">
        <v>21</v>
      </c>
      <c r="D281" t="s">
        <v>425</v>
      </c>
      <c r="E281" t="s">
        <v>425</v>
      </c>
      <c r="F281" t="str">
        <f>INDEX(IPCCMaps!H:H,MATCH(mapPRC!D281,IPCCMaps!G:G,0))</f>
        <v>1 Energy</v>
      </c>
      <c r="G281" t="str">
        <f>INDEX(IPCCMaps!I:I,MATCH(mapPRC!D281,IPCCMaps!G:G,0))</f>
        <v>1A Fuel Combustion Activities</v>
      </c>
      <c r="H281" t="str">
        <f>INDEX(IPCCMaps!J:J,MATCH(mapPRC!D281,IPCCMaps!G:G,0))</f>
        <v>1A2 Manufacturing Industries and Construction</v>
      </c>
      <c r="I281" t="str">
        <f>INDEX(IPCCMaps!K:K,MATCH(mapPRC!D281,IPCCMaps!G:G,0))</f>
        <v>1A2 Manufacturing Industries and Construction</v>
      </c>
    </row>
    <row r="282" spans="1:9" hidden="1" x14ac:dyDescent="0.25">
      <c r="A282" t="s">
        <v>1152</v>
      </c>
      <c r="B282" t="s">
        <v>1151</v>
      </c>
      <c r="C282" t="s">
        <v>21</v>
      </c>
      <c r="D282" t="s">
        <v>425</v>
      </c>
      <c r="E282" t="s">
        <v>425</v>
      </c>
      <c r="F282" t="str">
        <f>INDEX(IPCCMaps!H:H,MATCH(mapPRC!D282,IPCCMaps!G:G,0))</f>
        <v>1 Energy</v>
      </c>
      <c r="G282" t="str">
        <f>INDEX(IPCCMaps!I:I,MATCH(mapPRC!D282,IPCCMaps!G:G,0))</f>
        <v>1A Fuel Combustion Activities</v>
      </c>
      <c r="H282" t="str">
        <f>INDEX(IPCCMaps!J:J,MATCH(mapPRC!D282,IPCCMaps!G:G,0))</f>
        <v>1A2 Manufacturing Industries and Construction</v>
      </c>
      <c r="I282" t="str">
        <f>INDEX(IPCCMaps!K:K,MATCH(mapPRC!D282,IPCCMaps!G:G,0))</f>
        <v>1A2 Manufacturing Industries and Construction</v>
      </c>
    </row>
    <row r="283" spans="1:9" hidden="1" x14ac:dyDescent="0.25">
      <c r="A283" t="s">
        <v>1150</v>
      </c>
      <c r="B283" t="s">
        <v>1149</v>
      </c>
      <c r="C283" t="s">
        <v>21</v>
      </c>
      <c r="D283" t="s">
        <v>425</v>
      </c>
      <c r="E283" t="s">
        <v>425</v>
      </c>
      <c r="F283" t="str">
        <f>INDEX(IPCCMaps!H:H,MATCH(mapPRC!D283,IPCCMaps!G:G,0))</f>
        <v>1 Energy</v>
      </c>
      <c r="G283" t="str">
        <f>INDEX(IPCCMaps!I:I,MATCH(mapPRC!D283,IPCCMaps!G:G,0))</f>
        <v>1A Fuel Combustion Activities</v>
      </c>
      <c r="H283" t="str">
        <f>INDEX(IPCCMaps!J:J,MATCH(mapPRC!D283,IPCCMaps!G:G,0))</f>
        <v>1A2 Manufacturing Industries and Construction</v>
      </c>
      <c r="I283" t="str">
        <f>INDEX(IPCCMaps!K:K,MATCH(mapPRC!D283,IPCCMaps!G:G,0))</f>
        <v>1A2 Manufacturing Industries and Construction</v>
      </c>
    </row>
    <row r="284" spans="1:9" hidden="1" x14ac:dyDescent="0.25">
      <c r="A284" t="s">
        <v>1148</v>
      </c>
      <c r="B284" t="s">
        <v>1147</v>
      </c>
      <c r="C284" t="s">
        <v>21</v>
      </c>
      <c r="D284" t="s">
        <v>425</v>
      </c>
      <c r="E284" t="s">
        <v>425</v>
      </c>
      <c r="F284" t="str">
        <f>INDEX(IPCCMaps!H:H,MATCH(mapPRC!D284,IPCCMaps!G:G,0))</f>
        <v>1 Energy</v>
      </c>
      <c r="G284" t="str">
        <f>INDEX(IPCCMaps!I:I,MATCH(mapPRC!D284,IPCCMaps!G:G,0))</f>
        <v>1A Fuel Combustion Activities</v>
      </c>
      <c r="H284" t="str">
        <f>INDEX(IPCCMaps!J:J,MATCH(mapPRC!D284,IPCCMaps!G:G,0))</f>
        <v>1A2 Manufacturing Industries and Construction</v>
      </c>
      <c r="I284" t="str">
        <f>INDEX(IPCCMaps!K:K,MATCH(mapPRC!D284,IPCCMaps!G:G,0))</f>
        <v>1A2 Manufacturing Industries and Construction</v>
      </c>
    </row>
    <row r="285" spans="1:9" hidden="1" x14ac:dyDescent="0.25">
      <c r="A285" t="s">
        <v>1146</v>
      </c>
      <c r="B285" t="s">
        <v>1145</v>
      </c>
      <c r="C285" t="s">
        <v>21</v>
      </c>
      <c r="D285" t="s">
        <v>425</v>
      </c>
      <c r="E285" t="s">
        <v>425</v>
      </c>
      <c r="F285" t="str">
        <f>INDEX(IPCCMaps!H:H,MATCH(mapPRC!D285,IPCCMaps!G:G,0))</f>
        <v>1 Energy</v>
      </c>
      <c r="G285" t="str">
        <f>INDEX(IPCCMaps!I:I,MATCH(mapPRC!D285,IPCCMaps!G:G,0))</f>
        <v>1A Fuel Combustion Activities</v>
      </c>
      <c r="H285" t="str">
        <f>INDEX(IPCCMaps!J:J,MATCH(mapPRC!D285,IPCCMaps!G:G,0))</f>
        <v>1A2 Manufacturing Industries and Construction</v>
      </c>
      <c r="I285" t="str">
        <f>INDEX(IPCCMaps!K:K,MATCH(mapPRC!D285,IPCCMaps!G:G,0))</f>
        <v>1A2 Manufacturing Industries and Construction</v>
      </c>
    </row>
    <row r="286" spans="1:9" hidden="1" x14ac:dyDescent="0.25">
      <c r="A286" t="s">
        <v>1144</v>
      </c>
      <c r="B286" t="s">
        <v>1143</v>
      </c>
      <c r="C286" t="s">
        <v>21</v>
      </c>
      <c r="D286" t="s">
        <v>425</v>
      </c>
      <c r="E286" t="s">
        <v>425</v>
      </c>
      <c r="F286" t="str">
        <f>INDEX(IPCCMaps!H:H,MATCH(mapPRC!D286,IPCCMaps!G:G,0))</f>
        <v>1 Energy</v>
      </c>
      <c r="G286" t="str">
        <f>INDEX(IPCCMaps!I:I,MATCH(mapPRC!D286,IPCCMaps!G:G,0))</f>
        <v>1A Fuel Combustion Activities</v>
      </c>
      <c r="H286" t="str">
        <f>INDEX(IPCCMaps!J:J,MATCH(mapPRC!D286,IPCCMaps!G:G,0))</f>
        <v>1A2 Manufacturing Industries and Construction</v>
      </c>
      <c r="I286" t="str">
        <f>INDEX(IPCCMaps!K:K,MATCH(mapPRC!D286,IPCCMaps!G:G,0))</f>
        <v>1A2 Manufacturing Industries and Construction</v>
      </c>
    </row>
    <row r="287" spans="1:9" hidden="1" x14ac:dyDescent="0.25">
      <c r="A287" t="s">
        <v>1142</v>
      </c>
      <c r="B287" t="s">
        <v>1141</v>
      </c>
      <c r="C287" t="s">
        <v>21</v>
      </c>
      <c r="D287" t="s">
        <v>425</v>
      </c>
      <c r="E287" t="s">
        <v>425</v>
      </c>
      <c r="F287" t="str">
        <f>INDEX(IPCCMaps!H:H,MATCH(mapPRC!D287,IPCCMaps!G:G,0))</f>
        <v>1 Energy</v>
      </c>
      <c r="G287" t="str">
        <f>INDEX(IPCCMaps!I:I,MATCH(mapPRC!D287,IPCCMaps!G:G,0))</f>
        <v>1A Fuel Combustion Activities</v>
      </c>
      <c r="H287" t="str">
        <f>INDEX(IPCCMaps!J:J,MATCH(mapPRC!D287,IPCCMaps!G:G,0))</f>
        <v>1A2 Manufacturing Industries and Construction</v>
      </c>
      <c r="I287" t="str">
        <f>INDEX(IPCCMaps!K:K,MATCH(mapPRC!D287,IPCCMaps!G:G,0))</f>
        <v>1A2 Manufacturing Industries and Construction</v>
      </c>
    </row>
    <row r="288" spans="1:9" hidden="1" x14ac:dyDescent="0.25">
      <c r="A288" t="s">
        <v>1140</v>
      </c>
      <c r="B288" t="s">
        <v>1139</v>
      </c>
      <c r="C288" t="s">
        <v>21</v>
      </c>
      <c r="D288" t="s">
        <v>425</v>
      </c>
      <c r="E288" t="s">
        <v>425</v>
      </c>
      <c r="F288" t="str">
        <f>INDEX(IPCCMaps!H:H,MATCH(mapPRC!D288,IPCCMaps!G:G,0))</f>
        <v>1 Energy</v>
      </c>
      <c r="G288" t="str">
        <f>INDEX(IPCCMaps!I:I,MATCH(mapPRC!D288,IPCCMaps!G:G,0))</f>
        <v>1A Fuel Combustion Activities</v>
      </c>
      <c r="H288" t="str">
        <f>INDEX(IPCCMaps!J:J,MATCH(mapPRC!D288,IPCCMaps!G:G,0))</f>
        <v>1A2 Manufacturing Industries and Construction</v>
      </c>
      <c r="I288" t="str">
        <f>INDEX(IPCCMaps!K:K,MATCH(mapPRC!D288,IPCCMaps!G:G,0))</f>
        <v>1A2 Manufacturing Industries and Construction</v>
      </c>
    </row>
    <row r="289" spans="1:9" hidden="1" x14ac:dyDescent="0.25">
      <c r="A289" t="s">
        <v>1138</v>
      </c>
      <c r="B289" t="s">
        <v>1137</v>
      </c>
      <c r="C289" t="s">
        <v>21</v>
      </c>
      <c r="D289" t="s">
        <v>425</v>
      </c>
      <c r="E289" t="s">
        <v>425</v>
      </c>
      <c r="F289" t="str">
        <f>INDEX(IPCCMaps!H:H,MATCH(mapPRC!D289,IPCCMaps!G:G,0))</f>
        <v>1 Energy</v>
      </c>
      <c r="G289" t="str">
        <f>INDEX(IPCCMaps!I:I,MATCH(mapPRC!D289,IPCCMaps!G:G,0))</f>
        <v>1A Fuel Combustion Activities</v>
      </c>
      <c r="H289" t="str">
        <f>INDEX(IPCCMaps!J:J,MATCH(mapPRC!D289,IPCCMaps!G:G,0))</f>
        <v>1A2 Manufacturing Industries and Construction</v>
      </c>
      <c r="I289" t="str">
        <f>INDEX(IPCCMaps!K:K,MATCH(mapPRC!D289,IPCCMaps!G:G,0))</f>
        <v>1A2 Manufacturing Industries and Construction</v>
      </c>
    </row>
    <row r="290" spans="1:9" hidden="1" x14ac:dyDescent="0.25">
      <c r="A290" t="s">
        <v>1136</v>
      </c>
      <c r="B290" t="s">
        <v>1135</v>
      </c>
      <c r="C290" t="s">
        <v>964</v>
      </c>
      <c r="D290" t="s">
        <v>1111</v>
      </c>
      <c r="E290" t="s">
        <v>1064</v>
      </c>
      <c r="F290" t="str">
        <f>INDEX(IPCCMaps!H:H,MATCH(mapPRC!D290,IPCCMaps!G:G,0))</f>
        <v>1 Energy</v>
      </c>
      <c r="G290" t="str">
        <f>INDEX(IPCCMaps!I:I,MATCH(mapPRC!D290,IPCCMaps!G:G,0))</f>
        <v>1A Fuel Combustion Activities</v>
      </c>
      <c r="H290" t="str">
        <f>INDEX(IPCCMaps!J:J,MATCH(mapPRC!D290,IPCCMaps!G:G,0))</f>
        <v>1A2 Manufacturing Industries and Construction</v>
      </c>
      <c r="I290" t="str">
        <f>INDEX(IPCCMaps!K:K,MATCH(mapPRC!D290,IPCCMaps!G:G,0))</f>
        <v>1A2 Manufacturing Industries and Construction</v>
      </c>
    </row>
    <row r="291" spans="1:9" hidden="1" x14ac:dyDescent="0.25">
      <c r="A291" t="s">
        <v>1134</v>
      </c>
      <c r="B291" t="s">
        <v>1133</v>
      </c>
      <c r="C291" t="s">
        <v>964</v>
      </c>
      <c r="D291" t="s">
        <v>1111</v>
      </c>
      <c r="E291" t="s">
        <v>1061</v>
      </c>
      <c r="F291" t="str">
        <f>INDEX(IPCCMaps!H:H,MATCH(mapPRC!D291,IPCCMaps!G:G,0))</f>
        <v>1 Energy</v>
      </c>
      <c r="G291" t="str">
        <f>INDEX(IPCCMaps!I:I,MATCH(mapPRC!D291,IPCCMaps!G:G,0))</f>
        <v>1A Fuel Combustion Activities</v>
      </c>
      <c r="H291" t="str">
        <f>INDEX(IPCCMaps!J:J,MATCH(mapPRC!D291,IPCCMaps!G:G,0))</f>
        <v>1A2 Manufacturing Industries and Construction</v>
      </c>
      <c r="I291" t="str">
        <f>INDEX(IPCCMaps!K:K,MATCH(mapPRC!D291,IPCCMaps!G:G,0))</f>
        <v>1A2 Manufacturing Industries and Construction</v>
      </c>
    </row>
    <row r="292" spans="1:9" hidden="1" x14ac:dyDescent="0.25">
      <c r="A292" t="s">
        <v>1132</v>
      </c>
      <c r="B292" t="s">
        <v>1131</v>
      </c>
      <c r="C292" t="s">
        <v>964</v>
      </c>
      <c r="D292" t="s">
        <v>1111</v>
      </c>
      <c r="E292" t="s">
        <v>1058</v>
      </c>
      <c r="F292" t="str">
        <f>INDEX(IPCCMaps!H:H,MATCH(mapPRC!D292,IPCCMaps!G:G,0))</f>
        <v>1 Energy</v>
      </c>
      <c r="G292" t="str">
        <f>INDEX(IPCCMaps!I:I,MATCH(mapPRC!D292,IPCCMaps!G:G,0))</f>
        <v>1A Fuel Combustion Activities</v>
      </c>
      <c r="H292" t="str">
        <f>INDEX(IPCCMaps!J:J,MATCH(mapPRC!D292,IPCCMaps!G:G,0))</f>
        <v>1A2 Manufacturing Industries and Construction</v>
      </c>
      <c r="I292" t="str">
        <f>INDEX(IPCCMaps!K:K,MATCH(mapPRC!D292,IPCCMaps!G:G,0))</f>
        <v>1A2 Manufacturing Industries and Construction</v>
      </c>
    </row>
    <row r="293" spans="1:9" hidden="1" x14ac:dyDescent="0.25">
      <c r="A293" t="s">
        <v>1130</v>
      </c>
      <c r="B293" t="s">
        <v>1129</v>
      </c>
      <c r="C293" t="s">
        <v>964</v>
      </c>
      <c r="D293" t="s">
        <v>1111</v>
      </c>
      <c r="E293" t="s">
        <v>1055</v>
      </c>
      <c r="F293" t="str">
        <f>INDEX(IPCCMaps!H:H,MATCH(mapPRC!D293,IPCCMaps!G:G,0))</f>
        <v>1 Energy</v>
      </c>
      <c r="G293" t="str">
        <f>INDEX(IPCCMaps!I:I,MATCH(mapPRC!D293,IPCCMaps!G:G,0))</f>
        <v>1A Fuel Combustion Activities</v>
      </c>
      <c r="H293" t="str">
        <f>INDEX(IPCCMaps!J:J,MATCH(mapPRC!D293,IPCCMaps!G:G,0))</f>
        <v>1A2 Manufacturing Industries and Construction</v>
      </c>
      <c r="I293" t="str">
        <f>INDEX(IPCCMaps!K:K,MATCH(mapPRC!D293,IPCCMaps!G:G,0))</f>
        <v>1A2 Manufacturing Industries and Construction</v>
      </c>
    </row>
    <row r="294" spans="1:9" hidden="1" x14ac:dyDescent="0.25">
      <c r="A294" t="s">
        <v>1128</v>
      </c>
      <c r="B294" t="s">
        <v>1127</v>
      </c>
      <c r="C294" t="s">
        <v>964</v>
      </c>
      <c r="D294" t="s">
        <v>1111</v>
      </c>
      <c r="E294" t="s">
        <v>1052</v>
      </c>
      <c r="F294" t="str">
        <f>INDEX(IPCCMaps!H:H,MATCH(mapPRC!D294,IPCCMaps!G:G,0))</f>
        <v>1 Energy</v>
      </c>
      <c r="G294" t="str">
        <f>INDEX(IPCCMaps!I:I,MATCH(mapPRC!D294,IPCCMaps!G:G,0))</f>
        <v>1A Fuel Combustion Activities</v>
      </c>
      <c r="H294" t="str">
        <f>INDEX(IPCCMaps!J:J,MATCH(mapPRC!D294,IPCCMaps!G:G,0))</f>
        <v>1A2 Manufacturing Industries and Construction</v>
      </c>
      <c r="I294" t="str">
        <f>INDEX(IPCCMaps!K:K,MATCH(mapPRC!D294,IPCCMaps!G:G,0))</f>
        <v>1A2 Manufacturing Industries and Construction</v>
      </c>
    </row>
    <row r="295" spans="1:9" hidden="1" x14ac:dyDescent="0.25">
      <c r="A295" t="s">
        <v>1126</v>
      </c>
      <c r="B295" t="s">
        <v>1125</v>
      </c>
      <c r="C295" t="s">
        <v>964</v>
      </c>
      <c r="D295" t="s">
        <v>1111</v>
      </c>
      <c r="E295" t="s">
        <v>1049</v>
      </c>
      <c r="F295" t="str">
        <f>INDEX(IPCCMaps!H:H,MATCH(mapPRC!D295,IPCCMaps!G:G,0))</f>
        <v>1 Energy</v>
      </c>
      <c r="G295" t="str">
        <f>INDEX(IPCCMaps!I:I,MATCH(mapPRC!D295,IPCCMaps!G:G,0))</f>
        <v>1A Fuel Combustion Activities</v>
      </c>
      <c r="H295" t="str">
        <f>INDEX(IPCCMaps!J:J,MATCH(mapPRC!D295,IPCCMaps!G:G,0))</f>
        <v>1A2 Manufacturing Industries and Construction</v>
      </c>
      <c r="I295" t="str">
        <f>INDEX(IPCCMaps!K:K,MATCH(mapPRC!D295,IPCCMaps!G:G,0))</f>
        <v>1A2 Manufacturing Industries and Construction</v>
      </c>
    </row>
    <row r="296" spans="1:9" hidden="1" x14ac:dyDescent="0.25">
      <c r="A296" t="s">
        <v>1124</v>
      </c>
      <c r="B296" t="s">
        <v>1123</v>
      </c>
      <c r="C296" t="s">
        <v>964</v>
      </c>
      <c r="D296" t="s">
        <v>1111</v>
      </c>
      <c r="E296" t="s">
        <v>733</v>
      </c>
      <c r="F296" t="str">
        <f>INDEX(IPCCMaps!H:H,MATCH(mapPRC!D296,IPCCMaps!G:G,0))</f>
        <v>1 Energy</v>
      </c>
      <c r="G296" t="str">
        <f>INDEX(IPCCMaps!I:I,MATCH(mapPRC!D296,IPCCMaps!G:G,0))</f>
        <v>1A Fuel Combustion Activities</v>
      </c>
      <c r="H296" t="str">
        <f>INDEX(IPCCMaps!J:J,MATCH(mapPRC!D296,IPCCMaps!G:G,0))</f>
        <v>1A2 Manufacturing Industries and Construction</v>
      </c>
      <c r="I296" t="str">
        <f>INDEX(IPCCMaps!K:K,MATCH(mapPRC!D296,IPCCMaps!G:G,0))</f>
        <v>1A2 Manufacturing Industries and Construction</v>
      </c>
    </row>
    <row r="297" spans="1:9" hidden="1" x14ac:dyDescent="0.25">
      <c r="A297" t="s">
        <v>1122</v>
      </c>
      <c r="B297" t="s">
        <v>1121</v>
      </c>
      <c r="C297" t="s">
        <v>964</v>
      </c>
      <c r="D297" t="s">
        <v>1111</v>
      </c>
      <c r="E297" t="s">
        <v>1044</v>
      </c>
      <c r="F297" t="str">
        <f>INDEX(IPCCMaps!H:H,MATCH(mapPRC!D297,IPCCMaps!G:G,0))</f>
        <v>1 Energy</v>
      </c>
      <c r="G297" t="str">
        <f>INDEX(IPCCMaps!I:I,MATCH(mapPRC!D297,IPCCMaps!G:G,0))</f>
        <v>1A Fuel Combustion Activities</v>
      </c>
      <c r="H297" t="str">
        <f>INDEX(IPCCMaps!J:J,MATCH(mapPRC!D297,IPCCMaps!G:G,0))</f>
        <v>1A2 Manufacturing Industries and Construction</v>
      </c>
      <c r="I297" t="str">
        <f>INDEX(IPCCMaps!K:K,MATCH(mapPRC!D297,IPCCMaps!G:G,0))</f>
        <v>1A2 Manufacturing Industries and Construction</v>
      </c>
    </row>
    <row r="298" spans="1:9" hidden="1" x14ac:dyDescent="0.25">
      <c r="A298" t="s">
        <v>1120</v>
      </c>
      <c r="B298" t="s">
        <v>1119</v>
      </c>
      <c r="C298" t="s">
        <v>964</v>
      </c>
      <c r="D298" t="s">
        <v>1111</v>
      </c>
      <c r="E298" t="s">
        <v>1041</v>
      </c>
      <c r="F298" t="str">
        <f>INDEX(IPCCMaps!H:H,MATCH(mapPRC!D298,IPCCMaps!G:G,0))</f>
        <v>1 Energy</v>
      </c>
      <c r="G298" t="str">
        <f>INDEX(IPCCMaps!I:I,MATCH(mapPRC!D298,IPCCMaps!G:G,0))</f>
        <v>1A Fuel Combustion Activities</v>
      </c>
      <c r="H298" t="str">
        <f>INDEX(IPCCMaps!J:J,MATCH(mapPRC!D298,IPCCMaps!G:G,0))</f>
        <v>1A2 Manufacturing Industries and Construction</v>
      </c>
      <c r="I298" t="str">
        <f>INDEX(IPCCMaps!K:K,MATCH(mapPRC!D298,IPCCMaps!G:G,0))</f>
        <v>1A2 Manufacturing Industries and Construction</v>
      </c>
    </row>
    <row r="299" spans="1:9" hidden="1" x14ac:dyDescent="0.25">
      <c r="A299" t="s">
        <v>1118</v>
      </c>
      <c r="B299" t="s">
        <v>1112</v>
      </c>
      <c r="C299" t="s">
        <v>964</v>
      </c>
      <c r="D299" t="s">
        <v>1111</v>
      </c>
      <c r="E299" t="s">
        <v>1025</v>
      </c>
      <c r="F299" t="str">
        <f>INDEX(IPCCMaps!H:H,MATCH(mapPRC!D299,IPCCMaps!G:G,0))</f>
        <v>1 Energy</v>
      </c>
      <c r="G299" t="str">
        <f>INDEX(IPCCMaps!I:I,MATCH(mapPRC!D299,IPCCMaps!G:G,0))</f>
        <v>1A Fuel Combustion Activities</v>
      </c>
      <c r="H299" t="str">
        <f>INDEX(IPCCMaps!J:J,MATCH(mapPRC!D299,IPCCMaps!G:G,0))</f>
        <v>1A2 Manufacturing Industries and Construction</v>
      </c>
      <c r="I299" t="str">
        <f>INDEX(IPCCMaps!K:K,MATCH(mapPRC!D299,IPCCMaps!G:G,0))</f>
        <v>1A2 Manufacturing Industries and Construction</v>
      </c>
    </row>
    <row r="300" spans="1:9" hidden="1" x14ac:dyDescent="0.25">
      <c r="A300" t="s">
        <v>1117</v>
      </c>
      <c r="B300" t="s">
        <v>1112</v>
      </c>
      <c r="C300" t="s">
        <v>964</v>
      </c>
      <c r="D300" t="s">
        <v>1111</v>
      </c>
      <c r="E300" t="s">
        <v>1025</v>
      </c>
      <c r="F300" t="str">
        <f>INDEX(IPCCMaps!H:H,MATCH(mapPRC!D300,IPCCMaps!G:G,0))</f>
        <v>1 Energy</v>
      </c>
      <c r="G300" t="str">
        <f>INDEX(IPCCMaps!I:I,MATCH(mapPRC!D300,IPCCMaps!G:G,0))</f>
        <v>1A Fuel Combustion Activities</v>
      </c>
      <c r="H300" t="str">
        <f>INDEX(IPCCMaps!J:J,MATCH(mapPRC!D300,IPCCMaps!G:G,0))</f>
        <v>1A2 Manufacturing Industries and Construction</v>
      </c>
      <c r="I300" t="str">
        <f>INDEX(IPCCMaps!K:K,MATCH(mapPRC!D300,IPCCMaps!G:G,0))</f>
        <v>1A2 Manufacturing Industries and Construction</v>
      </c>
    </row>
    <row r="301" spans="1:9" hidden="1" x14ac:dyDescent="0.25">
      <c r="A301" t="s">
        <v>1116</v>
      </c>
      <c r="B301" t="s">
        <v>1112</v>
      </c>
      <c r="C301" t="s">
        <v>964</v>
      </c>
      <c r="D301" t="s">
        <v>1111</v>
      </c>
      <c r="E301" t="s">
        <v>1025</v>
      </c>
      <c r="F301" t="str">
        <f>INDEX(IPCCMaps!H:H,MATCH(mapPRC!D301,IPCCMaps!G:G,0))</f>
        <v>1 Energy</v>
      </c>
      <c r="G301" t="str">
        <f>INDEX(IPCCMaps!I:I,MATCH(mapPRC!D301,IPCCMaps!G:G,0))</f>
        <v>1A Fuel Combustion Activities</v>
      </c>
      <c r="H301" t="str">
        <f>INDEX(IPCCMaps!J:J,MATCH(mapPRC!D301,IPCCMaps!G:G,0))</f>
        <v>1A2 Manufacturing Industries and Construction</v>
      </c>
      <c r="I301" t="str">
        <f>INDEX(IPCCMaps!K:K,MATCH(mapPRC!D301,IPCCMaps!G:G,0))</f>
        <v>1A2 Manufacturing Industries and Construction</v>
      </c>
    </row>
    <row r="302" spans="1:9" hidden="1" x14ac:dyDescent="0.25">
      <c r="A302" t="s">
        <v>1115</v>
      </c>
      <c r="B302" t="s">
        <v>1112</v>
      </c>
      <c r="C302" t="s">
        <v>964</v>
      </c>
      <c r="D302" t="s">
        <v>1111</v>
      </c>
      <c r="E302" t="s">
        <v>1025</v>
      </c>
      <c r="F302" t="str">
        <f>INDEX(IPCCMaps!H:H,MATCH(mapPRC!D302,IPCCMaps!G:G,0))</f>
        <v>1 Energy</v>
      </c>
      <c r="G302" t="str">
        <f>INDEX(IPCCMaps!I:I,MATCH(mapPRC!D302,IPCCMaps!G:G,0))</f>
        <v>1A Fuel Combustion Activities</v>
      </c>
      <c r="H302" t="str">
        <f>INDEX(IPCCMaps!J:J,MATCH(mapPRC!D302,IPCCMaps!G:G,0))</f>
        <v>1A2 Manufacturing Industries and Construction</v>
      </c>
      <c r="I302" t="str">
        <f>INDEX(IPCCMaps!K:K,MATCH(mapPRC!D302,IPCCMaps!G:G,0))</f>
        <v>1A2 Manufacturing Industries and Construction</v>
      </c>
    </row>
    <row r="303" spans="1:9" hidden="1" x14ac:dyDescent="0.25">
      <c r="A303" t="s">
        <v>1114</v>
      </c>
      <c r="B303" t="s">
        <v>1112</v>
      </c>
      <c r="C303" t="s">
        <v>964</v>
      </c>
      <c r="D303" t="s">
        <v>1111</v>
      </c>
      <c r="E303" t="s">
        <v>1025</v>
      </c>
      <c r="F303" t="str">
        <f>INDEX(IPCCMaps!H:H,MATCH(mapPRC!D303,IPCCMaps!G:G,0))</f>
        <v>1 Energy</v>
      </c>
      <c r="G303" t="str">
        <f>INDEX(IPCCMaps!I:I,MATCH(mapPRC!D303,IPCCMaps!G:G,0))</f>
        <v>1A Fuel Combustion Activities</v>
      </c>
      <c r="H303" t="str">
        <f>INDEX(IPCCMaps!J:J,MATCH(mapPRC!D303,IPCCMaps!G:G,0))</f>
        <v>1A2 Manufacturing Industries and Construction</v>
      </c>
      <c r="I303" t="str">
        <f>INDEX(IPCCMaps!K:K,MATCH(mapPRC!D303,IPCCMaps!G:G,0))</f>
        <v>1A2 Manufacturing Industries and Construction</v>
      </c>
    </row>
    <row r="304" spans="1:9" hidden="1" x14ac:dyDescent="0.25">
      <c r="A304" t="s">
        <v>1113</v>
      </c>
      <c r="B304" t="s">
        <v>1112</v>
      </c>
      <c r="C304" t="s">
        <v>964</v>
      </c>
      <c r="D304" t="s">
        <v>1111</v>
      </c>
      <c r="E304" t="s">
        <v>1025</v>
      </c>
      <c r="F304" t="str">
        <f>INDEX(IPCCMaps!H:H,MATCH(mapPRC!D304,IPCCMaps!G:G,0))</f>
        <v>1 Energy</v>
      </c>
      <c r="G304" t="str">
        <f>INDEX(IPCCMaps!I:I,MATCH(mapPRC!D304,IPCCMaps!G:G,0))</f>
        <v>1A Fuel Combustion Activities</v>
      </c>
      <c r="H304" t="str">
        <f>INDEX(IPCCMaps!J:J,MATCH(mapPRC!D304,IPCCMaps!G:G,0))</f>
        <v>1A2 Manufacturing Industries and Construction</v>
      </c>
      <c r="I304" t="str">
        <f>INDEX(IPCCMaps!K:K,MATCH(mapPRC!D304,IPCCMaps!G:G,0))</f>
        <v>1A2 Manufacturing Industries and Construction</v>
      </c>
    </row>
    <row r="305" spans="1:9" hidden="1" x14ac:dyDescent="0.25">
      <c r="A305" t="s">
        <v>1110</v>
      </c>
      <c r="B305" t="s">
        <v>1106</v>
      </c>
      <c r="C305" t="s">
        <v>964</v>
      </c>
      <c r="D305" t="s">
        <v>1068</v>
      </c>
      <c r="E305" t="s">
        <v>1105</v>
      </c>
      <c r="F305" t="str">
        <f>INDEX(IPCCMaps!H:H,MATCH(mapPRC!D305,IPCCMaps!G:G,0))</f>
        <v>1 Energy</v>
      </c>
      <c r="G305" t="str">
        <f>INDEX(IPCCMaps!I:I,MATCH(mapPRC!D305,IPCCMaps!G:G,0))</f>
        <v>1A Fuel Combustion Activities</v>
      </c>
      <c r="H305" t="str">
        <f>INDEX(IPCCMaps!J:J,MATCH(mapPRC!D305,IPCCMaps!G:G,0))</f>
        <v>1A2 Manufacturing Industries and Construction</v>
      </c>
      <c r="I305" t="str">
        <f>INDEX(IPCCMaps!K:K,MATCH(mapPRC!D305,IPCCMaps!G:G,0))</f>
        <v>1A2 Manufacturing Industries and Construction</v>
      </c>
    </row>
    <row r="306" spans="1:9" hidden="1" x14ac:dyDescent="0.25">
      <c r="A306" t="s">
        <v>1109</v>
      </c>
      <c r="B306" t="s">
        <v>1108</v>
      </c>
      <c r="C306" t="s">
        <v>964</v>
      </c>
      <c r="D306" t="s">
        <v>1068</v>
      </c>
      <c r="E306" t="s">
        <v>1105</v>
      </c>
      <c r="F306" t="str">
        <f>INDEX(IPCCMaps!H:H,MATCH(mapPRC!D306,IPCCMaps!G:G,0))</f>
        <v>1 Energy</v>
      </c>
      <c r="G306" t="str">
        <f>INDEX(IPCCMaps!I:I,MATCH(mapPRC!D306,IPCCMaps!G:G,0))</f>
        <v>1A Fuel Combustion Activities</v>
      </c>
      <c r="H306" t="str">
        <f>INDEX(IPCCMaps!J:J,MATCH(mapPRC!D306,IPCCMaps!G:G,0))</f>
        <v>1A2 Manufacturing Industries and Construction</v>
      </c>
      <c r="I306" t="str">
        <f>INDEX(IPCCMaps!K:K,MATCH(mapPRC!D306,IPCCMaps!G:G,0))</f>
        <v>1A2 Manufacturing Industries and Construction</v>
      </c>
    </row>
    <row r="307" spans="1:9" hidden="1" x14ac:dyDescent="0.25">
      <c r="A307" t="s">
        <v>1107</v>
      </c>
      <c r="B307" t="s">
        <v>1106</v>
      </c>
      <c r="C307" t="s">
        <v>964</v>
      </c>
      <c r="D307" t="s">
        <v>1068</v>
      </c>
      <c r="E307" t="s">
        <v>1105</v>
      </c>
      <c r="F307" t="str">
        <f>INDEX(IPCCMaps!H:H,MATCH(mapPRC!D307,IPCCMaps!G:G,0))</f>
        <v>1 Energy</v>
      </c>
      <c r="G307" t="str">
        <f>INDEX(IPCCMaps!I:I,MATCH(mapPRC!D307,IPCCMaps!G:G,0))</f>
        <v>1A Fuel Combustion Activities</v>
      </c>
      <c r="H307" t="str">
        <f>INDEX(IPCCMaps!J:J,MATCH(mapPRC!D307,IPCCMaps!G:G,0))</f>
        <v>1A2 Manufacturing Industries and Construction</v>
      </c>
      <c r="I307" t="str">
        <f>INDEX(IPCCMaps!K:K,MATCH(mapPRC!D307,IPCCMaps!G:G,0))</f>
        <v>1A2 Manufacturing Industries and Construction</v>
      </c>
    </row>
    <row r="308" spans="1:9" hidden="1" x14ac:dyDescent="0.25">
      <c r="A308" t="s">
        <v>1104</v>
      </c>
      <c r="B308" t="s">
        <v>1103</v>
      </c>
      <c r="C308" t="s">
        <v>964</v>
      </c>
      <c r="D308" t="s">
        <v>1068</v>
      </c>
      <c r="E308" t="s">
        <v>1082</v>
      </c>
      <c r="F308" t="str">
        <f>INDEX(IPCCMaps!H:H,MATCH(mapPRC!D308,IPCCMaps!G:G,0))</f>
        <v>1 Energy</v>
      </c>
      <c r="G308" t="str">
        <f>INDEX(IPCCMaps!I:I,MATCH(mapPRC!D308,IPCCMaps!G:G,0))</f>
        <v>1A Fuel Combustion Activities</v>
      </c>
      <c r="H308" t="str">
        <f>INDEX(IPCCMaps!J:J,MATCH(mapPRC!D308,IPCCMaps!G:G,0))</f>
        <v>1A2 Manufacturing Industries and Construction</v>
      </c>
      <c r="I308" t="str">
        <f>INDEX(IPCCMaps!K:K,MATCH(mapPRC!D308,IPCCMaps!G:G,0))</f>
        <v>1A2 Manufacturing Industries and Construction</v>
      </c>
    </row>
    <row r="309" spans="1:9" hidden="1" x14ac:dyDescent="0.25">
      <c r="A309" t="s">
        <v>1102</v>
      </c>
      <c r="B309" t="s">
        <v>1100</v>
      </c>
      <c r="C309" t="s">
        <v>964</v>
      </c>
      <c r="D309" t="s">
        <v>1068</v>
      </c>
      <c r="E309" t="s">
        <v>1082</v>
      </c>
      <c r="F309" t="str">
        <f>INDEX(IPCCMaps!H:H,MATCH(mapPRC!D309,IPCCMaps!G:G,0))</f>
        <v>1 Energy</v>
      </c>
      <c r="G309" t="str">
        <f>INDEX(IPCCMaps!I:I,MATCH(mapPRC!D309,IPCCMaps!G:G,0))</f>
        <v>1A Fuel Combustion Activities</v>
      </c>
      <c r="H309" t="str">
        <f>INDEX(IPCCMaps!J:J,MATCH(mapPRC!D309,IPCCMaps!G:G,0))</f>
        <v>1A2 Manufacturing Industries and Construction</v>
      </c>
      <c r="I309" t="str">
        <f>INDEX(IPCCMaps!K:K,MATCH(mapPRC!D309,IPCCMaps!G:G,0))</f>
        <v>1A2 Manufacturing Industries and Construction</v>
      </c>
    </row>
    <row r="310" spans="1:9" hidden="1" x14ac:dyDescent="0.25">
      <c r="A310" t="s">
        <v>1101</v>
      </c>
      <c r="B310" t="s">
        <v>1100</v>
      </c>
      <c r="C310" t="s">
        <v>964</v>
      </c>
      <c r="D310" t="s">
        <v>1068</v>
      </c>
      <c r="E310" t="s">
        <v>1082</v>
      </c>
      <c r="F310" t="str">
        <f>INDEX(IPCCMaps!H:H,MATCH(mapPRC!D310,IPCCMaps!G:G,0))</f>
        <v>1 Energy</v>
      </c>
      <c r="G310" t="str">
        <f>INDEX(IPCCMaps!I:I,MATCH(mapPRC!D310,IPCCMaps!G:G,0))</f>
        <v>1A Fuel Combustion Activities</v>
      </c>
      <c r="H310" t="str">
        <f>INDEX(IPCCMaps!J:J,MATCH(mapPRC!D310,IPCCMaps!G:G,0))</f>
        <v>1A2 Manufacturing Industries and Construction</v>
      </c>
      <c r="I310" t="str">
        <f>INDEX(IPCCMaps!K:K,MATCH(mapPRC!D310,IPCCMaps!G:G,0))</f>
        <v>1A2 Manufacturing Industries and Construction</v>
      </c>
    </row>
    <row r="311" spans="1:9" hidden="1" x14ac:dyDescent="0.25">
      <c r="A311" t="s">
        <v>1097</v>
      </c>
      <c r="B311" t="s">
        <v>1096</v>
      </c>
      <c r="C311" t="s">
        <v>964</v>
      </c>
      <c r="D311" t="s">
        <v>1068</v>
      </c>
      <c r="E311" t="s">
        <v>1082</v>
      </c>
      <c r="F311" t="str">
        <f>INDEX(IPCCMaps!H:H,MATCH(mapPRC!D311,IPCCMaps!G:G,0))</f>
        <v>1 Energy</v>
      </c>
      <c r="G311" t="str">
        <f>INDEX(IPCCMaps!I:I,MATCH(mapPRC!D311,IPCCMaps!G:G,0))</f>
        <v>1A Fuel Combustion Activities</v>
      </c>
      <c r="H311" t="str">
        <f>INDEX(IPCCMaps!J:J,MATCH(mapPRC!D311,IPCCMaps!G:G,0))</f>
        <v>1A2 Manufacturing Industries and Construction</v>
      </c>
      <c r="I311" t="str">
        <f>INDEX(IPCCMaps!K:K,MATCH(mapPRC!D311,IPCCMaps!G:G,0))</f>
        <v>1A2 Manufacturing Industries and Construction</v>
      </c>
    </row>
    <row r="312" spans="1:9" hidden="1" x14ac:dyDescent="0.25">
      <c r="A312" t="s">
        <v>1099</v>
      </c>
      <c r="B312" t="s">
        <v>1096</v>
      </c>
      <c r="C312" t="s">
        <v>964</v>
      </c>
      <c r="D312" t="s">
        <v>1068</v>
      </c>
      <c r="E312" t="s">
        <v>1082</v>
      </c>
      <c r="F312" t="str">
        <f>INDEX(IPCCMaps!H:H,MATCH(mapPRC!D312,IPCCMaps!G:G,0))</f>
        <v>1 Energy</v>
      </c>
      <c r="G312" t="str">
        <f>INDEX(IPCCMaps!I:I,MATCH(mapPRC!D312,IPCCMaps!G:G,0))</f>
        <v>1A Fuel Combustion Activities</v>
      </c>
      <c r="H312" t="str">
        <f>INDEX(IPCCMaps!J:J,MATCH(mapPRC!D312,IPCCMaps!G:G,0))</f>
        <v>1A2 Manufacturing Industries and Construction</v>
      </c>
      <c r="I312" t="str">
        <f>INDEX(IPCCMaps!K:K,MATCH(mapPRC!D312,IPCCMaps!G:G,0))</f>
        <v>1A2 Manufacturing Industries and Construction</v>
      </c>
    </row>
    <row r="313" spans="1:9" hidden="1" x14ac:dyDescent="0.25">
      <c r="A313" t="s">
        <v>1098</v>
      </c>
      <c r="B313" t="s">
        <v>1096</v>
      </c>
      <c r="C313" t="s">
        <v>964</v>
      </c>
      <c r="D313" t="s">
        <v>1068</v>
      </c>
      <c r="E313" t="s">
        <v>1082</v>
      </c>
      <c r="F313" t="str">
        <f>INDEX(IPCCMaps!H:H,MATCH(mapPRC!D313,IPCCMaps!G:G,0))</f>
        <v>1 Energy</v>
      </c>
      <c r="G313" t="str">
        <f>INDEX(IPCCMaps!I:I,MATCH(mapPRC!D313,IPCCMaps!G:G,0))</f>
        <v>1A Fuel Combustion Activities</v>
      </c>
      <c r="H313" t="str">
        <f>INDEX(IPCCMaps!J:J,MATCH(mapPRC!D313,IPCCMaps!G:G,0))</f>
        <v>1A2 Manufacturing Industries and Construction</v>
      </c>
      <c r="I313" t="str">
        <f>INDEX(IPCCMaps!K:K,MATCH(mapPRC!D313,IPCCMaps!G:G,0))</f>
        <v>1A2 Manufacturing Industries and Construction</v>
      </c>
    </row>
    <row r="314" spans="1:9" hidden="1" x14ac:dyDescent="0.25">
      <c r="A314" t="s">
        <v>1093</v>
      </c>
      <c r="B314" t="s">
        <v>1089</v>
      </c>
      <c r="C314" t="s">
        <v>964</v>
      </c>
      <c r="D314" t="s">
        <v>1068</v>
      </c>
      <c r="E314" t="s">
        <v>1082</v>
      </c>
      <c r="F314" t="str">
        <f>INDEX(IPCCMaps!H:H,MATCH(mapPRC!D314,IPCCMaps!G:G,0))</f>
        <v>1 Energy</v>
      </c>
      <c r="G314" t="str">
        <f>INDEX(IPCCMaps!I:I,MATCH(mapPRC!D314,IPCCMaps!G:G,0))</f>
        <v>1A Fuel Combustion Activities</v>
      </c>
      <c r="H314" t="str">
        <f>INDEX(IPCCMaps!J:J,MATCH(mapPRC!D314,IPCCMaps!G:G,0))</f>
        <v>1A2 Manufacturing Industries and Construction</v>
      </c>
      <c r="I314" t="str">
        <f>INDEX(IPCCMaps!K:K,MATCH(mapPRC!D314,IPCCMaps!G:G,0))</f>
        <v>1A2 Manufacturing Industries and Construction</v>
      </c>
    </row>
    <row r="315" spans="1:9" hidden="1" x14ac:dyDescent="0.25">
      <c r="A315" t="s">
        <v>1095</v>
      </c>
      <c r="B315" t="s">
        <v>1089</v>
      </c>
      <c r="C315" t="s">
        <v>964</v>
      </c>
      <c r="D315" t="s">
        <v>1068</v>
      </c>
      <c r="E315" t="s">
        <v>1082</v>
      </c>
      <c r="F315" t="str">
        <f>INDEX(IPCCMaps!H:H,MATCH(mapPRC!D315,IPCCMaps!G:G,0))</f>
        <v>1 Energy</v>
      </c>
      <c r="G315" t="str">
        <f>INDEX(IPCCMaps!I:I,MATCH(mapPRC!D315,IPCCMaps!G:G,0))</f>
        <v>1A Fuel Combustion Activities</v>
      </c>
      <c r="H315" t="str">
        <f>INDEX(IPCCMaps!J:J,MATCH(mapPRC!D315,IPCCMaps!G:G,0))</f>
        <v>1A2 Manufacturing Industries and Construction</v>
      </c>
      <c r="I315" t="str">
        <f>INDEX(IPCCMaps!K:K,MATCH(mapPRC!D315,IPCCMaps!G:G,0))</f>
        <v>1A2 Manufacturing Industries and Construction</v>
      </c>
    </row>
    <row r="316" spans="1:9" hidden="1" x14ac:dyDescent="0.25">
      <c r="A316" t="s">
        <v>1094</v>
      </c>
      <c r="B316" t="s">
        <v>1089</v>
      </c>
      <c r="C316" t="s">
        <v>964</v>
      </c>
      <c r="D316" t="s">
        <v>1068</v>
      </c>
      <c r="E316" t="s">
        <v>1082</v>
      </c>
      <c r="F316" t="str">
        <f>INDEX(IPCCMaps!H:H,MATCH(mapPRC!D316,IPCCMaps!G:G,0))</f>
        <v>1 Energy</v>
      </c>
      <c r="G316" t="str">
        <f>INDEX(IPCCMaps!I:I,MATCH(mapPRC!D316,IPCCMaps!G:G,0))</f>
        <v>1A Fuel Combustion Activities</v>
      </c>
      <c r="H316" t="str">
        <f>INDEX(IPCCMaps!J:J,MATCH(mapPRC!D316,IPCCMaps!G:G,0))</f>
        <v>1A2 Manufacturing Industries and Construction</v>
      </c>
      <c r="I316" t="str">
        <f>INDEX(IPCCMaps!K:K,MATCH(mapPRC!D316,IPCCMaps!G:G,0))</f>
        <v>1A2 Manufacturing Industries and Construction</v>
      </c>
    </row>
    <row r="317" spans="1:9" hidden="1" x14ac:dyDescent="0.25">
      <c r="A317" t="s">
        <v>1092</v>
      </c>
      <c r="B317" t="s">
        <v>1089</v>
      </c>
      <c r="C317" t="s">
        <v>964</v>
      </c>
      <c r="D317" t="s">
        <v>1068</v>
      </c>
      <c r="E317" t="s">
        <v>1082</v>
      </c>
      <c r="F317" t="str">
        <f>INDEX(IPCCMaps!H:H,MATCH(mapPRC!D317,IPCCMaps!G:G,0))</f>
        <v>1 Energy</v>
      </c>
      <c r="G317" t="str">
        <f>INDEX(IPCCMaps!I:I,MATCH(mapPRC!D317,IPCCMaps!G:G,0))</f>
        <v>1A Fuel Combustion Activities</v>
      </c>
      <c r="H317" t="str">
        <f>INDEX(IPCCMaps!J:J,MATCH(mapPRC!D317,IPCCMaps!G:G,0))</f>
        <v>1A2 Manufacturing Industries and Construction</v>
      </c>
      <c r="I317" t="str">
        <f>INDEX(IPCCMaps!K:K,MATCH(mapPRC!D317,IPCCMaps!G:G,0))</f>
        <v>1A2 Manufacturing Industries and Construction</v>
      </c>
    </row>
    <row r="318" spans="1:9" hidden="1" x14ac:dyDescent="0.25">
      <c r="A318" t="s">
        <v>1088</v>
      </c>
      <c r="B318" t="s">
        <v>1086</v>
      </c>
      <c r="C318" t="s">
        <v>964</v>
      </c>
      <c r="D318" t="s">
        <v>1068</v>
      </c>
      <c r="E318" t="s">
        <v>1082</v>
      </c>
      <c r="F318" t="str">
        <f>INDEX(IPCCMaps!H:H,MATCH(mapPRC!D318,IPCCMaps!G:G,0))</f>
        <v>1 Energy</v>
      </c>
      <c r="G318" t="str">
        <f>INDEX(IPCCMaps!I:I,MATCH(mapPRC!D318,IPCCMaps!G:G,0))</f>
        <v>1A Fuel Combustion Activities</v>
      </c>
      <c r="H318" t="str">
        <f>INDEX(IPCCMaps!J:J,MATCH(mapPRC!D318,IPCCMaps!G:G,0))</f>
        <v>1A2 Manufacturing Industries and Construction</v>
      </c>
      <c r="I318" t="str">
        <f>INDEX(IPCCMaps!K:K,MATCH(mapPRC!D318,IPCCMaps!G:G,0))</f>
        <v>1A2 Manufacturing Industries and Construction</v>
      </c>
    </row>
    <row r="319" spans="1:9" hidden="1" x14ac:dyDescent="0.25">
      <c r="A319" t="s">
        <v>1091</v>
      </c>
      <c r="B319" t="s">
        <v>1089</v>
      </c>
      <c r="C319" t="s">
        <v>964</v>
      </c>
      <c r="D319" t="s">
        <v>1068</v>
      </c>
      <c r="E319" t="s">
        <v>1082</v>
      </c>
      <c r="F319" t="str">
        <f>INDEX(IPCCMaps!H:H,MATCH(mapPRC!D319,IPCCMaps!G:G,0))</f>
        <v>1 Energy</v>
      </c>
      <c r="G319" t="str">
        <f>INDEX(IPCCMaps!I:I,MATCH(mapPRC!D319,IPCCMaps!G:G,0))</f>
        <v>1A Fuel Combustion Activities</v>
      </c>
      <c r="H319" t="str">
        <f>INDEX(IPCCMaps!J:J,MATCH(mapPRC!D319,IPCCMaps!G:G,0))</f>
        <v>1A2 Manufacturing Industries and Construction</v>
      </c>
      <c r="I319" t="str">
        <f>INDEX(IPCCMaps!K:K,MATCH(mapPRC!D319,IPCCMaps!G:G,0))</f>
        <v>1A2 Manufacturing Industries and Construction</v>
      </c>
    </row>
    <row r="320" spans="1:9" hidden="1" x14ac:dyDescent="0.25">
      <c r="A320" t="s">
        <v>1090</v>
      </c>
      <c r="B320" t="s">
        <v>1089</v>
      </c>
      <c r="C320" t="s">
        <v>964</v>
      </c>
      <c r="D320" t="s">
        <v>1068</v>
      </c>
      <c r="E320" t="s">
        <v>1082</v>
      </c>
      <c r="F320" t="str">
        <f>INDEX(IPCCMaps!H:H,MATCH(mapPRC!D320,IPCCMaps!G:G,0))</f>
        <v>1 Energy</v>
      </c>
      <c r="G320" t="str">
        <f>INDEX(IPCCMaps!I:I,MATCH(mapPRC!D320,IPCCMaps!G:G,0))</f>
        <v>1A Fuel Combustion Activities</v>
      </c>
      <c r="H320" t="str">
        <f>INDEX(IPCCMaps!J:J,MATCH(mapPRC!D320,IPCCMaps!G:G,0))</f>
        <v>1A2 Manufacturing Industries and Construction</v>
      </c>
      <c r="I320" t="str">
        <f>INDEX(IPCCMaps!K:K,MATCH(mapPRC!D320,IPCCMaps!G:G,0))</f>
        <v>1A2 Manufacturing Industries and Construction</v>
      </c>
    </row>
    <row r="321" spans="1:9" hidden="1" x14ac:dyDescent="0.25">
      <c r="A321" t="s">
        <v>1087</v>
      </c>
      <c r="B321" t="s">
        <v>1086</v>
      </c>
      <c r="C321" t="s">
        <v>964</v>
      </c>
      <c r="D321" t="s">
        <v>1068</v>
      </c>
      <c r="E321" t="s">
        <v>1082</v>
      </c>
      <c r="F321" t="str">
        <f>INDEX(IPCCMaps!H:H,MATCH(mapPRC!D321,IPCCMaps!G:G,0))</f>
        <v>1 Energy</v>
      </c>
      <c r="G321" t="str">
        <f>INDEX(IPCCMaps!I:I,MATCH(mapPRC!D321,IPCCMaps!G:G,0))</f>
        <v>1A Fuel Combustion Activities</v>
      </c>
      <c r="H321" t="str">
        <f>INDEX(IPCCMaps!J:J,MATCH(mapPRC!D321,IPCCMaps!G:G,0))</f>
        <v>1A2 Manufacturing Industries and Construction</v>
      </c>
      <c r="I321" t="str">
        <f>INDEX(IPCCMaps!K:K,MATCH(mapPRC!D321,IPCCMaps!G:G,0))</f>
        <v>1A2 Manufacturing Industries and Construction</v>
      </c>
    </row>
    <row r="322" spans="1:9" hidden="1" x14ac:dyDescent="0.25">
      <c r="A322" t="s">
        <v>1085</v>
      </c>
      <c r="B322" t="s">
        <v>1083</v>
      </c>
      <c r="C322" t="s">
        <v>964</v>
      </c>
      <c r="D322" t="s">
        <v>1068</v>
      </c>
      <c r="E322" t="s">
        <v>1082</v>
      </c>
      <c r="F322" t="str">
        <f>INDEX(IPCCMaps!H:H,MATCH(mapPRC!D322,IPCCMaps!G:G,0))</f>
        <v>1 Energy</v>
      </c>
      <c r="G322" t="str">
        <f>INDEX(IPCCMaps!I:I,MATCH(mapPRC!D322,IPCCMaps!G:G,0))</f>
        <v>1A Fuel Combustion Activities</v>
      </c>
      <c r="H322" t="str">
        <f>INDEX(IPCCMaps!J:J,MATCH(mapPRC!D322,IPCCMaps!G:G,0))</f>
        <v>1A2 Manufacturing Industries and Construction</v>
      </c>
      <c r="I322" t="str">
        <f>INDEX(IPCCMaps!K:K,MATCH(mapPRC!D322,IPCCMaps!G:G,0))</f>
        <v>1A2 Manufacturing Industries and Construction</v>
      </c>
    </row>
    <row r="323" spans="1:9" hidden="1" x14ac:dyDescent="0.25">
      <c r="A323" t="s">
        <v>1084</v>
      </c>
      <c r="B323" t="s">
        <v>1083</v>
      </c>
      <c r="C323" t="s">
        <v>964</v>
      </c>
      <c r="D323" t="s">
        <v>1068</v>
      </c>
      <c r="E323" t="s">
        <v>1082</v>
      </c>
      <c r="F323" t="str">
        <f>INDEX(IPCCMaps!H:H,MATCH(mapPRC!D323,IPCCMaps!G:G,0))</f>
        <v>1 Energy</v>
      </c>
      <c r="G323" t="str">
        <f>INDEX(IPCCMaps!I:I,MATCH(mapPRC!D323,IPCCMaps!G:G,0))</f>
        <v>1A Fuel Combustion Activities</v>
      </c>
      <c r="H323" t="str">
        <f>INDEX(IPCCMaps!J:J,MATCH(mapPRC!D323,IPCCMaps!G:G,0))</f>
        <v>1A2 Manufacturing Industries and Construction</v>
      </c>
      <c r="I323" t="str">
        <f>INDEX(IPCCMaps!K:K,MATCH(mapPRC!D323,IPCCMaps!G:G,0))</f>
        <v>1A2 Manufacturing Industries and Construction</v>
      </c>
    </row>
    <row r="324" spans="1:9" hidden="1" x14ac:dyDescent="0.25">
      <c r="A324" t="s">
        <v>1081</v>
      </c>
      <c r="B324" t="s">
        <v>1080</v>
      </c>
      <c r="C324" t="s">
        <v>964</v>
      </c>
      <c r="D324" t="s">
        <v>1068</v>
      </c>
      <c r="E324" t="s">
        <v>1075</v>
      </c>
      <c r="F324" t="str">
        <f>INDEX(IPCCMaps!H:H,MATCH(mapPRC!D324,IPCCMaps!G:G,0))</f>
        <v>1 Energy</v>
      </c>
      <c r="G324" t="str">
        <f>INDEX(IPCCMaps!I:I,MATCH(mapPRC!D324,IPCCMaps!G:G,0))</f>
        <v>1A Fuel Combustion Activities</v>
      </c>
      <c r="H324" t="str">
        <f>INDEX(IPCCMaps!J:J,MATCH(mapPRC!D324,IPCCMaps!G:G,0))</f>
        <v>1A2 Manufacturing Industries and Construction</v>
      </c>
      <c r="I324" t="str">
        <f>INDEX(IPCCMaps!K:K,MATCH(mapPRC!D324,IPCCMaps!G:G,0))</f>
        <v>1A2 Manufacturing Industries and Construction</v>
      </c>
    </row>
    <row r="325" spans="1:9" hidden="1" x14ac:dyDescent="0.25">
      <c r="A325" t="s">
        <v>1079</v>
      </c>
      <c r="B325" t="s">
        <v>1078</v>
      </c>
      <c r="C325" t="s">
        <v>964</v>
      </c>
      <c r="D325" t="s">
        <v>1068</v>
      </c>
      <c r="E325" t="s">
        <v>1075</v>
      </c>
      <c r="F325" t="str">
        <f>INDEX(IPCCMaps!H:H,MATCH(mapPRC!D325,IPCCMaps!G:G,0))</f>
        <v>1 Energy</v>
      </c>
      <c r="G325" t="str">
        <f>INDEX(IPCCMaps!I:I,MATCH(mapPRC!D325,IPCCMaps!G:G,0))</f>
        <v>1A Fuel Combustion Activities</v>
      </c>
      <c r="H325" t="str">
        <f>INDEX(IPCCMaps!J:J,MATCH(mapPRC!D325,IPCCMaps!G:G,0))</f>
        <v>1A2 Manufacturing Industries and Construction</v>
      </c>
      <c r="I325" t="str">
        <f>INDEX(IPCCMaps!K:K,MATCH(mapPRC!D325,IPCCMaps!G:G,0))</f>
        <v>1A2 Manufacturing Industries and Construction</v>
      </c>
    </row>
    <row r="326" spans="1:9" hidden="1" x14ac:dyDescent="0.25">
      <c r="A326" t="s">
        <v>1077</v>
      </c>
      <c r="B326" t="s">
        <v>1076</v>
      </c>
      <c r="C326" t="s">
        <v>964</v>
      </c>
      <c r="D326" t="s">
        <v>1068</v>
      </c>
      <c r="E326" t="s">
        <v>1075</v>
      </c>
      <c r="F326" t="str">
        <f>INDEX(IPCCMaps!H:H,MATCH(mapPRC!D326,IPCCMaps!G:G,0))</f>
        <v>1 Energy</v>
      </c>
      <c r="G326" t="str">
        <f>INDEX(IPCCMaps!I:I,MATCH(mapPRC!D326,IPCCMaps!G:G,0))</f>
        <v>1A Fuel Combustion Activities</v>
      </c>
      <c r="H326" t="str">
        <f>INDEX(IPCCMaps!J:J,MATCH(mapPRC!D326,IPCCMaps!G:G,0))</f>
        <v>1A2 Manufacturing Industries and Construction</v>
      </c>
      <c r="I326" t="str">
        <f>INDEX(IPCCMaps!K:K,MATCH(mapPRC!D326,IPCCMaps!G:G,0))</f>
        <v>1A2 Manufacturing Industries and Construction</v>
      </c>
    </row>
    <row r="327" spans="1:9" hidden="1" x14ac:dyDescent="0.25">
      <c r="A327" t="s">
        <v>1074</v>
      </c>
      <c r="B327" t="s">
        <v>1073</v>
      </c>
      <c r="C327" t="s">
        <v>964</v>
      </c>
      <c r="D327" t="s">
        <v>1068</v>
      </c>
      <c r="E327" t="s">
        <v>1067</v>
      </c>
      <c r="F327" t="str">
        <f>INDEX(IPCCMaps!H:H,MATCH(mapPRC!D327,IPCCMaps!G:G,0))</f>
        <v>1 Energy</v>
      </c>
      <c r="G327" t="str">
        <f>INDEX(IPCCMaps!I:I,MATCH(mapPRC!D327,IPCCMaps!G:G,0))</f>
        <v>1A Fuel Combustion Activities</v>
      </c>
      <c r="H327" t="str">
        <f>INDEX(IPCCMaps!J:J,MATCH(mapPRC!D327,IPCCMaps!G:G,0))</f>
        <v>1A2 Manufacturing Industries and Construction</v>
      </c>
      <c r="I327" t="str">
        <f>INDEX(IPCCMaps!K:K,MATCH(mapPRC!D327,IPCCMaps!G:G,0))</f>
        <v>1A2 Manufacturing Industries and Construction</v>
      </c>
    </row>
    <row r="328" spans="1:9" hidden="1" x14ac:dyDescent="0.25">
      <c r="A328" t="s">
        <v>1072</v>
      </c>
      <c r="B328" t="s">
        <v>1071</v>
      </c>
      <c r="C328" t="s">
        <v>964</v>
      </c>
      <c r="D328" t="s">
        <v>1068</v>
      </c>
      <c r="E328" t="s">
        <v>1067</v>
      </c>
      <c r="F328" t="str">
        <f>INDEX(IPCCMaps!H:H,MATCH(mapPRC!D328,IPCCMaps!G:G,0))</f>
        <v>1 Energy</v>
      </c>
      <c r="G328" t="str">
        <f>INDEX(IPCCMaps!I:I,MATCH(mapPRC!D328,IPCCMaps!G:G,0))</f>
        <v>1A Fuel Combustion Activities</v>
      </c>
      <c r="H328" t="str">
        <f>INDEX(IPCCMaps!J:J,MATCH(mapPRC!D328,IPCCMaps!G:G,0))</f>
        <v>1A2 Manufacturing Industries and Construction</v>
      </c>
      <c r="I328" t="str">
        <f>INDEX(IPCCMaps!K:K,MATCH(mapPRC!D328,IPCCMaps!G:G,0))</f>
        <v>1A2 Manufacturing Industries and Construction</v>
      </c>
    </row>
    <row r="329" spans="1:9" hidden="1" x14ac:dyDescent="0.25">
      <c r="A329" t="s">
        <v>1070</v>
      </c>
      <c r="B329" t="s">
        <v>1069</v>
      </c>
      <c r="C329" t="s">
        <v>964</v>
      </c>
      <c r="D329" t="s">
        <v>1068</v>
      </c>
      <c r="E329" t="s">
        <v>1067</v>
      </c>
      <c r="F329" t="str">
        <f>INDEX(IPCCMaps!H:H,MATCH(mapPRC!D329,IPCCMaps!G:G,0))</f>
        <v>1 Energy</v>
      </c>
      <c r="G329" t="str">
        <f>INDEX(IPCCMaps!I:I,MATCH(mapPRC!D329,IPCCMaps!G:G,0))</f>
        <v>1A Fuel Combustion Activities</v>
      </c>
      <c r="H329" t="str">
        <f>INDEX(IPCCMaps!J:J,MATCH(mapPRC!D329,IPCCMaps!G:G,0))</f>
        <v>1A2 Manufacturing Industries and Construction</v>
      </c>
      <c r="I329" t="str">
        <f>INDEX(IPCCMaps!K:K,MATCH(mapPRC!D329,IPCCMaps!G:G,0))</f>
        <v>1A2 Manufacturing Industries and Construction</v>
      </c>
    </row>
    <row r="330" spans="1:9" hidden="1" x14ac:dyDescent="0.25">
      <c r="A330" t="s">
        <v>1066</v>
      </c>
      <c r="B330" t="s">
        <v>1065</v>
      </c>
      <c r="C330" t="s">
        <v>964</v>
      </c>
      <c r="D330" t="s">
        <v>1026</v>
      </c>
      <c r="E330" t="s">
        <v>1064</v>
      </c>
      <c r="F330" t="str">
        <f>INDEX(IPCCMaps!H:H,MATCH(mapPRC!D330,IPCCMaps!G:G,0))</f>
        <v>1 Energy</v>
      </c>
      <c r="G330" t="str">
        <f>INDEX(IPCCMaps!I:I,MATCH(mapPRC!D330,IPCCMaps!G:G,0))</f>
        <v>1A Fuel Combustion Activities</v>
      </c>
      <c r="H330" t="str">
        <f>INDEX(IPCCMaps!J:J,MATCH(mapPRC!D330,IPCCMaps!G:G,0))</f>
        <v>1A2 Manufacturing Industries and Construction</v>
      </c>
      <c r="I330" t="str">
        <f>INDEX(IPCCMaps!K:K,MATCH(mapPRC!D330,IPCCMaps!G:G,0))</f>
        <v>1A2 Manufacturing Industries and Construction</v>
      </c>
    </row>
    <row r="331" spans="1:9" hidden="1" x14ac:dyDescent="0.25">
      <c r="A331" t="s">
        <v>1063</v>
      </c>
      <c r="B331" t="s">
        <v>1062</v>
      </c>
      <c r="C331" t="s">
        <v>964</v>
      </c>
      <c r="D331" t="s">
        <v>1026</v>
      </c>
      <c r="E331" t="s">
        <v>1061</v>
      </c>
      <c r="F331" t="str">
        <f>INDEX(IPCCMaps!H:H,MATCH(mapPRC!D331,IPCCMaps!G:G,0))</f>
        <v>1 Energy</v>
      </c>
      <c r="G331" t="str">
        <f>INDEX(IPCCMaps!I:I,MATCH(mapPRC!D331,IPCCMaps!G:G,0))</f>
        <v>1A Fuel Combustion Activities</v>
      </c>
      <c r="H331" t="str">
        <f>INDEX(IPCCMaps!J:J,MATCH(mapPRC!D331,IPCCMaps!G:G,0))</f>
        <v>1A2 Manufacturing Industries and Construction</v>
      </c>
      <c r="I331" t="str">
        <f>INDEX(IPCCMaps!K:K,MATCH(mapPRC!D331,IPCCMaps!G:G,0))</f>
        <v>1A2 Manufacturing Industries and Construction</v>
      </c>
    </row>
    <row r="332" spans="1:9" hidden="1" x14ac:dyDescent="0.25">
      <c r="A332" t="s">
        <v>1060</v>
      </c>
      <c r="B332" t="s">
        <v>1059</v>
      </c>
      <c r="C332" t="s">
        <v>964</v>
      </c>
      <c r="D332" t="s">
        <v>1026</v>
      </c>
      <c r="E332" t="s">
        <v>1058</v>
      </c>
      <c r="F332" t="str">
        <f>INDEX(IPCCMaps!H:H,MATCH(mapPRC!D332,IPCCMaps!G:G,0))</f>
        <v>1 Energy</v>
      </c>
      <c r="G332" t="str">
        <f>INDEX(IPCCMaps!I:I,MATCH(mapPRC!D332,IPCCMaps!G:G,0))</f>
        <v>1A Fuel Combustion Activities</v>
      </c>
      <c r="H332" t="str">
        <f>INDEX(IPCCMaps!J:J,MATCH(mapPRC!D332,IPCCMaps!G:G,0))</f>
        <v>1A2 Manufacturing Industries and Construction</v>
      </c>
      <c r="I332" t="str">
        <f>INDEX(IPCCMaps!K:K,MATCH(mapPRC!D332,IPCCMaps!G:G,0))</f>
        <v>1A2 Manufacturing Industries and Construction</v>
      </c>
    </row>
    <row r="333" spans="1:9" hidden="1" x14ac:dyDescent="0.25">
      <c r="A333" t="s">
        <v>1057</v>
      </c>
      <c r="B333" t="s">
        <v>1056</v>
      </c>
      <c r="C333" t="s">
        <v>964</v>
      </c>
      <c r="D333" t="s">
        <v>1026</v>
      </c>
      <c r="E333" t="s">
        <v>1055</v>
      </c>
      <c r="F333" t="str">
        <f>INDEX(IPCCMaps!H:H,MATCH(mapPRC!D333,IPCCMaps!G:G,0))</f>
        <v>1 Energy</v>
      </c>
      <c r="G333" t="str">
        <f>INDEX(IPCCMaps!I:I,MATCH(mapPRC!D333,IPCCMaps!G:G,0))</f>
        <v>1A Fuel Combustion Activities</v>
      </c>
      <c r="H333" t="str">
        <f>INDEX(IPCCMaps!J:J,MATCH(mapPRC!D333,IPCCMaps!G:G,0))</f>
        <v>1A2 Manufacturing Industries and Construction</v>
      </c>
      <c r="I333" t="str">
        <f>INDEX(IPCCMaps!K:K,MATCH(mapPRC!D333,IPCCMaps!G:G,0))</f>
        <v>1A2 Manufacturing Industries and Construction</v>
      </c>
    </row>
    <row r="334" spans="1:9" hidden="1" x14ac:dyDescent="0.25">
      <c r="A334" t="s">
        <v>1054</v>
      </c>
      <c r="B334" t="s">
        <v>1053</v>
      </c>
      <c r="C334" t="s">
        <v>964</v>
      </c>
      <c r="D334" t="s">
        <v>1026</v>
      </c>
      <c r="E334" t="s">
        <v>1052</v>
      </c>
      <c r="F334" t="str">
        <f>INDEX(IPCCMaps!H:H,MATCH(mapPRC!D334,IPCCMaps!G:G,0))</f>
        <v>1 Energy</v>
      </c>
      <c r="G334" t="str">
        <f>INDEX(IPCCMaps!I:I,MATCH(mapPRC!D334,IPCCMaps!G:G,0))</f>
        <v>1A Fuel Combustion Activities</v>
      </c>
      <c r="H334" t="str">
        <f>INDEX(IPCCMaps!J:J,MATCH(mapPRC!D334,IPCCMaps!G:G,0))</f>
        <v>1A2 Manufacturing Industries and Construction</v>
      </c>
      <c r="I334" t="str">
        <f>INDEX(IPCCMaps!K:K,MATCH(mapPRC!D334,IPCCMaps!G:G,0))</f>
        <v>1A2 Manufacturing Industries and Construction</v>
      </c>
    </row>
    <row r="335" spans="1:9" hidden="1" x14ac:dyDescent="0.25">
      <c r="A335" t="s">
        <v>1051</v>
      </c>
      <c r="B335" t="s">
        <v>1050</v>
      </c>
      <c r="C335" t="s">
        <v>964</v>
      </c>
      <c r="D335" t="s">
        <v>1026</v>
      </c>
      <c r="E335" t="s">
        <v>1049</v>
      </c>
      <c r="F335" t="str">
        <f>INDEX(IPCCMaps!H:H,MATCH(mapPRC!D335,IPCCMaps!G:G,0))</f>
        <v>1 Energy</v>
      </c>
      <c r="G335" t="str">
        <f>INDEX(IPCCMaps!I:I,MATCH(mapPRC!D335,IPCCMaps!G:G,0))</f>
        <v>1A Fuel Combustion Activities</v>
      </c>
      <c r="H335" t="str">
        <f>INDEX(IPCCMaps!J:J,MATCH(mapPRC!D335,IPCCMaps!G:G,0))</f>
        <v>1A2 Manufacturing Industries and Construction</v>
      </c>
      <c r="I335" t="str">
        <f>INDEX(IPCCMaps!K:K,MATCH(mapPRC!D335,IPCCMaps!G:G,0))</f>
        <v>1A2 Manufacturing Industries and Construction</v>
      </c>
    </row>
    <row r="336" spans="1:9" hidden="1" x14ac:dyDescent="0.25">
      <c r="A336" t="s">
        <v>1048</v>
      </c>
      <c r="B336" t="s">
        <v>1047</v>
      </c>
      <c r="C336" t="s">
        <v>964</v>
      </c>
      <c r="D336" t="s">
        <v>1026</v>
      </c>
      <c r="E336" t="s">
        <v>733</v>
      </c>
      <c r="F336" t="str">
        <f>INDEX(IPCCMaps!H:H,MATCH(mapPRC!D336,IPCCMaps!G:G,0))</f>
        <v>1 Energy</v>
      </c>
      <c r="G336" t="str">
        <f>INDEX(IPCCMaps!I:I,MATCH(mapPRC!D336,IPCCMaps!G:G,0))</f>
        <v>1A Fuel Combustion Activities</v>
      </c>
      <c r="H336" t="str">
        <f>INDEX(IPCCMaps!J:J,MATCH(mapPRC!D336,IPCCMaps!G:G,0))</f>
        <v>1A2 Manufacturing Industries and Construction</v>
      </c>
      <c r="I336" t="str">
        <f>INDEX(IPCCMaps!K:K,MATCH(mapPRC!D336,IPCCMaps!G:G,0))</f>
        <v>1A2 Manufacturing Industries and Construction</v>
      </c>
    </row>
    <row r="337" spans="1:9" hidden="1" x14ac:dyDescent="0.25">
      <c r="A337" t="s">
        <v>1046</v>
      </c>
      <c r="B337" t="s">
        <v>1045</v>
      </c>
      <c r="C337" t="s">
        <v>964</v>
      </c>
      <c r="D337" t="s">
        <v>1026</v>
      </c>
      <c r="E337" t="s">
        <v>1044</v>
      </c>
      <c r="F337" t="str">
        <f>INDEX(IPCCMaps!H:H,MATCH(mapPRC!D337,IPCCMaps!G:G,0))</f>
        <v>1 Energy</v>
      </c>
      <c r="G337" t="str">
        <f>INDEX(IPCCMaps!I:I,MATCH(mapPRC!D337,IPCCMaps!G:G,0))</f>
        <v>1A Fuel Combustion Activities</v>
      </c>
      <c r="H337" t="str">
        <f>INDEX(IPCCMaps!J:J,MATCH(mapPRC!D337,IPCCMaps!G:G,0))</f>
        <v>1A2 Manufacturing Industries and Construction</v>
      </c>
      <c r="I337" t="str">
        <f>INDEX(IPCCMaps!K:K,MATCH(mapPRC!D337,IPCCMaps!G:G,0))</f>
        <v>1A2 Manufacturing Industries and Construction</v>
      </c>
    </row>
    <row r="338" spans="1:9" hidden="1" x14ac:dyDescent="0.25">
      <c r="A338" t="s">
        <v>1043</v>
      </c>
      <c r="B338" t="s">
        <v>1042</v>
      </c>
      <c r="C338" t="s">
        <v>964</v>
      </c>
      <c r="D338" t="s">
        <v>1026</v>
      </c>
      <c r="E338" t="s">
        <v>1041</v>
      </c>
      <c r="F338" t="str">
        <f>INDEX(IPCCMaps!H:H,MATCH(mapPRC!D338,IPCCMaps!G:G,0))</f>
        <v>1 Energy</v>
      </c>
      <c r="G338" t="str">
        <f>INDEX(IPCCMaps!I:I,MATCH(mapPRC!D338,IPCCMaps!G:G,0))</f>
        <v>1A Fuel Combustion Activities</v>
      </c>
      <c r="H338" t="str">
        <f>INDEX(IPCCMaps!J:J,MATCH(mapPRC!D338,IPCCMaps!G:G,0))</f>
        <v>1A2 Manufacturing Industries and Construction</v>
      </c>
      <c r="I338" t="str">
        <f>INDEX(IPCCMaps!K:K,MATCH(mapPRC!D338,IPCCMaps!G:G,0))</f>
        <v>1A2 Manufacturing Industries and Construction</v>
      </c>
    </row>
    <row r="339" spans="1:9" hidden="1" x14ac:dyDescent="0.25">
      <c r="A339" t="s">
        <v>1040</v>
      </c>
      <c r="B339" t="s">
        <v>1039</v>
      </c>
      <c r="C339" t="s">
        <v>964</v>
      </c>
      <c r="D339" t="s">
        <v>1026</v>
      </c>
      <c r="E339" t="s">
        <v>0</v>
      </c>
      <c r="F339" t="str">
        <f>INDEX(IPCCMaps!H:H,MATCH(mapPRC!D339,IPCCMaps!G:G,0))</f>
        <v>1 Energy</v>
      </c>
      <c r="G339" t="str">
        <f>INDEX(IPCCMaps!I:I,MATCH(mapPRC!D339,IPCCMaps!G:G,0))</f>
        <v>1A Fuel Combustion Activities</v>
      </c>
      <c r="H339" t="str">
        <f>INDEX(IPCCMaps!J:J,MATCH(mapPRC!D339,IPCCMaps!G:G,0))</f>
        <v>1A2 Manufacturing Industries and Construction</v>
      </c>
      <c r="I339" t="str">
        <f>INDEX(IPCCMaps!K:K,MATCH(mapPRC!D339,IPCCMaps!G:G,0))</f>
        <v>1A2 Manufacturing Industries and Construction</v>
      </c>
    </row>
    <row r="340" spans="1:9" hidden="1" x14ac:dyDescent="0.25">
      <c r="A340" t="s">
        <v>1038</v>
      </c>
      <c r="B340" t="s">
        <v>1037</v>
      </c>
      <c r="C340" t="s">
        <v>964</v>
      </c>
      <c r="D340" t="s">
        <v>1026</v>
      </c>
      <c r="E340" t="s">
        <v>1025</v>
      </c>
      <c r="F340" t="str">
        <f>INDEX(IPCCMaps!H:H,MATCH(mapPRC!D340,IPCCMaps!G:G,0))</f>
        <v>1 Energy</v>
      </c>
      <c r="G340" t="str">
        <f>INDEX(IPCCMaps!I:I,MATCH(mapPRC!D340,IPCCMaps!G:G,0))</f>
        <v>1A Fuel Combustion Activities</v>
      </c>
      <c r="H340" t="str">
        <f>INDEX(IPCCMaps!J:J,MATCH(mapPRC!D340,IPCCMaps!G:G,0))</f>
        <v>1A2 Manufacturing Industries and Construction</v>
      </c>
      <c r="I340" t="str">
        <f>INDEX(IPCCMaps!K:K,MATCH(mapPRC!D340,IPCCMaps!G:G,0))</f>
        <v>1A2 Manufacturing Industries and Construction</v>
      </c>
    </row>
    <row r="341" spans="1:9" hidden="1" x14ac:dyDescent="0.25">
      <c r="A341" t="s">
        <v>1036</v>
      </c>
      <c r="B341" t="s">
        <v>1035</v>
      </c>
      <c r="C341" t="s">
        <v>964</v>
      </c>
      <c r="D341" t="s">
        <v>1026</v>
      </c>
      <c r="E341" t="s">
        <v>1025</v>
      </c>
      <c r="F341" t="str">
        <f>INDEX(IPCCMaps!H:H,MATCH(mapPRC!D341,IPCCMaps!G:G,0))</f>
        <v>1 Energy</v>
      </c>
      <c r="G341" t="str">
        <f>INDEX(IPCCMaps!I:I,MATCH(mapPRC!D341,IPCCMaps!G:G,0))</f>
        <v>1A Fuel Combustion Activities</v>
      </c>
      <c r="H341" t="str">
        <f>INDEX(IPCCMaps!J:J,MATCH(mapPRC!D341,IPCCMaps!G:G,0))</f>
        <v>1A2 Manufacturing Industries and Construction</v>
      </c>
      <c r="I341" t="str">
        <f>INDEX(IPCCMaps!K:K,MATCH(mapPRC!D341,IPCCMaps!G:G,0))</f>
        <v>1A2 Manufacturing Industries and Construction</v>
      </c>
    </row>
    <row r="342" spans="1:9" hidden="1" x14ac:dyDescent="0.25">
      <c r="A342" t="s">
        <v>1034</v>
      </c>
      <c r="B342" t="s">
        <v>1033</v>
      </c>
      <c r="C342" t="s">
        <v>964</v>
      </c>
      <c r="D342" t="s">
        <v>1026</v>
      </c>
      <c r="E342" t="s">
        <v>1025</v>
      </c>
      <c r="F342" t="str">
        <f>INDEX(IPCCMaps!H:H,MATCH(mapPRC!D342,IPCCMaps!G:G,0))</f>
        <v>1 Energy</v>
      </c>
      <c r="G342" t="str">
        <f>INDEX(IPCCMaps!I:I,MATCH(mapPRC!D342,IPCCMaps!G:G,0))</f>
        <v>1A Fuel Combustion Activities</v>
      </c>
      <c r="H342" t="str">
        <f>INDEX(IPCCMaps!J:J,MATCH(mapPRC!D342,IPCCMaps!G:G,0))</f>
        <v>1A2 Manufacturing Industries and Construction</v>
      </c>
      <c r="I342" t="str">
        <f>INDEX(IPCCMaps!K:K,MATCH(mapPRC!D342,IPCCMaps!G:G,0))</f>
        <v>1A2 Manufacturing Industries and Construction</v>
      </c>
    </row>
    <row r="343" spans="1:9" hidden="1" x14ac:dyDescent="0.25">
      <c r="A343" t="s">
        <v>1032</v>
      </c>
      <c r="B343" t="s">
        <v>1031</v>
      </c>
      <c r="C343" t="s">
        <v>964</v>
      </c>
      <c r="D343" t="s">
        <v>1026</v>
      </c>
      <c r="E343" t="s">
        <v>1025</v>
      </c>
      <c r="F343" t="str">
        <f>INDEX(IPCCMaps!H:H,MATCH(mapPRC!D343,IPCCMaps!G:G,0))</f>
        <v>1 Energy</v>
      </c>
      <c r="G343" t="str">
        <f>INDEX(IPCCMaps!I:I,MATCH(mapPRC!D343,IPCCMaps!G:G,0))</f>
        <v>1A Fuel Combustion Activities</v>
      </c>
      <c r="H343" t="str">
        <f>INDEX(IPCCMaps!J:J,MATCH(mapPRC!D343,IPCCMaps!G:G,0))</f>
        <v>1A2 Manufacturing Industries and Construction</v>
      </c>
      <c r="I343" t="str">
        <f>INDEX(IPCCMaps!K:K,MATCH(mapPRC!D343,IPCCMaps!G:G,0))</f>
        <v>1A2 Manufacturing Industries and Construction</v>
      </c>
    </row>
    <row r="344" spans="1:9" hidden="1" x14ac:dyDescent="0.25">
      <c r="A344" t="s">
        <v>1030</v>
      </c>
      <c r="B344" t="s">
        <v>1029</v>
      </c>
      <c r="C344" t="s">
        <v>964</v>
      </c>
      <c r="D344" t="s">
        <v>1026</v>
      </c>
      <c r="E344" t="s">
        <v>1025</v>
      </c>
      <c r="F344" t="str">
        <f>INDEX(IPCCMaps!H:H,MATCH(mapPRC!D344,IPCCMaps!G:G,0))</f>
        <v>1 Energy</v>
      </c>
      <c r="G344" t="str">
        <f>INDEX(IPCCMaps!I:I,MATCH(mapPRC!D344,IPCCMaps!G:G,0))</f>
        <v>1A Fuel Combustion Activities</v>
      </c>
      <c r="H344" t="str">
        <f>INDEX(IPCCMaps!J:J,MATCH(mapPRC!D344,IPCCMaps!G:G,0))</f>
        <v>1A2 Manufacturing Industries and Construction</v>
      </c>
      <c r="I344" t="str">
        <f>INDEX(IPCCMaps!K:K,MATCH(mapPRC!D344,IPCCMaps!G:G,0))</f>
        <v>1A2 Manufacturing Industries and Construction</v>
      </c>
    </row>
    <row r="345" spans="1:9" hidden="1" x14ac:dyDescent="0.25">
      <c r="A345" t="s">
        <v>1028</v>
      </c>
      <c r="B345" t="s">
        <v>1027</v>
      </c>
      <c r="C345" t="s">
        <v>964</v>
      </c>
      <c r="D345" t="s">
        <v>1026</v>
      </c>
      <c r="E345" t="s">
        <v>1025</v>
      </c>
      <c r="F345" t="str">
        <f>INDEX(IPCCMaps!H:H,MATCH(mapPRC!D345,IPCCMaps!G:G,0))</f>
        <v>1 Energy</v>
      </c>
      <c r="G345" t="str">
        <f>INDEX(IPCCMaps!I:I,MATCH(mapPRC!D345,IPCCMaps!G:G,0))</f>
        <v>1A Fuel Combustion Activities</v>
      </c>
      <c r="H345" t="str">
        <f>INDEX(IPCCMaps!J:J,MATCH(mapPRC!D345,IPCCMaps!G:G,0))</f>
        <v>1A2 Manufacturing Industries and Construction</v>
      </c>
      <c r="I345" t="str">
        <f>INDEX(IPCCMaps!K:K,MATCH(mapPRC!D345,IPCCMaps!G:G,0))</f>
        <v>1A2 Manufacturing Industries and Construction</v>
      </c>
    </row>
    <row r="346" spans="1:9" hidden="1" x14ac:dyDescent="0.25">
      <c r="A346" t="s">
        <v>1022</v>
      </c>
      <c r="B346" t="s">
        <v>1021</v>
      </c>
      <c r="C346" t="s">
        <v>964</v>
      </c>
      <c r="D346" t="s">
        <v>963</v>
      </c>
      <c r="E346" t="s">
        <v>1018</v>
      </c>
      <c r="F346" t="str">
        <f>INDEX(IPCCMaps!H:H,MATCH(mapPRC!D346,IPCCMaps!G:G,0))</f>
        <v>1 Energy</v>
      </c>
      <c r="G346" t="str">
        <f>INDEX(IPCCMaps!I:I,MATCH(mapPRC!D346,IPCCMaps!G:G,0))</f>
        <v>1A Fuel Combustion Activities</v>
      </c>
      <c r="H346" t="str">
        <f>INDEX(IPCCMaps!J:J,MATCH(mapPRC!D346,IPCCMaps!G:G,0))</f>
        <v>1A2 Manufacturing Industries and Construction</v>
      </c>
      <c r="I346" t="str">
        <f>INDEX(IPCCMaps!K:K,MATCH(mapPRC!D346,IPCCMaps!G:G,0))</f>
        <v>1A2 Manufacturing Industries and Construction</v>
      </c>
    </row>
    <row r="347" spans="1:9" hidden="1" x14ac:dyDescent="0.25">
      <c r="A347" t="s">
        <v>1024</v>
      </c>
      <c r="B347" t="s">
        <v>1021</v>
      </c>
      <c r="C347" t="s">
        <v>964</v>
      </c>
      <c r="D347" t="s">
        <v>963</v>
      </c>
      <c r="E347" t="s">
        <v>1018</v>
      </c>
      <c r="F347" t="str">
        <f>INDEX(IPCCMaps!H:H,MATCH(mapPRC!D347,IPCCMaps!G:G,0))</f>
        <v>1 Energy</v>
      </c>
      <c r="G347" t="str">
        <f>INDEX(IPCCMaps!I:I,MATCH(mapPRC!D347,IPCCMaps!G:G,0))</f>
        <v>1A Fuel Combustion Activities</v>
      </c>
      <c r="H347" t="str">
        <f>INDEX(IPCCMaps!J:J,MATCH(mapPRC!D347,IPCCMaps!G:G,0))</f>
        <v>1A2 Manufacturing Industries and Construction</v>
      </c>
      <c r="I347" t="str">
        <f>INDEX(IPCCMaps!K:K,MATCH(mapPRC!D347,IPCCMaps!G:G,0))</f>
        <v>1A2 Manufacturing Industries and Construction</v>
      </c>
    </row>
    <row r="348" spans="1:9" hidden="1" x14ac:dyDescent="0.25">
      <c r="A348" t="s">
        <v>1023</v>
      </c>
      <c r="B348" t="s">
        <v>1021</v>
      </c>
      <c r="C348" t="s">
        <v>964</v>
      </c>
      <c r="D348" t="s">
        <v>963</v>
      </c>
      <c r="E348" t="s">
        <v>1018</v>
      </c>
      <c r="F348" t="str">
        <f>INDEX(IPCCMaps!H:H,MATCH(mapPRC!D348,IPCCMaps!G:G,0))</f>
        <v>1 Energy</v>
      </c>
      <c r="G348" t="str">
        <f>INDEX(IPCCMaps!I:I,MATCH(mapPRC!D348,IPCCMaps!G:G,0))</f>
        <v>1A Fuel Combustion Activities</v>
      </c>
      <c r="H348" t="str">
        <f>INDEX(IPCCMaps!J:J,MATCH(mapPRC!D348,IPCCMaps!G:G,0))</f>
        <v>1A2 Manufacturing Industries and Construction</v>
      </c>
      <c r="I348" t="str">
        <f>INDEX(IPCCMaps!K:K,MATCH(mapPRC!D348,IPCCMaps!G:G,0))</f>
        <v>1A2 Manufacturing Industries and Construction</v>
      </c>
    </row>
    <row r="349" spans="1:9" hidden="1" x14ac:dyDescent="0.25">
      <c r="A349" t="s">
        <v>1020</v>
      </c>
      <c r="B349" t="s">
        <v>1019</v>
      </c>
      <c r="C349" t="s">
        <v>964</v>
      </c>
      <c r="D349" t="s">
        <v>963</v>
      </c>
      <c r="E349" t="s">
        <v>1018</v>
      </c>
      <c r="F349" t="str">
        <f>INDEX(IPCCMaps!H:H,MATCH(mapPRC!D349,IPCCMaps!G:G,0))</f>
        <v>1 Energy</v>
      </c>
      <c r="G349" t="str">
        <f>INDEX(IPCCMaps!I:I,MATCH(mapPRC!D349,IPCCMaps!G:G,0))</f>
        <v>1A Fuel Combustion Activities</v>
      </c>
      <c r="H349" t="str">
        <f>INDEX(IPCCMaps!J:J,MATCH(mapPRC!D349,IPCCMaps!G:G,0))</f>
        <v>1A2 Manufacturing Industries and Construction</v>
      </c>
      <c r="I349" t="str">
        <f>INDEX(IPCCMaps!K:K,MATCH(mapPRC!D349,IPCCMaps!G:G,0))</f>
        <v>1A2 Manufacturing Industries and Construction</v>
      </c>
    </row>
    <row r="350" spans="1:9" hidden="1" x14ac:dyDescent="0.25">
      <c r="A350" t="s">
        <v>1017</v>
      </c>
      <c r="B350" t="s">
        <v>1016</v>
      </c>
      <c r="C350" t="s">
        <v>964</v>
      </c>
      <c r="D350" t="s">
        <v>963</v>
      </c>
      <c r="E350" t="s">
        <v>1011</v>
      </c>
      <c r="F350" t="str">
        <f>INDEX(IPCCMaps!H:H,MATCH(mapPRC!D350,IPCCMaps!G:G,0))</f>
        <v>1 Energy</v>
      </c>
      <c r="G350" t="str">
        <f>INDEX(IPCCMaps!I:I,MATCH(mapPRC!D350,IPCCMaps!G:G,0))</f>
        <v>1A Fuel Combustion Activities</v>
      </c>
      <c r="H350" t="str">
        <f>INDEX(IPCCMaps!J:J,MATCH(mapPRC!D350,IPCCMaps!G:G,0))</f>
        <v>1A2 Manufacturing Industries and Construction</v>
      </c>
      <c r="I350" t="str">
        <f>INDEX(IPCCMaps!K:K,MATCH(mapPRC!D350,IPCCMaps!G:G,0))</f>
        <v>1A2 Manufacturing Industries and Construction</v>
      </c>
    </row>
    <row r="351" spans="1:9" hidden="1" x14ac:dyDescent="0.25">
      <c r="A351" t="s">
        <v>1015</v>
      </c>
      <c r="B351" t="s">
        <v>1014</v>
      </c>
      <c r="C351" t="s">
        <v>964</v>
      </c>
      <c r="D351" t="s">
        <v>963</v>
      </c>
      <c r="E351" t="s">
        <v>1011</v>
      </c>
      <c r="F351" t="str">
        <f>INDEX(IPCCMaps!H:H,MATCH(mapPRC!D351,IPCCMaps!G:G,0))</f>
        <v>1 Energy</v>
      </c>
      <c r="G351" t="str">
        <f>INDEX(IPCCMaps!I:I,MATCH(mapPRC!D351,IPCCMaps!G:G,0))</f>
        <v>1A Fuel Combustion Activities</v>
      </c>
      <c r="H351" t="str">
        <f>INDEX(IPCCMaps!J:J,MATCH(mapPRC!D351,IPCCMaps!G:G,0))</f>
        <v>1A2 Manufacturing Industries and Construction</v>
      </c>
      <c r="I351" t="str">
        <f>INDEX(IPCCMaps!K:K,MATCH(mapPRC!D351,IPCCMaps!G:G,0))</f>
        <v>1A2 Manufacturing Industries and Construction</v>
      </c>
    </row>
    <row r="352" spans="1:9" hidden="1" x14ac:dyDescent="0.25">
      <c r="A352" t="s">
        <v>1013</v>
      </c>
      <c r="B352" t="s">
        <v>1012</v>
      </c>
      <c r="C352" t="s">
        <v>964</v>
      </c>
      <c r="D352" t="s">
        <v>963</v>
      </c>
      <c r="E352" t="s">
        <v>1011</v>
      </c>
      <c r="F352" t="str">
        <f>INDEX(IPCCMaps!H:H,MATCH(mapPRC!D352,IPCCMaps!G:G,0))</f>
        <v>1 Energy</v>
      </c>
      <c r="G352" t="str">
        <f>INDEX(IPCCMaps!I:I,MATCH(mapPRC!D352,IPCCMaps!G:G,0))</f>
        <v>1A Fuel Combustion Activities</v>
      </c>
      <c r="H352" t="str">
        <f>INDEX(IPCCMaps!J:J,MATCH(mapPRC!D352,IPCCMaps!G:G,0))</f>
        <v>1A2 Manufacturing Industries and Construction</v>
      </c>
      <c r="I352" t="str">
        <f>INDEX(IPCCMaps!K:K,MATCH(mapPRC!D352,IPCCMaps!G:G,0))</f>
        <v>1A2 Manufacturing Industries and Construction</v>
      </c>
    </row>
    <row r="353" spans="1:9" hidden="1" x14ac:dyDescent="0.25">
      <c r="A353" t="s">
        <v>1008</v>
      </c>
      <c r="B353" t="s">
        <v>1007</v>
      </c>
      <c r="C353" t="s">
        <v>964</v>
      </c>
      <c r="D353" t="s">
        <v>963</v>
      </c>
      <c r="E353" t="s">
        <v>1004</v>
      </c>
      <c r="F353" t="str">
        <f>INDEX(IPCCMaps!H:H,MATCH(mapPRC!D353,IPCCMaps!G:G,0))</f>
        <v>1 Energy</v>
      </c>
      <c r="G353" t="str">
        <f>INDEX(IPCCMaps!I:I,MATCH(mapPRC!D353,IPCCMaps!G:G,0))</f>
        <v>1A Fuel Combustion Activities</v>
      </c>
      <c r="H353" t="str">
        <f>INDEX(IPCCMaps!J:J,MATCH(mapPRC!D353,IPCCMaps!G:G,0))</f>
        <v>1A2 Manufacturing Industries and Construction</v>
      </c>
      <c r="I353" t="str">
        <f>INDEX(IPCCMaps!K:K,MATCH(mapPRC!D353,IPCCMaps!G:G,0))</f>
        <v>1A2 Manufacturing Industries and Construction</v>
      </c>
    </row>
    <row r="354" spans="1:9" hidden="1" x14ac:dyDescent="0.25">
      <c r="A354" t="s">
        <v>1010</v>
      </c>
      <c r="B354" t="s">
        <v>1007</v>
      </c>
      <c r="C354" t="s">
        <v>964</v>
      </c>
      <c r="D354" t="s">
        <v>963</v>
      </c>
      <c r="E354" t="s">
        <v>1004</v>
      </c>
      <c r="F354" t="str">
        <f>INDEX(IPCCMaps!H:H,MATCH(mapPRC!D354,IPCCMaps!G:G,0))</f>
        <v>1 Energy</v>
      </c>
      <c r="G354" t="str">
        <f>INDEX(IPCCMaps!I:I,MATCH(mapPRC!D354,IPCCMaps!G:G,0))</f>
        <v>1A Fuel Combustion Activities</v>
      </c>
      <c r="H354" t="str">
        <f>INDEX(IPCCMaps!J:J,MATCH(mapPRC!D354,IPCCMaps!G:G,0))</f>
        <v>1A2 Manufacturing Industries and Construction</v>
      </c>
      <c r="I354" t="str">
        <f>INDEX(IPCCMaps!K:K,MATCH(mapPRC!D354,IPCCMaps!G:G,0))</f>
        <v>1A2 Manufacturing Industries and Construction</v>
      </c>
    </row>
    <row r="355" spans="1:9" hidden="1" x14ac:dyDescent="0.25">
      <c r="A355" t="s">
        <v>1009</v>
      </c>
      <c r="B355" t="s">
        <v>1007</v>
      </c>
      <c r="C355" t="s">
        <v>964</v>
      </c>
      <c r="D355" t="s">
        <v>963</v>
      </c>
      <c r="E355" t="s">
        <v>1004</v>
      </c>
      <c r="F355" t="str">
        <f>INDEX(IPCCMaps!H:H,MATCH(mapPRC!D355,IPCCMaps!G:G,0))</f>
        <v>1 Energy</v>
      </c>
      <c r="G355" t="str">
        <f>INDEX(IPCCMaps!I:I,MATCH(mapPRC!D355,IPCCMaps!G:G,0))</f>
        <v>1A Fuel Combustion Activities</v>
      </c>
      <c r="H355" t="str">
        <f>INDEX(IPCCMaps!J:J,MATCH(mapPRC!D355,IPCCMaps!G:G,0))</f>
        <v>1A2 Manufacturing Industries and Construction</v>
      </c>
      <c r="I355" t="str">
        <f>INDEX(IPCCMaps!K:K,MATCH(mapPRC!D355,IPCCMaps!G:G,0))</f>
        <v>1A2 Manufacturing Industries and Construction</v>
      </c>
    </row>
    <row r="356" spans="1:9" hidden="1" x14ac:dyDescent="0.25">
      <c r="A356" t="s">
        <v>1006</v>
      </c>
      <c r="B356" t="s">
        <v>1005</v>
      </c>
      <c r="C356" t="s">
        <v>964</v>
      </c>
      <c r="D356" t="s">
        <v>963</v>
      </c>
      <c r="E356" t="s">
        <v>1004</v>
      </c>
      <c r="F356" t="str">
        <f>INDEX(IPCCMaps!H:H,MATCH(mapPRC!D356,IPCCMaps!G:G,0))</f>
        <v>1 Energy</v>
      </c>
      <c r="G356" t="str">
        <f>INDEX(IPCCMaps!I:I,MATCH(mapPRC!D356,IPCCMaps!G:G,0))</f>
        <v>1A Fuel Combustion Activities</v>
      </c>
      <c r="H356" t="str">
        <f>INDEX(IPCCMaps!J:J,MATCH(mapPRC!D356,IPCCMaps!G:G,0))</f>
        <v>1A2 Manufacturing Industries and Construction</v>
      </c>
      <c r="I356" t="str">
        <f>INDEX(IPCCMaps!K:K,MATCH(mapPRC!D356,IPCCMaps!G:G,0))</f>
        <v>1A2 Manufacturing Industries and Construction</v>
      </c>
    </row>
    <row r="357" spans="1:9" hidden="1" x14ac:dyDescent="0.25">
      <c r="A357" t="s">
        <v>1003</v>
      </c>
      <c r="B357" t="s">
        <v>1002</v>
      </c>
      <c r="C357" t="s">
        <v>964</v>
      </c>
      <c r="D357" t="s">
        <v>963</v>
      </c>
      <c r="E357" t="s">
        <v>0</v>
      </c>
      <c r="F357" t="str">
        <f>INDEX(IPCCMaps!H:H,MATCH(mapPRC!D357,IPCCMaps!G:G,0))</f>
        <v>1 Energy</v>
      </c>
      <c r="G357" t="str">
        <f>INDEX(IPCCMaps!I:I,MATCH(mapPRC!D357,IPCCMaps!G:G,0))</f>
        <v>1A Fuel Combustion Activities</v>
      </c>
      <c r="H357" t="str">
        <f>INDEX(IPCCMaps!J:J,MATCH(mapPRC!D357,IPCCMaps!G:G,0))</f>
        <v>1A2 Manufacturing Industries and Construction</v>
      </c>
      <c r="I357" t="str">
        <f>INDEX(IPCCMaps!K:K,MATCH(mapPRC!D357,IPCCMaps!G:G,0))</f>
        <v>1A2 Manufacturing Industries and Construction</v>
      </c>
    </row>
    <row r="358" spans="1:9" hidden="1" x14ac:dyDescent="0.25">
      <c r="A358" t="s">
        <v>999</v>
      </c>
      <c r="B358" t="s">
        <v>998</v>
      </c>
      <c r="C358" t="s">
        <v>964</v>
      </c>
      <c r="D358" t="s">
        <v>963</v>
      </c>
      <c r="E358" t="s">
        <v>995</v>
      </c>
      <c r="F358" t="str">
        <f>INDEX(IPCCMaps!H:H,MATCH(mapPRC!D358,IPCCMaps!G:G,0))</f>
        <v>1 Energy</v>
      </c>
      <c r="G358" t="str">
        <f>INDEX(IPCCMaps!I:I,MATCH(mapPRC!D358,IPCCMaps!G:G,0))</f>
        <v>1A Fuel Combustion Activities</v>
      </c>
      <c r="H358" t="str">
        <f>INDEX(IPCCMaps!J:J,MATCH(mapPRC!D358,IPCCMaps!G:G,0))</f>
        <v>1A2 Manufacturing Industries and Construction</v>
      </c>
      <c r="I358" t="str">
        <f>INDEX(IPCCMaps!K:K,MATCH(mapPRC!D358,IPCCMaps!G:G,0))</f>
        <v>1A2 Manufacturing Industries and Construction</v>
      </c>
    </row>
    <row r="359" spans="1:9" hidden="1" x14ac:dyDescent="0.25">
      <c r="A359" t="s">
        <v>1001</v>
      </c>
      <c r="B359" t="s">
        <v>998</v>
      </c>
      <c r="C359" t="s">
        <v>964</v>
      </c>
      <c r="D359" t="s">
        <v>963</v>
      </c>
      <c r="E359" t="s">
        <v>995</v>
      </c>
      <c r="F359" t="str">
        <f>INDEX(IPCCMaps!H:H,MATCH(mapPRC!D359,IPCCMaps!G:G,0))</f>
        <v>1 Energy</v>
      </c>
      <c r="G359" t="str">
        <f>INDEX(IPCCMaps!I:I,MATCH(mapPRC!D359,IPCCMaps!G:G,0))</f>
        <v>1A Fuel Combustion Activities</v>
      </c>
      <c r="H359" t="str">
        <f>INDEX(IPCCMaps!J:J,MATCH(mapPRC!D359,IPCCMaps!G:G,0))</f>
        <v>1A2 Manufacturing Industries and Construction</v>
      </c>
      <c r="I359" t="str">
        <f>INDEX(IPCCMaps!K:K,MATCH(mapPRC!D359,IPCCMaps!G:G,0))</f>
        <v>1A2 Manufacturing Industries and Construction</v>
      </c>
    </row>
    <row r="360" spans="1:9" hidden="1" x14ac:dyDescent="0.25">
      <c r="A360" t="s">
        <v>1000</v>
      </c>
      <c r="B360" t="s">
        <v>998</v>
      </c>
      <c r="C360" t="s">
        <v>964</v>
      </c>
      <c r="D360" t="s">
        <v>963</v>
      </c>
      <c r="E360" t="s">
        <v>995</v>
      </c>
      <c r="F360" t="str">
        <f>INDEX(IPCCMaps!H:H,MATCH(mapPRC!D360,IPCCMaps!G:G,0))</f>
        <v>1 Energy</v>
      </c>
      <c r="G360" t="str">
        <f>INDEX(IPCCMaps!I:I,MATCH(mapPRC!D360,IPCCMaps!G:G,0))</f>
        <v>1A Fuel Combustion Activities</v>
      </c>
      <c r="H360" t="str">
        <f>INDEX(IPCCMaps!J:J,MATCH(mapPRC!D360,IPCCMaps!G:G,0))</f>
        <v>1A2 Manufacturing Industries and Construction</v>
      </c>
      <c r="I360" t="str">
        <f>INDEX(IPCCMaps!K:K,MATCH(mapPRC!D360,IPCCMaps!G:G,0))</f>
        <v>1A2 Manufacturing Industries and Construction</v>
      </c>
    </row>
    <row r="361" spans="1:9" hidden="1" x14ac:dyDescent="0.25">
      <c r="A361" t="s">
        <v>997</v>
      </c>
      <c r="B361" t="s">
        <v>996</v>
      </c>
      <c r="C361" t="s">
        <v>964</v>
      </c>
      <c r="D361" t="s">
        <v>963</v>
      </c>
      <c r="E361" t="s">
        <v>995</v>
      </c>
      <c r="F361" t="str">
        <f>INDEX(IPCCMaps!H:H,MATCH(mapPRC!D361,IPCCMaps!G:G,0))</f>
        <v>1 Energy</v>
      </c>
      <c r="G361" t="str">
        <f>INDEX(IPCCMaps!I:I,MATCH(mapPRC!D361,IPCCMaps!G:G,0))</f>
        <v>1A Fuel Combustion Activities</v>
      </c>
      <c r="H361" t="str">
        <f>INDEX(IPCCMaps!J:J,MATCH(mapPRC!D361,IPCCMaps!G:G,0))</f>
        <v>1A2 Manufacturing Industries and Construction</v>
      </c>
      <c r="I361" t="str">
        <f>INDEX(IPCCMaps!K:K,MATCH(mapPRC!D361,IPCCMaps!G:G,0))</f>
        <v>1A2 Manufacturing Industries and Construction</v>
      </c>
    </row>
    <row r="362" spans="1:9" hidden="1" x14ac:dyDescent="0.25">
      <c r="A362" t="s">
        <v>991</v>
      </c>
      <c r="B362" t="s">
        <v>990</v>
      </c>
      <c r="C362" t="s">
        <v>964</v>
      </c>
      <c r="D362" t="s">
        <v>963</v>
      </c>
      <c r="E362" t="s">
        <v>987</v>
      </c>
      <c r="F362" t="str">
        <f>INDEX(IPCCMaps!H:H,MATCH(mapPRC!D362,IPCCMaps!G:G,0))</f>
        <v>1 Energy</v>
      </c>
      <c r="G362" t="str">
        <f>INDEX(IPCCMaps!I:I,MATCH(mapPRC!D362,IPCCMaps!G:G,0))</f>
        <v>1A Fuel Combustion Activities</v>
      </c>
      <c r="H362" t="str">
        <f>INDEX(IPCCMaps!J:J,MATCH(mapPRC!D362,IPCCMaps!G:G,0))</f>
        <v>1A2 Manufacturing Industries and Construction</v>
      </c>
      <c r="I362" t="str">
        <f>INDEX(IPCCMaps!K:K,MATCH(mapPRC!D362,IPCCMaps!G:G,0))</f>
        <v>1A2 Manufacturing Industries and Construction</v>
      </c>
    </row>
    <row r="363" spans="1:9" hidden="1" x14ac:dyDescent="0.25">
      <c r="A363" t="s">
        <v>994</v>
      </c>
      <c r="B363" t="s">
        <v>992</v>
      </c>
      <c r="C363" t="s">
        <v>964</v>
      </c>
      <c r="D363" t="s">
        <v>963</v>
      </c>
      <c r="E363" t="s">
        <v>987</v>
      </c>
      <c r="F363" t="str">
        <f>INDEX(IPCCMaps!H:H,MATCH(mapPRC!D363,IPCCMaps!G:G,0))</f>
        <v>1 Energy</v>
      </c>
      <c r="G363" t="str">
        <f>INDEX(IPCCMaps!I:I,MATCH(mapPRC!D363,IPCCMaps!G:G,0))</f>
        <v>1A Fuel Combustion Activities</v>
      </c>
      <c r="H363" t="str">
        <f>INDEX(IPCCMaps!J:J,MATCH(mapPRC!D363,IPCCMaps!G:G,0))</f>
        <v>1A2 Manufacturing Industries and Construction</v>
      </c>
      <c r="I363" t="str">
        <f>INDEX(IPCCMaps!K:K,MATCH(mapPRC!D363,IPCCMaps!G:G,0))</f>
        <v>1A2 Manufacturing Industries and Construction</v>
      </c>
    </row>
    <row r="364" spans="1:9" hidden="1" x14ac:dyDescent="0.25">
      <c r="A364" t="s">
        <v>993</v>
      </c>
      <c r="B364" t="s">
        <v>992</v>
      </c>
      <c r="C364" t="s">
        <v>964</v>
      </c>
      <c r="D364" t="s">
        <v>963</v>
      </c>
      <c r="E364" t="s">
        <v>987</v>
      </c>
      <c r="F364" t="str">
        <f>INDEX(IPCCMaps!H:H,MATCH(mapPRC!D364,IPCCMaps!G:G,0))</f>
        <v>1 Energy</v>
      </c>
      <c r="G364" t="str">
        <f>INDEX(IPCCMaps!I:I,MATCH(mapPRC!D364,IPCCMaps!G:G,0))</f>
        <v>1A Fuel Combustion Activities</v>
      </c>
      <c r="H364" t="str">
        <f>INDEX(IPCCMaps!J:J,MATCH(mapPRC!D364,IPCCMaps!G:G,0))</f>
        <v>1A2 Manufacturing Industries and Construction</v>
      </c>
      <c r="I364" t="str">
        <f>INDEX(IPCCMaps!K:K,MATCH(mapPRC!D364,IPCCMaps!G:G,0))</f>
        <v>1A2 Manufacturing Industries and Construction</v>
      </c>
    </row>
    <row r="365" spans="1:9" hidden="1" x14ac:dyDescent="0.25">
      <c r="A365" t="s">
        <v>989</v>
      </c>
      <c r="B365" t="s">
        <v>988</v>
      </c>
      <c r="C365" t="s">
        <v>964</v>
      </c>
      <c r="D365" t="s">
        <v>963</v>
      </c>
      <c r="E365" t="s">
        <v>987</v>
      </c>
      <c r="F365" t="str">
        <f>INDEX(IPCCMaps!H:H,MATCH(mapPRC!D365,IPCCMaps!G:G,0))</f>
        <v>1 Energy</v>
      </c>
      <c r="G365" t="str">
        <f>INDEX(IPCCMaps!I:I,MATCH(mapPRC!D365,IPCCMaps!G:G,0))</f>
        <v>1A Fuel Combustion Activities</v>
      </c>
      <c r="H365" t="str">
        <f>INDEX(IPCCMaps!J:J,MATCH(mapPRC!D365,IPCCMaps!G:G,0))</f>
        <v>1A2 Manufacturing Industries and Construction</v>
      </c>
      <c r="I365" t="str">
        <f>INDEX(IPCCMaps!K:K,MATCH(mapPRC!D365,IPCCMaps!G:G,0))</f>
        <v>1A2 Manufacturing Industries and Construction</v>
      </c>
    </row>
    <row r="366" spans="1:9" hidden="1" x14ac:dyDescent="0.25">
      <c r="A366" t="s">
        <v>984</v>
      </c>
      <c r="B366" t="s">
        <v>982</v>
      </c>
      <c r="C366" t="s">
        <v>964</v>
      </c>
      <c r="D366" t="s">
        <v>963</v>
      </c>
      <c r="E366" t="s">
        <v>0</v>
      </c>
      <c r="F366" t="str">
        <f>INDEX(IPCCMaps!H:H,MATCH(mapPRC!D366,IPCCMaps!G:G,0))</f>
        <v>1 Energy</v>
      </c>
      <c r="G366" t="str">
        <f>INDEX(IPCCMaps!I:I,MATCH(mapPRC!D366,IPCCMaps!G:G,0))</f>
        <v>1A Fuel Combustion Activities</v>
      </c>
      <c r="H366" t="str">
        <f>INDEX(IPCCMaps!J:J,MATCH(mapPRC!D366,IPCCMaps!G:G,0))</f>
        <v>1A2 Manufacturing Industries and Construction</v>
      </c>
      <c r="I366" t="str">
        <f>INDEX(IPCCMaps!K:K,MATCH(mapPRC!D366,IPCCMaps!G:G,0))</f>
        <v>1A2 Manufacturing Industries and Construction</v>
      </c>
    </row>
    <row r="367" spans="1:9" hidden="1" x14ac:dyDescent="0.25">
      <c r="A367" t="s">
        <v>986</v>
      </c>
      <c r="B367" t="s">
        <v>982</v>
      </c>
      <c r="C367" t="s">
        <v>964</v>
      </c>
      <c r="D367" t="s">
        <v>963</v>
      </c>
      <c r="E367" t="s">
        <v>0</v>
      </c>
      <c r="F367" t="str">
        <f>INDEX(IPCCMaps!H:H,MATCH(mapPRC!D367,IPCCMaps!G:G,0))</f>
        <v>1 Energy</v>
      </c>
      <c r="G367" t="str">
        <f>INDEX(IPCCMaps!I:I,MATCH(mapPRC!D367,IPCCMaps!G:G,0))</f>
        <v>1A Fuel Combustion Activities</v>
      </c>
      <c r="H367" t="str">
        <f>INDEX(IPCCMaps!J:J,MATCH(mapPRC!D367,IPCCMaps!G:G,0))</f>
        <v>1A2 Manufacturing Industries and Construction</v>
      </c>
      <c r="I367" t="str">
        <f>INDEX(IPCCMaps!K:K,MATCH(mapPRC!D367,IPCCMaps!G:G,0))</f>
        <v>1A2 Manufacturing Industries and Construction</v>
      </c>
    </row>
    <row r="368" spans="1:9" hidden="1" x14ac:dyDescent="0.25">
      <c r="A368" t="s">
        <v>985</v>
      </c>
      <c r="B368" t="s">
        <v>982</v>
      </c>
      <c r="C368" t="s">
        <v>964</v>
      </c>
      <c r="D368" t="s">
        <v>963</v>
      </c>
      <c r="E368" t="s">
        <v>0</v>
      </c>
      <c r="F368" t="str">
        <f>INDEX(IPCCMaps!H:H,MATCH(mapPRC!D368,IPCCMaps!G:G,0))</f>
        <v>1 Energy</v>
      </c>
      <c r="G368" t="str">
        <f>INDEX(IPCCMaps!I:I,MATCH(mapPRC!D368,IPCCMaps!G:G,0))</f>
        <v>1A Fuel Combustion Activities</v>
      </c>
      <c r="H368" t="str">
        <f>INDEX(IPCCMaps!J:J,MATCH(mapPRC!D368,IPCCMaps!G:G,0))</f>
        <v>1A2 Manufacturing Industries and Construction</v>
      </c>
      <c r="I368" t="str">
        <f>INDEX(IPCCMaps!K:K,MATCH(mapPRC!D368,IPCCMaps!G:G,0))</f>
        <v>1A2 Manufacturing Industries and Construction</v>
      </c>
    </row>
    <row r="369" spans="1:9" hidden="1" x14ac:dyDescent="0.25">
      <c r="A369" t="s">
        <v>983</v>
      </c>
      <c r="B369" t="s">
        <v>982</v>
      </c>
      <c r="C369" t="s">
        <v>964</v>
      </c>
      <c r="D369" t="s">
        <v>963</v>
      </c>
      <c r="E369" t="s">
        <v>0</v>
      </c>
      <c r="F369" t="str">
        <f>INDEX(IPCCMaps!H:H,MATCH(mapPRC!D369,IPCCMaps!G:G,0))</f>
        <v>1 Energy</v>
      </c>
      <c r="G369" t="str">
        <f>INDEX(IPCCMaps!I:I,MATCH(mapPRC!D369,IPCCMaps!G:G,0))</f>
        <v>1A Fuel Combustion Activities</v>
      </c>
      <c r="H369" t="str">
        <f>INDEX(IPCCMaps!J:J,MATCH(mapPRC!D369,IPCCMaps!G:G,0))</f>
        <v>1A2 Manufacturing Industries and Construction</v>
      </c>
      <c r="I369" t="str">
        <f>INDEX(IPCCMaps!K:K,MATCH(mapPRC!D369,IPCCMaps!G:G,0))</f>
        <v>1A2 Manufacturing Industries and Construction</v>
      </c>
    </row>
    <row r="370" spans="1:9" hidden="1" x14ac:dyDescent="0.25">
      <c r="A370" t="s">
        <v>981</v>
      </c>
      <c r="B370" t="s">
        <v>979</v>
      </c>
      <c r="C370" t="s">
        <v>964</v>
      </c>
      <c r="D370" t="s">
        <v>963</v>
      </c>
      <c r="E370" t="s">
        <v>962</v>
      </c>
      <c r="F370" t="str">
        <f>INDEX(IPCCMaps!H:H,MATCH(mapPRC!D370,IPCCMaps!G:G,0))</f>
        <v>1 Energy</v>
      </c>
      <c r="G370" t="str">
        <f>INDEX(IPCCMaps!I:I,MATCH(mapPRC!D370,IPCCMaps!G:G,0))</f>
        <v>1A Fuel Combustion Activities</v>
      </c>
      <c r="H370" t="str">
        <f>INDEX(IPCCMaps!J:J,MATCH(mapPRC!D370,IPCCMaps!G:G,0))</f>
        <v>1A2 Manufacturing Industries and Construction</v>
      </c>
      <c r="I370" t="str">
        <f>INDEX(IPCCMaps!K:K,MATCH(mapPRC!D370,IPCCMaps!G:G,0))</f>
        <v>1A2 Manufacturing Industries and Construction</v>
      </c>
    </row>
    <row r="371" spans="1:9" hidden="1" x14ac:dyDescent="0.25">
      <c r="A371" t="s">
        <v>980</v>
      </c>
      <c r="B371" t="s">
        <v>979</v>
      </c>
      <c r="C371" t="s">
        <v>964</v>
      </c>
      <c r="D371" t="s">
        <v>963</v>
      </c>
      <c r="E371" t="s">
        <v>962</v>
      </c>
      <c r="F371" t="str">
        <f>INDEX(IPCCMaps!H:H,MATCH(mapPRC!D371,IPCCMaps!G:G,0))</f>
        <v>1 Energy</v>
      </c>
      <c r="G371" t="str">
        <f>INDEX(IPCCMaps!I:I,MATCH(mapPRC!D371,IPCCMaps!G:G,0))</f>
        <v>1A Fuel Combustion Activities</v>
      </c>
      <c r="H371" t="str">
        <f>INDEX(IPCCMaps!J:J,MATCH(mapPRC!D371,IPCCMaps!G:G,0))</f>
        <v>1A2 Manufacturing Industries and Construction</v>
      </c>
      <c r="I371" t="str">
        <f>INDEX(IPCCMaps!K:K,MATCH(mapPRC!D371,IPCCMaps!G:G,0))</f>
        <v>1A2 Manufacturing Industries and Construction</v>
      </c>
    </row>
    <row r="372" spans="1:9" hidden="1" x14ac:dyDescent="0.25">
      <c r="A372" t="s">
        <v>978</v>
      </c>
      <c r="B372" t="s">
        <v>976</v>
      </c>
      <c r="C372" t="s">
        <v>964</v>
      </c>
      <c r="D372" t="s">
        <v>963</v>
      </c>
      <c r="E372" t="s">
        <v>962</v>
      </c>
      <c r="F372" t="str">
        <f>INDEX(IPCCMaps!H:H,MATCH(mapPRC!D372,IPCCMaps!G:G,0))</f>
        <v>1 Energy</v>
      </c>
      <c r="G372" t="str">
        <f>INDEX(IPCCMaps!I:I,MATCH(mapPRC!D372,IPCCMaps!G:G,0))</f>
        <v>1A Fuel Combustion Activities</v>
      </c>
      <c r="H372" t="str">
        <f>INDEX(IPCCMaps!J:J,MATCH(mapPRC!D372,IPCCMaps!G:G,0))</f>
        <v>1A2 Manufacturing Industries and Construction</v>
      </c>
      <c r="I372" t="str">
        <f>INDEX(IPCCMaps!K:K,MATCH(mapPRC!D372,IPCCMaps!G:G,0))</f>
        <v>1A2 Manufacturing Industries and Construction</v>
      </c>
    </row>
    <row r="373" spans="1:9" hidden="1" x14ac:dyDescent="0.25">
      <c r="A373" t="s">
        <v>977</v>
      </c>
      <c r="B373" t="s">
        <v>976</v>
      </c>
      <c r="C373" t="s">
        <v>964</v>
      </c>
      <c r="D373" t="s">
        <v>963</v>
      </c>
      <c r="E373" t="s">
        <v>962</v>
      </c>
      <c r="F373" t="str">
        <f>INDEX(IPCCMaps!H:H,MATCH(mapPRC!D373,IPCCMaps!G:G,0))</f>
        <v>1 Energy</v>
      </c>
      <c r="G373" t="str">
        <f>INDEX(IPCCMaps!I:I,MATCH(mapPRC!D373,IPCCMaps!G:G,0))</f>
        <v>1A Fuel Combustion Activities</v>
      </c>
      <c r="H373" t="str">
        <f>INDEX(IPCCMaps!J:J,MATCH(mapPRC!D373,IPCCMaps!G:G,0))</f>
        <v>1A2 Manufacturing Industries and Construction</v>
      </c>
      <c r="I373" t="str">
        <f>INDEX(IPCCMaps!K:K,MATCH(mapPRC!D373,IPCCMaps!G:G,0))</f>
        <v>1A2 Manufacturing Industries and Construction</v>
      </c>
    </row>
    <row r="374" spans="1:9" hidden="1" x14ac:dyDescent="0.25">
      <c r="A374" t="s">
        <v>975</v>
      </c>
      <c r="B374" t="s">
        <v>973</v>
      </c>
      <c r="C374" t="s">
        <v>964</v>
      </c>
      <c r="D374" t="s">
        <v>963</v>
      </c>
      <c r="E374" t="s">
        <v>962</v>
      </c>
      <c r="F374" t="str">
        <f>INDEX(IPCCMaps!H:H,MATCH(mapPRC!D374,IPCCMaps!G:G,0))</f>
        <v>1 Energy</v>
      </c>
      <c r="G374" t="str">
        <f>INDEX(IPCCMaps!I:I,MATCH(mapPRC!D374,IPCCMaps!G:G,0))</f>
        <v>1A Fuel Combustion Activities</v>
      </c>
      <c r="H374" t="str">
        <f>INDEX(IPCCMaps!J:J,MATCH(mapPRC!D374,IPCCMaps!G:G,0))</f>
        <v>1A2 Manufacturing Industries and Construction</v>
      </c>
      <c r="I374" t="str">
        <f>INDEX(IPCCMaps!K:K,MATCH(mapPRC!D374,IPCCMaps!G:G,0))</f>
        <v>1A2 Manufacturing Industries and Construction</v>
      </c>
    </row>
    <row r="375" spans="1:9" hidden="1" x14ac:dyDescent="0.25">
      <c r="A375" t="s">
        <v>974</v>
      </c>
      <c r="B375" t="s">
        <v>973</v>
      </c>
      <c r="C375" t="s">
        <v>964</v>
      </c>
      <c r="D375" t="s">
        <v>963</v>
      </c>
      <c r="E375" t="s">
        <v>962</v>
      </c>
      <c r="F375" t="str">
        <f>INDEX(IPCCMaps!H:H,MATCH(mapPRC!D375,IPCCMaps!G:G,0))</f>
        <v>1 Energy</v>
      </c>
      <c r="G375" t="str">
        <f>INDEX(IPCCMaps!I:I,MATCH(mapPRC!D375,IPCCMaps!G:G,0))</f>
        <v>1A Fuel Combustion Activities</v>
      </c>
      <c r="H375" t="str">
        <f>INDEX(IPCCMaps!J:J,MATCH(mapPRC!D375,IPCCMaps!G:G,0))</f>
        <v>1A2 Manufacturing Industries and Construction</v>
      </c>
      <c r="I375" t="str">
        <f>INDEX(IPCCMaps!K:K,MATCH(mapPRC!D375,IPCCMaps!G:G,0))</f>
        <v>1A2 Manufacturing Industries and Construction</v>
      </c>
    </row>
    <row r="376" spans="1:9" hidden="1" x14ac:dyDescent="0.25">
      <c r="A376" t="s">
        <v>972</v>
      </c>
      <c r="B376" t="s">
        <v>971</v>
      </c>
      <c r="C376" t="s">
        <v>964</v>
      </c>
      <c r="D376" t="s">
        <v>963</v>
      </c>
      <c r="E376" t="s">
        <v>962</v>
      </c>
      <c r="F376" t="str">
        <f>INDEX(IPCCMaps!H:H,MATCH(mapPRC!D376,IPCCMaps!G:G,0))</f>
        <v>1 Energy</v>
      </c>
      <c r="G376" t="str">
        <f>INDEX(IPCCMaps!I:I,MATCH(mapPRC!D376,IPCCMaps!G:G,0))</f>
        <v>1A Fuel Combustion Activities</v>
      </c>
      <c r="H376" t="str">
        <f>INDEX(IPCCMaps!J:J,MATCH(mapPRC!D376,IPCCMaps!G:G,0))</f>
        <v>1A2 Manufacturing Industries and Construction</v>
      </c>
      <c r="I376" t="str">
        <f>INDEX(IPCCMaps!K:K,MATCH(mapPRC!D376,IPCCMaps!G:G,0))</f>
        <v>1A2 Manufacturing Industries and Construction</v>
      </c>
    </row>
    <row r="377" spans="1:9" hidden="1" x14ac:dyDescent="0.25">
      <c r="A377" t="s">
        <v>970</v>
      </c>
      <c r="B377" t="s">
        <v>969</v>
      </c>
      <c r="C377" t="s">
        <v>964</v>
      </c>
      <c r="D377" t="s">
        <v>963</v>
      </c>
      <c r="E377" t="s">
        <v>962</v>
      </c>
      <c r="F377" t="str">
        <f>INDEX(IPCCMaps!H:H,MATCH(mapPRC!D377,IPCCMaps!G:G,0))</f>
        <v>1 Energy</v>
      </c>
      <c r="G377" t="str">
        <f>INDEX(IPCCMaps!I:I,MATCH(mapPRC!D377,IPCCMaps!G:G,0))</f>
        <v>1A Fuel Combustion Activities</v>
      </c>
      <c r="H377" t="str">
        <f>INDEX(IPCCMaps!J:J,MATCH(mapPRC!D377,IPCCMaps!G:G,0))</f>
        <v>1A2 Manufacturing Industries and Construction</v>
      </c>
      <c r="I377" t="str">
        <f>INDEX(IPCCMaps!K:K,MATCH(mapPRC!D377,IPCCMaps!G:G,0))</f>
        <v>1A2 Manufacturing Industries and Construction</v>
      </c>
    </row>
    <row r="378" spans="1:9" hidden="1" x14ac:dyDescent="0.25">
      <c r="A378" t="s">
        <v>968</v>
      </c>
      <c r="B378" t="s">
        <v>967</v>
      </c>
      <c r="C378" t="s">
        <v>964</v>
      </c>
      <c r="D378" t="s">
        <v>963</v>
      </c>
      <c r="E378" t="s">
        <v>962</v>
      </c>
      <c r="F378" t="str">
        <f>INDEX(IPCCMaps!H:H,MATCH(mapPRC!D378,IPCCMaps!G:G,0))</f>
        <v>1 Energy</v>
      </c>
      <c r="G378" t="str">
        <f>INDEX(IPCCMaps!I:I,MATCH(mapPRC!D378,IPCCMaps!G:G,0))</f>
        <v>1A Fuel Combustion Activities</v>
      </c>
      <c r="H378" t="str">
        <f>INDEX(IPCCMaps!J:J,MATCH(mapPRC!D378,IPCCMaps!G:G,0))</f>
        <v>1A2 Manufacturing Industries and Construction</v>
      </c>
      <c r="I378" t="str">
        <f>INDEX(IPCCMaps!K:K,MATCH(mapPRC!D378,IPCCMaps!G:G,0))</f>
        <v>1A2 Manufacturing Industries and Construction</v>
      </c>
    </row>
    <row r="379" spans="1:9" hidden="1" x14ac:dyDescent="0.25">
      <c r="A379" t="s">
        <v>966</v>
      </c>
      <c r="B379" t="s">
        <v>965</v>
      </c>
      <c r="C379" t="s">
        <v>964</v>
      </c>
      <c r="D379" t="s">
        <v>963</v>
      </c>
      <c r="E379" t="s">
        <v>962</v>
      </c>
      <c r="F379" t="str">
        <f>INDEX(IPCCMaps!H:H,MATCH(mapPRC!D379,IPCCMaps!G:G,0))</f>
        <v>1 Energy</v>
      </c>
      <c r="G379" t="str">
        <f>INDEX(IPCCMaps!I:I,MATCH(mapPRC!D379,IPCCMaps!G:G,0))</f>
        <v>1A Fuel Combustion Activities</v>
      </c>
      <c r="H379" t="str">
        <f>INDEX(IPCCMaps!J:J,MATCH(mapPRC!D379,IPCCMaps!G:G,0))</f>
        <v>1A2 Manufacturing Industries and Construction</v>
      </c>
      <c r="I379" t="str">
        <f>INDEX(IPCCMaps!K:K,MATCH(mapPRC!D379,IPCCMaps!G:G,0))</f>
        <v>1A2 Manufacturing Industries and Construction</v>
      </c>
    </row>
    <row r="380" spans="1:9" hidden="1" x14ac:dyDescent="0.25">
      <c r="A380" t="s">
        <v>8</v>
      </c>
      <c r="B380" t="s">
        <v>7</v>
      </c>
      <c r="E380" t="s">
        <v>0</v>
      </c>
      <c r="F380" t="e">
        <f>INDEX(IPCCMaps!H:H,MATCH(mapPRC!D380,IPCCMaps!G:G,0))</f>
        <v>#N/A</v>
      </c>
      <c r="G380" t="e">
        <f>INDEX(IPCCMaps!I:I,MATCH(mapPRC!D380,IPCCMaps!G:G,0))</f>
        <v>#N/A</v>
      </c>
      <c r="H380" t="e">
        <f>INDEX(IPCCMaps!J:J,MATCH(mapPRC!D380,IPCCMaps!G:G,0))</f>
        <v>#N/A</v>
      </c>
      <c r="I380" t="e">
        <f>INDEX(IPCCMaps!K:K,MATCH(mapPRC!D380,IPCCMaps!G:G,0))</f>
        <v>#N/A</v>
      </c>
    </row>
    <row r="381" spans="1:9" hidden="1" x14ac:dyDescent="0.25">
      <c r="A381" t="s">
        <v>6</v>
      </c>
      <c r="B381" t="s">
        <v>5</v>
      </c>
      <c r="E381" t="s">
        <v>0</v>
      </c>
      <c r="F381" t="e">
        <f>INDEX(IPCCMaps!H:H,MATCH(mapPRC!D381,IPCCMaps!G:G,0))</f>
        <v>#N/A</v>
      </c>
      <c r="G381" t="e">
        <f>INDEX(IPCCMaps!I:I,MATCH(mapPRC!D381,IPCCMaps!G:G,0))</f>
        <v>#N/A</v>
      </c>
      <c r="H381" t="e">
        <f>INDEX(IPCCMaps!J:J,MATCH(mapPRC!D381,IPCCMaps!G:G,0))</f>
        <v>#N/A</v>
      </c>
      <c r="I381" t="e">
        <f>INDEX(IPCCMaps!K:K,MATCH(mapPRC!D381,IPCCMaps!G:G,0))</f>
        <v>#N/A</v>
      </c>
    </row>
    <row r="382" spans="1:9" hidden="1" x14ac:dyDescent="0.25">
      <c r="A382" t="s">
        <v>4</v>
      </c>
      <c r="B382" t="s">
        <v>3</v>
      </c>
      <c r="E382" t="s">
        <v>0</v>
      </c>
      <c r="F382" t="e">
        <f>INDEX(IPCCMaps!H:H,MATCH(mapPRC!D382,IPCCMaps!G:G,0))</f>
        <v>#N/A</v>
      </c>
      <c r="G382" t="e">
        <f>INDEX(IPCCMaps!I:I,MATCH(mapPRC!D382,IPCCMaps!G:G,0))</f>
        <v>#N/A</v>
      </c>
      <c r="H382" t="e">
        <f>INDEX(IPCCMaps!J:J,MATCH(mapPRC!D382,IPCCMaps!G:G,0))</f>
        <v>#N/A</v>
      </c>
      <c r="I382" t="e">
        <f>INDEX(IPCCMaps!K:K,MATCH(mapPRC!D382,IPCCMaps!G:G,0))</f>
        <v>#N/A</v>
      </c>
    </row>
    <row r="383" spans="1:9" hidden="1" x14ac:dyDescent="0.25">
      <c r="A383" t="s">
        <v>2</v>
      </c>
      <c r="B383" t="s">
        <v>1</v>
      </c>
      <c r="E383" t="s">
        <v>0</v>
      </c>
      <c r="F383" t="e">
        <f>INDEX(IPCCMaps!H:H,MATCH(mapPRC!D383,IPCCMaps!G:G,0))</f>
        <v>#N/A</v>
      </c>
      <c r="G383" t="e">
        <f>INDEX(IPCCMaps!I:I,MATCH(mapPRC!D383,IPCCMaps!G:G,0))</f>
        <v>#N/A</v>
      </c>
      <c r="H383" t="e">
        <f>INDEX(IPCCMaps!J:J,MATCH(mapPRC!D383,IPCCMaps!G:G,0))</f>
        <v>#N/A</v>
      </c>
      <c r="I383" t="e">
        <f>INDEX(IPCCMaps!K:K,MATCH(mapPRC!D383,IPCCMaps!G:G,0))</f>
        <v>#N/A</v>
      </c>
    </row>
    <row r="384" spans="1:9" hidden="1" x14ac:dyDescent="0.25">
      <c r="A384" t="s">
        <v>961</v>
      </c>
      <c r="B384" t="s">
        <v>960</v>
      </c>
      <c r="E384" t="s">
        <v>0</v>
      </c>
      <c r="F384" t="e">
        <f>INDEX(IPCCMaps!H:H,MATCH(mapPRC!D384,IPCCMaps!G:G,0))</f>
        <v>#N/A</v>
      </c>
      <c r="G384" t="e">
        <f>INDEX(IPCCMaps!I:I,MATCH(mapPRC!D384,IPCCMaps!G:G,0))</f>
        <v>#N/A</v>
      </c>
      <c r="H384" t="e">
        <f>INDEX(IPCCMaps!J:J,MATCH(mapPRC!D384,IPCCMaps!G:G,0))</f>
        <v>#N/A</v>
      </c>
      <c r="I384" t="e">
        <f>INDEX(IPCCMaps!K:K,MATCH(mapPRC!D384,IPCCMaps!G:G,0))</f>
        <v>#N/A</v>
      </c>
    </row>
    <row r="385" spans="1:9" hidden="1" x14ac:dyDescent="0.25">
      <c r="A385" t="s">
        <v>959</v>
      </c>
      <c r="B385" t="s">
        <v>958</v>
      </c>
      <c r="C385" t="s">
        <v>21</v>
      </c>
      <c r="D385" t="s">
        <v>2876</v>
      </c>
      <c r="E385" t="s">
        <v>0</v>
      </c>
      <c r="F385" t="e">
        <f>INDEX(IPCCMaps!H:H,MATCH(mapPRC!D385,IPCCMaps!G:G,0))</f>
        <v>#N/A</v>
      </c>
      <c r="G385" t="e">
        <f>INDEX(IPCCMaps!I:I,MATCH(mapPRC!D385,IPCCMaps!G:G,0))</f>
        <v>#N/A</v>
      </c>
      <c r="H385" t="e">
        <f>INDEX(IPCCMaps!J:J,MATCH(mapPRC!D385,IPCCMaps!G:G,0))</f>
        <v>#N/A</v>
      </c>
      <c r="I385" t="e">
        <f>INDEX(IPCCMaps!K:K,MATCH(mapPRC!D385,IPCCMaps!G:G,0))</f>
        <v>#N/A</v>
      </c>
    </row>
    <row r="386" spans="1:9" hidden="1" x14ac:dyDescent="0.25">
      <c r="A386" t="s">
        <v>957</v>
      </c>
      <c r="B386" t="s">
        <v>956</v>
      </c>
      <c r="C386" t="s">
        <v>21</v>
      </c>
      <c r="D386" t="s">
        <v>2876</v>
      </c>
      <c r="E386" t="s">
        <v>0</v>
      </c>
      <c r="F386" t="e">
        <f>INDEX(IPCCMaps!H:H,MATCH(mapPRC!D386,IPCCMaps!G:G,0))</f>
        <v>#N/A</v>
      </c>
      <c r="G386" t="e">
        <f>INDEX(IPCCMaps!I:I,MATCH(mapPRC!D386,IPCCMaps!G:G,0))</f>
        <v>#N/A</v>
      </c>
      <c r="H386" t="e">
        <f>INDEX(IPCCMaps!J:J,MATCH(mapPRC!D386,IPCCMaps!G:G,0))</f>
        <v>#N/A</v>
      </c>
      <c r="I386" t="e">
        <f>INDEX(IPCCMaps!K:K,MATCH(mapPRC!D386,IPCCMaps!G:G,0))</f>
        <v>#N/A</v>
      </c>
    </row>
    <row r="387" spans="1:9" hidden="1" x14ac:dyDescent="0.25">
      <c r="A387" t="s">
        <v>955</v>
      </c>
      <c r="B387" t="s">
        <v>954</v>
      </c>
      <c r="C387" t="s">
        <v>21</v>
      </c>
      <c r="D387" t="s">
        <v>2876</v>
      </c>
      <c r="E387" t="s">
        <v>0</v>
      </c>
      <c r="F387" t="e">
        <f>INDEX(IPCCMaps!H:H,MATCH(mapPRC!D387,IPCCMaps!G:G,0))</f>
        <v>#N/A</v>
      </c>
      <c r="G387" t="e">
        <f>INDEX(IPCCMaps!I:I,MATCH(mapPRC!D387,IPCCMaps!G:G,0))</f>
        <v>#N/A</v>
      </c>
      <c r="H387" t="e">
        <f>INDEX(IPCCMaps!J:J,MATCH(mapPRC!D387,IPCCMaps!G:G,0))</f>
        <v>#N/A</v>
      </c>
      <c r="I387" t="e">
        <f>INDEX(IPCCMaps!K:K,MATCH(mapPRC!D387,IPCCMaps!G:G,0))</f>
        <v>#N/A</v>
      </c>
    </row>
    <row r="388" spans="1:9" hidden="1" x14ac:dyDescent="0.25">
      <c r="A388" t="s">
        <v>953</v>
      </c>
      <c r="B388" t="s">
        <v>952</v>
      </c>
      <c r="C388" t="s">
        <v>21</v>
      </c>
      <c r="D388" t="s">
        <v>2876</v>
      </c>
      <c r="E388" t="s">
        <v>0</v>
      </c>
      <c r="F388" t="e">
        <f>INDEX(IPCCMaps!H:H,MATCH(mapPRC!D388,IPCCMaps!G:G,0))</f>
        <v>#N/A</v>
      </c>
      <c r="G388" t="e">
        <f>INDEX(IPCCMaps!I:I,MATCH(mapPRC!D388,IPCCMaps!G:G,0))</f>
        <v>#N/A</v>
      </c>
      <c r="H388" t="e">
        <f>INDEX(IPCCMaps!J:J,MATCH(mapPRC!D388,IPCCMaps!G:G,0))</f>
        <v>#N/A</v>
      </c>
      <c r="I388" t="e">
        <f>INDEX(IPCCMaps!K:K,MATCH(mapPRC!D388,IPCCMaps!G:G,0))</f>
        <v>#N/A</v>
      </c>
    </row>
    <row r="389" spans="1:9" hidden="1" x14ac:dyDescent="0.25">
      <c r="A389" t="s">
        <v>951</v>
      </c>
      <c r="B389" t="s">
        <v>950</v>
      </c>
      <c r="C389" t="s">
        <v>21</v>
      </c>
      <c r="D389" t="s">
        <v>2876</v>
      </c>
      <c r="E389" t="s">
        <v>0</v>
      </c>
      <c r="F389" t="e">
        <f>INDEX(IPCCMaps!H:H,MATCH(mapPRC!D389,IPCCMaps!G:G,0))</f>
        <v>#N/A</v>
      </c>
      <c r="G389" t="e">
        <f>INDEX(IPCCMaps!I:I,MATCH(mapPRC!D389,IPCCMaps!G:G,0))</f>
        <v>#N/A</v>
      </c>
      <c r="H389" t="e">
        <f>INDEX(IPCCMaps!J:J,MATCH(mapPRC!D389,IPCCMaps!G:G,0))</f>
        <v>#N/A</v>
      </c>
      <c r="I389" t="e">
        <f>INDEX(IPCCMaps!K:K,MATCH(mapPRC!D389,IPCCMaps!G:G,0))</f>
        <v>#N/A</v>
      </c>
    </row>
    <row r="390" spans="1:9" hidden="1" x14ac:dyDescent="0.25">
      <c r="A390" t="s">
        <v>949</v>
      </c>
      <c r="B390" t="s">
        <v>948</v>
      </c>
      <c r="C390" t="s">
        <v>21</v>
      </c>
      <c r="D390" t="s">
        <v>2876</v>
      </c>
      <c r="E390" t="s">
        <v>0</v>
      </c>
      <c r="F390" t="e">
        <f>INDEX(IPCCMaps!H:H,MATCH(mapPRC!D390,IPCCMaps!G:G,0))</f>
        <v>#N/A</v>
      </c>
      <c r="G390" t="e">
        <f>INDEX(IPCCMaps!I:I,MATCH(mapPRC!D390,IPCCMaps!G:G,0))</f>
        <v>#N/A</v>
      </c>
      <c r="H390" t="e">
        <f>INDEX(IPCCMaps!J:J,MATCH(mapPRC!D390,IPCCMaps!G:G,0))</f>
        <v>#N/A</v>
      </c>
      <c r="I390" t="e">
        <f>INDEX(IPCCMaps!K:K,MATCH(mapPRC!D390,IPCCMaps!G:G,0))</f>
        <v>#N/A</v>
      </c>
    </row>
    <row r="391" spans="1:9" hidden="1" x14ac:dyDescent="0.25">
      <c r="A391" t="s">
        <v>947</v>
      </c>
      <c r="B391" t="s">
        <v>946</v>
      </c>
      <c r="C391" t="s">
        <v>21</v>
      </c>
      <c r="D391" t="s">
        <v>2876</v>
      </c>
      <c r="E391" t="s">
        <v>0</v>
      </c>
      <c r="F391" t="e">
        <f>INDEX(IPCCMaps!H:H,MATCH(mapPRC!D391,IPCCMaps!G:G,0))</f>
        <v>#N/A</v>
      </c>
      <c r="G391" t="e">
        <f>INDEX(IPCCMaps!I:I,MATCH(mapPRC!D391,IPCCMaps!G:G,0))</f>
        <v>#N/A</v>
      </c>
      <c r="H391" t="e">
        <f>INDEX(IPCCMaps!J:J,MATCH(mapPRC!D391,IPCCMaps!G:G,0))</f>
        <v>#N/A</v>
      </c>
      <c r="I391" t="e">
        <f>INDEX(IPCCMaps!K:K,MATCH(mapPRC!D391,IPCCMaps!G:G,0))</f>
        <v>#N/A</v>
      </c>
    </row>
    <row r="392" spans="1:9" hidden="1" x14ac:dyDescent="0.25">
      <c r="A392" t="s">
        <v>945</v>
      </c>
      <c r="B392" t="s">
        <v>944</v>
      </c>
      <c r="C392" t="s">
        <v>21</v>
      </c>
      <c r="D392" t="s">
        <v>2876</v>
      </c>
      <c r="E392" t="s">
        <v>0</v>
      </c>
      <c r="F392" t="e">
        <f>INDEX(IPCCMaps!H:H,MATCH(mapPRC!D392,IPCCMaps!G:G,0))</f>
        <v>#N/A</v>
      </c>
      <c r="G392" t="e">
        <f>INDEX(IPCCMaps!I:I,MATCH(mapPRC!D392,IPCCMaps!G:G,0))</f>
        <v>#N/A</v>
      </c>
      <c r="H392" t="e">
        <f>INDEX(IPCCMaps!J:J,MATCH(mapPRC!D392,IPCCMaps!G:G,0))</f>
        <v>#N/A</v>
      </c>
      <c r="I392" t="e">
        <f>INDEX(IPCCMaps!K:K,MATCH(mapPRC!D392,IPCCMaps!G:G,0))</f>
        <v>#N/A</v>
      </c>
    </row>
    <row r="393" spans="1:9" hidden="1" x14ac:dyDescent="0.25">
      <c r="A393" t="s">
        <v>943</v>
      </c>
      <c r="B393" t="s">
        <v>942</v>
      </c>
      <c r="C393" t="s">
        <v>21</v>
      </c>
      <c r="D393" t="s">
        <v>2876</v>
      </c>
      <c r="E393" t="s">
        <v>0</v>
      </c>
      <c r="F393" t="e">
        <f>INDEX(IPCCMaps!H:H,MATCH(mapPRC!D393,IPCCMaps!G:G,0))</f>
        <v>#N/A</v>
      </c>
      <c r="G393" t="e">
        <f>INDEX(IPCCMaps!I:I,MATCH(mapPRC!D393,IPCCMaps!G:G,0))</f>
        <v>#N/A</v>
      </c>
      <c r="H393" t="e">
        <f>INDEX(IPCCMaps!J:J,MATCH(mapPRC!D393,IPCCMaps!G:G,0))</f>
        <v>#N/A</v>
      </c>
      <c r="I393" t="e">
        <f>INDEX(IPCCMaps!K:K,MATCH(mapPRC!D393,IPCCMaps!G:G,0))</f>
        <v>#N/A</v>
      </c>
    </row>
    <row r="394" spans="1:9" hidden="1" x14ac:dyDescent="0.25">
      <c r="A394" t="s">
        <v>941</v>
      </c>
      <c r="B394" t="s">
        <v>940</v>
      </c>
      <c r="C394" t="s">
        <v>21</v>
      </c>
      <c r="D394" t="s">
        <v>42</v>
      </c>
      <c r="E394" t="s">
        <v>920</v>
      </c>
      <c r="F394" t="e">
        <f>INDEX(IPCCMaps!H:H,MATCH(mapPRC!D394,IPCCMaps!G:G,0))</f>
        <v>#N/A</v>
      </c>
      <c r="G394" t="e">
        <f>INDEX(IPCCMaps!I:I,MATCH(mapPRC!D394,IPCCMaps!G:G,0))</f>
        <v>#N/A</v>
      </c>
      <c r="H394" t="e">
        <f>INDEX(IPCCMaps!J:J,MATCH(mapPRC!D394,IPCCMaps!G:G,0))</f>
        <v>#N/A</v>
      </c>
      <c r="I394" t="e">
        <f>INDEX(IPCCMaps!K:K,MATCH(mapPRC!D394,IPCCMaps!G:G,0))</f>
        <v>#N/A</v>
      </c>
    </row>
    <row r="395" spans="1:9" hidden="1" x14ac:dyDescent="0.25">
      <c r="A395" t="s">
        <v>938</v>
      </c>
      <c r="B395" t="s">
        <v>937</v>
      </c>
      <c r="C395" t="s">
        <v>21</v>
      </c>
      <c r="D395" t="s">
        <v>2877</v>
      </c>
      <c r="E395" t="s">
        <v>920</v>
      </c>
      <c r="F395" t="str">
        <f>INDEX(IPCCMaps!H:H,MATCH(mapPRC!D395,IPCCMaps!G:G,0))</f>
        <v>1 Energy</v>
      </c>
      <c r="G395" t="str">
        <f>INDEX(IPCCMaps!I:I,MATCH(mapPRC!D395,IPCCMaps!G:G,0))</f>
        <v>1B Fugitive emissions from fuels</v>
      </c>
      <c r="H395" t="str">
        <f>INDEX(IPCCMaps!J:J,MATCH(mapPRC!D395,IPCCMaps!G:G,0))</f>
        <v>1B1 Solid Fuels</v>
      </c>
      <c r="I395" t="str">
        <f>INDEX(IPCCMaps!K:K,MATCH(mapPRC!D395,IPCCMaps!G:G,0))</f>
        <v>1B1a Coal mining and handling</v>
      </c>
    </row>
    <row r="396" spans="1:9" hidden="1" x14ac:dyDescent="0.25">
      <c r="A396" t="s">
        <v>936</v>
      </c>
      <c r="B396" t="s">
        <v>935</v>
      </c>
      <c r="C396" t="s">
        <v>21</v>
      </c>
      <c r="D396" t="s">
        <v>2877</v>
      </c>
      <c r="E396" t="s">
        <v>920</v>
      </c>
      <c r="F396" t="str">
        <f>INDEX(IPCCMaps!H:H,MATCH(mapPRC!D396,IPCCMaps!G:G,0))</f>
        <v>1 Energy</v>
      </c>
      <c r="G396" t="str">
        <f>INDEX(IPCCMaps!I:I,MATCH(mapPRC!D396,IPCCMaps!G:G,0))</f>
        <v>1B Fugitive emissions from fuels</v>
      </c>
      <c r="H396" t="str">
        <f>INDEX(IPCCMaps!J:J,MATCH(mapPRC!D396,IPCCMaps!G:G,0))</f>
        <v>1B1 Solid Fuels</v>
      </c>
      <c r="I396" t="str">
        <f>INDEX(IPCCMaps!K:K,MATCH(mapPRC!D396,IPCCMaps!G:G,0))</f>
        <v>1B1a Coal mining and handling</v>
      </c>
    </row>
    <row r="397" spans="1:9" hidden="1" x14ac:dyDescent="0.25">
      <c r="A397" t="s">
        <v>934</v>
      </c>
      <c r="B397" t="s">
        <v>932</v>
      </c>
      <c r="C397" t="s">
        <v>21</v>
      </c>
      <c r="D397" t="s">
        <v>2877</v>
      </c>
      <c r="E397" t="s">
        <v>920</v>
      </c>
      <c r="F397" t="str">
        <f>INDEX(IPCCMaps!H:H,MATCH(mapPRC!D397,IPCCMaps!G:G,0))</f>
        <v>1 Energy</v>
      </c>
      <c r="G397" t="str">
        <f>INDEX(IPCCMaps!I:I,MATCH(mapPRC!D397,IPCCMaps!G:G,0))</f>
        <v>1B Fugitive emissions from fuels</v>
      </c>
      <c r="H397" t="str">
        <f>INDEX(IPCCMaps!J:J,MATCH(mapPRC!D397,IPCCMaps!G:G,0))</f>
        <v>1B1 Solid Fuels</v>
      </c>
      <c r="I397" t="str">
        <f>INDEX(IPCCMaps!K:K,MATCH(mapPRC!D397,IPCCMaps!G:G,0))</f>
        <v>1B1a Coal mining and handling</v>
      </c>
    </row>
    <row r="398" spans="1:9" hidden="1" x14ac:dyDescent="0.25">
      <c r="A398" t="s">
        <v>933</v>
      </c>
      <c r="B398" t="s">
        <v>932</v>
      </c>
      <c r="C398" t="s">
        <v>21</v>
      </c>
      <c r="D398" t="s">
        <v>2877</v>
      </c>
      <c r="E398" t="s">
        <v>920</v>
      </c>
      <c r="F398" t="str">
        <f>INDEX(IPCCMaps!H:H,MATCH(mapPRC!D398,IPCCMaps!G:G,0))</f>
        <v>1 Energy</v>
      </c>
      <c r="G398" t="str">
        <f>INDEX(IPCCMaps!I:I,MATCH(mapPRC!D398,IPCCMaps!G:G,0))</f>
        <v>1B Fugitive emissions from fuels</v>
      </c>
      <c r="H398" t="str">
        <f>INDEX(IPCCMaps!J:J,MATCH(mapPRC!D398,IPCCMaps!G:G,0))</f>
        <v>1B1 Solid Fuels</v>
      </c>
      <c r="I398" t="str">
        <f>INDEX(IPCCMaps!K:K,MATCH(mapPRC!D398,IPCCMaps!G:G,0))</f>
        <v>1B1a Coal mining and handling</v>
      </c>
    </row>
    <row r="399" spans="1:9" hidden="1" x14ac:dyDescent="0.25">
      <c r="A399" t="s">
        <v>939</v>
      </c>
      <c r="B399" t="s">
        <v>932</v>
      </c>
      <c r="C399" t="s">
        <v>21</v>
      </c>
      <c r="D399" t="s">
        <v>2877</v>
      </c>
      <c r="E399" t="s">
        <v>925</v>
      </c>
      <c r="F399" t="str">
        <f>INDEX(IPCCMaps!H:H,MATCH(mapPRC!D399,IPCCMaps!G:G,0))</f>
        <v>1 Energy</v>
      </c>
      <c r="G399" t="str">
        <f>INDEX(IPCCMaps!I:I,MATCH(mapPRC!D399,IPCCMaps!G:G,0))</f>
        <v>1B Fugitive emissions from fuels</v>
      </c>
      <c r="H399" t="str">
        <f>INDEX(IPCCMaps!J:J,MATCH(mapPRC!D399,IPCCMaps!G:G,0))</f>
        <v>1B1 Solid Fuels</v>
      </c>
      <c r="I399" t="str">
        <f>INDEX(IPCCMaps!K:K,MATCH(mapPRC!D399,IPCCMaps!G:G,0))</f>
        <v>1B1a Coal mining and handling</v>
      </c>
    </row>
    <row r="400" spans="1:9" hidden="1" x14ac:dyDescent="0.25">
      <c r="A400" t="s">
        <v>930</v>
      </c>
      <c r="B400" t="s">
        <v>928</v>
      </c>
      <c r="C400" t="s">
        <v>21</v>
      </c>
      <c r="D400" t="s">
        <v>2877</v>
      </c>
      <c r="E400" t="s">
        <v>920</v>
      </c>
      <c r="F400" t="str">
        <f>INDEX(IPCCMaps!H:H,MATCH(mapPRC!D400,IPCCMaps!G:G,0))</f>
        <v>1 Energy</v>
      </c>
      <c r="G400" t="str">
        <f>INDEX(IPCCMaps!I:I,MATCH(mapPRC!D400,IPCCMaps!G:G,0))</f>
        <v>1B Fugitive emissions from fuels</v>
      </c>
      <c r="H400" t="str">
        <f>INDEX(IPCCMaps!J:J,MATCH(mapPRC!D400,IPCCMaps!G:G,0))</f>
        <v>1B1 Solid Fuels</v>
      </c>
      <c r="I400" t="str">
        <f>INDEX(IPCCMaps!K:K,MATCH(mapPRC!D400,IPCCMaps!G:G,0))</f>
        <v>1B1a Coal mining and handling</v>
      </c>
    </row>
    <row r="401" spans="1:9" hidden="1" x14ac:dyDescent="0.25">
      <c r="A401" t="s">
        <v>931</v>
      </c>
      <c r="B401" t="s">
        <v>928</v>
      </c>
      <c r="C401" t="s">
        <v>21</v>
      </c>
      <c r="D401" t="s">
        <v>2877</v>
      </c>
      <c r="E401" t="s">
        <v>925</v>
      </c>
      <c r="F401" t="str">
        <f>INDEX(IPCCMaps!H:H,MATCH(mapPRC!D401,IPCCMaps!G:G,0))</f>
        <v>1 Energy</v>
      </c>
      <c r="G401" t="str">
        <f>INDEX(IPCCMaps!I:I,MATCH(mapPRC!D401,IPCCMaps!G:G,0))</f>
        <v>1B Fugitive emissions from fuels</v>
      </c>
      <c r="H401" t="str">
        <f>INDEX(IPCCMaps!J:J,MATCH(mapPRC!D401,IPCCMaps!G:G,0))</f>
        <v>1B1 Solid Fuels</v>
      </c>
      <c r="I401" t="str">
        <f>INDEX(IPCCMaps!K:K,MATCH(mapPRC!D401,IPCCMaps!G:G,0))</f>
        <v>1B1a Coal mining and handling</v>
      </c>
    </row>
    <row r="402" spans="1:9" hidden="1" x14ac:dyDescent="0.25">
      <c r="A402" t="s">
        <v>929</v>
      </c>
      <c r="B402" t="s">
        <v>928</v>
      </c>
      <c r="C402" t="s">
        <v>21</v>
      </c>
      <c r="D402" t="s">
        <v>2877</v>
      </c>
      <c r="E402" t="s">
        <v>925</v>
      </c>
      <c r="F402" t="str">
        <f>INDEX(IPCCMaps!H:H,MATCH(mapPRC!D402,IPCCMaps!G:G,0))</f>
        <v>1 Energy</v>
      </c>
      <c r="G402" t="str">
        <f>INDEX(IPCCMaps!I:I,MATCH(mapPRC!D402,IPCCMaps!G:G,0))</f>
        <v>1B Fugitive emissions from fuels</v>
      </c>
      <c r="H402" t="str">
        <f>INDEX(IPCCMaps!J:J,MATCH(mapPRC!D402,IPCCMaps!G:G,0))</f>
        <v>1B1 Solid Fuels</v>
      </c>
      <c r="I402" t="str">
        <f>INDEX(IPCCMaps!K:K,MATCH(mapPRC!D402,IPCCMaps!G:G,0))</f>
        <v>1B1a Coal mining and handling</v>
      </c>
    </row>
    <row r="403" spans="1:9" hidden="1" x14ac:dyDescent="0.25">
      <c r="A403" t="s">
        <v>924</v>
      </c>
      <c r="B403" t="s">
        <v>923</v>
      </c>
      <c r="C403" t="s">
        <v>21</v>
      </c>
      <c r="D403" t="s">
        <v>2877</v>
      </c>
      <c r="E403" t="s">
        <v>920</v>
      </c>
      <c r="F403" t="str">
        <f>INDEX(IPCCMaps!H:H,MATCH(mapPRC!D403,IPCCMaps!G:G,0))</f>
        <v>1 Energy</v>
      </c>
      <c r="G403" t="str">
        <f>INDEX(IPCCMaps!I:I,MATCH(mapPRC!D403,IPCCMaps!G:G,0))</f>
        <v>1B Fugitive emissions from fuels</v>
      </c>
      <c r="H403" t="str">
        <f>INDEX(IPCCMaps!J:J,MATCH(mapPRC!D403,IPCCMaps!G:G,0))</f>
        <v>1B1 Solid Fuels</v>
      </c>
      <c r="I403" t="str">
        <f>INDEX(IPCCMaps!K:K,MATCH(mapPRC!D403,IPCCMaps!G:G,0))</f>
        <v>1B1a Coal mining and handling</v>
      </c>
    </row>
    <row r="404" spans="1:9" hidden="1" x14ac:dyDescent="0.25">
      <c r="A404" t="s">
        <v>927</v>
      </c>
      <c r="B404" t="s">
        <v>926</v>
      </c>
      <c r="C404" t="s">
        <v>21</v>
      </c>
      <c r="D404" t="s">
        <v>2877</v>
      </c>
      <c r="E404" t="s">
        <v>925</v>
      </c>
      <c r="F404" t="str">
        <f>INDEX(IPCCMaps!H:H,MATCH(mapPRC!D404,IPCCMaps!G:G,0))</f>
        <v>1 Energy</v>
      </c>
      <c r="G404" t="str">
        <f>INDEX(IPCCMaps!I:I,MATCH(mapPRC!D404,IPCCMaps!G:G,0))</f>
        <v>1B Fugitive emissions from fuels</v>
      </c>
      <c r="H404" t="str">
        <f>INDEX(IPCCMaps!J:J,MATCH(mapPRC!D404,IPCCMaps!G:G,0))</f>
        <v>1B1 Solid Fuels</v>
      </c>
      <c r="I404" t="str">
        <f>INDEX(IPCCMaps!K:K,MATCH(mapPRC!D404,IPCCMaps!G:G,0))</f>
        <v>1B1a Coal mining and handling</v>
      </c>
    </row>
    <row r="405" spans="1:9" hidden="1" x14ac:dyDescent="0.25">
      <c r="A405" t="s">
        <v>922</v>
      </c>
      <c r="B405" t="s">
        <v>921</v>
      </c>
      <c r="C405" t="s">
        <v>21</v>
      </c>
      <c r="D405" t="s">
        <v>2877</v>
      </c>
      <c r="E405" t="s">
        <v>920</v>
      </c>
      <c r="F405" t="str">
        <f>INDEX(IPCCMaps!H:H,MATCH(mapPRC!D405,IPCCMaps!G:G,0))</f>
        <v>1 Energy</v>
      </c>
      <c r="G405" t="str">
        <f>INDEX(IPCCMaps!I:I,MATCH(mapPRC!D405,IPCCMaps!G:G,0))</f>
        <v>1B Fugitive emissions from fuels</v>
      </c>
      <c r="H405" t="str">
        <f>INDEX(IPCCMaps!J:J,MATCH(mapPRC!D405,IPCCMaps!G:G,0))</f>
        <v>1B1 Solid Fuels</v>
      </c>
      <c r="I405" t="str">
        <f>INDEX(IPCCMaps!K:K,MATCH(mapPRC!D405,IPCCMaps!G:G,0))</f>
        <v>1B1a Coal mining and handling</v>
      </c>
    </row>
    <row r="406" spans="1:9" hidden="1" x14ac:dyDescent="0.25">
      <c r="A406" t="s">
        <v>2880</v>
      </c>
      <c r="B406" t="s">
        <v>2881</v>
      </c>
      <c r="C406" t="s">
        <v>21</v>
      </c>
      <c r="D406" t="s">
        <v>2877</v>
      </c>
      <c r="E406" t="s">
        <v>920</v>
      </c>
      <c r="F406" t="str">
        <f>INDEX(IPCCMaps!H:H,MATCH(mapPRC!D406,IPCCMaps!G:G,0))</f>
        <v>1 Energy</v>
      </c>
      <c r="G406" t="str">
        <f>INDEX(IPCCMaps!I:I,MATCH(mapPRC!D406,IPCCMaps!G:G,0))</f>
        <v>1B Fugitive emissions from fuels</v>
      </c>
      <c r="H406" t="str">
        <f>INDEX(IPCCMaps!J:J,MATCH(mapPRC!D406,IPCCMaps!G:G,0))</f>
        <v>1B1 Solid Fuels</v>
      </c>
      <c r="I406" t="str">
        <f>INDEX(IPCCMaps!K:K,MATCH(mapPRC!D406,IPCCMaps!G:G,0))</f>
        <v>1B1a Coal mining and handling</v>
      </c>
    </row>
    <row r="407" spans="1:9" hidden="1" x14ac:dyDescent="0.25">
      <c r="A407" t="s">
        <v>2882</v>
      </c>
      <c r="B407" t="s">
        <v>2883</v>
      </c>
      <c r="C407" t="s">
        <v>21</v>
      </c>
      <c r="D407" t="s">
        <v>2877</v>
      </c>
      <c r="E407" t="s">
        <v>920</v>
      </c>
      <c r="F407" t="str">
        <f>INDEX(IPCCMaps!H:H,MATCH(mapPRC!D407,IPCCMaps!G:G,0))</f>
        <v>1 Energy</v>
      </c>
      <c r="G407" t="str">
        <f>INDEX(IPCCMaps!I:I,MATCH(mapPRC!D407,IPCCMaps!G:G,0))</f>
        <v>1B Fugitive emissions from fuels</v>
      </c>
      <c r="H407" t="str">
        <f>INDEX(IPCCMaps!J:J,MATCH(mapPRC!D407,IPCCMaps!G:G,0))</f>
        <v>1B1 Solid Fuels</v>
      </c>
      <c r="I407" t="str">
        <f>INDEX(IPCCMaps!K:K,MATCH(mapPRC!D407,IPCCMaps!G:G,0))</f>
        <v>1B1a Coal mining and handling</v>
      </c>
    </row>
    <row r="408" spans="1:9" hidden="1" x14ac:dyDescent="0.25">
      <c r="A408" t="s">
        <v>2884</v>
      </c>
      <c r="B408" t="s">
        <v>2885</v>
      </c>
      <c r="C408" t="s">
        <v>21</v>
      </c>
      <c r="D408" t="s">
        <v>2877</v>
      </c>
      <c r="E408" t="s">
        <v>920</v>
      </c>
      <c r="F408" t="str">
        <f>INDEX(IPCCMaps!H:H,MATCH(mapPRC!D408,IPCCMaps!G:G,0))</f>
        <v>1 Energy</v>
      </c>
      <c r="G408" t="str">
        <f>INDEX(IPCCMaps!I:I,MATCH(mapPRC!D408,IPCCMaps!G:G,0))</f>
        <v>1B Fugitive emissions from fuels</v>
      </c>
      <c r="H408" t="str">
        <f>INDEX(IPCCMaps!J:J,MATCH(mapPRC!D408,IPCCMaps!G:G,0))</f>
        <v>1B1 Solid Fuels</v>
      </c>
      <c r="I408" t="str">
        <f>INDEX(IPCCMaps!K:K,MATCH(mapPRC!D408,IPCCMaps!G:G,0))</f>
        <v>1B1a Coal mining and handling</v>
      </c>
    </row>
    <row r="409" spans="1:9" hidden="1" x14ac:dyDescent="0.25">
      <c r="A409" t="s">
        <v>2886</v>
      </c>
      <c r="B409" t="s">
        <v>2887</v>
      </c>
      <c r="C409" t="s">
        <v>21</v>
      </c>
      <c r="D409" t="s">
        <v>2877</v>
      </c>
      <c r="E409" t="s">
        <v>920</v>
      </c>
      <c r="F409" t="str">
        <f>INDEX(IPCCMaps!H:H,MATCH(mapPRC!D409,IPCCMaps!G:G,0))</f>
        <v>1 Energy</v>
      </c>
      <c r="G409" t="str">
        <f>INDEX(IPCCMaps!I:I,MATCH(mapPRC!D409,IPCCMaps!G:G,0))</f>
        <v>1B Fugitive emissions from fuels</v>
      </c>
      <c r="H409" t="str">
        <f>INDEX(IPCCMaps!J:J,MATCH(mapPRC!D409,IPCCMaps!G:G,0))</f>
        <v>1B1 Solid Fuels</v>
      </c>
      <c r="I409" t="str">
        <f>INDEX(IPCCMaps!K:K,MATCH(mapPRC!D409,IPCCMaps!G:G,0))</f>
        <v>1B1a Coal mining and handling</v>
      </c>
    </row>
    <row r="410" spans="1:9" hidden="1" x14ac:dyDescent="0.25">
      <c r="A410" t="s">
        <v>2888</v>
      </c>
      <c r="B410" t="s">
        <v>2889</v>
      </c>
      <c r="C410" t="s">
        <v>21</v>
      </c>
      <c r="D410" t="s">
        <v>2877</v>
      </c>
      <c r="E410" t="s">
        <v>920</v>
      </c>
      <c r="F410" t="str">
        <f>INDEX(IPCCMaps!H:H,MATCH(mapPRC!D410,IPCCMaps!G:G,0))</f>
        <v>1 Energy</v>
      </c>
      <c r="G410" t="str">
        <f>INDEX(IPCCMaps!I:I,MATCH(mapPRC!D410,IPCCMaps!G:G,0))</f>
        <v>1B Fugitive emissions from fuels</v>
      </c>
      <c r="H410" t="str">
        <f>INDEX(IPCCMaps!J:J,MATCH(mapPRC!D410,IPCCMaps!G:G,0))</f>
        <v>1B1 Solid Fuels</v>
      </c>
      <c r="I410" t="str">
        <f>INDEX(IPCCMaps!K:K,MATCH(mapPRC!D410,IPCCMaps!G:G,0))</f>
        <v>1B1a Coal mining and handling</v>
      </c>
    </row>
    <row r="411" spans="1:9" hidden="1" x14ac:dyDescent="0.25">
      <c r="A411" t="s">
        <v>2890</v>
      </c>
      <c r="B411" t="s">
        <v>2891</v>
      </c>
      <c r="C411" t="s">
        <v>21</v>
      </c>
      <c r="D411" t="s">
        <v>2877</v>
      </c>
      <c r="E411" t="s">
        <v>920</v>
      </c>
      <c r="F411" t="str">
        <f>INDEX(IPCCMaps!H:H,MATCH(mapPRC!D411,IPCCMaps!G:G,0))</f>
        <v>1 Energy</v>
      </c>
      <c r="G411" t="str">
        <f>INDEX(IPCCMaps!I:I,MATCH(mapPRC!D411,IPCCMaps!G:G,0))</f>
        <v>1B Fugitive emissions from fuels</v>
      </c>
      <c r="H411" t="str">
        <f>INDEX(IPCCMaps!J:J,MATCH(mapPRC!D411,IPCCMaps!G:G,0))</f>
        <v>1B1 Solid Fuels</v>
      </c>
      <c r="I411" t="str">
        <f>INDEX(IPCCMaps!K:K,MATCH(mapPRC!D411,IPCCMaps!G:G,0))</f>
        <v>1B1a Coal mining and handling</v>
      </c>
    </row>
    <row r="412" spans="1:9" hidden="1" x14ac:dyDescent="0.25">
      <c r="A412" t="s">
        <v>2892</v>
      </c>
      <c r="B412" t="s">
        <v>2893</v>
      </c>
      <c r="C412" t="s">
        <v>21</v>
      </c>
      <c r="D412" t="s">
        <v>2877</v>
      </c>
      <c r="E412" t="s">
        <v>920</v>
      </c>
      <c r="F412" t="str">
        <f>INDEX(IPCCMaps!H:H,MATCH(mapPRC!D412,IPCCMaps!G:G,0))</f>
        <v>1 Energy</v>
      </c>
      <c r="G412" t="str">
        <f>INDEX(IPCCMaps!I:I,MATCH(mapPRC!D412,IPCCMaps!G:G,0))</f>
        <v>1B Fugitive emissions from fuels</v>
      </c>
      <c r="H412" t="str">
        <f>INDEX(IPCCMaps!J:J,MATCH(mapPRC!D412,IPCCMaps!G:G,0))</f>
        <v>1B1 Solid Fuels</v>
      </c>
      <c r="I412" t="str">
        <f>INDEX(IPCCMaps!K:K,MATCH(mapPRC!D412,IPCCMaps!G:G,0))</f>
        <v>1B1a Coal mining and handling</v>
      </c>
    </row>
    <row r="413" spans="1:9" hidden="1" x14ac:dyDescent="0.25">
      <c r="A413" t="s">
        <v>2894</v>
      </c>
      <c r="B413" t="s">
        <v>2895</v>
      </c>
      <c r="C413" t="s">
        <v>21</v>
      </c>
      <c r="D413" t="s">
        <v>2877</v>
      </c>
      <c r="E413" t="s">
        <v>920</v>
      </c>
      <c r="F413" t="str">
        <f>INDEX(IPCCMaps!H:H,MATCH(mapPRC!D413,IPCCMaps!G:G,0))</f>
        <v>1 Energy</v>
      </c>
      <c r="G413" t="str">
        <f>INDEX(IPCCMaps!I:I,MATCH(mapPRC!D413,IPCCMaps!G:G,0))</f>
        <v>1B Fugitive emissions from fuels</v>
      </c>
      <c r="H413" t="str">
        <f>INDEX(IPCCMaps!J:J,MATCH(mapPRC!D413,IPCCMaps!G:G,0))</f>
        <v>1B1 Solid Fuels</v>
      </c>
      <c r="I413" t="str">
        <f>INDEX(IPCCMaps!K:K,MATCH(mapPRC!D413,IPCCMaps!G:G,0))</f>
        <v>1B1a Coal mining and handling</v>
      </c>
    </row>
    <row r="414" spans="1:9" hidden="1" x14ac:dyDescent="0.25">
      <c r="A414" t="s">
        <v>2896</v>
      </c>
      <c r="B414" t="s">
        <v>2897</v>
      </c>
      <c r="C414" t="s">
        <v>21</v>
      </c>
      <c r="D414" t="s">
        <v>2877</v>
      </c>
      <c r="E414" t="s">
        <v>920</v>
      </c>
      <c r="F414" t="str">
        <f>INDEX(IPCCMaps!H:H,MATCH(mapPRC!D414,IPCCMaps!G:G,0))</f>
        <v>1 Energy</v>
      </c>
      <c r="G414" t="str">
        <f>INDEX(IPCCMaps!I:I,MATCH(mapPRC!D414,IPCCMaps!G:G,0))</f>
        <v>1B Fugitive emissions from fuels</v>
      </c>
      <c r="H414" t="str">
        <f>INDEX(IPCCMaps!J:J,MATCH(mapPRC!D414,IPCCMaps!G:G,0))</f>
        <v>1B1 Solid Fuels</v>
      </c>
      <c r="I414" t="str">
        <f>INDEX(IPCCMaps!K:K,MATCH(mapPRC!D414,IPCCMaps!G:G,0))</f>
        <v>1B1a Coal mining and handling</v>
      </c>
    </row>
    <row r="415" spans="1:9" hidden="1" x14ac:dyDescent="0.25">
      <c r="A415" t="s">
        <v>2898</v>
      </c>
      <c r="B415" t="s">
        <v>2899</v>
      </c>
      <c r="C415" t="s">
        <v>21</v>
      </c>
      <c r="D415" t="s">
        <v>2877</v>
      </c>
      <c r="E415" t="s">
        <v>920</v>
      </c>
      <c r="F415" t="str">
        <f>INDEX(IPCCMaps!H:H,MATCH(mapPRC!D415,IPCCMaps!G:G,0))</f>
        <v>1 Energy</v>
      </c>
      <c r="G415" t="str">
        <f>INDEX(IPCCMaps!I:I,MATCH(mapPRC!D415,IPCCMaps!G:G,0))</f>
        <v>1B Fugitive emissions from fuels</v>
      </c>
      <c r="H415" t="str">
        <f>INDEX(IPCCMaps!J:J,MATCH(mapPRC!D415,IPCCMaps!G:G,0))</f>
        <v>1B1 Solid Fuels</v>
      </c>
      <c r="I415" t="str">
        <f>INDEX(IPCCMaps!K:K,MATCH(mapPRC!D415,IPCCMaps!G:G,0))</f>
        <v>1B1a Coal mining and handling</v>
      </c>
    </row>
    <row r="416" spans="1:9" hidden="1" x14ac:dyDescent="0.25">
      <c r="A416" t="s">
        <v>2900</v>
      </c>
      <c r="B416" t="s">
        <v>2901</v>
      </c>
      <c r="C416" t="s">
        <v>21</v>
      </c>
      <c r="D416" t="s">
        <v>2877</v>
      </c>
      <c r="E416" t="s">
        <v>920</v>
      </c>
      <c r="F416" t="str">
        <f>INDEX(IPCCMaps!H:H,MATCH(mapPRC!D416,IPCCMaps!G:G,0))</f>
        <v>1 Energy</v>
      </c>
      <c r="G416" t="str">
        <f>INDEX(IPCCMaps!I:I,MATCH(mapPRC!D416,IPCCMaps!G:G,0))</f>
        <v>1B Fugitive emissions from fuels</v>
      </c>
      <c r="H416" t="str">
        <f>INDEX(IPCCMaps!J:J,MATCH(mapPRC!D416,IPCCMaps!G:G,0))</f>
        <v>1B1 Solid Fuels</v>
      </c>
      <c r="I416" t="str">
        <f>INDEX(IPCCMaps!K:K,MATCH(mapPRC!D416,IPCCMaps!G:G,0))</f>
        <v>1B1a Coal mining and handling</v>
      </c>
    </row>
    <row r="417" spans="1:9" hidden="1" x14ac:dyDescent="0.25">
      <c r="A417" t="s">
        <v>2902</v>
      </c>
      <c r="B417" t="s">
        <v>2903</v>
      </c>
      <c r="C417" t="s">
        <v>21</v>
      </c>
      <c r="D417" t="s">
        <v>2877</v>
      </c>
      <c r="E417" t="s">
        <v>920</v>
      </c>
      <c r="F417" t="str">
        <f>INDEX(IPCCMaps!H:H,MATCH(mapPRC!D417,IPCCMaps!G:G,0))</f>
        <v>1 Energy</v>
      </c>
      <c r="G417" t="str">
        <f>INDEX(IPCCMaps!I:I,MATCH(mapPRC!D417,IPCCMaps!G:G,0))</f>
        <v>1B Fugitive emissions from fuels</v>
      </c>
      <c r="H417" t="str">
        <f>INDEX(IPCCMaps!J:J,MATCH(mapPRC!D417,IPCCMaps!G:G,0))</f>
        <v>1B1 Solid Fuels</v>
      </c>
      <c r="I417" t="str">
        <f>INDEX(IPCCMaps!K:K,MATCH(mapPRC!D417,IPCCMaps!G:G,0))</f>
        <v>1B1a Coal mining and handling</v>
      </c>
    </row>
    <row r="418" spans="1:9" hidden="1" x14ac:dyDescent="0.25">
      <c r="A418" t="s">
        <v>2904</v>
      </c>
      <c r="B418" t="s">
        <v>2905</v>
      </c>
      <c r="C418" t="s">
        <v>21</v>
      </c>
      <c r="D418" t="s">
        <v>2877</v>
      </c>
      <c r="E418" t="s">
        <v>920</v>
      </c>
      <c r="F418" t="str">
        <f>INDEX(IPCCMaps!H:H,MATCH(mapPRC!D418,IPCCMaps!G:G,0))</f>
        <v>1 Energy</v>
      </c>
      <c r="G418" t="str">
        <f>INDEX(IPCCMaps!I:I,MATCH(mapPRC!D418,IPCCMaps!G:G,0))</f>
        <v>1B Fugitive emissions from fuels</v>
      </c>
      <c r="H418" t="str">
        <f>INDEX(IPCCMaps!J:J,MATCH(mapPRC!D418,IPCCMaps!G:G,0))</f>
        <v>1B1 Solid Fuels</v>
      </c>
      <c r="I418" t="str">
        <f>INDEX(IPCCMaps!K:K,MATCH(mapPRC!D418,IPCCMaps!G:G,0))</f>
        <v>1B1a Coal mining and handling</v>
      </c>
    </row>
    <row r="419" spans="1:9" hidden="1" x14ac:dyDescent="0.25">
      <c r="A419" t="s">
        <v>2906</v>
      </c>
      <c r="B419" t="s">
        <v>2907</v>
      </c>
      <c r="C419" t="s">
        <v>21</v>
      </c>
      <c r="D419" t="s">
        <v>2877</v>
      </c>
      <c r="E419" t="s">
        <v>920</v>
      </c>
      <c r="F419" t="str">
        <f>INDEX(IPCCMaps!H:H,MATCH(mapPRC!D419,IPCCMaps!G:G,0))</f>
        <v>1 Energy</v>
      </c>
      <c r="G419" t="str">
        <f>INDEX(IPCCMaps!I:I,MATCH(mapPRC!D419,IPCCMaps!G:G,0))</f>
        <v>1B Fugitive emissions from fuels</v>
      </c>
      <c r="H419" t="str">
        <f>INDEX(IPCCMaps!J:J,MATCH(mapPRC!D419,IPCCMaps!G:G,0))</f>
        <v>1B1 Solid Fuels</v>
      </c>
      <c r="I419" t="str">
        <f>INDEX(IPCCMaps!K:K,MATCH(mapPRC!D419,IPCCMaps!G:G,0))</f>
        <v>1B1a Coal mining and handling</v>
      </c>
    </row>
    <row r="420" spans="1:9" hidden="1" x14ac:dyDescent="0.25">
      <c r="A420" t="s">
        <v>2908</v>
      </c>
      <c r="B420" t="s">
        <v>2909</v>
      </c>
      <c r="C420" t="s">
        <v>21</v>
      </c>
      <c r="D420" t="s">
        <v>2877</v>
      </c>
      <c r="E420" t="s">
        <v>920</v>
      </c>
      <c r="F420" t="str">
        <f>INDEX(IPCCMaps!H:H,MATCH(mapPRC!D420,IPCCMaps!G:G,0))</f>
        <v>1 Energy</v>
      </c>
      <c r="G420" t="str">
        <f>INDEX(IPCCMaps!I:I,MATCH(mapPRC!D420,IPCCMaps!G:G,0))</f>
        <v>1B Fugitive emissions from fuels</v>
      </c>
      <c r="H420" t="str">
        <f>INDEX(IPCCMaps!J:J,MATCH(mapPRC!D420,IPCCMaps!G:G,0))</f>
        <v>1B1 Solid Fuels</v>
      </c>
      <c r="I420" t="str">
        <f>INDEX(IPCCMaps!K:K,MATCH(mapPRC!D420,IPCCMaps!G:G,0))</f>
        <v>1B1a Coal mining and handling</v>
      </c>
    </row>
    <row r="421" spans="1:9" hidden="1" x14ac:dyDescent="0.25">
      <c r="A421" t="s">
        <v>2910</v>
      </c>
      <c r="B421" t="s">
        <v>2911</v>
      </c>
      <c r="C421" t="s">
        <v>21</v>
      </c>
      <c r="D421" t="s">
        <v>2877</v>
      </c>
      <c r="E421" t="s">
        <v>925</v>
      </c>
      <c r="F421" t="str">
        <f>INDEX(IPCCMaps!H:H,MATCH(mapPRC!D421,IPCCMaps!G:G,0))</f>
        <v>1 Energy</v>
      </c>
      <c r="G421" t="str">
        <f>INDEX(IPCCMaps!I:I,MATCH(mapPRC!D421,IPCCMaps!G:G,0))</f>
        <v>1B Fugitive emissions from fuels</v>
      </c>
      <c r="H421" t="str">
        <f>INDEX(IPCCMaps!J:J,MATCH(mapPRC!D421,IPCCMaps!G:G,0))</f>
        <v>1B1 Solid Fuels</v>
      </c>
      <c r="I421" t="str">
        <f>INDEX(IPCCMaps!K:K,MATCH(mapPRC!D421,IPCCMaps!G:G,0))</f>
        <v>1B1a Coal mining and handling</v>
      </c>
    </row>
    <row r="422" spans="1:9" hidden="1" x14ac:dyDescent="0.25">
      <c r="A422" t="s">
        <v>2912</v>
      </c>
      <c r="B422" t="s">
        <v>2913</v>
      </c>
      <c r="C422" t="s">
        <v>21</v>
      </c>
      <c r="D422" t="s">
        <v>2877</v>
      </c>
      <c r="E422" t="s">
        <v>920</v>
      </c>
      <c r="F422" t="str">
        <f>INDEX(IPCCMaps!H:H,MATCH(mapPRC!D422,IPCCMaps!G:G,0))</f>
        <v>1 Energy</v>
      </c>
      <c r="G422" t="str">
        <f>INDEX(IPCCMaps!I:I,MATCH(mapPRC!D422,IPCCMaps!G:G,0))</f>
        <v>1B Fugitive emissions from fuels</v>
      </c>
      <c r="H422" t="str">
        <f>INDEX(IPCCMaps!J:J,MATCH(mapPRC!D422,IPCCMaps!G:G,0))</f>
        <v>1B1 Solid Fuels</v>
      </c>
      <c r="I422" t="str">
        <f>INDEX(IPCCMaps!K:K,MATCH(mapPRC!D422,IPCCMaps!G:G,0))</f>
        <v>1B1a Coal mining and handling</v>
      </c>
    </row>
    <row r="423" spans="1:9" hidden="1" x14ac:dyDescent="0.25">
      <c r="A423" t="s">
        <v>2914</v>
      </c>
      <c r="B423" t="s">
        <v>2915</v>
      </c>
      <c r="C423" t="s">
        <v>21</v>
      </c>
      <c r="D423" t="s">
        <v>2877</v>
      </c>
      <c r="E423" t="s">
        <v>920</v>
      </c>
      <c r="F423" t="str">
        <f>INDEX(IPCCMaps!H:H,MATCH(mapPRC!D423,IPCCMaps!G:G,0))</f>
        <v>1 Energy</v>
      </c>
      <c r="G423" t="str">
        <f>INDEX(IPCCMaps!I:I,MATCH(mapPRC!D423,IPCCMaps!G:G,0))</f>
        <v>1B Fugitive emissions from fuels</v>
      </c>
      <c r="H423" t="str">
        <f>INDEX(IPCCMaps!J:J,MATCH(mapPRC!D423,IPCCMaps!G:G,0))</f>
        <v>1B1 Solid Fuels</v>
      </c>
      <c r="I423" t="str">
        <f>INDEX(IPCCMaps!K:K,MATCH(mapPRC!D423,IPCCMaps!G:G,0))</f>
        <v>1B1a Coal mining and handling</v>
      </c>
    </row>
    <row r="424" spans="1:9" hidden="1" x14ac:dyDescent="0.25">
      <c r="A424" t="s">
        <v>2916</v>
      </c>
      <c r="B424" t="s">
        <v>2917</v>
      </c>
      <c r="C424" t="s">
        <v>21</v>
      </c>
      <c r="D424" t="s">
        <v>2877</v>
      </c>
      <c r="E424" t="s">
        <v>925</v>
      </c>
      <c r="F424" t="str">
        <f>INDEX(IPCCMaps!H:H,MATCH(mapPRC!D424,IPCCMaps!G:G,0))</f>
        <v>1 Energy</v>
      </c>
      <c r="G424" t="str">
        <f>INDEX(IPCCMaps!I:I,MATCH(mapPRC!D424,IPCCMaps!G:G,0))</f>
        <v>1B Fugitive emissions from fuels</v>
      </c>
      <c r="H424" t="str">
        <f>INDEX(IPCCMaps!J:J,MATCH(mapPRC!D424,IPCCMaps!G:G,0))</f>
        <v>1B1 Solid Fuels</v>
      </c>
      <c r="I424" t="str">
        <f>INDEX(IPCCMaps!K:K,MATCH(mapPRC!D424,IPCCMaps!G:G,0))</f>
        <v>1B1a Coal mining and handling</v>
      </c>
    </row>
    <row r="425" spans="1:9" hidden="1" x14ac:dyDescent="0.25">
      <c r="A425" t="s">
        <v>2918</v>
      </c>
      <c r="B425" t="s">
        <v>2919</v>
      </c>
      <c r="C425" t="s">
        <v>21</v>
      </c>
      <c r="D425" t="s">
        <v>2877</v>
      </c>
      <c r="E425" t="s">
        <v>920</v>
      </c>
      <c r="F425" t="str">
        <f>INDEX(IPCCMaps!H:H,MATCH(mapPRC!D425,IPCCMaps!G:G,0))</f>
        <v>1 Energy</v>
      </c>
      <c r="G425" t="str">
        <f>INDEX(IPCCMaps!I:I,MATCH(mapPRC!D425,IPCCMaps!G:G,0))</f>
        <v>1B Fugitive emissions from fuels</v>
      </c>
      <c r="H425" t="str">
        <f>INDEX(IPCCMaps!J:J,MATCH(mapPRC!D425,IPCCMaps!G:G,0))</f>
        <v>1B1 Solid Fuels</v>
      </c>
      <c r="I425" t="str">
        <f>INDEX(IPCCMaps!K:K,MATCH(mapPRC!D425,IPCCMaps!G:G,0))</f>
        <v>1B1a Coal mining and handling</v>
      </c>
    </row>
    <row r="426" spans="1:9" hidden="1" x14ac:dyDescent="0.25">
      <c r="A426" t="s">
        <v>2920</v>
      </c>
      <c r="B426" t="s">
        <v>2921</v>
      </c>
      <c r="C426" t="s">
        <v>21</v>
      </c>
      <c r="D426" t="s">
        <v>2877</v>
      </c>
      <c r="E426" t="s">
        <v>920</v>
      </c>
      <c r="F426" t="str">
        <f>INDEX(IPCCMaps!H:H,MATCH(mapPRC!D426,IPCCMaps!G:G,0))</f>
        <v>1 Energy</v>
      </c>
      <c r="G426" t="str">
        <f>INDEX(IPCCMaps!I:I,MATCH(mapPRC!D426,IPCCMaps!G:G,0))</f>
        <v>1B Fugitive emissions from fuels</v>
      </c>
      <c r="H426" t="str">
        <f>INDEX(IPCCMaps!J:J,MATCH(mapPRC!D426,IPCCMaps!G:G,0))</f>
        <v>1B1 Solid Fuels</v>
      </c>
      <c r="I426" t="str">
        <f>INDEX(IPCCMaps!K:K,MATCH(mapPRC!D426,IPCCMaps!G:G,0))</f>
        <v>1B1a Coal mining and handling</v>
      </c>
    </row>
    <row r="427" spans="1:9" hidden="1" x14ac:dyDescent="0.25">
      <c r="A427" t="s">
        <v>2922</v>
      </c>
      <c r="B427" t="s">
        <v>2923</v>
      </c>
      <c r="C427" t="s">
        <v>21</v>
      </c>
      <c r="D427" t="s">
        <v>2877</v>
      </c>
      <c r="E427" t="s">
        <v>925</v>
      </c>
      <c r="F427" t="str">
        <f>INDEX(IPCCMaps!H:H,MATCH(mapPRC!D427,IPCCMaps!G:G,0))</f>
        <v>1 Energy</v>
      </c>
      <c r="G427" t="str">
        <f>INDEX(IPCCMaps!I:I,MATCH(mapPRC!D427,IPCCMaps!G:G,0))</f>
        <v>1B Fugitive emissions from fuels</v>
      </c>
      <c r="H427" t="str">
        <f>INDEX(IPCCMaps!J:J,MATCH(mapPRC!D427,IPCCMaps!G:G,0))</f>
        <v>1B1 Solid Fuels</v>
      </c>
      <c r="I427" t="str">
        <f>INDEX(IPCCMaps!K:K,MATCH(mapPRC!D427,IPCCMaps!G:G,0))</f>
        <v>1B1a Coal mining and handling</v>
      </c>
    </row>
    <row r="428" spans="1:9" hidden="1" x14ac:dyDescent="0.25">
      <c r="A428" t="s">
        <v>3108</v>
      </c>
      <c r="B428" t="s">
        <v>3109</v>
      </c>
      <c r="E428" t="s">
        <v>0</v>
      </c>
      <c r="F428" t="e">
        <f>INDEX(IPCCMaps!H:H,MATCH(mapPRC!D428,IPCCMaps!G:G,0))</f>
        <v>#N/A</v>
      </c>
      <c r="G428" t="e">
        <f>INDEX(IPCCMaps!I:I,MATCH(mapPRC!D428,IPCCMaps!G:G,0))</f>
        <v>#N/A</v>
      </c>
      <c r="H428" t="e">
        <f>INDEX(IPCCMaps!J:J,MATCH(mapPRC!D428,IPCCMaps!G:G,0))</f>
        <v>#N/A</v>
      </c>
      <c r="I428" t="e">
        <f>INDEX(IPCCMaps!K:K,MATCH(mapPRC!D428,IPCCMaps!G:G,0))</f>
        <v>#N/A</v>
      </c>
    </row>
    <row r="429" spans="1:9" hidden="1" x14ac:dyDescent="0.25">
      <c r="A429" t="s">
        <v>919</v>
      </c>
      <c r="B429" t="s">
        <v>918</v>
      </c>
      <c r="C429" t="s">
        <v>21</v>
      </c>
      <c r="D429" t="s">
        <v>2878</v>
      </c>
      <c r="E429" t="s">
        <v>913</v>
      </c>
      <c r="F429" t="str">
        <f>INDEX(IPCCMaps!H:H,MATCH(mapPRC!D429,IPCCMaps!G:G,0))</f>
        <v>1 Energy</v>
      </c>
      <c r="G429" t="str">
        <f>INDEX(IPCCMaps!I:I,MATCH(mapPRC!D429,IPCCMaps!G:G,0))</f>
        <v>1B Fugitive emissions from fuels</v>
      </c>
      <c r="H429" t="str">
        <f>INDEX(IPCCMaps!J:J,MATCH(mapPRC!D429,IPCCMaps!G:G,0))</f>
        <v>1B2 Oil and Natural Gas</v>
      </c>
      <c r="I429" t="str">
        <f>INDEX(IPCCMaps!K:K,MATCH(mapPRC!D429,IPCCMaps!G:G,0))</f>
        <v>1B2 Oil and Natural Gas</v>
      </c>
    </row>
    <row r="430" spans="1:9" hidden="1" x14ac:dyDescent="0.25">
      <c r="A430" t="s">
        <v>917</v>
      </c>
      <c r="B430" t="s">
        <v>916</v>
      </c>
      <c r="C430" t="s">
        <v>21</v>
      </c>
      <c r="D430" t="s">
        <v>2878</v>
      </c>
      <c r="E430" t="s">
        <v>913</v>
      </c>
      <c r="F430" t="str">
        <f>INDEX(IPCCMaps!H:H,MATCH(mapPRC!D430,IPCCMaps!G:G,0))</f>
        <v>1 Energy</v>
      </c>
      <c r="G430" t="str">
        <f>INDEX(IPCCMaps!I:I,MATCH(mapPRC!D430,IPCCMaps!G:G,0))</f>
        <v>1B Fugitive emissions from fuels</v>
      </c>
      <c r="H430" t="str">
        <f>INDEX(IPCCMaps!J:J,MATCH(mapPRC!D430,IPCCMaps!G:G,0))</f>
        <v>1B2 Oil and Natural Gas</v>
      </c>
      <c r="I430" t="str">
        <f>INDEX(IPCCMaps!K:K,MATCH(mapPRC!D430,IPCCMaps!G:G,0))</f>
        <v>1B2 Oil and Natural Gas</v>
      </c>
    </row>
    <row r="431" spans="1:9" hidden="1" x14ac:dyDescent="0.25">
      <c r="A431" t="s">
        <v>915</v>
      </c>
      <c r="B431" t="s">
        <v>914</v>
      </c>
      <c r="C431" t="s">
        <v>21</v>
      </c>
      <c r="D431" t="s">
        <v>2878</v>
      </c>
      <c r="E431" t="s">
        <v>913</v>
      </c>
      <c r="F431" t="str">
        <f>INDEX(IPCCMaps!H:H,MATCH(mapPRC!D431,IPCCMaps!G:G,0))</f>
        <v>1 Energy</v>
      </c>
      <c r="G431" t="str">
        <f>INDEX(IPCCMaps!I:I,MATCH(mapPRC!D431,IPCCMaps!G:G,0))</f>
        <v>1B Fugitive emissions from fuels</v>
      </c>
      <c r="H431" t="str">
        <f>INDEX(IPCCMaps!J:J,MATCH(mapPRC!D431,IPCCMaps!G:G,0))</f>
        <v>1B2 Oil and Natural Gas</v>
      </c>
      <c r="I431" t="str">
        <f>INDEX(IPCCMaps!K:K,MATCH(mapPRC!D431,IPCCMaps!G:G,0))</f>
        <v>1B2 Oil and Natural Gas</v>
      </c>
    </row>
    <row r="432" spans="1:9" hidden="1" x14ac:dyDescent="0.25">
      <c r="A432" t="s">
        <v>912</v>
      </c>
      <c r="B432" t="s">
        <v>911</v>
      </c>
      <c r="C432" t="s">
        <v>21</v>
      </c>
      <c r="D432" t="s">
        <v>2878</v>
      </c>
      <c r="E432" t="s">
        <v>910</v>
      </c>
      <c r="F432" t="str">
        <f>INDEX(IPCCMaps!H:H,MATCH(mapPRC!D432,IPCCMaps!G:G,0))</f>
        <v>1 Energy</v>
      </c>
      <c r="G432" t="str">
        <f>INDEX(IPCCMaps!I:I,MATCH(mapPRC!D432,IPCCMaps!G:G,0))</f>
        <v>1B Fugitive emissions from fuels</v>
      </c>
      <c r="H432" t="str">
        <f>INDEX(IPCCMaps!J:J,MATCH(mapPRC!D432,IPCCMaps!G:G,0))</f>
        <v>1B2 Oil and Natural Gas</v>
      </c>
      <c r="I432" t="str">
        <f>INDEX(IPCCMaps!K:K,MATCH(mapPRC!D432,IPCCMaps!G:G,0))</f>
        <v>1B2 Oil and Natural Gas</v>
      </c>
    </row>
    <row r="433" spans="1:9" hidden="1" x14ac:dyDescent="0.25">
      <c r="A433" t="s">
        <v>909</v>
      </c>
      <c r="B433" t="s">
        <v>908</v>
      </c>
      <c r="C433" t="s">
        <v>21</v>
      </c>
      <c r="D433" t="s">
        <v>2879</v>
      </c>
      <c r="E433" t="s">
        <v>0</v>
      </c>
      <c r="F433" t="e">
        <f>INDEX(IPCCMaps!H:H,MATCH(mapPRC!D433,IPCCMaps!G:G,0))</f>
        <v>#N/A</v>
      </c>
      <c r="G433" t="e">
        <f>INDEX(IPCCMaps!I:I,MATCH(mapPRC!D433,IPCCMaps!G:G,0))</f>
        <v>#N/A</v>
      </c>
      <c r="H433" t="e">
        <f>INDEX(IPCCMaps!J:J,MATCH(mapPRC!D433,IPCCMaps!G:G,0))</f>
        <v>#N/A</v>
      </c>
      <c r="I433" t="e">
        <f>INDEX(IPCCMaps!K:K,MATCH(mapPRC!D433,IPCCMaps!G:G,0))</f>
        <v>#N/A</v>
      </c>
    </row>
    <row r="434" spans="1:9" hidden="1" x14ac:dyDescent="0.25">
      <c r="A434" t="s">
        <v>907</v>
      </c>
      <c r="B434" t="s">
        <v>906</v>
      </c>
      <c r="C434" t="s">
        <v>21</v>
      </c>
      <c r="D434" t="s">
        <v>2876</v>
      </c>
      <c r="E434" t="s">
        <v>0</v>
      </c>
      <c r="F434" t="e">
        <f>INDEX(IPCCMaps!H:H,MATCH(mapPRC!D434,IPCCMaps!G:G,0))</f>
        <v>#N/A</v>
      </c>
      <c r="G434" t="e">
        <f>INDEX(IPCCMaps!I:I,MATCH(mapPRC!D434,IPCCMaps!G:G,0))</f>
        <v>#N/A</v>
      </c>
      <c r="H434" t="e">
        <f>INDEX(IPCCMaps!J:J,MATCH(mapPRC!D434,IPCCMaps!G:G,0))</f>
        <v>#N/A</v>
      </c>
      <c r="I434" t="e">
        <f>INDEX(IPCCMaps!K:K,MATCH(mapPRC!D434,IPCCMaps!G:G,0))</f>
        <v>#N/A</v>
      </c>
    </row>
    <row r="435" spans="1:9" hidden="1" x14ac:dyDescent="0.25">
      <c r="A435" t="s">
        <v>905</v>
      </c>
      <c r="B435" t="s">
        <v>904</v>
      </c>
      <c r="C435" t="s">
        <v>21</v>
      </c>
      <c r="D435" t="s">
        <v>2926</v>
      </c>
      <c r="E435" t="s">
        <v>0</v>
      </c>
      <c r="F435" t="str">
        <f>INDEX(IPCCMaps!H:H,MATCH(mapPRC!D435,IPCCMaps!G:G,0))</f>
        <v>1 Energy</v>
      </c>
      <c r="G435" t="str">
        <f>INDEX(IPCCMaps!I:I,MATCH(mapPRC!D435,IPCCMaps!G:G,0))</f>
        <v>1B Fugitive emissions from fuels</v>
      </c>
      <c r="H435" t="str">
        <f>INDEX(IPCCMaps!J:J,MATCH(mapPRC!D435,IPCCMaps!G:G,0))</f>
        <v>1B2 Oil and Natural Gas</v>
      </c>
      <c r="I435" t="str">
        <f>INDEX(IPCCMaps!K:K,MATCH(mapPRC!D435,IPCCMaps!G:G,0))</f>
        <v>1B2 Oil and Natural Gas</v>
      </c>
    </row>
    <row r="436" spans="1:9" hidden="1" x14ac:dyDescent="0.25">
      <c r="A436" t="s">
        <v>903</v>
      </c>
      <c r="B436" t="s">
        <v>902</v>
      </c>
      <c r="C436" t="s">
        <v>21</v>
      </c>
      <c r="D436" t="s">
        <v>2879</v>
      </c>
      <c r="E436" t="s">
        <v>0</v>
      </c>
      <c r="F436" t="e">
        <f>INDEX(IPCCMaps!H:H,MATCH(mapPRC!D436,IPCCMaps!G:G,0))</f>
        <v>#N/A</v>
      </c>
      <c r="G436" t="e">
        <f>INDEX(IPCCMaps!I:I,MATCH(mapPRC!D436,IPCCMaps!G:G,0))</f>
        <v>#N/A</v>
      </c>
      <c r="H436" t="e">
        <f>INDEX(IPCCMaps!J:J,MATCH(mapPRC!D436,IPCCMaps!G:G,0))</f>
        <v>#N/A</v>
      </c>
      <c r="I436" t="e">
        <f>INDEX(IPCCMaps!K:K,MATCH(mapPRC!D436,IPCCMaps!G:G,0))</f>
        <v>#N/A</v>
      </c>
    </row>
    <row r="437" spans="1:9" hidden="1" x14ac:dyDescent="0.25">
      <c r="A437" t="s">
        <v>901</v>
      </c>
      <c r="B437" t="s">
        <v>900</v>
      </c>
      <c r="C437" t="s">
        <v>21</v>
      </c>
      <c r="D437" t="s">
        <v>2879</v>
      </c>
      <c r="E437" t="s">
        <v>0</v>
      </c>
      <c r="F437" t="e">
        <f>INDEX(IPCCMaps!H:H,MATCH(mapPRC!D437,IPCCMaps!G:G,0))</f>
        <v>#N/A</v>
      </c>
      <c r="G437" t="e">
        <f>INDEX(IPCCMaps!I:I,MATCH(mapPRC!D437,IPCCMaps!G:G,0))</f>
        <v>#N/A</v>
      </c>
      <c r="H437" t="e">
        <f>INDEX(IPCCMaps!J:J,MATCH(mapPRC!D437,IPCCMaps!G:G,0))</f>
        <v>#N/A</v>
      </c>
      <c r="I437" t="e">
        <f>INDEX(IPCCMaps!K:K,MATCH(mapPRC!D437,IPCCMaps!G:G,0))</f>
        <v>#N/A</v>
      </c>
    </row>
    <row r="438" spans="1:9" hidden="1" x14ac:dyDescent="0.25">
      <c r="A438" t="s">
        <v>899</v>
      </c>
      <c r="B438" t="s">
        <v>898</v>
      </c>
      <c r="E438" t="s">
        <v>0</v>
      </c>
      <c r="F438" t="e">
        <f>INDEX(IPCCMaps!H:H,MATCH(mapPRC!D438,IPCCMaps!G:G,0))</f>
        <v>#N/A</v>
      </c>
      <c r="G438" t="e">
        <f>INDEX(IPCCMaps!I:I,MATCH(mapPRC!D438,IPCCMaps!G:G,0))</f>
        <v>#N/A</v>
      </c>
      <c r="H438" t="e">
        <f>INDEX(IPCCMaps!J:J,MATCH(mapPRC!D438,IPCCMaps!G:G,0))</f>
        <v>#N/A</v>
      </c>
      <c r="I438" t="e">
        <f>INDEX(IPCCMaps!K:K,MATCH(mapPRC!D438,IPCCMaps!G:G,0))</f>
        <v>#N/A</v>
      </c>
    </row>
    <row r="439" spans="1:9" hidden="1" x14ac:dyDescent="0.25">
      <c r="A439" t="s">
        <v>897</v>
      </c>
      <c r="B439" t="s">
        <v>896</v>
      </c>
      <c r="C439" t="s">
        <v>21</v>
      </c>
      <c r="D439" t="s">
        <v>2879</v>
      </c>
      <c r="E439" t="s">
        <v>0</v>
      </c>
      <c r="F439" t="e">
        <f>INDEX(IPCCMaps!H:H,MATCH(mapPRC!D439,IPCCMaps!G:G,0))</f>
        <v>#N/A</v>
      </c>
      <c r="G439" t="e">
        <f>INDEX(IPCCMaps!I:I,MATCH(mapPRC!D439,IPCCMaps!G:G,0))</f>
        <v>#N/A</v>
      </c>
      <c r="H439" t="e">
        <f>INDEX(IPCCMaps!J:J,MATCH(mapPRC!D439,IPCCMaps!G:G,0))</f>
        <v>#N/A</v>
      </c>
      <c r="I439" t="e">
        <f>INDEX(IPCCMaps!K:K,MATCH(mapPRC!D439,IPCCMaps!G:G,0))</f>
        <v>#N/A</v>
      </c>
    </row>
    <row r="440" spans="1:9" hidden="1" x14ac:dyDescent="0.25">
      <c r="A440" t="s">
        <v>46</v>
      </c>
      <c r="B440" t="s">
        <v>45</v>
      </c>
      <c r="C440" t="s">
        <v>21</v>
      </c>
      <c r="D440" t="s">
        <v>44</v>
      </c>
      <c r="E440" t="s">
        <v>43</v>
      </c>
      <c r="F440" t="str">
        <f>INDEX(IPCCMaps!H:H,MATCH(mapPRC!D440,IPCCMaps!G:G,0))</f>
        <v>1 Energy</v>
      </c>
      <c r="G440">
        <f>INDEX(IPCCMaps!I:I,MATCH(mapPRC!D440,IPCCMaps!G:G,0))</f>
        <v>0</v>
      </c>
      <c r="H440">
        <f>INDEX(IPCCMaps!J:J,MATCH(mapPRC!D440,IPCCMaps!G:G,0))</f>
        <v>0</v>
      </c>
      <c r="I440">
        <f>INDEX(IPCCMaps!K:K,MATCH(mapPRC!D440,IPCCMaps!G:G,0))</f>
        <v>0</v>
      </c>
    </row>
    <row r="441" spans="1:9" hidden="1" x14ac:dyDescent="0.25">
      <c r="A441" t="s">
        <v>895</v>
      </c>
      <c r="B441" t="s">
        <v>894</v>
      </c>
      <c r="E441" t="s">
        <v>0</v>
      </c>
      <c r="F441" t="e">
        <f>INDEX(IPCCMaps!H:H,MATCH(mapPRC!D441,IPCCMaps!G:G,0))</f>
        <v>#N/A</v>
      </c>
      <c r="G441" t="e">
        <f>INDEX(IPCCMaps!I:I,MATCH(mapPRC!D441,IPCCMaps!G:G,0))</f>
        <v>#N/A</v>
      </c>
      <c r="H441" t="e">
        <f>INDEX(IPCCMaps!J:J,MATCH(mapPRC!D441,IPCCMaps!G:G,0))</f>
        <v>#N/A</v>
      </c>
      <c r="I441" t="e">
        <f>INDEX(IPCCMaps!K:K,MATCH(mapPRC!D441,IPCCMaps!G:G,0))</f>
        <v>#N/A</v>
      </c>
    </row>
    <row r="442" spans="1:9" hidden="1" x14ac:dyDescent="0.25">
      <c r="A442" t="s">
        <v>893</v>
      </c>
      <c r="B442" t="s">
        <v>892</v>
      </c>
      <c r="E442" t="s">
        <v>0</v>
      </c>
      <c r="F442" t="e">
        <f>INDEX(IPCCMaps!H:H,MATCH(mapPRC!D442,IPCCMaps!G:G,0))</f>
        <v>#N/A</v>
      </c>
      <c r="G442" t="e">
        <f>INDEX(IPCCMaps!I:I,MATCH(mapPRC!D442,IPCCMaps!G:G,0))</f>
        <v>#N/A</v>
      </c>
      <c r="H442" t="e">
        <f>INDEX(IPCCMaps!J:J,MATCH(mapPRC!D442,IPCCMaps!G:G,0))</f>
        <v>#N/A</v>
      </c>
      <c r="I442" t="e">
        <f>INDEX(IPCCMaps!K:K,MATCH(mapPRC!D442,IPCCMaps!G:G,0))</f>
        <v>#N/A</v>
      </c>
    </row>
    <row r="443" spans="1:9" hidden="1" x14ac:dyDescent="0.25">
      <c r="A443" t="s">
        <v>891</v>
      </c>
      <c r="B443" t="s">
        <v>890</v>
      </c>
      <c r="E443" t="s">
        <v>0</v>
      </c>
      <c r="F443" t="e">
        <f>INDEX(IPCCMaps!H:H,MATCH(mapPRC!D443,IPCCMaps!G:G,0))</f>
        <v>#N/A</v>
      </c>
      <c r="G443" t="e">
        <f>INDEX(IPCCMaps!I:I,MATCH(mapPRC!D443,IPCCMaps!G:G,0))</f>
        <v>#N/A</v>
      </c>
      <c r="H443" t="e">
        <f>INDEX(IPCCMaps!J:J,MATCH(mapPRC!D443,IPCCMaps!G:G,0))</f>
        <v>#N/A</v>
      </c>
      <c r="I443" t="e">
        <f>INDEX(IPCCMaps!K:K,MATCH(mapPRC!D443,IPCCMaps!G:G,0))</f>
        <v>#N/A</v>
      </c>
    </row>
    <row r="444" spans="1:9" hidden="1" x14ac:dyDescent="0.25">
      <c r="A444" t="s">
        <v>889</v>
      </c>
      <c r="B444" t="s">
        <v>888</v>
      </c>
      <c r="E444" t="s">
        <v>0</v>
      </c>
      <c r="F444" t="e">
        <f>INDEX(IPCCMaps!H:H,MATCH(mapPRC!D444,IPCCMaps!G:G,0))</f>
        <v>#N/A</v>
      </c>
      <c r="G444" t="e">
        <f>INDEX(IPCCMaps!I:I,MATCH(mapPRC!D444,IPCCMaps!G:G,0))</f>
        <v>#N/A</v>
      </c>
      <c r="H444" t="e">
        <f>INDEX(IPCCMaps!J:J,MATCH(mapPRC!D444,IPCCMaps!G:G,0))</f>
        <v>#N/A</v>
      </c>
      <c r="I444" t="e">
        <f>INDEX(IPCCMaps!K:K,MATCH(mapPRC!D444,IPCCMaps!G:G,0))</f>
        <v>#N/A</v>
      </c>
    </row>
    <row r="445" spans="1:9" hidden="1" x14ac:dyDescent="0.25">
      <c r="A445" t="s">
        <v>18</v>
      </c>
      <c r="B445" t="s">
        <v>17</v>
      </c>
      <c r="E445" t="s">
        <v>0</v>
      </c>
      <c r="F445" t="e">
        <f>INDEX(IPCCMaps!H:H,MATCH(mapPRC!D445,IPCCMaps!G:G,0))</f>
        <v>#N/A</v>
      </c>
      <c r="G445" t="e">
        <f>INDEX(IPCCMaps!I:I,MATCH(mapPRC!D445,IPCCMaps!G:G,0))</f>
        <v>#N/A</v>
      </c>
      <c r="H445" t="e">
        <f>INDEX(IPCCMaps!J:J,MATCH(mapPRC!D445,IPCCMaps!G:G,0))</f>
        <v>#N/A</v>
      </c>
      <c r="I445" t="e">
        <f>INDEX(IPCCMaps!K:K,MATCH(mapPRC!D445,IPCCMaps!G:G,0))</f>
        <v>#N/A</v>
      </c>
    </row>
    <row r="446" spans="1:9" hidden="1" x14ac:dyDescent="0.25">
      <c r="A446" t="s">
        <v>887</v>
      </c>
      <c r="B446" t="s">
        <v>886</v>
      </c>
      <c r="E446" t="s">
        <v>0</v>
      </c>
      <c r="F446" t="e">
        <f>INDEX(IPCCMaps!H:H,MATCH(mapPRC!D446,IPCCMaps!G:G,0))</f>
        <v>#N/A</v>
      </c>
      <c r="G446" t="e">
        <f>INDEX(IPCCMaps!I:I,MATCH(mapPRC!D446,IPCCMaps!G:G,0))</f>
        <v>#N/A</v>
      </c>
      <c r="H446" t="e">
        <f>INDEX(IPCCMaps!J:J,MATCH(mapPRC!D446,IPCCMaps!G:G,0))</f>
        <v>#N/A</v>
      </c>
      <c r="I446" t="e">
        <f>INDEX(IPCCMaps!K:K,MATCH(mapPRC!D446,IPCCMaps!G:G,0))</f>
        <v>#N/A</v>
      </c>
    </row>
    <row r="447" spans="1:9" hidden="1" x14ac:dyDescent="0.25">
      <c r="A447" t="s">
        <v>885</v>
      </c>
      <c r="B447" t="s">
        <v>884</v>
      </c>
      <c r="C447" t="s">
        <v>21</v>
      </c>
      <c r="D447" t="s">
        <v>863</v>
      </c>
      <c r="E447" t="s">
        <v>863</v>
      </c>
      <c r="F447" t="str">
        <f>INDEX(IPCCMaps!H:H,MATCH(mapPRC!D447,IPCCMaps!G:G,0))</f>
        <v>1 Energy</v>
      </c>
      <c r="G447">
        <f>INDEX(IPCCMaps!I:I,MATCH(mapPRC!D447,IPCCMaps!G:G,0))</f>
        <v>0</v>
      </c>
      <c r="H447">
        <f>INDEX(IPCCMaps!J:J,MATCH(mapPRC!D447,IPCCMaps!G:G,0))</f>
        <v>0</v>
      </c>
      <c r="I447">
        <f>INDEX(IPCCMaps!K:K,MATCH(mapPRC!D447,IPCCMaps!G:G,0))</f>
        <v>0</v>
      </c>
    </row>
    <row r="448" spans="1:9" hidden="1" x14ac:dyDescent="0.25">
      <c r="A448" t="s">
        <v>883</v>
      </c>
      <c r="B448" t="s">
        <v>882</v>
      </c>
      <c r="C448" t="s">
        <v>21</v>
      </c>
      <c r="D448" t="s">
        <v>863</v>
      </c>
      <c r="E448" t="s">
        <v>863</v>
      </c>
      <c r="F448" t="str">
        <f>INDEX(IPCCMaps!H:H,MATCH(mapPRC!D448,IPCCMaps!G:G,0))</f>
        <v>1 Energy</v>
      </c>
      <c r="G448">
        <f>INDEX(IPCCMaps!I:I,MATCH(mapPRC!D448,IPCCMaps!G:G,0))</f>
        <v>0</v>
      </c>
      <c r="H448">
        <f>INDEX(IPCCMaps!J:J,MATCH(mapPRC!D448,IPCCMaps!G:G,0))</f>
        <v>0</v>
      </c>
      <c r="I448">
        <f>INDEX(IPCCMaps!K:K,MATCH(mapPRC!D448,IPCCMaps!G:G,0))</f>
        <v>0</v>
      </c>
    </row>
    <row r="449" spans="1:9" hidden="1" x14ac:dyDescent="0.25">
      <c r="A449" t="s">
        <v>881</v>
      </c>
      <c r="B449" t="s">
        <v>880</v>
      </c>
      <c r="C449" t="s">
        <v>21</v>
      </c>
      <c r="D449" t="s">
        <v>863</v>
      </c>
      <c r="E449" t="s">
        <v>863</v>
      </c>
      <c r="F449" t="str">
        <f>INDEX(IPCCMaps!H:H,MATCH(mapPRC!D449,IPCCMaps!G:G,0))</f>
        <v>1 Energy</v>
      </c>
      <c r="G449">
        <f>INDEX(IPCCMaps!I:I,MATCH(mapPRC!D449,IPCCMaps!G:G,0))</f>
        <v>0</v>
      </c>
      <c r="H449">
        <f>INDEX(IPCCMaps!J:J,MATCH(mapPRC!D449,IPCCMaps!G:G,0))</f>
        <v>0</v>
      </c>
      <c r="I449">
        <f>INDEX(IPCCMaps!K:K,MATCH(mapPRC!D449,IPCCMaps!G:G,0))</f>
        <v>0</v>
      </c>
    </row>
    <row r="450" spans="1:9" hidden="1" x14ac:dyDescent="0.25">
      <c r="A450" t="s">
        <v>879</v>
      </c>
      <c r="B450" t="s">
        <v>878</v>
      </c>
      <c r="C450" t="s">
        <v>21</v>
      </c>
      <c r="D450" t="s">
        <v>863</v>
      </c>
      <c r="E450" t="s">
        <v>863</v>
      </c>
      <c r="F450" t="str">
        <f>INDEX(IPCCMaps!H:H,MATCH(mapPRC!D450,IPCCMaps!G:G,0))</f>
        <v>1 Energy</v>
      </c>
      <c r="G450">
        <f>INDEX(IPCCMaps!I:I,MATCH(mapPRC!D450,IPCCMaps!G:G,0))</f>
        <v>0</v>
      </c>
      <c r="H450">
        <f>INDEX(IPCCMaps!J:J,MATCH(mapPRC!D450,IPCCMaps!G:G,0))</f>
        <v>0</v>
      </c>
      <c r="I450">
        <f>INDEX(IPCCMaps!K:K,MATCH(mapPRC!D450,IPCCMaps!G:G,0))</f>
        <v>0</v>
      </c>
    </row>
    <row r="451" spans="1:9" hidden="1" x14ac:dyDescent="0.25">
      <c r="A451" t="s">
        <v>3110</v>
      </c>
      <c r="B451" t="s">
        <v>3111</v>
      </c>
      <c r="F451" t="e">
        <f>INDEX(IPCCMaps!H:H,MATCH(mapPRC!D451,IPCCMaps!G:G,0))</f>
        <v>#N/A</v>
      </c>
      <c r="G451" t="e">
        <f>INDEX(IPCCMaps!I:I,MATCH(mapPRC!D451,IPCCMaps!G:G,0))</f>
        <v>#N/A</v>
      </c>
      <c r="H451" t="e">
        <f>INDEX(IPCCMaps!J:J,MATCH(mapPRC!D451,IPCCMaps!G:G,0))</f>
        <v>#N/A</v>
      </c>
      <c r="I451" t="e">
        <f>INDEX(IPCCMaps!K:K,MATCH(mapPRC!D451,IPCCMaps!G:G,0))</f>
        <v>#N/A</v>
      </c>
    </row>
    <row r="452" spans="1:9" hidden="1" x14ac:dyDescent="0.25">
      <c r="A452" t="s">
        <v>3112</v>
      </c>
      <c r="B452" t="s">
        <v>3113</v>
      </c>
      <c r="C452" t="s">
        <v>21</v>
      </c>
      <c r="D452" t="s">
        <v>863</v>
      </c>
      <c r="E452" t="s">
        <v>863</v>
      </c>
      <c r="F452" t="str">
        <f>INDEX(IPCCMaps!H:H,MATCH(mapPRC!D452,IPCCMaps!G:G,0))</f>
        <v>1 Energy</v>
      </c>
      <c r="G452">
        <f>INDEX(IPCCMaps!I:I,MATCH(mapPRC!D452,IPCCMaps!G:G,0))</f>
        <v>0</v>
      </c>
      <c r="H452">
        <f>INDEX(IPCCMaps!J:J,MATCH(mapPRC!D452,IPCCMaps!G:G,0))</f>
        <v>0</v>
      </c>
      <c r="I452">
        <f>INDEX(IPCCMaps!K:K,MATCH(mapPRC!D452,IPCCMaps!G:G,0))</f>
        <v>0</v>
      </c>
    </row>
    <row r="453" spans="1:9" hidden="1" x14ac:dyDescent="0.25">
      <c r="A453" t="s">
        <v>877</v>
      </c>
      <c r="B453" t="s">
        <v>876</v>
      </c>
      <c r="C453" t="s">
        <v>21</v>
      </c>
      <c r="D453" t="s">
        <v>863</v>
      </c>
      <c r="E453" t="s">
        <v>863</v>
      </c>
      <c r="F453" t="str">
        <f>INDEX(IPCCMaps!H:H,MATCH(mapPRC!D453,IPCCMaps!G:G,0))</f>
        <v>1 Energy</v>
      </c>
      <c r="G453">
        <f>INDEX(IPCCMaps!I:I,MATCH(mapPRC!D453,IPCCMaps!G:G,0))</f>
        <v>0</v>
      </c>
      <c r="H453">
        <f>INDEX(IPCCMaps!J:J,MATCH(mapPRC!D453,IPCCMaps!G:G,0))</f>
        <v>0</v>
      </c>
      <c r="I453">
        <f>INDEX(IPCCMaps!K:K,MATCH(mapPRC!D453,IPCCMaps!G:G,0))</f>
        <v>0</v>
      </c>
    </row>
    <row r="454" spans="1:9" hidden="1" x14ac:dyDescent="0.25">
      <c r="A454" t="s">
        <v>875</v>
      </c>
      <c r="B454" t="s">
        <v>874</v>
      </c>
      <c r="C454" t="s">
        <v>21</v>
      </c>
      <c r="D454" t="s">
        <v>863</v>
      </c>
      <c r="E454" t="s">
        <v>863</v>
      </c>
      <c r="F454" t="str">
        <f>INDEX(IPCCMaps!H:H,MATCH(mapPRC!D454,IPCCMaps!G:G,0))</f>
        <v>1 Energy</v>
      </c>
      <c r="G454">
        <f>INDEX(IPCCMaps!I:I,MATCH(mapPRC!D454,IPCCMaps!G:G,0))</f>
        <v>0</v>
      </c>
      <c r="H454">
        <f>INDEX(IPCCMaps!J:J,MATCH(mapPRC!D454,IPCCMaps!G:G,0))</f>
        <v>0</v>
      </c>
      <c r="I454">
        <f>INDEX(IPCCMaps!K:K,MATCH(mapPRC!D454,IPCCMaps!G:G,0))</f>
        <v>0</v>
      </c>
    </row>
    <row r="455" spans="1:9" hidden="1" x14ac:dyDescent="0.25">
      <c r="A455" t="s">
        <v>873</v>
      </c>
      <c r="B455" t="s">
        <v>872</v>
      </c>
      <c r="C455" t="s">
        <v>21</v>
      </c>
      <c r="D455" t="s">
        <v>863</v>
      </c>
      <c r="E455" t="s">
        <v>863</v>
      </c>
      <c r="F455" t="str">
        <f>INDEX(IPCCMaps!H:H,MATCH(mapPRC!D455,IPCCMaps!G:G,0))</f>
        <v>1 Energy</v>
      </c>
      <c r="G455">
        <f>INDEX(IPCCMaps!I:I,MATCH(mapPRC!D455,IPCCMaps!G:G,0))</f>
        <v>0</v>
      </c>
      <c r="H455">
        <f>INDEX(IPCCMaps!J:J,MATCH(mapPRC!D455,IPCCMaps!G:G,0))</f>
        <v>0</v>
      </c>
      <c r="I455">
        <f>INDEX(IPCCMaps!K:K,MATCH(mapPRC!D455,IPCCMaps!G:G,0))</f>
        <v>0</v>
      </c>
    </row>
    <row r="456" spans="1:9" hidden="1" x14ac:dyDescent="0.25">
      <c r="A456" t="s">
        <v>871</v>
      </c>
      <c r="B456" t="s">
        <v>870</v>
      </c>
      <c r="C456" t="s">
        <v>21</v>
      </c>
      <c r="D456" t="s">
        <v>863</v>
      </c>
      <c r="E456" t="s">
        <v>863</v>
      </c>
      <c r="F456" t="str">
        <f>INDEX(IPCCMaps!H:H,MATCH(mapPRC!D456,IPCCMaps!G:G,0))</f>
        <v>1 Energy</v>
      </c>
      <c r="G456">
        <f>INDEX(IPCCMaps!I:I,MATCH(mapPRC!D456,IPCCMaps!G:G,0))</f>
        <v>0</v>
      </c>
      <c r="H456">
        <f>INDEX(IPCCMaps!J:J,MATCH(mapPRC!D456,IPCCMaps!G:G,0))</f>
        <v>0</v>
      </c>
      <c r="I456">
        <f>INDEX(IPCCMaps!K:K,MATCH(mapPRC!D456,IPCCMaps!G:G,0))</f>
        <v>0</v>
      </c>
    </row>
    <row r="457" spans="1:9" hidden="1" x14ac:dyDescent="0.25">
      <c r="A457" t="s">
        <v>869</v>
      </c>
      <c r="B457" t="s">
        <v>868</v>
      </c>
      <c r="C457" t="s">
        <v>21</v>
      </c>
      <c r="D457" t="s">
        <v>863</v>
      </c>
      <c r="E457" t="s">
        <v>863</v>
      </c>
      <c r="F457" t="str">
        <f>INDEX(IPCCMaps!H:H,MATCH(mapPRC!D457,IPCCMaps!G:G,0))</f>
        <v>1 Energy</v>
      </c>
      <c r="G457">
        <f>INDEX(IPCCMaps!I:I,MATCH(mapPRC!D457,IPCCMaps!G:G,0))</f>
        <v>0</v>
      </c>
      <c r="H457">
        <f>INDEX(IPCCMaps!J:J,MATCH(mapPRC!D457,IPCCMaps!G:G,0))</f>
        <v>0</v>
      </c>
      <c r="I457">
        <f>INDEX(IPCCMaps!K:K,MATCH(mapPRC!D457,IPCCMaps!G:G,0))</f>
        <v>0</v>
      </c>
    </row>
    <row r="458" spans="1:9" hidden="1" x14ac:dyDescent="0.25">
      <c r="A458" t="s">
        <v>867</v>
      </c>
      <c r="B458" t="s">
        <v>866</v>
      </c>
      <c r="C458" t="s">
        <v>21</v>
      </c>
      <c r="D458" t="s">
        <v>863</v>
      </c>
      <c r="E458" t="s">
        <v>863</v>
      </c>
      <c r="F458" t="str">
        <f>INDEX(IPCCMaps!H:H,MATCH(mapPRC!D458,IPCCMaps!G:G,0))</f>
        <v>1 Energy</v>
      </c>
      <c r="G458">
        <f>INDEX(IPCCMaps!I:I,MATCH(mapPRC!D458,IPCCMaps!G:G,0))</f>
        <v>0</v>
      </c>
      <c r="H458">
        <f>INDEX(IPCCMaps!J:J,MATCH(mapPRC!D458,IPCCMaps!G:G,0))</f>
        <v>0</v>
      </c>
      <c r="I458">
        <f>INDEX(IPCCMaps!K:K,MATCH(mapPRC!D458,IPCCMaps!G:G,0))</f>
        <v>0</v>
      </c>
    </row>
    <row r="459" spans="1:9" hidden="1" x14ac:dyDescent="0.25">
      <c r="A459" t="s">
        <v>865</v>
      </c>
      <c r="B459" t="s">
        <v>864</v>
      </c>
      <c r="C459" t="s">
        <v>21</v>
      </c>
      <c r="D459" t="s">
        <v>863</v>
      </c>
      <c r="E459" t="s">
        <v>863</v>
      </c>
      <c r="F459" t="str">
        <f>INDEX(IPCCMaps!H:H,MATCH(mapPRC!D459,IPCCMaps!G:G,0))</f>
        <v>1 Energy</v>
      </c>
      <c r="G459">
        <f>INDEX(IPCCMaps!I:I,MATCH(mapPRC!D459,IPCCMaps!G:G,0))</f>
        <v>0</v>
      </c>
      <c r="H459">
        <f>INDEX(IPCCMaps!J:J,MATCH(mapPRC!D459,IPCCMaps!G:G,0))</f>
        <v>0</v>
      </c>
      <c r="I459">
        <f>INDEX(IPCCMaps!K:K,MATCH(mapPRC!D459,IPCCMaps!G:G,0))</f>
        <v>0</v>
      </c>
    </row>
    <row r="460" spans="1:9" hidden="1" x14ac:dyDescent="0.25">
      <c r="A460" t="s">
        <v>3114</v>
      </c>
      <c r="B460" t="s">
        <v>3115</v>
      </c>
    </row>
    <row r="461" spans="1:9" hidden="1" x14ac:dyDescent="0.25">
      <c r="A461" t="s">
        <v>862</v>
      </c>
      <c r="B461" t="s">
        <v>856</v>
      </c>
      <c r="C461" t="s">
        <v>723</v>
      </c>
      <c r="D461" t="s">
        <v>834</v>
      </c>
      <c r="E461" t="s">
        <v>743</v>
      </c>
      <c r="F461" t="str">
        <f>INDEX(IPCCMaps!H:H,MATCH(mapPRC!D461,IPCCMaps!G:G,0))</f>
        <v>1 Energy</v>
      </c>
      <c r="G461" t="str">
        <f>INDEX(IPCCMaps!I:I,MATCH(mapPRC!D461,IPCCMaps!G:G,0))</f>
        <v>1A Fuel Combustion Activities</v>
      </c>
      <c r="H461" t="str">
        <f>INDEX(IPCCMaps!J:J,MATCH(mapPRC!D461,IPCCMaps!G:G,0))</f>
        <v>1A4 Other Sectors</v>
      </c>
      <c r="I461" t="str">
        <f>INDEX(IPCCMaps!K:K,MATCH(mapPRC!D461,IPCCMaps!G:G,0))</f>
        <v>1A4b Residential</v>
      </c>
    </row>
    <row r="462" spans="1:9" hidden="1" x14ac:dyDescent="0.25">
      <c r="A462" t="s">
        <v>861</v>
      </c>
      <c r="B462" t="s">
        <v>856</v>
      </c>
      <c r="C462" t="s">
        <v>723</v>
      </c>
      <c r="D462" t="s">
        <v>834</v>
      </c>
      <c r="E462" t="s">
        <v>743</v>
      </c>
      <c r="F462" t="str">
        <f>INDEX(IPCCMaps!H:H,MATCH(mapPRC!D462,IPCCMaps!G:G,0))</f>
        <v>1 Energy</v>
      </c>
      <c r="G462" t="str">
        <f>INDEX(IPCCMaps!I:I,MATCH(mapPRC!D462,IPCCMaps!G:G,0))</f>
        <v>1A Fuel Combustion Activities</v>
      </c>
      <c r="H462" t="str">
        <f>INDEX(IPCCMaps!J:J,MATCH(mapPRC!D462,IPCCMaps!G:G,0))</f>
        <v>1A4 Other Sectors</v>
      </c>
      <c r="I462" t="str">
        <f>INDEX(IPCCMaps!K:K,MATCH(mapPRC!D462,IPCCMaps!G:G,0))</f>
        <v>1A4b Residential</v>
      </c>
    </row>
    <row r="463" spans="1:9" hidden="1" x14ac:dyDescent="0.25">
      <c r="A463" t="s">
        <v>860</v>
      </c>
      <c r="B463" t="s">
        <v>856</v>
      </c>
      <c r="C463" t="s">
        <v>723</v>
      </c>
      <c r="D463" t="s">
        <v>834</v>
      </c>
      <c r="E463" t="s">
        <v>743</v>
      </c>
      <c r="F463" t="str">
        <f>INDEX(IPCCMaps!H:H,MATCH(mapPRC!D463,IPCCMaps!G:G,0))</f>
        <v>1 Energy</v>
      </c>
      <c r="G463" t="str">
        <f>INDEX(IPCCMaps!I:I,MATCH(mapPRC!D463,IPCCMaps!G:G,0))</f>
        <v>1A Fuel Combustion Activities</v>
      </c>
      <c r="H463" t="str">
        <f>INDEX(IPCCMaps!J:J,MATCH(mapPRC!D463,IPCCMaps!G:G,0))</f>
        <v>1A4 Other Sectors</v>
      </c>
      <c r="I463" t="str">
        <f>INDEX(IPCCMaps!K:K,MATCH(mapPRC!D463,IPCCMaps!G:G,0))</f>
        <v>1A4b Residential</v>
      </c>
    </row>
    <row r="464" spans="1:9" hidden="1" x14ac:dyDescent="0.25">
      <c r="A464" t="s">
        <v>859</v>
      </c>
      <c r="B464" t="s">
        <v>856</v>
      </c>
      <c r="C464" t="s">
        <v>723</v>
      </c>
      <c r="D464" t="s">
        <v>834</v>
      </c>
      <c r="E464" t="s">
        <v>743</v>
      </c>
      <c r="F464" t="str">
        <f>INDEX(IPCCMaps!H:H,MATCH(mapPRC!D464,IPCCMaps!G:G,0))</f>
        <v>1 Energy</v>
      </c>
      <c r="G464" t="str">
        <f>INDEX(IPCCMaps!I:I,MATCH(mapPRC!D464,IPCCMaps!G:G,0))</f>
        <v>1A Fuel Combustion Activities</v>
      </c>
      <c r="H464" t="str">
        <f>INDEX(IPCCMaps!J:J,MATCH(mapPRC!D464,IPCCMaps!G:G,0))</f>
        <v>1A4 Other Sectors</v>
      </c>
      <c r="I464" t="str">
        <f>INDEX(IPCCMaps!K:K,MATCH(mapPRC!D464,IPCCMaps!G:G,0))</f>
        <v>1A4b Residential</v>
      </c>
    </row>
    <row r="465" spans="1:9" hidden="1" x14ac:dyDescent="0.25">
      <c r="A465" t="s">
        <v>858</v>
      </c>
      <c r="B465" t="s">
        <v>856</v>
      </c>
      <c r="C465" t="s">
        <v>723</v>
      </c>
      <c r="D465" t="s">
        <v>834</v>
      </c>
      <c r="E465" t="s">
        <v>743</v>
      </c>
      <c r="F465" t="str">
        <f>INDEX(IPCCMaps!H:H,MATCH(mapPRC!D465,IPCCMaps!G:G,0))</f>
        <v>1 Energy</v>
      </c>
      <c r="G465" t="str">
        <f>INDEX(IPCCMaps!I:I,MATCH(mapPRC!D465,IPCCMaps!G:G,0))</f>
        <v>1A Fuel Combustion Activities</v>
      </c>
      <c r="H465" t="str">
        <f>INDEX(IPCCMaps!J:J,MATCH(mapPRC!D465,IPCCMaps!G:G,0))</f>
        <v>1A4 Other Sectors</v>
      </c>
      <c r="I465" t="str">
        <f>INDEX(IPCCMaps!K:K,MATCH(mapPRC!D465,IPCCMaps!G:G,0))</f>
        <v>1A4b Residential</v>
      </c>
    </row>
    <row r="466" spans="1:9" hidden="1" x14ac:dyDescent="0.25">
      <c r="A466" t="s">
        <v>857</v>
      </c>
      <c r="B466" t="s">
        <v>856</v>
      </c>
      <c r="C466" t="s">
        <v>723</v>
      </c>
      <c r="D466" t="s">
        <v>834</v>
      </c>
      <c r="E466" t="s">
        <v>743</v>
      </c>
      <c r="F466" t="str">
        <f>INDEX(IPCCMaps!H:H,MATCH(mapPRC!D466,IPCCMaps!G:G,0))</f>
        <v>1 Energy</v>
      </c>
      <c r="G466" t="str">
        <f>INDEX(IPCCMaps!I:I,MATCH(mapPRC!D466,IPCCMaps!G:G,0))</f>
        <v>1A Fuel Combustion Activities</v>
      </c>
      <c r="H466" t="str">
        <f>INDEX(IPCCMaps!J:J,MATCH(mapPRC!D466,IPCCMaps!G:G,0))</f>
        <v>1A4 Other Sectors</v>
      </c>
      <c r="I466" t="str">
        <f>INDEX(IPCCMaps!K:K,MATCH(mapPRC!D466,IPCCMaps!G:G,0))</f>
        <v>1A4b Residential</v>
      </c>
    </row>
    <row r="467" spans="1:9" hidden="1" x14ac:dyDescent="0.25">
      <c r="A467" t="s">
        <v>855</v>
      </c>
      <c r="B467" t="s">
        <v>850</v>
      </c>
      <c r="C467" t="s">
        <v>723</v>
      </c>
      <c r="D467" t="s">
        <v>834</v>
      </c>
      <c r="E467" t="s">
        <v>736</v>
      </c>
      <c r="F467" t="str">
        <f>INDEX(IPCCMaps!H:H,MATCH(mapPRC!D467,IPCCMaps!G:G,0))</f>
        <v>1 Energy</v>
      </c>
      <c r="G467" t="str">
        <f>INDEX(IPCCMaps!I:I,MATCH(mapPRC!D467,IPCCMaps!G:G,0))</f>
        <v>1A Fuel Combustion Activities</v>
      </c>
      <c r="H467" t="str">
        <f>INDEX(IPCCMaps!J:J,MATCH(mapPRC!D467,IPCCMaps!G:G,0))</f>
        <v>1A4 Other Sectors</v>
      </c>
      <c r="I467" t="str">
        <f>INDEX(IPCCMaps!K:K,MATCH(mapPRC!D467,IPCCMaps!G:G,0))</f>
        <v>1A4b Residential</v>
      </c>
    </row>
    <row r="468" spans="1:9" hidden="1" x14ac:dyDescent="0.25">
      <c r="A468" t="s">
        <v>854</v>
      </c>
      <c r="B468" t="s">
        <v>850</v>
      </c>
      <c r="C468" t="s">
        <v>723</v>
      </c>
      <c r="D468" t="s">
        <v>834</v>
      </c>
      <c r="E468" t="s">
        <v>736</v>
      </c>
      <c r="F468" t="str">
        <f>INDEX(IPCCMaps!H:H,MATCH(mapPRC!D468,IPCCMaps!G:G,0))</f>
        <v>1 Energy</v>
      </c>
      <c r="G468" t="str">
        <f>INDEX(IPCCMaps!I:I,MATCH(mapPRC!D468,IPCCMaps!G:G,0))</f>
        <v>1A Fuel Combustion Activities</v>
      </c>
      <c r="H468" t="str">
        <f>INDEX(IPCCMaps!J:J,MATCH(mapPRC!D468,IPCCMaps!G:G,0))</f>
        <v>1A4 Other Sectors</v>
      </c>
      <c r="I468" t="str">
        <f>INDEX(IPCCMaps!K:K,MATCH(mapPRC!D468,IPCCMaps!G:G,0))</f>
        <v>1A4b Residential</v>
      </c>
    </row>
    <row r="469" spans="1:9" hidden="1" x14ac:dyDescent="0.25">
      <c r="A469" t="s">
        <v>853</v>
      </c>
      <c r="B469" t="s">
        <v>850</v>
      </c>
      <c r="C469" t="s">
        <v>723</v>
      </c>
      <c r="D469" t="s">
        <v>834</v>
      </c>
      <c r="E469" t="s">
        <v>736</v>
      </c>
      <c r="F469" t="str">
        <f>INDEX(IPCCMaps!H:H,MATCH(mapPRC!D469,IPCCMaps!G:G,0))</f>
        <v>1 Energy</v>
      </c>
      <c r="G469" t="str">
        <f>INDEX(IPCCMaps!I:I,MATCH(mapPRC!D469,IPCCMaps!G:G,0))</f>
        <v>1A Fuel Combustion Activities</v>
      </c>
      <c r="H469" t="str">
        <f>INDEX(IPCCMaps!J:J,MATCH(mapPRC!D469,IPCCMaps!G:G,0))</f>
        <v>1A4 Other Sectors</v>
      </c>
      <c r="I469" t="str">
        <f>INDEX(IPCCMaps!K:K,MATCH(mapPRC!D469,IPCCMaps!G:G,0))</f>
        <v>1A4b Residential</v>
      </c>
    </row>
    <row r="470" spans="1:9" hidden="1" x14ac:dyDescent="0.25">
      <c r="A470" t="s">
        <v>852</v>
      </c>
      <c r="B470" t="s">
        <v>850</v>
      </c>
      <c r="C470" t="s">
        <v>723</v>
      </c>
      <c r="D470" t="s">
        <v>834</v>
      </c>
      <c r="E470" t="s">
        <v>736</v>
      </c>
      <c r="F470" t="str">
        <f>INDEX(IPCCMaps!H:H,MATCH(mapPRC!D470,IPCCMaps!G:G,0))</f>
        <v>1 Energy</v>
      </c>
      <c r="G470" t="str">
        <f>INDEX(IPCCMaps!I:I,MATCH(mapPRC!D470,IPCCMaps!G:G,0))</f>
        <v>1A Fuel Combustion Activities</v>
      </c>
      <c r="H470" t="str">
        <f>INDEX(IPCCMaps!J:J,MATCH(mapPRC!D470,IPCCMaps!G:G,0))</f>
        <v>1A4 Other Sectors</v>
      </c>
      <c r="I470" t="str">
        <f>INDEX(IPCCMaps!K:K,MATCH(mapPRC!D470,IPCCMaps!G:G,0))</f>
        <v>1A4b Residential</v>
      </c>
    </row>
    <row r="471" spans="1:9" hidden="1" x14ac:dyDescent="0.25">
      <c r="A471" t="s">
        <v>851</v>
      </c>
      <c r="B471" t="s">
        <v>850</v>
      </c>
      <c r="C471" t="s">
        <v>723</v>
      </c>
      <c r="D471" t="s">
        <v>834</v>
      </c>
      <c r="E471" t="s">
        <v>736</v>
      </c>
      <c r="F471" t="str">
        <f>INDEX(IPCCMaps!H:H,MATCH(mapPRC!D471,IPCCMaps!G:G,0))</f>
        <v>1 Energy</v>
      </c>
      <c r="G471" t="str">
        <f>INDEX(IPCCMaps!I:I,MATCH(mapPRC!D471,IPCCMaps!G:G,0))</f>
        <v>1A Fuel Combustion Activities</v>
      </c>
      <c r="H471" t="str">
        <f>INDEX(IPCCMaps!J:J,MATCH(mapPRC!D471,IPCCMaps!G:G,0))</f>
        <v>1A4 Other Sectors</v>
      </c>
      <c r="I471" t="str">
        <f>INDEX(IPCCMaps!K:K,MATCH(mapPRC!D471,IPCCMaps!G:G,0))</f>
        <v>1A4b Residential</v>
      </c>
    </row>
    <row r="472" spans="1:9" hidden="1" x14ac:dyDescent="0.25">
      <c r="A472" t="s">
        <v>849</v>
      </c>
      <c r="B472" t="s">
        <v>848</v>
      </c>
      <c r="C472" t="s">
        <v>723</v>
      </c>
      <c r="D472" t="s">
        <v>834</v>
      </c>
      <c r="E472" t="s">
        <v>733</v>
      </c>
      <c r="F472" t="str">
        <f>INDEX(IPCCMaps!H:H,MATCH(mapPRC!D472,IPCCMaps!G:G,0))</f>
        <v>1 Energy</v>
      </c>
      <c r="G472" t="str">
        <f>INDEX(IPCCMaps!I:I,MATCH(mapPRC!D472,IPCCMaps!G:G,0))</f>
        <v>1A Fuel Combustion Activities</v>
      </c>
      <c r="H472" t="str">
        <f>INDEX(IPCCMaps!J:J,MATCH(mapPRC!D472,IPCCMaps!G:G,0))</f>
        <v>1A4 Other Sectors</v>
      </c>
      <c r="I472" t="str">
        <f>INDEX(IPCCMaps!K:K,MATCH(mapPRC!D472,IPCCMaps!G:G,0))</f>
        <v>1A4b Residential</v>
      </c>
    </row>
    <row r="473" spans="1:9" hidden="1" x14ac:dyDescent="0.25">
      <c r="A473" t="s">
        <v>847</v>
      </c>
      <c r="B473" t="s">
        <v>846</v>
      </c>
      <c r="C473" t="s">
        <v>723</v>
      </c>
      <c r="D473" t="s">
        <v>834</v>
      </c>
      <c r="E473" t="s">
        <v>730</v>
      </c>
      <c r="F473" t="str">
        <f>INDEX(IPCCMaps!H:H,MATCH(mapPRC!D473,IPCCMaps!G:G,0))</f>
        <v>1 Energy</v>
      </c>
      <c r="G473" t="str">
        <f>INDEX(IPCCMaps!I:I,MATCH(mapPRC!D473,IPCCMaps!G:G,0))</f>
        <v>1A Fuel Combustion Activities</v>
      </c>
      <c r="H473" t="str">
        <f>INDEX(IPCCMaps!J:J,MATCH(mapPRC!D473,IPCCMaps!G:G,0))</f>
        <v>1A4 Other Sectors</v>
      </c>
      <c r="I473" t="str">
        <f>INDEX(IPCCMaps!K:K,MATCH(mapPRC!D473,IPCCMaps!G:G,0))</f>
        <v>1A4b Residential</v>
      </c>
    </row>
    <row r="474" spans="1:9" hidden="1" x14ac:dyDescent="0.25">
      <c r="A474" t="s">
        <v>845</v>
      </c>
      <c r="B474" t="s">
        <v>844</v>
      </c>
      <c r="C474" t="s">
        <v>723</v>
      </c>
      <c r="D474" t="s">
        <v>834</v>
      </c>
      <c r="E474" t="s">
        <v>0</v>
      </c>
      <c r="F474" t="str">
        <f>INDEX(IPCCMaps!H:H,MATCH(mapPRC!D474,IPCCMaps!G:G,0))</f>
        <v>1 Energy</v>
      </c>
      <c r="G474" t="str">
        <f>INDEX(IPCCMaps!I:I,MATCH(mapPRC!D474,IPCCMaps!G:G,0))</f>
        <v>1A Fuel Combustion Activities</v>
      </c>
      <c r="H474" t="str">
        <f>INDEX(IPCCMaps!J:J,MATCH(mapPRC!D474,IPCCMaps!G:G,0))</f>
        <v>1A4 Other Sectors</v>
      </c>
      <c r="I474" t="str">
        <f>INDEX(IPCCMaps!K:K,MATCH(mapPRC!D474,IPCCMaps!G:G,0))</f>
        <v>1A4b Residential</v>
      </c>
    </row>
    <row r="475" spans="1:9" hidden="1" x14ac:dyDescent="0.25">
      <c r="A475" t="s">
        <v>843</v>
      </c>
      <c r="B475" t="s">
        <v>842</v>
      </c>
      <c r="C475" t="s">
        <v>723</v>
      </c>
      <c r="D475" t="s">
        <v>834</v>
      </c>
      <c r="E475" t="s">
        <v>760</v>
      </c>
      <c r="F475" t="str">
        <f>INDEX(IPCCMaps!H:H,MATCH(mapPRC!D475,IPCCMaps!G:G,0))</f>
        <v>1 Energy</v>
      </c>
      <c r="G475" t="str">
        <f>INDEX(IPCCMaps!I:I,MATCH(mapPRC!D475,IPCCMaps!G:G,0))</f>
        <v>1A Fuel Combustion Activities</v>
      </c>
      <c r="H475" t="str">
        <f>INDEX(IPCCMaps!J:J,MATCH(mapPRC!D475,IPCCMaps!G:G,0))</f>
        <v>1A4 Other Sectors</v>
      </c>
      <c r="I475" t="str">
        <f>INDEX(IPCCMaps!K:K,MATCH(mapPRC!D475,IPCCMaps!G:G,0))</f>
        <v>1A4b Residential</v>
      </c>
    </row>
    <row r="476" spans="1:9" hidden="1" x14ac:dyDescent="0.25">
      <c r="A476" t="s">
        <v>841</v>
      </c>
      <c r="B476" t="s">
        <v>835</v>
      </c>
      <c r="C476" t="s">
        <v>723</v>
      </c>
      <c r="D476" t="s">
        <v>834</v>
      </c>
      <c r="E476" t="s">
        <v>721</v>
      </c>
      <c r="F476" t="str">
        <f>INDEX(IPCCMaps!H:H,MATCH(mapPRC!D476,IPCCMaps!G:G,0))</f>
        <v>1 Energy</v>
      </c>
      <c r="G476" t="str">
        <f>INDEX(IPCCMaps!I:I,MATCH(mapPRC!D476,IPCCMaps!G:G,0))</f>
        <v>1A Fuel Combustion Activities</v>
      </c>
      <c r="H476" t="str">
        <f>INDEX(IPCCMaps!J:J,MATCH(mapPRC!D476,IPCCMaps!G:G,0))</f>
        <v>1A4 Other Sectors</v>
      </c>
      <c r="I476" t="str">
        <f>INDEX(IPCCMaps!K:K,MATCH(mapPRC!D476,IPCCMaps!G:G,0))</f>
        <v>1A4b Residential</v>
      </c>
    </row>
    <row r="477" spans="1:9" hidden="1" x14ac:dyDescent="0.25">
      <c r="A477" t="s">
        <v>840</v>
      </c>
      <c r="B477" t="s">
        <v>835</v>
      </c>
      <c r="C477" t="s">
        <v>723</v>
      </c>
      <c r="D477" t="s">
        <v>834</v>
      </c>
      <c r="E477" t="s">
        <v>721</v>
      </c>
      <c r="F477" t="str">
        <f>INDEX(IPCCMaps!H:H,MATCH(mapPRC!D477,IPCCMaps!G:G,0))</f>
        <v>1 Energy</v>
      </c>
      <c r="G477" t="str">
        <f>INDEX(IPCCMaps!I:I,MATCH(mapPRC!D477,IPCCMaps!G:G,0))</f>
        <v>1A Fuel Combustion Activities</v>
      </c>
      <c r="H477" t="str">
        <f>INDEX(IPCCMaps!J:J,MATCH(mapPRC!D477,IPCCMaps!G:G,0))</f>
        <v>1A4 Other Sectors</v>
      </c>
      <c r="I477" t="str">
        <f>INDEX(IPCCMaps!K:K,MATCH(mapPRC!D477,IPCCMaps!G:G,0))</f>
        <v>1A4b Residential</v>
      </c>
    </row>
    <row r="478" spans="1:9" hidden="1" x14ac:dyDescent="0.25">
      <c r="A478" t="s">
        <v>839</v>
      </c>
      <c r="B478" t="s">
        <v>835</v>
      </c>
      <c r="C478" t="s">
        <v>723</v>
      </c>
      <c r="D478" t="s">
        <v>834</v>
      </c>
      <c r="E478" t="s">
        <v>721</v>
      </c>
      <c r="F478" t="str">
        <f>INDEX(IPCCMaps!H:H,MATCH(mapPRC!D478,IPCCMaps!G:G,0))</f>
        <v>1 Energy</v>
      </c>
      <c r="G478" t="str">
        <f>INDEX(IPCCMaps!I:I,MATCH(mapPRC!D478,IPCCMaps!G:G,0))</f>
        <v>1A Fuel Combustion Activities</v>
      </c>
      <c r="H478" t="str">
        <f>INDEX(IPCCMaps!J:J,MATCH(mapPRC!D478,IPCCMaps!G:G,0))</f>
        <v>1A4 Other Sectors</v>
      </c>
      <c r="I478" t="str">
        <f>INDEX(IPCCMaps!K:K,MATCH(mapPRC!D478,IPCCMaps!G:G,0))</f>
        <v>1A4b Residential</v>
      </c>
    </row>
    <row r="479" spans="1:9" hidden="1" x14ac:dyDescent="0.25">
      <c r="A479" t="s">
        <v>838</v>
      </c>
      <c r="B479" t="s">
        <v>835</v>
      </c>
      <c r="C479" t="s">
        <v>723</v>
      </c>
      <c r="D479" t="s">
        <v>834</v>
      </c>
      <c r="E479" t="s">
        <v>721</v>
      </c>
      <c r="F479" t="str">
        <f>INDEX(IPCCMaps!H:H,MATCH(mapPRC!D479,IPCCMaps!G:G,0))</f>
        <v>1 Energy</v>
      </c>
      <c r="G479" t="str">
        <f>INDEX(IPCCMaps!I:I,MATCH(mapPRC!D479,IPCCMaps!G:G,0))</f>
        <v>1A Fuel Combustion Activities</v>
      </c>
      <c r="H479" t="str">
        <f>INDEX(IPCCMaps!J:J,MATCH(mapPRC!D479,IPCCMaps!G:G,0))</f>
        <v>1A4 Other Sectors</v>
      </c>
      <c r="I479" t="str">
        <f>INDEX(IPCCMaps!K:K,MATCH(mapPRC!D479,IPCCMaps!G:G,0))</f>
        <v>1A4b Residential</v>
      </c>
    </row>
    <row r="480" spans="1:9" hidden="1" x14ac:dyDescent="0.25">
      <c r="A480" t="s">
        <v>837</v>
      </c>
      <c r="B480" t="s">
        <v>835</v>
      </c>
      <c r="C480" t="s">
        <v>723</v>
      </c>
      <c r="D480" t="s">
        <v>834</v>
      </c>
      <c r="E480" t="s">
        <v>721</v>
      </c>
      <c r="F480" t="str">
        <f>INDEX(IPCCMaps!H:H,MATCH(mapPRC!D480,IPCCMaps!G:G,0))</f>
        <v>1 Energy</v>
      </c>
      <c r="G480" t="str">
        <f>INDEX(IPCCMaps!I:I,MATCH(mapPRC!D480,IPCCMaps!G:G,0))</f>
        <v>1A Fuel Combustion Activities</v>
      </c>
      <c r="H480" t="str">
        <f>INDEX(IPCCMaps!J:J,MATCH(mapPRC!D480,IPCCMaps!G:G,0))</f>
        <v>1A4 Other Sectors</v>
      </c>
      <c r="I480" t="str">
        <f>INDEX(IPCCMaps!K:K,MATCH(mapPRC!D480,IPCCMaps!G:G,0))</f>
        <v>1A4b Residential</v>
      </c>
    </row>
    <row r="481" spans="1:9" hidden="1" x14ac:dyDescent="0.25">
      <c r="A481" t="s">
        <v>836</v>
      </c>
      <c r="B481" t="s">
        <v>835</v>
      </c>
      <c r="C481" t="s">
        <v>723</v>
      </c>
      <c r="D481" t="s">
        <v>834</v>
      </c>
      <c r="E481" t="s">
        <v>721</v>
      </c>
      <c r="F481" t="str">
        <f>INDEX(IPCCMaps!H:H,MATCH(mapPRC!D481,IPCCMaps!G:G,0))</f>
        <v>1 Energy</v>
      </c>
      <c r="G481" t="str">
        <f>INDEX(IPCCMaps!I:I,MATCH(mapPRC!D481,IPCCMaps!G:G,0))</f>
        <v>1A Fuel Combustion Activities</v>
      </c>
      <c r="H481" t="str">
        <f>INDEX(IPCCMaps!J:J,MATCH(mapPRC!D481,IPCCMaps!G:G,0))</f>
        <v>1A4 Other Sectors</v>
      </c>
      <c r="I481" t="str">
        <f>INDEX(IPCCMaps!K:K,MATCH(mapPRC!D481,IPCCMaps!G:G,0))</f>
        <v>1A4b Residential</v>
      </c>
    </row>
    <row r="482" spans="1:9" hidden="1" x14ac:dyDescent="0.25">
      <c r="A482" t="s">
        <v>833</v>
      </c>
      <c r="B482" t="s">
        <v>828</v>
      </c>
      <c r="C482" t="s">
        <v>723</v>
      </c>
      <c r="D482" t="s">
        <v>782</v>
      </c>
      <c r="E482" t="s">
        <v>743</v>
      </c>
      <c r="F482" t="str">
        <f>INDEX(IPCCMaps!H:H,MATCH(mapPRC!D482,IPCCMaps!G:G,0))</f>
        <v>1 Energy</v>
      </c>
      <c r="G482" t="str">
        <f>INDEX(IPCCMaps!I:I,MATCH(mapPRC!D482,IPCCMaps!G:G,0))</f>
        <v>1A Fuel Combustion Activities</v>
      </c>
      <c r="H482" t="str">
        <f>INDEX(IPCCMaps!J:J,MATCH(mapPRC!D482,IPCCMaps!G:G,0))</f>
        <v>1A4 Other Sectors</v>
      </c>
      <c r="I482" t="str">
        <f>INDEX(IPCCMaps!K:K,MATCH(mapPRC!D482,IPCCMaps!G:G,0))</f>
        <v>1A4b Residential</v>
      </c>
    </row>
    <row r="483" spans="1:9" hidden="1" x14ac:dyDescent="0.25">
      <c r="A483" t="s">
        <v>832</v>
      </c>
      <c r="B483" t="s">
        <v>828</v>
      </c>
      <c r="C483" t="s">
        <v>723</v>
      </c>
      <c r="D483" t="s">
        <v>782</v>
      </c>
      <c r="E483" t="s">
        <v>743</v>
      </c>
      <c r="F483" t="str">
        <f>INDEX(IPCCMaps!H:H,MATCH(mapPRC!D483,IPCCMaps!G:G,0))</f>
        <v>1 Energy</v>
      </c>
      <c r="G483" t="str">
        <f>INDEX(IPCCMaps!I:I,MATCH(mapPRC!D483,IPCCMaps!G:G,0))</f>
        <v>1A Fuel Combustion Activities</v>
      </c>
      <c r="H483" t="str">
        <f>INDEX(IPCCMaps!J:J,MATCH(mapPRC!D483,IPCCMaps!G:G,0))</f>
        <v>1A4 Other Sectors</v>
      </c>
      <c r="I483" t="str">
        <f>INDEX(IPCCMaps!K:K,MATCH(mapPRC!D483,IPCCMaps!G:G,0))</f>
        <v>1A4b Residential</v>
      </c>
    </row>
    <row r="484" spans="1:9" hidden="1" x14ac:dyDescent="0.25">
      <c r="A484" t="s">
        <v>831</v>
      </c>
      <c r="B484" t="s">
        <v>828</v>
      </c>
      <c r="C484" t="s">
        <v>723</v>
      </c>
      <c r="D484" t="s">
        <v>782</v>
      </c>
      <c r="E484" t="s">
        <v>743</v>
      </c>
      <c r="F484" t="str">
        <f>INDEX(IPCCMaps!H:H,MATCH(mapPRC!D484,IPCCMaps!G:G,0))</f>
        <v>1 Energy</v>
      </c>
      <c r="G484" t="str">
        <f>INDEX(IPCCMaps!I:I,MATCH(mapPRC!D484,IPCCMaps!G:G,0))</f>
        <v>1A Fuel Combustion Activities</v>
      </c>
      <c r="H484" t="str">
        <f>INDEX(IPCCMaps!J:J,MATCH(mapPRC!D484,IPCCMaps!G:G,0))</f>
        <v>1A4 Other Sectors</v>
      </c>
      <c r="I484" t="str">
        <f>INDEX(IPCCMaps!K:K,MATCH(mapPRC!D484,IPCCMaps!G:G,0))</f>
        <v>1A4b Residential</v>
      </c>
    </row>
    <row r="485" spans="1:9" hidden="1" x14ac:dyDescent="0.25">
      <c r="A485" t="s">
        <v>830</v>
      </c>
      <c r="B485" t="s">
        <v>828</v>
      </c>
      <c r="C485" t="s">
        <v>723</v>
      </c>
      <c r="D485" t="s">
        <v>782</v>
      </c>
      <c r="E485" t="s">
        <v>743</v>
      </c>
      <c r="F485" t="str">
        <f>INDEX(IPCCMaps!H:H,MATCH(mapPRC!D485,IPCCMaps!G:G,0))</f>
        <v>1 Energy</v>
      </c>
      <c r="G485" t="str">
        <f>INDEX(IPCCMaps!I:I,MATCH(mapPRC!D485,IPCCMaps!G:G,0))</f>
        <v>1A Fuel Combustion Activities</v>
      </c>
      <c r="H485" t="str">
        <f>INDEX(IPCCMaps!J:J,MATCH(mapPRC!D485,IPCCMaps!G:G,0))</f>
        <v>1A4 Other Sectors</v>
      </c>
      <c r="I485" t="str">
        <f>INDEX(IPCCMaps!K:K,MATCH(mapPRC!D485,IPCCMaps!G:G,0))</f>
        <v>1A4b Residential</v>
      </c>
    </row>
    <row r="486" spans="1:9" hidden="1" x14ac:dyDescent="0.25">
      <c r="A486" t="s">
        <v>829</v>
      </c>
      <c r="B486" t="s">
        <v>828</v>
      </c>
      <c r="C486" t="s">
        <v>723</v>
      </c>
      <c r="D486" t="s">
        <v>782</v>
      </c>
      <c r="E486" t="s">
        <v>743</v>
      </c>
      <c r="F486" t="str">
        <f>INDEX(IPCCMaps!H:H,MATCH(mapPRC!D486,IPCCMaps!G:G,0))</f>
        <v>1 Energy</v>
      </c>
      <c r="G486" t="str">
        <f>INDEX(IPCCMaps!I:I,MATCH(mapPRC!D486,IPCCMaps!G:G,0))</f>
        <v>1A Fuel Combustion Activities</v>
      </c>
      <c r="H486" t="str">
        <f>INDEX(IPCCMaps!J:J,MATCH(mapPRC!D486,IPCCMaps!G:G,0))</f>
        <v>1A4 Other Sectors</v>
      </c>
      <c r="I486" t="str">
        <f>INDEX(IPCCMaps!K:K,MATCH(mapPRC!D486,IPCCMaps!G:G,0))</f>
        <v>1A4b Residential</v>
      </c>
    </row>
    <row r="487" spans="1:9" hidden="1" x14ac:dyDescent="0.25">
      <c r="A487" t="s">
        <v>827</v>
      </c>
      <c r="B487" t="s">
        <v>826</v>
      </c>
      <c r="C487" t="s">
        <v>723</v>
      </c>
      <c r="D487" t="s">
        <v>782</v>
      </c>
      <c r="E487" t="s">
        <v>736</v>
      </c>
      <c r="F487" t="str">
        <f>INDEX(IPCCMaps!H:H,MATCH(mapPRC!D487,IPCCMaps!G:G,0))</f>
        <v>1 Energy</v>
      </c>
      <c r="G487" t="str">
        <f>INDEX(IPCCMaps!I:I,MATCH(mapPRC!D487,IPCCMaps!G:G,0))</f>
        <v>1A Fuel Combustion Activities</v>
      </c>
      <c r="H487" t="str">
        <f>INDEX(IPCCMaps!J:J,MATCH(mapPRC!D487,IPCCMaps!G:G,0))</f>
        <v>1A4 Other Sectors</v>
      </c>
      <c r="I487" t="str">
        <f>INDEX(IPCCMaps!K:K,MATCH(mapPRC!D487,IPCCMaps!G:G,0))</f>
        <v>1A4b Residential</v>
      </c>
    </row>
    <row r="488" spans="1:9" hidden="1" x14ac:dyDescent="0.25">
      <c r="A488" t="s">
        <v>825</v>
      </c>
      <c r="B488" t="s">
        <v>824</v>
      </c>
      <c r="C488" t="s">
        <v>723</v>
      </c>
      <c r="D488" t="s">
        <v>782</v>
      </c>
      <c r="E488" t="s">
        <v>736</v>
      </c>
      <c r="F488" t="str">
        <f>INDEX(IPCCMaps!H:H,MATCH(mapPRC!D488,IPCCMaps!G:G,0))</f>
        <v>1 Energy</v>
      </c>
      <c r="G488" t="str">
        <f>INDEX(IPCCMaps!I:I,MATCH(mapPRC!D488,IPCCMaps!G:G,0))</f>
        <v>1A Fuel Combustion Activities</v>
      </c>
      <c r="H488" t="str">
        <f>INDEX(IPCCMaps!J:J,MATCH(mapPRC!D488,IPCCMaps!G:G,0))</f>
        <v>1A4 Other Sectors</v>
      </c>
      <c r="I488" t="str">
        <f>INDEX(IPCCMaps!K:K,MATCH(mapPRC!D488,IPCCMaps!G:G,0))</f>
        <v>1A4b Residential</v>
      </c>
    </row>
    <row r="489" spans="1:9" hidden="1" x14ac:dyDescent="0.25">
      <c r="A489" t="s">
        <v>823</v>
      </c>
      <c r="B489" t="s">
        <v>821</v>
      </c>
      <c r="C489" t="s">
        <v>723</v>
      </c>
      <c r="D489" t="s">
        <v>782</v>
      </c>
      <c r="E489" t="s">
        <v>736</v>
      </c>
      <c r="F489" t="str">
        <f>INDEX(IPCCMaps!H:H,MATCH(mapPRC!D489,IPCCMaps!G:G,0))</f>
        <v>1 Energy</v>
      </c>
      <c r="G489" t="str">
        <f>INDEX(IPCCMaps!I:I,MATCH(mapPRC!D489,IPCCMaps!G:G,0))</f>
        <v>1A Fuel Combustion Activities</v>
      </c>
      <c r="H489" t="str">
        <f>INDEX(IPCCMaps!J:J,MATCH(mapPRC!D489,IPCCMaps!G:G,0))</f>
        <v>1A4 Other Sectors</v>
      </c>
      <c r="I489" t="str">
        <f>INDEX(IPCCMaps!K:K,MATCH(mapPRC!D489,IPCCMaps!G:G,0))</f>
        <v>1A4b Residential</v>
      </c>
    </row>
    <row r="490" spans="1:9" hidden="1" x14ac:dyDescent="0.25">
      <c r="A490" t="s">
        <v>822</v>
      </c>
      <c r="B490" t="s">
        <v>821</v>
      </c>
      <c r="C490" t="s">
        <v>723</v>
      </c>
      <c r="D490" t="s">
        <v>782</v>
      </c>
      <c r="E490" t="s">
        <v>736</v>
      </c>
      <c r="F490" t="str">
        <f>INDEX(IPCCMaps!H:H,MATCH(mapPRC!D490,IPCCMaps!G:G,0))</f>
        <v>1 Energy</v>
      </c>
      <c r="G490" t="str">
        <f>INDEX(IPCCMaps!I:I,MATCH(mapPRC!D490,IPCCMaps!G:G,0))</f>
        <v>1A Fuel Combustion Activities</v>
      </c>
      <c r="H490" t="str">
        <f>INDEX(IPCCMaps!J:J,MATCH(mapPRC!D490,IPCCMaps!G:G,0))</f>
        <v>1A4 Other Sectors</v>
      </c>
      <c r="I490" t="str">
        <f>INDEX(IPCCMaps!K:K,MATCH(mapPRC!D490,IPCCMaps!G:G,0))</f>
        <v>1A4b Residential</v>
      </c>
    </row>
    <row r="491" spans="1:9" hidden="1" x14ac:dyDescent="0.25">
      <c r="A491" t="s">
        <v>820</v>
      </c>
      <c r="B491" t="s">
        <v>818</v>
      </c>
      <c r="C491" t="s">
        <v>723</v>
      </c>
      <c r="D491" t="s">
        <v>782</v>
      </c>
      <c r="E491" t="s">
        <v>736</v>
      </c>
      <c r="F491" t="str">
        <f>INDEX(IPCCMaps!H:H,MATCH(mapPRC!D491,IPCCMaps!G:G,0))</f>
        <v>1 Energy</v>
      </c>
      <c r="G491" t="str">
        <f>INDEX(IPCCMaps!I:I,MATCH(mapPRC!D491,IPCCMaps!G:G,0))</f>
        <v>1A Fuel Combustion Activities</v>
      </c>
      <c r="H491" t="str">
        <f>INDEX(IPCCMaps!J:J,MATCH(mapPRC!D491,IPCCMaps!G:G,0))</f>
        <v>1A4 Other Sectors</v>
      </c>
      <c r="I491" t="str">
        <f>INDEX(IPCCMaps!K:K,MATCH(mapPRC!D491,IPCCMaps!G:G,0))</f>
        <v>1A4b Residential</v>
      </c>
    </row>
    <row r="492" spans="1:9" hidden="1" x14ac:dyDescent="0.25">
      <c r="A492" t="s">
        <v>819</v>
      </c>
      <c r="B492" t="s">
        <v>818</v>
      </c>
      <c r="C492" t="s">
        <v>723</v>
      </c>
      <c r="D492" t="s">
        <v>782</v>
      </c>
      <c r="E492" t="s">
        <v>736</v>
      </c>
      <c r="F492" t="str">
        <f>INDEX(IPCCMaps!H:H,MATCH(mapPRC!D492,IPCCMaps!G:G,0))</f>
        <v>1 Energy</v>
      </c>
      <c r="G492" t="str">
        <f>INDEX(IPCCMaps!I:I,MATCH(mapPRC!D492,IPCCMaps!G:G,0))</f>
        <v>1A Fuel Combustion Activities</v>
      </c>
      <c r="H492" t="str">
        <f>INDEX(IPCCMaps!J:J,MATCH(mapPRC!D492,IPCCMaps!G:G,0))</f>
        <v>1A4 Other Sectors</v>
      </c>
      <c r="I492" t="str">
        <f>INDEX(IPCCMaps!K:K,MATCH(mapPRC!D492,IPCCMaps!G:G,0))</f>
        <v>1A4b Residential</v>
      </c>
    </row>
    <row r="493" spans="1:9" hidden="1" x14ac:dyDescent="0.25">
      <c r="A493" t="s">
        <v>817</v>
      </c>
      <c r="B493" t="s">
        <v>816</v>
      </c>
      <c r="C493" t="s">
        <v>723</v>
      </c>
      <c r="D493" t="s">
        <v>782</v>
      </c>
      <c r="E493" t="s">
        <v>733</v>
      </c>
      <c r="F493" t="str">
        <f>INDEX(IPCCMaps!H:H,MATCH(mapPRC!D493,IPCCMaps!G:G,0))</f>
        <v>1 Energy</v>
      </c>
      <c r="G493" t="str">
        <f>INDEX(IPCCMaps!I:I,MATCH(mapPRC!D493,IPCCMaps!G:G,0))</f>
        <v>1A Fuel Combustion Activities</v>
      </c>
      <c r="H493" t="str">
        <f>INDEX(IPCCMaps!J:J,MATCH(mapPRC!D493,IPCCMaps!G:G,0))</f>
        <v>1A4 Other Sectors</v>
      </c>
      <c r="I493" t="str">
        <f>INDEX(IPCCMaps!K:K,MATCH(mapPRC!D493,IPCCMaps!G:G,0))</f>
        <v>1A4b Residential</v>
      </c>
    </row>
    <row r="494" spans="1:9" hidden="1" x14ac:dyDescent="0.25">
      <c r="A494" t="s">
        <v>815</v>
      </c>
      <c r="B494" t="s">
        <v>814</v>
      </c>
      <c r="C494" t="s">
        <v>723</v>
      </c>
      <c r="D494" t="s">
        <v>782</v>
      </c>
      <c r="E494" t="s">
        <v>730</v>
      </c>
      <c r="F494" t="str">
        <f>INDEX(IPCCMaps!H:H,MATCH(mapPRC!D494,IPCCMaps!G:G,0))</f>
        <v>1 Energy</v>
      </c>
      <c r="G494" t="str">
        <f>INDEX(IPCCMaps!I:I,MATCH(mapPRC!D494,IPCCMaps!G:G,0))</f>
        <v>1A Fuel Combustion Activities</v>
      </c>
      <c r="H494" t="str">
        <f>INDEX(IPCCMaps!J:J,MATCH(mapPRC!D494,IPCCMaps!G:G,0))</f>
        <v>1A4 Other Sectors</v>
      </c>
      <c r="I494" t="str">
        <f>INDEX(IPCCMaps!K:K,MATCH(mapPRC!D494,IPCCMaps!G:G,0))</f>
        <v>1A4b Residential</v>
      </c>
    </row>
    <row r="495" spans="1:9" hidden="1" x14ac:dyDescent="0.25">
      <c r="A495" t="s">
        <v>813</v>
      </c>
      <c r="B495" t="s">
        <v>812</v>
      </c>
      <c r="C495" t="s">
        <v>723</v>
      </c>
      <c r="D495" t="s">
        <v>782</v>
      </c>
      <c r="E495" t="s">
        <v>0</v>
      </c>
      <c r="F495" t="str">
        <f>INDEX(IPCCMaps!H:H,MATCH(mapPRC!D495,IPCCMaps!G:G,0))</f>
        <v>1 Energy</v>
      </c>
      <c r="G495" t="str">
        <f>INDEX(IPCCMaps!I:I,MATCH(mapPRC!D495,IPCCMaps!G:G,0))</f>
        <v>1A Fuel Combustion Activities</v>
      </c>
      <c r="H495" t="str">
        <f>INDEX(IPCCMaps!J:J,MATCH(mapPRC!D495,IPCCMaps!G:G,0))</f>
        <v>1A4 Other Sectors</v>
      </c>
      <c r="I495" t="str">
        <f>INDEX(IPCCMaps!K:K,MATCH(mapPRC!D495,IPCCMaps!G:G,0))</f>
        <v>1A4b Residential</v>
      </c>
    </row>
    <row r="496" spans="1:9" hidden="1" x14ac:dyDescent="0.25">
      <c r="A496" t="s">
        <v>811</v>
      </c>
      <c r="B496" t="s">
        <v>810</v>
      </c>
      <c r="C496" t="s">
        <v>723</v>
      </c>
      <c r="D496" t="s">
        <v>782</v>
      </c>
      <c r="E496" t="s">
        <v>760</v>
      </c>
      <c r="F496" t="str">
        <f>INDEX(IPCCMaps!H:H,MATCH(mapPRC!D496,IPCCMaps!G:G,0))</f>
        <v>1 Energy</v>
      </c>
      <c r="G496" t="str">
        <f>INDEX(IPCCMaps!I:I,MATCH(mapPRC!D496,IPCCMaps!G:G,0))</f>
        <v>1A Fuel Combustion Activities</v>
      </c>
      <c r="H496" t="str">
        <f>INDEX(IPCCMaps!J:J,MATCH(mapPRC!D496,IPCCMaps!G:G,0))</f>
        <v>1A4 Other Sectors</v>
      </c>
      <c r="I496" t="str">
        <f>INDEX(IPCCMaps!K:K,MATCH(mapPRC!D496,IPCCMaps!G:G,0))</f>
        <v>1A4b Residential</v>
      </c>
    </row>
    <row r="497" spans="1:9" hidden="1" x14ac:dyDescent="0.25">
      <c r="A497" t="s">
        <v>809</v>
      </c>
      <c r="B497" t="s">
        <v>802</v>
      </c>
      <c r="C497" t="s">
        <v>723</v>
      </c>
      <c r="D497" t="s">
        <v>782</v>
      </c>
      <c r="E497" t="s">
        <v>721</v>
      </c>
      <c r="F497" t="str">
        <f>INDEX(IPCCMaps!H:H,MATCH(mapPRC!D497,IPCCMaps!G:G,0))</f>
        <v>1 Energy</v>
      </c>
      <c r="G497" t="str">
        <f>INDEX(IPCCMaps!I:I,MATCH(mapPRC!D497,IPCCMaps!G:G,0))</f>
        <v>1A Fuel Combustion Activities</v>
      </c>
      <c r="H497" t="str">
        <f>INDEX(IPCCMaps!J:J,MATCH(mapPRC!D497,IPCCMaps!G:G,0))</f>
        <v>1A4 Other Sectors</v>
      </c>
      <c r="I497" t="str">
        <f>INDEX(IPCCMaps!K:K,MATCH(mapPRC!D497,IPCCMaps!G:G,0))</f>
        <v>1A4b Residential</v>
      </c>
    </row>
    <row r="498" spans="1:9" hidden="1" x14ac:dyDescent="0.25">
      <c r="A498" t="s">
        <v>808</v>
      </c>
      <c r="B498" t="s">
        <v>802</v>
      </c>
      <c r="C498" t="s">
        <v>723</v>
      </c>
      <c r="D498" t="s">
        <v>782</v>
      </c>
      <c r="E498" t="s">
        <v>721</v>
      </c>
      <c r="F498" t="str">
        <f>INDEX(IPCCMaps!H:H,MATCH(mapPRC!D498,IPCCMaps!G:G,0))</f>
        <v>1 Energy</v>
      </c>
      <c r="G498" t="str">
        <f>INDEX(IPCCMaps!I:I,MATCH(mapPRC!D498,IPCCMaps!G:G,0))</f>
        <v>1A Fuel Combustion Activities</v>
      </c>
      <c r="H498" t="str">
        <f>INDEX(IPCCMaps!J:J,MATCH(mapPRC!D498,IPCCMaps!G:G,0))</f>
        <v>1A4 Other Sectors</v>
      </c>
      <c r="I498" t="str">
        <f>INDEX(IPCCMaps!K:K,MATCH(mapPRC!D498,IPCCMaps!G:G,0))</f>
        <v>1A4b Residential</v>
      </c>
    </row>
    <row r="499" spans="1:9" hidden="1" x14ac:dyDescent="0.25">
      <c r="A499" t="s">
        <v>807</v>
      </c>
      <c r="B499" t="s">
        <v>802</v>
      </c>
      <c r="C499" t="s">
        <v>723</v>
      </c>
      <c r="D499" t="s">
        <v>782</v>
      </c>
      <c r="E499" t="s">
        <v>721</v>
      </c>
      <c r="F499" t="str">
        <f>INDEX(IPCCMaps!H:H,MATCH(mapPRC!D499,IPCCMaps!G:G,0))</f>
        <v>1 Energy</v>
      </c>
      <c r="G499" t="str">
        <f>INDEX(IPCCMaps!I:I,MATCH(mapPRC!D499,IPCCMaps!G:G,0))</f>
        <v>1A Fuel Combustion Activities</v>
      </c>
      <c r="H499" t="str">
        <f>INDEX(IPCCMaps!J:J,MATCH(mapPRC!D499,IPCCMaps!G:G,0))</f>
        <v>1A4 Other Sectors</v>
      </c>
      <c r="I499" t="str">
        <f>INDEX(IPCCMaps!K:K,MATCH(mapPRC!D499,IPCCMaps!G:G,0))</f>
        <v>1A4b Residential</v>
      </c>
    </row>
    <row r="500" spans="1:9" hidden="1" x14ac:dyDescent="0.25">
      <c r="A500" t="s">
        <v>806</v>
      </c>
      <c r="B500" t="s">
        <v>802</v>
      </c>
      <c r="C500" t="s">
        <v>723</v>
      </c>
      <c r="D500" t="s">
        <v>782</v>
      </c>
      <c r="E500" t="s">
        <v>721</v>
      </c>
      <c r="F500" t="str">
        <f>INDEX(IPCCMaps!H:H,MATCH(mapPRC!D500,IPCCMaps!G:G,0))</f>
        <v>1 Energy</v>
      </c>
      <c r="G500" t="str">
        <f>INDEX(IPCCMaps!I:I,MATCH(mapPRC!D500,IPCCMaps!G:G,0))</f>
        <v>1A Fuel Combustion Activities</v>
      </c>
      <c r="H500" t="str">
        <f>INDEX(IPCCMaps!J:J,MATCH(mapPRC!D500,IPCCMaps!G:G,0))</f>
        <v>1A4 Other Sectors</v>
      </c>
      <c r="I500" t="str">
        <f>INDEX(IPCCMaps!K:K,MATCH(mapPRC!D500,IPCCMaps!G:G,0))</f>
        <v>1A4b Residential</v>
      </c>
    </row>
    <row r="501" spans="1:9" hidden="1" x14ac:dyDescent="0.25">
      <c r="A501" t="s">
        <v>805</v>
      </c>
      <c r="B501" t="s">
        <v>802</v>
      </c>
      <c r="C501" t="s">
        <v>723</v>
      </c>
      <c r="D501" t="s">
        <v>782</v>
      </c>
      <c r="E501" t="s">
        <v>721</v>
      </c>
      <c r="F501" t="str">
        <f>INDEX(IPCCMaps!H:H,MATCH(mapPRC!D501,IPCCMaps!G:G,0))</f>
        <v>1 Energy</v>
      </c>
      <c r="G501" t="str">
        <f>INDEX(IPCCMaps!I:I,MATCH(mapPRC!D501,IPCCMaps!G:G,0))</f>
        <v>1A Fuel Combustion Activities</v>
      </c>
      <c r="H501" t="str">
        <f>INDEX(IPCCMaps!J:J,MATCH(mapPRC!D501,IPCCMaps!G:G,0))</f>
        <v>1A4 Other Sectors</v>
      </c>
      <c r="I501" t="str">
        <f>INDEX(IPCCMaps!K:K,MATCH(mapPRC!D501,IPCCMaps!G:G,0))</f>
        <v>1A4b Residential</v>
      </c>
    </row>
    <row r="502" spans="1:9" hidden="1" x14ac:dyDescent="0.25">
      <c r="A502" t="s">
        <v>804</v>
      </c>
      <c r="B502" t="s">
        <v>802</v>
      </c>
      <c r="C502" t="s">
        <v>723</v>
      </c>
      <c r="D502" t="s">
        <v>782</v>
      </c>
      <c r="E502" t="s">
        <v>721</v>
      </c>
      <c r="F502" t="str">
        <f>INDEX(IPCCMaps!H:H,MATCH(mapPRC!D502,IPCCMaps!G:G,0))</f>
        <v>1 Energy</v>
      </c>
      <c r="G502" t="str">
        <f>INDEX(IPCCMaps!I:I,MATCH(mapPRC!D502,IPCCMaps!G:G,0))</f>
        <v>1A Fuel Combustion Activities</v>
      </c>
      <c r="H502" t="str">
        <f>INDEX(IPCCMaps!J:J,MATCH(mapPRC!D502,IPCCMaps!G:G,0))</f>
        <v>1A4 Other Sectors</v>
      </c>
      <c r="I502" t="str">
        <f>INDEX(IPCCMaps!K:K,MATCH(mapPRC!D502,IPCCMaps!G:G,0))</f>
        <v>1A4b Residential</v>
      </c>
    </row>
    <row r="503" spans="1:9" hidden="1" x14ac:dyDescent="0.25">
      <c r="A503" t="s">
        <v>803</v>
      </c>
      <c r="B503" t="s">
        <v>802</v>
      </c>
      <c r="C503" t="s">
        <v>723</v>
      </c>
      <c r="D503" t="s">
        <v>782</v>
      </c>
      <c r="E503" t="s">
        <v>721</v>
      </c>
      <c r="F503" t="str">
        <f>INDEX(IPCCMaps!H:H,MATCH(mapPRC!D503,IPCCMaps!G:G,0))</f>
        <v>1 Energy</v>
      </c>
      <c r="G503" t="str">
        <f>INDEX(IPCCMaps!I:I,MATCH(mapPRC!D503,IPCCMaps!G:G,0))</f>
        <v>1A Fuel Combustion Activities</v>
      </c>
      <c r="H503" t="str">
        <f>INDEX(IPCCMaps!J:J,MATCH(mapPRC!D503,IPCCMaps!G:G,0))</f>
        <v>1A4 Other Sectors</v>
      </c>
      <c r="I503" t="str">
        <f>INDEX(IPCCMaps!K:K,MATCH(mapPRC!D503,IPCCMaps!G:G,0))</f>
        <v>1A4b Residential</v>
      </c>
    </row>
    <row r="504" spans="1:9" hidden="1" x14ac:dyDescent="0.25">
      <c r="A504" t="s">
        <v>801</v>
      </c>
      <c r="B504" t="s">
        <v>797</v>
      </c>
      <c r="C504" t="s">
        <v>723</v>
      </c>
      <c r="D504" t="s">
        <v>782</v>
      </c>
      <c r="E504" t="s">
        <v>743</v>
      </c>
      <c r="F504" t="str">
        <f>INDEX(IPCCMaps!H:H,MATCH(mapPRC!D504,IPCCMaps!G:G,0))</f>
        <v>1 Energy</v>
      </c>
      <c r="G504" t="str">
        <f>INDEX(IPCCMaps!I:I,MATCH(mapPRC!D504,IPCCMaps!G:G,0))</f>
        <v>1A Fuel Combustion Activities</v>
      </c>
      <c r="H504" t="str">
        <f>INDEX(IPCCMaps!J:J,MATCH(mapPRC!D504,IPCCMaps!G:G,0))</f>
        <v>1A4 Other Sectors</v>
      </c>
      <c r="I504" t="str">
        <f>INDEX(IPCCMaps!K:K,MATCH(mapPRC!D504,IPCCMaps!G:G,0))</f>
        <v>1A4b Residential</v>
      </c>
    </row>
    <row r="505" spans="1:9" hidden="1" x14ac:dyDescent="0.25">
      <c r="A505" t="s">
        <v>800</v>
      </c>
      <c r="B505" t="s">
        <v>797</v>
      </c>
      <c r="C505" t="s">
        <v>723</v>
      </c>
      <c r="D505" t="s">
        <v>782</v>
      </c>
      <c r="E505" t="s">
        <v>743</v>
      </c>
      <c r="F505" t="str">
        <f>INDEX(IPCCMaps!H:H,MATCH(mapPRC!D505,IPCCMaps!G:G,0))</f>
        <v>1 Energy</v>
      </c>
      <c r="G505" t="str">
        <f>INDEX(IPCCMaps!I:I,MATCH(mapPRC!D505,IPCCMaps!G:G,0))</f>
        <v>1A Fuel Combustion Activities</v>
      </c>
      <c r="H505" t="str">
        <f>INDEX(IPCCMaps!J:J,MATCH(mapPRC!D505,IPCCMaps!G:G,0))</f>
        <v>1A4 Other Sectors</v>
      </c>
      <c r="I505" t="str">
        <f>INDEX(IPCCMaps!K:K,MATCH(mapPRC!D505,IPCCMaps!G:G,0))</f>
        <v>1A4b Residential</v>
      </c>
    </row>
    <row r="506" spans="1:9" hidden="1" x14ac:dyDescent="0.25">
      <c r="A506" t="s">
        <v>799</v>
      </c>
      <c r="B506" t="s">
        <v>797</v>
      </c>
      <c r="C506" t="s">
        <v>723</v>
      </c>
      <c r="D506" t="s">
        <v>782</v>
      </c>
      <c r="E506" t="s">
        <v>743</v>
      </c>
      <c r="F506" t="str">
        <f>INDEX(IPCCMaps!H:H,MATCH(mapPRC!D506,IPCCMaps!G:G,0))</f>
        <v>1 Energy</v>
      </c>
      <c r="G506" t="str">
        <f>INDEX(IPCCMaps!I:I,MATCH(mapPRC!D506,IPCCMaps!G:G,0))</f>
        <v>1A Fuel Combustion Activities</v>
      </c>
      <c r="H506" t="str">
        <f>INDEX(IPCCMaps!J:J,MATCH(mapPRC!D506,IPCCMaps!G:G,0))</f>
        <v>1A4 Other Sectors</v>
      </c>
      <c r="I506" t="str">
        <f>INDEX(IPCCMaps!K:K,MATCH(mapPRC!D506,IPCCMaps!G:G,0))</f>
        <v>1A4b Residential</v>
      </c>
    </row>
    <row r="507" spans="1:9" hidden="1" x14ac:dyDescent="0.25">
      <c r="A507" t="s">
        <v>798</v>
      </c>
      <c r="B507" t="s">
        <v>797</v>
      </c>
      <c r="C507" t="s">
        <v>723</v>
      </c>
      <c r="D507" t="s">
        <v>782</v>
      </c>
      <c r="E507" t="s">
        <v>743</v>
      </c>
      <c r="F507" t="str">
        <f>INDEX(IPCCMaps!H:H,MATCH(mapPRC!D507,IPCCMaps!G:G,0))</f>
        <v>1 Energy</v>
      </c>
      <c r="G507" t="str">
        <f>INDEX(IPCCMaps!I:I,MATCH(mapPRC!D507,IPCCMaps!G:G,0))</f>
        <v>1A Fuel Combustion Activities</v>
      </c>
      <c r="H507" t="str">
        <f>INDEX(IPCCMaps!J:J,MATCH(mapPRC!D507,IPCCMaps!G:G,0))</f>
        <v>1A4 Other Sectors</v>
      </c>
      <c r="I507" t="str">
        <f>INDEX(IPCCMaps!K:K,MATCH(mapPRC!D507,IPCCMaps!G:G,0))</f>
        <v>1A4b Residential</v>
      </c>
    </row>
    <row r="508" spans="1:9" hidden="1" x14ac:dyDescent="0.25">
      <c r="A508" t="s">
        <v>796</v>
      </c>
      <c r="B508" t="s">
        <v>792</v>
      </c>
      <c r="C508" t="s">
        <v>723</v>
      </c>
      <c r="D508" t="s">
        <v>782</v>
      </c>
      <c r="E508" t="s">
        <v>736</v>
      </c>
      <c r="F508" t="str">
        <f>INDEX(IPCCMaps!H:H,MATCH(mapPRC!D508,IPCCMaps!G:G,0))</f>
        <v>1 Energy</v>
      </c>
      <c r="G508" t="str">
        <f>INDEX(IPCCMaps!I:I,MATCH(mapPRC!D508,IPCCMaps!G:G,0))</f>
        <v>1A Fuel Combustion Activities</v>
      </c>
      <c r="H508" t="str">
        <f>INDEX(IPCCMaps!J:J,MATCH(mapPRC!D508,IPCCMaps!G:G,0))</f>
        <v>1A4 Other Sectors</v>
      </c>
      <c r="I508" t="str">
        <f>INDEX(IPCCMaps!K:K,MATCH(mapPRC!D508,IPCCMaps!G:G,0))</f>
        <v>1A4b Residential</v>
      </c>
    </row>
    <row r="509" spans="1:9" hidden="1" x14ac:dyDescent="0.25">
      <c r="A509" t="s">
        <v>795</v>
      </c>
      <c r="B509" t="s">
        <v>792</v>
      </c>
      <c r="C509" t="s">
        <v>723</v>
      </c>
      <c r="D509" t="s">
        <v>782</v>
      </c>
      <c r="E509" t="s">
        <v>736</v>
      </c>
      <c r="F509" t="str">
        <f>INDEX(IPCCMaps!H:H,MATCH(mapPRC!D509,IPCCMaps!G:G,0))</f>
        <v>1 Energy</v>
      </c>
      <c r="G509" t="str">
        <f>INDEX(IPCCMaps!I:I,MATCH(mapPRC!D509,IPCCMaps!G:G,0))</f>
        <v>1A Fuel Combustion Activities</v>
      </c>
      <c r="H509" t="str">
        <f>INDEX(IPCCMaps!J:J,MATCH(mapPRC!D509,IPCCMaps!G:G,0))</f>
        <v>1A4 Other Sectors</v>
      </c>
      <c r="I509" t="str">
        <f>INDEX(IPCCMaps!K:K,MATCH(mapPRC!D509,IPCCMaps!G:G,0))</f>
        <v>1A4b Residential</v>
      </c>
    </row>
    <row r="510" spans="1:9" hidden="1" x14ac:dyDescent="0.25">
      <c r="A510" t="s">
        <v>794</v>
      </c>
      <c r="B510" t="s">
        <v>792</v>
      </c>
      <c r="C510" t="s">
        <v>723</v>
      </c>
      <c r="D510" t="s">
        <v>782</v>
      </c>
      <c r="E510" t="s">
        <v>736</v>
      </c>
      <c r="F510" t="str">
        <f>INDEX(IPCCMaps!H:H,MATCH(mapPRC!D510,IPCCMaps!G:G,0))</f>
        <v>1 Energy</v>
      </c>
      <c r="G510" t="str">
        <f>INDEX(IPCCMaps!I:I,MATCH(mapPRC!D510,IPCCMaps!G:G,0))</f>
        <v>1A Fuel Combustion Activities</v>
      </c>
      <c r="H510" t="str">
        <f>INDEX(IPCCMaps!J:J,MATCH(mapPRC!D510,IPCCMaps!G:G,0))</f>
        <v>1A4 Other Sectors</v>
      </c>
      <c r="I510" t="str">
        <f>INDEX(IPCCMaps!K:K,MATCH(mapPRC!D510,IPCCMaps!G:G,0))</f>
        <v>1A4b Residential</v>
      </c>
    </row>
    <row r="511" spans="1:9" hidden="1" x14ac:dyDescent="0.25">
      <c r="A511" t="s">
        <v>793</v>
      </c>
      <c r="B511" t="s">
        <v>792</v>
      </c>
      <c r="C511" t="s">
        <v>723</v>
      </c>
      <c r="D511" t="s">
        <v>782</v>
      </c>
      <c r="E511" t="s">
        <v>736</v>
      </c>
      <c r="F511" t="str">
        <f>INDEX(IPCCMaps!H:H,MATCH(mapPRC!D511,IPCCMaps!G:G,0))</f>
        <v>1 Energy</v>
      </c>
      <c r="G511" t="str">
        <f>INDEX(IPCCMaps!I:I,MATCH(mapPRC!D511,IPCCMaps!G:G,0))</f>
        <v>1A Fuel Combustion Activities</v>
      </c>
      <c r="H511" t="str">
        <f>INDEX(IPCCMaps!J:J,MATCH(mapPRC!D511,IPCCMaps!G:G,0))</f>
        <v>1A4 Other Sectors</v>
      </c>
      <c r="I511" t="str">
        <f>INDEX(IPCCMaps!K:K,MATCH(mapPRC!D511,IPCCMaps!G:G,0))</f>
        <v>1A4b Residential</v>
      </c>
    </row>
    <row r="512" spans="1:9" hidden="1" x14ac:dyDescent="0.25">
      <c r="A512" t="s">
        <v>791</v>
      </c>
      <c r="B512" t="s">
        <v>790</v>
      </c>
      <c r="C512" t="s">
        <v>723</v>
      </c>
      <c r="D512" t="s">
        <v>782</v>
      </c>
      <c r="E512" t="s">
        <v>733</v>
      </c>
      <c r="F512" t="str">
        <f>INDEX(IPCCMaps!H:H,MATCH(mapPRC!D512,IPCCMaps!G:G,0))</f>
        <v>1 Energy</v>
      </c>
      <c r="G512" t="str">
        <f>INDEX(IPCCMaps!I:I,MATCH(mapPRC!D512,IPCCMaps!G:G,0))</f>
        <v>1A Fuel Combustion Activities</v>
      </c>
      <c r="H512" t="str">
        <f>INDEX(IPCCMaps!J:J,MATCH(mapPRC!D512,IPCCMaps!G:G,0))</f>
        <v>1A4 Other Sectors</v>
      </c>
      <c r="I512" t="str">
        <f>INDEX(IPCCMaps!K:K,MATCH(mapPRC!D512,IPCCMaps!G:G,0))</f>
        <v>1A4b Residential</v>
      </c>
    </row>
    <row r="513" spans="1:9" hidden="1" x14ac:dyDescent="0.25">
      <c r="A513" t="s">
        <v>789</v>
      </c>
      <c r="B513" t="s">
        <v>788</v>
      </c>
      <c r="C513" t="s">
        <v>723</v>
      </c>
      <c r="D513" t="s">
        <v>782</v>
      </c>
      <c r="E513" t="s">
        <v>730</v>
      </c>
      <c r="F513" t="str">
        <f>INDEX(IPCCMaps!H:H,MATCH(mapPRC!D513,IPCCMaps!G:G,0))</f>
        <v>1 Energy</v>
      </c>
      <c r="G513" t="str">
        <f>INDEX(IPCCMaps!I:I,MATCH(mapPRC!D513,IPCCMaps!G:G,0))</f>
        <v>1A Fuel Combustion Activities</v>
      </c>
      <c r="H513" t="str">
        <f>INDEX(IPCCMaps!J:J,MATCH(mapPRC!D513,IPCCMaps!G:G,0))</f>
        <v>1A4 Other Sectors</v>
      </c>
      <c r="I513" t="str">
        <f>INDEX(IPCCMaps!K:K,MATCH(mapPRC!D513,IPCCMaps!G:G,0))</f>
        <v>1A4b Residential</v>
      </c>
    </row>
    <row r="514" spans="1:9" hidden="1" x14ac:dyDescent="0.25">
      <c r="A514" t="s">
        <v>787</v>
      </c>
      <c r="B514" t="s">
        <v>783</v>
      </c>
      <c r="C514" t="s">
        <v>723</v>
      </c>
      <c r="D514" t="s">
        <v>782</v>
      </c>
      <c r="E514" t="s">
        <v>721</v>
      </c>
      <c r="F514" t="str">
        <f>INDEX(IPCCMaps!H:H,MATCH(mapPRC!D514,IPCCMaps!G:G,0))</f>
        <v>1 Energy</v>
      </c>
      <c r="G514" t="str">
        <f>INDEX(IPCCMaps!I:I,MATCH(mapPRC!D514,IPCCMaps!G:G,0))</f>
        <v>1A Fuel Combustion Activities</v>
      </c>
      <c r="H514" t="str">
        <f>INDEX(IPCCMaps!J:J,MATCH(mapPRC!D514,IPCCMaps!G:G,0))</f>
        <v>1A4 Other Sectors</v>
      </c>
      <c r="I514" t="str">
        <f>INDEX(IPCCMaps!K:K,MATCH(mapPRC!D514,IPCCMaps!G:G,0))</f>
        <v>1A4b Residential</v>
      </c>
    </row>
    <row r="515" spans="1:9" hidden="1" x14ac:dyDescent="0.25">
      <c r="A515" t="s">
        <v>786</v>
      </c>
      <c r="B515" t="s">
        <v>783</v>
      </c>
      <c r="C515" t="s">
        <v>723</v>
      </c>
      <c r="D515" t="s">
        <v>782</v>
      </c>
      <c r="E515" t="s">
        <v>721</v>
      </c>
      <c r="F515" t="str">
        <f>INDEX(IPCCMaps!H:H,MATCH(mapPRC!D515,IPCCMaps!G:G,0))</f>
        <v>1 Energy</v>
      </c>
      <c r="G515" t="str">
        <f>INDEX(IPCCMaps!I:I,MATCH(mapPRC!D515,IPCCMaps!G:G,0))</f>
        <v>1A Fuel Combustion Activities</v>
      </c>
      <c r="H515" t="str">
        <f>INDEX(IPCCMaps!J:J,MATCH(mapPRC!D515,IPCCMaps!G:G,0))</f>
        <v>1A4 Other Sectors</v>
      </c>
      <c r="I515" t="str">
        <f>INDEX(IPCCMaps!K:K,MATCH(mapPRC!D515,IPCCMaps!G:G,0))</f>
        <v>1A4b Residential</v>
      </c>
    </row>
    <row r="516" spans="1:9" hidden="1" x14ac:dyDescent="0.25">
      <c r="A516" t="s">
        <v>785</v>
      </c>
      <c r="B516" t="s">
        <v>783</v>
      </c>
      <c r="C516" t="s">
        <v>723</v>
      </c>
      <c r="D516" t="s">
        <v>782</v>
      </c>
      <c r="E516" t="s">
        <v>721</v>
      </c>
      <c r="F516" t="str">
        <f>INDEX(IPCCMaps!H:H,MATCH(mapPRC!D516,IPCCMaps!G:G,0))</f>
        <v>1 Energy</v>
      </c>
      <c r="G516" t="str">
        <f>INDEX(IPCCMaps!I:I,MATCH(mapPRC!D516,IPCCMaps!G:G,0))</f>
        <v>1A Fuel Combustion Activities</v>
      </c>
      <c r="H516" t="str">
        <f>INDEX(IPCCMaps!J:J,MATCH(mapPRC!D516,IPCCMaps!G:G,0))</f>
        <v>1A4 Other Sectors</v>
      </c>
      <c r="I516" t="str">
        <f>INDEX(IPCCMaps!K:K,MATCH(mapPRC!D516,IPCCMaps!G:G,0))</f>
        <v>1A4b Residential</v>
      </c>
    </row>
    <row r="517" spans="1:9" hidden="1" x14ac:dyDescent="0.25">
      <c r="A517" t="s">
        <v>784</v>
      </c>
      <c r="B517" t="s">
        <v>783</v>
      </c>
      <c r="C517" t="s">
        <v>723</v>
      </c>
      <c r="D517" t="s">
        <v>782</v>
      </c>
      <c r="E517" t="s">
        <v>721</v>
      </c>
      <c r="F517" t="str">
        <f>INDEX(IPCCMaps!H:H,MATCH(mapPRC!D517,IPCCMaps!G:G,0))</f>
        <v>1 Energy</v>
      </c>
      <c r="G517" t="str">
        <f>INDEX(IPCCMaps!I:I,MATCH(mapPRC!D517,IPCCMaps!G:G,0))</f>
        <v>1A Fuel Combustion Activities</v>
      </c>
      <c r="H517" t="str">
        <f>INDEX(IPCCMaps!J:J,MATCH(mapPRC!D517,IPCCMaps!G:G,0))</f>
        <v>1A4 Other Sectors</v>
      </c>
      <c r="I517" t="str">
        <f>INDEX(IPCCMaps!K:K,MATCH(mapPRC!D517,IPCCMaps!G:G,0))</f>
        <v>1A4b Residential</v>
      </c>
    </row>
    <row r="518" spans="1:9" hidden="1" x14ac:dyDescent="0.25">
      <c r="A518" t="s">
        <v>781</v>
      </c>
      <c r="B518" t="s">
        <v>775</v>
      </c>
      <c r="C518" t="s">
        <v>723</v>
      </c>
      <c r="D518" t="s">
        <v>722</v>
      </c>
      <c r="E518" t="s">
        <v>743</v>
      </c>
      <c r="F518" t="str">
        <f>INDEX(IPCCMaps!H:H,MATCH(mapPRC!D518,IPCCMaps!G:G,0))</f>
        <v>1 Energy</v>
      </c>
      <c r="G518" t="str">
        <f>INDEX(IPCCMaps!I:I,MATCH(mapPRC!D518,IPCCMaps!G:G,0))</f>
        <v>1A Fuel Combustion Activities</v>
      </c>
      <c r="H518" t="str">
        <f>INDEX(IPCCMaps!J:J,MATCH(mapPRC!D518,IPCCMaps!G:G,0))</f>
        <v>1A4 Other Sectors</v>
      </c>
      <c r="I518" t="str">
        <f>INDEX(IPCCMaps!K:K,MATCH(mapPRC!D518,IPCCMaps!G:G,0))</f>
        <v>1A4b Residential</v>
      </c>
    </row>
    <row r="519" spans="1:9" hidden="1" x14ac:dyDescent="0.25">
      <c r="A519" t="s">
        <v>780</v>
      </c>
      <c r="B519" t="s">
        <v>775</v>
      </c>
      <c r="C519" t="s">
        <v>723</v>
      </c>
      <c r="D519" t="s">
        <v>722</v>
      </c>
      <c r="E519" t="s">
        <v>743</v>
      </c>
      <c r="F519" t="str">
        <f>INDEX(IPCCMaps!H:H,MATCH(mapPRC!D519,IPCCMaps!G:G,0))</f>
        <v>1 Energy</v>
      </c>
      <c r="G519" t="str">
        <f>INDEX(IPCCMaps!I:I,MATCH(mapPRC!D519,IPCCMaps!G:G,0))</f>
        <v>1A Fuel Combustion Activities</v>
      </c>
      <c r="H519" t="str">
        <f>INDEX(IPCCMaps!J:J,MATCH(mapPRC!D519,IPCCMaps!G:G,0))</f>
        <v>1A4 Other Sectors</v>
      </c>
      <c r="I519" t="str">
        <f>INDEX(IPCCMaps!K:K,MATCH(mapPRC!D519,IPCCMaps!G:G,0))</f>
        <v>1A4b Residential</v>
      </c>
    </row>
    <row r="520" spans="1:9" hidden="1" x14ac:dyDescent="0.25">
      <c r="A520" t="s">
        <v>779</v>
      </c>
      <c r="B520" t="s">
        <v>775</v>
      </c>
      <c r="C520" t="s">
        <v>723</v>
      </c>
      <c r="D520" t="s">
        <v>722</v>
      </c>
      <c r="E520" t="s">
        <v>743</v>
      </c>
      <c r="F520" t="str">
        <f>INDEX(IPCCMaps!H:H,MATCH(mapPRC!D520,IPCCMaps!G:G,0))</f>
        <v>1 Energy</v>
      </c>
      <c r="G520" t="str">
        <f>INDEX(IPCCMaps!I:I,MATCH(mapPRC!D520,IPCCMaps!G:G,0))</f>
        <v>1A Fuel Combustion Activities</v>
      </c>
      <c r="H520" t="str">
        <f>INDEX(IPCCMaps!J:J,MATCH(mapPRC!D520,IPCCMaps!G:G,0))</f>
        <v>1A4 Other Sectors</v>
      </c>
      <c r="I520" t="str">
        <f>INDEX(IPCCMaps!K:K,MATCH(mapPRC!D520,IPCCMaps!G:G,0))</f>
        <v>1A4b Residential</v>
      </c>
    </row>
    <row r="521" spans="1:9" hidden="1" x14ac:dyDescent="0.25">
      <c r="A521" t="s">
        <v>778</v>
      </c>
      <c r="B521" t="s">
        <v>775</v>
      </c>
      <c r="C521" t="s">
        <v>723</v>
      </c>
      <c r="D521" t="s">
        <v>722</v>
      </c>
      <c r="E521" t="s">
        <v>743</v>
      </c>
      <c r="F521" t="str">
        <f>INDEX(IPCCMaps!H:H,MATCH(mapPRC!D521,IPCCMaps!G:G,0))</f>
        <v>1 Energy</v>
      </c>
      <c r="G521" t="str">
        <f>INDEX(IPCCMaps!I:I,MATCH(mapPRC!D521,IPCCMaps!G:G,0))</f>
        <v>1A Fuel Combustion Activities</v>
      </c>
      <c r="H521" t="str">
        <f>INDEX(IPCCMaps!J:J,MATCH(mapPRC!D521,IPCCMaps!G:G,0))</f>
        <v>1A4 Other Sectors</v>
      </c>
      <c r="I521" t="str">
        <f>INDEX(IPCCMaps!K:K,MATCH(mapPRC!D521,IPCCMaps!G:G,0))</f>
        <v>1A4b Residential</v>
      </c>
    </row>
    <row r="522" spans="1:9" hidden="1" x14ac:dyDescent="0.25">
      <c r="A522" t="s">
        <v>777</v>
      </c>
      <c r="B522" t="s">
        <v>775</v>
      </c>
      <c r="C522" t="s">
        <v>723</v>
      </c>
      <c r="D522" t="s">
        <v>722</v>
      </c>
      <c r="E522" t="s">
        <v>743</v>
      </c>
      <c r="F522" t="str">
        <f>INDEX(IPCCMaps!H:H,MATCH(mapPRC!D522,IPCCMaps!G:G,0))</f>
        <v>1 Energy</v>
      </c>
      <c r="G522" t="str">
        <f>INDEX(IPCCMaps!I:I,MATCH(mapPRC!D522,IPCCMaps!G:G,0))</f>
        <v>1A Fuel Combustion Activities</v>
      </c>
      <c r="H522" t="str">
        <f>INDEX(IPCCMaps!J:J,MATCH(mapPRC!D522,IPCCMaps!G:G,0))</f>
        <v>1A4 Other Sectors</v>
      </c>
      <c r="I522" t="str">
        <f>INDEX(IPCCMaps!K:K,MATCH(mapPRC!D522,IPCCMaps!G:G,0))</f>
        <v>1A4b Residential</v>
      </c>
    </row>
    <row r="523" spans="1:9" hidden="1" x14ac:dyDescent="0.25">
      <c r="A523" t="s">
        <v>776</v>
      </c>
      <c r="B523" t="s">
        <v>775</v>
      </c>
      <c r="C523" t="s">
        <v>723</v>
      </c>
      <c r="D523" t="s">
        <v>722</v>
      </c>
      <c r="E523" t="s">
        <v>743</v>
      </c>
      <c r="F523" t="str">
        <f>INDEX(IPCCMaps!H:H,MATCH(mapPRC!D523,IPCCMaps!G:G,0))</f>
        <v>1 Energy</v>
      </c>
      <c r="G523" t="str">
        <f>INDEX(IPCCMaps!I:I,MATCH(mapPRC!D523,IPCCMaps!G:G,0))</f>
        <v>1A Fuel Combustion Activities</v>
      </c>
      <c r="H523" t="str">
        <f>INDEX(IPCCMaps!J:J,MATCH(mapPRC!D523,IPCCMaps!G:G,0))</f>
        <v>1A4 Other Sectors</v>
      </c>
      <c r="I523" t="str">
        <f>INDEX(IPCCMaps!K:K,MATCH(mapPRC!D523,IPCCMaps!G:G,0))</f>
        <v>1A4b Residential</v>
      </c>
    </row>
    <row r="524" spans="1:9" hidden="1" x14ac:dyDescent="0.25">
      <c r="A524" t="s">
        <v>774</v>
      </c>
      <c r="B524" t="s">
        <v>768</v>
      </c>
      <c r="C524" t="s">
        <v>723</v>
      </c>
      <c r="D524" t="s">
        <v>722</v>
      </c>
      <c r="E524" t="s">
        <v>736</v>
      </c>
      <c r="F524" t="str">
        <f>INDEX(IPCCMaps!H:H,MATCH(mapPRC!D524,IPCCMaps!G:G,0))</f>
        <v>1 Energy</v>
      </c>
      <c r="G524" t="str">
        <f>INDEX(IPCCMaps!I:I,MATCH(mapPRC!D524,IPCCMaps!G:G,0))</f>
        <v>1A Fuel Combustion Activities</v>
      </c>
      <c r="H524" t="str">
        <f>INDEX(IPCCMaps!J:J,MATCH(mapPRC!D524,IPCCMaps!G:G,0))</f>
        <v>1A4 Other Sectors</v>
      </c>
      <c r="I524" t="str">
        <f>INDEX(IPCCMaps!K:K,MATCH(mapPRC!D524,IPCCMaps!G:G,0))</f>
        <v>1A4b Residential</v>
      </c>
    </row>
    <row r="525" spans="1:9" hidden="1" x14ac:dyDescent="0.25">
      <c r="A525" t="s">
        <v>773</v>
      </c>
      <c r="B525" t="s">
        <v>768</v>
      </c>
      <c r="C525" t="s">
        <v>723</v>
      </c>
      <c r="D525" t="s">
        <v>722</v>
      </c>
      <c r="E525" t="s">
        <v>736</v>
      </c>
      <c r="F525" t="str">
        <f>INDEX(IPCCMaps!H:H,MATCH(mapPRC!D525,IPCCMaps!G:G,0))</f>
        <v>1 Energy</v>
      </c>
      <c r="G525" t="str">
        <f>INDEX(IPCCMaps!I:I,MATCH(mapPRC!D525,IPCCMaps!G:G,0))</f>
        <v>1A Fuel Combustion Activities</v>
      </c>
      <c r="H525" t="str">
        <f>INDEX(IPCCMaps!J:J,MATCH(mapPRC!D525,IPCCMaps!G:G,0))</f>
        <v>1A4 Other Sectors</v>
      </c>
      <c r="I525" t="str">
        <f>INDEX(IPCCMaps!K:K,MATCH(mapPRC!D525,IPCCMaps!G:G,0))</f>
        <v>1A4b Residential</v>
      </c>
    </row>
    <row r="526" spans="1:9" hidden="1" x14ac:dyDescent="0.25">
      <c r="A526" t="s">
        <v>772</v>
      </c>
      <c r="B526" t="s">
        <v>768</v>
      </c>
      <c r="C526" t="s">
        <v>723</v>
      </c>
      <c r="D526" t="s">
        <v>722</v>
      </c>
      <c r="E526" t="s">
        <v>736</v>
      </c>
      <c r="F526" t="str">
        <f>INDEX(IPCCMaps!H:H,MATCH(mapPRC!D526,IPCCMaps!G:G,0))</f>
        <v>1 Energy</v>
      </c>
      <c r="G526" t="str">
        <f>INDEX(IPCCMaps!I:I,MATCH(mapPRC!D526,IPCCMaps!G:G,0))</f>
        <v>1A Fuel Combustion Activities</v>
      </c>
      <c r="H526" t="str">
        <f>INDEX(IPCCMaps!J:J,MATCH(mapPRC!D526,IPCCMaps!G:G,0))</f>
        <v>1A4 Other Sectors</v>
      </c>
      <c r="I526" t="str">
        <f>INDEX(IPCCMaps!K:K,MATCH(mapPRC!D526,IPCCMaps!G:G,0))</f>
        <v>1A4b Residential</v>
      </c>
    </row>
    <row r="527" spans="1:9" hidden="1" x14ac:dyDescent="0.25">
      <c r="A527" t="s">
        <v>771</v>
      </c>
      <c r="B527" t="s">
        <v>768</v>
      </c>
      <c r="C527" t="s">
        <v>723</v>
      </c>
      <c r="D527" t="s">
        <v>722</v>
      </c>
      <c r="E527" t="s">
        <v>736</v>
      </c>
      <c r="F527" t="str">
        <f>INDEX(IPCCMaps!H:H,MATCH(mapPRC!D527,IPCCMaps!G:G,0))</f>
        <v>1 Energy</v>
      </c>
      <c r="G527" t="str">
        <f>INDEX(IPCCMaps!I:I,MATCH(mapPRC!D527,IPCCMaps!G:G,0))</f>
        <v>1A Fuel Combustion Activities</v>
      </c>
      <c r="H527" t="str">
        <f>INDEX(IPCCMaps!J:J,MATCH(mapPRC!D527,IPCCMaps!G:G,0))</f>
        <v>1A4 Other Sectors</v>
      </c>
      <c r="I527" t="str">
        <f>INDEX(IPCCMaps!K:K,MATCH(mapPRC!D527,IPCCMaps!G:G,0))</f>
        <v>1A4b Residential</v>
      </c>
    </row>
    <row r="528" spans="1:9" hidden="1" x14ac:dyDescent="0.25">
      <c r="A528" t="s">
        <v>770</v>
      </c>
      <c r="B528" t="s">
        <v>768</v>
      </c>
      <c r="C528" t="s">
        <v>723</v>
      </c>
      <c r="D528" t="s">
        <v>722</v>
      </c>
      <c r="E528" t="s">
        <v>736</v>
      </c>
      <c r="F528" t="str">
        <f>INDEX(IPCCMaps!H:H,MATCH(mapPRC!D528,IPCCMaps!G:G,0))</f>
        <v>1 Energy</v>
      </c>
      <c r="G528" t="str">
        <f>INDEX(IPCCMaps!I:I,MATCH(mapPRC!D528,IPCCMaps!G:G,0))</f>
        <v>1A Fuel Combustion Activities</v>
      </c>
      <c r="H528" t="str">
        <f>INDEX(IPCCMaps!J:J,MATCH(mapPRC!D528,IPCCMaps!G:G,0))</f>
        <v>1A4 Other Sectors</v>
      </c>
      <c r="I528" t="str">
        <f>INDEX(IPCCMaps!K:K,MATCH(mapPRC!D528,IPCCMaps!G:G,0))</f>
        <v>1A4b Residential</v>
      </c>
    </row>
    <row r="529" spans="1:9" hidden="1" x14ac:dyDescent="0.25">
      <c r="A529" t="s">
        <v>769</v>
      </c>
      <c r="B529" t="s">
        <v>768</v>
      </c>
      <c r="C529" t="s">
        <v>723</v>
      </c>
      <c r="D529" t="s">
        <v>722</v>
      </c>
      <c r="E529" t="s">
        <v>736</v>
      </c>
      <c r="F529" t="str">
        <f>INDEX(IPCCMaps!H:H,MATCH(mapPRC!D529,IPCCMaps!G:G,0))</f>
        <v>1 Energy</v>
      </c>
      <c r="G529" t="str">
        <f>INDEX(IPCCMaps!I:I,MATCH(mapPRC!D529,IPCCMaps!G:G,0))</f>
        <v>1A Fuel Combustion Activities</v>
      </c>
      <c r="H529" t="str">
        <f>INDEX(IPCCMaps!J:J,MATCH(mapPRC!D529,IPCCMaps!G:G,0))</f>
        <v>1A4 Other Sectors</v>
      </c>
      <c r="I529" t="str">
        <f>INDEX(IPCCMaps!K:K,MATCH(mapPRC!D529,IPCCMaps!G:G,0))</f>
        <v>1A4b Residential</v>
      </c>
    </row>
    <row r="530" spans="1:9" hidden="1" x14ac:dyDescent="0.25">
      <c r="A530" t="s">
        <v>767</v>
      </c>
      <c r="B530" t="s">
        <v>766</v>
      </c>
      <c r="C530" t="s">
        <v>723</v>
      </c>
      <c r="D530" t="s">
        <v>722</v>
      </c>
      <c r="E530" t="s">
        <v>733</v>
      </c>
      <c r="F530" t="str">
        <f>INDEX(IPCCMaps!H:H,MATCH(mapPRC!D530,IPCCMaps!G:G,0))</f>
        <v>1 Energy</v>
      </c>
      <c r="G530" t="str">
        <f>INDEX(IPCCMaps!I:I,MATCH(mapPRC!D530,IPCCMaps!G:G,0))</f>
        <v>1A Fuel Combustion Activities</v>
      </c>
      <c r="H530" t="str">
        <f>INDEX(IPCCMaps!J:J,MATCH(mapPRC!D530,IPCCMaps!G:G,0))</f>
        <v>1A4 Other Sectors</v>
      </c>
      <c r="I530" t="str">
        <f>INDEX(IPCCMaps!K:K,MATCH(mapPRC!D530,IPCCMaps!G:G,0))</f>
        <v>1A4b Residential</v>
      </c>
    </row>
    <row r="531" spans="1:9" hidden="1" x14ac:dyDescent="0.25">
      <c r="A531" t="s">
        <v>765</v>
      </c>
      <c r="B531" t="s">
        <v>763</v>
      </c>
      <c r="C531" t="s">
        <v>723</v>
      </c>
      <c r="D531" t="s">
        <v>722</v>
      </c>
      <c r="E531" t="s">
        <v>730</v>
      </c>
      <c r="F531" t="str">
        <f>INDEX(IPCCMaps!H:H,MATCH(mapPRC!D531,IPCCMaps!G:G,0))</f>
        <v>1 Energy</v>
      </c>
      <c r="G531" t="str">
        <f>INDEX(IPCCMaps!I:I,MATCH(mapPRC!D531,IPCCMaps!G:G,0))</f>
        <v>1A Fuel Combustion Activities</v>
      </c>
      <c r="H531" t="str">
        <f>INDEX(IPCCMaps!J:J,MATCH(mapPRC!D531,IPCCMaps!G:G,0))</f>
        <v>1A4 Other Sectors</v>
      </c>
      <c r="I531" t="str">
        <f>INDEX(IPCCMaps!K:K,MATCH(mapPRC!D531,IPCCMaps!G:G,0))</f>
        <v>1A4b Residential</v>
      </c>
    </row>
    <row r="532" spans="1:9" hidden="1" x14ac:dyDescent="0.25">
      <c r="A532" t="s">
        <v>764</v>
      </c>
      <c r="B532" t="s">
        <v>763</v>
      </c>
      <c r="C532" t="s">
        <v>723</v>
      </c>
      <c r="D532" t="s">
        <v>722</v>
      </c>
      <c r="E532" t="s">
        <v>0</v>
      </c>
      <c r="F532" t="str">
        <f>INDEX(IPCCMaps!H:H,MATCH(mapPRC!D532,IPCCMaps!G:G,0))</f>
        <v>1 Energy</v>
      </c>
      <c r="G532" t="str">
        <f>INDEX(IPCCMaps!I:I,MATCH(mapPRC!D532,IPCCMaps!G:G,0))</f>
        <v>1A Fuel Combustion Activities</v>
      </c>
      <c r="H532" t="str">
        <f>INDEX(IPCCMaps!J:J,MATCH(mapPRC!D532,IPCCMaps!G:G,0))</f>
        <v>1A4 Other Sectors</v>
      </c>
      <c r="I532" t="str">
        <f>INDEX(IPCCMaps!K:K,MATCH(mapPRC!D532,IPCCMaps!G:G,0))</f>
        <v>1A4b Residential</v>
      </c>
    </row>
    <row r="533" spans="1:9" hidden="1" x14ac:dyDescent="0.25">
      <c r="A533" t="s">
        <v>762</v>
      </c>
      <c r="B533" t="s">
        <v>761</v>
      </c>
      <c r="C533" t="s">
        <v>723</v>
      </c>
      <c r="D533" t="s">
        <v>722</v>
      </c>
      <c r="E533" t="s">
        <v>760</v>
      </c>
      <c r="F533" t="str">
        <f>INDEX(IPCCMaps!H:H,MATCH(mapPRC!D533,IPCCMaps!G:G,0))</f>
        <v>1 Energy</v>
      </c>
      <c r="G533" t="str">
        <f>INDEX(IPCCMaps!I:I,MATCH(mapPRC!D533,IPCCMaps!G:G,0))</f>
        <v>1A Fuel Combustion Activities</v>
      </c>
      <c r="H533" t="str">
        <f>INDEX(IPCCMaps!J:J,MATCH(mapPRC!D533,IPCCMaps!G:G,0))</f>
        <v>1A4 Other Sectors</v>
      </c>
      <c r="I533" t="str">
        <f>INDEX(IPCCMaps!K:K,MATCH(mapPRC!D533,IPCCMaps!G:G,0))</f>
        <v>1A4b Residential</v>
      </c>
    </row>
    <row r="534" spans="1:9" hidden="1" x14ac:dyDescent="0.25">
      <c r="A534" t="s">
        <v>759</v>
      </c>
      <c r="B534" t="s">
        <v>750</v>
      </c>
      <c r="C534" t="s">
        <v>723</v>
      </c>
      <c r="D534" t="s">
        <v>722</v>
      </c>
      <c r="E534" t="s">
        <v>721</v>
      </c>
      <c r="F534" t="str">
        <f>INDEX(IPCCMaps!H:H,MATCH(mapPRC!D534,IPCCMaps!G:G,0))</f>
        <v>1 Energy</v>
      </c>
      <c r="G534" t="str">
        <f>INDEX(IPCCMaps!I:I,MATCH(mapPRC!D534,IPCCMaps!G:G,0))</f>
        <v>1A Fuel Combustion Activities</v>
      </c>
      <c r="H534" t="str">
        <f>INDEX(IPCCMaps!J:J,MATCH(mapPRC!D534,IPCCMaps!G:G,0))</f>
        <v>1A4 Other Sectors</v>
      </c>
      <c r="I534" t="str">
        <f>INDEX(IPCCMaps!K:K,MATCH(mapPRC!D534,IPCCMaps!G:G,0))</f>
        <v>1A4b Residential</v>
      </c>
    </row>
    <row r="535" spans="1:9" hidden="1" x14ac:dyDescent="0.25">
      <c r="A535" t="s">
        <v>758</v>
      </c>
      <c r="B535" t="s">
        <v>750</v>
      </c>
      <c r="C535" t="s">
        <v>723</v>
      </c>
      <c r="D535" t="s">
        <v>722</v>
      </c>
      <c r="E535" t="s">
        <v>721</v>
      </c>
      <c r="F535" t="str">
        <f>INDEX(IPCCMaps!H:H,MATCH(mapPRC!D535,IPCCMaps!G:G,0))</f>
        <v>1 Energy</v>
      </c>
      <c r="G535" t="str">
        <f>INDEX(IPCCMaps!I:I,MATCH(mapPRC!D535,IPCCMaps!G:G,0))</f>
        <v>1A Fuel Combustion Activities</v>
      </c>
      <c r="H535" t="str">
        <f>INDEX(IPCCMaps!J:J,MATCH(mapPRC!D535,IPCCMaps!G:G,0))</f>
        <v>1A4 Other Sectors</v>
      </c>
      <c r="I535" t="str">
        <f>INDEX(IPCCMaps!K:K,MATCH(mapPRC!D535,IPCCMaps!G:G,0))</f>
        <v>1A4b Residential</v>
      </c>
    </row>
    <row r="536" spans="1:9" hidden="1" x14ac:dyDescent="0.25">
      <c r="A536" t="s">
        <v>757</v>
      </c>
      <c r="B536" t="s">
        <v>750</v>
      </c>
      <c r="C536" t="s">
        <v>723</v>
      </c>
      <c r="D536" t="s">
        <v>722</v>
      </c>
      <c r="E536" t="s">
        <v>721</v>
      </c>
      <c r="F536" t="str">
        <f>INDEX(IPCCMaps!H:H,MATCH(mapPRC!D536,IPCCMaps!G:G,0))</f>
        <v>1 Energy</v>
      </c>
      <c r="G536" t="str">
        <f>INDEX(IPCCMaps!I:I,MATCH(mapPRC!D536,IPCCMaps!G:G,0))</f>
        <v>1A Fuel Combustion Activities</v>
      </c>
      <c r="H536" t="str">
        <f>INDEX(IPCCMaps!J:J,MATCH(mapPRC!D536,IPCCMaps!G:G,0))</f>
        <v>1A4 Other Sectors</v>
      </c>
      <c r="I536" t="str">
        <f>INDEX(IPCCMaps!K:K,MATCH(mapPRC!D536,IPCCMaps!G:G,0))</f>
        <v>1A4b Residential</v>
      </c>
    </row>
    <row r="537" spans="1:9" hidden="1" x14ac:dyDescent="0.25">
      <c r="A537" t="s">
        <v>756</v>
      </c>
      <c r="B537" t="s">
        <v>750</v>
      </c>
      <c r="C537" t="s">
        <v>723</v>
      </c>
      <c r="D537" t="s">
        <v>722</v>
      </c>
      <c r="E537" t="s">
        <v>721</v>
      </c>
      <c r="F537" t="str">
        <f>INDEX(IPCCMaps!H:H,MATCH(mapPRC!D537,IPCCMaps!G:G,0))</f>
        <v>1 Energy</v>
      </c>
      <c r="G537" t="str">
        <f>INDEX(IPCCMaps!I:I,MATCH(mapPRC!D537,IPCCMaps!G:G,0))</f>
        <v>1A Fuel Combustion Activities</v>
      </c>
      <c r="H537" t="str">
        <f>INDEX(IPCCMaps!J:J,MATCH(mapPRC!D537,IPCCMaps!G:G,0))</f>
        <v>1A4 Other Sectors</v>
      </c>
      <c r="I537" t="str">
        <f>INDEX(IPCCMaps!K:K,MATCH(mapPRC!D537,IPCCMaps!G:G,0))</f>
        <v>1A4b Residential</v>
      </c>
    </row>
    <row r="538" spans="1:9" hidden="1" x14ac:dyDescent="0.25">
      <c r="A538" t="s">
        <v>755</v>
      </c>
      <c r="B538" t="s">
        <v>750</v>
      </c>
      <c r="C538" t="s">
        <v>723</v>
      </c>
      <c r="D538" t="s">
        <v>722</v>
      </c>
      <c r="E538" t="s">
        <v>721</v>
      </c>
      <c r="F538" t="str">
        <f>INDEX(IPCCMaps!H:H,MATCH(mapPRC!D538,IPCCMaps!G:G,0))</f>
        <v>1 Energy</v>
      </c>
      <c r="G538" t="str">
        <f>INDEX(IPCCMaps!I:I,MATCH(mapPRC!D538,IPCCMaps!G:G,0))</f>
        <v>1A Fuel Combustion Activities</v>
      </c>
      <c r="H538" t="str">
        <f>INDEX(IPCCMaps!J:J,MATCH(mapPRC!D538,IPCCMaps!G:G,0))</f>
        <v>1A4 Other Sectors</v>
      </c>
      <c r="I538" t="str">
        <f>INDEX(IPCCMaps!K:K,MATCH(mapPRC!D538,IPCCMaps!G:G,0))</f>
        <v>1A4b Residential</v>
      </c>
    </row>
    <row r="539" spans="1:9" hidden="1" x14ac:dyDescent="0.25">
      <c r="A539" t="s">
        <v>754</v>
      </c>
      <c r="B539" t="s">
        <v>750</v>
      </c>
      <c r="C539" t="s">
        <v>723</v>
      </c>
      <c r="D539" t="s">
        <v>722</v>
      </c>
      <c r="E539" t="s">
        <v>721</v>
      </c>
      <c r="F539" t="str">
        <f>INDEX(IPCCMaps!H:H,MATCH(mapPRC!D539,IPCCMaps!G:G,0))</f>
        <v>1 Energy</v>
      </c>
      <c r="G539" t="str">
        <f>INDEX(IPCCMaps!I:I,MATCH(mapPRC!D539,IPCCMaps!G:G,0))</f>
        <v>1A Fuel Combustion Activities</v>
      </c>
      <c r="H539" t="str">
        <f>INDEX(IPCCMaps!J:J,MATCH(mapPRC!D539,IPCCMaps!G:G,0))</f>
        <v>1A4 Other Sectors</v>
      </c>
      <c r="I539" t="str">
        <f>INDEX(IPCCMaps!K:K,MATCH(mapPRC!D539,IPCCMaps!G:G,0))</f>
        <v>1A4b Residential</v>
      </c>
    </row>
    <row r="540" spans="1:9" hidden="1" x14ac:dyDescent="0.25">
      <c r="A540" t="s">
        <v>753</v>
      </c>
      <c r="B540" t="s">
        <v>750</v>
      </c>
      <c r="C540" t="s">
        <v>723</v>
      </c>
      <c r="D540" t="s">
        <v>722</v>
      </c>
      <c r="E540" t="s">
        <v>721</v>
      </c>
      <c r="F540" t="str">
        <f>INDEX(IPCCMaps!H:H,MATCH(mapPRC!D540,IPCCMaps!G:G,0))</f>
        <v>1 Energy</v>
      </c>
      <c r="G540" t="str">
        <f>INDEX(IPCCMaps!I:I,MATCH(mapPRC!D540,IPCCMaps!G:G,0))</f>
        <v>1A Fuel Combustion Activities</v>
      </c>
      <c r="H540" t="str">
        <f>INDEX(IPCCMaps!J:J,MATCH(mapPRC!D540,IPCCMaps!G:G,0))</f>
        <v>1A4 Other Sectors</v>
      </c>
      <c r="I540" t="str">
        <f>INDEX(IPCCMaps!K:K,MATCH(mapPRC!D540,IPCCMaps!G:G,0))</f>
        <v>1A4b Residential</v>
      </c>
    </row>
    <row r="541" spans="1:9" hidden="1" x14ac:dyDescent="0.25">
      <c r="A541" t="s">
        <v>752</v>
      </c>
      <c r="B541" t="s">
        <v>750</v>
      </c>
      <c r="C541" t="s">
        <v>723</v>
      </c>
      <c r="D541" t="s">
        <v>722</v>
      </c>
      <c r="E541" t="s">
        <v>721</v>
      </c>
      <c r="F541" t="str">
        <f>INDEX(IPCCMaps!H:H,MATCH(mapPRC!D541,IPCCMaps!G:G,0))</f>
        <v>1 Energy</v>
      </c>
      <c r="G541" t="str">
        <f>INDEX(IPCCMaps!I:I,MATCH(mapPRC!D541,IPCCMaps!G:G,0))</f>
        <v>1A Fuel Combustion Activities</v>
      </c>
      <c r="H541" t="str">
        <f>INDEX(IPCCMaps!J:J,MATCH(mapPRC!D541,IPCCMaps!G:G,0))</f>
        <v>1A4 Other Sectors</v>
      </c>
      <c r="I541" t="str">
        <f>INDEX(IPCCMaps!K:K,MATCH(mapPRC!D541,IPCCMaps!G:G,0))</f>
        <v>1A4b Residential</v>
      </c>
    </row>
    <row r="542" spans="1:9" hidden="1" x14ac:dyDescent="0.25">
      <c r="A542" t="s">
        <v>751</v>
      </c>
      <c r="B542" t="s">
        <v>750</v>
      </c>
      <c r="C542" t="s">
        <v>723</v>
      </c>
      <c r="D542" t="s">
        <v>722</v>
      </c>
      <c r="E542" t="s">
        <v>721</v>
      </c>
      <c r="F542" t="str">
        <f>INDEX(IPCCMaps!H:H,MATCH(mapPRC!D542,IPCCMaps!G:G,0))</f>
        <v>1 Energy</v>
      </c>
      <c r="G542" t="str">
        <f>INDEX(IPCCMaps!I:I,MATCH(mapPRC!D542,IPCCMaps!G:G,0))</f>
        <v>1A Fuel Combustion Activities</v>
      </c>
      <c r="H542" t="str">
        <f>INDEX(IPCCMaps!J:J,MATCH(mapPRC!D542,IPCCMaps!G:G,0))</f>
        <v>1A4 Other Sectors</v>
      </c>
      <c r="I542" t="str">
        <f>INDEX(IPCCMaps!K:K,MATCH(mapPRC!D542,IPCCMaps!G:G,0))</f>
        <v>1A4b Residential</v>
      </c>
    </row>
    <row r="543" spans="1:9" hidden="1" x14ac:dyDescent="0.25">
      <c r="A543" t="s">
        <v>749</v>
      </c>
      <c r="B543" t="s">
        <v>744</v>
      </c>
      <c r="C543" t="s">
        <v>723</v>
      </c>
      <c r="D543" t="s">
        <v>722</v>
      </c>
      <c r="E543" t="s">
        <v>743</v>
      </c>
      <c r="F543" t="str">
        <f>INDEX(IPCCMaps!H:H,MATCH(mapPRC!D543,IPCCMaps!G:G,0))</f>
        <v>1 Energy</v>
      </c>
      <c r="G543" t="str">
        <f>INDEX(IPCCMaps!I:I,MATCH(mapPRC!D543,IPCCMaps!G:G,0))</f>
        <v>1A Fuel Combustion Activities</v>
      </c>
      <c r="H543" t="str">
        <f>INDEX(IPCCMaps!J:J,MATCH(mapPRC!D543,IPCCMaps!G:G,0))</f>
        <v>1A4 Other Sectors</v>
      </c>
      <c r="I543" t="str">
        <f>INDEX(IPCCMaps!K:K,MATCH(mapPRC!D543,IPCCMaps!G:G,0))</f>
        <v>1A4b Residential</v>
      </c>
    </row>
    <row r="544" spans="1:9" hidden="1" x14ac:dyDescent="0.25">
      <c r="A544" t="s">
        <v>748</v>
      </c>
      <c r="B544" t="s">
        <v>744</v>
      </c>
      <c r="C544" t="s">
        <v>723</v>
      </c>
      <c r="D544" t="s">
        <v>722</v>
      </c>
      <c r="E544" t="s">
        <v>743</v>
      </c>
      <c r="F544" t="str">
        <f>INDEX(IPCCMaps!H:H,MATCH(mapPRC!D544,IPCCMaps!G:G,0))</f>
        <v>1 Energy</v>
      </c>
      <c r="G544" t="str">
        <f>INDEX(IPCCMaps!I:I,MATCH(mapPRC!D544,IPCCMaps!G:G,0))</f>
        <v>1A Fuel Combustion Activities</v>
      </c>
      <c r="H544" t="str">
        <f>INDEX(IPCCMaps!J:J,MATCH(mapPRC!D544,IPCCMaps!G:G,0))</f>
        <v>1A4 Other Sectors</v>
      </c>
      <c r="I544" t="str">
        <f>INDEX(IPCCMaps!K:K,MATCH(mapPRC!D544,IPCCMaps!G:G,0))</f>
        <v>1A4b Residential</v>
      </c>
    </row>
    <row r="545" spans="1:9" hidden="1" x14ac:dyDescent="0.25">
      <c r="A545" t="s">
        <v>747</v>
      </c>
      <c r="B545" t="s">
        <v>744</v>
      </c>
      <c r="C545" t="s">
        <v>723</v>
      </c>
      <c r="D545" t="s">
        <v>722</v>
      </c>
      <c r="E545" t="s">
        <v>743</v>
      </c>
      <c r="F545" t="str">
        <f>INDEX(IPCCMaps!H:H,MATCH(mapPRC!D545,IPCCMaps!G:G,0))</f>
        <v>1 Energy</v>
      </c>
      <c r="G545" t="str">
        <f>INDEX(IPCCMaps!I:I,MATCH(mapPRC!D545,IPCCMaps!G:G,0))</f>
        <v>1A Fuel Combustion Activities</v>
      </c>
      <c r="H545" t="str">
        <f>INDEX(IPCCMaps!J:J,MATCH(mapPRC!D545,IPCCMaps!G:G,0))</f>
        <v>1A4 Other Sectors</v>
      </c>
      <c r="I545" t="str">
        <f>INDEX(IPCCMaps!K:K,MATCH(mapPRC!D545,IPCCMaps!G:G,0))</f>
        <v>1A4b Residential</v>
      </c>
    </row>
    <row r="546" spans="1:9" hidden="1" x14ac:dyDescent="0.25">
      <c r="A546" t="s">
        <v>746</v>
      </c>
      <c r="B546" t="s">
        <v>744</v>
      </c>
      <c r="C546" t="s">
        <v>723</v>
      </c>
      <c r="D546" t="s">
        <v>722</v>
      </c>
      <c r="E546" t="s">
        <v>743</v>
      </c>
      <c r="F546" t="str">
        <f>INDEX(IPCCMaps!H:H,MATCH(mapPRC!D546,IPCCMaps!G:G,0))</f>
        <v>1 Energy</v>
      </c>
      <c r="G546" t="str">
        <f>INDEX(IPCCMaps!I:I,MATCH(mapPRC!D546,IPCCMaps!G:G,0))</f>
        <v>1A Fuel Combustion Activities</v>
      </c>
      <c r="H546" t="str">
        <f>INDEX(IPCCMaps!J:J,MATCH(mapPRC!D546,IPCCMaps!G:G,0))</f>
        <v>1A4 Other Sectors</v>
      </c>
      <c r="I546" t="str">
        <f>INDEX(IPCCMaps!K:K,MATCH(mapPRC!D546,IPCCMaps!G:G,0))</f>
        <v>1A4b Residential</v>
      </c>
    </row>
    <row r="547" spans="1:9" hidden="1" x14ac:dyDescent="0.25">
      <c r="A547" t="s">
        <v>745</v>
      </c>
      <c r="B547" t="s">
        <v>744</v>
      </c>
      <c r="C547" t="s">
        <v>723</v>
      </c>
      <c r="D547" t="s">
        <v>722</v>
      </c>
      <c r="E547" t="s">
        <v>743</v>
      </c>
      <c r="F547" t="str">
        <f>INDEX(IPCCMaps!H:H,MATCH(mapPRC!D547,IPCCMaps!G:G,0))</f>
        <v>1 Energy</v>
      </c>
      <c r="G547" t="str">
        <f>INDEX(IPCCMaps!I:I,MATCH(mapPRC!D547,IPCCMaps!G:G,0))</f>
        <v>1A Fuel Combustion Activities</v>
      </c>
      <c r="H547" t="str">
        <f>INDEX(IPCCMaps!J:J,MATCH(mapPRC!D547,IPCCMaps!G:G,0))</f>
        <v>1A4 Other Sectors</v>
      </c>
      <c r="I547" t="str">
        <f>INDEX(IPCCMaps!K:K,MATCH(mapPRC!D547,IPCCMaps!G:G,0))</f>
        <v>1A4b Residential</v>
      </c>
    </row>
    <row r="548" spans="1:9" hidden="1" x14ac:dyDescent="0.25">
      <c r="A548" t="s">
        <v>742</v>
      </c>
      <c r="B548" t="s">
        <v>737</v>
      </c>
      <c r="C548" t="s">
        <v>723</v>
      </c>
      <c r="D548" t="s">
        <v>722</v>
      </c>
      <c r="E548" t="s">
        <v>736</v>
      </c>
      <c r="F548" t="str">
        <f>INDEX(IPCCMaps!H:H,MATCH(mapPRC!D548,IPCCMaps!G:G,0))</f>
        <v>1 Energy</v>
      </c>
      <c r="G548" t="str">
        <f>INDEX(IPCCMaps!I:I,MATCH(mapPRC!D548,IPCCMaps!G:G,0))</f>
        <v>1A Fuel Combustion Activities</v>
      </c>
      <c r="H548" t="str">
        <f>INDEX(IPCCMaps!J:J,MATCH(mapPRC!D548,IPCCMaps!G:G,0))</f>
        <v>1A4 Other Sectors</v>
      </c>
      <c r="I548" t="str">
        <f>INDEX(IPCCMaps!K:K,MATCH(mapPRC!D548,IPCCMaps!G:G,0))</f>
        <v>1A4b Residential</v>
      </c>
    </row>
    <row r="549" spans="1:9" hidden="1" x14ac:dyDescent="0.25">
      <c r="A549" t="s">
        <v>741</v>
      </c>
      <c r="B549" t="s">
        <v>737</v>
      </c>
      <c r="C549" t="s">
        <v>723</v>
      </c>
      <c r="D549" t="s">
        <v>722</v>
      </c>
      <c r="E549" t="s">
        <v>736</v>
      </c>
      <c r="F549" t="str">
        <f>INDEX(IPCCMaps!H:H,MATCH(mapPRC!D549,IPCCMaps!G:G,0))</f>
        <v>1 Energy</v>
      </c>
      <c r="G549" t="str">
        <f>INDEX(IPCCMaps!I:I,MATCH(mapPRC!D549,IPCCMaps!G:G,0))</f>
        <v>1A Fuel Combustion Activities</v>
      </c>
      <c r="H549" t="str">
        <f>INDEX(IPCCMaps!J:J,MATCH(mapPRC!D549,IPCCMaps!G:G,0))</f>
        <v>1A4 Other Sectors</v>
      </c>
      <c r="I549" t="str">
        <f>INDEX(IPCCMaps!K:K,MATCH(mapPRC!D549,IPCCMaps!G:G,0))</f>
        <v>1A4b Residential</v>
      </c>
    </row>
    <row r="550" spans="1:9" hidden="1" x14ac:dyDescent="0.25">
      <c r="A550" t="s">
        <v>740</v>
      </c>
      <c r="B550" t="s">
        <v>737</v>
      </c>
      <c r="C550" t="s">
        <v>723</v>
      </c>
      <c r="D550" t="s">
        <v>722</v>
      </c>
      <c r="E550" t="s">
        <v>736</v>
      </c>
      <c r="F550" t="str">
        <f>INDEX(IPCCMaps!H:H,MATCH(mapPRC!D550,IPCCMaps!G:G,0))</f>
        <v>1 Energy</v>
      </c>
      <c r="G550" t="str">
        <f>INDEX(IPCCMaps!I:I,MATCH(mapPRC!D550,IPCCMaps!G:G,0))</f>
        <v>1A Fuel Combustion Activities</v>
      </c>
      <c r="H550" t="str">
        <f>INDEX(IPCCMaps!J:J,MATCH(mapPRC!D550,IPCCMaps!G:G,0))</f>
        <v>1A4 Other Sectors</v>
      </c>
      <c r="I550" t="str">
        <f>INDEX(IPCCMaps!K:K,MATCH(mapPRC!D550,IPCCMaps!G:G,0))</f>
        <v>1A4b Residential</v>
      </c>
    </row>
    <row r="551" spans="1:9" hidden="1" x14ac:dyDescent="0.25">
      <c r="A551" t="s">
        <v>739</v>
      </c>
      <c r="B551" t="s">
        <v>737</v>
      </c>
      <c r="C551" t="s">
        <v>723</v>
      </c>
      <c r="D551" t="s">
        <v>722</v>
      </c>
      <c r="E551" t="s">
        <v>736</v>
      </c>
      <c r="F551" t="str">
        <f>INDEX(IPCCMaps!H:H,MATCH(mapPRC!D551,IPCCMaps!G:G,0))</f>
        <v>1 Energy</v>
      </c>
      <c r="G551" t="str">
        <f>INDEX(IPCCMaps!I:I,MATCH(mapPRC!D551,IPCCMaps!G:G,0))</f>
        <v>1A Fuel Combustion Activities</v>
      </c>
      <c r="H551" t="str">
        <f>INDEX(IPCCMaps!J:J,MATCH(mapPRC!D551,IPCCMaps!G:G,0))</f>
        <v>1A4 Other Sectors</v>
      </c>
      <c r="I551" t="str">
        <f>INDEX(IPCCMaps!K:K,MATCH(mapPRC!D551,IPCCMaps!G:G,0))</f>
        <v>1A4b Residential</v>
      </c>
    </row>
    <row r="552" spans="1:9" hidden="1" x14ac:dyDescent="0.25">
      <c r="A552" t="s">
        <v>738</v>
      </c>
      <c r="B552" t="s">
        <v>737</v>
      </c>
      <c r="C552" t="s">
        <v>723</v>
      </c>
      <c r="D552" t="s">
        <v>722</v>
      </c>
      <c r="E552" t="s">
        <v>736</v>
      </c>
      <c r="F552" t="str">
        <f>INDEX(IPCCMaps!H:H,MATCH(mapPRC!D552,IPCCMaps!G:G,0))</f>
        <v>1 Energy</v>
      </c>
      <c r="G552" t="str">
        <f>INDEX(IPCCMaps!I:I,MATCH(mapPRC!D552,IPCCMaps!G:G,0))</f>
        <v>1A Fuel Combustion Activities</v>
      </c>
      <c r="H552" t="str">
        <f>INDEX(IPCCMaps!J:J,MATCH(mapPRC!D552,IPCCMaps!G:G,0))</f>
        <v>1A4 Other Sectors</v>
      </c>
      <c r="I552" t="str">
        <f>INDEX(IPCCMaps!K:K,MATCH(mapPRC!D552,IPCCMaps!G:G,0))</f>
        <v>1A4b Residential</v>
      </c>
    </row>
    <row r="553" spans="1:9" hidden="1" x14ac:dyDescent="0.25">
      <c r="A553" t="s">
        <v>735</v>
      </c>
      <c r="B553" t="s">
        <v>734</v>
      </c>
      <c r="C553" t="s">
        <v>723</v>
      </c>
      <c r="D553" t="s">
        <v>722</v>
      </c>
      <c r="E553" t="s">
        <v>733</v>
      </c>
      <c r="F553" t="str">
        <f>INDEX(IPCCMaps!H:H,MATCH(mapPRC!D553,IPCCMaps!G:G,0))</f>
        <v>1 Energy</v>
      </c>
      <c r="G553" t="str">
        <f>INDEX(IPCCMaps!I:I,MATCH(mapPRC!D553,IPCCMaps!G:G,0))</f>
        <v>1A Fuel Combustion Activities</v>
      </c>
      <c r="H553" t="str">
        <f>INDEX(IPCCMaps!J:J,MATCH(mapPRC!D553,IPCCMaps!G:G,0))</f>
        <v>1A4 Other Sectors</v>
      </c>
      <c r="I553" t="str">
        <f>INDEX(IPCCMaps!K:K,MATCH(mapPRC!D553,IPCCMaps!G:G,0))</f>
        <v>1A4b Residential</v>
      </c>
    </row>
    <row r="554" spans="1:9" hidden="1" x14ac:dyDescent="0.25">
      <c r="A554" t="s">
        <v>732</v>
      </c>
      <c r="B554" t="s">
        <v>731</v>
      </c>
      <c r="C554" t="s">
        <v>723</v>
      </c>
      <c r="D554" t="s">
        <v>722</v>
      </c>
      <c r="E554" t="s">
        <v>730</v>
      </c>
      <c r="F554" t="str">
        <f>INDEX(IPCCMaps!H:H,MATCH(mapPRC!D554,IPCCMaps!G:G,0))</f>
        <v>1 Energy</v>
      </c>
      <c r="G554" t="str">
        <f>INDEX(IPCCMaps!I:I,MATCH(mapPRC!D554,IPCCMaps!G:G,0))</f>
        <v>1A Fuel Combustion Activities</v>
      </c>
      <c r="H554" t="str">
        <f>INDEX(IPCCMaps!J:J,MATCH(mapPRC!D554,IPCCMaps!G:G,0))</f>
        <v>1A4 Other Sectors</v>
      </c>
      <c r="I554" t="str">
        <f>INDEX(IPCCMaps!K:K,MATCH(mapPRC!D554,IPCCMaps!G:G,0))</f>
        <v>1A4b Residential</v>
      </c>
    </row>
    <row r="555" spans="1:9" hidden="1" x14ac:dyDescent="0.25">
      <c r="A555" t="s">
        <v>729</v>
      </c>
      <c r="B555" t="s">
        <v>724</v>
      </c>
      <c r="C555" t="s">
        <v>723</v>
      </c>
      <c r="D555" t="s">
        <v>722</v>
      </c>
      <c r="E555" t="s">
        <v>721</v>
      </c>
      <c r="F555" t="str">
        <f>INDEX(IPCCMaps!H:H,MATCH(mapPRC!D555,IPCCMaps!G:G,0))</f>
        <v>1 Energy</v>
      </c>
      <c r="G555" t="str">
        <f>INDEX(IPCCMaps!I:I,MATCH(mapPRC!D555,IPCCMaps!G:G,0))</f>
        <v>1A Fuel Combustion Activities</v>
      </c>
      <c r="H555" t="str">
        <f>INDEX(IPCCMaps!J:J,MATCH(mapPRC!D555,IPCCMaps!G:G,0))</f>
        <v>1A4 Other Sectors</v>
      </c>
      <c r="I555" t="str">
        <f>INDEX(IPCCMaps!K:K,MATCH(mapPRC!D555,IPCCMaps!G:G,0))</f>
        <v>1A4b Residential</v>
      </c>
    </row>
    <row r="556" spans="1:9" hidden="1" x14ac:dyDescent="0.25">
      <c r="A556" t="s">
        <v>728</v>
      </c>
      <c r="B556" t="s">
        <v>724</v>
      </c>
      <c r="C556" t="s">
        <v>723</v>
      </c>
      <c r="D556" t="s">
        <v>722</v>
      </c>
      <c r="E556" t="s">
        <v>721</v>
      </c>
      <c r="F556" t="str">
        <f>INDEX(IPCCMaps!H:H,MATCH(mapPRC!D556,IPCCMaps!G:G,0))</f>
        <v>1 Energy</v>
      </c>
      <c r="G556" t="str">
        <f>INDEX(IPCCMaps!I:I,MATCH(mapPRC!D556,IPCCMaps!G:G,0))</f>
        <v>1A Fuel Combustion Activities</v>
      </c>
      <c r="H556" t="str">
        <f>INDEX(IPCCMaps!J:J,MATCH(mapPRC!D556,IPCCMaps!G:G,0))</f>
        <v>1A4 Other Sectors</v>
      </c>
      <c r="I556" t="str">
        <f>INDEX(IPCCMaps!K:K,MATCH(mapPRC!D556,IPCCMaps!G:G,0))</f>
        <v>1A4b Residential</v>
      </c>
    </row>
    <row r="557" spans="1:9" hidden="1" x14ac:dyDescent="0.25">
      <c r="A557" t="s">
        <v>727</v>
      </c>
      <c r="B557" t="s">
        <v>724</v>
      </c>
      <c r="C557" t="s">
        <v>723</v>
      </c>
      <c r="D557" t="s">
        <v>722</v>
      </c>
      <c r="E557" t="s">
        <v>721</v>
      </c>
      <c r="F557" t="str">
        <f>INDEX(IPCCMaps!H:H,MATCH(mapPRC!D557,IPCCMaps!G:G,0))</f>
        <v>1 Energy</v>
      </c>
      <c r="G557" t="str">
        <f>INDEX(IPCCMaps!I:I,MATCH(mapPRC!D557,IPCCMaps!G:G,0))</f>
        <v>1A Fuel Combustion Activities</v>
      </c>
      <c r="H557" t="str">
        <f>INDEX(IPCCMaps!J:J,MATCH(mapPRC!D557,IPCCMaps!G:G,0))</f>
        <v>1A4 Other Sectors</v>
      </c>
      <c r="I557" t="str">
        <f>INDEX(IPCCMaps!K:K,MATCH(mapPRC!D557,IPCCMaps!G:G,0))</f>
        <v>1A4b Residential</v>
      </c>
    </row>
    <row r="558" spans="1:9" hidden="1" x14ac:dyDescent="0.25">
      <c r="A558" t="s">
        <v>726</v>
      </c>
      <c r="B558" t="s">
        <v>724</v>
      </c>
      <c r="C558" t="s">
        <v>723</v>
      </c>
      <c r="D558" t="s">
        <v>722</v>
      </c>
      <c r="E558" t="s">
        <v>721</v>
      </c>
      <c r="F558" t="str">
        <f>INDEX(IPCCMaps!H:H,MATCH(mapPRC!D558,IPCCMaps!G:G,0))</f>
        <v>1 Energy</v>
      </c>
      <c r="G558" t="str">
        <f>INDEX(IPCCMaps!I:I,MATCH(mapPRC!D558,IPCCMaps!G:G,0))</f>
        <v>1A Fuel Combustion Activities</v>
      </c>
      <c r="H558" t="str">
        <f>INDEX(IPCCMaps!J:J,MATCH(mapPRC!D558,IPCCMaps!G:G,0))</f>
        <v>1A4 Other Sectors</v>
      </c>
      <c r="I558" t="str">
        <f>INDEX(IPCCMaps!K:K,MATCH(mapPRC!D558,IPCCMaps!G:G,0))</f>
        <v>1A4b Residential</v>
      </c>
    </row>
    <row r="559" spans="1:9" hidden="1" x14ac:dyDescent="0.25">
      <c r="A559" t="s">
        <v>725</v>
      </c>
      <c r="B559" t="s">
        <v>724</v>
      </c>
      <c r="C559" t="s">
        <v>723</v>
      </c>
      <c r="D559" t="s">
        <v>722</v>
      </c>
      <c r="E559" t="s">
        <v>721</v>
      </c>
      <c r="F559" t="str">
        <f>INDEX(IPCCMaps!H:H,MATCH(mapPRC!D559,IPCCMaps!G:G,0))</f>
        <v>1 Energy</v>
      </c>
      <c r="G559" t="str">
        <f>INDEX(IPCCMaps!I:I,MATCH(mapPRC!D559,IPCCMaps!G:G,0))</f>
        <v>1A Fuel Combustion Activities</v>
      </c>
      <c r="H559" t="str">
        <f>INDEX(IPCCMaps!J:J,MATCH(mapPRC!D559,IPCCMaps!G:G,0))</f>
        <v>1A4 Other Sectors</v>
      </c>
      <c r="I559" t="str">
        <f>INDEX(IPCCMaps!K:K,MATCH(mapPRC!D559,IPCCMaps!G:G,0))</f>
        <v>1A4b Residential</v>
      </c>
    </row>
    <row r="560" spans="1:9" x14ac:dyDescent="0.25">
      <c r="A560" t="s">
        <v>3116</v>
      </c>
      <c r="B560" t="s">
        <v>3117</v>
      </c>
      <c r="C560" t="s">
        <v>26</v>
      </c>
      <c r="D560" t="s">
        <v>3124</v>
      </c>
      <c r="E560" t="s">
        <v>712</v>
      </c>
      <c r="F560" t="str">
        <f>INDEX(IPCCMaps!H:H,MATCH(mapPRC!D560,IPCCMaps!G:G,0))</f>
        <v>1 Energy</v>
      </c>
      <c r="G560" t="str">
        <f>INDEX(IPCCMaps!I:I,MATCH(mapPRC!D560,IPCCMaps!G:G,0))</f>
        <v>1A Fuel Combustion Activities</v>
      </c>
      <c r="H560" t="str">
        <f>INDEX(IPCCMaps!J:J,MATCH(mapPRC!D560,IPCCMaps!G:G,0))</f>
        <v>1A3 Transport</v>
      </c>
      <c r="I560" t="str">
        <f>INDEX(IPCCMaps!K:K,MATCH(mapPRC!D560,IPCCMaps!G:G,0))</f>
        <v>1A3a Transport - Aviation</v>
      </c>
    </row>
    <row r="561" spans="1:9" x14ac:dyDescent="0.25">
      <c r="A561" t="s">
        <v>3118</v>
      </c>
      <c r="B561" t="s">
        <v>3119</v>
      </c>
      <c r="C561" t="s">
        <v>26</v>
      </c>
      <c r="D561" t="s">
        <v>3124</v>
      </c>
      <c r="E561" t="s">
        <v>712</v>
      </c>
      <c r="F561" t="str">
        <f>INDEX(IPCCMaps!H:H,MATCH(mapPRC!D561,IPCCMaps!G:G,0))</f>
        <v>1 Energy</v>
      </c>
      <c r="G561" t="str">
        <f>INDEX(IPCCMaps!I:I,MATCH(mapPRC!D561,IPCCMaps!G:G,0))</f>
        <v>1A Fuel Combustion Activities</v>
      </c>
      <c r="H561" t="str">
        <f>INDEX(IPCCMaps!J:J,MATCH(mapPRC!D561,IPCCMaps!G:G,0))</f>
        <v>1A3 Transport</v>
      </c>
      <c r="I561" t="str">
        <f>INDEX(IPCCMaps!K:K,MATCH(mapPRC!D561,IPCCMaps!G:G,0))</f>
        <v>1A3a Transport - Aviation</v>
      </c>
    </row>
    <row r="562" spans="1:9" x14ac:dyDescent="0.25">
      <c r="A562" t="s">
        <v>3120</v>
      </c>
      <c r="B562" t="s">
        <v>3121</v>
      </c>
      <c r="C562" t="s">
        <v>26</v>
      </c>
      <c r="D562" t="s">
        <v>3125</v>
      </c>
      <c r="E562" t="s">
        <v>712</v>
      </c>
      <c r="F562" t="e">
        <f>INDEX(IPCCMaps!H:H,MATCH(mapPRC!D562,IPCCMaps!G:G,0))</f>
        <v>#N/A</v>
      </c>
      <c r="G562" t="e">
        <f>INDEX(IPCCMaps!I:I,MATCH(mapPRC!D562,IPCCMaps!G:G,0))</f>
        <v>#N/A</v>
      </c>
      <c r="H562" t="e">
        <f>INDEX(IPCCMaps!J:J,MATCH(mapPRC!D562,IPCCMaps!G:G,0))</f>
        <v>#N/A</v>
      </c>
      <c r="I562" t="e">
        <f>INDEX(IPCCMaps!K:K,MATCH(mapPRC!D562,IPCCMaps!G:G,0))</f>
        <v>#N/A</v>
      </c>
    </row>
    <row r="563" spans="1:9" x14ac:dyDescent="0.25">
      <c r="A563" t="s">
        <v>3122</v>
      </c>
      <c r="B563" t="s">
        <v>3123</v>
      </c>
      <c r="C563" t="s">
        <v>26</v>
      </c>
      <c r="D563" t="s">
        <v>3125</v>
      </c>
      <c r="E563" t="s">
        <v>712</v>
      </c>
      <c r="F563" t="e">
        <f>INDEX(IPCCMaps!H:H,MATCH(mapPRC!D563,IPCCMaps!G:G,0))</f>
        <v>#N/A</v>
      </c>
      <c r="G563" t="e">
        <f>INDEX(IPCCMaps!I:I,MATCH(mapPRC!D563,IPCCMaps!G:G,0))</f>
        <v>#N/A</v>
      </c>
      <c r="H563" t="e">
        <f>INDEX(IPCCMaps!J:J,MATCH(mapPRC!D563,IPCCMaps!G:G,0))</f>
        <v>#N/A</v>
      </c>
      <c r="I563" t="e">
        <f>INDEX(IPCCMaps!K:K,MATCH(mapPRC!D563,IPCCMaps!G:G,0))</f>
        <v>#N/A</v>
      </c>
    </row>
    <row r="564" spans="1:9" x14ac:dyDescent="0.25">
      <c r="A564" t="s">
        <v>720</v>
      </c>
      <c r="B564" t="s">
        <v>719</v>
      </c>
      <c r="C564" t="s">
        <v>26</v>
      </c>
      <c r="D564" t="s">
        <v>3124</v>
      </c>
      <c r="E564" t="s">
        <v>712</v>
      </c>
      <c r="F564" t="str">
        <f>INDEX(IPCCMaps!H:H,MATCH(mapPRC!D564,IPCCMaps!G:G,0))</f>
        <v>1 Energy</v>
      </c>
      <c r="G564" t="str">
        <f>INDEX(IPCCMaps!I:I,MATCH(mapPRC!D564,IPCCMaps!G:G,0))</f>
        <v>1A Fuel Combustion Activities</v>
      </c>
      <c r="H564" t="str">
        <f>INDEX(IPCCMaps!J:J,MATCH(mapPRC!D564,IPCCMaps!G:G,0))</f>
        <v>1A3 Transport</v>
      </c>
      <c r="I564" t="str">
        <f>INDEX(IPCCMaps!K:K,MATCH(mapPRC!D564,IPCCMaps!G:G,0))</f>
        <v>1A3a Transport - Aviation</v>
      </c>
    </row>
    <row r="565" spans="1:9" x14ac:dyDescent="0.25">
      <c r="A565" t="s">
        <v>718</v>
      </c>
      <c r="B565" t="s">
        <v>717</v>
      </c>
      <c r="C565" t="s">
        <v>26</v>
      </c>
      <c r="D565" t="s">
        <v>3124</v>
      </c>
      <c r="E565" t="s">
        <v>712</v>
      </c>
      <c r="F565" t="str">
        <f>INDEX(IPCCMaps!H:H,MATCH(mapPRC!D565,IPCCMaps!G:G,0))</f>
        <v>1 Energy</v>
      </c>
      <c r="G565" t="str">
        <f>INDEX(IPCCMaps!I:I,MATCH(mapPRC!D565,IPCCMaps!G:G,0))</f>
        <v>1A Fuel Combustion Activities</v>
      </c>
      <c r="H565" t="str">
        <f>INDEX(IPCCMaps!J:J,MATCH(mapPRC!D565,IPCCMaps!G:G,0))</f>
        <v>1A3 Transport</v>
      </c>
      <c r="I565" t="str">
        <f>INDEX(IPCCMaps!K:K,MATCH(mapPRC!D565,IPCCMaps!G:G,0))</f>
        <v>1A3a Transport - Aviation</v>
      </c>
    </row>
    <row r="566" spans="1:9" x14ac:dyDescent="0.25">
      <c r="A566" t="s">
        <v>716</v>
      </c>
      <c r="B566" t="s">
        <v>715</v>
      </c>
      <c r="C566" t="s">
        <v>26</v>
      </c>
      <c r="D566" t="s">
        <v>3124</v>
      </c>
      <c r="E566" t="s">
        <v>712</v>
      </c>
      <c r="F566" t="str">
        <f>INDEX(IPCCMaps!H:H,MATCH(mapPRC!D566,IPCCMaps!G:G,0))</f>
        <v>1 Energy</v>
      </c>
      <c r="G566" t="str">
        <f>INDEX(IPCCMaps!I:I,MATCH(mapPRC!D566,IPCCMaps!G:G,0))</f>
        <v>1A Fuel Combustion Activities</v>
      </c>
      <c r="H566" t="str">
        <f>INDEX(IPCCMaps!J:J,MATCH(mapPRC!D566,IPCCMaps!G:G,0))</f>
        <v>1A3 Transport</v>
      </c>
      <c r="I566" t="str">
        <f>INDEX(IPCCMaps!K:K,MATCH(mapPRC!D566,IPCCMaps!G:G,0))</f>
        <v>1A3a Transport - Aviation</v>
      </c>
    </row>
    <row r="567" spans="1:9" x14ac:dyDescent="0.25">
      <c r="A567" t="s">
        <v>714</v>
      </c>
      <c r="B567" t="s">
        <v>713</v>
      </c>
      <c r="C567" t="s">
        <v>26</v>
      </c>
      <c r="D567" t="s">
        <v>3124</v>
      </c>
      <c r="E567" t="s">
        <v>712</v>
      </c>
      <c r="F567" t="str">
        <f>INDEX(IPCCMaps!H:H,MATCH(mapPRC!D567,IPCCMaps!G:G,0))</f>
        <v>1 Energy</v>
      </c>
      <c r="G567" t="str">
        <f>INDEX(IPCCMaps!I:I,MATCH(mapPRC!D567,IPCCMaps!G:G,0))</f>
        <v>1A Fuel Combustion Activities</v>
      </c>
      <c r="H567" t="str">
        <f>INDEX(IPCCMaps!J:J,MATCH(mapPRC!D567,IPCCMaps!G:G,0))</f>
        <v>1A3 Transport</v>
      </c>
      <c r="I567" t="str">
        <f>INDEX(IPCCMaps!K:K,MATCH(mapPRC!D567,IPCCMaps!G:G,0))</f>
        <v>1A3a Transport - Aviation</v>
      </c>
    </row>
    <row r="568" spans="1:9" x14ac:dyDescent="0.25">
      <c r="A568" t="s">
        <v>711</v>
      </c>
      <c r="B568" t="s">
        <v>710</v>
      </c>
      <c r="C568" t="s">
        <v>26</v>
      </c>
      <c r="D568" t="s">
        <v>37</v>
      </c>
      <c r="E568" t="s">
        <v>709</v>
      </c>
      <c r="F568" t="str">
        <f>INDEX(IPCCMaps!H:H,MATCH(mapPRC!D568,IPCCMaps!G:G,0))</f>
        <v>1 Energy</v>
      </c>
      <c r="G568" t="str">
        <f>INDEX(IPCCMaps!I:I,MATCH(mapPRC!D568,IPCCMaps!G:G,0))</f>
        <v>1A Fuel Combustion Activities</v>
      </c>
      <c r="H568" t="str">
        <f>INDEX(IPCCMaps!J:J,MATCH(mapPRC!D568,IPCCMaps!G:G,0))</f>
        <v>1A3 Transport</v>
      </c>
      <c r="I568" t="str">
        <f>INDEX(IPCCMaps!K:K,MATCH(mapPRC!D568,IPCCMaps!G:G,0))</f>
        <v>1A3b Transport - Road</v>
      </c>
    </row>
    <row r="569" spans="1:9" x14ac:dyDescent="0.25">
      <c r="A569" t="s">
        <v>708</v>
      </c>
      <c r="B569" t="s">
        <v>707</v>
      </c>
      <c r="C569" t="s">
        <v>26</v>
      </c>
      <c r="D569" t="s">
        <v>37</v>
      </c>
      <c r="E569" t="s">
        <v>706</v>
      </c>
      <c r="F569" t="str">
        <f>INDEX(IPCCMaps!H:H,MATCH(mapPRC!D569,IPCCMaps!G:G,0))</f>
        <v>1 Energy</v>
      </c>
      <c r="G569" t="str">
        <f>INDEX(IPCCMaps!I:I,MATCH(mapPRC!D569,IPCCMaps!G:G,0))</f>
        <v>1A Fuel Combustion Activities</v>
      </c>
      <c r="H569" t="str">
        <f>INDEX(IPCCMaps!J:J,MATCH(mapPRC!D569,IPCCMaps!G:G,0))</f>
        <v>1A3 Transport</v>
      </c>
      <c r="I569" t="str">
        <f>INDEX(IPCCMaps!K:K,MATCH(mapPRC!D569,IPCCMaps!G:G,0))</f>
        <v>1A3b Transport - Road</v>
      </c>
    </row>
    <row r="570" spans="1:9" x14ac:dyDescent="0.25">
      <c r="A570" t="s">
        <v>705</v>
      </c>
      <c r="B570" t="s">
        <v>704</v>
      </c>
      <c r="C570" t="s">
        <v>26</v>
      </c>
      <c r="D570" t="s">
        <v>37</v>
      </c>
      <c r="E570" t="s">
        <v>697</v>
      </c>
      <c r="F570" t="str">
        <f>INDEX(IPCCMaps!H:H,MATCH(mapPRC!D570,IPCCMaps!G:G,0))</f>
        <v>1 Energy</v>
      </c>
      <c r="G570" t="str">
        <f>INDEX(IPCCMaps!I:I,MATCH(mapPRC!D570,IPCCMaps!G:G,0))</f>
        <v>1A Fuel Combustion Activities</v>
      </c>
      <c r="H570" t="str">
        <f>INDEX(IPCCMaps!J:J,MATCH(mapPRC!D570,IPCCMaps!G:G,0))</f>
        <v>1A3 Transport</v>
      </c>
      <c r="I570" t="str">
        <f>INDEX(IPCCMaps!K:K,MATCH(mapPRC!D570,IPCCMaps!G:G,0))</f>
        <v>1A3b Transport - Road</v>
      </c>
    </row>
    <row r="571" spans="1:9" x14ac:dyDescent="0.25">
      <c r="A571" t="s">
        <v>703</v>
      </c>
      <c r="B571" t="s">
        <v>702</v>
      </c>
      <c r="C571" t="s">
        <v>26</v>
      </c>
      <c r="D571" t="s">
        <v>37</v>
      </c>
      <c r="E571" t="s">
        <v>697</v>
      </c>
      <c r="F571" t="str">
        <f>INDEX(IPCCMaps!H:H,MATCH(mapPRC!D571,IPCCMaps!G:G,0))</f>
        <v>1 Energy</v>
      </c>
      <c r="G571" t="str">
        <f>INDEX(IPCCMaps!I:I,MATCH(mapPRC!D571,IPCCMaps!G:G,0))</f>
        <v>1A Fuel Combustion Activities</v>
      </c>
      <c r="H571" t="str">
        <f>INDEX(IPCCMaps!J:J,MATCH(mapPRC!D571,IPCCMaps!G:G,0))</f>
        <v>1A3 Transport</v>
      </c>
      <c r="I571" t="str">
        <f>INDEX(IPCCMaps!K:K,MATCH(mapPRC!D571,IPCCMaps!G:G,0))</f>
        <v>1A3b Transport - Road</v>
      </c>
    </row>
    <row r="572" spans="1:9" x14ac:dyDescent="0.25">
      <c r="A572" t="s">
        <v>701</v>
      </c>
      <c r="B572" t="s">
        <v>700</v>
      </c>
      <c r="C572" t="s">
        <v>26</v>
      </c>
      <c r="D572" t="s">
        <v>37</v>
      </c>
      <c r="E572" t="s">
        <v>697</v>
      </c>
      <c r="F572" t="str">
        <f>INDEX(IPCCMaps!H:H,MATCH(mapPRC!D572,IPCCMaps!G:G,0))</f>
        <v>1 Energy</v>
      </c>
      <c r="G572" t="str">
        <f>INDEX(IPCCMaps!I:I,MATCH(mapPRC!D572,IPCCMaps!G:G,0))</f>
        <v>1A Fuel Combustion Activities</v>
      </c>
      <c r="H572" t="str">
        <f>INDEX(IPCCMaps!J:J,MATCH(mapPRC!D572,IPCCMaps!G:G,0))</f>
        <v>1A3 Transport</v>
      </c>
      <c r="I572" t="str">
        <f>INDEX(IPCCMaps!K:K,MATCH(mapPRC!D572,IPCCMaps!G:G,0))</f>
        <v>1A3b Transport - Road</v>
      </c>
    </row>
    <row r="573" spans="1:9" x14ac:dyDescent="0.25">
      <c r="A573" t="s">
        <v>699</v>
      </c>
      <c r="B573" t="s">
        <v>698</v>
      </c>
      <c r="C573" t="s">
        <v>26</v>
      </c>
      <c r="D573" t="s">
        <v>37</v>
      </c>
      <c r="E573" t="s">
        <v>697</v>
      </c>
      <c r="F573" t="str">
        <f>INDEX(IPCCMaps!H:H,MATCH(mapPRC!D573,IPCCMaps!G:G,0))</f>
        <v>1 Energy</v>
      </c>
      <c r="G573" t="str">
        <f>INDEX(IPCCMaps!I:I,MATCH(mapPRC!D573,IPCCMaps!G:G,0))</f>
        <v>1A Fuel Combustion Activities</v>
      </c>
      <c r="H573" t="str">
        <f>INDEX(IPCCMaps!J:J,MATCH(mapPRC!D573,IPCCMaps!G:G,0))</f>
        <v>1A3 Transport</v>
      </c>
      <c r="I573" t="str">
        <f>INDEX(IPCCMaps!K:K,MATCH(mapPRC!D573,IPCCMaps!G:G,0))</f>
        <v>1A3b Transport - Road</v>
      </c>
    </row>
    <row r="574" spans="1:9" x14ac:dyDescent="0.25">
      <c r="A574" t="s">
        <v>696</v>
      </c>
      <c r="B574" t="s">
        <v>695</v>
      </c>
      <c r="C574" t="s">
        <v>26</v>
      </c>
      <c r="D574" t="s">
        <v>37</v>
      </c>
      <c r="E574" t="s">
        <v>684</v>
      </c>
      <c r="F574" t="str">
        <f>INDEX(IPCCMaps!H:H,MATCH(mapPRC!D574,IPCCMaps!G:G,0))</f>
        <v>1 Energy</v>
      </c>
      <c r="G574" t="str">
        <f>INDEX(IPCCMaps!I:I,MATCH(mapPRC!D574,IPCCMaps!G:G,0))</f>
        <v>1A Fuel Combustion Activities</v>
      </c>
      <c r="H574" t="str">
        <f>INDEX(IPCCMaps!J:J,MATCH(mapPRC!D574,IPCCMaps!G:G,0))</f>
        <v>1A3 Transport</v>
      </c>
      <c r="I574" t="str">
        <f>INDEX(IPCCMaps!K:K,MATCH(mapPRC!D574,IPCCMaps!G:G,0))</f>
        <v>1A3b Transport - Road</v>
      </c>
    </row>
    <row r="575" spans="1:9" x14ac:dyDescent="0.25">
      <c r="A575" t="s">
        <v>694</v>
      </c>
      <c r="B575" t="s">
        <v>693</v>
      </c>
      <c r="C575" t="s">
        <v>26</v>
      </c>
      <c r="D575" t="s">
        <v>37</v>
      </c>
      <c r="E575" t="s">
        <v>665</v>
      </c>
      <c r="F575" t="str">
        <f>INDEX(IPCCMaps!H:H,MATCH(mapPRC!D575,IPCCMaps!G:G,0))</f>
        <v>1 Energy</v>
      </c>
      <c r="G575" t="str">
        <f>INDEX(IPCCMaps!I:I,MATCH(mapPRC!D575,IPCCMaps!G:G,0))</f>
        <v>1A Fuel Combustion Activities</v>
      </c>
      <c r="H575" t="str">
        <f>INDEX(IPCCMaps!J:J,MATCH(mapPRC!D575,IPCCMaps!G:G,0))</f>
        <v>1A3 Transport</v>
      </c>
      <c r="I575" t="str">
        <f>INDEX(IPCCMaps!K:K,MATCH(mapPRC!D575,IPCCMaps!G:G,0))</f>
        <v>1A3b Transport - Road</v>
      </c>
    </row>
    <row r="576" spans="1:9" x14ac:dyDescent="0.25">
      <c r="A576" t="s">
        <v>692</v>
      </c>
      <c r="B576" t="s">
        <v>691</v>
      </c>
      <c r="C576" t="s">
        <v>26</v>
      </c>
      <c r="D576" t="s">
        <v>37</v>
      </c>
      <c r="E576" t="s">
        <v>662</v>
      </c>
      <c r="F576" t="str">
        <f>INDEX(IPCCMaps!H:H,MATCH(mapPRC!D576,IPCCMaps!G:G,0))</f>
        <v>1 Energy</v>
      </c>
      <c r="G576" t="str">
        <f>INDEX(IPCCMaps!I:I,MATCH(mapPRC!D576,IPCCMaps!G:G,0))</f>
        <v>1A Fuel Combustion Activities</v>
      </c>
      <c r="H576" t="str">
        <f>INDEX(IPCCMaps!J:J,MATCH(mapPRC!D576,IPCCMaps!G:G,0))</f>
        <v>1A3 Transport</v>
      </c>
      <c r="I576" t="str">
        <f>INDEX(IPCCMaps!K:K,MATCH(mapPRC!D576,IPCCMaps!G:G,0))</f>
        <v>1A3b Transport - Road</v>
      </c>
    </row>
    <row r="577" spans="1:9" x14ac:dyDescent="0.25">
      <c r="A577" t="s">
        <v>690</v>
      </c>
      <c r="B577" t="s">
        <v>689</v>
      </c>
      <c r="C577" t="s">
        <v>26</v>
      </c>
      <c r="D577" t="s">
        <v>37</v>
      </c>
      <c r="E577" t="s">
        <v>657</v>
      </c>
      <c r="F577" t="str">
        <f>INDEX(IPCCMaps!H:H,MATCH(mapPRC!D577,IPCCMaps!G:G,0))</f>
        <v>1 Energy</v>
      </c>
      <c r="G577" t="str">
        <f>INDEX(IPCCMaps!I:I,MATCH(mapPRC!D577,IPCCMaps!G:G,0))</f>
        <v>1A Fuel Combustion Activities</v>
      </c>
      <c r="H577" t="str">
        <f>INDEX(IPCCMaps!J:J,MATCH(mapPRC!D577,IPCCMaps!G:G,0))</f>
        <v>1A3 Transport</v>
      </c>
      <c r="I577" t="str">
        <f>INDEX(IPCCMaps!K:K,MATCH(mapPRC!D577,IPCCMaps!G:G,0))</f>
        <v>1A3b Transport - Road</v>
      </c>
    </row>
    <row r="578" spans="1:9" x14ac:dyDescent="0.25">
      <c r="A578" t="s">
        <v>688</v>
      </c>
      <c r="B578" t="s">
        <v>687</v>
      </c>
      <c r="C578" t="s">
        <v>26</v>
      </c>
      <c r="D578" t="s">
        <v>37</v>
      </c>
      <c r="E578" t="s">
        <v>657</v>
      </c>
      <c r="F578" t="str">
        <f>INDEX(IPCCMaps!H:H,MATCH(mapPRC!D578,IPCCMaps!G:G,0))</f>
        <v>1 Energy</v>
      </c>
      <c r="G578" t="str">
        <f>INDEX(IPCCMaps!I:I,MATCH(mapPRC!D578,IPCCMaps!G:G,0))</f>
        <v>1A Fuel Combustion Activities</v>
      </c>
      <c r="H578" t="str">
        <f>INDEX(IPCCMaps!J:J,MATCH(mapPRC!D578,IPCCMaps!G:G,0))</f>
        <v>1A3 Transport</v>
      </c>
      <c r="I578" t="str">
        <f>INDEX(IPCCMaps!K:K,MATCH(mapPRC!D578,IPCCMaps!G:G,0))</f>
        <v>1A3b Transport - Road</v>
      </c>
    </row>
    <row r="579" spans="1:9" x14ac:dyDescent="0.25">
      <c r="A579" t="s">
        <v>686</v>
      </c>
      <c r="B579" t="s">
        <v>685</v>
      </c>
      <c r="C579" t="s">
        <v>26</v>
      </c>
      <c r="D579" t="s">
        <v>37</v>
      </c>
      <c r="E579" t="s">
        <v>684</v>
      </c>
      <c r="F579" t="str">
        <f>INDEX(IPCCMaps!H:H,MATCH(mapPRC!D579,IPCCMaps!G:G,0))</f>
        <v>1 Energy</v>
      </c>
      <c r="G579" t="str">
        <f>INDEX(IPCCMaps!I:I,MATCH(mapPRC!D579,IPCCMaps!G:G,0))</f>
        <v>1A Fuel Combustion Activities</v>
      </c>
      <c r="H579" t="str">
        <f>INDEX(IPCCMaps!J:J,MATCH(mapPRC!D579,IPCCMaps!G:G,0))</f>
        <v>1A3 Transport</v>
      </c>
      <c r="I579" t="str">
        <f>INDEX(IPCCMaps!K:K,MATCH(mapPRC!D579,IPCCMaps!G:G,0))</f>
        <v>1A3b Transport - Road</v>
      </c>
    </row>
    <row r="580" spans="1:9" x14ac:dyDescent="0.25">
      <c r="A580" t="s">
        <v>683</v>
      </c>
      <c r="B580" t="s">
        <v>682</v>
      </c>
      <c r="C580" t="s">
        <v>26</v>
      </c>
      <c r="D580" t="s">
        <v>37</v>
      </c>
      <c r="E580" t="s">
        <v>665</v>
      </c>
      <c r="F580" t="str">
        <f>INDEX(IPCCMaps!H:H,MATCH(mapPRC!D580,IPCCMaps!G:G,0))</f>
        <v>1 Energy</v>
      </c>
      <c r="G580" t="str">
        <f>INDEX(IPCCMaps!I:I,MATCH(mapPRC!D580,IPCCMaps!G:G,0))</f>
        <v>1A Fuel Combustion Activities</v>
      </c>
      <c r="H580" t="str">
        <f>INDEX(IPCCMaps!J:J,MATCH(mapPRC!D580,IPCCMaps!G:G,0))</f>
        <v>1A3 Transport</v>
      </c>
      <c r="I580" t="str">
        <f>INDEX(IPCCMaps!K:K,MATCH(mapPRC!D580,IPCCMaps!G:G,0))</f>
        <v>1A3b Transport - Road</v>
      </c>
    </row>
    <row r="581" spans="1:9" x14ac:dyDescent="0.25">
      <c r="A581" t="s">
        <v>681</v>
      </c>
      <c r="B581" t="s">
        <v>680</v>
      </c>
      <c r="C581" t="s">
        <v>26</v>
      </c>
      <c r="D581" t="s">
        <v>37</v>
      </c>
      <c r="E581" t="s">
        <v>662</v>
      </c>
      <c r="F581" t="str">
        <f>INDEX(IPCCMaps!H:H,MATCH(mapPRC!D581,IPCCMaps!G:G,0))</f>
        <v>1 Energy</v>
      </c>
      <c r="G581" t="str">
        <f>INDEX(IPCCMaps!I:I,MATCH(mapPRC!D581,IPCCMaps!G:G,0))</f>
        <v>1A Fuel Combustion Activities</v>
      </c>
      <c r="H581" t="str">
        <f>INDEX(IPCCMaps!J:J,MATCH(mapPRC!D581,IPCCMaps!G:G,0))</f>
        <v>1A3 Transport</v>
      </c>
      <c r="I581" t="str">
        <f>INDEX(IPCCMaps!K:K,MATCH(mapPRC!D581,IPCCMaps!G:G,0))</f>
        <v>1A3b Transport - Road</v>
      </c>
    </row>
    <row r="582" spans="1:9" x14ac:dyDescent="0.25">
      <c r="A582" t="s">
        <v>679</v>
      </c>
      <c r="B582" t="s">
        <v>678</v>
      </c>
      <c r="C582" t="s">
        <v>26</v>
      </c>
      <c r="D582" t="s">
        <v>37</v>
      </c>
      <c r="E582" t="s">
        <v>657</v>
      </c>
      <c r="F582" t="str">
        <f>INDEX(IPCCMaps!H:H,MATCH(mapPRC!D582,IPCCMaps!G:G,0))</f>
        <v>1 Energy</v>
      </c>
      <c r="G582" t="str">
        <f>INDEX(IPCCMaps!I:I,MATCH(mapPRC!D582,IPCCMaps!G:G,0))</f>
        <v>1A Fuel Combustion Activities</v>
      </c>
      <c r="H582" t="str">
        <f>INDEX(IPCCMaps!J:J,MATCH(mapPRC!D582,IPCCMaps!G:G,0))</f>
        <v>1A3 Transport</v>
      </c>
      <c r="I582" t="str">
        <f>INDEX(IPCCMaps!K:K,MATCH(mapPRC!D582,IPCCMaps!G:G,0))</f>
        <v>1A3b Transport - Road</v>
      </c>
    </row>
    <row r="583" spans="1:9" x14ac:dyDescent="0.25">
      <c r="A583" t="s">
        <v>677</v>
      </c>
      <c r="B583" t="s">
        <v>676</v>
      </c>
      <c r="C583" t="s">
        <v>26</v>
      </c>
      <c r="D583" t="s">
        <v>37</v>
      </c>
      <c r="E583" t="s">
        <v>657</v>
      </c>
      <c r="F583" t="str">
        <f>INDEX(IPCCMaps!H:H,MATCH(mapPRC!D583,IPCCMaps!G:G,0))</f>
        <v>1 Energy</v>
      </c>
      <c r="G583" t="str">
        <f>INDEX(IPCCMaps!I:I,MATCH(mapPRC!D583,IPCCMaps!G:G,0))</f>
        <v>1A Fuel Combustion Activities</v>
      </c>
      <c r="H583" t="str">
        <f>INDEX(IPCCMaps!J:J,MATCH(mapPRC!D583,IPCCMaps!G:G,0))</f>
        <v>1A3 Transport</v>
      </c>
      <c r="I583" t="str">
        <f>INDEX(IPCCMaps!K:K,MATCH(mapPRC!D583,IPCCMaps!G:G,0))</f>
        <v>1A3b Transport - Road</v>
      </c>
    </row>
    <row r="584" spans="1:9" x14ac:dyDescent="0.25">
      <c r="A584" t="s">
        <v>675</v>
      </c>
      <c r="B584" t="s">
        <v>674</v>
      </c>
      <c r="C584" t="s">
        <v>26</v>
      </c>
      <c r="D584" t="s">
        <v>37</v>
      </c>
      <c r="E584" t="s">
        <v>665</v>
      </c>
      <c r="F584" t="str">
        <f>INDEX(IPCCMaps!H:H,MATCH(mapPRC!D584,IPCCMaps!G:G,0))</f>
        <v>1 Energy</v>
      </c>
      <c r="G584" t="str">
        <f>INDEX(IPCCMaps!I:I,MATCH(mapPRC!D584,IPCCMaps!G:G,0))</f>
        <v>1A Fuel Combustion Activities</v>
      </c>
      <c r="H584" t="str">
        <f>INDEX(IPCCMaps!J:J,MATCH(mapPRC!D584,IPCCMaps!G:G,0))</f>
        <v>1A3 Transport</v>
      </c>
      <c r="I584" t="str">
        <f>INDEX(IPCCMaps!K:K,MATCH(mapPRC!D584,IPCCMaps!G:G,0))</f>
        <v>1A3b Transport - Road</v>
      </c>
    </row>
    <row r="585" spans="1:9" x14ac:dyDescent="0.25">
      <c r="A585" t="s">
        <v>673</v>
      </c>
      <c r="B585" t="s">
        <v>672</v>
      </c>
      <c r="C585" t="s">
        <v>26</v>
      </c>
      <c r="D585" t="s">
        <v>37</v>
      </c>
      <c r="E585" t="s">
        <v>662</v>
      </c>
      <c r="F585" t="str">
        <f>INDEX(IPCCMaps!H:H,MATCH(mapPRC!D585,IPCCMaps!G:G,0))</f>
        <v>1 Energy</v>
      </c>
      <c r="G585" t="str">
        <f>INDEX(IPCCMaps!I:I,MATCH(mapPRC!D585,IPCCMaps!G:G,0))</f>
        <v>1A Fuel Combustion Activities</v>
      </c>
      <c r="H585" t="str">
        <f>INDEX(IPCCMaps!J:J,MATCH(mapPRC!D585,IPCCMaps!G:G,0))</f>
        <v>1A3 Transport</v>
      </c>
      <c r="I585" t="str">
        <f>INDEX(IPCCMaps!K:K,MATCH(mapPRC!D585,IPCCMaps!G:G,0))</f>
        <v>1A3b Transport - Road</v>
      </c>
    </row>
    <row r="586" spans="1:9" x14ac:dyDescent="0.25">
      <c r="A586" t="s">
        <v>671</v>
      </c>
      <c r="B586" t="s">
        <v>670</v>
      </c>
      <c r="C586" t="s">
        <v>26</v>
      </c>
      <c r="D586" t="s">
        <v>37</v>
      </c>
      <c r="E586" t="s">
        <v>657</v>
      </c>
      <c r="F586" t="str">
        <f>INDEX(IPCCMaps!H:H,MATCH(mapPRC!D586,IPCCMaps!G:G,0))</f>
        <v>1 Energy</v>
      </c>
      <c r="G586" t="str">
        <f>INDEX(IPCCMaps!I:I,MATCH(mapPRC!D586,IPCCMaps!G:G,0))</f>
        <v>1A Fuel Combustion Activities</v>
      </c>
      <c r="H586" t="str">
        <f>INDEX(IPCCMaps!J:J,MATCH(mapPRC!D586,IPCCMaps!G:G,0))</f>
        <v>1A3 Transport</v>
      </c>
      <c r="I586" t="str">
        <f>INDEX(IPCCMaps!K:K,MATCH(mapPRC!D586,IPCCMaps!G:G,0))</f>
        <v>1A3b Transport - Road</v>
      </c>
    </row>
    <row r="587" spans="1:9" x14ac:dyDescent="0.25">
      <c r="A587" t="s">
        <v>669</v>
      </c>
      <c r="B587" t="s">
        <v>668</v>
      </c>
      <c r="C587" t="s">
        <v>26</v>
      </c>
      <c r="D587" t="s">
        <v>37</v>
      </c>
      <c r="E587" t="s">
        <v>657</v>
      </c>
      <c r="F587" t="str">
        <f>INDEX(IPCCMaps!H:H,MATCH(mapPRC!D587,IPCCMaps!G:G,0))</f>
        <v>1 Energy</v>
      </c>
      <c r="G587" t="str">
        <f>INDEX(IPCCMaps!I:I,MATCH(mapPRC!D587,IPCCMaps!G:G,0))</f>
        <v>1A Fuel Combustion Activities</v>
      </c>
      <c r="H587" t="str">
        <f>INDEX(IPCCMaps!J:J,MATCH(mapPRC!D587,IPCCMaps!G:G,0))</f>
        <v>1A3 Transport</v>
      </c>
      <c r="I587" t="str">
        <f>INDEX(IPCCMaps!K:K,MATCH(mapPRC!D587,IPCCMaps!G:G,0))</f>
        <v>1A3b Transport - Road</v>
      </c>
    </row>
    <row r="588" spans="1:9" x14ac:dyDescent="0.25">
      <c r="A588" t="s">
        <v>667</v>
      </c>
      <c r="B588" t="s">
        <v>666</v>
      </c>
      <c r="C588" t="s">
        <v>26</v>
      </c>
      <c r="D588" t="s">
        <v>37</v>
      </c>
      <c r="E588" t="s">
        <v>665</v>
      </c>
      <c r="F588" t="str">
        <f>INDEX(IPCCMaps!H:H,MATCH(mapPRC!D588,IPCCMaps!G:G,0))</f>
        <v>1 Energy</v>
      </c>
      <c r="G588" t="str">
        <f>INDEX(IPCCMaps!I:I,MATCH(mapPRC!D588,IPCCMaps!G:G,0))</f>
        <v>1A Fuel Combustion Activities</v>
      </c>
      <c r="H588" t="str">
        <f>INDEX(IPCCMaps!J:J,MATCH(mapPRC!D588,IPCCMaps!G:G,0))</f>
        <v>1A3 Transport</v>
      </c>
      <c r="I588" t="str">
        <f>INDEX(IPCCMaps!K:K,MATCH(mapPRC!D588,IPCCMaps!G:G,0))</f>
        <v>1A3b Transport - Road</v>
      </c>
    </row>
    <row r="589" spans="1:9" x14ac:dyDescent="0.25">
      <c r="A589" t="s">
        <v>664</v>
      </c>
      <c r="B589" t="s">
        <v>663</v>
      </c>
      <c r="C589" t="s">
        <v>26</v>
      </c>
      <c r="D589" t="s">
        <v>37</v>
      </c>
      <c r="E589" t="s">
        <v>662</v>
      </c>
      <c r="F589" t="str">
        <f>INDEX(IPCCMaps!H:H,MATCH(mapPRC!D589,IPCCMaps!G:G,0))</f>
        <v>1 Energy</v>
      </c>
      <c r="G589" t="str">
        <f>INDEX(IPCCMaps!I:I,MATCH(mapPRC!D589,IPCCMaps!G:G,0))</f>
        <v>1A Fuel Combustion Activities</v>
      </c>
      <c r="H589" t="str">
        <f>INDEX(IPCCMaps!J:J,MATCH(mapPRC!D589,IPCCMaps!G:G,0))</f>
        <v>1A3 Transport</v>
      </c>
      <c r="I589" t="str">
        <f>INDEX(IPCCMaps!K:K,MATCH(mapPRC!D589,IPCCMaps!G:G,0))</f>
        <v>1A3b Transport - Road</v>
      </c>
    </row>
    <row r="590" spans="1:9" x14ac:dyDescent="0.25">
      <c r="A590" t="s">
        <v>661</v>
      </c>
      <c r="B590" t="s">
        <v>660</v>
      </c>
      <c r="C590" t="s">
        <v>26</v>
      </c>
      <c r="D590" t="s">
        <v>37</v>
      </c>
      <c r="E590" t="s">
        <v>657</v>
      </c>
      <c r="F590" t="str">
        <f>INDEX(IPCCMaps!H:H,MATCH(mapPRC!D590,IPCCMaps!G:G,0))</f>
        <v>1 Energy</v>
      </c>
      <c r="G590" t="str">
        <f>INDEX(IPCCMaps!I:I,MATCH(mapPRC!D590,IPCCMaps!G:G,0))</f>
        <v>1A Fuel Combustion Activities</v>
      </c>
      <c r="H590" t="str">
        <f>INDEX(IPCCMaps!J:J,MATCH(mapPRC!D590,IPCCMaps!G:G,0))</f>
        <v>1A3 Transport</v>
      </c>
      <c r="I590" t="str">
        <f>INDEX(IPCCMaps!K:K,MATCH(mapPRC!D590,IPCCMaps!G:G,0))</f>
        <v>1A3b Transport - Road</v>
      </c>
    </row>
    <row r="591" spans="1:9" x14ac:dyDescent="0.25">
      <c r="A591" t="s">
        <v>659</v>
      </c>
      <c r="B591" t="s">
        <v>658</v>
      </c>
      <c r="C591" t="s">
        <v>26</v>
      </c>
      <c r="D591" t="s">
        <v>37</v>
      </c>
      <c r="E591" t="s">
        <v>657</v>
      </c>
      <c r="F591" t="str">
        <f>INDEX(IPCCMaps!H:H,MATCH(mapPRC!D591,IPCCMaps!G:G,0))</f>
        <v>1 Energy</v>
      </c>
      <c r="G591" t="str">
        <f>INDEX(IPCCMaps!I:I,MATCH(mapPRC!D591,IPCCMaps!G:G,0))</f>
        <v>1A Fuel Combustion Activities</v>
      </c>
      <c r="H591" t="str">
        <f>INDEX(IPCCMaps!J:J,MATCH(mapPRC!D591,IPCCMaps!G:G,0))</f>
        <v>1A3 Transport</v>
      </c>
      <c r="I591" t="str">
        <f>INDEX(IPCCMaps!K:K,MATCH(mapPRC!D591,IPCCMaps!G:G,0))</f>
        <v>1A3b Transport - Road</v>
      </c>
    </row>
    <row r="592" spans="1:9" x14ac:dyDescent="0.25">
      <c r="A592" t="s">
        <v>656</v>
      </c>
      <c r="B592" t="s">
        <v>655</v>
      </c>
      <c r="C592" t="s">
        <v>26</v>
      </c>
      <c r="D592" t="s">
        <v>37</v>
      </c>
      <c r="E592" t="s">
        <v>630</v>
      </c>
      <c r="F592" t="str">
        <f>INDEX(IPCCMaps!H:H,MATCH(mapPRC!D592,IPCCMaps!G:G,0))</f>
        <v>1 Energy</v>
      </c>
      <c r="G592" t="str">
        <f>INDEX(IPCCMaps!I:I,MATCH(mapPRC!D592,IPCCMaps!G:G,0))</f>
        <v>1A Fuel Combustion Activities</v>
      </c>
      <c r="H592" t="str">
        <f>INDEX(IPCCMaps!J:J,MATCH(mapPRC!D592,IPCCMaps!G:G,0))</f>
        <v>1A3 Transport</v>
      </c>
      <c r="I592" t="str">
        <f>INDEX(IPCCMaps!K:K,MATCH(mapPRC!D592,IPCCMaps!G:G,0))</f>
        <v>1A3b Transport - Road</v>
      </c>
    </row>
    <row r="593" spans="1:9" x14ac:dyDescent="0.25">
      <c r="A593" t="s">
        <v>654</v>
      </c>
      <c r="B593" t="s">
        <v>653</v>
      </c>
      <c r="C593" t="s">
        <v>26</v>
      </c>
      <c r="D593" t="s">
        <v>37</v>
      </c>
      <c r="E593" t="s">
        <v>627</v>
      </c>
      <c r="F593" t="str">
        <f>INDEX(IPCCMaps!H:H,MATCH(mapPRC!D593,IPCCMaps!G:G,0))</f>
        <v>1 Energy</v>
      </c>
      <c r="G593" t="str">
        <f>INDEX(IPCCMaps!I:I,MATCH(mapPRC!D593,IPCCMaps!G:G,0))</f>
        <v>1A Fuel Combustion Activities</v>
      </c>
      <c r="H593" t="str">
        <f>INDEX(IPCCMaps!J:J,MATCH(mapPRC!D593,IPCCMaps!G:G,0))</f>
        <v>1A3 Transport</v>
      </c>
      <c r="I593" t="str">
        <f>INDEX(IPCCMaps!K:K,MATCH(mapPRC!D593,IPCCMaps!G:G,0))</f>
        <v>1A3b Transport - Road</v>
      </c>
    </row>
    <row r="594" spans="1:9" x14ac:dyDescent="0.25">
      <c r="A594" t="s">
        <v>652</v>
      </c>
      <c r="B594" t="s">
        <v>651</v>
      </c>
      <c r="C594" t="s">
        <v>26</v>
      </c>
      <c r="D594" t="s">
        <v>37</v>
      </c>
      <c r="E594" t="s">
        <v>622</v>
      </c>
      <c r="F594" t="str">
        <f>INDEX(IPCCMaps!H:H,MATCH(mapPRC!D594,IPCCMaps!G:G,0))</f>
        <v>1 Energy</v>
      </c>
      <c r="G594" t="str">
        <f>INDEX(IPCCMaps!I:I,MATCH(mapPRC!D594,IPCCMaps!G:G,0))</f>
        <v>1A Fuel Combustion Activities</v>
      </c>
      <c r="H594" t="str">
        <f>INDEX(IPCCMaps!J:J,MATCH(mapPRC!D594,IPCCMaps!G:G,0))</f>
        <v>1A3 Transport</v>
      </c>
      <c r="I594" t="str">
        <f>INDEX(IPCCMaps!K:K,MATCH(mapPRC!D594,IPCCMaps!G:G,0))</f>
        <v>1A3b Transport - Road</v>
      </c>
    </row>
    <row r="595" spans="1:9" x14ac:dyDescent="0.25">
      <c r="A595" t="s">
        <v>650</v>
      </c>
      <c r="B595" t="s">
        <v>649</v>
      </c>
      <c r="C595" t="s">
        <v>26</v>
      </c>
      <c r="D595" t="s">
        <v>37</v>
      </c>
      <c r="E595" t="s">
        <v>622</v>
      </c>
      <c r="F595" t="str">
        <f>INDEX(IPCCMaps!H:H,MATCH(mapPRC!D595,IPCCMaps!G:G,0))</f>
        <v>1 Energy</v>
      </c>
      <c r="G595" t="str">
        <f>INDEX(IPCCMaps!I:I,MATCH(mapPRC!D595,IPCCMaps!G:G,0))</f>
        <v>1A Fuel Combustion Activities</v>
      </c>
      <c r="H595" t="str">
        <f>INDEX(IPCCMaps!J:J,MATCH(mapPRC!D595,IPCCMaps!G:G,0))</f>
        <v>1A3 Transport</v>
      </c>
      <c r="I595" t="str">
        <f>INDEX(IPCCMaps!K:K,MATCH(mapPRC!D595,IPCCMaps!G:G,0))</f>
        <v>1A3b Transport - Road</v>
      </c>
    </row>
    <row r="596" spans="1:9" x14ac:dyDescent="0.25">
      <c r="A596" t="s">
        <v>648</v>
      </c>
      <c r="B596" t="s">
        <v>647</v>
      </c>
      <c r="C596" t="s">
        <v>26</v>
      </c>
      <c r="D596" t="s">
        <v>37</v>
      </c>
      <c r="E596" t="s">
        <v>630</v>
      </c>
      <c r="F596" t="str">
        <f>INDEX(IPCCMaps!H:H,MATCH(mapPRC!D596,IPCCMaps!G:G,0))</f>
        <v>1 Energy</v>
      </c>
      <c r="G596" t="str">
        <f>INDEX(IPCCMaps!I:I,MATCH(mapPRC!D596,IPCCMaps!G:G,0))</f>
        <v>1A Fuel Combustion Activities</v>
      </c>
      <c r="H596" t="str">
        <f>INDEX(IPCCMaps!J:J,MATCH(mapPRC!D596,IPCCMaps!G:G,0))</f>
        <v>1A3 Transport</v>
      </c>
      <c r="I596" t="str">
        <f>INDEX(IPCCMaps!K:K,MATCH(mapPRC!D596,IPCCMaps!G:G,0))</f>
        <v>1A3b Transport - Road</v>
      </c>
    </row>
    <row r="597" spans="1:9" x14ac:dyDescent="0.25">
      <c r="A597" t="s">
        <v>646</v>
      </c>
      <c r="B597" t="s">
        <v>645</v>
      </c>
      <c r="C597" t="s">
        <v>26</v>
      </c>
      <c r="D597" t="s">
        <v>37</v>
      </c>
      <c r="E597" t="s">
        <v>627</v>
      </c>
      <c r="F597" t="str">
        <f>INDEX(IPCCMaps!H:H,MATCH(mapPRC!D597,IPCCMaps!G:G,0))</f>
        <v>1 Energy</v>
      </c>
      <c r="G597" t="str">
        <f>INDEX(IPCCMaps!I:I,MATCH(mapPRC!D597,IPCCMaps!G:G,0))</f>
        <v>1A Fuel Combustion Activities</v>
      </c>
      <c r="H597" t="str">
        <f>INDEX(IPCCMaps!J:J,MATCH(mapPRC!D597,IPCCMaps!G:G,0))</f>
        <v>1A3 Transport</v>
      </c>
      <c r="I597" t="str">
        <f>INDEX(IPCCMaps!K:K,MATCH(mapPRC!D597,IPCCMaps!G:G,0))</f>
        <v>1A3b Transport - Road</v>
      </c>
    </row>
    <row r="598" spans="1:9" x14ac:dyDescent="0.25">
      <c r="A598" t="s">
        <v>644</v>
      </c>
      <c r="B598" t="s">
        <v>643</v>
      </c>
      <c r="C598" t="s">
        <v>26</v>
      </c>
      <c r="D598" t="s">
        <v>37</v>
      </c>
      <c r="E598" t="s">
        <v>622</v>
      </c>
      <c r="F598" t="str">
        <f>INDEX(IPCCMaps!H:H,MATCH(mapPRC!D598,IPCCMaps!G:G,0))</f>
        <v>1 Energy</v>
      </c>
      <c r="G598" t="str">
        <f>INDEX(IPCCMaps!I:I,MATCH(mapPRC!D598,IPCCMaps!G:G,0))</f>
        <v>1A Fuel Combustion Activities</v>
      </c>
      <c r="H598" t="str">
        <f>INDEX(IPCCMaps!J:J,MATCH(mapPRC!D598,IPCCMaps!G:G,0))</f>
        <v>1A3 Transport</v>
      </c>
      <c r="I598" t="str">
        <f>INDEX(IPCCMaps!K:K,MATCH(mapPRC!D598,IPCCMaps!G:G,0))</f>
        <v>1A3b Transport - Road</v>
      </c>
    </row>
    <row r="599" spans="1:9" x14ac:dyDescent="0.25">
      <c r="A599" t="s">
        <v>642</v>
      </c>
      <c r="B599" t="s">
        <v>641</v>
      </c>
      <c r="C599" t="s">
        <v>26</v>
      </c>
      <c r="D599" t="s">
        <v>37</v>
      </c>
      <c r="E599" t="s">
        <v>622</v>
      </c>
      <c r="F599" t="str">
        <f>INDEX(IPCCMaps!H:H,MATCH(mapPRC!D599,IPCCMaps!G:G,0))</f>
        <v>1 Energy</v>
      </c>
      <c r="G599" t="str">
        <f>INDEX(IPCCMaps!I:I,MATCH(mapPRC!D599,IPCCMaps!G:G,0))</f>
        <v>1A Fuel Combustion Activities</v>
      </c>
      <c r="H599" t="str">
        <f>INDEX(IPCCMaps!J:J,MATCH(mapPRC!D599,IPCCMaps!G:G,0))</f>
        <v>1A3 Transport</v>
      </c>
      <c r="I599" t="str">
        <f>INDEX(IPCCMaps!K:K,MATCH(mapPRC!D599,IPCCMaps!G:G,0))</f>
        <v>1A3b Transport - Road</v>
      </c>
    </row>
    <row r="600" spans="1:9" x14ac:dyDescent="0.25">
      <c r="A600" t="s">
        <v>640</v>
      </c>
      <c r="B600" t="s">
        <v>639</v>
      </c>
      <c r="C600" t="s">
        <v>26</v>
      </c>
      <c r="D600" t="s">
        <v>37</v>
      </c>
      <c r="E600" t="s">
        <v>630</v>
      </c>
      <c r="F600" t="str">
        <f>INDEX(IPCCMaps!H:H,MATCH(mapPRC!D600,IPCCMaps!G:G,0))</f>
        <v>1 Energy</v>
      </c>
      <c r="G600" t="str">
        <f>INDEX(IPCCMaps!I:I,MATCH(mapPRC!D600,IPCCMaps!G:G,0))</f>
        <v>1A Fuel Combustion Activities</v>
      </c>
      <c r="H600" t="str">
        <f>INDEX(IPCCMaps!J:J,MATCH(mapPRC!D600,IPCCMaps!G:G,0))</f>
        <v>1A3 Transport</v>
      </c>
      <c r="I600" t="str">
        <f>INDEX(IPCCMaps!K:K,MATCH(mapPRC!D600,IPCCMaps!G:G,0))</f>
        <v>1A3b Transport - Road</v>
      </c>
    </row>
    <row r="601" spans="1:9" x14ac:dyDescent="0.25">
      <c r="A601" t="s">
        <v>638</v>
      </c>
      <c r="B601" t="s">
        <v>637</v>
      </c>
      <c r="C601" t="s">
        <v>26</v>
      </c>
      <c r="D601" t="s">
        <v>37</v>
      </c>
      <c r="E601" t="s">
        <v>627</v>
      </c>
      <c r="F601" t="str">
        <f>INDEX(IPCCMaps!H:H,MATCH(mapPRC!D601,IPCCMaps!G:G,0))</f>
        <v>1 Energy</v>
      </c>
      <c r="G601" t="str">
        <f>INDEX(IPCCMaps!I:I,MATCH(mapPRC!D601,IPCCMaps!G:G,0))</f>
        <v>1A Fuel Combustion Activities</v>
      </c>
      <c r="H601" t="str">
        <f>INDEX(IPCCMaps!J:J,MATCH(mapPRC!D601,IPCCMaps!G:G,0))</f>
        <v>1A3 Transport</v>
      </c>
      <c r="I601" t="str">
        <f>INDEX(IPCCMaps!K:K,MATCH(mapPRC!D601,IPCCMaps!G:G,0))</f>
        <v>1A3b Transport - Road</v>
      </c>
    </row>
    <row r="602" spans="1:9" x14ac:dyDescent="0.25">
      <c r="A602" t="s">
        <v>636</v>
      </c>
      <c r="B602" t="s">
        <v>635</v>
      </c>
      <c r="C602" t="s">
        <v>26</v>
      </c>
      <c r="D602" t="s">
        <v>37</v>
      </c>
      <c r="E602" t="s">
        <v>622</v>
      </c>
      <c r="F602" t="str">
        <f>INDEX(IPCCMaps!H:H,MATCH(mapPRC!D602,IPCCMaps!G:G,0))</f>
        <v>1 Energy</v>
      </c>
      <c r="G602" t="str">
        <f>INDEX(IPCCMaps!I:I,MATCH(mapPRC!D602,IPCCMaps!G:G,0))</f>
        <v>1A Fuel Combustion Activities</v>
      </c>
      <c r="H602" t="str">
        <f>INDEX(IPCCMaps!J:J,MATCH(mapPRC!D602,IPCCMaps!G:G,0))</f>
        <v>1A3 Transport</v>
      </c>
      <c r="I602" t="str">
        <f>INDEX(IPCCMaps!K:K,MATCH(mapPRC!D602,IPCCMaps!G:G,0))</f>
        <v>1A3b Transport - Road</v>
      </c>
    </row>
    <row r="603" spans="1:9" x14ac:dyDescent="0.25">
      <c r="A603" t="s">
        <v>634</v>
      </c>
      <c r="B603" t="s">
        <v>633</v>
      </c>
      <c r="C603" t="s">
        <v>26</v>
      </c>
      <c r="D603" t="s">
        <v>37</v>
      </c>
      <c r="E603" t="s">
        <v>622</v>
      </c>
      <c r="F603" t="str">
        <f>INDEX(IPCCMaps!H:H,MATCH(mapPRC!D603,IPCCMaps!G:G,0))</f>
        <v>1 Energy</v>
      </c>
      <c r="G603" t="str">
        <f>INDEX(IPCCMaps!I:I,MATCH(mapPRC!D603,IPCCMaps!G:G,0))</f>
        <v>1A Fuel Combustion Activities</v>
      </c>
      <c r="H603" t="str">
        <f>INDEX(IPCCMaps!J:J,MATCH(mapPRC!D603,IPCCMaps!G:G,0))</f>
        <v>1A3 Transport</v>
      </c>
      <c r="I603" t="str">
        <f>INDEX(IPCCMaps!K:K,MATCH(mapPRC!D603,IPCCMaps!G:G,0))</f>
        <v>1A3b Transport - Road</v>
      </c>
    </row>
    <row r="604" spans="1:9" x14ac:dyDescent="0.25">
      <c r="A604" t="s">
        <v>632</v>
      </c>
      <c r="B604" t="s">
        <v>631</v>
      </c>
      <c r="C604" t="s">
        <v>26</v>
      </c>
      <c r="D604" t="s">
        <v>37</v>
      </c>
      <c r="E604" t="s">
        <v>630</v>
      </c>
      <c r="F604" t="str">
        <f>INDEX(IPCCMaps!H:H,MATCH(mapPRC!D604,IPCCMaps!G:G,0))</f>
        <v>1 Energy</v>
      </c>
      <c r="G604" t="str">
        <f>INDEX(IPCCMaps!I:I,MATCH(mapPRC!D604,IPCCMaps!G:G,0))</f>
        <v>1A Fuel Combustion Activities</v>
      </c>
      <c r="H604" t="str">
        <f>INDEX(IPCCMaps!J:J,MATCH(mapPRC!D604,IPCCMaps!G:G,0))</f>
        <v>1A3 Transport</v>
      </c>
      <c r="I604" t="str">
        <f>INDEX(IPCCMaps!K:K,MATCH(mapPRC!D604,IPCCMaps!G:G,0))</f>
        <v>1A3b Transport - Road</v>
      </c>
    </row>
    <row r="605" spans="1:9" x14ac:dyDescent="0.25">
      <c r="A605" t="s">
        <v>629</v>
      </c>
      <c r="B605" t="s">
        <v>628</v>
      </c>
      <c r="C605" t="s">
        <v>26</v>
      </c>
      <c r="D605" t="s">
        <v>37</v>
      </c>
      <c r="E605" t="s">
        <v>627</v>
      </c>
      <c r="F605" t="str">
        <f>INDEX(IPCCMaps!H:H,MATCH(mapPRC!D605,IPCCMaps!G:G,0))</f>
        <v>1 Energy</v>
      </c>
      <c r="G605" t="str">
        <f>INDEX(IPCCMaps!I:I,MATCH(mapPRC!D605,IPCCMaps!G:G,0))</f>
        <v>1A Fuel Combustion Activities</v>
      </c>
      <c r="H605" t="str">
        <f>INDEX(IPCCMaps!J:J,MATCH(mapPRC!D605,IPCCMaps!G:G,0))</f>
        <v>1A3 Transport</v>
      </c>
      <c r="I605" t="str">
        <f>INDEX(IPCCMaps!K:K,MATCH(mapPRC!D605,IPCCMaps!G:G,0))</f>
        <v>1A3b Transport - Road</v>
      </c>
    </row>
    <row r="606" spans="1:9" x14ac:dyDescent="0.25">
      <c r="A606" t="s">
        <v>626</v>
      </c>
      <c r="B606" t="s">
        <v>625</v>
      </c>
      <c r="C606" t="s">
        <v>26</v>
      </c>
      <c r="D606" t="s">
        <v>37</v>
      </c>
      <c r="E606" t="s">
        <v>622</v>
      </c>
      <c r="F606" t="str">
        <f>INDEX(IPCCMaps!H:H,MATCH(mapPRC!D606,IPCCMaps!G:G,0))</f>
        <v>1 Energy</v>
      </c>
      <c r="G606" t="str">
        <f>INDEX(IPCCMaps!I:I,MATCH(mapPRC!D606,IPCCMaps!G:G,0))</f>
        <v>1A Fuel Combustion Activities</v>
      </c>
      <c r="H606" t="str">
        <f>INDEX(IPCCMaps!J:J,MATCH(mapPRC!D606,IPCCMaps!G:G,0))</f>
        <v>1A3 Transport</v>
      </c>
      <c r="I606" t="str">
        <f>INDEX(IPCCMaps!K:K,MATCH(mapPRC!D606,IPCCMaps!G:G,0))</f>
        <v>1A3b Transport - Road</v>
      </c>
    </row>
    <row r="607" spans="1:9" x14ac:dyDescent="0.25">
      <c r="A607" t="s">
        <v>624</v>
      </c>
      <c r="B607" t="s">
        <v>623</v>
      </c>
      <c r="C607" t="s">
        <v>26</v>
      </c>
      <c r="D607" t="s">
        <v>37</v>
      </c>
      <c r="E607" t="s">
        <v>622</v>
      </c>
      <c r="F607" t="str">
        <f>INDEX(IPCCMaps!H:H,MATCH(mapPRC!D607,IPCCMaps!G:G,0))</f>
        <v>1 Energy</v>
      </c>
      <c r="G607" t="str">
        <f>INDEX(IPCCMaps!I:I,MATCH(mapPRC!D607,IPCCMaps!G:G,0))</f>
        <v>1A Fuel Combustion Activities</v>
      </c>
      <c r="H607" t="str">
        <f>INDEX(IPCCMaps!J:J,MATCH(mapPRC!D607,IPCCMaps!G:G,0))</f>
        <v>1A3 Transport</v>
      </c>
      <c r="I607" t="str">
        <f>INDEX(IPCCMaps!K:K,MATCH(mapPRC!D607,IPCCMaps!G:G,0))</f>
        <v>1A3b Transport - Road</v>
      </c>
    </row>
    <row r="608" spans="1:9" x14ac:dyDescent="0.25">
      <c r="A608" t="s">
        <v>621</v>
      </c>
      <c r="B608" t="s">
        <v>620</v>
      </c>
      <c r="C608" t="s">
        <v>26</v>
      </c>
      <c r="D608" t="s">
        <v>37</v>
      </c>
      <c r="E608" t="s">
        <v>619</v>
      </c>
      <c r="F608" t="str">
        <f>INDEX(IPCCMaps!H:H,MATCH(mapPRC!D608,IPCCMaps!G:G,0))</f>
        <v>1 Energy</v>
      </c>
      <c r="G608" t="str">
        <f>INDEX(IPCCMaps!I:I,MATCH(mapPRC!D608,IPCCMaps!G:G,0))</f>
        <v>1A Fuel Combustion Activities</v>
      </c>
      <c r="H608" t="str">
        <f>INDEX(IPCCMaps!J:J,MATCH(mapPRC!D608,IPCCMaps!G:G,0))</f>
        <v>1A3 Transport</v>
      </c>
      <c r="I608" t="str">
        <f>INDEX(IPCCMaps!K:K,MATCH(mapPRC!D608,IPCCMaps!G:G,0))</f>
        <v>1A3b Transport - Road</v>
      </c>
    </row>
    <row r="609" spans="1:9" x14ac:dyDescent="0.25">
      <c r="A609" t="s">
        <v>618</v>
      </c>
      <c r="B609" t="s">
        <v>617</v>
      </c>
      <c r="C609" t="s">
        <v>26</v>
      </c>
      <c r="D609" t="s">
        <v>37</v>
      </c>
      <c r="E609" t="s">
        <v>616</v>
      </c>
      <c r="F609" t="str">
        <f>INDEX(IPCCMaps!H:H,MATCH(mapPRC!D609,IPCCMaps!G:G,0))</f>
        <v>1 Energy</v>
      </c>
      <c r="G609" t="str">
        <f>INDEX(IPCCMaps!I:I,MATCH(mapPRC!D609,IPCCMaps!G:G,0))</f>
        <v>1A Fuel Combustion Activities</v>
      </c>
      <c r="H609" t="str">
        <f>INDEX(IPCCMaps!J:J,MATCH(mapPRC!D609,IPCCMaps!G:G,0))</f>
        <v>1A3 Transport</v>
      </c>
      <c r="I609" t="str">
        <f>INDEX(IPCCMaps!K:K,MATCH(mapPRC!D609,IPCCMaps!G:G,0))</f>
        <v>1A3b Transport - Road</v>
      </c>
    </row>
    <row r="610" spans="1:9" x14ac:dyDescent="0.25">
      <c r="A610" t="s">
        <v>615</v>
      </c>
      <c r="B610" t="s">
        <v>614</v>
      </c>
      <c r="C610" t="s">
        <v>26</v>
      </c>
      <c r="D610" t="s">
        <v>37</v>
      </c>
      <c r="E610" t="s">
        <v>607</v>
      </c>
      <c r="F610" t="str">
        <f>INDEX(IPCCMaps!H:H,MATCH(mapPRC!D610,IPCCMaps!G:G,0))</f>
        <v>1 Energy</v>
      </c>
      <c r="G610" t="str">
        <f>INDEX(IPCCMaps!I:I,MATCH(mapPRC!D610,IPCCMaps!G:G,0))</f>
        <v>1A Fuel Combustion Activities</v>
      </c>
      <c r="H610" t="str">
        <f>INDEX(IPCCMaps!J:J,MATCH(mapPRC!D610,IPCCMaps!G:G,0))</f>
        <v>1A3 Transport</v>
      </c>
      <c r="I610" t="str">
        <f>INDEX(IPCCMaps!K:K,MATCH(mapPRC!D610,IPCCMaps!G:G,0))</f>
        <v>1A3b Transport - Road</v>
      </c>
    </row>
    <row r="611" spans="1:9" x14ac:dyDescent="0.25">
      <c r="A611" t="s">
        <v>41</v>
      </c>
      <c r="B611" t="s">
        <v>40</v>
      </c>
      <c r="C611" t="s">
        <v>26</v>
      </c>
      <c r="D611" t="s">
        <v>37</v>
      </c>
      <c r="E611" t="s">
        <v>36</v>
      </c>
      <c r="F611" t="str">
        <f>INDEX(IPCCMaps!H:H,MATCH(mapPRC!D611,IPCCMaps!G:G,0))</f>
        <v>1 Energy</v>
      </c>
      <c r="G611" t="str">
        <f>INDEX(IPCCMaps!I:I,MATCH(mapPRC!D611,IPCCMaps!G:G,0))</f>
        <v>1A Fuel Combustion Activities</v>
      </c>
      <c r="H611" t="str">
        <f>INDEX(IPCCMaps!J:J,MATCH(mapPRC!D611,IPCCMaps!G:G,0))</f>
        <v>1A3 Transport</v>
      </c>
      <c r="I611" t="str">
        <f>INDEX(IPCCMaps!K:K,MATCH(mapPRC!D611,IPCCMaps!G:G,0))</f>
        <v>1A3b Transport - Road</v>
      </c>
    </row>
    <row r="612" spans="1:9" x14ac:dyDescent="0.25">
      <c r="A612" t="s">
        <v>613</v>
      </c>
      <c r="B612" t="s">
        <v>612</v>
      </c>
      <c r="C612" t="s">
        <v>26</v>
      </c>
      <c r="D612" t="s">
        <v>37</v>
      </c>
      <c r="E612" t="s">
        <v>607</v>
      </c>
      <c r="F612" t="str">
        <f>INDEX(IPCCMaps!H:H,MATCH(mapPRC!D612,IPCCMaps!G:G,0))</f>
        <v>1 Energy</v>
      </c>
      <c r="G612" t="str">
        <f>INDEX(IPCCMaps!I:I,MATCH(mapPRC!D612,IPCCMaps!G:G,0))</f>
        <v>1A Fuel Combustion Activities</v>
      </c>
      <c r="H612" t="str">
        <f>INDEX(IPCCMaps!J:J,MATCH(mapPRC!D612,IPCCMaps!G:G,0))</f>
        <v>1A3 Transport</v>
      </c>
      <c r="I612" t="str">
        <f>INDEX(IPCCMaps!K:K,MATCH(mapPRC!D612,IPCCMaps!G:G,0))</f>
        <v>1A3b Transport - Road</v>
      </c>
    </row>
    <row r="613" spans="1:9" x14ac:dyDescent="0.25">
      <c r="A613" t="s">
        <v>611</v>
      </c>
      <c r="B613" t="s">
        <v>610</v>
      </c>
      <c r="C613" t="s">
        <v>26</v>
      </c>
      <c r="D613" t="s">
        <v>37</v>
      </c>
      <c r="E613" t="s">
        <v>607</v>
      </c>
      <c r="F613" t="str">
        <f>INDEX(IPCCMaps!H:H,MATCH(mapPRC!D613,IPCCMaps!G:G,0))</f>
        <v>1 Energy</v>
      </c>
      <c r="G613" t="str">
        <f>INDEX(IPCCMaps!I:I,MATCH(mapPRC!D613,IPCCMaps!G:G,0))</f>
        <v>1A Fuel Combustion Activities</v>
      </c>
      <c r="H613" t="str">
        <f>INDEX(IPCCMaps!J:J,MATCH(mapPRC!D613,IPCCMaps!G:G,0))</f>
        <v>1A3 Transport</v>
      </c>
      <c r="I613" t="str">
        <f>INDEX(IPCCMaps!K:K,MATCH(mapPRC!D613,IPCCMaps!G:G,0))</f>
        <v>1A3b Transport - Road</v>
      </c>
    </row>
    <row r="614" spans="1:9" x14ac:dyDescent="0.25">
      <c r="A614" t="s">
        <v>39</v>
      </c>
      <c r="B614" t="s">
        <v>38</v>
      </c>
      <c r="C614" t="s">
        <v>26</v>
      </c>
      <c r="D614" t="s">
        <v>37</v>
      </c>
      <c r="E614" t="s">
        <v>36</v>
      </c>
      <c r="F614" t="str">
        <f>INDEX(IPCCMaps!H:H,MATCH(mapPRC!D614,IPCCMaps!G:G,0))</f>
        <v>1 Energy</v>
      </c>
      <c r="G614" t="str">
        <f>INDEX(IPCCMaps!I:I,MATCH(mapPRC!D614,IPCCMaps!G:G,0))</f>
        <v>1A Fuel Combustion Activities</v>
      </c>
      <c r="H614" t="str">
        <f>INDEX(IPCCMaps!J:J,MATCH(mapPRC!D614,IPCCMaps!G:G,0))</f>
        <v>1A3 Transport</v>
      </c>
      <c r="I614" t="str">
        <f>INDEX(IPCCMaps!K:K,MATCH(mapPRC!D614,IPCCMaps!G:G,0))</f>
        <v>1A3b Transport - Road</v>
      </c>
    </row>
    <row r="615" spans="1:9" x14ac:dyDescent="0.25">
      <c r="A615" t="s">
        <v>609</v>
      </c>
      <c r="B615" t="s">
        <v>608</v>
      </c>
      <c r="C615" t="s">
        <v>26</v>
      </c>
      <c r="D615" t="s">
        <v>37</v>
      </c>
      <c r="E615" t="s">
        <v>607</v>
      </c>
      <c r="F615" t="str">
        <f>INDEX(IPCCMaps!H:H,MATCH(mapPRC!D615,IPCCMaps!G:G,0))</f>
        <v>1 Energy</v>
      </c>
      <c r="G615" t="str">
        <f>INDEX(IPCCMaps!I:I,MATCH(mapPRC!D615,IPCCMaps!G:G,0))</f>
        <v>1A Fuel Combustion Activities</v>
      </c>
      <c r="H615" t="str">
        <f>INDEX(IPCCMaps!J:J,MATCH(mapPRC!D615,IPCCMaps!G:G,0))</f>
        <v>1A3 Transport</v>
      </c>
      <c r="I615" t="str">
        <f>INDEX(IPCCMaps!K:K,MATCH(mapPRC!D615,IPCCMaps!G:G,0))</f>
        <v>1A3b Transport - Road</v>
      </c>
    </row>
    <row r="616" spans="1:9" x14ac:dyDescent="0.25">
      <c r="A616" t="s">
        <v>606</v>
      </c>
      <c r="B616" t="s">
        <v>605</v>
      </c>
      <c r="C616" t="s">
        <v>26</v>
      </c>
      <c r="D616" t="s">
        <v>602</v>
      </c>
      <c r="E616" t="s">
        <v>602</v>
      </c>
      <c r="F616" t="str">
        <f>INDEX(IPCCMaps!H:H,MATCH(mapPRC!D616,IPCCMaps!G:G,0))</f>
        <v>1 Energy</v>
      </c>
      <c r="G616" t="str">
        <f>INDEX(IPCCMaps!I:I,MATCH(mapPRC!D616,IPCCMaps!G:G,0))</f>
        <v>1A Fuel Combustion Activities</v>
      </c>
      <c r="H616">
        <f>INDEX(IPCCMaps!J:J,MATCH(mapPRC!D616,IPCCMaps!G:G,0))</f>
        <v>0</v>
      </c>
      <c r="I616">
        <f>INDEX(IPCCMaps!K:K,MATCH(mapPRC!D616,IPCCMaps!G:G,0))</f>
        <v>0</v>
      </c>
    </row>
    <row r="617" spans="1:9" x14ac:dyDescent="0.25">
      <c r="A617" t="s">
        <v>604</v>
      </c>
      <c r="B617" t="s">
        <v>603</v>
      </c>
      <c r="C617" t="s">
        <v>26</v>
      </c>
      <c r="D617" t="s">
        <v>602</v>
      </c>
      <c r="E617" t="s">
        <v>602</v>
      </c>
      <c r="F617" t="str">
        <f>INDEX(IPCCMaps!H:H,MATCH(mapPRC!D617,IPCCMaps!G:G,0))</f>
        <v>1 Energy</v>
      </c>
      <c r="G617" t="str">
        <f>INDEX(IPCCMaps!I:I,MATCH(mapPRC!D617,IPCCMaps!G:G,0))</f>
        <v>1A Fuel Combustion Activities</v>
      </c>
      <c r="H617">
        <f>INDEX(IPCCMaps!J:J,MATCH(mapPRC!D617,IPCCMaps!G:G,0))</f>
        <v>0</v>
      </c>
      <c r="I617">
        <f>INDEX(IPCCMaps!K:K,MATCH(mapPRC!D617,IPCCMaps!G:G,0))</f>
        <v>0</v>
      </c>
    </row>
    <row r="618" spans="1:9" x14ac:dyDescent="0.25">
      <c r="A618" t="s">
        <v>601</v>
      </c>
      <c r="B618" t="s">
        <v>600</v>
      </c>
      <c r="C618" t="s">
        <v>26</v>
      </c>
      <c r="D618" t="s">
        <v>582</v>
      </c>
      <c r="E618" t="s">
        <v>582</v>
      </c>
      <c r="F618" t="str">
        <f>INDEX(IPCCMaps!H:H,MATCH(mapPRC!D618,IPCCMaps!G:G,0))</f>
        <v>1 Energy</v>
      </c>
      <c r="G618" t="str">
        <f>INDEX(IPCCMaps!I:I,MATCH(mapPRC!D618,IPCCMaps!G:G,0))</f>
        <v>1A Fuel Combustion Activities</v>
      </c>
      <c r="H618" t="str">
        <f>INDEX(IPCCMaps!J:J,MATCH(mapPRC!D618,IPCCMaps!G:G,0))</f>
        <v>1A3 Transport</v>
      </c>
      <c r="I618" t="str">
        <f>INDEX(IPCCMaps!K:K,MATCH(mapPRC!D618,IPCCMaps!G:G,0))</f>
        <v>1A3c Transport - Railways</v>
      </c>
    </row>
    <row r="619" spans="1:9" x14ac:dyDescent="0.25">
      <c r="A619" t="s">
        <v>599</v>
      </c>
      <c r="B619" t="s">
        <v>598</v>
      </c>
      <c r="C619" t="s">
        <v>26</v>
      </c>
      <c r="D619" t="s">
        <v>582</v>
      </c>
      <c r="E619" t="s">
        <v>582</v>
      </c>
      <c r="F619" t="str">
        <f>INDEX(IPCCMaps!H:H,MATCH(mapPRC!D619,IPCCMaps!G:G,0))</f>
        <v>1 Energy</v>
      </c>
      <c r="G619" t="str">
        <f>INDEX(IPCCMaps!I:I,MATCH(mapPRC!D619,IPCCMaps!G:G,0))</f>
        <v>1A Fuel Combustion Activities</v>
      </c>
      <c r="H619" t="str">
        <f>INDEX(IPCCMaps!J:J,MATCH(mapPRC!D619,IPCCMaps!G:G,0))</f>
        <v>1A3 Transport</v>
      </c>
      <c r="I619" t="str">
        <f>INDEX(IPCCMaps!K:K,MATCH(mapPRC!D619,IPCCMaps!G:G,0))</f>
        <v>1A3c Transport - Railways</v>
      </c>
    </row>
    <row r="620" spans="1:9" x14ac:dyDescent="0.25">
      <c r="A620" t="s">
        <v>597</v>
      </c>
      <c r="B620" t="s">
        <v>596</v>
      </c>
      <c r="C620" t="s">
        <v>26</v>
      </c>
      <c r="D620" t="s">
        <v>582</v>
      </c>
      <c r="E620" t="s">
        <v>582</v>
      </c>
      <c r="F620" t="str">
        <f>INDEX(IPCCMaps!H:H,MATCH(mapPRC!D620,IPCCMaps!G:G,0))</f>
        <v>1 Energy</v>
      </c>
      <c r="G620" t="str">
        <f>INDEX(IPCCMaps!I:I,MATCH(mapPRC!D620,IPCCMaps!G:G,0))</f>
        <v>1A Fuel Combustion Activities</v>
      </c>
      <c r="H620" t="str">
        <f>INDEX(IPCCMaps!J:J,MATCH(mapPRC!D620,IPCCMaps!G:G,0))</f>
        <v>1A3 Transport</v>
      </c>
      <c r="I620" t="str">
        <f>INDEX(IPCCMaps!K:K,MATCH(mapPRC!D620,IPCCMaps!G:G,0))</f>
        <v>1A3c Transport - Railways</v>
      </c>
    </row>
    <row r="621" spans="1:9" x14ac:dyDescent="0.25">
      <c r="A621" t="s">
        <v>595</v>
      </c>
      <c r="B621" t="s">
        <v>594</v>
      </c>
      <c r="C621" t="s">
        <v>26</v>
      </c>
      <c r="D621" t="s">
        <v>582</v>
      </c>
      <c r="E621" t="s">
        <v>582</v>
      </c>
      <c r="F621" t="str">
        <f>INDEX(IPCCMaps!H:H,MATCH(mapPRC!D621,IPCCMaps!G:G,0))</f>
        <v>1 Energy</v>
      </c>
      <c r="G621" t="str">
        <f>INDEX(IPCCMaps!I:I,MATCH(mapPRC!D621,IPCCMaps!G:G,0))</f>
        <v>1A Fuel Combustion Activities</v>
      </c>
      <c r="H621" t="str">
        <f>INDEX(IPCCMaps!J:J,MATCH(mapPRC!D621,IPCCMaps!G:G,0))</f>
        <v>1A3 Transport</v>
      </c>
      <c r="I621" t="str">
        <f>INDEX(IPCCMaps!K:K,MATCH(mapPRC!D621,IPCCMaps!G:G,0))</f>
        <v>1A3c Transport - Railways</v>
      </c>
    </row>
    <row r="622" spans="1:9" x14ac:dyDescent="0.25">
      <c r="A622" t="s">
        <v>593</v>
      </c>
      <c r="B622" t="s">
        <v>591</v>
      </c>
      <c r="C622" t="s">
        <v>26</v>
      </c>
      <c r="D622" t="s">
        <v>582</v>
      </c>
      <c r="E622" t="s">
        <v>582</v>
      </c>
      <c r="F622" t="str">
        <f>INDEX(IPCCMaps!H:H,MATCH(mapPRC!D622,IPCCMaps!G:G,0))</f>
        <v>1 Energy</v>
      </c>
      <c r="G622" t="str">
        <f>INDEX(IPCCMaps!I:I,MATCH(mapPRC!D622,IPCCMaps!G:G,0))</f>
        <v>1A Fuel Combustion Activities</v>
      </c>
      <c r="H622" t="str">
        <f>INDEX(IPCCMaps!J:J,MATCH(mapPRC!D622,IPCCMaps!G:G,0))</f>
        <v>1A3 Transport</v>
      </c>
      <c r="I622" t="str">
        <f>INDEX(IPCCMaps!K:K,MATCH(mapPRC!D622,IPCCMaps!G:G,0))</f>
        <v>1A3c Transport - Railways</v>
      </c>
    </row>
    <row r="623" spans="1:9" x14ac:dyDescent="0.25">
      <c r="A623" t="s">
        <v>592</v>
      </c>
      <c r="B623" t="s">
        <v>591</v>
      </c>
      <c r="C623" t="s">
        <v>26</v>
      </c>
      <c r="D623" t="s">
        <v>582</v>
      </c>
      <c r="E623" t="s">
        <v>582</v>
      </c>
      <c r="F623" t="str">
        <f>INDEX(IPCCMaps!H:H,MATCH(mapPRC!D623,IPCCMaps!G:G,0))</f>
        <v>1 Energy</v>
      </c>
      <c r="G623" t="str">
        <f>INDEX(IPCCMaps!I:I,MATCH(mapPRC!D623,IPCCMaps!G:G,0))</f>
        <v>1A Fuel Combustion Activities</v>
      </c>
      <c r="H623" t="str">
        <f>INDEX(IPCCMaps!J:J,MATCH(mapPRC!D623,IPCCMaps!G:G,0))</f>
        <v>1A3 Transport</v>
      </c>
      <c r="I623" t="str">
        <f>INDEX(IPCCMaps!K:K,MATCH(mapPRC!D623,IPCCMaps!G:G,0))</f>
        <v>1A3c Transport - Railways</v>
      </c>
    </row>
    <row r="624" spans="1:9" x14ac:dyDescent="0.25">
      <c r="A624" t="s">
        <v>590</v>
      </c>
      <c r="B624" t="s">
        <v>589</v>
      </c>
      <c r="C624" t="s">
        <v>26</v>
      </c>
      <c r="D624" t="s">
        <v>582</v>
      </c>
      <c r="E624" t="s">
        <v>582</v>
      </c>
      <c r="F624" t="str">
        <f>INDEX(IPCCMaps!H:H,MATCH(mapPRC!D624,IPCCMaps!G:G,0))</f>
        <v>1 Energy</v>
      </c>
      <c r="G624" t="str">
        <f>INDEX(IPCCMaps!I:I,MATCH(mapPRC!D624,IPCCMaps!G:G,0))</f>
        <v>1A Fuel Combustion Activities</v>
      </c>
      <c r="H624" t="str">
        <f>INDEX(IPCCMaps!J:J,MATCH(mapPRC!D624,IPCCMaps!G:G,0))</f>
        <v>1A3 Transport</v>
      </c>
      <c r="I624" t="str">
        <f>INDEX(IPCCMaps!K:K,MATCH(mapPRC!D624,IPCCMaps!G:G,0))</f>
        <v>1A3c Transport - Railways</v>
      </c>
    </row>
    <row r="625" spans="1:9" x14ac:dyDescent="0.25">
      <c r="A625" t="s">
        <v>588</v>
      </c>
      <c r="B625" t="s">
        <v>587</v>
      </c>
      <c r="C625" t="s">
        <v>26</v>
      </c>
      <c r="D625" t="s">
        <v>582</v>
      </c>
      <c r="E625" t="s">
        <v>582</v>
      </c>
      <c r="F625" t="str">
        <f>INDEX(IPCCMaps!H:H,MATCH(mapPRC!D625,IPCCMaps!G:G,0))</f>
        <v>1 Energy</v>
      </c>
      <c r="G625" t="str">
        <f>INDEX(IPCCMaps!I:I,MATCH(mapPRC!D625,IPCCMaps!G:G,0))</f>
        <v>1A Fuel Combustion Activities</v>
      </c>
      <c r="H625" t="str">
        <f>INDEX(IPCCMaps!J:J,MATCH(mapPRC!D625,IPCCMaps!G:G,0))</f>
        <v>1A3 Transport</v>
      </c>
      <c r="I625" t="str">
        <f>INDEX(IPCCMaps!K:K,MATCH(mapPRC!D625,IPCCMaps!G:G,0))</f>
        <v>1A3c Transport - Railways</v>
      </c>
    </row>
    <row r="626" spans="1:9" x14ac:dyDescent="0.25">
      <c r="A626" t="s">
        <v>586</v>
      </c>
      <c r="B626" t="s">
        <v>585</v>
      </c>
      <c r="C626" t="s">
        <v>26</v>
      </c>
      <c r="D626" t="s">
        <v>582</v>
      </c>
      <c r="E626" t="s">
        <v>582</v>
      </c>
      <c r="F626" t="str">
        <f>INDEX(IPCCMaps!H:H,MATCH(mapPRC!D626,IPCCMaps!G:G,0))</f>
        <v>1 Energy</v>
      </c>
      <c r="G626" t="str">
        <f>INDEX(IPCCMaps!I:I,MATCH(mapPRC!D626,IPCCMaps!G:G,0))</f>
        <v>1A Fuel Combustion Activities</v>
      </c>
      <c r="H626" t="str">
        <f>INDEX(IPCCMaps!J:J,MATCH(mapPRC!D626,IPCCMaps!G:G,0))</f>
        <v>1A3 Transport</v>
      </c>
      <c r="I626" t="str">
        <f>INDEX(IPCCMaps!K:K,MATCH(mapPRC!D626,IPCCMaps!G:G,0))</f>
        <v>1A3c Transport - Railways</v>
      </c>
    </row>
    <row r="627" spans="1:9" x14ac:dyDescent="0.25">
      <c r="A627" t="s">
        <v>584</v>
      </c>
      <c r="B627" t="s">
        <v>583</v>
      </c>
      <c r="C627" t="s">
        <v>26</v>
      </c>
      <c r="D627" t="s">
        <v>582</v>
      </c>
      <c r="E627" t="s">
        <v>582</v>
      </c>
      <c r="F627" t="str">
        <f>INDEX(IPCCMaps!H:H,MATCH(mapPRC!D627,IPCCMaps!G:G,0))</f>
        <v>1 Energy</v>
      </c>
      <c r="G627" t="str">
        <f>INDEX(IPCCMaps!I:I,MATCH(mapPRC!D627,IPCCMaps!G:G,0))</f>
        <v>1A Fuel Combustion Activities</v>
      </c>
      <c r="H627" t="str">
        <f>INDEX(IPCCMaps!J:J,MATCH(mapPRC!D627,IPCCMaps!G:G,0))</f>
        <v>1A3 Transport</v>
      </c>
      <c r="I627" t="str">
        <f>INDEX(IPCCMaps!K:K,MATCH(mapPRC!D627,IPCCMaps!G:G,0))</f>
        <v>1A3c Transport - Railways</v>
      </c>
    </row>
    <row r="628" spans="1:9" x14ac:dyDescent="0.25">
      <c r="A628" t="s">
        <v>581</v>
      </c>
      <c r="B628" t="s">
        <v>580</v>
      </c>
      <c r="C628" t="s">
        <v>26</v>
      </c>
      <c r="D628" t="s">
        <v>30</v>
      </c>
      <c r="E628" t="s">
        <v>579</v>
      </c>
      <c r="F628" t="str">
        <f>INDEX(IPCCMaps!H:H,MATCH(mapPRC!D628,IPCCMaps!G:G,0))</f>
        <v>1 Energy</v>
      </c>
      <c r="G628" t="str">
        <f>INDEX(IPCCMaps!I:I,MATCH(mapPRC!D628,IPCCMaps!G:G,0))</f>
        <v>1A Fuel Combustion Activities</v>
      </c>
      <c r="H628" t="str">
        <f>INDEX(IPCCMaps!J:J,MATCH(mapPRC!D628,IPCCMaps!G:G,0))</f>
        <v>1A3 Transport</v>
      </c>
      <c r="I628" t="str">
        <f>INDEX(IPCCMaps!K:K,MATCH(mapPRC!D628,IPCCMaps!G:G,0))</f>
        <v>1A3b Transport - Road</v>
      </c>
    </row>
    <row r="629" spans="1:9" x14ac:dyDescent="0.25">
      <c r="A629" t="s">
        <v>578</v>
      </c>
      <c r="B629" t="s">
        <v>577</v>
      </c>
      <c r="C629" t="s">
        <v>26</v>
      </c>
      <c r="D629" t="s">
        <v>30</v>
      </c>
      <c r="E629" t="s">
        <v>576</v>
      </c>
      <c r="F629" t="str">
        <f>INDEX(IPCCMaps!H:H,MATCH(mapPRC!D629,IPCCMaps!G:G,0))</f>
        <v>1 Energy</v>
      </c>
      <c r="G629" t="str">
        <f>INDEX(IPCCMaps!I:I,MATCH(mapPRC!D629,IPCCMaps!G:G,0))</f>
        <v>1A Fuel Combustion Activities</v>
      </c>
      <c r="H629" t="str">
        <f>INDEX(IPCCMaps!J:J,MATCH(mapPRC!D629,IPCCMaps!G:G,0))</f>
        <v>1A3 Transport</v>
      </c>
      <c r="I629" t="str">
        <f>INDEX(IPCCMaps!K:K,MATCH(mapPRC!D629,IPCCMaps!G:G,0))</f>
        <v>1A3b Transport - Road</v>
      </c>
    </row>
    <row r="630" spans="1:9" x14ac:dyDescent="0.25">
      <c r="A630" t="s">
        <v>575</v>
      </c>
      <c r="B630" t="s">
        <v>574</v>
      </c>
      <c r="C630" t="s">
        <v>26</v>
      </c>
      <c r="D630" t="s">
        <v>30</v>
      </c>
      <c r="E630" t="s">
        <v>573</v>
      </c>
      <c r="F630" t="str">
        <f>INDEX(IPCCMaps!H:H,MATCH(mapPRC!D630,IPCCMaps!G:G,0))</f>
        <v>1 Energy</v>
      </c>
      <c r="G630" t="str">
        <f>INDEX(IPCCMaps!I:I,MATCH(mapPRC!D630,IPCCMaps!G:G,0))</f>
        <v>1A Fuel Combustion Activities</v>
      </c>
      <c r="H630" t="str">
        <f>INDEX(IPCCMaps!J:J,MATCH(mapPRC!D630,IPCCMaps!G:G,0))</f>
        <v>1A3 Transport</v>
      </c>
      <c r="I630" t="str">
        <f>INDEX(IPCCMaps!K:K,MATCH(mapPRC!D630,IPCCMaps!G:G,0))</f>
        <v>1A3b Transport - Road</v>
      </c>
    </row>
    <row r="631" spans="1:9" x14ac:dyDescent="0.25">
      <c r="A631" t="s">
        <v>572</v>
      </c>
      <c r="B631" t="s">
        <v>571</v>
      </c>
      <c r="C631" t="s">
        <v>26</v>
      </c>
      <c r="D631" t="s">
        <v>30</v>
      </c>
      <c r="E631" t="s">
        <v>570</v>
      </c>
      <c r="F631" t="str">
        <f>INDEX(IPCCMaps!H:H,MATCH(mapPRC!D631,IPCCMaps!G:G,0))</f>
        <v>1 Energy</v>
      </c>
      <c r="G631" t="str">
        <f>INDEX(IPCCMaps!I:I,MATCH(mapPRC!D631,IPCCMaps!G:G,0))</f>
        <v>1A Fuel Combustion Activities</v>
      </c>
      <c r="H631" t="str">
        <f>INDEX(IPCCMaps!J:J,MATCH(mapPRC!D631,IPCCMaps!G:G,0))</f>
        <v>1A3 Transport</v>
      </c>
      <c r="I631" t="str">
        <f>INDEX(IPCCMaps!K:K,MATCH(mapPRC!D631,IPCCMaps!G:G,0))</f>
        <v>1A3b Transport - Road</v>
      </c>
    </row>
    <row r="632" spans="1:9" x14ac:dyDescent="0.25">
      <c r="A632" t="s">
        <v>569</v>
      </c>
      <c r="B632" t="s">
        <v>568</v>
      </c>
      <c r="C632" t="s">
        <v>26</v>
      </c>
      <c r="D632" t="s">
        <v>30</v>
      </c>
      <c r="E632" t="s">
        <v>557</v>
      </c>
      <c r="F632" t="str">
        <f>INDEX(IPCCMaps!H:H,MATCH(mapPRC!D632,IPCCMaps!G:G,0))</f>
        <v>1 Energy</v>
      </c>
      <c r="G632" t="str">
        <f>INDEX(IPCCMaps!I:I,MATCH(mapPRC!D632,IPCCMaps!G:G,0))</f>
        <v>1A Fuel Combustion Activities</v>
      </c>
      <c r="H632" t="str">
        <f>INDEX(IPCCMaps!J:J,MATCH(mapPRC!D632,IPCCMaps!G:G,0))</f>
        <v>1A3 Transport</v>
      </c>
      <c r="I632" t="str">
        <f>INDEX(IPCCMaps!K:K,MATCH(mapPRC!D632,IPCCMaps!G:G,0))</f>
        <v>1A3b Transport - Road</v>
      </c>
    </row>
    <row r="633" spans="1:9" x14ac:dyDescent="0.25">
      <c r="A633" t="s">
        <v>565</v>
      </c>
      <c r="B633" t="s">
        <v>564</v>
      </c>
      <c r="C633" t="s">
        <v>26</v>
      </c>
      <c r="D633" t="s">
        <v>30</v>
      </c>
      <c r="E633" t="s">
        <v>554</v>
      </c>
      <c r="F633" t="str">
        <f>INDEX(IPCCMaps!H:H,MATCH(mapPRC!D633,IPCCMaps!G:G,0))</f>
        <v>1 Energy</v>
      </c>
      <c r="G633" t="str">
        <f>INDEX(IPCCMaps!I:I,MATCH(mapPRC!D633,IPCCMaps!G:G,0))</f>
        <v>1A Fuel Combustion Activities</v>
      </c>
      <c r="H633" t="str">
        <f>INDEX(IPCCMaps!J:J,MATCH(mapPRC!D633,IPCCMaps!G:G,0))</f>
        <v>1A3 Transport</v>
      </c>
      <c r="I633" t="str">
        <f>INDEX(IPCCMaps!K:K,MATCH(mapPRC!D633,IPCCMaps!G:G,0))</f>
        <v>1A3b Transport - Road</v>
      </c>
    </row>
    <row r="634" spans="1:9" x14ac:dyDescent="0.25">
      <c r="A634" t="s">
        <v>567</v>
      </c>
      <c r="B634" t="s">
        <v>566</v>
      </c>
      <c r="C634" t="s">
        <v>26</v>
      </c>
      <c r="D634" t="s">
        <v>30</v>
      </c>
      <c r="E634" t="s">
        <v>557</v>
      </c>
      <c r="F634" t="str">
        <f>INDEX(IPCCMaps!H:H,MATCH(mapPRC!D634,IPCCMaps!G:G,0))</f>
        <v>1 Energy</v>
      </c>
      <c r="G634" t="str">
        <f>INDEX(IPCCMaps!I:I,MATCH(mapPRC!D634,IPCCMaps!G:G,0))</f>
        <v>1A Fuel Combustion Activities</v>
      </c>
      <c r="H634" t="str">
        <f>INDEX(IPCCMaps!J:J,MATCH(mapPRC!D634,IPCCMaps!G:G,0))</f>
        <v>1A3 Transport</v>
      </c>
      <c r="I634" t="str">
        <f>INDEX(IPCCMaps!K:K,MATCH(mapPRC!D634,IPCCMaps!G:G,0))</f>
        <v>1A3b Transport - Road</v>
      </c>
    </row>
    <row r="635" spans="1:9" x14ac:dyDescent="0.25">
      <c r="A635" t="s">
        <v>563</v>
      </c>
      <c r="B635" t="s">
        <v>562</v>
      </c>
      <c r="C635" t="s">
        <v>26</v>
      </c>
      <c r="D635" t="s">
        <v>30</v>
      </c>
      <c r="E635" t="s">
        <v>557</v>
      </c>
      <c r="F635" t="str">
        <f>INDEX(IPCCMaps!H:H,MATCH(mapPRC!D635,IPCCMaps!G:G,0))</f>
        <v>1 Energy</v>
      </c>
      <c r="G635" t="str">
        <f>INDEX(IPCCMaps!I:I,MATCH(mapPRC!D635,IPCCMaps!G:G,0))</f>
        <v>1A Fuel Combustion Activities</v>
      </c>
      <c r="H635" t="str">
        <f>INDEX(IPCCMaps!J:J,MATCH(mapPRC!D635,IPCCMaps!G:G,0))</f>
        <v>1A3 Transport</v>
      </c>
      <c r="I635" t="str">
        <f>INDEX(IPCCMaps!K:K,MATCH(mapPRC!D635,IPCCMaps!G:G,0))</f>
        <v>1A3b Transport - Road</v>
      </c>
    </row>
    <row r="636" spans="1:9" x14ac:dyDescent="0.25">
      <c r="A636" t="s">
        <v>559</v>
      </c>
      <c r="B636" t="s">
        <v>558</v>
      </c>
      <c r="C636" t="s">
        <v>26</v>
      </c>
      <c r="D636" t="s">
        <v>30</v>
      </c>
      <c r="E636" t="s">
        <v>557</v>
      </c>
      <c r="F636" t="str">
        <f>INDEX(IPCCMaps!H:H,MATCH(mapPRC!D636,IPCCMaps!G:G,0))</f>
        <v>1 Energy</v>
      </c>
      <c r="G636" t="str">
        <f>INDEX(IPCCMaps!I:I,MATCH(mapPRC!D636,IPCCMaps!G:G,0))</f>
        <v>1A Fuel Combustion Activities</v>
      </c>
      <c r="H636" t="str">
        <f>INDEX(IPCCMaps!J:J,MATCH(mapPRC!D636,IPCCMaps!G:G,0))</f>
        <v>1A3 Transport</v>
      </c>
      <c r="I636" t="str">
        <f>INDEX(IPCCMaps!K:K,MATCH(mapPRC!D636,IPCCMaps!G:G,0))</f>
        <v>1A3b Transport - Road</v>
      </c>
    </row>
    <row r="637" spans="1:9" x14ac:dyDescent="0.25">
      <c r="A637" t="s">
        <v>556</v>
      </c>
      <c r="B637" t="s">
        <v>555</v>
      </c>
      <c r="C637" t="s">
        <v>26</v>
      </c>
      <c r="D637" t="s">
        <v>30</v>
      </c>
      <c r="E637" t="s">
        <v>554</v>
      </c>
      <c r="F637" t="str">
        <f>INDEX(IPCCMaps!H:H,MATCH(mapPRC!D637,IPCCMaps!G:G,0))</f>
        <v>1 Energy</v>
      </c>
      <c r="G637" t="str">
        <f>INDEX(IPCCMaps!I:I,MATCH(mapPRC!D637,IPCCMaps!G:G,0))</f>
        <v>1A Fuel Combustion Activities</v>
      </c>
      <c r="H637" t="str">
        <f>INDEX(IPCCMaps!J:J,MATCH(mapPRC!D637,IPCCMaps!G:G,0))</f>
        <v>1A3 Transport</v>
      </c>
      <c r="I637" t="str">
        <f>INDEX(IPCCMaps!K:K,MATCH(mapPRC!D637,IPCCMaps!G:G,0))</f>
        <v>1A3b Transport - Road</v>
      </c>
    </row>
    <row r="638" spans="1:9" x14ac:dyDescent="0.25">
      <c r="A638" t="s">
        <v>561</v>
      </c>
      <c r="B638" t="s">
        <v>560</v>
      </c>
      <c r="C638" t="s">
        <v>26</v>
      </c>
      <c r="D638" t="s">
        <v>30</v>
      </c>
      <c r="E638" t="s">
        <v>557</v>
      </c>
      <c r="F638" t="str">
        <f>INDEX(IPCCMaps!H:H,MATCH(mapPRC!D638,IPCCMaps!G:G,0))</f>
        <v>1 Energy</v>
      </c>
      <c r="G638" t="str">
        <f>INDEX(IPCCMaps!I:I,MATCH(mapPRC!D638,IPCCMaps!G:G,0))</f>
        <v>1A Fuel Combustion Activities</v>
      </c>
      <c r="H638" t="str">
        <f>INDEX(IPCCMaps!J:J,MATCH(mapPRC!D638,IPCCMaps!G:G,0))</f>
        <v>1A3 Transport</v>
      </c>
      <c r="I638" t="str">
        <f>INDEX(IPCCMaps!K:K,MATCH(mapPRC!D638,IPCCMaps!G:G,0))</f>
        <v>1A3b Transport - Road</v>
      </c>
    </row>
    <row r="639" spans="1:9" x14ac:dyDescent="0.25">
      <c r="A639" t="s">
        <v>35</v>
      </c>
      <c r="B639" t="s">
        <v>34</v>
      </c>
      <c r="C639" t="s">
        <v>26</v>
      </c>
      <c r="D639" t="s">
        <v>30</v>
      </c>
      <c r="E639" t="s">
        <v>33</v>
      </c>
      <c r="F639" t="str">
        <f>INDEX(IPCCMaps!H:H,MATCH(mapPRC!D639,IPCCMaps!G:G,0))</f>
        <v>1 Energy</v>
      </c>
      <c r="G639" t="str">
        <f>INDEX(IPCCMaps!I:I,MATCH(mapPRC!D639,IPCCMaps!G:G,0))</f>
        <v>1A Fuel Combustion Activities</v>
      </c>
      <c r="H639" t="str">
        <f>INDEX(IPCCMaps!J:J,MATCH(mapPRC!D639,IPCCMaps!G:G,0))</f>
        <v>1A3 Transport</v>
      </c>
      <c r="I639" t="str">
        <f>INDEX(IPCCMaps!K:K,MATCH(mapPRC!D639,IPCCMaps!G:G,0))</f>
        <v>1A3b Transport - Road</v>
      </c>
    </row>
    <row r="640" spans="1:9" x14ac:dyDescent="0.25">
      <c r="A640" t="s">
        <v>553</v>
      </c>
      <c r="B640" t="s">
        <v>552</v>
      </c>
      <c r="C640" t="s">
        <v>26</v>
      </c>
      <c r="D640" t="s">
        <v>30</v>
      </c>
      <c r="E640" t="s">
        <v>549</v>
      </c>
      <c r="F640" t="str">
        <f>INDEX(IPCCMaps!H:H,MATCH(mapPRC!D640,IPCCMaps!G:G,0))</f>
        <v>1 Energy</v>
      </c>
      <c r="G640" t="str">
        <f>INDEX(IPCCMaps!I:I,MATCH(mapPRC!D640,IPCCMaps!G:G,0))</f>
        <v>1A Fuel Combustion Activities</v>
      </c>
      <c r="H640" t="str">
        <f>INDEX(IPCCMaps!J:J,MATCH(mapPRC!D640,IPCCMaps!G:G,0))</f>
        <v>1A3 Transport</v>
      </c>
      <c r="I640" t="str">
        <f>INDEX(IPCCMaps!K:K,MATCH(mapPRC!D640,IPCCMaps!G:G,0))</f>
        <v>1A3b Transport - Road</v>
      </c>
    </row>
    <row r="641" spans="1:9" x14ac:dyDescent="0.25">
      <c r="A641" t="s">
        <v>551</v>
      </c>
      <c r="B641" t="s">
        <v>550</v>
      </c>
      <c r="C641" t="s">
        <v>26</v>
      </c>
      <c r="D641" t="s">
        <v>30</v>
      </c>
      <c r="E641" t="s">
        <v>549</v>
      </c>
      <c r="F641" t="str">
        <f>INDEX(IPCCMaps!H:H,MATCH(mapPRC!D641,IPCCMaps!G:G,0))</f>
        <v>1 Energy</v>
      </c>
      <c r="G641" t="str">
        <f>INDEX(IPCCMaps!I:I,MATCH(mapPRC!D641,IPCCMaps!G:G,0))</f>
        <v>1A Fuel Combustion Activities</v>
      </c>
      <c r="H641" t="str">
        <f>INDEX(IPCCMaps!J:J,MATCH(mapPRC!D641,IPCCMaps!G:G,0))</f>
        <v>1A3 Transport</v>
      </c>
      <c r="I641" t="str">
        <f>INDEX(IPCCMaps!K:K,MATCH(mapPRC!D641,IPCCMaps!G:G,0))</f>
        <v>1A3b Transport - Road</v>
      </c>
    </row>
    <row r="642" spans="1:9" x14ac:dyDescent="0.25">
      <c r="A642" t="s">
        <v>548</v>
      </c>
      <c r="B642" t="s">
        <v>547</v>
      </c>
      <c r="C642" t="s">
        <v>26</v>
      </c>
      <c r="D642" t="s">
        <v>30</v>
      </c>
      <c r="E642" t="s">
        <v>546</v>
      </c>
      <c r="F642" t="str">
        <f>INDEX(IPCCMaps!H:H,MATCH(mapPRC!D642,IPCCMaps!G:G,0))</f>
        <v>1 Energy</v>
      </c>
      <c r="G642" t="str">
        <f>INDEX(IPCCMaps!I:I,MATCH(mapPRC!D642,IPCCMaps!G:G,0))</f>
        <v>1A Fuel Combustion Activities</v>
      </c>
      <c r="H642" t="str">
        <f>INDEX(IPCCMaps!J:J,MATCH(mapPRC!D642,IPCCMaps!G:G,0))</f>
        <v>1A3 Transport</v>
      </c>
      <c r="I642" t="str">
        <f>INDEX(IPCCMaps!K:K,MATCH(mapPRC!D642,IPCCMaps!G:G,0))</f>
        <v>1A3b Transport - Road</v>
      </c>
    </row>
    <row r="643" spans="1:9" x14ac:dyDescent="0.25">
      <c r="A643" t="s">
        <v>3126</v>
      </c>
      <c r="B643" t="s">
        <v>3127</v>
      </c>
      <c r="C643" t="s">
        <v>26</v>
      </c>
      <c r="D643" t="s">
        <v>30</v>
      </c>
      <c r="E643" t="s">
        <v>29</v>
      </c>
      <c r="F643" t="str">
        <f>INDEX(IPCCMaps!H:H,MATCH(mapPRC!D643,IPCCMaps!G:G,0))</f>
        <v>1 Energy</v>
      </c>
      <c r="G643" t="str">
        <f>INDEX(IPCCMaps!I:I,MATCH(mapPRC!D643,IPCCMaps!G:G,0))</f>
        <v>1A Fuel Combustion Activities</v>
      </c>
      <c r="H643" t="str">
        <f>INDEX(IPCCMaps!J:J,MATCH(mapPRC!D643,IPCCMaps!G:G,0))</f>
        <v>1A3 Transport</v>
      </c>
      <c r="I643" t="str">
        <f>INDEX(IPCCMaps!K:K,MATCH(mapPRC!D643,IPCCMaps!G:G,0))</f>
        <v>1A3b Transport - Road</v>
      </c>
    </row>
    <row r="644" spans="1:9" x14ac:dyDescent="0.25">
      <c r="A644" t="s">
        <v>32</v>
      </c>
      <c r="B644" t="s">
        <v>31</v>
      </c>
      <c r="C644" t="s">
        <v>26</v>
      </c>
      <c r="D644" t="s">
        <v>30</v>
      </c>
      <c r="E644" t="s">
        <v>29</v>
      </c>
      <c r="F644" t="str">
        <f>INDEX(IPCCMaps!H:H,MATCH(mapPRC!D644,IPCCMaps!G:G,0))</f>
        <v>1 Energy</v>
      </c>
      <c r="G644" t="str">
        <f>INDEX(IPCCMaps!I:I,MATCH(mapPRC!D644,IPCCMaps!G:G,0))</f>
        <v>1A Fuel Combustion Activities</v>
      </c>
      <c r="H644" t="str">
        <f>INDEX(IPCCMaps!J:J,MATCH(mapPRC!D644,IPCCMaps!G:G,0))</f>
        <v>1A3 Transport</v>
      </c>
      <c r="I644" t="str">
        <f>INDEX(IPCCMaps!K:K,MATCH(mapPRC!D644,IPCCMaps!G:G,0))</f>
        <v>1A3b Transport - Road</v>
      </c>
    </row>
    <row r="645" spans="1:9" x14ac:dyDescent="0.25">
      <c r="A645" t="s">
        <v>545</v>
      </c>
      <c r="B645" t="s">
        <v>544</v>
      </c>
      <c r="C645" t="s">
        <v>26</v>
      </c>
      <c r="D645" t="s">
        <v>30</v>
      </c>
      <c r="E645" t="s">
        <v>543</v>
      </c>
      <c r="F645" t="str">
        <f>INDEX(IPCCMaps!H:H,MATCH(mapPRC!D645,IPCCMaps!G:G,0))</f>
        <v>1 Energy</v>
      </c>
      <c r="G645" t="str">
        <f>INDEX(IPCCMaps!I:I,MATCH(mapPRC!D645,IPCCMaps!G:G,0))</f>
        <v>1A Fuel Combustion Activities</v>
      </c>
      <c r="H645" t="str">
        <f>INDEX(IPCCMaps!J:J,MATCH(mapPRC!D645,IPCCMaps!G:G,0))</f>
        <v>1A3 Transport</v>
      </c>
      <c r="I645" t="str">
        <f>INDEX(IPCCMaps!K:K,MATCH(mapPRC!D645,IPCCMaps!G:G,0))</f>
        <v>1A3b Transport - Road</v>
      </c>
    </row>
    <row r="646" spans="1:9" x14ac:dyDescent="0.25">
      <c r="A646" t="s">
        <v>542</v>
      </c>
      <c r="B646" t="s">
        <v>541</v>
      </c>
      <c r="C646" t="s">
        <v>26</v>
      </c>
      <c r="D646" t="s">
        <v>30</v>
      </c>
      <c r="E646" t="s">
        <v>540</v>
      </c>
      <c r="F646" t="str">
        <f>INDEX(IPCCMaps!H:H,MATCH(mapPRC!D646,IPCCMaps!G:G,0))</f>
        <v>1 Energy</v>
      </c>
      <c r="G646" t="str">
        <f>INDEX(IPCCMaps!I:I,MATCH(mapPRC!D646,IPCCMaps!G:G,0))</f>
        <v>1A Fuel Combustion Activities</v>
      </c>
      <c r="H646" t="str">
        <f>INDEX(IPCCMaps!J:J,MATCH(mapPRC!D646,IPCCMaps!G:G,0))</f>
        <v>1A3 Transport</v>
      </c>
      <c r="I646" t="str">
        <f>INDEX(IPCCMaps!K:K,MATCH(mapPRC!D646,IPCCMaps!G:G,0))</f>
        <v>1A3b Transport - Road</v>
      </c>
    </row>
    <row r="647" spans="1:9" x14ac:dyDescent="0.25">
      <c r="A647" t="s">
        <v>539</v>
      </c>
      <c r="B647" t="s">
        <v>538</v>
      </c>
      <c r="C647" t="s">
        <v>26</v>
      </c>
      <c r="D647" t="s">
        <v>30</v>
      </c>
      <c r="E647" t="s">
        <v>529</v>
      </c>
      <c r="F647" t="str">
        <f>INDEX(IPCCMaps!H:H,MATCH(mapPRC!D647,IPCCMaps!G:G,0))</f>
        <v>1 Energy</v>
      </c>
      <c r="G647" t="str">
        <f>INDEX(IPCCMaps!I:I,MATCH(mapPRC!D647,IPCCMaps!G:G,0))</f>
        <v>1A Fuel Combustion Activities</v>
      </c>
      <c r="H647" t="str">
        <f>INDEX(IPCCMaps!J:J,MATCH(mapPRC!D647,IPCCMaps!G:G,0))</f>
        <v>1A3 Transport</v>
      </c>
      <c r="I647" t="str">
        <f>INDEX(IPCCMaps!K:K,MATCH(mapPRC!D647,IPCCMaps!G:G,0))</f>
        <v>1A3b Transport - Road</v>
      </c>
    </row>
    <row r="648" spans="1:9" x14ac:dyDescent="0.25">
      <c r="A648" t="s">
        <v>535</v>
      </c>
      <c r="B648" t="s">
        <v>534</v>
      </c>
      <c r="C648" t="s">
        <v>26</v>
      </c>
      <c r="D648" t="s">
        <v>30</v>
      </c>
      <c r="E648" t="s">
        <v>526</v>
      </c>
      <c r="F648" t="str">
        <f>INDEX(IPCCMaps!H:H,MATCH(mapPRC!D648,IPCCMaps!G:G,0))</f>
        <v>1 Energy</v>
      </c>
      <c r="G648" t="str">
        <f>INDEX(IPCCMaps!I:I,MATCH(mapPRC!D648,IPCCMaps!G:G,0))</f>
        <v>1A Fuel Combustion Activities</v>
      </c>
      <c r="H648" t="str">
        <f>INDEX(IPCCMaps!J:J,MATCH(mapPRC!D648,IPCCMaps!G:G,0))</f>
        <v>1A3 Transport</v>
      </c>
      <c r="I648" t="str">
        <f>INDEX(IPCCMaps!K:K,MATCH(mapPRC!D648,IPCCMaps!G:G,0))</f>
        <v>1A3b Transport - Road</v>
      </c>
    </row>
    <row r="649" spans="1:9" x14ac:dyDescent="0.25">
      <c r="A649" t="s">
        <v>537</v>
      </c>
      <c r="B649" t="s">
        <v>536</v>
      </c>
      <c r="C649" t="s">
        <v>26</v>
      </c>
      <c r="D649" t="s">
        <v>30</v>
      </c>
      <c r="E649" t="s">
        <v>529</v>
      </c>
      <c r="F649" t="str">
        <f>INDEX(IPCCMaps!H:H,MATCH(mapPRC!D649,IPCCMaps!G:G,0))</f>
        <v>1 Energy</v>
      </c>
      <c r="G649" t="str">
        <f>INDEX(IPCCMaps!I:I,MATCH(mapPRC!D649,IPCCMaps!G:G,0))</f>
        <v>1A Fuel Combustion Activities</v>
      </c>
      <c r="H649" t="str">
        <f>INDEX(IPCCMaps!J:J,MATCH(mapPRC!D649,IPCCMaps!G:G,0))</f>
        <v>1A3 Transport</v>
      </c>
      <c r="I649" t="str">
        <f>INDEX(IPCCMaps!K:K,MATCH(mapPRC!D649,IPCCMaps!G:G,0))</f>
        <v>1A3b Transport - Road</v>
      </c>
    </row>
    <row r="650" spans="1:9" x14ac:dyDescent="0.25">
      <c r="A650" t="s">
        <v>533</v>
      </c>
      <c r="B650" t="s">
        <v>532</v>
      </c>
      <c r="C650" t="s">
        <v>26</v>
      </c>
      <c r="D650" t="s">
        <v>30</v>
      </c>
      <c r="E650" t="s">
        <v>529</v>
      </c>
      <c r="F650" t="str">
        <f>INDEX(IPCCMaps!H:H,MATCH(mapPRC!D650,IPCCMaps!G:G,0))</f>
        <v>1 Energy</v>
      </c>
      <c r="G650" t="str">
        <f>INDEX(IPCCMaps!I:I,MATCH(mapPRC!D650,IPCCMaps!G:G,0))</f>
        <v>1A Fuel Combustion Activities</v>
      </c>
      <c r="H650" t="str">
        <f>INDEX(IPCCMaps!J:J,MATCH(mapPRC!D650,IPCCMaps!G:G,0))</f>
        <v>1A3 Transport</v>
      </c>
      <c r="I650" t="str">
        <f>INDEX(IPCCMaps!K:K,MATCH(mapPRC!D650,IPCCMaps!G:G,0))</f>
        <v>1A3b Transport - Road</v>
      </c>
    </row>
    <row r="651" spans="1:9" x14ac:dyDescent="0.25">
      <c r="A651" t="s">
        <v>3128</v>
      </c>
      <c r="B651" t="s">
        <v>3129</v>
      </c>
      <c r="C651" t="s">
        <v>26</v>
      </c>
      <c r="D651" t="s">
        <v>30</v>
      </c>
      <c r="E651" t="s">
        <v>526</v>
      </c>
      <c r="F651" t="str">
        <f>INDEX(IPCCMaps!H:H,MATCH(mapPRC!D651,IPCCMaps!G:G,0))</f>
        <v>1 Energy</v>
      </c>
      <c r="G651" t="str">
        <f>INDEX(IPCCMaps!I:I,MATCH(mapPRC!D651,IPCCMaps!G:G,0))</f>
        <v>1A Fuel Combustion Activities</v>
      </c>
      <c r="H651" t="str">
        <f>INDEX(IPCCMaps!J:J,MATCH(mapPRC!D651,IPCCMaps!G:G,0))</f>
        <v>1A3 Transport</v>
      </c>
      <c r="I651" t="str">
        <f>INDEX(IPCCMaps!K:K,MATCH(mapPRC!D651,IPCCMaps!G:G,0))</f>
        <v>1A3b Transport - Road</v>
      </c>
    </row>
    <row r="652" spans="1:9" x14ac:dyDescent="0.25">
      <c r="A652" t="s">
        <v>528</v>
      </c>
      <c r="B652" t="s">
        <v>527</v>
      </c>
      <c r="C652" t="s">
        <v>26</v>
      </c>
      <c r="D652" t="s">
        <v>30</v>
      </c>
      <c r="E652" t="s">
        <v>526</v>
      </c>
      <c r="F652" t="str">
        <f>INDEX(IPCCMaps!H:H,MATCH(mapPRC!D652,IPCCMaps!G:G,0))</f>
        <v>1 Energy</v>
      </c>
      <c r="G652" t="str">
        <f>INDEX(IPCCMaps!I:I,MATCH(mapPRC!D652,IPCCMaps!G:G,0))</f>
        <v>1A Fuel Combustion Activities</v>
      </c>
      <c r="H652" t="str">
        <f>INDEX(IPCCMaps!J:J,MATCH(mapPRC!D652,IPCCMaps!G:G,0))</f>
        <v>1A3 Transport</v>
      </c>
      <c r="I652" t="str">
        <f>INDEX(IPCCMaps!K:K,MATCH(mapPRC!D652,IPCCMaps!G:G,0))</f>
        <v>1A3b Transport - Road</v>
      </c>
    </row>
    <row r="653" spans="1:9" x14ac:dyDescent="0.25">
      <c r="A653" t="s">
        <v>531</v>
      </c>
      <c r="B653" t="s">
        <v>530</v>
      </c>
      <c r="C653" t="s">
        <v>26</v>
      </c>
      <c r="D653" t="s">
        <v>30</v>
      </c>
      <c r="E653" t="s">
        <v>529</v>
      </c>
      <c r="F653" t="str">
        <f>INDEX(IPCCMaps!H:H,MATCH(mapPRC!D653,IPCCMaps!G:G,0))</f>
        <v>1 Energy</v>
      </c>
      <c r="G653" t="str">
        <f>INDEX(IPCCMaps!I:I,MATCH(mapPRC!D653,IPCCMaps!G:G,0))</f>
        <v>1A Fuel Combustion Activities</v>
      </c>
      <c r="H653" t="str">
        <f>INDEX(IPCCMaps!J:J,MATCH(mapPRC!D653,IPCCMaps!G:G,0))</f>
        <v>1A3 Transport</v>
      </c>
      <c r="I653" t="str">
        <f>INDEX(IPCCMaps!K:K,MATCH(mapPRC!D653,IPCCMaps!G:G,0))</f>
        <v>1A3b Transport - Road</v>
      </c>
    </row>
    <row r="654" spans="1:9" x14ac:dyDescent="0.25">
      <c r="A654" t="s">
        <v>525</v>
      </c>
      <c r="B654" t="s">
        <v>524</v>
      </c>
      <c r="C654" t="s">
        <v>26</v>
      </c>
      <c r="D654" t="s">
        <v>25</v>
      </c>
      <c r="E654" t="s">
        <v>523</v>
      </c>
      <c r="F654" t="str">
        <f>INDEX(IPCCMaps!H:H,MATCH(mapPRC!D654,IPCCMaps!G:G,0))</f>
        <v>1 Energy</v>
      </c>
      <c r="G654" t="str">
        <f>INDEX(IPCCMaps!I:I,MATCH(mapPRC!D654,IPCCMaps!G:G,0))</f>
        <v>1A Fuel Combustion Activities</v>
      </c>
      <c r="H654" t="str">
        <f>INDEX(IPCCMaps!J:J,MATCH(mapPRC!D654,IPCCMaps!G:G,0))</f>
        <v>1A3 Transport</v>
      </c>
      <c r="I654" t="str">
        <f>INDEX(IPCCMaps!K:K,MATCH(mapPRC!D654,IPCCMaps!G:G,0))</f>
        <v>1A3b Transport - Road</v>
      </c>
    </row>
    <row r="655" spans="1:9" x14ac:dyDescent="0.25">
      <c r="A655" t="s">
        <v>522</v>
      </c>
      <c r="B655" t="s">
        <v>521</v>
      </c>
      <c r="C655" t="s">
        <v>26</v>
      </c>
      <c r="D655" t="s">
        <v>25</v>
      </c>
      <c r="E655" t="s">
        <v>520</v>
      </c>
      <c r="F655" t="str">
        <f>INDEX(IPCCMaps!H:H,MATCH(mapPRC!D655,IPCCMaps!G:G,0))</f>
        <v>1 Energy</v>
      </c>
      <c r="G655" t="str">
        <f>INDEX(IPCCMaps!I:I,MATCH(mapPRC!D655,IPCCMaps!G:G,0))</f>
        <v>1A Fuel Combustion Activities</v>
      </c>
      <c r="H655" t="str">
        <f>INDEX(IPCCMaps!J:J,MATCH(mapPRC!D655,IPCCMaps!G:G,0))</f>
        <v>1A3 Transport</v>
      </c>
      <c r="I655" t="str">
        <f>INDEX(IPCCMaps!K:K,MATCH(mapPRC!D655,IPCCMaps!G:G,0))</f>
        <v>1A3b Transport - Road</v>
      </c>
    </row>
    <row r="656" spans="1:9" x14ac:dyDescent="0.25">
      <c r="A656" t="s">
        <v>519</v>
      </c>
      <c r="B656" t="s">
        <v>518</v>
      </c>
      <c r="C656" t="s">
        <v>26</v>
      </c>
      <c r="D656" t="s">
        <v>25</v>
      </c>
      <c r="E656" t="s">
        <v>517</v>
      </c>
      <c r="F656" t="str">
        <f>INDEX(IPCCMaps!H:H,MATCH(mapPRC!D656,IPCCMaps!G:G,0))</f>
        <v>1 Energy</v>
      </c>
      <c r="G656" t="str">
        <f>INDEX(IPCCMaps!I:I,MATCH(mapPRC!D656,IPCCMaps!G:G,0))</f>
        <v>1A Fuel Combustion Activities</v>
      </c>
      <c r="H656" t="str">
        <f>INDEX(IPCCMaps!J:J,MATCH(mapPRC!D656,IPCCMaps!G:G,0))</f>
        <v>1A3 Transport</v>
      </c>
      <c r="I656" t="str">
        <f>INDEX(IPCCMaps!K:K,MATCH(mapPRC!D656,IPCCMaps!G:G,0))</f>
        <v>1A3b Transport - Road</v>
      </c>
    </row>
    <row r="657" spans="1:9" x14ac:dyDescent="0.25">
      <c r="A657" t="s">
        <v>516</v>
      </c>
      <c r="B657" t="s">
        <v>515</v>
      </c>
      <c r="C657" t="s">
        <v>26</v>
      </c>
      <c r="D657" t="s">
        <v>25</v>
      </c>
      <c r="E657" t="s">
        <v>514</v>
      </c>
      <c r="F657" t="str">
        <f>INDEX(IPCCMaps!H:H,MATCH(mapPRC!D657,IPCCMaps!G:G,0))</f>
        <v>1 Energy</v>
      </c>
      <c r="G657" t="str">
        <f>INDEX(IPCCMaps!I:I,MATCH(mapPRC!D657,IPCCMaps!G:G,0))</f>
        <v>1A Fuel Combustion Activities</v>
      </c>
      <c r="H657" t="str">
        <f>INDEX(IPCCMaps!J:J,MATCH(mapPRC!D657,IPCCMaps!G:G,0))</f>
        <v>1A3 Transport</v>
      </c>
      <c r="I657" t="str">
        <f>INDEX(IPCCMaps!K:K,MATCH(mapPRC!D657,IPCCMaps!G:G,0))</f>
        <v>1A3b Transport - Road</v>
      </c>
    </row>
    <row r="658" spans="1:9" x14ac:dyDescent="0.25">
      <c r="A658" t="s">
        <v>513</v>
      </c>
      <c r="B658" t="s">
        <v>512</v>
      </c>
      <c r="C658" t="s">
        <v>26</v>
      </c>
      <c r="D658" t="s">
        <v>25</v>
      </c>
      <c r="E658" t="s">
        <v>511</v>
      </c>
      <c r="F658" t="str">
        <f>INDEX(IPCCMaps!H:H,MATCH(mapPRC!D658,IPCCMaps!G:G,0))</f>
        <v>1 Energy</v>
      </c>
      <c r="G658" t="str">
        <f>INDEX(IPCCMaps!I:I,MATCH(mapPRC!D658,IPCCMaps!G:G,0))</f>
        <v>1A Fuel Combustion Activities</v>
      </c>
      <c r="H658" t="str">
        <f>INDEX(IPCCMaps!J:J,MATCH(mapPRC!D658,IPCCMaps!G:G,0))</f>
        <v>1A3 Transport</v>
      </c>
      <c r="I658" t="str">
        <f>INDEX(IPCCMaps!K:K,MATCH(mapPRC!D658,IPCCMaps!G:G,0))</f>
        <v>1A3b Transport - Road</v>
      </c>
    </row>
    <row r="659" spans="1:9" x14ac:dyDescent="0.25">
      <c r="A659" t="s">
        <v>510</v>
      </c>
      <c r="B659" t="s">
        <v>509</v>
      </c>
      <c r="C659" t="s">
        <v>26</v>
      </c>
      <c r="D659" t="s">
        <v>25</v>
      </c>
      <c r="E659" t="s">
        <v>508</v>
      </c>
      <c r="F659" t="str">
        <f>INDEX(IPCCMaps!H:H,MATCH(mapPRC!D659,IPCCMaps!G:G,0))</f>
        <v>1 Energy</v>
      </c>
      <c r="G659" t="str">
        <f>INDEX(IPCCMaps!I:I,MATCH(mapPRC!D659,IPCCMaps!G:G,0))</f>
        <v>1A Fuel Combustion Activities</v>
      </c>
      <c r="H659" t="str">
        <f>INDEX(IPCCMaps!J:J,MATCH(mapPRC!D659,IPCCMaps!G:G,0))</f>
        <v>1A3 Transport</v>
      </c>
      <c r="I659" t="str">
        <f>INDEX(IPCCMaps!K:K,MATCH(mapPRC!D659,IPCCMaps!G:G,0))</f>
        <v>1A3b Transport - Road</v>
      </c>
    </row>
    <row r="660" spans="1:9" x14ac:dyDescent="0.25">
      <c r="A660" t="s">
        <v>507</v>
      </c>
      <c r="B660" t="s">
        <v>506</v>
      </c>
      <c r="C660" t="s">
        <v>26</v>
      </c>
      <c r="D660" t="s">
        <v>25</v>
      </c>
      <c r="E660" t="s">
        <v>505</v>
      </c>
      <c r="F660" t="str">
        <f>INDEX(IPCCMaps!H:H,MATCH(mapPRC!D660,IPCCMaps!G:G,0))</f>
        <v>1 Energy</v>
      </c>
      <c r="G660" t="str">
        <f>INDEX(IPCCMaps!I:I,MATCH(mapPRC!D660,IPCCMaps!G:G,0))</f>
        <v>1A Fuel Combustion Activities</v>
      </c>
      <c r="H660" t="str">
        <f>INDEX(IPCCMaps!J:J,MATCH(mapPRC!D660,IPCCMaps!G:G,0))</f>
        <v>1A3 Transport</v>
      </c>
      <c r="I660" t="str">
        <f>INDEX(IPCCMaps!K:K,MATCH(mapPRC!D660,IPCCMaps!G:G,0))</f>
        <v>1A3b Transport - Road</v>
      </c>
    </row>
    <row r="661" spans="1:9" x14ac:dyDescent="0.25">
      <c r="A661" t="s">
        <v>504</v>
      </c>
      <c r="B661" t="s">
        <v>503</v>
      </c>
      <c r="C661" t="s">
        <v>26</v>
      </c>
      <c r="D661" t="s">
        <v>25</v>
      </c>
      <c r="E661" t="s">
        <v>502</v>
      </c>
      <c r="F661" t="str">
        <f>INDEX(IPCCMaps!H:H,MATCH(mapPRC!D661,IPCCMaps!G:G,0))</f>
        <v>1 Energy</v>
      </c>
      <c r="G661" t="str">
        <f>INDEX(IPCCMaps!I:I,MATCH(mapPRC!D661,IPCCMaps!G:G,0))</f>
        <v>1A Fuel Combustion Activities</v>
      </c>
      <c r="H661" t="str">
        <f>INDEX(IPCCMaps!J:J,MATCH(mapPRC!D661,IPCCMaps!G:G,0))</f>
        <v>1A3 Transport</v>
      </c>
      <c r="I661" t="str">
        <f>INDEX(IPCCMaps!K:K,MATCH(mapPRC!D661,IPCCMaps!G:G,0))</f>
        <v>1A3b Transport - Road</v>
      </c>
    </row>
    <row r="662" spans="1:9" x14ac:dyDescent="0.25">
      <c r="A662" t="s">
        <v>501</v>
      </c>
      <c r="B662" t="s">
        <v>500</v>
      </c>
      <c r="C662" t="s">
        <v>26</v>
      </c>
      <c r="D662" t="s">
        <v>25</v>
      </c>
      <c r="E662" t="s">
        <v>499</v>
      </c>
      <c r="F662" t="str">
        <f>INDEX(IPCCMaps!H:H,MATCH(mapPRC!D662,IPCCMaps!G:G,0))</f>
        <v>1 Energy</v>
      </c>
      <c r="G662" t="str">
        <f>INDEX(IPCCMaps!I:I,MATCH(mapPRC!D662,IPCCMaps!G:G,0))</f>
        <v>1A Fuel Combustion Activities</v>
      </c>
      <c r="H662" t="str">
        <f>INDEX(IPCCMaps!J:J,MATCH(mapPRC!D662,IPCCMaps!G:G,0))</f>
        <v>1A3 Transport</v>
      </c>
      <c r="I662" t="str">
        <f>INDEX(IPCCMaps!K:K,MATCH(mapPRC!D662,IPCCMaps!G:G,0))</f>
        <v>1A3b Transport - Road</v>
      </c>
    </row>
    <row r="663" spans="1:9" x14ac:dyDescent="0.25">
      <c r="A663" t="s">
        <v>498</v>
      </c>
      <c r="B663" t="s">
        <v>497</v>
      </c>
      <c r="C663" t="s">
        <v>26</v>
      </c>
      <c r="D663" t="s">
        <v>25</v>
      </c>
      <c r="E663" t="s">
        <v>494</v>
      </c>
      <c r="F663" t="str">
        <f>INDEX(IPCCMaps!H:H,MATCH(mapPRC!D663,IPCCMaps!G:G,0))</f>
        <v>1 Energy</v>
      </c>
      <c r="G663" t="str">
        <f>INDEX(IPCCMaps!I:I,MATCH(mapPRC!D663,IPCCMaps!G:G,0))</f>
        <v>1A Fuel Combustion Activities</v>
      </c>
      <c r="H663" t="str">
        <f>INDEX(IPCCMaps!J:J,MATCH(mapPRC!D663,IPCCMaps!G:G,0))</f>
        <v>1A3 Transport</v>
      </c>
      <c r="I663" t="str">
        <f>INDEX(IPCCMaps!K:K,MATCH(mapPRC!D663,IPCCMaps!G:G,0))</f>
        <v>1A3b Transport - Road</v>
      </c>
    </row>
    <row r="664" spans="1:9" x14ac:dyDescent="0.25">
      <c r="A664" t="s">
        <v>496</v>
      </c>
      <c r="B664" t="s">
        <v>495</v>
      </c>
      <c r="C664" t="s">
        <v>26</v>
      </c>
      <c r="D664" t="s">
        <v>25</v>
      </c>
      <c r="E664" t="s">
        <v>494</v>
      </c>
      <c r="F664" t="str">
        <f>INDEX(IPCCMaps!H:H,MATCH(mapPRC!D664,IPCCMaps!G:G,0))</f>
        <v>1 Energy</v>
      </c>
      <c r="G664" t="str">
        <f>INDEX(IPCCMaps!I:I,MATCH(mapPRC!D664,IPCCMaps!G:G,0))</f>
        <v>1A Fuel Combustion Activities</v>
      </c>
      <c r="H664" t="str">
        <f>INDEX(IPCCMaps!J:J,MATCH(mapPRC!D664,IPCCMaps!G:G,0))</f>
        <v>1A3 Transport</v>
      </c>
      <c r="I664" t="str">
        <f>INDEX(IPCCMaps!K:K,MATCH(mapPRC!D664,IPCCMaps!G:G,0))</f>
        <v>1A3b Transport - Road</v>
      </c>
    </row>
    <row r="665" spans="1:9" x14ac:dyDescent="0.25">
      <c r="A665" t="s">
        <v>493</v>
      </c>
      <c r="B665" t="s">
        <v>492</v>
      </c>
      <c r="C665" t="s">
        <v>26</v>
      </c>
      <c r="D665" t="s">
        <v>25</v>
      </c>
      <c r="E665" t="s">
        <v>466</v>
      </c>
      <c r="F665" t="str">
        <f>INDEX(IPCCMaps!H:H,MATCH(mapPRC!D665,IPCCMaps!G:G,0))</f>
        <v>1 Energy</v>
      </c>
      <c r="G665" t="str">
        <f>INDEX(IPCCMaps!I:I,MATCH(mapPRC!D665,IPCCMaps!G:G,0))</f>
        <v>1A Fuel Combustion Activities</v>
      </c>
      <c r="H665" t="str">
        <f>INDEX(IPCCMaps!J:J,MATCH(mapPRC!D665,IPCCMaps!G:G,0))</f>
        <v>1A3 Transport</v>
      </c>
      <c r="I665" t="str">
        <f>INDEX(IPCCMaps!K:K,MATCH(mapPRC!D665,IPCCMaps!G:G,0))</f>
        <v>1A3b Transport - Road</v>
      </c>
    </row>
    <row r="666" spans="1:9" x14ac:dyDescent="0.25">
      <c r="A666" t="s">
        <v>491</v>
      </c>
      <c r="B666" t="s">
        <v>490</v>
      </c>
      <c r="C666" t="s">
        <v>26</v>
      </c>
      <c r="D666" t="s">
        <v>25</v>
      </c>
      <c r="E666" t="s">
        <v>489</v>
      </c>
      <c r="F666" t="str">
        <f>INDEX(IPCCMaps!H:H,MATCH(mapPRC!D666,IPCCMaps!G:G,0))</f>
        <v>1 Energy</v>
      </c>
      <c r="G666" t="str">
        <f>INDEX(IPCCMaps!I:I,MATCH(mapPRC!D666,IPCCMaps!G:G,0))</f>
        <v>1A Fuel Combustion Activities</v>
      </c>
      <c r="H666" t="str">
        <f>INDEX(IPCCMaps!J:J,MATCH(mapPRC!D666,IPCCMaps!G:G,0))</f>
        <v>1A3 Transport</v>
      </c>
      <c r="I666" t="str">
        <f>INDEX(IPCCMaps!K:K,MATCH(mapPRC!D666,IPCCMaps!G:G,0))</f>
        <v>1A3b Transport - Road</v>
      </c>
    </row>
    <row r="667" spans="1:9" x14ac:dyDescent="0.25">
      <c r="A667" t="s">
        <v>28</v>
      </c>
      <c r="B667" t="s">
        <v>27</v>
      </c>
      <c r="C667" t="s">
        <v>26</v>
      </c>
      <c r="D667" t="s">
        <v>25</v>
      </c>
      <c r="E667" t="s">
        <v>24</v>
      </c>
      <c r="F667" t="str">
        <f>INDEX(IPCCMaps!H:H,MATCH(mapPRC!D667,IPCCMaps!G:G,0))</f>
        <v>1 Energy</v>
      </c>
      <c r="G667" t="str">
        <f>INDEX(IPCCMaps!I:I,MATCH(mapPRC!D667,IPCCMaps!G:G,0))</f>
        <v>1A Fuel Combustion Activities</v>
      </c>
      <c r="H667" t="str">
        <f>INDEX(IPCCMaps!J:J,MATCH(mapPRC!D667,IPCCMaps!G:G,0))</f>
        <v>1A3 Transport</v>
      </c>
      <c r="I667" t="str">
        <f>INDEX(IPCCMaps!K:K,MATCH(mapPRC!D667,IPCCMaps!G:G,0))</f>
        <v>1A3b Transport - Road</v>
      </c>
    </row>
    <row r="668" spans="1:9" x14ac:dyDescent="0.25">
      <c r="A668" t="s">
        <v>488</v>
      </c>
      <c r="B668" t="s">
        <v>487</v>
      </c>
      <c r="C668" t="s">
        <v>26</v>
      </c>
      <c r="D668" t="s">
        <v>25</v>
      </c>
      <c r="E668" t="s">
        <v>486</v>
      </c>
      <c r="F668" t="str">
        <f>INDEX(IPCCMaps!H:H,MATCH(mapPRC!D668,IPCCMaps!G:G,0))</f>
        <v>1 Energy</v>
      </c>
      <c r="G668" t="str">
        <f>INDEX(IPCCMaps!I:I,MATCH(mapPRC!D668,IPCCMaps!G:G,0))</f>
        <v>1A Fuel Combustion Activities</v>
      </c>
      <c r="H668" t="str">
        <f>INDEX(IPCCMaps!J:J,MATCH(mapPRC!D668,IPCCMaps!G:G,0))</f>
        <v>1A3 Transport</v>
      </c>
      <c r="I668" t="str">
        <f>INDEX(IPCCMaps!K:K,MATCH(mapPRC!D668,IPCCMaps!G:G,0))</f>
        <v>1A3b Transport - Road</v>
      </c>
    </row>
    <row r="669" spans="1:9" x14ac:dyDescent="0.25">
      <c r="A669" t="s">
        <v>485</v>
      </c>
      <c r="B669" t="s">
        <v>484</v>
      </c>
      <c r="C669" t="s">
        <v>26</v>
      </c>
      <c r="D669" t="s">
        <v>25</v>
      </c>
      <c r="E669" t="s">
        <v>483</v>
      </c>
      <c r="F669" t="str">
        <f>INDEX(IPCCMaps!H:H,MATCH(mapPRC!D669,IPCCMaps!G:G,0))</f>
        <v>1 Energy</v>
      </c>
      <c r="G669" t="str">
        <f>INDEX(IPCCMaps!I:I,MATCH(mapPRC!D669,IPCCMaps!G:G,0))</f>
        <v>1A Fuel Combustion Activities</v>
      </c>
      <c r="H669" t="str">
        <f>INDEX(IPCCMaps!J:J,MATCH(mapPRC!D669,IPCCMaps!G:G,0))</f>
        <v>1A3 Transport</v>
      </c>
      <c r="I669" t="str">
        <f>INDEX(IPCCMaps!K:K,MATCH(mapPRC!D669,IPCCMaps!G:G,0))</f>
        <v>1A3b Transport - Road</v>
      </c>
    </row>
    <row r="670" spans="1:9" x14ac:dyDescent="0.25">
      <c r="A670" t="s">
        <v>482</v>
      </c>
      <c r="B670" t="s">
        <v>481</v>
      </c>
      <c r="C670" t="s">
        <v>26</v>
      </c>
      <c r="D670" t="s">
        <v>25</v>
      </c>
      <c r="E670" t="s">
        <v>471</v>
      </c>
      <c r="F670" t="str">
        <f>INDEX(IPCCMaps!H:H,MATCH(mapPRC!D670,IPCCMaps!G:G,0))</f>
        <v>1 Energy</v>
      </c>
      <c r="G670" t="str">
        <f>INDEX(IPCCMaps!I:I,MATCH(mapPRC!D670,IPCCMaps!G:G,0))</f>
        <v>1A Fuel Combustion Activities</v>
      </c>
      <c r="H670" t="str">
        <f>INDEX(IPCCMaps!J:J,MATCH(mapPRC!D670,IPCCMaps!G:G,0))</f>
        <v>1A3 Transport</v>
      </c>
      <c r="I670" t="str">
        <f>INDEX(IPCCMaps!K:K,MATCH(mapPRC!D670,IPCCMaps!G:G,0))</f>
        <v>1A3b Transport - Road</v>
      </c>
    </row>
    <row r="671" spans="1:9" x14ac:dyDescent="0.25">
      <c r="A671" t="s">
        <v>478</v>
      </c>
      <c r="B671" t="s">
        <v>477</v>
      </c>
      <c r="C671" t="s">
        <v>26</v>
      </c>
      <c r="D671" t="s">
        <v>25</v>
      </c>
      <c r="E671" t="s">
        <v>476</v>
      </c>
      <c r="F671" t="str">
        <f>INDEX(IPCCMaps!H:H,MATCH(mapPRC!D671,IPCCMaps!G:G,0))</f>
        <v>1 Energy</v>
      </c>
      <c r="G671" t="str">
        <f>INDEX(IPCCMaps!I:I,MATCH(mapPRC!D671,IPCCMaps!G:G,0))</f>
        <v>1A Fuel Combustion Activities</v>
      </c>
      <c r="H671" t="str">
        <f>INDEX(IPCCMaps!J:J,MATCH(mapPRC!D671,IPCCMaps!G:G,0))</f>
        <v>1A3 Transport</v>
      </c>
      <c r="I671" t="str">
        <f>INDEX(IPCCMaps!K:K,MATCH(mapPRC!D671,IPCCMaps!G:G,0))</f>
        <v>1A3b Transport - Road</v>
      </c>
    </row>
    <row r="672" spans="1:9" x14ac:dyDescent="0.25">
      <c r="A672" t="s">
        <v>480</v>
      </c>
      <c r="B672" t="s">
        <v>479</v>
      </c>
      <c r="C672" t="s">
        <v>26</v>
      </c>
      <c r="D672" t="s">
        <v>25</v>
      </c>
      <c r="E672" t="s">
        <v>471</v>
      </c>
      <c r="F672" t="str">
        <f>INDEX(IPCCMaps!H:H,MATCH(mapPRC!D672,IPCCMaps!G:G,0))</f>
        <v>1 Energy</v>
      </c>
      <c r="G672" t="str">
        <f>INDEX(IPCCMaps!I:I,MATCH(mapPRC!D672,IPCCMaps!G:G,0))</f>
        <v>1A Fuel Combustion Activities</v>
      </c>
      <c r="H672" t="str">
        <f>INDEX(IPCCMaps!J:J,MATCH(mapPRC!D672,IPCCMaps!G:G,0))</f>
        <v>1A3 Transport</v>
      </c>
      <c r="I672" t="str">
        <f>INDEX(IPCCMaps!K:K,MATCH(mapPRC!D672,IPCCMaps!G:G,0))</f>
        <v>1A3b Transport - Road</v>
      </c>
    </row>
    <row r="673" spans="1:9" x14ac:dyDescent="0.25">
      <c r="A673" t="s">
        <v>475</v>
      </c>
      <c r="B673" t="s">
        <v>474</v>
      </c>
      <c r="C673" t="s">
        <v>26</v>
      </c>
      <c r="D673" t="s">
        <v>25</v>
      </c>
      <c r="E673" t="s">
        <v>471</v>
      </c>
      <c r="F673" t="str">
        <f>INDEX(IPCCMaps!H:H,MATCH(mapPRC!D673,IPCCMaps!G:G,0))</f>
        <v>1 Energy</v>
      </c>
      <c r="G673" t="str">
        <f>INDEX(IPCCMaps!I:I,MATCH(mapPRC!D673,IPCCMaps!G:G,0))</f>
        <v>1A Fuel Combustion Activities</v>
      </c>
      <c r="H673" t="str">
        <f>INDEX(IPCCMaps!J:J,MATCH(mapPRC!D673,IPCCMaps!G:G,0))</f>
        <v>1A3 Transport</v>
      </c>
      <c r="I673" t="str">
        <f>INDEX(IPCCMaps!K:K,MATCH(mapPRC!D673,IPCCMaps!G:G,0))</f>
        <v>1A3b Transport - Road</v>
      </c>
    </row>
    <row r="674" spans="1:9" x14ac:dyDescent="0.25">
      <c r="A674" t="s">
        <v>473</v>
      </c>
      <c r="B674" t="s">
        <v>472</v>
      </c>
      <c r="C674" t="s">
        <v>26</v>
      </c>
      <c r="D674" t="s">
        <v>25</v>
      </c>
      <c r="E674" t="s">
        <v>471</v>
      </c>
      <c r="F674" t="str">
        <f>INDEX(IPCCMaps!H:H,MATCH(mapPRC!D674,IPCCMaps!G:G,0))</f>
        <v>1 Energy</v>
      </c>
      <c r="G674" t="str">
        <f>INDEX(IPCCMaps!I:I,MATCH(mapPRC!D674,IPCCMaps!G:G,0))</f>
        <v>1A Fuel Combustion Activities</v>
      </c>
      <c r="H674" t="str">
        <f>INDEX(IPCCMaps!J:J,MATCH(mapPRC!D674,IPCCMaps!G:G,0))</f>
        <v>1A3 Transport</v>
      </c>
      <c r="I674" t="str">
        <f>INDEX(IPCCMaps!K:K,MATCH(mapPRC!D674,IPCCMaps!G:G,0))</f>
        <v>1A3b Transport - Road</v>
      </c>
    </row>
    <row r="675" spans="1:9" x14ac:dyDescent="0.25">
      <c r="A675" t="s">
        <v>470</v>
      </c>
      <c r="B675" t="s">
        <v>469</v>
      </c>
      <c r="C675" t="s">
        <v>26</v>
      </c>
      <c r="D675" t="s">
        <v>25</v>
      </c>
      <c r="E675" t="s">
        <v>466</v>
      </c>
      <c r="F675" t="str">
        <f>INDEX(IPCCMaps!H:H,MATCH(mapPRC!D675,IPCCMaps!G:G,0))</f>
        <v>1 Energy</v>
      </c>
      <c r="G675" t="str">
        <f>INDEX(IPCCMaps!I:I,MATCH(mapPRC!D675,IPCCMaps!G:G,0))</f>
        <v>1A Fuel Combustion Activities</v>
      </c>
      <c r="H675" t="str">
        <f>INDEX(IPCCMaps!J:J,MATCH(mapPRC!D675,IPCCMaps!G:G,0))</f>
        <v>1A3 Transport</v>
      </c>
      <c r="I675" t="str">
        <f>INDEX(IPCCMaps!K:K,MATCH(mapPRC!D675,IPCCMaps!G:G,0))</f>
        <v>1A3b Transport - Road</v>
      </c>
    </row>
    <row r="676" spans="1:9" x14ac:dyDescent="0.25">
      <c r="A676" t="s">
        <v>468</v>
      </c>
      <c r="B676" t="s">
        <v>467</v>
      </c>
      <c r="C676" t="s">
        <v>26</v>
      </c>
      <c r="D676" t="s">
        <v>25</v>
      </c>
      <c r="E676" t="s">
        <v>466</v>
      </c>
      <c r="F676" t="str">
        <f>INDEX(IPCCMaps!H:H,MATCH(mapPRC!D676,IPCCMaps!G:G,0))</f>
        <v>1 Energy</v>
      </c>
      <c r="G676" t="str">
        <f>INDEX(IPCCMaps!I:I,MATCH(mapPRC!D676,IPCCMaps!G:G,0))</f>
        <v>1A Fuel Combustion Activities</v>
      </c>
      <c r="H676" t="str">
        <f>INDEX(IPCCMaps!J:J,MATCH(mapPRC!D676,IPCCMaps!G:G,0))</f>
        <v>1A3 Transport</v>
      </c>
      <c r="I676" t="str">
        <f>INDEX(IPCCMaps!K:K,MATCH(mapPRC!D676,IPCCMaps!G:G,0))</f>
        <v>1A3b Transport - Road</v>
      </c>
    </row>
    <row r="677" spans="1:9" x14ac:dyDescent="0.25">
      <c r="A677" t="s">
        <v>465</v>
      </c>
      <c r="B677" t="s">
        <v>464</v>
      </c>
      <c r="C677" t="s">
        <v>26</v>
      </c>
      <c r="D677" t="s">
        <v>461</v>
      </c>
      <c r="E677" t="s">
        <v>461</v>
      </c>
      <c r="F677" t="str">
        <f>INDEX(IPCCMaps!H:H,MATCH(mapPRC!D677,IPCCMaps!G:G,0))</f>
        <v>1 Energy</v>
      </c>
      <c r="G677" t="str">
        <f>INDEX(IPCCMaps!I:I,MATCH(mapPRC!D677,IPCCMaps!G:G,0))</f>
        <v>1A Fuel Combustion Activities</v>
      </c>
      <c r="H677" t="str">
        <f>INDEX(IPCCMaps!J:J,MATCH(mapPRC!D677,IPCCMaps!G:G,0))</f>
        <v>1A3 Transport</v>
      </c>
      <c r="I677" t="str">
        <f>INDEX(IPCCMaps!K:K,MATCH(mapPRC!D677,IPCCMaps!G:G,0))</f>
        <v>1A3d Transport - Water borne navigation</v>
      </c>
    </row>
    <row r="678" spans="1:9" x14ac:dyDescent="0.25">
      <c r="A678" t="s">
        <v>463</v>
      </c>
      <c r="B678" t="s">
        <v>462</v>
      </c>
      <c r="C678" t="s">
        <v>26</v>
      </c>
      <c r="D678" t="s">
        <v>461</v>
      </c>
      <c r="E678" t="s">
        <v>461</v>
      </c>
      <c r="F678" t="str">
        <f>INDEX(IPCCMaps!H:H,MATCH(mapPRC!D678,IPCCMaps!G:G,0))</f>
        <v>1 Energy</v>
      </c>
      <c r="G678" t="str">
        <f>INDEX(IPCCMaps!I:I,MATCH(mapPRC!D678,IPCCMaps!G:G,0))</f>
        <v>1A Fuel Combustion Activities</v>
      </c>
      <c r="H678" t="str">
        <f>INDEX(IPCCMaps!J:J,MATCH(mapPRC!D678,IPCCMaps!G:G,0))</f>
        <v>1A3 Transport</v>
      </c>
      <c r="I678" t="str">
        <f>INDEX(IPCCMaps!K:K,MATCH(mapPRC!D678,IPCCMaps!G:G,0))</f>
        <v>1A3d Transport - Water borne navigation</v>
      </c>
    </row>
    <row r="679" spans="1:9" hidden="1" x14ac:dyDescent="0.25">
      <c r="A679" t="s">
        <v>460</v>
      </c>
      <c r="B679" t="s">
        <v>459</v>
      </c>
      <c r="C679" t="s">
        <v>387</v>
      </c>
      <c r="D679" t="s">
        <v>449</v>
      </c>
      <c r="E679" t="s">
        <v>452</v>
      </c>
      <c r="F679" t="str">
        <f>INDEX(IPCCMaps!H:H,MATCH(mapPRC!D679,IPCCMaps!G:G,0))</f>
        <v>1 Energy</v>
      </c>
      <c r="G679" t="str">
        <f>INDEX(IPCCMaps!I:I,MATCH(mapPRC!D679,IPCCMaps!G:G,0))</f>
        <v>1A Fuel Combustion Activities</v>
      </c>
      <c r="H679" t="str">
        <f>INDEX(IPCCMaps!J:J,MATCH(mapPRC!D679,IPCCMaps!G:G,0))</f>
        <v>1A1 Energy Industries</v>
      </c>
      <c r="I679" t="str">
        <f>INDEX(IPCCMaps!K:K,MATCH(mapPRC!D679,IPCCMaps!G:G,0))</f>
        <v xml:space="preserve">1A1b Petroleum refining </v>
      </c>
    </row>
    <row r="680" spans="1:9" hidden="1" x14ac:dyDescent="0.25">
      <c r="A680" t="s">
        <v>458</v>
      </c>
      <c r="B680" t="s">
        <v>457</v>
      </c>
      <c r="C680" t="s">
        <v>387</v>
      </c>
      <c r="D680" t="s">
        <v>449</v>
      </c>
      <c r="E680" t="s">
        <v>448</v>
      </c>
      <c r="F680" t="str">
        <f>INDEX(IPCCMaps!H:H,MATCH(mapPRC!D680,IPCCMaps!G:G,0))</f>
        <v>1 Energy</v>
      </c>
      <c r="G680" t="str">
        <f>INDEX(IPCCMaps!I:I,MATCH(mapPRC!D680,IPCCMaps!G:G,0))</f>
        <v>1A Fuel Combustion Activities</v>
      </c>
      <c r="H680" t="str">
        <f>INDEX(IPCCMaps!J:J,MATCH(mapPRC!D680,IPCCMaps!G:G,0))</f>
        <v>1A1 Energy Industries</v>
      </c>
      <c r="I680" t="str">
        <f>INDEX(IPCCMaps!K:K,MATCH(mapPRC!D680,IPCCMaps!G:G,0))</f>
        <v xml:space="preserve">1A1b Petroleum refining </v>
      </c>
    </row>
    <row r="681" spans="1:9" hidden="1" x14ac:dyDescent="0.25">
      <c r="A681" t="s">
        <v>456</v>
      </c>
      <c r="B681" t="s">
        <v>455</v>
      </c>
      <c r="C681" t="s">
        <v>387</v>
      </c>
      <c r="D681" t="s">
        <v>449</v>
      </c>
      <c r="E681" t="s">
        <v>452</v>
      </c>
      <c r="F681" t="str">
        <f>INDEX(IPCCMaps!H:H,MATCH(mapPRC!D681,IPCCMaps!G:G,0))</f>
        <v>1 Energy</v>
      </c>
      <c r="G681" t="str">
        <f>INDEX(IPCCMaps!I:I,MATCH(mapPRC!D681,IPCCMaps!G:G,0))</f>
        <v>1A Fuel Combustion Activities</v>
      </c>
      <c r="H681" t="str">
        <f>INDEX(IPCCMaps!J:J,MATCH(mapPRC!D681,IPCCMaps!G:G,0))</f>
        <v>1A1 Energy Industries</v>
      </c>
      <c r="I681" t="str">
        <f>INDEX(IPCCMaps!K:K,MATCH(mapPRC!D681,IPCCMaps!G:G,0))</f>
        <v xml:space="preserve">1A1b Petroleum refining </v>
      </c>
    </row>
    <row r="682" spans="1:9" hidden="1" x14ac:dyDescent="0.25">
      <c r="A682" t="s">
        <v>454</v>
      </c>
      <c r="B682" t="s">
        <v>453</v>
      </c>
      <c r="C682" t="s">
        <v>387</v>
      </c>
      <c r="D682" t="s">
        <v>449</v>
      </c>
      <c r="E682" t="s">
        <v>452</v>
      </c>
      <c r="F682" t="str">
        <f>INDEX(IPCCMaps!H:H,MATCH(mapPRC!D682,IPCCMaps!G:G,0))</f>
        <v>1 Energy</v>
      </c>
      <c r="G682" t="str">
        <f>INDEX(IPCCMaps!I:I,MATCH(mapPRC!D682,IPCCMaps!G:G,0))</f>
        <v>1A Fuel Combustion Activities</v>
      </c>
      <c r="H682" t="str">
        <f>INDEX(IPCCMaps!J:J,MATCH(mapPRC!D682,IPCCMaps!G:G,0))</f>
        <v>1A1 Energy Industries</v>
      </c>
      <c r="I682" t="str">
        <f>INDEX(IPCCMaps!K:K,MATCH(mapPRC!D682,IPCCMaps!G:G,0))</f>
        <v xml:space="preserve">1A1b Petroleum refining </v>
      </c>
    </row>
    <row r="683" spans="1:9" hidden="1" x14ac:dyDescent="0.25">
      <c r="A683" t="s">
        <v>451</v>
      </c>
      <c r="B683" t="s">
        <v>450</v>
      </c>
      <c r="C683" t="s">
        <v>387</v>
      </c>
      <c r="D683" t="s">
        <v>449</v>
      </c>
      <c r="E683" t="s">
        <v>448</v>
      </c>
      <c r="F683" t="str">
        <f>INDEX(IPCCMaps!H:H,MATCH(mapPRC!D683,IPCCMaps!G:G,0))</f>
        <v>1 Energy</v>
      </c>
      <c r="G683" t="str">
        <f>INDEX(IPCCMaps!I:I,MATCH(mapPRC!D683,IPCCMaps!G:G,0))</f>
        <v>1A Fuel Combustion Activities</v>
      </c>
      <c r="H683" t="str">
        <f>INDEX(IPCCMaps!J:J,MATCH(mapPRC!D683,IPCCMaps!G:G,0))</f>
        <v>1A1 Energy Industries</v>
      </c>
      <c r="I683" t="str">
        <f>INDEX(IPCCMaps!K:K,MATCH(mapPRC!D683,IPCCMaps!G:G,0))</f>
        <v xml:space="preserve">1A1b Petroleum refining </v>
      </c>
    </row>
    <row r="684" spans="1:9" hidden="1" x14ac:dyDescent="0.25">
      <c r="A684" t="s">
        <v>447</v>
      </c>
      <c r="B684" t="s">
        <v>446</v>
      </c>
      <c r="C684" t="s">
        <v>387</v>
      </c>
      <c r="D684" t="s">
        <v>386</v>
      </c>
      <c r="E684" t="s">
        <v>386</v>
      </c>
      <c r="F684" t="str">
        <f>INDEX(IPCCMaps!H:H,MATCH(mapPRC!D684,IPCCMaps!G:G,0))</f>
        <v>1 Energy</v>
      </c>
      <c r="G684" t="str">
        <f>INDEX(IPCCMaps!I:I,MATCH(mapPRC!D684,IPCCMaps!G:G,0))</f>
        <v>1A Fuel Combustion Activities</v>
      </c>
      <c r="H684" t="str">
        <f>INDEX(IPCCMaps!J:J,MATCH(mapPRC!D684,IPCCMaps!G:G,0))</f>
        <v>1A1 Energy Industries</v>
      </c>
      <c r="I684" t="str">
        <f>INDEX(IPCCMaps!K:K,MATCH(mapPRC!D684,IPCCMaps!G:G,0))</f>
        <v xml:space="preserve">1A1b Petroleum refining </v>
      </c>
    </row>
    <row r="685" spans="1:9" hidden="1" x14ac:dyDescent="0.25">
      <c r="A685" t="s">
        <v>445</v>
      </c>
      <c r="B685" t="s">
        <v>444</v>
      </c>
      <c r="C685" t="s">
        <v>387</v>
      </c>
      <c r="D685" t="s">
        <v>413</v>
      </c>
      <c r="E685" t="s">
        <v>413</v>
      </c>
      <c r="F685" t="str">
        <f>INDEX(IPCCMaps!H:H,MATCH(mapPRC!D685,IPCCMaps!G:G,0))</f>
        <v>1 Energy</v>
      </c>
      <c r="G685" t="str">
        <f>INDEX(IPCCMaps!I:I,MATCH(mapPRC!D685,IPCCMaps!G:G,0))</f>
        <v>1A Fuel Combustion Activities</v>
      </c>
      <c r="H685" t="str">
        <f>INDEX(IPCCMaps!J:J,MATCH(mapPRC!D685,IPCCMaps!G:G,0))</f>
        <v>1A1 Energy Industries</v>
      </c>
      <c r="I685" t="str">
        <f>INDEX(IPCCMaps!K:K,MATCH(mapPRC!D685,IPCCMaps!G:G,0))</f>
        <v>1A1c Manufacture of solid fuels and other energy industries</v>
      </c>
    </row>
    <row r="686" spans="1:9" hidden="1" x14ac:dyDescent="0.25">
      <c r="A686" t="s">
        <v>441</v>
      </c>
      <c r="B686" t="s">
        <v>440</v>
      </c>
      <c r="C686" t="s">
        <v>387</v>
      </c>
      <c r="D686" t="s">
        <v>413</v>
      </c>
      <c r="E686" t="s">
        <v>413</v>
      </c>
      <c r="F686" t="str">
        <f>INDEX(IPCCMaps!H:H,MATCH(mapPRC!D686,IPCCMaps!G:G,0))</f>
        <v>1 Energy</v>
      </c>
      <c r="G686" t="str">
        <f>INDEX(IPCCMaps!I:I,MATCH(mapPRC!D686,IPCCMaps!G:G,0))</f>
        <v>1A Fuel Combustion Activities</v>
      </c>
      <c r="H686" t="str">
        <f>INDEX(IPCCMaps!J:J,MATCH(mapPRC!D686,IPCCMaps!G:G,0))</f>
        <v>1A1 Energy Industries</v>
      </c>
      <c r="I686" t="str">
        <f>INDEX(IPCCMaps!K:K,MATCH(mapPRC!D686,IPCCMaps!G:G,0))</f>
        <v>1A1c Manufacture of solid fuels and other energy industries</v>
      </c>
    </row>
    <row r="687" spans="1:9" hidden="1" x14ac:dyDescent="0.25">
      <c r="A687" t="s">
        <v>443</v>
      </c>
      <c r="B687" t="s">
        <v>442</v>
      </c>
      <c r="C687" t="s">
        <v>387</v>
      </c>
      <c r="D687" t="s">
        <v>413</v>
      </c>
      <c r="E687" t="s">
        <v>413</v>
      </c>
      <c r="F687" t="str">
        <f>INDEX(IPCCMaps!H:H,MATCH(mapPRC!D687,IPCCMaps!G:G,0))</f>
        <v>1 Energy</v>
      </c>
      <c r="G687" t="str">
        <f>INDEX(IPCCMaps!I:I,MATCH(mapPRC!D687,IPCCMaps!G:G,0))</f>
        <v>1A Fuel Combustion Activities</v>
      </c>
      <c r="H687" t="str">
        <f>INDEX(IPCCMaps!J:J,MATCH(mapPRC!D687,IPCCMaps!G:G,0))</f>
        <v>1A1 Energy Industries</v>
      </c>
      <c r="I687" t="str">
        <f>INDEX(IPCCMaps!K:K,MATCH(mapPRC!D687,IPCCMaps!G:G,0))</f>
        <v>1A1c Manufacture of solid fuels and other energy industries</v>
      </c>
    </row>
    <row r="688" spans="1:9" hidden="1" x14ac:dyDescent="0.25">
      <c r="A688" t="s">
        <v>439</v>
      </c>
      <c r="B688" t="s">
        <v>438</v>
      </c>
      <c r="C688" t="s">
        <v>387</v>
      </c>
      <c r="D688" t="s">
        <v>386</v>
      </c>
      <c r="E688" t="s">
        <v>386</v>
      </c>
      <c r="F688" t="str">
        <f>INDEX(IPCCMaps!H:H,MATCH(mapPRC!D688,IPCCMaps!G:G,0))</f>
        <v>1 Energy</v>
      </c>
      <c r="G688" t="str">
        <f>INDEX(IPCCMaps!I:I,MATCH(mapPRC!D688,IPCCMaps!G:G,0))</f>
        <v>1A Fuel Combustion Activities</v>
      </c>
      <c r="H688" t="str">
        <f>INDEX(IPCCMaps!J:J,MATCH(mapPRC!D688,IPCCMaps!G:G,0))</f>
        <v>1A1 Energy Industries</v>
      </c>
      <c r="I688" t="str">
        <f>INDEX(IPCCMaps!K:K,MATCH(mapPRC!D688,IPCCMaps!G:G,0))</f>
        <v xml:space="preserve">1A1b Petroleum refining </v>
      </c>
    </row>
    <row r="689" spans="1:9" hidden="1" x14ac:dyDescent="0.25">
      <c r="A689" t="s">
        <v>437</v>
      </c>
      <c r="B689" t="s">
        <v>436</v>
      </c>
      <c r="E689" t="s">
        <v>0</v>
      </c>
      <c r="F689" t="e">
        <f>INDEX(IPCCMaps!H:H,MATCH(mapPRC!D689,IPCCMaps!G:G,0))</f>
        <v>#N/A</v>
      </c>
      <c r="G689" t="e">
        <f>INDEX(IPCCMaps!I:I,MATCH(mapPRC!D689,IPCCMaps!G:G,0))</f>
        <v>#N/A</v>
      </c>
      <c r="H689" t="e">
        <f>INDEX(IPCCMaps!J:J,MATCH(mapPRC!D689,IPCCMaps!G:G,0))</f>
        <v>#N/A</v>
      </c>
      <c r="I689" t="e">
        <f>INDEX(IPCCMaps!K:K,MATCH(mapPRC!D689,IPCCMaps!G:G,0))</f>
        <v>#N/A</v>
      </c>
    </row>
    <row r="690" spans="1:9" hidden="1" x14ac:dyDescent="0.25">
      <c r="A690" t="s">
        <v>435</v>
      </c>
      <c r="B690" t="s">
        <v>434</v>
      </c>
      <c r="E690" t="s">
        <v>0</v>
      </c>
      <c r="F690" t="e">
        <f>INDEX(IPCCMaps!H:H,MATCH(mapPRC!D690,IPCCMaps!G:G,0))</f>
        <v>#N/A</v>
      </c>
      <c r="G690" t="e">
        <f>INDEX(IPCCMaps!I:I,MATCH(mapPRC!D690,IPCCMaps!G:G,0))</f>
        <v>#N/A</v>
      </c>
      <c r="H690" t="e">
        <f>INDEX(IPCCMaps!J:J,MATCH(mapPRC!D690,IPCCMaps!G:G,0))</f>
        <v>#N/A</v>
      </c>
      <c r="I690" t="e">
        <f>INDEX(IPCCMaps!K:K,MATCH(mapPRC!D690,IPCCMaps!G:G,0))</f>
        <v>#N/A</v>
      </c>
    </row>
    <row r="691" spans="1:9" hidden="1" x14ac:dyDescent="0.25">
      <c r="A691" t="s">
        <v>431</v>
      </c>
      <c r="B691" t="s">
        <v>430</v>
      </c>
      <c r="E691" t="s">
        <v>0</v>
      </c>
      <c r="F691" t="e">
        <f>INDEX(IPCCMaps!H:H,MATCH(mapPRC!D691,IPCCMaps!G:G,0))</f>
        <v>#N/A</v>
      </c>
      <c r="G691" t="e">
        <f>INDEX(IPCCMaps!I:I,MATCH(mapPRC!D691,IPCCMaps!G:G,0))</f>
        <v>#N/A</v>
      </c>
      <c r="H691" t="e">
        <f>INDEX(IPCCMaps!J:J,MATCH(mapPRC!D691,IPCCMaps!G:G,0))</f>
        <v>#N/A</v>
      </c>
      <c r="I691" t="e">
        <f>INDEX(IPCCMaps!K:K,MATCH(mapPRC!D691,IPCCMaps!G:G,0))</f>
        <v>#N/A</v>
      </c>
    </row>
    <row r="692" spans="1:9" hidden="1" x14ac:dyDescent="0.25">
      <c r="A692" t="s">
        <v>433</v>
      </c>
      <c r="B692" t="s">
        <v>432</v>
      </c>
      <c r="E692" t="s">
        <v>0</v>
      </c>
      <c r="F692" t="e">
        <f>INDEX(IPCCMaps!H:H,MATCH(mapPRC!D692,IPCCMaps!G:G,0))</f>
        <v>#N/A</v>
      </c>
      <c r="G692" t="e">
        <f>INDEX(IPCCMaps!I:I,MATCH(mapPRC!D692,IPCCMaps!G:G,0))</f>
        <v>#N/A</v>
      </c>
      <c r="H692" t="e">
        <f>INDEX(IPCCMaps!J:J,MATCH(mapPRC!D692,IPCCMaps!G:G,0))</f>
        <v>#N/A</v>
      </c>
      <c r="I692" t="e">
        <f>INDEX(IPCCMaps!K:K,MATCH(mapPRC!D692,IPCCMaps!G:G,0))</f>
        <v>#N/A</v>
      </c>
    </row>
    <row r="693" spans="1:9" hidden="1" x14ac:dyDescent="0.25">
      <c r="A693" t="s">
        <v>429</v>
      </c>
      <c r="B693" t="s">
        <v>428</v>
      </c>
      <c r="C693" t="s">
        <v>21</v>
      </c>
      <c r="D693" t="s">
        <v>425</v>
      </c>
      <c r="E693" t="s">
        <v>425</v>
      </c>
      <c r="F693" t="str">
        <f>INDEX(IPCCMaps!H:H,MATCH(mapPRC!D693,IPCCMaps!G:G,0))</f>
        <v>1 Energy</v>
      </c>
      <c r="G693" t="str">
        <f>INDEX(IPCCMaps!I:I,MATCH(mapPRC!D693,IPCCMaps!G:G,0))</f>
        <v>1A Fuel Combustion Activities</v>
      </c>
      <c r="H693" t="str">
        <f>INDEX(IPCCMaps!J:J,MATCH(mapPRC!D693,IPCCMaps!G:G,0))</f>
        <v>1A2 Manufacturing Industries and Construction</v>
      </c>
      <c r="I693" t="str">
        <f>INDEX(IPCCMaps!K:K,MATCH(mapPRC!D693,IPCCMaps!G:G,0))</f>
        <v>1A2 Manufacturing Industries and Construction</v>
      </c>
    </row>
    <row r="694" spans="1:9" hidden="1" x14ac:dyDescent="0.25">
      <c r="A694" t="s">
        <v>427</v>
      </c>
      <c r="B694" t="s">
        <v>426</v>
      </c>
      <c r="C694" t="s">
        <v>21</v>
      </c>
      <c r="D694" t="s">
        <v>425</v>
      </c>
      <c r="E694" t="s">
        <v>425</v>
      </c>
      <c r="F694" t="str">
        <f>INDEX(IPCCMaps!H:H,MATCH(mapPRC!D694,IPCCMaps!G:G,0))</f>
        <v>1 Energy</v>
      </c>
      <c r="G694" t="str">
        <f>INDEX(IPCCMaps!I:I,MATCH(mapPRC!D694,IPCCMaps!G:G,0))</f>
        <v>1A Fuel Combustion Activities</v>
      </c>
      <c r="H694" t="str">
        <f>INDEX(IPCCMaps!J:J,MATCH(mapPRC!D694,IPCCMaps!G:G,0))</f>
        <v>1A2 Manufacturing Industries and Construction</v>
      </c>
      <c r="I694" t="str">
        <f>INDEX(IPCCMaps!K:K,MATCH(mapPRC!D694,IPCCMaps!G:G,0))</f>
        <v>1A2 Manufacturing Industries and Construction</v>
      </c>
    </row>
    <row r="695" spans="1:9" hidden="1" x14ac:dyDescent="0.25">
      <c r="A695" t="s">
        <v>424</v>
      </c>
      <c r="B695" t="s">
        <v>423</v>
      </c>
      <c r="C695" t="s">
        <v>387</v>
      </c>
      <c r="D695" t="s">
        <v>418</v>
      </c>
      <c r="E695" t="s">
        <v>418</v>
      </c>
      <c r="F695" t="str">
        <f>INDEX(IPCCMaps!H:H,MATCH(mapPRC!D695,IPCCMaps!G:G,0))</f>
        <v>1 Energy</v>
      </c>
      <c r="G695" t="str">
        <f>INDEX(IPCCMaps!I:I,MATCH(mapPRC!D695,IPCCMaps!G:G,0))</f>
        <v>1A Fuel Combustion Activities</v>
      </c>
      <c r="H695" t="str">
        <f>INDEX(IPCCMaps!J:J,MATCH(mapPRC!D695,IPCCMaps!G:G,0))</f>
        <v>1A1 Energy Industries</v>
      </c>
      <c r="I695" t="str">
        <f>INDEX(IPCCMaps!K:K,MATCH(mapPRC!D695,IPCCMaps!G:G,0))</f>
        <v>1A1c Manufacture of solid fuels and other energy industries</v>
      </c>
    </row>
    <row r="696" spans="1:9" hidden="1" x14ac:dyDescent="0.25">
      <c r="A696" t="s">
        <v>422</v>
      </c>
      <c r="B696" t="s">
        <v>421</v>
      </c>
      <c r="C696" t="s">
        <v>387</v>
      </c>
      <c r="D696" t="s">
        <v>418</v>
      </c>
      <c r="E696" t="s">
        <v>418</v>
      </c>
      <c r="F696" t="str">
        <f>INDEX(IPCCMaps!H:H,MATCH(mapPRC!D696,IPCCMaps!G:G,0))</f>
        <v>1 Energy</v>
      </c>
      <c r="G696" t="str">
        <f>INDEX(IPCCMaps!I:I,MATCH(mapPRC!D696,IPCCMaps!G:G,0))</f>
        <v>1A Fuel Combustion Activities</v>
      </c>
      <c r="H696" t="str">
        <f>INDEX(IPCCMaps!J:J,MATCH(mapPRC!D696,IPCCMaps!G:G,0))</f>
        <v>1A1 Energy Industries</v>
      </c>
      <c r="I696" t="str">
        <f>INDEX(IPCCMaps!K:K,MATCH(mapPRC!D696,IPCCMaps!G:G,0))</f>
        <v>1A1c Manufacture of solid fuels and other energy industries</v>
      </c>
    </row>
    <row r="697" spans="1:9" hidden="1" x14ac:dyDescent="0.25">
      <c r="A697" t="s">
        <v>420</v>
      </c>
      <c r="B697" t="s">
        <v>419</v>
      </c>
      <c r="C697" t="s">
        <v>387</v>
      </c>
      <c r="D697" t="s">
        <v>418</v>
      </c>
      <c r="E697" t="s">
        <v>418</v>
      </c>
      <c r="F697" t="str">
        <f>INDEX(IPCCMaps!H:H,MATCH(mapPRC!D697,IPCCMaps!G:G,0))</f>
        <v>1 Energy</v>
      </c>
      <c r="G697" t="str">
        <f>INDEX(IPCCMaps!I:I,MATCH(mapPRC!D697,IPCCMaps!G:G,0))</f>
        <v>1A Fuel Combustion Activities</v>
      </c>
      <c r="H697" t="str">
        <f>INDEX(IPCCMaps!J:J,MATCH(mapPRC!D697,IPCCMaps!G:G,0))</f>
        <v>1A1 Energy Industries</v>
      </c>
      <c r="I697" t="str">
        <f>INDEX(IPCCMaps!K:K,MATCH(mapPRC!D697,IPCCMaps!G:G,0))</f>
        <v>1A1c Manufacture of solid fuels and other energy industries</v>
      </c>
    </row>
    <row r="698" spans="1:9" hidden="1" x14ac:dyDescent="0.25">
      <c r="A698" t="s">
        <v>417</v>
      </c>
      <c r="B698" t="s">
        <v>416</v>
      </c>
      <c r="C698" t="s">
        <v>387</v>
      </c>
      <c r="D698" t="s">
        <v>413</v>
      </c>
      <c r="E698" t="s">
        <v>413</v>
      </c>
      <c r="F698" t="str">
        <f>INDEX(IPCCMaps!H:H,MATCH(mapPRC!D698,IPCCMaps!G:G,0))</f>
        <v>1 Energy</v>
      </c>
      <c r="G698" t="str">
        <f>INDEX(IPCCMaps!I:I,MATCH(mapPRC!D698,IPCCMaps!G:G,0))</f>
        <v>1A Fuel Combustion Activities</v>
      </c>
      <c r="H698" t="str">
        <f>INDEX(IPCCMaps!J:J,MATCH(mapPRC!D698,IPCCMaps!G:G,0))</f>
        <v>1A1 Energy Industries</v>
      </c>
      <c r="I698" t="str">
        <f>INDEX(IPCCMaps!K:K,MATCH(mapPRC!D698,IPCCMaps!G:G,0))</f>
        <v>1A1c Manufacture of solid fuels and other energy industries</v>
      </c>
    </row>
    <row r="699" spans="1:9" hidden="1" x14ac:dyDescent="0.25">
      <c r="A699" t="s">
        <v>415</v>
      </c>
      <c r="B699" t="s">
        <v>414</v>
      </c>
      <c r="C699" t="s">
        <v>387</v>
      </c>
      <c r="D699" t="s">
        <v>413</v>
      </c>
      <c r="E699" t="s">
        <v>413</v>
      </c>
      <c r="F699" t="str">
        <f>INDEX(IPCCMaps!H:H,MATCH(mapPRC!D699,IPCCMaps!G:G,0))</f>
        <v>1 Energy</v>
      </c>
      <c r="G699" t="str">
        <f>INDEX(IPCCMaps!I:I,MATCH(mapPRC!D699,IPCCMaps!G:G,0))</f>
        <v>1A Fuel Combustion Activities</v>
      </c>
      <c r="H699" t="str">
        <f>INDEX(IPCCMaps!J:J,MATCH(mapPRC!D699,IPCCMaps!G:G,0))</f>
        <v>1A1 Energy Industries</v>
      </c>
      <c r="I699" t="str">
        <f>INDEX(IPCCMaps!K:K,MATCH(mapPRC!D699,IPCCMaps!G:G,0))</f>
        <v>1A1c Manufacture of solid fuels and other energy industries</v>
      </c>
    </row>
    <row r="700" spans="1:9" hidden="1" x14ac:dyDescent="0.25">
      <c r="A700" t="s">
        <v>412</v>
      </c>
      <c r="B700" t="s">
        <v>411</v>
      </c>
      <c r="C700" t="s">
        <v>387</v>
      </c>
      <c r="E700" t="s">
        <v>408</v>
      </c>
      <c r="F700" t="e">
        <f>INDEX(IPCCMaps!H:H,MATCH(mapPRC!D700,IPCCMaps!G:G,0))</f>
        <v>#N/A</v>
      </c>
      <c r="G700" t="e">
        <f>INDEX(IPCCMaps!I:I,MATCH(mapPRC!D700,IPCCMaps!G:G,0))</f>
        <v>#N/A</v>
      </c>
      <c r="H700" t="e">
        <f>INDEX(IPCCMaps!J:J,MATCH(mapPRC!D700,IPCCMaps!G:G,0))</f>
        <v>#N/A</v>
      </c>
      <c r="I700" t="e">
        <f>INDEX(IPCCMaps!K:K,MATCH(mapPRC!D700,IPCCMaps!G:G,0))</f>
        <v>#N/A</v>
      </c>
    </row>
    <row r="701" spans="1:9" hidden="1" x14ac:dyDescent="0.25">
      <c r="A701" t="s">
        <v>410</v>
      </c>
      <c r="B701" t="s">
        <v>409</v>
      </c>
      <c r="C701" t="s">
        <v>387</v>
      </c>
      <c r="E701" t="s">
        <v>408</v>
      </c>
      <c r="F701" t="e">
        <f>INDEX(IPCCMaps!H:H,MATCH(mapPRC!D701,IPCCMaps!G:G,0))</f>
        <v>#N/A</v>
      </c>
      <c r="G701" t="e">
        <f>INDEX(IPCCMaps!I:I,MATCH(mapPRC!D701,IPCCMaps!G:G,0))</f>
        <v>#N/A</v>
      </c>
      <c r="H701" t="e">
        <f>INDEX(IPCCMaps!J:J,MATCH(mapPRC!D701,IPCCMaps!G:G,0))</f>
        <v>#N/A</v>
      </c>
      <c r="I701" t="e">
        <f>INDEX(IPCCMaps!K:K,MATCH(mapPRC!D701,IPCCMaps!G:G,0))</f>
        <v>#N/A</v>
      </c>
    </row>
    <row r="702" spans="1:9" hidden="1" x14ac:dyDescent="0.25">
      <c r="A702" t="s">
        <v>403</v>
      </c>
      <c r="B702" t="s">
        <v>402</v>
      </c>
      <c r="C702" t="s">
        <v>401</v>
      </c>
      <c r="D702" t="s">
        <v>400</v>
      </c>
      <c r="E702" t="s">
        <v>399</v>
      </c>
      <c r="F702" t="str">
        <f>INDEX(IPCCMaps!H:H,MATCH(mapPRC!D702,IPCCMaps!G:G,0))</f>
        <v>1 Energy</v>
      </c>
      <c r="G702" t="str">
        <f>INDEX(IPCCMaps!I:I,MATCH(mapPRC!D702,IPCCMaps!G:G,0))</f>
        <v>1A Fuel Combustion Activities</v>
      </c>
      <c r="H702">
        <f>INDEX(IPCCMaps!J:J,MATCH(mapPRC!D702,IPCCMaps!G:G,0))</f>
        <v>0</v>
      </c>
      <c r="I702">
        <f>INDEX(IPCCMaps!K:K,MATCH(mapPRC!D702,IPCCMaps!G:G,0))</f>
        <v>0</v>
      </c>
    </row>
    <row r="703" spans="1:9" hidden="1" x14ac:dyDescent="0.25">
      <c r="A703" t="s">
        <v>407</v>
      </c>
      <c r="B703" t="s">
        <v>406</v>
      </c>
      <c r="C703" t="s">
        <v>401</v>
      </c>
      <c r="D703" t="s">
        <v>405</v>
      </c>
      <c r="E703" t="s">
        <v>404</v>
      </c>
      <c r="F703" t="str">
        <f>INDEX(IPCCMaps!H:H,MATCH(mapPRC!D703,IPCCMaps!G:G,0))</f>
        <v>1 Energy</v>
      </c>
      <c r="G703" t="str">
        <f>INDEX(IPCCMaps!I:I,MATCH(mapPRC!D703,IPCCMaps!G:G,0))</f>
        <v>1A Fuel Combustion Activities</v>
      </c>
      <c r="H703">
        <f>INDEX(IPCCMaps!J:J,MATCH(mapPRC!D703,IPCCMaps!G:G,0))</f>
        <v>0</v>
      </c>
      <c r="I703">
        <f>INDEX(IPCCMaps!K:K,MATCH(mapPRC!D703,IPCCMaps!G:G,0))</f>
        <v>0</v>
      </c>
    </row>
    <row r="704" spans="1:9" hidden="1" x14ac:dyDescent="0.25">
      <c r="A704" t="s">
        <v>398</v>
      </c>
      <c r="B704" t="s">
        <v>397</v>
      </c>
      <c r="C704" t="s">
        <v>387</v>
      </c>
      <c r="D704" t="s">
        <v>392</v>
      </c>
      <c r="E704" t="s">
        <v>392</v>
      </c>
      <c r="F704" t="str">
        <f>INDEX(IPCCMaps!H:H,MATCH(mapPRC!D704,IPCCMaps!G:G,0))</f>
        <v>1 Energy</v>
      </c>
      <c r="G704" t="str">
        <f>INDEX(IPCCMaps!I:I,MATCH(mapPRC!D704,IPCCMaps!G:G,0))</f>
        <v>1A Fuel Combustion Activities</v>
      </c>
      <c r="H704" t="str">
        <f>INDEX(IPCCMaps!J:J,MATCH(mapPRC!D704,IPCCMaps!G:G,0))</f>
        <v>1A1 Energy Industries</v>
      </c>
      <c r="I704" t="str">
        <f>INDEX(IPCCMaps!K:K,MATCH(mapPRC!D704,IPCCMaps!G:G,0))</f>
        <v xml:space="preserve">1A1b Petroleum refining </v>
      </c>
    </row>
    <row r="705" spans="1:9" hidden="1" x14ac:dyDescent="0.25">
      <c r="A705" t="s">
        <v>396</v>
      </c>
      <c r="B705" t="s">
        <v>395</v>
      </c>
      <c r="C705" t="s">
        <v>387</v>
      </c>
      <c r="D705" t="s">
        <v>392</v>
      </c>
      <c r="E705" t="s">
        <v>392</v>
      </c>
      <c r="F705" t="str">
        <f>INDEX(IPCCMaps!H:H,MATCH(mapPRC!D705,IPCCMaps!G:G,0))</f>
        <v>1 Energy</v>
      </c>
      <c r="G705" t="str">
        <f>INDEX(IPCCMaps!I:I,MATCH(mapPRC!D705,IPCCMaps!G:G,0))</f>
        <v>1A Fuel Combustion Activities</v>
      </c>
      <c r="H705" t="str">
        <f>INDEX(IPCCMaps!J:J,MATCH(mapPRC!D705,IPCCMaps!G:G,0))</f>
        <v>1A1 Energy Industries</v>
      </c>
      <c r="I705" t="str">
        <f>INDEX(IPCCMaps!K:K,MATCH(mapPRC!D705,IPCCMaps!G:G,0))</f>
        <v xml:space="preserve">1A1b Petroleum refining </v>
      </c>
    </row>
    <row r="706" spans="1:9" hidden="1" x14ac:dyDescent="0.25">
      <c r="A706" t="s">
        <v>394</v>
      </c>
      <c r="B706" t="s">
        <v>393</v>
      </c>
      <c r="C706" t="s">
        <v>387</v>
      </c>
      <c r="D706" t="s">
        <v>392</v>
      </c>
      <c r="E706" t="s">
        <v>392</v>
      </c>
      <c r="F706" t="str">
        <f>INDEX(IPCCMaps!H:H,MATCH(mapPRC!D706,IPCCMaps!G:G,0))</f>
        <v>1 Energy</v>
      </c>
      <c r="G706" t="str">
        <f>INDEX(IPCCMaps!I:I,MATCH(mapPRC!D706,IPCCMaps!G:G,0))</f>
        <v>1A Fuel Combustion Activities</v>
      </c>
      <c r="H706" t="str">
        <f>INDEX(IPCCMaps!J:J,MATCH(mapPRC!D706,IPCCMaps!G:G,0))</f>
        <v>1A1 Energy Industries</v>
      </c>
      <c r="I706" t="str">
        <f>INDEX(IPCCMaps!K:K,MATCH(mapPRC!D706,IPCCMaps!G:G,0))</f>
        <v xml:space="preserve">1A1b Petroleum refining </v>
      </c>
    </row>
    <row r="707" spans="1:9" hidden="1" x14ac:dyDescent="0.25">
      <c r="A707" t="s">
        <v>391</v>
      </c>
      <c r="B707" t="s">
        <v>390</v>
      </c>
      <c r="C707" t="s">
        <v>387</v>
      </c>
      <c r="D707" t="s">
        <v>386</v>
      </c>
      <c r="E707" t="s">
        <v>386</v>
      </c>
      <c r="F707" t="str">
        <f>INDEX(IPCCMaps!H:H,MATCH(mapPRC!D707,IPCCMaps!G:G,0))</f>
        <v>1 Energy</v>
      </c>
      <c r="G707" t="str">
        <f>INDEX(IPCCMaps!I:I,MATCH(mapPRC!D707,IPCCMaps!G:G,0))</f>
        <v>1A Fuel Combustion Activities</v>
      </c>
      <c r="H707" t="str">
        <f>INDEX(IPCCMaps!J:J,MATCH(mapPRC!D707,IPCCMaps!G:G,0))</f>
        <v>1A1 Energy Industries</v>
      </c>
      <c r="I707" t="str">
        <f>INDEX(IPCCMaps!K:K,MATCH(mapPRC!D707,IPCCMaps!G:G,0))</f>
        <v xml:space="preserve">1A1b Petroleum refining </v>
      </c>
    </row>
    <row r="708" spans="1:9" hidden="1" x14ac:dyDescent="0.25">
      <c r="A708" t="s">
        <v>389</v>
      </c>
      <c r="B708" t="s">
        <v>388</v>
      </c>
      <c r="C708" t="s">
        <v>387</v>
      </c>
      <c r="D708" t="s">
        <v>386</v>
      </c>
      <c r="E708" t="s">
        <v>386</v>
      </c>
      <c r="F708" t="str">
        <f>INDEX(IPCCMaps!H:H,MATCH(mapPRC!D708,IPCCMaps!G:G,0))</f>
        <v>1 Energy</v>
      </c>
      <c r="G708" t="str">
        <f>INDEX(IPCCMaps!I:I,MATCH(mapPRC!D708,IPCCMaps!G:G,0))</f>
        <v>1A Fuel Combustion Activities</v>
      </c>
      <c r="H708" t="str">
        <f>INDEX(IPCCMaps!J:J,MATCH(mapPRC!D708,IPCCMaps!G:G,0))</f>
        <v>1A1 Energy Industries</v>
      </c>
      <c r="I708" t="str">
        <f>INDEX(IPCCMaps!K:K,MATCH(mapPRC!D708,IPCCMaps!G:G,0))</f>
        <v xml:space="preserve">1A1b Petroleum refining </v>
      </c>
    </row>
    <row r="709" spans="1:9" hidden="1" x14ac:dyDescent="0.25">
      <c r="A709" t="s">
        <v>385</v>
      </c>
      <c r="B709" t="s">
        <v>384</v>
      </c>
      <c r="C709" t="s">
        <v>21</v>
      </c>
      <c r="D709" t="s">
        <v>383</v>
      </c>
      <c r="E709" t="s">
        <v>0</v>
      </c>
      <c r="F709" t="str">
        <f>INDEX(IPCCMaps!H:H,MATCH(mapPRC!D709,IPCCMaps!G:G,0))</f>
        <v>1 Energy</v>
      </c>
      <c r="G709" t="str">
        <f>INDEX(IPCCMaps!I:I,MATCH(mapPRC!D709,IPCCMaps!G:G,0))</f>
        <v>1B Fugitive Emissions from Fuels</v>
      </c>
      <c r="H709" t="str">
        <f>INDEX(IPCCMaps!J:J,MATCH(mapPRC!D709,IPCCMaps!G:G,0))</f>
        <v>1B3 Other Emissions</v>
      </c>
      <c r="I709" t="str">
        <f>INDEX(IPCCMaps!K:K,MATCH(mapPRC!D709,IPCCMaps!G:G,0))</f>
        <v>1B3 Other Emissions - Sasol</v>
      </c>
    </row>
    <row r="710" spans="1:9" hidden="1" x14ac:dyDescent="0.25">
      <c r="A710" t="s">
        <v>382</v>
      </c>
      <c r="B710" t="s">
        <v>381</v>
      </c>
      <c r="E710" t="s">
        <v>0</v>
      </c>
      <c r="F710" t="e">
        <f>INDEX(IPCCMaps!H:H,MATCH(mapPRC!D710,IPCCMaps!G:G,0))</f>
        <v>#N/A</v>
      </c>
      <c r="G710" t="e">
        <f>INDEX(IPCCMaps!I:I,MATCH(mapPRC!D710,IPCCMaps!G:G,0))</f>
        <v>#N/A</v>
      </c>
      <c r="H710" t="e">
        <f>INDEX(IPCCMaps!J:J,MATCH(mapPRC!D710,IPCCMaps!G:G,0))</f>
        <v>#N/A</v>
      </c>
      <c r="I710" t="e">
        <f>INDEX(IPCCMaps!K:K,MATCH(mapPRC!D710,IPCCMaps!G:G,0))</f>
        <v>#N/A</v>
      </c>
    </row>
    <row r="711" spans="1:9" hidden="1" x14ac:dyDescent="0.25">
      <c r="A711" t="s">
        <v>380</v>
      </c>
      <c r="B711" t="s">
        <v>379</v>
      </c>
      <c r="E711" t="s">
        <v>0</v>
      </c>
      <c r="F711" t="e">
        <f>INDEX(IPCCMaps!H:H,MATCH(mapPRC!D711,IPCCMaps!G:G,0))</f>
        <v>#N/A</v>
      </c>
      <c r="G711" t="e">
        <f>INDEX(IPCCMaps!I:I,MATCH(mapPRC!D711,IPCCMaps!G:G,0))</f>
        <v>#N/A</v>
      </c>
      <c r="H711" t="e">
        <f>INDEX(IPCCMaps!J:J,MATCH(mapPRC!D711,IPCCMaps!G:G,0))</f>
        <v>#N/A</v>
      </c>
      <c r="I711" t="e">
        <f>INDEX(IPCCMaps!K:K,MATCH(mapPRC!D711,IPCCMaps!G:G,0))</f>
        <v>#N/A</v>
      </c>
    </row>
    <row r="712" spans="1:9" hidden="1" x14ac:dyDescent="0.25">
      <c r="A712" t="s">
        <v>374</v>
      </c>
      <c r="B712" t="s">
        <v>373</v>
      </c>
      <c r="E712" t="s">
        <v>0</v>
      </c>
      <c r="F712" t="e">
        <f>INDEX(IPCCMaps!H:H,MATCH(mapPRC!D712,IPCCMaps!G:G,0))</f>
        <v>#N/A</v>
      </c>
      <c r="G712" t="e">
        <f>INDEX(IPCCMaps!I:I,MATCH(mapPRC!D712,IPCCMaps!G:G,0))</f>
        <v>#N/A</v>
      </c>
      <c r="H712" t="e">
        <f>INDEX(IPCCMaps!J:J,MATCH(mapPRC!D712,IPCCMaps!G:G,0))</f>
        <v>#N/A</v>
      </c>
      <c r="I712" t="e">
        <f>INDEX(IPCCMaps!K:K,MATCH(mapPRC!D712,IPCCMaps!G:G,0))</f>
        <v>#N/A</v>
      </c>
    </row>
    <row r="713" spans="1:9" hidden="1" x14ac:dyDescent="0.25">
      <c r="A713" t="s">
        <v>378</v>
      </c>
      <c r="B713" t="s">
        <v>377</v>
      </c>
      <c r="E713" t="s">
        <v>0</v>
      </c>
      <c r="F713" t="e">
        <f>INDEX(IPCCMaps!H:H,MATCH(mapPRC!D713,IPCCMaps!G:G,0))</f>
        <v>#N/A</v>
      </c>
      <c r="G713" t="e">
        <f>INDEX(IPCCMaps!I:I,MATCH(mapPRC!D713,IPCCMaps!G:G,0))</f>
        <v>#N/A</v>
      </c>
      <c r="H713" t="e">
        <f>INDEX(IPCCMaps!J:J,MATCH(mapPRC!D713,IPCCMaps!G:G,0))</f>
        <v>#N/A</v>
      </c>
      <c r="I713" t="e">
        <f>INDEX(IPCCMaps!K:K,MATCH(mapPRC!D713,IPCCMaps!G:G,0))</f>
        <v>#N/A</v>
      </c>
    </row>
    <row r="714" spans="1:9" hidden="1" x14ac:dyDescent="0.25">
      <c r="A714" t="s">
        <v>376</v>
      </c>
      <c r="B714" t="s">
        <v>375</v>
      </c>
      <c r="E714" t="s">
        <v>0</v>
      </c>
      <c r="F714" t="e">
        <f>INDEX(IPCCMaps!H:H,MATCH(mapPRC!D714,IPCCMaps!G:G,0))</f>
        <v>#N/A</v>
      </c>
      <c r="G714" t="e">
        <f>INDEX(IPCCMaps!I:I,MATCH(mapPRC!D714,IPCCMaps!G:G,0))</f>
        <v>#N/A</v>
      </c>
      <c r="H714" t="e">
        <f>INDEX(IPCCMaps!J:J,MATCH(mapPRC!D714,IPCCMaps!G:G,0))</f>
        <v>#N/A</v>
      </c>
      <c r="I714" t="e">
        <f>INDEX(IPCCMaps!K:K,MATCH(mapPRC!D714,IPCCMaps!G:G,0))</f>
        <v>#N/A</v>
      </c>
    </row>
    <row r="715" spans="1:9" hidden="1" x14ac:dyDescent="0.25">
      <c r="A715" t="s">
        <v>372</v>
      </c>
      <c r="B715" t="s">
        <v>371</v>
      </c>
      <c r="E715" t="s">
        <v>0</v>
      </c>
      <c r="F715" t="e">
        <f>INDEX(IPCCMaps!H:H,MATCH(mapPRC!D715,IPCCMaps!G:G,0))</f>
        <v>#N/A</v>
      </c>
      <c r="G715" t="e">
        <f>INDEX(IPCCMaps!I:I,MATCH(mapPRC!D715,IPCCMaps!G:G,0))</f>
        <v>#N/A</v>
      </c>
      <c r="H715" t="e">
        <f>INDEX(IPCCMaps!J:J,MATCH(mapPRC!D715,IPCCMaps!G:G,0))</f>
        <v>#N/A</v>
      </c>
      <c r="I715" t="e">
        <f>INDEX(IPCCMaps!K:K,MATCH(mapPRC!D715,IPCCMaps!G:G,0))</f>
        <v>#N/A</v>
      </c>
    </row>
    <row r="716" spans="1:9" hidden="1" x14ac:dyDescent="0.25">
      <c r="A716" t="s">
        <v>370</v>
      </c>
      <c r="B716" t="s">
        <v>369</v>
      </c>
      <c r="E716" t="s">
        <v>0</v>
      </c>
      <c r="F716" t="e">
        <f>INDEX(IPCCMaps!H:H,MATCH(mapPRC!D716,IPCCMaps!G:G,0))</f>
        <v>#N/A</v>
      </c>
      <c r="G716" t="e">
        <f>INDEX(IPCCMaps!I:I,MATCH(mapPRC!D716,IPCCMaps!G:G,0))</f>
        <v>#N/A</v>
      </c>
      <c r="H716" t="e">
        <f>INDEX(IPCCMaps!J:J,MATCH(mapPRC!D716,IPCCMaps!G:G,0))</f>
        <v>#N/A</v>
      </c>
      <c r="I716" t="e">
        <f>INDEX(IPCCMaps!K:K,MATCH(mapPRC!D716,IPCCMaps!G:G,0))</f>
        <v>#N/A</v>
      </c>
    </row>
    <row r="717" spans="1:9" hidden="1" x14ac:dyDescent="0.25">
      <c r="A717" t="s">
        <v>368</v>
      </c>
      <c r="B717" t="s">
        <v>367</v>
      </c>
      <c r="C717" t="s">
        <v>145</v>
      </c>
      <c r="D717" t="s">
        <v>144</v>
      </c>
      <c r="E717" t="s">
        <v>366</v>
      </c>
      <c r="F717" t="str">
        <f>INDEX(IPCCMaps!H:H,MATCH(mapPRC!D717,IPCCMaps!G:G,0))</f>
        <v>1 Energy</v>
      </c>
      <c r="G717">
        <f>INDEX(IPCCMaps!I:I,MATCH(mapPRC!D717,IPCCMaps!G:G,0))</f>
        <v>0</v>
      </c>
      <c r="H717">
        <f>INDEX(IPCCMaps!J:J,MATCH(mapPRC!D717,IPCCMaps!G:G,0))</f>
        <v>0</v>
      </c>
      <c r="I717">
        <f>INDEX(IPCCMaps!K:K,MATCH(mapPRC!D717,IPCCMaps!G:G,0))</f>
        <v>0</v>
      </c>
    </row>
    <row r="718" spans="1:9" hidden="1" x14ac:dyDescent="0.25">
      <c r="A718" t="s">
        <v>365</v>
      </c>
      <c r="B718" t="s">
        <v>364</v>
      </c>
      <c r="E718" t="s">
        <v>0</v>
      </c>
      <c r="F718" t="e">
        <f>INDEX(IPCCMaps!H:H,MATCH(mapPRC!D718,IPCCMaps!G:G,0))</f>
        <v>#N/A</v>
      </c>
      <c r="G718" t="e">
        <f>INDEX(IPCCMaps!I:I,MATCH(mapPRC!D718,IPCCMaps!G:G,0))</f>
        <v>#N/A</v>
      </c>
      <c r="H718" t="e">
        <f>INDEX(IPCCMaps!J:J,MATCH(mapPRC!D718,IPCCMaps!G:G,0))</f>
        <v>#N/A</v>
      </c>
      <c r="I718" t="e">
        <f>INDEX(IPCCMaps!K:K,MATCH(mapPRC!D718,IPCCMaps!G:G,0))</f>
        <v>#N/A</v>
      </c>
    </row>
    <row r="719" spans="1:9" hidden="1" x14ac:dyDescent="0.25">
      <c r="A719" t="s">
        <v>363</v>
      </c>
      <c r="B719" t="s">
        <v>362</v>
      </c>
      <c r="E719" t="s">
        <v>0</v>
      </c>
      <c r="F719" t="e">
        <f>INDEX(IPCCMaps!H:H,MATCH(mapPRC!D719,IPCCMaps!G:G,0))</f>
        <v>#N/A</v>
      </c>
      <c r="G719" t="e">
        <f>INDEX(IPCCMaps!I:I,MATCH(mapPRC!D719,IPCCMaps!G:G,0))</f>
        <v>#N/A</v>
      </c>
      <c r="H719" t="e">
        <f>INDEX(IPCCMaps!J:J,MATCH(mapPRC!D719,IPCCMaps!G:G,0))</f>
        <v>#N/A</v>
      </c>
      <c r="I719" t="e">
        <f>INDEX(IPCCMaps!K:K,MATCH(mapPRC!D719,IPCCMaps!G:G,0))</f>
        <v>#N/A</v>
      </c>
    </row>
    <row r="720" spans="1:9" hidden="1" x14ac:dyDescent="0.25">
      <c r="A720" t="s">
        <v>361</v>
      </c>
      <c r="B720" t="s">
        <v>360</v>
      </c>
      <c r="E720" t="s">
        <v>0</v>
      </c>
      <c r="F720" t="e">
        <f>INDEX(IPCCMaps!H:H,MATCH(mapPRC!D720,IPCCMaps!G:G,0))</f>
        <v>#N/A</v>
      </c>
      <c r="G720" t="e">
        <f>INDEX(IPCCMaps!I:I,MATCH(mapPRC!D720,IPCCMaps!G:G,0))</f>
        <v>#N/A</v>
      </c>
      <c r="H720" t="e">
        <f>INDEX(IPCCMaps!J:J,MATCH(mapPRC!D720,IPCCMaps!G:G,0))</f>
        <v>#N/A</v>
      </c>
      <c r="I720" t="e">
        <f>INDEX(IPCCMaps!K:K,MATCH(mapPRC!D720,IPCCMaps!G:G,0))</f>
        <v>#N/A</v>
      </c>
    </row>
    <row r="721" spans="1:9" hidden="1" x14ac:dyDescent="0.25">
      <c r="A721" t="s">
        <v>359</v>
      </c>
      <c r="B721" t="s">
        <v>358</v>
      </c>
      <c r="E721" t="s">
        <v>0</v>
      </c>
      <c r="F721" t="e">
        <f>INDEX(IPCCMaps!H:H,MATCH(mapPRC!D721,IPCCMaps!G:G,0))</f>
        <v>#N/A</v>
      </c>
      <c r="G721" t="e">
        <f>INDEX(IPCCMaps!I:I,MATCH(mapPRC!D721,IPCCMaps!G:G,0))</f>
        <v>#N/A</v>
      </c>
      <c r="H721" t="e">
        <f>INDEX(IPCCMaps!J:J,MATCH(mapPRC!D721,IPCCMaps!G:G,0))</f>
        <v>#N/A</v>
      </c>
      <c r="I721" t="e">
        <f>INDEX(IPCCMaps!K:K,MATCH(mapPRC!D721,IPCCMaps!G:G,0))</f>
        <v>#N/A</v>
      </c>
    </row>
    <row r="722" spans="1:9" hidden="1" x14ac:dyDescent="0.25">
      <c r="A722" t="s">
        <v>357</v>
      </c>
      <c r="B722" t="s">
        <v>356</v>
      </c>
      <c r="E722" t="s">
        <v>0</v>
      </c>
      <c r="F722" t="e">
        <f>INDEX(IPCCMaps!H:H,MATCH(mapPRC!D722,IPCCMaps!G:G,0))</f>
        <v>#N/A</v>
      </c>
      <c r="G722" t="e">
        <f>INDEX(IPCCMaps!I:I,MATCH(mapPRC!D722,IPCCMaps!G:G,0))</f>
        <v>#N/A</v>
      </c>
      <c r="H722" t="e">
        <f>INDEX(IPCCMaps!J:J,MATCH(mapPRC!D722,IPCCMaps!G:G,0))</f>
        <v>#N/A</v>
      </c>
      <c r="I722" t="e">
        <f>INDEX(IPCCMaps!K:K,MATCH(mapPRC!D722,IPCCMaps!G:G,0))</f>
        <v>#N/A</v>
      </c>
    </row>
    <row r="723" spans="1:9" hidden="1" x14ac:dyDescent="0.25">
      <c r="A723" t="s">
        <v>355</v>
      </c>
      <c r="B723" t="s">
        <v>354</v>
      </c>
      <c r="E723" t="s">
        <v>0</v>
      </c>
      <c r="F723" t="e">
        <f>INDEX(IPCCMaps!H:H,MATCH(mapPRC!D723,IPCCMaps!G:G,0))</f>
        <v>#N/A</v>
      </c>
      <c r="G723" t="e">
        <f>INDEX(IPCCMaps!I:I,MATCH(mapPRC!D723,IPCCMaps!G:G,0))</f>
        <v>#N/A</v>
      </c>
      <c r="H723" t="e">
        <f>INDEX(IPCCMaps!J:J,MATCH(mapPRC!D723,IPCCMaps!G:G,0))</f>
        <v>#N/A</v>
      </c>
      <c r="I723" t="e">
        <f>INDEX(IPCCMaps!K:K,MATCH(mapPRC!D723,IPCCMaps!G:G,0))</f>
        <v>#N/A</v>
      </c>
    </row>
    <row r="724" spans="1:9" hidden="1" x14ac:dyDescent="0.25">
      <c r="A724" t="s">
        <v>353</v>
      </c>
      <c r="B724" t="s">
        <v>352</v>
      </c>
      <c r="C724" t="s">
        <v>145</v>
      </c>
      <c r="D724" t="s">
        <v>144</v>
      </c>
      <c r="E724" t="s">
        <v>351</v>
      </c>
      <c r="F724" t="str">
        <f>INDEX(IPCCMaps!H:H,MATCH(mapPRC!D724,IPCCMaps!G:G,0))</f>
        <v>1 Energy</v>
      </c>
      <c r="G724">
        <f>INDEX(IPCCMaps!I:I,MATCH(mapPRC!D724,IPCCMaps!G:G,0))</f>
        <v>0</v>
      </c>
      <c r="H724">
        <f>INDEX(IPCCMaps!J:J,MATCH(mapPRC!D724,IPCCMaps!G:G,0))</f>
        <v>0</v>
      </c>
      <c r="I724">
        <f>INDEX(IPCCMaps!K:K,MATCH(mapPRC!D724,IPCCMaps!G:G,0))</f>
        <v>0</v>
      </c>
    </row>
    <row r="725" spans="1:9" hidden="1" x14ac:dyDescent="0.25">
      <c r="A725" t="s">
        <v>350</v>
      </c>
      <c r="B725" t="s">
        <v>349</v>
      </c>
      <c r="E725" t="s">
        <v>0</v>
      </c>
      <c r="F725" t="e">
        <f>INDEX(IPCCMaps!H:H,MATCH(mapPRC!D725,IPCCMaps!G:G,0))</f>
        <v>#N/A</v>
      </c>
      <c r="G725" t="e">
        <f>INDEX(IPCCMaps!I:I,MATCH(mapPRC!D725,IPCCMaps!G:G,0))</f>
        <v>#N/A</v>
      </c>
      <c r="H725" t="e">
        <f>INDEX(IPCCMaps!J:J,MATCH(mapPRC!D725,IPCCMaps!G:G,0))</f>
        <v>#N/A</v>
      </c>
      <c r="I725" t="e">
        <f>INDEX(IPCCMaps!K:K,MATCH(mapPRC!D725,IPCCMaps!G:G,0))</f>
        <v>#N/A</v>
      </c>
    </row>
    <row r="726" spans="1:9" hidden="1" x14ac:dyDescent="0.25">
      <c r="A726" t="s">
        <v>348</v>
      </c>
      <c r="B726" t="s">
        <v>347</v>
      </c>
      <c r="E726" t="s">
        <v>0</v>
      </c>
      <c r="F726" t="e">
        <f>INDEX(IPCCMaps!H:H,MATCH(mapPRC!D726,IPCCMaps!G:G,0))</f>
        <v>#N/A</v>
      </c>
      <c r="G726" t="e">
        <f>INDEX(IPCCMaps!I:I,MATCH(mapPRC!D726,IPCCMaps!G:G,0))</f>
        <v>#N/A</v>
      </c>
      <c r="H726" t="e">
        <f>INDEX(IPCCMaps!J:J,MATCH(mapPRC!D726,IPCCMaps!G:G,0))</f>
        <v>#N/A</v>
      </c>
      <c r="I726" t="e">
        <f>INDEX(IPCCMaps!K:K,MATCH(mapPRC!D726,IPCCMaps!G:G,0))</f>
        <v>#N/A</v>
      </c>
    </row>
    <row r="727" spans="1:9" hidden="1" x14ac:dyDescent="0.25">
      <c r="A727" t="s">
        <v>346</v>
      </c>
      <c r="B727" t="s">
        <v>345</v>
      </c>
      <c r="E727" t="s">
        <v>0</v>
      </c>
      <c r="F727" t="e">
        <f>INDEX(IPCCMaps!H:H,MATCH(mapPRC!D727,IPCCMaps!G:G,0))</f>
        <v>#N/A</v>
      </c>
      <c r="G727" t="e">
        <f>INDEX(IPCCMaps!I:I,MATCH(mapPRC!D727,IPCCMaps!G:G,0))</f>
        <v>#N/A</v>
      </c>
      <c r="H727" t="e">
        <f>INDEX(IPCCMaps!J:J,MATCH(mapPRC!D727,IPCCMaps!G:G,0))</f>
        <v>#N/A</v>
      </c>
      <c r="I727" t="e">
        <f>INDEX(IPCCMaps!K:K,MATCH(mapPRC!D727,IPCCMaps!G:G,0))</f>
        <v>#N/A</v>
      </c>
    </row>
    <row r="728" spans="1:9" hidden="1" x14ac:dyDescent="0.25">
      <c r="A728" t="s">
        <v>344</v>
      </c>
      <c r="B728" t="s">
        <v>343</v>
      </c>
      <c r="E728" t="s">
        <v>0</v>
      </c>
      <c r="F728" t="e">
        <f>INDEX(IPCCMaps!H:H,MATCH(mapPRC!D728,IPCCMaps!G:G,0))</f>
        <v>#N/A</v>
      </c>
      <c r="G728" t="e">
        <f>INDEX(IPCCMaps!I:I,MATCH(mapPRC!D728,IPCCMaps!G:G,0))</f>
        <v>#N/A</v>
      </c>
      <c r="H728" t="e">
        <f>INDEX(IPCCMaps!J:J,MATCH(mapPRC!D728,IPCCMaps!G:G,0))</f>
        <v>#N/A</v>
      </c>
      <c r="I728" t="e">
        <f>INDEX(IPCCMaps!K:K,MATCH(mapPRC!D728,IPCCMaps!G:G,0))</f>
        <v>#N/A</v>
      </c>
    </row>
    <row r="729" spans="1:9" hidden="1" x14ac:dyDescent="0.25">
      <c r="A729" t="s">
        <v>342</v>
      </c>
      <c r="B729" t="s">
        <v>341</v>
      </c>
      <c r="E729" t="s">
        <v>0</v>
      </c>
      <c r="F729" t="e">
        <f>INDEX(IPCCMaps!H:H,MATCH(mapPRC!D729,IPCCMaps!G:G,0))</f>
        <v>#N/A</v>
      </c>
      <c r="G729" t="e">
        <f>INDEX(IPCCMaps!I:I,MATCH(mapPRC!D729,IPCCMaps!G:G,0))</f>
        <v>#N/A</v>
      </c>
      <c r="H729" t="e">
        <f>INDEX(IPCCMaps!J:J,MATCH(mapPRC!D729,IPCCMaps!G:G,0))</f>
        <v>#N/A</v>
      </c>
      <c r="I729" t="e">
        <f>INDEX(IPCCMaps!K:K,MATCH(mapPRC!D729,IPCCMaps!G:G,0))</f>
        <v>#N/A</v>
      </c>
    </row>
    <row r="730" spans="1:9" hidden="1" x14ac:dyDescent="0.25">
      <c r="A730" t="s">
        <v>340</v>
      </c>
      <c r="B730" t="s">
        <v>339</v>
      </c>
      <c r="E730" t="s">
        <v>0</v>
      </c>
      <c r="F730" t="e">
        <f>INDEX(IPCCMaps!H:H,MATCH(mapPRC!D730,IPCCMaps!G:G,0))</f>
        <v>#N/A</v>
      </c>
      <c r="G730" t="e">
        <f>INDEX(IPCCMaps!I:I,MATCH(mapPRC!D730,IPCCMaps!G:G,0))</f>
        <v>#N/A</v>
      </c>
      <c r="H730" t="e">
        <f>INDEX(IPCCMaps!J:J,MATCH(mapPRC!D730,IPCCMaps!G:G,0))</f>
        <v>#N/A</v>
      </c>
      <c r="I730" t="e">
        <f>INDEX(IPCCMaps!K:K,MATCH(mapPRC!D730,IPCCMaps!G:G,0))</f>
        <v>#N/A</v>
      </c>
    </row>
    <row r="731" spans="1:9" hidden="1" x14ac:dyDescent="0.25">
      <c r="A731" t="s">
        <v>338</v>
      </c>
      <c r="B731" t="s">
        <v>337</v>
      </c>
      <c r="C731" t="s">
        <v>145</v>
      </c>
      <c r="D731" t="s">
        <v>144</v>
      </c>
      <c r="E731" t="s">
        <v>143</v>
      </c>
      <c r="F731" t="str">
        <f>INDEX(IPCCMaps!H:H,MATCH(mapPRC!D731,IPCCMaps!G:G,0))</f>
        <v>1 Energy</v>
      </c>
      <c r="G731">
        <f>INDEX(IPCCMaps!I:I,MATCH(mapPRC!D731,IPCCMaps!G:G,0))</f>
        <v>0</v>
      </c>
      <c r="H731">
        <f>INDEX(IPCCMaps!J:J,MATCH(mapPRC!D731,IPCCMaps!G:G,0))</f>
        <v>0</v>
      </c>
      <c r="I731">
        <f>INDEX(IPCCMaps!K:K,MATCH(mapPRC!D731,IPCCMaps!G:G,0))</f>
        <v>0</v>
      </c>
    </row>
    <row r="732" spans="1:9" hidden="1" x14ac:dyDescent="0.25">
      <c r="A732" t="s">
        <v>336</v>
      </c>
      <c r="B732" t="s">
        <v>335</v>
      </c>
      <c r="D732" t="s">
        <v>334</v>
      </c>
      <c r="E732" t="s">
        <v>0</v>
      </c>
      <c r="F732" t="str">
        <f>INDEX(IPCCMaps!H:H,MATCH(mapPRC!D732,IPCCMaps!G:G,0))</f>
        <v xml:space="preserve">2 Industrial Processes and Product Use </v>
      </c>
      <c r="G732" t="str">
        <f>INDEX(IPCCMaps!I:I,MATCH(mapPRC!D732,IPCCMaps!G:G,0))</f>
        <v>2B Chemical Industry</v>
      </c>
      <c r="H732" t="str">
        <f>INDEX(IPCCMaps!J:J,MATCH(mapPRC!D732,IPCCMaps!G:G,0))</f>
        <v>2B Chemical Industry</v>
      </c>
      <c r="I732" t="str">
        <f>INDEX(IPCCMaps!K:K,MATCH(mapPRC!D732,IPCCMaps!G:G,0))</f>
        <v>2B Chemical Industry</v>
      </c>
    </row>
    <row r="733" spans="1:9" hidden="1" x14ac:dyDescent="0.25">
      <c r="A733" t="s">
        <v>333</v>
      </c>
      <c r="B733" t="s">
        <v>332</v>
      </c>
      <c r="C733" t="s">
        <v>145</v>
      </c>
      <c r="D733" t="s">
        <v>144</v>
      </c>
      <c r="E733" t="s">
        <v>143</v>
      </c>
      <c r="F733" t="str">
        <f>INDEX(IPCCMaps!H:H,MATCH(mapPRC!D733,IPCCMaps!G:G,0))</f>
        <v>1 Energy</v>
      </c>
      <c r="G733">
        <f>INDEX(IPCCMaps!I:I,MATCH(mapPRC!D733,IPCCMaps!G:G,0))</f>
        <v>0</v>
      </c>
      <c r="H733">
        <f>INDEX(IPCCMaps!J:J,MATCH(mapPRC!D733,IPCCMaps!G:G,0))</f>
        <v>0</v>
      </c>
      <c r="I733">
        <f>INDEX(IPCCMaps!K:K,MATCH(mapPRC!D733,IPCCMaps!G:G,0))</f>
        <v>0</v>
      </c>
    </row>
    <row r="734" spans="1:9" hidden="1" x14ac:dyDescent="0.25">
      <c r="A734" t="s">
        <v>331</v>
      </c>
      <c r="B734" t="s">
        <v>330</v>
      </c>
      <c r="D734" t="s">
        <v>329</v>
      </c>
      <c r="E734" t="s">
        <v>0</v>
      </c>
      <c r="F734" t="str">
        <f>INDEX(IPCCMaps!H:H,MATCH(mapPRC!D734,IPCCMaps!G:G,0))</f>
        <v xml:space="preserve">2 Industrial Processes and Product Use </v>
      </c>
      <c r="G734" t="str">
        <f>INDEX(IPCCMaps!I:I,MATCH(mapPRC!D734,IPCCMaps!G:G,0))</f>
        <v>2C Metal Industry</v>
      </c>
      <c r="H734" t="str">
        <f>INDEX(IPCCMaps!J:J,MATCH(mapPRC!D734,IPCCMaps!G:G,0))</f>
        <v>2C2 Ferroalloys production</v>
      </c>
      <c r="I734" t="str">
        <f>INDEX(IPCCMaps!K:K,MATCH(mapPRC!D734,IPCCMaps!G:G,0))</f>
        <v>2C2 Ferroalloys production</v>
      </c>
    </row>
    <row r="735" spans="1:9" hidden="1" x14ac:dyDescent="0.25">
      <c r="A735" t="s">
        <v>328</v>
      </c>
      <c r="B735" t="s">
        <v>327</v>
      </c>
      <c r="C735" t="s">
        <v>145</v>
      </c>
      <c r="D735" t="s">
        <v>144</v>
      </c>
      <c r="E735" t="s">
        <v>143</v>
      </c>
      <c r="F735" t="str">
        <f>INDEX(IPCCMaps!H:H,MATCH(mapPRC!D735,IPCCMaps!G:G,0))</f>
        <v>1 Energy</v>
      </c>
      <c r="G735">
        <f>INDEX(IPCCMaps!I:I,MATCH(mapPRC!D735,IPCCMaps!G:G,0))</f>
        <v>0</v>
      </c>
      <c r="H735">
        <f>INDEX(IPCCMaps!J:J,MATCH(mapPRC!D735,IPCCMaps!G:G,0))</f>
        <v>0</v>
      </c>
      <c r="I735">
        <f>INDEX(IPCCMaps!K:K,MATCH(mapPRC!D735,IPCCMaps!G:G,0))</f>
        <v>0</v>
      </c>
    </row>
    <row r="736" spans="1:9" hidden="1" x14ac:dyDescent="0.25">
      <c r="A736" t="s">
        <v>326</v>
      </c>
      <c r="B736" t="s">
        <v>325</v>
      </c>
      <c r="E736" t="s">
        <v>0</v>
      </c>
      <c r="F736" t="e">
        <f>INDEX(IPCCMaps!H:H,MATCH(mapPRC!D736,IPCCMaps!G:G,0))</f>
        <v>#N/A</v>
      </c>
      <c r="G736" t="e">
        <f>INDEX(IPCCMaps!I:I,MATCH(mapPRC!D736,IPCCMaps!G:G,0))</f>
        <v>#N/A</v>
      </c>
      <c r="H736" t="e">
        <f>INDEX(IPCCMaps!J:J,MATCH(mapPRC!D736,IPCCMaps!G:G,0))</f>
        <v>#N/A</v>
      </c>
      <c r="I736" t="e">
        <f>INDEX(IPCCMaps!K:K,MATCH(mapPRC!D736,IPCCMaps!G:G,0))</f>
        <v>#N/A</v>
      </c>
    </row>
    <row r="737" spans="1:9" hidden="1" x14ac:dyDescent="0.25">
      <c r="A737" t="s">
        <v>324</v>
      </c>
      <c r="B737" t="s">
        <v>323</v>
      </c>
      <c r="E737" t="s">
        <v>0</v>
      </c>
      <c r="F737" t="e">
        <f>INDEX(IPCCMaps!H:H,MATCH(mapPRC!D737,IPCCMaps!G:G,0))</f>
        <v>#N/A</v>
      </c>
      <c r="G737" t="e">
        <f>INDEX(IPCCMaps!I:I,MATCH(mapPRC!D737,IPCCMaps!G:G,0))</f>
        <v>#N/A</v>
      </c>
      <c r="H737" t="e">
        <f>INDEX(IPCCMaps!J:J,MATCH(mapPRC!D737,IPCCMaps!G:G,0))</f>
        <v>#N/A</v>
      </c>
      <c r="I737" t="e">
        <f>INDEX(IPCCMaps!K:K,MATCH(mapPRC!D737,IPCCMaps!G:G,0))</f>
        <v>#N/A</v>
      </c>
    </row>
    <row r="738" spans="1:9" hidden="1" x14ac:dyDescent="0.25">
      <c r="A738" t="s">
        <v>322</v>
      </c>
      <c r="B738" t="s">
        <v>321</v>
      </c>
      <c r="E738" t="s">
        <v>0</v>
      </c>
      <c r="F738" t="e">
        <f>INDEX(IPCCMaps!H:H,MATCH(mapPRC!D738,IPCCMaps!G:G,0))</f>
        <v>#N/A</v>
      </c>
      <c r="G738" t="e">
        <f>INDEX(IPCCMaps!I:I,MATCH(mapPRC!D738,IPCCMaps!G:G,0))</f>
        <v>#N/A</v>
      </c>
      <c r="H738" t="e">
        <f>INDEX(IPCCMaps!J:J,MATCH(mapPRC!D738,IPCCMaps!G:G,0))</f>
        <v>#N/A</v>
      </c>
      <c r="I738" t="e">
        <f>INDEX(IPCCMaps!K:K,MATCH(mapPRC!D738,IPCCMaps!G:G,0))</f>
        <v>#N/A</v>
      </c>
    </row>
    <row r="739" spans="1:9" hidden="1" x14ac:dyDescent="0.25">
      <c r="A739" t="s">
        <v>320</v>
      </c>
      <c r="B739" t="s">
        <v>319</v>
      </c>
      <c r="E739" t="s">
        <v>0</v>
      </c>
      <c r="F739" t="e">
        <f>INDEX(IPCCMaps!H:H,MATCH(mapPRC!D739,IPCCMaps!G:G,0))</f>
        <v>#N/A</v>
      </c>
      <c r="G739" t="e">
        <f>INDEX(IPCCMaps!I:I,MATCH(mapPRC!D739,IPCCMaps!G:G,0))</f>
        <v>#N/A</v>
      </c>
      <c r="H739" t="e">
        <f>INDEX(IPCCMaps!J:J,MATCH(mapPRC!D739,IPCCMaps!G:G,0))</f>
        <v>#N/A</v>
      </c>
      <c r="I739" t="e">
        <f>INDEX(IPCCMaps!K:K,MATCH(mapPRC!D739,IPCCMaps!G:G,0))</f>
        <v>#N/A</v>
      </c>
    </row>
    <row r="740" spans="1:9" hidden="1" x14ac:dyDescent="0.25">
      <c r="A740" t="s">
        <v>318</v>
      </c>
      <c r="B740" t="s">
        <v>317</v>
      </c>
      <c r="C740" t="s">
        <v>145</v>
      </c>
      <c r="D740" t="s">
        <v>144</v>
      </c>
      <c r="E740" t="s">
        <v>143</v>
      </c>
      <c r="F740" t="str">
        <f>INDEX(IPCCMaps!H:H,MATCH(mapPRC!D740,IPCCMaps!G:G,0))</f>
        <v>1 Energy</v>
      </c>
      <c r="G740">
        <f>INDEX(IPCCMaps!I:I,MATCH(mapPRC!D740,IPCCMaps!G:G,0))</f>
        <v>0</v>
      </c>
      <c r="H740">
        <f>INDEX(IPCCMaps!J:J,MATCH(mapPRC!D740,IPCCMaps!G:G,0))</f>
        <v>0</v>
      </c>
      <c r="I740">
        <f>INDEX(IPCCMaps!K:K,MATCH(mapPRC!D740,IPCCMaps!G:G,0))</f>
        <v>0</v>
      </c>
    </row>
    <row r="741" spans="1:9" hidden="1" x14ac:dyDescent="0.25">
      <c r="A741" t="s">
        <v>3130</v>
      </c>
      <c r="B741" t="s">
        <v>3131</v>
      </c>
      <c r="E741" t="s">
        <v>0</v>
      </c>
      <c r="F741" t="e">
        <f>INDEX(IPCCMaps!H:H,MATCH(mapPRC!D741,IPCCMaps!G:G,0))</f>
        <v>#N/A</v>
      </c>
      <c r="G741" t="e">
        <f>INDEX(IPCCMaps!I:I,MATCH(mapPRC!D741,IPCCMaps!G:G,0))</f>
        <v>#N/A</v>
      </c>
      <c r="H741" t="e">
        <f>INDEX(IPCCMaps!J:J,MATCH(mapPRC!D741,IPCCMaps!G:G,0))</f>
        <v>#N/A</v>
      </c>
      <c r="I741" t="e">
        <f>INDEX(IPCCMaps!K:K,MATCH(mapPRC!D741,IPCCMaps!G:G,0))</f>
        <v>#N/A</v>
      </c>
    </row>
    <row r="742" spans="1:9" hidden="1" x14ac:dyDescent="0.25">
      <c r="A742" t="s">
        <v>316</v>
      </c>
      <c r="B742" t="s">
        <v>315</v>
      </c>
      <c r="D742" t="s">
        <v>314</v>
      </c>
      <c r="E742" t="s">
        <v>0</v>
      </c>
      <c r="F742" t="str">
        <f>INDEX(IPCCMaps!H:H,MATCH(mapPRC!D742,IPCCMaps!G:G,0))</f>
        <v xml:space="preserve">2 Industrial Processes and Product Use </v>
      </c>
      <c r="G742" t="str">
        <f>INDEX(IPCCMaps!I:I,MATCH(mapPRC!D742,IPCCMaps!G:G,0))</f>
        <v>2C Metal Industry</v>
      </c>
      <c r="H742" t="str">
        <f>INDEX(IPCCMaps!J:J,MATCH(mapPRC!D742,IPCCMaps!G:G,0))</f>
        <v>2C1 Iron and Steel Production</v>
      </c>
      <c r="I742" t="str">
        <f>INDEX(IPCCMaps!K:K,MATCH(mapPRC!D742,IPCCMaps!G:G,0))</f>
        <v>2C1 Iron and Steel Production</v>
      </c>
    </row>
    <row r="743" spans="1:9" hidden="1" x14ac:dyDescent="0.25">
      <c r="A743" t="s">
        <v>313</v>
      </c>
      <c r="B743" t="s">
        <v>312</v>
      </c>
      <c r="E743" t="s">
        <v>0</v>
      </c>
      <c r="F743" t="e">
        <f>INDEX(IPCCMaps!H:H,MATCH(mapPRC!D743,IPCCMaps!G:G,0))</f>
        <v>#N/A</v>
      </c>
      <c r="G743" t="e">
        <f>INDEX(IPCCMaps!I:I,MATCH(mapPRC!D743,IPCCMaps!G:G,0))</f>
        <v>#N/A</v>
      </c>
      <c r="H743" t="e">
        <f>INDEX(IPCCMaps!J:J,MATCH(mapPRC!D743,IPCCMaps!G:G,0))</f>
        <v>#N/A</v>
      </c>
      <c r="I743" t="e">
        <f>INDEX(IPCCMaps!K:K,MATCH(mapPRC!D743,IPCCMaps!G:G,0))</f>
        <v>#N/A</v>
      </c>
    </row>
    <row r="744" spans="1:9" hidden="1" x14ac:dyDescent="0.25">
      <c r="A744" t="s">
        <v>311</v>
      </c>
      <c r="B744" t="s">
        <v>310</v>
      </c>
      <c r="E744" t="s">
        <v>0</v>
      </c>
      <c r="F744" t="e">
        <f>INDEX(IPCCMaps!H:H,MATCH(mapPRC!D744,IPCCMaps!G:G,0))</f>
        <v>#N/A</v>
      </c>
      <c r="G744" t="e">
        <f>INDEX(IPCCMaps!I:I,MATCH(mapPRC!D744,IPCCMaps!G:G,0))</f>
        <v>#N/A</v>
      </c>
      <c r="H744" t="e">
        <f>INDEX(IPCCMaps!J:J,MATCH(mapPRC!D744,IPCCMaps!G:G,0))</f>
        <v>#N/A</v>
      </c>
      <c r="I744" t="e">
        <f>INDEX(IPCCMaps!K:K,MATCH(mapPRC!D744,IPCCMaps!G:G,0))</f>
        <v>#N/A</v>
      </c>
    </row>
    <row r="745" spans="1:9" hidden="1" x14ac:dyDescent="0.25">
      <c r="A745" t="s">
        <v>309</v>
      </c>
      <c r="B745" t="s">
        <v>308</v>
      </c>
      <c r="E745" t="s">
        <v>0</v>
      </c>
      <c r="F745" t="e">
        <f>INDEX(IPCCMaps!H:H,MATCH(mapPRC!D745,IPCCMaps!G:G,0))</f>
        <v>#N/A</v>
      </c>
      <c r="G745" t="e">
        <f>INDEX(IPCCMaps!I:I,MATCH(mapPRC!D745,IPCCMaps!G:G,0))</f>
        <v>#N/A</v>
      </c>
      <c r="H745" t="e">
        <f>INDEX(IPCCMaps!J:J,MATCH(mapPRC!D745,IPCCMaps!G:G,0))</f>
        <v>#N/A</v>
      </c>
      <c r="I745" t="e">
        <f>INDEX(IPCCMaps!K:K,MATCH(mapPRC!D745,IPCCMaps!G:G,0))</f>
        <v>#N/A</v>
      </c>
    </row>
    <row r="746" spans="1:9" hidden="1" x14ac:dyDescent="0.25">
      <c r="A746" t="s">
        <v>307</v>
      </c>
      <c r="B746" t="s">
        <v>306</v>
      </c>
      <c r="E746" t="s">
        <v>0</v>
      </c>
      <c r="F746" t="e">
        <f>INDEX(IPCCMaps!H:H,MATCH(mapPRC!D746,IPCCMaps!G:G,0))</f>
        <v>#N/A</v>
      </c>
      <c r="G746" t="e">
        <f>INDEX(IPCCMaps!I:I,MATCH(mapPRC!D746,IPCCMaps!G:G,0))</f>
        <v>#N/A</v>
      </c>
      <c r="H746" t="e">
        <f>INDEX(IPCCMaps!J:J,MATCH(mapPRC!D746,IPCCMaps!G:G,0))</f>
        <v>#N/A</v>
      </c>
      <c r="I746" t="e">
        <f>INDEX(IPCCMaps!K:K,MATCH(mapPRC!D746,IPCCMaps!G:G,0))</f>
        <v>#N/A</v>
      </c>
    </row>
    <row r="747" spans="1:9" hidden="1" x14ac:dyDescent="0.25">
      <c r="A747" t="s">
        <v>305</v>
      </c>
      <c r="B747" t="s">
        <v>304</v>
      </c>
      <c r="C747" t="s">
        <v>145</v>
      </c>
      <c r="D747" t="s">
        <v>144</v>
      </c>
      <c r="E747" t="s">
        <v>143</v>
      </c>
      <c r="F747" t="str">
        <f>INDEX(IPCCMaps!H:H,MATCH(mapPRC!D747,IPCCMaps!G:G,0))</f>
        <v>1 Energy</v>
      </c>
      <c r="G747">
        <f>INDEX(IPCCMaps!I:I,MATCH(mapPRC!D747,IPCCMaps!G:G,0))</f>
        <v>0</v>
      </c>
      <c r="H747">
        <f>INDEX(IPCCMaps!J:J,MATCH(mapPRC!D747,IPCCMaps!G:G,0))</f>
        <v>0</v>
      </c>
      <c r="I747">
        <f>INDEX(IPCCMaps!K:K,MATCH(mapPRC!D747,IPCCMaps!G:G,0))</f>
        <v>0</v>
      </c>
    </row>
    <row r="748" spans="1:9" hidden="1" x14ac:dyDescent="0.25">
      <c r="A748" t="s">
        <v>303</v>
      </c>
      <c r="B748" t="s">
        <v>302</v>
      </c>
      <c r="E748" t="s">
        <v>0</v>
      </c>
      <c r="F748" t="e">
        <f>INDEX(IPCCMaps!H:H,MATCH(mapPRC!D748,IPCCMaps!G:G,0))</f>
        <v>#N/A</v>
      </c>
      <c r="G748" t="e">
        <f>INDEX(IPCCMaps!I:I,MATCH(mapPRC!D748,IPCCMaps!G:G,0))</f>
        <v>#N/A</v>
      </c>
      <c r="H748" t="e">
        <f>INDEX(IPCCMaps!J:J,MATCH(mapPRC!D748,IPCCMaps!G:G,0))</f>
        <v>#N/A</v>
      </c>
      <c r="I748" t="e">
        <f>INDEX(IPCCMaps!K:K,MATCH(mapPRC!D748,IPCCMaps!G:G,0))</f>
        <v>#N/A</v>
      </c>
    </row>
    <row r="749" spans="1:9" hidden="1" x14ac:dyDescent="0.25">
      <c r="A749" t="s">
        <v>301</v>
      </c>
      <c r="B749" t="s">
        <v>300</v>
      </c>
      <c r="E749" t="s">
        <v>0</v>
      </c>
      <c r="F749" t="e">
        <f>INDEX(IPCCMaps!H:H,MATCH(mapPRC!D749,IPCCMaps!G:G,0))</f>
        <v>#N/A</v>
      </c>
      <c r="G749" t="e">
        <f>INDEX(IPCCMaps!I:I,MATCH(mapPRC!D749,IPCCMaps!G:G,0))</f>
        <v>#N/A</v>
      </c>
      <c r="H749" t="e">
        <f>INDEX(IPCCMaps!J:J,MATCH(mapPRC!D749,IPCCMaps!G:G,0))</f>
        <v>#N/A</v>
      </c>
      <c r="I749" t="e">
        <f>INDEX(IPCCMaps!K:K,MATCH(mapPRC!D749,IPCCMaps!G:G,0))</f>
        <v>#N/A</v>
      </c>
    </row>
    <row r="750" spans="1:9" hidden="1" x14ac:dyDescent="0.25">
      <c r="A750" t="s">
        <v>299</v>
      </c>
      <c r="B750" t="s">
        <v>298</v>
      </c>
      <c r="E750" t="s">
        <v>0</v>
      </c>
      <c r="F750" t="e">
        <f>INDEX(IPCCMaps!H:H,MATCH(mapPRC!D750,IPCCMaps!G:G,0))</f>
        <v>#N/A</v>
      </c>
      <c r="G750" t="e">
        <f>INDEX(IPCCMaps!I:I,MATCH(mapPRC!D750,IPCCMaps!G:G,0))</f>
        <v>#N/A</v>
      </c>
      <c r="H750" t="e">
        <f>INDEX(IPCCMaps!J:J,MATCH(mapPRC!D750,IPCCMaps!G:G,0))</f>
        <v>#N/A</v>
      </c>
      <c r="I750" t="e">
        <f>INDEX(IPCCMaps!K:K,MATCH(mapPRC!D750,IPCCMaps!G:G,0))</f>
        <v>#N/A</v>
      </c>
    </row>
    <row r="751" spans="1:9" hidden="1" x14ac:dyDescent="0.25">
      <c r="A751" t="s">
        <v>23</v>
      </c>
      <c r="B751" t="s">
        <v>22</v>
      </c>
      <c r="E751" t="s">
        <v>0</v>
      </c>
      <c r="F751" t="e">
        <f>INDEX(IPCCMaps!H:H,MATCH(mapPRC!D751,IPCCMaps!G:G,0))</f>
        <v>#N/A</v>
      </c>
      <c r="G751" t="e">
        <f>INDEX(IPCCMaps!I:I,MATCH(mapPRC!D751,IPCCMaps!G:G,0))</f>
        <v>#N/A</v>
      </c>
      <c r="H751" t="e">
        <f>INDEX(IPCCMaps!J:J,MATCH(mapPRC!D751,IPCCMaps!G:G,0))</f>
        <v>#N/A</v>
      </c>
      <c r="I751" t="e">
        <f>INDEX(IPCCMaps!K:K,MATCH(mapPRC!D751,IPCCMaps!G:G,0))</f>
        <v>#N/A</v>
      </c>
    </row>
    <row r="752" spans="1:9" hidden="1" x14ac:dyDescent="0.25">
      <c r="A752" t="s">
        <v>297</v>
      </c>
      <c r="B752" t="s">
        <v>296</v>
      </c>
      <c r="E752" t="s">
        <v>0</v>
      </c>
      <c r="F752" t="e">
        <f>INDEX(IPCCMaps!H:H,MATCH(mapPRC!D752,IPCCMaps!G:G,0))</f>
        <v>#N/A</v>
      </c>
      <c r="G752" t="e">
        <f>INDEX(IPCCMaps!I:I,MATCH(mapPRC!D752,IPCCMaps!G:G,0))</f>
        <v>#N/A</v>
      </c>
      <c r="H752" t="e">
        <f>INDEX(IPCCMaps!J:J,MATCH(mapPRC!D752,IPCCMaps!G:G,0))</f>
        <v>#N/A</v>
      </c>
      <c r="I752" t="e">
        <f>INDEX(IPCCMaps!K:K,MATCH(mapPRC!D752,IPCCMaps!G:G,0))</f>
        <v>#N/A</v>
      </c>
    </row>
    <row r="753" spans="1:9" hidden="1" x14ac:dyDescent="0.25">
      <c r="A753" t="s">
        <v>295</v>
      </c>
      <c r="B753" t="s">
        <v>294</v>
      </c>
      <c r="E753" t="s">
        <v>0</v>
      </c>
      <c r="F753" t="e">
        <f>INDEX(IPCCMaps!H:H,MATCH(mapPRC!D753,IPCCMaps!G:G,0))</f>
        <v>#N/A</v>
      </c>
      <c r="G753" t="e">
        <f>INDEX(IPCCMaps!I:I,MATCH(mapPRC!D753,IPCCMaps!G:G,0))</f>
        <v>#N/A</v>
      </c>
      <c r="H753" t="e">
        <f>INDEX(IPCCMaps!J:J,MATCH(mapPRC!D753,IPCCMaps!G:G,0))</f>
        <v>#N/A</v>
      </c>
      <c r="I753" t="e">
        <f>INDEX(IPCCMaps!K:K,MATCH(mapPRC!D753,IPCCMaps!G:G,0))</f>
        <v>#N/A</v>
      </c>
    </row>
    <row r="754" spans="1:9" hidden="1" x14ac:dyDescent="0.25">
      <c r="A754" t="s">
        <v>293</v>
      </c>
      <c r="B754" t="s">
        <v>292</v>
      </c>
      <c r="E754" t="s">
        <v>0</v>
      </c>
      <c r="F754" t="e">
        <f>INDEX(IPCCMaps!H:H,MATCH(mapPRC!D754,IPCCMaps!G:G,0))</f>
        <v>#N/A</v>
      </c>
      <c r="G754" t="e">
        <f>INDEX(IPCCMaps!I:I,MATCH(mapPRC!D754,IPCCMaps!G:G,0))</f>
        <v>#N/A</v>
      </c>
      <c r="H754" t="e">
        <f>INDEX(IPCCMaps!J:J,MATCH(mapPRC!D754,IPCCMaps!G:G,0))</f>
        <v>#N/A</v>
      </c>
      <c r="I754" t="e">
        <f>INDEX(IPCCMaps!K:K,MATCH(mapPRC!D754,IPCCMaps!G:G,0))</f>
        <v>#N/A</v>
      </c>
    </row>
    <row r="755" spans="1:9" hidden="1" x14ac:dyDescent="0.25">
      <c r="A755" t="s">
        <v>291</v>
      </c>
      <c r="B755" t="s">
        <v>290</v>
      </c>
      <c r="E755" t="s">
        <v>0</v>
      </c>
      <c r="F755" t="e">
        <f>INDEX(IPCCMaps!H:H,MATCH(mapPRC!D755,IPCCMaps!G:G,0))</f>
        <v>#N/A</v>
      </c>
      <c r="G755" t="e">
        <f>INDEX(IPCCMaps!I:I,MATCH(mapPRC!D755,IPCCMaps!G:G,0))</f>
        <v>#N/A</v>
      </c>
      <c r="H755" t="e">
        <f>INDEX(IPCCMaps!J:J,MATCH(mapPRC!D755,IPCCMaps!G:G,0))</f>
        <v>#N/A</v>
      </c>
      <c r="I755" t="e">
        <f>INDEX(IPCCMaps!K:K,MATCH(mapPRC!D755,IPCCMaps!G:G,0))</f>
        <v>#N/A</v>
      </c>
    </row>
    <row r="756" spans="1:9" hidden="1" x14ac:dyDescent="0.25">
      <c r="A756" t="s">
        <v>289</v>
      </c>
      <c r="B756" t="s">
        <v>288</v>
      </c>
      <c r="E756" t="s">
        <v>0</v>
      </c>
      <c r="F756" t="e">
        <f>INDEX(IPCCMaps!H:H,MATCH(mapPRC!D756,IPCCMaps!G:G,0))</f>
        <v>#N/A</v>
      </c>
      <c r="G756" t="e">
        <f>INDEX(IPCCMaps!I:I,MATCH(mapPRC!D756,IPCCMaps!G:G,0))</f>
        <v>#N/A</v>
      </c>
      <c r="H756" t="e">
        <f>INDEX(IPCCMaps!J:J,MATCH(mapPRC!D756,IPCCMaps!G:G,0))</f>
        <v>#N/A</v>
      </c>
      <c r="I756" t="e">
        <f>INDEX(IPCCMaps!K:K,MATCH(mapPRC!D756,IPCCMaps!G:G,0))</f>
        <v>#N/A</v>
      </c>
    </row>
    <row r="757" spans="1:9" hidden="1" x14ac:dyDescent="0.25">
      <c r="A757" t="s">
        <v>287</v>
      </c>
      <c r="B757" t="s">
        <v>286</v>
      </c>
      <c r="E757" t="s">
        <v>0</v>
      </c>
      <c r="F757" t="e">
        <f>INDEX(IPCCMaps!H:H,MATCH(mapPRC!D757,IPCCMaps!G:G,0))</f>
        <v>#N/A</v>
      </c>
      <c r="G757" t="e">
        <f>INDEX(IPCCMaps!I:I,MATCH(mapPRC!D757,IPCCMaps!G:G,0))</f>
        <v>#N/A</v>
      </c>
      <c r="H757" t="e">
        <f>INDEX(IPCCMaps!J:J,MATCH(mapPRC!D757,IPCCMaps!G:G,0))</f>
        <v>#N/A</v>
      </c>
      <c r="I757" t="e">
        <f>INDEX(IPCCMaps!K:K,MATCH(mapPRC!D757,IPCCMaps!G:G,0))</f>
        <v>#N/A</v>
      </c>
    </row>
    <row r="758" spans="1:9" hidden="1" x14ac:dyDescent="0.25">
      <c r="A758" t="s">
        <v>285</v>
      </c>
      <c r="B758" t="s">
        <v>284</v>
      </c>
      <c r="E758" t="s">
        <v>0</v>
      </c>
      <c r="F758" t="e">
        <f>INDEX(IPCCMaps!H:H,MATCH(mapPRC!D758,IPCCMaps!G:G,0))</f>
        <v>#N/A</v>
      </c>
      <c r="G758" t="e">
        <f>INDEX(IPCCMaps!I:I,MATCH(mapPRC!D758,IPCCMaps!G:G,0))</f>
        <v>#N/A</v>
      </c>
      <c r="H758" t="e">
        <f>INDEX(IPCCMaps!J:J,MATCH(mapPRC!D758,IPCCMaps!G:G,0))</f>
        <v>#N/A</v>
      </c>
      <c r="I758" t="e">
        <f>INDEX(IPCCMaps!K:K,MATCH(mapPRC!D758,IPCCMaps!G:G,0))</f>
        <v>#N/A</v>
      </c>
    </row>
    <row r="759" spans="1:9" hidden="1" x14ac:dyDescent="0.25">
      <c r="A759" t="s">
        <v>283</v>
      </c>
      <c r="B759" t="s">
        <v>282</v>
      </c>
      <c r="E759" t="s">
        <v>0</v>
      </c>
      <c r="F759" t="e">
        <f>INDEX(IPCCMaps!H:H,MATCH(mapPRC!D759,IPCCMaps!G:G,0))</f>
        <v>#N/A</v>
      </c>
      <c r="G759" t="e">
        <f>INDEX(IPCCMaps!I:I,MATCH(mapPRC!D759,IPCCMaps!G:G,0))</f>
        <v>#N/A</v>
      </c>
      <c r="H759" t="e">
        <f>INDEX(IPCCMaps!J:J,MATCH(mapPRC!D759,IPCCMaps!G:G,0))</f>
        <v>#N/A</v>
      </c>
      <c r="I759" t="e">
        <f>INDEX(IPCCMaps!K:K,MATCH(mapPRC!D759,IPCCMaps!G:G,0))</f>
        <v>#N/A</v>
      </c>
    </row>
    <row r="760" spans="1:9" hidden="1" x14ac:dyDescent="0.25">
      <c r="A760" t="s">
        <v>281</v>
      </c>
      <c r="B760" t="s">
        <v>280</v>
      </c>
      <c r="E760" t="s">
        <v>0</v>
      </c>
      <c r="F760" t="e">
        <f>INDEX(IPCCMaps!H:H,MATCH(mapPRC!D760,IPCCMaps!G:G,0))</f>
        <v>#N/A</v>
      </c>
      <c r="G760" t="e">
        <f>INDEX(IPCCMaps!I:I,MATCH(mapPRC!D760,IPCCMaps!G:G,0))</f>
        <v>#N/A</v>
      </c>
      <c r="H760" t="e">
        <f>INDEX(IPCCMaps!J:J,MATCH(mapPRC!D760,IPCCMaps!G:G,0))</f>
        <v>#N/A</v>
      </c>
      <c r="I760" t="e">
        <f>INDEX(IPCCMaps!K:K,MATCH(mapPRC!D760,IPCCMaps!G:G,0))</f>
        <v>#N/A</v>
      </c>
    </row>
    <row r="761" spans="1:9" hidden="1" x14ac:dyDescent="0.25">
      <c r="A761" t="s">
        <v>279</v>
      </c>
      <c r="B761" t="s">
        <v>278</v>
      </c>
      <c r="E761" t="s">
        <v>0</v>
      </c>
      <c r="F761" t="e">
        <f>INDEX(IPCCMaps!H:H,MATCH(mapPRC!D761,IPCCMaps!G:G,0))</f>
        <v>#N/A</v>
      </c>
      <c r="G761" t="e">
        <f>INDEX(IPCCMaps!I:I,MATCH(mapPRC!D761,IPCCMaps!G:G,0))</f>
        <v>#N/A</v>
      </c>
      <c r="H761" t="e">
        <f>INDEX(IPCCMaps!J:J,MATCH(mapPRC!D761,IPCCMaps!G:G,0))</f>
        <v>#N/A</v>
      </c>
      <c r="I761" t="e">
        <f>INDEX(IPCCMaps!K:K,MATCH(mapPRC!D761,IPCCMaps!G:G,0))</f>
        <v>#N/A</v>
      </c>
    </row>
    <row r="762" spans="1:9" hidden="1" x14ac:dyDescent="0.25">
      <c r="A762" t="s">
        <v>277</v>
      </c>
      <c r="B762" t="s">
        <v>276</v>
      </c>
      <c r="C762" t="s">
        <v>145</v>
      </c>
      <c r="D762" t="s">
        <v>144</v>
      </c>
      <c r="E762" t="s">
        <v>143</v>
      </c>
      <c r="F762" t="str">
        <f>INDEX(IPCCMaps!H:H,MATCH(mapPRC!D762,IPCCMaps!G:G,0))</f>
        <v>1 Energy</v>
      </c>
      <c r="G762">
        <f>INDEX(IPCCMaps!I:I,MATCH(mapPRC!D762,IPCCMaps!G:G,0))</f>
        <v>0</v>
      </c>
      <c r="H762">
        <f>INDEX(IPCCMaps!J:J,MATCH(mapPRC!D762,IPCCMaps!G:G,0))</f>
        <v>0</v>
      </c>
      <c r="I762">
        <f>INDEX(IPCCMaps!K:K,MATCH(mapPRC!D762,IPCCMaps!G:G,0))</f>
        <v>0</v>
      </c>
    </row>
    <row r="763" spans="1:9" hidden="1" x14ac:dyDescent="0.25">
      <c r="A763" t="s">
        <v>275</v>
      </c>
      <c r="B763" t="s">
        <v>274</v>
      </c>
      <c r="D763" t="s">
        <v>273</v>
      </c>
      <c r="E763" t="s">
        <v>0</v>
      </c>
      <c r="F763" t="str">
        <f>INDEX(IPCCMaps!H:H,MATCH(mapPRC!D763,IPCCMaps!G:G,0))</f>
        <v xml:space="preserve">2 Industrial Processes and Product Use </v>
      </c>
      <c r="G763" t="str">
        <f>INDEX(IPCCMaps!I:I,MATCH(mapPRC!D763,IPCCMaps!G:G,0))</f>
        <v>2C Metal Industry</v>
      </c>
      <c r="H763" t="str">
        <f>INDEX(IPCCMaps!J:J,MATCH(mapPRC!D763,IPCCMaps!G:G,0))</f>
        <v>2C3 Aluminium Production</v>
      </c>
      <c r="I763" t="str">
        <f>INDEX(IPCCMaps!K:K,MATCH(mapPRC!D763,IPCCMaps!G:G,0))</f>
        <v>2C3 Aluminium Production</v>
      </c>
    </row>
    <row r="764" spans="1:9" hidden="1" x14ac:dyDescent="0.25">
      <c r="A764" t="s">
        <v>272</v>
      </c>
      <c r="B764" t="s">
        <v>271</v>
      </c>
      <c r="E764" t="s">
        <v>0</v>
      </c>
      <c r="F764" t="e">
        <f>INDEX(IPCCMaps!H:H,MATCH(mapPRC!D764,IPCCMaps!G:G,0))</f>
        <v>#N/A</v>
      </c>
      <c r="G764" t="e">
        <f>INDEX(IPCCMaps!I:I,MATCH(mapPRC!D764,IPCCMaps!G:G,0))</f>
        <v>#N/A</v>
      </c>
      <c r="H764" t="e">
        <f>INDEX(IPCCMaps!J:J,MATCH(mapPRC!D764,IPCCMaps!G:G,0))</f>
        <v>#N/A</v>
      </c>
      <c r="I764" t="e">
        <f>INDEX(IPCCMaps!K:K,MATCH(mapPRC!D764,IPCCMaps!G:G,0))</f>
        <v>#N/A</v>
      </c>
    </row>
    <row r="765" spans="1:9" hidden="1" x14ac:dyDescent="0.25">
      <c r="A765" t="s">
        <v>270</v>
      </c>
      <c r="B765" t="s">
        <v>269</v>
      </c>
      <c r="E765" t="s">
        <v>0</v>
      </c>
      <c r="F765" t="e">
        <f>INDEX(IPCCMaps!H:H,MATCH(mapPRC!D765,IPCCMaps!G:G,0))</f>
        <v>#N/A</v>
      </c>
      <c r="G765" t="e">
        <f>INDEX(IPCCMaps!I:I,MATCH(mapPRC!D765,IPCCMaps!G:G,0))</f>
        <v>#N/A</v>
      </c>
      <c r="H765" t="e">
        <f>INDEX(IPCCMaps!J:J,MATCH(mapPRC!D765,IPCCMaps!G:G,0))</f>
        <v>#N/A</v>
      </c>
      <c r="I765" t="e">
        <f>INDEX(IPCCMaps!K:K,MATCH(mapPRC!D765,IPCCMaps!G:G,0))</f>
        <v>#N/A</v>
      </c>
    </row>
    <row r="766" spans="1:9" hidden="1" x14ac:dyDescent="0.25">
      <c r="A766" t="s">
        <v>268</v>
      </c>
      <c r="B766" t="s">
        <v>267</v>
      </c>
      <c r="C766" t="s">
        <v>145</v>
      </c>
      <c r="D766" t="s">
        <v>144</v>
      </c>
      <c r="E766" t="s">
        <v>143</v>
      </c>
      <c r="F766" t="str">
        <f>INDEX(IPCCMaps!H:H,MATCH(mapPRC!D766,IPCCMaps!G:G,0))</f>
        <v>1 Energy</v>
      </c>
      <c r="G766">
        <f>INDEX(IPCCMaps!I:I,MATCH(mapPRC!D766,IPCCMaps!G:G,0))</f>
        <v>0</v>
      </c>
      <c r="H766">
        <f>INDEX(IPCCMaps!J:J,MATCH(mapPRC!D766,IPCCMaps!G:G,0))</f>
        <v>0</v>
      </c>
      <c r="I766">
        <f>INDEX(IPCCMaps!K:K,MATCH(mapPRC!D766,IPCCMaps!G:G,0))</f>
        <v>0</v>
      </c>
    </row>
    <row r="767" spans="1:9" hidden="1" x14ac:dyDescent="0.25">
      <c r="A767" t="s">
        <v>266</v>
      </c>
      <c r="B767" t="s">
        <v>265</v>
      </c>
      <c r="D767" t="s">
        <v>264</v>
      </c>
      <c r="E767" t="s">
        <v>0</v>
      </c>
      <c r="F767" t="str">
        <f>INDEX(IPCCMaps!H:H,MATCH(mapPRC!D767,IPCCMaps!G:G,0))</f>
        <v xml:space="preserve">2 Industrial Processes and Product Use </v>
      </c>
      <c r="G767" t="str">
        <f>INDEX(IPCCMaps!I:I,MATCH(mapPRC!D767,IPCCMaps!G:G,0))</f>
        <v>2A Mineral Industry</v>
      </c>
      <c r="H767" t="str">
        <f>INDEX(IPCCMaps!J:J,MATCH(mapPRC!D767,IPCCMaps!G:G,0))</f>
        <v>2A Mineral Industry</v>
      </c>
      <c r="I767" t="str">
        <f>INDEX(IPCCMaps!K:K,MATCH(mapPRC!D767,IPCCMaps!G:G,0))</f>
        <v>2A Mineral Industry</v>
      </c>
    </row>
    <row r="768" spans="1:9" hidden="1" x14ac:dyDescent="0.25">
      <c r="A768" t="s">
        <v>263</v>
      </c>
      <c r="B768" t="s">
        <v>262</v>
      </c>
      <c r="E768" t="s">
        <v>0</v>
      </c>
      <c r="F768" t="e">
        <f>INDEX(IPCCMaps!H:H,MATCH(mapPRC!D768,IPCCMaps!G:G,0))</f>
        <v>#N/A</v>
      </c>
      <c r="G768" t="e">
        <f>INDEX(IPCCMaps!I:I,MATCH(mapPRC!D768,IPCCMaps!G:G,0))</f>
        <v>#N/A</v>
      </c>
      <c r="H768" t="e">
        <f>INDEX(IPCCMaps!J:J,MATCH(mapPRC!D768,IPCCMaps!G:G,0))</f>
        <v>#N/A</v>
      </c>
      <c r="I768" t="e">
        <f>INDEX(IPCCMaps!K:K,MATCH(mapPRC!D768,IPCCMaps!G:G,0))</f>
        <v>#N/A</v>
      </c>
    </row>
    <row r="769" spans="1:9" hidden="1" x14ac:dyDescent="0.25">
      <c r="A769" t="s">
        <v>261</v>
      </c>
      <c r="B769" t="s">
        <v>260</v>
      </c>
      <c r="C769" t="s">
        <v>145</v>
      </c>
      <c r="D769" t="s">
        <v>144</v>
      </c>
      <c r="E769" t="s">
        <v>143</v>
      </c>
      <c r="F769" t="str">
        <f>INDEX(IPCCMaps!H:H,MATCH(mapPRC!D769,IPCCMaps!G:G,0))</f>
        <v>1 Energy</v>
      </c>
      <c r="G769">
        <f>INDEX(IPCCMaps!I:I,MATCH(mapPRC!D769,IPCCMaps!G:G,0))</f>
        <v>0</v>
      </c>
      <c r="H769">
        <f>INDEX(IPCCMaps!J:J,MATCH(mapPRC!D769,IPCCMaps!G:G,0))</f>
        <v>0</v>
      </c>
      <c r="I769">
        <f>INDEX(IPCCMaps!K:K,MATCH(mapPRC!D769,IPCCMaps!G:G,0))</f>
        <v>0</v>
      </c>
    </row>
    <row r="770" spans="1:9" hidden="1" x14ac:dyDescent="0.25">
      <c r="A770" t="s">
        <v>259</v>
      </c>
      <c r="B770" t="s">
        <v>258</v>
      </c>
      <c r="D770" t="s">
        <v>257</v>
      </c>
      <c r="E770" t="s">
        <v>0</v>
      </c>
      <c r="F770" t="str">
        <f>INDEX(IPCCMaps!H:H,MATCH(mapPRC!D770,IPCCMaps!G:G,0))</f>
        <v xml:space="preserve">2 Industrial Processes and Product Use </v>
      </c>
      <c r="G770" t="str">
        <f>INDEX(IPCCMaps!I:I,MATCH(mapPRC!D770,IPCCMaps!G:G,0))</f>
        <v>2F Product uses as substitutes for ozone depleting substances</v>
      </c>
      <c r="H770" t="str">
        <f>INDEX(IPCCMaps!J:J,MATCH(mapPRC!D770,IPCCMaps!G:G,0))</f>
        <v>2F Product uses as substitutes for ozone depleting substances</v>
      </c>
      <c r="I770" t="str">
        <f>INDEX(IPCCMaps!K:K,MATCH(mapPRC!D770,IPCCMaps!G:G,0))</f>
        <v>2F Product uses as substitutes for ozone depleting substances</v>
      </c>
    </row>
    <row r="771" spans="1:9" hidden="1" x14ac:dyDescent="0.25">
      <c r="A771" t="s">
        <v>256</v>
      </c>
      <c r="B771" t="s">
        <v>255</v>
      </c>
      <c r="E771" t="s">
        <v>0</v>
      </c>
      <c r="F771" t="e">
        <f>INDEX(IPCCMaps!H:H,MATCH(mapPRC!D771,IPCCMaps!G:G,0))</f>
        <v>#N/A</v>
      </c>
      <c r="G771" t="e">
        <f>INDEX(IPCCMaps!I:I,MATCH(mapPRC!D771,IPCCMaps!G:G,0))</f>
        <v>#N/A</v>
      </c>
      <c r="H771" t="e">
        <f>INDEX(IPCCMaps!J:J,MATCH(mapPRC!D771,IPCCMaps!G:G,0))</f>
        <v>#N/A</v>
      </c>
      <c r="I771" t="e">
        <f>INDEX(IPCCMaps!K:K,MATCH(mapPRC!D771,IPCCMaps!G:G,0))</f>
        <v>#N/A</v>
      </c>
    </row>
    <row r="772" spans="1:9" hidden="1" x14ac:dyDescent="0.25">
      <c r="A772" t="s">
        <v>254</v>
      </c>
      <c r="B772" t="s">
        <v>253</v>
      </c>
      <c r="E772" t="s">
        <v>0</v>
      </c>
      <c r="F772" t="e">
        <f>INDEX(IPCCMaps!H:H,MATCH(mapPRC!D772,IPCCMaps!G:G,0))</f>
        <v>#N/A</v>
      </c>
      <c r="G772" t="e">
        <f>INDEX(IPCCMaps!I:I,MATCH(mapPRC!D772,IPCCMaps!G:G,0))</f>
        <v>#N/A</v>
      </c>
      <c r="H772" t="e">
        <f>INDEX(IPCCMaps!J:J,MATCH(mapPRC!D772,IPCCMaps!G:G,0))</f>
        <v>#N/A</v>
      </c>
      <c r="I772" t="e">
        <f>INDEX(IPCCMaps!K:K,MATCH(mapPRC!D772,IPCCMaps!G:G,0))</f>
        <v>#N/A</v>
      </c>
    </row>
    <row r="773" spans="1:9" hidden="1" x14ac:dyDescent="0.25">
      <c r="A773" t="s">
        <v>252</v>
      </c>
      <c r="B773" t="s">
        <v>251</v>
      </c>
      <c r="C773" t="s">
        <v>145</v>
      </c>
      <c r="D773" t="s">
        <v>144</v>
      </c>
      <c r="E773" t="s">
        <v>143</v>
      </c>
      <c r="F773" t="str">
        <f>INDEX(IPCCMaps!H:H,MATCH(mapPRC!D773,IPCCMaps!G:G,0))</f>
        <v>1 Energy</v>
      </c>
      <c r="G773">
        <f>INDEX(IPCCMaps!I:I,MATCH(mapPRC!D773,IPCCMaps!G:G,0))</f>
        <v>0</v>
      </c>
      <c r="H773">
        <f>INDEX(IPCCMaps!J:J,MATCH(mapPRC!D773,IPCCMaps!G:G,0))</f>
        <v>0</v>
      </c>
      <c r="I773">
        <f>INDEX(IPCCMaps!K:K,MATCH(mapPRC!D773,IPCCMaps!G:G,0))</f>
        <v>0</v>
      </c>
    </row>
    <row r="774" spans="1:9" hidden="1" x14ac:dyDescent="0.25">
      <c r="A774" t="s">
        <v>250</v>
      </c>
      <c r="B774" t="s">
        <v>249</v>
      </c>
      <c r="E774" t="s">
        <v>0</v>
      </c>
      <c r="F774" t="e">
        <f>INDEX(IPCCMaps!H:H,MATCH(mapPRC!D774,IPCCMaps!G:G,0))</f>
        <v>#N/A</v>
      </c>
      <c r="G774" t="e">
        <f>INDEX(IPCCMaps!I:I,MATCH(mapPRC!D774,IPCCMaps!G:G,0))</f>
        <v>#N/A</v>
      </c>
      <c r="H774" t="e">
        <f>INDEX(IPCCMaps!J:J,MATCH(mapPRC!D774,IPCCMaps!G:G,0))</f>
        <v>#N/A</v>
      </c>
      <c r="I774" t="e">
        <f>INDEX(IPCCMaps!K:K,MATCH(mapPRC!D774,IPCCMaps!G:G,0))</f>
        <v>#N/A</v>
      </c>
    </row>
    <row r="775" spans="1:9" hidden="1" x14ac:dyDescent="0.25">
      <c r="A775" t="s">
        <v>248</v>
      </c>
      <c r="B775" t="s">
        <v>247</v>
      </c>
      <c r="E775" t="s">
        <v>0</v>
      </c>
      <c r="F775" t="e">
        <f>INDEX(IPCCMaps!H:H,MATCH(mapPRC!D775,IPCCMaps!G:G,0))</f>
        <v>#N/A</v>
      </c>
      <c r="G775" t="e">
        <f>INDEX(IPCCMaps!I:I,MATCH(mapPRC!D775,IPCCMaps!G:G,0))</f>
        <v>#N/A</v>
      </c>
      <c r="H775" t="e">
        <f>INDEX(IPCCMaps!J:J,MATCH(mapPRC!D775,IPCCMaps!G:G,0))</f>
        <v>#N/A</v>
      </c>
      <c r="I775" t="e">
        <f>INDEX(IPCCMaps!K:K,MATCH(mapPRC!D775,IPCCMaps!G:G,0))</f>
        <v>#N/A</v>
      </c>
    </row>
    <row r="776" spans="1:9" hidden="1" x14ac:dyDescent="0.25">
      <c r="A776" t="s">
        <v>246</v>
      </c>
      <c r="B776" t="s">
        <v>245</v>
      </c>
      <c r="E776" t="s">
        <v>0</v>
      </c>
      <c r="F776" t="e">
        <f>INDEX(IPCCMaps!H:H,MATCH(mapPRC!D776,IPCCMaps!G:G,0))</f>
        <v>#N/A</v>
      </c>
      <c r="G776" t="e">
        <f>INDEX(IPCCMaps!I:I,MATCH(mapPRC!D776,IPCCMaps!G:G,0))</f>
        <v>#N/A</v>
      </c>
      <c r="H776" t="e">
        <f>INDEX(IPCCMaps!J:J,MATCH(mapPRC!D776,IPCCMaps!G:G,0))</f>
        <v>#N/A</v>
      </c>
      <c r="I776" t="e">
        <f>INDEX(IPCCMaps!K:K,MATCH(mapPRC!D776,IPCCMaps!G:G,0))</f>
        <v>#N/A</v>
      </c>
    </row>
    <row r="777" spans="1:9" hidden="1" x14ac:dyDescent="0.25">
      <c r="A777" t="s">
        <v>244</v>
      </c>
      <c r="B777" t="s">
        <v>243</v>
      </c>
      <c r="E777" t="s">
        <v>0</v>
      </c>
      <c r="F777" t="e">
        <f>INDEX(IPCCMaps!H:H,MATCH(mapPRC!D777,IPCCMaps!G:G,0))</f>
        <v>#N/A</v>
      </c>
      <c r="G777" t="e">
        <f>INDEX(IPCCMaps!I:I,MATCH(mapPRC!D777,IPCCMaps!G:G,0))</f>
        <v>#N/A</v>
      </c>
      <c r="H777" t="e">
        <f>INDEX(IPCCMaps!J:J,MATCH(mapPRC!D777,IPCCMaps!G:G,0))</f>
        <v>#N/A</v>
      </c>
      <c r="I777" t="e">
        <f>INDEX(IPCCMaps!K:K,MATCH(mapPRC!D777,IPCCMaps!G:G,0))</f>
        <v>#N/A</v>
      </c>
    </row>
    <row r="778" spans="1:9" hidden="1" x14ac:dyDescent="0.25">
      <c r="A778" t="s">
        <v>242</v>
      </c>
      <c r="B778" t="s">
        <v>241</v>
      </c>
      <c r="E778" t="s">
        <v>0</v>
      </c>
      <c r="F778" t="e">
        <f>INDEX(IPCCMaps!H:H,MATCH(mapPRC!D778,IPCCMaps!G:G,0))</f>
        <v>#N/A</v>
      </c>
      <c r="G778" t="e">
        <f>INDEX(IPCCMaps!I:I,MATCH(mapPRC!D778,IPCCMaps!G:G,0))</f>
        <v>#N/A</v>
      </c>
      <c r="H778" t="e">
        <f>INDEX(IPCCMaps!J:J,MATCH(mapPRC!D778,IPCCMaps!G:G,0))</f>
        <v>#N/A</v>
      </c>
      <c r="I778" t="e">
        <f>INDEX(IPCCMaps!K:K,MATCH(mapPRC!D778,IPCCMaps!G:G,0))</f>
        <v>#N/A</v>
      </c>
    </row>
    <row r="779" spans="1:9" hidden="1" x14ac:dyDescent="0.25">
      <c r="A779" t="s">
        <v>240</v>
      </c>
      <c r="B779" t="s">
        <v>239</v>
      </c>
      <c r="E779" t="s">
        <v>0</v>
      </c>
      <c r="F779" t="e">
        <f>INDEX(IPCCMaps!H:H,MATCH(mapPRC!D779,IPCCMaps!G:G,0))</f>
        <v>#N/A</v>
      </c>
      <c r="G779" t="e">
        <f>INDEX(IPCCMaps!I:I,MATCH(mapPRC!D779,IPCCMaps!G:G,0))</f>
        <v>#N/A</v>
      </c>
      <c r="H779" t="e">
        <f>INDEX(IPCCMaps!J:J,MATCH(mapPRC!D779,IPCCMaps!G:G,0))</f>
        <v>#N/A</v>
      </c>
      <c r="I779" t="e">
        <f>INDEX(IPCCMaps!K:K,MATCH(mapPRC!D779,IPCCMaps!G:G,0))</f>
        <v>#N/A</v>
      </c>
    </row>
    <row r="780" spans="1:9" hidden="1" x14ac:dyDescent="0.25">
      <c r="A780" t="s">
        <v>238</v>
      </c>
      <c r="B780" t="s">
        <v>237</v>
      </c>
      <c r="E780" t="s">
        <v>0</v>
      </c>
      <c r="F780" t="e">
        <f>INDEX(IPCCMaps!H:H,MATCH(mapPRC!D780,IPCCMaps!G:G,0))</f>
        <v>#N/A</v>
      </c>
      <c r="G780" t="e">
        <f>INDEX(IPCCMaps!I:I,MATCH(mapPRC!D780,IPCCMaps!G:G,0))</f>
        <v>#N/A</v>
      </c>
      <c r="H780" t="e">
        <f>INDEX(IPCCMaps!J:J,MATCH(mapPRC!D780,IPCCMaps!G:G,0))</f>
        <v>#N/A</v>
      </c>
      <c r="I780" t="e">
        <f>INDEX(IPCCMaps!K:K,MATCH(mapPRC!D780,IPCCMaps!G:G,0))</f>
        <v>#N/A</v>
      </c>
    </row>
    <row r="781" spans="1:9" hidden="1" x14ac:dyDescent="0.25">
      <c r="A781" t="s">
        <v>236</v>
      </c>
      <c r="B781" t="s">
        <v>235</v>
      </c>
      <c r="E781" t="s">
        <v>0</v>
      </c>
      <c r="F781" t="e">
        <f>INDEX(IPCCMaps!H:H,MATCH(mapPRC!D781,IPCCMaps!G:G,0))</f>
        <v>#N/A</v>
      </c>
      <c r="G781" t="e">
        <f>INDEX(IPCCMaps!I:I,MATCH(mapPRC!D781,IPCCMaps!G:G,0))</f>
        <v>#N/A</v>
      </c>
      <c r="H781" t="e">
        <f>INDEX(IPCCMaps!J:J,MATCH(mapPRC!D781,IPCCMaps!G:G,0))</f>
        <v>#N/A</v>
      </c>
      <c r="I781" t="e">
        <f>INDEX(IPCCMaps!K:K,MATCH(mapPRC!D781,IPCCMaps!G:G,0))</f>
        <v>#N/A</v>
      </c>
    </row>
    <row r="782" spans="1:9" hidden="1" x14ac:dyDescent="0.25">
      <c r="A782" t="s">
        <v>234</v>
      </c>
      <c r="B782" t="s">
        <v>233</v>
      </c>
      <c r="E782" t="s">
        <v>0</v>
      </c>
      <c r="F782" t="e">
        <f>INDEX(IPCCMaps!H:H,MATCH(mapPRC!D782,IPCCMaps!G:G,0))</f>
        <v>#N/A</v>
      </c>
      <c r="G782" t="e">
        <f>INDEX(IPCCMaps!I:I,MATCH(mapPRC!D782,IPCCMaps!G:G,0))</f>
        <v>#N/A</v>
      </c>
      <c r="H782" t="e">
        <f>INDEX(IPCCMaps!J:J,MATCH(mapPRC!D782,IPCCMaps!G:G,0))</f>
        <v>#N/A</v>
      </c>
      <c r="I782" t="e">
        <f>INDEX(IPCCMaps!K:K,MATCH(mapPRC!D782,IPCCMaps!G:G,0))</f>
        <v>#N/A</v>
      </c>
    </row>
    <row r="783" spans="1:9" hidden="1" x14ac:dyDescent="0.25">
      <c r="A783" t="s">
        <v>232</v>
      </c>
      <c r="B783" t="s">
        <v>231</v>
      </c>
      <c r="E783" t="s">
        <v>0</v>
      </c>
      <c r="F783" t="e">
        <f>INDEX(IPCCMaps!H:H,MATCH(mapPRC!D783,IPCCMaps!G:G,0))</f>
        <v>#N/A</v>
      </c>
      <c r="G783" t="e">
        <f>INDEX(IPCCMaps!I:I,MATCH(mapPRC!D783,IPCCMaps!G:G,0))</f>
        <v>#N/A</v>
      </c>
      <c r="H783" t="e">
        <f>INDEX(IPCCMaps!J:J,MATCH(mapPRC!D783,IPCCMaps!G:G,0))</f>
        <v>#N/A</v>
      </c>
      <c r="I783" t="e">
        <f>INDEX(IPCCMaps!K:K,MATCH(mapPRC!D783,IPCCMaps!G:G,0))</f>
        <v>#N/A</v>
      </c>
    </row>
    <row r="784" spans="1:9" hidden="1" x14ac:dyDescent="0.25">
      <c r="A784" t="s">
        <v>230</v>
      </c>
      <c r="B784" t="s">
        <v>229</v>
      </c>
      <c r="E784" t="s">
        <v>0</v>
      </c>
      <c r="F784" t="e">
        <f>INDEX(IPCCMaps!H:H,MATCH(mapPRC!D784,IPCCMaps!G:G,0))</f>
        <v>#N/A</v>
      </c>
      <c r="G784" t="e">
        <f>INDEX(IPCCMaps!I:I,MATCH(mapPRC!D784,IPCCMaps!G:G,0))</f>
        <v>#N/A</v>
      </c>
      <c r="H784" t="e">
        <f>INDEX(IPCCMaps!J:J,MATCH(mapPRC!D784,IPCCMaps!G:G,0))</f>
        <v>#N/A</v>
      </c>
      <c r="I784" t="e">
        <f>INDEX(IPCCMaps!K:K,MATCH(mapPRC!D784,IPCCMaps!G:G,0))</f>
        <v>#N/A</v>
      </c>
    </row>
    <row r="785" spans="1:9" hidden="1" x14ac:dyDescent="0.25">
      <c r="A785" t="s">
        <v>226</v>
      </c>
      <c r="B785" t="s">
        <v>225</v>
      </c>
      <c r="E785" t="s">
        <v>0</v>
      </c>
      <c r="F785" t="e">
        <f>INDEX(IPCCMaps!H:H,MATCH(mapPRC!D785,IPCCMaps!G:G,0))</f>
        <v>#N/A</v>
      </c>
      <c r="G785" t="e">
        <f>INDEX(IPCCMaps!I:I,MATCH(mapPRC!D785,IPCCMaps!G:G,0))</f>
        <v>#N/A</v>
      </c>
      <c r="H785" t="e">
        <f>INDEX(IPCCMaps!J:J,MATCH(mapPRC!D785,IPCCMaps!G:G,0))</f>
        <v>#N/A</v>
      </c>
      <c r="I785" t="e">
        <f>INDEX(IPCCMaps!K:K,MATCH(mapPRC!D785,IPCCMaps!G:G,0))</f>
        <v>#N/A</v>
      </c>
    </row>
    <row r="786" spans="1:9" hidden="1" x14ac:dyDescent="0.25">
      <c r="A786" t="s">
        <v>228</v>
      </c>
      <c r="B786" t="s">
        <v>227</v>
      </c>
      <c r="E786" t="s">
        <v>0</v>
      </c>
      <c r="F786" t="e">
        <f>INDEX(IPCCMaps!H:H,MATCH(mapPRC!D786,IPCCMaps!G:G,0))</f>
        <v>#N/A</v>
      </c>
      <c r="G786" t="e">
        <f>INDEX(IPCCMaps!I:I,MATCH(mapPRC!D786,IPCCMaps!G:G,0))</f>
        <v>#N/A</v>
      </c>
      <c r="H786" t="e">
        <f>INDEX(IPCCMaps!J:J,MATCH(mapPRC!D786,IPCCMaps!G:G,0))</f>
        <v>#N/A</v>
      </c>
      <c r="I786" t="e">
        <f>INDEX(IPCCMaps!K:K,MATCH(mapPRC!D786,IPCCMaps!G:G,0))</f>
        <v>#N/A</v>
      </c>
    </row>
    <row r="787" spans="1:9" hidden="1" x14ac:dyDescent="0.25">
      <c r="A787" t="s">
        <v>222</v>
      </c>
      <c r="B787" t="s">
        <v>221</v>
      </c>
      <c r="E787" t="s">
        <v>0</v>
      </c>
      <c r="F787" t="e">
        <f>INDEX(IPCCMaps!H:H,MATCH(mapPRC!D787,IPCCMaps!G:G,0))</f>
        <v>#N/A</v>
      </c>
      <c r="G787" t="e">
        <f>INDEX(IPCCMaps!I:I,MATCH(mapPRC!D787,IPCCMaps!G:G,0))</f>
        <v>#N/A</v>
      </c>
      <c r="H787" t="e">
        <f>INDEX(IPCCMaps!J:J,MATCH(mapPRC!D787,IPCCMaps!G:G,0))</f>
        <v>#N/A</v>
      </c>
      <c r="I787" t="e">
        <f>INDEX(IPCCMaps!K:K,MATCH(mapPRC!D787,IPCCMaps!G:G,0))</f>
        <v>#N/A</v>
      </c>
    </row>
    <row r="788" spans="1:9" hidden="1" x14ac:dyDescent="0.25">
      <c r="A788" t="s">
        <v>224</v>
      </c>
      <c r="B788" t="s">
        <v>223</v>
      </c>
      <c r="E788" t="s">
        <v>0</v>
      </c>
      <c r="F788" t="e">
        <f>INDEX(IPCCMaps!H:H,MATCH(mapPRC!D788,IPCCMaps!G:G,0))</f>
        <v>#N/A</v>
      </c>
      <c r="G788" t="e">
        <f>INDEX(IPCCMaps!I:I,MATCH(mapPRC!D788,IPCCMaps!G:G,0))</f>
        <v>#N/A</v>
      </c>
      <c r="H788" t="e">
        <f>INDEX(IPCCMaps!J:J,MATCH(mapPRC!D788,IPCCMaps!G:G,0))</f>
        <v>#N/A</v>
      </c>
      <c r="I788" t="e">
        <f>INDEX(IPCCMaps!K:K,MATCH(mapPRC!D788,IPCCMaps!G:G,0))</f>
        <v>#N/A</v>
      </c>
    </row>
    <row r="789" spans="1:9" hidden="1" x14ac:dyDescent="0.25">
      <c r="A789" t="s">
        <v>220</v>
      </c>
      <c r="B789" t="s">
        <v>219</v>
      </c>
      <c r="E789" t="s">
        <v>0</v>
      </c>
      <c r="F789" t="e">
        <f>INDEX(IPCCMaps!H:H,MATCH(mapPRC!D789,IPCCMaps!G:G,0))</f>
        <v>#N/A</v>
      </c>
      <c r="G789" t="e">
        <f>INDEX(IPCCMaps!I:I,MATCH(mapPRC!D789,IPCCMaps!G:G,0))</f>
        <v>#N/A</v>
      </c>
      <c r="H789" t="e">
        <f>INDEX(IPCCMaps!J:J,MATCH(mapPRC!D789,IPCCMaps!G:G,0))</f>
        <v>#N/A</v>
      </c>
      <c r="I789" t="e">
        <f>INDEX(IPCCMaps!K:K,MATCH(mapPRC!D789,IPCCMaps!G:G,0))</f>
        <v>#N/A</v>
      </c>
    </row>
    <row r="790" spans="1:9" hidden="1" x14ac:dyDescent="0.25">
      <c r="A790" t="s">
        <v>218</v>
      </c>
      <c r="B790" t="s">
        <v>217</v>
      </c>
      <c r="E790" t="s">
        <v>0</v>
      </c>
      <c r="F790" t="e">
        <f>INDEX(IPCCMaps!H:H,MATCH(mapPRC!D790,IPCCMaps!G:G,0))</f>
        <v>#N/A</v>
      </c>
      <c r="G790" t="e">
        <f>INDEX(IPCCMaps!I:I,MATCH(mapPRC!D790,IPCCMaps!G:G,0))</f>
        <v>#N/A</v>
      </c>
      <c r="H790" t="e">
        <f>INDEX(IPCCMaps!J:J,MATCH(mapPRC!D790,IPCCMaps!G:G,0))</f>
        <v>#N/A</v>
      </c>
      <c r="I790" t="e">
        <f>INDEX(IPCCMaps!K:K,MATCH(mapPRC!D790,IPCCMaps!G:G,0))</f>
        <v>#N/A</v>
      </c>
    </row>
    <row r="791" spans="1:9" hidden="1" x14ac:dyDescent="0.25">
      <c r="A791" t="s">
        <v>216</v>
      </c>
      <c r="B791" t="s">
        <v>215</v>
      </c>
      <c r="E791" t="s">
        <v>0</v>
      </c>
      <c r="F791" t="e">
        <f>INDEX(IPCCMaps!H:H,MATCH(mapPRC!D791,IPCCMaps!G:G,0))</f>
        <v>#N/A</v>
      </c>
      <c r="G791" t="e">
        <f>INDEX(IPCCMaps!I:I,MATCH(mapPRC!D791,IPCCMaps!G:G,0))</f>
        <v>#N/A</v>
      </c>
      <c r="H791" t="e">
        <f>INDEX(IPCCMaps!J:J,MATCH(mapPRC!D791,IPCCMaps!G:G,0))</f>
        <v>#N/A</v>
      </c>
      <c r="I791" t="e">
        <f>INDEX(IPCCMaps!K:K,MATCH(mapPRC!D791,IPCCMaps!G:G,0))</f>
        <v>#N/A</v>
      </c>
    </row>
    <row r="792" spans="1:9" hidden="1" x14ac:dyDescent="0.25">
      <c r="A792" t="s">
        <v>214</v>
      </c>
      <c r="B792" t="s">
        <v>213</v>
      </c>
      <c r="E792" t="s">
        <v>0</v>
      </c>
      <c r="F792" t="e">
        <f>INDEX(IPCCMaps!H:H,MATCH(mapPRC!D792,IPCCMaps!G:G,0))</f>
        <v>#N/A</v>
      </c>
      <c r="G792" t="e">
        <f>INDEX(IPCCMaps!I:I,MATCH(mapPRC!D792,IPCCMaps!G:G,0))</f>
        <v>#N/A</v>
      </c>
      <c r="H792" t="e">
        <f>INDEX(IPCCMaps!J:J,MATCH(mapPRC!D792,IPCCMaps!G:G,0))</f>
        <v>#N/A</v>
      </c>
      <c r="I792" t="e">
        <f>INDEX(IPCCMaps!K:K,MATCH(mapPRC!D792,IPCCMaps!G:G,0))</f>
        <v>#N/A</v>
      </c>
    </row>
    <row r="793" spans="1:9" hidden="1" x14ac:dyDescent="0.25">
      <c r="A793" t="s">
        <v>212</v>
      </c>
      <c r="B793" t="s">
        <v>211</v>
      </c>
      <c r="E793" t="s">
        <v>0</v>
      </c>
      <c r="F793" t="e">
        <f>INDEX(IPCCMaps!H:H,MATCH(mapPRC!D793,IPCCMaps!G:G,0))</f>
        <v>#N/A</v>
      </c>
      <c r="G793" t="e">
        <f>INDEX(IPCCMaps!I:I,MATCH(mapPRC!D793,IPCCMaps!G:G,0))</f>
        <v>#N/A</v>
      </c>
      <c r="H793" t="e">
        <f>INDEX(IPCCMaps!J:J,MATCH(mapPRC!D793,IPCCMaps!G:G,0))</f>
        <v>#N/A</v>
      </c>
      <c r="I793" t="e">
        <f>INDEX(IPCCMaps!K:K,MATCH(mapPRC!D793,IPCCMaps!G:G,0))</f>
        <v>#N/A</v>
      </c>
    </row>
    <row r="794" spans="1:9" hidden="1" x14ac:dyDescent="0.25">
      <c r="A794" t="s">
        <v>210</v>
      </c>
      <c r="B794" t="s">
        <v>209</v>
      </c>
      <c r="E794" t="s">
        <v>0</v>
      </c>
      <c r="F794" t="e">
        <f>INDEX(IPCCMaps!H:H,MATCH(mapPRC!D794,IPCCMaps!G:G,0))</f>
        <v>#N/A</v>
      </c>
      <c r="G794" t="e">
        <f>INDEX(IPCCMaps!I:I,MATCH(mapPRC!D794,IPCCMaps!G:G,0))</f>
        <v>#N/A</v>
      </c>
      <c r="H794" t="e">
        <f>INDEX(IPCCMaps!J:J,MATCH(mapPRC!D794,IPCCMaps!G:G,0))</f>
        <v>#N/A</v>
      </c>
      <c r="I794" t="e">
        <f>INDEX(IPCCMaps!K:K,MATCH(mapPRC!D794,IPCCMaps!G:G,0))</f>
        <v>#N/A</v>
      </c>
    </row>
    <row r="795" spans="1:9" hidden="1" x14ac:dyDescent="0.25">
      <c r="A795" t="s">
        <v>208</v>
      </c>
      <c r="B795" t="s">
        <v>207</v>
      </c>
      <c r="E795" t="s">
        <v>0</v>
      </c>
      <c r="F795" t="e">
        <f>INDEX(IPCCMaps!H:H,MATCH(mapPRC!D795,IPCCMaps!G:G,0))</f>
        <v>#N/A</v>
      </c>
      <c r="G795" t="e">
        <f>INDEX(IPCCMaps!I:I,MATCH(mapPRC!D795,IPCCMaps!G:G,0))</f>
        <v>#N/A</v>
      </c>
      <c r="H795" t="e">
        <f>INDEX(IPCCMaps!J:J,MATCH(mapPRC!D795,IPCCMaps!G:G,0))</f>
        <v>#N/A</v>
      </c>
      <c r="I795" t="e">
        <f>INDEX(IPCCMaps!K:K,MATCH(mapPRC!D795,IPCCMaps!G:G,0))</f>
        <v>#N/A</v>
      </c>
    </row>
    <row r="796" spans="1:9" hidden="1" x14ac:dyDescent="0.25">
      <c r="A796" t="s">
        <v>206</v>
      </c>
      <c r="B796" t="s">
        <v>205</v>
      </c>
      <c r="E796" t="s">
        <v>0</v>
      </c>
      <c r="F796" t="e">
        <f>INDEX(IPCCMaps!H:H,MATCH(mapPRC!D796,IPCCMaps!G:G,0))</f>
        <v>#N/A</v>
      </c>
      <c r="G796" t="e">
        <f>INDEX(IPCCMaps!I:I,MATCH(mapPRC!D796,IPCCMaps!G:G,0))</f>
        <v>#N/A</v>
      </c>
      <c r="H796" t="e">
        <f>INDEX(IPCCMaps!J:J,MATCH(mapPRC!D796,IPCCMaps!G:G,0))</f>
        <v>#N/A</v>
      </c>
      <c r="I796" t="e">
        <f>INDEX(IPCCMaps!K:K,MATCH(mapPRC!D796,IPCCMaps!G:G,0))</f>
        <v>#N/A</v>
      </c>
    </row>
    <row r="797" spans="1:9" hidden="1" x14ac:dyDescent="0.25">
      <c r="A797" t="s">
        <v>204</v>
      </c>
      <c r="B797" t="s">
        <v>203</v>
      </c>
      <c r="E797" t="s">
        <v>0</v>
      </c>
      <c r="F797" t="e">
        <f>INDEX(IPCCMaps!H:H,MATCH(mapPRC!D797,IPCCMaps!G:G,0))</f>
        <v>#N/A</v>
      </c>
      <c r="G797" t="e">
        <f>INDEX(IPCCMaps!I:I,MATCH(mapPRC!D797,IPCCMaps!G:G,0))</f>
        <v>#N/A</v>
      </c>
      <c r="H797" t="e">
        <f>INDEX(IPCCMaps!J:J,MATCH(mapPRC!D797,IPCCMaps!G:G,0))</f>
        <v>#N/A</v>
      </c>
      <c r="I797" t="e">
        <f>INDEX(IPCCMaps!K:K,MATCH(mapPRC!D797,IPCCMaps!G:G,0))</f>
        <v>#N/A</v>
      </c>
    </row>
    <row r="798" spans="1:9" hidden="1" x14ac:dyDescent="0.25">
      <c r="A798" t="s">
        <v>202</v>
      </c>
      <c r="B798" t="s">
        <v>201</v>
      </c>
      <c r="E798" t="s">
        <v>0</v>
      </c>
      <c r="F798" t="e">
        <f>INDEX(IPCCMaps!H:H,MATCH(mapPRC!D798,IPCCMaps!G:G,0))</f>
        <v>#N/A</v>
      </c>
      <c r="G798" t="e">
        <f>INDEX(IPCCMaps!I:I,MATCH(mapPRC!D798,IPCCMaps!G:G,0))</f>
        <v>#N/A</v>
      </c>
      <c r="H798" t="e">
        <f>INDEX(IPCCMaps!J:J,MATCH(mapPRC!D798,IPCCMaps!G:G,0))</f>
        <v>#N/A</v>
      </c>
      <c r="I798" t="e">
        <f>INDEX(IPCCMaps!K:K,MATCH(mapPRC!D798,IPCCMaps!G:G,0))</f>
        <v>#N/A</v>
      </c>
    </row>
    <row r="799" spans="1:9" hidden="1" x14ac:dyDescent="0.25">
      <c r="A799" t="s">
        <v>200</v>
      </c>
      <c r="B799" t="s">
        <v>199</v>
      </c>
      <c r="E799" t="s">
        <v>0</v>
      </c>
      <c r="F799" t="e">
        <f>INDEX(IPCCMaps!H:H,MATCH(mapPRC!D799,IPCCMaps!G:G,0))</f>
        <v>#N/A</v>
      </c>
      <c r="G799" t="e">
        <f>INDEX(IPCCMaps!I:I,MATCH(mapPRC!D799,IPCCMaps!G:G,0))</f>
        <v>#N/A</v>
      </c>
      <c r="H799" t="e">
        <f>INDEX(IPCCMaps!J:J,MATCH(mapPRC!D799,IPCCMaps!G:G,0))</f>
        <v>#N/A</v>
      </c>
      <c r="I799" t="e">
        <f>INDEX(IPCCMaps!K:K,MATCH(mapPRC!D799,IPCCMaps!G:G,0))</f>
        <v>#N/A</v>
      </c>
    </row>
    <row r="800" spans="1:9" hidden="1" x14ac:dyDescent="0.25">
      <c r="A800" t="s">
        <v>198</v>
      </c>
      <c r="B800" t="s">
        <v>197</v>
      </c>
      <c r="E800" t="s">
        <v>0</v>
      </c>
      <c r="F800" t="e">
        <f>INDEX(IPCCMaps!H:H,MATCH(mapPRC!D800,IPCCMaps!G:G,0))</f>
        <v>#N/A</v>
      </c>
      <c r="G800" t="e">
        <f>INDEX(IPCCMaps!I:I,MATCH(mapPRC!D800,IPCCMaps!G:G,0))</f>
        <v>#N/A</v>
      </c>
      <c r="H800" t="e">
        <f>INDEX(IPCCMaps!J:J,MATCH(mapPRC!D800,IPCCMaps!G:G,0))</f>
        <v>#N/A</v>
      </c>
      <c r="I800" t="e">
        <f>INDEX(IPCCMaps!K:K,MATCH(mapPRC!D800,IPCCMaps!G:G,0))</f>
        <v>#N/A</v>
      </c>
    </row>
    <row r="801" spans="1:9" hidden="1" x14ac:dyDescent="0.25">
      <c r="A801" t="s">
        <v>196</v>
      </c>
      <c r="B801" t="s">
        <v>195</v>
      </c>
      <c r="E801" t="s">
        <v>0</v>
      </c>
      <c r="F801" t="e">
        <f>INDEX(IPCCMaps!H:H,MATCH(mapPRC!D801,IPCCMaps!G:G,0))</f>
        <v>#N/A</v>
      </c>
      <c r="G801" t="e">
        <f>INDEX(IPCCMaps!I:I,MATCH(mapPRC!D801,IPCCMaps!G:G,0))</f>
        <v>#N/A</v>
      </c>
      <c r="H801" t="e">
        <f>INDEX(IPCCMaps!J:J,MATCH(mapPRC!D801,IPCCMaps!G:G,0))</f>
        <v>#N/A</v>
      </c>
      <c r="I801" t="e">
        <f>INDEX(IPCCMaps!K:K,MATCH(mapPRC!D801,IPCCMaps!G:G,0))</f>
        <v>#N/A</v>
      </c>
    </row>
    <row r="802" spans="1:9" hidden="1" x14ac:dyDescent="0.25">
      <c r="A802" t="s">
        <v>194</v>
      </c>
      <c r="B802" t="s">
        <v>193</v>
      </c>
      <c r="E802" t="s">
        <v>0</v>
      </c>
      <c r="F802" t="e">
        <f>INDEX(IPCCMaps!H:H,MATCH(mapPRC!D802,IPCCMaps!G:G,0))</f>
        <v>#N/A</v>
      </c>
      <c r="G802" t="e">
        <f>INDEX(IPCCMaps!I:I,MATCH(mapPRC!D802,IPCCMaps!G:G,0))</f>
        <v>#N/A</v>
      </c>
      <c r="H802" t="e">
        <f>INDEX(IPCCMaps!J:J,MATCH(mapPRC!D802,IPCCMaps!G:G,0))</f>
        <v>#N/A</v>
      </c>
      <c r="I802" t="e">
        <f>INDEX(IPCCMaps!K:K,MATCH(mapPRC!D802,IPCCMaps!G:G,0))</f>
        <v>#N/A</v>
      </c>
    </row>
    <row r="803" spans="1:9" hidden="1" x14ac:dyDescent="0.25">
      <c r="A803" t="s">
        <v>192</v>
      </c>
      <c r="B803" t="s">
        <v>191</v>
      </c>
      <c r="C803" t="s">
        <v>145</v>
      </c>
      <c r="D803" t="s">
        <v>144</v>
      </c>
      <c r="E803" t="s">
        <v>190</v>
      </c>
      <c r="F803" t="str">
        <f>INDEX(IPCCMaps!H:H,MATCH(mapPRC!D803,IPCCMaps!G:G,0))</f>
        <v>1 Energy</v>
      </c>
      <c r="G803">
        <f>INDEX(IPCCMaps!I:I,MATCH(mapPRC!D803,IPCCMaps!G:G,0))</f>
        <v>0</v>
      </c>
      <c r="H803">
        <f>INDEX(IPCCMaps!J:J,MATCH(mapPRC!D803,IPCCMaps!G:G,0))</f>
        <v>0</v>
      </c>
      <c r="I803">
        <f>INDEX(IPCCMaps!K:K,MATCH(mapPRC!D803,IPCCMaps!G:G,0))</f>
        <v>0</v>
      </c>
    </row>
    <row r="804" spans="1:9" hidden="1" x14ac:dyDescent="0.25">
      <c r="A804" t="s">
        <v>189</v>
      </c>
      <c r="B804" t="s">
        <v>188</v>
      </c>
      <c r="E804" t="s">
        <v>0</v>
      </c>
      <c r="F804" t="e">
        <f>INDEX(IPCCMaps!H:H,MATCH(mapPRC!D804,IPCCMaps!G:G,0))</f>
        <v>#N/A</v>
      </c>
      <c r="G804" t="e">
        <f>INDEX(IPCCMaps!I:I,MATCH(mapPRC!D804,IPCCMaps!G:G,0))</f>
        <v>#N/A</v>
      </c>
      <c r="H804" t="e">
        <f>INDEX(IPCCMaps!J:J,MATCH(mapPRC!D804,IPCCMaps!G:G,0))</f>
        <v>#N/A</v>
      </c>
      <c r="I804" t="e">
        <f>INDEX(IPCCMaps!K:K,MATCH(mapPRC!D804,IPCCMaps!G:G,0))</f>
        <v>#N/A</v>
      </c>
    </row>
    <row r="805" spans="1:9" hidden="1" x14ac:dyDescent="0.25">
      <c r="A805" t="s">
        <v>187</v>
      </c>
      <c r="B805" t="s">
        <v>186</v>
      </c>
      <c r="E805" t="s">
        <v>0</v>
      </c>
      <c r="F805" t="e">
        <f>INDEX(IPCCMaps!H:H,MATCH(mapPRC!D805,IPCCMaps!G:G,0))</f>
        <v>#N/A</v>
      </c>
      <c r="G805" t="e">
        <f>INDEX(IPCCMaps!I:I,MATCH(mapPRC!D805,IPCCMaps!G:G,0))</f>
        <v>#N/A</v>
      </c>
      <c r="H805" t="e">
        <f>INDEX(IPCCMaps!J:J,MATCH(mapPRC!D805,IPCCMaps!G:G,0))</f>
        <v>#N/A</v>
      </c>
      <c r="I805" t="e">
        <f>INDEX(IPCCMaps!K:K,MATCH(mapPRC!D805,IPCCMaps!G:G,0))</f>
        <v>#N/A</v>
      </c>
    </row>
    <row r="806" spans="1:9" hidden="1" x14ac:dyDescent="0.25">
      <c r="A806" t="s">
        <v>185</v>
      </c>
      <c r="B806" t="s">
        <v>184</v>
      </c>
      <c r="E806" t="s">
        <v>0</v>
      </c>
      <c r="F806" t="e">
        <f>INDEX(IPCCMaps!H:H,MATCH(mapPRC!D806,IPCCMaps!G:G,0))</f>
        <v>#N/A</v>
      </c>
      <c r="G806" t="e">
        <f>INDEX(IPCCMaps!I:I,MATCH(mapPRC!D806,IPCCMaps!G:G,0))</f>
        <v>#N/A</v>
      </c>
      <c r="H806" t="e">
        <f>INDEX(IPCCMaps!J:J,MATCH(mapPRC!D806,IPCCMaps!G:G,0))</f>
        <v>#N/A</v>
      </c>
      <c r="I806" t="e">
        <f>INDEX(IPCCMaps!K:K,MATCH(mapPRC!D806,IPCCMaps!G:G,0))</f>
        <v>#N/A</v>
      </c>
    </row>
    <row r="807" spans="1:9" hidden="1" x14ac:dyDescent="0.25">
      <c r="A807" t="s">
        <v>183</v>
      </c>
      <c r="B807" t="s">
        <v>182</v>
      </c>
      <c r="E807" t="s">
        <v>0</v>
      </c>
      <c r="F807" t="e">
        <f>INDEX(IPCCMaps!H:H,MATCH(mapPRC!D807,IPCCMaps!G:G,0))</f>
        <v>#N/A</v>
      </c>
      <c r="G807" t="e">
        <f>INDEX(IPCCMaps!I:I,MATCH(mapPRC!D807,IPCCMaps!G:G,0))</f>
        <v>#N/A</v>
      </c>
      <c r="H807" t="e">
        <f>INDEX(IPCCMaps!J:J,MATCH(mapPRC!D807,IPCCMaps!G:G,0))</f>
        <v>#N/A</v>
      </c>
      <c r="I807" t="e">
        <f>INDEX(IPCCMaps!K:K,MATCH(mapPRC!D807,IPCCMaps!G:G,0))</f>
        <v>#N/A</v>
      </c>
    </row>
    <row r="808" spans="1:9" hidden="1" x14ac:dyDescent="0.25">
      <c r="A808" t="s">
        <v>181</v>
      </c>
      <c r="B808" t="s">
        <v>180</v>
      </c>
      <c r="E808" t="s">
        <v>0</v>
      </c>
      <c r="F808" t="e">
        <f>INDEX(IPCCMaps!H:H,MATCH(mapPRC!D808,IPCCMaps!G:G,0))</f>
        <v>#N/A</v>
      </c>
      <c r="G808" t="e">
        <f>INDEX(IPCCMaps!I:I,MATCH(mapPRC!D808,IPCCMaps!G:G,0))</f>
        <v>#N/A</v>
      </c>
      <c r="H808" t="e">
        <f>INDEX(IPCCMaps!J:J,MATCH(mapPRC!D808,IPCCMaps!G:G,0))</f>
        <v>#N/A</v>
      </c>
      <c r="I808" t="e">
        <f>INDEX(IPCCMaps!K:K,MATCH(mapPRC!D808,IPCCMaps!G:G,0))</f>
        <v>#N/A</v>
      </c>
    </row>
    <row r="809" spans="1:9" hidden="1" x14ac:dyDescent="0.25">
      <c r="A809" t="s">
        <v>179</v>
      </c>
      <c r="B809" t="s">
        <v>178</v>
      </c>
      <c r="E809" t="s">
        <v>0</v>
      </c>
      <c r="F809" t="e">
        <f>INDEX(IPCCMaps!H:H,MATCH(mapPRC!D809,IPCCMaps!G:G,0))</f>
        <v>#N/A</v>
      </c>
      <c r="G809" t="e">
        <f>INDEX(IPCCMaps!I:I,MATCH(mapPRC!D809,IPCCMaps!G:G,0))</f>
        <v>#N/A</v>
      </c>
      <c r="H809" t="e">
        <f>INDEX(IPCCMaps!J:J,MATCH(mapPRC!D809,IPCCMaps!G:G,0))</f>
        <v>#N/A</v>
      </c>
      <c r="I809" t="e">
        <f>INDEX(IPCCMaps!K:K,MATCH(mapPRC!D809,IPCCMaps!G:G,0))</f>
        <v>#N/A</v>
      </c>
    </row>
    <row r="810" spans="1:9" hidden="1" x14ac:dyDescent="0.25">
      <c r="A810" t="s">
        <v>177</v>
      </c>
      <c r="B810" t="s">
        <v>176</v>
      </c>
      <c r="C810" t="s">
        <v>145</v>
      </c>
      <c r="D810" t="s">
        <v>144</v>
      </c>
      <c r="E810" t="s">
        <v>175</v>
      </c>
      <c r="F810" t="str">
        <f>INDEX(IPCCMaps!H:H,MATCH(mapPRC!D810,IPCCMaps!G:G,0))</f>
        <v>1 Energy</v>
      </c>
      <c r="G810">
        <f>INDEX(IPCCMaps!I:I,MATCH(mapPRC!D810,IPCCMaps!G:G,0))</f>
        <v>0</v>
      </c>
      <c r="H810">
        <f>INDEX(IPCCMaps!J:J,MATCH(mapPRC!D810,IPCCMaps!G:G,0))</f>
        <v>0</v>
      </c>
      <c r="I810">
        <f>INDEX(IPCCMaps!K:K,MATCH(mapPRC!D810,IPCCMaps!G:G,0))</f>
        <v>0</v>
      </c>
    </row>
    <row r="811" spans="1:9" hidden="1" x14ac:dyDescent="0.25">
      <c r="A811" t="s">
        <v>174</v>
      </c>
      <c r="B811" t="s">
        <v>173</v>
      </c>
      <c r="E811" t="s">
        <v>0</v>
      </c>
      <c r="F811" t="e">
        <f>INDEX(IPCCMaps!H:H,MATCH(mapPRC!D811,IPCCMaps!G:G,0))</f>
        <v>#N/A</v>
      </c>
      <c r="G811" t="e">
        <f>INDEX(IPCCMaps!I:I,MATCH(mapPRC!D811,IPCCMaps!G:G,0))</f>
        <v>#N/A</v>
      </c>
      <c r="H811" t="e">
        <f>INDEX(IPCCMaps!J:J,MATCH(mapPRC!D811,IPCCMaps!G:G,0))</f>
        <v>#N/A</v>
      </c>
      <c r="I811" t="e">
        <f>INDEX(IPCCMaps!K:K,MATCH(mapPRC!D811,IPCCMaps!G:G,0))</f>
        <v>#N/A</v>
      </c>
    </row>
    <row r="812" spans="1:9" hidden="1" x14ac:dyDescent="0.25">
      <c r="A812" t="s">
        <v>172</v>
      </c>
      <c r="B812" t="s">
        <v>171</v>
      </c>
      <c r="E812" t="s">
        <v>0</v>
      </c>
      <c r="F812" t="e">
        <f>INDEX(IPCCMaps!H:H,MATCH(mapPRC!D812,IPCCMaps!G:G,0))</f>
        <v>#N/A</v>
      </c>
      <c r="G812" t="e">
        <f>INDEX(IPCCMaps!I:I,MATCH(mapPRC!D812,IPCCMaps!G:G,0))</f>
        <v>#N/A</v>
      </c>
      <c r="H812" t="e">
        <f>INDEX(IPCCMaps!J:J,MATCH(mapPRC!D812,IPCCMaps!G:G,0))</f>
        <v>#N/A</v>
      </c>
      <c r="I812" t="e">
        <f>INDEX(IPCCMaps!K:K,MATCH(mapPRC!D812,IPCCMaps!G:G,0))</f>
        <v>#N/A</v>
      </c>
    </row>
    <row r="813" spans="1:9" hidden="1" x14ac:dyDescent="0.25">
      <c r="A813" t="s">
        <v>170</v>
      </c>
      <c r="B813" t="s">
        <v>169</v>
      </c>
      <c r="E813" t="s">
        <v>0</v>
      </c>
      <c r="F813" t="e">
        <f>INDEX(IPCCMaps!H:H,MATCH(mapPRC!D813,IPCCMaps!G:G,0))</f>
        <v>#N/A</v>
      </c>
      <c r="G813" t="e">
        <f>INDEX(IPCCMaps!I:I,MATCH(mapPRC!D813,IPCCMaps!G:G,0))</f>
        <v>#N/A</v>
      </c>
      <c r="H813" t="e">
        <f>INDEX(IPCCMaps!J:J,MATCH(mapPRC!D813,IPCCMaps!G:G,0))</f>
        <v>#N/A</v>
      </c>
      <c r="I813" t="e">
        <f>INDEX(IPCCMaps!K:K,MATCH(mapPRC!D813,IPCCMaps!G:G,0))</f>
        <v>#N/A</v>
      </c>
    </row>
    <row r="814" spans="1:9" hidden="1" x14ac:dyDescent="0.25">
      <c r="A814" t="s">
        <v>168</v>
      </c>
      <c r="B814" t="s">
        <v>167</v>
      </c>
      <c r="E814" t="s">
        <v>0</v>
      </c>
      <c r="F814" t="e">
        <f>INDEX(IPCCMaps!H:H,MATCH(mapPRC!D814,IPCCMaps!G:G,0))</f>
        <v>#N/A</v>
      </c>
      <c r="G814" t="e">
        <f>INDEX(IPCCMaps!I:I,MATCH(mapPRC!D814,IPCCMaps!G:G,0))</f>
        <v>#N/A</v>
      </c>
      <c r="H814" t="e">
        <f>INDEX(IPCCMaps!J:J,MATCH(mapPRC!D814,IPCCMaps!G:G,0))</f>
        <v>#N/A</v>
      </c>
      <c r="I814" t="e">
        <f>INDEX(IPCCMaps!K:K,MATCH(mapPRC!D814,IPCCMaps!G:G,0))</f>
        <v>#N/A</v>
      </c>
    </row>
    <row r="815" spans="1:9" hidden="1" x14ac:dyDescent="0.25">
      <c r="A815" t="s">
        <v>166</v>
      </c>
      <c r="B815" t="s">
        <v>165</v>
      </c>
      <c r="E815" t="s">
        <v>0</v>
      </c>
      <c r="F815" t="e">
        <f>INDEX(IPCCMaps!H:H,MATCH(mapPRC!D815,IPCCMaps!G:G,0))</f>
        <v>#N/A</v>
      </c>
      <c r="G815" t="e">
        <f>INDEX(IPCCMaps!I:I,MATCH(mapPRC!D815,IPCCMaps!G:G,0))</f>
        <v>#N/A</v>
      </c>
      <c r="H815" t="e">
        <f>INDEX(IPCCMaps!J:J,MATCH(mapPRC!D815,IPCCMaps!G:G,0))</f>
        <v>#N/A</v>
      </c>
      <c r="I815" t="e">
        <f>INDEX(IPCCMaps!K:K,MATCH(mapPRC!D815,IPCCMaps!G:G,0))</f>
        <v>#N/A</v>
      </c>
    </row>
    <row r="816" spans="1:9" hidden="1" x14ac:dyDescent="0.25">
      <c r="A816" t="s">
        <v>164</v>
      </c>
      <c r="B816" t="s">
        <v>163</v>
      </c>
      <c r="E816" t="s">
        <v>0</v>
      </c>
      <c r="F816" t="e">
        <f>INDEX(IPCCMaps!H:H,MATCH(mapPRC!D816,IPCCMaps!G:G,0))</f>
        <v>#N/A</v>
      </c>
      <c r="G816" t="e">
        <f>INDEX(IPCCMaps!I:I,MATCH(mapPRC!D816,IPCCMaps!G:G,0))</f>
        <v>#N/A</v>
      </c>
      <c r="H816" t="e">
        <f>INDEX(IPCCMaps!J:J,MATCH(mapPRC!D816,IPCCMaps!G:G,0))</f>
        <v>#N/A</v>
      </c>
      <c r="I816" t="e">
        <f>INDEX(IPCCMaps!K:K,MATCH(mapPRC!D816,IPCCMaps!G:G,0))</f>
        <v>#N/A</v>
      </c>
    </row>
    <row r="817" spans="1:9" hidden="1" x14ac:dyDescent="0.25">
      <c r="A817" t="s">
        <v>162</v>
      </c>
      <c r="B817" t="s">
        <v>161</v>
      </c>
      <c r="E817" t="s">
        <v>0</v>
      </c>
      <c r="F817" t="e">
        <f>INDEX(IPCCMaps!H:H,MATCH(mapPRC!D817,IPCCMaps!G:G,0))</f>
        <v>#N/A</v>
      </c>
      <c r="G817" t="e">
        <f>INDEX(IPCCMaps!I:I,MATCH(mapPRC!D817,IPCCMaps!G:G,0))</f>
        <v>#N/A</v>
      </c>
      <c r="H817" t="e">
        <f>INDEX(IPCCMaps!J:J,MATCH(mapPRC!D817,IPCCMaps!G:G,0))</f>
        <v>#N/A</v>
      </c>
      <c r="I817" t="e">
        <f>INDEX(IPCCMaps!K:K,MATCH(mapPRC!D817,IPCCMaps!G:G,0))</f>
        <v>#N/A</v>
      </c>
    </row>
    <row r="818" spans="1:9" hidden="1" x14ac:dyDescent="0.25">
      <c r="A818" t="s">
        <v>160</v>
      </c>
      <c r="B818" t="s">
        <v>159</v>
      </c>
      <c r="E818" t="s">
        <v>0</v>
      </c>
      <c r="F818" t="e">
        <f>INDEX(IPCCMaps!H:H,MATCH(mapPRC!D818,IPCCMaps!G:G,0))</f>
        <v>#N/A</v>
      </c>
      <c r="G818" t="e">
        <f>INDEX(IPCCMaps!I:I,MATCH(mapPRC!D818,IPCCMaps!G:G,0))</f>
        <v>#N/A</v>
      </c>
      <c r="H818" t="e">
        <f>INDEX(IPCCMaps!J:J,MATCH(mapPRC!D818,IPCCMaps!G:G,0))</f>
        <v>#N/A</v>
      </c>
      <c r="I818" t="e">
        <f>INDEX(IPCCMaps!K:K,MATCH(mapPRC!D818,IPCCMaps!G:G,0))</f>
        <v>#N/A</v>
      </c>
    </row>
    <row r="819" spans="1:9" hidden="1" x14ac:dyDescent="0.25">
      <c r="A819" t="s">
        <v>158</v>
      </c>
      <c r="B819" t="s">
        <v>157</v>
      </c>
      <c r="E819" t="s">
        <v>0</v>
      </c>
      <c r="F819" t="e">
        <f>INDEX(IPCCMaps!H:H,MATCH(mapPRC!D819,IPCCMaps!G:G,0))</f>
        <v>#N/A</v>
      </c>
      <c r="G819" t="e">
        <f>INDEX(IPCCMaps!I:I,MATCH(mapPRC!D819,IPCCMaps!G:G,0))</f>
        <v>#N/A</v>
      </c>
      <c r="H819" t="e">
        <f>INDEX(IPCCMaps!J:J,MATCH(mapPRC!D819,IPCCMaps!G:G,0))</f>
        <v>#N/A</v>
      </c>
      <c r="I819" t="e">
        <f>INDEX(IPCCMaps!K:K,MATCH(mapPRC!D819,IPCCMaps!G:G,0))</f>
        <v>#N/A</v>
      </c>
    </row>
    <row r="820" spans="1:9" hidden="1" x14ac:dyDescent="0.25">
      <c r="A820" t="s">
        <v>156</v>
      </c>
      <c r="B820" t="s">
        <v>155</v>
      </c>
      <c r="E820" t="s">
        <v>0</v>
      </c>
      <c r="F820" t="e">
        <f>INDEX(IPCCMaps!H:H,MATCH(mapPRC!D820,IPCCMaps!G:G,0))</f>
        <v>#N/A</v>
      </c>
      <c r="G820" t="e">
        <f>INDEX(IPCCMaps!I:I,MATCH(mapPRC!D820,IPCCMaps!G:G,0))</f>
        <v>#N/A</v>
      </c>
      <c r="H820" t="e">
        <f>INDEX(IPCCMaps!J:J,MATCH(mapPRC!D820,IPCCMaps!G:G,0))</f>
        <v>#N/A</v>
      </c>
      <c r="I820" t="e">
        <f>INDEX(IPCCMaps!K:K,MATCH(mapPRC!D820,IPCCMaps!G:G,0))</f>
        <v>#N/A</v>
      </c>
    </row>
    <row r="821" spans="1:9" hidden="1" x14ac:dyDescent="0.25">
      <c r="A821" t="s">
        <v>154</v>
      </c>
      <c r="B821" t="s">
        <v>153</v>
      </c>
      <c r="E821" t="s">
        <v>0</v>
      </c>
      <c r="F821" t="e">
        <f>INDEX(IPCCMaps!H:H,MATCH(mapPRC!D821,IPCCMaps!G:G,0))</f>
        <v>#N/A</v>
      </c>
      <c r="G821" t="e">
        <f>INDEX(IPCCMaps!I:I,MATCH(mapPRC!D821,IPCCMaps!G:G,0))</f>
        <v>#N/A</v>
      </c>
      <c r="H821" t="e">
        <f>INDEX(IPCCMaps!J:J,MATCH(mapPRC!D821,IPCCMaps!G:G,0))</f>
        <v>#N/A</v>
      </c>
      <c r="I821" t="e">
        <f>INDEX(IPCCMaps!K:K,MATCH(mapPRC!D821,IPCCMaps!G:G,0))</f>
        <v>#N/A</v>
      </c>
    </row>
    <row r="822" spans="1:9" hidden="1" x14ac:dyDescent="0.25">
      <c r="A822" t="s">
        <v>150</v>
      </c>
      <c r="B822" t="s">
        <v>149</v>
      </c>
      <c r="C822" t="s">
        <v>21</v>
      </c>
      <c r="E822" t="s">
        <v>0</v>
      </c>
      <c r="F822" t="e">
        <f>INDEX(IPCCMaps!H:H,MATCH(mapPRC!D822,IPCCMaps!G:G,0))</f>
        <v>#N/A</v>
      </c>
      <c r="G822" t="e">
        <f>INDEX(IPCCMaps!I:I,MATCH(mapPRC!D822,IPCCMaps!G:G,0))</f>
        <v>#N/A</v>
      </c>
      <c r="H822" t="e">
        <f>INDEX(IPCCMaps!J:J,MATCH(mapPRC!D822,IPCCMaps!G:G,0))</f>
        <v>#N/A</v>
      </c>
      <c r="I822" t="e">
        <f>INDEX(IPCCMaps!K:K,MATCH(mapPRC!D822,IPCCMaps!G:G,0))</f>
        <v>#N/A</v>
      </c>
    </row>
    <row r="823" spans="1:9" hidden="1" x14ac:dyDescent="0.25">
      <c r="A823" t="s">
        <v>152</v>
      </c>
      <c r="B823" t="s">
        <v>151</v>
      </c>
      <c r="E823" t="s">
        <v>0</v>
      </c>
      <c r="F823" t="e">
        <f>INDEX(IPCCMaps!H:H,MATCH(mapPRC!D823,IPCCMaps!G:G,0))</f>
        <v>#N/A</v>
      </c>
      <c r="G823" t="e">
        <f>INDEX(IPCCMaps!I:I,MATCH(mapPRC!D823,IPCCMaps!G:G,0))</f>
        <v>#N/A</v>
      </c>
      <c r="H823" t="e">
        <f>INDEX(IPCCMaps!J:J,MATCH(mapPRC!D823,IPCCMaps!G:G,0))</f>
        <v>#N/A</v>
      </c>
      <c r="I823" t="e">
        <f>INDEX(IPCCMaps!K:K,MATCH(mapPRC!D823,IPCCMaps!G:G,0))</f>
        <v>#N/A</v>
      </c>
    </row>
    <row r="824" spans="1:9" hidden="1" x14ac:dyDescent="0.25">
      <c r="A824" t="s">
        <v>147</v>
      </c>
      <c r="B824" t="s">
        <v>146</v>
      </c>
      <c r="C824" t="s">
        <v>145</v>
      </c>
      <c r="D824" t="s">
        <v>144</v>
      </c>
      <c r="E824" t="s">
        <v>143</v>
      </c>
      <c r="F824" t="str">
        <f>INDEX(IPCCMaps!H:H,MATCH(mapPRC!D824,IPCCMaps!G:G,0))</f>
        <v>1 Energy</v>
      </c>
      <c r="G824">
        <f>INDEX(IPCCMaps!I:I,MATCH(mapPRC!D824,IPCCMaps!G:G,0))</f>
        <v>0</v>
      </c>
      <c r="H824">
        <f>INDEX(IPCCMaps!J:J,MATCH(mapPRC!D824,IPCCMaps!G:G,0))</f>
        <v>0</v>
      </c>
      <c r="I824">
        <f>INDEX(IPCCMaps!K:K,MATCH(mapPRC!D824,IPCCMaps!G:G,0))</f>
        <v>0</v>
      </c>
    </row>
    <row r="825" spans="1:9" hidden="1" x14ac:dyDescent="0.25">
      <c r="A825" t="s">
        <v>142</v>
      </c>
      <c r="B825" t="s">
        <v>141</v>
      </c>
      <c r="C825" t="s">
        <v>21</v>
      </c>
      <c r="D825" t="s">
        <v>140</v>
      </c>
      <c r="E825" t="s">
        <v>0</v>
      </c>
      <c r="F825" t="str">
        <f>INDEX(IPCCMaps!H:H,MATCH(mapPRC!D825,IPCCMaps!G:G,0))</f>
        <v>1 Energy</v>
      </c>
      <c r="G825" t="str">
        <f>INDEX(IPCCMaps!I:I,MATCH(mapPRC!D825,IPCCMaps!G:G,0))</f>
        <v>1B Fugitive Emissions from Fuels</v>
      </c>
      <c r="H825" t="str">
        <f>INDEX(IPCCMaps!J:J,MATCH(mapPRC!D825,IPCCMaps!G:G,0))</f>
        <v>1B2 Oil and Natural Gas</v>
      </c>
      <c r="I825" t="str">
        <f>INDEX(IPCCMaps!K:K,MATCH(mapPRC!D825,IPCCMaps!G:G,0))</f>
        <v>1B2 Oil and Natural Gas</v>
      </c>
    </row>
    <row r="826" spans="1:9" hidden="1" x14ac:dyDescent="0.25">
      <c r="A826" t="s">
        <v>139</v>
      </c>
      <c r="B826" t="s">
        <v>138</v>
      </c>
      <c r="C826" t="s">
        <v>21</v>
      </c>
      <c r="D826" t="s">
        <v>137</v>
      </c>
      <c r="E826" t="s">
        <v>0</v>
      </c>
      <c r="F826" t="str">
        <f>INDEX(IPCCMaps!H:H,MATCH(mapPRC!D826,IPCCMaps!G:G,0))</f>
        <v>1 Energy</v>
      </c>
      <c r="G826" t="str">
        <f>INDEX(IPCCMaps!I:I,MATCH(mapPRC!D826,IPCCMaps!G:G,0))</f>
        <v>1B Fugitive Emissions from Fuels</v>
      </c>
      <c r="H826" t="str">
        <f>INDEX(IPCCMaps!J:J,MATCH(mapPRC!D826,IPCCMaps!G:G,0))</f>
        <v>1B3 Other Emissions</v>
      </c>
      <c r="I826" t="str">
        <f>INDEX(IPCCMaps!K:K,MATCH(mapPRC!D826,IPCCMaps!G:G,0))</f>
        <v>1B3 Other Emissions - Petro SA</v>
      </c>
    </row>
    <row r="827" spans="1:9" hidden="1" x14ac:dyDescent="0.25">
      <c r="A827" t="s">
        <v>136</v>
      </c>
      <c r="B827" t="s">
        <v>135</v>
      </c>
      <c r="E827" t="s">
        <v>0</v>
      </c>
      <c r="F827" t="e">
        <f>INDEX(IPCCMaps!H:H,MATCH(mapPRC!D827,IPCCMaps!G:G,0))</f>
        <v>#N/A</v>
      </c>
      <c r="G827" t="e">
        <f>INDEX(IPCCMaps!I:I,MATCH(mapPRC!D827,IPCCMaps!G:G,0))</f>
        <v>#N/A</v>
      </c>
      <c r="H827" t="e">
        <f>INDEX(IPCCMaps!J:J,MATCH(mapPRC!D827,IPCCMaps!G:G,0))</f>
        <v>#N/A</v>
      </c>
      <c r="I827" t="e">
        <f>INDEX(IPCCMaps!K:K,MATCH(mapPRC!D827,IPCCMaps!G:G,0))</f>
        <v>#N/A</v>
      </c>
    </row>
    <row r="828" spans="1:9" hidden="1" x14ac:dyDescent="0.25">
      <c r="A828" t="s">
        <v>134</v>
      </c>
      <c r="B828" t="s">
        <v>133</v>
      </c>
      <c r="E828" t="s">
        <v>0</v>
      </c>
      <c r="F828" t="e">
        <f>INDEX(IPCCMaps!H:H,MATCH(mapPRC!D828,IPCCMaps!G:G,0))</f>
        <v>#N/A</v>
      </c>
      <c r="G828" t="e">
        <f>INDEX(IPCCMaps!I:I,MATCH(mapPRC!D828,IPCCMaps!G:G,0))</f>
        <v>#N/A</v>
      </c>
      <c r="H828" t="e">
        <f>INDEX(IPCCMaps!J:J,MATCH(mapPRC!D828,IPCCMaps!G:G,0))</f>
        <v>#N/A</v>
      </c>
      <c r="I828" t="e">
        <f>INDEX(IPCCMaps!K:K,MATCH(mapPRC!D828,IPCCMaps!G:G,0))</f>
        <v>#N/A</v>
      </c>
    </row>
    <row r="829" spans="1:9" hidden="1" x14ac:dyDescent="0.25">
      <c r="A829" t="s">
        <v>132</v>
      </c>
      <c r="B829" t="s">
        <v>131</v>
      </c>
      <c r="E829" t="s">
        <v>0</v>
      </c>
      <c r="F829" t="e">
        <f>INDEX(IPCCMaps!H:H,MATCH(mapPRC!D829,IPCCMaps!G:G,0))</f>
        <v>#N/A</v>
      </c>
      <c r="G829" t="e">
        <f>INDEX(IPCCMaps!I:I,MATCH(mapPRC!D829,IPCCMaps!G:G,0))</f>
        <v>#N/A</v>
      </c>
      <c r="H829" t="e">
        <f>INDEX(IPCCMaps!J:J,MATCH(mapPRC!D829,IPCCMaps!G:G,0))</f>
        <v>#N/A</v>
      </c>
      <c r="I829" t="e">
        <f>INDEX(IPCCMaps!K:K,MATCH(mapPRC!D829,IPCCMaps!G:G,0))</f>
        <v>#N/A</v>
      </c>
    </row>
    <row r="830" spans="1:9" hidden="1" x14ac:dyDescent="0.25">
      <c r="A830" t="s">
        <v>130</v>
      </c>
      <c r="B830" t="s">
        <v>129</v>
      </c>
      <c r="E830" t="s">
        <v>0</v>
      </c>
      <c r="F830" t="e">
        <f>INDEX(IPCCMaps!H:H,MATCH(mapPRC!D830,IPCCMaps!G:G,0))</f>
        <v>#N/A</v>
      </c>
      <c r="G830" t="e">
        <f>INDEX(IPCCMaps!I:I,MATCH(mapPRC!D830,IPCCMaps!G:G,0))</f>
        <v>#N/A</v>
      </c>
      <c r="H830" t="e">
        <f>INDEX(IPCCMaps!J:J,MATCH(mapPRC!D830,IPCCMaps!G:G,0))</f>
        <v>#N/A</v>
      </c>
      <c r="I830" t="e">
        <f>INDEX(IPCCMaps!K:K,MATCH(mapPRC!D830,IPCCMaps!G:G,0))</f>
        <v>#N/A</v>
      </c>
    </row>
    <row r="831" spans="1:9" hidden="1" x14ac:dyDescent="0.25">
      <c r="A831" t="s">
        <v>128</v>
      </c>
      <c r="B831" t="s">
        <v>127</v>
      </c>
      <c r="E831" t="s">
        <v>0</v>
      </c>
      <c r="F831" t="e">
        <f>INDEX(IPCCMaps!H:H,MATCH(mapPRC!D831,IPCCMaps!G:G,0))</f>
        <v>#N/A</v>
      </c>
      <c r="G831" t="e">
        <f>INDEX(IPCCMaps!I:I,MATCH(mapPRC!D831,IPCCMaps!G:G,0))</f>
        <v>#N/A</v>
      </c>
      <c r="H831" t="e">
        <f>INDEX(IPCCMaps!J:J,MATCH(mapPRC!D831,IPCCMaps!G:G,0))</f>
        <v>#N/A</v>
      </c>
      <c r="I831" t="e">
        <f>INDEX(IPCCMaps!K:K,MATCH(mapPRC!D831,IPCCMaps!G:G,0))</f>
        <v>#N/A</v>
      </c>
    </row>
    <row r="832" spans="1:9" hidden="1" x14ac:dyDescent="0.25">
      <c r="A832" t="s">
        <v>126</v>
      </c>
      <c r="B832" t="s">
        <v>125</v>
      </c>
      <c r="E832" t="s">
        <v>0</v>
      </c>
      <c r="F832" t="e">
        <f>INDEX(IPCCMaps!H:H,MATCH(mapPRC!D832,IPCCMaps!G:G,0))</f>
        <v>#N/A</v>
      </c>
      <c r="G832" t="e">
        <f>INDEX(IPCCMaps!I:I,MATCH(mapPRC!D832,IPCCMaps!G:G,0))</f>
        <v>#N/A</v>
      </c>
      <c r="H832" t="e">
        <f>INDEX(IPCCMaps!J:J,MATCH(mapPRC!D832,IPCCMaps!G:G,0))</f>
        <v>#N/A</v>
      </c>
      <c r="I832" t="e">
        <f>INDEX(IPCCMaps!K:K,MATCH(mapPRC!D832,IPCCMaps!G:G,0))</f>
        <v>#N/A</v>
      </c>
    </row>
    <row r="833" spans="1:9" hidden="1" x14ac:dyDescent="0.25">
      <c r="A833" t="s">
        <v>124</v>
      </c>
      <c r="B833" t="s">
        <v>123</v>
      </c>
      <c r="E833" t="s">
        <v>0</v>
      </c>
      <c r="F833" t="e">
        <f>INDEX(IPCCMaps!H:H,MATCH(mapPRC!D833,IPCCMaps!G:G,0))</f>
        <v>#N/A</v>
      </c>
      <c r="G833" t="e">
        <f>INDEX(IPCCMaps!I:I,MATCH(mapPRC!D833,IPCCMaps!G:G,0))</f>
        <v>#N/A</v>
      </c>
      <c r="H833" t="e">
        <f>INDEX(IPCCMaps!J:J,MATCH(mapPRC!D833,IPCCMaps!G:G,0))</f>
        <v>#N/A</v>
      </c>
      <c r="I833" t="e">
        <f>INDEX(IPCCMaps!K:K,MATCH(mapPRC!D833,IPCCMaps!G:G,0))</f>
        <v>#N/A</v>
      </c>
    </row>
    <row r="834" spans="1:9" hidden="1" x14ac:dyDescent="0.25">
      <c r="A834" t="s">
        <v>122</v>
      </c>
      <c r="B834" t="s">
        <v>121</v>
      </c>
      <c r="E834" t="s">
        <v>0</v>
      </c>
      <c r="F834" t="e">
        <f>INDEX(IPCCMaps!H:H,MATCH(mapPRC!D834,IPCCMaps!G:G,0))</f>
        <v>#N/A</v>
      </c>
      <c r="G834" t="e">
        <f>INDEX(IPCCMaps!I:I,MATCH(mapPRC!D834,IPCCMaps!G:G,0))</f>
        <v>#N/A</v>
      </c>
      <c r="H834" t="e">
        <f>INDEX(IPCCMaps!J:J,MATCH(mapPRC!D834,IPCCMaps!G:G,0))</f>
        <v>#N/A</v>
      </c>
      <c r="I834" t="e">
        <f>INDEX(IPCCMaps!K:K,MATCH(mapPRC!D834,IPCCMaps!G:G,0))</f>
        <v>#N/A</v>
      </c>
    </row>
    <row r="835" spans="1:9" hidden="1" x14ac:dyDescent="0.25">
      <c r="A835" t="s">
        <v>120</v>
      </c>
      <c r="B835" t="s">
        <v>119</v>
      </c>
      <c r="E835" t="s">
        <v>0</v>
      </c>
      <c r="F835" t="e">
        <f>INDEX(IPCCMaps!H:H,MATCH(mapPRC!D835,IPCCMaps!G:G,0))</f>
        <v>#N/A</v>
      </c>
      <c r="G835" t="e">
        <f>INDEX(IPCCMaps!I:I,MATCH(mapPRC!D835,IPCCMaps!G:G,0))</f>
        <v>#N/A</v>
      </c>
      <c r="H835" t="e">
        <f>INDEX(IPCCMaps!J:J,MATCH(mapPRC!D835,IPCCMaps!G:G,0))</f>
        <v>#N/A</v>
      </c>
      <c r="I835" t="e">
        <f>INDEX(IPCCMaps!K:K,MATCH(mapPRC!D835,IPCCMaps!G:G,0))</f>
        <v>#N/A</v>
      </c>
    </row>
    <row r="836" spans="1:9" hidden="1" x14ac:dyDescent="0.25">
      <c r="A836" t="s">
        <v>118</v>
      </c>
      <c r="B836" t="s">
        <v>117</v>
      </c>
      <c r="E836" t="s">
        <v>0</v>
      </c>
      <c r="F836" t="e">
        <f>INDEX(IPCCMaps!H:H,MATCH(mapPRC!D836,IPCCMaps!G:G,0))</f>
        <v>#N/A</v>
      </c>
      <c r="G836" t="e">
        <f>INDEX(IPCCMaps!I:I,MATCH(mapPRC!D836,IPCCMaps!G:G,0))</f>
        <v>#N/A</v>
      </c>
      <c r="H836" t="e">
        <f>INDEX(IPCCMaps!J:J,MATCH(mapPRC!D836,IPCCMaps!G:G,0))</f>
        <v>#N/A</v>
      </c>
      <c r="I836" t="e">
        <f>INDEX(IPCCMaps!K:K,MATCH(mapPRC!D836,IPCCMaps!G:G,0))</f>
        <v>#N/A</v>
      </c>
    </row>
    <row r="837" spans="1:9" hidden="1" x14ac:dyDescent="0.25">
      <c r="A837" t="s">
        <v>116</v>
      </c>
      <c r="B837" t="s">
        <v>115</v>
      </c>
      <c r="E837" t="s">
        <v>0</v>
      </c>
      <c r="F837" t="e">
        <f>INDEX(IPCCMaps!H:H,MATCH(mapPRC!D837,IPCCMaps!G:G,0))</f>
        <v>#N/A</v>
      </c>
      <c r="G837" t="e">
        <f>INDEX(IPCCMaps!I:I,MATCH(mapPRC!D837,IPCCMaps!G:G,0))</f>
        <v>#N/A</v>
      </c>
      <c r="H837" t="e">
        <f>INDEX(IPCCMaps!J:J,MATCH(mapPRC!D837,IPCCMaps!G:G,0))</f>
        <v>#N/A</v>
      </c>
      <c r="I837" t="e">
        <f>INDEX(IPCCMaps!K:K,MATCH(mapPRC!D837,IPCCMaps!G:G,0))</f>
        <v>#N/A</v>
      </c>
    </row>
    <row r="838" spans="1:9" hidden="1" x14ac:dyDescent="0.25">
      <c r="A838" t="s">
        <v>114</v>
      </c>
      <c r="B838" t="s">
        <v>113</v>
      </c>
      <c r="E838" t="s">
        <v>0</v>
      </c>
      <c r="F838" t="e">
        <f>INDEX(IPCCMaps!H:H,MATCH(mapPRC!D838,IPCCMaps!G:G,0))</f>
        <v>#N/A</v>
      </c>
      <c r="G838" t="e">
        <f>INDEX(IPCCMaps!I:I,MATCH(mapPRC!D838,IPCCMaps!G:G,0))</f>
        <v>#N/A</v>
      </c>
      <c r="H838" t="e">
        <f>INDEX(IPCCMaps!J:J,MATCH(mapPRC!D838,IPCCMaps!G:G,0))</f>
        <v>#N/A</v>
      </c>
      <c r="I838" t="e">
        <f>INDEX(IPCCMaps!K:K,MATCH(mapPRC!D838,IPCCMaps!G:G,0))</f>
        <v>#N/A</v>
      </c>
    </row>
    <row r="839" spans="1:9" hidden="1" x14ac:dyDescent="0.25">
      <c r="A839" t="s">
        <v>112</v>
      </c>
      <c r="B839" t="s">
        <v>111</v>
      </c>
      <c r="E839" t="s">
        <v>0</v>
      </c>
      <c r="F839" t="e">
        <f>INDEX(IPCCMaps!H:H,MATCH(mapPRC!D839,IPCCMaps!G:G,0))</f>
        <v>#N/A</v>
      </c>
      <c r="G839" t="e">
        <f>INDEX(IPCCMaps!I:I,MATCH(mapPRC!D839,IPCCMaps!G:G,0))</f>
        <v>#N/A</v>
      </c>
      <c r="H839" t="e">
        <f>INDEX(IPCCMaps!J:J,MATCH(mapPRC!D839,IPCCMaps!G:G,0))</f>
        <v>#N/A</v>
      </c>
      <c r="I839" t="e">
        <f>INDEX(IPCCMaps!K:K,MATCH(mapPRC!D839,IPCCMaps!G:G,0))</f>
        <v>#N/A</v>
      </c>
    </row>
    <row r="840" spans="1:9" hidden="1" x14ac:dyDescent="0.25">
      <c r="A840" t="s">
        <v>110</v>
      </c>
      <c r="B840" t="s">
        <v>109</v>
      </c>
      <c r="E840" t="s">
        <v>0</v>
      </c>
      <c r="F840" t="e">
        <f>INDEX(IPCCMaps!H:H,MATCH(mapPRC!D840,IPCCMaps!G:G,0))</f>
        <v>#N/A</v>
      </c>
      <c r="G840" t="e">
        <f>INDEX(IPCCMaps!I:I,MATCH(mapPRC!D840,IPCCMaps!G:G,0))</f>
        <v>#N/A</v>
      </c>
      <c r="H840" t="e">
        <f>INDEX(IPCCMaps!J:J,MATCH(mapPRC!D840,IPCCMaps!G:G,0))</f>
        <v>#N/A</v>
      </c>
      <c r="I840" t="e">
        <f>INDEX(IPCCMaps!K:K,MATCH(mapPRC!D840,IPCCMaps!G:G,0))</f>
        <v>#N/A</v>
      </c>
    </row>
    <row r="841" spans="1:9" hidden="1" x14ac:dyDescent="0.25">
      <c r="A841" t="s">
        <v>108</v>
      </c>
      <c r="B841" t="s">
        <v>107</v>
      </c>
      <c r="E841" t="s">
        <v>0</v>
      </c>
      <c r="F841" t="e">
        <f>INDEX(IPCCMaps!H:H,MATCH(mapPRC!D841,IPCCMaps!G:G,0))</f>
        <v>#N/A</v>
      </c>
      <c r="G841" t="e">
        <f>INDEX(IPCCMaps!I:I,MATCH(mapPRC!D841,IPCCMaps!G:G,0))</f>
        <v>#N/A</v>
      </c>
      <c r="H841" t="e">
        <f>INDEX(IPCCMaps!J:J,MATCH(mapPRC!D841,IPCCMaps!G:G,0))</f>
        <v>#N/A</v>
      </c>
      <c r="I841" t="e">
        <f>INDEX(IPCCMaps!K:K,MATCH(mapPRC!D841,IPCCMaps!G:G,0))</f>
        <v>#N/A</v>
      </c>
    </row>
    <row r="842" spans="1:9" hidden="1" x14ac:dyDescent="0.25">
      <c r="A842" t="s">
        <v>106</v>
      </c>
      <c r="B842" t="s">
        <v>105</v>
      </c>
      <c r="E842" t="s">
        <v>0</v>
      </c>
      <c r="F842" t="e">
        <f>INDEX(IPCCMaps!H:H,MATCH(mapPRC!D842,IPCCMaps!G:G,0))</f>
        <v>#N/A</v>
      </c>
      <c r="G842" t="e">
        <f>INDEX(IPCCMaps!I:I,MATCH(mapPRC!D842,IPCCMaps!G:G,0))</f>
        <v>#N/A</v>
      </c>
      <c r="H842" t="e">
        <f>INDEX(IPCCMaps!J:J,MATCH(mapPRC!D842,IPCCMaps!G:G,0))</f>
        <v>#N/A</v>
      </c>
      <c r="I842" t="e">
        <f>INDEX(IPCCMaps!K:K,MATCH(mapPRC!D842,IPCCMaps!G:G,0))</f>
        <v>#N/A</v>
      </c>
    </row>
    <row r="843" spans="1:9" hidden="1" x14ac:dyDescent="0.25">
      <c r="A843" t="s">
        <v>104</v>
      </c>
      <c r="B843" t="s">
        <v>103</v>
      </c>
      <c r="E843" t="s">
        <v>0</v>
      </c>
      <c r="F843" t="e">
        <f>INDEX(IPCCMaps!H:H,MATCH(mapPRC!D843,IPCCMaps!G:G,0))</f>
        <v>#N/A</v>
      </c>
      <c r="G843" t="e">
        <f>INDEX(IPCCMaps!I:I,MATCH(mapPRC!D843,IPCCMaps!G:G,0))</f>
        <v>#N/A</v>
      </c>
      <c r="H843" t="e">
        <f>INDEX(IPCCMaps!J:J,MATCH(mapPRC!D843,IPCCMaps!G:G,0))</f>
        <v>#N/A</v>
      </c>
      <c r="I843" t="e">
        <f>INDEX(IPCCMaps!K:K,MATCH(mapPRC!D843,IPCCMaps!G:G,0))</f>
        <v>#N/A</v>
      </c>
    </row>
    <row r="844" spans="1:9" hidden="1" x14ac:dyDescent="0.25">
      <c r="A844" t="s">
        <v>102</v>
      </c>
      <c r="B844" t="s">
        <v>101</v>
      </c>
      <c r="E844" t="s">
        <v>0</v>
      </c>
      <c r="F844" t="e">
        <f>INDEX(IPCCMaps!H:H,MATCH(mapPRC!D844,IPCCMaps!G:G,0))</f>
        <v>#N/A</v>
      </c>
      <c r="G844" t="e">
        <f>INDEX(IPCCMaps!I:I,MATCH(mapPRC!D844,IPCCMaps!G:G,0))</f>
        <v>#N/A</v>
      </c>
      <c r="H844" t="e">
        <f>INDEX(IPCCMaps!J:J,MATCH(mapPRC!D844,IPCCMaps!G:G,0))</f>
        <v>#N/A</v>
      </c>
      <c r="I844" t="e">
        <f>INDEX(IPCCMaps!K:K,MATCH(mapPRC!D844,IPCCMaps!G:G,0))</f>
        <v>#N/A</v>
      </c>
    </row>
    <row r="845" spans="1:9" hidden="1" x14ac:dyDescent="0.25">
      <c r="A845" t="s">
        <v>100</v>
      </c>
      <c r="B845" t="s">
        <v>99</v>
      </c>
      <c r="E845" t="s">
        <v>0</v>
      </c>
      <c r="F845" t="e">
        <f>INDEX(IPCCMaps!H:H,MATCH(mapPRC!D845,IPCCMaps!G:G,0))</f>
        <v>#N/A</v>
      </c>
      <c r="G845" t="e">
        <f>INDEX(IPCCMaps!I:I,MATCH(mapPRC!D845,IPCCMaps!G:G,0))</f>
        <v>#N/A</v>
      </c>
      <c r="H845" t="e">
        <f>INDEX(IPCCMaps!J:J,MATCH(mapPRC!D845,IPCCMaps!G:G,0))</f>
        <v>#N/A</v>
      </c>
      <c r="I845" t="e">
        <f>INDEX(IPCCMaps!K:K,MATCH(mapPRC!D845,IPCCMaps!G:G,0))</f>
        <v>#N/A</v>
      </c>
    </row>
    <row r="846" spans="1:9" hidden="1" x14ac:dyDescent="0.25">
      <c r="A846" t="s">
        <v>98</v>
      </c>
      <c r="B846" t="s">
        <v>97</v>
      </c>
      <c r="E846" t="s">
        <v>0</v>
      </c>
      <c r="F846" t="e">
        <f>INDEX(IPCCMaps!H:H,MATCH(mapPRC!D846,IPCCMaps!G:G,0))</f>
        <v>#N/A</v>
      </c>
      <c r="G846" t="e">
        <f>INDEX(IPCCMaps!I:I,MATCH(mapPRC!D846,IPCCMaps!G:G,0))</f>
        <v>#N/A</v>
      </c>
      <c r="H846" t="e">
        <f>INDEX(IPCCMaps!J:J,MATCH(mapPRC!D846,IPCCMaps!G:G,0))</f>
        <v>#N/A</v>
      </c>
      <c r="I846" t="e">
        <f>INDEX(IPCCMaps!K:K,MATCH(mapPRC!D846,IPCCMaps!G:G,0))</f>
        <v>#N/A</v>
      </c>
    </row>
    <row r="847" spans="1:9" hidden="1" x14ac:dyDescent="0.25">
      <c r="A847" t="s">
        <v>96</v>
      </c>
      <c r="B847" t="s">
        <v>95</v>
      </c>
      <c r="E847" t="s">
        <v>0</v>
      </c>
      <c r="F847" t="e">
        <f>INDEX(IPCCMaps!H:H,MATCH(mapPRC!D847,IPCCMaps!G:G,0))</f>
        <v>#N/A</v>
      </c>
      <c r="G847" t="e">
        <f>INDEX(IPCCMaps!I:I,MATCH(mapPRC!D847,IPCCMaps!G:G,0))</f>
        <v>#N/A</v>
      </c>
      <c r="H847" t="e">
        <f>INDEX(IPCCMaps!J:J,MATCH(mapPRC!D847,IPCCMaps!G:G,0))</f>
        <v>#N/A</v>
      </c>
      <c r="I847" t="e">
        <f>INDEX(IPCCMaps!K:K,MATCH(mapPRC!D847,IPCCMaps!G:G,0))</f>
        <v>#N/A</v>
      </c>
    </row>
    <row r="848" spans="1:9" hidden="1" x14ac:dyDescent="0.25">
      <c r="A848" t="s">
        <v>3132</v>
      </c>
      <c r="B848" t="s">
        <v>3133</v>
      </c>
      <c r="E848" t="s">
        <v>0</v>
      </c>
      <c r="F848" t="e">
        <f>INDEX(IPCCMaps!H:H,MATCH(mapPRC!D848,IPCCMaps!G:G,0))</f>
        <v>#N/A</v>
      </c>
      <c r="G848" t="e">
        <f>INDEX(IPCCMaps!I:I,MATCH(mapPRC!D848,IPCCMaps!G:G,0))</f>
        <v>#N/A</v>
      </c>
      <c r="H848" t="e">
        <f>INDEX(IPCCMaps!J:J,MATCH(mapPRC!D848,IPCCMaps!G:G,0))</f>
        <v>#N/A</v>
      </c>
      <c r="I848" t="e">
        <f>INDEX(IPCCMaps!K:K,MATCH(mapPRC!D848,IPCCMaps!G:G,0))</f>
        <v>#N/A</v>
      </c>
    </row>
    <row r="849" spans="1:9" hidden="1" x14ac:dyDescent="0.25">
      <c r="A849" t="s">
        <v>94</v>
      </c>
      <c r="B849" t="s">
        <v>93</v>
      </c>
      <c r="E849" t="s">
        <v>0</v>
      </c>
      <c r="F849" t="e">
        <f>INDEX(IPCCMaps!H:H,MATCH(mapPRC!D849,IPCCMaps!G:G,0))</f>
        <v>#N/A</v>
      </c>
      <c r="G849" t="e">
        <f>INDEX(IPCCMaps!I:I,MATCH(mapPRC!D849,IPCCMaps!G:G,0))</f>
        <v>#N/A</v>
      </c>
      <c r="H849" t="e">
        <f>INDEX(IPCCMaps!J:J,MATCH(mapPRC!D849,IPCCMaps!G:G,0))</f>
        <v>#N/A</v>
      </c>
      <c r="I849" t="e">
        <f>INDEX(IPCCMaps!K:K,MATCH(mapPRC!D849,IPCCMaps!G:G,0))</f>
        <v>#N/A</v>
      </c>
    </row>
    <row r="850" spans="1:9" hidden="1" x14ac:dyDescent="0.25">
      <c r="A850" t="s">
        <v>92</v>
      </c>
      <c r="B850" t="s">
        <v>77</v>
      </c>
      <c r="E850" t="s">
        <v>0</v>
      </c>
      <c r="F850" t="e">
        <f>INDEX(IPCCMaps!H:H,MATCH(mapPRC!D850,IPCCMaps!G:G,0))</f>
        <v>#N/A</v>
      </c>
      <c r="G850" t="e">
        <f>INDEX(IPCCMaps!I:I,MATCH(mapPRC!D850,IPCCMaps!G:G,0))</f>
        <v>#N/A</v>
      </c>
      <c r="H850" t="e">
        <f>INDEX(IPCCMaps!J:J,MATCH(mapPRC!D850,IPCCMaps!G:G,0))</f>
        <v>#N/A</v>
      </c>
      <c r="I850" t="e">
        <f>INDEX(IPCCMaps!K:K,MATCH(mapPRC!D850,IPCCMaps!G:G,0))</f>
        <v>#N/A</v>
      </c>
    </row>
    <row r="851" spans="1:9" hidden="1" x14ac:dyDescent="0.25">
      <c r="A851" t="s">
        <v>91</v>
      </c>
      <c r="B851" t="s">
        <v>90</v>
      </c>
      <c r="E851" t="s">
        <v>0</v>
      </c>
      <c r="F851" t="e">
        <f>INDEX(IPCCMaps!H:H,MATCH(mapPRC!D851,IPCCMaps!G:G,0))</f>
        <v>#N/A</v>
      </c>
      <c r="G851" t="e">
        <f>INDEX(IPCCMaps!I:I,MATCH(mapPRC!D851,IPCCMaps!G:G,0))</f>
        <v>#N/A</v>
      </c>
      <c r="H851" t="e">
        <f>INDEX(IPCCMaps!J:J,MATCH(mapPRC!D851,IPCCMaps!G:G,0))</f>
        <v>#N/A</v>
      </c>
      <c r="I851" t="e">
        <f>INDEX(IPCCMaps!K:K,MATCH(mapPRC!D851,IPCCMaps!G:G,0))</f>
        <v>#N/A</v>
      </c>
    </row>
    <row r="852" spans="1:9" hidden="1" x14ac:dyDescent="0.25">
      <c r="A852" t="s">
        <v>89</v>
      </c>
      <c r="B852" t="s">
        <v>88</v>
      </c>
      <c r="E852" t="s">
        <v>0</v>
      </c>
      <c r="F852" t="e">
        <f>INDEX(IPCCMaps!H:H,MATCH(mapPRC!D852,IPCCMaps!G:G,0))</f>
        <v>#N/A</v>
      </c>
      <c r="G852" t="e">
        <f>INDEX(IPCCMaps!I:I,MATCH(mapPRC!D852,IPCCMaps!G:G,0))</f>
        <v>#N/A</v>
      </c>
      <c r="H852" t="e">
        <f>INDEX(IPCCMaps!J:J,MATCH(mapPRC!D852,IPCCMaps!G:G,0))</f>
        <v>#N/A</v>
      </c>
      <c r="I852" t="e">
        <f>INDEX(IPCCMaps!K:K,MATCH(mapPRC!D852,IPCCMaps!G:G,0))</f>
        <v>#N/A</v>
      </c>
    </row>
    <row r="853" spans="1:9" hidden="1" x14ac:dyDescent="0.25">
      <c r="A853" t="s">
        <v>87</v>
      </c>
      <c r="B853" t="s">
        <v>86</v>
      </c>
      <c r="E853" t="s">
        <v>0</v>
      </c>
      <c r="F853" t="e">
        <f>INDEX(IPCCMaps!H:H,MATCH(mapPRC!D853,IPCCMaps!G:G,0))</f>
        <v>#N/A</v>
      </c>
      <c r="G853" t="e">
        <f>INDEX(IPCCMaps!I:I,MATCH(mapPRC!D853,IPCCMaps!G:G,0))</f>
        <v>#N/A</v>
      </c>
      <c r="H853" t="e">
        <f>INDEX(IPCCMaps!J:J,MATCH(mapPRC!D853,IPCCMaps!G:G,0))</f>
        <v>#N/A</v>
      </c>
      <c r="I853" t="e">
        <f>INDEX(IPCCMaps!K:K,MATCH(mapPRC!D853,IPCCMaps!G:G,0))</f>
        <v>#N/A</v>
      </c>
    </row>
    <row r="854" spans="1:9" hidden="1" x14ac:dyDescent="0.25">
      <c r="A854" t="s">
        <v>85</v>
      </c>
      <c r="B854" t="s">
        <v>84</v>
      </c>
      <c r="E854" t="s">
        <v>0</v>
      </c>
      <c r="F854" t="e">
        <f>INDEX(IPCCMaps!H:H,MATCH(mapPRC!D854,IPCCMaps!G:G,0))</f>
        <v>#N/A</v>
      </c>
      <c r="G854" t="e">
        <f>INDEX(IPCCMaps!I:I,MATCH(mapPRC!D854,IPCCMaps!G:G,0))</f>
        <v>#N/A</v>
      </c>
      <c r="H854" t="e">
        <f>INDEX(IPCCMaps!J:J,MATCH(mapPRC!D854,IPCCMaps!G:G,0))</f>
        <v>#N/A</v>
      </c>
      <c r="I854" t="e">
        <f>INDEX(IPCCMaps!K:K,MATCH(mapPRC!D854,IPCCMaps!G:G,0))</f>
        <v>#N/A</v>
      </c>
    </row>
    <row r="855" spans="1:9" hidden="1" x14ac:dyDescent="0.25">
      <c r="A855" t="s">
        <v>83</v>
      </c>
      <c r="B855" t="s">
        <v>82</v>
      </c>
      <c r="E855" t="s">
        <v>0</v>
      </c>
      <c r="F855" t="e">
        <f>INDEX(IPCCMaps!H:H,MATCH(mapPRC!D855,IPCCMaps!G:G,0))</f>
        <v>#N/A</v>
      </c>
      <c r="G855" t="e">
        <f>INDEX(IPCCMaps!I:I,MATCH(mapPRC!D855,IPCCMaps!G:G,0))</f>
        <v>#N/A</v>
      </c>
      <c r="H855" t="e">
        <f>INDEX(IPCCMaps!J:J,MATCH(mapPRC!D855,IPCCMaps!G:G,0))</f>
        <v>#N/A</v>
      </c>
      <c r="I855" t="e">
        <f>INDEX(IPCCMaps!K:K,MATCH(mapPRC!D855,IPCCMaps!G:G,0))</f>
        <v>#N/A</v>
      </c>
    </row>
    <row r="856" spans="1:9" hidden="1" x14ac:dyDescent="0.25">
      <c r="A856" t="s">
        <v>81</v>
      </c>
      <c r="B856" t="s">
        <v>80</v>
      </c>
      <c r="E856" t="s">
        <v>0</v>
      </c>
      <c r="F856" t="e">
        <f>INDEX(IPCCMaps!H:H,MATCH(mapPRC!D856,IPCCMaps!G:G,0))</f>
        <v>#N/A</v>
      </c>
      <c r="G856" t="e">
        <f>INDEX(IPCCMaps!I:I,MATCH(mapPRC!D856,IPCCMaps!G:G,0))</f>
        <v>#N/A</v>
      </c>
      <c r="H856" t="e">
        <f>INDEX(IPCCMaps!J:J,MATCH(mapPRC!D856,IPCCMaps!G:G,0))</f>
        <v>#N/A</v>
      </c>
      <c r="I856" t="e">
        <f>INDEX(IPCCMaps!K:K,MATCH(mapPRC!D856,IPCCMaps!G:G,0))</f>
        <v>#N/A</v>
      </c>
    </row>
    <row r="857" spans="1:9" hidden="1" x14ac:dyDescent="0.25">
      <c r="A857" t="s">
        <v>79</v>
      </c>
      <c r="B857" t="s">
        <v>69</v>
      </c>
      <c r="E857" t="s">
        <v>0</v>
      </c>
      <c r="F857" t="e">
        <f>INDEX(IPCCMaps!H:H,MATCH(mapPRC!D857,IPCCMaps!G:G,0))</f>
        <v>#N/A</v>
      </c>
      <c r="G857" t="e">
        <f>INDEX(IPCCMaps!I:I,MATCH(mapPRC!D857,IPCCMaps!G:G,0))</f>
        <v>#N/A</v>
      </c>
      <c r="H857" t="e">
        <f>INDEX(IPCCMaps!J:J,MATCH(mapPRC!D857,IPCCMaps!G:G,0))</f>
        <v>#N/A</v>
      </c>
      <c r="I857" t="e">
        <f>INDEX(IPCCMaps!K:K,MATCH(mapPRC!D857,IPCCMaps!G:G,0))</f>
        <v>#N/A</v>
      </c>
    </row>
    <row r="858" spans="1:9" hidden="1" x14ac:dyDescent="0.25">
      <c r="A858" t="s">
        <v>78</v>
      </c>
      <c r="B858" t="s">
        <v>77</v>
      </c>
      <c r="E858" t="s">
        <v>0</v>
      </c>
      <c r="F858" t="e">
        <f>INDEX(IPCCMaps!H:H,MATCH(mapPRC!D858,IPCCMaps!G:G,0))</f>
        <v>#N/A</v>
      </c>
      <c r="G858" t="e">
        <f>INDEX(IPCCMaps!I:I,MATCH(mapPRC!D858,IPCCMaps!G:G,0))</f>
        <v>#N/A</v>
      </c>
      <c r="H858" t="e">
        <f>INDEX(IPCCMaps!J:J,MATCH(mapPRC!D858,IPCCMaps!G:G,0))</f>
        <v>#N/A</v>
      </c>
      <c r="I858" t="e">
        <f>INDEX(IPCCMaps!K:K,MATCH(mapPRC!D858,IPCCMaps!G:G,0))</f>
        <v>#N/A</v>
      </c>
    </row>
    <row r="859" spans="1:9" hidden="1" x14ac:dyDescent="0.25">
      <c r="A859" t="s">
        <v>76</v>
      </c>
      <c r="B859" t="s">
        <v>75</v>
      </c>
      <c r="E859" t="s">
        <v>0</v>
      </c>
      <c r="F859" t="e">
        <f>INDEX(IPCCMaps!H:H,MATCH(mapPRC!D859,IPCCMaps!G:G,0))</f>
        <v>#N/A</v>
      </c>
      <c r="G859" t="e">
        <f>INDEX(IPCCMaps!I:I,MATCH(mapPRC!D859,IPCCMaps!G:G,0))</f>
        <v>#N/A</v>
      </c>
      <c r="H859" t="e">
        <f>INDEX(IPCCMaps!J:J,MATCH(mapPRC!D859,IPCCMaps!G:G,0))</f>
        <v>#N/A</v>
      </c>
      <c r="I859" t="e">
        <f>INDEX(IPCCMaps!K:K,MATCH(mapPRC!D859,IPCCMaps!G:G,0))</f>
        <v>#N/A</v>
      </c>
    </row>
    <row r="860" spans="1:9" hidden="1" x14ac:dyDescent="0.25">
      <c r="A860" t="s">
        <v>74</v>
      </c>
      <c r="B860" t="s">
        <v>73</v>
      </c>
      <c r="E860" t="s">
        <v>0</v>
      </c>
      <c r="F860" t="e">
        <f>INDEX(IPCCMaps!H:H,MATCH(mapPRC!D860,IPCCMaps!G:G,0))</f>
        <v>#N/A</v>
      </c>
      <c r="G860" t="e">
        <f>INDEX(IPCCMaps!I:I,MATCH(mapPRC!D860,IPCCMaps!G:G,0))</f>
        <v>#N/A</v>
      </c>
      <c r="H860" t="e">
        <f>INDEX(IPCCMaps!J:J,MATCH(mapPRC!D860,IPCCMaps!G:G,0))</f>
        <v>#N/A</v>
      </c>
      <c r="I860" t="e">
        <f>INDEX(IPCCMaps!K:K,MATCH(mapPRC!D860,IPCCMaps!G:G,0))</f>
        <v>#N/A</v>
      </c>
    </row>
    <row r="861" spans="1:9" hidden="1" x14ac:dyDescent="0.25">
      <c r="A861" t="s">
        <v>72</v>
      </c>
      <c r="B861" t="s">
        <v>71</v>
      </c>
      <c r="E861" t="s">
        <v>0</v>
      </c>
      <c r="F861" t="e">
        <f>INDEX(IPCCMaps!H:H,MATCH(mapPRC!D861,IPCCMaps!G:G,0))</f>
        <v>#N/A</v>
      </c>
      <c r="G861" t="e">
        <f>INDEX(IPCCMaps!I:I,MATCH(mapPRC!D861,IPCCMaps!G:G,0))</f>
        <v>#N/A</v>
      </c>
      <c r="H861" t="e">
        <f>INDEX(IPCCMaps!J:J,MATCH(mapPRC!D861,IPCCMaps!G:G,0))</f>
        <v>#N/A</v>
      </c>
      <c r="I861" t="e">
        <f>INDEX(IPCCMaps!K:K,MATCH(mapPRC!D861,IPCCMaps!G:G,0))</f>
        <v>#N/A</v>
      </c>
    </row>
    <row r="862" spans="1:9" hidden="1" x14ac:dyDescent="0.25">
      <c r="A862" t="s">
        <v>70</v>
      </c>
      <c r="B862" t="s">
        <v>69</v>
      </c>
      <c r="E862" t="s">
        <v>0</v>
      </c>
      <c r="F862" t="e">
        <f>INDEX(IPCCMaps!H:H,MATCH(mapPRC!D862,IPCCMaps!G:G,0))</f>
        <v>#N/A</v>
      </c>
      <c r="G862" t="e">
        <f>INDEX(IPCCMaps!I:I,MATCH(mapPRC!D862,IPCCMaps!G:G,0))</f>
        <v>#N/A</v>
      </c>
      <c r="H862" t="e">
        <f>INDEX(IPCCMaps!J:J,MATCH(mapPRC!D862,IPCCMaps!G:G,0))</f>
        <v>#N/A</v>
      </c>
      <c r="I862" t="e">
        <f>INDEX(IPCCMaps!K:K,MATCH(mapPRC!D862,IPCCMaps!G:G,0))</f>
        <v>#N/A</v>
      </c>
    </row>
    <row r="863" spans="1:9" hidden="1" x14ac:dyDescent="0.25">
      <c r="A863" t="s">
        <v>68</v>
      </c>
      <c r="B863" t="s">
        <v>55</v>
      </c>
      <c r="E863" t="s">
        <v>0</v>
      </c>
      <c r="F863" t="e">
        <f>INDEX(IPCCMaps!H:H,MATCH(mapPRC!D863,IPCCMaps!G:G,0))</f>
        <v>#N/A</v>
      </c>
      <c r="G863" t="e">
        <f>INDEX(IPCCMaps!I:I,MATCH(mapPRC!D863,IPCCMaps!G:G,0))</f>
        <v>#N/A</v>
      </c>
      <c r="H863" t="e">
        <f>INDEX(IPCCMaps!J:J,MATCH(mapPRC!D863,IPCCMaps!G:G,0))</f>
        <v>#N/A</v>
      </c>
      <c r="I863" t="e">
        <f>INDEX(IPCCMaps!K:K,MATCH(mapPRC!D863,IPCCMaps!G:G,0))</f>
        <v>#N/A</v>
      </c>
    </row>
    <row r="864" spans="1:9" hidden="1" x14ac:dyDescent="0.25">
      <c r="A864" t="s">
        <v>67</v>
      </c>
      <c r="B864" t="s">
        <v>66</v>
      </c>
      <c r="E864" t="s">
        <v>0</v>
      </c>
      <c r="F864" t="e">
        <f>INDEX(IPCCMaps!H:H,MATCH(mapPRC!D864,IPCCMaps!G:G,0))</f>
        <v>#N/A</v>
      </c>
      <c r="G864" t="e">
        <f>INDEX(IPCCMaps!I:I,MATCH(mapPRC!D864,IPCCMaps!G:G,0))</f>
        <v>#N/A</v>
      </c>
      <c r="H864" t="e">
        <f>INDEX(IPCCMaps!J:J,MATCH(mapPRC!D864,IPCCMaps!G:G,0))</f>
        <v>#N/A</v>
      </c>
      <c r="I864" t="e">
        <f>INDEX(IPCCMaps!K:K,MATCH(mapPRC!D864,IPCCMaps!G:G,0))</f>
        <v>#N/A</v>
      </c>
    </row>
    <row r="865" spans="1:9" hidden="1" x14ac:dyDescent="0.25">
      <c r="A865" t="s">
        <v>65</v>
      </c>
      <c r="B865" t="s">
        <v>51</v>
      </c>
      <c r="E865" t="s">
        <v>0</v>
      </c>
      <c r="F865" t="e">
        <f>INDEX(IPCCMaps!H:H,MATCH(mapPRC!D865,IPCCMaps!G:G,0))</f>
        <v>#N/A</v>
      </c>
      <c r="G865" t="e">
        <f>INDEX(IPCCMaps!I:I,MATCH(mapPRC!D865,IPCCMaps!G:G,0))</f>
        <v>#N/A</v>
      </c>
      <c r="H865" t="e">
        <f>INDEX(IPCCMaps!J:J,MATCH(mapPRC!D865,IPCCMaps!G:G,0))</f>
        <v>#N/A</v>
      </c>
      <c r="I865" t="e">
        <f>INDEX(IPCCMaps!K:K,MATCH(mapPRC!D865,IPCCMaps!G:G,0))</f>
        <v>#N/A</v>
      </c>
    </row>
    <row r="866" spans="1:9" hidden="1" x14ac:dyDescent="0.25">
      <c r="A866" t="s">
        <v>64</v>
      </c>
      <c r="B866" t="s">
        <v>49</v>
      </c>
      <c r="E866" t="s">
        <v>0</v>
      </c>
      <c r="F866" t="e">
        <f>INDEX(IPCCMaps!H:H,MATCH(mapPRC!D866,IPCCMaps!G:G,0))</f>
        <v>#N/A</v>
      </c>
      <c r="G866" t="e">
        <f>INDEX(IPCCMaps!I:I,MATCH(mapPRC!D866,IPCCMaps!G:G,0))</f>
        <v>#N/A</v>
      </c>
      <c r="H866" t="e">
        <f>INDEX(IPCCMaps!J:J,MATCH(mapPRC!D866,IPCCMaps!G:G,0))</f>
        <v>#N/A</v>
      </c>
      <c r="I866" t="e">
        <f>INDEX(IPCCMaps!K:K,MATCH(mapPRC!D866,IPCCMaps!G:G,0))</f>
        <v>#N/A</v>
      </c>
    </row>
    <row r="867" spans="1:9" hidden="1" x14ac:dyDescent="0.25">
      <c r="A867" t="s">
        <v>63</v>
      </c>
      <c r="B867" t="s">
        <v>62</v>
      </c>
      <c r="E867" t="s">
        <v>0</v>
      </c>
      <c r="F867" t="e">
        <f>INDEX(IPCCMaps!H:H,MATCH(mapPRC!D867,IPCCMaps!G:G,0))</f>
        <v>#N/A</v>
      </c>
      <c r="G867" t="e">
        <f>INDEX(IPCCMaps!I:I,MATCH(mapPRC!D867,IPCCMaps!G:G,0))</f>
        <v>#N/A</v>
      </c>
      <c r="H867" t="e">
        <f>INDEX(IPCCMaps!J:J,MATCH(mapPRC!D867,IPCCMaps!G:G,0))</f>
        <v>#N/A</v>
      </c>
      <c r="I867" t="e">
        <f>INDEX(IPCCMaps!K:K,MATCH(mapPRC!D867,IPCCMaps!G:G,0))</f>
        <v>#N/A</v>
      </c>
    </row>
    <row r="868" spans="1:9" hidden="1" x14ac:dyDescent="0.25">
      <c r="A868" t="s">
        <v>61</v>
      </c>
      <c r="B868" t="s">
        <v>60</v>
      </c>
      <c r="E868" t="s">
        <v>0</v>
      </c>
      <c r="F868" t="e">
        <f>INDEX(IPCCMaps!H:H,MATCH(mapPRC!D868,IPCCMaps!G:G,0))</f>
        <v>#N/A</v>
      </c>
      <c r="G868" t="e">
        <f>INDEX(IPCCMaps!I:I,MATCH(mapPRC!D868,IPCCMaps!G:G,0))</f>
        <v>#N/A</v>
      </c>
      <c r="H868" t="e">
        <f>INDEX(IPCCMaps!J:J,MATCH(mapPRC!D868,IPCCMaps!G:G,0))</f>
        <v>#N/A</v>
      </c>
      <c r="I868" t="e">
        <f>INDEX(IPCCMaps!K:K,MATCH(mapPRC!D868,IPCCMaps!G:G,0))</f>
        <v>#N/A</v>
      </c>
    </row>
    <row r="869" spans="1:9" hidden="1" x14ac:dyDescent="0.25">
      <c r="A869" t="s">
        <v>59</v>
      </c>
      <c r="B869" t="s">
        <v>58</v>
      </c>
      <c r="E869" t="s">
        <v>0</v>
      </c>
      <c r="F869" t="e">
        <f>INDEX(IPCCMaps!H:H,MATCH(mapPRC!D869,IPCCMaps!G:G,0))</f>
        <v>#N/A</v>
      </c>
      <c r="G869" t="e">
        <f>INDEX(IPCCMaps!I:I,MATCH(mapPRC!D869,IPCCMaps!G:G,0))</f>
        <v>#N/A</v>
      </c>
      <c r="H869" t="e">
        <f>INDEX(IPCCMaps!J:J,MATCH(mapPRC!D869,IPCCMaps!G:G,0))</f>
        <v>#N/A</v>
      </c>
      <c r="I869" t="e">
        <f>INDEX(IPCCMaps!K:K,MATCH(mapPRC!D869,IPCCMaps!G:G,0))</f>
        <v>#N/A</v>
      </c>
    </row>
    <row r="870" spans="1:9" hidden="1" x14ac:dyDescent="0.25">
      <c r="A870" t="s">
        <v>57</v>
      </c>
      <c r="B870" t="s">
        <v>47</v>
      </c>
      <c r="E870" t="s">
        <v>0</v>
      </c>
      <c r="F870" t="e">
        <f>INDEX(IPCCMaps!H:H,MATCH(mapPRC!D870,IPCCMaps!G:G,0))</f>
        <v>#N/A</v>
      </c>
      <c r="G870" t="e">
        <f>INDEX(IPCCMaps!I:I,MATCH(mapPRC!D870,IPCCMaps!G:G,0))</f>
        <v>#N/A</v>
      </c>
      <c r="H870" t="e">
        <f>INDEX(IPCCMaps!J:J,MATCH(mapPRC!D870,IPCCMaps!G:G,0))</f>
        <v>#N/A</v>
      </c>
      <c r="I870" t="e">
        <f>INDEX(IPCCMaps!K:K,MATCH(mapPRC!D870,IPCCMaps!G:G,0))</f>
        <v>#N/A</v>
      </c>
    </row>
    <row r="871" spans="1:9" hidden="1" x14ac:dyDescent="0.25">
      <c r="A871" t="s">
        <v>56</v>
      </c>
      <c r="B871" t="s">
        <v>55</v>
      </c>
      <c r="E871" t="s">
        <v>0</v>
      </c>
      <c r="F871" t="e">
        <f>INDEX(IPCCMaps!H:H,MATCH(mapPRC!D871,IPCCMaps!G:G,0))</f>
        <v>#N/A</v>
      </c>
      <c r="G871" t="e">
        <f>INDEX(IPCCMaps!I:I,MATCH(mapPRC!D871,IPCCMaps!G:G,0))</f>
        <v>#N/A</v>
      </c>
      <c r="H871" t="e">
        <f>INDEX(IPCCMaps!J:J,MATCH(mapPRC!D871,IPCCMaps!G:G,0))</f>
        <v>#N/A</v>
      </c>
      <c r="I871" t="e">
        <f>INDEX(IPCCMaps!K:K,MATCH(mapPRC!D871,IPCCMaps!G:G,0))</f>
        <v>#N/A</v>
      </c>
    </row>
    <row r="872" spans="1:9" hidden="1" x14ac:dyDescent="0.25">
      <c r="A872" t="s">
        <v>54</v>
      </c>
      <c r="B872" t="s">
        <v>53</v>
      </c>
      <c r="E872" t="s">
        <v>0</v>
      </c>
      <c r="F872" t="e">
        <f>INDEX(IPCCMaps!H:H,MATCH(mapPRC!D872,IPCCMaps!G:G,0))</f>
        <v>#N/A</v>
      </c>
      <c r="G872" t="e">
        <f>INDEX(IPCCMaps!I:I,MATCH(mapPRC!D872,IPCCMaps!G:G,0))</f>
        <v>#N/A</v>
      </c>
      <c r="H872" t="e">
        <f>INDEX(IPCCMaps!J:J,MATCH(mapPRC!D872,IPCCMaps!G:G,0))</f>
        <v>#N/A</v>
      </c>
      <c r="I872" t="e">
        <f>INDEX(IPCCMaps!K:K,MATCH(mapPRC!D872,IPCCMaps!G:G,0))</f>
        <v>#N/A</v>
      </c>
    </row>
    <row r="873" spans="1:9" hidden="1" x14ac:dyDescent="0.25">
      <c r="A873" t="s">
        <v>52</v>
      </c>
      <c r="B873" t="s">
        <v>51</v>
      </c>
      <c r="E873" t="s">
        <v>0</v>
      </c>
      <c r="F873" t="e">
        <f>INDEX(IPCCMaps!H:H,MATCH(mapPRC!D873,IPCCMaps!G:G,0))</f>
        <v>#N/A</v>
      </c>
      <c r="G873" t="e">
        <f>INDEX(IPCCMaps!I:I,MATCH(mapPRC!D873,IPCCMaps!G:G,0))</f>
        <v>#N/A</v>
      </c>
      <c r="H873" t="e">
        <f>INDEX(IPCCMaps!J:J,MATCH(mapPRC!D873,IPCCMaps!G:G,0))</f>
        <v>#N/A</v>
      </c>
      <c r="I873" t="e">
        <f>INDEX(IPCCMaps!K:K,MATCH(mapPRC!D873,IPCCMaps!G:G,0))</f>
        <v>#N/A</v>
      </c>
    </row>
    <row r="874" spans="1:9" hidden="1" x14ac:dyDescent="0.25">
      <c r="A874" t="s">
        <v>50</v>
      </c>
      <c r="B874" t="s">
        <v>49</v>
      </c>
      <c r="E874" t="s">
        <v>0</v>
      </c>
      <c r="F874" t="e">
        <f>INDEX(IPCCMaps!H:H,MATCH(mapPRC!D874,IPCCMaps!G:G,0))</f>
        <v>#N/A</v>
      </c>
      <c r="G874" t="e">
        <f>INDEX(IPCCMaps!I:I,MATCH(mapPRC!D874,IPCCMaps!G:G,0))</f>
        <v>#N/A</v>
      </c>
      <c r="H874" t="e">
        <f>INDEX(IPCCMaps!J:J,MATCH(mapPRC!D874,IPCCMaps!G:G,0))</f>
        <v>#N/A</v>
      </c>
      <c r="I874" t="e">
        <f>INDEX(IPCCMaps!K:K,MATCH(mapPRC!D874,IPCCMaps!G:G,0))</f>
        <v>#N/A</v>
      </c>
    </row>
    <row r="875" spans="1:9" hidden="1" x14ac:dyDescent="0.25">
      <c r="A875" t="s">
        <v>48</v>
      </c>
      <c r="B875" t="s">
        <v>47</v>
      </c>
      <c r="E875" t="s">
        <v>0</v>
      </c>
      <c r="F875" t="e">
        <f>INDEX(IPCCMaps!H:H,MATCH(mapPRC!D875,IPCCMaps!G:G,0))</f>
        <v>#N/A</v>
      </c>
      <c r="G875" t="e">
        <f>INDEX(IPCCMaps!I:I,MATCH(mapPRC!D875,IPCCMaps!G:G,0))</f>
        <v>#N/A</v>
      </c>
      <c r="H875" t="e">
        <f>INDEX(IPCCMaps!J:J,MATCH(mapPRC!D875,IPCCMaps!G:G,0))</f>
        <v>#N/A</v>
      </c>
      <c r="I875" t="e">
        <f>INDEX(IPCCMaps!K:K,MATCH(mapPRC!D875,IPCCMaps!G:G,0))</f>
        <v>#N/A</v>
      </c>
    </row>
  </sheetData>
  <autoFilter ref="A1:I875" xr:uid="{2F3FFDF7-7714-47AC-B254-A3709C093DA2}">
    <filterColumn colId="2">
      <filters>
        <filter val="Transport"/>
      </filters>
    </filterColumn>
  </autoFilter>
  <sortState xmlns:xlrd2="http://schemas.microsoft.com/office/spreadsheetml/2017/richdata2" ref="A2:I875">
    <sortCondition ref="A2:A875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43"/>
  <sheetViews>
    <sheetView topLeftCell="A301" workbookViewId="0">
      <selection activeCell="D316" sqref="D316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2439</v>
      </c>
      <c r="B1" t="s">
        <v>2438</v>
      </c>
      <c r="C1" t="s">
        <v>2437</v>
      </c>
      <c r="D1" t="s">
        <v>2436</v>
      </c>
    </row>
    <row r="2" spans="1:4" x14ac:dyDescent="0.25">
      <c r="A2" t="s">
        <v>2419</v>
      </c>
      <c r="B2" t="s">
        <v>2418</v>
      </c>
      <c r="C2">
        <v>0</v>
      </c>
      <c r="D2">
        <v>0</v>
      </c>
    </row>
    <row r="3" spans="1:4" x14ac:dyDescent="0.25">
      <c r="A3" t="s">
        <v>2417</v>
      </c>
      <c r="B3" t="s">
        <v>2416</v>
      </c>
      <c r="C3" t="s">
        <v>2109</v>
      </c>
      <c r="D3">
        <v>0</v>
      </c>
    </row>
    <row r="4" spans="1:4" x14ac:dyDescent="0.25">
      <c r="A4" t="s">
        <v>2415</v>
      </c>
      <c r="B4" t="s">
        <v>2414</v>
      </c>
      <c r="C4" t="s">
        <v>2105</v>
      </c>
      <c r="D4">
        <v>0</v>
      </c>
    </row>
    <row r="5" spans="1:4" x14ac:dyDescent="0.25">
      <c r="A5" t="s">
        <v>2413</v>
      </c>
      <c r="B5" t="s">
        <v>2412</v>
      </c>
      <c r="C5" t="s">
        <v>2102</v>
      </c>
      <c r="D5">
        <v>0</v>
      </c>
    </row>
    <row r="6" spans="1:4" x14ac:dyDescent="0.25">
      <c r="A6" t="s">
        <v>2411</v>
      </c>
      <c r="B6" t="s">
        <v>2410</v>
      </c>
      <c r="C6" t="s">
        <v>19</v>
      </c>
      <c r="D6" t="s">
        <v>19</v>
      </c>
    </row>
    <row r="7" spans="1:4" x14ac:dyDescent="0.25">
      <c r="A7" t="s">
        <v>2409</v>
      </c>
      <c r="B7" t="s">
        <v>2408</v>
      </c>
      <c r="C7" t="s">
        <v>1722</v>
      </c>
      <c r="D7">
        <v>0</v>
      </c>
    </row>
    <row r="8" spans="1:4" x14ac:dyDescent="0.25">
      <c r="A8" t="s">
        <v>2407</v>
      </c>
      <c r="B8" t="s">
        <v>2406</v>
      </c>
      <c r="C8" t="s">
        <v>2094</v>
      </c>
      <c r="D8">
        <v>0</v>
      </c>
    </row>
    <row r="9" spans="1:4" x14ac:dyDescent="0.25">
      <c r="A9" t="s">
        <v>2405</v>
      </c>
      <c r="B9" t="s">
        <v>2404</v>
      </c>
      <c r="C9" t="s">
        <v>2091</v>
      </c>
      <c r="D9">
        <v>0</v>
      </c>
    </row>
    <row r="10" spans="1:4" x14ac:dyDescent="0.25">
      <c r="A10" t="s">
        <v>2403</v>
      </c>
      <c r="B10" t="s">
        <v>2402</v>
      </c>
      <c r="C10" t="s">
        <v>2088</v>
      </c>
      <c r="D10">
        <v>0</v>
      </c>
    </row>
    <row r="11" spans="1:4" x14ac:dyDescent="0.25">
      <c r="A11" t="s">
        <v>2401</v>
      </c>
      <c r="B11" t="s">
        <v>2400</v>
      </c>
      <c r="C11" t="s">
        <v>1717</v>
      </c>
      <c r="D11" t="s">
        <v>1717</v>
      </c>
    </row>
    <row r="12" spans="1:4" x14ac:dyDescent="0.25">
      <c r="A12" t="s">
        <v>2399</v>
      </c>
      <c r="B12" t="s">
        <v>2398</v>
      </c>
      <c r="C12" t="s">
        <v>1715</v>
      </c>
      <c r="D12" t="s">
        <v>1714</v>
      </c>
    </row>
    <row r="13" spans="1:4" x14ac:dyDescent="0.25">
      <c r="A13" t="s">
        <v>2397</v>
      </c>
      <c r="B13" t="s">
        <v>2396</v>
      </c>
      <c r="C13" t="s">
        <v>1712</v>
      </c>
      <c r="D13" t="s">
        <v>1711</v>
      </c>
    </row>
    <row r="14" spans="1:4" x14ac:dyDescent="0.25">
      <c r="A14" t="s">
        <v>2395</v>
      </c>
      <c r="B14" t="s">
        <v>2394</v>
      </c>
      <c r="C14" t="s">
        <v>2118</v>
      </c>
      <c r="D14" t="s">
        <v>2118</v>
      </c>
    </row>
    <row r="15" spans="1:4" x14ac:dyDescent="0.25">
      <c r="A15" t="s">
        <v>2393</v>
      </c>
      <c r="B15" t="s">
        <v>2392</v>
      </c>
      <c r="C15" t="s">
        <v>1708</v>
      </c>
      <c r="D15" t="s">
        <v>1708</v>
      </c>
    </row>
    <row r="16" spans="1:4" x14ac:dyDescent="0.25">
      <c r="A16" t="s">
        <v>2391</v>
      </c>
      <c r="B16" t="s">
        <v>2390</v>
      </c>
      <c r="C16" t="s">
        <v>2082</v>
      </c>
      <c r="D16">
        <v>0</v>
      </c>
    </row>
    <row r="17" spans="1:4" x14ac:dyDescent="0.25">
      <c r="A17" t="s">
        <v>2389</v>
      </c>
      <c r="B17" t="s">
        <v>2388</v>
      </c>
      <c r="C17" t="s">
        <v>2079</v>
      </c>
      <c r="D17">
        <v>0</v>
      </c>
    </row>
    <row r="18" spans="1:4" x14ac:dyDescent="0.25">
      <c r="A18" t="s">
        <v>2068</v>
      </c>
      <c r="B18" t="s">
        <v>2067</v>
      </c>
      <c r="C18">
        <v>0</v>
      </c>
      <c r="D18">
        <v>0</v>
      </c>
    </row>
    <row r="19" spans="1:4" x14ac:dyDescent="0.25">
      <c r="A19" t="s">
        <v>2066</v>
      </c>
      <c r="B19" t="s">
        <v>2065</v>
      </c>
      <c r="C19">
        <v>0</v>
      </c>
      <c r="D19">
        <v>0</v>
      </c>
    </row>
    <row r="20" spans="1:4" x14ac:dyDescent="0.25">
      <c r="A20" t="s">
        <v>2064</v>
      </c>
      <c r="B20" t="s">
        <v>2063</v>
      </c>
      <c r="C20">
        <v>0</v>
      </c>
      <c r="D20">
        <v>0</v>
      </c>
    </row>
    <row r="21" spans="1:4" x14ac:dyDescent="0.25">
      <c r="A21" t="s">
        <v>2062</v>
      </c>
      <c r="B21" t="s">
        <v>2061</v>
      </c>
      <c r="C21">
        <v>0</v>
      </c>
      <c r="D21">
        <v>0</v>
      </c>
    </row>
    <row r="22" spans="1:4" x14ac:dyDescent="0.25">
      <c r="A22" t="s">
        <v>2060</v>
      </c>
      <c r="B22" t="s">
        <v>2059</v>
      </c>
      <c r="C22">
        <v>0</v>
      </c>
      <c r="D22">
        <v>0</v>
      </c>
    </row>
    <row r="23" spans="1:4" x14ac:dyDescent="0.25">
      <c r="A23" t="s">
        <v>2387</v>
      </c>
      <c r="B23" t="s">
        <v>2386</v>
      </c>
      <c r="C23" t="s">
        <v>1730</v>
      </c>
      <c r="D23" t="s">
        <v>1729</v>
      </c>
    </row>
    <row r="24" spans="1:4" x14ac:dyDescent="0.25">
      <c r="A24" t="s">
        <v>2385</v>
      </c>
      <c r="B24" t="s">
        <v>2384</v>
      </c>
      <c r="C24" t="s">
        <v>1730</v>
      </c>
      <c r="D24" t="s">
        <v>1729</v>
      </c>
    </row>
    <row r="25" spans="1:4" x14ac:dyDescent="0.25">
      <c r="A25" t="s">
        <v>2383</v>
      </c>
      <c r="B25" t="s">
        <v>2382</v>
      </c>
      <c r="C25" t="s">
        <v>1730</v>
      </c>
      <c r="D25" t="s">
        <v>1729</v>
      </c>
    </row>
    <row r="26" spans="1:4" x14ac:dyDescent="0.25">
      <c r="A26" t="s">
        <v>2381</v>
      </c>
      <c r="B26" t="s">
        <v>2380</v>
      </c>
      <c r="C26" t="s">
        <v>2234</v>
      </c>
      <c r="D26">
        <v>0</v>
      </c>
    </row>
    <row r="27" spans="1:4" x14ac:dyDescent="0.25">
      <c r="A27" t="s">
        <v>2379</v>
      </c>
      <c r="B27" t="s">
        <v>2378</v>
      </c>
      <c r="C27" t="s">
        <v>1730</v>
      </c>
      <c r="D27" t="s">
        <v>1729</v>
      </c>
    </row>
    <row r="28" spans="1:4" x14ac:dyDescent="0.25">
      <c r="A28" t="s">
        <v>2377</v>
      </c>
      <c r="B28" t="s">
        <v>2376</v>
      </c>
      <c r="C28" t="s">
        <v>2172</v>
      </c>
      <c r="D28" t="s">
        <v>2171</v>
      </c>
    </row>
    <row r="29" spans="1:4" x14ac:dyDescent="0.25">
      <c r="A29" t="s">
        <v>2058</v>
      </c>
      <c r="B29" t="s">
        <v>2048</v>
      </c>
      <c r="C29">
        <v>0</v>
      </c>
      <c r="D29">
        <v>0</v>
      </c>
    </row>
    <row r="30" spans="1:4" x14ac:dyDescent="0.25">
      <c r="A30" t="s">
        <v>2057</v>
      </c>
      <c r="B30" t="s">
        <v>2046</v>
      </c>
      <c r="C30">
        <v>0</v>
      </c>
      <c r="D30">
        <v>0</v>
      </c>
    </row>
    <row r="31" spans="1:4" x14ac:dyDescent="0.25">
      <c r="A31" t="s">
        <v>2056</v>
      </c>
      <c r="B31" t="s">
        <v>2044</v>
      </c>
      <c r="C31">
        <v>0</v>
      </c>
      <c r="D31">
        <v>0</v>
      </c>
    </row>
    <row r="32" spans="1:4" x14ac:dyDescent="0.25">
      <c r="A32" t="s">
        <v>2055</v>
      </c>
      <c r="B32" t="s">
        <v>2042</v>
      </c>
      <c r="C32">
        <v>0</v>
      </c>
      <c r="D32">
        <v>0</v>
      </c>
    </row>
    <row r="33" spans="1:4" x14ac:dyDescent="0.25">
      <c r="A33" t="s">
        <v>2054</v>
      </c>
      <c r="B33" t="s">
        <v>2040</v>
      </c>
      <c r="C33">
        <v>0</v>
      </c>
      <c r="D33">
        <v>0</v>
      </c>
    </row>
    <row r="34" spans="1:4" x14ac:dyDescent="0.25">
      <c r="A34" t="s">
        <v>2053</v>
      </c>
      <c r="B34" t="s">
        <v>2038</v>
      </c>
      <c r="C34">
        <v>0</v>
      </c>
      <c r="D34">
        <v>0</v>
      </c>
    </row>
    <row r="35" spans="1:4" x14ac:dyDescent="0.25">
      <c r="A35" t="s">
        <v>2052</v>
      </c>
      <c r="B35" t="s">
        <v>2036</v>
      </c>
      <c r="C35">
        <v>0</v>
      </c>
      <c r="D35">
        <v>0</v>
      </c>
    </row>
    <row r="36" spans="1:4" x14ac:dyDescent="0.25">
      <c r="A36" t="s">
        <v>2051</v>
      </c>
      <c r="B36" t="s">
        <v>2034</v>
      </c>
      <c r="C36">
        <v>0</v>
      </c>
      <c r="D36">
        <v>0</v>
      </c>
    </row>
    <row r="37" spans="1:4" x14ac:dyDescent="0.25">
      <c r="A37" t="s">
        <v>2050</v>
      </c>
      <c r="B37" t="s">
        <v>2032</v>
      </c>
      <c r="C37">
        <v>0</v>
      </c>
      <c r="D37">
        <v>0</v>
      </c>
    </row>
    <row r="38" spans="1:4" x14ac:dyDescent="0.25">
      <c r="A38" t="s">
        <v>2375</v>
      </c>
      <c r="B38" t="s">
        <v>2374</v>
      </c>
      <c r="C38">
        <v>0</v>
      </c>
      <c r="D38">
        <v>0</v>
      </c>
    </row>
    <row r="39" spans="1:4" x14ac:dyDescent="0.25">
      <c r="A39" t="s">
        <v>2109</v>
      </c>
      <c r="B39" t="s">
        <v>2373</v>
      </c>
      <c r="C39">
        <v>0</v>
      </c>
      <c r="D39">
        <v>0</v>
      </c>
    </row>
    <row r="40" spans="1:4" x14ac:dyDescent="0.25">
      <c r="A40" t="s">
        <v>2372</v>
      </c>
      <c r="B40" t="s">
        <v>2361</v>
      </c>
      <c r="C40">
        <v>0</v>
      </c>
      <c r="D40">
        <v>0</v>
      </c>
    </row>
    <row r="41" spans="1:4" x14ac:dyDescent="0.25">
      <c r="A41" t="s">
        <v>2371</v>
      </c>
      <c r="B41" t="s">
        <v>2370</v>
      </c>
      <c r="C41" t="s">
        <v>2225</v>
      </c>
      <c r="D41" t="s">
        <v>19</v>
      </c>
    </row>
    <row r="42" spans="1:4" x14ac:dyDescent="0.25">
      <c r="A42" t="s">
        <v>2369</v>
      </c>
      <c r="B42" t="s">
        <v>2368</v>
      </c>
      <c r="C42" t="s">
        <v>19</v>
      </c>
      <c r="D42" t="s">
        <v>19</v>
      </c>
    </row>
    <row r="43" spans="1:4" x14ac:dyDescent="0.25">
      <c r="A43" t="s">
        <v>2105</v>
      </c>
      <c r="B43" t="s">
        <v>2367</v>
      </c>
      <c r="C43" t="s">
        <v>2105</v>
      </c>
      <c r="D43">
        <v>0</v>
      </c>
    </row>
    <row r="44" spans="1:4" x14ac:dyDescent="0.25">
      <c r="A44" t="s">
        <v>2049</v>
      </c>
      <c r="B44" t="s">
        <v>2048</v>
      </c>
      <c r="C44">
        <v>0</v>
      </c>
      <c r="D44">
        <v>0</v>
      </c>
    </row>
    <row r="45" spans="1:4" x14ac:dyDescent="0.25">
      <c r="A45" t="s">
        <v>2047</v>
      </c>
      <c r="B45" t="s">
        <v>2046</v>
      </c>
      <c r="C45">
        <v>0</v>
      </c>
      <c r="D45">
        <v>0</v>
      </c>
    </row>
    <row r="46" spans="1:4" x14ac:dyDescent="0.25">
      <c r="A46" t="s">
        <v>2045</v>
      </c>
      <c r="B46" t="s">
        <v>2044</v>
      </c>
      <c r="C46">
        <v>0</v>
      </c>
      <c r="D46">
        <v>0</v>
      </c>
    </row>
    <row r="47" spans="1:4" x14ac:dyDescent="0.25">
      <c r="A47" t="s">
        <v>2043</v>
      </c>
      <c r="B47" t="s">
        <v>2042</v>
      </c>
      <c r="C47">
        <v>0</v>
      </c>
      <c r="D47">
        <v>0</v>
      </c>
    </row>
    <row r="48" spans="1:4" x14ac:dyDescent="0.25">
      <c r="A48" t="s">
        <v>2041</v>
      </c>
      <c r="B48" t="s">
        <v>2040</v>
      </c>
      <c r="C48">
        <v>0</v>
      </c>
      <c r="D48">
        <v>0</v>
      </c>
    </row>
    <row r="49" spans="1:4" x14ac:dyDescent="0.25">
      <c r="A49" t="s">
        <v>2039</v>
      </c>
      <c r="B49" t="s">
        <v>2038</v>
      </c>
      <c r="C49">
        <v>0</v>
      </c>
      <c r="D49">
        <v>0</v>
      </c>
    </row>
    <row r="50" spans="1:4" x14ac:dyDescent="0.25">
      <c r="A50" t="s">
        <v>2037</v>
      </c>
      <c r="B50" t="s">
        <v>2036</v>
      </c>
      <c r="C50">
        <v>0</v>
      </c>
      <c r="D50">
        <v>0</v>
      </c>
    </row>
    <row r="51" spans="1:4" x14ac:dyDescent="0.25">
      <c r="A51" t="s">
        <v>2035</v>
      </c>
      <c r="B51" t="s">
        <v>2034</v>
      </c>
      <c r="C51">
        <v>0</v>
      </c>
      <c r="D51">
        <v>0</v>
      </c>
    </row>
    <row r="52" spans="1:4" x14ac:dyDescent="0.25">
      <c r="A52" t="s">
        <v>2033</v>
      </c>
      <c r="B52" t="s">
        <v>2032</v>
      </c>
      <c r="C52">
        <v>0</v>
      </c>
      <c r="D52">
        <v>0</v>
      </c>
    </row>
    <row r="53" spans="1:4" x14ac:dyDescent="0.25">
      <c r="A53" t="s">
        <v>2366</v>
      </c>
      <c r="B53" t="s">
        <v>2365</v>
      </c>
      <c r="C53" t="s">
        <v>2364</v>
      </c>
      <c r="D53">
        <v>0</v>
      </c>
    </row>
    <row r="54" spans="1:4" x14ac:dyDescent="0.25">
      <c r="A54" t="s">
        <v>2102</v>
      </c>
      <c r="B54" t="s">
        <v>2363</v>
      </c>
      <c r="C54" t="s">
        <v>1778</v>
      </c>
      <c r="D54">
        <v>0</v>
      </c>
    </row>
    <row r="55" spans="1:4" x14ac:dyDescent="0.25">
      <c r="A55" t="s">
        <v>2362</v>
      </c>
      <c r="B55" t="s">
        <v>2361</v>
      </c>
      <c r="C55" t="s">
        <v>1778</v>
      </c>
      <c r="D55">
        <v>0</v>
      </c>
    </row>
    <row r="56" spans="1:4" x14ac:dyDescent="0.25">
      <c r="A56" t="s">
        <v>2360</v>
      </c>
      <c r="B56" t="s">
        <v>2359</v>
      </c>
      <c r="C56" t="s">
        <v>1778</v>
      </c>
      <c r="D56">
        <v>0</v>
      </c>
    </row>
    <row r="57" spans="1:4" x14ac:dyDescent="0.25">
      <c r="A57" t="s">
        <v>2358</v>
      </c>
      <c r="B57" t="s">
        <v>2357</v>
      </c>
      <c r="C57" t="s">
        <v>19</v>
      </c>
      <c r="D57" t="s">
        <v>19</v>
      </c>
    </row>
    <row r="58" spans="1:4" x14ac:dyDescent="0.25">
      <c r="A58" t="s">
        <v>2356</v>
      </c>
      <c r="B58" t="s">
        <v>2355</v>
      </c>
      <c r="C58" t="s">
        <v>1781</v>
      </c>
      <c r="D58">
        <v>0</v>
      </c>
    </row>
    <row r="59" spans="1:4" x14ac:dyDescent="0.25">
      <c r="A59" t="s">
        <v>1852</v>
      </c>
      <c r="B59" t="s">
        <v>1851</v>
      </c>
      <c r="C59">
        <v>0</v>
      </c>
      <c r="D59">
        <v>0</v>
      </c>
    </row>
    <row r="60" spans="1:4" x14ac:dyDescent="0.25">
      <c r="A60" t="s">
        <v>1850</v>
      </c>
      <c r="B60" t="s">
        <v>1849</v>
      </c>
      <c r="C60">
        <v>0</v>
      </c>
      <c r="D60">
        <v>0</v>
      </c>
    </row>
    <row r="61" spans="1:4" x14ac:dyDescent="0.25">
      <c r="A61" t="s">
        <v>1848</v>
      </c>
      <c r="B61" t="s">
        <v>1847</v>
      </c>
      <c r="C61">
        <v>0</v>
      </c>
      <c r="D61">
        <v>0</v>
      </c>
    </row>
    <row r="62" spans="1:4" x14ac:dyDescent="0.25">
      <c r="A62" t="s">
        <v>1846</v>
      </c>
      <c r="B62" t="s">
        <v>1845</v>
      </c>
      <c r="C62">
        <v>0</v>
      </c>
      <c r="D62">
        <v>0</v>
      </c>
    </row>
    <row r="63" spans="1:4" x14ac:dyDescent="0.25">
      <c r="A63" t="s">
        <v>1844</v>
      </c>
      <c r="B63" t="s">
        <v>1843</v>
      </c>
      <c r="C63" t="s">
        <v>1784</v>
      </c>
      <c r="D63">
        <v>0</v>
      </c>
    </row>
    <row r="64" spans="1:4" x14ac:dyDescent="0.25">
      <c r="A64" t="s">
        <v>2354</v>
      </c>
      <c r="B64" t="s">
        <v>2353</v>
      </c>
      <c r="C64" t="s">
        <v>2109</v>
      </c>
      <c r="D64">
        <v>0</v>
      </c>
    </row>
    <row r="65" spans="1:4" x14ac:dyDescent="0.25">
      <c r="A65" t="s">
        <v>2352</v>
      </c>
      <c r="B65" t="s">
        <v>2351</v>
      </c>
      <c r="C65" t="s">
        <v>2105</v>
      </c>
      <c r="D65">
        <v>0</v>
      </c>
    </row>
    <row r="66" spans="1:4" x14ac:dyDescent="0.25">
      <c r="A66" t="s">
        <v>1842</v>
      </c>
      <c r="B66" t="s">
        <v>1841</v>
      </c>
      <c r="C66" t="s">
        <v>1778</v>
      </c>
      <c r="D66">
        <v>0</v>
      </c>
    </row>
    <row r="67" spans="1:4" x14ac:dyDescent="0.25">
      <c r="A67" t="s">
        <v>2350</v>
      </c>
      <c r="B67" t="s">
        <v>2349</v>
      </c>
      <c r="C67" t="s">
        <v>2102</v>
      </c>
      <c r="D67">
        <v>0</v>
      </c>
    </row>
    <row r="68" spans="1:4" x14ac:dyDescent="0.25">
      <c r="A68" t="s">
        <v>2348</v>
      </c>
      <c r="B68" t="s">
        <v>2347</v>
      </c>
      <c r="C68" t="s">
        <v>19</v>
      </c>
      <c r="D68" t="s">
        <v>19</v>
      </c>
    </row>
    <row r="69" spans="1:4" x14ac:dyDescent="0.25">
      <c r="A69" t="s">
        <v>2346</v>
      </c>
      <c r="B69" t="s">
        <v>2345</v>
      </c>
      <c r="C69" t="s">
        <v>1722</v>
      </c>
      <c r="D69">
        <v>0</v>
      </c>
    </row>
    <row r="70" spans="1:4" x14ac:dyDescent="0.25">
      <c r="A70" t="s">
        <v>2344</v>
      </c>
      <c r="B70" t="s">
        <v>2343</v>
      </c>
      <c r="C70" t="s">
        <v>1684</v>
      </c>
      <c r="D70" t="s">
        <v>1684</v>
      </c>
    </row>
    <row r="71" spans="1:4" x14ac:dyDescent="0.25">
      <c r="A71" t="s">
        <v>1840</v>
      </c>
      <c r="B71" t="s">
        <v>1839</v>
      </c>
      <c r="C71" t="s">
        <v>1775</v>
      </c>
      <c r="D71">
        <v>0</v>
      </c>
    </row>
    <row r="72" spans="1:4" x14ac:dyDescent="0.25">
      <c r="A72" t="s">
        <v>2342</v>
      </c>
      <c r="B72" t="s">
        <v>2341</v>
      </c>
      <c r="C72" t="s">
        <v>2094</v>
      </c>
      <c r="D72">
        <v>0</v>
      </c>
    </row>
    <row r="73" spans="1:4" x14ac:dyDescent="0.25">
      <c r="A73" t="s">
        <v>2340</v>
      </c>
      <c r="B73" t="s">
        <v>2339</v>
      </c>
      <c r="C73" t="s">
        <v>2091</v>
      </c>
      <c r="D73">
        <v>0</v>
      </c>
    </row>
    <row r="74" spans="1:4" x14ac:dyDescent="0.25">
      <c r="A74" t="s">
        <v>1838</v>
      </c>
      <c r="B74" t="s">
        <v>1837</v>
      </c>
      <c r="C74" t="s">
        <v>1769</v>
      </c>
      <c r="D74">
        <v>0</v>
      </c>
    </row>
    <row r="75" spans="1:4" x14ac:dyDescent="0.25">
      <c r="A75" t="s">
        <v>2338</v>
      </c>
      <c r="B75" t="s">
        <v>2337</v>
      </c>
      <c r="C75" t="s">
        <v>2088</v>
      </c>
      <c r="D75">
        <v>0</v>
      </c>
    </row>
    <row r="76" spans="1:4" x14ac:dyDescent="0.25">
      <c r="A76" t="s">
        <v>2336</v>
      </c>
      <c r="B76" t="s">
        <v>2335</v>
      </c>
      <c r="C76" t="s">
        <v>1717</v>
      </c>
      <c r="D76" t="s">
        <v>1717</v>
      </c>
    </row>
    <row r="77" spans="1:4" x14ac:dyDescent="0.25">
      <c r="A77" t="s">
        <v>2334</v>
      </c>
      <c r="B77" t="s">
        <v>2333</v>
      </c>
      <c r="C77" t="s">
        <v>1715</v>
      </c>
      <c r="D77" t="s">
        <v>1714</v>
      </c>
    </row>
    <row r="78" spans="1:4" x14ac:dyDescent="0.25">
      <c r="A78" t="s">
        <v>2332</v>
      </c>
      <c r="B78" t="s">
        <v>2331</v>
      </c>
      <c r="C78" t="s">
        <v>1712</v>
      </c>
      <c r="D78" t="s">
        <v>1711</v>
      </c>
    </row>
    <row r="79" spans="1:4" x14ac:dyDescent="0.25">
      <c r="A79" t="s">
        <v>2330</v>
      </c>
      <c r="B79" t="s">
        <v>2329</v>
      </c>
      <c r="C79" t="s">
        <v>2118</v>
      </c>
      <c r="D79" t="s">
        <v>2118</v>
      </c>
    </row>
    <row r="80" spans="1:4" x14ac:dyDescent="0.25">
      <c r="A80" t="s">
        <v>2328</v>
      </c>
      <c r="B80" t="s">
        <v>2327</v>
      </c>
      <c r="C80" t="s">
        <v>1708</v>
      </c>
      <c r="D80" t="s">
        <v>1708</v>
      </c>
    </row>
    <row r="81" spans="1:4" x14ac:dyDescent="0.25">
      <c r="A81" t="s">
        <v>2326</v>
      </c>
      <c r="B81" t="s">
        <v>2325</v>
      </c>
      <c r="C81" t="s">
        <v>2082</v>
      </c>
      <c r="D81">
        <v>0</v>
      </c>
    </row>
    <row r="82" spans="1:4" x14ac:dyDescent="0.25">
      <c r="A82" t="s">
        <v>1836</v>
      </c>
      <c r="B82" t="s">
        <v>1835</v>
      </c>
      <c r="C82" t="s">
        <v>1763</v>
      </c>
      <c r="D82">
        <v>0</v>
      </c>
    </row>
    <row r="83" spans="1:4" x14ac:dyDescent="0.25">
      <c r="A83" t="s">
        <v>2324</v>
      </c>
      <c r="B83" t="s">
        <v>2323</v>
      </c>
      <c r="C83" t="s">
        <v>2079</v>
      </c>
      <c r="D83">
        <v>0</v>
      </c>
    </row>
    <row r="84" spans="1:4" x14ac:dyDescent="0.25">
      <c r="A84" t="s">
        <v>1834</v>
      </c>
      <c r="B84" t="s">
        <v>1833</v>
      </c>
      <c r="C84">
        <v>0</v>
      </c>
      <c r="D84">
        <v>0</v>
      </c>
    </row>
    <row r="85" spans="1:4" x14ac:dyDescent="0.25">
      <c r="A85" t="s">
        <v>1832</v>
      </c>
      <c r="B85" t="s">
        <v>1831</v>
      </c>
      <c r="C85">
        <v>0</v>
      </c>
      <c r="D85">
        <v>0</v>
      </c>
    </row>
    <row r="86" spans="1:4" x14ac:dyDescent="0.25">
      <c r="A86" t="s">
        <v>2322</v>
      </c>
      <c r="B86" t="s">
        <v>2321</v>
      </c>
      <c r="C86" t="s">
        <v>19</v>
      </c>
      <c r="D86" t="s">
        <v>19</v>
      </c>
    </row>
    <row r="87" spans="1:4" x14ac:dyDescent="0.25">
      <c r="A87" t="s">
        <v>2421</v>
      </c>
      <c r="B87" t="s">
        <v>2420</v>
      </c>
      <c r="C87" t="s">
        <v>1722</v>
      </c>
      <c r="D87">
        <v>0</v>
      </c>
    </row>
    <row r="88" spans="1:4" x14ac:dyDescent="0.25">
      <c r="A88" t="s">
        <v>2320</v>
      </c>
      <c r="B88" t="s">
        <v>2319</v>
      </c>
      <c r="C88" t="s">
        <v>1722</v>
      </c>
      <c r="D88">
        <v>0</v>
      </c>
    </row>
    <row r="89" spans="1:4" x14ac:dyDescent="0.25">
      <c r="A89" t="s">
        <v>3140</v>
      </c>
      <c r="B89" t="s">
        <v>3141</v>
      </c>
      <c r="C89" t="s">
        <v>3142</v>
      </c>
      <c r="D89" t="s">
        <v>3142</v>
      </c>
    </row>
    <row r="90" spans="1:4" x14ac:dyDescent="0.25">
      <c r="A90" t="s">
        <v>2433</v>
      </c>
      <c r="B90" t="s">
        <v>2432</v>
      </c>
      <c r="C90">
        <v>0</v>
      </c>
      <c r="D90">
        <v>0</v>
      </c>
    </row>
    <row r="91" spans="1:4" x14ac:dyDescent="0.25">
      <c r="A91" t="s">
        <v>2435</v>
      </c>
      <c r="B91" t="s">
        <v>2434</v>
      </c>
      <c r="C91">
        <v>0</v>
      </c>
      <c r="D91">
        <v>0</v>
      </c>
    </row>
    <row r="92" spans="1:4" x14ac:dyDescent="0.25">
      <c r="A92" t="s">
        <v>2431</v>
      </c>
      <c r="B92" t="s">
        <v>2430</v>
      </c>
      <c r="C92">
        <v>0</v>
      </c>
      <c r="D92">
        <v>0</v>
      </c>
    </row>
    <row r="93" spans="1:4" x14ac:dyDescent="0.25">
      <c r="A93" t="s">
        <v>2429</v>
      </c>
      <c r="B93" t="s">
        <v>2428</v>
      </c>
      <c r="C93">
        <v>0</v>
      </c>
      <c r="D93">
        <v>0</v>
      </c>
    </row>
    <row r="94" spans="1:4" x14ac:dyDescent="0.25">
      <c r="A94" t="s">
        <v>2423</v>
      </c>
      <c r="B94" t="s">
        <v>2422</v>
      </c>
      <c r="C94" t="s">
        <v>1684</v>
      </c>
      <c r="D94" t="s">
        <v>1684</v>
      </c>
    </row>
    <row r="95" spans="1:4" x14ac:dyDescent="0.25">
      <c r="A95" t="s">
        <v>2318</v>
      </c>
      <c r="B95" t="s">
        <v>2317</v>
      </c>
      <c r="C95" t="s">
        <v>1684</v>
      </c>
      <c r="D95" t="s">
        <v>1684</v>
      </c>
    </row>
    <row r="96" spans="1:4" x14ac:dyDescent="0.25">
      <c r="A96" t="s">
        <v>2316</v>
      </c>
      <c r="B96" t="s">
        <v>2315</v>
      </c>
      <c r="C96" t="s">
        <v>1684</v>
      </c>
      <c r="D96" t="s">
        <v>1684</v>
      </c>
    </row>
    <row r="97" spans="1:4" x14ac:dyDescent="0.25">
      <c r="A97" t="s">
        <v>2314</v>
      </c>
      <c r="B97" t="s">
        <v>2313</v>
      </c>
      <c r="C97" t="s">
        <v>1684</v>
      </c>
      <c r="D97" t="s">
        <v>1684</v>
      </c>
    </row>
    <row r="98" spans="1:4" x14ac:dyDescent="0.25">
      <c r="A98" t="s">
        <v>2312</v>
      </c>
      <c r="B98" t="s">
        <v>2311</v>
      </c>
      <c r="C98" t="s">
        <v>1684</v>
      </c>
      <c r="D98" t="s">
        <v>1684</v>
      </c>
    </row>
    <row r="99" spans="1:4" x14ac:dyDescent="0.25">
      <c r="A99" t="s">
        <v>2310</v>
      </c>
      <c r="B99" t="s">
        <v>2309</v>
      </c>
      <c r="C99" t="s">
        <v>1684</v>
      </c>
      <c r="D99" t="s">
        <v>1684</v>
      </c>
    </row>
    <row r="100" spans="1:4" x14ac:dyDescent="0.25">
      <c r="A100" t="s">
        <v>2308</v>
      </c>
      <c r="B100" t="s">
        <v>2307</v>
      </c>
      <c r="C100" t="s">
        <v>1684</v>
      </c>
      <c r="D100" t="s">
        <v>1684</v>
      </c>
    </row>
    <row r="101" spans="1:4" x14ac:dyDescent="0.25">
      <c r="A101" t="s">
        <v>2306</v>
      </c>
      <c r="B101" t="s">
        <v>2305</v>
      </c>
      <c r="C101" t="s">
        <v>1684</v>
      </c>
      <c r="D101" t="s">
        <v>1684</v>
      </c>
    </row>
    <row r="102" spans="1:4" x14ac:dyDescent="0.25">
      <c r="A102" t="s">
        <v>2304</v>
      </c>
      <c r="B102" t="s">
        <v>2303</v>
      </c>
      <c r="C102" t="s">
        <v>1684</v>
      </c>
      <c r="D102" t="s">
        <v>1684</v>
      </c>
    </row>
    <row r="103" spans="1:4" x14ac:dyDescent="0.25">
      <c r="A103" t="s">
        <v>2302</v>
      </c>
      <c r="B103" t="s">
        <v>2301</v>
      </c>
      <c r="C103" t="s">
        <v>1684</v>
      </c>
      <c r="D103" t="s">
        <v>1684</v>
      </c>
    </row>
    <row r="104" spans="1:4" x14ac:dyDescent="0.25">
      <c r="A104" t="s">
        <v>2300</v>
      </c>
      <c r="B104" t="s">
        <v>2299</v>
      </c>
      <c r="C104" t="s">
        <v>1683</v>
      </c>
      <c r="D104">
        <v>0</v>
      </c>
    </row>
    <row r="105" spans="1:4" x14ac:dyDescent="0.25">
      <c r="A105" t="s">
        <v>2298</v>
      </c>
      <c r="B105" t="s">
        <v>2297</v>
      </c>
      <c r="C105" t="s">
        <v>1683</v>
      </c>
      <c r="D105">
        <v>0</v>
      </c>
    </row>
    <row r="106" spans="1:4" x14ac:dyDescent="0.25">
      <c r="A106" t="s">
        <v>2296</v>
      </c>
      <c r="B106" t="s">
        <v>2295</v>
      </c>
      <c r="C106" t="s">
        <v>1683</v>
      </c>
      <c r="D106">
        <v>0</v>
      </c>
    </row>
    <row r="107" spans="1:4" x14ac:dyDescent="0.25">
      <c r="A107" t="s">
        <v>2294</v>
      </c>
      <c r="B107" t="s">
        <v>2293</v>
      </c>
      <c r="C107" t="s">
        <v>386</v>
      </c>
      <c r="D107">
        <v>0</v>
      </c>
    </row>
    <row r="108" spans="1:4" x14ac:dyDescent="0.25">
      <c r="A108" t="s">
        <v>2292</v>
      </c>
      <c r="B108" t="s">
        <v>2291</v>
      </c>
      <c r="C108" t="s">
        <v>2205</v>
      </c>
      <c r="D108">
        <v>0</v>
      </c>
    </row>
    <row r="109" spans="1:4" x14ac:dyDescent="0.25">
      <c r="A109" t="s">
        <v>3143</v>
      </c>
      <c r="B109" t="s">
        <v>3144</v>
      </c>
      <c r="C109" t="s">
        <v>3145</v>
      </c>
      <c r="D109" t="s">
        <v>3145</v>
      </c>
    </row>
    <row r="110" spans="1:4" x14ac:dyDescent="0.25">
      <c r="A110" t="s">
        <v>2031</v>
      </c>
      <c r="B110" t="s">
        <v>1300</v>
      </c>
      <c r="C110">
        <v>0</v>
      </c>
      <c r="D110">
        <v>0</v>
      </c>
    </row>
    <row r="111" spans="1:4" x14ac:dyDescent="0.25">
      <c r="A111" t="s">
        <v>2030</v>
      </c>
      <c r="B111" t="s">
        <v>1298</v>
      </c>
      <c r="C111">
        <v>0</v>
      </c>
      <c r="D111">
        <v>0</v>
      </c>
    </row>
    <row r="112" spans="1:4" x14ac:dyDescent="0.25">
      <c r="A112" t="s">
        <v>2029</v>
      </c>
      <c r="B112" t="s">
        <v>1296</v>
      </c>
      <c r="C112">
        <v>0</v>
      </c>
      <c r="D112">
        <v>0</v>
      </c>
    </row>
    <row r="113" spans="1:4" x14ac:dyDescent="0.25">
      <c r="A113" t="s">
        <v>1830</v>
      </c>
      <c r="B113" t="s">
        <v>1829</v>
      </c>
      <c r="C113" t="s">
        <v>1722</v>
      </c>
      <c r="D113">
        <v>0</v>
      </c>
    </row>
    <row r="114" spans="1:4" x14ac:dyDescent="0.25">
      <c r="A114" t="s">
        <v>2028</v>
      </c>
      <c r="B114" t="s">
        <v>1294</v>
      </c>
      <c r="C114">
        <v>0</v>
      </c>
      <c r="D114">
        <v>0</v>
      </c>
    </row>
    <row r="115" spans="1:4" x14ac:dyDescent="0.25">
      <c r="A115" t="s">
        <v>1828</v>
      </c>
      <c r="B115" t="s">
        <v>1827</v>
      </c>
      <c r="C115" t="s">
        <v>1684</v>
      </c>
      <c r="D115" t="s">
        <v>1684</v>
      </c>
    </row>
    <row r="116" spans="1:4" x14ac:dyDescent="0.25">
      <c r="A116" t="s">
        <v>2027</v>
      </c>
      <c r="B116" t="s">
        <v>1292</v>
      </c>
      <c r="C116">
        <v>0</v>
      </c>
      <c r="D116">
        <v>0</v>
      </c>
    </row>
    <row r="117" spans="1:4" x14ac:dyDescent="0.25">
      <c r="A117" t="s">
        <v>2026</v>
      </c>
      <c r="B117" t="s">
        <v>1290</v>
      </c>
      <c r="C117">
        <v>0</v>
      </c>
      <c r="D117">
        <v>0</v>
      </c>
    </row>
    <row r="118" spans="1:4" x14ac:dyDescent="0.25">
      <c r="A118" t="s">
        <v>2025</v>
      </c>
      <c r="B118" t="s">
        <v>1288</v>
      </c>
      <c r="C118">
        <v>0</v>
      </c>
      <c r="D118">
        <v>0</v>
      </c>
    </row>
    <row r="119" spans="1:4" x14ac:dyDescent="0.25">
      <c r="A119" t="s">
        <v>2024</v>
      </c>
      <c r="B119" t="s">
        <v>1286</v>
      </c>
      <c r="C119">
        <v>0</v>
      </c>
      <c r="D119">
        <v>0</v>
      </c>
    </row>
    <row r="120" spans="1:4" x14ac:dyDescent="0.25">
      <c r="A120" t="s">
        <v>2023</v>
      </c>
      <c r="B120" t="s">
        <v>1284</v>
      </c>
      <c r="C120">
        <v>0</v>
      </c>
      <c r="D120">
        <v>0</v>
      </c>
    </row>
    <row r="121" spans="1:4" x14ac:dyDescent="0.25">
      <c r="A121" t="s">
        <v>2022</v>
      </c>
      <c r="B121" t="s">
        <v>1273</v>
      </c>
      <c r="C121">
        <v>0</v>
      </c>
      <c r="D121">
        <v>0</v>
      </c>
    </row>
    <row r="122" spans="1:4" x14ac:dyDescent="0.25">
      <c r="A122" t="s">
        <v>2021</v>
      </c>
      <c r="B122" t="s">
        <v>1271</v>
      </c>
      <c r="C122">
        <v>0</v>
      </c>
      <c r="D122">
        <v>0</v>
      </c>
    </row>
    <row r="123" spans="1:4" x14ac:dyDescent="0.25">
      <c r="A123" t="s">
        <v>3146</v>
      </c>
      <c r="B123" t="s">
        <v>1887</v>
      </c>
      <c r="C123">
        <v>0</v>
      </c>
      <c r="D123">
        <v>0</v>
      </c>
    </row>
    <row r="124" spans="1:4" x14ac:dyDescent="0.25">
      <c r="A124" t="s">
        <v>1826</v>
      </c>
      <c r="B124" t="s">
        <v>1825</v>
      </c>
      <c r="C124" t="s">
        <v>1722</v>
      </c>
      <c r="D124">
        <v>0</v>
      </c>
    </row>
    <row r="125" spans="1:4" x14ac:dyDescent="0.25">
      <c r="A125" t="s">
        <v>1824</v>
      </c>
      <c r="B125" t="s">
        <v>1823</v>
      </c>
      <c r="C125" t="s">
        <v>1684</v>
      </c>
      <c r="D125" t="s">
        <v>1684</v>
      </c>
    </row>
    <row r="126" spans="1:4" x14ac:dyDescent="0.25">
      <c r="A126" t="s">
        <v>2020</v>
      </c>
      <c r="B126" t="s">
        <v>1264</v>
      </c>
      <c r="C126">
        <v>0</v>
      </c>
      <c r="D126">
        <v>0</v>
      </c>
    </row>
    <row r="127" spans="1:4" x14ac:dyDescent="0.25">
      <c r="A127" t="s">
        <v>2019</v>
      </c>
      <c r="B127" t="s">
        <v>1262</v>
      </c>
      <c r="C127">
        <v>0</v>
      </c>
      <c r="D127">
        <v>0</v>
      </c>
    </row>
    <row r="128" spans="1:4" x14ac:dyDescent="0.25">
      <c r="A128" t="s">
        <v>2018</v>
      </c>
      <c r="B128" t="s">
        <v>1260</v>
      </c>
      <c r="C128">
        <v>0</v>
      </c>
      <c r="D128">
        <v>0</v>
      </c>
    </row>
    <row r="129" spans="1:4" x14ac:dyDescent="0.25">
      <c r="A129" t="s">
        <v>1822</v>
      </c>
      <c r="B129" t="s">
        <v>1821</v>
      </c>
      <c r="C129" t="s">
        <v>1722</v>
      </c>
      <c r="D129">
        <v>0</v>
      </c>
    </row>
    <row r="130" spans="1:4" x14ac:dyDescent="0.25">
      <c r="A130" t="s">
        <v>2017</v>
      </c>
      <c r="B130" t="s">
        <v>1258</v>
      </c>
      <c r="C130">
        <v>0</v>
      </c>
      <c r="D130">
        <v>0</v>
      </c>
    </row>
    <row r="131" spans="1:4" x14ac:dyDescent="0.25">
      <c r="A131" t="s">
        <v>1820</v>
      </c>
      <c r="B131" t="s">
        <v>1819</v>
      </c>
      <c r="C131" t="s">
        <v>1684</v>
      </c>
      <c r="D131" t="s">
        <v>1684</v>
      </c>
    </row>
    <row r="132" spans="1:4" x14ac:dyDescent="0.25">
      <c r="A132" t="s">
        <v>2016</v>
      </c>
      <c r="B132" t="s">
        <v>1256</v>
      </c>
      <c r="C132">
        <v>0</v>
      </c>
      <c r="D132">
        <v>0</v>
      </c>
    </row>
    <row r="133" spans="1:4" x14ac:dyDescent="0.25">
      <c r="A133" t="s">
        <v>2015</v>
      </c>
      <c r="B133" t="s">
        <v>1254</v>
      </c>
      <c r="C133">
        <v>0</v>
      </c>
      <c r="D133">
        <v>0</v>
      </c>
    </row>
    <row r="134" spans="1:4" x14ac:dyDescent="0.25">
      <c r="A134" t="s">
        <v>2014</v>
      </c>
      <c r="B134" t="s">
        <v>1252</v>
      </c>
      <c r="C134">
        <v>0</v>
      </c>
      <c r="D134">
        <v>0</v>
      </c>
    </row>
    <row r="135" spans="1:4" x14ac:dyDescent="0.25">
      <c r="A135" t="s">
        <v>2013</v>
      </c>
      <c r="B135" t="s">
        <v>1250</v>
      </c>
      <c r="C135">
        <v>0</v>
      </c>
      <c r="D135">
        <v>0</v>
      </c>
    </row>
    <row r="136" spans="1:4" x14ac:dyDescent="0.25">
      <c r="A136" t="s">
        <v>2012</v>
      </c>
      <c r="B136" t="s">
        <v>1248</v>
      </c>
      <c r="C136">
        <v>0</v>
      </c>
      <c r="D136">
        <v>0</v>
      </c>
    </row>
    <row r="137" spans="1:4" x14ac:dyDescent="0.25">
      <c r="A137" t="s">
        <v>2011</v>
      </c>
      <c r="B137" t="s">
        <v>1240</v>
      </c>
      <c r="C137">
        <v>0</v>
      </c>
      <c r="D137">
        <v>0</v>
      </c>
    </row>
    <row r="138" spans="1:4" x14ac:dyDescent="0.25">
      <c r="A138" t="s">
        <v>1818</v>
      </c>
      <c r="B138" t="s">
        <v>1817</v>
      </c>
      <c r="C138" t="s">
        <v>1730</v>
      </c>
      <c r="D138" t="s">
        <v>1729</v>
      </c>
    </row>
    <row r="139" spans="1:4" x14ac:dyDescent="0.25">
      <c r="A139" t="s">
        <v>1816</v>
      </c>
      <c r="B139" t="s">
        <v>1815</v>
      </c>
      <c r="C139" t="s">
        <v>1781</v>
      </c>
      <c r="D139">
        <v>0</v>
      </c>
    </row>
    <row r="140" spans="1:4" x14ac:dyDescent="0.25">
      <c r="A140" t="s">
        <v>1814</v>
      </c>
      <c r="B140" t="s">
        <v>1813</v>
      </c>
      <c r="C140" t="s">
        <v>1812</v>
      </c>
      <c r="D140" t="s">
        <v>1811</v>
      </c>
    </row>
    <row r="141" spans="1:4" x14ac:dyDescent="0.25">
      <c r="A141" t="s">
        <v>1810</v>
      </c>
      <c r="B141" t="s">
        <v>1809</v>
      </c>
      <c r="C141" t="s">
        <v>1778</v>
      </c>
      <c r="D141">
        <v>0</v>
      </c>
    </row>
    <row r="142" spans="1:4" x14ac:dyDescent="0.25">
      <c r="A142" t="s">
        <v>1808</v>
      </c>
      <c r="B142" t="s">
        <v>1807</v>
      </c>
      <c r="C142" t="s">
        <v>19</v>
      </c>
      <c r="D142" t="s">
        <v>19</v>
      </c>
    </row>
    <row r="143" spans="1:4" x14ac:dyDescent="0.25">
      <c r="A143" t="s">
        <v>1806</v>
      </c>
      <c r="B143" t="s">
        <v>1805</v>
      </c>
      <c r="C143" t="s">
        <v>1804</v>
      </c>
      <c r="D143" t="s">
        <v>1803</v>
      </c>
    </row>
    <row r="144" spans="1:4" x14ac:dyDescent="0.25">
      <c r="A144" t="s">
        <v>1886</v>
      </c>
      <c r="B144" t="s">
        <v>1885</v>
      </c>
      <c r="C144" t="s">
        <v>3158</v>
      </c>
      <c r="D144" t="s">
        <v>3158</v>
      </c>
    </row>
    <row r="145" spans="1:4" x14ac:dyDescent="0.25">
      <c r="A145" t="s">
        <v>1802</v>
      </c>
      <c r="B145" t="s">
        <v>1801</v>
      </c>
      <c r="C145" t="s">
        <v>1722</v>
      </c>
      <c r="D145">
        <v>0</v>
      </c>
    </row>
    <row r="146" spans="1:4" x14ac:dyDescent="0.25">
      <c r="A146" t="s">
        <v>1800</v>
      </c>
      <c r="B146" t="s">
        <v>1799</v>
      </c>
      <c r="C146" t="s">
        <v>1684</v>
      </c>
      <c r="D146" t="s">
        <v>1684</v>
      </c>
    </row>
    <row r="147" spans="1:4" x14ac:dyDescent="0.25">
      <c r="A147" t="s">
        <v>3147</v>
      </c>
      <c r="B147" t="s">
        <v>3148</v>
      </c>
      <c r="C147" t="s">
        <v>3158</v>
      </c>
      <c r="D147" t="s">
        <v>3158</v>
      </c>
    </row>
    <row r="148" spans="1:4" x14ac:dyDescent="0.25">
      <c r="A148" t="s">
        <v>3149</v>
      </c>
      <c r="B148" t="s">
        <v>3150</v>
      </c>
      <c r="C148" t="s">
        <v>386</v>
      </c>
      <c r="D148">
        <v>0</v>
      </c>
    </row>
    <row r="149" spans="1:4" x14ac:dyDescent="0.25">
      <c r="A149" t="s">
        <v>3151</v>
      </c>
      <c r="B149" t="s">
        <v>3152</v>
      </c>
      <c r="C149" t="s">
        <v>1722</v>
      </c>
      <c r="D149">
        <v>0</v>
      </c>
    </row>
    <row r="150" spans="1:4" x14ac:dyDescent="0.25">
      <c r="A150" t="s">
        <v>3153</v>
      </c>
      <c r="B150" t="s">
        <v>3154</v>
      </c>
      <c r="C150" t="s">
        <v>386</v>
      </c>
      <c r="D150">
        <v>0</v>
      </c>
    </row>
    <row r="151" spans="1:4" x14ac:dyDescent="0.25">
      <c r="A151" t="s">
        <v>3155</v>
      </c>
      <c r="B151" t="s">
        <v>3156</v>
      </c>
      <c r="C151" t="s">
        <v>3157</v>
      </c>
      <c r="D151">
        <v>0</v>
      </c>
    </row>
    <row r="152" spans="1:4" x14ac:dyDescent="0.25">
      <c r="A152" t="s">
        <v>1798</v>
      </c>
      <c r="B152" t="s">
        <v>312</v>
      </c>
      <c r="C152" t="s">
        <v>1717</v>
      </c>
      <c r="D152" t="s">
        <v>1717</v>
      </c>
    </row>
    <row r="153" spans="1:4" x14ac:dyDescent="0.25">
      <c r="A153" t="s">
        <v>1797</v>
      </c>
      <c r="B153" t="s">
        <v>310</v>
      </c>
      <c r="C153" t="s">
        <v>1708</v>
      </c>
      <c r="D153" t="s">
        <v>1708</v>
      </c>
    </row>
    <row r="154" spans="1:4" x14ac:dyDescent="0.25">
      <c r="A154" t="s">
        <v>1796</v>
      </c>
      <c r="B154" t="s">
        <v>1795</v>
      </c>
      <c r="C154" t="s">
        <v>1794</v>
      </c>
      <c r="D154">
        <v>0</v>
      </c>
    </row>
    <row r="155" spans="1:4" x14ac:dyDescent="0.25">
      <c r="A155" t="s">
        <v>1793</v>
      </c>
      <c r="B155" t="s">
        <v>1792</v>
      </c>
      <c r="C155" t="s">
        <v>1791</v>
      </c>
      <c r="D155">
        <v>0</v>
      </c>
    </row>
    <row r="156" spans="1:4" x14ac:dyDescent="0.25">
      <c r="A156" t="s">
        <v>3159</v>
      </c>
      <c r="B156" t="s">
        <v>3160</v>
      </c>
      <c r="C156" t="s">
        <v>19</v>
      </c>
      <c r="D156" t="s">
        <v>19</v>
      </c>
    </row>
    <row r="157" spans="1:4" x14ac:dyDescent="0.25">
      <c r="A157" t="s">
        <v>2010</v>
      </c>
      <c r="B157" t="s">
        <v>1194</v>
      </c>
      <c r="C157">
        <v>0</v>
      </c>
      <c r="D157">
        <v>0</v>
      </c>
    </row>
    <row r="158" spans="1:4" x14ac:dyDescent="0.25">
      <c r="A158" t="s">
        <v>2009</v>
      </c>
      <c r="B158" t="s">
        <v>1192</v>
      </c>
      <c r="C158">
        <v>0</v>
      </c>
      <c r="D158">
        <v>0</v>
      </c>
    </row>
    <row r="159" spans="1:4" x14ac:dyDescent="0.25">
      <c r="A159" t="s">
        <v>2008</v>
      </c>
      <c r="B159" t="s">
        <v>1190</v>
      </c>
      <c r="C159">
        <v>0</v>
      </c>
      <c r="D159">
        <v>0</v>
      </c>
    </row>
    <row r="160" spans="1:4" x14ac:dyDescent="0.25">
      <c r="A160" t="s">
        <v>1790</v>
      </c>
      <c r="B160" t="s">
        <v>1789</v>
      </c>
      <c r="C160" t="s">
        <v>1722</v>
      </c>
      <c r="D160">
        <v>0</v>
      </c>
    </row>
    <row r="161" spans="1:4" x14ac:dyDescent="0.25">
      <c r="A161" t="s">
        <v>2007</v>
      </c>
      <c r="B161" t="s">
        <v>1188</v>
      </c>
      <c r="C161">
        <v>0</v>
      </c>
      <c r="D161">
        <v>0</v>
      </c>
    </row>
    <row r="162" spans="1:4" x14ac:dyDescent="0.25">
      <c r="A162" t="s">
        <v>1788</v>
      </c>
      <c r="B162" t="s">
        <v>1787</v>
      </c>
      <c r="C162" t="s">
        <v>1684</v>
      </c>
      <c r="D162" t="s">
        <v>1684</v>
      </c>
    </row>
    <row r="163" spans="1:4" x14ac:dyDescent="0.25">
      <c r="A163" t="s">
        <v>2006</v>
      </c>
      <c r="B163" t="s">
        <v>1186</v>
      </c>
      <c r="C163">
        <v>0</v>
      </c>
      <c r="D163">
        <v>0</v>
      </c>
    </row>
    <row r="164" spans="1:4" x14ac:dyDescent="0.25">
      <c r="A164" t="s">
        <v>2005</v>
      </c>
      <c r="B164" t="s">
        <v>1184</v>
      </c>
      <c r="C164">
        <v>0</v>
      </c>
      <c r="D164">
        <v>0</v>
      </c>
    </row>
    <row r="165" spans="1:4" x14ac:dyDescent="0.25">
      <c r="A165" t="s">
        <v>2004</v>
      </c>
      <c r="B165" t="s">
        <v>1182</v>
      </c>
      <c r="C165">
        <v>0</v>
      </c>
      <c r="D165">
        <v>0</v>
      </c>
    </row>
    <row r="166" spans="1:4" x14ac:dyDescent="0.25">
      <c r="A166" t="s">
        <v>2003</v>
      </c>
      <c r="B166" t="s">
        <v>1180</v>
      </c>
      <c r="C166">
        <v>0</v>
      </c>
      <c r="D166">
        <v>0</v>
      </c>
    </row>
    <row r="167" spans="1:4" x14ac:dyDescent="0.25">
      <c r="A167" t="s">
        <v>2002</v>
      </c>
      <c r="B167" t="s">
        <v>1178</v>
      </c>
      <c r="C167">
        <v>0</v>
      </c>
      <c r="D167">
        <v>0</v>
      </c>
    </row>
    <row r="168" spans="1:4" x14ac:dyDescent="0.25">
      <c r="A168" t="s">
        <v>2001</v>
      </c>
      <c r="B168" t="s">
        <v>1176</v>
      </c>
      <c r="C168">
        <v>0</v>
      </c>
      <c r="D168">
        <v>0</v>
      </c>
    </row>
    <row r="169" spans="1:4" x14ac:dyDescent="0.25">
      <c r="A169" t="s">
        <v>2000</v>
      </c>
      <c r="B169" t="s">
        <v>1164</v>
      </c>
      <c r="C169">
        <v>0</v>
      </c>
      <c r="D169">
        <v>0</v>
      </c>
    </row>
    <row r="170" spans="1:4" x14ac:dyDescent="0.25">
      <c r="A170" t="s">
        <v>2290</v>
      </c>
      <c r="B170" t="s">
        <v>2289</v>
      </c>
      <c r="C170" t="s">
        <v>1730</v>
      </c>
      <c r="D170" t="s">
        <v>1729</v>
      </c>
    </row>
    <row r="171" spans="1:4" x14ac:dyDescent="0.25">
      <c r="A171" t="s">
        <v>2288</v>
      </c>
      <c r="B171" t="s">
        <v>2287</v>
      </c>
      <c r="C171" t="s">
        <v>2172</v>
      </c>
      <c r="D171" t="s">
        <v>2171</v>
      </c>
    </row>
    <row r="172" spans="1:4" x14ac:dyDescent="0.25">
      <c r="A172" t="s">
        <v>3161</v>
      </c>
      <c r="B172" t="s">
        <v>3162</v>
      </c>
      <c r="C172" t="s">
        <v>3163</v>
      </c>
      <c r="D172">
        <v>0</v>
      </c>
    </row>
    <row r="173" spans="1:4" x14ac:dyDescent="0.25">
      <c r="A173" t="s">
        <v>1786</v>
      </c>
      <c r="B173" t="s">
        <v>1785</v>
      </c>
      <c r="C173" t="s">
        <v>1784</v>
      </c>
      <c r="D173">
        <v>0</v>
      </c>
    </row>
    <row r="174" spans="1:4" x14ac:dyDescent="0.25">
      <c r="A174" t="s">
        <v>2286</v>
      </c>
      <c r="B174" t="s">
        <v>2285</v>
      </c>
      <c r="C174" t="s">
        <v>2109</v>
      </c>
      <c r="D174">
        <v>0</v>
      </c>
    </row>
    <row r="175" spans="1:4" x14ac:dyDescent="0.25">
      <c r="A175" t="s">
        <v>1783</v>
      </c>
      <c r="B175" t="s">
        <v>1782</v>
      </c>
      <c r="C175" t="s">
        <v>1781</v>
      </c>
      <c r="D175">
        <v>0</v>
      </c>
    </row>
    <row r="176" spans="1:4" x14ac:dyDescent="0.25">
      <c r="A176" t="s">
        <v>1698</v>
      </c>
      <c r="B176" t="s">
        <v>1697</v>
      </c>
      <c r="C176" t="s">
        <v>19</v>
      </c>
      <c r="D176" t="s">
        <v>19</v>
      </c>
    </row>
    <row r="177" spans="1:4" x14ac:dyDescent="0.25">
      <c r="A177" t="s">
        <v>2284</v>
      </c>
      <c r="B177" t="s">
        <v>2283</v>
      </c>
      <c r="C177" t="s">
        <v>2105</v>
      </c>
      <c r="D177">
        <v>0</v>
      </c>
    </row>
    <row r="178" spans="1:4" x14ac:dyDescent="0.25">
      <c r="A178" t="s">
        <v>1780</v>
      </c>
      <c r="B178" t="s">
        <v>1779</v>
      </c>
      <c r="C178" t="s">
        <v>1778</v>
      </c>
      <c r="D178">
        <v>0</v>
      </c>
    </row>
    <row r="179" spans="1:4" x14ac:dyDescent="0.25">
      <c r="A179" t="s">
        <v>2282</v>
      </c>
      <c r="B179" t="s">
        <v>2281</v>
      </c>
      <c r="C179" t="s">
        <v>1778</v>
      </c>
      <c r="D179">
        <v>0</v>
      </c>
    </row>
    <row r="180" spans="1:4" x14ac:dyDescent="0.25">
      <c r="A180" t="s">
        <v>3164</v>
      </c>
      <c r="B180" t="s">
        <v>3165</v>
      </c>
      <c r="C180" t="s">
        <v>1778</v>
      </c>
      <c r="D180">
        <v>0</v>
      </c>
    </row>
    <row r="181" spans="1:4" x14ac:dyDescent="0.25">
      <c r="A181" t="s">
        <v>2280</v>
      </c>
      <c r="B181" t="s">
        <v>2279</v>
      </c>
      <c r="C181" t="s">
        <v>19</v>
      </c>
      <c r="D181" t="s">
        <v>19</v>
      </c>
    </row>
    <row r="182" spans="1:4" x14ac:dyDescent="0.25">
      <c r="A182" t="s">
        <v>2278</v>
      </c>
      <c r="B182" t="s">
        <v>1782</v>
      </c>
      <c r="C182" t="s">
        <v>1781</v>
      </c>
      <c r="D182">
        <v>0</v>
      </c>
    </row>
    <row r="183" spans="1:4" x14ac:dyDescent="0.25">
      <c r="A183" t="s">
        <v>2277</v>
      </c>
      <c r="B183" t="s">
        <v>292</v>
      </c>
      <c r="C183" t="s">
        <v>1722</v>
      </c>
      <c r="D183">
        <v>0</v>
      </c>
    </row>
    <row r="184" spans="1:4" x14ac:dyDescent="0.25">
      <c r="A184" t="s">
        <v>2276</v>
      </c>
      <c r="B184" t="s">
        <v>2275</v>
      </c>
      <c r="C184" t="s">
        <v>1684</v>
      </c>
      <c r="D184" t="s">
        <v>1684</v>
      </c>
    </row>
    <row r="185" spans="1:4" x14ac:dyDescent="0.25">
      <c r="A185" t="s">
        <v>1777</v>
      </c>
      <c r="B185" t="s">
        <v>1776</v>
      </c>
      <c r="C185" t="s">
        <v>1775</v>
      </c>
      <c r="D185">
        <v>0</v>
      </c>
    </row>
    <row r="186" spans="1:4" x14ac:dyDescent="0.25">
      <c r="A186" t="s">
        <v>2274</v>
      </c>
      <c r="B186" t="s">
        <v>2273</v>
      </c>
      <c r="C186" t="s">
        <v>1775</v>
      </c>
      <c r="D186">
        <v>0</v>
      </c>
    </row>
    <row r="187" spans="1:4" x14ac:dyDescent="0.25">
      <c r="A187" t="s">
        <v>1774</v>
      </c>
      <c r="B187" t="s">
        <v>1773</v>
      </c>
      <c r="C187" t="s">
        <v>1772</v>
      </c>
      <c r="D187">
        <v>0</v>
      </c>
    </row>
    <row r="188" spans="1:4" x14ac:dyDescent="0.25">
      <c r="A188" t="s">
        <v>2272</v>
      </c>
      <c r="B188" t="s">
        <v>2271</v>
      </c>
      <c r="C188" t="s">
        <v>1772</v>
      </c>
      <c r="D188">
        <v>0</v>
      </c>
    </row>
    <row r="189" spans="1:4" x14ac:dyDescent="0.25">
      <c r="A189" t="s">
        <v>1771</v>
      </c>
      <c r="B189" t="s">
        <v>1770</v>
      </c>
      <c r="C189" t="s">
        <v>1769</v>
      </c>
      <c r="D189">
        <v>0</v>
      </c>
    </row>
    <row r="190" spans="1:4" x14ac:dyDescent="0.25">
      <c r="A190" t="s">
        <v>2270</v>
      </c>
      <c r="B190" t="s">
        <v>2269</v>
      </c>
      <c r="C190" t="s">
        <v>1769</v>
      </c>
      <c r="D190">
        <v>0</v>
      </c>
    </row>
    <row r="191" spans="1:4" x14ac:dyDescent="0.25">
      <c r="A191" t="s">
        <v>2268</v>
      </c>
      <c r="B191" t="s">
        <v>2267</v>
      </c>
      <c r="C191" t="s">
        <v>1717</v>
      </c>
      <c r="D191" t="s">
        <v>1717</v>
      </c>
    </row>
    <row r="192" spans="1:4" x14ac:dyDescent="0.25">
      <c r="A192" t="s">
        <v>2266</v>
      </c>
      <c r="B192" t="s">
        <v>284</v>
      </c>
      <c r="C192" t="s">
        <v>1715</v>
      </c>
      <c r="D192" t="s">
        <v>1714</v>
      </c>
    </row>
    <row r="193" spans="1:4" x14ac:dyDescent="0.25">
      <c r="A193" t="s">
        <v>2265</v>
      </c>
      <c r="B193" t="s">
        <v>2264</v>
      </c>
      <c r="C193" t="s">
        <v>1712</v>
      </c>
      <c r="D193" t="s">
        <v>1711</v>
      </c>
    </row>
    <row r="194" spans="1:4" x14ac:dyDescent="0.25">
      <c r="A194" t="s">
        <v>2263</v>
      </c>
      <c r="B194" t="s">
        <v>2262</v>
      </c>
      <c r="C194" t="s">
        <v>1708</v>
      </c>
      <c r="D194" t="s">
        <v>1708</v>
      </c>
    </row>
    <row r="195" spans="1:4" x14ac:dyDescent="0.25">
      <c r="A195" t="s">
        <v>2261</v>
      </c>
      <c r="B195" t="s">
        <v>2260</v>
      </c>
      <c r="C195" t="s">
        <v>2082</v>
      </c>
      <c r="D195">
        <v>0</v>
      </c>
    </row>
    <row r="196" spans="1:4" x14ac:dyDescent="0.25">
      <c r="A196" t="s">
        <v>1768</v>
      </c>
      <c r="B196" t="s">
        <v>1767</v>
      </c>
      <c r="C196" t="s">
        <v>1766</v>
      </c>
      <c r="D196">
        <v>0</v>
      </c>
    </row>
    <row r="197" spans="1:4" x14ac:dyDescent="0.25">
      <c r="A197" t="s">
        <v>1765</v>
      </c>
      <c r="B197" t="s">
        <v>1764</v>
      </c>
      <c r="C197" t="s">
        <v>1763</v>
      </c>
      <c r="D197">
        <v>0</v>
      </c>
    </row>
    <row r="198" spans="1:4" x14ac:dyDescent="0.25">
      <c r="A198" t="s">
        <v>2259</v>
      </c>
      <c r="B198" t="s">
        <v>2258</v>
      </c>
      <c r="C198" t="s">
        <v>1763</v>
      </c>
      <c r="D198">
        <v>0</v>
      </c>
    </row>
    <row r="199" spans="1:4" x14ac:dyDescent="0.25">
      <c r="A199" t="s">
        <v>2257</v>
      </c>
      <c r="B199" t="s">
        <v>2256</v>
      </c>
      <c r="C199" t="s">
        <v>1791</v>
      </c>
      <c r="D199">
        <v>0</v>
      </c>
    </row>
    <row r="200" spans="1:4" x14ac:dyDescent="0.25">
      <c r="A200" t="s">
        <v>1999</v>
      </c>
      <c r="B200" t="s">
        <v>1135</v>
      </c>
      <c r="C200">
        <v>0</v>
      </c>
      <c r="D200">
        <v>0</v>
      </c>
    </row>
    <row r="201" spans="1:4" x14ac:dyDescent="0.25">
      <c r="A201" t="s">
        <v>1998</v>
      </c>
      <c r="B201" t="s">
        <v>1133</v>
      </c>
      <c r="C201">
        <v>0</v>
      </c>
      <c r="D201">
        <v>0</v>
      </c>
    </row>
    <row r="202" spans="1:4" x14ac:dyDescent="0.25">
      <c r="A202" t="s">
        <v>1997</v>
      </c>
      <c r="B202" t="s">
        <v>1131</v>
      </c>
      <c r="C202">
        <v>0</v>
      </c>
      <c r="D202">
        <v>0</v>
      </c>
    </row>
    <row r="203" spans="1:4" x14ac:dyDescent="0.25">
      <c r="A203" t="s">
        <v>1762</v>
      </c>
      <c r="B203" t="s">
        <v>1761</v>
      </c>
      <c r="C203" t="s">
        <v>1722</v>
      </c>
      <c r="D203">
        <v>0</v>
      </c>
    </row>
    <row r="204" spans="1:4" x14ac:dyDescent="0.25">
      <c r="A204" t="s">
        <v>1996</v>
      </c>
      <c r="B204" t="s">
        <v>1129</v>
      </c>
      <c r="C204">
        <v>0</v>
      </c>
      <c r="D204">
        <v>0</v>
      </c>
    </row>
    <row r="205" spans="1:4" x14ac:dyDescent="0.25">
      <c r="A205" t="s">
        <v>1760</v>
      </c>
      <c r="B205" t="s">
        <v>1759</v>
      </c>
      <c r="C205" t="s">
        <v>1684</v>
      </c>
      <c r="D205" t="s">
        <v>1684</v>
      </c>
    </row>
    <row r="206" spans="1:4" x14ac:dyDescent="0.25">
      <c r="A206" t="s">
        <v>1995</v>
      </c>
      <c r="B206" t="s">
        <v>1127</v>
      </c>
      <c r="C206">
        <v>0</v>
      </c>
      <c r="D206">
        <v>0</v>
      </c>
    </row>
    <row r="207" spans="1:4" x14ac:dyDescent="0.25">
      <c r="A207" t="s">
        <v>1994</v>
      </c>
      <c r="B207" t="s">
        <v>1125</v>
      </c>
      <c r="C207">
        <v>0</v>
      </c>
      <c r="D207">
        <v>0</v>
      </c>
    </row>
    <row r="208" spans="1:4" x14ac:dyDescent="0.25">
      <c r="A208" t="s">
        <v>1993</v>
      </c>
      <c r="B208" t="s">
        <v>1123</v>
      </c>
      <c r="C208">
        <v>0</v>
      </c>
      <c r="D208">
        <v>0</v>
      </c>
    </row>
    <row r="209" spans="1:4" x14ac:dyDescent="0.25">
      <c r="A209" t="s">
        <v>1992</v>
      </c>
      <c r="B209" t="s">
        <v>1121</v>
      </c>
      <c r="C209">
        <v>0</v>
      </c>
      <c r="D209">
        <v>0</v>
      </c>
    </row>
    <row r="210" spans="1:4" x14ac:dyDescent="0.25">
      <c r="A210" t="s">
        <v>1991</v>
      </c>
      <c r="B210" t="s">
        <v>1119</v>
      </c>
      <c r="C210">
        <v>0</v>
      </c>
      <c r="D210">
        <v>0</v>
      </c>
    </row>
    <row r="211" spans="1:4" x14ac:dyDescent="0.25">
      <c r="A211" t="s">
        <v>1990</v>
      </c>
      <c r="B211" t="s">
        <v>1112</v>
      </c>
      <c r="C211">
        <v>0</v>
      </c>
      <c r="D211">
        <v>0</v>
      </c>
    </row>
    <row r="212" spans="1:4" x14ac:dyDescent="0.25">
      <c r="A212" t="s">
        <v>1758</v>
      </c>
      <c r="B212" t="s">
        <v>1757</v>
      </c>
      <c r="C212" t="s">
        <v>1730</v>
      </c>
      <c r="D212" t="s">
        <v>1729</v>
      </c>
    </row>
    <row r="213" spans="1:4" x14ac:dyDescent="0.25">
      <c r="A213" t="s">
        <v>1884</v>
      </c>
      <c r="B213" t="s">
        <v>1106</v>
      </c>
      <c r="C213">
        <v>0</v>
      </c>
      <c r="D213">
        <v>0</v>
      </c>
    </row>
    <row r="214" spans="1:4" x14ac:dyDescent="0.25">
      <c r="A214" t="s">
        <v>1756</v>
      </c>
      <c r="B214" t="s">
        <v>1755</v>
      </c>
      <c r="C214">
        <v>0</v>
      </c>
      <c r="D214">
        <v>0</v>
      </c>
    </row>
    <row r="215" spans="1:4" x14ac:dyDescent="0.25">
      <c r="A215" t="s">
        <v>1883</v>
      </c>
      <c r="B215" t="s">
        <v>1882</v>
      </c>
      <c r="C215">
        <v>0</v>
      </c>
      <c r="D215">
        <v>0</v>
      </c>
    </row>
    <row r="216" spans="1:4" x14ac:dyDescent="0.25">
      <c r="A216" t="s">
        <v>1754</v>
      </c>
      <c r="B216" t="s">
        <v>1753</v>
      </c>
      <c r="C216">
        <v>0</v>
      </c>
      <c r="D216">
        <v>0</v>
      </c>
    </row>
    <row r="217" spans="1:4" x14ac:dyDescent="0.25">
      <c r="A217" t="s">
        <v>1752</v>
      </c>
      <c r="B217" t="s">
        <v>1751</v>
      </c>
      <c r="C217">
        <v>0</v>
      </c>
      <c r="D217">
        <v>0</v>
      </c>
    </row>
    <row r="218" spans="1:4" x14ac:dyDescent="0.25">
      <c r="A218" t="s">
        <v>1750</v>
      </c>
      <c r="B218" t="s">
        <v>1749</v>
      </c>
      <c r="C218" t="s">
        <v>19</v>
      </c>
      <c r="D218" t="s">
        <v>19</v>
      </c>
    </row>
    <row r="219" spans="1:4" x14ac:dyDescent="0.25">
      <c r="A219" t="s">
        <v>1748</v>
      </c>
      <c r="B219" t="s">
        <v>1747</v>
      </c>
      <c r="C219" t="s">
        <v>1722</v>
      </c>
      <c r="D219">
        <v>0</v>
      </c>
    </row>
    <row r="220" spans="1:4" x14ac:dyDescent="0.25">
      <c r="A220" t="s">
        <v>1746</v>
      </c>
      <c r="B220" t="s">
        <v>1745</v>
      </c>
      <c r="C220" t="s">
        <v>1684</v>
      </c>
      <c r="D220" t="s">
        <v>1684</v>
      </c>
    </row>
    <row r="221" spans="1:4" x14ac:dyDescent="0.25">
      <c r="A221" t="s">
        <v>1881</v>
      </c>
      <c r="B221" t="s">
        <v>1880</v>
      </c>
      <c r="C221">
        <v>0</v>
      </c>
      <c r="D221">
        <v>0</v>
      </c>
    </row>
    <row r="222" spans="1:4" x14ac:dyDescent="0.25">
      <c r="A222" t="s">
        <v>1744</v>
      </c>
      <c r="B222" t="s">
        <v>1743</v>
      </c>
      <c r="C222">
        <v>0</v>
      </c>
      <c r="D222">
        <v>0</v>
      </c>
    </row>
    <row r="223" spans="1:4" x14ac:dyDescent="0.25">
      <c r="A223" t="s">
        <v>1879</v>
      </c>
      <c r="B223" t="s">
        <v>1878</v>
      </c>
      <c r="C223">
        <v>0</v>
      </c>
      <c r="D223">
        <v>0</v>
      </c>
    </row>
    <row r="224" spans="1:4" x14ac:dyDescent="0.25">
      <c r="A224" t="s">
        <v>1742</v>
      </c>
      <c r="B224" t="s">
        <v>1741</v>
      </c>
      <c r="C224">
        <v>0</v>
      </c>
      <c r="D224">
        <v>0</v>
      </c>
    </row>
    <row r="225" spans="1:4" x14ac:dyDescent="0.25">
      <c r="A225" t="s">
        <v>1740</v>
      </c>
      <c r="B225" t="s">
        <v>1739</v>
      </c>
      <c r="C225" t="s">
        <v>1717</v>
      </c>
      <c r="D225" t="s">
        <v>1717</v>
      </c>
    </row>
    <row r="226" spans="1:4" x14ac:dyDescent="0.25">
      <c r="A226" t="s">
        <v>1738</v>
      </c>
      <c r="B226" t="s">
        <v>1737</v>
      </c>
      <c r="C226">
        <v>0</v>
      </c>
      <c r="D226">
        <v>0</v>
      </c>
    </row>
    <row r="227" spans="1:4" x14ac:dyDescent="0.25">
      <c r="A227" t="s">
        <v>1877</v>
      </c>
      <c r="B227" t="s">
        <v>1065</v>
      </c>
      <c r="C227">
        <v>0</v>
      </c>
      <c r="D227">
        <v>0</v>
      </c>
    </row>
    <row r="228" spans="1:4" x14ac:dyDescent="0.25">
      <c r="A228" t="s">
        <v>1876</v>
      </c>
      <c r="B228" t="s">
        <v>1062</v>
      </c>
      <c r="C228">
        <v>0</v>
      </c>
      <c r="D228">
        <v>0</v>
      </c>
    </row>
    <row r="229" spans="1:4" x14ac:dyDescent="0.25">
      <c r="A229" t="s">
        <v>1875</v>
      </c>
      <c r="B229" t="s">
        <v>1059</v>
      </c>
      <c r="C229">
        <v>0</v>
      </c>
      <c r="D229">
        <v>0</v>
      </c>
    </row>
    <row r="230" spans="1:4" x14ac:dyDescent="0.25">
      <c r="A230" t="s">
        <v>1736</v>
      </c>
      <c r="B230" t="s">
        <v>1735</v>
      </c>
      <c r="C230" t="s">
        <v>1722</v>
      </c>
      <c r="D230">
        <v>0</v>
      </c>
    </row>
    <row r="231" spans="1:4" x14ac:dyDescent="0.25">
      <c r="A231" t="s">
        <v>1874</v>
      </c>
      <c r="B231" t="s">
        <v>1056</v>
      </c>
      <c r="C231">
        <v>0</v>
      </c>
      <c r="D231">
        <v>0</v>
      </c>
    </row>
    <row r="232" spans="1:4" x14ac:dyDescent="0.25">
      <c r="A232" t="s">
        <v>1734</v>
      </c>
      <c r="B232" t="s">
        <v>1733</v>
      </c>
      <c r="C232" t="s">
        <v>1684</v>
      </c>
      <c r="D232" t="s">
        <v>1684</v>
      </c>
    </row>
    <row r="233" spans="1:4" x14ac:dyDescent="0.25">
      <c r="A233" t="s">
        <v>1873</v>
      </c>
      <c r="B233" t="s">
        <v>1053</v>
      </c>
      <c r="C233">
        <v>0</v>
      </c>
      <c r="D233">
        <v>0</v>
      </c>
    </row>
    <row r="234" spans="1:4" x14ac:dyDescent="0.25">
      <c r="A234" t="s">
        <v>1872</v>
      </c>
      <c r="B234" t="s">
        <v>1050</v>
      </c>
      <c r="C234">
        <v>0</v>
      </c>
      <c r="D234">
        <v>0</v>
      </c>
    </row>
    <row r="235" spans="1:4" x14ac:dyDescent="0.25">
      <c r="A235" t="s">
        <v>1871</v>
      </c>
      <c r="B235" t="s">
        <v>1047</v>
      </c>
      <c r="C235">
        <v>0</v>
      </c>
      <c r="D235">
        <v>0</v>
      </c>
    </row>
    <row r="236" spans="1:4" x14ac:dyDescent="0.25">
      <c r="A236" t="s">
        <v>1870</v>
      </c>
      <c r="B236" t="s">
        <v>1045</v>
      </c>
      <c r="C236">
        <v>0</v>
      </c>
      <c r="D236">
        <v>0</v>
      </c>
    </row>
    <row r="237" spans="1:4" x14ac:dyDescent="0.25">
      <c r="A237" t="s">
        <v>1869</v>
      </c>
      <c r="B237" t="s">
        <v>1042</v>
      </c>
      <c r="C237">
        <v>0</v>
      </c>
      <c r="D237">
        <v>0</v>
      </c>
    </row>
    <row r="238" spans="1:4" x14ac:dyDescent="0.25">
      <c r="A238" t="s">
        <v>1868</v>
      </c>
      <c r="B238" t="s">
        <v>1039</v>
      </c>
      <c r="C238">
        <v>0</v>
      </c>
      <c r="D238">
        <v>0</v>
      </c>
    </row>
    <row r="239" spans="1:4" x14ac:dyDescent="0.25">
      <c r="A239" t="s">
        <v>1867</v>
      </c>
      <c r="B239" t="s">
        <v>1027</v>
      </c>
      <c r="C239">
        <v>0</v>
      </c>
      <c r="D239">
        <v>0</v>
      </c>
    </row>
    <row r="240" spans="1:4" x14ac:dyDescent="0.25">
      <c r="A240" t="s">
        <v>1732</v>
      </c>
      <c r="B240" t="s">
        <v>1731</v>
      </c>
      <c r="C240" t="s">
        <v>1730</v>
      </c>
      <c r="D240" t="s">
        <v>1729</v>
      </c>
    </row>
    <row r="241" spans="1:4" x14ac:dyDescent="0.25">
      <c r="A241" t="s">
        <v>1728</v>
      </c>
      <c r="B241" t="s">
        <v>1727</v>
      </c>
      <c r="C241">
        <v>0</v>
      </c>
      <c r="D241">
        <v>0</v>
      </c>
    </row>
    <row r="242" spans="1:4" x14ac:dyDescent="0.25">
      <c r="A242" t="s">
        <v>1726</v>
      </c>
      <c r="B242" t="s">
        <v>1725</v>
      </c>
      <c r="C242" t="s">
        <v>19</v>
      </c>
      <c r="D242" t="s">
        <v>19</v>
      </c>
    </row>
    <row r="243" spans="1:4" x14ac:dyDescent="0.25">
      <c r="A243" t="s">
        <v>1724</v>
      </c>
      <c r="B243" t="s">
        <v>1723</v>
      </c>
      <c r="C243" t="s">
        <v>1722</v>
      </c>
      <c r="D243">
        <v>0</v>
      </c>
    </row>
    <row r="244" spans="1:4" x14ac:dyDescent="0.25">
      <c r="A244" t="s">
        <v>1721</v>
      </c>
      <c r="B244" t="s">
        <v>1720</v>
      </c>
      <c r="C244" t="s">
        <v>1684</v>
      </c>
      <c r="D244" t="s">
        <v>1684</v>
      </c>
    </row>
    <row r="245" spans="1:4" x14ac:dyDescent="0.25">
      <c r="A245" t="s">
        <v>1719</v>
      </c>
      <c r="B245" t="s">
        <v>1718</v>
      </c>
      <c r="C245" t="s">
        <v>1717</v>
      </c>
      <c r="D245" t="s">
        <v>1717</v>
      </c>
    </row>
    <row r="246" spans="1:4" x14ac:dyDescent="0.25">
      <c r="A246" t="s">
        <v>1716</v>
      </c>
      <c r="B246" t="s">
        <v>245</v>
      </c>
      <c r="C246" t="s">
        <v>1715</v>
      </c>
      <c r="D246" t="s">
        <v>1714</v>
      </c>
    </row>
    <row r="247" spans="1:4" x14ac:dyDescent="0.25">
      <c r="A247" t="s">
        <v>1713</v>
      </c>
      <c r="B247" t="s">
        <v>243</v>
      </c>
      <c r="C247" t="s">
        <v>1712</v>
      </c>
      <c r="D247" t="s">
        <v>1711</v>
      </c>
    </row>
    <row r="248" spans="1:4" x14ac:dyDescent="0.25">
      <c r="A248" t="s">
        <v>1710</v>
      </c>
      <c r="B248" t="s">
        <v>1709</v>
      </c>
      <c r="C248" t="s">
        <v>1708</v>
      </c>
      <c r="D248" t="s">
        <v>1708</v>
      </c>
    </row>
    <row r="249" spans="1:4" x14ac:dyDescent="0.25">
      <c r="A249" t="s">
        <v>1866</v>
      </c>
      <c r="B249" t="s">
        <v>1865</v>
      </c>
      <c r="C249">
        <v>0</v>
      </c>
      <c r="D249">
        <v>0</v>
      </c>
    </row>
    <row r="250" spans="1:4" x14ac:dyDescent="0.25">
      <c r="A250" t="s">
        <v>1707</v>
      </c>
      <c r="B250" t="s">
        <v>1706</v>
      </c>
      <c r="C250">
        <v>0</v>
      </c>
      <c r="D250">
        <v>0</v>
      </c>
    </row>
    <row r="251" spans="1:4" x14ac:dyDescent="0.25">
      <c r="A251" t="s">
        <v>1864</v>
      </c>
      <c r="B251" t="s">
        <v>1863</v>
      </c>
      <c r="C251">
        <v>0</v>
      </c>
      <c r="D251">
        <v>0</v>
      </c>
    </row>
    <row r="252" spans="1:4" x14ac:dyDescent="0.25">
      <c r="A252" t="s">
        <v>1705</v>
      </c>
      <c r="B252" t="s">
        <v>1704</v>
      </c>
      <c r="C252">
        <v>0</v>
      </c>
      <c r="D252">
        <v>0</v>
      </c>
    </row>
    <row r="253" spans="1:4" x14ac:dyDescent="0.25">
      <c r="A253" t="s">
        <v>1703</v>
      </c>
      <c r="B253" t="s">
        <v>1702</v>
      </c>
      <c r="C253" t="s">
        <v>1701</v>
      </c>
      <c r="D253">
        <v>0</v>
      </c>
    </row>
    <row r="254" spans="1:4" x14ac:dyDescent="0.25">
      <c r="A254" t="s">
        <v>1700</v>
      </c>
      <c r="B254" t="s">
        <v>1699</v>
      </c>
      <c r="C254">
        <v>0</v>
      </c>
      <c r="D254">
        <v>0</v>
      </c>
    </row>
    <row r="255" spans="1:4" x14ac:dyDescent="0.25">
      <c r="A255" t="s">
        <v>2094</v>
      </c>
      <c r="B255" t="s">
        <v>2255</v>
      </c>
      <c r="C255">
        <v>0</v>
      </c>
      <c r="D255">
        <v>0</v>
      </c>
    </row>
    <row r="256" spans="1:4" x14ac:dyDescent="0.25">
      <c r="A256" t="s">
        <v>2091</v>
      </c>
      <c r="B256" t="s">
        <v>2254</v>
      </c>
      <c r="C256">
        <v>0</v>
      </c>
      <c r="D256">
        <v>0</v>
      </c>
    </row>
    <row r="257" spans="1:4" x14ac:dyDescent="0.25">
      <c r="A257" t="s">
        <v>2088</v>
      </c>
      <c r="B257" t="s">
        <v>2253</v>
      </c>
      <c r="C257">
        <v>0</v>
      </c>
      <c r="D257">
        <v>0</v>
      </c>
    </row>
    <row r="258" spans="1:4" x14ac:dyDescent="0.25">
      <c r="A258" t="s">
        <v>2252</v>
      </c>
      <c r="B258" t="s">
        <v>2251</v>
      </c>
      <c r="C258" t="s">
        <v>2188</v>
      </c>
      <c r="D258">
        <v>0</v>
      </c>
    </row>
    <row r="259" spans="1:4" x14ac:dyDescent="0.25">
      <c r="A259" t="s">
        <v>2250</v>
      </c>
      <c r="B259" t="s">
        <v>2249</v>
      </c>
      <c r="C259" t="s">
        <v>2124</v>
      </c>
      <c r="D259" t="s">
        <v>2123</v>
      </c>
    </row>
    <row r="260" spans="1:4" x14ac:dyDescent="0.25">
      <c r="A260" t="s">
        <v>2248</v>
      </c>
      <c r="B260" t="s">
        <v>2247</v>
      </c>
      <c r="C260" t="s">
        <v>2086</v>
      </c>
      <c r="D260">
        <v>0</v>
      </c>
    </row>
    <row r="261" spans="1:4" x14ac:dyDescent="0.25">
      <c r="A261" t="s">
        <v>2246</v>
      </c>
      <c r="B261" t="s">
        <v>2245</v>
      </c>
      <c r="C261" t="s">
        <v>1717</v>
      </c>
      <c r="D261" t="s">
        <v>1717</v>
      </c>
    </row>
    <row r="262" spans="1:4" x14ac:dyDescent="0.25">
      <c r="A262" t="s">
        <v>2244</v>
      </c>
      <c r="B262" t="s">
        <v>2243</v>
      </c>
      <c r="C262" t="s">
        <v>1715</v>
      </c>
      <c r="D262" t="s">
        <v>1714</v>
      </c>
    </row>
    <row r="263" spans="1:4" x14ac:dyDescent="0.25">
      <c r="A263" t="s">
        <v>2242</v>
      </c>
      <c r="B263" t="s">
        <v>2241</v>
      </c>
      <c r="C263" t="s">
        <v>1712</v>
      </c>
      <c r="D263" t="s">
        <v>1711</v>
      </c>
    </row>
    <row r="264" spans="1:4" x14ac:dyDescent="0.25">
      <c r="A264" t="s">
        <v>2240</v>
      </c>
      <c r="B264" t="s">
        <v>2239</v>
      </c>
      <c r="C264" t="s">
        <v>2118</v>
      </c>
      <c r="D264" t="s">
        <v>2118</v>
      </c>
    </row>
    <row r="265" spans="1:4" x14ac:dyDescent="0.25">
      <c r="A265" t="s">
        <v>2238</v>
      </c>
      <c r="B265" t="s">
        <v>2237</v>
      </c>
      <c r="C265" t="s">
        <v>1708</v>
      </c>
      <c r="D265" t="s">
        <v>1708</v>
      </c>
    </row>
    <row r="266" spans="1:4" x14ac:dyDescent="0.25">
      <c r="A266" t="s">
        <v>2427</v>
      </c>
      <c r="B266" t="s">
        <v>2426</v>
      </c>
      <c r="C266" t="s">
        <v>2425</v>
      </c>
      <c r="D266" t="s">
        <v>2424</v>
      </c>
    </row>
    <row r="267" spans="1:4" x14ac:dyDescent="0.25">
      <c r="A267" t="s">
        <v>3166</v>
      </c>
      <c r="B267" t="s">
        <v>3167</v>
      </c>
      <c r="C267" t="s">
        <v>3157</v>
      </c>
      <c r="D267">
        <v>0</v>
      </c>
    </row>
    <row r="268" spans="1:4" x14ac:dyDescent="0.25">
      <c r="A268" t="s">
        <v>1682</v>
      </c>
      <c r="B268" t="s">
        <v>1681</v>
      </c>
      <c r="C268">
        <v>0</v>
      </c>
      <c r="D268">
        <v>0</v>
      </c>
    </row>
    <row r="269" spans="1:4" x14ac:dyDescent="0.25">
      <c r="A269" t="s">
        <v>1680</v>
      </c>
      <c r="B269" t="s">
        <v>1679</v>
      </c>
      <c r="C269">
        <v>0</v>
      </c>
      <c r="D269">
        <v>0</v>
      </c>
    </row>
    <row r="270" spans="1:4" x14ac:dyDescent="0.25">
      <c r="A270" t="s">
        <v>1678</v>
      </c>
      <c r="B270" t="s">
        <v>1677</v>
      </c>
      <c r="C270">
        <v>0</v>
      </c>
      <c r="D270">
        <v>0</v>
      </c>
    </row>
    <row r="271" spans="1:4" x14ac:dyDescent="0.25">
      <c r="A271" t="s">
        <v>1676</v>
      </c>
      <c r="B271" t="s">
        <v>1675</v>
      </c>
      <c r="C271">
        <v>0</v>
      </c>
      <c r="D271">
        <v>0</v>
      </c>
    </row>
    <row r="272" spans="1:4" x14ac:dyDescent="0.25">
      <c r="A272" t="s">
        <v>2236</v>
      </c>
      <c r="B272" t="s">
        <v>237</v>
      </c>
      <c r="C272" t="s">
        <v>1730</v>
      </c>
      <c r="D272" t="s">
        <v>1729</v>
      </c>
    </row>
    <row r="273" spans="1:4" x14ac:dyDescent="0.25">
      <c r="A273" t="s">
        <v>2235</v>
      </c>
      <c r="B273" t="s">
        <v>235</v>
      </c>
      <c r="C273" t="s">
        <v>2234</v>
      </c>
      <c r="D273">
        <v>0</v>
      </c>
    </row>
    <row r="274" spans="1:4" x14ac:dyDescent="0.25">
      <c r="A274" t="s">
        <v>2233</v>
      </c>
      <c r="B274" t="s">
        <v>233</v>
      </c>
      <c r="C274" t="s">
        <v>1730</v>
      </c>
      <c r="D274" t="s">
        <v>1729</v>
      </c>
    </row>
    <row r="275" spans="1:4" x14ac:dyDescent="0.25">
      <c r="A275" t="s">
        <v>2232</v>
      </c>
      <c r="B275" t="s">
        <v>231</v>
      </c>
      <c r="C275" t="s">
        <v>2172</v>
      </c>
      <c r="D275" t="s">
        <v>2171</v>
      </c>
    </row>
    <row r="276" spans="1:4" x14ac:dyDescent="0.25">
      <c r="A276" t="s">
        <v>2231</v>
      </c>
      <c r="B276" t="s">
        <v>2230</v>
      </c>
      <c r="C276" t="s">
        <v>2229</v>
      </c>
      <c r="D276">
        <v>0</v>
      </c>
    </row>
    <row r="277" spans="1:4" x14ac:dyDescent="0.25">
      <c r="A277" t="s">
        <v>2228</v>
      </c>
      <c r="B277" t="s">
        <v>2227</v>
      </c>
      <c r="C277" t="s">
        <v>2109</v>
      </c>
      <c r="D277">
        <v>0</v>
      </c>
    </row>
    <row r="278" spans="1:4" x14ac:dyDescent="0.25">
      <c r="A278" t="s">
        <v>2226</v>
      </c>
      <c r="B278" t="s">
        <v>229</v>
      </c>
      <c r="C278" t="s">
        <v>2225</v>
      </c>
      <c r="D278" t="s">
        <v>19</v>
      </c>
    </row>
    <row r="279" spans="1:4" x14ac:dyDescent="0.25">
      <c r="A279" t="s">
        <v>2224</v>
      </c>
      <c r="B279" t="s">
        <v>225</v>
      </c>
      <c r="C279" t="s">
        <v>19</v>
      </c>
      <c r="D279" t="s">
        <v>19</v>
      </c>
    </row>
    <row r="280" spans="1:4" x14ac:dyDescent="0.25">
      <c r="A280" t="s">
        <v>3035</v>
      </c>
      <c r="B280" t="s">
        <v>3036</v>
      </c>
      <c r="C280" t="s">
        <v>19</v>
      </c>
      <c r="D280" t="s">
        <v>19</v>
      </c>
    </row>
    <row r="281" spans="1:4" x14ac:dyDescent="0.25">
      <c r="A281" t="s">
        <v>3037</v>
      </c>
      <c r="B281" t="s">
        <v>3038</v>
      </c>
      <c r="C281" t="s">
        <v>19</v>
      </c>
      <c r="D281" t="s">
        <v>19</v>
      </c>
    </row>
    <row r="282" spans="1:4" x14ac:dyDescent="0.25">
      <c r="A282" t="s">
        <v>3039</v>
      </c>
      <c r="B282" t="s">
        <v>3040</v>
      </c>
      <c r="C282" t="s">
        <v>19</v>
      </c>
      <c r="D282" t="s">
        <v>19</v>
      </c>
    </row>
    <row r="283" spans="1:4" x14ac:dyDescent="0.25">
      <c r="A283" t="s">
        <v>3041</v>
      </c>
      <c r="B283" t="s">
        <v>3042</v>
      </c>
      <c r="C283" t="s">
        <v>19</v>
      </c>
      <c r="D283" t="s">
        <v>19</v>
      </c>
    </row>
    <row r="284" spans="1:4" x14ac:dyDescent="0.25">
      <c r="A284" t="s">
        <v>3043</v>
      </c>
      <c r="B284" t="s">
        <v>3044</v>
      </c>
      <c r="C284" t="s">
        <v>19</v>
      </c>
      <c r="D284" t="s">
        <v>19</v>
      </c>
    </row>
    <row r="285" spans="1:4" x14ac:dyDescent="0.25">
      <c r="A285" t="s">
        <v>3045</v>
      </c>
      <c r="B285" t="s">
        <v>3046</v>
      </c>
      <c r="C285" t="s">
        <v>19</v>
      </c>
      <c r="D285" t="s">
        <v>19</v>
      </c>
    </row>
    <row r="286" spans="1:4" x14ac:dyDescent="0.25">
      <c r="A286" t="s">
        <v>3047</v>
      </c>
      <c r="B286" t="s">
        <v>3048</v>
      </c>
      <c r="C286" t="s">
        <v>19</v>
      </c>
      <c r="D286" t="s">
        <v>19</v>
      </c>
    </row>
    <row r="287" spans="1:4" x14ac:dyDescent="0.25">
      <c r="A287" t="s">
        <v>3049</v>
      </c>
      <c r="B287" t="s">
        <v>3050</v>
      </c>
      <c r="C287" t="s">
        <v>19</v>
      </c>
      <c r="D287" t="s">
        <v>19</v>
      </c>
    </row>
    <row r="288" spans="1:4" x14ac:dyDescent="0.25">
      <c r="A288" t="s">
        <v>3061</v>
      </c>
      <c r="B288" t="s">
        <v>3062</v>
      </c>
      <c r="C288" t="s">
        <v>19</v>
      </c>
      <c r="D288" t="s">
        <v>19</v>
      </c>
    </row>
    <row r="289" spans="1:4" x14ac:dyDescent="0.25">
      <c r="A289" t="s">
        <v>3051</v>
      </c>
      <c r="B289" t="s">
        <v>3052</v>
      </c>
      <c r="C289" t="s">
        <v>19</v>
      </c>
      <c r="D289" t="s">
        <v>19</v>
      </c>
    </row>
    <row r="290" spans="1:4" x14ac:dyDescent="0.25">
      <c r="A290" t="s">
        <v>3053</v>
      </c>
      <c r="B290" t="s">
        <v>3054</v>
      </c>
      <c r="C290" t="s">
        <v>19</v>
      </c>
      <c r="D290" t="s">
        <v>19</v>
      </c>
    </row>
    <row r="291" spans="1:4" x14ac:dyDescent="0.25">
      <c r="A291" t="s">
        <v>3055</v>
      </c>
      <c r="B291" t="s">
        <v>3056</v>
      </c>
      <c r="C291" t="s">
        <v>19</v>
      </c>
      <c r="D291" t="s">
        <v>19</v>
      </c>
    </row>
    <row r="292" spans="1:4" x14ac:dyDescent="0.25">
      <c r="A292" t="s">
        <v>3057</v>
      </c>
      <c r="B292" t="s">
        <v>3058</v>
      </c>
      <c r="C292" t="s">
        <v>19</v>
      </c>
      <c r="D292" t="s">
        <v>19</v>
      </c>
    </row>
    <row r="293" spans="1:4" x14ac:dyDescent="0.25">
      <c r="A293" t="s">
        <v>3063</v>
      </c>
      <c r="B293" t="s">
        <v>3064</v>
      </c>
      <c r="C293" t="s">
        <v>19</v>
      </c>
      <c r="D293" t="s">
        <v>19</v>
      </c>
    </row>
    <row r="294" spans="1:4" x14ac:dyDescent="0.25">
      <c r="A294" t="s">
        <v>3059</v>
      </c>
      <c r="B294" t="s">
        <v>3060</v>
      </c>
      <c r="C294" t="s">
        <v>19</v>
      </c>
      <c r="D294" t="s">
        <v>19</v>
      </c>
    </row>
    <row r="295" spans="1:4" x14ac:dyDescent="0.25">
      <c r="A295" t="s">
        <v>3065</v>
      </c>
      <c r="B295" t="s">
        <v>3066</v>
      </c>
      <c r="C295" t="s">
        <v>19</v>
      </c>
      <c r="D295" t="s">
        <v>19</v>
      </c>
    </row>
    <row r="296" spans="1:4" x14ac:dyDescent="0.25">
      <c r="A296" t="s">
        <v>2223</v>
      </c>
      <c r="B296" t="s">
        <v>2222</v>
      </c>
      <c r="C296" t="s">
        <v>2221</v>
      </c>
      <c r="D296">
        <v>0</v>
      </c>
    </row>
    <row r="297" spans="1:4" x14ac:dyDescent="0.25">
      <c r="A297" t="s">
        <v>2220</v>
      </c>
      <c r="B297" t="s">
        <v>2219</v>
      </c>
      <c r="C297" t="s">
        <v>2105</v>
      </c>
      <c r="D297">
        <v>0</v>
      </c>
    </row>
    <row r="298" spans="1:4" x14ac:dyDescent="0.25">
      <c r="A298" t="s">
        <v>2218</v>
      </c>
      <c r="B298" t="s">
        <v>2217</v>
      </c>
      <c r="C298" t="s">
        <v>2216</v>
      </c>
      <c r="D298">
        <v>0</v>
      </c>
    </row>
    <row r="299" spans="1:4" x14ac:dyDescent="0.25">
      <c r="A299" t="s">
        <v>2215</v>
      </c>
      <c r="B299" t="s">
        <v>2214</v>
      </c>
      <c r="C299" t="s">
        <v>2102</v>
      </c>
      <c r="D299">
        <v>0</v>
      </c>
    </row>
    <row r="300" spans="1:4" x14ac:dyDescent="0.25">
      <c r="A300" t="s">
        <v>2213</v>
      </c>
      <c r="B300" t="s">
        <v>219</v>
      </c>
      <c r="C300" t="s">
        <v>19</v>
      </c>
      <c r="D300" t="s">
        <v>19</v>
      </c>
    </row>
    <row r="301" spans="1:4" x14ac:dyDescent="0.25">
      <c r="A301" t="s">
        <v>1696</v>
      </c>
      <c r="B301" t="s">
        <v>1695</v>
      </c>
      <c r="C301">
        <v>0</v>
      </c>
      <c r="D301">
        <v>0</v>
      </c>
    </row>
    <row r="302" spans="1:4" x14ac:dyDescent="0.25">
      <c r="A302" t="s">
        <v>2212</v>
      </c>
      <c r="B302" t="s">
        <v>217</v>
      </c>
      <c r="C302" t="s">
        <v>1684</v>
      </c>
      <c r="D302" t="s">
        <v>1684</v>
      </c>
    </row>
    <row r="303" spans="1:4" x14ac:dyDescent="0.25">
      <c r="A303" t="s">
        <v>2211</v>
      </c>
      <c r="B303" t="s">
        <v>215</v>
      </c>
      <c r="C303" t="s">
        <v>1684</v>
      </c>
      <c r="D303" t="s">
        <v>1684</v>
      </c>
    </row>
    <row r="304" spans="1:4" x14ac:dyDescent="0.25">
      <c r="A304" t="s">
        <v>2210</v>
      </c>
      <c r="B304" t="s">
        <v>213</v>
      </c>
      <c r="C304" t="s">
        <v>1684</v>
      </c>
      <c r="D304" t="s">
        <v>1684</v>
      </c>
    </row>
    <row r="305" spans="1:4" x14ac:dyDescent="0.25">
      <c r="A305" t="s">
        <v>2209</v>
      </c>
      <c r="B305" t="s">
        <v>211</v>
      </c>
      <c r="C305" t="s">
        <v>1684</v>
      </c>
      <c r="D305" t="s">
        <v>1684</v>
      </c>
    </row>
    <row r="306" spans="1:4" x14ac:dyDescent="0.25">
      <c r="A306" t="s">
        <v>2208</v>
      </c>
      <c r="B306" t="s">
        <v>209</v>
      </c>
      <c r="C306" t="s">
        <v>1684</v>
      </c>
      <c r="D306" t="s">
        <v>1684</v>
      </c>
    </row>
    <row r="307" spans="1:4" x14ac:dyDescent="0.25">
      <c r="A307" t="s">
        <v>2207</v>
      </c>
      <c r="B307" t="s">
        <v>207</v>
      </c>
      <c r="C307" t="s">
        <v>1684</v>
      </c>
      <c r="D307" t="s">
        <v>1684</v>
      </c>
    </row>
    <row r="308" spans="1:4" x14ac:dyDescent="0.25">
      <c r="A308" t="s">
        <v>2206</v>
      </c>
      <c r="B308" t="s">
        <v>205</v>
      </c>
      <c r="C308" t="s">
        <v>2205</v>
      </c>
      <c r="D308">
        <v>0</v>
      </c>
    </row>
    <row r="309" spans="1:4" x14ac:dyDescent="0.25">
      <c r="A309" t="s">
        <v>2204</v>
      </c>
      <c r="B309" t="s">
        <v>2203</v>
      </c>
      <c r="C309" t="s">
        <v>2202</v>
      </c>
      <c r="D309">
        <v>0</v>
      </c>
    </row>
    <row r="310" spans="1:4" x14ac:dyDescent="0.25">
      <c r="A310" t="s">
        <v>2201</v>
      </c>
      <c r="B310" t="s">
        <v>2200</v>
      </c>
      <c r="C310" t="s">
        <v>2094</v>
      </c>
      <c r="D310">
        <v>0</v>
      </c>
    </row>
    <row r="311" spans="1:4" x14ac:dyDescent="0.25">
      <c r="A311" t="s">
        <v>2199</v>
      </c>
      <c r="B311" t="s">
        <v>2198</v>
      </c>
      <c r="C311" t="s">
        <v>2197</v>
      </c>
      <c r="D311">
        <v>0</v>
      </c>
    </row>
    <row r="312" spans="1:4" x14ac:dyDescent="0.25">
      <c r="A312" t="s">
        <v>2196</v>
      </c>
      <c r="B312" t="s">
        <v>2195</v>
      </c>
      <c r="C312" t="s">
        <v>2091</v>
      </c>
      <c r="D312">
        <v>0</v>
      </c>
    </row>
    <row r="313" spans="1:4" x14ac:dyDescent="0.25">
      <c r="A313" t="s">
        <v>2194</v>
      </c>
      <c r="B313" t="s">
        <v>2193</v>
      </c>
      <c r="C313" t="s">
        <v>2192</v>
      </c>
      <c r="D313">
        <v>0</v>
      </c>
    </row>
    <row r="314" spans="1:4" x14ac:dyDescent="0.25">
      <c r="A314" t="s">
        <v>2191</v>
      </c>
      <c r="B314" t="s">
        <v>2190</v>
      </c>
      <c r="C314" t="s">
        <v>2088</v>
      </c>
      <c r="D314">
        <v>0</v>
      </c>
    </row>
    <row r="315" spans="1:4" x14ac:dyDescent="0.25">
      <c r="A315" t="s">
        <v>2189</v>
      </c>
      <c r="B315" t="s">
        <v>203</v>
      </c>
      <c r="C315" t="s">
        <v>2188</v>
      </c>
      <c r="D315">
        <v>0</v>
      </c>
    </row>
    <row r="316" spans="1:4" x14ac:dyDescent="0.25">
      <c r="A316" t="s">
        <v>2187</v>
      </c>
      <c r="B316" t="s">
        <v>201</v>
      </c>
      <c r="C316" t="s">
        <v>1717</v>
      </c>
      <c r="D316" t="s">
        <v>1717</v>
      </c>
    </row>
    <row r="317" spans="1:4" x14ac:dyDescent="0.25">
      <c r="A317" t="s">
        <v>2186</v>
      </c>
      <c r="B317" t="s">
        <v>2185</v>
      </c>
      <c r="C317" t="s">
        <v>2184</v>
      </c>
      <c r="D317">
        <v>0</v>
      </c>
    </row>
    <row r="318" spans="1:4" x14ac:dyDescent="0.25">
      <c r="A318" t="s">
        <v>2183</v>
      </c>
      <c r="B318" t="s">
        <v>2182</v>
      </c>
      <c r="C318" t="s">
        <v>2082</v>
      </c>
      <c r="D318">
        <v>0</v>
      </c>
    </row>
    <row r="319" spans="1:4" x14ac:dyDescent="0.25">
      <c r="A319" t="s">
        <v>2181</v>
      </c>
      <c r="B319" t="s">
        <v>199</v>
      </c>
      <c r="C319" t="s">
        <v>2142</v>
      </c>
      <c r="D319">
        <v>0</v>
      </c>
    </row>
    <row r="320" spans="1:4" x14ac:dyDescent="0.25">
      <c r="A320" t="s">
        <v>2180</v>
      </c>
      <c r="B320" t="s">
        <v>2179</v>
      </c>
      <c r="C320" t="s">
        <v>2178</v>
      </c>
      <c r="D320">
        <v>0</v>
      </c>
    </row>
    <row r="321" spans="1:4" x14ac:dyDescent="0.25">
      <c r="A321" t="s">
        <v>2177</v>
      </c>
      <c r="B321" t="s">
        <v>2176</v>
      </c>
      <c r="C321" t="s">
        <v>2079</v>
      </c>
      <c r="D321">
        <v>0</v>
      </c>
    </row>
    <row r="322" spans="1:4" x14ac:dyDescent="0.25">
      <c r="A322" t="s">
        <v>2175</v>
      </c>
      <c r="B322" t="s">
        <v>197</v>
      </c>
      <c r="C322" t="s">
        <v>2072</v>
      </c>
      <c r="D322">
        <v>0</v>
      </c>
    </row>
    <row r="323" spans="1:4" x14ac:dyDescent="0.25">
      <c r="A323" t="s">
        <v>2174</v>
      </c>
      <c r="B323" t="s">
        <v>2173</v>
      </c>
      <c r="C323" t="s">
        <v>2172</v>
      </c>
      <c r="D323" t="s">
        <v>2171</v>
      </c>
    </row>
    <row r="324" spans="1:4" x14ac:dyDescent="0.25">
      <c r="A324" t="s">
        <v>1862</v>
      </c>
      <c r="B324" t="s">
        <v>1861</v>
      </c>
      <c r="C324" t="s">
        <v>1784</v>
      </c>
      <c r="D324">
        <v>0</v>
      </c>
    </row>
    <row r="325" spans="1:4" x14ac:dyDescent="0.25">
      <c r="A325" t="s">
        <v>2170</v>
      </c>
      <c r="B325" t="s">
        <v>2169</v>
      </c>
      <c r="C325" t="s">
        <v>2109</v>
      </c>
      <c r="D325">
        <v>0</v>
      </c>
    </row>
    <row r="326" spans="1:4" x14ac:dyDescent="0.25">
      <c r="A326" t="s">
        <v>2168</v>
      </c>
      <c r="B326" t="s">
        <v>2167</v>
      </c>
      <c r="C326" t="s">
        <v>2105</v>
      </c>
      <c r="D326">
        <v>0</v>
      </c>
    </row>
    <row r="327" spans="1:4" x14ac:dyDescent="0.25">
      <c r="A327" t="s">
        <v>1860</v>
      </c>
      <c r="B327" t="s">
        <v>1859</v>
      </c>
      <c r="C327" t="s">
        <v>1778</v>
      </c>
      <c r="D327">
        <v>0</v>
      </c>
    </row>
    <row r="328" spans="1:4" x14ac:dyDescent="0.25">
      <c r="A328" t="s">
        <v>2166</v>
      </c>
      <c r="B328" t="s">
        <v>2165</v>
      </c>
      <c r="C328" t="s">
        <v>2102</v>
      </c>
      <c r="D328">
        <v>0</v>
      </c>
    </row>
    <row r="329" spans="1:4" x14ac:dyDescent="0.25">
      <c r="A329" t="s">
        <v>2164</v>
      </c>
      <c r="B329" t="s">
        <v>2163</v>
      </c>
      <c r="C329" t="s">
        <v>19</v>
      </c>
      <c r="D329" t="s">
        <v>19</v>
      </c>
    </row>
    <row r="330" spans="1:4" x14ac:dyDescent="0.25">
      <c r="A330" t="s">
        <v>2162</v>
      </c>
      <c r="B330" t="s">
        <v>2161</v>
      </c>
      <c r="C330" t="s">
        <v>1722</v>
      </c>
      <c r="D330">
        <v>0</v>
      </c>
    </row>
    <row r="331" spans="1:4" x14ac:dyDescent="0.25">
      <c r="A331" t="s">
        <v>2160</v>
      </c>
      <c r="B331" t="s">
        <v>2159</v>
      </c>
      <c r="C331" t="s">
        <v>1684</v>
      </c>
      <c r="D331" t="s">
        <v>1684</v>
      </c>
    </row>
    <row r="332" spans="1:4" x14ac:dyDescent="0.25">
      <c r="A332" t="s">
        <v>1858</v>
      </c>
      <c r="B332" t="s">
        <v>1857</v>
      </c>
      <c r="C332" t="s">
        <v>1775</v>
      </c>
      <c r="D332">
        <v>0</v>
      </c>
    </row>
    <row r="333" spans="1:4" x14ac:dyDescent="0.25">
      <c r="A333" t="s">
        <v>2158</v>
      </c>
      <c r="B333" t="s">
        <v>2157</v>
      </c>
      <c r="C333" t="s">
        <v>2094</v>
      </c>
      <c r="D333">
        <v>0</v>
      </c>
    </row>
    <row r="334" spans="1:4" x14ac:dyDescent="0.25">
      <c r="A334" t="s">
        <v>2156</v>
      </c>
      <c r="B334" t="s">
        <v>2155</v>
      </c>
      <c r="C334" t="s">
        <v>2091</v>
      </c>
      <c r="D334">
        <v>0</v>
      </c>
    </row>
    <row r="335" spans="1:4" x14ac:dyDescent="0.25">
      <c r="A335" t="s">
        <v>1856</v>
      </c>
      <c r="B335" t="s">
        <v>1855</v>
      </c>
      <c r="C335" t="s">
        <v>1769</v>
      </c>
      <c r="D335">
        <v>0</v>
      </c>
    </row>
    <row r="336" spans="1:4" x14ac:dyDescent="0.25">
      <c r="A336" t="s">
        <v>2154</v>
      </c>
      <c r="B336" t="s">
        <v>2153</v>
      </c>
      <c r="C336" t="s">
        <v>2088</v>
      </c>
      <c r="D336">
        <v>0</v>
      </c>
    </row>
    <row r="337" spans="1:4" x14ac:dyDescent="0.25">
      <c r="A337" t="s">
        <v>2152</v>
      </c>
      <c r="B337" t="s">
        <v>2151</v>
      </c>
      <c r="C337" t="s">
        <v>2118</v>
      </c>
      <c r="D337" t="s">
        <v>2118</v>
      </c>
    </row>
    <row r="338" spans="1:4" x14ac:dyDescent="0.25">
      <c r="A338" t="s">
        <v>2150</v>
      </c>
      <c r="B338" t="s">
        <v>2149</v>
      </c>
      <c r="C338" t="s">
        <v>1708</v>
      </c>
      <c r="D338" t="s">
        <v>1708</v>
      </c>
    </row>
    <row r="339" spans="1:4" x14ac:dyDescent="0.25">
      <c r="A339" t="s">
        <v>2148</v>
      </c>
      <c r="B339" t="s">
        <v>2147</v>
      </c>
      <c r="C339" t="s">
        <v>2082</v>
      </c>
      <c r="D339">
        <v>0</v>
      </c>
    </row>
    <row r="340" spans="1:4" x14ac:dyDescent="0.25">
      <c r="A340" t="s">
        <v>1854</v>
      </c>
      <c r="B340" t="s">
        <v>1853</v>
      </c>
      <c r="C340" t="s">
        <v>1763</v>
      </c>
      <c r="D340">
        <v>0</v>
      </c>
    </row>
    <row r="341" spans="1:4" x14ac:dyDescent="0.25">
      <c r="A341" t="s">
        <v>2146</v>
      </c>
      <c r="B341" t="s">
        <v>2145</v>
      </c>
      <c r="C341" t="s">
        <v>2079</v>
      </c>
      <c r="D341">
        <v>0</v>
      </c>
    </row>
    <row r="342" spans="1:4" x14ac:dyDescent="0.25">
      <c r="A342" t="s">
        <v>1989</v>
      </c>
      <c r="B342" t="s">
        <v>856</v>
      </c>
      <c r="C342">
        <v>0</v>
      </c>
      <c r="D342">
        <v>0</v>
      </c>
    </row>
    <row r="343" spans="1:4" x14ac:dyDescent="0.25">
      <c r="A343" t="s">
        <v>1988</v>
      </c>
      <c r="B343" t="s">
        <v>1987</v>
      </c>
      <c r="C343">
        <v>0</v>
      </c>
      <c r="D343">
        <v>0</v>
      </c>
    </row>
    <row r="344" spans="1:4" x14ac:dyDescent="0.25">
      <c r="A344" t="s">
        <v>1986</v>
      </c>
      <c r="B344" t="s">
        <v>1985</v>
      </c>
      <c r="C344">
        <v>0</v>
      </c>
      <c r="D344">
        <v>0</v>
      </c>
    </row>
    <row r="345" spans="1:4" x14ac:dyDescent="0.25">
      <c r="A345" t="s">
        <v>1984</v>
      </c>
      <c r="B345" t="s">
        <v>1983</v>
      </c>
      <c r="C345">
        <v>0</v>
      </c>
      <c r="D345">
        <v>0</v>
      </c>
    </row>
    <row r="346" spans="1:4" x14ac:dyDescent="0.25">
      <c r="A346" t="s">
        <v>1982</v>
      </c>
      <c r="B346" t="s">
        <v>1981</v>
      </c>
      <c r="C346">
        <v>0</v>
      </c>
      <c r="D346">
        <v>0</v>
      </c>
    </row>
    <row r="347" spans="1:4" x14ac:dyDescent="0.25">
      <c r="A347" t="s">
        <v>1980</v>
      </c>
      <c r="B347" t="s">
        <v>842</v>
      </c>
      <c r="C347">
        <v>0</v>
      </c>
      <c r="D347">
        <v>0</v>
      </c>
    </row>
    <row r="348" spans="1:4" x14ac:dyDescent="0.25">
      <c r="A348" t="s">
        <v>3134</v>
      </c>
      <c r="B348" t="s">
        <v>3135</v>
      </c>
      <c r="C348">
        <v>0</v>
      </c>
      <c r="D348">
        <v>0</v>
      </c>
    </row>
    <row r="349" spans="1:4" x14ac:dyDescent="0.25">
      <c r="A349" t="s">
        <v>1979</v>
      </c>
      <c r="B349" t="s">
        <v>1978</v>
      </c>
      <c r="C349">
        <v>0</v>
      </c>
      <c r="D349">
        <v>0</v>
      </c>
    </row>
    <row r="350" spans="1:4" x14ac:dyDescent="0.25">
      <c r="A350" t="s">
        <v>1977</v>
      </c>
      <c r="B350" t="s">
        <v>828</v>
      </c>
      <c r="C350">
        <v>0</v>
      </c>
      <c r="D350">
        <v>0</v>
      </c>
    </row>
    <row r="351" spans="1:4" x14ac:dyDescent="0.25">
      <c r="A351" t="s">
        <v>1976</v>
      </c>
      <c r="B351" t="s">
        <v>1975</v>
      </c>
      <c r="C351">
        <v>0</v>
      </c>
      <c r="D351">
        <v>0</v>
      </c>
    </row>
    <row r="352" spans="1:4" x14ac:dyDescent="0.25">
      <c r="A352" t="s">
        <v>1974</v>
      </c>
      <c r="B352" t="s">
        <v>1973</v>
      </c>
      <c r="C352">
        <v>0</v>
      </c>
      <c r="D352">
        <v>0</v>
      </c>
    </row>
    <row r="353" spans="1:4" x14ac:dyDescent="0.25">
      <c r="A353" t="s">
        <v>1972</v>
      </c>
      <c r="B353" t="s">
        <v>1971</v>
      </c>
      <c r="C353">
        <v>0</v>
      </c>
      <c r="D353">
        <v>0</v>
      </c>
    </row>
    <row r="354" spans="1:4" x14ac:dyDescent="0.25">
      <c r="A354" t="s">
        <v>1970</v>
      </c>
      <c r="B354" t="s">
        <v>1969</v>
      </c>
      <c r="C354">
        <v>0</v>
      </c>
      <c r="D354">
        <v>0</v>
      </c>
    </row>
    <row r="355" spans="1:4" x14ac:dyDescent="0.25">
      <c r="A355" t="s">
        <v>1968</v>
      </c>
      <c r="B355" t="s">
        <v>810</v>
      </c>
      <c r="C355">
        <v>0</v>
      </c>
      <c r="D355">
        <v>0</v>
      </c>
    </row>
    <row r="356" spans="1:4" x14ac:dyDescent="0.25">
      <c r="A356" t="s">
        <v>1967</v>
      </c>
      <c r="B356" t="s">
        <v>802</v>
      </c>
      <c r="C356">
        <v>0</v>
      </c>
      <c r="D356">
        <v>0</v>
      </c>
    </row>
    <row r="357" spans="1:4" x14ac:dyDescent="0.25">
      <c r="A357" t="s">
        <v>1966</v>
      </c>
      <c r="B357" t="s">
        <v>1965</v>
      </c>
      <c r="C357">
        <v>0</v>
      </c>
      <c r="D357">
        <v>0</v>
      </c>
    </row>
    <row r="358" spans="1:4" x14ac:dyDescent="0.25">
      <c r="A358" t="s">
        <v>1964</v>
      </c>
      <c r="B358" t="s">
        <v>797</v>
      </c>
      <c r="C358">
        <v>0</v>
      </c>
      <c r="D358">
        <v>0</v>
      </c>
    </row>
    <row r="359" spans="1:4" x14ac:dyDescent="0.25">
      <c r="A359" t="s">
        <v>1963</v>
      </c>
      <c r="B359" t="s">
        <v>1962</v>
      </c>
      <c r="C359">
        <v>0</v>
      </c>
      <c r="D359">
        <v>0</v>
      </c>
    </row>
    <row r="360" spans="1:4" x14ac:dyDescent="0.25">
      <c r="A360" t="s">
        <v>1961</v>
      </c>
      <c r="B360" t="s">
        <v>790</v>
      </c>
      <c r="C360">
        <v>0</v>
      </c>
      <c r="D360">
        <v>0</v>
      </c>
    </row>
    <row r="361" spans="1:4" x14ac:dyDescent="0.25">
      <c r="A361" t="s">
        <v>1960</v>
      </c>
      <c r="B361" t="s">
        <v>1959</v>
      </c>
      <c r="C361">
        <v>0</v>
      </c>
      <c r="D361">
        <v>0</v>
      </c>
    </row>
    <row r="362" spans="1:4" x14ac:dyDescent="0.25">
      <c r="A362" t="s">
        <v>1958</v>
      </c>
      <c r="B362" t="s">
        <v>1957</v>
      </c>
      <c r="C362">
        <v>0</v>
      </c>
      <c r="D362">
        <v>0</v>
      </c>
    </row>
    <row r="363" spans="1:4" x14ac:dyDescent="0.25">
      <c r="A363" t="s">
        <v>1956</v>
      </c>
      <c r="B363" t="s">
        <v>775</v>
      </c>
      <c r="C363">
        <v>0</v>
      </c>
      <c r="D363">
        <v>0</v>
      </c>
    </row>
    <row r="364" spans="1:4" x14ac:dyDescent="0.25">
      <c r="A364" t="s">
        <v>1955</v>
      </c>
      <c r="B364" t="s">
        <v>768</v>
      </c>
      <c r="C364">
        <v>0</v>
      </c>
      <c r="D364">
        <v>0</v>
      </c>
    </row>
    <row r="365" spans="1:4" x14ac:dyDescent="0.25">
      <c r="A365" t="s">
        <v>1954</v>
      </c>
      <c r="B365" t="s">
        <v>766</v>
      </c>
      <c r="C365">
        <v>0</v>
      </c>
      <c r="D365">
        <v>0</v>
      </c>
    </row>
    <row r="366" spans="1:4" x14ac:dyDescent="0.25">
      <c r="A366" t="s">
        <v>1953</v>
      </c>
      <c r="B366" t="s">
        <v>1952</v>
      </c>
      <c r="C366">
        <v>0</v>
      </c>
      <c r="D366">
        <v>0</v>
      </c>
    </row>
    <row r="367" spans="1:4" x14ac:dyDescent="0.25">
      <c r="A367" t="s">
        <v>1951</v>
      </c>
      <c r="B367" t="s">
        <v>1950</v>
      </c>
      <c r="C367">
        <v>0</v>
      </c>
      <c r="D367">
        <v>0</v>
      </c>
    </row>
    <row r="368" spans="1:4" x14ac:dyDescent="0.25">
      <c r="A368" t="s">
        <v>1949</v>
      </c>
      <c r="B368" t="s">
        <v>761</v>
      </c>
      <c r="C368">
        <v>0</v>
      </c>
      <c r="D368">
        <v>0</v>
      </c>
    </row>
    <row r="369" spans="1:4" x14ac:dyDescent="0.25">
      <c r="A369" t="s">
        <v>1948</v>
      </c>
      <c r="B369">
        <v>0</v>
      </c>
      <c r="C369">
        <v>0</v>
      </c>
      <c r="D369">
        <v>0</v>
      </c>
    </row>
    <row r="370" spans="1:4" x14ac:dyDescent="0.25">
      <c r="A370" t="s">
        <v>1947</v>
      </c>
      <c r="B370" t="s">
        <v>1939</v>
      </c>
      <c r="C370">
        <v>0</v>
      </c>
      <c r="D370">
        <v>0</v>
      </c>
    </row>
    <row r="371" spans="1:4" x14ac:dyDescent="0.25">
      <c r="A371" t="s">
        <v>1946</v>
      </c>
      <c r="B371" t="s">
        <v>744</v>
      </c>
      <c r="C371">
        <v>0</v>
      </c>
      <c r="D371">
        <v>0</v>
      </c>
    </row>
    <row r="372" spans="1:4" x14ac:dyDescent="0.25">
      <c r="A372" t="s">
        <v>1945</v>
      </c>
      <c r="B372" t="s">
        <v>1944</v>
      </c>
      <c r="C372">
        <v>0</v>
      </c>
      <c r="D372">
        <v>0</v>
      </c>
    </row>
    <row r="373" spans="1:4" x14ac:dyDescent="0.25">
      <c r="A373" t="s">
        <v>1943</v>
      </c>
      <c r="B373" t="s">
        <v>734</v>
      </c>
      <c r="C373">
        <v>0</v>
      </c>
      <c r="D373">
        <v>0</v>
      </c>
    </row>
    <row r="374" spans="1:4" x14ac:dyDescent="0.25">
      <c r="A374" t="s">
        <v>1942</v>
      </c>
      <c r="B374" t="s">
        <v>1941</v>
      </c>
      <c r="C374">
        <v>0</v>
      </c>
      <c r="D374">
        <v>0</v>
      </c>
    </row>
    <row r="375" spans="1:4" x14ac:dyDescent="0.25">
      <c r="A375" t="s">
        <v>1940</v>
      </c>
      <c r="B375" t="s">
        <v>1939</v>
      </c>
      <c r="C375">
        <v>0</v>
      </c>
      <c r="D375">
        <v>0</v>
      </c>
    </row>
    <row r="376" spans="1:4" x14ac:dyDescent="0.25">
      <c r="A376" t="s">
        <v>2144</v>
      </c>
      <c r="B376" t="s">
        <v>2143</v>
      </c>
      <c r="C376" t="s">
        <v>2142</v>
      </c>
      <c r="D376">
        <v>0</v>
      </c>
    </row>
    <row r="377" spans="1:4" x14ac:dyDescent="0.25">
      <c r="A377" t="s">
        <v>2079</v>
      </c>
      <c r="B377" t="s">
        <v>2141</v>
      </c>
      <c r="C377">
        <v>0</v>
      </c>
      <c r="D377">
        <v>0</v>
      </c>
    </row>
    <row r="378" spans="1:4" x14ac:dyDescent="0.25">
      <c r="A378" t="s">
        <v>3136</v>
      </c>
      <c r="B378" t="s">
        <v>3137</v>
      </c>
      <c r="C378" t="s">
        <v>2118</v>
      </c>
      <c r="D378" t="s">
        <v>2118</v>
      </c>
    </row>
    <row r="379" spans="1:4" x14ac:dyDescent="0.25">
      <c r="A379" t="s">
        <v>3138</v>
      </c>
      <c r="B379" t="s">
        <v>3139</v>
      </c>
      <c r="C379" t="s">
        <v>2118</v>
      </c>
      <c r="D379" t="s">
        <v>2118</v>
      </c>
    </row>
    <row r="380" spans="1:4" x14ac:dyDescent="0.25">
      <c r="A380" t="s">
        <v>1938</v>
      </c>
      <c r="B380" t="s">
        <v>1937</v>
      </c>
      <c r="C380" t="s">
        <v>2118</v>
      </c>
      <c r="D380" t="s">
        <v>2118</v>
      </c>
    </row>
    <row r="381" spans="1:4" x14ac:dyDescent="0.25">
      <c r="A381" t="s">
        <v>1936</v>
      </c>
      <c r="B381" t="s">
        <v>1935</v>
      </c>
      <c r="C381" t="s">
        <v>2124</v>
      </c>
      <c r="D381">
        <v>0</v>
      </c>
    </row>
    <row r="382" spans="1:4" x14ac:dyDescent="0.25">
      <c r="A382" t="s">
        <v>1934</v>
      </c>
      <c r="B382" t="s">
        <v>1933</v>
      </c>
      <c r="C382">
        <v>0</v>
      </c>
      <c r="D382">
        <v>0</v>
      </c>
    </row>
    <row r="383" spans="1:4" x14ac:dyDescent="0.25">
      <c r="A383" t="s">
        <v>1932</v>
      </c>
      <c r="B383" t="s">
        <v>1931</v>
      </c>
      <c r="C383">
        <v>0</v>
      </c>
      <c r="D383">
        <v>0</v>
      </c>
    </row>
    <row r="384" spans="1:4" x14ac:dyDescent="0.25">
      <c r="A384" t="s">
        <v>1930</v>
      </c>
      <c r="B384" t="s">
        <v>1929</v>
      </c>
      <c r="C384">
        <v>0</v>
      </c>
      <c r="D384">
        <v>0</v>
      </c>
    </row>
    <row r="385" spans="1:4" x14ac:dyDescent="0.25">
      <c r="A385" t="s">
        <v>1928</v>
      </c>
      <c r="B385" t="s">
        <v>1927</v>
      </c>
      <c r="C385">
        <v>0</v>
      </c>
      <c r="D385">
        <v>0</v>
      </c>
    </row>
    <row r="386" spans="1:4" x14ac:dyDescent="0.25">
      <c r="A386" t="s">
        <v>1926</v>
      </c>
      <c r="B386" t="s">
        <v>1925</v>
      </c>
      <c r="C386">
        <v>0</v>
      </c>
      <c r="D386">
        <v>0</v>
      </c>
    </row>
    <row r="387" spans="1:4" x14ac:dyDescent="0.25">
      <c r="A387" t="s">
        <v>1924</v>
      </c>
      <c r="B387" t="s">
        <v>1923</v>
      </c>
      <c r="C387">
        <v>0</v>
      </c>
      <c r="D387">
        <v>0</v>
      </c>
    </row>
    <row r="388" spans="1:4" x14ac:dyDescent="0.25">
      <c r="A388" t="s">
        <v>1922</v>
      </c>
      <c r="B388" t="s">
        <v>1921</v>
      </c>
      <c r="C388">
        <v>0</v>
      </c>
      <c r="D388">
        <v>0</v>
      </c>
    </row>
    <row r="389" spans="1:4" x14ac:dyDescent="0.25">
      <c r="A389" t="s">
        <v>1920</v>
      </c>
      <c r="B389" t="s">
        <v>1919</v>
      </c>
      <c r="C389">
        <v>0</v>
      </c>
      <c r="D389">
        <v>0</v>
      </c>
    </row>
    <row r="390" spans="1:4" x14ac:dyDescent="0.25">
      <c r="A390" t="s">
        <v>1918</v>
      </c>
      <c r="B390" t="s">
        <v>1917</v>
      </c>
      <c r="C390">
        <v>0</v>
      </c>
      <c r="D390">
        <v>0</v>
      </c>
    </row>
    <row r="391" spans="1:4" x14ac:dyDescent="0.25">
      <c r="A391" t="s">
        <v>1916</v>
      </c>
      <c r="B391" t="s">
        <v>1915</v>
      </c>
      <c r="C391">
        <v>0</v>
      </c>
      <c r="D391">
        <v>0</v>
      </c>
    </row>
    <row r="392" spans="1:4" x14ac:dyDescent="0.25">
      <c r="A392" t="s">
        <v>1914</v>
      </c>
      <c r="B392" t="s">
        <v>1913</v>
      </c>
      <c r="C392">
        <v>0</v>
      </c>
      <c r="D392">
        <v>0</v>
      </c>
    </row>
    <row r="393" spans="1:4" x14ac:dyDescent="0.25">
      <c r="A393" t="s">
        <v>1912</v>
      </c>
      <c r="B393" t="s">
        <v>1911</v>
      </c>
      <c r="C393">
        <v>0</v>
      </c>
      <c r="D393">
        <v>0</v>
      </c>
    </row>
    <row r="394" spans="1:4" x14ac:dyDescent="0.25">
      <c r="A394" t="s">
        <v>1910</v>
      </c>
      <c r="B394" t="s">
        <v>1909</v>
      </c>
      <c r="C394">
        <v>0</v>
      </c>
      <c r="D394">
        <v>0</v>
      </c>
    </row>
    <row r="395" spans="1:4" x14ac:dyDescent="0.25">
      <c r="A395" t="s">
        <v>1908</v>
      </c>
      <c r="B395" t="s">
        <v>1907</v>
      </c>
      <c r="C395">
        <v>0</v>
      </c>
      <c r="D395">
        <v>0</v>
      </c>
    </row>
    <row r="396" spans="1:4" x14ac:dyDescent="0.25">
      <c r="A396" t="s">
        <v>1906</v>
      </c>
      <c r="B396" t="s">
        <v>1905</v>
      </c>
      <c r="C396">
        <v>0</v>
      </c>
      <c r="D396">
        <v>0</v>
      </c>
    </row>
    <row r="397" spans="1:4" x14ac:dyDescent="0.25">
      <c r="A397" t="s">
        <v>1904</v>
      </c>
      <c r="B397" t="s">
        <v>1903</v>
      </c>
      <c r="C397">
        <v>0</v>
      </c>
      <c r="D397">
        <v>0</v>
      </c>
    </row>
    <row r="398" spans="1:4" x14ac:dyDescent="0.25">
      <c r="A398" t="s">
        <v>1902</v>
      </c>
      <c r="B398" t="s">
        <v>1901</v>
      </c>
      <c r="C398">
        <v>0</v>
      </c>
      <c r="D398">
        <v>0</v>
      </c>
    </row>
    <row r="399" spans="1:4" x14ac:dyDescent="0.25">
      <c r="A399" t="s">
        <v>1900</v>
      </c>
      <c r="B399" t="s">
        <v>1899</v>
      </c>
      <c r="C399">
        <v>0</v>
      </c>
      <c r="D399">
        <v>0</v>
      </c>
    </row>
    <row r="400" spans="1:4" x14ac:dyDescent="0.25">
      <c r="A400" t="s">
        <v>1898</v>
      </c>
      <c r="B400" t="s">
        <v>1897</v>
      </c>
      <c r="C400">
        <v>0</v>
      </c>
      <c r="D400">
        <v>0</v>
      </c>
    </row>
    <row r="401" spans="1:4" x14ac:dyDescent="0.25">
      <c r="A401" t="s">
        <v>1896</v>
      </c>
      <c r="B401" t="s">
        <v>1895</v>
      </c>
      <c r="C401">
        <v>0</v>
      </c>
      <c r="D401">
        <v>0</v>
      </c>
    </row>
    <row r="402" spans="1:4" x14ac:dyDescent="0.25">
      <c r="A402" t="s">
        <v>1894</v>
      </c>
      <c r="B402" t="s">
        <v>1893</v>
      </c>
      <c r="C402">
        <v>0</v>
      </c>
      <c r="D402">
        <v>0</v>
      </c>
    </row>
    <row r="403" spans="1:4" x14ac:dyDescent="0.25">
      <c r="A403" t="s">
        <v>1892</v>
      </c>
      <c r="B403" t="s">
        <v>1891</v>
      </c>
      <c r="C403">
        <v>0</v>
      </c>
      <c r="D403">
        <v>0</v>
      </c>
    </row>
    <row r="404" spans="1:4" x14ac:dyDescent="0.25">
      <c r="A404" t="s">
        <v>2140</v>
      </c>
      <c r="B404" t="s">
        <v>2139</v>
      </c>
      <c r="C404" t="s">
        <v>2109</v>
      </c>
      <c r="D404">
        <v>0</v>
      </c>
    </row>
    <row r="405" spans="1:4" x14ac:dyDescent="0.25">
      <c r="A405" t="s">
        <v>2138</v>
      </c>
      <c r="B405" t="s">
        <v>2137</v>
      </c>
      <c r="C405" t="s">
        <v>2105</v>
      </c>
      <c r="D405">
        <v>0</v>
      </c>
    </row>
    <row r="406" spans="1:4" x14ac:dyDescent="0.25">
      <c r="A406" t="s">
        <v>2136</v>
      </c>
      <c r="B406" t="s">
        <v>2135</v>
      </c>
      <c r="C406" t="s">
        <v>2102</v>
      </c>
      <c r="D406">
        <v>0</v>
      </c>
    </row>
    <row r="407" spans="1:4" x14ac:dyDescent="0.25">
      <c r="A407" t="s">
        <v>2134</v>
      </c>
      <c r="B407" t="s">
        <v>176</v>
      </c>
      <c r="C407" t="s">
        <v>1722</v>
      </c>
      <c r="D407">
        <v>0</v>
      </c>
    </row>
    <row r="408" spans="1:4" x14ac:dyDescent="0.25">
      <c r="A408" t="s">
        <v>2133</v>
      </c>
      <c r="B408" t="s">
        <v>169</v>
      </c>
      <c r="C408" t="s">
        <v>1684</v>
      </c>
      <c r="D408" t="s">
        <v>1684</v>
      </c>
    </row>
    <row r="409" spans="1:4" x14ac:dyDescent="0.25">
      <c r="A409" t="s">
        <v>2132</v>
      </c>
      <c r="B409" t="s">
        <v>167</v>
      </c>
      <c r="C409" t="s">
        <v>386</v>
      </c>
      <c r="D409">
        <v>0</v>
      </c>
    </row>
    <row r="410" spans="1:4" x14ac:dyDescent="0.25">
      <c r="A410" t="s">
        <v>2131</v>
      </c>
      <c r="B410" t="s">
        <v>2130</v>
      </c>
      <c r="C410" t="s">
        <v>2094</v>
      </c>
      <c r="D410">
        <v>0</v>
      </c>
    </row>
    <row r="411" spans="1:4" x14ac:dyDescent="0.25">
      <c r="A411" t="s">
        <v>2129</v>
      </c>
      <c r="B411" t="s">
        <v>2128</v>
      </c>
      <c r="C411" t="s">
        <v>2091</v>
      </c>
      <c r="D411">
        <v>0</v>
      </c>
    </row>
    <row r="412" spans="1:4" x14ac:dyDescent="0.25">
      <c r="A412" t="s">
        <v>2127</v>
      </c>
      <c r="B412" t="s">
        <v>2126</v>
      </c>
      <c r="C412" t="s">
        <v>2088</v>
      </c>
      <c r="D412">
        <v>0</v>
      </c>
    </row>
    <row r="413" spans="1:4" x14ac:dyDescent="0.25">
      <c r="A413" t="s">
        <v>2125</v>
      </c>
      <c r="B413" t="s">
        <v>165</v>
      </c>
      <c r="C413" t="s">
        <v>2124</v>
      </c>
      <c r="D413" t="s">
        <v>2123</v>
      </c>
    </row>
    <row r="414" spans="1:4" x14ac:dyDescent="0.25">
      <c r="A414" t="s">
        <v>2122</v>
      </c>
      <c r="B414" t="s">
        <v>163</v>
      </c>
      <c r="C414" t="s">
        <v>1717</v>
      </c>
      <c r="D414" t="s">
        <v>1717</v>
      </c>
    </row>
    <row r="415" spans="1:4" x14ac:dyDescent="0.25">
      <c r="A415" t="s">
        <v>2121</v>
      </c>
      <c r="B415" t="s">
        <v>161</v>
      </c>
      <c r="C415" t="s">
        <v>1715</v>
      </c>
      <c r="D415" t="s">
        <v>1714</v>
      </c>
    </row>
    <row r="416" spans="1:4" x14ac:dyDescent="0.25">
      <c r="A416" t="s">
        <v>2120</v>
      </c>
      <c r="B416" t="s">
        <v>159</v>
      </c>
      <c r="C416" t="s">
        <v>1712</v>
      </c>
      <c r="D416" t="s">
        <v>1711</v>
      </c>
    </row>
    <row r="417" spans="1:4" x14ac:dyDescent="0.25">
      <c r="A417" t="s">
        <v>2119</v>
      </c>
      <c r="B417" t="s">
        <v>157</v>
      </c>
      <c r="C417" t="s">
        <v>2118</v>
      </c>
      <c r="D417" t="s">
        <v>2118</v>
      </c>
    </row>
    <row r="418" spans="1:4" x14ac:dyDescent="0.25">
      <c r="A418" t="s">
        <v>2117</v>
      </c>
      <c r="B418" t="s">
        <v>2116</v>
      </c>
      <c r="C418" t="s">
        <v>2082</v>
      </c>
      <c r="D418">
        <v>0</v>
      </c>
    </row>
    <row r="419" spans="1:4" x14ac:dyDescent="0.25">
      <c r="A419" t="s">
        <v>2115</v>
      </c>
      <c r="B419" t="s">
        <v>2114</v>
      </c>
      <c r="C419" t="s">
        <v>2079</v>
      </c>
      <c r="D419">
        <v>0</v>
      </c>
    </row>
    <row r="420" spans="1:4" x14ac:dyDescent="0.25">
      <c r="A420" t="s">
        <v>1890</v>
      </c>
      <c r="B420" t="s">
        <v>1889</v>
      </c>
      <c r="C420">
        <v>0</v>
      </c>
      <c r="D420">
        <v>0</v>
      </c>
    </row>
    <row r="421" spans="1:4" x14ac:dyDescent="0.25">
      <c r="A421" t="s">
        <v>2113</v>
      </c>
      <c r="B421" t="s">
        <v>155</v>
      </c>
      <c r="C421" t="s">
        <v>1730</v>
      </c>
      <c r="D421" t="s">
        <v>1729</v>
      </c>
    </row>
    <row r="422" spans="1:4" x14ac:dyDescent="0.25">
      <c r="A422" t="s">
        <v>2112</v>
      </c>
      <c r="B422" t="s">
        <v>153</v>
      </c>
      <c r="C422" t="s">
        <v>1730</v>
      </c>
      <c r="D422" t="s">
        <v>1729</v>
      </c>
    </row>
    <row r="423" spans="1:4" x14ac:dyDescent="0.25">
      <c r="A423" t="s">
        <v>2111</v>
      </c>
      <c r="B423" t="s">
        <v>2110</v>
      </c>
      <c r="C423" t="s">
        <v>2109</v>
      </c>
      <c r="D423">
        <v>0</v>
      </c>
    </row>
    <row r="424" spans="1:4" x14ac:dyDescent="0.25">
      <c r="A424" t="s">
        <v>2108</v>
      </c>
      <c r="B424" t="s">
        <v>149</v>
      </c>
      <c r="C424" t="s">
        <v>19</v>
      </c>
      <c r="D424" t="s">
        <v>19</v>
      </c>
    </row>
    <row r="425" spans="1:4" x14ac:dyDescent="0.25">
      <c r="A425" t="s">
        <v>2107</v>
      </c>
      <c r="B425" t="s">
        <v>2106</v>
      </c>
      <c r="C425" t="s">
        <v>2105</v>
      </c>
      <c r="D425">
        <v>0</v>
      </c>
    </row>
    <row r="426" spans="1:4" x14ac:dyDescent="0.25">
      <c r="A426" t="s">
        <v>2104</v>
      </c>
      <c r="B426" t="s">
        <v>2103</v>
      </c>
      <c r="C426" t="s">
        <v>2102</v>
      </c>
      <c r="D426">
        <v>0</v>
      </c>
    </row>
    <row r="427" spans="1:4" x14ac:dyDescent="0.25">
      <c r="A427" t="s">
        <v>2101</v>
      </c>
      <c r="B427" t="s">
        <v>146</v>
      </c>
      <c r="C427" t="s">
        <v>1722</v>
      </c>
      <c r="D427">
        <v>0</v>
      </c>
    </row>
    <row r="428" spans="1:4" x14ac:dyDescent="0.25">
      <c r="A428" t="s">
        <v>2100</v>
      </c>
      <c r="B428" t="s">
        <v>141</v>
      </c>
      <c r="C428" t="s">
        <v>1684</v>
      </c>
      <c r="D428" t="s">
        <v>1684</v>
      </c>
    </row>
    <row r="429" spans="1:4" x14ac:dyDescent="0.25">
      <c r="A429" t="s">
        <v>2099</v>
      </c>
      <c r="B429" t="s">
        <v>138</v>
      </c>
      <c r="C429" t="s">
        <v>1684</v>
      </c>
      <c r="D429" t="s">
        <v>1684</v>
      </c>
    </row>
    <row r="430" spans="1:4" x14ac:dyDescent="0.25">
      <c r="A430" t="s">
        <v>2098</v>
      </c>
      <c r="B430" t="s">
        <v>135</v>
      </c>
      <c r="C430" t="s">
        <v>1683</v>
      </c>
      <c r="D430">
        <v>0</v>
      </c>
    </row>
    <row r="431" spans="1:4" x14ac:dyDescent="0.25">
      <c r="A431" t="s">
        <v>2097</v>
      </c>
      <c r="B431" t="s">
        <v>133</v>
      </c>
      <c r="C431" t="s">
        <v>1683</v>
      </c>
      <c r="D431">
        <v>0</v>
      </c>
    </row>
    <row r="432" spans="1:4" x14ac:dyDescent="0.25">
      <c r="A432" t="s">
        <v>2096</v>
      </c>
      <c r="B432" t="s">
        <v>2095</v>
      </c>
      <c r="C432" t="s">
        <v>2094</v>
      </c>
      <c r="D432">
        <v>0</v>
      </c>
    </row>
    <row r="433" spans="1:4" x14ac:dyDescent="0.25">
      <c r="A433" t="s">
        <v>2093</v>
      </c>
      <c r="B433" t="s">
        <v>2092</v>
      </c>
      <c r="C433" t="s">
        <v>2091</v>
      </c>
      <c r="D433">
        <v>0</v>
      </c>
    </row>
    <row r="434" spans="1:4" x14ac:dyDescent="0.25">
      <c r="A434" t="s">
        <v>2090</v>
      </c>
      <c r="B434" t="s">
        <v>2089</v>
      </c>
      <c r="C434" t="s">
        <v>2088</v>
      </c>
      <c r="D434">
        <v>0</v>
      </c>
    </row>
    <row r="435" spans="1:4" x14ac:dyDescent="0.25">
      <c r="A435" t="s">
        <v>2087</v>
      </c>
      <c r="B435" t="s">
        <v>131</v>
      </c>
      <c r="C435" t="s">
        <v>2086</v>
      </c>
      <c r="D435">
        <v>0</v>
      </c>
    </row>
    <row r="436" spans="1:4" x14ac:dyDescent="0.25">
      <c r="A436" t="s">
        <v>2085</v>
      </c>
      <c r="B436" t="s">
        <v>129</v>
      </c>
      <c r="C436" t="s">
        <v>1712</v>
      </c>
      <c r="D436" t="s">
        <v>1711</v>
      </c>
    </row>
    <row r="437" spans="1:4" x14ac:dyDescent="0.25">
      <c r="A437" t="s">
        <v>2084</v>
      </c>
      <c r="B437" t="s">
        <v>2083</v>
      </c>
      <c r="C437" t="s">
        <v>2082</v>
      </c>
      <c r="D437">
        <v>0</v>
      </c>
    </row>
    <row r="438" spans="1:4" x14ac:dyDescent="0.25">
      <c r="A438" t="s">
        <v>2081</v>
      </c>
      <c r="B438" t="s">
        <v>2080</v>
      </c>
      <c r="C438" t="s">
        <v>2079</v>
      </c>
      <c r="D438">
        <v>0</v>
      </c>
    </row>
    <row r="439" spans="1:4" x14ac:dyDescent="0.25">
      <c r="A439" t="s">
        <v>2078</v>
      </c>
      <c r="B439" t="s">
        <v>2077</v>
      </c>
      <c r="C439" t="s">
        <v>1791</v>
      </c>
      <c r="D439">
        <v>0</v>
      </c>
    </row>
    <row r="440" spans="1:4" x14ac:dyDescent="0.25">
      <c r="A440" t="s">
        <v>2076</v>
      </c>
      <c r="B440" t="s">
        <v>2075</v>
      </c>
      <c r="C440" t="s">
        <v>2074</v>
      </c>
      <c r="D440">
        <v>0</v>
      </c>
    </row>
    <row r="441" spans="1:4" x14ac:dyDescent="0.25">
      <c r="A441" t="s">
        <v>2072</v>
      </c>
      <c r="B441" t="s">
        <v>2073</v>
      </c>
      <c r="C441" t="s">
        <v>2072</v>
      </c>
      <c r="D441">
        <v>0</v>
      </c>
    </row>
    <row r="442" spans="1:4" x14ac:dyDescent="0.25">
      <c r="A442" t="s">
        <v>1674</v>
      </c>
      <c r="B442" t="s">
        <v>1673</v>
      </c>
      <c r="C442">
        <v>0</v>
      </c>
      <c r="D442">
        <v>0</v>
      </c>
    </row>
    <row r="443" spans="1:4" x14ac:dyDescent="0.25">
      <c r="A443" t="s">
        <v>2071</v>
      </c>
      <c r="B443" t="s">
        <v>2070</v>
      </c>
      <c r="C443" t="s">
        <v>2069</v>
      </c>
      <c r="D443">
        <v>0</v>
      </c>
    </row>
  </sheetData>
  <autoFilter ref="A1:D443" xr:uid="{18E272ED-C44B-4DEA-95AB-B5234FBC1345}"/>
  <sortState xmlns:xlrd2="http://schemas.microsoft.com/office/spreadsheetml/2017/richdata2" ref="A2:D443">
    <sortCondition ref="A2:A4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4"/>
  <sheetViews>
    <sheetView topLeftCell="E1" workbookViewId="0">
      <pane ySplit="13" topLeftCell="A34" activePane="bottomLeft" state="frozen"/>
      <selection sqref="A1:XFD1"/>
      <selection pane="bottomLeft" activeCell="G39" sqref="G3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28.42578125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1669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2460</v>
      </c>
      <c r="B2" t="s">
        <v>2464</v>
      </c>
      <c r="C2" t="s">
        <v>2454</v>
      </c>
      <c r="G2" t="s">
        <v>1637</v>
      </c>
      <c r="H2" t="s">
        <v>2444</v>
      </c>
      <c r="I2" t="s">
        <v>2445</v>
      </c>
      <c r="J2" t="str">
        <f t="shared" ref="J2:J30" si="0">IFERROR(INDEX($B$2:$B$14,MATCH(K2,$C$2:$C$14,0)),0)</f>
        <v>1A4 Other Sectors</v>
      </c>
      <c r="K2" t="s">
        <v>2461</v>
      </c>
    </row>
    <row r="3" spans="1:11" x14ac:dyDescent="0.25">
      <c r="A3" t="s">
        <v>2460</v>
      </c>
      <c r="B3" t="s">
        <v>2464</v>
      </c>
      <c r="C3" t="s">
        <v>2446</v>
      </c>
      <c r="G3" t="s">
        <v>1593</v>
      </c>
      <c r="H3" t="s">
        <v>2444</v>
      </c>
      <c r="I3" t="s">
        <v>2445</v>
      </c>
      <c r="J3" t="str">
        <f t="shared" si="0"/>
        <v>1A4 Other Sectors</v>
      </c>
      <c r="K3" t="s">
        <v>2462</v>
      </c>
    </row>
    <row r="4" spans="1:11" x14ac:dyDescent="0.25">
      <c r="A4" t="s">
        <v>2460</v>
      </c>
      <c r="B4" t="s">
        <v>2464</v>
      </c>
      <c r="C4" t="s">
        <v>2447</v>
      </c>
      <c r="G4" t="s">
        <v>1504</v>
      </c>
      <c r="H4" t="s">
        <v>2444</v>
      </c>
      <c r="I4" t="s">
        <v>2445</v>
      </c>
      <c r="J4" t="str">
        <f t="shared" si="0"/>
        <v>1A4 Other Sectors</v>
      </c>
      <c r="K4" t="s">
        <v>2462</v>
      </c>
    </row>
    <row r="5" spans="1:11" x14ac:dyDescent="0.25">
      <c r="A5" t="s">
        <v>2460</v>
      </c>
      <c r="B5" t="s">
        <v>2453</v>
      </c>
      <c r="C5" s="1" t="s">
        <v>2453</v>
      </c>
      <c r="G5" s="3" t="s">
        <v>3014</v>
      </c>
      <c r="H5" t="s">
        <v>2444</v>
      </c>
      <c r="I5" t="s">
        <v>2445</v>
      </c>
      <c r="J5" t="str">
        <f t="shared" si="0"/>
        <v>1A2 Manufacturing Industries and Construction</v>
      </c>
      <c r="K5" t="s">
        <v>2453</v>
      </c>
    </row>
    <row r="6" spans="1:11" x14ac:dyDescent="0.25">
      <c r="C6" s="1"/>
      <c r="G6" s="3" t="s">
        <v>3015</v>
      </c>
      <c r="H6" t="s">
        <v>3020</v>
      </c>
      <c r="I6" t="s">
        <v>2445</v>
      </c>
      <c r="J6" t="str">
        <f t="shared" si="0"/>
        <v>1A1 Energy Industries</v>
      </c>
      <c r="K6" t="s">
        <v>2454</v>
      </c>
    </row>
    <row r="7" spans="1:11" x14ac:dyDescent="0.25">
      <c r="A7" t="s">
        <v>2460</v>
      </c>
      <c r="B7" t="s">
        <v>2463</v>
      </c>
      <c r="C7" t="s">
        <v>2451</v>
      </c>
      <c r="G7" t="s">
        <v>1481</v>
      </c>
      <c r="H7" t="s">
        <v>2444</v>
      </c>
      <c r="I7" t="s">
        <v>2445</v>
      </c>
      <c r="J7" t="str">
        <f t="shared" si="0"/>
        <v>1A1 Energy Industries</v>
      </c>
      <c r="K7" t="s">
        <v>2454</v>
      </c>
    </row>
    <row r="8" spans="1:11" x14ac:dyDescent="0.25">
      <c r="A8" t="s">
        <v>2460</v>
      </c>
      <c r="B8" t="s">
        <v>2463</v>
      </c>
      <c r="C8" t="s">
        <v>2449</v>
      </c>
      <c r="G8" t="s">
        <v>1476</v>
      </c>
      <c r="H8" t="s">
        <v>2444</v>
      </c>
      <c r="I8" t="s">
        <v>2445</v>
      </c>
      <c r="J8" t="str">
        <f t="shared" si="0"/>
        <v>1A1 Energy Industries</v>
      </c>
      <c r="K8" t="s">
        <v>2454</v>
      </c>
    </row>
    <row r="9" spans="1:11" x14ac:dyDescent="0.25">
      <c r="A9" t="s">
        <v>2460</v>
      </c>
      <c r="B9" t="s">
        <v>2463</v>
      </c>
      <c r="C9" t="s">
        <v>2450</v>
      </c>
      <c r="G9" t="s">
        <v>1469</v>
      </c>
      <c r="H9" t="s">
        <v>2444</v>
      </c>
      <c r="I9" t="s">
        <v>2445</v>
      </c>
      <c r="J9" t="str">
        <f t="shared" si="0"/>
        <v>1A1 Energy Industries</v>
      </c>
      <c r="K9" t="s">
        <v>2454</v>
      </c>
    </row>
    <row r="10" spans="1:11" x14ac:dyDescent="0.25">
      <c r="A10" t="s">
        <v>2460</v>
      </c>
      <c r="B10" t="s">
        <v>2463</v>
      </c>
      <c r="C10" t="s">
        <v>2448</v>
      </c>
      <c r="G10" t="s">
        <v>1316</v>
      </c>
      <c r="H10" t="s">
        <v>2444</v>
      </c>
      <c r="I10" t="s">
        <v>2445</v>
      </c>
      <c r="J10" t="str">
        <f t="shared" si="0"/>
        <v>1A1 Energy Industries</v>
      </c>
      <c r="K10" t="s">
        <v>2454</v>
      </c>
    </row>
    <row r="11" spans="1:11" x14ac:dyDescent="0.25">
      <c r="A11" t="s">
        <v>2460</v>
      </c>
      <c r="B11" t="s">
        <v>2459</v>
      </c>
      <c r="C11" t="s">
        <v>2462</v>
      </c>
      <c r="G11" t="s">
        <v>1425</v>
      </c>
      <c r="H11" t="s">
        <v>2444</v>
      </c>
      <c r="I11" t="s">
        <v>2445</v>
      </c>
      <c r="J11" t="str">
        <f t="shared" si="0"/>
        <v>1A1 Energy Industries</v>
      </c>
      <c r="K11" t="s">
        <v>2454</v>
      </c>
    </row>
    <row r="12" spans="1:11" x14ac:dyDescent="0.25">
      <c r="A12" t="s">
        <v>2460</v>
      </c>
      <c r="B12" t="s">
        <v>2459</v>
      </c>
      <c r="C12" t="s">
        <v>2452</v>
      </c>
      <c r="G12" t="s">
        <v>1403</v>
      </c>
      <c r="H12" t="s">
        <v>2444</v>
      </c>
      <c r="I12" t="s">
        <v>2445</v>
      </c>
      <c r="J12" t="str">
        <f t="shared" si="0"/>
        <v>1A1 Energy Industries</v>
      </c>
      <c r="K12" t="s">
        <v>2454</v>
      </c>
    </row>
    <row r="13" spans="1:11" x14ac:dyDescent="0.25">
      <c r="A13" t="s">
        <v>2460</v>
      </c>
      <c r="B13" t="s">
        <v>2459</v>
      </c>
      <c r="C13" t="s">
        <v>2461</v>
      </c>
      <c r="G13" t="s">
        <v>1398</v>
      </c>
      <c r="H13" t="s">
        <v>2444</v>
      </c>
      <c r="I13" t="s">
        <v>2445</v>
      </c>
      <c r="J13" t="str">
        <f t="shared" si="0"/>
        <v>1A1 Energy Industries</v>
      </c>
      <c r="K13" t="s">
        <v>2454</v>
      </c>
    </row>
    <row r="14" spans="1:11" x14ac:dyDescent="0.25">
      <c r="A14" t="s">
        <v>2460</v>
      </c>
      <c r="B14" t="s">
        <v>2459</v>
      </c>
      <c r="C14" t="s">
        <v>2458</v>
      </c>
      <c r="G14" t="s">
        <v>1372</v>
      </c>
      <c r="H14" t="s">
        <v>2444</v>
      </c>
      <c r="I14" t="s">
        <v>2445</v>
      </c>
      <c r="J14" t="str">
        <f t="shared" si="0"/>
        <v>1A1 Energy Industries</v>
      </c>
      <c r="K14" t="s">
        <v>2454</v>
      </c>
    </row>
    <row r="15" spans="1:11" x14ac:dyDescent="0.25">
      <c r="A15" t="s">
        <v>2456</v>
      </c>
      <c r="B15" t="s">
        <v>2457</v>
      </c>
      <c r="C15" t="str">
        <f>B15</f>
        <v>1B1 Solid Fuels</v>
      </c>
      <c r="G15" t="s">
        <v>1329</v>
      </c>
      <c r="H15" t="s">
        <v>2444</v>
      </c>
      <c r="I15" t="s">
        <v>2445</v>
      </c>
      <c r="J15" t="str">
        <f t="shared" si="0"/>
        <v>1A1 Energy Industries</v>
      </c>
      <c r="K15" t="s">
        <v>2454</v>
      </c>
    </row>
    <row r="16" spans="1:11" x14ac:dyDescent="0.25">
      <c r="A16" t="s">
        <v>2456</v>
      </c>
      <c r="B16" t="s">
        <v>140</v>
      </c>
      <c r="C16" t="str">
        <f>B16</f>
        <v>1B2 Oil and Natural Gas</v>
      </c>
      <c r="G16" t="s">
        <v>1319</v>
      </c>
      <c r="H16" t="s">
        <v>2444</v>
      </c>
      <c r="I16" t="s">
        <v>2445</v>
      </c>
      <c r="J16" t="str">
        <f t="shared" si="0"/>
        <v>1A1 Energy Industries</v>
      </c>
      <c r="K16" t="s">
        <v>2454</v>
      </c>
    </row>
    <row r="17" spans="1:11" x14ac:dyDescent="0.25">
      <c r="A17" t="s">
        <v>2456</v>
      </c>
      <c r="B17" t="s">
        <v>2455</v>
      </c>
      <c r="C17" t="str">
        <f>B17</f>
        <v>1B3 Other Emissions from Energy Production</v>
      </c>
      <c r="G17" t="s">
        <v>1311</v>
      </c>
      <c r="H17" t="s">
        <v>2444</v>
      </c>
      <c r="I17" t="s">
        <v>2445</v>
      </c>
      <c r="J17" t="str">
        <f t="shared" si="0"/>
        <v>1A1 Energy Industries</v>
      </c>
      <c r="K17" t="s">
        <v>2454</v>
      </c>
    </row>
    <row r="18" spans="1:11" x14ac:dyDescent="0.25">
      <c r="G18" t="s">
        <v>1307</v>
      </c>
      <c r="H18" t="s">
        <v>2444</v>
      </c>
      <c r="I18" t="s">
        <v>2445</v>
      </c>
      <c r="J18" t="str">
        <f t="shared" si="0"/>
        <v>1A1 Energy Industries</v>
      </c>
      <c r="K18" t="s">
        <v>2454</v>
      </c>
    </row>
    <row r="19" spans="1:11" x14ac:dyDescent="0.25">
      <c r="G19" t="s">
        <v>1302</v>
      </c>
      <c r="H19" t="s">
        <v>2444</v>
      </c>
      <c r="J19">
        <f t="shared" si="0"/>
        <v>0</v>
      </c>
    </row>
    <row r="20" spans="1:11" x14ac:dyDescent="0.25">
      <c r="G20" t="s">
        <v>1270</v>
      </c>
      <c r="H20" t="s">
        <v>2444</v>
      </c>
      <c r="I20" t="s">
        <v>2445</v>
      </c>
      <c r="J20" t="str">
        <f t="shared" si="0"/>
        <v>1A2 Manufacturing Industries and Construction</v>
      </c>
      <c r="K20" t="s">
        <v>2453</v>
      </c>
    </row>
    <row r="21" spans="1:11" x14ac:dyDescent="0.25">
      <c r="G21" t="s">
        <v>1266</v>
      </c>
      <c r="H21" t="s">
        <v>2444</v>
      </c>
      <c r="I21" t="s">
        <v>2445</v>
      </c>
      <c r="J21" t="str">
        <f t="shared" si="0"/>
        <v>1A2 Manufacturing Industries and Construction</v>
      </c>
      <c r="K21" t="s">
        <v>2453</v>
      </c>
    </row>
    <row r="22" spans="1:11" x14ac:dyDescent="0.25">
      <c r="G22" t="s">
        <v>1239</v>
      </c>
      <c r="H22" t="s">
        <v>2444</v>
      </c>
      <c r="I22" t="s">
        <v>2445</v>
      </c>
      <c r="J22" t="str">
        <f t="shared" si="0"/>
        <v>1A2 Manufacturing Industries and Construction</v>
      </c>
      <c r="K22" t="s">
        <v>2453</v>
      </c>
    </row>
    <row r="23" spans="1:11" x14ac:dyDescent="0.25">
      <c r="G23" t="s">
        <v>1197</v>
      </c>
      <c r="H23" t="s">
        <v>2444</v>
      </c>
      <c r="I23" t="s">
        <v>2445</v>
      </c>
      <c r="J23" t="str">
        <f t="shared" si="0"/>
        <v>1A2 Manufacturing Industries and Construction</v>
      </c>
      <c r="K23" t="s">
        <v>2453</v>
      </c>
    </row>
    <row r="24" spans="1:11" x14ac:dyDescent="0.25">
      <c r="G24" t="s">
        <v>1163</v>
      </c>
      <c r="H24" t="s">
        <v>2444</v>
      </c>
      <c r="I24" t="s">
        <v>2445</v>
      </c>
      <c r="J24" t="str">
        <f t="shared" si="0"/>
        <v>1A2 Manufacturing Industries and Construction</v>
      </c>
      <c r="K24" t="s">
        <v>2453</v>
      </c>
    </row>
    <row r="25" spans="1:11" x14ac:dyDescent="0.25">
      <c r="G25" t="s">
        <v>425</v>
      </c>
      <c r="H25" t="s">
        <v>2444</v>
      </c>
      <c r="I25" t="s">
        <v>2445</v>
      </c>
      <c r="J25" t="str">
        <f t="shared" si="0"/>
        <v>1A2 Manufacturing Industries and Construction</v>
      </c>
      <c r="K25" t="s">
        <v>2453</v>
      </c>
    </row>
    <row r="26" spans="1:11" x14ac:dyDescent="0.25">
      <c r="G26" t="s">
        <v>1111</v>
      </c>
      <c r="H26" t="s">
        <v>2444</v>
      </c>
      <c r="I26" t="s">
        <v>2445</v>
      </c>
      <c r="J26" t="str">
        <f t="shared" si="0"/>
        <v>1A2 Manufacturing Industries and Construction</v>
      </c>
      <c r="K26" t="s">
        <v>2453</v>
      </c>
    </row>
    <row r="27" spans="1:11" x14ac:dyDescent="0.25">
      <c r="G27" t="s">
        <v>3093</v>
      </c>
      <c r="H27" t="s">
        <v>2444</v>
      </c>
      <c r="I27" t="s">
        <v>2445</v>
      </c>
      <c r="J27" t="str">
        <f t="shared" ref="J27" si="1">IFERROR(INDEX($B$2:$B$14,MATCH(K27,$C$2:$C$14,0)),0)</f>
        <v>1A2 Manufacturing Industries and Construction</v>
      </c>
      <c r="K27" t="s">
        <v>2453</v>
      </c>
    </row>
    <row r="28" spans="1:11" x14ac:dyDescent="0.25">
      <c r="G28" t="s">
        <v>1068</v>
      </c>
      <c r="H28" t="s">
        <v>2444</v>
      </c>
      <c r="I28" t="s">
        <v>2445</v>
      </c>
      <c r="J28" t="str">
        <f t="shared" si="0"/>
        <v>1A2 Manufacturing Industries and Construction</v>
      </c>
      <c r="K28" t="s">
        <v>2453</v>
      </c>
    </row>
    <row r="29" spans="1:11" x14ac:dyDescent="0.25">
      <c r="G29" t="s">
        <v>1026</v>
      </c>
      <c r="H29" t="s">
        <v>2444</v>
      </c>
      <c r="I29" t="s">
        <v>2445</v>
      </c>
      <c r="J29" t="str">
        <f t="shared" si="0"/>
        <v>1A2 Manufacturing Industries and Construction</v>
      </c>
      <c r="K29" t="s">
        <v>2453</v>
      </c>
    </row>
    <row r="30" spans="1:11" x14ac:dyDescent="0.25">
      <c r="G30" t="s">
        <v>963</v>
      </c>
      <c r="H30" t="s">
        <v>2444</v>
      </c>
      <c r="I30" t="s">
        <v>2445</v>
      </c>
      <c r="J30" t="str">
        <f t="shared" si="0"/>
        <v>1A2 Manufacturing Industries and Construction</v>
      </c>
      <c r="K30" t="s">
        <v>2453</v>
      </c>
    </row>
    <row r="31" spans="1:11" x14ac:dyDescent="0.25">
      <c r="G31" t="s">
        <v>2877</v>
      </c>
      <c r="H31" t="s">
        <v>2444</v>
      </c>
      <c r="I31" t="s">
        <v>2925</v>
      </c>
      <c r="J31" t="s">
        <v>2457</v>
      </c>
      <c r="K31" t="s">
        <v>2924</v>
      </c>
    </row>
    <row r="32" spans="1:11" x14ac:dyDescent="0.25">
      <c r="G32" t="s">
        <v>2878</v>
      </c>
      <c r="H32" t="s">
        <v>2444</v>
      </c>
      <c r="I32" t="s">
        <v>2925</v>
      </c>
      <c r="J32" t="s">
        <v>140</v>
      </c>
      <c r="K32" t="str">
        <f>J32</f>
        <v>1B2 Oil and Natural Gas</v>
      </c>
    </row>
    <row r="33" spans="7:11" x14ac:dyDescent="0.25">
      <c r="G33" t="s">
        <v>2926</v>
      </c>
      <c r="H33" t="s">
        <v>2444</v>
      </c>
      <c r="I33" t="s">
        <v>2925</v>
      </c>
      <c r="J33" t="s">
        <v>140</v>
      </c>
      <c r="K33" t="str">
        <f>J33</f>
        <v>1B2 Oil and Natural Gas</v>
      </c>
    </row>
    <row r="34" spans="7:11" x14ac:dyDescent="0.25">
      <c r="G34" t="s">
        <v>863</v>
      </c>
      <c r="H34" t="s">
        <v>2444</v>
      </c>
      <c r="J34">
        <f t="shared" ref="J34:J54" si="2">IFERROR(INDEX($B$2:$B$14,MATCH(K34,$C$2:$C$14,0)),0)</f>
        <v>0</v>
      </c>
    </row>
    <row r="35" spans="7:11" x14ac:dyDescent="0.25">
      <c r="G35" t="s">
        <v>834</v>
      </c>
      <c r="H35" t="s">
        <v>2444</v>
      </c>
      <c r="I35" t="s">
        <v>2445</v>
      </c>
      <c r="J35" t="str">
        <f t="shared" si="2"/>
        <v>1A4 Other Sectors</v>
      </c>
      <c r="K35" t="s">
        <v>2452</v>
      </c>
    </row>
    <row r="36" spans="7:11" x14ac:dyDescent="0.25">
      <c r="G36" t="s">
        <v>782</v>
      </c>
      <c r="H36" t="s">
        <v>2444</v>
      </c>
      <c r="I36" t="s">
        <v>2445</v>
      </c>
      <c r="J36" t="str">
        <f t="shared" si="2"/>
        <v>1A4 Other Sectors</v>
      </c>
      <c r="K36" t="s">
        <v>2452</v>
      </c>
    </row>
    <row r="37" spans="7:11" x14ac:dyDescent="0.25">
      <c r="G37" t="s">
        <v>722</v>
      </c>
      <c r="H37" t="s">
        <v>2444</v>
      </c>
      <c r="I37" t="s">
        <v>2445</v>
      </c>
      <c r="J37" t="str">
        <f t="shared" si="2"/>
        <v>1A4 Other Sectors</v>
      </c>
      <c r="K37" t="s">
        <v>2452</v>
      </c>
    </row>
    <row r="38" spans="7:11" x14ac:dyDescent="0.25">
      <c r="G38" t="s">
        <v>3124</v>
      </c>
      <c r="H38" t="s">
        <v>2444</v>
      </c>
      <c r="I38" t="s">
        <v>2445</v>
      </c>
      <c r="J38" t="str">
        <f t="shared" si="2"/>
        <v>1A3 Transport</v>
      </c>
      <c r="K38" t="s">
        <v>2451</v>
      </c>
    </row>
    <row r="39" spans="7:11" x14ac:dyDescent="0.25">
      <c r="G39" t="s">
        <v>37</v>
      </c>
      <c r="H39" t="s">
        <v>2444</v>
      </c>
      <c r="I39" t="s">
        <v>2445</v>
      </c>
      <c r="J39" t="str">
        <f t="shared" si="2"/>
        <v>1A3 Transport</v>
      </c>
      <c r="K39" t="s">
        <v>2449</v>
      </c>
    </row>
    <row r="40" spans="7:11" x14ac:dyDescent="0.25">
      <c r="G40" t="s">
        <v>602</v>
      </c>
      <c r="H40" t="s">
        <v>2444</v>
      </c>
      <c r="I40" t="s">
        <v>2445</v>
      </c>
      <c r="J40">
        <f t="shared" si="2"/>
        <v>0</v>
      </c>
    </row>
    <row r="41" spans="7:11" x14ac:dyDescent="0.25">
      <c r="G41" t="s">
        <v>582</v>
      </c>
      <c r="H41" t="s">
        <v>2444</v>
      </c>
      <c r="I41" t="s">
        <v>2445</v>
      </c>
      <c r="J41" t="str">
        <f t="shared" si="2"/>
        <v>1A3 Transport</v>
      </c>
      <c r="K41" t="s">
        <v>2450</v>
      </c>
    </row>
    <row r="42" spans="7:11" x14ac:dyDescent="0.25">
      <c r="G42" t="s">
        <v>30</v>
      </c>
      <c r="H42" t="s">
        <v>2444</v>
      </c>
      <c r="I42" t="s">
        <v>2445</v>
      </c>
      <c r="J42" t="str">
        <f t="shared" si="2"/>
        <v>1A3 Transport</v>
      </c>
      <c r="K42" t="s">
        <v>2449</v>
      </c>
    </row>
    <row r="43" spans="7:11" x14ac:dyDescent="0.25">
      <c r="G43" t="s">
        <v>25</v>
      </c>
      <c r="H43" t="s">
        <v>2444</v>
      </c>
      <c r="I43" t="s">
        <v>2445</v>
      </c>
      <c r="J43" t="str">
        <f t="shared" si="2"/>
        <v>1A3 Transport</v>
      </c>
      <c r="K43" t="s">
        <v>2449</v>
      </c>
    </row>
    <row r="44" spans="7:11" x14ac:dyDescent="0.25">
      <c r="G44" t="s">
        <v>461</v>
      </c>
      <c r="H44" t="s">
        <v>2444</v>
      </c>
      <c r="I44" t="s">
        <v>2445</v>
      </c>
      <c r="J44" t="str">
        <f t="shared" si="2"/>
        <v>1A3 Transport</v>
      </c>
      <c r="K44" t="s">
        <v>2448</v>
      </c>
    </row>
    <row r="45" spans="7:11" x14ac:dyDescent="0.25">
      <c r="G45" t="s">
        <v>449</v>
      </c>
      <c r="H45" t="s">
        <v>2444</v>
      </c>
      <c r="I45" t="s">
        <v>2445</v>
      </c>
      <c r="J45" t="str">
        <f t="shared" si="2"/>
        <v>1A1 Energy Industries</v>
      </c>
      <c r="K45" t="s">
        <v>2446</v>
      </c>
    </row>
    <row r="46" spans="7:11" x14ac:dyDescent="0.25">
      <c r="G46" t="s">
        <v>386</v>
      </c>
      <c r="H46" t="s">
        <v>2444</v>
      </c>
      <c r="I46" t="s">
        <v>2445</v>
      </c>
      <c r="J46" t="str">
        <f t="shared" si="2"/>
        <v>1A1 Energy Industries</v>
      </c>
      <c r="K46" t="s">
        <v>2446</v>
      </c>
    </row>
    <row r="47" spans="7:11" x14ac:dyDescent="0.25">
      <c r="G47" t="s">
        <v>413</v>
      </c>
      <c r="H47" t="s">
        <v>2444</v>
      </c>
      <c r="I47" t="s">
        <v>2445</v>
      </c>
      <c r="J47" t="str">
        <f t="shared" si="2"/>
        <v>1A1 Energy Industries</v>
      </c>
      <c r="K47" t="s">
        <v>2447</v>
      </c>
    </row>
    <row r="48" spans="7:11" x14ac:dyDescent="0.25">
      <c r="G48" t="s">
        <v>418</v>
      </c>
      <c r="H48" t="s">
        <v>2444</v>
      </c>
      <c r="I48" t="s">
        <v>2445</v>
      </c>
      <c r="J48" t="str">
        <f t="shared" si="2"/>
        <v>1A1 Energy Industries</v>
      </c>
      <c r="K48" t="s">
        <v>2447</v>
      </c>
    </row>
    <row r="49" spans="7:11" x14ac:dyDescent="0.25">
      <c r="G49" t="s">
        <v>405</v>
      </c>
      <c r="H49" t="s">
        <v>2444</v>
      </c>
      <c r="I49" t="s">
        <v>2445</v>
      </c>
      <c r="J49">
        <f t="shared" si="2"/>
        <v>0</v>
      </c>
    </row>
    <row r="50" spans="7:11" x14ac:dyDescent="0.25">
      <c r="G50" t="s">
        <v>400</v>
      </c>
      <c r="H50" t="s">
        <v>2444</v>
      </c>
      <c r="I50" t="s">
        <v>2445</v>
      </c>
      <c r="J50">
        <f t="shared" si="2"/>
        <v>0</v>
      </c>
    </row>
    <row r="51" spans="7:11" x14ac:dyDescent="0.25">
      <c r="G51" t="s">
        <v>392</v>
      </c>
      <c r="H51" t="s">
        <v>2444</v>
      </c>
      <c r="I51" t="s">
        <v>2445</v>
      </c>
      <c r="J51" t="str">
        <f t="shared" si="2"/>
        <v>1A1 Energy Industries</v>
      </c>
      <c r="K51" t="s">
        <v>2446</v>
      </c>
    </row>
    <row r="52" spans="7:11" x14ac:dyDescent="0.25">
      <c r="G52" t="s">
        <v>144</v>
      </c>
      <c r="H52" t="s">
        <v>2444</v>
      </c>
      <c r="J52">
        <f t="shared" si="2"/>
        <v>0</v>
      </c>
    </row>
    <row r="53" spans="7:11" x14ac:dyDescent="0.25">
      <c r="G53" t="s">
        <v>44</v>
      </c>
      <c r="H53" t="s">
        <v>2444</v>
      </c>
      <c r="J53">
        <f t="shared" si="2"/>
        <v>0</v>
      </c>
    </row>
    <row r="54" spans="7:11" x14ac:dyDescent="0.25">
      <c r="G54" t="s">
        <v>20</v>
      </c>
      <c r="H54" t="s">
        <v>2444</v>
      </c>
      <c r="I54" t="s">
        <v>2445</v>
      </c>
      <c r="J54">
        <f t="shared" si="2"/>
        <v>0</v>
      </c>
    </row>
    <row r="55" spans="7:11" x14ac:dyDescent="0.25">
      <c r="G55" t="s">
        <v>148</v>
      </c>
      <c r="H55" t="s">
        <v>2444</v>
      </c>
      <c r="I55" t="s">
        <v>2443</v>
      </c>
      <c r="J55" t="str">
        <f>G55</f>
        <v>1B1 Energy Solid Fuels</v>
      </c>
      <c r="K55" t="str">
        <f>J55</f>
        <v>1B1 Energy Solid Fuels</v>
      </c>
    </row>
    <row r="56" spans="7:11" x14ac:dyDescent="0.25">
      <c r="G56" t="s">
        <v>140</v>
      </c>
      <c r="H56" t="s">
        <v>2444</v>
      </c>
      <c r="I56" t="s">
        <v>2443</v>
      </c>
      <c r="J56" t="str">
        <f>G56</f>
        <v>1B2 Oil and Natural Gas</v>
      </c>
      <c r="K56" t="str">
        <f>J56</f>
        <v>1B2 Oil and Natural Gas</v>
      </c>
    </row>
    <row r="57" spans="7:11" x14ac:dyDescent="0.25">
      <c r="G57" t="s">
        <v>383</v>
      </c>
      <c r="H57" t="s">
        <v>2444</v>
      </c>
      <c r="I57" t="s">
        <v>2443</v>
      </c>
      <c r="J57" t="s">
        <v>2442</v>
      </c>
      <c r="K57" t="s">
        <v>383</v>
      </c>
    </row>
    <row r="58" spans="7:11" x14ac:dyDescent="0.25">
      <c r="G58" t="s">
        <v>137</v>
      </c>
      <c r="H58" t="s">
        <v>2444</v>
      </c>
      <c r="I58" t="s">
        <v>2443</v>
      </c>
      <c r="J58" t="s">
        <v>2442</v>
      </c>
      <c r="K58" t="s">
        <v>137</v>
      </c>
    </row>
    <row r="59" spans="7:11" x14ac:dyDescent="0.25">
      <c r="G59" t="s">
        <v>264</v>
      </c>
      <c r="H59" t="s">
        <v>2440</v>
      </c>
      <c r="I59" t="s">
        <v>264</v>
      </c>
      <c r="J59" t="s">
        <v>264</v>
      </c>
      <c r="K59" t="s">
        <v>264</v>
      </c>
    </row>
    <row r="60" spans="7:11" x14ac:dyDescent="0.25">
      <c r="G60" t="s">
        <v>334</v>
      </c>
      <c r="H60" t="s">
        <v>2440</v>
      </c>
      <c r="I60" t="str">
        <f>G60</f>
        <v>2B Chemical Industry</v>
      </c>
      <c r="J60" t="str">
        <f>I60</f>
        <v>2B Chemical Industry</v>
      </c>
      <c r="K60" t="str">
        <f>J60</f>
        <v>2B Chemical Industry</v>
      </c>
    </row>
    <row r="61" spans="7:11" x14ac:dyDescent="0.25">
      <c r="G61" t="s">
        <v>329</v>
      </c>
      <c r="H61" t="s">
        <v>2440</v>
      </c>
      <c r="I61" t="s">
        <v>2441</v>
      </c>
      <c r="J61" t="str">
        <f>G61</f>
        <v>2C2 Ferroalloys production</v>
      </c>
      <c r="K61" t="str">
        <f>J61</f>
        <v>2C2 Ferroalloys production</v>
      </c>
    </row>
    <row r="62" spans="7:11" x14ac:dyDescent="0.25">
      <c r="G62" t="s">
        <v>314</v>
      </c>
      <c r="H62" t="s">
        <v>2440</v>
      </c>
      <c r="I62" t="s">
        <v>2441</v>
      </c>
      <c r="J62" t="str">
        <f>G62</f>
        <v>2C1 Iron and Steel Production</v>
      </c>
      <c r="K62" t="str">
        <f>J62</f>
        <v>2C1 Iron and Steel Production</v>
      </c>
    </row>
    <row r="63" spans="7:11" x14ac:dyDescent="0.25">
      <c r="G63" t="s">
        <v>273</v>
      </c>
      <c r="H63" t="s">
        <v>2440</v>
      </c>
      <c r="I63" t="s">
        <v>2441</v>
      </c>
      <c r="J63" t="str">
        <f>G63</f>
        <v>2C3 Aluminium Production</v>
      </c>
      <c r="K63" t="str">
        <f>J63</f>
        <v>2C3 Aluminium Production</v>
      </c>
    </row>
    <row r="64" spans="7:11" x14ac:dyDescent="0.25">
      <c r="G64" t="s">
        <v>257</v>
      </c>
      <c r="H64" t="s">
        <v>2440</v>
      </c>
      <c r="I64" t="str">
        <f>G64</f>
        <v>2F Product uses as substitutes for ozone depleting substances</v>
      </c>
      <c r="J64" t="str">
        <f>I64</f>
        <v>2F Product uses as substitutes for ozone depleting substances</v>
      </c>
      <c r="K64" t="str">
        <f>J64</f>
        <v>2F Product uses as substitutes for ozone depleting substances</v>
      </c>
    </row>
  </sheetData>
  <autoFilter ref="G1:K54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2471</v>
      </c>
      <c r="B2" t="s">
        <v>2472</v>
      </c>
    </row>
    <row r="3" spans="1:2" x14ac:dyDescent="0.25">
      <c r="A3" t="s">
        <v>2473</v>
      </c>
      <c r="B3" t="s">
        <v>2474</v>
      </c>
    </row>
    <row r="4" spans="1:2" x14ac:dyDescent="0.25">
      <c r="A4" t="s">
        <v>2475</v>
      </c>
      <c r="B4" t="s">
        <v>2476</v>
      </c>
    </row>
    <row r="5" spans="1:2" x14ac:dyDescent="0.25">
      <c r="A5" t="s">
        <v>2477</v>
      </c>
      <c r="B5" t="s">
        <v>2476</v>
      </c>
    </row>
    <row r="6" spans="1:2" x14ac:dyDescent="0.25">
      <c r="A6" t="s">
        <v>2478</v>
      </c>
      <c r="B6" t="s">
        <v>2479</v>
      </c>
    </row>
    <row r="7" spans="1:2" x14ac:dyDescent="0.25">
      <c r="A7" t="s">
        <v>2480</v>
      </c>
      <c r="B7" t="s">
        <v>2481</v>
      </c>
    </row>
    <row r="8" spans="1:2" x14ac:dyDescent="0.25">
      <c r="A8" t="s">
        <v>2482</v>
      </c>
      <c r="B8" t="s">
        <v>2483</v>
      </c>
    </row>
    <row r="9" spans="1:2" x14ac:dyDescent="0.25">
      <c r="A9" t="s">
        <v>2484</v>
      </c>
      <c r="B9" t="s">
        <v>2485</v>
      </c>
    </row>
    <row r="10" spans="1:2" x14ac:dyDescent="0.25">
      <c r="A10" t="s">
        <v>2486</v>
      </c>
      <c r="B10" t="s">
        <v>2487</v>
      </c>
    </row>
    <row r="11" spans="1:2" x14ac:dyDescent="0.25">
      <c r="A11" t="s">
        <v>2488</v>
      </c>
      <c r="B11" t="s">
        <v>2489</v>
      </c>
    </row>
    <row r="12" spans="1:2" x14ac:dyDescent="0.25">
      <c r="A12" t="s">
        <v>2490</v>
      </c>
      <c r="B12" t="s">
        <v>2491</v>
      </c>
    </row>
    <row r="13" spans="1:2" x14ac:dyDescent="0.25">
      <c r="A13" t="s">
        <v>2492</v>
      </c>
      <c r="B13" t="s">
        <v>2493</v>
      </c>
    </row>
    <row r="14" spans="1:2" x14ac:dyDescent="0.25">
      <c r="A14" t="s">
        <v>2494</v>
      </c>
      <c r="B14" t="s">
        <v>2495</v>
      </c>
    </row>
    <row r="15" spans="1:2" x14ac:dyDescent="0.25">
      <c r="A15" t="s">
        <v>2496</v>
      </c>
      <c r="B15" t="s">
        <v>2497</v>
      </c>
    </row>
    <row r="16" spans="1:2" x14ac:dyDescent="0.25">
      <c r="A16" t="s">
        <v>2498</v>
      </c>
      <c r="B16" t="s">
        <v>2497</v>
      </c>
    </row>
    <row r="17" spans="1:2" x14ac:dyDescent="0.25">
      <c r="A17" t="s">
        <v>2499</v>
      </c>
      <c r="B17" t="s">
        <v>2500</v>
      </c>
    </row>
    <row r="18" spans="1:2" x14ac:dyDescent="0.25">
      <c r="A18" t="s">
        <v>2501</v>
      </c>
      <c r="B18" t="s">
        <v>2502</v>
      </c>
    </row>
    <row r="19" spans="1:2" x14ac:dyDescent="0.25">
      <c r="A19" t="s">
        <v>2503</v>
      </c>
      <c r="B19" t="s">
        <v>2504</v>
      </c>
    </row>
    <row r="20" spans="1:2" x14ac:dyDescent="0.25">
      <c r="A20" t="s">
        <v>2505</v>
      </c>
      <c r="B20" t="s">
        <v>2506</v>
      </c>
    </row>
    <row r="21" spans="1:2" x14ac:dyDescent="0.25">
      <c r="A21" t="s">
        <v>2507</v>
      </c>
      <c r="B21" t="s">
        <v>2508</v>
      </c>
    </row>
    <row r="22" spans="1:2" x14ac:dyDescent="0.25">
      <c r="A22" t="s">
        <v>2509</v>
      </c>
      <c r="B22" t="s">
        <v>2510</v>
      </c>
    </row>
    <row r="23" spans="1:2" x14ac:dyDescent="0.25">
      <c r="A23" t="s">
        <v>2511</v>
      </c>
      <c r="B23" t="s">
        <v>2512</v>
      </c>
    </row>
    <row r="24" spans="1:2" x14ac:dyDescent="0.25">
      <c r="A24" t="s">
        <v>2513</v>
      </c>
      <c r="B24" t="s">
        <v>2514</v>
      </c>
    </row>
    <row r="25" spans="1:2" x14ac:dyDescent="0.25">
      <c r="A25" t="s">
        <v>2515</v>
      </c>
      <c r="B25" t="s">
        <v>2516</v>
      </c>
    </row>
    <row r="26" spans="1:2" x14ac:dyDescent="0.25">
      <c r="A26" t="s">
        <v>2517</v>
      </c>
      <c r="B26" t="s">
        <v>2518</v>
      </c>
    </row>
    <row r="27" spans="1:2" x14ac:dyDescent="0.25">
      <c r="A27" t="s">
        <v>2519</v>
      </c>
      <c r="B27" t="s">
        <v>2520</v>
      </c>
    </row>
    <row r="28" spans="1:2" x14ac:dyDescent="0.25">
      <c r="A28" t="s">
        <v>2521</v>
      </c>
      <c r="B28" t="s">
        <v>2522</v>
      </c>
    </row>
    <row r="29" spans="1:2" x14ac:dyDescent="0.25">
      <c r="A29" t="s">
        <v>2523</v>
      </c>
      <c r="B29" t="s">
        <v>2524</v>
      </c>
    </row>
    <row r="30" spans="1:2" x14ac:dyDescent="0.25">
      <c r="A30" t="s">
        <v>2525</v>
      </c>
      <c r="B30" t="s">
        <v>2526</v>
      </c>
    </row>
    <row r="31" spans="1:2" x14ac:dyDescent="0.25">
      <c r="A31" t="s">
        <v>2527</v>
      </c>
      <c r="B31" t="s">
        <v>2528</v>
      </c>
    </row>
    <row r="32" spans="1:2" x14ac:dyDescent="0.25">
      <c r="A32" t="s">
        <v>2529</v>
      </c>
      <c r="B32" t="s">
        <v>2530</v>
      </c>
    </row>
    <row r="33" spans="1:2" x14ac:dyDescent="0.25">
      <c r="A33" t="s">
        <v>2531</v>
      </c>
      <c r="B33" t="s">
        <v>2532</v>
      </c>
    </row>
    <row r="34" spans="1:2" x14ac:dyDescent="0.25">
      <c r="A34" t="s">
        <v>2533</v>
      </c>
      <c r="B34" t="s">
        <v>2534</v>
      </c>
    </row>
    <row r="35" spans="1:2" x14ac:dyDescent="0.25">
      <c r="A35" t="s">
        <v>2535</v>
      </c>
      <c r="B35" t="s">
        <v>2536</v>
      </c>
    </row>
    <row r="36" spans="1:2" x14ac:dyDescent="0.25">
      <c r="A36" t="s">
        <v>2537</v>
      </c>
      <c r="B36" t="s">
        <v>2538</v>
      </c>
    </row>
    <row r="37" spans="1:2" x14ac:dyDescent="0.25">
      <c r="A37" t="s">
        <v>2539</v>
      </c>
      <c r="B37" t="s">
        <v>2540</v>
      </c>
    </row>
    <row r="38" spans="1:2" x14ac:dyDescent="0.25">
      <c r="A38" t="s">
        <v>2541</v>
      </c>
      <c r="B38" t="s">
        <v>2542</v>
      </c>
    </row>
    <row r="39" spans="1:2" x14ac:dyDescent="0.25">
      <c r="A39" t="s">
        <v>2543</v>
      </c>
      <c r="B39" t="s">
        <v>2544</v>
      </c>
    </row>
    <row r="40" spans="1:2" x14ac:dyDescent="0.25">
      <c r="A40" t="s">
        <v>2545</v>
      </c>
      <c r="B40" t="s">
        <v>2546</v>
      </c>
    </row>
    <row r="41" spans="1:2" x14ac:dyDescent="0.25">
      <c r="A41" t="s">
        <v>2547</v>
      </c>
      <c r="B41" t="s">
        <v>2548</v>
      </c>
    </row>
    <row r="42" spans="1:2" x14ac:dyDescent="0.25">
      <c r="A42" t="s">
        <v>2549</v>
      </c>
      <c r="B42" t="s">
        <v>2550</v>
      </c>
    </row>
    <row r="43" spans="1:2" x14ac:dyDescent="0.25">
      <c r="A43" t="s">
        <v>2551</v>
      </c>
      <c r="B43" t="s">
        <v>2552</v>
      </c>
    </row>
    <row r="44" spans="1:2" x14ac:dyDescent="0.25">
      <c r="A44" t="s">
        <v>2553</v>
      </c>
      <c r="B44" t="s">
        <v>2554</v>
      </c>
    </row>
    <row r="45" spans="1:2" x14ac:dyDescent="0.25">
      <c r="A45" t="s">
        <v>2555</v>
      </c>
      <c r="B45" t="s">
        <v>2556</v>
      </c>
    </row>
    <row r="46" spans="1:2" x14ac:dyDescent="0.25">
      <c r="A46" t="s">
        <v>2557</v>
      </c>
      <c r="B46" t="s">
        <v>2558</v>
      </c>
    </row>
    <row r="47" spans="1:2" x14ac:dyDescent="0.25">
      <c r="A47" t="s">
        <v>2559</v>
      </c>
      <c r="B47" t="s">
        <v>2560</v>
      </c>
    </row>
    <row r="48" spans="1:2" x14ac:dyDescent="0.25">
      <c r="A48" t="s">
        <v>2561</v>
      </c>
      <c r="B48" t="s">
        <v>2562</v>
      </c>
    </row>
    <row r="49" spans="1:2" x14ac:dyDescent="0.25">
      <c r="A49" t="s">
        <v>2563</v>
      </c>
      <c r="B49" t="s">
        <v>2564</v>
      </c>
    </row>
    <row r="50" spans="1:2" x14ac:dyDescent="0.25">
      <c r="A50" t="s">
        <v>2565</v>
      </c>
      <c r="B50" t="s">
        <v>2566</v>
      </c>
    </row>
    <row r="51" spans="1:2" x14ac:dyDescent="0.25">
      <c r="A51" t="s">
        <v>2567</v>
      </c>
      <c r="B51" t="s">
        <v>2568</v>
      </c>
    </row>
    <row r="52" spans="1:2" x14ac:dyDescent="0.25">
      <c r="A52" t="s">
        <v>2569</v>
      </c>
      <c r="B52" t="s">
        <v>2570</v>
      </c>
    </row>
    <row r="53" spans="1:2" x14ac:dyDescent="0.25">
      <c r="A53" t="s">
        <v>2571</v>
      </c>
      <c r="B53" t="s">
        <v>2572</v>
      </c>
    </row>
    <row r="54" spans="1:2" x14ac:dyDescent="0.25">
      <c r="A54" t="s">
        <v>2573</v>
      </c>
      <c r="B54" t="s">
        <v>2574</v>
      </c>
    </row>
    <row r="55" spans="1:2" x14ac:dyDescent="0.25">
      <c r="A55" t="s">
        <v>2575</v>
      </c>
      <c r="B55" t="s">
        <v>2576</v>
      </c>
    </row>
    <row r="56" spans="1:2" x14ac:dyDescent="0.25">
      <c r="A56" t="s">
        <v>2577</v>
      </c>
      <c r="B56" t="s">
        <v>2578</v>
      </c>
    </row>
    <row r="57" spans="1:2" x14ac:dyDescent="0.25">
      <c r="A57" t="s">
        <v>2579</v>
      </c>
      <c r="B57" t="s">
        <v>2580</v>
      </c>
    </row>
    <row r="58" spans="1:2" x14ac:dyDescent="0.25">
      <c r="A58" t="s">
        <v>2581</v>
      </c>
      <c r="B58" t="s">
        <v>2582</v>
      </c>
    </row>
    <row r="59" spans="1:2" x14ac:dyDescent="0.25">
      <c r="A59" t="s">
        <v>2583</v>
      </c>
      <c r="B59" t="s">
        <v>2584</v>
      </c>
    </row>
    <row r="60" spans="1:2" x14ac:dyDescent="0.25">
      <c r="A60" t="s">
        <v>2585</v>
      </c>
      <c r="B60" t="s">
        <v>2586</v>
      </c>
    </row>
    <row r="61" spans="1:2" x14ac:dyDescent="0.25">
      <c r="A61" t="s">
        <v>2587</v>
      </c>
      <c r="B61" t="s">
        <v>2588</v>
      </c>
    </row>
    <row r="62" spans="1:2" x14ac:dyDescent="0.25">
      <c r="A62" t="s">
        <v>2589</v>
      </c>
      <c r="B62" t="s">
        <v>2590</v>
      </c>
    </row>
    <row r="63" spans="1:2" x14ac:dyDescent="0.25">
      <c r="A63" t="s">
        <v>2591</v>
      </c>
      <c r="B63" t="s">
        <v>2592</v>
      </c>
    </row>
    <row r="64" spans="1:2" x14ac:dyDescent="0.25">
      <c r="A64" t="s">
        <v>2593</v>
      </c>
      <c r="B64" t="s">
        <v>2594</v>
      </c>
    </row>
    <row r="65" spans="1:2" x14ac:dyDescent="0.25">
      <c r="A65" t="s">
        <v>2595</v>
      </c>
      <c r="B65" t="s">
        <v>2596</v>
      </c>
    </row>
    <row r="66" spans="1:2" x14ac:dyDescent="0.25">
      <c r="A66" t="s">
        <v>2597</v>
      </c>
      <c r="B66" t="s">
        <v>2598</v>
      </c>
    </row>
    <row r="67" spans="1:2" x14ac:dyDescent="0.25">
      <c r="A67" t="s">
        <v>2599</v>
      </c>
      <c r="B67" t="s">
        <v>2600</v>
      </c>
    </row>
    <row r="68" spans="1:2" x14ac:dyDescent="0.25">
      <c r="A68" t="s">
        <v>2601</v>
      </c>
      <c r="B68" t="s">
        <v>2602</v>
      </c>
    </row>
    <row r="69" spans="1:2" x14ac:dyDescent="0.25">
      <c r="A69" t="s">
        <v>2603</v>
      </c>
      <c r="B69" t="s">
        <v>2604</v>
      </c>
    </row>
    <row r="70" spans="1:2" x14ac:dyDescent="0.25">
      <c r="A70" t="s">
        <v>2605</v>
      </c>
      <c r="B70" t="s">
        <v>2606</v>
      </c>
    </row>
    <row r="71" spans="1:2" x14ac:dyDescent="0.25">
      <c r="A71" t="s">
        <v>2607</v>
      </c>
      <c r="B71" t="s">
        <v>2608</v>
      </c>
    </row>
    <row r="72" spans="1:2" x14ac:dyDescent="0.25">
      <c r="A72" t="s">
        <v>2609</v>
      </c>
      <c r="B72" t="s">
        <v>2610</v>
      </c>
    </row>
    <row r="73" spans="1:2" x14ac:dyDescent="0.25">
      <c r="A73" t="s">
        <v>2611</v>
      </c>
      <c r="B73" t="s">
        <v>2612</v>
      </c>
    </row>
    <row r="74" spans="1:2" x14ac:dyDescent="0.25">
      <c r="A74" t="s">
        <v>2613</v>
      </c>
      <c r="B74" t="s">
        <v>2614</v>
      </c>
    </row>
    <row r="75" spans="1:2" x14ac:dyDescent="0.25">
      <c r="A75" t="s">
        <v>2615</v>
      </c>
      <c r="B75" t="s">
        <v>2616</v>
      </c>
    </row>
    <row r="76" spans="1:2" x14ac:dyDescent="0.25">
      <c r="A76" t="s">
        <v>2617</v>
      </c>
      <c r="B76" t="s">
        <v>2618</v>
      </c>
    </row>
    <row r="77" spans="1:2" x14ac:dyDescent="0.25">
      <c r="A77" t="s">
        <v>2619</v>
      </c>
      <c r="B77" t="s">
        <v>2620</v>
      </c>
    </row>
    <row r="78" spans="1:2" x14ac:dyDescent="0.25">
      <c r="A78" t="s">
        <v>2621</v>
      </c>
      <c r="B78" t="s">
        <v>2622</v>
      </c>
    </row>
    <row r="79" spans="1:2" x14ac:dyDescent="0.25">
      <c r="A79" t="s">
        <v>2623</v>
      </c>
      <c r="B79" t="s">
        <v>2624</v>
      </c>
    </row>
    <row r="80" spans="1:2" x14ac:dyDescent="0.25">
      <c r="A80" t="s">
        <v>2625</v>
      </c>
      <c r="B80" t="s">
        <v>2626</v>
      </c>
    </row>
    <row r="81" spans="1:2" x14ac:dyDescent="0.25">
      <c r="A81" t="s">
        <v>2627</v>
      </c>
      <c r="B81" t="s">
        <v>2628</v>
      </c>
    </row>
    <row r="82" spans="1:2" x14ac:dyDescent="0.25">
      <c r="A82" t="s">
        <v>2629</v>
      </c>
      <c r="B82" t="s">
        <v>2630</v>
      </c>
    </row>
    <row r="83" spans="1:2" x14ac:dyDescent="0.25">
      <c r="A83" t="s">
        <v>2631</v>
      </c>
      <c r="B83" t="s">
        <v>2632</v>
      </c>
    </row>
    <row r="84" spans="1:2" x14ac:dyDescent="0.25">
      <c r="A84" t="s">
        <v>2633</v>
      </c>
      <c r="B84" t="s">
        <v>2634</v>
      </c>
    </row>
    <row r="85" spans="1:2" x14ac:dyDescent="0.25">
      <c r="A85" t="s">
        <v>2635</v>
      </c>
      <c r="B85" t="s">
        <v>2636</v>
      </c>
    </row>
    <row r="86" spans="1:2" x14ac:dyDescent="0.25">
      <c r="A86" t="s">
        <v>2637</v>
      </c>
      <c r="B86" t="s">
        <v>2636</v>
      </c>
    </row>
    <row r="87" spans="1:2" x14ac:dyDescent="0.25">
      <c r="A87" t="s">
        <v>2638</v>
      </c>
      <c r="B87" t="s">
        <v>2639</v>
      </c>
    </row>
    <row r="88" spans="1:2" x14ac:dyDescent="0.25">
      <c r="A88" t="s">
        <v>2640</v>
      </c>
      <c r="B88" t="s">
        <v>2641</v>
      </c>
    </row>
    <row r="89" spans="1:2" x14ac:dyDescent="0.25">
      <c r="A89" t="s">
        <v>2642</v>
      </c>
      <c r="B89" t="s">
        <v>2643</v>
      </c>
    </row>
    <row r="90" spans="1:2" x14ac:dyDescent="0.25">
      <c r="A90" t="s">
        <v>2644</v>
      </c>
      <c r="B90" t="s">
        <v>2643</v>
      </c>
    </row>
    <row r="91" spans="1:2" x14ac:dyDescent="0.25">
      <c r="A91" t="s">
        <v>2645</v>
      </c>
      <c r="B91" t="s">
        <v>2646</v>
      </c>
    </row>
    <row r="92" spans="1:2" x14ac:dyDescent="0.25">
      <c r="A92" t="s">
        <v>2647</v>
      </c>
      <c r="B92" t="s">
        <v>2646</v>
      </c>
    </row>
    <row r="93" spans="1:2" x14ac:dyDescent="0.25">
      <c r="A93" t="s">
        <v>2648</v>
      </c>
      <c r="B93" t="s">
        <v>2649</v>
      </c>
    </row>
    <row r="94" spans="1:2" x14ac:dyDescent="0.25">
      <c r="A94" t="s">
        <v>2650</v>
      </c>
      <c r="B94" t="s">
        <v>2649</v>
      </c>
    </row>
    <row r="95" spans="1:2" x14ac:dyDescent="0.25">
      <c r="A95" t="s">
        <v>2651</v>
      </c>
      <c r="B95" t="s">
        <v>2652</v>
      </c>
    </row>
    <row r="96" spans="1:2" x14ac:dyDescent="0.25">
      <c r="A96" t="s">
        <v>2653</v>
      </c>
      <c r="B96" t="s">
        <v>2654</v>
      </c>
    </row>
    <row r="97" spans="1:2" x14ac:dyDescent="0.25">
      <c r="A97" t="s">
        <v>2655</v>
      </c>
      <c r="B97" t="s">
        <v>591</v>
      </c>
    </row>
    <row r="98" spans="1:2" x14ac:dyDescent="0.25">
      <c r="A98" t="s">
        <v>2656</v>
      </c>
      <c r="B98" t="s">
        <v>591</v>
      </c>
    </row>
    <row r="99" spans="1:2" x14ac:dyDescent="0.25">
      <c r="A99" t="s">
        <v>2657</v>
      </c>
      <c r="B99" t="s">
        <v>2658</v>
      </c>
    </row>
    <row r="100" spans="1:2" x14ac:dyDescent="0.25">
      <c r="A100" t="s">
        <v>2659</v>
      </c>
      <c r="B100" t="s">
        <v>2658</v>
      </c>
    </row>
    <row r="101" spans="1:2" x14ac:dyDescent="0.25">
      <c r="A101" t="s">
        <v>2660</v>
      </c>
      <c r="B101" t="s">
        <v>580</v>
      </c>
    </row>
    <row r="102" spans="1:2" x14ac:dyDescent="0.25">
      <c r="A102" t="s">
        <v>2661</v>
      </c>
      <c r="B102" t="s">
        <v>580</v>
      </c>
    </row>
    <row r="103" spans="1:2" x14ac:dyDescent="0.25">
      <c r="A103" t="s">
        <v>2662</v>
      </c>
      <c r="B103" t="s">
        <v>2663</v>
      </c>
    </row>
    <row r="104" spans="1:2" x14ac:dyDescent="0.25">
      <c r="A104" t="s">
        <v>2664</v>
      </c>
      <c r="B104" t="s">
        <v>2663</v>
      </c>
    </row>
    <row r="105" spans="1:2" x14ac:dyDescent="0.25">
      <c r="A105" t="s">
        <v>2665</v>
      </c>
      <c r="B105" t="s">
        <v>2666</v>
      </c>
    </row>
    <row r="106" spans="1:2" x14ac:dyDescent="0.25">
      <c r="A106" t="s">
        <v>2667</v>
      </c>
      <c r="B106" t="s">
        <v>2668</v>
      </c>
    </row>
    <row r="107" spans="1:2" x14ac:dyDescent="0.25">
      <c r="A107" t="s">
        <v>2669</v>
      </c>
      <c r="B107" t="s">
        <v>571</v>
      </c>
    </row>
    <row r="108" spans="1:2" x14ac:dyDescent="0.25">
      <c r="A108" t="s">
        <v>2670</v>
      </c>
      <c r="B108" t="s">
        <v>571</v>
      </c>
    </row>
    <row r="109" spans="1:2" x14ac:dyDescent="0.25">
      <c r="A109" t="s">
        <v>2671</v>
      </c>
      <c r="B109" t="s">
        <v>2672</v>
      </c>
    </row>
    <row r="110" spans="1:2" x14ac:dyDescent="0.25">
      <c r="A110" t="s">
        <v>2673</v>
      </c>
      <c r="B110" t="s">
        <v>2672</v>
      </c>
    </row>
    <row r="111" spans="1:2" x14ac:dyDescent="0.25">
      <c r="A111" t="s">
        <v>2674</v>
      </c>
      <c r="B111" t="s">
        <v>564</v>
      </c>
    </row>
    <row r="112" spans="1:2" x14ac:dyDescent="0.25">
      <c r="A112" t="s">
        <v>2675</v>
      </c>
      <c r="B112" t="s">
        <v>564</v>
      </c>
    </row>
    <row r="113" spans="1:2" x14ac:dyDescent="0.25">
      <c r="A113" t="s">
        <v>2676</v>
      </c>
      <c r="B113" t="s">
        <v>2677</v>
      </c>
    </row>
    <row r="114" spans="1:2" x14ac:dyDescent="0.25">
      <c r="A114" t="s">
        <v>2678</v>
      </c>
      <c r="B114" t="s">
        <v>2677</v>
      </c>
    </row>
    <row r="115" spans="1:2" x14ac:dyDescent="0.25">
      <c r="A115" t="s">
        <v>2679</v>
      </c>
      <c r="B115" t="s">
        <v>555</v>
      </c>
    </row>
    <row r="116" spans="1:2" x14ac:dyDescent="0.25">
      <c r="A116" t="s">
        <v>2680</v>
      </c>
      <c r="B116" t="s">
        <v>555</v>
      </c>
    </row>
    <row r="117" spans="1:2" x14ac:dyDescent="0.25">
      <c r="A117" t="s">
        <v>2681</v>
      </c>
      <c r="B117" t="s">
        <v>2682</v>
      </c>
    </row>
    <row r="118" spans="1:2" x14ac:dyDescent="0.25">
      <c r="A118" t="s">
        <v>2683</v>
      </c>
      <c r="B118" t="s">
        <v>2682</v>
      </c>
    </row>
    <row r="119" spans="1:2" x14ac:dyDescent="0.25">
      <c r="A119" t="s">
        <v>2684</v>
      </c>
      <c r="B119" t="s">
        <v>2685</v>
      </c>
    </row>
    <row r="120" spans="1:2" x14ac:dyDescent="0.25">
      <c r="A120" t="s">
        <v>2686</v>
      </c>
      <c r="B120" t="s">
        <v>2685</v>
      </c>
    </row>
    <row r="121" spans="1:2" x14ac:dyDescent="0.25">
      <c r="A121" t="s">
        <v>2687</v>
      </c>
      <c r="B121" t="s">
        <v>547</v>
      </c>
    </row>
    <row r="122" spans="1:2" x14ac:dyDescent="0.25">
      <c r="A122" t="s">
        <v>2688</v>
      </c>
      <c r="B122" t="s">
        <v>547</v>
      </c>
    </row>
    <row r="123" spans="1:2" x14ac:dyDescent="0.25">
      <c r="A123" t="s">
        <v>2689</v>
      </c>
      <c r="B123" t="s">
        <v>2690</v>
      </c>
    </row>
    <row r="124" spans="1:2" x14ac:dyDescent="0.25">
      <c r="A124" t="s">
        <v>2691</v>
      </c>
      <c r="B124" t="s">
        <v>2690</v>
      </c>
    </row>
    <row r="125" spans="1:2" x14ac:dyDescent="0.25">
      <c r="A125" t="s">
        <v>2692</v>
      </c>
      <c r="B125" t="s">
        <v>2693</v>
      </c>
    </row>
    <row r="126" spans="1:2" x14ac:dyDescent="0.25">
      <c r="A126" t="s">
        <v>2694</v>
      </c>
      <c r="B126" t="s">
        <v>2695</v>
      </c>
    </row>
    <row r="127" spans="1:2" x14ac:dyDescent="0.25">
      <c r="A127" t="s">
        <v>2696</v>
      </c>
      <c r="B127" t="s">
        <v>541</v>
      </c>
    </row>
    <row r="128" spans="1:2" x14ac:dyDescent="0.25">
      <c r="A128" t="s">
        <v>2697</v>
      </c>
      <c r="B128" t="s">
        <v>541</v>
      </c>
    </row>
    <row r="129" spans="1:2" x14ac:dyDescent="0.25">
      <c r="A129" t="s">
        <v>2698</v>
      </c>
      <c r="B129" t="s">
        <v>2699</v>
      </c>
    </row>
    <row r="130" spans="1:2" x14ac:dyDescent="0.25">
      <c r="A130" t="s">
        <v>2700</v>
      </c>
      <c r="B130" t="s">
        <v>2699</v>
      </c>
    </row>
    <row r="131" spans="1:2" x14ac:dyDescent="0.25">
      <c r="A131" t="s">
        <v>2701</v>
      </c>
      <c r="B131" t="s">
        <v>534</v>
      </c>
    </row>
    <row r="132" spans="1:2" x14ac:dyDescent="0.25">
      <c r="A132" t="s">
        <v>2702</v>
      </c>
      <c r="B132" t="s">
        <v>534</v>
      </c>
    </row>
    <row r="133" spans="1:2" x14ac:dyDescent="0.25">
      <c r="A133" t="s">
        <v>2703</v>
      </c>
      <c r="B133" t="s">
        <v>2704</v>
      </c>
    </row>
    <row r="134" spans="1:2" x14ac:dyDescent="0.25">
      <c r="A134" t="s">
        <v>2705</v>
      </c>
      <c r="B134" t="s">
        <v>2704</v>
      </c>
    </row>
    <row r="135" spans="1:2" x14ac:dyDescent="0.25">
      <c r="A135" t="s">
        <v>2706</v>
      </c>
      <c r="B135" t="s">
        <v>527</v>
      </c>
    </row>
    <row r="136" spans="1:2" x14ac:dyDescent="0.25">
      <c r="A136" t="s">
        <v>2707</v>
      </c>
      <c r="B136" t="s">
        <v>527</v>
      </c>
    </row>
    <row r="137" spans="1:2" x14ac:dyDescent="0.25">
      <c r="A137" t="s">
        <v>2708</v>
      </c>
      <c r="B137" t="s">
        <v>524</v>
      </c>
    </row>
    <row r="138" spans="1:2" x14ac:dyDescent="0.25">
      <c r="A138" t="s">
        <v>2709</v>
      </c>
      <c r="B138" t="s">
        <v>524</v>
      </c>
    </row>
    <row r="139" spans="1:2" x14ac:dyDescent="0.25">
      <c r="A139" t="s">
        <v>2710</v>
      </c>
      <c r="B139" t="s">
        <v>2711</v>
      </c>
    </row>
    <row r="140" spans="1:2" x14ac:dyDescent="0.25">
      <c r="A140" t="s">
        <v>2712</v>
      </c>
      <c r="B140" t="s">
        <v>2713</v>
      </c>
    </row>
    <row r="141" spans="1:2" x14ac:dyDescent="0.25">
      <c r="A141" t="s">
        <v>2714</v>
      </c>
      <c r="B141" t="s">
        <v>2715</v>
      </c>
    </row>
    <row r="142" spans="1:2" x14ac:dyDescent="0.25">
      <c r="A142" t="s">
        <v>2716</v>
      </c>
      <c r="B142" t="s">
        <v>2717</v>
      </c>
    </row>
    <row r="143" spans="1:2" x14ac:dyDescent="0.25">
      <c r="A143" t="s">
        <v>2718</v>
      </c>
      <c r="B143" t="s">
        <v>2719</v>
      </c>
    </row>
    <row r="144" spans="1:2" x14ac:dyDescent="0.25">
      <c r="A144" t="s">
        <v>2720</v>
      </c>
      <c r="B144" t="s">
        <v>2721</v>
      </c>
    </row>
    <row r="145" spans="1:2" x14ac:dyDescent="0.25">
      <c r="A145" t="s">
        <v>2722</v>
      </c>
      <c r="B145" t="s">
        <v>2723</v>
      </c>
    </row>
    <row r="146" spans="1:2" x14ac:dyDescent="0.25">
      <c r="A146" t="s">
        <v>2724</v>
      </c>
      <c r="B146" t="s">
        <v>2725</v>
      </c>
    </row>
    <row r="147" spans="1:2" x14ac:dyDescent="0.25">
      <c r="A147" t="s">
        <v>2726</v>
      </c>
      <c r="B147" t="s">
        <v>509</v>
      </c>
    </row>
    <row r="148" spans="1:2" x14ac:dyDescent="0.25">
      <c r="A148" t="s">
        <v>2727</v>
      </c>
      <c r="B148" t="s">
        <v>509</v>
      </c>
    </row>
    <row r="149" spans="1:2" x14ac:dyDescent="0.25">
      <c r="A149" t="s">
        <v>2728</v>
      </c>
      <c r="B149" t="s">
        <v>2729</v>
      </c>
    </row>
    <row r="150" spans="1:2" x14ac:dyDescent="0.25">
      <c r="A150" t="s">
        <v>2730</v>
      </c>
      <c r="B150" t="s">
        <v>2731</v>
      </c>
    </row>
    <row r="151" spans="1:2" x14ac:dyDescent="0.25">
      <c r="A151" t="s">
        <v>2732</v>
      </c>
      <c r="B151" t="s">
        <v>2733</v>
      </c>
    </row>
    <row r="152" spans="1:2" x14ac:dyDescent="0.25">
      <c r="A152" t="s">
        <v>2734</v>
      </c>
      <c r="B152" t="s">
        <v>2735</v>
      </c>
    </row>
    <row r="153" spans="1:2" x14ac:dyDescent="0.25">
      <c r="A153" t="s">
        <v>2736</v>
      </c>
      <c r="B153" t="s">
        <v>2737</v>
      </c>
    </row>
    <row r="154" spans="1:2" x14ac:dyDescent="0.25">
      <c r="A154" t="s">
        <v>2738</v>
      </c>
      <c r="B154" t="s">
        <v>2737</v>
      </c>
    </row>
    <row r="155" spans="1:2" x14ac:dyDescent="0.25">
      <c r="A155" t="s">
        <v>2739</v>
      </c>
      <c r="B155" t="s">
        <v>2740</v>
      </c>
    </row>
    <row r="156" spans="1:2" x14ac:dyDescent="0.25">
      <c r="A156" t="s">
        <v>2741</v>
      </c>
      <c r="B156" t="s">
        <v>2742</v>
      </c>
    </row>
    <row r="157" spans="1:2" x14ac:dyDescent="0.25">
      <c r="A157" t="s">
        <v>2743</v>
      </c>
      <c r="B157" t="s">
        <v>2744</v>
      </c>
    </row>
    <row r="158" spans="1:2" x14ac:dyDescent="0.25">
      <c r="A158" t="s">
        <v>2745</v>
      </c>
      <c r="B158" t="s">
        <v>2744</v>
      </c>
    </row>
    <row r="159" spans="1:2" x14ac:dyDescent="0.25">
      <c r="A159" t="s">
        <v>2746</v>
      </c>
      <c r="B159" t="s">
        <v>490</v>
      </c>
    </row>
    <row r="160" spans="1:2" x14ac:dyDescent="0.25">
      <c r="A160" t="s">
        <v>2747</v>
      </c>
      <c r="B160" t="s">
        <v>490</v>
      </c>
    </row>
    <row r="161" spans="1:2" x14ac:dyDescent="0.25">
      <c r="A161" t="s">
        <v>2748</v>
      </c>
      <c r="B161" t="s">
        <v>2749</v>
      </c>
    </row>
    <row r="162" spans="1:2" x14ac:dyDescent="0.25">
      <c r="A162" t="s">
        <v>2750</v>
      </c>
      <c r="B162" t="s">
        <v>2749</v>
      </c>
    </row>
    <row r="163" spans="1:2" x14ac:dyDescent="0.25">
      <c r="A163" t="s">
        <v>2751</v>
      </c>
      <c r="B163" t="s">
        <v>2752</v>
      </c>
    </row>
    <row r="164" spans="1:2" x14ac:dyDescent="0.25">
      <c r="A164" t="s">
        <v>2753</v>
      </c>
      <c r="B164" t="s">
        <v>2754</v>
      </c>
    </row>
    <row r="165" spans="1:2" x14ac:dyDescent="0.25">
      <c r="A165" t="s">
        <v>2755</v>
      </c>
      <c r="B165" t="s">
        <v>2756</v>
      </c>
    </row>
    <row r="166" spans="1:2" x14ac:dyDescent="0.25">
      <c r="A166" t="s">
        <v>2757</v>
      </c>
      <c r="B166" t="s">
        <v>2756</v>
      </c>
    </row>
    <row r="167" spans="1:2" x14ac:dyDescent="0.25">
      <c r="A167" t="s">
        <v>2758</v>
      </c>
      <c r="B167" t="s">
        <v>2759</v>
      </c>
    </row>
    <row r="168" spans="1:2" x14ac:dyDescent="0.25">
      <c r="A168" t="s">
        <v>2760</v>
      </c>
      <c r="B168" t="s">
        <v>2759</v>
      </c>
    </row>
    <row r="169" spans="1:2" x14ac:dyDescent="0.25">
      <c r="A169" t="s">
        <v>2761</v>
      </c>
      <c r="B169" t="s">
        <v>2762</v>
      </c>
    </row>
    <row r="170" spans="1:2" x14ac:dyDescent="0.25">
      <c r="A170" t="s">
        <v>2763</v>
      </c>
      <c r="B170" t="s">
        <v>2762</v>
      </c>
    </row>
    <row r="171" spans="1:2" x14ac:dyDescent="0.25">
      <c r="A171" t="s">
        <v>2764</v>
      </c>
      <c r="B171" t="s">
        <v>2765</v>
      </c>
    </row>
    <row r="172" spans="1:2" x14ac:dyDescent="0.25">
      <c r="A172" t="s">
        <v>2766</v>
      </c>
      <c r="B172" t="s">
        <v>2765</v>
      </c>
    </row>
    <row r="173" spans="1:2" x14ac:dyDescent="0.25">
      <c r="A173" t="s">
        <v>2767</v>
      </c>
      <c r="B173" t="s">
        <v>2768</v>
      </c>
    </row>
    <row r="174" spans="1:2" x14ac:dyDescent="0.25">
      <c r="A174" t="s">
        <v>2769</v>
      </c>
      <c r="B174" t="s">
        <v>2768</v>
      </c>
    </row>
    <row r="175" spans="1:2" x14ac:dyDescent="0.25">
      <c r="A175" t="s">
        <v>2770</v>
      </c>
      <c r="B175" t="s">
        <v>2771</v>
      </c>
    </row>
    <row r="176" spans="1:2" x14ac:dyDescent="0.25">
      <c r="A176" t="s">
        <v>2772</v>
      </c>
      <c r="B176" t="s">
        <v>2773</v>
      </c>
    </row>
    <row r="177" spans="1:2" x14ac:dyDescent="0.25">
      <c r="A177" t="s">
        <v>2774</v>
      </c>
      <c r="B177" t="s">
        <v>2775</v>
      </c>
    </row>
    <row r="178" spans="1:2" x14ac:dyDescent="0.25">
      <c r="A178" t="s">
        <v>2776</v>
      </c>
      <c r="B178" t="s">
        <v>2777</v>
      </c>
    </row>
    <row r="179" spans="1:2" x14ac:dyDescent="0.25">
      <c r="A179" t="s">
        <v>2778</v>
      </c>
      <c r="B179" t="s">
        <v>2779</v>
      </c>
    </row>
    <row r="180" spans="1:2" x14ac:dyDescent="0.25">
      <c r="A180" t="s">
        <v>2780</v>
      </c>
      <c r="B180" t="s">
        <v>2781</v>
      </c>
    </row>
    <row r="181" spans="1:2" x14ac:dyDescent="0.25">
      <c r="A181" t="s">
        <v>2782</v>
      </c>
      <c r="B181" t="s">
        <v>2783</v>
      </c>
    </row>
    <row r="182" spans="1:2" x14ac:dyDescent="0.25">
      <c r="A182" t="s">
        <v>2784</v>
      </c>
      <c r="B182" t="s">
        <v>2783</v>
      </c>
    </row>
    <row r="183" spans="1:2" x14ac:dyDescent="0.25">
      <c r="A183" t="s">
        <v>2785</v>
      </c>
      <c r="B183" t="s">
        <v>2783</v>
      </c>
    </row>
    <row r="184" spans="1:2" x14ac:dyDescent="0.25">
      <c r="A184" t="s">
        <v>2786</v>
      </c>
      <c r="B184" t="s">
        <v>2787</v>
      </c>
    </row>
    <row r="185" spans="1:2" x14ac:dyDescent="0.25">
      <c r="A185" t="s">
        <v>2788</v>
      </c>
      <c r="B185" t="s">
        <v>2787</v>
      </c>
    </row>
    <row r="186" spans="1:2" x14ac:dyDescent="0.25">
      <c r="A186" t="s">
        <v>2789</v>
      </c>
      <c r="B186" t="s">
        <v>2787</v>
      </c>
    </row>
    <row r="187" spans="1:2" x14ac:dyDescent="0.25">
      <c r="A187" t="s">
        <v>2790</v>
      </c>
      <c r="B187" t="s">
        <v>2791</v>
      </c>
    </row>
    <row r="188" spans="1:2" x14ac:dyDescent="0.25">
      <c r="A188" t="s">
        <v>2792</v>
      </c>
      <c r="B188" t="s">
        <v>2791</v>
      </c>
    </row>
    <row r="189" spans="1:2" x14ac:dyDescent="0.25">
      <c r="A189" t="s">
        <v>2793</v>
      </c>
      <c r="B189" t="s">
        <v>2791</v>
      </c>
    </row>
    <row r="190" spans="1:2" x14ac:dyDescent="0.25">
      <c r="A190" t="s">
        <v>2794</v>
      </c>
      <c r="B190" t="s">
        <v>2795</v>
      </c>
    </row>
    <row r="191" spans="1:2" x14ac:dyDescent="0.25">
      <c r="A191" t="s">
        <v>2796</v>
      </c>
      <c r="B191" t="s">
        <v>2797</v>
      </c>
    </row>
    <row r="192" spans="1:2" x14ac:dyDescent="0.25">
      <c r="A192" t="s">
        <v>2798</v>
      </c>
      <c r="B192" t="s">
        <v>2797</v>
      </c>
    </row>
    <row r="193" spans="1:2" x14ac:dyDescent="0.25">
      <c r="A193" t="s">
        <v>2799</v>
      </c>
      <c r="B193" t="s">
        <v>2797</v>
      </c>
    </row>
    <row r="194" spans="1:2" x14ac:dyDescent="0.25">
      <c r="A194" t="s">
        <v>2800</v>
      </c>
      <c r="B194" t="s">
        <v>2801</v>
      </c>
    </row>
    <row r="195" spans="1:2" x14ac:dyDescent="0.25">
      <c r="A195" t="s">
        <v>2802</v>
      </c>
      <c r="B195" t="s">
        <v>2801</v>
      </c>
    </row>
    <row r="196" spans="1:2" x14ac:dyDescent="0.25">
      <c r="A196" t="s">
        <v>2803</v>
      </c>
      <c r="B196" t="s">
        <v>2804</v>
      </c>
    </row>
    <row r="197" spans="1:2" x14ac:dyDescent="0.25">
      <c r="A197" t="s">
        <v>2805</v>
      </c>
      <c r="B197" t="s">
        <v>2804</v>
      </c>
    </row>
    <row r="198" spans="1:2" x14ac:dyDescent="0.25">
      <c r="A198" t="s">
        <v>2806</v>
      </c>
      <c r="B198" t="s">
        <v>2804</v>
      </c>
    </row>
    <row r="199" spans="1:2" x14ac:dyDescent="0.25">
      <c r="A199" t="s">
        <v>2807</v>
      </c>
      <c r="B199" t="s">
        <v>2804</v>
      </c>
    </row>
    <row r="200" spans="1:2" x14ac:dyDescent="0.25">
      <c r="A200" t="s">
        <v>2808</v>
      </c>
      <c r="B200" t="s">
        <v>2809</v>
      </c>
    </row>
    <row r="201" spans="1:2" x14ac:dyDescent="0.25">
      <c r="A201" t="s">
        <v>2810</v>
      </c>
      <c r="B201" t="s">
        <v>2809</v>
      </c>
    </row>
    <row r="202" spans="1:2" x14ac:dyDescent="0.25">
      <c r="A202" t="s">
        <v>2811</v>
      </c>
      <c r="B202" t="s">
        <v>2809</v>
      </c>
    </row>
    <row r="203" spans="1:2" x14ac:dyDescent="0.25">
      <c r="A203" t="s">
        <v>2812</v>
      </c>
      <c r="B203" t="s">
        <v>2813</v>
      </c>
    </row>
    <row r="204" spans="1:2" x14ac:dyDescent="0.25">
      <c r="A204" t="s">
        <v>2814</v>
      </c>
      <c r="B204" t="s">
        <v>2813</v>
      </c>
    </row>
    <row r="205" spans="1:2" x14ac:dyDescent="0.25">
      <c r="A205" t="s">
        <v>2815</v>
      </c>
      <c r="B205" t="s">
        <v>2813</v>
      </c>
    </row>
    <row r="206" spans="1:2" x14ac:dyDescent="0.25">
      <c r="A206" t="s">
        <v>2816</v>
      </c>
      <c r="B206" t="s">
        <v>2817</v>
      </c>
    </row>
    <row r="207" spans="1:2" x14ac:dyDescent="0.25">
      <c r="A207" t="s">
        <v>2818</v>
      </c>
      <c r="B207" t="s">
        <v>2817</v>
      </c>
    </row>
    <row r="208" spans="1:2" x14ac:dyDescent="0.25">
      <c r="A208" t="s">
        <v>2819</v>
      </c>
      <c r="B208" t="s">
        <v>2817</v>
      </c>
    </row>
    <row r="209" spans="1:2" x14ac:dyDescent="0.25">
      <c r="A209" t="s">
        <v>2820</v>
      </c>
      <c r="B209" t="s">
        <v>2821</v>
      </c>
    </row>
    <row r="210" spans="1:2" x14ac:dyDescent="0.25">
      <c r="A210" t="s">
        <v>2822</v>
      </c>
      <c r="B210" t="s">
        <v>2823</v>
      </c>
    </row>
    <row r="211" spans="1:2" x14ac:dyDescent="0.25">
      <c r="A211" t="s">
        <v>2824</v>
      </c>
      <c r="B211" t="s">
        <v>2823</v>
      </c>
    </row>
    <row r="212" spans="1:2" x14ac:dyDescent="0.25">
      <c r="A212" t="s">
        <v>2825</v>
      </c>
      <c r="B212" t="s">
        <v>2826</v>
      </c>
    </row>
    <row r="213" spans="1:2" x14ac:dyDescent="0.25">
      <c r="A213" t="s">
        <v>2827</v>
      </c>
      <c r="B213" t="s">
        <v>2828</v>
      </c>
    </row>
    <row r="214" spans="1:2" x14ac:dyDescent="0.25">
      <c r="A214" t="s">
        <v>2829</v>
      </c>
      <c r="B214" t="s">
        <v>2826</v>
      </c>
    </row>
    <row r="215" spans="1:2" x14ac:dyDescent="0.25">
      <c r="A215" t="s">
        <v>2830</v>
      </c>
      <c r="B215" t="s">
        <v>2826</v>
      </c>
    </row>
    <row r="216" spans="1:2" x14ac:dyDescent="0.25">
      <c r="A216" t="s">
        <v>2831</v>
      </c>
      <c r="B216" t="s">
        <v>2832</v>
      </c>
    </row>
    <row r="217" spans="1:2" x14ac:dyDescent="0.25">
      <c r="A217" t="s">
        <v>2833</v>
      </c>
      <c r="B217" t="s">
        <v>2834</v>
      </c>
    </row>
    <row r="218" spans="1:2" x14ac:dyDescent="0.25">
      <c r="A218" t="s">
        <v>2835</v>
      </c>
      <c r="B218" t="s">
        <v>2836</v>
      </c>
    </row>
    <row r="219" spans="1:2" x14ac:dyDescent="0.25">
      <c r="A219" t="s">
        <v>2837</v>
      </c>
      <c r="B219" t="s">
        <v>2838</v>
      </c>
    </row>
    <row r="220" spans="1:2" x14ac:dyDescent="0.25">
      <c r="A220" t="s">
        <v>2839</v>
      </c>
      <c r="B220" t="s">
        <v>2838</v>
      </c>
    </row>
    <row r="221" spans="1:2" x14ac:dyDescent="0.25">
      <c r="A221" t="s">
        <v>2840</v>
      </c>
      <c r="B221" t="s">
        <v>2838</v>
      </c>
    </row>
    <row r="222" spans="1:2" x14ac:dyDescent="0.25">
      <c r="A222" t="s">
        <v>2841</v>
      </c>
      <c r="B222" t="s">
        <v>2842</v>
      </c>
    </row>
    <row r="223" spans="1:2" x14ac:dyDescent="0.25">
      <c r="A223" t="s">
        <v>2843</v>
      </c>
      <c r="B223" t="s">
        <v>2844</v>
      </c>
    </row>
    <row r="224" spans="1:2" x14ac:dyDescent="0.25">
      <c r="A224" t="s">
        <v>2845</v>
      </c>
      <c r="B224" t="s">
        <v>2844</v>
      </c>
    </row>
    <row r="225" spans="1:2" x14ac:dyDescent="0.25">
      <c r="A225" t="s">
        <v>2846</v>
      </c>
      <c r="B225" t="s">
        <v>2842</v>
      </c>
    </row>
    <row r="226" spans="1:2" x14ac:dyDescent="0.25">
      <c r="A226" t="s">
        <v>2847</v>
      </c>
      <c r="B226" t="s">
        <v>2842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5:AD911"/>
  <sheetViews>
    <sheetView workbookViewId="0">
      <selection activeCell="B2" sqref="B2"/>
    </sheetView>
  </sheetViews>
  <sheetFormatPr defaultRowHeight="15" x14ac:dyDescent="0.25"/>
  <cols>
    <col min="1" max="1" width="16" bestFit="1" customWidth="1"/>
    <col min="2" max="4" width="16" customWidth="1"/>
    <col min="11" max="11" width="18.85546875" bestFit="1" customWidth="1"/>
    <col min="23" max="23" width="20.140625" customWidth="1"/>
  </cols>
  <sheetData>
    <row r="5" spans="1:30" x14ac:dyDescent="0.25">
      <c r="C5" t="s">
        <v>3068</v>
      </c>
      <c r="E5" s="2"/>
      <c r="F5" s="2"/>
      <c r="G5" s="2"/>
      <c r="H5" s="2"/>
      <c r="K5" s="2" t="s">
        <v>2999</v>
      </c>
      <c r="L5" s="2"/>
      <c r="M5" s="2" t="s">
        <v>2998</v>
      </c>
      <c r="O5" s="2" t="s">
        <v>3021</v>
      </c>
      <c r="P5" s="2"/>
      <c r="Q5" s="2" t="s">
        <v>3086</v>
      </c>
      <c r="R5" s="2"/>
      <c r="S5" s="2" t="s">
        <v>2929</v>
      </c>
      <c r="T5" s="2"/>
      <c r="U5" s="2" t="s">
        <v>2930</v>
      </c>
      <c r="V5" s="2"/>
      <c r="Y5" t="s">
        <v>3171</v>
      </c>
      <c r="Z5" s="2"/>
      <c r="AC5" t="s">
        <v>3034</v>
      </c>
    </row>
    <row r="6" spans="1:30" x14ac:dyDescent="0.25">
      <c r="A6" s="2" t="s">
        <v>2996</v>
      </c>
      <c r="B6" s="2"/>
      <c r="C6" s="2" t="s">
        <v>3067</v>
      </c>
      <c r="D6" s="2"/>
      <c r="E6" s="2" t="s">
        <v>2850</v>
      </c>
      <c r="F6" s="2"/>
      <c r="G6" s="2" t="s">
        <v>2852</v>
      </c>
      <c r="H6" s="2"/>
      <c r="I6" s="2" t="s">
        <v>2851</v>
      </c>
      <c r="J6" s="2"/>
      <c r="K6" s="2" t="s">
        <v>2466</v>
      </c>
      <c r="L6" s="2" t="s">
        <v>2851</v>
      </c>
      <c r="M6" s="2" t="s">
        <v>2466</v>
      </c>
      <c r="N6" s="2" t="s">
        <v>2874</v>
      </c>
      <c r="O6" s="2" t="s">
        <v>2469</v>
      </c>
      <c r="P6" s="2" t="s">
        <v>3022</v>
      </c>
      <c r="Q6" s="2" t="s">
        <v>2469</v>
      </c>
      <c r="R6" s="2" t="s">
        <v>3087</v>
      </c>
      <c r="S6" s="2" t="s">
        <v>2852</v>
      </c>
      <c r="T6" s="2" t="s">
        <v>2931</v>
      </c>
      <c r="U6" s="2" t="s">
        <v>2851</v>
      </c>
      <c r="V6" s="2" t="s">
        <v>2932</v>
      </c>
      <c r="W6" s="2" t="s">
        <v>2994</v>
      </c>
      <c r="X6" s="2" t="s">
        <v>2874</v>
      </c>
      <c r="Y6" s="2" t="s">
        <v>3170</v>
      </c>
      <c r="AC6" t="s">
        <v>2435</v>
      </c>
      <c r="AD6" t="str">
        <f>""</f>
        <v/>
      </c>
    </row>
    <row r="7" spans="1:30" x14ac:dyDescent="0.25">
      <c r="A7" t="s">
        <v>2880</v>
      </c>
      <c r="C7" t="s">
        <v>3069</v>
      </c>
      <c r="E7" t="s">
        <v>2853</v>
      </c>
      <c r="G7" t="s">
        <v>2853</v>
      </c>
      <c r="I7" t="s">
        <v>2854</v>
      </c>
      <c r="K7" t="str">
        <f>mapPRC!A2</f>
        <v>AHCOA-E</v>
      </c>
      <c r="L7" t="str">
        <f>IFERROR(INDEX($X$7:$X$88,MATCH(mapPRC!D2,$W$7:$W$88,0)),"")</f>
        <v>agr</v>
      </c>
      <c r="M7" t="s">
        <v>915</v>
      </c>
      <c r="N7" t="s">
        <v>2875</v>
      </c>
      <c r="O7" t="str">
        <f>mapCOM!A2</f>
        <v>ACTGRP</v>
      </c>
      <c r="P7" t="str">
        <f t="shared" ref="P7:P70" si="0">INDEX($AD$6:$AD$784,MATCH(O7,$AC$6:$AC$784,0))</f>
        <v/>
      </c>
      <c r="Q7" t="s">
        <v>2435</v>
      </c>
      <c r="R7" t="s">
        <v>2435</v>
      </c>
      <c r="S7" t="s">
        <v>2853</v>
      </c>
      <c r="T7" t="s">
        <v>2933</v>
      </c>
      <c r="U7" t="s">
        <v>2854</v>
      </c>
      <c r="V7" t="s">
        <v>2934</v>
      </c>
      <c r="W7" t="s">
        <v>1637</v>
      </c>
      <c r="X7" t="str">
        <f>I7</f>
        <v>agr</v>
      </c>
      <c r="Y7" t="s">
        <v>2068</v>
      </c>
      <c r="AC7" t="s">
        <v>2433</v>
      </c>
      <c r="AD7" t="s">
        <v>3023</v>
      </c>
    </row>
    <row r="8" spans="1:30" x14ac:dyDescent="0.25">
      <c r="A8" t="s">
        <v>2882</v>
      </c>
      <c r="C8" t="s">
        <v>3070</v>
      </c>
      <c r="E8" t="s">
        <v>2855</v>
      </c>
      <c r="G8" t="s">
        <v>2855</v>
      </c>
      <c r="I8" t="s">
        <v>2856</v>
      </c>
      <c r="K8" t="str">
        <f>mapPRC!A3</f>
        <v>AHELC-E</v>
      </c>
      <c r="L8" t="str">
        <f>IFERROR(INDEX($X$7:$X$88,MATCH(mapPRC!D3,$W$7:$W$88,0)),"")</f>
        <v>agr</v>
      </c>
      <c r="M8" t="s">
        <v>905</v>
      </c>
      <c r="N8" t="s">
        <v>2927</v>
      </c>
      <c r="O8" t="str">
        <f>mapCOM!A3</f>
        <v>AGRCH4S</v>
      </c>
      <c r="P8" t="str">
        <f t="shared" si="0"/>
        <v/>
      </c>
      <c r="Q8" t="s">
        <v>2433</v>
      </c>
      <c r="R8" t="s">
        <v>2433</v>
      </c>
      <c r="S8" t="s">
        <v>2853</v>
      </c>
      <c r="T8" t="s">
        <v>2935</v>
      </c>
      <c r="U8" t="s">
        <v>2854</v>
      </c>
      <c r="V8" t="s">
        <v>2936</v>
      </c>
      <c r="W8" t="s">
        <v>1593</v>
      </c>
      <c r="X8" t="str">
        <f>I18</f>
        <v>com</v>
      </c>
      <c r="Y8" t="s">
        <v>2066</v>
      </c>
      <c r="AC8" t="s">
        <v>2431</v>
      </c>
      <c r="AD8" t="s">
        <v>3023</v>
      </c>
    </row>
    <row r="9" spans="1:30" x14ac:dyDescent="0.25">
      <c r="A9" t="s">
        <v>2884</v>
      </c>
      <c r="C9" t="s">
        <v>3071</v>
      </c>
      <c r="E9" t="s">
        <v>2858</v>
      </c>
      <c r="G9" t="s">
        <v>2858</v>
      </c>
      <c r="I9" t="s">
        <v>2859</v>
      </c>
      <c r="K9" t="str">
        <f>mapPRC!A4</f>
        <v>AHOHF-E</v>
      </c>
      <c r="L9" t="str">
        <f>IFERROR(INDEX($X$7:$X$88,MATCH(mapPRC!D4,$W$7:$W$88,0)),"")</f>
        <v>agr</v>
      </c>
      <c r="M9" t="s">
        <v>445</v>
      </c>
      <c r="N9" t="s">
        <v>2873</v>
      </c>
      <c r="O9" t="str">
        <f>mapCOM!A4</f>
        <v>AGRCMOX</v>
      </c>
      <c r="P9" t="str">
        <f t="shared" si="0"/>
        <v/>
      </c>
      <c r="Q9" t="s">
        <v>2431</v>
      </c>
      <c r="R9" t="s">
        <v>2431</v>
      </c>
      <c r="S9" t="s">
        <v>2853</v>
      </c>
      <c r="T9" t="s">
        <v>2937</v>
      </c>
      <c r="U9" t="s">
        <v>2854</v>
      </c>
      <c r="V9" t="s">
        <v>2938</v>
      </c>
      <c r="W9" t="s">
        <v>1504</v>
      </c>
      <c r="X9" t="str">
        <f>I18</f>
        <v>com</v>
      </c>
      <c r="Y9" t="s">
        <v>2064</v>
      </c>
      <c r="AC9" t="s">
        <v>2429</v>
      </c>
      <c r="AD9" t="s">
        <v>3023</v>
      </c>
    </row>
    <row r="10" spans="1:30" x14ac:dyDescent="0.25">
      <c r="A10" t="s">
        <v>2886</v>
      </c>
      <c r="C10" t="s">
        <v>3072</v>
      </c>
      <c r="E10" t="s">
        <v>2854</v>
      </c>
      <c r="I10" t="s">
        <v>2860</v>
      </c>
      <c r="K10" t="str">
        <f>mapPRC!A5</f>
        <v>AHOKE-E</v>
      </c>
      <c r="L10" t="str">
        <f>IFERROR(INDEX($X$7:$X$88,MATCH(mapPRC!D5,$W$7:$W$88,0)),"")</f>
        <v>agr</v>
      </c>
      <c r="M10" t="s">
        <v>439</v>
      </c>
      <c r="N10" t="s">
        <v>2866</v>
      </c>
      <c r="O10" t="str">
        <f>mapCOM!A5</f>
        <v>AGRCO2S</v>
      </c>
      <c r="P10" t="str">
        <f t="shared" si="0"/>
        <v/>
      </c>
      <c r="Q10" t="s">
        <v>2429</v>
      </c>
      <c r="R10" t="s">
        <v>2429</v>
      </c>
      <c r="S10" t="s">
        <v>2853</v>
      </c>
      <c r="T10" t="s">
        <v>2939</v>
      </c>
      <c r="U10" t="s">
        <v>2928</v>
      </c>
      <c r="V10" t="s">
        <v>2940</v>
      </c>
      <c r="W10" t="s">
        <v>3014</v>
      </c>
      <c r="X10" t="s">
        <v>2862</v>
      </c>
      <c r="Y10" t="s">
        <v>2062</v>
      </c>
      <c r="AC10" t="s">
        <v>2427</v>
      </c>
      <c r="AD10" t="s">
        <v>3023</v>
      </c>
    </row>
    <row r="11" spans="1:30" x14ac:dyDescent="0.25">
      <c r="A11" t="s">
        <v>2888</v>
      </c>
      <c r="C11" t="s">
        <v>3073</v>
      </c>
      <c r="E11" t="s">
        <v>2856</v>
      </c>
      <c r="I11" t="s">
        <v>2861</v>
      </c>
      <c r="K11" t="str">
        <f>mapPRC!A6</f>
        <v>AHOLP-E</v>
      </c>
      <c r="L11" t="str">
        <f>IFERROR(INDEX($X$7:$X$88,MATCH(mapPRC!D6,$W$7:$W$88,0)),"")</f>
        <v>agr</v>
      </c>
      <c r="M11" t="s">
        <v>1661</v>
      </c>
      <c r="N11" t="s">
        <v>2997</v>
      </c>
      <c r="O11" t="str">
        <f>mapCOM!A6</f>
        <v>AGRCOA</v>
      </c>
      <c r="P11" t="str">
        <f t="shared" si="0"/>
        <v>ccoal-hgh</v>
      </c>
      <c r="Q11" t="s">
        <v>1682</v>
      </c>
      <c r="R11" t="s">
        <v>2433</v>
      </c>
      <c r="S11" t="s">
        <v>2853</v>
      </c>
      <c r="T11" t="s">
        <v>2941</v>
      </c>
      <c r="U11" t="s">
        <v>2856</v>
      </c>
      <c r="V11" t="s">
        <v>2942</v>
      </c>
      <c r="W11" t="s">
        <v>3015</v>
      </c>
      <c r="X11" t="s">
        <v>2873</v>
      </c>
      <c r="Y11" t="s">
        <v>2060</v>
      </c>
      <c r="AC11" t="s">
        <v>2423</v>
      </c>
      <c r="AD11" t="s">
        <v>3024</v>
      </c>
    </row>
    <row r="12" spans="1:30" x14ac:dyDescent="0.25">
      <c r="A12" t="s">
        <v>2890</v>
      </c>
      <c r="C12" t="s">
        <v>3074</v>
      </c>
      <c r="E12" t="s">
        <v>2859</v>
      </c>
      <c r="I12" t="s">
        <v>2862</v>
      </c>
      <c r="K12" t="str">
        <f>mapPRC!A7</f>
        <v>AIELC-E</v>
      </c>
      <c r="L12" t="str">
        <f>IFERROR(INDEX($X$7:$X$88,MATCH(mapPRC!D7,$W$7:$W$88,0)),"")</f>
        <v>agr</v>
      </c>
      <c r="M12" t="s">
        <v>1636</v>
      </c>
      <c r="N12" t="s">
        <v>2469</v>
      </c>
      <c r="O12" t="str">
        <f>mapCOM!A7</f>
        <v>AGRELC</v>
      </c>
      <c r="P12" t="str">
        <f t="shared" si="0"/>
        <v>celec</v>
      </c>
      <c r="Q12" t="s">
        <v>1680</v>
      </c>
      <c r="R12" t="s">
        <v>2435</v>
      </c>
      <c r="S12" t="s">
        <v>2855</v>
      </c>
      <c r="T12" t="s">
        <v>2943</v>
      </c>
      <c r="U12" t="s">
        <v>2856</v>
      </c>
      <c r="V12" t="s">
        <v>2944</v>
      </c>
      <c r="W12" t="s">
        <v>1481</v>
      </c>
      <c r="X12" t="s">
        <v>2867</v>
      </c>
      <c r="Y12" t="s">
        <v>2031</v>
      </c>
      <c r="AC12" t="s">
        <v>2421</v>
      </c>
      <c r="AD12" t="s">
        <v>3025</v>
      </c>
    </row>
    <row r="13" spans="1:30" x14ac:dyDescent="0.25">
      <c r="A13" t="s">
        <v>2892</v>
      </c>
      <c r="C13" t="s">
        <v>3075</v>
      </c>
      <c r="E13" t="s">
        <v>2860</v>
      </c>
      <c r="I13" t="s">
        <v>2863</v>
      </c>
      <c r="K13" t="str">
        <f>mapPRC!A8</f>
        <v>AIODS-E</v>
      </c>
      <c r="L13" t="str">
        <f>IFERROR(INDEX($X$7:$X$88,MATCH(mapPRC!D8,$W$7:$W$88,0)),"")</f>
        <v>agr</v>
      </c>
      <c r="M13" t="s">
        <v>720</v>
      </c>
      <c r="N13" t="s">
        <v>2871</v>
      </c>
      <c r="O13" t="str">
        <f>mapCOM!A8</f>
        <v>AGRN2OS</v>
      </c>
      <c r="P13" t="str">
        <f t="shared" si="0"/>
        <v/>
      </c>
      <c r="Q13" t="s">
        <v>1678</v>
      </c>
      <c r="R13" t="s">
        <v>2431</v>
      </c>
      <c r="S13" t="s">
        <v>2855</v>
      </c>
      <c r="T13" t="s">
        <v>2945</v>
      </c>
      <c r="U13" t="s">
        <v>2856</v>
      </c>
      <c r="V13" t="s">
        <v>2946</v>
      </c>
      <c r="W13" t="s">
        <v>1476</v>
      </c>
      <c r="X13" t="str">
        <f t="shared" ref="X13:X24" si="1">X12</f>
        <v>elec</v>
      </c>
      <c r="Y13" t="s">
        <v>2030</v>
      </c>
      <c r="AC13" t="s">
        <v>2419</v>
      </c>
      <c r="AD13" t="s">
        <v>3023</v>
      </c>
    </row>
    <row r="14" spans="1:30" x14ac:dyDescent="0.25">
      <c r="A14" t="s">
        <v>2894</v>
      </c>
      <c r="C14" t="s">
        <v>3076</v>
      </c>
      <c r="E14" t="s">
        <v>2861</v>
      </c>
      <c r="I14" t="s">
        <v>2864</v>
      </c>
      <c r="K14" t="str">
        <f>mapPRC!A9</f>
        <v>AIOGS-E</v>
      </c>
      <c r="L14" t="str">
        <f>IFERROR(INDEX($X$7:$X$88,MATCH(mapPRC!D9,$W$7:$W$88,0)),"")</f>
        <v>agr</v>
      </c>
      <c r="M14" t="s">
        <v>711</v>
      </c>
      <c r="N14" t="s">
        <v>2870</v>
      </c>
      <c r="O14" t="str">
        <f>mapCOM!A9</f>
        <v>AGRNMVS</v>
      </c>
      <c r="P14" t="str">
        <f t="shared" si="0"/>
        <v/>
      </c>
      <c r="Q14" t="s">
        <v>1676</v>
      </c>
      <c r="R14" t="s">
        <v>2429</v>
      </c>
      <c r="S14" t="s">
        <v>2855</v>
      </c>
      <c r="T14" t="s">
        <v>2947</v>
      </c>
      <c r="U14" t="s">
        <v>2856</v>
      </c>
      <c r="V14" t="s">
        <v>2948</v>
      </c>
      <c r="W14" t="s">
        <v>1469</v>
      </c>
      <c r="X14" t="str">
        <f t="shared" si="1"/>
        <v>elec</v>
      </c>
      <c r="Y14" t="s">
        <v>2029</v>
      </c>
      <c r="AC14" t="s">
        <v>2417</v>
      </c>
      <c r="AD14" t="s">
        <v>3023</v>
      </c>
    </row>
    <row r="15" spans="1:30" x14ac:dyDescent="0.25">
      <c r="A15" t="s">
        <v>2896</v>
      </c>
      <c r="C15" t="s">
        <v>3077</v>
      </c>
      <c r="E15" t="s">
        <v>2862</v>
      </c>
      <c r="I15" t="s">
        <v>2865</v>
      </c>
      <c r="K15" t="str">
        <f>mapPRC!A10</f>
        <v>AOELC-E</v>
      </c>
      <c r="L15" t="str">
        <f>IFERROR(INDEX($X$7:$X$88,MATCH(mapPRC!D10,$W$7:$W$88,0)),"")</f>
        <v>agr</v>
      </c>
      <c r="M15" t="s">
        <v>525</v>
      </c>
      <c r="N15" t="s">
        <v>2869</v>
      </c>
      <c r="O15" t="str">
        <f>mapCOM!A10</f>
        <v>AGRNOXS</v>
      </c>
      <c r="P15" t="str">
        <f t="shared" si="0"/>
        <v/>
      </c>
      <c r="S15" t="s">
        <v>2858</v>
      </c>
      <c r="T15" t="s">
        <v>2949</v>
      </c>
      <c r="U15" t="s">
        <v>2866</v>
      </c>
      <c r="V15" t="s">
        <v>2950</v>
      </c>
      <c r="W15" t="s">
        <v>1316</v>
      </c>
      <c r="X15" t="str">
        <f t="shared" si="1"/>
        <v>elec</v>
      </c>
      <c r="Y15" t="s">
        <v>2028</v>
      </c>
      <c r="AC15" t="s">
        <v>2415</v>
      </c>
      <c r="AD15" t="s">
        <v>3023</v>
      </c>
    </row>
    <row r="16" spans="1:30" x14ac:dyDescent="0.25">
      <c r="A16" t="s">
        <v>2898</v>
      </c>
      <c r="C16" t="s">
        <v>3078</v>
      </c>
      <c r="E16" t="s">
        <v>2863</v>
      </c>
      <c r="I16" t="s">
        <v>2866</v>
      </c>
      <c r="K16" t="str">
        <f>mapPRC!A11</f>
        <v>APELC-E</v>
      </c>
      <c r="L16" t="str">
        <f>IFERROR(INDEX($X$7:$X$88,MATCH(mapPRC!D11,$W$7:$W$88,0)),"")</f>
        <v>agr</v>
      </c>
      <c r="M16" t="s">
        <v>465</v>
      </c>
      <c r="N16" t="s">
        <v>2872</v>
      </c>
      <c r="O16" t="str">
        <f>mapCOM!A11</f>
        <v>AGRODS</v>
      </c>
      <c r="P16" t="str">
        <f t="shared" si="0"/>
        <v>cpetr_d</v>
      </c>
      <c r="S16" t="s">
        <v>2858</v>
      </c>
      <c r="T16" t="s">
        <v>2995</v>
      </c>
      <c r="U16" t="s">
        <v>2856</v>
      </c>
      <c r="V16" t="s">
        <v>2951</v>
      </c>
      <c r="W16" t="s">
        <v>1425</v>
      </c>
      <c r="X16" t="str">
        <f t="shared" si="1"/>
        <v>elec</v>
      </c>
      <c r="Y16" t="s">
        <v>2027</v>
      </c>
      <c r="AC16" t="s">
        <v>2413</v>
      </c>
      <c r="AD16" t="s">
        <v>3023</v>
      </c>
    </row>
    <row r="17" spans="1:30" x14ac:dyDescent="0.25">
      <c r="A17" t="s">
        <v>2900</v>
      </c>
      <c r="C17" t="s">
        <v>3079</v>
      </c>
      <c r="E17" t="s">
        <v>2864</v>
      </c>
      <c r="I17" t="s">
        <v>2867</v>
      </c>
      <c r="K17" t="str">
        <f>mapPRC!A12</f>
        <v>ATELC-E</v>
      </c>
      <c r="L17" t="str">
        <f>IFERROR(INDEX($X$7:$X$88,MATCH(mapPRC!D12,$W$7:$W$88,0)),"")</f>
        <v>agr</v>
      </c>
      <c r="M17" t="s">
        <v>1301</v>
      </c>
      <c r="N17" t="s">
        <v>2862</v>
      </c>
      <c r="O17" t="str">
        <f>mapCOM!A12</f>
        <v>AGROGS</v>
      </c>
      <c r="P17" t="str">
        <f t="shared" si="0"/>
        <v/>
      </c>
      <c r="U17" t="s">
        <v>2859</v>
      </c>
      <c r="V17" t="s">
        <v>2952</v>
      </c>
      <c r="W17" t="s">
        <v>1403</v>
      </c>
      <c r="X17" t="str">
        <f t="shared" si="1"/>
        <v>elec</v>
      </c>
      <c r="Y17" t="s">
        <v>2026</v>
      </c>
      <c r="AC17" t="s">
        <v>2411</v>
      </c>
      <c r="AD17" t="s">
        <v>3026</v>
      </c>
    </row>
    <row r="18" spans="1:30" x14ac:dyDescent="0.25">
      <c r="A18" t="s">
        <v>2902</v>
      </c>
      <c r="C18" t="s">
        <v>3080</v>
      </c>
      <c r="E18" t="s">
        <v>2865</v>
      </c>
      <c r="I18" t="s">
        <v>2868</v>
      </c>
      <c r="K18" t="str">
        <f>mapPRC!A13</f>
        <v>ATODS-E</v>
      </c>
      <c r="L18" t="str">
        <f>IFERROR(INDEX($X$7:$X$88,MATCH(mapPRC!D13,$W$7:$W$88,0)),"")</f>
        <v>agr</v>
      </c>
      <c r="M18" t="s">
        <v>1265</v>
      </c>
      <c r="N18" t="s">
        <v>2859</v>
      </c>
      <c r="O18" t="str">
        <f>mapCOM!A13</f>
        <v>AGROHF</v>
      </c>
      <c r="P18" t="str">
        <f t="shared" si="0"/>
        <v>cpetr_o</v>
      </c>
      <c r="U18" t="s">
        <v>2859</v>
      </c>
      <c r="V18" t="s">
        <v>2953</v>
      </c>
      <c r="W18" t="s">
        <v>1398</v>
      </c>
      <c r="X18" t="str">
        <f t="shared" si="1"/>
        <v>elec</v>
      </c>
      <c r="Y18" t="s">
        <v>2025</v>
      </c>
      <c r="AC18" t="s">
        <v>2409</v>
      </c>
      <c r="AD18" t="s">
        <v>3025</v>
      </c>
    </row>
    <row r="19" spans="1:30" x14ac:dyDescent="0.25">
      <c r="A19" t="s">
        <v>2904</v>
      </c>
      <c r="C19" t="s">
        <v>3081</v>
      </c>
      <c r="E19" t="s">
        <v>2866</v>
      </c>
      <c r="I19" t="s">
        <v>2869</v>
      </c>
      <c r="K19" t="str">
        <f>mapPRC!A14</f>
        <v>ATOGS-E</v>
      </c>
      <c r="L19" t="str">
        <f>IFERROR(INDEX($X$7:$X$88,MATCH(mapPRC!D14,$W$7:$W$88,0)),"")</f>
        <v>agr</v>
      </c>
      <c r="M19" t="s">
        <v>1232</v>
      </c>
      <c r="N19" t="s">
        <v>2864</v>
      </c>
      <c r="O19" t="str">
        <f>mapCOM!A14</f>
        <v>AGROKE</v>
      </c>
      <c r="P19" t="str">
        <f t="shared" si="0"/>
        <v>cpetr_o</v>
      </c>
      <c r="U19" t="s">
        <v>2860</v>
      </c>
      <c r="V19" t="s">
        <v>2954</v>
      </c>
      <c r="W19" t="s">
        <v>1372</v>
      </c>
      <c r="X19" t="str">
        <f t="shared" si="1"/>
        <v>elec</v>
      </c>
      <c r="Y19" t="s">
        <v>2024</v>
      </c>
      <c r="AC19" t="s">
        <v>2407</v>
      </c>
      <c r="AD19" t="s">
        <v>3023</v>
      </c>
    </row>
    <row r="20" spans="1:30" x14ac:dyDescent="0.25">
      <c r="A20" t="s">
        <v>2906</v>
      </c>
      <c r="E20" t="s">
        <v>2867</v>
      </c>
      <c r="I20" t="s">
        <v>2870</v>
      </c>
      <c r="K20" t="str">
        <f>mapPRC!A15</f>
        <v>CECELCCEN-E</v>
      </c>
      <c r="L20" t="str">
        <f>IFERROR(INDEX($X$7:$X$88,MATCH(mapPRC!D15,$W$7:$W$88,0)),"")</f>
        <v>com</v>
      </c>
      <c r="M20" t="s">
        <v>1195</v>
      </c>
      <c r="N20" t="s">
        <v>2856</v>
      </c>
      <c r="O20" t="str">
        <f>mapCOM!A15</f>
        <v>AGROLP</v>
      </c>
      <c r="P20" t="str">
        <f t="shared" si="0"/>
        <v>cpetr_o</v>
      </c>
      <c r="U20" t="s">
        <v>2860</v>
      </c>
      <c r="V20" t="s">
        <v>2955</v>
      </c>
      <c r="W20" t="s">
        <v>1329</v>
      </c>
      <c r="X20" t="str">
        <f t="shared" si="1"/>
        <v>elec</v>
      </c>
      <c r="Y20" t="s">
        <v>2023</v>
      </c>
      <c r="AC20" t="s">
        <v>2405</v>
      </c>
      <c r="AD20" t="s">
        <v>3023</v>
      </c>
    </row>
    <row r="21" spans="1:30" x14ac:dyDescent="0.25">
      <c r="A21" t="s">
        <v>2908</v>
      </c>
      <c r="E21" t="s">
        <v>2868</v>
      </c>
      <c r="I21" t="s">
        <v>2871</v>
      </c>
      <c r="K21" t="str">
        <f>mapPRC!A16</f>
        <v>CECELCCEN-N</v>
      </c>
      <c r="L21" t="str">
        <f>IFERROR(INDEX($X$7:$X$88,MATCH(mapPRC!D16,$W$7:$W$88,0)),"")</f>
        <v>com</v>
      </c>
      <c r="M21" t="s">
        <v>1136</v>
      </c>
      <c r="N21" t="s">
        <v>2865</v>
      </c>
      <c r="O21" t="str">
        <f>mapCOM!A16</f>
        <v>AGRP10S</v>
      </c>
      <c r="P21" t="str">
        <f t="shared" si="0"/>
        <v/>
      </c>
      <c r="U21" t="s">
        <v>2860</v>
      </c>
      <c r="V21" t="s">
        <v>2956</v>
      </c>
      <c r="W21" t="s">
        <v>1319</v>
      </c>
      <c r="X21" t="str">
        <f t="shared" si="1"/>
        <v>elec</v>
      </c>
      <c r="Y21" t="s">
        <v>2022</v>
      </c>
      <c r="AC21" t="s">
        <v>2403</v>
      </c>
      <c r="AD21" t="s">
        <v>3023</v>
      </c>
    </row>
    <row r="22" spans="1:30" x14ac:dyDescent="0.25">
      <c r="A22" t="s">
        <v>2910</v>
      </c>
      <c r="E22" t="s">
        <v>2857</v>
      </c>
      <c r="I22" t="s">
        <v>2872</v>
      </c>
      <c r="K22" t="str">
        <f>mapPRC!A17</f>
        <v>CECELCCHIL-E</v>
      </c>
      <c r="L22" t="str">
        <f>IFERROR(INDEX($X$7:$X$88,MATCH(mapPRC!D17,$W$7:$W$88,0)),"")</f>
        <v>com</v>
      </c>
      <c r="M22" t="s">
        <v>1110</v>
      </c>
      <c r="N22" t="s">
        <v>2863</v>
      </c>
      <c r="O22" t="str">
        <f>mapCOM!A17</f>
        <v>AGRSOXS</v>
      </c>
      <c r="P22" t="str">
        <f t="shared" si="0"/>
        <v/>
      </c>
      <c r="U22" t="s">
        <v>2860</v>
      </c>
      <c r="V22" t="s">
        <v>2957</v>
      </c>
      <c r="W22" t="s">
        <v>1311</v>
      </c>
      <c r="X22" t="str">
        <f t="shared" si="1"/>
        <v>elec</v>
      </c>
      <c r="Y22" t="s">
        <v>2021</v>
      </c>
      <c r="AC22" t="s">
        <v>2401</v>
      </c>
      <c r="AD22" t="s">
        <v>3027</v>
      </c>
    </row>
    <row r="23" spans="1:30" x14ac:dyDescent="0.25">
      <c r="A23" t="s">
        <v>2912</v>
      </c>
      <c r="E23" t="s">
        <v>2869</v>
      </c>
      <c r="I23" t="s">
        <v>2873</v>
      </c>
      <c r="K23" t="str">
        <f>mapPRC!A18</f>
        <v>CECELCHP-E</v>
      </c>
      <c r="L23" t="str">
        <f>IFERROR(INDEX($X$7:$X$88,MATCH(mapPRC!D18,$W$7:$W$88,0)),"")</f>
        <v>com</v>
      </c>
      <c r="M23" t="s">
        <v>1066</v>
      </c>
      <c r="N23" t="s">
        <v>2860</v>
      </c>
      <c r="O23" t="str">
        <f>mapCOM!A18</f>
        <v>AH</v>
      </c>
      <c r="P23" t="str">
        <f t="shared" si="0"/>
        <v/>
      </c>
      <c r="U23" t="s">
        <v>2860</v>
      </c>
      <c r="V23" t="s">
        <v>2958</v>
      </c>
      <c r="W23" t="s">
        <v>1307</v>
      </c>
      <c r="X23" t="str">
        <f t="shared" si="1"/>
        <v>elec</v>
      </c>
      <c r="Y23" t="s">
        <v>2020</v>
      </c>
      <c r="AC23" t="s">
        <v>2399</v>
      </c>
      <c r="AD23" t="s">
        <v>3023</v>
      </c>
    </row>
    <row r="24" spans="1:30" x14ac:dyDescent="0.25">
      <c r="A24" t="s">
        <v>2914</v>
      </c>
      <c r="E24" t="s">
        <v>2870</v>
      </c>
      <c r="I24" t="s">
        <v>3000</v>
      </c>
      <c r="K24" t="str">
        <f>mapPRC!A19</f>
        <v>CECELCHP-N</v>
      </c>
      <c r="L24" t="str">
        <f>IFERROR(INDEX($X$7:$X$88,MATCH(mapPRC!D19,$W$7:$W$88,0)),"")</f>
        <v>com</v>
      </c>
      <c r="M24" t="s">
        <v>1020</v>
      </c>
      <c r="N24" t="s">
        <v>2861</v>
      </c>
      <c r="O24" t="str">
        <f>mapCOM!A19</f>
        <v>AI</v>
      </c>
      <c r="P24" t="str">
        <f t="shared" si="0"/>
        <v/>
      </c>
      <c r="U24" t="s">
        <v>2861</v>
      </c>
      <c r="V24" t="s">
        <v>2959</v>
      </c>
      <c r="W24" t="s">
        <v>1302</v>
      </c>
      <c r="X24" t="str">
        <f t="shared" si="1"/>
        <v>elec</v>
      </c>
      <c r="Y24" t="s">
        <v>2019</v>
      </c>
      <c r="AC24" t="s">
        <v>2397</v>
      </c>
      <c r="AD24" t="s">
        <v>3028</v>
      </c>
    </row>
    <row r="25" spans="1:30" x14ac:dyDescent="0.25">
      <c r="A25" t="s">
        <v>2916</v>
      </c>
      <c r="E25" t="s">
        <v>2871</v>
      </c>
      <c r="I25" t="s">
        <v>3001</v>
      </c>
      <c r="K25" t="str">
        <f>mapPRC!A20</f>
        <v>CECELCROOM-E</v>
      </c>
      <c r="L25" t="str">
        <f>IFERROR(INDEX($X$7:$X$88,MATCH(mapPRC!D20,$W$7:$W$88,0)),"")</f>
        <v>com</v>
      </c>
      <c r="M25" t="s">
        <v>922</v>
      </c>
      <c r="N25" t="s">
        <v>2928</v>
      </c>
      <c r="O25" t="str">
        <f>mapCOM!A20</f>
        <v>AO</v>
      </c>
      <c r="P25" t="str">
        <f t="shared" si="0"/>
        <v/>
      </c>
      <c r="U25" t="s">
        <v>2860</v>
      </c>
      <c r="V25" t="s">
        <v>2960</v>
      </c>
      <c r="W25" t="s">
        <v>1270</v>
      </c>
      <c r="X25" t="str">
        <f>I12</f>
        <v>cp</v>
      </c>
      <c r="Y25" t="s">
        <v>2018</v>
      </c>
      <c r="AC25" t="s">
        <v>2395</v>
      </c>
      <c r="AD25" t="s">
        <v>3028</v>
      </c>
    </row>
    <row r="26" spans="1:30" x14ac:dyDescent="0.25">
      <c r="A26" t="s">
        <v>2918</v>
      </c>
      <c r="E26" t="s">
        <v>2872</v>
      </c>
      <c r="I26" t="s">
        <v>2875</v>
      </c>
      <c r="K26" t="str">
        <f>mapPRC!A21</f>
        <v>CEGELCHAL-E</v>
      </c>
      <c r="L26" t="str">
        <f>IFERROR(INDEX($X$7:$X$88,MATCH(mapPRC!D21,$W$7:$W$88,0)),"")</f>
        <v>com</v>
      </c>
      <c r="M26" t="s">
        <v>1304</v>
      </c>
      <c r="N26" t="s">
        <v>2867</v>
      </c>
      <c r="O26" t="str">
        <f>mapCOM!A21</f>
        <v>AP</v>
      </c>
      <c r="P26" t="str">
        <f t="shared" si="0"/>
        <v/>
      </c>
      <c r="U26" t="s">
        <v>2873</v>
      </c>
      <c r="V26" t="s">
        <v>2961</v>
      </c>
      <c r="W26" t="s">
        <v>1266</v>
      </c>
      <c r="X26" t="str">
        <f>I14</f>
        <v>is</v>
      </c>
      <c r="Y26" t="s">
        <v>2017</v>
      </c>
      <c r="AC26" t="s">
        <v>2393</v>
      </c>
      <c r="AD26" t="s">
        <v>3028</v>
      </c>
    </row>
    <row r="27" spans="1:30" x14ac:dyDescent="0.25">
      <c r="A27" t="s">
        <v>2920</v>
      </c>
      <c r="E27" t="s">
        <v>2873</v>
      </c>
      <c r="I27" t="s">
        <v>2927</v>
      </c>
      <c r="K27" t="str">
        <f>mapPRC!A22</f>
        <v>CEGELCHPM-E</v>
      </c>
      <c r="L27" t="str">
        <f>IFERROR(INDEX($X$7:$X$88,MATCH(mapPRC!D22,$W$7:$W$88,0)),"")</f>
        <v>com</v>
      </c>
      <c r="O27" t="str">
        <f>mapCOM!A22</f>
        <v>AT</v>
      </c>
      <c r="P27" t="str">
        <f t="shared" si="0"/>
        <v/>
      </c>
      <c r="U27" t="s">
        <v>2862</v>
      </c>
      <c r="V27" t="s">
        <v>2962</v>
      </c>
      <c r="W27" t="s">
        <v>1239</v>
      </c>
      <c r="X27" t="str">
        <f>I9</f>
        <v>fb</v>
      </c>
      <c r="Y27" t="s">
        <v>2016</v>
      </c>
      <c r="AC27" t="s">
        <v>2391</v>
      </c>
      <c r="AD27" t="s">
        <v>3023</v>
      </c>
    </row>
    <row r="28" spans="1:30" x14ac:dyDescent="0.25">
      <c r="A28" t="s">
        <v>2922</v>
      </c>
      <c r="E28" t="s">
        <v>3000</v>
      </c>
      <c r="I28" t="s">
        <v>2928</v>
      </c>
      <c r="K28" t="str">
        <f>mapPRC!A23</f>
        <v>CEGELCHPS-E</v>
      </c>
      <c r="L28" t="str">
        <f>IFERROR(INDEX($X$7:$X$88,MATCH(mapPRC!D23,$W$7:$W$88,0)),"")</f>
        <v>com</v>
      </c>
      <c r="O28" t="str">
        <f>mapCOM!A23</f>
        <v>BIB</v>
      </c>
      <c r="P28" t="str">
        <f t="shared" si="0"/>
        <v/>
      </c>
      <c r="U28" t="s">
        <v>2862</v>
      </c>
      <c r="V28" t="s">
        <v>2963</v>
      </c>
      <c r="W28" t="s">
        <v>1197</v>
      </c>
      <c r="X28" t="str">
        <f>I14</f>
        <v>is</v>
      </c>
      <c r="Y28" t="s">
        <v>2015</v>
      </c>
      <c r="AC28" t="s">
        <v>2389</v>
      </c>
      <c r="AD28" t="s">
        <v>3023</v>
      </c>
    </row>
    <row r="29" spans="1:30" x14ac:dyDescent="0.25">
      <c r="E29" t="s">
        <v>3001</v>
      </c>
      <c r="K29" t="str">
        <f>mapPRC!A24</f>
        <v>CEGELCINC-E</v>
      </c>
      <c r="L29" t="str">
        <f>IFERROR(INDEX($X$7:$X$88,MATCH(mapPRC!D24,$W$7:$W$88,0)),"")</f>
        <v>com</v>
      </c>
      <c r="O29" t="str">
        <f>mapCOM!A24</f>
        <v>BID</v>
      </c>
      <c r="P29" t="str">
        <f t="shared" si="0"/>
        <v/>
      </c>
      <c r="U29" t="s">
        <v>2862</v>
      </c>
      <c r="V29" t="s">
        <v>2964</v>
      </c>
      <c r="W29" t="s">
        <v>1163</v>
      </c>
      <c r="X29" t="str">
        <f>I8</f>
        <v>mi</v>
      </c>
      <c r="Y29" t="s">
        <v>2014</v>
      </c>
      <c r="AC29" t="s">
        <v>2387</v>
      </c>
      <c r="AD29" t="s">
        <v>3023</v>
      </c>
    </row>
    <row r="30" spans="1:30" x14ac:dyDescent="0.25">
      <c r="E30" t="s">
        <v>2875</v>
      </c>
      <c r="K30" t="str">
        <f>mapPRC!A25</f>
        <v>CEGELCLED-N</v>
      </c>
      <c r="L30" t="str">
        <f>IFERROR(INDEX($X$7:$X$88,MATCH(mapPRC!D25,$W$7:$W$88,0)),"")</f>
        <v>com</v>
      </c>
      <c r="O30" t="str">
        <f>mapCOM!A25</f>
        <v>BIE</v>
      </c>
      <c r="P30" t="str">
        <f t="shared" si="0"/>
        <v/>
      </c>
      <c r="U30" t="s">
        <v>2862</v>
      </c>
      <c r="V30" t="s">
        <v>2965</v>
      </c>
      <c r="W30" t="s">
        <v>425</v>
      </c>
      <c r="X30" t="s">
        <v>3000</v>
      </c>
      <c r="Y30" t="s">
        <v>2013</v>
      </c>
      <c r="AC30" t="s">
        <v>2385</v>
      </c>
      <c r="AD30" t="s">
        <v>3023</v>
      </c>
    </row>
    <row r="31" spans="1:30" x14ac:dyDescent="0.25">
      <c r="E31" t="s">
        <v>2927</v>
      </c>
      <c r="K31" t="str">
        <f>mapPRC!A26</f>
        <v>CEGELCMHL-E</v>
      </c>
      <c r="L31" t="str">
        <f>IFERROR(INDEX($X$7:$X$88,MATCH(mapPRC!D26,$W$7:$W$88,0)),"")</f>
        <v>com</v>
      </c>
      <c r="O31" t="str">
        <f>mapCOM!A26</f>
        <v>BIG</v>
      </c>
      <c r="P31" t="str">
        <f t="shared" si="0"/>
        <v/>
      </c>
      <c r="U31" t="s">
        <v>2863</v>
      </c>
      <c r="V31" t="s">
        <v>2966</v>
      </c>
      <c r="W31" t="s">
        <v>1111</v>
      </c>
      <c r="X31" t="str">
        <f>I15</f>
        <v>nf</v>
      </c>
      <c r="Y31" t="s">
        <v>2012</v>
      </c>
      <c r="AC31" t="s">
        <v>2383</v>
      </c>
      <c r="AD31" t="s">
        <v>3023</v>
      </c>
    </row>
    <row r="32" spans="1:30" x14ac:dyDescent="0.25">
      <c r="E32" t="s">
        <v>2928</v>
      </c>
      <c r="K32" t="str">
        <f>mapPRC!A27</f>
        <v>CEHCOA-E</v>
      </c>
      <c r="L32" t="str">
        <f>IFERROR(INDEX($X$7:$X$88,MATCH(mapPRC!D27,$W$7:$W$88,0)),"")</f>
        <v>com</v>
      </c>
      <c r="O32" t="str">
        <f>mapCOM!A27</f>
        <v>BIO</v>
      </c>
      <c r="P32" t="str">
        <f t="shared" si="0"/>
        <v/>
      </c>
      <c r="U32" t="s">
        <v>2863</v>
      </c>
      <c r="V32" t="s">
        <v>2967</v>
      </c>
      <c r="W32" t="s">
        <v>3093</v>
      </c>
      <c r="X32" t="str">
        <f>X31</f>
        <v>nf</v>
      </c>
      <c r="Y32" t="s">
        <v>2011</v>
      </c>
      <c r="AC32" t="s">
        <v>2381</v>
      </c>
      <c r="AD32" t="s">
        <v>3023</v>
      </c>
    </row>
    <row r="33" spans="11:30" x14ac:dyDescent="0.25">
      <c r="K33" t="str">
        <f>mapPRC!A28</f>
        <v>CEHELC-E</v>
      </c>
      <c r="L33" t="str">
        <f>IFERROR(INDEX($X$7:$X$88,MATCH(mapPRC!D28,$W$7:$W$88,0)),"")</f>
        <v>com</v>
      </c>
      <c r="O33" t="str">
        <f>mapCOM!A28</f>
        <v>BIW</v>
      </c>
      <c r="P33" t="str">
        <f t="shared" si="0"/>
        <v/>
      </c>
      <c r="U33" t="s">
        <v>2864</v>
      </c>
      <c r="V33" t="s">
        <v>2968</v>
      </c>
      <c r="W33" t="s">
        <v>1068</v>
      </c>
      <c r="X33" t="str">
        <f>I13</f>
        <v>nm</v>
      </c>
      <c r="Y33" t="s">
        <v>2010</v>
      </c>
      <c r="AC33" t="s">
        <v>2379</v>
      </c>
      <c r="AD33" t="s">
        <v>3023</v>
      </c>
    </row>
    <row r="34" spans="11:30" x14ac:dyDescent="0.25">
      <c r="K34" t="str">
        <f>mapPRC!A29</f>
        <v>CEHELC-N</v>
      </c>
      <c r="L34" t="str">
        <f>IFERROR(INDEX($X$7:$X$88,MATCH(mapPRC!D29,$W$7:$W$88,0)),"")</f>
        <v>com</v>
      </c>
      <c r="O34" t="str">
        <f>mapCOM!A29</f>
        <v>CEC</v>
      </c>
      <c r="P34" t="str">
        <f t="shared" si="0"/>
        <v/>
      </c>
      <c r="U34" t="s">
        <v>2865</v>
      </c>
      <c r="V34" t="s">
        <v>2969</v>
      </c>
      <c r="W34" t="s">
        <v>1026</v>
      </c>
      <c r="X34" t="str">
        <f>I10</f>
        <v>ot</v>
      </c>
      <c r="Y34" t="s">
        <v>2009</v>
      </c>
      <c r="AC34" t="s">
        <v>2377</v>
      </c>
      <c r="AD34" t="s">
        <v>3023</v>
      </c>
    </row>
    <row r="35" spans="11:30" x14ac:dyDescent="0.25">
      <c r="K35" t="str">
        <f>mapPRC!A30</f>
        <v>CEHGAS-E</v>
      </c>
      <c r="L35" t="str">
        <f>IFERROR(INDEX($X$7:$X$88,MATCH(mapPRC!D30,$W$7:$W$88,0)),"")</f>
        <v>com</v>
      </c>
      <c r="O35" t="str">
        <f>mapCOM!A30</f>
        <v>CEG</v>
      </c>
      <c r="P35" t="str">
        <f t="shared" si="0"/>
        <v/>
      </c>
      <c r="U35" t="s">
        <v>2860</v>
      </c>
      <c r="V35" t="s">
        <v>2970</v>
      </c>
      <c r="W35" t="s">
        <v>963</v>
      </c>
      <c r="X35" t="str">
        <f>I11</f>
        <v>pp</v>
      </c>
      <c r="Y35" t="s">
        <v>2008</v>
      </c>
      <c r="AC35" t="s">
        <v>2375</v>
      </c>
      <c r="AD35" t="s">
        <v>3023</v>
      </c>
    </row>
    <row r="36" spans="11:30" x14ac:dyDescent="0.25">
      <c r="K36" t="str">
        <f>mapPRC!A31</f>
        <v>CEHGAS-N</v>
      </c>
      <c r="L36" t="str">
        <f>IFERROR(INDEX($X$7:$X$88,MATCH(mapPRC!D31,$W$7:$W$88,0)),"")</f>
        <v>com</v>
      </c>
      <c r="O36" t="str">
        <f>mapCOM!A31</f>
        <v>CEH</v>
      </c>
      <c r="P36" t="str">
        <f t="shared" si="0"/>
        <v/>
      </c>
      <c r="U36" t="s">
        <v>2860</v>
      </c>
      <c r="V36" t="s">
        <v>2971</v>
      </c>
      <c r="W36" t="s">
        <v>2877</v>
      </c>
      <c r="X36" t="s">
        <v>2928</v>
      </c>
      <c r="Y36" t="s">
        <v>2007</v>
      </c>
      <c r="AC36" t="s">
        <v>2109</v>
      </c>
      <c r="AD36" t="s">
        <v>3023</v>
      </c>
    </row>
    <row r="37" spans="11:30" x14ac:dyDescent="0.25">
      <c r="K37" t="str">
        <f>mapPRC!A32</f>
        <v>CEKCOA-E</v>
      </c>
      <c r="L37" t="str">
        <f>IFERROR(INDEX($X$7:$X$88,MATCH(mapPRC!D32,$W$7:$W$88,0)),"")</f>
        <v>com</v>
      </c>
      <c r="O37" t="str">
        <f>mapCOM!A32</f>
        <v>CEK</v>
      </c>
      <c r="P37" t="str">
        <f t="shared" si="0"/>
        <v/>
      </c>
      <c r="U37" t="s">
        <v>2860</v>
      </c>
      <c r="V37" t="s">
        <v>2972</v>
      </c>
      <c r="W37" t="s">
        <v>863</v>
      </c>
      <c r="X37" t="s">
        <v>3001</v>
      </c>
      <c r="Y37" t="s">
        <v>2006</v>
      </c>
      <c r="AC37" t="s">
        <v>2372</v>
      </c>
      <c r="AD37" t="s">
        <v>3023</v>
      </c>
    </row>
    <row r="38" spans="11:30" x14ac:dyDescent="0.25">
      <c r="K38" t="str">
        <f>mapPRC!A33</f>
        <v>CEKELC-E</v>
      </c>
      <c r="L38" t="str">
        <f>IFERROR(INDEX($X$7:$X$88,MATCH(mapPRC!D33,$W$7:$W$88,0)),"")</f>
        <v>com</v>
      </c>
      <c r="O38" t="str">
        <f>mapCOM!A33</f>
        <v>CEL</v>
      </c>
      <c r="P38" t="str">
        <f t="shared" si="0"/>
        <v/>
      </c>
      <c r="U38" t="s">
        <v>2860</v>
      </c>
      <c r="V38" t="s">
        <v>2973</v>
      </c>
      <c r="W38" t="s">
        <v>834</v>
      </c>
      <c r="X38" t="str">
        <f>E9</f>
        <v>hhd-he</v>
      </c>
      <c r="Y38" t="s">
        <v>2005</v>
      </c>
      <c r="AC38" t="s">
        <v>2371</v>
      </c>
      <c r="AD38" t="s">
        <v>3029</v>
      </c>
    </row>
    <row r="39" spans="11:30" x14ac:dyDescent="0.25">
      <c r="K39" t="str">
        <f>mapPRC!A34</f>
        <v>CEKOLP-E</v>
      </c>
      <c r="L39" t="str">
        <f>IFERROR(INDEX($X$7:$X$88,MATCH(mapPRC!D34,$W$7:$W$88,0)),"")</f>
        <v>com</v>
      </c>
      <c r="O39" t="str">
        <f>mapCOM!A34</f>
        <v>CEO</v>
      </c>
      <c r="P39" t="str">
        <f t="shared" si="0"/>
        <v/>
      </c>
      <c r="U39" t="s">
        <v>2860</v>
      </c>
      <c r="V39" t="s">
        <v>2974</v>
      </c>
      <c r="W39" t="s">
        <v>782</v>
      </c>
      <c r="X39" t="str">
        <f>E7</f>
        <v>hhd-le</v>
      </c>
      <c r="Y39" t="s">
        <v>2004</v>
      </c>
      <c r="AC39" t="s">
        <v>2369</v>
      </c>
      <c r="AD39" t="s">
        <v>3030</v>
      </c>
    </row>
    <row r="40" spans="11:30" x14ac:dyDescent="0.25">
      <c r="K40" t="str">
        <f>mapPRC!A35</f>
        <v>CELELCCFL-E</v>
      </c>
      <c r="L40" t="str">
        <f>IFERROR(INDEX($X$7:$X$88,MATCH(mapPRC!D35,$W$7:$W$88,0)),"")</f>
        <v>com</v>
      </c>
      <c r="O40" t="str">
        <f>mapCOM!A35</f>
        <v>CER</v>
      </c>
      <c r="P40" t="str">
        <f t="shared" si="0"/>
        <v/>
      </c>
      <c r="U40" t="s">
        <v>2860</v>
      </c>
      <c r="V40" t="s">
        <v>2975</v>
      </c>
      <c r="W40" t="s">
        <v>722</v>
      </c>
      <c r="X40" t="str">
        <f>E8</f>
        <v>hhd-me</v>
      </c>
      <c r="Y40" t="s">
        <v>2003</v>
      </c>
      <c r="AC40" t="s">
        <v>2105</v>
      </c>
      <c r="AD40" t="s">
        <v>3023</v>
      </c>
    </row>
    <row r="41" spans="11:30" x14ac:dyDescent="0.25">
      <c r="K41" t="str">
        <f>mapPRC!A36</f>
        <v>CELELCFLU-E</v>
      </c>
      <c r="L41" t="str">
        <f>IFERROR(INDEX($X$7:$X$88,MATCH(mapPRC!D36,$W$7:$W$88,0)),"")</f>
        <v>com</v>
      </c>
      <c r="O41" t="str">
        <f>mapCOM!A36</f>
        <v>CET</v>
      </c>
      <c r="P41" t="str">
        <f t="shared" si="0"/>
        <v/>
      </c>
      <c r="U41" t="s">
        <v>2860</v>
      </c>
      <c r="V41" t="s">
        <v>2976</v>
      </c>
      <c r="W41" t="s">
        <v>712</v>
      </c>
      <c r="X41" t="str">
        <f>I21</f>
        <v>trana</v>
      </c>
      <c r="Y41" t="s">
        <v>2002</v>
      </c>
      <c r="AC41" t="s">
        <v>2366</v>
      </c>
      <c r="AD41" t="s">
        <v>3023</v>
      </c>
    </row>
    <row r="42" spans="11:30" x14ac:dyDescent="0.25">
      <c r="K42" t="str">
        <f>mapPRC!A37</f>
        <v>CELELCHAL-E</v>
      </c>
      <c r="L42" t="str">
        <f>IFERROR(INDEX($X$7:$X$88,MATCH(mapPRC!D37,$W$7:$W$88,0)),"")</f>
        <v>com</v>
      </c>
      <c r="O42" t="str">
        <f>mapCOM!A37</f>
        <v>CEW</v>
      </c>
      <c r="P42" t="str">
        <f t="shared" si="0"/>
        <v/>
      </c>
      <c r="U42" t="s">
        <v>2860</v>
      </c>
      <c r="V42" t="s">
        <v>2977</v>
      </c>
      <c r="W42" t="s">
        <v>37</v>
      </c>
      <c r="X42" t="str">
        <f>I20</f>
        <v>tranlf</v>
      </c>
      <c r="Y42" t="s">
        <v>2001</v>
      </c>
      <c r="AC42" t="s">
        <v>2102</v>
      </c>
      <c r="AD42" t="s">
        <v>3023</v>
      </c>
    </row>
    <row r="43" spans="11:30" x14ac:dyDescent="0.25">
      <c r="K43" t="str">
        <f>mapPRC!A38</f>
        <v>CELELCHID-E</v>
      </c>
      <c r="L43" t="str">
        <f>IFERROR(INDEX($X$7:$X$88,MATCH(mapPRC!D38,$W$7:$W$88,0)),"")</f>
        <v>com</v>
      </c>
      <c r="O43" t="str">
        <f>mapCOM!A38</f>
        <v>CH4RF</v>
      </c>
      <c r="P43" t="str">
        <f t="shared" si="0"/>
        <v/>
      </c>
      <c r="U43" t="s">
        <v>2867</v>
      </c>
      <c r="V43" t="s">
        <v>2978</v>
      </c>
      <c r="W43" t="s">
        <v>602</v>
      </c>
      <c r="X43" t="str">
        <f>I22</f>
        <v>trano</v>
      </c>
      <c r="Y43" t="s">
        <v>2000</v>
      </c>
      <c r="AC43" t="s">
        <v>2362</v>
      </c>
      <c r="AD43" t="s">
        <v>3023</v>
      </c>
    </row>
    <row r="44" spans="11:30" x14ac:dyDescent="0.25">
      <c r="K44" t="str">
        <f>mapPRC!A39</f>
        <v>CELELCINC-E</v>
      </c>
      <c r="L44" t="str">
        <f>IFERROR(INDEX($X$7:$X$88,MATCH(mapPRC!D39,$W$7:$W$88,0)),"")</f>
        <v>com</v>
      </c>
      <c r="O44" t="str">
        <f>mapCOM!A39</f>
        <v>CH4S</v>
      </c>
      <c r="P44" t="str">
        <f t="shared" si="0"/>
        <v/>
      </c>
      <c r="U44" t="s">
        <v>2868</v>
      </c>
      <c r="V44" t="s">
        <v>2979</v>
      </c>
      <c r="W44" t="s">
        <v>582</v>
      </c>
      <c r="X44" t="str">
        <f>I20</f>
        <v>tranlf</v>
      </c>
      <c r="Y44" t="s">
        <v>1999</v>
      </c>
      <c r="AC44" t="s">
        <v>2360</v>
      </c>
      <c r="AD44" t="s">
        <v>3023</v>
      </c>
    </row>
    <row r="45" spans="11:30" x14ac:dyDescent="0.25">
      <c r="K45" t="str">
        <f>mapPRC!A40</f>
        <v>CELELCLED-N</v>
      </c>
      <c r="L45" t="str">
        <f>IFERROR(INDEX($X$7:$X$88,MATCH(mapPRC!D40,$W$7:$W$88,0)),"")</f>
        <v>com</v>
      </c>
      <c r="O45" t="str">
        <f>mapCOM!A40</f>
        <v>CH4SF</v>
      </c>
      <c r="P45" t="str">
        <f t="shared" si="0"/>
        <v/>
      </c>
      <c r="U45" t="s">
        <v>2860</v>
      </c>
      <c r="V45" t="s">
        <v>2980</v>
      </c>
      <c r="W45" t="s">
        <v>30</v>
      </c>
      <c r="X45" t="s">
        <v>2857</v>
      </c>
      <c r="Y45" t="s">
        <v>1998</v>
      </c>
      <c r="AC45" t="s">
        <v>2358</v>
      </c>
      <c r="AD45" t="s">
        <v>3026</v>
      </c>
    </row>
    <row r="46" spans="11:30" x14ac:dyDescent="0.25">
      <c r="K46" t="str">
        <f>mapPRC!A41</f>
        <v>CEOCOA-E</v>
      </c>
      <c r="L46" t="str">
        <f>IFERROR(INDEX($X$7:$X$88,MATCH(mapPRC!D41,$W$7:$W$88,0)),"")</f>
        <v>com</v>
      </c>
      <c r="O46" t="str">
        <f>mapCOM!A41</f>
        <v>CLD</v>
      </c>
      <c r="P46" t="str">
        <f t="shared" si="0"/>
        <v>ccoal-dis</v>
      </c>
      <c r="U46" t="s">
        <v>2868</v>
      </c>
      <c r="V46" t="s">
        <v>2981</v>
      </c>
      <c r="W46" t="s">
        <v>25</v>
      </c>
      <c r="X46" t="str">
        <f>I19</f>
        <v>tranlp</v>
      </c>
      <c r="Y46" t="s">
        <v>1997</v>
      </c>
      <c r="AC46" t="s">
        <v>2356</v>
      </c>
      <c r="AD46" t="s">
        <v>3023</v>
      </c>
    </row>
    <row r="47" spans="11:30" x14ac:dyDescent="0.25">
      <c r="K47" t="str">
        <f>mapPRC!A42</f>
        <v>CEOELC-E</v>
      </c>
      <c r="L47" t="str">
        <f>IFERROR(INDEX($X$7:$X$88,MATCH(mapPRC!D42,$W$7:$W$88,0)),"")</f>
        <v>com</v>
      </c>
      <c r="O47" t="str">
        <f>mapCOM!A42</f>
        <v>CLE</v>
      </c>
      <c r="P47" t="str">
        <f t="shared" si="0"/>
        <v>ccoal-low</v>
      </c>
      <c r="U47" t="s">
        <v>2868</v>
      </c>
      <c r="V47" t="s">
        <v>2982</v>
      </c>
      <c r="W47" t="s">
        <v>461</v>
      </c>
      <c r="X47" t="str">
        <f>I22</f>
        <v>trano</v>
      </c>
      <c r="Y47" t="s">
        <v>1996</v>
      </c>
      <c r="AC47" t="s">
        <v>2354</v>
      </c>
      <c r="AD47" t="s">
        <v>3023</v>
      </c>
    </row>
    <row r="48" spans="11:30" x14ac:dyDescent="0.25">
      <c r="K48" t="str">
        <f>mapPRC!A43</f>
        <v>CEOGAS-E</v>
      </c>
      <c r="L48" t="str">
        <f>IFERROR(INDEX($X$7:$X$88,MATCH(mapPRC!D43,$W$7:$W$88,0)),"")</f>
        <v>com</v>
      </c>
      <c r="O48" t="str">
        <f>mapCOM!A43</f>
        <v>CMOX</v>
      </c>
      <c r="P48" t="str">
        <f t="shared" si="0"/>
        <v/>
      </c>
      <c r="U48" t="s">
        <v>2868</v>
      </c>
      <c r="V48" t="s">
        <v>2983</v>
      </c>
      <c r="W48" t="s">
        <v>449</v>
      </c>
      <c r="X48" t="str">
        <f>I23</f>
        <v>petr</v>
      </c>
      <c r="Y48" t="s">
        <v>1995</v>
      </c>
      <c r="AC48" t="s">
        <v>2352</v>
      </c>
      <c r="AD48" t="s">
        <v>3023</v>
      </c>
    </row>
    <row r="49" spans="11:30" x14ac:dyDescent="0.25">
      <c r="K49" t="str">
        <f>mapPRC!A44</f>
        <v>CEOODS-E</v>
      </c>
      <c r="L49" t="str">
        <f>IFERROR(INDEX($X$7:$X$88,MATCH(mapPRC!D44,$W$7:$W$88,0)),"")</f>
        <v>com</v>
      </c>
      <c r="O49" t="str">
        <f>mapCOM!A44</f>
        <v>CNC</v>
      </c>
      <c r="P49" t="str">
        <f t="shared" si="0"/>
        <v/>
      </c>
      <c r="U49" t="s">
        <v>2869</v>
      </c>
      <c r="V49" t="s">
        <v>2984</v>
      </c>
      <c r="W49" t="s">
        <v>386</v>
      </c>
      <c r="X49" t="str">
        <f>I16</f>
        <v>hydr</v>
      </c>
      <c r="Y49" t="s">
        <v>1994</v>
      </c>
      <c r="AC49" t="s">
        <v>2350</v>
      </c>
      <c r="AD49" t="s">
        <v>3023</v>
      </c>
    </row>
    <row r="50" spans="11:30" x14ac:dyDescent="0.25">
      <c r="K50" t="str">
        <f>mapPRC!A45</f>
        <v>CEOOGS-E</v>
      </c>
      <c r="L50" t="str">
        <f>IFERROR(INDEX($X$7:$X$88,MATCH(mapPRC!D45,$W$7:$W$88,0)),"")</f>
        <v>com</v>
      </c>
      <c r="O50" t="str">
        <f>mapCOM!A45</f>
        <v>CNG</v>
      </c>
      <c r="P50" t="str">
        <f t="shared" si="0"/>
        <v/>
      </c>
      <c r="U50" t="s">
        <v>2870</v>
      </c>
      <c r="V50" t="s">
        <v>2985</v>
      </c>
      <c r="W50" t="s">
        <v>413</v>
      </c>
      <c r="X50" t="str">
        <f>I23</f>
        <v>petr</v>
      </c>
      <c r="Y50" t="s">
        <v>1993</v>
      </c>
      <c r="AC50" t="s">
        <v>2348</v>
      </c>
      <c r="AD50" t="s">
        <v>3026</v>
      </c>
    </row>
    <row r="51" spans="11:30" x14ac:dyDescent="0.25">
      <c r="K51" t="str">
        <f>mapPRC!A46</f>
        <v>CEOOHF-E</v>
      </c>
      <c r="L51" t="str">
        <f>IFERROR(INDEX($X$7:$X$88,MATCH(mapPRC!D46,$W$7:$W$88,0)),"")</f>
        <v>com</v>
      </c>
      <c r="O51" t="str">
        <f>mapCOM!A46</f>
        <v>CNH</v>
      </c>
      <c r="P51" t="str">
        <f t="shared" si="0"/>
        <v/>
      </c>
      <c r="U51" t="s">
        <v>2872</v>
      </c>
      <c r="V51" t="s">
        <v>2986</v>
      </c>
      <c r="W51" t="s">
        <v>418</v>
      </c>
      <c r="X51" t="str">
        <f>I23</f>
        <v>petr</v>
      </c>
      <c r="Y51" t="s">
        <v>1992</v>
      </c>
      <c r="AC51" t="s">
        <v>2346</v>
      </c>
      <c r="AD51" t="s">
        <v>3025</v>
      </c>
    </row>
    <row r="52" spans="11:30" x14ac:dyDescent="0.25">
      <c r="K52" t="str">
        <f>mapPRC!A47</f>
        <v>CEOOKE-E</v>
      </c>
      <c r="L52" t="str">
        <f>IFERROR(INDEX($X$7:$X$88,MATCH(mapPRC!D47,$W$7:$W$88,0)),"")</f>
        <v>com</v>
      </c>
      <c r="O52" t="str">
        <f>mapCOM!A47</f>
        <v>CNK</v>
      </c>
      <c r="P52" t="str">
        <f t="shared" si="0"/>
        <v/>
      </c>
      <c r="U52" t="s">
        <v>2871</v>
      </c>
      <c r="V52" t="s">
        <v>2987</v>
      </c>
      <c r="W52" t="s">
        <v>405</v>
      </c>
      <c r="X52" t="str">
        <f>I26</f>
        <v>gas</v>
      </c>
      <c r="Y52" t="s">
        <v>1991</v>
      </c>
      <c r="AC52" t="s">
        <v>2344</v>
      </c>
      <c r="AD52" t="s">
        <v>3024</v>
      </c>
    </row>
    <row r="53" spans="11:30" x14ac:dyDescent="0.25">
      <c r="K53" t="str">
        <f>mapPRC!A48</f>
        <v>CERELC-E</v>
      </c>
      <c r="L53" t="str">
        <f>IFERROR(INDEX($X$7:$X$88,MATCH(mapPRC!D48,$W$7:$W$88,0)),"")</f>
        <v>com</v>
      </c>
      <c r="O53" t="str">
        <f>mapCOM!A48</f>
        <v>CNL</v>
      </c>
      <c r="P53" t="str">
        <f t="shared" si="0"/>
        <v/>
      </c>
      <c r="U53" t="s">
        <v>2868</v>
      </c>
      <c r="V53" t="s">
        <v>2988</v>
      </c>
      <c r="W53" t="s">
        <v>400</v>
      </c>
      <c r="X53" t="str">
        <f>I26</f>
        <v>gas</v>
      </c>
      <c r="Y53" t="s">
        <v>1990</v>
      </c>
      <c r="AC53" t="s">
        <v>2342</v>
      </c>
      <c r="AD53" t="s">
        <v>3023</v>
      </c>
    </row>
    <row r="54" spans="11:30" x14ac:dyDescent="0.25">
      <c r="K54" t="str">
        <f>mapPRC!A49</f>
        <v>CERELC-N</v>
      </c>
      <c r="L54" t="str">
        <f>IFERROR(INDEX($X$7:$X$88,MATCH(mapPRC!D49,$W$7:$W$88,0)),"")</f>
        <v>com</v>
      </c>
      <c r="O54" t="str">
        <f>mapCOM!A49</f>
        <v>CNO</v>
      </c>
      <c r="P54" t="str">
        <f t="shared" si="0"/>
        <v/>
      </c>
      <c r="U54" t="s">
        <v>2868</v>
      </c>
      <c r="V54" t="s">
        <v>2989</v>
      </c>
      <c r="W54" t="s">
        <v>392</v>
      </c>
      <c r="X54" t="str">
        <f>I23</f>
        <v>petr</v>
      </c>
      <c r="Y54" t="s">
        <v>1877</v>
      </c>
      <c r="AC54" t="s">
        <v>2340</v>
      </c>
      <c r="AD54" t="s">
        <v>3023</v>
      </c>
    </row>
    <row r="55" spans="11:30" x14ac:dyDescent="0.25">
      <c r="K55" t="str">
        <f>mapPRC!A50</f>
        <v>CETELC-E</v>
      </c>
      <c r="L55" t="str">
        <f>IFERROR(INDEX($X$7:$X$88,MATCH(mapPRC!D50,$W$7:$W$88,0)),"")</f>
        <v>com</v>
      </c>
      <c r="O55" t="str">
        <f>mapCOM!A50</f>
        <v>CNR</v>
      </c>
      <c r="P55" t="str">
        <f t="shared" si="0"/>
        <v/>
      </c>
      <c r="U55" t="s">
        <v>2868</v>
      </c>
      <c r="V55" t="s">
        <v>2990</v>
      </c>
      <c r="W55" t="s">
        <v>144</v>
      </c>
      <c r="X55" t="str">
        <f>I17</f>
        <v>elec</v>
      </c>
      <c r="Y55" t="s">
        <v>1876</v>
      </c>
      <c r="AC55" t="s">
        <v>2338</v>
      </c>
      <c r="AD55" t="s">
        <v>3023</v>
      </c>
    </row>
    <row r="56" spans="11:30" x14ac:dyDescent="0.25">
      <c r="K56" t="str">
        <f>mapPRC!A51</f>
        <v>CEWCOA-E</v>
      </c>
      <c r="L56" t="str">
        <f>IFERROR(INDEX($X$7:$X$88,MATCH(mapPRC!D51,$W$7:$W$88,0)),"")</f>
        <v>com</v>
      </c>
      <c r="O56" t="str">
        <f>mapCOM!A51</f>
        <v>CNT</v>
      </c>
      <c r="P56" t="str">
        <f t="shared" si="0"/>
        <v/>
      </c>
      <c r="U56" t="s">
        <v>2868</v>
      </c>
      <c r="V56" t="s">
        <v>2991</v>
      </c>
      <c r="Y56" t="s">
        <v>1875</v>
      </c>
      <c r="AC56" t="s">
        <v>2336</v>
      </c>
      <c r="AD56" t="s">
        <v>3027</v>
      </c>
    </row>
    <row r="57" spans="11:30" x14ac:dyDescent="0.25">
      <c r="K57" t="str">
        <f>mapPRC!A52</f>
        <v>CEWELC-E</v>
      </c>
      <c r="L57" t="str">
        <f>IFERROR(INDEX($X$7:$X$88,MATCH(mapPRC!D52,$W$7:$W$88,0)),"")</f>
        <v>com</v>
      </c>
      <c r="O57" t="str">
        <f>mapCOM!A52</f>
        <v>CNW</v>
      </c>
      <c r="P57" t="str">
        <f t="shared" si="0"/>
        <v/>
      </c>
      <c r="U57" t="s">
        <v>2868</v>
      </c>
      <c r="V57" t="s">
        <v>2992</v>
      </c>
      <c r="Y57" t="s">
        <v>1874</v>
      </c>
      <c r="AC57" t="s">
        <v>2334</v>
      </c>
      <c r="AD57" t="s">
        <v>3023</v>
      </c>
    </row>
    <row r="58" spans="11:30" x14ac:dyDescent="0.25">
      <c r="K58" t="str">
        <f>mapPRC!A53</f>
        <v>CEWELCHP-N</v>
      </c>
      <c r="L58" t="str">
        <f>IFERROR(INDEX($X$7:$X$88,MATCH(mapPRC!D53,$W$7:$W$88,0)),"")</f>
        <v>com</v>
      </c>
      <c r="O58" t="str">
        <f>mapCOM!A53</f>
        <v>CO2EQS</v>
      </c>
      <c r="P58" t="str">
        <f t="shared" si="0"/>
        <v/>
      </c>
      <c r="U58" t="s">
        <v>2868</v>
      </c>
      <c r="V58" t="s">
        <v>2993</v>
      </c>
      <c r="Y58" t="s">
        <v>1873</v>
      </c>
      <c r="AC58" t="s">
        <v>2332</v>
      </c>
      <c r="AD58" t="s">
        <v>3028</v>
      </c>
    </row>
    <row r="59" spans="11:30" x14ac:dyDescent="0.25">
      <c r="K59" t="str">
        <f>mapPRC!A54</f>
        <v>CEWELC-N</v>
      </c>
      <c r="L59" t="str">
        <f>IFERROR(INDEX($X$7:$X$88,MATCH(mapPRC!D54,$W$7:$W$88,0)),"")</f>
        <v>com</v>
      </c>
      <c r="O59" t="str">
        <f>mapCOM!A54</f>
        <v>CO2S</v>
      </c>
      <c r="P59" t="str">
        <f t="shared" si="0"/>
        <v/>
      </c>
      <c r="U59" t="s">
        <v>3168</v>
      </c>
      <c r="V59" t="s">
        <v>2968</v>
      </c>
      <c r="Y59" t="s">
        <v>1872</v>
      </c>
      <c r="AC59" t="s">
        <v>2330</v>
      </c>
      <c r="AD59" t="s">
        <v>3028</v>
      </c>
    </row>
    <row r="60" spans="11:30" x14ac:dyDescent="0.25">
      <c r="K60" t="str">
        <f>mapPRC!A55</f>
        <v>CEWGAS-E</v>
      </c>
      <c r="L60" t="str">
        <f>IFERROR(INDEX($X$7:$X$88,MATCH(mapPRC!D55,$W$7:$W$88,0)),"")</f>
        <v>com</v>
      </c>
      <c r="O60" t="str">
        <f>mapCOM!A55</f>
        <v>CO2SF</v>
      </c>
      <c r="P60" t="str">
        <f t="shared" si="0"/>
        <v/>
      </c>
      <c r="U60" t="s">
        <v>3169</v>
      </c>
      <c r="V60" t="s">
        <v>2969</v>
      </c>
      <c r="Y60" t="s">
        <v>1871</v>
      </c>
      <c r="AC60" t="s">
        <v>2328</v>
      </c>
      <c r="AD60" t="s">
        <v>3028</v>
      </c>
    </row>
    <row r="61" spans="11:30" x14ac:dyDescent="0.25">
      <c r="K61" t="str">
        <f>mapPRC!A56</f>
        <v>CEWOKE-E</v>
      </c>
      <c r="L61" t="str">
        <f>IFERROR(INDEX($X$7:$X$88,MATCH(mapPRC!D56,$W$7:$W$88,0)),"")</f>
        <v>com</v>
      </c>
      <c r="O61" t="str">
        <f>mapCOM!A56</f>
        <v>CO2SP</v>
      </c>
      <c r="P61" t="str">
        <f t="shared" si="0"/>
        <v/>
      </c>
      <c r="Y61" t="s">
        <v>1870</v>
      </c>
      <c r="AC61" t="s">
        <v>2326</v>
      </c>
      <c r="AD61" t="s">
        <v>3023</v>
      </c>
    </row>
    <row r="62" spans="11:30" x14ac:dyDescent="0.25">
      <c r="K62" t="str">
        <f>mapPRC!A57</f>
        <v>CEWOLP-E</v>
      </c>
      <c r="L62" t="str">
        <f>IFERROR(INDEX($X$7:$X$88,MATCH(mapPRC!D57,$W$7:$W$88,0)),"")</f>
        <v>com</v>
      </c>
      <c r="O62" t="str">
        <f>mapCOM!A57</f>
        <v>COA</v>
      </c>
      <c r="P62" t="str">
        <f t="shared" si="0"/>
        <v>ccoal-hgh</v>
      </c>
      <c r="Y62" t="s">
        <v>1869</v>
      </c>
      <c r="AC62" t="s">
        <v>2324</v>
      </c>
      <c r="AD62" t="s">
        <v>3023</v>
      </c>
    </row>
    <row r="63" spans="11:30" x14ac:dyDescent="0.25">
      <c r="K63" t="str">
        <f>mapPRC!A58</f>
        <v>CNCELCCEN-E</v>
      </c>
      <c r="L63" t="str">
        <f>IFERROR(INDEX($X$7:$X$88,MATCH(mapPRC!D58,$W$7:$W$88,0)),"")</f>
        <v>com</v>
      </c>
      <c r="O63" t="str">
        <f>mapCOM!A58</f>
        <v>COK</v>
      </c>
      <c r="P63" t="str">
        <f t="shared" si="0"/>
        <v/>
      </c>
      <c r="Y63" t="s">
        <v>1867</v>
      </c>
      <c r="AC63" t="s">
        <v>2322</v>
      </c>
      <c r="AD63" t="s">
        <v>3023</v>
      </c>
    </row>
    <row r="64" spans="11:30" x14ac:dyDescent="0.25">
      <c r="K64" t="str">
        <f>mapPRC!A59</f>
        <v>CNCELCCEN-N</v>
      </c>
      <c r="L64" t="str">
        <f>IFERROR(INDEX($X$7:$X$88,MATCH(mapPRC!D59,$W$7:$W$88,0)),"")</f>
        <v>com</v>
      </c>
      <c r="O64" t="str">
        <f>mapCOM!A59</f>
        <v>COM_CHILLERHEAT-E</v>
      </c>
      <c r="P64" t="str">
        <f t="shared" si="0"/>
        <v/>
      </c>
      <c r="Y64" t="s">
        <v>1989</v>
      </c>
      <c r="AC64" t="s">
        <v>2320</v>
      </c>
      <c r="AD64" t="s">
        <v>3025</v>
      </c>
    </row>
    <row r="65" spans="11:30" x14ac:dyDescent="0.25">
      <c r="K65" t="str">
        <f>mapPRC!A60</f>
        <v>CNCELCCHIL-E</v>
      </c>
      <c r="L65" t="str">
        <f>IFERROR(INDEX($X$7:$X$88,MATCH(mapPRC!D60,$W$7:$W$88,0)),"")</f>
        <v>com</v>
      </c>
      <c r="O65" t="str">
        <f>mapCOM!A60</f>
        <v>COM_CHILLERHEAT-N</v>
      </c>
      <c r="P65" t="str">
        <f t="shared" si="0"/>
        <v/>
      </c>
      <c r="Y65" t="s">
        <v>1988</v>
      </c>
      <c r="AC65" t="s">
        <v>2318</v>
      </c>
      <c r="AD65" t="s">
        <v>3024</v>
      </c>
    </row>
    <row r="66" spans="11:30" x14ac:dyDescent="0.25">
      <c r="K66" t="str">
        <f>mapPRC!A61</f>
        <v>CNCELCHP-E</v>
      </c>
      <c r="L66" t="str">
        <f>IFERROR(INDEX($X$7:$X$88,MATCH(mapPRC!D61,$W$7:$W$88,0)),"")</f>
        <v>com</v>
      </c>
      <c r="O66" t="str">
        <f>mapCOM!A61</f>
        <v>COM_HEAT-E</v>
      </c>
      <c r="P66" t="str">
        <f t="shared" si="0"/>
        <v/>
      </c>
      <c r="Y66" t="s">
        <v>1986</v>
      </c>
      <c r="AC66" t="s">
        <v>2316</v>
      </c>
      <c r="AD66" t="s">
        <v>3024</v>
      </c>
    </row>
    <row r="67" spans="11:30" x14ac:dyDescent="0.25">
      <c r="K67" t="str">
        <f>mapPRC!A62</f>
        <v>CNCELCHP-N</v>
      </c>
      <c r="L67" t="str">
        <f>IFERROR(INDEX($X$7:$X$88,MATCH(mapPRC!D62,$W$7:$W$88,0)),"")</f>
        <v>com</v>
      </c>
      <c r="O67" t="str">
        <f>mapCOM!A62</f>
        <v>COM_HEAT-N</v>
      </c>
      <c r="P67" t="str">
        <f t="shared" si="0"/>
        <v/>
      </c>
      <c r="Y67" t="s">
        <v>1982</v>
      </c>
      <c r="AC67" t="s">
        <v>2314</v>
      </c>
      <c r="AD67" t="s">
        <v>3024</v>
      </c>
    </row>
    <row r="68" spans="11:30" x14ac:dyDescent="0.25">
      <c r="K68" t="str">
        <f>mapPRC!A63</f>
        <v>CNCELCROOM-E</v>
      </c>
      <c r="L68" t="str">
        <f>IFERROR(INDEX($X$7:$X$88,MATCH(mapPRC!D63,$W$7:$W$88,0)),"")</f>
        <v>com</v>
      </c>
      <c r="O68" t="str">
        <f>mapCOM!A63</f>
        <v>COMCH4</v>
      </c>
      <c r="P68" t="str">
        <f t="shared" si="0"/>
        <v/>
      </c>
      <c r="Y68" t="s">
        <v>1980</v>
      </c>
      <c r="AC68" t="s">
        <v>2312</v>
      </c>
      <c r="AD68" t="s">
        <v>3024</v>
      </c>
    </row>
    <row r="69" spans="11:30" x14ac:dyDescent="0.25">
      <c r="K69" t="str">
        <f>mapPRC!A64</f>
        <v>CNGELCHAL-E</v>
      </c>
      <c r="L69" t="str">
        <f>IFERROR(INDEX($X$7:$X$88,MATCH(mapPRC!D64,$W$7:$W$88,0)),"")</f>
        <v>com</v>
      </c>
      <c r="O69" t="str">
        <f>mapCOM!A64</f>
        <v>COMCH4S</v>
      </c>
      <c r="P69" t="str">
        <f t="shared" si="0"/>
        <v/>
      </c>
      <c r="Y69" t="s">
        <v>1979</v>
      </c>
      <c r="AC69" t="s">
        <v>2310</v>
      </c>
      <c r="AD69" t="s">
        <v>3024</v>
      </c>
    </row>
    <row r="70" spans="11:30" x14ac:dyDescent="0.25">
      <c r="K70" t="str">
        <f>mapPRC!A65</f>
        <v>CNGELCHPM-E</v>
      </c>
      <c r="L70" t="str">
        <f>IFERROR(INDEX($X$7:$X$88,MATCH(mapPRC!D65,$W$7:$W$88,0)),"")</f>
        <v>com</v>
      </c>
      <c r="O70" t="str">
        <f>mapCOM!A65</f>
        <v>COMCMOX</v>
      </c>
      <c r="P70" t="str">
        <f t="shared" si="0"/>
        <v/>
      </c>
      <c r="Y70" t="s">
        <v>1977</v>
      </c>
      <c r="AC70" t="s">
        <v>2308</v>
      </c>
      <c r="AD70" t="s">
        <v>3024</v>
      </c>
    </row>
    <row r="71" spans="11:30" x14ac:dyDescent="0.25">
      <c r="K71" t="str">
        <f>mapPRC!A66</f>
        <v>CNGELCHPS-E</v>
      </c>
      <c r="L71" t="str">
        <f>IFERROR(INDEX($X$7:$X$88,MATCH(mapPRC!D66,$W$7:$W$88,0)),"")</f>
        <v>com</v>
      </c>
      <c r="O71" t="str">
        <f>mapCOM!A66</f>
        <v>COMCO2</v>
      </c>
      <c r="P71" t="str">
        <f t="shared" ref="P71:P134" si="2">INDEX($AD$6:$AD$784,MATCH(O71,$AC$6:$AC$784,0))</f>
        <v/>
      </c>
      <c r="Y71" t="s">
        <v>1976</v>
      </c>
      <c r="AC71" t="s">
        <v>2306</v>
      </c>
      <c r="AD71" t="s">
        <v>3024</v>
      </c>
    </row>
    <row r="72" spans="11:30" x14ac:dyDescent="0.25">
      <c r="K72" t="str">
        <f>mapPRC!A67</f>
        <v>CNGELCINC-E</v>
      </c>
      <c r="L72" t="str">
        <f>IFERROR(INDEX($X$7:$X$88,MATCH(mapPRC!D67,$W$7:$W$88,0)),"")</f>
        <v>com</v>
      </c>
      <c r="O72" t="str">
        <f>mapCOM!A67</f>
        <v>COMCO2S</v>
      </c>
      <c r="P72" t="str">
        <f t="shared" si="2"/>
        <v/>
      </c>
      <c r="Y72" t="s">
        <v>1974</v>
      </c>
      <c r="AC72" t="s">
        <v>2304</v>
      </c>
      <c r="AD72" t="s">
        <v>3024</v>
      </c>
    </row>
    <row r="73" spans="11:30" x14ac:dyDescent="0.25">
      <c r="K73" t="str">
        <f>mapPRC!A68</f>
        <v>CNGELCLED-N</v>
      </c>
      <c r="L73" t="str">
        <f>IFERROR(INDEX($X$7:$X$88,MATCH(mapPRC!D68,$W$7:$W$88,0)),"")</f>
        <v>com</v>
      </c>
      <c r="O73" t="str">
        <f>mapCOM!A68</f>
        <v>COMCOA</v>
      </c>
      <c r="P73" t="str">
        <f t="shared" si="2"/>
        <v>ccoal-hgh</v>
      </c>
      <c r="Y73" t="s">
        <v>1970</v>
      </c>
      <c r="AC73" t="s">
        <v>2302</v>
      </c>
      <c r="AD73" t="s">
        <v>3024</v>
      </c>
    </row>
    <row r="74" spans="11:30" x14ac:dyDescent="0.25">
      <c r="K74" t="str">
        <f>mapPRC!A69</f>
        <v>CNGELCMHL-E</v>
      </c>
      <c r="L74" t="str">
        <f>IFERROR(INDEX($X$7:$X$88,MATCH(mapPRC!D69,$W$7:$W$88,0)),"")</f>
        <v>com</v>
      </c>
      <c r="O74" t="str">
        <f>mapCOM!A69</f>
        <v>COMELC</v>
      </c>
      <c r="P74" t="str">
        <f t="shared" si="2"/>
        <v>celec</v>
      </c>
      <c r="Y74" t="s">
        <v>1968</v>
      </c>
      <c r="AC74" t="s">
        <v>2300</v>
      </c>
      <c r="AD74" t="s">
        <v>3023</v>
      </c>
    </row>
    <row r="75" spans="11:30" x14ac:dyDescent="0.25">
      <c r="K75" t="str">
        <f>mapPRC!A70</f>
        <v>CNHCOA-E</v>
      </c>
      <c r="L75" t="str">
        <f>IFERROR(INDEX($X$7:$X$88,MATCH(mapPRC!D70,$W$7:$W$88,0)),"")</f>
        <v>com</v>
      </c>
      <c r="O75" t="str">
        <f>mapCOM!A70</f>
        <v>COMGAS</v>
      </c>
      <c r="P75" t="str">
        <f t="shared" si="2"/>
        <v>cngas</v>
      </c>
      <c r="Y75" t="s">
        <v>1967</v>
      </c>
      <c r="AC75" t="s">
        <v>2298</v>
      </c>
      <c r="AD75" t="s">
        <v>3023</v>
      </c>
    </row>
    <row r="76" spans="11:30" x14ac:dyDescent="0.25">
      <c r="K76" t="str">
        <f>mapPRC!A71</f>
        <v>CNHELC-E</v>
      </c>
      <c r="L76" t="str">
        <f>IFERROR(INDEX($X$7:$X$88,MATCH(mapPRC!D71,$W$7:$W$88,0)),"")</f>
        <v>com</v>
      </c>
      <c r="O76" t="str">
        <f>mapCOM!A71</f>
        <v>COMN2O</v>
      </c>
      <c r="P76" t="str">
        <f t="shared" si="2"/>
        <v/>
      </c>
      <c r="Y76" t="s">
        <v>1961</v>
      </c>
      <c r="AC76" t="s">
        <v>2296</v>
      </c>
      <c r="AD76" t="s">
        <v>3023</v>
      </c>
    </row>
    <row r="77" spans="11:30" x14ac:dyDescent="0.25">
      <c r="K77" t="str">
        <f>mapPRC!A72</f>
        <v>CNHELC-N</v>
      </c>
      <c r="L77" t="str">
        <f>IFERROR(INDEX($X$7:$X$88,MATCH(mapPRC!D72,$W$7:$W$88,0)),"")</f>
        <v>com</v>
      </c>
      <c r="O77" t="str">
        <f>mapCOM!A72</f>
        <v>COMN2OS</v>
      </c>
      <c r="P77" t="str">
        <f t="shared" si="2"/>
        <v/>
      </c>
      <c r="Y77" t="s">
        <v>1956</v>
      </c>
      <c r="AC77" t="s">
        <v>2294</v>
      </c>
      <c r="AD77" t="s">
        <v>3031</v>
      </c>
    </row>
    <row r="78" spans="11:30" x14ac:dyDescent="0.25">
      <c r="K78" t="str">
        <f>mapPRC!A73</f>
        <v>CNHGAS-E</v>
      </c>
      <c r="L78" t="str">
        <f>IFERROR(INDEX($X$7:$X$88,MATCH(mapPRC!D73,$W$7:$W$88,0)),"")</f>
        <v>com</v>
      </c>
      <c r="O78" t="str">
        <f>mapCOM!A73</f>
        <v>COMNMVS</v>
      </c>
      <c r="P78" t="str">
        <f t="shared" si="2"/>
        <v/>
      </c>
      <c r="Y78" t="s">
        <v>1955</v>
      </c>
      <c r="AC78" t="s">
        <v>2292</v>
      </c>
      <c r="AD78" t="s">
        <v>3023</v>
      </c>
    </row>
    <row r="79" spans="11:30" x14ac:dyDescent="0.25">
      <c r="K79" t="str">
        <f>mapPRC!A74</f>
        <v>CNHGAS-N</v>
      </c>
      <c r="L79" t="str">
        <f>IFERROR(INDEX($X$7:$X$88,MATCH(mapPRC!D74,$W$7:$W$88,0)),"")</f>
        <v>com</v>
      </c>
      <c r="O79" t="str">
        <f>mapCOM!A74</f>
        <v>COMNOX</v>
      </c>
      <c r="P79" t="str">
        <f t="shared" si="2"/>
        <v/>
      </c>
      <c r="Y79" t="s">
        <v>1954</v>
      </c>
      <c r="AC79" t="s">
        <v>2290</v>
      </c>
      <c r="AD79" t="s">
        <v>3023</v>
      </c>
    </row>
    <row r="80" spans="11:30" x14ac:dyDescent="0.25">
      <c r="K80" t="str">
        <f>mapPRC!A75</f>
        <v>CNKCOA-E</v>
      </c>
      <c r="L80" t="str">
        <f>IFERROR(INDEX($X$7:$X$88,MATCH(mapPRC!D75,$W$7:$W$88,0)),"")</f>
        <v>com</v>
      </c>
      <c r="O80" t="str">
        <f>mapCOM!A75</f>
        <v>COMNOXS</v>
      </c>
      <c r="P80" t="str">
        <f t="shared" si="2"/>
        <v/>
      </c>
      <c r="Y80" t="s">
        <v>1951</v>
      </c>
      <c r="AC80" t="s">
        <v>2288</v>
      </c>
      <c r="AD80" t="s">
        <v>3023</v>
      </c>
    </row>
    <row r="81" spans="11:30" x14ac:dyDescent="0.25">
      <c r="K81" t="str">
        <f>mapPRC!A76</f>
        <v>CNKELC-E</v>
      </c>
      <c r="L81" t="str">
        <f>IFERROR(INDEX($X$7:$X$88,MATCH(mapPRC!D76,$W$7:$W$88,0)),"")</f>
        <v>com</v>
      </c>
      <c r="O81" t="str">
        <f>mapCOM!A76</f>
        <v>COMODS</v>
      </c>
      <c r="P81" t="str">
        <f t="shared" si="2"/>
        <v>cpetr_d</v>
      </c>
      <c r="Y81" t="s">
        <v>1949</v>
      </c>
      <c r="AC81" t="s">
        <v>2286</v>
      </c>
      <c r="AD81" t="s">
        <v>3023</v>
      </c>
    </row>
    <row r="82" spans="11:30" x14ac:dyDescent="0.25">
      <c r="K82" t="str">
        <f>mapPRC!A77</f>
        <v>CNKOLP-E</v>
      </c>
      <c r="L82" t="str">
        <f>IFERROR(INDEX($X$7:$X$88,MATCH(mapPRC!D77,$W$7:$W$88,0)),"")</f>
        <v>com</v>
      </c>
      <c r="O82" t="str">
        <f>mapCOM!A77</f>
        <v>COMOGS</v>
      </c>
      <c r="P82" t="str">
        <f t="shared" si="2"/>
        <v/>
      </c>
      <c r="Y82" t="s">
        <v>1948</v>
      </c>
      <c r="AC82" t="s">
        <v>2284</v>
      </c>
      <c r="AD82" t="s">
        <v>3023</v>
      </c>
    </row>
    <row r="83" spans="11:30" x14ac:dyDescent="0.25">
      <c r="K83" t="str">
        <f>mapPRC!A78</f>
        <v>CNLELCCFL-E</v>
      </c>
      <c r="L83" t="str">
        <f>IFERROR(INDEX($X$7:$X$88,MATCH(mapPRC!D78,$W$7:$W$88,0)),"")</f>
        <v>com</v>
      </c>
      <c r="O83" t="str">
        <f>mapCOM!A78</f>
        <v>COMOHF</v>
      </c>
      <c r="P83" t="str">
        <f t="shared" si="2"/>
        <v>cpetr_o</v>
      </c>
      <c r="Y83" t="s">
        <v>1947</v>
      </c>
      <c r="AC83" t="s">
        <v>2282</v>
      </c>
      <c r="AD83" t="s">
        <v>3023</v>
      </c>
    </row>
    <row r="84" spans="11:30" x14ac:dyDescent="0.25">
      <c r="K84" t="str">
        <f>mapPRC!A79</f>
        <v>CNLELCFLU-E</v>
      </c>
      <c r="L84" t="str">
        <f>IFERROR(INDEX($X$7:$X$88,MATCH(mapPRC!D79,$W$7:$W$88,0)),"")</f>
        <v>com</v>
      </c>
      <c r="O84" t="str">
        <f>mapCOM!A79</f>
        <v>COMOKE</v>
      </c>
      <c r="P84" t="str">
        <f t="shared" si="2"/>
        <v>cpetr_o</v>
      </c>
      <c r="Y84" t="s">
        <v>1943</v>
      </c>
      <c r="AC84" t="s">
        <v>2280</v>
      </c>
      <c r="AD84" t="s">
        <v>3026</v>
      </c>
    </row>
    <row r="85" spans="11:30" x14ac:dyDescent="0.25">
      <c r="K85" t="str">
        <f>mapPRC!A80</f>
        <v>CNLELCHAL-E</v>
      </c>
      <c r="L85" t="str">
        <f>IFERROR(INDEX($X$7:$X$88,MATCH(mapPRC!D80,$W$7:$W$88,0)),"")</f>
        <v>com</v>
      </c>
      <c r="O85" t="str">
        <f>mapCOM!A80</f>
        <v>COMOLP</v>
      </c>
      <c r="P85" t="str">
        <f t="shared" si="2"/>
        <v>cpetr_o</v>
      </c>
      <c r="Y85" t="s">
        <v>1914</v>
      </c>
      <c r="AC85" t="s">
        <v>2278</v>
      </c>
      <c r="AD85" t="s">
        <v>3023</v>
      </c>
    </row>
    <row r="86" spans="11:30" x14ac:dyDescent="0.25">
      <c r="K86" t="str">
        <f>mapPRC!A81</f>
        <v>CNLELCHID-E</v>
      </c>
      <c r="L86" t="str">
        <f>IFERROR(INDEX($X$7:$X$88,MATCH(mapPRC!D81,$W$7:$W$88,0)),"")</f>
        <v>com</v>
      </c>
      <c r="O86" t="str">
        <f>mapCOM!A81</f>
        <v>COMP10S</v>
      </c>
      <c r="P86" t="str">
        <f t="shared" si="2"/>
        <v/>
      </c>
      <c r="Y86" t="s">
        <v>3138</v>
      </c>
      <c r="AC86" t="s">
        <v>2277</v>
      </c>
      <c r="AD86" t="s">
        <v>3025</v>
      </c>
    </row>
    <row r="87" spans="11:30" x14ac:dyDescent="0.25">
      <c r="K87" t="str">
        <f>mapPRC!A82</f>
        <v>CNLELCINC-E</v>
      </c>
      <c r="L87" t="str">
        <f>IFERROR(INDEX($X$7:$X$88,MATCH(mapPRC!D82,$W$7:$W$88,0)),"")</f>
        <v>com</v>
      </c>
      <c r="O87" t="str">
        <f>mapCOM!A82</f>
        <v>COMSOX</v>
      </c>
      <c r="P87" t="str">
        <f t="shared" si="2"/>
        <v/>
      </c>
      <c r="Y87" t="s">
        <v>3136</v>
      </c>
      <c r="AC87" t="s">
        <v>2276</v>
      </c>
      <c r="AD87" t="s">
        <v>3024</v>
      </c>
    </row>
    <row r="88" spans="11:30" x14ac:dyDescent="0.25">
      <c r="K88" t="str">
        <f>mapPRC!A83</f>
        <v>CNLELCLED-N</v>
      </c>
      <c r="L88" t="str">
        <f>IFERROR(INDEX($X$7:$X$88,MATCH(mapPRC!D83,$W$7:$W$88,0)),"")</f>
        <v>com</v>
      </c>
      <c r="O88" t="str">
        <f>mapCOM!A83</f>
        <v>COMSOXS</v>
      </c>
      <c r="P88" t="str">
        <f t="shared" si="2"/>
        <v/>
      </c>
      <c r="Y88" t="s">
        <v>1936</v>
      </c>
      <c r="AC88" t="s">
        <v>2274</v>
      </c>
      <c r="AD88" t="s">
        <v>3023</v>
      </c>
    </row>
    <row r="89" spans="11:30" x14ac:dyDescent="0.25">
      <c r="K89" t="str">
        <f>mapPRC!A84</f>
        <v>CNOCOA-E</v>
      </c>
      <c r="L89" t="str">
        <f>IFERROR(INDEX($X$7:$X$88,MATCH(mapPRC!D84,$W$7:$W$88,0)),"")</f>
        <v>com</v>
      </c>
      <c r="O89" t="str">
        <f>mapCOM!A84</f>
        <v>COMTHRM-E</v>
      </c>
      <c r="P89" t="str">
        <f t="shared" si="2"/>
        <v/>
      </c>
      <c r="Y89" t="s">
        <v>1916</v>
      </c>
      <c r="AC89" t="s">
        <v>2272</v>
      </c>
      <c r="AD89" t="s">
        <v>3023</v>
      </c>
    </row>
    <row r="90" spans="11:30" x14ac:dyDescent="0.25">
      <c r="K90" t="str">
        <f>mapPRC!A85</f>
        <v>CNOELC-E</v>
      </c>
      <c r="L90" t="str">
        <f>IFERROR(INDEX($X$7:$X$88,MATCH(mapPRC!D85,$W$7:$W$88,0)),"")</f>
        <v>com</v>
      </c>
      <c r="O90" t="str">
        <f>mapCOM!A85</f>
        <v>COMTHRM-N</v>
      </c>
      <c r="P90" t="str">
        <f t="shared" si="2"/>
        <v/>
      </c>
      <c r="Y90" t="s">
        <v>1934</v>
      </c>
      <c r="AC90" t="s">
        <v>2270</v>
      </c>
      <c r="AD90" t="s">
        <v>3023</v>
      </c>
    </row>
    <row r="91" spans="11:30" x14ac:dyDescent="0.25">
      <c r="K91" t="str">
        <f>mapPRC!A86</f>
        <v>CNOGAS-E</v>
      </c>
      <c r="L91" t="str">
        <f>IFERROR(INDEX($X$7:$X$88,MATCH(mapPRC!D86,$W$7:$W$88,0)),"")</f>
        <v>com</v>
      </c>
      <c r="O91" t="str">
        <f>mapCOM!A86</f>
        <v>CRB</v>
      </c>
      <c r="P91" t="str">
        <f t="shared" si="2"/>
        <v/>
      </c>
      <c r="Y91" t="s">
        <v>1932</v>
      </c>
      <c r="AC91" t="s">
        <v>2268</v>
      </c>
      <c r="AD91" t="s">
        <v>3027</v>
      </c>
    </row>
    <row r="92" spans="11:30" x14ac:dyDescent="0.25">
      <c r="K92" t="str">
        <f>mapPRC!A87</f>
        <v>CNOODS-E</v>
      </c>
      <c r="L92" t="str">
        <f>IFERROR(INDEX($X$7:$X$88,MATCH(mapPRC!D87,$W$7:$W$88,0)),"")</f>
        <v>com</v>
      </c>
      <c r="O92" t="str">
        <f>mapCOM!A87</f>
        <v>ELC</v>
      </c>
      <c r="P92" t="str">
        <f t="shared" si="2"/>
        <v>celec</v>
      </c>
      <c r="Y92" t="s">
        <v>1930</v>
      </c>
      <c r="AC92" t="s">
        <v>2266</v>
      </c>
      <c r="AD92" t="s">
        <v>3023</v>
      </c>
    </row>
    <row r="93" spans="11:30" x14ac:dyDescent="0.25">
      <c r="K93" t="str">
        <f>mapPRC!A88</f>
        <v>CNOOGS-E</v>
      </c>
      <c r="L93" t="str">
        <f>IFERROR(INDEX($X$7:$X$88,MATCH(mapPRC!D88,$W$7:$W$88,0)),"")</f>
        <v>com</v>
      </c>
      <c r="O93" t="str">
        <f>mapCOM!A88</f>
        <v>ELCC</v>
      </c>
      <c r="P93" t="str">
        <f t="shared" si="2"/>
        <v>celec</v>
      </c>
      <c r="Y93" t="s">
        <v>1928</v>
      </c>
      <c r="AC93" t="s">
        <v>2265</v>
      </c>
      <c r="AD93" t="s">
        <v>3028</v>
      </c>
    </row>
    <row r="94" spans="11:30" x14ac:dyDescent="0.25">
      <c r="K94" t="str">
        <f>mapPRC!A89</f>
        <v>CNOOHF-E</v>
      </c>
      <c r="L94" t="str">
        <f>IFERROR(INDEX($X$7:$X$88,MATCH(mapPRC!D89,$W$7:$W$88,0)),"")</f>
        <v>com</v>
      </c>
      <c r="O94" t="str">
        <f>mapCOM!A89</f>
        <v>FEORE</v>
      </c>
      <c r="P94" t="str">
        <f t="shared" si="2"/>
        <v/>
      </c>
      <c r="Y94" t="s">
        <v>1926</v>
      </c>
      <c r="AC94" t="s">
        <v>2263</v>
      </c>
      <c r="AD94" t="s">
        <v>3028</v>
      </c>
    </row>
    <row r="95" spans="11:30" x14ac:dyDescent="0.25">
      <c r="K95" t="str">
        <f>mapPRC!A90</f>
        <v>CNOOKE-E</v>
      </c>
      <c r="L95" t="str">
        <f>IFERROR(INDEX($X$7:$X$88,MATCH(mapPRC!D90,$W$7:$W$88,0)),"")</f>
        <v>com</v>
      </c>
      <c r="O95" t="str">
        <f>mapCOM!A90</f>
        <v>flab-m</v>
      </c>
      <c r="P95" t="str">
        <f t="shared" si="2"/>
        <v/>
      </c>
      <c r="Y95" t="s">
        <v>1924</v>
      </c>
      <c r="AC95" t="s">
        <v>2261</v>
      </c>
      <c r="AD95" t="s">
        <v>3023</v>
      </c>
    </row>
    <row r="96" spans="11:30" x14ac:dyDescent="0.25">
      <c r="K96" t="str">
        <f>mapPRC!A91</f>
        <v>CNRELC-E</v>
      </c>
      <c r="L96" t="str">
        <f>IFERROR(INDEX($X$7:$X$88,MATCH(mapPRC!D91,$W$7:$W$88,0)),"")</f>
        <v>com</v>
      </c>
      <c r="O96" t="str">
        <f>mapCOM!A91</f>
        <v>flab-p</v>
      </c>
      <c r="P96" t="str">
        <f t="shared" si="2"/>
        <v/>
      </c>
      <c r="Y96" t="s">
        <v>1922</v>
      </c>
      <c r="AC96" t="s">
        <v>2259</v>
      </c>
      <c r="AD96" t="s">
        <v>3023</v>
      </c>
    </row>
    <row r="97" spans="11:30" x14ac:dyDescent="0.25">
      <c r="K97" t="str">
        <f>mapPRC!A92</f>
        <v>CNRELC-N</v>
      </c>
      <c r="L97" t="str">
        <f>IFERROR(INDEX($X$7:$X$88,MATCH(mapPRC!D92,$W$7:$W$88,0)),"")</f>
        <v>com</v>
      </c>
      <c r="O97" t="str">
        <f>mapCOM!A92</f>
        <v>flab-s</v>
      </c>
      <c r="P97" t="str">
        <f t="shared" si="2"/>
        <v/>
      </c>
      <c r="Y97" t="s">
        <v>1920</v>
      </c>
      <c r="AC97" t="s">
        <v>2257</v>
      </c>
      <c r="AD97" t="s">
        <v>3023</v>
      </c>
    </row>
    <row r="98" spans="11:30" x14ac:dyDescent="0.25">
      <c r="K98" t="str">
        <f>mapPRC!A93</f>
        <v>CNTELC-E</v>
      </c>
      <c r="L98" t="str">
        <f>IFERROR(INDEX($X$7:$X$88,MATCH(mapPRC!D93,$W$7:$W$88,0)),"")</f>
        <v>com</v>
      </c>
      <c r="O98" t="str">
        <f>mapCOM!A93</f>
        <v>flab-t</v>
      </c>
      <c r="P98" t="str">
        <f t="shared" si="2"/>
        <v/>
      </c>
      <c r="Y98" t="s">
        <v>1918</v>
      </c>
      <c r="AC98" t="s">
        <v>2094</v>
      </c>
      <c r="AD98" t="s">
        <v>3023</v>
      </c>
    </row>
    <row r="99" spans="11:30" x14ac:dyDescent="0.25">
      <c r="K99" t="str">
        <f>mapPRC!A94</f>
        <v>CNWCOA-E</v>
      </c>
      <c r="L99" t="str">
        <f>IFERROR(INDEX($X$7:$X$88,MATCH(mapPRC!D94,$W$7:$W$88,0)),"")</f>
        <v>com</v>
      </c>
      <c r="O99" t="str">
        <f>mapCOM!A94</f>
        <v>GAS</v>
      </c>
      <c r="P99" t="str">
        <f t="shared" si="2"/>
        <v>cngas</v>
      </c>
      <c r="Y99" t="s">
        <v>1912</v>
      </c>
      <c r="AC99" t="s">
        <v>2091</v>
      </c>
      <c r="AD99" t="s">
        <v>3023</v>
      </c>
    </row>
    <row r="100" spans="11:30" x14ac:dyDescent="0.25">
      <c r="K100" t="str">
        <f>mapPRC!A95</f>
        <v>CNWELC-E</v>
      </c>
      <c r="L100" t="str">
        <f>IFERROR(INDEX($X$7:$X$88,MATCH(mapPRC!D95,$W$7:$W$88,0)),"")</f>
        <v>com</v>
      </c>
      <c r="O100" t="str">
        <f>mapCOM!A95</f>
        <v>GIB</v>
      </c>
      <c r="P100" t="str">
        <f t="shared" si="2"/>
        <v>cngas</v>
      </c>
      <c r="Y100" t="s">
        <v>1908</v>
      </c>
      <c r="AC100" t="s">
        <v>2088</v>
      </c>
      <c r="AD100" t="s">
        <v>3023</v>
      </c>
    </row>
    <row r="101" spans="11:30" x14ac:dyDescent="0.25">
      <c r="K101" t="str">
        <f>mapPRC!A96</f>
        <v>CNWELCHP-N</v>
      </c>
      <c r="L101" t="str">
        <f>IFERROR(INDEX($X$7:$X$88,MATCH(mapPRC!D96,$W$7:$W$88,0)),"")</f>
        <v>com</v>
      </c>
      <c r="O101" t="str">
        <f>mapCOM!A96</f>
        <v>GIC</v>
      </c>
      <c r="P101" t="str">
        <f t="shared" si="2"/>
        <v>cngas</v>
      </c>
      <c r="Y101" t="s">
        <v>1910</v>
      </c>
      <c r="AC101" t="s">
        <v>2252</v>
      </c>
      <c r="AD101" t="s">
        <v>3023</v>
      </c>
    </row>
    <row r="102" spans="11:30" x14ac:dyDescent="0.25">
      <c r="K102" t="str">
        <f>mapPRC!A97</f>
        <v>CNWELC-N</v>
      </c>
      <c r="L102" t="str">
        <f>IFERROR(INDEX($X$7:$X$88,MATCH(mapPRC!D97,$W$7:$W$88,0)),"")</f>
        <v>com</v>
      </c>
      <c r="O102" t="str">
        <f>mapCOM!A97</f>
        <v>GIH</v>
      </c>
      <c r="P102" t="str">
        <f t="shared" si="2"/>
        <v>cngas</v>
      </c>
      <c r="Y102" t="s">
        <v>1906</v>
      </c>
      <c r="AC102" t="s">
        <v>2250</v>
      </c>
      <c r="AD102" t="s">
        <v>3028</v>
      </c>
    </row>
    <row r="103" spans="11:30" x14ac:dyDescent="0.25">
      <c r="K103" t="str">
        <f>mapPRC!A98</f>
        <v>CNWGAS-E</v>
      </c>
      <c r="L103" t="str">
        <f>IFERROR(INDEX($X$7:$X$88,MATCH(mapPRC!D98,$W$7:$W$88,0)),"")</f>
        <v>com</v>
      </c>
      <c r="O103" t="str">
        <f>mapCOM!A98</f>
        <v>GIM</v>
      </c>
      <c r="P103" t="str">
        <f t="shared" si="2"/>
        <v>cngas</v>
      </c>
      <c r="Y103" t="s">
        <v>1904</v>
      </c>
      <c r="AC103" t="s">
        <v>2248</v>
      </c>
      <c r="AD103" t="s">
        <v>3032</v>
      </c>
    </row>
    <row r="104" spans="11:30" x14ac:dyDescent="0.25">
      <c r="K104" t="str">
        <f>mapPRC!A99</f>
        <v>CNWOKE-E</v>
      </c>
      <c r="L104" t="str">
        <f>IFERROR(INDEX($X$7:$X$88,MATCH(mapPRC!D99,$W$7:$W$88,0)),"")</f>
        <v>com</v>
      </c>
      <c r="O104" t="str">
        <f>mapCOM!A99</f>
        <v>GRL</v>
      </c>
      <c r="P104" t="str">
        <f t="shared" si="2"/>
        <v>cngas</v>
      </c>
      <c r="Y104" t="s">
        <v>1902</v>
      </c>
      <c r="AC104" t="s">
        <v>2246</v>
      </c>
      <c r="AD104" t="s">
        <v>3027</v>
      </c>
    </row>
    <row r="105" spans="11:30" x14ac:dyDescent="0.25">
      <c r="K105" t="str">
        <f>mapPRC!A100</f>
        <v>CNWOLP-E</v>
      </c>
      <c r="L105" t="str">
        <f>IFERROR(INDEX($X$7:$X$88,MATCH(mapPRC!D100,$W$7:$W$88,0)),"")</f>
        <v>com</v>
      </c>
      <c r="O105" t="str">
        <f>mapCOM!A100</f>
        <v>GRM</v>
      </c>
      <c r="P105" t="str">
        <f t="shared" si="2"/>
        <v>cngas</v>
      </c>
      <c r="Y105" t="s">
        <v>1900</v>
      </c>
      <c r="AC105" t="s">
        <v>2244</v>
      </c>
      <c r="AD105" t="s">
        <v>3033</v>
      </c>
    </row>
    <row r="106" spans="11:30" x14ac:dyDescent="0.25">
      <c r="K106" t="str">
        <f>mapPRC!A101</f>
        <v>COM_ACHILLER-E</v>
      </c>
      <c r="L106" t="str">
        <f>IFERROR(INDEX($X$7:$X$88,MATCH(mapPRC!D101,$W$7:$W$88,0)),"")</f>
        <v/>
      </c>
      <c r="O106" t="str">
        <f>mapCOM!A101</f>
        <v>GRN</v>
      </c>
      <c r="P106" t="str">
        <f t="shared" si="2"/>
        <v>cngas</v>
      </c>
      <c r="Y106" t="s">
        <v>1898</v>
      </c>
      <c r="AC106" t="s">
        <v>2242</v>
      </c>
      <c r="AD106" t="s">
        <v>3028</v>
      </c>
    </row>
    <row r="107" spans="11:30" x14ac:dyDescent="0.25">
      <c r="K107" t="str">
        <f>mapPRC!A102</f>
        <v>COM_ACHILLER-N</v>
      </c>
      <c r="L107" t="str">
        <f>IFERROR(INDEX($X$7:$X$88,MATCH(mapPRC!D102,$W$7:$W$88,0)),"")</f>
        <v/>
      </c>
      <c r="O107" t="str">
        <f>mapCOM!A102</f>
        <v>GRS</v>
      </c>
      <c r="P107" t="str">
        <f t="shared" si="2"/>
        <v>cngas</v>
      </c>
      <c r="Y107" t="s">
        <v>1896</v>
      </c>
      <c r="AC107" t="s">
        <v>2240</v>
      </c>
      <c r="AD107" t="s">
        <v>3028</v>
      </c>
    </row>
    <row r="108" spans="11:30" x14ac:dyDescent="0.25">
      <c r="K108" t="str">
        <f>mapPRC!A103</f>
        <v>COM_HEATER-E</v>
      </c>
      <c r="L108" t="str">
        <f>IFERROR(INDEX($X$7:$X$88,MATCH(mapPRC!D103,$W$7:$W$88,0)),"")</f>
        <v/>
      </c>
      <c r="O108" t="str">
        <f>mapCOM!A103</f>
        <v>GWL</v>
      </c>
      <c r="P108" t="str">
        <f t="shared" si="2"/>
        <v>cngas</v>
      </c>
      <c r="Y108" t="s">
        <v>1894</v>
      </c>
      <c r="AC108" t="s">
        <v>2238</v>
      </c>
      <c r="AD108" t="s">
        <v>3028</v>
      </c>
    </row>
    <row r="109" spans="11:30" x14ac:dyDescent="0.25">
      <c r="K109" t="str">
        <f>mapPRC!A104</f>
        <v>COM_HEATER-N</v>
      </c>
      <c r="L109" t="str">
        <f>IFERROR(INDEX($X$7:$X$88,MATCH(mapPRC!D104,$W$7:$W$88,0)),"")</f>
        <v/>
      </c>
      <c r="O109" t="str">
        <f>mapCOM!A104</f>
        <v>HEE</v>
      </c>
      <c r="P109" t="str">
        <f t="shared" si="2"/>
        <v/>
      </c>
      <c r="Y109" t="s">
        <v>1892</v>
      </c>
      <c r="AC109" t="s">
        <v>2236</v>
      </c>
      <c r="AD109" t="s">
        <v>3023</v>
      </c>
    </row>
    <row r="110" spans="11:30" x14ac:dyDescent="0.25">
      <c r="K110" t="str">
        <f>mapPRC!A105</f>
        <v>COMTHRM_SWITCH-E</v>
      </c>
      <c r="L110" t="str">
        <f>IFERROR(INDEX($X$7:$X$88,MATCH(mapPRC!D105,$W$7:$W$88,0)),"")</f>
        <v/>
      </c>
      <c r="O110" t="str">
        <f>mapCOM!A105</f>
        <v>HEN</v>
      </c>
      <c r="P110" t="str">
        <f t="shared" si="2"/>
        <v/>
      </c>
      <c r="Y110" t="s">
        <v>1890</v>
      </c>
      <c r="AC110" t="s">
        <v>2235</v>
      </c>
      <c r="AD110" t="s">
        <v>3023</v>
      </c>
    </row>
    <row r="111" spans="11:30" x14ac:dyDescent="0.25">
      <c r="K111" t="str">
        <f>mapPRC!A106</f>
        <v>COMTHRM_SWITCH-N</v>
      </c>
      <c r="L111" t="str">
        <f>IFERROR(INDEX($X$7:$X$88,MATCH(mapPRC!D106,$W$7:$W$88,0)),"")</f>
        <v/>
      </c>
      <c r="O111" t="str">
        <f>mapCOM!A106</f>
        <v>HET</v>
      </c>
      <c r="P111" t="str">
        <f t="shared" si="2"/>
        <v/>
      </c>
      <c r="Y111" t="s">
        <v>2058</v>
      </c>
      <c r="AC111" t="s">
        <v>2233</v>
      </c>
      <c r="AD111" t="s">
        <v>3023</v>
      </c>
    </row>
    <row r="112" spans="11:30" x14ac:dyDescent="0.25">
      <c r="K112" t="str">
        <f>mapPRC!A107</f>
        <v>COMTRI_1-E</v>
      </c>
      <c r="L112" t="str">
        <f>IFERROR(INDEX($X$7:$X$88,MATCH(mapPRC!D107,$W$7:$W$88,0)),"")</f>
        <v/>
      </c>
      <c r="O112" t="str">
        <f>mapCOM!A107</f>
        <v>HGN</v>
      </c>
      <c r="P112" t="str">
        <f t="shared" si="2"/>
        <v>chydr</v>
      </c>
      <c r="Y112" t="s">
        <v>2057</v>
      </c>
      <c r="AC112" t="s">
        <v>2232</v>
      </c>
      <c r="AD112" t="s">
        <v>3023</v>
      </c>
    </row>
    <row r="113" spans="11:30" x14ac:dyDescent="0.25">
      <c r="K113" t="str">
        <f>mapPRC!A108</f>
        <v>COMTRI_1-N</v>
      </c>
      <c r="L113" t="str">
        <f>IFERROR(INDEX($X$7:$X$88,MATCH(mapPRC!D108,$W$7:$W$88,0)),"")</f>
        <v/>
      </c>
      <c r="O113" t="str">
        <f>mapCOM!A108</f>
        <v>HYD</v>
      </c>
      <c r="P113" t="str">
        <f t="shared" si="2"/>
        <v/>
      </c>
      <c r="Y113" t="s">
        <v>2056</v>
      </c>
      <c r="AC113" t="s">
        <v>2231</v>
      </c>
      <c r="AD113" t="s">
        <v>3023</v>
      </c>
    </row>
    <row r="114" spans="11:30" x14ac:dyDescent="0.25">
      <c r="K114" t="str">
        <f>mapPRC!A109</f>
        <v>EP_FLAB-M</v>
      </c>
      <c r="L114" t="str">
        <f>IFERROR(INDEX($X$7:$X$88,MATCH(mapPRC!D109,$W$7:$W$88,0)),"")</f>
        <v/>
      </c>
      <c r="O114" t="str">
        <f>mapCOM!A109</f>
        <v>IALM</v>
      </c>
      <c r="P114" t="str">
        <f t="shared" si="2"/>
        <v/>
      </c>
      <c r="Y114" t="s">
        <v>2055</v>
      </c>
      <c r="AC114" t="s">
        <v>2228</v>
      </c>
      <c r="AD114" t="s">
        <v>3023</v>
      </c>
    </row>
    <row r="115" spans="11:30" x14ac:dyDescent="0.25">
      <c r="K115" t="str">
        <f>mapPRC!A110</f>
        <v>EP_FLAB-P</v>
      </c>
      <c r="L115" t="str">
        <f>IFERROR(INDEX($X$7:$X$88,MATCH(mapPRC!D110,$W$7:$W$88,0)),"")</f>
        <v/>
      </c>
      <c r="O115" t="str">
        <f>mapCOM!A110</f>
        <v>ICPA</v>
      </c>
      <c r="P115" t="str">
        <f t="shared" si="2"/>
        <v/>
      </c>
      <c r="Y115" t="s">
        <v>2054</v>
      </c>
      <c r="AC115" t="s">
        <v>2226</v>
      </c>
      <c r="AD115" t="s">
        <v>3029</v>
      </c>
    </row>
    <row r="116" spans="11:30" x14ac:dyDescent="0.25">
      <c r="K116" t="str">
        <f>mapPRC!A111</f>
        <v>EP_FLAB-S</v>
      </c>
      <c r="L116" t="str">
        <f>IFERROR(INDEX($X$7:$X$88,MATCH(mapPRC!D111,$W$7:$W$88,0)),"")</f>
        <v/>
      </c>
      <c r="O116" t="str">
        <f>mapCOM!A111</f>
        <v>ICPC</v>
      </c>
      <c r="P116" t="str">
        <f t="shared" si="2"/>
        <v/>
      </c>
      <c r="Y116" t="s">
        <v>2053</v>
      </c>
      <c r="AC116" t="s">
        <v>2224</v>
      </c>
      <c r="AD116" t="s">
        <v>3030</v>
      </c>
    </row>
    <row r="117" spans="11:30" x14ac:dyDescent="0.25">
      <c r="K117" t="str">
        <f>mapPRC!A112</f>
        <v>EP_FLAB-T</v>
      </c>
      <c r="L117" t="str">
        <f>IFERROR(INDEX($X$7:$X$88,MATCH(mapPRC!D112,$W$7:$W$88,0)),"")</f>
        <v/>
      </c>
      <c r="O117" t="str">
        <f>mapCOM!A112</f>
        <v>ICPE</v>
      </c>
      <c r="P117" t="str">
        <f t="shared" si="2"/>
        <v/>
      </c>
      <c r="Y117" t="s">
        <v>2052</v>
      </c>
      <c r="AC117" t="s">
        <v>2223</v>
      </c>
      <c r="AD117" t="s">
        <v>3023</v>
      </c>
    </row>
    <row r="118" spans="11:30" x14ac:dyDescent="0.25">
      <c r="K118" t="str">
        <f>mapPRC!A113</f>
        <v>EPTSTO-E</v>
      </c>
      <c r="L118" t="str">
        <f>IFERROR(INDEX($X$7:$X$88,MATCH(mapPRC!D113,$W$7:$W$88,0)),"")</f>
        <v>elec</v>
      </c>
      <c r="O118" t="str">
        <f>mapCOM!A113</f>
        <v>ICPELC</v>
      </c>
      <c r="P118" t="str">
        <f t="shared" si="2"/>
        <v>celec</v>
      </c>
      <c r="Y118" t="s">
        <v>2051</v>
      </c>
      <c r="AC118" t="s">
        <v>2220</v>
      </c>
      <c r="AD118" t="s">
        <v>3023</v>
      </c>
    </row>
    <row r="119" spans="11:30" x14ac:dyDescent="0.25">
      <c r="K119" t="str">
        <f>mapPRC!A114</f>
        <v>EPTSTO-N</v>
      </c>
      <c r="L119" t="str">
        <f>IFERROR(INDEX($X$7:$X$88,MATCH(mapPRC!D114,$W$7:$W$88,0)),"")</f>
        <v>elec</v>
      </c>
      <c r="O119" t="str">
        <f>mapCOM!A114</f>
        <v>ICPF</v>
      </c>
      <c r="P119" t="str">
        <f t="shared" si="2"/>
        <v/>
      </c>
      <c r="Y119" t="s">
        <v>2050</v>
      </c>
      <c r="AC119" t="s">
        <v>2218</v>
      </c>
      <c r="AD119" t="s">
        <v>3023</v>
      </c>
    </row>
    <row r="120" spans="11:30" x14ac:dyDescent="0.25">
      <c r="K120" t="str">
        <f>mapPRC!A115</f>
        <v>ERBIG-N</v>
      </c>
      <c r="L120" t="str">
        <f>IFERROR(INDEX($X$7:$X$88,MATCH(mapPRC!D115,$W$7:$W$88,0)),"")</f>
        <v>elec</v>
      </c>
      <c r="O120" t="str">
        <f>mapCOM!A115</f>
        <v>ICPGAS</v>
      </c>
      <c r="P120" t="str">
        <f t="shared" si="2"/>
        <v>cngas</v>
      </c>
      <c r="Y120" t="s">
        <v>2049</v>
      </c>
      <c r="AC120" t="s">
        <v>2215</v>
      </c>
      <c r="AD120" t="s">
        <v>3023</v>
      </c>
    </row>
    <row r="121" spans="11:30" x14ac:dyDescent="0.25">
      <c r="K121" t="str">
        <f>mapPRC!A116</f>
        <v>ERBIO-N</v>
      </c>
      <c r="L121" t="str">
        <f>IFERROR(INDEX($X$7:$X$88,MATCH(mapPRC!D116,$W$7:$W$88,0)),"")</f>
        <v>elec</v>
      </c>
      <c r="O121" t="str">
        <f>mapCOM!A116</f>
        <v>ICPH</v>
      </c>
      <c r="P121" t="str">
        <f t="shared" si="2"/>
        <v/>
      </c>
      <c r="Y121" t="s">
        <v>2047</v>
      </c>
      <c r="AC121" t="s">
        <v>2213</v>
      </c>
      <c r="AD121" t="s">
        <v>3023</v>
      </c>
    </row>
    <row r="122" spans="11:30" x14ac:dyDescent="0.25">
      <c r="K122" t="str">
        <f>mapPRC!A117</f>
        <v>ERHYDB-I</v>
      </c>
      <c r="L122" t="str">
        <f>IFERROR(INDEX($X$7:$X$88,MATCH(mapPRC!D117,$W$7:$W$88,0)),"")</f>
        <v>elec</v>
      </c>
      <c r="O122" t="str">
        <f>mapCOM!A117</f>
        <v>ICPK</v>
      </c>
      <c r="P122" t="str">
        <f t="shared" si="2"/>
        <v/>
      </c>
      <c r="Y122" t="s">
        <v>2045</v>
      </c>
      <c r="AC122" t="s">
        <v>2212</v>
      </c>
      <c r="AD122" t="s">
        <v>3024</v>
      </c>
    </row>
    <row r="123" spans="11:30" x14ac:dyDescent="0.25">
      <c r="K123" t="str">
        <f>mapPRC!A118</f>
        <v>ERHYD-E</v>
      </c>
      <c r="L123" t="str">
        <f>IFERROR(INDEX($X$7:$X$88,MATCH(mapPRC!D118,$W$7:$W$88,0)),"")</f>
        <v>elec</v>
      </c>
      <c r="O123" t="str">
        <f>mapCOM!A118</f>
        <v>ICPL</v>
      </c>
      <c r="P123" t="str">
        <f t="shared" si="2"/>
        <v/>
      </c>
      <c r="Y123" t="s">
        <v>2043</v>
      </c>
      <c r="AC123" t="s">
        <v>2211</v>
      </c>
      <c r="AD123" t="s">
        <v>3024</v>
      </c>
    </row>
    <row r="124" spans="11:30" x14ac:dyDescent="0.25">
      <c r="K124" t="str">
        <f>mapPRC!A119</f>
        <v>ERHYDF-I</v>
      </c>
      <c r="L124" t="str">
        <f>IFERROR(INDEX($X$7:$X$88,MATCH(mapPRC!D119,$W$7:$W$88,0)),"")</f>
        <v>elec</v>
      </c>
      <c r="O124" t="str">
        <f>mapCOM!A119</f>
        <v>ICPO</v>
      </c>
      <c r="P124" t="str">
        <f t="shared" si="2"/>
        <v/>
      </c>
      <c r="Y124" t="s">
        <v>2041</v>
      </c>
      <c r="AC124" t="s">
        <v>2210</v>
      </c>
      <c r="AD124" t="s">
        <v>3024</v>
      </c>
    </row>
    <row r="125" spans="11:30" x14ac:dyDescent="0.25">
      <c r="K125" t="str">
        <f>mapPRC!A120</f>
        <v>ERHYDGIE-I</v>
      </c>
      <c r="L125" t="str">
        <f>IFERROR(INDEX($X$7:$X$88,MATCH(mapPRC!D120,$W$7:$W$88,0)),"")</f>
        <v>elec</v>
      </c>
      <c r="O125" t="str">
        <f>mapCOM!A120</f>
        <v>ICPP</v>
      </c>
      <c r="P125" t="str">
        <f t="shared" si="2"/>
        <v/>
      </c>
      <c r="Y125" t="s">
        <v>2039</v>
      </c>
      <c r="AC125" t="s">
        <v>2209</v>
      </c>
      <c r="AD125" t="s">
        <v>3024</v>
      </c>
    </row>
    <row r="126" spans="11:30" x14ac:dyDescent="0.25">
      <c r="K126" t="str">
        <f>mapPRC!A121</f>
        <v>ERHYDGIW-I</v>
      </c>
      <c r="L126" t="str">
        <f>IFERROR(INDEX($X$7:$X$88,MATCH(mapPRC!D121,$W$7:$W$88,0)),"")</f>
        <v>elec</v>
      </c>
      <c r="O126" t="str">
        <f>mapCOM!A121</f>
        <v>ICPS</v>
      </c>
      <c r="P126" t="str">
        <f t="shared" si="2"/>
        <v/>
      </c>
      <c r="Y126" t="s">
        <v>2037</v>
      </c>
      <c r="AC126" t="s">
        <v>2208</v>
      </c>
      <c r="AD126" t="s">
        <v>3024</v>
      </c>
    </row>
    <row r="127" spans="11:30" x14ac:dyDescent="0.25">
      <c r="K127" t="str">
        <f>mapPRC!A122</f>
        <v>ERHYDH-I</v>
      </c>
      <c r="L127" t="str">
        <f>IFERROR(INDEX($X$7:$X$88,MATCH(mapPRC!D122,$W$7:$W$88,0)),"")</f>
        <v>elec</v>
      </c>
      <c r="O127" t="str">
        <f>mapCOM!A122</f>
        <v>ICPT</v>
      </c>
      <c r="P127" t="str">
        <f t="shared" si="2"/>
        <v/>
      </c>
      <c r="Y127" t="s">
        <v>2035</v>
      </c>
      <c r="AC127" t="s">
        <v>2207</v>
      </c>
      <c r="AD127" t="s">
        <v>3024</v>
      </c>
    </row>
    <row r="128" spans="11:30" x14ac:dyDescent="0.25">
      <c r="K128" t="str">
        <f>mapPRC!A123</f>
        <v>ERHYD-I</v>
      </c>
      <c r="L128" t="str">
        <f>IFERROR(INDEX($X$7:$X$88,MATCH(mapPRC!D123,$W$7:$W$88,0)),"")</f>
        <v>elec</v>
      </c>
      <c r="O128" t="str">
        <f>mapCOM!A123</f>
        <v>IFAM</v>
      </c>
      <c r="P128" t="str">
        <f t="shared" si="2"/>
        <v/>
      </c>
      <c r="Y128" t="s">
        <v>2033</v>
      </c>
      <c r="AC128" t="s">
        <v>2206</v>
      </c>
      <c r="AD128" t="s">
        <v>3023</v>
      </c>
    </row>
    <row r="129" spans="11:30" x14ac:dyDescent="0.25">
      <c r="K129" t="str">
        <f>mapPRC!A124</f>
        <v>ERHYDI-I</v>
      </c>
      <c r="L129" t="str">
        <f>IFERROR(INDEX($X$7:$X$88,MATCH(mapPRC!D124,$W$7:$W$88,0)),"")</f>
        <v>elec</v>
      </c>
      <c r="O129" t="str">
        <f>mapCOM!A124</f>
        <v>IFAELC</v>
      </c>
      <c r="P129" t="str">
        <f t="shared" si="2"/>
        <v>celec</v>
      </c>
      <c r="Y129" t="s">
        <v>1886</v>
      </c>
      <c r="AC129" t="s">
        <v>2204</v>
      </c>
      <c r="AD129" t="s">
        <v>3023</v>
      </c>
    </row>
    <row r="130" spans="11:30" x14ac:dyDescent="0.25">
      <c r="K130" t="str">
        <f>mapPRC!A125</f>
        <v>ERHYDK-I</v>
      </c>
      <c r="L130" t="str">
        <f>IFERROR(INDEX($X$7:$X$88,MATCH(mapPRC!D125,$W$7:$W$88,0)),"")</f>
        <v>elec</v>
      </c>
      <c r="O130" t="str">
        <f>mapCOM!A125</f>
        <v>IFAGAS</v>
      </c>
      <c r="P130" t="str">
        <f t="shared" si="2"/>
        <v>cngas</v>
      </c>
      <c r="Y130" t="s">
        <v>1884</v>
      </c>
      <c r="AC130" t="s">
        <v>2201</v>
      </c>
      <c r="AD130" t="s">
        <v>3023</v>
      </c>
    </row>
    <row r="131" spans="11:30" x14ac:dyDescent="0.25">
      <c r="K131" t="str">
        <f>mapPRC!A126</f>
        <v>ERHYDM-I</v>
      </c>
      <c r="L131" t="str">
        <f>IFERROR(INDEX($X$7:$X$88,MATCH(mapPRC!D126,$W$7:$W$88,0)),"")</f>
        <v>elec</v>
      </c>
      <c r="O131" t="str">
        <f>mapCOM!A126</f>
        <v>IFBA</v>
      </c>
      <c r="P131" t="str">
        <f t="shared" si="2"/>
        <v/>
      </c>
      <c r="Y131" t="s">
        <v>1883</v>
      </c>
      <c r="AC131" t="s">
        <v>2199</v>
      </c>
      <c r="AD131" t="s">
        <v>3023</v>
      </c>
    </row>
    <row r="132" spans="11:30" x14ac:dyDescent="0.25">
      <c r="K132" t="str">
        <f>mapPRC!A127</f>
        <v>ERHYD-N</v>
      </c>
      <c r="L132" t="str">
        <f>IFERROR(INDEX($X$7:$X$88,MATCH(mapPRC!D127,$W$7:$W$88,0)),"")</f>
        <v>elec</v>
      </c>
      <c r="O132" t="str">
        <f>mapCOM!A127</f>
        <v>IFBC</v>
      </c>
      <c r="P132" t="str">
        <f t="shared" si="2"/>
        <v/>
      </c>
      <c r="Y132" t="s">
        <v>1881</v>
      </c>
      <c r="AC132" t="s">
        <v>2196</v>
      </c>
      <c r="AD132" t="s">
        <v>3023</v>
      </c>
    </row>
    <row r="133" spans="11:30" x14ac:dyDescent="0.25">
      <c r="K133" t="str">
        <f>mapPRC!A128</f>
        <v>ERSOLPCF-N</v>
      </c>
      <c r="L133" t="str">
        <f>IFERROR(INDEX($X$7:$X$88,MATCH(mapPRC!D128,$W$7:$W$88,0)),"")</f>
        <v>elec</v>
      </c>
      <c r="O133" t="str">
        <f>mapCOM!A128</f>
        <v>IFBE</v>
      </c>
      <c r="P133" t="str">
        <f t="shared" si="2"/>
        <v/>
      </c>
      <c r="Y133" t="s">
        <v>1879</v>
      </c>
      <c r="AC133" t="s">
        <v>2194</v>
      </c>
      <c r="AD133" t="s">
        <v>3023</v>
      </c>
    </row>
    <row r="134" spans="11:30" x14ac:dyDescent="0.25">
      <c r="K134" t="str">
        <f>mapPRC!A129</f>
        <v>ERSOLPCT-N</v>
      </c>
      <c r="L134" t="str">
        <f>IFERROR(INDEX($X$7:$X$88,MATCH(mapPRC!D129,$W$7:$W$88,0)),"")</f>
        <v>elec</v>
      </c>
      <c r="O134" t="str">
        <f>mapCOM!A129</f>
        <v>IFBELC</v>
      </c>
      <c r="P134" t="str">
        <f t="shared" si="2"/>
        <v>celec</v>
      </c>
      <c r="Y134" t="s">
        <v>1868</v>
      </c>
      <c r="AC134" t="s">
        <v>2191</v>
      </c>
      <c r="AD134" t="s">
        <v>3023</v>
      </c>
    </row>
    <row r="135" spans="11:30" x14ac:dyDescent="0.25">
      <c r="K135" t="str">
        <f>mapPRC!A130</f>
        <v>ERSOLPICP-N</v>
      </c>
      <c r="L135" t="str">
        <f>IFERROR(INDEX($X$7:$X$88,MATCH(mapPRC!D130,$W$7:$W$88,0)),"")</f>
        <v>elec</v>
      </c>
      <c r="O135" t="str">
        <f>mapCOM!A130</f>
        <v>IFBF</v>
      </c>
      <c r="P135" t="str">
        <f t="shared" ref="P135:P198" si="3">INDEX($AD$6:$AD$784,MATCH(O135,$AC$6:$AC$784,0))</f>
        <v/>
      </c>
      <c r="Y135" t="s">
        <v>1866</v>
      </c>
      <c r="AC135" t="s">
        <v>2189</v>
      </c>
      <c r="AD135" t="s">
        <v>3023</v>
      </c>
    </row>
    <row r="136" spans="11:30" x14ac:dyDescent="0.25">
      <c r="K136" t="str">
        <f>mapPRC!A131</f>
        <v>ERSOLPIFA-N</v>
      </c>
      <c r="L136" t="str">
        <f>IFERROR(INDEX($X$7:$X$88,MATCH(mapPRC!D131,$W$7:$W$88,0)),"")</f>
        <v>elec</v>
      </c>
      <c r="O136" t="str">
        <f>mapCOM!A131</f>
        <v>IFBGAS</v>
      </c>
      <c r="P136" t="str">
        <f t="shared" si="3"/>
        <v>cngas</v>
      </c>
      <c r="Y136" t="s">
        <v>1864</v>
      </c>
      <c r="AC136" t="s">
        <v>2187</v>
      </c>
      <c r="AD136" t="s">
        <v>3027</v>
      </c>
    </row>
    <row r="137" spans="11:30" x14ac:dyDescent="0.25">
      <c r="K137" t="str">
        <f>mapPRC!A132</f>
        <v>ERSOLPIFB-N</v>
      </c>
      <c r="L137" t="str">
        <f>IFERROR(INDEX($X$7:$X$88,MATCH(mapPRC!D132,$W$7:$W$88,0)),"")</f>
        <v>elec</v>
      </c>
      <c r="O137" t="str">
        <f>mapCOM!A132</f>
        <v>IFBH</v>
      </c>
      <c r="P137" t="str">
        <f t="shared" si="3"/>
        <v/>
      </c>
      <c r="Y137" t="s">
        <v>3146</v>
      </c>
      <c r="AC137" t="s">
        <v>2186</v>
      </c>
      <c r="AD137" t="s">
        <v>3023</v>
      </c>
    </row>
    <row r="138" spans="11:30" x14ac:dyDescent="0.25">
      <c r="K138" t="str">
        <f>mapPRC!A133</f>
        <v>ERSOLPIIS-N</v>
      </c>
      <c r="L138" t="str">
        <f>IFERROR(INDEX($X$7:$X$88,MATCH(mapPRC!D133,$W$7:$W$88,0)),"")</f>
        <v>elec</v>
      </c>
      <c r="O138" t="str">
        <f>mapCOM!A133</f>
        <v>IFBK</v>
      </c>
      <c r="P138" t="str">
        <f t="shared" si="3"/>
        <v/>
      </c>
      <c r="AC138" t="s">
        <v>2183</v>
      </c>
      <c r="AD138" t="s">
        <v>3023</v>
      </c>
    </row>
    <row r="139" spans="11:30" x14ac:dyDescent="0.25">
      <c r="K139" t="str">
        <f>mapPRC!A134</f>
        <v>ERSOLPINF-N</v>
      </c>
      <c r="L139" t="str">
        <f>IFERROR(INDEX($X$7:$X$88,MATCH(mapPRC!D134,$W$7:$W$88,0)),"")</f>
        <v>elec</v>
      </c>
      <c r="O139" t="str">
        <f>mapCOM!A134</f>
        <v>IFBL</v>
      </c>
      <c r="P139" t="str">
        <f t="shared" si="3"/>
        <v/>
      </c>
      <c r="AC139" t="s">
        <v>2181</v>
      </c>
      <c r="AD139" t="s">
        <v>3023</v>
      </c>
    </row>
    <row r="140" spans="11:30" x14ac:dyDescent="0.25">
      <c r="K140" t="str">
        <f>mapPRC!A135</f>
        <v>ERSOLPINM-N</v>
      </c>
      <c r="L140" t="str">
        <f>IFERROR(INDEX($X$7:$X$88,MATCH(mapPRC!D135,$W$7:$W$88,0)),"")</f>
        <v>elec</v>
      </c>
      <c r="O140" t="str">
        <f>mapCOM!A135</f>
        <v>IFBO</v>
      </c>
      <c r="P140" t="str">
        <f t="shared" si="3"/>
        <v/>
      </c>
      <c r="AC140" t="s">
        <v>2180</v>
      </c>
      <c r="AD140" t="s">
        <v>3023</v>
      </c>
    </row>
    <row r="141" spans="11:30" x14ac:dyDescent="0.25">
      <c r="K141" t="str">
        <f>mapPRC!A136</f>
        <v>ERSOLPIOT-N</v>
      </c>
      <c r="L141" t="str">
        <f>IFERROR(INDEX($X$7:$X$88,MATCH(mapPRC!D136,$W$7:$W$88,0)),"")</f>
        <v>elec</v>
      </c>
      <c r="O141" t="str">
        <f>mapCOM!A136</f>
        <v>IFBP</v>
      </c>
      <c r="P141" t="str">
        <f t="shared" si="3"/>
        <v/>
      </c>
      <c r="AC141" t="s">
        <v>2177</v>
      </c>
      <c r="AD141" t="s">
        <v>3023</v>
      </c>
    </row>
    <row r="142" spans="11:30" x14ac:dyDescent="0.25">
      <c r="K142" t="str">
        <f>mapPRC!A137</f>
        <v>ERSOLPIPP-N</v>
      </c>
      <c r="L142" t="str">
        <f>IFERROR(INDEX($X$7:$X$88,MATCH(mapPRC!D137,$W$7:$W$88,0)),"")</f>
        <v>elec</v>
      </c>
      <c r="O142" t="str">
        <f>mapCOM!A137</f>
        <v>IFBS</v>
      </c>
      <c r="P142" t="str">
        <f t="shared" si="3"/>
        <v/>
      </c>
      <c r="AC142" t="s">
        <v>2175</v>
      </c>
      <c r="AD142" t="s">
        <v>3023</v>
      </c>
    </row>
    <row r="143" spans="11:30" x14ac:dyDescent="0.25">
      <c r="K143" t="str">
        <f>mapPRC!A138</f>
        <v>ERSOLPRC-N</v>
      </c>
      <c r="L143" t="str">
        <f>IFERROR(INDEX($X$7:$X$88,MATCH(mapPRC!D138,$W$7:$W$88,0)),"")</f>
        <v>elec</v>
      </c>
      <c r="O143" t="str">
        <f>mapCOM!A138</f>
        <v>IISBIO</v>
      </c>
      <c r="P143" t="str">
        <f t="shared" si="3"/>
        <v/>
      </c>
      <c r="AC143" t="s">
        <v>2174</v>
      </c>
      <c r="AD143" t="s">
        <v>3023</v>
      </c>
    </row>
    <row r="144" spans="11:30" x14ac:dyDescent="0.25">
      <c r="K144" t="str">
        <f>mapPRC!A139</f>
        <v>ERSOLPRI-N</v>
      </c>
      <c r="L144" t="str">
        <f>IFERROR(INDEX($X$7:$X$88,MATCH(mapPRC!D139,$W$7:$W$88,0)),"")</f>
        <v>elec</v>
      </c>
      <c r="O144" t="str">
        <f>mapCOM!A139</f>
        <v>IISCKC</v>
      </c>
      <c r="P144" t="str">
        <f t="shared" si="3"/>
        <v/>
      </c>
      <c r="AC144" t="s">
        <v>2170</v>
      </c>
      <c r="AD144" t="s">
        <v>3023</v>
      </c>
    </row>
    <row r="145" spans="11:30" x14ac:dyDescent="0.25">
      <c r="K145" t="str">
        <f>mapPRC!A140</f>
        <v>ERSOLPRR-N</v>
      </c>
      <c r="L145" t="str">
        <f>IFERROR(INDEX($X$7:$X$88,MATCH(mapPRC!D140,$W$7:$W$88,0)),"")</f>
        <v>elec</v>
      </c>
      <c r="O145" t="str">
        <f>mapCOM!A140</f>
        <v>IISCKE</v>
      </c>
      <c r="P145" t="str">
        <f t="shared" si="3"/>
        <v>ccoal-hgh</v>
      </c>
      <c r="AC145" t="s">
        <v>2168</v>
      </c>
      <c r="AD145" t="s">
        <v>3023</v>
      </c>
    </row>
    <row r="146" spans="11:30" x14ac:dyDescent="0.25">
      <c r="K146" t="str">
        <f>mapPRC!A141</f>
        <v>ERSOLTC03-N</v>
      </c>
      <c r="L146" t="str">
        <f>IFERROR(INDEX($X$7:$X$88,MATCH(mapPRC!D141,$W$7:$W$88,0)),"")</f>
        <v>elec</v>
      </c>
      <c r="O146" t="str">
        <f>mapCOM!A141</f>
        <v>IISCO2</v>
      </c>
      <c r="P146" t="str">
        <f t="shared" si="3"/>
        <v/>
      </c>
      <c r="AC146" t="s">
        <v>2166</v>
      </c>
      <c r="AD146" t="s">
        <v>3023</v>
      </c>
    </row>
    <row r="147" spans="11:30" x14ac:dyDescent="0.25">
      <c r="K147" t="str">
        <f>mapPRC!A142</f>
        <v>ERSOLTC06-N</v>
      </c>
      <c r="L147" t="str">
        <f>IFERROR(INDEX($X$7:$X$88,MATCH(mapPRC!D142,$W$7:$W$88,0)),"")</f>
        <v>elec</v>
      </c>
      <c r="O147" t="str">
        <f>mapCOM!A142</f>
        <v>IISCOA</v>
      </c>
      <c r="P147" t="str">
        <f t="shared" si="3"/>
        <v>ccoal-hgh</v>
      </c>
      <c r="AC147" t="s">
        <v>2164</v>
      </c>
      <c r="AD147" t="s">
        <v>3026</v>
      </c>
    </row>
    <row r="148" spans="11:30" x14ac:dyDescent="0.25">
      <c r="K148" t="str">
        <f>mapPRC!A143</f>
        <v>ERSOLTC09C-N</v>
      </c>
      <c r="L148" t="str">
        <f>IFERROR(INDEX($X$7:$X$88,MATCH(mapPRC!D143,$W$7:$W$88,0)),"")</f>
        <v>elec</v>
      </c>
      <c r="O148" t="str">
        <f>mapCOM!A143</f>
        <v>IISCOG</v>
      </c>
      <c r="P148" t="str">
        <f t="shared" si="3"/>
        <v/>
      </c>
      <c r="AC148" t="s">
        <v>2162</v>
      </c>
      <c r="AD148" t="s">
        <v>3025</v>
      </c>
    </row>
    <row r="149" spans="11:30" x14ac:dyDescent="0.25">
      <c r="K149" t="str">
        <f>mapPRC!A144</f>
        <v>ERSOLTC09-N</v>
      </c>
      <c r="L149" t="str">
        <f>IFERROR(INDEX($X$7:$X$88,MATCH(mapPRC!D144,$W$7:$W$88,0)),"")</f>
        <v>elec</v>
      </c>
      <c r="O149" t="str">
        <f>mapCOM!A144</f>
        <v>IISCRS</v>
      </c>
      <c r="P149" t="str">
        <f t="shared" si="3"/>
        <v/>
      </c>
      <c r="AC149" t="s">
        <v>2160</v>
      </c>
      <c r="AD149" t="s">
        <v>3024</v>
      </c>
    </row>
    <row r="150" spans="11:30" x14ac:dyDescent="0.25">
      <c r="K150" t="str">
        <f>mapPRC!A145</f>
        <v>ERSOLTC12-N</v>
      </c>
      <c r="L150" t="str">
        <f>IFERROR(INDEX($X$7:$X$88,MATCH(mapPRC!D145,$W$7:$W$88,0)),"")</f>
        <v>elec</v>
      </c>
      <c r="O150" t="str">
        <f>mapCOM!A145</f>
        <v>IISELC</v>
      </c>
      <c r="P150" t="str">
        <f t="shared" si="3"/>
        <v>celec</v>
      </c>
      <c r="AC150" t="s">
        <v>2158</v>
      </c>
      <c r="AD150" t="s">
        <v>3023</v>
      </c>
    </row>
    <row r="151" spans="11:30" x14ac:dyDescent="0.25">
      <c r="K151" t="str">
        <f>mapPRC!A146</f>
        <v>ERSOLTC14-N</v>
      </c>
      <c r="L151" t="str">
        <f>IFERROR(INDEX($X$7:$X$88,MATCH(mapPRC!D146,$W$7:$W$88,0)),"")</f>
        <v>elec</v>
      </c>
      <c r="O151" t="str">
        <f>mapCOM!A146</f>
        <v>IISGAS</v>
      </c>
      <c r="P151" t="str">
        <f t="shared" si="3"/>
        <v>cngas</v>
      </c>
      <c r="AC151" t="s">
        <v>2156</v>
      </c>
      <c r="AD151" t="s">
        <v>3023</v>
      </c>
    </row>
    <row r="152" spans="11:30" x14ac:dyDescent="0.25">
      <c r="K152" t="str">
        <f>mapPRC!A147</f>
        <v>ERSOLTT00-N</v>
      </c>
      <c r="L152" t="str">
        <f>IFERROR(INDEX($X$7:$X$88,MATCH(mapPRC!D147,$W$7:$W$88,0)),"")</f>
        <v>elec</v>
      </c>
      <c r="O152" t="str">
        <f>mapCOM!A147</f>
        <v>IISHBI</v>
      </c>
      <c r="P152" t="str">
        <f t="shared" si="3"/>
        <v/>
      </c>
      <c r="AC152" t="s">
        <v>2154</v>
      </c>
      <c r="AD152" t="s">
        <v>3023</v>
      </c>
    </row>
    <row r="153" spans="11:30" x14ac:dyDescent="0.25">
      <c r="K153" t="str">
        <f>mapPRC!A148</f>
        <v>ERSOLTT03-N</v>
      </c>
      <c r="L153" t="str">
        <f>IFERROR(INDEX($X$7:$X$88,MATCH(mapPRC!D148,$W$7:$W$88,0)),"")</f>
        <v>elec</v>
      </c>
      <c r="O153" t="str">
        <f>mapCOM!A148</f>
        <v>IISHGCRS</v>
      </c>
      <c r="P153" t="str">
        <f t="shared" si="3"/>
        <v/>
      </c>
      <c r="AC153" t="s">
        <v>2152</v>
      </c>
      <c r="AD153" t="s">
        <v>3028</v>
      </c>
    </row>
    <row r="154" spans="11:30" x14ac:dyDescent="0.25">
      <c r="K154" t="str">
        <f>mapPRC!A149</f>
        <v>ERSOLTT06-N</v>
      </c>
      <c r="L154" t="str">
        <f>IFERROR(INDEX($X$7:$X$88,MATCH(mapPRC!D149,$W$7:$W$88,0)),"")</f>
        <v>elec</v>
      </c>
      <c r="O154" t="str">
        <f>mapCOM!A149</f>
        <v>IISHHELC</v>
      </c>
      <c r="P154" t="str">
        <f t="shared" si="3"/>
        <v>celec</v>
      </c>
      <c r="AC154" t="s">
        <v>2150</v>
      </c>
      <c r="AD154" t="s">
        <v>3028</v>
      </c>
    </row>
    <row r="155" spans="11:30" x14ac:dyDescent="0.25">
      <c r="K155" t="str">
        <f>mapPRC!A150</f>
        <v>ERSOLTT09-N</v>
      </c>
      <c r="L155" t="str">
        <f>IFERROR(INDEX($X$7:$X$88,MATCH(mapPRC!D150,$W$7:$W$88,0)),"")</f>
        <v>elec</v>
      </c>
      <c r="O155" t="str">
        <f>mapCOM!A150</f>
        <v>IISHHGN</v>
      </c>
      <c r="P155" t="str">
        <f t="shared" si="3"/>
        <v>chydr</v>
      </c>
      <c r="AC155" t="s">
        <v>2148</v>
      </c>
      <c r="AD155" t="s">
        <v>3023</v>
      </c>
    </row>
    <row r="156" spans="11:30" x14ac:dyDescent="0.25">
      <c r="K156" t="str">
        <f>mapPRC!A151</f>
        <v>ERWNDH-N</v>
      </c>
      <c r="L156" t="str">
        <f>IFERROR(INDEX($X$7:$X$88,MATCH(mapPRC!D151,$W$7:$W$88,0)),"")</f>
        <v>elec</v>
      </c>
      <c r="O156" t="str">
        <f>mapCOM!A151</f>
        <v>IISHOXY</v>
      </c>
      <c r="P156" t="str">
        <f t="shared" si="3"/>
        <v/>
      </c>
      <c r="AC156" t="s">
        <v>2146</v>
      </c>
      <c r="AD156" t="s">
        <v>3023</v>
      </c>
    </row>
    <row r="157" spans="11:30" x14ac:dyDescent="0.25">
      <c r="K157" t="str">
        <f>mapPRC!A152</f>
        <v>ERWNDM-N</v>
      </c>
      <c r="L157" t="str">
        <f>IFERROR(INDEX($X$7:$X$88,MATCH(mapPRC!D152,$W$7:$W$88,0)),"")</f>
        <v>elec</v>
      </c>
      <c r="O157" t="str">
        <f>mapCOM!A152</f>
        <v>IISOIL</v>
      </c>
      <c r="P157" t="str">
        <f t="shared" si="3"/>
        <v>cpetr_o</v>
      </c>
      <c r="AC157" t="s">
        <v>2144</v>
      </c>
      <c r="AD157" t="s">
        <v>3023</v>
      </c>
    </row>
    <row r="158" spans="11:30" x14ac:dyDescent="0.25">
      <c r="K158" t="str">
        <f>mapPRC!A153</f>
        <v>ESTSCOM</v>
      </c>
      <c r="L158" t="str">
        <f>IFERROR(INDEX($X$7:$X$88,MATCH(mapPRC!D153,$W$7:$W$88,0)),"")</f>
        <v>elec</v>
      </c>
      <c r="O158" t="str">
        <f>mapCOM!A153</f>
        <v>IISOLP</v>
      </c>
      <c r="P158" t="str">
        <f t="shared" si="3"/>
        <v>cpetr_o</v>
      </c>
      <c r="AC158" t="s">
        <v>2079</v>
      </c>
      <c r="AD158" t="s">
        <v>3023</v>
      </c>
    </row>
    <row r="159" spans="11:30" x14ac:dyDescent="0.25">
      <c r="K159" t="str">
        <f>mapPRC!A154</f>
        <v>ESTSICP</v>
      </c>
      <c r="L159" t="str">
        <f>IFERROR(INDEX($X$7:$X$88,MATCH(mapPRC!D154,$W$7:$W$88,0)),"")</f>
        <v>elec</v>
      </c>
      <c r="O159" t="str">
        <f>mapCOM!A154</f>
        <v>IISSSC</v>
      </c>
      <c r="P159" t="str">
        <f t="shared" si="3"/>
        <v/>
      </c>
      <c r="AC159" t="s">
        <v>2140</v>
      </c>
      <c r="AD159" t="s">
        <v>3023</v>
      </c>
    </row>
    <row r="160" spans="11:30" x14ac:dyDescent="0.25">
      <c r="K160" t="str">
        <f>mapPRC!A155</f>
        <v>ESTSIFA</v>
      </c>
      <c r="L160" t="str">
        <f>IFERROR(INDEX($X$7:$X$88,MATCH(mapPRC!D155,$W$7:$W$88,0)),"")</f>
        <v>elec</v>
      </c>
      <c r="O160" t="str">
        <f>mapCOM!A155</f>
        <v>IISWAS</v>
      </c>
      <c r="P160" t="str">
        <f t="shared" si="3"/>
        <v/>
      </c>
      <c r="AC160" t="s">
        <v>2138</v>
      </c>
      <c r="AD160" t="s">
        <v>3023</v>
      </c>
    </row>
    <row r="161" spans="11:30" x14ac:dyDescent="0.25">
      <c r="K161" t="str">
        <f>mapPRC!A156</f>
        <v>ESTSIFB</v>
      </c>
      <c r="L161" t="str">
        <f>IFERROR(INDEX($X$7:$X$88,MATCH(mapPRC!D156,$W$7:$W$88,0)),"")</f>
        <v>elec</v>
      </c>
      <c r="O161" t="str">
        <f>mapCOM!A156</f>
        <v>IMECOA</v>
      </c>
      <c r="P161" t="str">
        <f t="shared" si="3"/>
        <v/>
      </c>
      <c r="AC161" t="s">
        <v>2136</v>
      </c>
      <c r="AD161" t="s">
        <v>3023</v>
      </c>
    </row>
    <row r="162" spans="11:30" x14ac:dyDescent="0.25">
      <c r="K162" t="str">
        <f>mapPRC!A157</f>
        <v>ESTSIIS</v>
      </c>
      <c r="L162" t="str">
        <f>IFERROR(INDEX($X$7:$X$88,MATCH(mapPRC!D157,$W$7:$W$88,0)),"")</f>
        <v>elec</v>
      </c>
      <c r="O162" t="str">
        <f>mapCOM!A157</f>
        <v>IMIA</v>
      </c>
      <c r="P162" t="str">
        <f t="shared" si="3"/>
        <v/>
      </c>
      <c r="AC162" t="s">
        <v>2134</v>
      </c>
      <c r="AD162" t="s">
        <v>3025</v>
      </c>
    </row>
    <row r="163" spans="11:30" x14ac:dyDescent="0.25">
      <c r="K163" t="str">
        <f>mapPRC!A158</f>
        <v>ESTSINF</v>
      </c>
      <c r="L163" t="str">
        <f>IFERROR(INDEX($X$7:$X$88,MATCH(mapPRC!D158,$W$7:$W$88,0)),"")</f>
        <v>elec</v>
      </c>
      <c r="O163" t="str">
        <f>mapCOM!A158</f>
        <v>IMIC</v>
      </c>
      <c r="P163" t="str">
        <f t="shared" si="3"/>
        <v/>
      </c>
      <c r="AC163" t="s">
        <v>2133</v>
      </c>
      <c r="AD163" t="s">
        <v>3024</v>
      </c>
    </row>
    <row r="164" spans="11:30" x14ac:dyDescent="0.25">
      <c r="K164" t="str">
        <f>mapPRC!A159</f>
        <v>ESTSINM</v>
      </c>
      <c r="L164" t="str">
        <f>IFERROR(INDEX($X$7:$X$88,MATCH(mapPRC!D159,$W$7:$W$88,0)),"")</f>
        <v>elec</v>
      </c>
      <c r="O164" t="str">
        <f>mapCOM!A159</f>
        <v>IMIE</v>
      </c>
      <c r="P164" t="str">
        <f t="shared" si="3"/>
        <v/>
      </c>
      <c r="AC164" t="s">
        <v>2132</v>
      </c>
      <c r="AD164" t="s">
        <v>3031</v>
      </c>
    </row>
    <row r="165" spans="11:30" x14ac:dyDescent="0.25">
      <c r="K165" t="str">
        <f>mapPRC!A160</f>
        <v>ESTSIOT</v>
      </c>
      <c r="L165" t="str">
        <f>IFERROR(INDEX($X$7:$X$88,MATCH(mapPRC!D160,$W$7:$W$88,0)),"")</f>
        <v>elec</v>
      </c>
      <c r="O165" t="str">
        <f>mapCOM!A160</f>
        <v>IMIELC</v>
      </c>
      <c r="P165" t="str">
        <f t="shared" si="3"/>
        <v>celec</v>
      </c>
      <c r="AC165" t="s">
        <v>2131</v>
      </c>
      <c r="AD165" t="s">
        <v>3023</v>
      </c>
    </row>
    <row r="166" spans="11:30" x14ac:dyDescent="0.25">
      <c r="K166" t="str">
        <f>mapPRC!A161</f>
        <v>ESTSIPP</v>
      </c>
      <c r="L166" t="str">
        <f>IFERROR(INDEX($X$7:$X$88,MATCH(mapPRC!D161,$W$7:$W$88,0)),"")</f>
        <v>elec</v>
      </c>
      <c r="O166" t="str">
        <f>mapCOM!A161</f>
        <v>IMIF</v>
      </c>
      <c r="P166" t="str">
        <f t="shared" si="3"/>
        <v/>
      </c>
      <c r="AC166" t="s">
        <v>2129</v>
      </c>
      <c r="AD166" t="s">
        <v>3023</v>
      </c>
    </row>
    <row r="167" spans="11:30" x14ac:dyDescent="0.25">
      <c r="K167" t="str">
        <f>mapPRC!A162</f>
        <v>ESTSRES</v>
      </c>
      <c r="L167" t="str">
        <f>IFERROR(INDEX($X$7:$X$88,MATCH(mapPRC!D162,$W$7:$W$88,0)),"")</f>
        <v>elec</v>
      </c>
      <c r="O167" t="str">
        <f>mapCOM!A162</f>
        <v>IMIGAS</v>
      </c>
      <c r="P167" t="str">
        <f t="shared" si="3"/>
        <v>cngas</v>
      </c>
      <c r="AC167" t="s">
        <v>2127</v>
      </c>
      <c r="AD167" t="s">
        <v>3023</v>
      </c>
    </row>
    <row r="168" spans="11:30" x14ac:dyDescent="0.25">
      <c r="K168" t="str">
        <f>mapPRC!A163</f>
        <v>ESTSUTL</v>
      </c>
      <c r="L168" t="str">
        <f>IFERROR(INDEX($X$7:$X$88,MATCH(mapPRC!D163,$W$7:$W$88,0)),"")</f>
        <v>elec</v>
      </c>
      <c r="O168" t="str">
        <f>mapCOM!A163</f>
        <v>IMIH</v>
      </c>
      <c r="P168" t="str">
        <f t="shared" si="3"/>
        <v/>
      </c>
      <c r="AC168" t="s">
        <v>2125</v>
      </c>
      <c r="AD168" t="s">
        <v>3028</v>
      </c>
    </row>
    <row r="169" spans="11:30" x14ac:dyDescent="0.25">
      <c r="K169" t="str">
        <f>mapPRC!A164</f>
        <v>ETCLDFB-N</v>
      </c>
      <c r="L169" t="str">
        <f>IFERROR(INDEX($X$7:$X$88,MATCH(mapPRC!D164,$W$7:$W$88,0)),"")</f>
        <v>elec</v>
      </c>
      <c r="O169" t="str">
        <f>mapCOM!A164</f>
        <v>IMIK</v>
      </c>
      <c r="P169" t="str">
        <f t="shared" si="3"/>
        <v/>
      </c>
      <c r="AC169" t="s">
        <v>2122</v>
      </c>
      <c r="AD169" t="s">
        <v>3027</v>
      </c>
    </row>
    <row r="170" spans="11:30" x14ac:dyDescent="0.25">
      <c r="K170" t="str">
        <f>mapPRC!A165</f>
        <v>ETCLEARNO-E</v>
      </c>
      <c r="L170" t="str">
        <f>IFERROR(INDEX($X$7:$X$88,MATCH(mapPRC!D165,$W$7:$W$88,0)),"")</f>
        <v>elec</v>
      </c>
      <c r="O170" t="str">
        <f>mapCOM!A165</f>
        <v>IMIL</v>
      </c>
      <c r="P170" t="str">
        <f t="shared" si="3"/>
        <v/>
      </c>
      <c r="AC170" t="s">
        <v>2121</v>
      </c>
      <c r="AD170" t="s">
        <v>3033</v>
      </c>
    </row>
    <row r="171" spans="11:30" x14ac:dyDescent="0.25">
      <c r="K171" t="str">
        <f>mapPRC!A166</f>
        <v>ETCLECAMD-E</v>
      </c>
      <c r="L171" t="str">
        <f>IFERROR(INDEX($X$7:$X$88,MATCH(mapPRC!D166,$W$7:$W$88,0)),"")</f>
        <v>elec</v>
      </c>
      <c r="O171" t="str">
        <f>mapCOM!A166</f>
        <v>IMIO</v>
      </c>
      <c r="P171" t="str">
        <f t="shared" si="3"/>
        <v/>
      </c>
      <c r="AC171" t="s">
        <v>2120</v>
      </c>
      <c r="AD171" t="s">
        <v>3028</v>
      </c>
    </row>
    <row r="172" spans="11:30" x14ac:dyDescent="0.25">
      <c r="K172" t="str">
        <f>mapPRC!A167</f>
        <v>ETCLEDUVH-E</v>
      </c>
      <c r="L172" t="str">
        <f>IFERROR(INDEX($X$7:$X$88,MATCH(mapPRC!D167,$W$7:$W$88,0)),"")</f>
        <v>elec</v>
      </c>
      <c r="O172" t="str">
        <f>mapCOM!A167</f>
        <v>IMIP</v>
      </c>
      <c r="P172" t="str">
        <f t="shared" si="3"/>
        <v/>
      </c>
      <c r="AC172" t="s">
        <v>2119</v>
      </c>
      <c r="AD172" t="s">
        <v>3028</v>
      </c>
    </row>
    <row r="173" spans="11:30" x14ac:dyDescent="0.25">
      <c r="K173" t="str">
        <f>mapPRC!A168</f>
        <v>ETCLEGROO-E</v>
      </c>
      <c r="L173" t="str">
        <f>IFERROR(INDEX($X$7:$X$88,MATCH(mapPRC!D168,$W$7:$W$88,0)),"")</f>
        <v>elec</v>
      </c>
      <c r="O173" t="str">
        <f>mapCOM!A168</f>
        <v>IMIR</v>
      </c>
      <c r="P173" t="str">
        <f t="shared" si="3"/>
        <v/>
      </c>
      <c r="AC173" t="s">
        <v>2117</v>
      </c>
      <c r="AD173" t="s">
        <v>3023</v>
      </c>
    </row>
    <row r="174" spans="11:30" x14ac:dyDescent="0.25">
      <c r="K174" t="str">
        <f>mapPRC!A169</f>
        <v>ETCLEHEND-E</v>
      </c>
      <c r="L174" t="str">
        <f>IFERROR(INDEX($X$7:$X$88,MATCH(mapPRC!D169,$W$7:$W$88,0)),"")</f>
        <v>elec</v>
      </c>
      <c r="O174" t="str">
        <f>mapCOM!A169</f>
        <v>IMIS</v>
      </c>
      <c r="P174" t="str">
        <f t="shared" si="3"/>
        <v/>
      </c>
      <c r="AC174" t="s">
        <v>2115</v>
      </c>
      <c r="AD174" t="s">
        <v>3023</v>
      </c>
    </row>
    <row r="175" spans="11:30" x14ac:dyDescent="0.25">
      <c r="K175" t="str">
        <f>mapPRC!A170</f>
        <v>ETCLEIG-N</v>
      </c>
      <c r="L175" t="str">
        <f>IFERROR(INDEX($X$7:$X$88,MATCH(mapPRC!D170,$W$7:$W$88,0)),"")</f>
        <v>elec</v>
      </c>
      <c r="O175" t="str">
        <f>mapCOM!A170</f>
        <v>INDBIB</v>
      </c>
      <c r="P175" t="str">
        <f t="shared" si="3"/>
        <v/>
      </c>
      <c r="AC175" t="s">
        <v>2113</v>
      </c>
      <c r="AD175" t="s">
        <v>3023</v>
      </c>
    </row>
    <row r="176" spans="11:30" x14ac:dyDescent="0.25">
      <c r="K176" t="str">
        <f>mapPRC!A171</f>
        <v>ETCLEKELB-E</v>
      </c>
      <c r="L176" t="str">
        <f>IFERROR(INDEX($X$7:$X$88,MATCH(mapPRC!D171,$W$7:$W$88,0)),"")</f>
        <v>elec</v>
      </c>
      <c r="O176" t="str">
        <f>mapCOM!A171</f>
        <v>INDBIW</v>
      </c>
      <c r="P176" t="str">
        <f t="shared" si="3"/>
        <v/>
      </c>
      <c r="AC176" t="s">
        <v>2112</v>
      </c>
      <c r="AD176" t="s">
        <v>3023</v>
      </c>
    </row>
    <row r="177" spans="11:30" x14ac:dyDescent="0.25">
      <c r="K177" t="str">
        <f>mapPRC!A172</f>
        <v>ETCLEKEND-E</v>
      </c>
      <c r="L177" t="str">
        <f>IFERROR(INDEX($X$7:$X$88,MATCH(mapPRC!D172,$W$7:$W$88,0)),"")</f>
        <v>elec</v>
      </c>
      <c r="O177" t="str">
        <f>mapCOM!A172</f>
        <v>INDCF46P</v>
      </c>
      <c r="P177" t="str">
        <f t="shared" si="3"/>
        <v/>
      </c>
      <c r="AC177" t="s">
        <v>2111</v>
      </c>
      <c r="AD177" t="s">
        <v>3023</v>
      </c>
    </row>
    <row r="178" spans="11:30" x14ac:dyDescent="0.25">
      <c r="K178" t="str">
        <f>mapPRC!A173</f>
        <v>ETCLEKOMA-E</v>
      </c>
      <c r="L178" t="str">
        <f>IFERROR(INDEX($X$7:$X$88,MATCH(mapPRC!D173,$W$7:$W$88,0)),"")</f>
        <v>elec</v>
      </c>
      <c r="O178" t="str">
        <f>mapCOM!A173</f>
        <v>INDCH4</v>
      </c>
      <c r="P178" t="str">
        <f t="shared" si="3"/>
        <v/>
      </c>
      <c r="AC178" t="s">
        <v>2108</v>
      </c>
      <c r="AD178" t="s">
        <v>3030</v>
      </c>
    </row>
    <row r="179" spans="11:30" x14ac:dyDescent="0.25">
      <c r="K179" t="str">
        <f>mapPRC!A174</f>
        <v>ETCLEKRIE-E</v>
      </c>
      <c r="L179" t="str">
        <f>IFERROR(INDEX($X$7:$X$88,MATCH(mapPRC!D174,$W$7:$W$88,0)),"")</f>
        <v>elec</v>
      </c>
      <c r="O179" t="str">
        <f>mapCOM!A174</f>
        <v>INDCH4S</v>
      </c>
      <c r="P179" t="str">
        <f t="shared" si="3"/>
        <v/>
      </c>
      <c r="AC179" t="s">
        <v>2107</v>
      </c>
      <c r="AD179" t="s">
        <v>3023</v>
      </c>
    </row>
    <row r="180" spans="11:30" x14ac:dyDescent="0.25">
      <c r="K180" t="str">
        <f>mapPRC!A175</f>
        <v>ETCLEKUSI-N</v>
      </c>
      <c r="L180" t="str">
        <f>IFERROR(INDEX($X$7:$X$88,MATCH(mapPRC!D175,$W$7:$W$88,0)),"")</f>
        <v>elec</v>
      </c>
      <c r="O180" t="str">
        <f>mapCOM!A175</f>
        <v>INDCKC</v>
      </c>
      <c r="P180" t="str">
        <f t="shared" si="3"/>
        <v/>
      </c>
      <c r="AC180" t="s">
        <v>2104</v>
      </c>
      <c r="AD180" t="s">
        <v>3023</v>
      </c>
    </row>
    <row r="181" spans="11:30" x14ac:dyDescent="0.25">
      <c r="K181" t="str">
        <f>mapPRC!A176</f>
        <v>ETCLELETH-E</v>
      </c>
      <c r="L181" t="str">
        <f>IFERROR(INDEX($X$7:$X$88,MATCH(mapPRC!D176,$W$7:$W$88,0)),"")</f>
        <v>elec</v>
      </c>
      <c r="O181" t="str">
        <f>mapCOM!A176</f>
        <v>INDCLE</v>
      </c>
      <c r="P181" t="str">
        <f t="shared" si="3"/>
        <v>ccoal-low</v>
      </c>
      <c r="AC181" t="s">
        <v>2101</v>
      </c>
      <c r="AD181" t="s">
        <v>3025</v>
      </c>
    </row>
    <row r="182" spans="11:30" x14ac:dyDescent="0.25">
      <c r="K182" t="str">
        <f>mapPRC!A177</f>
        <v>ETCLEMAJD-E</v>
      </c>
      <c r="L182" t="str">
        <f>IFERROR(INDEX($X$7:$X$88,MATCH(mapPRC!D177,$W$7:$W$88,0)),"")</f>
        <v>elec</v>
      </c>
      <c r="O182" t="str">
        <f>mapCOM!A177</f>
        <v>INDCMOX</v>
      </c>
      <c r="P182" t="str">
        <f t="shared" si="3"/>
        <v/>
      </c>
      <c r="AC182" t="s">
        <v>2100</v>
      </c>
      <c r="AD182" t="s">
        <v>3024</v>
      </c>
    </row>
    <row r="183" spans="11:30" x14ac:dyDescent="0.25">
      <c r="K183" t="str">
        <f>mapPRC!A178</f>
        <v>ETCLEMAJW-E</v>
      </c>
      <c r="L183" t="str">
        <f>IFERROR(INDEX($X$7:$X$88,MATCH(mapPRC!D178,$W$7:$W$88,0)),"")</f>
        <v>elec</v>
      </c>
      <c r="O183" t="str">
        <f>mapCOM!A178</f>
        <v>INDCO2</v>
      </c>
      <c r="P183" t="str">
        <f t="shared" si="3"/>
        <v/>
      </c>
      <c r="AC183" t="s">
        <v>2099</v>
      </c>
      <c r="AD183" t="s">
        <v>3024</v>
      </c>
    </row>
    <row r="184" spans="11:30" x14ac:dyDescent="0.25">
      <c r="K184" t="str">
        <f>mapPRC!A179</f>
        <v>ETCLEMATI-E</v>
      </c>
      <c r="L184" t="str">
        <f>IFERROR(INDEX($X$7:$X$88,MATCH(mapPRC!D179,$W$7:$W$88,0)),"")</f>
        <v>elec</v>
      </c>
      <c r="O184" t="str">
        <f>mapCOM!A179</f>
        <v>INDCO2S</v>
      </c>
      <c r="P184" t="str">
        <f t="shared" si="3"/>
        <v/>
      </c>
      <c r="AC184" t="s">
        <v>2098</v>
      </c>
      <c r="AD184" t="s">
        <v>3023</v>
      </c>
    </row>
    <row r="185" spans="11:30" x14ac:dyDescent="0.25">
      <c r="K185" t="str">
        <f>mapPRC!A180</f>
        <v>ETCLEMATL-E</v>
      </c>
      <c r="L185" t="str">
        <f>IFERROR(INDEX($X$7:$X$88,MATCH(mapPRC!D180,$W$7:$W$88,0)),"")</f>
        <v>elec</v>
      </c>
      <c r="O185" t="str">
        <f>mapCOM!A180</f>
        <v>INDCO2SP</v>
      </c>
      <c r="P185" t="str">
        <f t="shared" si="3"/>
        <v/>
      </c>
      <c r="AC185" t="s">
        <v>2097</v>
      </c>
      <c r="AD185" t="s">
        <v>3023</v>
      </c>
    </row>
    <row r="186" spans="11:30" x14ac:dyDescent="0.25">
      <c r="K186" t="str">
        <f>mapPRC!A181</f>
        <v>ETCLEMEDU-N</v>
      </c>
      <c r="L186" t="str">
        <f>IFERROR(INDEX($X$7:$X$88,MATCH(mapPRC!D181,$W$7:$W$88,0)),"")</f>
        <v>elec</v>
      </c>
      <c r="O186" t="str">
        <f>mapCOM!A181</f>
        <v>INDCOA</v>
      </c>
      <c r="P186" t="str">
        <f t="shared" si="3"/>
        <v>ccoal-hgh</v>
      </c>
      <c r="AC186" t="s">
        <v>2096</v>
      </c>
      <c r="AD186" t="s">
        <v>3023</v>
      </c>
    </row>
    <row r="187" spans="11:30" x14ac:dyDescent="0.25">
      <c r="K187" t="str">
        <f>mapPRC!A182</f>
        <v>ETCLEPFSI-E</v>
      </c>
      <c r="L187" t="str">
        <f>IFERROR(INDEX($X$7:$X$88,MATCH(mapPRC!D182,$W$7:$W$88,0)),"")</f>
        <v>cp</v>
      </c>
      <c r="O187" t="str">
        <f>mapCOM!A182</f>
        <v>INDCOK</v>
      </c>
      <c r="P187" t="str">
        <f t="shared" si="3"/>
        <v/>
      </c>
      <c r="AC187" t="s">
        <v>2093</v>
      </c>
      <c r="AD187" t="s">
        <v>3023</v>
      </c>
    </row>
    <row r="188" spans="11:30" x14ac:dyDescent="0.25">
      <c r="K188" t="str">
        <f>mapPRC!A183</f>
        <v>ETCLEPFSS-E</v>
      </c>
      <c r="L188" t="str">
        <f>IFERROR(INDEX($X$7:$X$88,MATCH(mapPRC!D183,$W$7:$W$88,0)),"")</f>
        <v>petr</v>
      </c>
      <c r="O188" t="str">
        <f>mapCOM!A183</f>
        <v>INDELC</v>
      </c>
      <c r="P188" t="str">
        <f t="shared" si="3"/>
        <v>celec</v>
      </c>
      <c r="AC188" t="s">
        <v>2090</v>
      </c>
      <c r="AD188" t="s">
        <v>3023</v>
      </c>
    </row>
    <row r="189" spans="11:30" x14ac:dyDescent="0.25">
      <c r="K189" t="str">
        <f>mapPRC!A184</f>
        <v>ETCLETUTU-E</v>
      </c>
      <c r="L189" t="str">
        <f>IFERROR(INDEX($X$7:$X$88,MATCH(mapPRC!D184,$W$7:$W$88,0)),"")</f>
        <v>elec</v>
      </c>
      <c r="O189" t="str">
        <f>mapCOM!A184</f>
        <v>INDGAS</v>
      </c>
      <c r="P189" t="str">
        <f t="shared" si="3"/>
        <v>cngas</v>
      </c>
      <c r="AC189" t="s">
        <v>2087</v>
      </c>
      <c r="AD189" t="s">
        <v>3032</v>
      </c>
    </row>
    <row r="190" spans="11:30" x14ac:dyDescent="0.25">
      <c r="K190" t="str">
        <f>mapPRC!A185</f>
        <v>ETCLEWATE-N</v>
      </c>
      <c r="L190" t="str">
        <f>IFERROR(INDEX($X$7:$X$88,MATCH(mapPRC!D185,$W$7:$W$88,0)),"")</f>
        <v>elec</v>
      </c>
      <c r="O190" t="str">
        <f>mapCOM!A185</f>
        <v>INDN2O</v>
      </c>
      <c r="P190" t="str">
        <f t="shared" si="3"/>
        <v/>
      </c>
      <c r="AC190" t="s">
        <v>2085</v>
      </c>
      <c r="AD190" t="s">
        <v>3028</v>
      </c>
    </row>
    <row r="191" spans="11:30" x14ac:dyDescent="0.25">
      <c r="K191" t="str">
        <f>mapPRC!A186</f>
        <v>ETGASENSI-N</v>
      </c>
      <c r="L191" t="str">
        <f>IFERROR(INDEX($X$7:$X$88,MATCH(mapPRC!D186,$W$7:$W$88,0)),"")</f>
        <v>cp</v>
      </c>
      <c r="O191" t="str">
        <f>mapCOM!A186</f>
        <v>INDN2OS</v>
      </c>
      <c r="P191" t="str">
        <f t="shared" si="3"/>
        <v/>
      </c>
      <c r="AC191" t="s">
        <v>2084</v>
      </c>
      <c r="AD191" t="s">
        <v>3023</v>
      </c>
    </row>
    <row r="192" spans="11:30" x14ac:dyDescent="0.25">
      <c r="K192" t="str">
        <f>mapPRC!A187</f>
        <v>ETGASENSS-N</v>
      </c>
      <c r="L192" t="str">
        <f>IFERROR(INDEX($X$7:$X$88,MATCH(mapPRC!D187,$W$7:$W$88,0)),"")</f>
        <v>petr</v>
      </c>
      <c r="O192" t="str">
        <f>mapCOM!A187</f>
        <v>INDNMV</v>
      </c>
      <c r="P192" t="str">
        <f t="shared" si="3"/>
        <v/>
      </c>
      <c r="AC192" t="s">
        <v>2081</v>
      </c>
      <c r="AD192" t="s">
        <v>3023</v>
      </c>
    </row>
    <row r="193" spans="11:30" x14ac:dyDescent="0.25">
      <c r="K193" t="str">
        <f>mapPRC!A188</f>
        <v>ETGICCC-N</v>
      </c>
      <c r="L193" t="str">
        <f>IFERROR(INDEX($X$7:$X$88,MATCH(mapPRC!D188,$W$7:$W$88,0)),"")</f>
        <v>elec</v>
      </c>
      <c r="O193" t="str">
        <f>mapCOM!A188</f>
        <v>INDNMVS</v>
      </c>
      <c r="P193" t="str">
        <f t="shared" si="3"/>
        <v/>
      </c>
      <c r="AC193" t="s">
        <v>2078</v>
      </c>
      <c r="AD193" t="s">
        <v>3023</v>
      </c>
    </row>
    <row r="194" spans="11:30" x14ac:dyDescent="0.25">
      <c r="K194" t="str">
        <f>mapPRC!A189</f>
        <v>ETGICEN-N</v>
      </c>
      <c r="L194" t="str">
        <f>IFERROR(INDEX($X$7:$X$88,MATCH(mapPRC!D189,$W$7:$W$88,0)),"")</f>
        <v>elec</v>
      </c>
      <c r="O194" t="str">
        <f>mapCOM!A189</f>
        <v>INDNOX</v>
      </c>
      <c r="P194" t="str">
        <f t="shared" si="3"/>
        <v/>
      </c>
      <c r="AC194" t="s">
        <v>2076</v>
      </c>
      <c r="AD194" t="s">
        <v>3023</v>
      </c>
    </row>
    <row r="195" spans="11:30" x14ac:dyDescent="0.25">
      <c r="K195" t="str">
        <f>mapPRC!A190</f>
        <v>ETGICGT-N</v>
      </c>
      <c r="L195" t="str">
        <f>IFERROR(INDEX($X$7:$X$88,MATCH(mapPRC!D190,$W$7:$W$88,0)),"")</f>
        <v>elec</v>
      </c>
      <c r="O195" t="str">
        <f>mapCOM!A190</f>
        <v>INDNOXS</v>
      </c>
      <c r="P195" t="str">
        <f t="shared" si="3"/>
        <v/>
      </c>
      <c r="AC195" t="s">
        <v>2072</v>
      </c>
      <c r="AD195" t="s">
        <v>3023</v>
      </c>
    </row>
    <row r="196" spans="11:30" x14ac:dyDescent="0.25">
      <c r="K196" t="str">
        <f>mapPRC!A191</f>
        <v>ETGIHCC-N</v>
      </c>
      <c r="L196" t="str">
        <f>IFERROR(INDEX($X$7:$X$88,MATCH(mapPRC!D191,$W$7:$W$88,0)),"")</f>
        <v>elec</v>
      </c>
      <c r="O196" t="str">
        <f>mapCOM!A191</f>
        <v>INDODS</v>
      </c>
      <c r="P196" t="str">
        <f t="shared" si="3"/>
        <v>cpetr_d</v>
      </c>
      <c r="AC196" t="s">
        <v>2071</v>
      </c>
      <c r="AD196" t="s">
        <v>3023</v>
      </c>
    </row>
    <row r="197" spans="11:30" x14ac:dyDescent="0.25">
      <c r="K197" t="str">
        <f>mapPRC!A192</f>
        <v>ETGIHGT-N</v>
      </c>
      <c r="L197" t="str">
        <f>IFERROR(INDEX($X$7:$X$88,MATCH(mapPRC!D192,$W$7:$W$88,0)),"")</f>
        <v>elec</v>
      </c>
      <c r="O197" t="str">
        <f>mapCOM!A192</f>
        <v>INDOGS</v>
      </c>
      <c r="P197" t="str">
        <f t="shared" si="3"/>
        <v/>
      </c>
      <c r="AC197" t="s">
        <v>2068</v>
      </c>
      <c r="AD197" t="s">
        <v>3023</v>
      </c>
    </row>
    <row r="198" spans="11:30" x14ac:dyDescent="0.25">
      <c r="K198" t="str">
        <f>mapPRC!A193</f>
        <v>ETGRMCC-N</v>
      </c>
      <c r="L198" t="str">
        <f>IFERROR(INDEX($X$7:$X$88,MATCH(mapPRC!D193,$W$7:$W$88,0)),"")</f>
        <v>elec</v>
      </c>
      <c r="O198" t="str">
        <f>mapCOM!A193</f>
        <v>INDOHF</v>
      </c>
      <c r="P198" t="str">
        <f t="shared" si="3"/>
        <v>cpetr_o</v>
      </c>
      <c r="AC198" t="s">
        <v>2066</v>
      </c>
      <c r="AD198" t="s">
        <v>3023</v>
      </c>
    </row>
    <row r="199" spans="11:30" x14ac:dyDescent="0.25">
      <c r="K199" t="str">
        <f>mapPRC!A194</f>
        <v>ETGRNCC-I</v>
      </c>
      <c r="L199" t="str">
        <f>IFERROR(INDEX($X$7:$X$88,MATCH(mapPRC!D194,$W$7:$W$88,0)),"")</f>
        <v>elec</v>
      </c>
      <c r="O199" t="str">
        <f>mapCOM!A194</f>
        <v>INDOLP</v>
      </c>
      <c r="P199" t="str">
        <f t="shared" ref="P199:P262" si="4">INDEX($AD$6:$AD$784,MATCH(O199,$AC$6:$AC$784,0))</f>
        <v>cpetr_o</v>
      </c>
      <c r="AC199" t="s">
        <v>2064</v>
      </c>
      <c r="AD199" t="s">
        <v>3023</v>
      </c>
    </row>
    <row r="200" spans="11:30" x14ac:dyDescent="0.25">
      <c r="K200" t="str">
        <f>mapPRC!A195</f>
        <v>ETNUC-E</v>
      </c>
      <c r="L200" t="str">
        <f>IFERROR(INDEX($X$7:$X$88,MATCH(mapPRC!D195,$W$7:$W$88,0)),"")</f>
        <v>elec</v>
      </c>
      <c r="O200" t="str">
        <f>mapCOM!A195</f>
        <v>INDP10S</v>
      </c>
      <c r="P200" t="str">
        <f t="shared" si="4"/>
        <v/>
      </c>
      <c r="AC200" t="s">
        <v>2062</v>
      </c>
      <c r="AD200" t="s">
        <v>3023</v>
      </c>
    </row>
    <row r="201" spans="11:30" x14ac:dyDescent="0.25">
      <c r="K201" t="str">
        <f>mapPRC!A196</f>
        <v>ETNUC-N</v>
      </c>
      <c r="L201" t="str">
        <f>IFERROR(INDEX($X$7:$X$88,MATCH(mapPRC!D196,$W$7:$W$88,0)),"")</f>
        <v>elec</v>
      </c>
      <c r="O201" t="str">
        <f>mapCOM!A196</f>
        <v>INDPM10</v>
      </c>
      <c r="P201" t="str">
        <f t="shared" si="4"/>
        <v/>
      </c>
      <c r="AC201" t="s">
        <v>2060</v>
      </c>
      <c r="AD201" t="s">
        <v>3023</v>
      </c>
    </row>
    <row r="202" spans="11:30" x14ac:dyDescent="0.25">
      <c r="K202" t="str">
        <f>mapPRC!A197</f>
        <v>ETODSGT-E</v>
      </c>
      <c r="L202" t="str">
        <f>IFERROR(INDEX($X$7:$X$88,MATCH(mapPRC!D197,$W$7:$W$88,0)),"")</f>
        <v>elec</v>
      </c>
      <c r="O202" t="str">
        <f>mapCOM!A197</f>
        <v>INDSOX</v>
      </c>
      <c r="P202" t="str">
        <f t="shared" si="4"/>
        <v/>
      </c>
      <c r="AC202" t="s">
        <v>1862</v>
      </c>
      <c r="AD202" t="s">
        <v>3023</v>
      </c>
    </row>
    <row r="203" spans="11:30" x14ac:dyDescent="0.25">
      <c r="K203" t="str">
        <f>mapPRC!A198</f>
        <v>ETODSGT-N</v>
      </c>
      <c r="L203" t="str">
        <f>IFERROR(INDEX($X$7:$X$88,MATCH(mapPRC!D198,$W$7:$W$88,0)),"")</f>
        <v>elec</v>
      </c>
      <c r="O203" t="str">
        <f>mapCOM!A198</f>
        <v>INDSOXS</v>
      </c>
      <c r="P203" t="str">
        <f t="shared" si="4"/>
        <v/>
      </c>
      <c r="AC203" t="s">
        <v>1860</v>
      </c>
      <c r="AD203" t="s">
        <v>3023</v>
      </c>
    </row>
    <row r="204" spans="11:30" x14ac:dyDescent="0.25">
      <c r="K204" t="str">
        <f>mapPRC!A199</f>
        <v>ETRANS</v>
      </c>
      <c r="L204" t="str">
        <f>IFERROR(INDEX($X$7:$X$88,MATCH(mapPRC!D199,$W$7:$W$88,0)),"")</f>
        <v/>
      </c>
      <c r="O204" t="str">
        <f>mapCOM!A199</f>
        <v>INDWAS</v>
      </c>
      <c r="P204" t="str">
        <f t="shared" si="4"/>
        <v/>
      </c>
      <c r="AC204" t="s">
        <v>1858</v>
      </c>
      <c r="AD204" t="s">
        <v>3023</v>
      </c>
    </row>
    <row r="205" spans="11:30" x14ac:dyDescent="0.25">
      <c r="K205" t="str">
        <f>mapPRC!A200</f>
        <v>ETRANSDUM</v>
      </c>
      <c r="L205" t="str">
        <f>IFERROR(INDEX($X$7:$X$88,MATCH(mapPRC!D200,$W$7:$W$88,0)),"")</f>
        <v>elec</v>
      </c>
      <c r="O205" t="str">
        <f>mapCOM!A200</f>
        <v>INFA</v>
      </c>
      <c r="P205" t="str">
        <f t="shared" si="4"/>
        <v/>
      </c>
      <c r="AC205" t="s">
        <v>1856</v>
      </c>
      <c r="AD205" t="s">
        <v>3023</v>
      </c>
    </row>
    <row r="206" spans="11:30" x14ac:dyDescent="0.25">
      <c r="K206" t="str">
        <f>mapPRC!A201</f>
        <v>IALPOT</v>
      </c>
      <c r="L206" t="str">
        <f>IFERROR(INDEX($X$7:$X$88,MATCH(mapPRC!D201,$W$7:$W$88,0)),"")</f>
        <v>nf</v>
      </c>
      <c r="O206" t="str">
        <f>mapCOM!A201</f>
        <v>INFC</v>
      </c>
      <c r="P206" t="str">
        <f t="shared" si="4"/>
        <v/>
      </c>
      <c r="AC206" t="s">
        <v>1854</v>
      </c>
      <c r="AD206" t="s">
        <v>3023</v>
      </c>
    </row>
    <row r="207" spans="11:30" x14ac:dyDescent="0.25">
      <c r="K207" t="str">
        <f>mapPRC!A202</f>
        <v>ICPAELC-E</v>
      </c>
      <c r="L207" t="str">
        <f>IFERROR(INDEX($X$7:$X$88,MATCH(mapPRC!D202,$W$7:$W$88,0)),"")</f>
        <v>cp</v>
      </c>
      <c r="O207" t="str">
        <f>mapCOM!A202</f>
        <v>INFE</v>
      </c>
      <c r="P207" t="str">
        <f t="shared" si="4"/>
        <v/>
      </c>
      <c r="AC207" t="s">
        <v>1989</v>
      </c>
      <c r="AD207" t="s">
        <v>3023</v>
      </c>
    </row>
    <row r="208" spans="11:30" x14ac:dyDescent="0.25">
      <c r="K208" t="str">
        <f>mapPRC!A203</f>
        <v>ICPCELC-E</v>
      </c>
      <c r="L208" t="str">
        <f>IFERROR(INDEX($X$7:$X$88,MATCH(mapPRC!D203,$W$7:$W$88,0)),"")</f>
        <v>cp</v>
      </c>
      <c r="O208" t="str">
        <f>mapCOM!A203</f>
        <v>INFELC</v>
      </c>
      <c r="P208" t="str">
        <f t="shared" si="4"/>
        <v>celec</v>
      </c>
      <c r="AC208" t="s">
        <v>1988</v>
      </c>
      <c r="AD208" t="s">
        <v>3023</v>
      </c>
    </row>
    <row r="209" spans="11:30" x14ac:dyDescent="0.25">
      <c r="K209" t="str">
        <f>mapPRC!A204</f>
        <v>ICPEELC-E</v>
      </c>
      <c r="L209" t="str">
        <f>IFERROR(INDEX($X$7:$X$88,MATCH(mapPRC!D204,$W$7:$W$88,0)),"")</f>
        <v>cp</v>
      </c>
      <c r="O209" t="str">
        <f>mapCOM!A204</f>
        <v>INFF</v>
      </c>
      <c r="P209" t="str">
        <f t="shared" si="4"/>
        <v/>
      </c>
      <c r="AC209" t="s">
        <v>1986</v>
      </c>
      <c r="AD209" t="s">
        <v>3023</v>
      </c>
    </row>
    <row r="210" spans="11:30" x14ac:dyDescent="0.25">
      <c r="K210" t="str">
        <f>mapPRC!A205</f>
        <v>ICPFELC-E</v>
      </c>
      <c r="L210" t="str">
        <f>IFERROR(INDEX($X$7:$X$88,MATCH(mapPRC!D205,$W$7:$W$88,0)),"")</f>
        <v>cp</v>
      </c>
      <c r="O210" t="str">
        <f>mapCOM!A205</f>
        <v>INFGAS</v>
      </c>
      <c r="P210" t="str">
        <f t="shared" si="4"/>
        <v>cngas</v>
      </c>
      <c r="AC210" t="s">
        <v>1984</v>
      </c>
      <c r="AD210" t="s">
        <v>3023</v>
      </c>
    </row>
    <row r="211" spans="11:30" x14ac:dyDescent="0.25">
      <c r="K211" t="str">
        <f>mapPRC!A206</f>
        <v>ICPHELC-E</v>
      </c>
      <c r="L211" t="str">
        <f>IFERROR(INDEX($X$7:$X$88,MATCH(mapPRC!D206,$W$7:$W$88,0)),"")</f>
        <v>cp</v>
      </c>
      <c r="O211" t="str">
        <f>mapCOM!A206</f>
        <v>INFH</v>
      </c>
      <c r="P211" t="str">
        <f t="shared" si="4"/>
        <v/>
      </c>
      <c r="AC211" t="s">
        <v>1982</v>
      </c>
      <c r="AD211" t="s">
        <v>3023</v>
      </c>
    </row>
    <row r="212" spans="11:30" x14ac:dyDescent="0.25">
      <c r="K212" t="str">
        <f>mapPRC!A207</f>
        <v>ICPKELC-E</v>
      </c>
      <c r="L212" t="str">
        <f>IFERROR(INDEX($X$7:$X$88,MATCH(mapPRC!D207,$W$7:$W$88,0)),"")</f>
        <v>cp</v>
      </c>
      <c r="O212" t="str">
        <f>mapCOM!A207</f>
        <v>INFK</v>
      </c>
      <c r="P212" t="str">
        <f t="shared" si="4"/>
        <v/>
      </c>
      <c r="AC212" t="s">
        <v>1980</v>
      </c>
      <c r="AD212" t="s">
        <v>3023</v>
      </c>
    </row>
    <row r="213" spans="11:30" x14ac:dyDescent="0.25">
      <c r="K213" t="str">
        <f>mapPRC!A208</f>
        <v>ICPLELC-E</v>
      </c>
      <c r="L213" t="str">
        <f>IFERROR(INDEX($X$7:$X$88,MATCH(mapPRC!D208,$W$7:$W$88,0)),"")</f>
        <v>cp</v>
      </c>
      <c r="O213" t="str">
        <f>mapCOM!A208</f>
        <v>INFL</v>
      </c>
      <c r="P213" t="str">
        <f t="shared" si="4"/>
        <v/>
      </c>
      <c r="AC213" t="s">
        <v>1979</v>
      </c>
      <c r="AD213" t="s">
        <v>3023</v>
      </c>
    </row>
    <row r="214" spans="11:30" x14ac:dyDescent="0.25">
      <c r="K214" t="str">
        <f>mapPRC!A209</f>
        <v>ICPOELC-E</v>
      </c>
      <c r="L214" t="str">
        <f>IFERROR(INDEX($X$7:$X$88,MATCH(mapPRC!D209,$W$7:$W$88,0)),"")</f>
        <v>cp</v>
      </c>
      <c r="O214" t="str">
        <f>mapCOM!A209</f>
        <v>INFO</v>
      </c>
      <c r="P214" t="str">
        <f t="shared" si="4"/>
        <v/>
      </c>
      <c r="AC214" t="s">
        <v>1977</v>
      </c>
      <c r="AD214" t="s">
        <v>3023</v>
      </c>
    </row>
    <row r="215" spans="11:30" x14ac:dyDescent="0.25">
      <c r="K215" t="str">
        <f>mapPRC!A210</f>
        <v>ICPPELC-E</v>
      </c>
      <c r="L215" t="str">
        <f>IFERROR(INDEX($X$7:$X$88,MATCH(mapPRC!D210,$W$7:$W$88,0)),"")</f>
        <v>cp</v>
      </c>
      <c r="O215" t="str">
        <f>mapCOM!A210</f>
        <v>INFP</v>
      </c>
      <c r="P215" t="str">
        <f t="shared" si="4"/>
        <v/>
      </c>
      <c r="AC215" t="s">
        <v>1976</v>
      </c>
      <c r="AD215" t="s">
        <v>3023</v>
      </c>
    </row>
    <row r="216" spans="11:30" x14ac:dyDescent="0.25">
      <c r="K216" t="str">
        <f>mapPRC!A211</f>
        <v>ICPSCLE-E</v>
      </c>
      <c r="L216" t="str">
        <f>IFERROR(INDEX($X$7:$X$88,MATCH(mapPRC!D211,$W$7:$W$88,0)),"")</f>
        <v>cp</v>
      </c>
      <c r="O216" t="str">
        <f>mapCOM!A211</f>
        <v>INFS</v>
      </c>
      <c r="P216" t="str">
        <f t="shared" si="4"/>
        <v/>
      </c>
      <c r="AC216" t="s">
        <v>1974</v>
      </c>
      <c r="AD216" t="s">
        <v>3023</v>
      </c>
    </row>
    <row r="217" spans="11:30" x14ac:dyDescent="0.25">
      <c r="K217" t="str">
        <f>mapPRC!A212</f>
        <v>ICPSELC-E</v>
      </c>
      <c r="L217" t="str">
        <f>IFERROR(INDEX($X$7:$X$88,MATCH(mapPRC!D212,$W$7:$W$88,0)),"")</f>
        <v>cp</v>
      </c>
      <c r="O217" t="str">
        <f>mapCOM!A212</f>
        <v>INMBIO</v>
      </c>
      <c r="P217" t="str">
        <f t="shared" si="4"/>
        <v/>
      </c>
      <c r="AC217" t="s">
        <v>1972</v>
      </c>
      <c r="AD217" t="s">
        <v>3023</v>
      </c>
    </row>
    <row r="218" spans="11:30" x14ac:dyDescent="0.25">
      <c r="K218" t="str">
        <f>mapPRC!A213</f>
        <v>ICPSGAS-E</v>
      </c>
      <c r="L218" t="str">
        <f>IFERROR(INDEX($X$7:$X$88,MATCH(mapPRC!D213,$W$7:$W$88,0)),"")</f>
        <v>cp</v>
      </c>
      <c r="O218" t="str">
        <f>mapCOM!A213</f>
        <v>INMBRI</v>
      </c>
      <c r="P218" t="str">
        <f t="shared" si="4"/>
        <v/>
      </c>
      <c r="AC218" t="s">
        <v>1970</v>
      </c>
      <c r="AD218" t="s">
        <v>3023</v>
      </c>
    </row>
    <row r="219" spans="11:30" x14ac:dyDescent="0.25">
      <c r="K219" t="str">
        <f>mapPRC!A214</f>
        <v>ICPSOHF-E</v>
      </c>
      <c r="L219" t="str">
        <f>IFERROR(INDEX($X$7:$X$88,MATCH(mapPRC!D214,$W$7:$W$88,0)),"")</f>
        <v>cp</v>
      </c>
      <c r="O219" t="str">
        <f>mapCOM!A214</f>
        <v>INMBRITHF</v>
      </c>
      <c r="P219" t="str">
        <f t="shared" si="4"/>
        <v/>
      </c>
      <c r="AC219" t="s">
        <v>1968</v>
      </c>
      <c r="AD219" t="s">
        <v>3023</v>
      </c>
    </row>
    <row r="220" spans="11:30" x14ac:dyDescent="0.25">
      <c r="K220" t="str">
        <f>mapPRC!A215</f>
        <v>ICPSOLP-E</v>
      </c>
      <c r="L220" t="str">
        <f>IFERROR(INDEX($X$7:$X$88,MATCH(mapPRC!D215,$W$7:$W$88,0)),"")</f>
        <v>cp</v>
      </c>
      <c r="O220" t="str">
        <f>mapCOM!A215</f>
        <v>INMCEM</v>
      </c>
      <c r="P220" t="str">
        <f t="shared" si="4"/>
        <v/>
      </c>
      <c r="AC220" t="s">
        <v>1967</v>
      </c>
      <c r="AD220" t="s">
        <v>3023</v>
      </c>
    </row>
    <row r="221" spans="11:30" x14ac:dyDescent="0.25">
      <c r="K221" t="str">
        <f>mapPRC!A216</f>
        <v>ICPSWAS-E</v>
      </c>
      <c r="L221" t="str">
        <f>IFERROR(INDEX($X$7:$X$88,MATCH(mapPRC!D216,$W$7:$W$88,0)),"")</f>
        <v>cp</v>
      </c>
      <c r="O221" t="str">
        <f>mapCOM!A216</f>
        <v>INMCEMTHF</v>
      </c>
      <c r="P221" t="str">
        <f t="shared" si="4"/>
        <v/>
      </c>
      <c r="AC221" t="s">
        <v>1966</v>
      </c>
      <c r="AD221" t="s">
        <v>3023</v>
      </c>
    </row>
    <row r="222" spans="11:30" x14ac:dyDescent="0.25">
      <c r="K222" t="str">
        <f>mapPRC!A217</f>
        <v>ICPTGAS-E</v>
      </c>
      <c r="L222" t="str">
        <f>IFERROR(INDEX($X$7:$X$88,MATCH(mapPRC!D217,$W$7:$W$88,0)),"")</f>
        <v>cp</v>
      </c>
      <c r="O222" t="str">
        <f>mapCOM!A217</f>
        <v>INMCLI</v>
      </c>
      <c r="P222" t="str">
        <f t="shared" si="4"/>
        <v/>
      </c>
      <c r="AC222" t="s">
        <v>1964</v>
      </c>
      <c r="AD222" t="s">
        <v>3023</v>
      </c>
    </row>
    <row r="223" spans="11:30" x14ac:dyDescent="0.25">
      <c r="K223" t="str">
        <f>mapPRC!A218</f>
        <v>IFAEAF</v>
      </c>
      <c r="L223" t="str">
        <f>IFERROR(INDEX($X$7:$X$88,MATCH(mapPRC!D218,$W$7:$W$88,0)),"")</f>
        <v>is</v>
      </c>
      <c r="O223" t="str">
        <f>mapCOM!A218</f>
        <v>INMCOA</v>
      </c>
      <c r="P223" t="str">
        <f t="shared" si="4"/>
        <v>ccoal-hgh</v>
      </c>
      <c r="AC223" t="s">
        <v>1963</v>
      </c>
      <c r="AD223" t="s">
        <v>3023</v>
      </c>
    </row>
    <row r="224" spans="11:30" x14ac:dyDescent="0.25">
      <c r="K224" t="str">
        <f>mapPRC!A219</f>
        <v>IFBAELC-E</v>
      </c>
      <c r="L224" t="str">
        <f>IFERROR(INDEX($X$7:$X$88,MATCH(mapPRC!D219,$W$7:$W$88,0)),"")</f>
        <v>fb</v>
      </c>
      <c r="O224" t="str">
        <f>mapCOM!A219</f>
        <v>INMELC</v>
      </c>
      <c r="P224" t="str">
        <f t="shared" si="4"/>
        <v>celec</v>
      </c>
      <c r="AC224" t="s">
        <v>1961</v>
      </c>
      <c r="AD224" t="s">
        <v>3023</v>
      </c>
    </row>
    <row r="225" spans="11:30" x14ac:dyDescent="0.25">
      <c r="K225" t="str">
        <f>mapPRC!A220</f>
        <v>IFBCELC-E</v>
      </c>
      <c r="L225" t="str">
        <f>IFERROR(INDEX($X$7:$X$88,MATCH(mapPRC!D220,$W$7:$W$88,0)),"")</f>
        <v>fb</v>
      </c>
      <c r="O225" t="str">
        <f>mapCOM!A220</f>
        <v>INMGAS</v>
      </c>
      <c r="P225" t="str">
        <f t="shared" si="4"/>
        <v>cngas</v>
      </c>
      <c r="AC225" t="s">
        <v>1960</v>
      </c>
      <c r="AD225" t="s">
        <v>3023</v>
      </c>
    </row>
    <row r="226" spans="11:30" x14ac:dyDescent="0.25">
      <c r="K226" t="str">
        <f>mapPRC!A221</f>
        <v>IFBEELC-E</v>
      </c>
      <c r="L226" t="str">
        <f>IFERROR(INDEX($X$7:$X$88,MATCH(mapPRC!D221,$W$7:$W$88,0)),"")</f>
        <v>fb</v>
      </c>
      <c r="O226" t="str">
        <f>mapCOM!A221</f>
        <v>INMGLA</v>
      </c>
      <c r="P226" t="str">
        <f t="shared" si="4"/>
        <v/>
      </c>
      <c r="AC226" t="s">
        <v>1958</v>
      </c>
      <c r="AD226" t="s">
        <v>3023</v>
      </c>
    </row>
    <row r="227" spans="11:30" x14ac:dyDescent="0.25">
      <c r="K227" t="str">
        <f>mapPRC!A222</f>
        <v>IFBFELC-E</v>
      </c>
      <c r="L227" t="str">
        <f>IFERROR(INDEX($X$7:$X$88,MATCH(mapPRC!D222,$W$7:$W$88,0)),"")</f>
        <v>fb</v>
      </c>
      <c r="O227" t="str">
        <f>mapCOM!A222</f>
        <v>INMGLATHF</v>
      </c>
      <c r="P227" t="str">
        <f t="shared" si="4"/>
        <v/>
      </c>
      <c r="AC227" t="s">
        <v>1956</v>
      </c>
      <c r="AD227" t="s">
        <v>3023</v>
      </c>
    </row>
    <row r="228" spans="11:30" x14ac:dyDescent="0.25">
      <c r="K228" t="str">
        <f>mapPRC!A223</f>
        <v>IFBHELC-E</v>
      </c>
      <c r="L228" t="str">
        <f>IFERROR(INDEX($X$7:$X$88,MATCH(mapPRC!D223,$W$7:$W$88,0)),"")</f>
        <v>fb</v>
      </c>
      <c r="O228" t="str">
        <f>mapCOM!A223</f>
        <v>INMLIM</v>
      </c>
      <c r="P228" t="str">
        <f t="shared" si="4"/>
        <v/>
      </c>
      <c r="AC228" t="s">
        <v>1955</v>
      </c>
      <c r="AD228" t="s">
        <v>3023</v>
      </c>
    </row>
    <row r="229" spans="11:30" x14ac:dyDescent="0.25">
      <c r="K229" t="str">
        <f>mapPRC!A224</f>
        <v>IFBKELC-E</v>
      </c>
      <c r="L229" t="str">
        <f>IFERROR(INDEX($X$7:$X$88,MATCH(mapPRC!D224,$W$7:$W$88,0)),"")</f>
        <v>fb</v>
      </c>
      <c r="O229" t="str">
        <f>mapCOM!A224</f>
        <v>INMLIMTHF</v>
      </c>
      <c r="P229" t="str">
        <f t="shared" si="4"/>
        <v/>
      </c>
      <c r="AC229" t="s">
        <v>1954</v>
      </c>
      <c r="AD229" t="s">
        <v>3023</v>
      </c>
    </row>
    <row r="230" spans="11:30" x14ac:dyDescent="0.25">
      <c r="K230" t="str">
        <f>mapPRC!A225</f>
        <v>IFBLELC-E</v>
      </c>
      <c r="L230" t="str">
        <f>IFERROR(INDEX($X$7:$X$88,MATCH(mapPRC!D225,$W$7:$W$88,0)),"")</f>
        <v>fb</v>
      </c>
      <c r="O230" t="str">
        <f>mapCOM!A225</f>
        <v>INMOIL</v>
      </c>
      <c r="P230" t="str">
        <f t="shared" si="4"/>
        <v>cpetr_o</v>
      </c>
      <c r="AC230" t="s">
        <v>1953</v>
      </c>
      <c r="AD230" t="s">
        <v>3023</v>
      </c>
    </row>
    <row r="231" spans="11:30" x14ac:dyDescent="0.25">
      <c r="K231" t="str">
        <f>mapPRC!A226</f>
        <v>IFBOELC-E</v>
      </c>
      <c r="L231" t="str">
        <f>IFERROR(INDEX($X$7:$X$88,MATCH(mapPRC!D226,$W$7:$W$88,0)),"")</f>
        <v>fb</v>
      </c>
      <c r="O231" t="str">
        <f>mapCOM!A226</f>
        <v>INMRWM</v>
      </c>
      <c r="P231" t="str">
        <f t="shared" si="4"/>
        <v/>
      </c>
      <c r="AC231" t="s">
        <v>1951</v>
      </c>
      <c r="AD231" t="s">
        <v>3023</v>
      </c>
    </row>
    <row r="232" spans="11:30" x14ac:dyDescent="0.25">
      <c r="K232" t="str">
        <f>mapPRC!A227</f>
        <v>IFBPELC-E</v>
      </c>
      <c r="L232" t="str">
        <f>IFERROR(INDEX($X$7:$X$88,MATCH(mapPRC!D227,$W$7:$W$88,0)),"")</f>
        <v>fb</v>
      </c>
      <c r="O232" t="str">
        <f>mapCOM!A227</f>
        <v>IOTA</v>
      </c>
      <c r="P232" t="str">
        <f t="shared" si="4"/>
        <v/>
      </c>
      <c r="AC232" t="s">
        <v>1949</v>
      </c>
      <c r="AD232" t="s">
        <v>3023</v>
      </c>
    </row>
    <row r="233" spans="11:30" x14ac:dyDescent="0.25">
      <c r="K233" t="str">
        <f>mapPRC!A228</f>
        <v>IFBSBIB-E</v>
      </c>
      <c r="L233" t="str">
        <f>IFERROR(INDEX($X$7:$X$88,MATCH(mapPRC!D228,$W$7:$W$88,0)),"")</f>
        <v>fb</v>
      </c>
      <c r="O233" t="str">
        <f>mapCOM!A228</f>
        <v>IOTC</v>
      </c>
      <c r="P233" t="str">
        <f t="shared" si="4"/>
        <v/>
      </c>
      <c r="AC233" t="s">
        <v>1948</v>
      </c>
      <c r="AD233" t="s">
        <v>3023</v>
      </c>
    </row>
    <row r="234" spans="11:30" x14ac:dyDescent="0.25">
      <c r="K234" t="str">
        <f>mapPRC!A229</f>
        <v>IFBSCOA-E</v>
      </c>
      <c r="L234" t="str">
        <f>IFERROR(INDEX($X$7:$X$88,MATCH(mapPRC!D229,$W$7:$W$88,0)),"")</f>
        <v>fb</v>
      </c>
      <c r="O234" t="str">
        <f>mapCOM!A229</f>
        <v>IOTE</v>
      </c>
      <c r="P234" t="str">
        <f t="shared" si="4"/>
        <v/>
      </c>
      <c r="AC234" t="s">
        <v>1947</v>
      </c>
      <c r="AD234" t="s">
        <v>3023</v>
      </c>
    </row>
    <row r="235" spans="11:30" x14ac:dyDescent="0.25">
      <c r="K235" t="str">
        <f>mapPRC!A230</f>
        <v>IFBSELC-E</v>
      </c>
      <c r="L235" t="str">
        <f>IFERROR(INDEX($X$7:$X$88,MATCH(mapPRC!D230,$W$7:$W$88,0)),"")</f>
        <v>fb</v>
      </c>
      <c r="O235" t="str">
        <f>mapCOM!A230</f>
        <v>IOTELC</v>
      </c>
      <c r="P235" t="str">
        <f t="shared" si="4"/>
        <v>celec</v>
      </c>
      <c r="AC235" t="s">
        <v>1946</v>
      </c>
      <c r="AD235" t="s">
        <v>3023</v>
      </c>
    </row>
    <row r="236" spans="11:30" x14ac:dyDescent="0.25">
      <c r="K236" t="str">
        <f>mapPRC!A231</f>
        <v>IFBSGAS-E</v>
      </c>
      <c r="L236" t="str">
        <f>IFERROR(INDEX($X$7:$X$88,MATCH(mapPRC!D231,$W$7:$W$88,0)),"")</f>
        <v>fb</v>
      </c>
      <c r="O236" t="str">
        <f>mapCOM!A231</f>
        <v>IOTF</v>
      </c>
      <c r="P236" t="str">
        <f t="shared" si="4"/>
        <v/>
      </c>
      <c r="AC236" t="s">
        <v>1945</v>
      </c>
      <c r="AD236" t="s">
        <v>3023</v>
      </c>
    </row>
    <row r="237" spans="11:30" x14ac:dyDescent="0.25">
      <c r="K237" t="str">
        <f>mapPRC!A232</f>
        <v>IFBSOHF-E</v>
      </c>
      <c r="L237" t="str">
        <f>IFERROR(INDEX($X$7:$X$88,MATCH(mapPRC!D232,$W$7:$W$88,0)),"")</f>
        <v>fb</v>
      </c>
      <c r="O237" t="str">
        <f>mapCOM!A232</f>
        <v>IOTGAS</v>
      </c>
      <c r="P237" t="str">
        <f t="shared" si="4"/>
        <v>cngas</v>
      </c>
      <c r="AC237" t="s">
        <v>1943</v>
      </c>
      <c r="AD237" t="s">
        <v>3023</v>
      </c>
    </row>
    <row r="238" spans="11:30" x14ac:dyDescent="0.25">
      <c r="K238" t="str">
        <f>mapPRC!A233</f>
        <v>IFBSOLP-E</v>
      </c>
      <c r="L238" t="str">
        <f>IFERROR(INDEX($X$7:$X$88,MATCH(mapPRC!D233,$W$7:$W$88,0)),"")</f>
        <v>fb</v>
      </c>
      <c r="O238" t="str">
        <f>mapCOM!A233</f>
        <v>IOTH</v>
      </c>
      <c r="P238" t="str">
        <f t="shared" si="4"/>
        <v/>
      </c>
      <c r="AC238" t="s">
        <v>1942</v>
      </c>
      <c r="AD238" t="s">
        <v>3023</v>
      </c>
    </row>
    <row r="239" spans="11:30" x14ac:dyDescent="0.25">
      <c r="K239" t="str">
        <f>mapPRC!A234</f>
        <v>IFBSWAS-E</v>
      </c>
      <c r="L239" t="str">
        <f>IFERROR(INDEX($X$7:$X$88,MATCH(mapPRC!D234,$W$7:$W$88,0)),"")</f>
        <v>fb</v>
      </c>
      <c r="O239" t="str">
        <f>mapCOM!A234</f>
        <v>IOTK</v>
      </c>
      <c r="P239" t="str">
        <f t="shared" si="4"/>
        <v/>
      </c>
      <c r="AC239" t="s">
        <v>1940</v>
      </c>
      <c r="AD239" t="s">
        <v>3023</v>
      </c>
    </row>
    <row r="240" spans="11:30" x14ac:dyDescent="0.25">
      <c r="K240" t="str">
        <f>mapPRC!A235</f>
        <v>IISBFBOF-E</v>
      </c>
      <c r="L240" t="str">
        <f>IFERROR(INDEX($X$7:$X$88,MATCH(mapPRC!D235,$W$7:$W$88,0)),"")</f>
        <v>is</v>
      </c>
      <c r="O240" t="str">
        <f>mapCOM!A235</f>
        <v>IOTL</v>
      </c>
      <c r="P240" t="str">
        <f t="shared" si="4"/>
        <v/>
      </c>
      <c r="AC240" t="s">
        <v>2058</v>
      </c>
      <c r="AD240" t="s">
        <v>3023</v>
      </c>
    </row>
    <row r="241" spans="11:30" x14ac:dyDescent="0.25">
      <c r="K241" t="str">
        <f>mapPRC!A236</f>
        <v>IISBFBOF-E-T1</v>
      </c>
      <c r="L241" t="str">
        <f>IFERROR(INDEX($X$7:$X$88,MATCH(mapPRC!D236,$W$7:$W$88,0)),"")</f>
        <v>is</v>
      </c>
      <c r="O241" t="str">
        <f>mapCOM!A236</f>
        <v>IOTO</v>
      </c>
      <c r="P241" t="str">
        <f t="shared" si="4"/>
        <v/>
      </c>
      <c r="AC241" t="s">
        <v>2057</v>
      </c>
      <c r="AD241" t="s">
        <v>3023</v>
      </c>
    </row>
    <row r="242" spans="11:30" x14ac:dyDescent="0.25">
      <c r="K242" t="str">
        <f>mapPRC!A237</f>
        <v>IISBFBOF-E-T2</v>
      </c>
      <c r="L242" t="str">
        <f>IFERROR(INDEX($X$7:$X$88,MATCH(mapPRC!D237,$W$7:$W$88,0)),"")</f>
        <v>is</v>
      </c>
      <c r="O242" t="str">
        <f>mapCOM!A237</f>
        <v>IOTP</v>
      </c>
      <c r="P242" t="str">
        <f t="shared" si="4"/>
        <v/>
      </c>
      <c r="AC242" t="s">
        <v>2056</v>
      </c>
      <c r="AD242" t="s">
        <v>3023</v>
      </c>
    </row>
    <row r="243" spans="11:30" x14ac:dyDescent="0.25">
      <c r="K243" t="str">
        <f>mapPRC!A238</f>
        <v>IISBFBOF-N</v>
      </c>
      <c r="L243" t="str">
        <f>IFERROR(INDEX($X$7:$X$88,MATCH(mapPRC!D238,$W$7:$W$88,0)),"")</f>
        <v>is</v>
      </c>
      <c r="O243" t="str">
        <f>mapCOM!A238</f>
        <v>IOTR</v>
      </c>
      <c r="P243" t="str">
        <f t="shared" si="4"/>
        <v/>
      </c>
      <c r="AC243" t="s">
        <v>2055</v>
      </c>
      <c r="AD243" t="s">
        <v>3023</v>
      </c>
    </row>
    <row r="244" spans="11:30" x14ac:dyDescent="0.25">
      <c r="K244" t="str">
        <f>mapPRC!A239</f>
        <v>IISCOREAF-E</v>
      </c>
      <c r="L244" t="str">
        <f>IFERROR(INDEX($X$7:$X$88,MATCH(mapPRC!D239,$W$7:$W$88,0)),"")</f>
        <v>is</v>
      </c>
      <c r="O244" t="str">
        <f>mapCOM!A239</f>
        <v>IOTS</v>
      </c>
      <c r="P244" t="str">
        <f t="shared" si="4"/>
        <v/>
      </c>
      <c r="AC244" t="s">
        <v>2054</v>
      </c>
      <c r="AD244" t="s">
        <v>3023</v>
      </c>
    </row>
    <row r="245" spans="11:30" x14ac:dyDescent="0.25">
      <c r="K245" t="str">
        <f>mapPRC!A240</f>
        <v>IISCOREAF-E-T1</v>
      </c>
      <c r="L245" t="str">
        <f>IFERROR(INDEX($X$7:$X$88,MATCH(mapPRC!D240,$W$7:$W$88,0)),"")</f>
        <v>is</v>
      </c>
      <c r="O245" t="str">
        <f>mapCOM!A240</f>
        <v>IPPBIO</v>
      </c>
      <c r="P245" t="str">
        <f t="shared" si="4"/>
        <v/>
      </c>
      <c r="AC245" t="s">
        <v>2053</v>
      </c>
      <c r="AD245" t="s">
        <v>3023</v>
      </c>
    </row>
    <row r="246" spans="11:30" x14ac:dyDescent="0.25">
      <c r="K246" t="str">
        <f>mapPRC!A241</f>
        <v>IISCOREAF-E-T2</v>
      </c>
      <c r="L246" t="str">
        <f>IFERROR(INDEX($X$7:$X$88,MATCH(mapPRC!D241,$W$7:$W$88,0)),"")</f>
        <v>is</v>
      </c>
      <c r="O246" t="str">
        <f>mapCOM!A241</f>
        <v>IPPBLQ</v>
      </c>
      <c r="P246" t="str">
        <f t="shared" si="4"/>
        <v/>
      </c>
      <c r="AC246" t="s">
        <v>2052</v>
      </c>
      <c r="AD246" t="s">
        <v>3023</v>
      </c>
    </row>
    <row r="247" spans="11:30" x14ac:dyDescent="0.25">
      <c r="K247" t="str">
        <f>mapPRC!A242</f>
        <v>IISCOV</v>
      </c>
      <c r="L247" t="str">
        <f>IFERROR(INDEX($X$7:$X$88,MATCH(mapPRC!D242,$W$7:$W$88,0)),"")</f>
        <v>is</v>
      </c>
      <c r="O247" t="str">
        <f>mapCOM!A242</f>
        <v>IPPCOA</v>
      </c>
      <c r="P247" t="str">
        <f t="shared" si="4"/>
        <v>ccoal-hgh</v>
      </c>
      <c r="AC247" t="s">
        <v>2051</v>
      </c>
      <c r="AD247" t="s">
        <v>3023</v>
      </c>
    </row>
    <row r="248" spans="11:30" x14ac:dyDescent="0.25">
      <c r="K248" t="str">
        <f>mapPRC!A243</f>
        <v>IISDRIEAF-E</v>
      </c>
      <c r="L248" t="str">
        <f>IFERROR(INDEX($X$7:$X$88,MATCH(mapPRC!D243,$W$7:$W$88,0)),"")</f>
        <v>is</v>
      </c>
      <c r="O248" t="str">
        <f>mapCOM!A243</f>
        <v>IPPELC</v>
      </c>
      <c r="P248" t="str">
        <f t="shared" si="4"/>
        <v>celec</v>
      </c>
      <c r="AC248" t="s">
        <v>2050</v>
      </c>
      <c r="AD248" t="s">
        <v>3023</v>
      </c>
    </row>
    <row r="249" spans="11:30" x14ac:dyDescent="0.25">
      <c r="K249" t="str">
        <f>mapPRC!A244</f>
        <v>IISDRIEAF-E-T1</v>
      </c>
      <c r="L249" t="str">
        <f>IFERROR(INDEX($X$7:$X$88,MATCH(mapPRC!D244,$W$7:$W$88,0)),"")</f>
        <v>is</v>
      </c>
      <c r="O249" t="str">
        <f>mapCOM!A244</f>
        <v>IPPGAS</v>
      </c>
      <c r="P249" t="str">
        <f t="shared" si="4"/>
        <v>cngas</v>
      </c>
      <c r="AC249" t="s">
        <v>2049</v>
      </c>
      <c r="AD249" t="s">
        <v>3023</v>
      </c>
    </row>
    <row r="250" spans="11:30" x14ac:dyDescent="0.25">
      <c r="K250" t="str">
        <f>mapPRC!A245</f>
        <v>IISDRIEAF-E-T2</v>
      </c>
      <c r="L250" t="str">
        <f>IFERROR(INDEX($X$7:$X$88,MATCH(mapPRC!D245,$W$7:$W$88,0)),"")</f>
        <v>is</v>
      </c>
      <c r="O250" t="str">
        <f>mapCOM!A245</f>
        <v>IPPODS</v>
      </c>
      <c r="P250" t="str">
        <f t="shared" si="4"/>
        <v>cpetr_d</v>
      </c>
      <c r="AC250" t="s">
        <v>2047</v>
      </c>
      <c r="AD250" t="s">
        <v>3023</v>
      </c>
    </row>
    <row r="251" spans="11:30" x14ac:dyDescent="0.25">
      <c r="K251" t="str">
        <f>mapPRC!A246</f>
        <v>IISDRIEAF-NC</v>
      </c>
      <c r="L251" t="str">
        <f>IFERROR(INDEX($X$7:$X$88,MATCH(mapPRC!D246,$W$7:$W$88,0)),"")</f>
        <v>is</v>
      </c>
      <c r="O251" t="str">
        <f>mapCOM!A246</f>
        <v>IPPOGS</v>
      </c>
      <c r="P251" t="str">
        <f t="shared" si="4"/>
        <v/>
      </c>
      <c r="AC251" t="s">
        <v>2045</v>
      </c>
      <c r="AD251" t="s">
        <v>3023</v>
      </c>
    </row>
    <row r="252" spans="11:30" x14ac:dyDescent="0.25">
      <c r="K252" t="str">
        <f>mapPRC!A247</f>
        <v>IISDRIEAF-NG</v>
      </c>
      <c r="L252" t="str">
        <f>IFERROR(INDEX($X$7:$X$88,MATCH(mapPRC!D247,$W$7:$W$88,0)),"")</f>
        <v>is</v>
      </c>
      <c r="O252" t="str">
        <f>mapCOM!A247</f>
        <v>IPPOHF</v>
      </c>
      <c r="P252" t="str">
        <f t="shared" si="4"/>
        <v>cpetr_o</v>
      </c>
      <c r="AC252" t="s">
        <v>2043</v>
      </c>
      <c r="AD252" t="s">
        <v>3023</v>
      </c>
    </row>
    <row r="253" spans="11:30" x14ac:dyDescent="0.25">
      <c r="K253" t="str">
        <f>mapPRC!A248</f>
        <v>IISHDRIEAF-N</v>
      </c>
      <c r="L253" t="str">
        <f>IFERROR(INDEX($X$7:$X$88,MATCH(mapPRC!D248,$W$7:$W$88,0)),"")</f>
        <v>is</v>
      </c>
      <c r="O253" t="str">
        <f>mapCOM!A248</f>
        <v>IPPOLP</v>
      </c>
      <c r="P253" t="str">
        <f t="shared" si="4"/>
        <v>cpetr_o</v>
      </c>
      <c r="AC253" t="s">
        <v>2041</v>
      </c>
      <c r="AD253" t="s">
        <v>3023</v>
      </c>
    </row>
    <row r="254" spans="11:30" x14ac:dyDescent="0.25">
      <c r="K254" t="str">
        <f>mapPRC!A249</f>
        <v>IISHDRIHBI-STOR</v>
      </c>
      <c r="L254" t="str">
        <f>IFERROR(INDEX($X$7:$X$88,MATCH(mapPRC!D249,$W$7:$W$88,0)),"")</f>
        <v>is</v>
      </c>
      <c r="O254" t="str">
        <f>mapCOM!A249</f>
        <v>IPPPAP</v>
      </c>
      <c r="P254" t="str">
        <f t="shared" si="4"/>
        <v/>
      </c>
      <c r="AC254" t="s">
        <v>2039</v>
      </c>
      <c r="AD254" t="s">
        <v>3023</v>
      </c>
    </row>
    <row r="255" spans="11:30" x14ac:dyDescent="0.25">
      <c r="K255" t="str">
        <f>mapPRC!A250</f>
        <v>IISHHDRI-N</v>
      </c>
      <c r="L255" t="str">
        <f>IFERROR(INDEX($X$7:$X$88,MATCH(mapPRC!D250,$W$7:$W$88,0)),"")</f>
        <v>is</v>
      </c>
      <c r="O255" t="str">
        <f>mapCOM!A250</f>
        <v>IPPPULP</v>
      </c>
      <c r="P255" t="str">
        <f t="shared" si="4"/>
        <v/>
      </c>
      <c r="AC255" t="s">
        <v>2037</v>
      </c>
      <c r="AD255" t="s">
        <v>3023</v>
      </c>
    </row>
    <row r="256" spans="11:30" x14ac:dyDescent="0.25">
      <c r="K256" t="str">
        <f>mapPRC!A251</f>
        <v>IISHHGNSTOR-N</v>
      </c>
      <c r="L256" t="str">
        <f>IFERROR(INDEX($X$7:$X$88,MATCH(mapPRC!D251,$W$7:$W$88,0)),"")</f>
        <v>is</v>
      </c>
      <c r="O256" t="str">
        <f>mapCOM!A251</f>
        <v>IPPPULPD</v>
      </c>
      <c r="P256" t="str">
        <f t="shared" si="4"/>
        <v/>
      </c>
      <c r="AC256" t="s">
        <v>2035</v>
      </c>
      <c r="AD256" t="s">
        <v>3023</v>
      </c>
    </row>
    <row r="257" spans="11:30" x14ac:dyDescent="0.25">
      <c r="K257" t="str">
        <f>mapPRC!A252</f>
        <v>IISHPEMHGN</v>
      </c>
      <c r="L257" t="str">
        <f>IFERROR(INDEX($X$7:$X$88,MATCH(mapPRC!D252,$W$7:$W$88,0)),"")</f>
        <v>is</v>
      </c>
      <c r="O257" t="str">
        <f>mapCOM!A252</f>
        <v>IPPREC</v>
      </c>
      <c r="P257" t="str">
        <f t="shared" si="4"/>
        <v/>
      </c>
      <c r="AC257" t="s">
        <v>2033</v>
      </c>
      <c r="AD257" t="s">
        <v>3023</v>
      </c>
    </row>
    <row r="258" spans="11:30" x14ac:dyDescent="0.25">
      <c r="K258" t="str">
        <f>mapPRC!A253</f>
        <v>IISHXCRS</v>
      </c>
      <c r="L258" t="str">
        <f>IFERROR(INDEX($X$7:$X$88,MATCH(mapPRC!D253,$W$7:$W$88,0)),"")</f>
        <v>is</v>
      </c>
      <c r="O258" t="str">
        <f>mapCOM!A253</f>
        <v>IPPSTM</v>
      </c>
      <c r="P258" t="str">
        <f t="shared" si="4"/>
        <v/>
      </c>
      <c r="AC258" t="s">
        <v>1852</v>
      </c>
      <c r="AD258" t="s">
        <v>3023</v>
      </c>
    </row>
    <row r="259" spans="11:30" x14ac:dyDescent="0.25">
      <c r="K259" t="str">
        <f>mapPRC!A254</f>
        <v>IISOTHEAF-E</v>
      </c>
      <c r="L259" t="str">
        <f>IFERROR(INDEX($X$7:$X$88,MATCH(mapPRC!D254,$W$7:$W$88,0)),"")</f>
        <v>is</v>
      </c>
      <c r="O259" t="str">
        <f>mapCOM!A254</f>
        <v>IPPTHF</v>
      </c>
      <c r="P259" t="str">
        <f t="shared" si="4"/>
        <v/>
      </c>
      <c r="AC259" t="s">
        <v>1850</v>
      </c>
      <c r="AD259" t="s">
        <v>3023</v>
      </c>
    </row>
    <row r="260" spans="11:30" x14ac:dyDescent="0.25">
      <c r="K260" t="str">
        <f>mapPRC!A255</f>
        <v>IISOTHEAF-E-T1</v>
      </c>
      <c r="L260" t="str">
        <f>IFERROR(INDEX($X$7:$X$88,MATCH(mapPRC!D255,$W$7:$W$88,0)),"")</f>
        <v>is</v>
      </c>
      <c r="O260" t="str">
        <f>mapCOM!A255</f>
        <v>N2OS</v>
      </c>
      <c r="P260" t="str">
        <f t="shared" si="4"/>
        <v/>
      </c>
      <c r="AC260" t="s">
        <v>1848</v>
      </c>
      <c r="AD260" t="s">
        <v>3023</v>
      </c>
    </row>
    <row r="261" spans="11:30" x14ac:dyDescent="0.25">
      <c r="K261" t="str">
        <f>mapPRC!A256</f>
        <v>IISOTHEAF-E-T2</v>
      </c>
      <c r="L261" t="str">
        <f>IFERROR(INDEX($X$7:$X$88,MATCH(mapPRC!D256,$W$7:$W$88,0)),"")</f>
        <v>is</v>
      </c>
      <c r="O261" t="str">
        <f>mapCOM!A256</f>
        <v>NMVS</v>
      </c>
      <c r="P261" t="str">
        <f t="shared" si="4"/>
        <v/>
      </c>
      <c r="AC261" t="s">
        <v>1846</v>
      </c>
      <c r="AD261" t="s">
        <v>3023</v>
      </c>
    </row>
    <row r="262" spans="11:30" x14ac:dyDescent="0.25">
      <c r="K262" t="str">
        <f>mapPRC!A257</f>
        <v>IISSCREAF-E</v>
      </c>
      <c r="L262" t="str">
        <f>IFERROR(INDEX($X$7:$X$88,MATCH(mapPRC!D257,$W$7:$W$88,0)),"")</f>
        <v>is</v>
      </c>
      <c r="O262" t="str">
        <f>mapCOM!A257</f>
        <v>NOXS</v>
      </c>
      <c r="P262" t="str">
        <f t="shared" si="4"/>
        <v/>
      </c>
      <c r="AC262" t="s">
        <v>1844</v>
      </c>
      <c r="AD262" t="s">
        <v>3023</v>
      </c>
    </row>
    <row r="263" spans="11:30" x14ac:dyDescent="0.25">
      <c r="K263" t="str">
        <f>mapPRC!A258</f>
        <v>IISSCREAF-E-T1</v>
      </c>
      <c r="L263" t="str">
        <f>IFERROR(INDEX($X$7:$X$88,MATCH(mapPRC!D258,$W$7:$W$88,0)),"")</f>
        <v>is</v>
      </c>
      <c r="O263" t="str">
        <f>mapCOM!A258</f>
        <v>NUC</v>
      </c>
      <c r="P263" t="str">
        <f t="shared" ref="P263:P326" si="5">INDEX($AD$6:$AD$784,MATCH(O263,$AC$6:$AC$784,0))</f>
        <v/>
      </c>
      <c r="AC263" t="s">
        <v>1842</v>
      </c>
      <c r="AD263" t="s">
        <v>3023</v>
      </c>
    </row>
    <row r="264" spans="11:30" x14ac:dyDescent="0.25">
      <c r="K264" t="str">
        <f>mapPRC!A259</f>
        <v>IISSCREAF-E-T2</v>
      </c>
      <c r="L264" t="str">
        <f>IFERROR(INDEX($X$7:$X$88,MATCH(mapPRC!D259,$W$7:$W$88,0)),"")</f>
        <v>is</v>
      </c>
      <c r="O264" t="str">
        <f>mapCOM!A259</f>
        <v>OAG</v>
      </c>
      <c r="P264" t="str">
        <f t="shared" si="5"/>
        <v>cpetr_o</v>
      </c>
      <c r="AC264" t="s">
        <v>1840</v>
      </c>
      <c r="AD264" t="s">
        <v>3023</v>
      </c>
    </row>
    <row r="265" spans="11:30" x14ac:dyDescent="0.25">
      <c r="K265" t="str">
        <f>mapPRC!A260</f>
        <v>IISSCREAF-N</v>
      </c>
      <c r="L265" t="str">
        <f>IFERROR(INDEX($X$7:$X$88,MATCH(mapPRC!D260,$W$7:$W$88,0)),"")</f>
        <v>is</v>
      </c>
      <c r="O265" t="str">
        <f>mapCOM!A260</f>
        <v>OCR</v>
      </c>
      <c r="P265" t="str">
        <f t="shared" si="5"/>
        <v>ccoil</v>
      </c>
      <c r="AC265" t="s">
        <v>1838</v>
      </c>
      <c r="AD265" t="s">
        <v>3023</v>
      </c>
    </row>
    <row r="266" spans="11:30" x14ac:dyDescent="0.25">
      <c r="K266" t="str">
        <f>mapPRC!A261</f>
        <v>IMIAELC-E</v>
      </c>
      <c r="L266" t="str">
        <f>IFERROR(INDEX($X$7:$X$88,MATCH(mapPRC!D261,$W$7:$W$88,0)),"")</f>
        <v>mi</v>
      </c>
      <c r="O266" t="str">
        <f>mapCOM!A261</f>
        <v>ODS</v>
      </c>
      <c r="P266" t="str">
        <f t="shared" si="5"/>
        <v>cpetr_d</v>
      </c>
      <c r="AC266" t="s">
        <v>1836</v>
      </c>
      <c r="AD266" t="s">
        <v>3023</v>
      </c>
    </row>
    <row r="267" spans="11:30" x14ac:dyDescent="0.25">
      <c r="K267" t="str">
        <f>mapPRC!A262</f>
        <v>IMICELC-E</v>
      </c>
      <c r="L267" t="str">
        <f>IFERROR(INDEX($X$7:$X$88,MATCH(mapPRC!D262,$W$7:$W$88,0)),"")</f>
        <v>mi</v>
      </c>
      <c r="O267" t="str">
        <f>mapCOM!A262</f>
        <v>OGS</v>
      </c>
      <c r="P267" t="str">
        <f t="shared" si="5"/>
        <v>cpetr_p</v>
      </c>
      <c r="AC267" t="s">
        <v>1834</v>
      </c>
      <c r="AD267" t="s">
        <v>3023</v>
      </c>
    </row>
    <row r="268" spans="11:30" x14ac:dyDescent="0.25">
      <c r="K268" t="str">
        <f>mapPRC!A263</f>
        <v>IMIEELC-E</v>
      </c>
      <c r="L268" t="str">
        <f>IFERROR(INDEX($X$7:$X$88,MATCH(mapPRC!D263,$W$7:$W$88,0)),"")</f>
        <v>mi</v>
      </c>
      <c r="O268" t="str">
        <f>mapCOM!A263</f>
        <v>OHF</v>
      </c>
      <c r="P268" t="str">
        <f t="shared" si="5"/>
        <v>cpetr_o</v>
      </c>
      <c r="AC268" t="s">
        <v>1832</v>
      </c>
      <c r="AD268" t="s">
        <v>3023</v>
      </c>
    </row>
    <row r="269" spans="11:30" x14ac:dyDescent="0.25">
      <c r="K269" t="str">
        <f>mapPRC!A264</f>
        <v>IMIFELC-E</v>
      </c>
      <c r="L269" t="str">
        <f>IFERROR(INDEX($X$7:$X$88,MATCH(mapPRC!D264,$W$7:$W$88,0)),"")</f>
        <v>mi</v>
      </c>
      <c r="O269" t="str">
        <f>mapCOM!A264</f>
        <v>OKE</v>
      </c>
      <c r="P269" t="str">
        <f t="shared" si="5"/>
        <v>cpetr_o</v>
      </c>
      <c r="AC269" t="s">
        <v>1938</v>
      </c>
      <c r="AD269" t="s">
        <v>3023</v>
      </c>
    </row>
    <row r="270" spans="11:30" x14ac:dyDescent="0.25">
      <c r="K270" t="str">
        <f>mapPRC!A265</f>
        <v>IMIHELC-E</v>
      </c>
      <c r="L270" t="str">
        <f>IFERROR(INDEX($X$7:$X$88,MATCH(mapPRC!D265,$W$7:$W$88,0)),"")</f>
        <v>mi</v>
      </c>
      <c r="O270" t="str">
        <f>mapCOM!A265</f>
        <v>OLP</v>
      </c>
      <c r="P270" t="str">
        <f t="shared" si="5"/>
        <v>cpetr_o</v>
      </c>
      <c r="AC270" t="s">
        <v>1936</v>
      </c>
      <c r="AD270" t="s">
        <v>3023</v>
      </c>
    </row>
    <row r="271" spans="11:30" x14ac:dyDescent="0.25">
      <c r="K271" t="str">
        <f>mapPRC!A266</f>
        <v>IMIKELC-E</v>
      </c>
      <c r="L271" t="str">
        <f>IFERROR(INDEX($X$7:$X$88,MATCH(mapPRC!D266,$W$7:$W$88,0)),"")</f>
        <v>mi</v>
      </c>
      <c r="O271" t="str">
        <f>mapCOM!A266</f>
        <v>OTH</v>
      </c>
      <c r="P271" t="str">
        <f t="shared" si="5"/>
        <v/>
      </c>
      <c r="AC271" t="s">
        <v>1934</v>
      </c>
      <c r="AD271" t="s">
        <v>3023</v>
      </c>
    </row>
    <row r="272" spans="11:30" x14ac:dyDescent="0.25">
      <c r="K272" t="str">
        <f>mapPRC!A267</f>
        <v>IMILELC-E</v>
      </c>
      <c r="L272" t="str">
        <f>IFERROR(INDEX($X$7:$X$88,MATCH(mapPRC!D267,$W$7:$W$88,0)),"")</f>
        <v>mi</v>
      </c>
      <c r="O272" t="str">
        <f>mapCOM!A267</f>
        <v>OXYEXP</v>
      </c>
      <c r="P272" t="str">
        <f t="shared" si="5"/>
        <v/>
      </c>
      <c r="AC272" t="s">
        <v>1932</v>
      </c>
      <c r="AD272" t="s">
        <v>3023</v>
      </c>
    </row>
    <row r="273" spans="11:30" x14ac:dyDescent="0.25">
      <c r="K273" t="str">
        <f>mapPRC!A268</f>
        <v>IMIOELC-E</v>
      </c>
      <c r="L273" t="str">
        <f>IFERROR(INDEX($X$7:$X$88,MATCH(mapPRC!D268,$W$7:$W$88,0)),"")</f>
        <v>mi</v>
      </c>
      <c r="O273" t="str">
        <f>mapCOM!A268</f>
        <v>PWR_FLAB-M</v>
      </c>
      <c r="P273" t="str">
        <f t="shared" si="5"/>
        <v/>
      </c>
      <c r="AC273" t="s">
        <v>1930</v>
      </c>
      <c r="AD273" t="s">
        <v>3023</v>
      </c>
    </row>
    <row r="274" spans="11:30" x14ac:dyDescent="0.25">
      <c r="K274" t="str">
        <f>mapPRC!A269</f>
        <v>IMIPELC-E</v>
      </c>
      <c r="L274" t="str">
        <f>IFERROR(INDEX($X$7:$X$88,MATCH(mapPRC!D269,$W$7:$W$88,0)),"")</f>
        <v>mi</v>
      </c>
      <c r="O274" t="str">
        <f>mapCOM!A269</f>
        <v>PWR_FLAB-P</v>
      </c>
      <c r="P274" t="str">
        <f t="shared" si="5"/>
        <v/>
      </c>
      <c r="AC274" t="s">
        <v>1928</v>
      </c>
      <c r="AD274" t="s">
        <v>3023</v>
      </c>
    </row>
    <row r="275" spans="11:30" x14ac:dyDescent="0.25">
      <c r="K275" t="str">
        <f>mapPRC!A270</f>
        <v>IMIRODS-E</v>
      </c>
      <c r="L275" t="str">
        <f>IFERROR(INDEX($X$7:$X$88,MATCH(mapPRC!D270,$W$7:$W$88,0)),"")</f>
        <v>mi</v>
      </c>
      <c r="O275" t="str">
        <f>mapCOM!A270</f>
        <v>PWR_FLAB-S</v>
      </c>
      <c r="P275" t="str">
        <f t="shared" si="5"/>
        <v/>
      </c>
      <c r="AC275" t="s">
        <v>1926</v>
      </c>
      <c r="AD275" t="s">
        <v>3023</v>
      </c>
    </row>
    <row r="276" spans="11:30" x14ac:dyDescent="0.25">
      <c r="K276" t="str">
        <f>mapPRC!A271</f>
        <v>IMISCOA-E</v>
      </c>
      <c r="L276" t="str">
        <f>IFERROR(INDEX($X$7:$X$88,MATCH(mapPRC!D271,$W$7:$W$88,0)),"")</f>
        <v>mi</v>
      </c>
      <c r="O276" t="str">
        <f>mapCOM!A271</f>
        <v>PWR_FLAB-T</v>
      </c>
      <c r="P276" t="str">
        <f t="shared" si="5"/>
        <v/>
      </c>
      <c r="AC276" t="s">
        <v>1924</v>
      </c>
      <c r="AD276" t="s">
        <v>3023</v>
      </c>
    </row>
    <row r="277" spans="11:30" x14ac:dyDescent="0.25">
      <c r="K277" t="str">
        <f>mapPRC!A272</f>
        <v>IMISELC-E</v>
      </c>
      <c r="L277" t="str">
        <f>IFERROR(INDEX($X$7:$X$88,MATCH(mapPRC!D272,$W$7:$W$88,0)),"")</f>
        <v>mi</v>
      </c>
      <c r="O277" t="str">
        <f>mapCOM!A272</f>
        <v>PWRBIB</v>
      </c>
      <c r="P277" t="str">
        <f t="shared" si="5"/>
        <v/>
      </c>
      <c r="AC277" t="s">
        <v>1922</v>
      </c>
      <c r="AD277" t="s">
        <v>3023</v>
      </c>
    </row>
    <row r="278" spans="11:30" x14ac:dyDescent="0.25">
      <c r="K278" t="str">
        <f>mapPRC!A273</f>
        <v>IMISGAS-E</v>
      </c>
      <c r="L278" t="str">
        <f>IFERROR(INDEX($X$7:$X$88,MATCH(mapPRC!D273,$W$7:$W$88,0)),"")</f>
        <v>mi</v>
      </c>
      <c r="O278" t="str">
        <f>mapCOM!A273</f>
        <v>PWRBIG</v>
      </c>
      <c r="P278" t="str">
        <f t="shared" si="5"/>
        <v/>
      </c>
      <c r="AC278" t="s">
        <v>1920</v>
      </c>
      <c r="AD278" t="s">
        <v>3023</v>
      </c>
    </row>
    <row r="279" spans="11:30" x14ac:dyDescent="0.25">
      <c r="K279" t="str">
        <f>mapPRC!A274</f>
        <v>IMISOHF-E</v>
      </c>
      <c r="L279" t="str">
        <f>IFERROR(INDEX($X$7:$X$88,MATCH(mapPRC!D274,$W$7:$W$88,0)),"")</f>
        <v>mi</v>
      </c>
      <c r="O279" t="str">
        <f>mapCOM!A274</f>
        <v>PWRBIO</v>
      </c>
      <c r="P279" t="str">
        <f t="shared" si="5"/>
        <v/>
      </c>
      <c r="AC279" t="s">
        <v>1918</v>
      </c>
      <c r="AD279" t="s">
        <v>3023</v>
      </c>
    </row>
    <row r="280" spans="11:30" x14ac:dyDescent="0.25">
      <c r="K280" t="str">
        <f>mapPRC!A275</f>
        <v>IMISOLP-E</v>
      </c>
      <c r="L280" t="str">
        <f>IFERROR(INDEX($X$7:$X$88,MATCH(mapPRC!D275,$W$7:$W$88,0)),"")</f>
        <v>mi</v>
      </c>
      <c r="O280" t="str">
        <f>mapCOM!A275</f>
        <v>PWRBIW</v>
      </c>
      <c r="P280" t="str">
        <f t="shared" si="5"/>
        <v/>
      </c>
      <c r="AC280" t="s">
        <v>1916</v>
      </c>
      <c r="AD280" t="s">
        <v>3023</v>
      </c>
    </row>
    <row r="281" spans="11:30" x14ac:dyDescent="0.25">
      <c r="K281" t="str">
        <f>mapPRC!A276</f>
        <v>IMISWAS-E</v>
      </c>
      <c r="L281" t="str">
        <f>IFERROR(INDEX($X$7:$X$88,MATCH(mapPRC!D276,$W$7:$W$88,0)),"")</f>
        <v>mi</v>
      </c>
      <c r="O281" t="str">
        <f>mapCOM!A276</f>
        <v>PWRCH4R</v>
      </c>
      <c r="P281" t="str">
        <f t="shared" si="5"/>
        <v/>
      </c>
      <c r="AC281" t="s">
        <v>1914</v>
      </c>
      <c r="AD281" t="s">
        <v>3023</v>
      </c>
    </row>
    <row r="282" spans="11:30" x14ac:dyDescent="0.25">
      <c r="K282" t="str">
        <f>mapPRC!A277</f>
        <v>IMPBID</v>
      </c>
      <c r="L282" t="str">
        <f>IFERROR(INDEX($X$7:$X$88,MATCH(mapPRC!D277,$W$7:$W$88,0)),"")</f>
        <v>imp</v>
      </c>
      <c r="O282" t="str">
        <f>mapCOM!A277</f>
        <v>PWRCH4S</v>
      </c>
      <c r="P282" t="str">
        <f t="shared" si="5"/>
        <v/>
      </c>
      <c r="AC282" t="s">
        <v>1912</v>
      </c>
      <c r="AD282" t="s">
        <v>3023</v>
      </c>
    </row>
    <row r="283" spans="11:30" x14ac:dyDescent="0.25">
      <c r="K283" t="str">
        <f>mapPRC!A278</f>
        <v>IMPBIE</v>
      </c>
      <c r="L283" t="str">
        <f>IFERROR(INDEX($X$7:$X$88,MATCH(mapPRC!D278,$W$7:$W$88,0)),"")</f>
        <v>imp</v>
      </c>
      <c r="O283" t="str">
        <f>mapCOM!A278</f>
        <v>PWRCLD</v>
      </c>
      <c r="P283" t="str">
        <f t="shared" si="5"/>
        <v>ccoal-dis</v>
      </c>
      <c r="AC283" t="s">
        <v>1910</v>
      </c>
      <c r="AD283" t="s">
        <v>3023</v>
      </c>
    </row>
    <row r="284" spans="11:30" x14ac:dyDescent="0.25">
      <c r="K284" t="str">
        <f>mapPRC!A279</f>
        <v>IMPCOK</v>
      </c>
      <c r="L284" t="str">
        <f>IFERROR(INDEX($X$7:$X$88,MATCH(mapPRC!D279,$W$7:$W$88,0)),"")</f>
        <v>imp</v>
      </c>
      <c r="O284" t="str">
        <f>mapCOM!A279</f>
        <v>PWRCLE</v>
      </c>
      <c r="P284" t="str">
        <f t="shared" si="5"/>
        <v>ccoal-low</v>
      </c>
      <c r="AC284" t="s">
        <v>1908</v>
      </c>
      <c r="AD284" t="s">
        <v>3023</v>
      </c>
    </row>
    <row r="285" spans="11:30" x14ac:dyDescent="0.25">
      <c r="K285" t="str">
        <f>mapPRC!A280</f>
        <v>IMPGRL</v>
      </c>
      <c r="L285" t="str">
        <f>IFERROR(INDEX($X$7:$X$88,MATCH(mapPRC!D280,$W$7:$W$88,0)),"")</f>
        <v>imp</v>
      </c>
      <c r="O285" t="str">
        <f>mapCOM!A280</f>
        <v>PWRCLEARNO</v>
      </c>
      <c r="P285" t="str">
        <f t="shared" si="5"/>
        <v>ccoal-low</v>
      </c>
      <c r="AC285" t="s">
        <v>1906</v>
      </c>
      <c r="AD285" t="s">
        <v>3023</v>
      </c>
    </row>
    <row r="286" spans="11:30" x14ac:dyDescent="0.25">
      <c r="K286" t="str">
        <f>mapPRC!A281</f>
        <v>IMPGWL</v>
      </c>
      <c r="L286" t="str">
        <f>IFERROR(INDEX($X$7:$X$88,MATCH(mapPRC!D281,$W$7:$W$88,0)),"")</f>
        <v>imp</v>
      </c>
      <c r="O286" t="str">
        <f>mapCOM!A281</f>
        <v>PWRCLECAMD</v>
      </c>
      <c r="P286" t="str">
        <f t="shared" si="5"/>
        <v>ccoal-low</v>
      </c>
      <c r="AC286" t="s">
        <v>1904</v>
      </c>
      <c r="AD286" t="s">
        <v>3023</v>
      </c>
    </row>
    <row r="287" spans="11:30" x14ac:dyDescent="0.25">
      <c r="K287" t="str">
        <f>mapPRC!A282</f>
        <v>IMPNUC</v>
      </c>
      <c r="L287" t="str">
        <f>IFERROR(INDEX($X$7:$X$88,MATCH(mapPRC!D282,$W$7:$W$88,0)),"")</f>
        <v>imp</v>
      </c>
      <c r="O287" t="str">
        <f>mapCOM!A282</f>
        <v>PWRCLEDUVH</v>
      </c>
      <c r="P287" t="str">
        <f t="shared" si="5"/>
        <v>ccoal-low</v>
      </c>
      <c r="AC287" t="s">
        <v>1902</v>
      </c>
      <c r="AD287" t="s">
        <v>3023</v>
      </c>
    </row>
    <row r="288" spans="11:30" x14ac:dyDescent="0.25">
      <c r="K288" t="str">
        <f>mapPRC!A283</f>
        <v>IMPOAG</v>
      </c>
      <c r="L288" t="str">
        <f>IFERROR(INDEX($X$7:$X$88,MATCH(mapPRC!D283,$W$7:$W$88,0)),"")</f>
        <v>imp</v>
      </c>
      <c r="O288" t="str">
        <f>mapCOM!A283</f>
        <v>PWRCLEGROO</v>
      </c>
      <c r="P288" t="str">
        <f t="shared" si="5"/>
        <v>ccoal-low</v>
      </c>
      <c r="AC288" t="s">
        <v>1900</v>
      </c>
      <c r="AD288" t="s">
        <v>3023</v>
      </c>
    </row>
    <row r="289" spans="11:30" x14ac:dyDescent="0.25">
      <c r="K289" t="str">
        <f>mapPRC!A284</f>
        <v>IMPOCR</v>
      </c>
      <c r="L289" t="str">
        <f>IFERROR(INDEX($X$7:$X$88,MATCH(mapPRC!D284,$W$7:$W$88,0)),"")</f>
        <v>imp</v>
      </c>
      <c r="O289" t="str">
        <f>mapCOM!A284</f>
        <v>PWRCLEHEND</v>
      </c>
      <c r="P289" t="str">
        <f t="shared" si="5"/>
        <v>ccoal-low</v>
      </c>
      <c r="AC289" t="s">
        <v>1898</v>
      </c>
      <c r="AD289" t="s">
        <v>3023</v>
      </c>
    </row>
    <row r="290" spans="11:30" x14ac:dyDescent="0.25">
      <c r="K290" t="str">
        <f>mapPRC!A285</f>
        <v>IMPODS</v>
      </c>
      <c r="L290" t="str">
        <f>IFERROR(INDEX($X$7:$X$88,MATCH(mapPRC!D285,$W$7:$W$88,0)),"")</f>
        <v>imp</v>
      </c>
      <c r="O290" t="str">
        <f>mapCOM!A285</f>
        <v>PWRCLEKEND</v>
      </c>
      <c r="P290" t="str">
        <f t="shared" si="5"/>
        <v>ccoal-low</v>
      </c>
      <c r="AC290" t="s">
        <v>1896</v>
      </c>
      <c r="AD290" t="s">
        <v>3023</v>
      </c>
    </row>
    <row r="291" spans="11:30" x14ac:dyDescent="0.25">
      <c r="K291" t="str">
        <f>mapPRC!A286</f>
        <v>IMPOGS</v>
      </c>
      <c r="L291" t="str">
        <f>IFERROR(INDEX($X$7:$X$88,MATCH(mapPRC!D286,$W$7:$W$88,0)),"")</f>
        <v>imp</v>
      </c>
      <c r="O291" t="str">
        <f>mapCOM!A286</f>
        <v>PWRCLEKOMA</v>
      </c>
      <c r="P291" t="str">
        <f t="shared" si="5"/>
        <v>ccoal-low</v>
      </c>
      <c r="AC291" t="s">
        <v>1894</v>
      </c>
      <c r="AD291" t="s">
        <v>3023</v>
      </c>
    </row>
    <row r="292" spans="11:30" x14ac:dyDescent="0.25">
      <c r="K292" t="str">
        <f>mapPRC!A287</f>
        <v>IMPOHF</v>
      </c>
      <c r="L292" t="str">
        <f>IFERROR(INDEX($X$7:$X$88,MATCH(mapPRC!D287,$W$7:$W$88,0)),"")</f>
        <v>imp</v>
      </c>
      <c r="O292" t="str">
        <f>mapCOM!A287</f>
        <v>PWRCLEKRIE</v>
      </c>
      <c r="P292" t="str">
        <f t="shared" si="5"/>
        <v>ccoal-low</v>
      </c>
      <c r="AC292" t="s">
        <v>1892</v>
      </c>
      <c r="AD292" t="s">
        <v>3023</v>
      </c>
    </row>
    <row r="293" spans="11:30" x14ac:dyDescent="0.25">
      <c r="K293" t="str">
        <f>mapPRC!A288</f>
        <v>IMPOKE</v>
      </c>
      <c r="L293" t="str">
        <f>IFERROR(INDEX($X$7:$X$88,MATCH(mapPRC!D288,$W$7:$W$88,0)),"")</f>
        <v>imp</v>
      </c>
      <c r="O293" t="str">
        <f>mapCOM!A288</f>
        <v>PWRCLEKUSI</v>
      </c>
      <c r="P293" t="str">
        <f t="shared" si="5"/>
        <v>ccoal-low</v>
      </c>
      <c r="AC293" t="s">
        <v>1890</v>
      </c>
      <c r="AD293" t="s">
        <v>3023</v>
      </c>
    </row>
    <row r="294" spans="11:30" x14ac:dyDescent="0.25">
      <c r="K294" t="str">
        <f>mapPRC!A289</f>
        <v>IMPOLP</v>
      </c>
      <c r="L294" t="str">
        <f>IFERROR(INDEX($X$7:$X$88,MATCH(mapPRC!D289,$W$7:$W$88,0)),"")</f>
        <v>imp</v>
      </c>
      <c r="O294" t="str">
        <f>mapCOM!A289</f>
        <v>PWRCLELETH</v>
      </c>
      <c r="P294" t="str">
        <f t="shared" si="5"/>
        <v>ccoal-low</v>
      </c>
      <c r="AC294" t="s">
        <v>2031</v>
      </c>
      <c r="AD294" t="s">
        <v>3023</v>
      </c>
    </row>
    <row r="295" spans="11:30" x14ac:dyDescent="0.25">
      <c r="K295" t="str">
        <f>mapPRC!A290</f>
        <v>INFAELC-E</v>
      </c>
      <c r="L295" t="str">
        <f>IFERROR(INDEX($X$7:$X$88,MATCH(mapPRC!D290,$W$7:$W$88,0)),"")</f>
        <v>nf</v>
      </c>
      <c r="O295" t="str">
        <f>mapCOM!A290</f>
        <v>PWRCLEMAJU</v>
      </c>
      <c r="P295" t="str">
        <f t="shared" si="5"/>
        <v>ccoal-low</v>
      </c>
      <c r="AC295" t="s">
        <v>2030</v>
      </c>
      <c r="AD295" t="s">
        <v>3023</v>
      </c>
    </row>
    <row r="296" spans="11:30" x14ac:dyDescent="0.25">
      <c r="K296" t="str">
        <f>mapPRC!A291</f>
        <v>INFCELC-E</v>
      </c>
      <c r="L296" t="str">
        <f>IFERROR(INDEX($X$7:$X$88,MATCH(mapPRC!D291,$W$7:$W$88,0)),"")</f>
        <v>nf</v>
      </c>
      <c r="O296" t="str">
        <f>mapCOM!A291</f>
        <v>PWRCLEMATI</v>
      </c>
      <c r="P296" t="str">
        <f t="shared" si="5"/>
        <v>ccoal-low</v>
      </c>
      <c r="AC296" t="s">
        <v>2029</v>
      </c>
      <c r="AD296" t="s">
        <v>3023</v>
      </c>
    </row>
    <row r="297" spans="11:30" x14ac:dyDescent="0.25">
      <c r="K297" t="str">
        <f>mapPRC!A292</f>
        <v>INFEELC-E</v>
      </c>
      <c r="L297" t="str">
        <f>IFERROR(INDEX($X$7:$X$88,MATCH(mapPRC!D292,$W$7:$W$88,0)),"")</f>
        <v>nf</v>
      </c>
      <c r="O297" t="str">
        <f>mapCOM!A292</f>
        <v>PWRCLEMATL</v>
      </c>
      <c r="P297" t="str">
        <f t="shared" si="5"/>
        <v>ccoal-low</v>
      </c>
      <c r="AC297" t="s">
        <v>1830</v>
      </c>
      <c r="AD297" t="s">
        <v>3025</v>
      </c>
    </row>
    <row r="298" spans="11:30" x14ac:dyDescent="0.25">
      <c r="K298" t="str">
        <f>mapPRC!A293</f>
        <v>INFFELC-E</v>
      </c>
      <c r="L298" t="str">
        <f>IFERROR(INDEX($X$7:$X$88,MATCH(mapPRC!D293,$W$7:$W$88,0)),"")</f>
        <v>nf</v>
      </c>
      <c r="O298" t="str">
        <f>mapCOM!A293</f>
        <v>PWRCLEMEDU</v>
      </c>
      <c r="P298" t="str">
        <f t="shared" si="5"/>
        <v>ccoal-low</v>
      </c>
      <c r="AC298" t="s">
        <v>2028</v>
      </c>
      <c r="AD298" t="s">
        <v>3023</v>
      </c>
    </row>
    <row r="299" spans="11:30" x14ac:dyDescent="0.25">
      <c r="K299" t="str">
        <f>mapPRC!A294</f>
        <v>INFHELC-E</v>
      </c>
      <c r="L299" t="str">
        <f>IFERROR(INDEX($X$7:$X$88,MATCH(mapPRC!D294,$W$7:$W$88,0)),"")</f>
        <v>nf</v>
      </c>
      <c r="O299" t="str">
        <f>mapCOM!A294</f>
        <v>PWRCLETUTU</v>
      </c>
      <c r="P299" t="str">
        <f t="shared" si="5"/>
        <v>ccoal-low</v>
      </c>
      <c r="AC299" t="s">
        <v>1828</v>
      </c>
      <c r="AD299" t="s">
        <v>3024</v>
      </c>
    </row>
    <row r="300" spans="11:30" x14ac:dyDescent="0.25">
      <c r="K300" t="str">
        <f>mapPRC!A295</f>
        <v>INFKELC-E</v>
      </c>
      <c r="L300" t="str">
        <f>IFERROR(INDEX($X$7:$X$88,MATCH(mapPRC!D295,$W$7:$W$88,0)),"")</f>
        <v>nf</v>
      </c>
      <c r="O300" t="str">
        <f>mapCOM!A295</f>
        <v>PWRCLEWATE</v>
      </c>
      <c r="P300" t="str">
        <f t="shared" si="5"/>
        <v>ccoal-low</v>
      </c>
      <c r="AC300" t="s">
        <v>2027</v>
      </c>
      <c r="AD300" t="s">
        <v>3023</v>
      </c>
    </row>
    <row r="301" spans="11:30" x14ac:dyDescent="0.25">
      <c r="K301" t="str">
        <f>mapPRC!A296</f>
        <v>INFLELC-E</v>
      </c>
      <c r="L301" t="str">
        <f>IFERROR(INDEX($X$7:$X$88,MATCH(mapPRC!D296,$W$7:$W$88,0)),"")</f>
        <v>nf</v>
      </c>
      <c r="O301" t="str">
        <f>mapCOM!A296</f>
        <v>PWRCMOR</v>
      </c>
      <c r="P301" t="str">
        <f t="shared" si="5"/>
        <v/>
      </c>
      <c r="AC301" t="s">
        <v>2026</v>
      </c>
      <c r="AD301" t="s">
        <v>3023</v>
      </c>
    </row>
    <row r="302" spans="11:30" x14ac:dyDescent="0.25">
      <c r="K302" t="str">
        <f>mapPRC!A297</f>
        <v>INFOELC-E</v>
      </c>
      <c r="L302" t="str">
        <f>IFERROR(INDEX($X$7:$X$88,MATCH(mapPRC!D297,$W$7:$W$88,0)),"")</f>
        <v>nf</v>
      </c>
      <c r="O302" t="str">
        <f>mapCOM!A297</f>
        <v>PWRCMOX</v>
      </c>
      <c r="P302" t="str">
        <f t="shared" si="5"/>
        <v/>
      </c>
      <c r="AC302" t="s">
        <v>2025</v>
      </c>
      <c r="AD302" t="s">
        <v>3023</v>
      </c>
    </row>
    <row r="303" spans="11:30" x14ac:dyDescent="0.25">
      <c r="K303" t="str">
        <f>mapPRC!A298</f>
        <v>INFPELC-E</v>
      </c>
      <c r="L303" t="str">
        <f>IFERROR(INDEX($X$7:$X$88,MATCH(mapPRC!D298,$W$7:$W$88,0)),"")</f>
        <v>nf</v>
      </c>
      <c r="O303" t="str">
        <f>mapCOM!A298</f>
        <v>PWRCO2R</v>
      </c>
      <c r="P303" t="str">
        <f t="shared" si="5"/>
        <v/>
      </c>
      <c r="AC303" t="s">
        <v>2024</v>
      </c>
      <c r="AD303" t="s">
        <v>3023</v>
      </c>
    </row>
    <row r="304" spans="11:30" x14ac:dyDescent="0.25">
      <c r="K304" t="str">
        <f>mapPRC!A299</f>
        <v>INFSCOA-E</v>
      </c>
      <c r="L304" t="str">
        <f>IFERROR(INDEX($X$7:$X$88,MATCH(mapPRC!D299,$W$7:$W$88,0)),"")</f>
        <v>nf</v>
      </c>
      <c r="O304" t="str">
        <f>mapCOM!A299</f>
        <v>PWRCO2S</v>
      </c>
      <c r="P304" t="str">
        <f t="shared" si="5"/>
        <v/>
      </c>
      <c r="AC304" t="s">
        <v>2023</v>
      </c>
      <c r="AD304" t="s">
        <v>3023</v>
      </c>
    </row>
    <row r="305" spans="11:30" x14ac:dyDescent="0.25">
      <c r="K305" t="str">
        <f>mapPRC!A300</f>
        <v>INFSELC-E</v>
      </c>
      <c r="L305" t="str">
        <f>IFERROR(INDEX($X$7:$X$88,MATCH(mapPRC!D300,$W$7:$W$88,0)),"")</f>
        <v>nf</v>
      </c>
      <c r="O305" t="str">
        <f>mapCOM!A300</f>
        <v>PWRCRB</v>
      </c>
      <c r="P305" t="str">
        <f t="shared" si="5"/>
        <v/>
      </c>
      <c r="AC305" t="s">
        <v>2022</v>
      </c>
      <c r="AD305" t="s">
        <v>3023</v>
      </c>
    </row>
    <row r="306" spans="11:30" x14ac:dyDescent="0.25">
      <c r="K306" t="str">
        <f>mapPRC!A301</f>
        <v>INFSGAS-E</v>
      </c>
      <c r="L306" t="str">
        <f>IFERROR(INDEX($X$7:$X$88,MATCH(mapPRC!D301,$W$7:$W$88,0)),"")</f>
        <v>nf</v>
      </c>
      <c r="O306" t="str">
        <f>mapCOM!A301</f>
        <v>PWRENV</v>
      </c>
      <c r="P306" t="str">
        <f t="shared" si="5"/>
        <v/>
      </c>
      <c r="AC306" t="s">
        <v>2021</v>
      </c>
      <c r="AD306" t="s">
        <v>3023</v>
      </c>
    </row>
    <row r="307" spans="11:30" x14ac:dyDescent="0.25">
      <c r="K307" t="str">
        <f>mapPRC!A302</f>
        <v>INFSOHF-E</v>
      </c>
      <c r="L307" t="str">
        <f>IFERROR(INDEX($X$7:$X$88,MATCH(mapPRC!D302,$W$7:$W$88,0)),"")</f>
        <v>nf</v>
      </c>
      <c r="O307" t="str">
        <f>mapCOM!A302</f>
        <v>PWRGAS</v>
      </c>
      <c r="P307" t="str">
        <f t="shared" si="5"/>
        <v>cngas</v>
      </c>
      <c r="AC307" t="s">
        <v>1888</v>
      </c>
      <c r="AD307" t="s">
        <v>3023</v>
      </c>
    </row>
    <row r="308" spans="11:30" x14ac:dyDescent="0.25">
      <c r="K308" t="str">
        <f>mapPRC!A303</f>
        <v>INFSOLP-E</v>
      </c>
      <c r="L308" t="str">
        <f>IFERROR(INDEX($X$7:$X$88,MATCH(mapPRC!D303,$W$7:$W$88,0)),"")</f>
        <v>nf</v>
      </c>
      <c r="O308" t="str">
        <f>mapCOM!A303</f>
        <v>PWRGIC</v>
      </c>
      <c r="P308" t="str">
        <f t="shared" si="5"/>
        <v>cngas</v>
      </c>
      <c r="AC308" t="s">
        <v>1826</v>
      </c>
      <c r="AD308" t="s">
        <v>3025</v>
      </c>
    </row>
    <row r="309" spans="11:30" x14ac:dyDescent="0.25">
      <c r="K309" t="str">
        <f>mapPRC!A304</f>
        <v>INFSWAS-E</v>
      </c>
      <c r="L309" t="str">
        <f>IFERROR(INDEX($X$7:$X$88,MATCH(mapPRC!D304,$W$7:$W$88,0)),"")</f>
        <v>nf</v>
      </c>
      <c r="O309" t="str">
        <f>mapCOM!A304</f>
        <v>PWRGIH</v>
      </c>
      <c r="P309" t="str">
        <f t="shared" si="5"/>
        <v>cngas</v>
      </c>
      <c r="AC309" t="s">
        <v>1824</v>
      </c>
      <c r="AD309" t="s">
        <v>3024</v>
      </c>
    </row>
    <row r="310" spans="11:30" x14ac:dyDescent="0.25">
      <c r="K310" t="str">
        <f>mapPRC!A305</f>
        <v>INMBRIADV</v>
      </c>
      <c r="L310" t="str">
        <f>IFERROR(INDEX($X$7:$X$88,MATCH(mapPRC!D305,$W$7:$W$88,0)),"")</f>
        <v>nm</v>
      </c>
      <c r="O310" t="str">
        <f>mapCOM!A305</f>
        <v>PWRGRM</v>
      </c>
      <c r="P310" t="str">
        <f t="shared" si="5"/>
        <v>cngas</v>
      </c>
      <c r="AC310" t="s">
        <v>2020</v>
      </c>
      <c r="AD310" t="s">
        <v>3023</v>
      </c>
    </row>
    <row r="311" spans="11:30" x14ac:dyDescent="0.25">
      <c r="K311" t="str">
        <f>mapPRC!A306</f>
        <v>INMBRIF2TF</v>
      </c>
      <c r="L311" t="str">
        <f>IFERROR(INDEX($X$7:$X$88,MATCH(mapPRC!D306,$W$7:$W$88,0)),"")</f>
        <v>nm</v>
      </c>
      <c r="O311" t="str">
        <f>mapCOM!A306</f>
        <v>PWRGRN</v>
      </c>
      <c r="P311" t="str">
        <f t="shared" si="5"/>
        <v>cngas</v>
      </c>
      <c r="AC311" t="s">
        <v>2019</v>
      </c>
      <c r="AD311" t="s">
        <v>3023</v>
      </c>
    </row>
    <row r="312" spans="11:30" x14ac:dyDescent="0.25">
      <c r="K312" t="str">
        <f>mapPRC!A307</f>
        <v>INMBRISTD</v>
      </c>
      <c r="L312" t="str">
        <f>IFERROR(INDEX($X$7:$X$88,MATCH(mapPRC!D307,$W$7:$W$88,0)),"")</f>
        <v>nm</v>
      </c>
      <c r="O312" t="str">
        <f>mapCOM!A307</f>
        <v>PWRGRS</v>
      </c>
      <c r="P312" t="str">
        <f t="shared" si="5"/>
        <v>cngas</v>
      </c>
      <c r="AC312" t="s">
        <v>2018</v>
      </c>
      <c r="AD312" t="s">
        <v>3023</v>
      </c>
    </row>
    <row r="313" spans="11:30" x14ac:dyDescent="0.25">
      <c r="K313" t="str">
        <f>mapPRC!A308</f>
        <v>INMCEMF2TF</v>
      </c>
      <c r="L313" t="str">
        <f>IFERROR(INDEX($X$7:$X$88,MATCH(mapPRC!D308,$W$7:$W$88,0)),"")</f>
        <v>nm</v>
      </c>
      <c r="O313" t="str">
        <f>mapCOM!A308</f>
        <v>PWRHYD</v>
      </c>
      <c r="P313" t="str">
        <f t="shared" si="5"/>
        <v/>
      </c>
      <c r="AC313" t="s">
        <v>1822</v>
      </c>
      <c r="AD313" t="s">
        <v>3025</v>
      </c>
    </row>
    <row r="314" spans="11:30" x14ac:dyDescent="0.25">
      <c r="K314" t="str">
        <f>mapPRC!A309</f>
        <v>INMCEMFGBM</v>
      </c>
      <c r="L314" t="str">
        <f>IFERROR(INDEX($X$7:$X$88,MATCH(mapPRC!D309,$W$7:$W$88,0)),"")</f>
        <v>nm</v>
      </c>
      <c r="O314" t="str">
        <f>mapCOM!A309</f>
        <v>PWRN2OR</v>
      </c>
      <c r="P314" t="str">
        <f t="shared" si="5"/>
        <v/>
      </c>
      <c r="AC314" t="s">
        <v>2017</v>
      </c>
      <c r="AD314" t="s">
        <v>3023</v>
      </c>
    </row>
    <row r="315" spans="11:30" x14ac:dyDescent="0.25">
      <c r="K315" t="str">
        <f>mapPRC!A310</f>
        <v>INMCEMFGRP</v>
      </c>
      <c r="L315" t="str">
        <f>IFERROR(INDEX($X$7:$X$88,MATCH(mapPRC!D310,$W$7:$W$88,0)),"")</f>
        <v>nm</v>
      </c>
      <c r="O315" t="str">
        <f>mapCOM!A310</f>
        <v>PWRN2OS</v>
      </c>
      <c r="P315" t="str">
        <f t="shared" si="5"/>
        <v/>
      </c>
      <c r="AC315" t="s">
        <v>1820</v>
      </c>
      <c r="AD315" t="s">
        <v>3024</v>
      </c>
    </row>
    <row r="316" spans="11:30" x14ac:dyDescent="0.25">
      <c r="K316" t="str">
        <f>mapPRC!A311</f>
        <v>INMCEMKLD-E</v>
      </c>
      <c r="L316" t="str">
        <f>IFERROR(INDEX($X$7:$X$88,MATCH(mapPRC!D311,$W$7:$W$88,0)),"")</f>
        <v>nm</v>
      </c>
      <c r="O316" t="str">
        <f>mapCOM!A311</f>
        <v>PWRNMVR</v>
      </c>
      <c r="P316" t="str">
        <f t="shared" si="5"/>
        <v/>
      </c>
      <c r="AC316" t="s">
        <v>2016</v>
      </c>
      <c r="AD316" t="s">
        <v>3023</v>
      </c>
    </row>
    <row r="317" spans="11:30" x14ac:dyDescent="0.25">
      <c r="K317" t="str">
        <f>mapPRC!A312</f>
        <v>INMCEMKLD-E-T1</v>
      </c>
      <c r="L317" t="str">
        <f>IFERROR(INDEX($X$7:$X$88,MATCH(mapPRC!D312,$W$7:$W$88,0)),"")</f>
        <v>nm</v>
      </c>
      <c r="O317" t="str">
        <f>mapCOM!A312</f>
        <v>PWRNMVS</v>
      </c>
      <c r="P317" t="str">
        <f t="shared" si="5"/>
        <v/>
      </c>
      <c r="AC317" t="s">
        <v>2015</v>
      </c>
      <c r="AD317" t="s">
        <v>3023</v>
      </c>
    </row>
    <row r="318" spans="11:30" x14ac:dyDescent="0.25">
      <c r="K318" t="str">
        <f>mapPRC!A313</f>
        <v>INMCEMKLD-E-T2</v>
      </c>
      <c r="L318" t="str">
        <f>IFERROR(INDEX($X$7:$X$88,MATCH(mapPRC!D313,$W$7:$W$88,0)),"")</f>
        <v>nm</v>
      </c>
      <c r="O318" t="str">
        <f>mapCOM!A313</f>
        <v>PWRNOXR</v>
      </c>
      <c r="P318" t="str">
        <f t="shared" si="5"/>
        <v/>
      </c>
      <c r="AC318" t="s">
        <v>2014</v>
      </c>
      <c r="AD318" t="s">
        <v>3023</v>
      </c>
    </row>
    <row r="319" spans="11:30" x14ac:dyDescent="0.25">
      <c r="K319" t="str">
        <f>mapPRC!A314</f>
        <v>INMCEMKPP-E</v>
      </c>
      <c r="L319" t="str">
        <f>IFERROR(INDEX($X$7:$X$88,MATCH(mapPRC!D314,$W$7:$W$88,0)),"")</f>
        <v>nm</v>
      </c>
      <c r="O319" t="str">
        <f>mapCOM!A314</f>
        <v>PWRNOXS</v>
      </c>
      <c r="P319" t="str">
        <f t="shared" si="5"/>
        <v/>
      </c>
      <c r="AC319" t="s">
        <v>2013</v>
      </c>
      <c r="AD319" t="s">
        <v>3023</v>
      </c>
    </row>
    <row r="320" spans="11:30" x14ac:dyDescent="0.25">
      <c r="K320" t="str">
        <f>mapPRC!A315</f>
        <v>INMCEMKPP-E-T1</v>
      </c>
      <c r="L320" t="str">
        <f>IFERROR(INDEX($X$7:$X$88,MATCH(mapPRC!D315,$W$7:$W$88,0)),"")</f>
        <v>nm</v>
      </c>
      <c r="O320" t="str">
        <f>mapCOM!A315</f>
        <v>PWRNUC</v>
      </c>
      <c r="P320" t="str">
        <f t="shared" si="5"/>
        <v/>
      </c>
      <c r="AC320" t="s">
        <v>2012</v>
      </c>
      <c r="AD320" t="s">
        <v>3023</v>
      </c>
    </row>
    <row r="321" spans="11:30" x14ac:dyDescent="0.25">
      <c r="K321" t="str">
        <f>mapPRC!A316</f>
        <v>INMCEMKPP-E-T2</v>
      </c>
      <c r="L321" t="str">
        <f>IFERROR(INDEX($X$7:$X$88,MATCH(mapPRC!D316,$W$7:$W$88,0)),"")</f>
        <v>nm</v>
      </c>
      <c r="O321" t="str">
        <f>mapCOM!A316</f>
        <v>PWRODS</v>
      </c>
      <c r="P321" t="str">
        <f t="shared" si="5"/>
        <v>cpetr_d</v>
      </c>
      <c r="AC321" t="s">
        <v>2011</v>
      </c>
      <c r="AD321" t="s">
        <v>3023</v>
      </c>
    </row>
    <row r="322" spans="11:30" x14ac:dyDescent="0.25">
      <c r="K322" t="str">
        <f>mapPRC!A317</f>
        <v>INMCEMKPP-N</v>
      </c>
      <c r="L322" t="str">
        <f>IFERROR(INDEX($X$7:$X$88,MATCH(mapPRC!D317,$W$7:$W$88,0)),"")</f>
        <v>nm</v>
      </c>
      <c r="O322" t="str">
        <f>mapCOM!A317</f>
        <v>PWRP10R</v>
      </c>
      <c r="P322" t="str">
        <f t="shared" si="5"/>
        <v/>
      </c>
      <c r="AC322" t="s">
        <v>1818</v>
      </c>
      <c r="AD322" t="s">
        <v>3023</v>
      </c>
    </row>
    <row r="323" spans="11:30" x14ac:dyDescent="0.25">
      <c r="K323" t="str">
        <f>mapPRC!A318</f>
        <v>INMCEMKSP-E</v>
      </c>
      <c r="L323" t="str">
        <f>IFERROR(INDEX($X$7:$X$88,MATCH(mapPRC!D318,$W$7:$W$88,0)),"")</f>
        <v>nm</v>
      </c>
      <c r="O323" t="str">
        <f>mapCOM!A318</f>
        <v>PWRP10S</v>
      </c>
      <c r="P323" t="str">
        <f t="shared" si="5"/>
        <v/>
      </c>
      <c r="AC323" t="s">
        <v>1816</v>
      </c>
      <c r="AD323" t="s">
        <v>3023</v>
      </c>
    </row>
    <row r="324" spans="11:30" x14ac:dyDescent="0.25">
      <c r="K324" t="str">
        <f>mapPRC!A319</f>
        <v>INMCEMKSP-E-T1</v>
      </c>
      <c r="L324" t="str">
        <f>IFERROR(INDEX($X$7:$X$88,MATCH(mapPRC!D319,$W$7:$W$88,0)),"")</f>
        <v>nm</v>
      </c>
      <c r="O324" t="str">
        <f>mapCOM!A319</f>
        <v>PWRSOL</v>
      </c>
      <c r="P324" t="str">
        <f t="shared" si="5"/>
        <v/>
      </c>
      <c r="AC324" t="s">
        <v>1814</v>
      </c>
      <c r="AD324" t="s">
        <v>3026</v>
      </c>
    </row>
    <row r="325" spans="11:30" x14ac:dyDescent="0.25">
      <c r="K325" t="str">
        <f>mapPRC!A320</f>
        <v>INMCEMKSP-E-T2</v>
      </c>
      <c r="L325" t="str">
        <f>IFERROR(INDEX($X$7:$X$88,MATCH(mapPRC!D320,$W$7:$W$88,0)),"")</f>
        <v>nm</v>
      </c>
      <c r="O325" t="str">
        <f>mapCOM!A320</f>
        <v>PWRSOXR</v>
      </c>
      <c r="P325" t="str">
        <f t="shared" si="5"/>
        <v/>
      </c>
      <c r="AC325" t="s">
        <v>1810</v>
      </c>
      <c r="AD325" t="s">
        <v>3023</v>
      </c>
    </row>
    <row r="326" spans="11:30" x14ac:dyDescent="0.25">
      <c r="K326" t="str">
        <f>mapPRC!A321</f>
        <v>INMCEMKSP-N</v>
      </c>
      <c r="L326" t="str">
        <f>IFERROR(INDEX($X$7:$X$88,MATCH(mapPRC!D321,$W$7:$W$88,0)),"")</f>
        <v>nm</v>
      </c>
      <c r="O326" t="str">
        <f>mapCOM!A321</f>
        <v>PWRSOXS</v>
      </c>
      <c r="P326" t="str">
        <f t="shared" si="5"/>
        <v/>
      </c>
      <c r="AC326" t="s">
        <v>1808</v>
      </c>
      <c r="AD326" t="s">
        <v>3026</v>
      </c>
    </row>
    <row r="327" spans="11:30" x14ac:dyDescent="0.25">
      <c r="K327" t="str">
        <f>mapPRC!A322</f>
        <v>INMCEMPGBM</v>
      </c>
      <c r="L327" t="str">
        <f>IFERROR(INDEX($X$7:$X$88,MATCH(mapPRC!D322,$W$7:$W$88,0)),"")</f>
        <v>nm</v>
      </c>
      <c r="O327" t="str">
        <f>mapCOM!A322</f>
        <v>PWRWND</v>
      </c>
      <c r="P327" t="str">
        <f t="shared" ref="P327:P390" si="6">INDEX($AD$6:$AD$784,MATCH(O327,$AC$6:$AC$784,0))</f>
        <v/>
      </c>
      <c r="AC327" t="s">
        <v>1806</v>
      </c>
      <c r="AD327" t="s">
        <v>3023</v>
      </c>
    </row>
    <row r="328" spans="11:30" x14ac:dyDescent="0.25">
      <c r="K328" t="str">
        <f>mapPRC!A323</f>
        <v>INMCEMPGRP</v>
      </c>
      <c r="L328" t="str">
        <f>IFERROR(INDEX($X$7:$X$88,MATCH(mapPRC!D323,$W$7:$W$88,0)),"")</f>
        <v>nm</v>
      </c>
      <c r="O328" t="str">
        <f>mapCOM!A323</f>
        <v>RESBIW</v>
      </c>
      <c r="P328" t="str">
        <f t="shared" si="6"/>
        <v/>
      </c>
      <c r="AC328" t="s">
        <v>1886</v>
      </c>
      <c r="AD328" t="s">
        <v>3023</v>
      </c>
    </row>
    <row r="329" spans="11:30" x14ac:dyDescent="0.25">
      <c r="K329" t="str">
        <f>mapPRC!A324</f>
        <v>INMGLAADV</v>
      </c>
      <c r="L329" t="str">
        <f>IFERROR(INDEX($X$7:$X$88,MATCH(mapPRC!D324,$W$7:$W$88,0)),"")</f>
        <v>nm</v>
      </c>
      <c r="O329" t="str">
        <f>mapCOM!A324</f>
        <v>RESCH4</v>
      </c>
      <c r="P329" t="str">
        <f t="shared" si="6"/>
        <v/>
      </c>
      <c r="AC329" t="s">
        <v>1802</v>
      </c>
      <c r="AD329" t="s">
        <v>3025</v>
      </c>
    </row>
    <row r="330" spans="11:30" x14ac:dyDescent="0.25">
      <c r="K330" t="str">
        <f>mapPRC!A325</f>
        <v>INMGLAF2TF</v>
      </c>
      <c r="L330" t="str">
        <f>IFERROR(INDEX($X$7:$X$88,MATCH(mapPRC!D325,$W$7:$W$88,0)),"")</f>
        <v>nm</v>
      </c>
      <c r="O330" t="str">
        <f>mapCOM!A325</f>
        <v>RESCH4S</v>
      </c>
      <c r="P330" t="str">
        <f t="shared" si="6"/>
        <v/>
      </c>
      <c r="AC330" t="s">
        <v>1800</v>
      </c>
      <c r="AD330" t="s">
        <v>3024</v>
      </c>
    </row>
    <row r="331" spans="11:30" x14ac:dyDescent="0.25">
      <c r="K331" t="str">
        <f>mapPRC!A326</f>
        <v>INMGLASTD</v>
      </c>
      <c r="L331" t="str">
        <f>IFERROR(INDEX($X$7:$X$88,MATCH(mapPRC!D326,$W$7:$W$88,0)),"")</f>
        <v>nm</v>
      </c>
      <c r="O331" t="str">
        <f>mapCOM!A326</f>
        <v>RESCMOX</v>
      </c>
      <c r="P331" t="str">
        <f t="shared" si="6"/>
        <v/>
      </c>
      <c r="AC331" t="s">
        <v>1798</v>
      </c>
      <c r="AD331" t="s">
        <v>3028</v>
      </c>
    </row>
    <row r="332" spans="11:30" x14ac:dyDescent="0.25">
      <c r="K332" t="str">
        <f>mapPRC!A327</f>
        <v>INMLIMADV</v>
      </c>
      <c r="L332" t="str">
        <f>IFERROR(INDEX($X$7:$X$88,MATCH(mapPRC!D327,$W$7:$W$88,0)),"")</f>
        <v>nm</v>
      </c>
      <c r="O332" t="str">
        <f>mapCOM!A327</f>
        <v>RESCO2</v>
      </c>
      <c r="P332" t="str">
        <f t="shared" si="6"/>
        <v/>
      </c>
      <c r="AC332" t="s">
        <v>1797</v>
      </c>
      <c r="AD332" t="s">
        <v>3028</v>
      </c>
    </row>
    <row r="333" spans="11:30" x14ac:dyDescent="0.25">
      <c r="K333" t="str">
        <f>mapPRC!A328</f>
        <v>INMLIMF2TF</v>
      </c>
      <c r="L333" t="str">
        <f>IFERROR(INDEX($X$7:$X$88,MATCH(mapPRC!D328,$W$7:$W$88,0)),"")</f>
        <v>nm</v>
      </c>
      <c r="O333" t="str">
        <f>mapCOM!A328</f>
        <v>RESCO2S</v>
      </c>
      <c r="P333" t="str">
        <f t="shared" si="6"/>
        <v/>
      </c>
      <c r="AC333" t="s">
        <v>1796</v>
      </c>
      <c r="AD333" t="s">
        <v>3023</v>
      </c>
    </row>
    <row r="334" spans="11:30" x14ac:dyDescent="0.25">
      <c r="K334" t="str">
        <f>mapPRC!A329</f>
        <v>INMLIMSTD</v>
      </c>
      <c r="L334" t="str">
        <f>IFERROR(INDEX($X$7:$X$88,MATCH(mapPRC!D329,$W$7:$W$88,0)),"")</f>
        <v>nm</v>
      </c>
      <c r="O334" t="str">
        <f>mapCOM!A329</f>
        <v>RESCOA</v>
      </c>
      <c r="P334" t="str">
        <f t="shared" si="6"/>
        <v>ccoal-hgh</v>
      </c>
      <c r="AC334" t="s">
        <v>1793</v>
      </c>
      <c r="AD334" t="s">
        <v>3023</v>
      </c>
    </row>
    <row r="335" spans="11:30" x14ac:dyDescent="0.25">
      <c r="K335" t="str">
        <f>mapPRC!A330</f>
        <v>IOTAELC-E</v>
      </c>
      <c r="L335" t="str">
        <f>IFERROR(INDEX($X$7:$X$88,MATCH(mapPRC!D330,$W$7:$W$88,0)),"")</f>
        <v>ot</v>
      </c>
      <c r="O335" t="str">
        <f>mapCOM!A330</f>
        <v>RESELC</v>
      </c>
      <c r="P335" t="str">
        <f t="shared" si="6"/>
        <v>celec</v>
      </c>
      <c r="AC335" t="s">
        <v>2010</v>
      </c>
      <c r="AD335" t="s">
        <v>3023</v>
      </c>
    </row>
    <row r="336" spans="11:30" x14ac:dyDescent="0.25">
      <c r="K336" t="str">
        <f>mapPRC!A331</f>
        <v>IOTCELC-E</v>
      </c>
      <c r="L336" t="str">
        <f>IFERROR(INDEX($X$7:$X$88,MATCH(mapPRC!D331,$W$7:$W$88,0)),"")</f>
        <v>ot</v>
      </c>
      <c r="O336" t="str">
        <f>mapCOM!A331</f>
        <v>RESGAS</v>
      </c>
      <c r="P336" t="str">
        <f t="shared" si="6"/>
        <v>cngas</v>
      </c>
      <c r="AC336" t="s">
        <v>2009</v>
      </c>
      <c r="AD336" t="s">
        <v>3023</v>
      </c>
    </row>
    <row r="337" spans="11:30" x14ac:dyDescent="0.25">
      <c r="K337" t="str">
        <f>mapPRC!A332</f>
        <v>IOTEELC-E</v>
      </c>
      <c r="L337" t="str">
        <f>IFERROR(INDEX($X$7:$X$88,MATCH(mapPRC!D332,$W$7:$W$88,0)),"")</f>
        <v>ot</v>
      </c>
      <c r="O337" t="str">
        <f>mapCOM!A332</f>
        <v>RESN2O</v>
      </c>
      <c r="P337" t="str">
        <f t="shared" si="6"/>
        <v/>
      </c>
      <c r="AC337" t="s">
        <v>2008</v>
      </c>
      <c r="AD337" t="s">
        <v>3023</v>
      </c>
    </row>
    <row r="338" spans="11:30" x14ac:dyDescent="0.25">
      <c r="K338" t="str">
        <f>mapPRC!A333</f>
        <v>IOTFELC-E</v>
      </c>
      <c r="L338" t="str">
        <f>IFERROR(INDEX($X$7:$X$88,MATCH(mapPRC!D333,$W$7:$W$88,0)),"")</f>
        <v>ot</v>
      </c>
      <c r="O338" t="str">
        <f>mapCOM!A333</f>
        <v>RESN2OS</v>
      </c>
      <c r="P338" t="str">
        <f t="shared" si="6"/>
        <v/>
      </c>
      <c r="AC338" t="s">
        <v>1790</v>
      </c>
      <c r="AD338" t="s">
        <v>3025</v>
      </c>
    </row>
    <row r="339" spans="11:30" x14ac:dyDescent="0.25">
      <c r="K339" t="str">
        <f>mapPRC!A334</f>
        <v>IOTHELC-E</v>
      </c>
      <c r="L339" t="str">
        <f>IFERROR(INDEX($X$7:$X$88,MATCH(mapPRC!D334,$W$7:$W$88,0)),"")</f>
        <v>ot</v>
      </c>
      <c r="O339" t="str">
        <f>mapCOM!A334</f>
        <v>RESNMVS</v>
      </c>
      <c r="P339" t="str">
        <f t="shared" si="6"/>
        <v/>
      </c>
      <c r="AC339" t="s">
        <v>2007</v>
      </c>
      <c r="AD339" t="s">
        <v>3023</v>
      </c>
    </row>
    <row r="340" spans="11:30" x14ac:dyDescent="0.25">
      <c r="K340" t="str">
        <f>mapPRC!A335</f>
        <v>IOTKELC-E</v>
      </c>
      <c r="L340" t="str">
        <f>IFERROR(INDEX($X$7:$X$88,MATCH(mapPRC!D335,$W$7:$W$88,0)),"")</f>
        <v>ot</v>
      </c>
      <c r="O340" t="str">
        <f>mapCOM!A335</f>
        <v>RESNOX</v>
      </c>
      <c r="P340" t="str">
        <f t="shared" si="6"/>
        <v/>
      </c>
      <c r="AC340" t="s">
        <v>1788</v>
      </c>
      <c r="AD340" t="s">
        <v>3024</v>
      </c>
    </row>
    <row r="341" spans="11:30" x14ac:dyDescent="0.25">
      <c r="K341" t="str">
        <f>mapPRC!A336</f>
        <v>IOTLELC-E</v>
      </c>
      <c r="L341" t="str">
        <f>IFERROR(INDEX($X$7:$X$88,MATCH(mapPRC!D336,$W$7:$W$88,0)),"")</f>
        <v>ot</v>
      </c>
      <c r="O341" t="str">
        <f>mapCOM!A336</f>
        <v>RESNOXS</v>
      </c>
      <c r="P341" t="str">
        <f t="shared" si="6"/>
        <v/>
      </c>
      <c r="AC341" t="s">
        <v>2006</v>
      </c>
      <c r="AD341" t="s">
        <v>3023</v>
      </c>
    </row>
    <row r="342" spans="11:30" x14ac:dyDescent="0.25">
      <c r="K342" t="str">
        <f>mapPRC!A337</f>
        <v>IOTOELC-E</v>
      </c>
      <c r="L342" t="str">
        <f>IFERROR(INDEX($X$7:$X$88,MATCH(mapPRC!D337,$W$7:$W$88,0)),"")</f>
        <v>ot</v>
      </c>
      <c r="O342" t="str">
        <f>mapCOM!A337</f>
        <v>RESOKE</v>
      </c>
      <c r="P342" t="str">
        <f t="shared" si="6"/>
        <v>cpetr_o</v>
      </c>
      <c r="AC342" t="s">
        <v>2005</v>
      </c>
      <c r="AD342" t="s">
        <v>3023</v>
      </c>
    </row>
    <row r="343" spans="11:30" x14ac:dyDescent="0.25">
      <c r="K343" t="str">
        <f>mapPRC!A338</f>
        <v>IOTPELC-E</v>
      </c>
      <c r="L343" t="str">
        <f>IFERROR(INDEX($X$7:$X$88,MATCH(mapPRC!D338,$W$7:$W$88,0)),"")</f>
        <v>ot</v>
      </c>
      <c r="O343" t="str">
        <f>mapCOM!A338</f>
        <v>RESOLP</v>
      </c>
      <c r="P343" t="str">
        <f t="shared" si="6"/>
        <v>cpetr_o</v>
      </c>
      <c r="AC343" t="s">
        <v>2004</v>
      </c>
      <c r="AD343" t="s">
        <v>3023</v>
      </c>
    </row>
    <row r="344" spans="11:30" x14ac:dyDescent="0.25">
      <c r="K344" t="str">
        <f>mapPRC!A339</f>
        <v>IOTRODS-E</v>
      </c>
      <c r="L344" t="str">
        <f>IFERROR(INDEX($X$7:$X$88,MATCH(mapPRC!D339,$W$7:$W$88,0)),"")</f>
        <v>ot</v>
      </c>
      <c r="O344" t="str">
        <f>mapCOM!A339</f>
        <v>RESP10S</v>
      </c>
      <c r="P344" t="str">
        <f t="shared" si="6"/>
        <v/>
      </c>
      <c r="AC344" t="s">
        <v>2003</v>
      </c>
      <c r="AD344" t="s">
        <v>3023</v>
      </c>
    </row>
    <row r="345" spans="11:30" x14ac:dyDescent="0.25">
      <c r="K345" t="str">
        <f>mapPRC!A340</f>
        <v>IOTSCOA-E</v>
      </c>
      <c r="L345" t="str">
        <f>IFERROR(INDEX($X$7:$X$88,MATCH(mapPRC!D340,$W$7:$W$88,0)),"")</f>
        <v>ot</v>
      </c>
      <c r="O345" t="str">
        <f>mapCOM!A340</f>
        <v>RESSOX</v>
      </c>
      <c r="P345" t="str">
        <f t="shared" si="6"/>
        <v/>
      </c>
      <c r="AC345" t="s">
        <v>2002</v>
      </c>
      <c r="AD345" t="s">
        <v>3023</v>
      </c>
    </row>
    <row r="346" spans="11:30" x14ac:dyDescent="0.25">
      <c r="K346" t="str">
        <f>mapPRC!A341</f>
        <v>IOTSELC-E</v>
      </c>
      <c r="L346" t="str">
        <f>IFERROR(INDEX($X$7:$X$88,MATCH(mapPRC!D341,$W$7:$W$88,0)),"")</f>
        <v>ot</v>
      </c>
      <c r="O346" t="str">
        <f>mapCOM!A341</f>
        <v>RESSOXS</v>
      </c>
      <c r="P346" t="str">
        <f t="shared" si="6"/>
        <v/>
      </c>
      <c r="AC346" t="s">
        <v>2001</v>
      </c>
      <c r="AD346" t="s">
        <v>3023</v>
      </c>
    </row>
    <row r="347" spans="11:30" x14ac:dyDescent="0.25">
      <c r="K347" t="str">
        <f>mapPRC!A342</f>
        <v>IOTSGAS-E</v>
      </c>
      <c r="L347" t="str">
        <f>IFERROR(INDEX($X$7:$X$88,MATCH(mapPRC!D342,$W$7:$W$88,0)),"")</f>
        <v>ot</v>
      </c>
      <c r="O347" t="str">
        <f>mapCOM!A342</f>
        <v>RHEH</v>
      </c>
      <c r="P347" t="str">
        <f t="shared" si="6"/>
        <v/>
      </c>
      <c r="AC347" t="s">
        <v>2000</v>
      </c>
      <c r="AD347" t="s">
        <v>3023</v>
      </c>
    </row>
    <row r="348" spans="11:30" x14ac:dyDescent="0.25">
      <c r="K348" t="str">
        <f>mapPRC!A343</f>
        <v>IOTSOHF-E</v>
      </c>
      <c r="L348" t="str">
        <f>IFERROR(INDEX($X$7:$X$88,MATCH(mapPRC!D343,$W$7:$W$88,0)),"")</f>
        <v>ot</v>
      </c>
      <c r="O348" t="str">
        <f>mapCOM!A343</f>
        <v>RHEK</v>
      </c>
      <c r="P348" t="str">
        <f t="shared" si="6"/>
        <v/>
      </c>
      <c r="AC348" t="s">
        <v>1786</v>
      </c>
      <c r="AD348" t="s">
        <v>3023</v>
      </c>
    </row>
    <row r="349" spans="11:30" x14ac:dyDescent="0.25">
      <c r="K349" t="str">
        <f>mapPRC!A344</f>
        <v>IOTSOLP-E</v>
      </c>
      <c r="L349" t="str">
        <f>IFERROR(INDEX($X$7:$X$88,MATCH(mapPRC!D344,$W$7:$W$88,0)),"")</f>
        <v>ot</v>
      </c>
      <c r="O349" t="str">
        <f>mapCOM!A344</f>
        <v>RHEL</v>
      </c>
      <c r="P349" t="str">
        <f t="shared" si="6"/>
        <v/>
      </c>
      <c r="AC349" t="s">
        <v>1783</v>
      </c>
      <c r="AD349" t="s">
        <v>3023</v>
      </c>
    </row>
    <row r="350" spans="11:30" x14ac:dyDescent="0.25">
      <c r="K350" t="str">
        <f>mapPRC!A345</f>
        <v>IOTSWAS-E</v>
      </c>
      <c r="L350" t="str">
        <f>IFERROR(INDEX($X$7:$X$88,MATCH(mapPRC!D345,$W$7:$W$88,0)),"")</f>
        <v>ot</v>
      </c>
      <c r="O350" t="str">
        <f>mapCOM!A345</f>
        <v>RHEN</v>
      </c>
      <c r="P350" t="str">
        <f t="shared" si="6"/>
        <v/>
      </c>
      <c r="AC350" t="s">
        <v>1780</v>
      </c>
      <c r="AD350" t="s">
        <v>3023</v>
      </c>
    </row>
    <row r="351" spans="11:30" x14ac:dyDescent="0.25">
      <c r="K351" t="str">
        <f>mapPRC!A346</f>
        <v>IPPCHE-E</v>
      </c>
      <c r="L351" t="str">
        <f>IFERROR(INDEX($X$7:$X$88,MATCH(mapPRC!D346,$W$7:$W$88,0)),"")</f>
        <v>pp</v>
      </c>
      <c r="O351" t="str">
        <f>mapCOM!A346</f>
        <v>RHEO</v>
      </c>
      <c r="P351" t="str">
        <f t="shared" si="6"/>
        <v/>
      </c>
      <c r="AC351" t="s">
        <v>1777</v>
      </c>
      <c r="AD351" t="s">
        <v>3023</v>
      </c>
    </row>
    <row r="352" spans="11:30" x14ac:dyDescent="0.25">
      <c r="K352" t="str">
        <f>mapPRC!A347</f>
        <v>IPPCHE-E-T1</v>
      </c>
      <c r="L352" t="str">
        <f>IFERROR(INDEX($X$7:$X$88,MATCH(mapPRC!D347,$W$7:$W$88,0)),"")</f>
        <v>pp</v>
      </c>
      <c r="O352" t="str">
        <f>mapCOM!A347</f>
        <v>RHER</v>
      </c>
      <c r="P352" t="str">
        <f t="shared" si="6"/>
        <v/>
      </c>
      <c r="AC352" t="s">
        <v>1774</v>
      </c>
      <c r="AD352" t="s">
        <v>3023</v>
      </c>
    </row>
    <row r="353" spans="11:30" x14ac:dyDescent="0.25">
      <c r="K353" t="str">
        <f>mapPRC!A348</f>
        <v>IPPCHE-E-T2</v>
      </c>
      <c r="L353" t="str">
        <f>IFERROR(INDEX($X$7:$X$88,MATCH(mapPRC!D348,$W$7:$W$88,0)),"")</f>
        <v>pp</v>
      </c>
      <c r="O353" t="str">
        <f>mapCOM!A348</f>
        <v>RHEW</v>
      </c>
      <c r="P353" t="str">
        <f t="shared" si="6"/>
        <v/>
      </c>
      <c r="AC353" t="s">
        <v>1771</v>
      </c>
      <c r="AD353" t="s">
        <v>3023</v>
      </c>
    </row>
    <row r="354" spans="11:30" x14ac:dyDescent="0.25">
      <c r="K354" t="str">
        <f>mapPRC!A349</f>
        <v>IPPCHE-N</v>
      </c>
      <c r="L354" t="str">
        <f>IFERROR(INDEX($X$7:$X$88,MATCH(mapPRC!D349,$W$7:$W$88,0)),"")</f>
        <v>pp</v>
      </c>
      <c r="O354" t="str">
        <f>mapCOM!A349</f>
        <v>RHEWG</v>
      </c>
      <c r="P354" t="str">
        <f t="shared" si="6"/>
        <v/>
      </c>
      <c r="AC354" t="s">
        <v>1768</v>
      </c>
      <c r="AD354" t="s">
        <v>3023</v>
      </c>
    </row>
    <row r="355" spans="11:30" x14ac:dyDescent="0.25">
      <c r="K355" t="str">
        <f>mapPRC!A350</f>
        <v>IPPCHPGAS01-N</v>
      </c>
      <c r="L355" t="str">
        <f>IFERROR(INDEX($X$7:$X$88,MATCH(mapPRC!D350,$W$7:$W$88,0)),"")</f>
        <v>pp</v>
      </c>
      <c r="O355" t="str">
        <f>mapCOM!A350</f>
        <v>RLEH</v>
      </c>
      <c r="P355" t="str">
        <f t="shared" si="6"/>
        <v/>
      </c>
      <c r="AC355" t="s">
        <v>1765</v>
      </c>
      <c r="AD355" t="s">
        <v>3023</v>
      </c>
    </row>
    <row r="356" spans="11:30" x14ac:dyDescent="0.25">
      <c r="K356" t="str">
        <f>mapPRC!A351</f>
        <v>IPPCHPGAS02-N</v>
      </c>
      <c r="L356" t="str">
        <f>IFERROR(INDEX($X$7:$X$88,MATCH(mapPRC!D351,$W$7:$W$88,0)),"")</f>
        <v>pp</v>
      </c>
      <c r="O356" t="str">
        <f>mapCOM!A351</f>
        <v>RLEK</v>
      </c>
      <c r="P356" t="str">
        <f t="shared" si="6"/>
        <v/>
      </c>
      <c r="AC356" t="s">
        <v>1999</v>
      </c>
      <c r="AD356" t="s">
        <v>3023</v>
      </c>
    </row>
    <row r="357" spans="11:30" x14ac:dyDescent="0.25">
      <c r="K357" t="str">
        <f>mapPRC!A352</f>
        <v>IPPCHPSTM01-N</v>
      </c>
      <c r="L357" t="str">
        <f>IFERROR(INDEX($X$7:$X$88,MATCH(mapPRC!D352,$W$7:$W$88,0)),"")</f>
        <v>pp</v>
      </c>
      <c r="O357" t="str">
        <f>mapCOM!A352</f>
        <v>RLEL</v>
      </c>
      <c r="P357" t="str">
        <f t="shared" si="6"/>
        <v/>
      </c>
      <c r="AC357" t="s">
        <v>1998</v>
      </c>
      <c r="AD357" t="s">
        <v>3023</v>
      </c>
    </row>
    <row r="358" spans="11:30" x14ac:dyDescent="0.25">
      <c r="K358" t="str">
        <f>mapPRC!A353</f>
        <v>IPPDIS-E</v>
      </c>
      <c r="L358" t="str">
        <f>IFERROR(INDEX($X$7:$X$88,MATCH(mapPRC!D353,$W$7:$W$88,0)),"")</f>
        <v>pp</v>
      </c>
      <c r="O358" t="str">
        <f>mapCOM!A353</f>
        <v>RLEN</v>
      </c>
      <c r="P358" t="str">
        <f t="shared" si="6"/>
        <v/>
      </c>
      <c r="AC358" t="s">
        <v>1997</v>
      </c>
      <c r="AD358" t="s">
        <v>3023</v>
      </c>
    </row>
    <row r="359" spans="11:30" x14ac:dyDescent="0.25">
      <c r="K359" t="str">
        <f>mapPRC!A354</f>
        <v>IPPDIS-E-T1</v>
      </c>
      <c r="L359" t="str">
        <f>IFERROR(INDEX($X$7:$X$88,MATCH(mapPRC!D354,$W$7:$W$88,0)),"")</f>
        <v>pp</v>
      </c>
      <c r="O359" t="str">
        <f>mapCOM!A354</f>
        <v>RLEO</v>
      </c>
      <c r="P359" t="str">
        <f t="shared" si="6"/>
        <v/>
      </c>
      <c r="AC359" t="s">
        <v>1762</v>
      </c>
      <c r="AD359" t="s">
        <v>3025</v>
      </c>
    </row>
    <row r="360" spans="11:30" x14ac:dyDescent="0.25">
      <c r="K360" t="str">
        <f>mapPRC!A355</f>
        <v>IPPDIS-E-T2</v>
      </c>
      <c r="L360" t="str">
        <f>IFERROR(INDEX($X$7:$X$88,MATCH(mapPRC!D355,$W$7:$W$88,0)),"")</f>
        <v>pp</v>
      </c>
      <c r="O360" t="str">
        <f>mapCOM!A355</f>
        <v>RLER</v>
      </c>
      <c r="P360" t="str">
        <f t="shared" si="6"/>
        <v/>
      </c>
      <c r="AC360" t="s">
        <v>1996</v>
      </c>
      <c r="AD360" t="s">
        <v>3023</v>
      </c>
    </row>
    <row r="361" spans="11:30" x14ac:dyDescent="0.25">
      <c r="K361" t="str">
        <f>mapPRC!A356</f>
        <v>IPPDIS-N</v>
      </c>
      <c r="L361" t="str">
        <f>IFERROR(INDEX($X$7:$X$88,MATCH(mapPRC!D356,$W$7:$W$88,0)),"")</f>
        <v>pp</v>
      </c>
      <c r="O361" t="str">
        <f>mapCOM!A356</f>
        <v>RLEW</v>
      </c>
      <c r="P361" t="str">
        <f t="shared" si="6"/>
        <v/>
      </c>
      <c r="AC361" t="s">
        <v>1760</v>
      </c>
      <c r="AD361" t="s">
        <v>3024</v>
      </c>
    </row>
    <row r="362" spans="11:30" x14ac:dyDescent="0.25">
      <c r="K362" t="str">
        <f>mapPRC!A357</f>
        <v>IPPELCSTM-E</v>
      </c>
      <c r="L362" t="str">
        <f>IFERROR(INDEX($X$7:$X$88,MATCH(mapPRC!D357,$W$7:$W$88,0)),"")</f>
        <v>pp</v>
      </c>
      <c r="O362" t="str">
        <f>mapCOM!A357</f>
        <v>RLEWG</v>
      </c>
      <c r="P362" t="str">
        <f t="shared" si="6"/>
        <v/>
      </c>
      <c r="AC362" t="s">
        <v>1995</v>
      </c>
      <c r="AD362" t="s">
        <v>3023</v>
      </c>
    </row>
    <row r="363" spans="11:30" x14ac:dyDescent="0.25">
      <c r="K363" t="str">
        <f>mapPRC!A358</f>
        <v>IPPMCH-E</v>
      </c>
      <c r="L363" t="str">
        <f>IFERROR(INDEX($X$7:$X$88,MATCH(mapPRC!D358,$W$7:$W$88,0)),"")</f>
        <v>pp</v>
      </c>
      <c r="O363" t="str">
        <f>mapCOM!A358</f>
        <v>RLNH</v>
      </c>
      <c r="P363" t="str">
        <f t="shared" si="6"/>
        <v/>
      </c>
      <c r="AC363" t="s">
        <v>1994</v>
      </c>
      <c r="AD363" t="s">
        <v>3023</v>
      </c>
    </row>
    <row r="364" spans="11:30" x14ac:dyDescent="0.25">
      <c r="K364" t="str">
        <f>mapPRC!A359</f>
        <v>IPPMCH-E-T1</v>
      </c>
      <c r="L364" t="str">
        <f>IFERROR(INDEX($X$7:$X$88,MATCH(mapPRC!D359,$W$7:$W$88,0)),"")</f>
        <v>pp</v>
      </c>
      <c r="O364" t="str">
        <f>mapCOM!A359</f>
        <v>RLNK</v>
      </c>
      <c r="P364" t="str">
        <f t="shared" si="6"/>
        <v/>
      </c>
      <c r="AC364" t="s">
        <v>1993</v>
      </c>
      <c r="AD364" t="s">
        <v>3023</v>
      </c>
    </row>
    <row r="365" spans="11:30" x14ac:dyDescent="0.25">
      <c r="K365" t="str">
        <f>mapPRC!A360</f>
        <v>IPPMCH-E-T2</v>
      </c>
      <c r="L365" t="str">
        <f>IFERROR(INDEX($X$7:$X$88,MATCH(mapPRC!D360,$W$7:$W$88,0)),"")</f>
        <v>pp</v>
      </c>
      <c r="O365" t="str">
        <f>mapCOM!A360</f>
        <v>RLNL</v>
      </c>
      <c r="P365" t="str">
        <f t="shared" si="6"/>
        <v/>
      </c>
      <c r="AC365" t="s">
        <v>1992</v>
      </c>
      <c r="AD365" t="s">
        <v>3023</v>
      </c>
    </row>
    <row r="366" spans="11:30" x14ac:dyDescent="0.25">
      <c r="K366" t="str">
        <f>mapPRC!A361</f>
        <v>IPPMCH-N</v>
      </c>
      <c r="L366" t="str">
        <f>IFERROR(INDEX($X$7:$X$88,MATCH(mapPRC!D361,$W$7:$W$88,0)),"")</f>
        <v>pp</v>
      </c>
      <c r="O366" t="str">
        <f>mapCOM!A361</f>
        <v>RLNN</v>
      </c>
      <c r="P366" t="str">
        <f t="shared" si="6"/>
        <v/>
      </c>
      <c r="AC366" t="s">
        <v>1991</v>
      </c>
      <c r="AD366" t="s">
        <v>3023</v>
      </c>
    </row>
    <row r="367" spans="11:30" x14ac:dyDescent="0.25">
      <c r="K367" t="str">
        <f>mapPRC!A362</f>
        <v>IPPPAP-E</v>
      </c>
      <c r="L367" t="str">
        <f>IFERROR(INDEX($X$7:$X$88,MATCH(mapPRC!D362,$W$7:$W$88,0)),"")</f>
        <v>pp</v>
      </c>
      <c r="O367" t="str">
        <f>mapCOM!A362</f>
        <v>RLNW</v>
      </c>
      <c r="P367" t="str">
        <f t="shared" si="6"/>
        <v/>
      </c>
      <c r="AC367" t="s">
        <v>1990</v>
      </c>
      <c r="AD367" t="s">
        <v>3023</v>
      </c>
    </row>
    <row r="368" spans="11:30" x14ac:dyDescent="0.25">
      <c r="K368" t="str">
        <f>mapPRC!A363</f>
        <v>IPPPAP-E-T1</v>
      </c>
      <c r="L368" t="str">
        <f>IFERROR(INDEX($X$7:$X$88,MATCH(mapPRC!D363,$W$7:$W$88,0)),"")</f>
        <v>pp</v>
      </c>
      <c r="O368" t="str">
        <f>mapCOM!A363</f>
        <v>RMEH</v>
      </c>
      <c r="P368" t="str">
        <f t="shared" si="6"/>
        <v/>
      </c>
      <c r="AC368" t="s">
        <v>1758</v>
      </c>
      <c r="AD368" t="s">
        <v>3023</v>
      </c>
    </row>
    <row r="369" spans="11:30" x14ac:dyDescent="0.25">
      <c r="K369" t="str">
        <f>mapPRC!A364</f>
        <v>IPPPAP-E-T2</v>
      </c>
      <c r="L369" t="str">
        <f>IFERROR(INDEX($X$7:$X$88,MATCH(mapPRC!D364,$W$7:$W$88,0)),"")</f>
        <v>pp</v>
      </c>
      <c r="O369" t="str">
        <f>mapCOM!A364</f>
        <v>RMEK</v>
      </c>
      <c r="P369" t="str">
        <f t="shared" si="6"/>
        <v/>
      </c>
      <c r="AC369" t="s">
        <v>1884</v>
      </c>
      <c r="AD369" t="s">
        <v>3023</v>
      </c>
    </row>
    <row r="370" spans="11:30" x14ac:dyDescent="0.25">
      <c r="K370" t="str">
        <f>mapPRC!A365</f>
        <v>IPPPAP-N</v>
      </c>
      <c r="L370" t="str">
        <f>IFERROR(INDEX($X$7:$X$88,MATCH(mapPRC!D365,$W$7:$W$88,0)),"")</f>
        <v>pp</v>
      </c>
      <c r="O370" t="str">
        <f>mapCOM!A365</f>
        <v>RMEL</v>
      </c>
      <c r="P370" t="str">
        <f t="shared" si="6"/>
        <v/>
      </c>
      <c r="AC370" t="s">
        <v>1756</v>
      </c>
      <c r="AD370" t="s">
        <v>3023</v>
      </c>
    </row>
    <row r="371" spans="11:30" x14ac:dyDescent="0.25">
      <c r="K371" t="str">
        <f>mapPRC!A366</f>
        <v>IPPREC-E</v>
      </c>
      <c r="L371" t="str">
        <f>IFERROR(INDEX($X$7:$X$88,MATCH(mapPRC!D366,$W$7:$W$88,0)),"")</f>
        <v>pp</v>
      </c>
      <c r="O371" t="str">
        <f>mapCOM!A366</f>
        <v>RMEN</v>
      </c>
      <c r="P371" t="str">
        <f t="shared" si="6"/>
        <v/>
      </c>
      <c r="AC371" t="s">
        <v>1883</v>
      </c>
      <c r="AD371" t="s">
        <v>3023</v>
      </c>
    </row>
    <row r="372" spans="11:30" x14ac:dyDescent="0.25">
      <c r="K372" t="str">
        <f>mapPRC!A367</f>
        <v>IPPREC-E-T1</v>
      </c>
      <c r="L372" t="str">
        <f>IFERROR(INDEX($X$7:$X$88,MATCH(mapPRC!D367,$W$7:$W$88,0)),"")</f>
        <v>pp</v>
      </c>
      <c r="O372" t="str">
        <f>mapCOM!A367</f>
        <v>RMEO</v>
      </c>
      <c r="P372" t="str">
        <f t="shared" si="6"/>
        <v/>
      </c>
      <c r="AC372" t="s">
        <v>1754</v>
      </c>
      <c r="AD372" t="s">
        <v>3023</v>
      </c>
    </row>
    <row r="373" spans="11:30" x14ac:dyDescent="0.25">
      <c r="K373" t="str">
        <f>mapPRC!A368</f>
        <v>IPPREC-E-T2</v>
      </c>
      <c r="L373" t="str">
        <f>IFERROR(INDEX($X$7:$X$88,MATCH(mapPRC!D368,$W$7:$W$88,0)),"")</f>
        <v>pp</v>
      </c>
      <c r="O373" t="str">
        <f>mapCOM!A368</f>
        <v>RMER</v>
      </c>
      <c r="P373" t="str">
        <f t="shared" si="6"/>
        <v/>
      </c>
      <c r="AC373" t="s">
        <v>1752</v>
      </c>
      <c r="AD373" t="s">
        <v>3023</v>
      </c>
    </row>
    <row r="374" spans="11:30" x14ac:dyDescent="0.25">
      <c r="K374" t="str">
        <f>mapPRC!A369</f>
        <v>IPPREC-N</v>
      </c>
      <c r="L374" t="str">
        <f>IFERROR(INDEX($X$7:$X$88,MATCH(mapPRC!D369,$W$7:$W$88,0)),"")</f>
        <v>pp</v>
      </c>
      <c r="O374" t="str">
        <f>mapCOM!A369</f>
        <v>RMEW</v>
      </c>
      <c r="P374" t="str">
        <f t="shared" si="6"/>
        <v/>
      </c>
      <c r="AC374" t="s">
        <v>1750</v>
      </c>
      <c r="AD374" t="s">
        <v>3026</v>
      </c>
    </row>
    <row r="375" spans="11:30" x14ac:dyDescent="0.25">
      <c r="K375" t="str">
        <f>mapPRC!A370</f>
        <v>IPPSTMBIO-E</v>
      </c>
      <c r="L375" t="str">
        <f>IFERROR(INDEX($X$7:$X$88,MATCH(mapPRC!D370,$W$7:$W$88,0)),"")</f>
        <v>pp</v>
      </c>
      <c r="O375" t="str">
        <f>mapCOM!A370</f>
        <v>RMEWG</v>
      </c>
      <c r="P375" t="str">
        <f t="shared" si="6"/>
        <v/>
      </c>
      <c r="AC375" t="s">
        <v>1748</v>
      </c>
      <c r="AD375" t="s">
        <v>3025</v>
      </c>
    </row>
    <row r="376" spans="11:30" x14ac:dyDescent="0.25">
      <c r="K376" t="str">
        <f>mapPRC!A371</f>
        <v>IPPSTMBIO-N</v>
      </c>
      <c r="L376" t="str">
        <f>IFERROR(INDEX($X$7:$X$88,MATCH(mapPRC!D371,$W$7:$W$88,0)),"")</f>
        <v>pp</v>
      </c>
      <c r="O376" t="str">
        <f>mapCOM!A371</f>
        <v>RMNH</v>
      </c>
      <c r="P376" t="str">
        <f t="shared" si="6"/>
        <v/>
      </c>
      <c r="AC376" t="s">
        <v>1746</v>
      </c>
      <c r="AD376" t="s">
        <v>3024</v>
      </c>
    </row>
    <row r="377" spans="11:30" x14ac:dyDescent="0.25">
      <c r="K377" t="str">
        <f>mapPRC!A372</f>
        <v>IPPSTMBLQ-E</v>
      </c>
      <c r="L377" t="str">
        <f>IFERROR(INDEX($X$7:$X$88,MATCH(mapPRC!D372,$W$7:$W$88,0)),"")</f>
        <v>pp</v>
      </c>
      <c r="O377" t="str">
        <f>mapCOM!A372</f>
        <v>RMNK</v>
      </c>
      <c r="P377" t="str">
        <f t="shared" si="6"/>
        <v/>
      </c>
      <c r="AC377" t="s">
        <v>1881</v>
      </c>
      <c r="AD377" t="s">
        <v>3023</v>
      </c>
    </row>
    <row r="378" spans="11:30" x14ac:dyDescent="0.25">
      <c r="K378" t="str">
        <f>mapPRC!A373</f>
        <v>IPPSTMBLQ-N</v>
      </c>
      <c r="L378" t="str">
        <f>IFERROR(INDEX($X$7:$X$88,MATCH(mapPRC!D373,$W$7:$W$88,0)),"")</f>
        <v>pp</v>
      </c>
      <c r="O378" t="str">
        <f>mapCOM!A373</f>
        <v>RMNL</v>
      </c>
      <c r="P378" t="str">
        <f t="shared" si="6"/>
        <v/>
      </c>
      <c r="AC378" t="s">
        <v>1744</v>
      </c>
      <c r="AD378" t="s">
        <v>3023</v>
      </c>
    </row>
    <row r="379" spans="11:30" x14ac:dyDescent="0.25">
      <c r="K379" t="str">
        <f>mapPRC!A374</f>
        <v>IPPSTMCOA-E</v>
      </c>
      <c r="L379" t="str">
        <f>IFERROR(INDEX($X$7:$X$88,MATCH(mapPRC!D374,$W$7:$W$88,0)),"")</f>
        <v>pp</v>
      </c>
      <c r="O379" t="str">
        <f>mapCOM!A374</f>
        <v>RMNN</v>
      </c>
      <c r="P379" t="str">
        <f t="shared" si="6"/>
        <v/>
      </c>
      <c r="AC379" t="s">
        <v>1879</v>
      </c>
      <c r="AD379" t="s">
        <v>3023</v>
      </c>
    </row>
    <row r="380" spans="11:30" x14ac:dyDescent="0.25">
      <c r="K380" t="str">
        <f>mapPRC!A375</f>
        <v>IPPSTMCOA-N</v>
      </c>
      <c r="L380" t="str">
        <f>IFERROR(INDEX($X$7:$X$88,MATCH(mapPRC!D375,$W$7:$W$88,0)),"")</f>
        <v>pp</v>
      </c>
      <c r="O380" t="str">
        <f>mapCOM!A375</f>
        <v>RMNW</v>
      </c>
      <c r="P380" t="str">
        <f t="shared" si="6"/>
        <v/>
      </c>
      <c r="AC380" t="s">
        <v>1742</v>
      </c>
      <c r="AD380" t="s">
        <v>3023</v>
      </c>
    </row>
    <row r="381" spans="11:30" x14ac:dyDescent="0.25">
      <c r="K381" t="str">
        <f>mapPRC!A376</f>
        <v>IPPSTMCOAOIL</v>
      </c>
      <c r="L381" t="str">
        <f>IFERROR(INDEX($X$7:$X$88,MATCH(mapPRC!D376,$W$7:$W$88,0)),"")</f>
        <v>pp</v>
      </c>
      <c r="O381" t="str">
        <f>mapCOM!A376</f>
        <v>SOL</v>
      </c>
      <c r="P381" t="str">
        <f t="shared" si="6"/>
        <v/>
      </c>
      <c r="AC381" t="s">
        <v>1740</v>
      </c>
      <c r="AD381" t="s">
        <v>3028</v>
      </c>
    </row>
    <row r="382" spans="11:30" x14ac:dyDescent="0.25">
      <c r="K382" t="str">
        <f>mapPRC!A377</f>
        <v>IPPSTMGAS-E</v>
      </c>
      <c r="L382" t="str">
        <f>IFERROR(INDEX($X$7:$X$88,MATCH(mapPRC!D377,$W$7:$W$88,0)),"")</f>
        <v>pp</v>
      </c>
      <c r="O382" t="str">
        <f>mapCOM!A377</f>
        <v>SOXS</v>
      </c>
      <c r="P382" t="str">
        <f t="shared" si="6"/>
        <v/>
      </c>
      <c r="AC382" t="s">
        <v>1738</v>
      </c>
      <c r="AD382" t="s">
        <v>3023</v>
      </c>
    </row>
    <row r="383" spans="11:30" x14ac:dyDescent="0.25">
      <c r="K383" t="str">
        <f>mapPRC!A378</f>
        <v>IPPSTMGAS-N</v>
      </c>
      <c r="L383" t="str">
        <f>IFERROR(INDEX($X$7:$X$88,MATCH(mapPRC!D378,$W$7:$W$88,0)),"")</f>
        <v>pp</v>
      </c>
      <c r="O383" t="str">
        <f>mapCOM!A378</f>
        <v>TADJET</v>
      </c>
      <c r="P383" t="str">
        <f t="shared" si="6"/>
        <v>cpetr_o</v>
      </c>
      <c r="AC383" t="s">
        <v>1877</v>
      </c>
      <c r="AD383" t="s">
        <v>3023</v>
      </c>
    </row>
    <row r="384" spans="11:30" x14ac:dyDescent="0.25">
      <c r="K384" t="str">
        <f>mapPRC!A379</f>
        <v>IPPSTMOIL-N</v>
      </c>
      <c r="L384" t="str">
        <f>IFERROR(INDEX($X$7:$X$88,MATCH(mapPRC!D379,$W$7:$W$88,0)),"")</f>
        <v>pp</v>
      </c>
      <c r="O384" t="str">
        <f>mapCOM!A379</f>
        <v>TAIJET</v>
      </c>
      <c r="P384" t="str">
        <f t="shared" si="6"/>
        <v>cpetr_o</v>
      </c>
      <c r="AC384" t="s">
        <v>1876</v>
      </c>
      <c r="AD384" t="s">
        <v>3023</v>
      </c>
    </row>
    <row r="385" spans="11:30" x14ac:dyDescent="0.25">
      <c r="K385" t="str">
        <f>mapPRC!A380</f>
        <v>MIN_FLAB-M</v>
      </c>
      <c r="L385" t="str">
        <f>IFERROR(INDEX($X$7:$X$88,MATCH(mapPRC!D380,$W$7:$W$88,0)),"")</f>
        <v/>
      </c>
      <c r="O385" t="str">
        <f>mapCOM!A380</f>
        <v>TAJET</v>
      </c>
      <c r="P385" t="str">
        <f t="shared" si="6"/>
        <v/>
      </c>
      <c r="AC385" t="s">
        <v>1875</v>
      </c>
      <c r="AD385" t="s">
        <v>3023</v>
      </c>
    </row>
    <row r="386" spans="11:30" x14ac:dyDescent="0.25">
      <c r="K386" t="str">
        <f>mapPRC!A381</f>
        <v>MIN_FLAB-P</v>
      </c>
      <c r="L386" t="str">
        <f>IFERROR(INDEX($X$7:$X$88,MATCH(mapPRC!D381,$W$7:$W$88,0)),"")</f>
        <v/>
      </c>
      <c r="O386" t="str">
        <f>mapCOM!A381</f>
        <v>TAOAG</v>
      </c>
      <c r="P386" t="str">
        <f t="shared" si="6"/>
        <v/>
      </c>
      <c r="AC386" t="s">
        <v>1736</v>
      </c>
      <c r="AD386" t="s">
        <v>3025</v>
      </c>
    </row>
    <row r="387" spans="11:30" x14ac:dyDescent="0.25">
      <c r="K387" t="str">
        <f>mapPRC!A382</f>
        <v>MIN_FLAB-S</v>
      </c>
      <c r="L387" t="str">
        <f>IFERROR(INDEX($X$7:$X$88,MATCH(mapPRC!D382,$W$7:$W$88,0)),"")</f>
        <v/>
      </c>
      <c r="O387" t="str">
        <f>mapCOM!A382</f>
        <v>TFHCV1</v>
      </c>
      <c r="P387" t="str">
        <f t="shared" si="6"/>
        <v/>
      </c>
      <c r="AC387" t="s">
        <v>1874</v>
      </c>
      <c r="AD387" t="s">
        <v>3023</v>
      </c>
    </row>
    <row r="388" spans="11:30" x14ac:dyDescent="0.25">
      <c r="K388" t="str">
        <f>mapPRC!A383</f>
        <v>MIN_FLAB-T</v>
      </c>
      <c r="L388" t="str">
        <f>IFERROR(INDEX($X$7:$X$88,MATCH(mapPRC!D383,$W$7:$W$88,0)),"")</f>
        <v/>
      </c>
      <c r="O388" t="str">
        <f>mapCOM!A383</f>
        <v>TFHCV2</v>
      </c>
      <c r="P388" t="str">
        <f t="shared" si="6"/>
        <v/>
      </c>
      <c r="AC388" t="s">
        <v>1734</v>
      </c>
      <c r="AD388" t="s">
        <v>3024</v>
      </c>
    </row>
    <row r="389" spans="11:30" x14ac:dyDescent="0.25">
      <c r="K389" t="str">
        <f>mapPRC!A384</f>
        <v>MINAGR-N</v>
      </c>
      <c r="L389" t="str">
        <f>IFERROR(INDEX($X$7:$X$88,MATCH(mapPRC!D384,$W$7:$W$88,0)),"")</f>
        <v/>
      </c>
      <c r="O389" t="str">
        <f>mapCOM!A384</f>
        <v>TFHCV3</v>
      </c>
      <c r="P389" t="str">
        <f t="shared" si="6"/>
        <v/>
      </c>
      <c r="AC389" t="s">
        <v>1873</v>
      </c>
      <c r="AD389" t="s">
        <v>3023</v>
      </c>
    </row>
    <row r="390" spans="11:30" x14ac:dyDescent="0.25">
      <c r="K390" t="str">
        <f>mapPRC!A385</f>
        <v>MINBBE</v>
      </c>
      <c r="L390" t="str">
        <f>IFERROR(INDEX($X$7:$X$88,MATCH(mapPRC!D385,$W$7:$W$88,0)),"")</f>
        <v/>
      </c>
      <c r="O390" t="str">
        <f>mapCOM!A385</f>
        <v>TFHCV4</v>
      </c>
      <c r="P390" t="str">
        <f t="shared" si="6"/>
        <v/>
      </c>
      <c r="AC390" t="s">
        <v>1872</v>
      </c>
      <c r="AD390" t="s">
        <v>3023</v>
      </c>
    </row>
    <row r="391" spans="11:30" x14ac:dyDescent="0.25">
      <c r="K391" t="str">
        <f>mapPRC!A386</f>
        <v>MINBCA</v>
      </c>
      <c r="L391" t="str">
        <f>IFERROR(INDEX($X$7:$X$88,MATCH(mapPRC!D386,$W$7:$W$88,0)),"")</f>
        <v/>
      </c>
      <c r="O391" t="str">
        <f>mapCOM!A386</f>
        <v>TFHCV5</v>
      </c>
      <c r="P391" t="str">
        <f t="shared" ref="P391:P447" si="7">INDEX($AD$6:$AD$784,MATCH(O391,$AC$6:$AC$784,0))</f>
        <v/>
      </c>
      <c r="AC391" t="s">
        <v>1871</v>
      </c>
      <c r="AD391" t="s">
        <v>3023</v>
      </c>
    </row>
    <row r="392" spans="11:30" x14ac:dyDescent="0.25">
      <c r="K392" t="str">
        <f>mapPRC!A387</f>
        <v>MINBIB</v>
      </c>
      <c r="L392" t="str">
        <f>IFERROR(INDEX($X$7:$X$88,MATCH(mapPRC!D387,$W$7:$W$88,0)),"")</f>
        <v/>
      </c>
      <c r="O392" t="str">
        <f>mapCOM!A387</f>
        <v>TFHCV6</v>
      </c>
      <c r="P392" t="str">
        <f t="shared" si="7"/>
        <v/>
      </c>
      <c r="AC392" t="s">
        <v>1870</v>
      </c>
      <c r="AD392" t="s">
        <v>3023</v>
      </c>
    </row>
    <row r="393" spans="11:30" x14ac:dyDescent="0.25">
      <c r="K393" t="str">
        <f>mapPRC!A388</f>
        <v>MINBIG</v>
      </c>
      <c r="L393" t="str">
        <f>IFERROR(INDEX($X$7:$X$88,MATCH(mapPRC!D388,$W$7:$W$88,0)),"")</f>
        <v/>
      </c>
      <c r="O393" t="str">
        <f>mapCOM!A388</f>
        <v>TFHCV7</v>
      </c>
      <c r="P393" t="str">
        <f t="shared" si="7"/>
        <v/>
      </c>
      <c r="AC393" t="s">
        <v>1869</v>
      </c>
      <c r="AD393" t="s">
        <v>3023</v>
      </c>
    </row>
    <row r="394" spans="11:30" x14ac:dyDescent="0.25">
      <c r="K394" t="str">
        <f>mapPRC!A389</f>
        <v>MINBIO</v>
      </c>
      <c r="L394" t="str">
        <f>IFERROR(INDEX($X$7:$X$88,MATCH(mapPRC!D389,$W$7:$W$88,0)),"")</f>
        <v/>
      </c>
      <c r="O394" t="str">
        <f>mapCOM!A389</f>
        <v>TFHCV8</v>
      </c>
      <c r="P394" t="str">
        <f t="shared" si="7"/>
        <v/>
      </c>
      <c r="AC394" t="s">
        <v>1868</v>
      </c>
      <c r="AD394" t="s">
        <v>3023</v>
      </c>
    </row>
    <row r="395" spans="11:30" x14ac:dyDescent="0.25">
      <c r="K395" t="str">
        <f>mapPRC!A390</f>
        <v>MINBIW</v>
      </c>
      <c r="L395" t="str">
        <f>IFERROR(INDEX($X$7:$X$88,MATCH(mapPRC!D390,$W$7:$W$88,0)),"")</f>
        <v/>
      </c>
      <c r="O395" t="str">
        <f>mapCOM!A390</f>
        <v>TFHCV9</v>
      </c>
      <c r="P395" t="str">
        <f t="shared" si="7"/>
        <v/>
      </c>
      <c r="AC395" t="s">
        <v>1867</v>
      </c>
      <c r="AD395" t="s">
        <v>3023</v>
      </c>
    </row>
    <row r="396" spans="11:30" x14ac:dyDescent="0.25">
      <c r="K396" t="str">
        <f>mapPRC!A391</f>
        <v>MINBSC</v>
      </c>
      <c r="L396" t="str">
        <f>IFERROR(INDEX($X$7:$X$88,MATCH(mapPRC!D391,$W$7:$W$88,0)),"")</f>
        <v/>
      </c>
      <c r="O396" t="str">
        <f>mapCOM!A391</f>
        <v>TFLCV</v>
      </c>
      <c r="P396" t="str">
        <f t="shared" si="7"/>
        <v/>
      </c>
      <c r="AC396" t="s">
        <v>1732</v>
      </c>
      <c r="AD396" t="s">
        <v>3023</v>
      </c>
    </row>
    <row r="397" spans="11:30" x14ac:dyDescent="0.25">
      <c r="K397" t="str">
        <f>mapPRC!A392</f>
        <v>MINBSR</v>
      </c>
      <c r="L397" t="str">
        <f>IFERROR(INDEX($X$7:$X$88,MATCH(mapPRC!D392,$W$7:$W$88,0)),"")</f>
        <v/>
      </c>
      <c r="O397" t="str">
        <f>mapCOM!A392</f>
        <v>TFPIP</v>
      </c>
      <c r="P397" t="str">
        <f t="shared" si="7"/>
        <v/>
      </c>
      <c r="AC397" t="s">
        <v>1728</v>
      </c>
      <c r="AD397" t="s">
        <v>3023</v>
      </c>
    </row>
    <row r="398" spans="11:30" x14ac:dyDescent="0.25">
      <c r="K398" t="str">
        <f>mapPRC!A393</f>
        <v>MINBSY</v>
      </c>
      <c r="L398" t="str">
        <f>IFERROR(INDEX($X$7:$X$88,MATCH(mapPRC!D393,$W$7:$W$88,0)),"")</f>
        <v/>
      </c>
      <c r="O398" t="str">
        <f>mapCOM!A393</f>
        <v>TFRCO</v>
      </c>
      <c r="P398" t="str">
        <f t="shared" si="7"/>
        <v/>
      </c>
      <c r="AC398" t="s">
        <v>1726</v>
      </c>
      <c r="AD398" t="s">
        <v>3026</v>
      </c>
    </row>
    <row r="399" spans="11:30" x14ac:dyDescent="0.25">
      <c r="K399" t="str">
        <f>mapPRC!A394</f>
        <v>MINCLD</v>
      </c>
      <c r="L399" t="str">
        <f>IFERROR(INDEX($X$7:$X$88,MATCH(mapPRC!D394,$W$7:$W$88,0)),"")</f>
        <v/>
      </c>
      <c r="O399" t="str">
        <f>mapCOM!A394</f>
        <v>TFREX</v>
      </c>
      <c r="P399" t="str">
        <f t="shared" si="7"/>
        <v/>
      </c>
      <c r="AC399" t="s">
        <v>1724</v>
      </c>
      <c r="AD399" t="s">
        <v>3025</v>
      </c>
    </row>
    <row r="400" spans="11:30" x14ac:dyDescent="0.25">
      <c r="K400" t="str">
        <f>mapPRC!A395</f>
        <v>MINCLE</v>
      </c>
      <c r="L400" t="str">
        <f>IFERROR(INDEX($X$7:$X$88,MATCH(mapPRC!D395,$W$7:$W$88,0)),"")</f>
        <v>coal</v>
      </c>
      <c r="O400" t="str">
        <f>mapCOM!A395</f>
        <v>TFROT</v>
      </c>
      <c r="P400" t="str">
        <f t="shared" si="7"/>
        <v/>
      </c>
      <c r="AC400" t="s">
        <v>1721</v>
      </c>
      <c r="AD400" t="s">
        <v>3024</v>
      </c>
    </row>
    <row r="401" spans="11:30" x14ac:dyDescent="0.25">
      <c r="K401" t="str">
        <f>mapPRC!A396</f>
        <v>MINCLE1</v>
      </c>
      <c r="L401" t="str">
        <f>IFERROR(INDEX($X$7:$X$88,MATCH(mapPRC!D396,$W$7:$W$88,0)),"")</f>
        <v>coal</v>
      </c>
      <c r="O401" t="str">
        <f>mapCOM!A396</f>
        <v>TPPRCAR</v>
      </c>
      <c r="P401" t="str">
        <f t="shared" si="7"/>
        <v/>
      </c>
      <c r="AC401" t="s">
        <v>1719</v>
      </c>
      <c r="AD401" t="s">
        <v>3027</v>
      </c>
    </row>
    <row r="402" spans="11:30" x14ac:dyDescent="0.25">
      <c r="K402" t="str">
        <f>mapPRC!A397</f>
        <v>MINCLE2</v>
      </c>
      <c r="L402" t="str">
        <f>IFERROR(INDEX($X$7:$X$88,MATCH(mapPRC!D397,$W$7:$W$88,0)),"")</f>
        <v>coal</v>
      </c>
      <c r="O402" t="str">
        <f>mapCOM!A397</f>
        <v>TPPRMOT</v>
      </c>
      <c r="P402" t="str">
        <f t="shared" si="7"/>
        <v/>
      </c>
      <c r="AC402" t="s">
        <v>1716</v>
      </c>
      <c r="AD402" t="s">
        <v>3023</v>
      </c>
    </row>
    <row r="403" spans="11:30" x14ac:dyDescent="0.25">
      <c r="K403" t="str">
        <f>mapPRC!A398</f>
        <v>MINCLE3</v>
      </c>
      <c r="L403" t="str">
        <f>IFERROR(INDEX($X$7:$X$88,MATCH(mapPRC!D398,$W$7:$W$88,0)),"")</f>
        <v>coal</v>
      </c>
      <c r="O403" t="str">
        <f>mapCOM!A398</f>
        <v>TPPRSUV</v>
      </c>
      <c r="P403" t="str">
        <f t="shared" si="7"/>
        <v/>
      </c>
      <c r="AC403" t="s">
        <v>1713</v>
      </c>
      <c r="AD403" t="s">
        <v>3028</v>
      </c>
    </row>
    <row r="404" spans="11:30" x14ac:dyDescent="0.25">
      <c r="K404" t="str">
        <f>mapPRC!A399</f>
        <v>MINCLE-A</v>
      </c>
      <c r="L404" t="str">
        <f>IFERROR(INDEX($X$7:$X$88,MATCH(mapPRC!D399,$W$7:$W$88,0)),"")</f>
        <v>coal</v>
      </c>
      <c r="O404" t="str">
        <f>mapCOM!A399</f>
        <v>TPPUBRT</v>
      </c>
      <c r="P404" t="str">
        <f t="shared" si="7"/>
        <v/>
      </c>
      <c r="AC404" t="s">
        <v>1710</v>
      </c>
      <c r="AD404" t="s">
        <v>3028</v>
      </c>
    </row>
    <row r="405" spans="11:30" x14ac:dyDescent="0.25">
      <c r="K405" t="str">
        <f>mapPRC!A400</f>
        <v>MINCLN</v>
      </c>
      <c r="L405" t="str">
        <f>IFERROR(INDEX($X$7:$X$88,MATCH(mapPRC!D400,$W$7:$W$88,0)),"")</f>
        <v>coal</v>
      </c>
      <c r="O405" t="str">
        <f>mapCOM!A400</f>
        <v>TPPUBUS</v>
      </c>
      <c r="P405" t="str">
        <f t="shared" si="7"/>
        <v/>
      </c>
      <c r="AC405" t="s">
        <v>1866</v>
      </c>
      <c r="AD405" t="s">
        <v>3023</v>
      </c>
    </row>
    <row r="406" spans="11:30" x14ac:dyDescent="0.25">
      <c r="K406" t="str">
        <f>mapPRC!A401</f>
        <v>MINCLN-A</v>
      </c>
      <c r="L406" t="str">
        <f>IFERROR(INDEX($X$7:$X$88,MATCH(mapPRC!D401,$W$7:$W$88,0)),"")</f>
        <v>coal</v>
      </c>
      <c r="O406" t="str">
        <f>mapCOM!A401</f>
        <v>TPPUGAT</v>
      </c>
      <c r="P406" t="str">
        <f t="shared" si="7"/>
        <v/>
      </c>
      <c r="AC406" t="s">
        <v>1707</v>
      </c>
      <c r="AD406" t="s">
        <v>3023</v>
      </c>
    </row>
    <row r="407" spans="11:30" x14ac:dyDescent="0.25">
      <c r="K407" t="str">
        <f>mapPRC!A402</f>
        <v>MINCLNU-A</v>
      </c>
      <c r="L407" t="str">
        <f>IFERROR(INDEX($X$7:$X$88,MATCH(mapPRC!D402,$W$7:$W$88,0)),"")</f>
        <v>coal</v>
      </c>
      <c r="O407" t="str">
        <f>mapCOM!A402</f>
        <v>TPPUMBT</v>
      </c>
      <c r="P407" t="str">
        <f t="shared" si="7"/>
        <v/>
      </c>
      <c r="AC407" t="s">
        <v>1864</v>
      </c>
      <c r="AD407" t="s">
        <v>3023</v>
      </c>
    </row>
    <row r="408" spans="11:30" x14ac:dyDescent="0.25">
      <c r="K408" t="str">
        <f>mapPRC!A403</f>
        <v>MINCLS</v>
      </c>
      <c r="L408" t="str">
        <f>IFERROR(INDEX($X$7:$X$88,MATCH(mapPRC!D403,$W$7:$W$88,0)),"")</f>
        <v>coal</v>
      </c>
      <c r="O408" t="str">
        <f>mapCOM!A403</f>
        <v>TPPUMER</v>
      </c>
      <c r="P408" t="str">
        <f t="shared" si="7"/>
        <v/>
      </c>
      <c r="AC408" t="s">
        <v>1705</v>
      </c>
      <c r="AD408" t="s">
        <v>3023</v>
      </c>
    </row>
    <row r="409" spans="11:30" x14ac:dyDescent="0.25">
      <c r="K409" t="str">
        <f>mapPRC!A404</f>
        <v>MINCLS-A</v>
      </c>
      <c r="L409" t="str">
        <f>IFERROR(INDEX($X$7:$X$88,MATCH(mapPRC!D404,$W$7:$W$88,0)),"")</f>
        <v>coal</v>
      </c>
      <c r="O409" t="str">
        <f>mapCOM!A404</f>
        <v>TRACH4S</v>
      </c>
      <c r="P409" t="str">
        <f t="shared" si="7"/>
        <v/>
      </c>
      <c r="AC409" t="s">
        <v>1703</v>
      </c>
      <c r="AD409" t="s">
        <v>3023</v>
      </c>
    </row>
    <row r="410" spans="11:30" x14ac:dyDescent="0.25">
      <c r="K410" t="str">
        <f>mapPRC!A405</f>
        <v>MINCOA</v>
      </c>
      <c r="L410" t="str">
        <f>IFERROR(INDEX($X$7:$X$88,MATCH(mapPRC!D405,$W$7:$W$88,0)),"")</f>
        <v>coal</v>
      </c>
      <c r="O410" t="str">
        <f>mapCOM!A405</f>
        <v>TRACMOX</v>
      </c>
      <c r="P410" t="str">
        <f t="shared" si="7"/>
        <v/>
      </c>
      <c r="AC410" t="s">
        <v>1700</v>
      </c>
      <c r="AD410" t="s">
        <v>3023</v>
      </c>
    </row>
    <row r="411" spans="11:30" x14ac:dyDescent="0.25">
      <c r="K411" t="str">
        <f>mapPRC!A406</f>
        <v>MINCSARNOVRS</v>
      </c>
      <c r="L411" t="str">
        <f>IFERROR(INDEX($X$7:$X$88,MATCH(mapPRC!D406,$W$7:$W$88,0)),"")</f>
        <v>coal</v>
      </c>
      <c r="O411" t="str">
        <f>mapCOM!A406</f>
        <v>TRACO2S</v>
      </c>
      <c r="P411" t="str">
        <f t="shared" si="7"/>
        <v/>
      </c>
      <c r="AC411" t="s">
        <v>1698</v>
      </c>
      <c r="AD411" t="s">
        <v>3030</v>
      </c>
    </row>
    <row r="412" spans="11:30" x14ac:dyDescent="0.25">
      <c r="K412" t="str">
        <f>mapPRC!A407</f>
        <v>MINCSCAMDVRS</v>
      </c>
      <c r="L412" t="str">
        <f>IFERROR(INDEX($X$7:$X$88,MATCH(mapPRC!D407,$W$7:$W$88,0)),"")</f>
        <v>coal</v>
      </c>
      <c r="O412" t="str">
        <f>mapCOM!A407</f>
        <v>TRAELC</v>
      </c>
      <c r="P412" t="str">
        <f t="shared" si="7"/>
        <v>celec</v>
      </c>
      <c r="AC412" t="s">
        <v>1696</v>
      </c>
      <c r="AD412" t="s">
        <v>3023</v>
      </c>
    </row>
    <row r="413" spans="11:30" x14ac:dyDescent="0.25">
      <c r="K413" t="str">
        <f>mapPRC!A408</f>
        <v>MINCSDUVHS32</v>
      </c>
      <c r="L413" t="str">
        <f>IFERROR(INDEX($X$7:$X$88,MATCH(mapPRC!D408,$W$7:$W$88,0)),"")</f>
        <v>coal</v>
      </c>
      <c r="O413" t="str">
        <f>mapCOM!A408</f>
        <v>TRAGAS</v>
      </c>
      <c r="P413" t="str">
        <f t="shared" si="7"/>
        <v>cngas</v>
      </c>
      <c r="AC413" t="s">
        <v>1694</v>
      </c>
      <c r="AD413" t="s">
        <v>3025</v>
      </c>
    </row>
    <row r="414" spans="11:30" x14ac:dyDescent="0.25">
      <c r="K414" t="str">
        <f>mapPRC!A409</f>
        <v>MINCSDUVHVRS</v>
      </c>
      <c r="L414" t="str">
        <f>IFERROR(INDEX($X$7:$X$88,MATCH(mapPRC!D409,$W$7:$W$88,0)),"")</f>
        <v>coal</v>
      </c>
      <c r="O414" t="str">
        <f>mapCOM!A409</f>
        <v>TRAHGN</v>
      </c>
      <c r="P414" t="str">
        <f t="shared" si="7"/>
        <v>chydr</v>
      </c>
      <c r="AC414" t="s">
        <v>1693</v>
      </c>
      <c r="AD414" t="s">
        <v>3025</v>
      </c>
    </row>
    <row r="415" spans="11:30" x14ac:dyDescent="0.25">
      <c r="K415" t="str">
        <f>mapPRC!A410</f>
        <v>MINCSGROOVRS</v>
      </c>
      <c r="L415" t="str">
        <f>IFERROR(INDEX($X$7:$X$88,MATCH(mapPRC!D410,$W$7:$W$88,0)),"")</f>
        <v>coal</v>
      </c>
      <c r="O415" t="str">
        <f>mapCOM!A410</f>
        <v>TRAN2OS</v>
      </c>
      <c r="P415" t="str">
        <f t="shared" si="7"/>
        <v/>
      </c>
      <c r="AC415" t="s">
        <v>1692</v>
      </c>
      <c r="AD415" t="s">
        <v>3030</v>
      </c>
    </row>
    <row r="416" spans="11:30" x14ac:dyDescent="0.25">
      <c r="K416" t="str">
        <f>mapPRC!A411</f>
        <v>MINCSHENDVRS</v>
      </c>
      <c r="L416" t="str">
        <f>IFERROR(INDEX($X$7:$X$88,MATCH(mapPRC!D411,$W$7:$W$88,0)),"")</f>
        <v>coal</v>
      </c>
      <c r="O416" t="str">
        <f>mapCOM!A411</f>
        <v>TRANMVS</v>
      </c>
      <c r="P416" t="str">
        <f t="shared" si="7"/>
        <v/>
      </c>
      <c r="AC416" t="s">
        <v>1691</v>
      </c>
      <c r="AD416" t="s">
        <v>3030</v>
      </c>
    </row>
    <row r="417" spans="11:30" x14ac:dyDescent="0.25">
      <c r="K417" t="str">
        <f>mapPRC!A412</f>
        <v>MINCSKENDS32</v>
      </c>
      <c r="L417" t="str">
        <f>IFERROR(INDEX($X$7:$X$88,MATCH(mapPRC!D412,$W$7:$W$88,0)),"")</f>
        <v>coal</v>
      </c>
      <c r="O417" t="str">
        <f>mapCOM!A412</f>
        <v>TRANOXS</v>
      </c>
      <c r="P417" t="str">
        <f t="shared" si="7"/>
        <v/>
      </c>
      <c r="AC417" t="s">
        <v>1690</v>
      </c>
      <c r="AD417" t="s">
        <v>3030</v>
      </c>
    </row>
    <row r="418" spans="11:30" x14ac:dyDescent="0.25">
      <c r="K418" t="str">
        <f>mapPRC!A413</f>
        <v>MINCSKENDVRS</v>
      </c>
      <c r="L418" t="str">
        <f>IFERROR(INDEX($X$7:$X$88,MATCH(mapPRC!D413,$W$7:$W$88,0)),"")</f>
        <v>coal</v>
      </c>
      <c r="O418" t="str">
        <f>mapCOM!A413</f>
        <v>TRAOAG</v>
      </c>
      <c r="P418" t="str">
        <f t="shared" si="7"/>
        <v>cpetr_o</v>
      </c>
      <c r="AC418" t="s">
        <v>1689</v>
      </c>
      <c r="AD418" t="s">
        <v>3030</v>
      </c>
    </row>
    <row r="419" spans="11:30" x14ac:dyDescent="0.25">
      <c r="K419" t="str">
        <f>mapPRC!A414</f>
        <v>MINCSKOMAVRS</v>
      </c>
      <c r="L419" t="str">
        <f>IFERROR(INDEX($X$7:$X$88,MATCH(mapPRC!D414,$W$7:$W$88,0)),"")</f>
        <v>coal</v>
      </c>
      <c r="O419" t="str">
        <f>mapCOM!A414</f>
        <v>TRAODS</v>
      </c>
      <c r="P419" t="str">
        <f t="shared" si="7"/>
        <v>cpetr_d</v>
      </c>
      <c r="AC419" t="s">
        <v>1688</v>
      </c>
      <c r="AD419" t="s">
        <v>3030</v>
      </c>
    </row>
    <row r="420" spans="11:30" x14ac:dyDescent="0.25">
      <c r="K420" t="str">
        <f>mapPRC!A415</f>
        <v>MINCSKRIESER</v>
      </c>
      <c r="L420" t="str">
        <f>IFERROR(INDEX($X$7:$X$88,MATCH(mapPRC!D415,$W$7:$W$88,0)),"")</f>
        <v>coal</v>
      </c>
      <c r="O420" t="str">
        <f>mapCOM!A415</f>
        <v>TRAOGS</v>
      </c>
      <c r="P420" t="str">
        <f t="shared" si="7"/>
        <v>cpetr_p</v>
      </c>
      <c r="AC420" t="s">
        <v>1687</v>
      </c>
      <c r="AD420" t="s">
        <v>3030</v>
      </c>
    </row>
    <row r="421" spans="11:30" x14ac:dyDescent="0.25">
      <c r="K421" t="str">
        <f>mapPRC!A416</f>
        <v>MINCSKRIEVRS</v>
      </c>
      <c r="L421" t="str">
        <f>IFERROR(INDEX($X$7:$X$88,MATCH(mapPRC!D416,$W$7:$W$88,0)),"")</f>
        <v>coal</v>
      </c>
      <c r="O421" t="str">
        <f>mapCOM!A416</f>
        <v>TRAOHF</v>
      </c>
      <c r="P421" t="str">
        <f t="shared" si="7"/>
        <v>cpetr_o</v>
      </c>
      <c r="AC421" t="s">
        <v>1686</v>
      </c>
      <c r="AD421" t="s">
        <v>3026</v>
      </c>
    </row>
    <row r="422" spans="11:30" x14ac:dyDescent="0.25">
      <c r="K422" t="str">
        <f>mapPRC!A417</f>
        <v>MINCSKUSINLG</v>
      </c>
      <c r="L422" t="str">
        <f>IFERROR(INDEX($X$7:$X$88,MATCH(mapPRC!D417,$W$7:$W$88,0)),"")</f>
        <v>coal</v>
      </c>
      <c r="O422" t="str">
        <f>mapCOM!A417</f>
        <v>TRAOKE</v>
      </c>
      <c r="P422" t="str">
        <f t="shared" si="7"/>
        <v>cpetr_o</v>
      </c>
      <c r="AC422" t="s">
        <v>1685</v>
      </c>
      <c r="AD422" t="s">
        <v>3026</v>
      </c>
    </row>
    <row r="423" spans="11:30" x14ac:dyDescent="0.25">
      <c r="K423" t="str">
        <f>mapPRC!A418</f>
        <v>MINCSKUSIVRS</v>
      </c>
      <c r="L423" t="str">
        <f>IFERROR(INDEX($X$7:$X$88,MATCH(mapPRC!D418,$W$7:$W$88,0)),"")</f>
        <v>coal</v>
      </c>
      <c r="O423" t="str">
        <f>mapCOM!A418</f>
        <v>TRAP10S</v>
      </c>
      <c r="P423" t="str">
        <f t="shared" si="7"/>
        <v/>
      </c>
      <c r="AC423" t="s">
        <v>3035</v>
      </c>
      <c r="AD423" t="s">
        <v>3030</v>
      </c>
    </row>
    <row r="424" spans="11:30" x14ac:dyDescent="0.25">
      <c r="K424" t="str">
        <f>mapPRC!A419</f>
        <v>MINCSLETHSER</v>
      </c>
      <c r="L424" t="str">
        <f>IFERROR(INDEX($X$7:$X$88,MATCH(mapPRC!D419,$W$7:$W$88,0)),"")</f>
        <v>coal</v>
      </c>
      <c r="O424" t="str">
        <f>mapCOM!A419</f>
        <v>TRASOXS</v>
      </c>
      <c r="P424" t="str">
        <f t="shared" si="7"/>
        <v/>
      </c>
      <c r="AC424" t="s">
        <v>3037</v>
      </c>
      <c r="AD424" t="s">
        <v>3030</v>
      </c>
    </row>
    <row r="425" spans="11:30" x14ac:dyDescent="0.25">
      <c r="K425" t="str">
        <f>mapPRC!A420</f>
        <v>MINCSMAJUVRS</v>
      </c>
      <c r="L425" t="str">
        <f>IFERROR(INDEX($X$7:$X$88,MATCH(mapPRC!D420,$W$7:$W$88,0)),"")</f>
        <v>coal</v>
      </c>
      <c r="O425" t="str">
        <f>mapCOM!A420</f>
        <v>TSHFO</v>
      </c>
      <c r="P425" t="str">
        <f t="shared" si="7"/>
        <v/>
      </c>
      <c r="AC425" t="s">
        <v>3039</v>
      </c>
      <c r="AD425" t="s">
        <v>3030</v>
      </c>
    </row>
    <row r="426" spans="11:30" x14ac:dyDescent="0.25">
      <c r="K426" t="str">
        <f>mapPRC!A421</f>
        <v>MINCSMATIEXX</v>
      </c>
      <c r="L426" t="str">
        <f>IFERROR(INDEX($X$7:$X$88,MATCH(mapPRC!D421,$W$7:$W$88,0)),"")</f>
        <v>coal</v>
      </c>
      <c r="O426" t="str">
        <f>mapCOM!A421</f>
        <v>UPSBID</v>
      </c>
      <c r="P426" t="str">
        <f t="shared" si="7"/>
        <v/>
      </c>
      <c r="AC426" t="s">
        <v>3041</v>
      </c>
      <c r="AD426" t="s">
        <v>3030</v>
      </c>
    </row>
    <row r="427" spans="11:30" x14ac:dyDescent="0.25">
      <c r="K427" t="str">
        <f>mapPRC!A422</f>
        <v>MINCSMATLEXX</v>
      </c>
      <c r="L427" t="str">
        <f>IFERROR(INDEX($X$7:$X$88,MATCH(mapPRC!D422,$W$7:$W$88,0)),"")</f>
        <v>coal</v>
      </c>
      <c r="O427" t="str">
        <f>mapCOM!A422</f>
        <v>UPSBIE</v>
      </c>
      <c r="P427" t="str">
        <f t="shared" si="7"/>
        <v/>
      </c>
      <c r="AC427" t="s">
        <v>3043</v>
      </c>
      <c r="AD427" t="s">
        <v>3030</v>
      </c>
    </row>
    <row r="428" spans="11:30" x14ac:dyDescent="0.25">
      <c r="K428" t="str">
        <f>mapPRC!A423</f>
        <v>MINCSMATLVRS</v>
      </c>
      <c r="L428" t="str">
        <f>IFERROR(INDEX($X$7:$X$88,MATCH(mapPRC!D423,$W$7:$W$88,0)),"")</f>
        <v>coal</v>
      </c>
      <c r="O428" t="str">
        <f>mapCOM!A423</f>
        <v>UPSCH4S</v>
      </c>
      <c r="P428" t="str">
        <f t="shared" si="7"/>
        <v/>
      </c>
      <c r="AC428" t="s">
        <v>3045</v>
      </c>
      <c r="AD428" t="s">
        <v>3030</v>
      </c>
    </row>
    <row r="429" spans="11:30" x14ac:dyDescent="0.25">
      <c r="K429" t="str">
        <f>mapPRC!A424</f>
        <v>MINCSMEDUEXX</v>
      </c>
      <c r="L429" t="str">
        <f>IFERROR(INDEX($X$7:$X$88,MATCH(mapPRC!D424,$W$7:$W$88,0)),"")</f>
        <v>coal</v>
      </c>
      <c r="O429" t="str">
        <f>mapCOM!A424</f>
        <v>UPSCLE</v>
      </c>
      <c r="P429" t="str">
        <f t="shared" si="7"/>
        <v>ccoal-low</v>
      </c>
      <c r="AC429" t="s">
        <v>3047</v>
      </c>
      <c r="AD429" t="s">
        <v>3030</v>
      </c>
    </row>
    <row r="430" spans="11:30" x14ac:dyDescent="0.25">
      <c r="K430" t="str">
        <f>mapPRC!A425</f>
        <v>MINCSTUTUSER</v>
      </c>
      <c r="L430" t="str">
        <f>IFERROR(INDEX($X$7:$X$88,MATCH(mapPRC!D425,$W$7:$W$88,0)),"")</f>
        <v>coal</v>
      </c>
      <c r="O430" t="str">
        <f>mapCOM!A425</f>
        <v>UPSCMOX</v>
      </c>
      <c r="P430" t="str">
        <f t="shared" si="7"/>
        <v/>
      </c>
      <c r="AC430" t="s">
        <v>3049</v>
      </c>
      <c r="AD430" t="s">
        <v>3030</v>
      </c>
    </row>
    <row r="431" spans="11:30" x14ac:dyDescent="0.25">
      <c r="K431" t="str">
        <f>mapPRC!A426</f>
        <v>MINCSTUTUVRS</v>
      </c>
      <c r="L431" t="str">
        <f>IFERROR(INDEX($X$7:$X$88,MATCH(mapPRC!D426,$W$7:$W$88,0)),"")</f>
        <v>coal</v>
      </c>
      <c r="O431" t="str">
        <f>mapCOM!A426</f>
        <v>UPSCO2S</v>
      </c>
      <c r="P431" t="str">
        <f t="shared" si="7"/>
        <v/>
      </c>
      <c r="AC431" t="s">
        <v>3051</v>
      </c>
      <c r="AD431" t="s">
        <v>3030</v>
      </c>
    </row>
    <row r="432" spans="11:30" x14ac:dyDescent="0.25">
      <c r="K432" t="str">
        <f>mapPRC!A427</f>
        <v>MINCSWATEVRS</v>
      </c>
      <c r="L432" t="str">
        <f>IFERROR(INDEX($X$7:$X$88,MATCH(mapPRC!D427,$W$7:$W$88,0)),"")</f>
        <v>coal</v>
      </c>
      <c r="O432" t="str">
        <f>mapCOM!A427</f>
        <v>UPSELC</v>
      </c>
      <c r="P432" t="str">
        <f t="shared" si="7"/>
        <v>celec</v>
      </c>
      <c r="AC432" t="s">
        <v>3053</v>
      </c>
      <c r="AD432" t="s">
        <v>3030</v>
      </c>
    </row>
    <row r="433" spans="11:30" x14ac:dyDescent="0.25">
      <c r="K433" t="str">
        <f>mapPRC!A428</f>
        <v>MINFEORE</v>
      </c>
      <c r="L433" t="str">
        <f>IFERROR(INDEX($X$7:$X$88,MATCH(mapPRC!D428,$W$7:$W$88,0)),"")</f>
        <v/>
      </c>
      <c r="O433" t="str">
        <f>mapCOM!A428</f>
        <v>UPSGAS</v>
      </c>
      <c r="P433" t="str">
        <f t="shared" si="7"/>
        <v>cngas</v>
      </c>
      <c r="AC433" t="s">
        <v>3055</v>
      </c>
      <c r="AD433" t="s">
        <v>3030</v>
      </c>
    </row>
    <row r="434" spans="11:30" x14ac:dyDescent="0.25">
      <c r="K434" t="str">
        <f>mapPRC!A429</f>
        <v>MINGAS</v>
      </c>
      <c r="L434" t="str">
        <f>IFERROR(INDEX($X$7:$X$88,MATCH(mapPRC!D429,$W$7:$W$88,0)),"")</f>
        <v/>
      </c>
      <c r="O434" t="str">
        <f>mapCOM!A429</f>
        <v>UPSGIC</v>
      </c>
      <c r="P434" t="str">
        <f t="shared" si="7"/>
        <v>cngas</v>
      </c>
      <c r="AC434" t="s">
        <v>3057</v>
      </c>
      <c r="AD434" t="s">
        <v>3030</v>
      </c>
    </row>
    <row r="435" spans="11:30" x14ac:dyDescent="0.25">
      <c r="K435" t="str">
        <f>mapPRC!A430</f>
        <v>MINGIB</v>
      </c>
      <c r="L435" t="str">
        <f>IFERROR(INDEX($X$7:$X$88,MATCH(mapPRC!D430,$W$7:$W$88,0)),"")</f>
        <v/>
      </c>
      <c r="O435" t="str">
        <f>mapCOM!A430</f>
        <v>UPSHEE</v>
      </c>
      <c r="P435" t="str">
        <f t="shared" si="7"/>
        <v/>
      </c>
      <c r="AC435" t="s">
        <v>3059</v>
      </c>
      <c r="AD435" t="s">
        <v>3030</v>
      </c>
    </row>
    <row r="436" spans="11:30" x14ac:dyDescent="0.25">
      <c r="K436" t="str">
        <f>mapPRC!A431</f>
        <v>MINGIC</v>
      </c>
      <c r="L436" t="str">
        <f>IFERROR(INDEX($X$7:$X$88,MATCH(mapPRC!D431,$W$7:$W$88,0)),"")</f>
        <v/>
      </c>
      <c r="O436" t="str">
        <f>mapCOM!A431</f>
        <v>UPSHEN</v>
      </c>
      <c r="P436" t="str">
        <f t="shared" si="7"/>
        <v/>
      </c>
      <c r="AC436" t="s">
        <v>3061</v>
      </c>
      <c r="AD436" t="s">
        <v>3030</v>
      </c>
    </row>
    <row r="437" spans="11:30" x14ac:dyDescent="0.25">
      <c r="K437" t="str">
        <f>mapPRC!A432</f>
        <v>MINGIH</v>
      </c>
      <c r="L437" t="str">
        <f>IFERROR(INDEX($X$7:$X$88,MATCH(mapPRC!D432,$W$7:$W$88,0)),"")</f>
        <v/>
      </c>
      <c r="O437" t="str">
        <f>mapCOM!A432</f>
        <v>UPSN2OS</v>
      </c>
      <c r="P437" t="str">
        <f t="shared" si="7"/>
        <v/>
      </c>
      <c r="AC437" t="s">
        <v>3063</v>
      </c>
      <c r="AD437" t="s">
        <v>3030</v>
      </c>
    </row>
    <row r="438" spans="11:30" x14ac:dyDescent="0.25">
      <c r="K438" t="str">
        <f>mapPRC!A433</f>
        <v>MINHYD</v>
      </c>
      <c r="L438" t="str">
        <f>IFERROR(INDEX($X$7:$X$88,MATCH(mapPRC!D433,$W$7:$W$88,0)),"")</f>
        <v/>
      </c>
      <c r="O438" t="str">
        <f>mapCOM!A433</f>
        <v>UPSNMVS</v>
      </c>
      <c r="P438" t="str">
        <f t="shared" si="7"/>
        <v/>
      </c>
      <c r="AC438" t="s">
        <v>3065</v>
      </c>
      <c r="AD438" t="s">
        <v>3030</v>
      </c>
    </row>
    <row r="439" spans="11:30" x14ac:dyDescent="0.25">
      <c r="K439" t="str">
        <f>mapPRC!A434</f>
        <v>MINMTH</v>
      </c>
      <c r="L439" t="str">
        <f>IFERROR(INDEX($X$7:$X$88,MATCH(mapPRC!D434,$W$7:$W$88,0)),"")</f>
        <v/>
      </c>
      <c r="O439" t="str">
        <f>mapCOM!A434</f>
        <v>UPSNOXS</v>
      </c>
      <c r="P439" t="str">
        <f t="shared" si="7"/>
        <v/>
      </c>
      <c r="AC439" t="s">
        <v>1682</v>
      </c>
      <c r="AD439" t="str">
        <f>""</f>
        <v/>
      </c>
    </row>
    <row r="440" spans="11:30" x14ac:dyDescent="0.25">
      <c r="K440" t="str">
        <f>mapPRC!A435</f>
        <v>MINOCR</v>
      </c>
      <c r="L440" t="str">
        <f>IFERROR(INDEX($X$7:$X$88,MATCH(mapPRC!D435,$W$7:$W$88,0)),"")</f>
        <v/>
      </c>
      <c r="O440" t="str">
        <f>mapCOM!A435</f>
        <v>UPSOCR</v>
      </c>
      <c r="P440" t="str">
        <f t="shared" si="7"/>
        <v>ccoil</v>
      </c>
      <c r="AC440" t="s">
        <v>1680</v>
      </c>
      <c r="AD440" t="str">
        <f>""</f>
        <v/>
      </c>
    </row>
    <row r="441" spans="11:30" x14ac:dyDescent="0.25">
      <c r="K441" t="str">
        <f>mapPRC!A436</f>
        <v>MINSOL</v>
      </c>
      <c r="L441" t="str">
        <f>IFERROR(INDEX($X$7:$X$88,MATCH(mapPRC!D436,$W$7:$W$88,0)),"")</f>
        <v/>
      </c>
      <c r="O441" t="str">
        <f>mapCOM!A436</f>
        <v>UPSOHF</v>
      </c>
      <c r="P441" t="str">
        <f t="shared" si="7"/>
        <v>cpetr_o</v>
      </c>
      <c r="AC441" t="s">
        <v>1678</v>
      </c>
      <c r="AD441" t="str">
        <f>""</f>
        <v/>
      </c>
    </row>
    <row r="442" spans="11:30" x14ac:dyDescent="0.25">
      <c r="K442" t="str">
        <f>mapPRC!A437</f>
        <v>MINWAS</v>
      </c>
      <c r="L442" t="str">
        <f>IFERROR(INDEX($X$7:$X$88,MATCH(mapPRC!D437,$W$7:$W$88,0)),"")</f>
        <v/>
      </c>
      <c r="O442" t="str">
        <f>mapCOM!A437</f>
        <v>UPSP10S</v>
      </c>
      <c r="P442" t="str">
        <f t="shared" si="7"/>
        <v/>
      </c>
      <c r="AC442" t="s">
        <v>1676</v>
      </c>
      <c r="AD442" t="str">
        <f>""</f>
        <v/>
      </c>
    </row>
    <row r="443" spans="11:30" x14ac:dyDescent="0.25">
      <c r="K443" t="str">
        <f>mapPRC!A438</f>
        <v>MINWAT</v>
      </c>
      <c r="L443" t="str">
        <f>IFERROR(INDEX($X$7:$X$88,MATCH(mapPRC!D438,$W$7:$W$88,0)),"")</f>
        <v/>
      </c>
      <c r="O443" t="str">
        <f>mapCOM!A438</f>
        <v>UPSSOXS</v>
      </c>
      <c r="P443" t="str">
        <f t="shared" si="7"/>
        <v/>
      </c>
      <c r="AC443" t="s">
        <v>1674</v>
      </c>
      <c r="AD443" t="str">
        <f>""</f>
        <v/>
      </c>
    </row>
    <row r="444" spans="11:30" x14ac:dyDescent="0.25">
      <c r="K444" t="str">
        <f>mapPRC!A439</f>
        <v>MINWND</v>
      </c>
      <c r="L444" t="str">
        <f>IFERROR(INDEX($X$7:$X$88,MATCH(mapPRC!D439,$W$7:$W$88,0)),"")</f>
        <v/>
      </c>
      <c r="O444" t="str">
        <f>mapCOM!A439</f>
        <v>WAS</v>
      </c>
      <c r="P444" t="str">
        <f t="shared" si="7"/>
        <v/>
      </c>
      <c r="AC444" t="s">
        <v>3140</v>
      </c>
      <c r="AD444" t="str">
        <f>""</f>
        <v/>
      </c>
    </row>
    <row r="445" spans="11:30" x14ac:dyDescent="0.25">
      <c r="K445" t="str">
        <f>mapPRC!A440</f>
        <v>MINZZ</v>
      </c>
      <c r="L445" t="str">
        <f>IFERROR(INDEX($X$7:$X$88,MATCH(mapPRC!D440,$W$7:$W$88,0)),"")</f>
        <v/>
      </c>
      <c r="O445" t="str">
        <f>mapCOM!A440</f>
        <v>WAT</v>
      </c>
      <c r="P445" t="str">
        <f t="shared" si="7"/>
        <v/>
      </c>
      <c r="AC445" t="s">
        <v>3143</v>
      </c>
      <c r="AD445" t="str">
        <f>""</f>
        <v/>
      </c>
    </row>
    <row r="446" spans="11:30" x14ac:dyDescent="0.25">
      <c r="K446" t="str">
        <f>mapPRC!A441</f>
        <v>MIRCRB</v>
      </c>
      <c r="L446" t="str">
        <f>IFERROR(INDEX($X$7:$X$88,MATCH(mapPRC!D441,$W$7:$W$88,0)),"")</f>
        <v/>
      </c>
      <c r="O446" t="str">
        <f>mapCOM!A441</f>
        <v>WND</v>
      </c>
      <c r="P446" t="str">
        <f t="shared" si="7"/>
        <v/>
      </c>
      <c r="AC446" t="s">
        <v>3146</v>
      </c>
      <c r="AD446" t="str">
        <f>""</f>
        <v/>
      </c>
    </row>
    <row r="447" spans="11:30" x14ac:dyDescent="0.25">
      <c r="K447" t="str">
        <f>mapPRC!A442</f>
        <v>MIRGRM</v>
      </c>
      <c r="L447" t="str">
        <f>IFERROR(INDEX($X$7:$X$88,MATCH(mapPRC!D442,$W$7:$W$88,0)),"")</f>
        <v/>
      </c>
      <c r="O447" t="str">
        <f>mapCOM!A442</f>
        <v>ZDUMETRANS</v>
      </c>
      <c r="P447" t="str">
        <f t="shared" si="7"/>
        <v/>
      </c>
      <c r="AC447" t="s">
        <v>3147</v>
      </c>
      <c r="AD447" t="str">
        <f>""</f>
        <v/>
      </c>
    </row>
    <row r="448" spans="11:30" x14ac:dyDescent="0.25">
      <c r="K448" t="str">
        <f>mapPRC!A443</f>
        <v>MIRGRN</v>
      </c>
      <c r="L448" t="str">
        <f>IFERROR(INDEX($X$7:$X$88,MATCH(mapPRC!D443,$W$7:$W$88,0)),"")</f>
        <v/>
      </c>
      <c r="O448" t="str">
        <f>mapCOM!A443</f>
        <v>ZZZ</v>
      </c>
      <c r="P448" t="str">
        <f>INDEX($AD$6:$AD$784,MATCH(O448,$AC$6:$AC$784,0))</f>
        <v/>
      </c>
      <c r="AC448" t="s">
        <v>3149</v>
      </c>
      <c r="AD448" t="str">
        <f>""</f>
        <v/>
      </c>
    </row>
    <row r="449" spans="11:30" x14ac:dyDescent="0.25">
      <c r="K449" t="str">
        <f>mapPRC!A444</f>
        <v>MIRGRS</v>
      </c>
      <c r="L449" t="str">
        <f>IFERROR(INDEX($X$7:$X$88,MATCH(mapPRC!D444,$W$7:$W$88,0)),"")</f>
        <v/>
      </c>
      <c r="AC449" t="s">
        <v>3151</v>
      </c>
      <c r="AD449" t="s">
        <v>3025</v>
      </c>
    </row>
    <row r="450" spans="11:30" x14ac:dyDescent="0.25">
      <c r="K450" t="str">
        <f>mapPRC!A445</f>
        <v>MNWAT</v>
      </c>
      <c r="L450" t="str">
        <f>IFERROR(INDEX($X$7:$X$88,MATCH(mapPRC!D445,$W$7:$W$88,0)),"")</f>
        <v/>
      </c>
      <c r="AC450" t="s">
        <v>3153</v>
      </c>
      <c r="AD450" t="s">
        <v>3031</v>
      </c>
    </row>
    <row r="451" spans="11:30" x14ac:dyDescent="0.25">
      <c r="K451" t="str">
        <f>mapPRC!A446</f>
        <v>MNZZZ</v>
      </c>
      <c r="L451" t="str">
        <f>IFERROR(INDEX($X$7:$X$88,MATCH(mapPRC!D446,$W$7:$W$88,0)),"")</f>
        <v/>
      </c>
      <c r="AC451" t="s">
        <v>3155</v>
      </c>
      <c r="AD451" t="str">
        <f>""</f>
        <v/>
      </c>
    </row>
    <row r="452" spans="11:30" x14ac:dyDescent="0.25">
      <c r="K452" t="str">
        <f>mapPRC!A447</f>
        <v>PEXCME</v>
      </c>
      <c r="L452" t="str">
        <f>IFERROR(INDEX($X$7:$X$88,MATCH(mapPRC!D447,$W$7:$W$88,0)),"")</f>
        <v>exp</v>
      </c>
      <c r="AC452" t="s">
        <v>3159</v>
      </c>
      <c r="AD452" t="str">
        <f>""</f>
        <v/>
      </c>
    </row>
    <row r="453" spans="11:30" x14ac:dyDescent="0.25">
      <c r="K453" t="str">
        <f>mapPRC!A448</f>
        <v>PEXCOA</v>
      </c>
      <c r="L453" t="str">
        <f>IFERROR(INDEX($X$7:$X$88,MATCH(mapPRC!D448,$W$7:$W$88,0)),"")</f>
        <v>exp</v>
      </c>
      <c r="AC453" t="s">
        <v>3161</v>
      </c>
      <c r="AD453" t="str">
        <f>""</f>
        <v/>
      </c>
    </row>
    <row r="454" spans="11:30" x14ac:dyDescent="0.25">
      <c r="K454" t="str">
        <f>mapPRC!A449</f>
        <v>PEXCOK</v>
      </c>
      <c r="L454" t="str">
        <f>IFERROR(INDEX($X$7:$X$88,MATCH(mapPRC!D449,$W$7:$W$88,0)),"")</f>
        <v>exp</v>
      </c>
      <c r="AC454" t="s">
        <v>3164</v>
      </c>
      <c r="AD454" t="str">
        <f>""</f>
        <v/>
      </c>
    </row>
    <row r="455" spans="11:30" x14ac:dyDescent="0.25">
      <c r="K455" t="str">
        <f>mapPRC!A450</f>
        <v>PEXELC</v>
      </c>
      <c r="L455" t="str">
        <f>IFERROR(INDEX($X$7:$X$88,MATCH(mapPRC!D450,$W$7:$W$88,0)),"")</f>
        <v>exp</v>
      </c>
      <c r="AC455" t="s">
        <v>3166</v>
      </c>
      <c r="AD455" t="str">
        <f>""</f>
        <v/>
      </c>
    </row>
    <row r="456" spans="11:30" x14ac:dyDescent="0.25">
      <c r="K456" t="str">
        <f>mapPRC!A451</f>
        <v>PEXHBI</v>
      </c>
      <c r="L456" t="str">
        <f>IFERROR(INDEX($X$7:$X$88,MATCH(mapPRC!D451,$W$7:$W$88,0)),"")</f>
        <v/>
      </c>
      <c r="AC456" t="s">
        <v>3134</v>
      </c>
      <c r="AD456" t="str">
        <f>""</f>
        <v/>
      </c>
    </row>
    <row r="457" spans="11:30" x14ac:dyDescent="0.25">
      <c r="K457" t="str">
        <f>mapPRC!A452</f>
        <v>PEXHGN</v>
      </c>
      <c r="L457" t="str">
        <f>IFERROR(INDEX($X$7:$X$88,MATCH(mapPRC!D452,$W$7:$W$88,0)),"")</f>
        <v>exp</v>
      </c>
      <c r="AC457" t="s">
        <v>3136</v>
      </c>
      <c r="AD457" t="s">
        <v>3028</v>
      </c>
    </row>
    <row r="458" spans="11:30" x14ac:dyDescent="0.25">
      <c r="K458" t="str">
        <f>mapPRC!A453</f>
        <v>PEXGAS</v>
      </c>
      <c r="L458" t="str">
        <f>IFERROR(INDEX($X$7:$X$88,MATCH(mapPRC!D453,$W$7:$W$88,0)),"")</f>
        <v>exp</v>
      </c>
      <c r="AC458" t="s">
        <v>3138</v>
      </c>
      <c r="AD458" t="s">
        <v>3028</v>
      </c>
    </row>
    <row r="459" spans="11:30" x14ac:dyDescent="0.25">
      <c r="K459" t="str">
        <f>mapPRC!A454</f>
        <v>PEXOAG</v>
      </c>
      <c r="L459" t="str">
        <f>IFERROR(INDEX($X$7:$X$88,MATCH(mapPRC!D454,$W$7:$W$88,0)),"")</f>
        <v>exp</v>
      </c>
    </row>
    <row r="460" spans="11:30" x14ac:dyDescent="0.25">
      <c r="K460" t="str">
        <f>mapPRC!A455</f>
        <v>PEXOCR</v>
      </c>
      <c r="L460" t="str">
        <f>IFERROR(INDEX($X$7:$X$88,MATCH(mapPRC!D455,$W$7:$W$88,0)),"")</f>
        <v>exp</v>
      </c>
    </row>
    <row r="461" spans="11:30" x14ac:dyDescent="0.25">
      <c r="K461" t="str">
        <f>mapPRC!A456</f>
        <v>PEXODS</v>
      </c>
      <c r="L461" t="str">
        <f>IFERROR(INDEX($X$7:$X$88,MATCH(mapPRC!D456,$W$7:$W$88,0)),"")</f>
        <v>exp</v>
      </c>
    </row>
    <row r="462" spans="11:30" x14ac:dyDescent="0.25">
      <c r="K462" t="str">
        <f>mapPRC!A457</f>
        <v>PEXOGS</v>
      </c>
      <c r="L462" t="str">
        <f>IFERROR(INDEX($X$7:$X$88,MATCH(mapPRC!D457,$W$7:$W$88,0)),"")</f>
        <v>exp</v>
      </c>
    </row>
    <row r="463" spans="11:30" x14ac:dyDescent="0.25">
      <c r="K463" t="str">
        <f>mapPRC!A458</f>
        <v>PEXOHF</v>
      </c>
      <c r="L463" t="str">
        <f>IFERROR(INDEX($X$7:$X$88,MATCH(mapPRC!D458,$W$7:$W$88,0)),"")</f>
        <v>exp</v>
      </c>
    </row>
    <row r="464" spans="11:30" x14ac:dyDescent="0.25">
      <c r="K464" t="str">
        <f>mapPRC!A459</f>
        <v>PEXOKE</v>
      </c>
      <c r="L464" t="str">
        <f>IFERROR(INDEX($X$7:$X$88,MATCH(mapPRC!D459,$W$7:$W$88,0)),"")</f>
        <v>exp</v>
      </c>
    </row>
    <row r="465" spans="11:12" x14ac:dyDescent="0.25">
      <c r="K465" t="str">
        <f>mapPRC!A460</f>
        <v>PEXOXY</v>
      </c>
      <c r="L465" t="str">
        <f>IFERROR(INDEX($X$7:$X$88,MATCH(mapPRC!D460,$W$7:$W$88,0)),"")</f>
        <v/>
      </c>
    </row>
    <row r="466" spans="11:12" x14ac:dyDescent="0.25">
      <c r="K466" t="str">
        <f>mapPRC!A461</f>
        <v>RHEHBIWSTOV-E</v>
      </c>
      <c r="L466" t="str">
        <f>IFERROR(INDEX($X$7:$X$88,MATCH(mapPRC!D461,$W$7:$W$88,0)),"")</f>
        <v>hhd-he</v>
      </c>
    </row>
    <row r="467" spans="11:12" x14ac:dyDescent="0.25">
      <c r="K467" t="str">
        <f>mapPRC!A462</f>
        <v>RHEHCOASTOV-E</v>
      </c>
      <c r="L467" t="str">
        <f>IFERROR(INDEX($X$7:$X$88,MATCH(mapPRC!D462,$W$7:$W$88,0)),"")</f>
        <v>hhd-he</v>
      </c>
    </row>
    <row r="468" spans="11:12" x14ac:dyDescent="0.25">
      <c r="K468" t="str">
        <f>mapPRC!A463</f>
        <v>RHEHELCHEATFIN-E</v>
      </c>
      <c r="L468" t="str">
        <f>IFERROR(INDEX($X$7:$X$88,MATCH(mapPRC!D463,$W$7:$W$88,0)),"")</f>
        <v>hhd-he</v>
      </c>
    </row>
    <row r="469" spans="11:12" x14ac:dyDescent="0.25">
      <c r="K469" t="str">
        <f>mapPRC!A464</f>
        <v>RHEHGASHEAT-N</v>
      </c>
      <c r="L469" t="str">
        <f>IFERROR(INDEX($X$7:$X$88,MATCH(mapPRC!D464,$W$7:$W$88,0)),"")</f>
        <v>hhd-he</v>
      </c>
    </row>
    <row r="470" spans="11:12" x14ac:dyDescent="0.25">
      <c r="K470" t="str">
        <f>mapPRC!A465</f>
        <v>RHEHOKEHEAT-E</v>
      </c>
      <c r="L470" t="str">
        <f>IFERROR(INDEX($X$7:$X$88,MATCH(mapPRC!D465,$W$7:$W$88,0)),"")</f>
        <v>hhd-he</v>
      </c>
    </row>
    <row r="471" spans="11:12" x14ac:dyDescent="0.25">
      <c r="K471" t="str">
        <f>mapPRC!A466</f>
        <v>RHEHOLPHEAT-E</v>
      </c>
      <c r="L471" t="str">
        <f>IFERROR(INDEX($X$7:$X$88,MATCH(mapPRC!D466,$W$7:$W$88,0)),"")</f>
        <v>hhd-he</v>
      </c>
    </row>
    <row r="472" spans="11:12" x14ac:dyDescent="0.25">
      <c r="K472" t="str">
        <f>mapPRC!A467</f>
        <v>RHEKBIWSTOV-E</v>
      </c>
      <c r="L472" t="str">
        <f>IFERROR(INDEX($X$7:$X$88,MATCH(mapPRC!D467,$W$7:$W$88,0)),"")</f>
        <v>hhd-he</v>
      </c>
    </row>
    <row r="473" spans="11:12" x14ac:dyDescent="0.25">
      <c r="K473" t="str">
        <f>mapPRC!A468</f>
        <v>RHEKELCSTOV-E</v>
      </c>
      <c r="L473" t="str">
        <f>IFERROR(INDEX($X$7:$X$88,MATCH(mapPRC!D468,$W$7:$W$88,0)),"")</f>
        <v>hhd-he</v>
      </c>
    </row>
    <row r="474" spans="11:12" x14ac:dyDescent="0.25">
      <c r="K474" t="str">
        <f>mapPRC!A469</f>
        <v>RHEKGASSTOV-E</v>
      </c>
      <c r="L474" t="str">
        <f>IFERROR(INDEX($X$7:$X$88,MATCH(mapPRC!D469,$W$7:$W$88,0)),"")</f>
        <v>hhd-he</v>
      </c>
    </row>
    <row r="475" spans="11:12" x14ac:dyDescent="0.25">
      <c r="K475" t="str">
        <f>mapPRC!A470</f>
        <v>RHEKOKEPRIMUS-E</v>
      </c>
      <c r="L475" t="str">
        <f>IFERROR(INDEX($X$7:$X$88,MATCH(mapPRC!D470,$W$7:$W$88,0)),"")</f>
        <v>hhd-he</v>
      </c>
    </row>
    <row r="476" spans="11:12" x14ac:dyDescent="0.25">
      <c r="K476" t="str">
        <f>mapPRC!A471</f>
        <v>RHEKOLPSTOV-E</v>
      </c>
      <c r="L476" t="str">
        <f>IFERROR(INDEX($X$7:$X$88,MATCH(mapPRC!D471,$W$7:$W$88,0)),"")</f>
        <v>hhd-he</v>
      </c>
    </row>
    <row r="477" spans="11:12" x14ac:dyDescent="0.25">
      <c r="K477" t="str">
        <f>mapPRC!A472</f>
        <v>RHELELCINC-E</v>
      </c>
      <c r="L477" t="str">
        <f>IFERROR(INDEX($X$7:$X$88,MATCH(mapPRC!D472,$W$7:$W$88,0)),"")</f>
        <v>hhd-he</v>
      </c>
    </row>
    <row r="478" spans="11:12" x14ac:dyDescent="0.25">
      <c r="K478" t="str">
        <f>mapPRC!A473</f>
        <v>RHENOKEOTH-E</v>
      </c>
      <c r="L478" t="str">
        <f>IFERROR(INDEX($X$7:$X$88,MATCH(mapPRC!D473,$W$7:$W$88,0)),"")</f>
        <v>hhd-he</v>
      </c>
    </row>
    <row r="479" spans="11:12" x14ac:dyDescent="0.25">
      <c r="K479" t="str">
        <f>mapPRC!A474</f>
        <v>RHEOELCOTH-E</v>
      </c>
      <c r="L479" t="str">
        <f>IFERROR(INDEX($X$7:$X$88,MATCH(mapPRC!D474,$W$7:$W$88,0)),"")</f>
        <v>hhd-he</v>
      </c>
    </row>
    <row r="480" spans="11:12" x14ac:dyDescent="0.25">
      <c r="K480" t="str">
        <f>mapPRC!A475</f>
        <v>RHERELCREF-E</v>
      </c>
      <c r="L480" t="str">
        <f>IFERROR(INDEX($X$7:$X$88,MATCH(mapPRC!D475,$W$7:$W$88,0)),"")</f>
        <v>hhd-he</v>
      </c>
    </row>
    <row r="481" spans="11:12" x14ac:dyDescent="0.25">
      <c r="K481" t="str">
        <f>mapPRC!A476</f>
        <v>RHEWELCCHP-N</v>
      </c>
      <c r="L481" t="str">
        <f>IFERROR(INDEX($X$7:$X$88,MATCH(mapPRC!D476,$W$7:$W$88,0)),"")</f>
        <v>hhd-he</v>
      </c>
    </row>
    <row r="482" spans="11:12" x14ac:dyDescent="0.25">
      <c r="K482" t="str">
        <f>mapPRC!A477</f>
        <v>RHEWELCGEY-E</v>
      </c>
      <c r="L482" t="str">
        <f>IFERROR(INDEX($X$7:$X$88,MATCH(mapPRC!D477,$W$7:$W$88,0)),"")</f>
        <v>hhd-he</v>
      </c>
    </row>
    <row r="483" spans="11:12" x14ac:dyDescent="0.25">
      <c r="K483" t="str">
        <f>mapPRC!A478</f>
        <v>RHEWELCSWH-E</v>
      </c>
      <c r="L483" t="str">
        <f>IFERROR(INDEX($X$7:$X$88,MATCH(mapPRC!D478,$W$7:$W$88,0)),"")</f>
        <v>hhd-he</v>
      </c>
    </row>
    <row r="484" spans="11:12" x14ac:dyDescent="0.25">
      <c r="K484" t="str">
        <f>mapPRC!A479</f>
        <v>RHEWGASHEAT-N</v>
      </c>
      <c r="L484" t="str">
        <f>IFERROR(INDEX($X$7:$X$88,MATCH(mapPRC!D479,$W$7:$W$88,0)),"")</f>
        <v>hhd-he</v>
      </c>
    </row>
    <row r="485" spans="11:12" x14ac:dyDescent="0.25">
      <c r="K485" t="str">
        <f>mapPRC!A480</f>
        <v>RHEWOKESTOV-E</v>
      </c>
      <c r="L485" t="str">
        <f>IFERROR(INDEX($X$7:$X$88,MATCH(mapPRC!D480,$W$7:$W$88,0)),"")</f>
        <v>hhd-he</v>
      </c>
    </row>
    <row r="486" spans="11:12" x14ac:dyDescent="0.25">
      <c r="K486" t="str">
        <f>mapPRC!A481</f>
        <v>RHEWOLPSTOV-E</v>
      </c>
      <c r="L486" t="str">
        <f>IFERROR(INDEX($X$7:$X$88,MATCH(mapPRC!D481,$W$7:$W$88,0)),"")</f>
        <v>hhd-he</v>
      </c>
    </row>
    <row r="487" spans="11:12" x14ac:dyDescent="0.25">
      <c r="K487" t="str">
        <f>mapPRC!A482</f>
        <v>RLEHBIWOPEN-E</v>
      </c>
      <c r="L487" t="str">
        <f>IFERROR(INDEX($X$7:$X$88,MATCH(mapPRC!D482,$W$7:$W$88,0)),"")</f>
        <v>hhd-le</v>
      </c>
    </row>
    <row r="488" spans="11:12" x14ac:dyDescent="0.25">
      <c r="K488" t="str">
        <f>mapPRC!A483</f>
        <v>RLEHCOABNM-E</v>
      </c>
      <c r="L488" t="str">
        <f>IFERROR(INDEX($X$7:$X$88,MATCH(mapPRC!D483,$W$7:$W$88,0)),"")</f>
        <v>hhd-le</v>
      </c>
    </row>
    <row r="489" spans="11:12" x14ac:dyDescent="0.25">
      <c r="K489" t="str">
        <f>mapPRC!A484</f>
        <v>RLEHELCHEATBAR-E</v>
      </c>
      <c r="L489" t="str">
        <f>IFERROR(INDEX($X$7:$X$88,MATCH(mapPRC!D484,$W$7:$W$88,0)),"")</f>
        <v>hhd-le</v>
      </c>
    </row>
    <row r="490" spans="11:12" x14ac:dyDescent="0.25">
      <c r="K490" t="str">
        <f>mapPRC!A485</f>
        <v>RLEHOKEHEAT-E</v>
      </c>
      <c r="L490" t="str">
        <f>IFERROR(INDEX($X$7:$X$88,MATCH(mapPRC!D485,$W$7:$W$88,0)),"")</f>
        <v>hhd-le</v>
      </c>
    </row>
    <row r="491" spans="11:12" x14ac:dyDescent="0.25">
      <c r="K491" t="str">
        <f>mapPRC!A486</f>
        <v>RLEHOLPHET-E</v>
      </c>
      <c r="L491" t="str">
        <f>IFERROR(INDEX($X$7:$X$88,MATCH(mapPRC!D486,$W$7:$W$88,0)),"")</f>
        <v>hhd-le</v>
      </c>
    </row>
    <row r="492" spans="11:12" x14ac:dyDescent="0.25">
      <c r="K492" t="str">
        <f>mapPRC!A487</f>
        <v>RLEKBIWBNM-E</v>
      </c>
      <c r="L492" t="str">
        <f>IFERROR(INDEX($X$7:$X$88,MATCH(mapPRC!D487,$W$7:$W$88,0)),"")</f>
        <v>hhd-le</v>
      </c>
    </row>
    <row r="493" spans="11:12" x14ac:dyDescent="0.25">
      <c r="K493" t="str">
        <f>mapPRC!A488</f>
        <v>RLEKCOABNM-E</v>
      </c>
      <c r="L493" t="str">
        <f>IFERROR(INDEX($X$7:$X$88,MATCH(mapPRC!D488,$W$7:$W$88,0)),"")</f>
        <v>hhd-le</v>
      </c>
    </row>
    <row r="494" spans="11:12" x14ac:dyDescent="0.25">
      <c r="K494" t="str">
        <f>mapPRC!A489</f>
        <v>RLEKELCHOT-E</v>
      </c>
      <c r="L494" t="str">
        <f>IFERROR(INDEX($X$7:$X$88,MATCH(mapPRC!D489,$W$7:$W$88,0)),"")</f>
        <v>hhd-le</v>
      </c>
    </row>
    <row r="495" spans="11:12" x14ac:dyDescent="0.25">
      <c r="K495" t="str">
        <f>mapPRC!A490</f>
        <v>RLEKELCSTOV-E</v>
      </c>
      <c r="L495" t="str">
        <f>IFERROR(INDEX($X$7:$X$88,MATCH(mapPRC!D490,$W$7:$W$88,0)),"")</f>
        <v>hhd-le</v>
      </c>
    </row>
    <row r="496" spans="11:12" x14ac:dyDescent="0.25">
      <c r="K496" t="str">
        <f>mapPRC!A491</f>
        <v>RLEKOKEWICK-E</v>
      </c>
      <c r="L496" t="str">
        <f>IFERROR(INDEX($X$7:$X$88,MATCH(mapPRC!D491,$W$7:$W$88,0)),"")</f>
        <v>hhd-le</v>
      </c>
    </row>
    <row r="497" spans="11:12" x14ac:dyDescent="0.25">
      <c r="K497" t="str">
        <f>mapPRC!A492</f>
        <v>RLEKOLPRING-E</v>
      </c>
      <c r="L497" t="str">
        <f>IFERROR(INDEX($X$7:$X$88,MATCH(mapPRC!D492,$W$7:$W$88,0)),"")</f>
        <v>hhd-le</v>
      </c>
    </row>
    <row r="498" spans="11:12" x14ac:dyDescent="0.25">
      <c r="K498" t="str">
        <f>mapPRC!A493</f>
        <v>RLELELCINC-E</v>
      </c>
      <c r="L498" t="str">
        <f>IFERROR(INDEX($X$7:$X$88,MATCH(mapPRC!D493,$W$7:$W$88,0)),"")</f>
        <v>hhd-le</v>
      </c>
    </row>
    <row r="499" spans="11:12" x14ac:dyDescent="0.25">
      <c r="K499" t="str">
        <f>mapPRC!A494</f>
        <v>RLENOKEOTH-E</v>
      </c>
      <c r="L499" t="str">
        <f>IFERROR(INDEX($X$7:$X$88,MATCH(mapPRC!D494,$W$7:$W$88,0)),"")</f>
        <v>hhd-le</v>
      </c>
    </row>
    <row r="500" spans="11:12" x14ac:dyDescent="0.25">
      <c r="K500" t="str">
        <f>mapPRC!A495</f>
        <v>RLEOELCOTH-E</v>
      </c>
      <c r="L500" t="str">
        <f>IFERROR(INDEX($X$7:$X$88,MATCH(mapPRC!D495,$W$7:$W$88,0)),"")</f>
        <v>hhd-le</v>
      </c>
    </row>
    <row r="501" spans="11:12" x14ac:dyDescent="0.25">
      <c r="K501" t="str">
        <f>mapPRC!A496</f>
        <v>RLERELCREF-E</v>
      </c>
      <c r="L501" t="str">
        <f>IFERROR(INDEX($X$7:$X$88,MATCH(mapPRC!D496,$W$7:$W$88,0)),"")</f>
        <v>hhd-le</v>
      </c>
    </row>
    <row r="502" spans="11:12" x14ac:dyDescent="0.25">
      <c r="K502" t="str">
        <f>mapPRC!A497</f>
        <v>RLEWBIWKETBI-E</v>
      </c>
      <c r="L502" t="str">
        <f>IFERROR(INDEX($X$7:$X$88,MATCH(mapPRC!D497,$W$7:$W$88,0)),"")</f>
        <v>hhd-le</v>
      </c>
    </row>
    <row r="503" spans="11:12" x14ac:dyDescent="0.25">
      <c r="K503" t="str">
        <f>mapPRC!A498</f>
        <v>RLEWCOAKETCOA-E</v>
      </c>
      <c r="L503" t="str">
        <f>IFERROR(INDEX($X$7:$X$88,MATCH(mapPRC!D498,$W$7:$W$88,0)),"")</f>
        <v>hhd-le</v>
      </c>
    </row>
    <row r="504" spans="11:12" x14ac:dyDescent="0.25">
      <c r="K504" t="str">
        <f>mapPRC!A499</f>
        <v>RLEWELCGEY-E</v>
      </c>
      <c r="L504" t="str">
        <f>IFERROR(INDEX($X$7:$X$88,MATCH(mapPRC!D499,$W$7:$W$88,0)),"")</f>
        <v>hhd-le</v>
      </c>
    </row>
    <row r="505" spans="11:12" x14ac:dyDescent="0.25">
      <c r="K505" t="str">
        <f>mapPRC!A500</f>
        <v>RLEWELCKET-E</v>
      </c>
      <c r="L505" t="str">
        <f>IFERROR(INDEX($X$7:$X$88,MATCH(mapPRC!D500,$W$7:$W$88,0)),"")</f>
        <v>hhd-le</v>
      </c>
    </row>
    <row r="506" spans="11:12" x14ac:dyDescent="0.25">
      <c r="K506" t="str">
        <f>mapPRC!A501</f>
        <v>RLEWELCSWH-E</v>
      </c>
      <c r="L506" t="str">
        <f>IFERROR(INDEX($X$7:$X$88,MATCH(mapPRC!D501,$W$7:$W$88,0)),"")</f>
        <v>hhd-le</v>
      </c>
    </row>
    <row r="507" spans="11:12" x14ac:dyDescent="0.25">
      <c r="K507" t="str">
        <f>mapPRC!A502</f>
        <v>RLEWOKEKETWI-E</v>
      </c>
      <c r="L507" t="str">
        <f>IFERROR(INDEX($X$7:$X$88,MATCH(mapPRC!D502,$W$7:$W$88,0)),"")</f>
        <v>hhd-le</v>
      </c>
    </row>
    <row r="508" spans="11:12" x14ac:dyDescent="0.25">
      <c r="K508" t="str">
        <f>mapPRC!A503</f>
        <v>RLEWOLPKETLPG-E</v>
      </c>
      <c r="L508" t="str">
        <f>IFERROR(INDEX($X$7:$X$88,MATCH(mapPRC!D503,$W$7:$W$88,0)),"")</f>
        <v>hhd-le</v>
      </c>
    </row>
    <row r="509" spans="11:12" x14ac:dyDescent="0.25">
      <c r="K509" t="str">
        <f>mapPRC!A504</f>
        <v>RLNHBIWOPEN-E</v>
      </c>
      <c r="L509" t="str">
        <f>IFERROR(INDEX($X$7:$X$88,MATCH(mapPRC!D504,$W$7:$W$88,0)),"")</f>
        <v>hhd-le</v>
      </c>
    </row>
    <row r="510" spans="11:12" x14ac:dyDescent="0.25">
      <c r="K510" t="str">
        <f>mapPRC!A505</f>
        <v>RLNHCOABNM-E</v>
      </c>
      <c r="L510" t="str">
        <f>IFERROR(INDEX($X$7:$X$88,MATCH(mapPRC!D505,$W$7:$W$88,0)),"")</f>
        <v>hhd-le</v>
      </c>
    </row>
    <row r="511" spans="11:12" x14ac:dyDescent="0.25">
      <c r="K511" t="str">
        <f>mapPRC!A506</f>
        <v>RLNHOKEHEAT-E</v>
      </c>
      <c r="L511" t="str">
        <f>IFERROR(INDEX($X$7:$X$88,MATCH(mapPRC!D506,$W$7:$W$88,0)),"")</f>
        <v>hhd-le</v>
      </c>
    </row>
    <row r="512" spans="11:12" x14ac:dyDescent="0.25">
      <c r="K512" t="str">
        <f>mapPRC!A507</f>
        <v>RLNHOLPHET-E</v>
      </c>
      <c r="L512" t="str">
        <f>IFERROR(INDEX($X$7:$X$88,MATCH(mapPRC!D507,$W$7:$W$88,0)),"")</f>
        <v>hhd-le</v>
      </c>
    </row>
    <row r="513" spans="11:12" x14ac:dyDescent="0.25">
      <c r="K513" t="str">
        <f>mapPRC!A508</f>
        <v>RLNKBIWBNM-E</v>
      </c>
      <c r="L513" t="str">
        <f>IFERROR(INDEX($X$7:$X$88,MATCH(mapPRC!D508,$W$7:$W$88,0)),"")</f>
        <v>hhd-le</v>
      </c>
    </row>
    <row r="514" spans="11:12" x14ac:dyDescent="0.25">
      <c r="K514" t="str">
        <f>mapPRC!A509</f>
        <v>RLNKCOABNM-E</v>
      </c>
      <c r="L514" t="str">
        <f>IFERROR(INDEX($X$7:$X$88,MATCH(mapPRC!D509,$W$7:$W$88,0)),"")</f>
        <v>hhd-le</v>
      </c>
    </row>
    <row r="515" spans="11:12" x14ac:dyDescent="0.25">
      <c r="K515" t="str">
        <f>mapPRC!A510</f>
        <v>RLNKOKEWICK-E</v>
      </c>
      <c r="L515" t="str">
        <f>IFERROR(INDEX($X$7:$X$88,MATCH(mapPRC!D510,$W$7:$W$88,0)),"")</f>
        <v>hhd-le</v>
      </c>
    </row>
    <row r="516" spans="11:12" x14ac:dyDescent="0.25">
      <c r="K516" t="str">
        <f>mapPRC!A511</f>
        <v>RLNKOLPRING-E</v>
      </c>
      <c r="L516" t="str">
        <f>IFERROR(INDEX($X$7:$X$88,MATCH(mapPRC!D511,$W$7:$W$88,0)),"")</f>
        <v>hhd-le</v>
      </c>
    </row>
    <row r="517" spans="11:12" x14ac:dyDescent="0.25">
      <c r="K517" t="str">
        <f>mapPRC!A512</f>
        <v>RLNLOKEWICK-E</v>
      </c>
      <c r="L517" t="str">
        <f>IFERROR(INDEX($X$7:$X$88,MATCH(mapPRC!D512,$W$7:$W$88,0)),"")</f>
        <v>hhd-le</v>
      </c>
    </row>
    <row r="518" spans="11:12" x14ac:dyDescent="0.25">
      <c r="K518" t="str">
        <f>mapPRC!A513</f>
        <v>RLNNOKEOTH-E</v>
      </c>
      <c r="L518" t="str">
        <f>IFERROR(INDEX($X$7:$X$88,MATCH(mapPRC!D513,$W$7:$W$88,0)),"")</f>
        <v>hhd-le</v>
      </c>
    </row>
    <row r="519" spans="11:12" x14ac:dyDescent="0.25">
      <c r="K519" t="str">
        <f>mapPRC!A514</f>
        <v>RLNWBIWKETBI-E</v>
      </c>
      <c r="L519" t="str">
        <f>IFERROR(INDEX($X$7:$X$88,MATCH(mapPRC!D514,$W$7:$W$88,0)),"")</f>
        <v>hhd-le</v>
      </c>
    </row>
    <row r="520" spans="11:12" x14ac:dyDescent="0.25">
      <c r="K520" t="str">
        <f>mapPRC!A515</f>
        <v>RLNWCOABNM-E</v>
      </c>
      <c r="L520" t="str">
        <f>IFERROR(INDEX($X$7:$X$88,MATCH(mapPRC!D515,$W$7:$W$88,0)),"")</f>
        <v>hhd-le</v>
      </c>
    </row>
    <row r="521" spans="11:12" x14ac:dyDescent="0.25">
      <c r="K521" t="str">
        <f>mapPRC!A516</f>
        <v>RLNWOKEKETWI-E</v>
      </c>
      <c r="L521" t="str">
        <f>IFERROR(INDEX($X$7:$X$88,MATCH(mapPRC!D516,$W$7:$W$88,0)),"")</f>
        <v>hhd-le</v>
      </c>
    </row>
    <row r="522" spans="11:12" x14ac:dyDescent="0.25">
      <c r="K522" t="str">
        <f>mapPRC!A517</f>
        <v>RLNWOLPKETLPG-E</v>
      </c>
      <c r="L522" t="str">
        <f>IFERROR(INDEX($X$7:$X$88,MATCH(mapPRC!D517,$W$7:$W$88,0)),"")</f>
        <v>hhd-le</v>
      </c>
    </row>
    <row r="523" spans="11:12" x14ac:dyDescent="0.25">
      <c r="K523" t="str">
        <f>mapPRC!A518</f>
        <v>RMEHBIWSTOV-E</v>
      </c>
      <c r="L523" t="str">
        <f>IFERROR(INDEX($X$7:$X$88,MATCH(mapPRC!D518,$W$7:$W$88,0)),"")</f>
        <v>hhd-me</v>
      </c>
    </row>
    <row r="524" spans="11:12" x14ac:dyDescent="0.25">
      <c r="K524" t="str">
        <f>mapPRC!A519</f>
        <v>RMEHCOASTOV-E</v>
      </c>
      <c r="L524" t="str">
        <f>IFERROR(INDEX($X$7:$X$88,MATCH(mapPRC!D519,$W$7:$W$88,0)),"")</f>
        <v>hhd-me</v>
      </c>
    </row>
    <row r="525" spans="11:12" x14ac:dyDescent="0.25">
      <c r="K525" t="str">
        <f>mapPRC!A520</f>
        <v>RMEHELCHEATFIN-E</v>
      </c>
      <c r="L525" t="str">
        <f>IFERROR(INDEX($X$7:$X$88,MATCH(mapPRC!D520,$W$7:$W$88,0)),"")</f>
        <v>hhd-me</v>
      </c>
    </row>
    <row r="526" spans="11:12" x14ac:dyDescent="0.25">
      <c r="K526" t="str">
        <f>mapPRC!A521</f>
        <v>RMEHGASHEAT-N</v>
      </c>
      <c r="L526" t="str">
        <f>IFERROR(INDEX($X$7:$X$88,MATCH(mapPRC!D521,$W$7:$W$88,0)),"")</f>
        <v>hhd-me</v>
      </c>
    </row>
    <row r="527" spans="11:12" x14ac:dyDescent="0.25">
      <c r="K527" t="str">
        <f>mapPRC!A522</f>
        <v>RMEHOKEHEAT-E</v>
      </c>
      <c r="L527" t="str">
        <f>IFERROR(INDEX($X$7:$X$88,MATCH(mapPRC!D522,$W$7:$W$88,0)),"")</f>
        <v>hhd-me</v>
      </c>
    </row>
    <row r="528" spans="11:12" x14ac:dyDescent="0.25">
      <c r="K528" t="str">
        <f>mapPRC!A523</f>
        <v>RMEHOLPHEAT-E</v>
      </c>
      <c r="L528" t="str">
        <f>IFERROR(INDEX($X$7:$X$88,MATCH(mapPRC!D523,$W$7:$W$88,0)),"")</f>
        <v>hhd-me</v>
      </c>
    </row>
    <row r="529" spans="11:12" x14ac:dyDescent="0.25">
      <c r="K529" t="str">
        <f>mapPRC!A524</f>
        <v>RMEKBIWSTOV-E</v>
      </c>
      <c r="L529" t="str">
        <f>IFERROR(INDEX($X$7:$X$88,MATCH(mapPRC!D524,$W$7:$W$88,0)),"")</f>
        <v>hhd-me</v>
      </c>
    </row>
    <row r="530" spans="11:12" x14ac:dyDescent="0.25">
      <c r="K530" t="str">
        <f>mapPRC!A525</f>
        <v>RMEKCOABNM-E</v>
      </c>
      <c r="L530" t="str">
        <f>IFERROR(INDEX($X$7:$X$88,MATCH(mapPRC!D525,$W$7:$W$88,0)),"")</f>
        <v>hhd-me</v>
      </c>
    </row>
    <row r="531" spans="11:12" x14ac:dyDescent="0.25">
      <c r="K531" t="str">
        <f>mapPRC!A526</f>
        <v>RMEKELCSTOV-E</v>
      </c>
      <c r="L531" t="str">
        <f>IFERROR(INDEX($X$7:$X$88,MATCH(mapPRC!D526,$W$7:$W$88,0)),"")</f>
        <v>hhd-me</v>
      </c>
    </row>
    <row r="532" spans="11:12" x14ac:dyDescent="0.25">
      <c r="K532" t="str">
        <f>mapPRC!A527</f>
        <v>RMEKGASSTOV-E</v>
      </c>
      <c r="L532" t="str">
        <f>IFERROR(INDEX($X$7:$X$88,MATCH(mapPRC!D527,$W$7:$W$88,0)),"")</f>
        <v>hhd-me</v>
      </c>
    </row>
    <row r="533" spans="11:12" x14ac:dyDescent="0.25">
      <c r="K533" t="str">
        <f>mapPRC!A528</f>
        <v>RMEKOKEWICK-E</v>
      </c>
      <c r="L533" t="str">
        <f>IFERROR(INDEX($X$7:$X$88,MATCH(mapPRC!D528,$W$7:$W$88,0)),"")</f>
        <v>hhd-me</v>
      </c>
    </row>
    <row r="534" spans="11:12" x14ac:dyDescent="0.25">
      <c r="K534" t="str">
        <f>mapPRC!A529</f>
        <v>RMEKOLPSTOV-E</v>
      </c>
      <c r="L534" t="str">
        <f>IFERROR(INDEX($X$7:$X$88,MATCH(mapPRC!D529,$W$7:$W$88,0)),"")</f>
        <v>hhd-me</v>
      </c>
    </row>
    <row r="535" spans="11:12" x14ac:dyDescent="0.25">
      <c r="K535" t="str">
        <f>mapPRC!A530</f>
        <v>RMELELCINC-E</v>
      </c>
      <c r="L535" t="str">
        <f>IFERROR(INDEX($X$7:$X$88,MATCH(mapPRC!D530,$W$7:$W$88,0)),"")</f>
        <v>hhd-me</v>
      </c>
    </row>
    <row r="536" spans="11:12" x14ac:dyDescent="0.25">
      <c r="K536" t="str">
        <f>mapPRC!A531</f>
        <v>RMENOKEOTH-E</v>
      </c>
      <c r="L536" t="str">
        <f>IFERROR(INDEX($X$7:$X$88,MATCH(mapPRC!D531,$W$7:$W$88,0)),"")</f>
        <v>hhd-me</v>
      </c>
    </row>
    <row r="537" spans="11:12" x14ac:dyDescent="0.25">
      <c r="K537" t="str">
        <f>mapPRC!A532</f>
        <v>RMEOELCOTH-E</v>
      </c>
      <c r="L537" t="str">
        <f>IFERROR(INDEX($X$7:$X$88,MATCH(mapPRC!D532,$W$7:$W$88,0)),"")</f>
        <v>hhd-me</v>
      </c>
    </row>
    <row r="538" spans="11:12" x14ac:dyDescent="0.25">
      <c r="K538" t="str">
        <f>mapPRC!A533</f>
        <v>RMERELCREF-E</v>
      </c>
      <c r="L538" t="str">
        <f>IFERROR(INDEX($X$7:$X$88,MATCH(mapPRC!D533,$W$7:$W$88,0)),"")</f>
        <v>hhd-me</v>
      </c>
    </row>
    <row r="539" spans="11:12" x14ac:dyDescent="0.25">
      <c r="K539" t="str">
        <f>mapPRC!A534</f>
        <v>RMEWBIWKETBI-E</v>
      </c>
      <c r="L539" t="str">
        <f>IFERROR(INDEX($X$7:$X$88,MATCH(mapPRC!D534,$W$7:$W$88,0)),"")</f>
        <v>hhd-me</v>
      </c>
    </row>
    <row r="540" spans="11:12" x14ac:dyDescent="0.25">
      <c r="K540" t="str">
        <f>mapPRC!A535</f>
        <v>RMEWCOASTOV-E</v>
      </c>
      <c r="L540" t="str">
        <f>IFERROR(INDEX($X$7:$X$88,MATCH(mapPRC!D535,$W$7:$W$88,0)),"")</f>
        <v>hhd-me</v>
      </c>
    </row>
    <row r="541" spans="11:12" x14ac:dyDescent="0.25">
      <c r="K541" t="str">
        <f>mapPRC!A536</f>
        <v>RMEWELCCHP-N</v>
      </c>
      <c r="L541" t="str">
        <f>IFERROR(INDEX($X$7:$X$88,MATCH(mapPRC!D536,$W$7:$W$88,0)),"")</f>
        <v>hhd-me</v>
      </c>
    </row>
    <row r="542" spans="11:12" x14ac:dyDescent="0.25">
      <c r="K542" t="str">
        <f>mapPRC!A537</f>
        <v>RMEWELCGEY-E</v>
      </c>
      <c r="L542" t="str">
        <f>IFERROR(INDEX($X$7:$X$88,MATCH(mapPRC!D537,$W$7:$W$88,0)),"")</f>
        <v>hhd-me</v>
      </c>
    </row>
    <row r="543" spans="11:12" x14ac:dyDescent="0.25">
      <c r="K543" t="str">
        <f>mapPRC!A538</f>
        <v>RMEWELCKET-E</v>
      </c>
      <c r="L543" t="str">
        <f>IFERROR(INDEX($X$7:$X$88,MATCH(mapPRC!D538,$W$7:$W$88,0)),"")</f>
        <v>hhd-me</v>
      </c>
    </row>
    <row r="544" spans="11:12" x14ac:dyDescent="0.25">
      <c r="K544" t="str">
        <f>mapPRC!A539</f>
        <v>RMEWELCSWH-E</v>
      </c>
      <c r="L544" t="str">
        <f>IFERROR(INDEX($X$7:$X$88,MATCH(mapPRC!D539,$W$7:$W$88,0)),"")</f>
        <v>hhd-me</v>
      </c>
    </row>
    <row r="545" spans="11:12" x14ac:dyDescent="0.25">
      <c r="K545" t="str">
        <f>mapPRC!A540</f>
        <v>RMEWGASGEY-N</v>
      </c>
      <c r="L545" t="str">
        <f>IFERROR(INDEX($X$7:$X$88,MATCH(mapPRC!D540,$W$7:$W$88,0)),"")</f>
        <v>hhd-me</v>
      </c>
    </row>
    <row r="546" spans="11:12" x14ac:dyDescent="0.25">
      <c r="K546" t="str">
        <f>mapPRC!A541</f>
        <v>RMEWOKEKETPR-E</v>
      </c>
      <c r="L546" t="str">
        <f>IFERROR(INDEX($X$7:$X$88,MATCH(mapPRC!D541,$W$7:$W$88,0)),"")</f>
        <v>hhd-me</v>
      </c>
    </row>
    <row r="547" spans="11:12" x14ac:dyDescent="0.25">
      <c r="K547" t="str">
        <f>mapPRC!A542</f>
        <v>RMEWOLPKETLPG-E</v>
      </c>
      <c r="L547" t="str">
        <f>IFERROR(INDEX($X$7:$X$88,MATCH(mapPRC!D542,$W$7:$W$88,0)),"")</f>
        <v>hhd-me</v>
      </c>
    </row>
    <row r="548" spans="11:12" x14ac:dyDescent="0.25">
      <c r="K548" t="str">
        <f>mapPRC!A543</f>
        <v>RMNHBIWOPEN-E</v>
      </c>
      <c r="L548" t="str">
        <f>IFERROR(INDEX($X$7:$X$88,MATCH(mapPRC!D543,$W$7:$W$88,0)),"")</f>
        <v>hhd-me</v>
      </c>
    </row>
    <row r="549" spans="11:12" x14ac:dyDescent="0.25">
      <c r="K549" t="str">
        <f>mapPRC!A544</f>
        <v>RMNHCOABNM-E</v>
      </c>
      <c r="L549" t="str">
        <f>IFERROR(INDEX($X$7:$X$88,MATCH(mapPRC!D544,$W$7:$W$88,0)),"")</f>
        <v>hhd-me</v>
      </c>
    </row>
    <row r="550" spans="11:12" x14ac:dyDescent="0.25">
      <c r="K550" t="str">
        <f>mapPRC!A545</f>
        <v>RMNHGASHET-N</v>
      </c>
      <c r="L550" t="str">
        <f>IFERROR(INDEX($X$7:$X$88,MATCH(mapPRC!D545,$W$7:$W$88,0)),"")</f>
        <v>hhd-me</v>
      </c>
    </row>
    <row r="551" spans="11:12" x14ac:dyDescent="0.25">
      <c r="K551" t="str">
        <f>mapPRC!A546</f>
        <v>RMNHOKEHEAT-E</v>
      </c>
      <c r="L551" t="str">
        <f>IFERROR(INDEX($X$7:$X$88,MATCH(mapPRC!D546,$W$7:$W$88,0)),"")</f>
        <v>hhd-me</v>
      </c>
    </row>
    <row r="552" spans="11:12" x14ac:dyDescent="0.25">
      <c r="K552" t="str">
        <f>mapPRC!A547</f>
        <v>RMNHOLPHET-E</v>
      </c>
      <c r="L552" t="str">
        <f>IFERROR(INDEX($X$7:$X$88,MATCH(mapPRC!D547,$W$7:$W$88,0)),"")</f>
        <v>hhd-me</v>
      </c>
    </row>
    <row r="553" spans="11:12" x14ac:dyDescent="0.25">
      <c r="K553" t="str">
        <f>mapPRC!A548</f>
        <v>RMNKBIWBNM-E</v>
      </c>
      <c r="L553" t="str">
        <f>IFERROR(INDEX($X$7:$X$88,MATCH(mapPRC!D548,$W$7:$W$88,0)),"")</f>
        <v>hhd-me</v>
      </c>
    </row>
    <row r="554" spans="11:12" x14ac:dyDescent="0.25">
      <c r="K554" t="str">
        <f>mapPRC!A549</f>
        <v>RMNKCOABNM-E</v>
      </c>
      <c r="L554" t="str">
        <f>IFERROR(INDEX($X$7:$X$88,MATCH(mapPRC!D549,$W$7:$W$88,0)),"")</f>
        <v>hhd-me</v>
      </c>
    </row>
    <row r="555" spans="11:12" x14ac:dyDescent="0.25">
      <c r="K555" t="str">
        <f>mapPRC!A550</f>
        <v>RMNKGASSTOV-N</v>
      </c>
      <c r="L555" t="str">
        <f>IFERROR(INDEX($X$7:$X$88,MATCH(mapPRC!D550,$W$7:$W$88,0)),"")</f>
        <v>hhd-me</v>
      </c>
    </row>
    <row r="556" spans="11:12" x14ac:dyDescent="0.25">
      <c r="K556" t="str">
        <f>mapPRC!A551</f>
        <v>RMNKOKEWICK-E</v>
      </c>
      <c r="L556" t="str">
        <f>IFERROR(INDEX($X$7:$X$88,MATCH(mapPRC!D551,$W$7:$W$88,0)),"")</f>
        <v>hhd-me</v>
      </c>
    </row>
    <row r="557" spans="11:12" x14ac:dyDescent="0.25">
      <c r="K557" t="str">
        <f>mapPRC!A552</f>
        <v>RMNKOLPRING-E</v>
      </c>
      <c r="L557" t="str">
        <f>IFERROR(INDEX($X$7:$X$88,MATCH(mapPRC!D552,$W$7:$W$88,0)),"")</f>
        <v>hhd-me</v>
      </c>
    </row>
    <row r="558" spans="11:12" x14ac:dyDescent="0.25">
      <c r="K558" t="str">
        <f>mapPRC!A553</f>
        <v>RMNLOKEWICK-E</v>
      </c>
      <c r="L558" t="str">
        <f>IFERROR(INDEX($X$7:$X$88,MATCH(mapPRC!D553,$W$7:$W$88,0)),"")</f>
        <v>hhd-me</v>
      </c>
    </row>
    <row r="559" spans="11:12" x14ac:dyDescent="0.25">
      <c r="K559" t="str">
        <f>mapPRC!A554</f>
        <v>RMNNOKEOTH-E</v>
      </c>
      <c r="L559" t="str">
        <f>IFERROR(INDEX($X$7:$X$88,MATCH(mapPRC!D554,$W$7:$W$88,0)),"")</f>
        <v>hhd-me</v>
      </c>
    </row>
    <row r="560" spans="11:12" x14ac:dyDescent="0.25">
      <c r="K560" t="str">
        <f>mapPRC!A555</f>
        <v>RMNWBIWKETBI-E</v>
      </c>
      <c r="L560" t="str">
        <f>IFERROR(INDEX($X$7:$X$88,MATCH(mapPRC!D555,$W$7:$W$88,0)),"")</f>
        <v>hhd-me</v>
      </c>
    </row>
    <row r="561" spans="11:12" x14ac:dyDescent="0.25">
      <c r="K561" t="str">
        <f>mapPRC!A556</f>
        <v>RMNWCOAKETCOA-E</v>
      </c>
      <c r="L561" t="str">
        <f>IFERROR(INDEX($X$7:$X$88,MATCH(mapPRC!D556,$W$7:$W$88,0)),"")</f>
        <v>hhd-me</v>
      </c>
    </row>
    <row r="562" spans="11:12" x14ac:dyDescent="0.25">
      <c r="K562" t="str">
        <f>mapPRC!A557</f>
        <v>RMNWGASGEY-N</v>
      </c>
      <c r="L562" t="str">
        <f>IFERROR(INDEX($X$7:$X$88,MATCH(mapPRC!D557,$W$7:$W$88,0)),"")</f>
        <v>hhd-me</v>
      </c>
    </row>
    <row r="563" spans="11:12" x14ac:dyDescent="0.25">
      <c r="K563" t="str">
        <f>mapPRC!A558</f>
        <v>RMNWOKEKETWI-E</v>
      </c>
      <c r="L563" t="str">
        <f>IFERROR(INDEX($X$7:$X$88,MATCH(mapPRC!D558,$W$7:$W$88,0)),"")</f>
        <v>hhd-me</v>
      </c>
    </row>
    <row r="564" spans="11:12" x14ac:dyDescent="0.25">
      <c r="K564" t="str">
        <f>mapPRC!A559</f>
        <v>RMNWOLPKETLPG-E</v>
      </c>
      <c r="L564" t="str">
        <f>IFERROR(INDEX($X$7:$X$88,MATCH(mapPRC!D559,$W$7:$W$88,0)),"")</f>
        <v>hhd-me</v>
      </c>
    </row>
    <row r="565" spans="11:12" x14ac:dyDescent="0.25">
      <c r="K565" t="str">
        <f>mapPRC!A560</f>
        <v>TADJETOKE-E</v>
      </c>
      <c r="L565" t="str">
        <f>IFERROR(INDEX($X$7:$X$88,MATCH(mapPRC!D560,$W$7:$W$88,0)),"")</f>
        <v/>
      </c>
    </row>
    <row r="566" spans="11:12" x14ac:dyDescent="0.25">
      <c r="K566" t="str">
        <f>mapPRC!A561</f>
        <v>TADJETOKE-N</v>
      </c>
      <c r="L566" t="str">
        <f>IFERROR(INDEX($X$7:$X$88,MATCH(mapPRC!D561,$W$7:$W$88,0)),"")</f>
        <v/>
      </c>
    </row>
    <row r="567" spans="11:12" x14ac:dyDescent="0.25">
      <c r="K567" t="str">
        <f>mapPRC!A562</f>
        <v>TAIJETOKE-E</v>
      </c>
      <c r="L567" t="str">
        <f>IFERROR(INDEX($X$7:$X$88,MATCH(mapPRC!D562,$W$7:$W$88,0)),"")</f>
        <v/>
      </c>
    </row>
    <row r="568" spans="11:12" x14ac:dyDescent="0.25">
      <c r="K568" t="str">
        <f>mapPRC!A563</f>
        <v>TAIJETOKE-N</v>
      </c>
      <c r="L568" t="str">
        <f>IFERROR(INDEX($X$7:$X$88,MATCH(mapPRC!D563,$W$7:$W$88,0)),"")</f>
        <v/>
      </c>
    </row>
    <row r="569" spans="11:12" x14ac:dyDescent="0.25">
      <c r="K569" t="str">
        <f>mapPRC!A564</f>
        <v>TAJETOKE-E</v>
      </c>
      <c r="L569" t="str">
        <f>IFERROR(INDEX($X$7:$X$88,MATCH(mapPRC!D564,$W$7:$W$88,0)),"")</f>
        <v/>
      </c>
    </row>
    <row r="570" spans="11:12" x14ac:dyDescent="0.25">
      <c r="K570" t="str">
        <f>mapPRC!A565</f>
        <v>TAJETOKE-N</v>
      </c>
      <c r="L570" t="str">
        <f>IFERROR(INDEX($X$7:$X$88,MATCH(mapPRC!D565,$W$7:$W$88,0)),"")</f>
        <v/>
      </c>
    </row>
    <row r="571" spans="11:12" x14ac:dyDescent="0.25">
      <c r="K571" t="str">
        <f>mapPRC!A566</f>
        <v>TAOAGOAG-E</v>
      </c>
      <c r="L571" t="str">
        <f>IFERROR(INDEX($X$7:$X$88,MATCH(mapPRC!D566,$W$7:$W$88,0)),"")</f>
        <v/>
      </c>
    </row>
    <row r="572" spans="11:12" x14ac:dyDescent="0.25">
      <c r="K572" t="str">
        <f>mapPRC!A567</f>
        <v>TAOAGOAG-N</v>
      </c>
      <c r="L572" t="str">
        <f>IFERROR(INDEX($X$7:$X$88,MATCH(mapPRC!D567,$W$7:$W$88,0)),"")</f>
        <v/>
      </c>
    </row>
    <row r="573" spans="11:12" x14ac:dyDescent="0.25">
      <c r="K573" t="str">
        <f>mapPRC!A568</f>
        <v>TFHCV1ELC-N</v>
      </c>
      <c r="L573" t="str">
        <f>IFERROR(INDEX($X$7:$X$88,MATCH(mapPRC!D568,$W$7:$W$88,0)),"")</f>
        <v>tranlf</v>
      </c>
    </row>
    <row r="574" spans="11:12" x14ac:dyDescent="0.25">
      <c r="K574" t="str">
        <f>mapPRC!A569</f>
        <v>TFHCV1GAS-N</v>
      </c>
      <c r="L574" t="str">
        <f>IFERROR(INDEX($X$7:$X$88,MATCH(mapPRC!D569,$W$7:$W$88,0)),"")</f>
        <v>tranlf</v>
      </c>
    </row>
    <row r="575" spans="11:12" x14ac:dyDescent="0.25">
      <c r="K575" t="str">
        <f>mapPRC!A570</f>
        <v>TFHCV1ODS-E</v>
      </c>
      <c r="L575" t="str">
        <f>IFERROR(INDEX($X$7:$X$88,MATCH(mapPRC!D570,$W$7:$W$88,0)),"")</f>
        <v>tranlf</v>
      </c>
    </row>
    <row r="576" spans="11:12" x14ac:dyDescent="0.25">
      <c r="K576" t="str">
        <f>mapPRC!A571</f>
        <v>TFHCV1ODS-N</v>
      </c>
      <c r="L576" t="str">
        <f>IFERROR(INDEX($X$7:$X$88,MATCH(mapPRC!D571,$W$7:$W$88,0)),"")</f>
        <v>tranlf</v>
      </c>
    </row>
    <row r="577" spans="11:12" x14ac:dyDescent="0.25">
      <c r="K577" t="str">
        <f>mapPRC!A572</f>
        <v>TFHCV1OGS-E</v>
      </c>
      <c r="L577" t="str">
        <f>IFERROR(INDEX($X$7:$X$88,MATCH(mapPRC!D572,$W$7:$W$88,0)),"")</f>
        <v>tranlf</v>
      </c>
    </row>
    <row r="578" spans="11:12" x14ac:dyDescent="0.25">
      <c r="K578" t="str">
        <f>mapPRC!A573</f>
        <v>TFHCV1OGS-N</v>
      </c>
      <c r="L578" t="str">
        <f>IFERROR(INDEX($X$7:$X$88,MATCH(mapPRC!D573,$W$7:$W$88,0)),"")</f>
        <v>tranlf</v>
      </c>
    </row>
    <row r="579" spans="11:12" x14ac:dyDescent="0.25">
      <c r="K579" t="str">
        <f>mapPRC!A574</f>
        <v>TFHCV2ELC-N</v>
      </c>
      <c r="L579" t="str">
        <f>IFERROR(INDEX($X$7:$X$88,MATCH(mapPRC!D574,$W$7:$W$88,0)),"")</f>
        <v>tranlf</v>
      </c>
    </row>
    <row r="580" spans="11:12" x14ac:dyDescent="0.25">
      <c r="K580" t="str">
        <f>mapPRC!A575</f>
        <v>TFHCV2GAS-N</v>
      </c>
      <c r="L580" t="str">
        <f>IFERROR(INDEX($X$7:$X$88,MATCH(mapPRC!D575,$W$7:$W$88,0)),"")</f>
        <v>tranlf</v>
      </c>
    </row>
    <row r="581" spans="11:12" x14ac:dyDescent="0.25">
      <c r="K581" t="str">
        <f>mapPRC!A576</f>
        <v>TFHCV2HGN-N</v>
      </c>
      <c r="L581" t="str">
        <f>IFERROR(INDEX($X$7:$X$88,MATCH(mapPRC!D576,$W$7:$W$88,0)),"")</f>
        <v>tranlf</v>
      </c>
    </row>
    <row r="582" spans="11:12" x14ac:dyDescent="0.25">
      <c r="K582" t="str">
        <f>mapPRC!A577</f>
        <v>TFHCV2ODS-E</v>
      </c>
      <c r="L582" t="str">
        <f>IFERROR(INDEX($X$7:$X$88,MATCH(mapPRC!D577,$W$7:$W$88,0)),"")</f>
        <v>tranlf</v>
      </c>
    </row>
    <row r="583" spans="11:12" x14ac:dyDescent="0.25">
      <c r="K583" t="str">
        <f>mapPRC!A578</f>
        <v>TFHCV2ODS-N</v>
      </c>
      <c r="L583" t="str">
        <f>IFERROR(INDEX($X$7:$X$88,MATCH(mapPRC!D578,$W$7:$W$88,0)),"")</f>
        <v>tranlf</v>
      </c>
    </row>
    <row r="584" spans="11:12" x14ac:dyDescent="0.25">
      <c r="K584" t="str">
        <f>mapPRC!A579</f>
        <v>TFHCV3ELC-N</v>
      </c>
      <c r="L584" t="str">
        <f>IFERROR(INDEX($X$7:$X$88,MATCH(mapPRC!D579,$W$7:$W$88,0)),"")</f>
        <v>tranlf</v>
      </c>
    </row>
    <row r="585" spans="11:12" x14ac:dyDescent="0.25">
      <c r="K585" t="str">
        <f>mapPRC!A580</f>
        <v>TFHCV3GAS-N</v>
      </c>
      <c r="L585" t="str">
        <f>IFERROR(INDEX($X$7:$X$88,MATCH(mapPRC!D580,$W$7:$W$88,0)),"")</f>
        <v>tranlf</v>
      </c>
    </row>
    <row r="586" spans="11:12" x14ac:dyDescent="0.25">
      <c r="K586" t="str">
        <f>mapPRC!A581</f>
        <v>TFHCV3HGN-N</v>
      </c>
      <c r="L586" t="str">
        <f>IFERROR(INDEX($X$7:$X$88,MATCH(mapPRC!D581,$W$7:$W$88,0)),"")</f>
        <v>tranlf</v>
      </c>
    </row>
    <row r="587" spans="11:12" x14ac:dyDescent="0.25">
      <c r="K587" t="str">
        <f>mapPRC!A582</f>
        <v>TFHCV3ODS-E</v>
      </c>
      <c r="L587" t="str">
        <f>IFERROR(INDEX($X$7:$X$88,MATCH(mapPRC!D582,$W$7:$W$88,0)),"")</f>
        <v>tranlf</v>
      </c>
    </row>
    <row r="588" spans="11:12" x14ac:dyDescent="0.25">
      <c r="K588" t="str">
        <f>mapPRC!A583</f>
        <v>TFHCV3ODS-N</v>
      </c>
      <c r="L588" t="str">
        <f>IFERROR(INDEX($X$7:$X$88,MATCH(mapPRC!D583,$W$7:$W$88,0)),"")</f>
        <v>tranlf</v>
      </c>
    </row>
    <row r="589" spans="11:12" x14ac:dyDescent="0.25">
      <c r="K589" t="str">
        <f>mapPRC!A584</f>
        <v>TFHCV4GAS-N</v>
      </c>
      <c r="L589" t="str">
        <f>IFERROR(INDEX($X$7:$X$88,MATCH(mapPRC!D584,$W$7:$W$88,0)),"")</f>
        <v>tranlf</v>
      </c>
    </row>
    <row r="590" spans="11:12" x14ac:dyDescent="0.25">
      <c r="K590" t="str">
        <f>mapPRC!A585</f>
        <v>TFHCV4HGN-N</v>
      </c>
      <c r="L590" t="str">
        <f>IFERROR(INDEX($X$7:$X$88,MATCH(mapPRC!D585,$W$7:$W$88,0)),"")</f>
        <v>tranlf</v>
      </c>
    </row>
    <row r="591" spans="11:12" x14ac:dyDescent="0.25">
      <c r="K591" t="str">
        <f>mapPRC!A586</f>
        <v>TFHCV4ODS-E</v>
      </c>
      <c r="L591" t="str">
        <f>IFERROR(INDEX($X$7:$X$88,MATCH(mapPRC!D586,$W$7:$W$88,0)),"")</f>
        <v>tranlf</v>
      </c>
    </row>
    <row r="592" spans="11:12" x14ac:dyDescent="0.25">
      <c r="K592" t="str">
        <f>mapPRC!A587</f>
        <v>TFHCV4ODS-N</v>
      </c>
      <c r="L592" t="str">
        <f>IFERROR(INDEX($X$7:$X$88,MATCH(mapPRC!D587,$W$7:$W$88,0)),"")</f>
        <v>tranlf</v>
      </c>
    </row>
    <row r="593" spans="11:12" x14ac:dyDescent="0.25">
      <c r="K593" t="str">
        <f>mapPRC!A588</f>
        <v>TFHCV5GAS-N</v>
      </c>
      <c r="L593" t="str">
        <f>IFERROR(INDEX($X$7:$X$88,MATCH(mapPRC!D588,$W$7:$W$88,0)),"")</f>
        <v>tranlf</v>
      </c>
    </row>
    <row r="594" spans="11:12" x14ac:dyDescent="0.25">
      <c r="K594" t="str">
        <f>mapPRC!A589</f>
        <v>TFHCV5HGN-N</v>
      </c>
      <c r="L594" t="str">
        <f>IFERROR(INDEX($X$7:$X$88,MATCH(mapPRC!D589,$W$7:$W$88,0)),"")</f>
        <v>tranlf</v>
      </c>
    </row>
    <row r="595" spans="11:12" x14ac:dyDescent="0.25">
      <c r="K595" t="str">
        <f>mapPRC!A590</f>
        <v>TFHCV5ODS-E</v>
      </c>
      <c r="L595" t="str">
        <f>IFERROR(INDEX($X$7:$X$88,MATCH(mapPRC!D590,$W$7:$W$88,0)),"")</f>
        <v>tranlf</v>
      </c>
    </row>
    <row r="596" spans="11:12" x14ac:dyDescent="0.25">
      <c r="K596" t="str">
        <f>mapPRC!A591</f>
        <v>TFHCV5ODS-N</v>
      </c>
      <c r="L596" t="str">
        <f>IFERROR(INDEX($X$7:$X$88,MATCH(mapPRC!D591,$W$7:$W$88,0)),"")</f>
        <v>tranlf</v>
      </c>
    </row>
    <row r="597" spans="11:12" x14ac:dyDescent="0.25">
      <c r="K597" t="str">
        <f>mapPRC!A592</f>
        <v>TFHCV6GAS-N</v>
      </c>
      <c r="L597" t="str">
        <f>IFERROR(INDEX($X$7:$X$88,MATCH(mapPRC!D592,$W$7:$W$88,0)),"")</f>
        <v>tranlf</v>
      </c>
    </row>
    <row r="598" spans="11:12" x14ac:dyDescent="0.25">
      <c r="K598" t="str">
        <f>mapPRC!A593</f>
        <v>TFHCV6HGN-N</v>
      </c>
      <c r="L598" t="str">
        <f>IFERROR(INDEX($X$7:$X$88,MATCH(mapPRC!D593,$W$7:$W$88,0)),"")</f>
        <v>tranlf</v>
      </c>
    </row>
    <row r="599" spans="11:12" x14ac:dyDescent="0.25">
      <c r="K599" t="str">
        <f>mapPRC!A594</f>
        <v>TFHCV6ODS-E</v>
      </c>
      <c r="L599" t="str">
        <f>IFERROR(INDEX($X$7:$X$88,MATCH(mapPRC!D594,$W$7:$W$88,0)),"")</f>
        <v>tranlf</v>
      </c>
    </row>
    <row r="600" spans="11:12" x14ac:dyDescent="0.25">
      <c r="K600" t="str">
        <f>mapPRC!A595</f>
        <v>TFHCV6ODS-N</v>
      </c>
      <c r="L600" t="str">
        <f>IFERROR(INDEX($X$7:$X$88,MATCH(mapPRC!D595,$W$7:$W$88,0)),"")</f>
        <v>tranlf</v>
      </c>
    </row>
    <row r="601" spans="11:12" x14ac:dyDescent="0.25">
      <c r="K601" t="str">
        <f>mapPRC!A596</f>
        <v>TFHCV7GAS-N</v>
      </c>
      <c r="L601" t="str">
        <f>IFERROR(INDEX($X$7:$X$88,MATCH(mapPRC!D596,$W$7:$W$88,0)),"")</f>
        <v>tranlf</v>
      </c>
    </row>
    <row r="602" spans="11:12" x14ac:dyDescent="0.25">
      <c r="K602" t="str">
        <f>mapPRC!A597</f>
        <v>TFHCV7HGN-N</v>
      </c>
      <c r="L602" t="str">
        <f>IFERROR(INDEX($X$7:$X$88,MATCH(mapPRC!D597,$W$7:$W$88,0)),"")</f>
        <v>tranlf</v>
      </c>
    </row>
    <row r="603" spans="11:12" x14ac:dyDescent="0.25">
      <c r="K603" t="str">
        <f>mapPRC!A598</f>
        <v>TFHCV7ODS-E</v>
      </c>
      <c r="L603" t="str">
        <f>IFERROR(INDEX($X$7:$X$88,MATCH(mapPRC!D598,$W$7:$W$88,0)),"")</f>
        <v>tranlf</v>
      </c>
    </row>
    <row r="604" spans="11:12" x14ac:dyDescent="0.25">
      <c r="K604" t="str">
        <f>mapPRC!A599</f>
        <v>TFHCV7ODS-N</v>
      </c>
      <c r="L604" t="str">
        <f>IFERROR(INDEX($X$7:$X$88,MATCH(mapPRC!D599,$W$7:$W$88,0)),"")</f>
        <v>tranlf</v>
      </c>
    </row>
    <row r="605" spans="11:12" x14ac:dyDescent="0.25">
      <c r="K605" t="str">
        <f>mapPRC!A600</f>
        <v>TFHCV8GAS-N</v>
      </c>
      <c r="L605" t="str">
        <f>IFERROR(INDEX($X$7:$X$88,MATCH(mapPRC!D600,$W$7:$W$88,0)),"")</f>
        <v>tranlf</v>
      </c>
    </row>
    <row r="606" spans="11:12" x14ac:dyDescent="0.25">
      <c r="K606" t="str">
        <f>mapPRC!A601</f>
        <v>TFHCV8HGN-N</v>
      </c>
      <c r="L606" t="str">
        <f>IFERROR(INDEX($X$7:$X$88,MATCH(mapPRC!D601,$W$7:$W$88,0)),"")</f>
        <v>tranlf</v>
      </c>
    </row>
    <row r="607" spans="11:12" x14ac:dyDescent="0.25">
      <c r="K607" t="str">
        <f>mapPRC!A602</f>
        <v>TFHCV8ODS-E</v>
      </c>
      <c r="L607" t="str">
        <f>IFERROR(INDEX($X$7:$X$88,MATCH(mapPRC!D602,$W$7:$W$88,0)),"")</f>
        <v>tranlf</v>
      </c>
    </row>
    <row r="608" spans="11:12" x14ac:dyDescent="0.25">
      <c r="K608" t="str">
        <f>mapPRC!A603</f>
        <v>TFHCV8ODS-N</v>
      </c>
      <c r="L608" t="str">
        <f>IFERROR(INDEX($X$7:$X$88,MATCH(mapPRC!D603,$W$7:$W$88,0)),"")</f>
        <v>tranlf</v>
      </c>
    </row>
    <row r="609" spans="11:12" x14ac:dyDescent="0.25">
      <c r="K609" t="str">
        <f>mapPRC!A604</f>
        <v>TFHCV9GAS-N</v>
      </c>
      <c r="L609" t="str">
        <f>IFERROR(INDEX($X$7:$X$88,MATCH(mapPRC!D604,$W$7:$W$88,0)),"")</f>
        <v>tranlf</v>
      </c>
    </row>
    <row r="610" spans="11:12" x14ac:dyDescent="0.25">
      <c r="K610" t="str">
        <f>mapPRC!A605</f>
        <v>TFHCV9HGN-N</v>
      </c>
      <c r="L610" t="str">
        <f>IFERROR(INDEX($X$7:$X$88,MATCH(mapPRC!D605,$W$7:$W$88,0)),"")</f>
        <v>tranlf</v>
      </c>
    </row>
    <row r="611" spans="11:12" x14ac:dyDescent="0.25">
      <c r="K611" t="str">
        <f>mapPRC!A606</f>
        <v>TFHCV9ODS-E</v>
      </c>
      <c r="L611" t="str">
        <f>IFERROR(INDEX($X$7:$X$88,MATCH(mapPRC!D606,$W$7:$W$88,0)),"")</f>
        <v>tranlf</v>
      </c>
    </row>
    <row r="612" spans="11:12" x14ac:dyDescent="0.25">
      <c r="K612" t="str">
        <f>mapPRC!A607</f>
        <v>TFHCV9ODS-N</v>
      </c>
      <c r="L612" t="str">
        <f>IFERROR(INDEX($X$7:$X$88,MATCH(mapPRC!D607,$W$7:$W$88,0)),"")</f>
        <v>tranlf</v>
      </c>
    </row>
    <row r="613" spans="11:12" x14ac:dyDescent="0.25">
      <c r="K613" t="str">
        <f>mapPRC!A608</f>
        <v>TFLCVELC-N</v>
      </c>
      <c r="L613" t="str">
        <f>IFERROR(INDEX($X$7:$X$88,MATCH(mapPRC!D608,$W$7:$W$88,0)),"")</f>
        <v>tranlf</v>
      </c>
    </row>
    <row r="614" spans="11:12" x14ac:dyDescent="0.25">
      <c r="K614" t="str">
        <f>mapPRC!A609</f>
        <v>TFLCVGAS-N</v>
      </c>
      <c r="L614" t="str">
        <f>IFERROR(INDEX($X$7:$X$88,MATCH(mapPRC!D609,$W$7:$W$88,0)),"")</f>
        <v>tranlf</v>
      </c>
    </row>
    <row r="615" spans="11:12" x14ac:dyDescent="0.25">
      <c r="K615" t="str">
        <f>mapPRC!A610</f>
        <v>TFLCVODS-E</v>
      </c>
      <c r="L615" t="str">
        <f>IFERROR(INDEX($X$7:$X$88,MATCH(mapPRC!D610,$W$7:$W$88,0)),"")</f>
        <v>tranlf</v>
      </c>
    </row>
    <row r="616" spans="11:12" x14ac:dyDescent="0.25">
      <c r="K616" t="str">
        <f>mapPRC!A611</f>
        <v>TFLCVODSH-N</v>
      </c>
      <c r="L616" t="str">
        <f>IFERROR(INDEX($X$7:$X$88,MATCH(mapPRC!D611,$W$7:$W$88,0)),"")</f>
        <v>tranlf</v>
      </c>
    </row>
    <row r="617" spans="11:12" x14ac:dyDescent="0.25">
      <c r="K617" t="str">
        <f>mapPRC!A612</f>
        <v>TFLCVODS-N</v>
      </c>
      <c r="L617" t="str">
        <f>IFERROR(INDEX($X$7:$X$88,MATCH(mapPRC!D612,$W$7:$W$88,0)),"")</f>
        <v>tranlf</v>
      </c>
    </row>
    <row r="618" spans="11:12" x14ac:dyDescent="0.25">
      <c r="K618" t="str">
        <f>mapPRC!A613</f>
        <v>TFLCVOGS-E</v>
      </c>
      <c r="L618" t="str">
        <f>IFERROR(INDEX($X$7:$X$88,MATCH(mapPRC!D613,$W$7:$W$88,0)),"")</f>
        <v>tranlf</v>
      </c>
    </row>
    <row r="619" spans="11:12" x14ac:dyDescent="0.25">
      <c r="K619" t="str">
        <f>mapPRC!A614</f>
        <v>TFLCVOGSH-N</v>
      </c>
      <c r="L619" t="str">
        <f>IFERROR(INDEX($X$7:$X$88,MATCH(mapPRC!D614,$W$7:$W$88,0)),"")</f>
        <v>tranlf</v>
      </c>
    </row>
    <row r="620" spans="11:12" x14ac:dyDescent="0.25">
      <c r="K620" t="str">
        <f>mapPRC!A615</f>
        <v>TFLCVOGS-N</v>
      </c>
      <c r="L620" t="str">
        <f>IFERROR(INDEX($X$7:$X$88,MATCH(mapPRC!D615,$W$7:$W$88,0)),"")</f>
        <v>tranlf</v>
      </c>
    </row>
    <row r="621" spans="11:12" x14ac:dyDescent="0.25">
      <c r="K621" t="str">
        <f>mapPRC!A616</f>
        <v>TFPIPELC-E</v>
      </c>
      <c r="L621" t="str">
        <f>IFERROR(INDEX($X$7:$X$88,MATCH(mapPRC!D616,$W$7:$W$88,0)),"")</f>
        <v>trano</v>
      </c>
    </row>
    <row r="622" spans="11:12" x14ac:dyDescent="0.25">
      <c r="K622" t="str">
        <f>mapPRC!A617</f>
        <v>TFPIPELC-N</v>
      </c>
      <c r="L622" t="str">
        <f>IFERROR(INDEX($X$7:$X$88,MATCH(mapPRC!D617,$W$7:$W$88,0)),"")</f>
        <v>trano</v>
      </c>
    </row>
    <row r="623" spans="11:12" x14ac:dyDescent="0.25">
      <c r="K623" t="str">
        <f>mapPRC!A618</f>
        <v>TFRCOELC-E</v>
      </c>
      <c r="L623" t="str">
        <f>IFERROR(INDEX($X$7:$X$88,MATCH(mapPRC!D618,$W$7:$W$88,0)),"")</f>
        <v>tranlf</v>
      </c>
    </row>
    <row r="624" spans="11:12" x14ac:dyDescent="0.25">
      <c r="K624" t="str">
        <f>mapPRC!A619</f>
        <v>TFRCOELC-N</v>
      </c>
      <c r="L624" t="str">
        <f>IFERROR(INDEX($X$7:$X$88,MATCH(mapPRC!D619,$W$7:$W$88,0)),"")</f>
        <v>tranlf</v>
      </c>
    </row>
    <row r="625" spans="11:12" x14ac:dyDescent="0.25">
      <c r="K625" t="str">
        <f>mapPRC!A620</f>
        <v>TFRCOGAS-N</v>
      </c>
      <c r="L625" t="str">
        <f>IFERROR(INDEX($X$7:$X$88,MATCH(mapPRC!D620,$W$7:$W$88,0)),"")</f>
        <v>tranlf</v>
      </c>
    </row>
    <row r="626" spans="11:12" x14ac:dyDescent="0.25">
      <c r="K626" t="str">
        <f>mapPRC!A621</f>
        <v>TFRCOODS-E</v>
      </c>
      <c r="L626" t="str">
        <f>IFERROR(INDEX($X$7:$X$88,MATCH(mapPRC!D621,$W$7:$W$88,0)),"")</f>
        <v>tranlf</v>
      </c>
    </row>
    <row r="627" spans="11:12" x14ac:dyDescent="0.25">
      <c r="K627" t="str">
        <f>mapPRC!A622</f>
        <v>TFREXELC-N</v>
      </c>
      <c r="L627" t="str">
        <f>IFERROR(INDEX($X$7:$X$88,MATCH(mapPRC!D622,$W$7:$W$88,0)),"")</f>
        <v>tranlf</v>
      </c>
    </row>
    <row r="628" spans="11:12" x14ac:dyDescent="0.25">
      <c r="K628" t="str">
        <f>mapPRC!A623</f>
        <v>TFREXELCR-E</v>
      </c>
      <c r="L628" t="str">
        <f>IFERROR(INDEX($X$7:$X$88,MATCH(mapPRC!D623,$W$7:$W$88,0)),"")</f>
        <v>tranlf</v>
      </c>
    </row>
    <row r="629" spans="11:12" x14ac:dyDescent="0.25">
      <c r="K629" t="str">
        <f>mapPRC!A624</f>
        <v>TFREXODSR-E</v>
      </c>
      <c r="L629" t="str">
        <f>IFERROR(INDEX($X$7:$X$88,MATCH(mapPRC!D624,$W$7:$W$88,0)),"")</f>
        <v>tranlf</v>
      </c>
    </row>
    <row r="630" spans="11:12" x14ac:dyDescent="0.25">
      <c r="K630" t="str">
        <f>mapPRC!A625</f>
        <v>TFROTELC-E</v>
      </c>
      <c r="L630" t="str">
        <f>IFERROR(INDEX($X$7:$X$88,MATCH(mapPRC!D625,$W$7:$W$88,0)),"")</f>
        <v>tranlf</v>
      </c>
    </row>
    <row r="631" spans="11:12" x14ac:dyDescent="0.25">
      <c r="K631" t="str">
        <f>mapPRC!A626</f>
        <v>TFROTELC-N</v>
      </c>
      <c r="L631" t="str">
        <f>IFERROR(INDEX($X$7:$X$88,MATCH(mapPRC!D626,$W$7:$W$88,0)),"")</f>
        <v>tranlf</v>
      </c>
    </row>
    <row r="632" spans="11:12" x14ac:dyDescent="0.25">
      <c r="K632" t="str">
        <f>mapPRC!A627</f>
        <v>TFROTODS-E</v>
      </c>
      <c r="L632" t="str">
        <f>IFERROR(INDEX($X$7:$X$88,MATCH(mapPRC!D627,$W$7:$W$88,0)),"")</f>
        <v>tranlf</v>
      </c>
    </row>
    <row r="633" spans="11:12" x14ac:dyDescent="0.25">
      <c r="K633" t="str">
        <f>mapPRC!A628</f>
        <v>TPPRCARBGS-N</v>
      </c>
      <c r="L633" t="str">
        <f>IFERROR(INDEX($X$7:$X$88,MATCH(mapPRC!D628,$W$7:$W$88,0)),"")</f>
        <v>tppr</v>
      </c>
    </row>
    <row r="634" spans="11:12" x14ac:dyDescent="0.25">
      <c r="K634" t="str">
        <f>mapPRC!A629</f>
        <v>TPPRCARELC-N</v>
      </c>
      <c r="L634" t="str">
        <f>IFERROR(INDEX($X$7:$X$88,MATCH(mapPRC!D629,$W$7:$W$88,0)),"")</f>
        <v>tppr</v>
      </c>
    </row>
    <row r="635" spans="11:12" x14ac:dyDescent="0.25">
      <c r="K635" t="str">
        <f>mapPRC!A630</f>
        <v>TPPRCARGAS-N</v>
      </c>
      <c r="L635" t="str">
        <f>IFERROR(INDEX($X$7:$X$88,MATCH(mapPRC!D630,$W$7:$W$88,0)),"")</f>
        <v>tppr</v>
      </c>
    </row>
    <row r="636" spans="11:12" x14ac:dyDescent="0.25">
      <c r="K636" t="str">
        <f>mapPRC!A631</f>
        <v>TPPRCARHGNF-N</v>
      </c>
      <c r="L636" t="str">
        <f>IFERROR(INDEX($X$7:$X$88,MATCH(mapPRC!D631,$W$7:$W$88,0)),"")</f>
        <v>tppr</v>
      </c>
    </row>
    <row r="637" spans="11:12" x14ac:dyDescent="0.25">
      <c r="K637" t="str">
        <f>mapPRC!A632</f>
        <v>TPPRCARODS-E</v>
      </c>
      <c r="L637" t="str">
        <f>IFERROR(INDEX($X$7:$X$88,MATCH(mapPRC!D632,$W$7:$W$88,0)),"")</f>
        <v>tppr</v>
      </c>
    </row>
    <row r="638" spans="11:12" x14ac:dyDescent="0.25">
      <c r="K638" t="str">
        <f>mapPRC!A633</f>
        <v>TPPRCARODSH-N</v>
      </c>
      <c r="L638" t="str">
        <f>IFERROR(INDEX($X$7:$X$88,MATCH(mapPRC!D633,$W$7:$W$88,0)),"")</f>
        <v>tppr</v>
      </c>
    </row>
    <row r="639" spans="11:12" x14ac:dyDescent="0.25">
      <c r="K639" t="str">
        <f>mapPRC!A634</f>
        <v>TPPRCARODS-N</v>
      </c>
      <c r="L639" t="str">
        <f>IFERROR(INDEX($X$7:$X$88,MATCH(mapPRC!D634,$W$7:$W$88,0)),"")</f>
        <v>tppr</v>
      </c>
    </row>
    <row r="640" spans="11:12" x14ac:dyDescent="0.25">
      <c r="K640" t="str">
        <f>mapPRC!A635</f>
        <v>TPPRCAROGS-E</v>
      </c>
      <c r="L640" t="str">
        <f>IFERROR(INDEX($X$7:$X$88,MATCH(mapPRC!D635,$W$7:$W$88,0)),"")</f>
        <v>tppr</v>
      </c>
    </row>
    <row r="641" spans="11:12" x14ac:dyDescent="0.25">
      <c r="K641" t="str">
        <f>mapPRC!A636</f>
        <v>TPPRCAROGSH-E</v>
      </c>
      <c r="L641" t="str">
        <f>IFERROR(INDEX($X$7:$X$88,MATCH(mapPRC!D636,$W$7:$W$88,0)),"")</f>
        <v>tppr</v>
      </c>
    </row>
    <row r="642" spans="11:12" x14ac:dyDescent="0.25">
      <c r="K642" t="str">
        <f>mapPRC!A637</f>
        <v>TPPRCAROGSH-N</v>
      </c>
      <c r="L642" t="str">
        <f>IFERROR(INDEX($X$7:$X$88,MATCH(mapPRC!D637,$W$7:$W$88,0)),"")</f>
        <v>tppr</v>
      </c>
    </row>
    <row r="643" spans="11:12" x14ac:dyDescent="0.25">
      <c r="K643" t="str">
        <f>mapPRC!A638</f>
        <v>TPPRCAROGS-N</v>
      </c>
      <c r="L643" t="str">
        <f>IFERROR(INDEX($X$7:$X$88,MATCH(mapPRC!D638,$W$7:$W$88,0)),"")</f>
        <v>tppr</v>
      </c>
    </row>
    <row r="644" spans="11:12" x14ac:dyDescent="0.25">
      <c r="K644" t="str">
        <f>mapPRC!A639</f>
        <v>TPPRMOTELC-N</v>
      </c>
      <c r="L644" t="str">
        <f>IFERROR(INDEX($X$7:$X$88,MATCH(mapPRC!D639,$W$7:$W$88,0)),"")</f>
        <v>tppr</v>
      </c>
    </row>
    <row r="645" spans="11:12" x14ac:dyDescent="0.25">
      <c r="K645" t="str">
        <f>mapPRC!A640</f>
        <v>TPPRMOTOGS-E</v>
      </c>
      <c r="L645" t="str">
        <f>IFERROR(INDEX($X$7:$X$88,MATCH(mapPRC!D640,$W$7:$W$88,0)),"")</f>
        <v>tppr</v>
      </c>
    </row>
    <row r="646" spans="11:12" x14ac:dyDescent="0.25">
      <c r="K646" t="str">
        <f>mapPRC!A641</f>
        <v>TPPRMOTOGS-N</v>
      </c>
      <c r="L646" t="str">
        <f>IFERROR(INDEX($X$7:$X$88,MATCH(mapPRC!D641,$W$7:$W$88,0)),"")</f>
        <v>tppr</v>
      </c>
    </row>
    <row r="647" spans="11:12" x14ac:dyDescent="0.25">
      <c r="K647" t="str">
        <f>mapPRC!A642</f>
        <v>TPPRSUVBGS-N</v>
      </c>
      <c r="L647" t="str">
        <f>IFERROR(INDEX($X$7:$X$88,MATCH(mapPRC!D642,$W$7:$W$88,0)),"")</f>
        <v>tppr</v>
      </c>
    </row>
    <row r="648" spans="11:12" x14ac:dyDescent="0.25">
      <c r="K648" t="str">
        <f>mapPRC!A643</f>
        <v>TPPRSUVELC-E</v>
      </c>
      <c r="L648" t="str">
        <f>IFERROR(INDEX($X$7:$X$88,MATCH(mapPRC!D643,$W$7:$W$88,0)),"")</f>
        <v>tppr</v>
      </c>
    </row>
    <row r="649" spans="11:12" x14ac:dyDescent="0.25">
      <c r="K649" t="str">
        <f>mapPRC!A644</f>
        <v>TPPRSUVELC-N</v>
      </c>
      <c r="L649" t="str">
        <f>IFERROR(INDEX($X$7:$X$88,MATCH(mapPRC!D644,$W$7:$W$88,0)),"")</f>
        <v>tppr</v>
      </c>
    </row>
    <row r="650" spans="11:12" x14ac:dyDescent="0.25">
      <c r="K650" t="str">
        <f>mapPRC!A645</f>
        <v>TPPRSUVGAS-N</v>
      </c>
      <c r="L650" t="str">
        <f>IFERROR(INDEX($X$7:$X$88,MATCH(mapPRC!D645,$W$7:$W$88,0)),"")</f>
        <v>tppr</v>
      </c>
    </row>
    <row r="651" spans="11:12" x14ac:dyDescent="0.25">
      <c r="K651" t="str">
        <f>mapPRC!A646</f>
        <v>TPPRSUVHGNF-N</v>
      </c>
      <c r="L651" t="str">
        <f>IFERROR(INDEX($X$7:$X$88,MATCH(mapPRC!D646,$W$7:$W$88,0)),"")</f>
        <v>tppr</v>
      </c>
    </row>
    <row r="652" spans="11:12" x14ac:dyDescent="0.25">
      <c r="K652" t="str">
        <f>mapPRC!A647</f>
        <v>TPPRSUVODS-E</v>
      </c>
      <c r="L652" t="str">
        <f>IFERROR(INDEX($X$7:$X$88,MATCH(mapPRC!D647,$W$7:$W$88,0)),"")</f>
        <v>tppr</v>
      </c>
    </row>
    <row r="653" spans="11:12" x14ac:dyDescent="0.25">
      <c r="K653" t="str">
        <f>mapPRC!A648</f>
        <v>TPPRSUVODSH-N</v>
      </c>
      <c r="L653" t="str">
        <f>IFERROR(INDEX($X$7:$X$88,MATCH(mapPRC!D648,$W$7:$W$88,0)),"")</f>
        <v>tppr</v>
      </c>
    </row>
    <row r="654" spans="11:12" x14ac:dyDescent="0.25">
      <c r="K654" t="str">
        <f>mapPRC!A649</f>
        <v>TPPRSUVODS-N</v>
      </c>
      <c r="L654" t="str">
        <f>IFERROR(INDEX($X$7:$X$88,MATCH(mapPRC!D649,$W$7:$W$88,0)),"")</f>
        <v>tppr</v>
      </c>
    </row>
    <row r="655" spans="11:12" x14ac:dyDescent="0.25">
      <c r="K655" t="str">
        <f>mapPRC!A650</f>
        <v>TPPRSUVOGS-E</v>
      </c>
      <c r="L655" t="str">
        <f>IFERROR(INDEX($X$7:$X$88,MATCH(mapPRC!D650,$W$7:$W$88,0)),"")</f>
        <v>tppr</v>
      </c>
    </row>
    <row r="656" spans="11:12" x14ac:dyDescent="0.25">
      <c r="K656" t="str">
        <f>mapPRC!A651</f>
        <v>TPPRSUVOGSH-E</v>
      </c>
      <c r="L656" t="str">
        <f>IFERROR(INDEX($X$7:$X$88,MATCH(mapPRC!D651,$W$7:$W$88,0)),"")</f>
        <v>tppr</v>
      </c>
    </row>
    <row r="657" spans="11:12" x14ac:dyDescent="0.25">
      <c r="K657" t="str">
        <f>mapPRC!A652</f>
        <v>TPPRSUVOGSH-N</v>
      </c>
      <c r="L657" t="str">
        <f>IFERROR(INDEX($X$7:$X$88,MATCH(mapPRC!D652,$W$7:$W$88,0)),"")</f>
        <v>tppr</v>
      </c>
    </row>
    <row r="658" spans="11:12" x14ac:dyDescent="0.25">
      <c r="K658" t="str">
        <f>mapPRC!A653</f>
        <v>TPPRSUVOGS-N</v>
      </c>
      <c r="L658" t="str">
        <f>IFERROR(INDEX($X$7:$X$88,MATCH(mapPRC!D653,$W$7:$W$88,0)),"")</f>
        <v>tppr</v>
      </c>
    </row>
    <row r="659" spans="11:12" x14ac:dyDescent="0.25">
      <c r="K659" t="str">
        <f>mapPRC!A654</f>
        <v>TPPUBRTBGS-N</v>
      </c>
      <c r="L659" t="str">
        <f>IFERROR(INDEX($X$7:$X$88,MATCH(mapPRC!D654,$W$7:$W$88,0)),"")</f>
        <v>tranlp</v>
      </c>
    </row>
    <row r="660" spans="11:12" x14ac:dyDescent="0.25">
      <c r="K660" t="str">
        <f>mapPRC!A655</f>
        <v>TPPUBRTELC-N</v>
      </c>
      <c r="L660" t="str">
        <f>IFERROR(INDEX($X$7:$X$88,MATCH(mapPRC!D655,$W$7:$W$88,0)),"")</f>
        <v>tranlp</v>
      </c>
    </row>
    <row r="661" spans="11:12" x14ac:dyDescent="0.25">
      <c r="K661" t="str">
        <f>mapPRC!A656</f>
        <v>TPPUBRTGAS-N</v>
      </c>
      <c r="L661" t="str">
        <f>IFERROR(INDEX($X$7:$X$88,MATCH(mapPRC!D656,$W$7:$W$88,0)),"")</f>
        <v>tranlp</v>
      </c>
    </row>
    <row r="662" spans="11:12" x14ac:dyDescent="0.25">
      <c r="K662" t="str">
        <f>mapPRC!A657</f>
        <v>TPPUBRTHGNF-N</v>
      </c>
      <c r="L662" t="str">
        <f>IFERROR(INDEX($X$7:$X$88,MATCH(mapPRC!D657,$W$7:$W$88,0)),"")</f>
        <v>tranlp</v>
      </c>
    </row>
    <row r="663" spans="11:12" x14ac:dyDescent="0.25">
      <c r="K663" t="str">
        <f>mapPRC!A658</f>
        <v>TPPUBRTODS-N</v>
      </c>
      <c r="L663" t="str">
        <f>IFERROR(INDEX($X$7:$X$88,MATCH(mapPRC!D658,$W$7:$W$88,0)),"")</f>
        <v>tranlp</v>
      </c>
    </row>
    <row r="664" spans="11:12" x14ac:dyDescent="0.25">
      <c r="K664" t="str">
        <f>mapPRC!A659</f>
        <v>TPPUBUSBGS-N</v>
      </c>
      <c r="L664" t="str">
        <f>IFERROR(INDEX($X$7:$X$88,MATCH(mapPRC!D659,$W$7:$W$88,0)),"")</f>
        <v>tranlp</v>
      </c>
    </row>
    <row r="665" spans="11:12" x14ac:dyDescent="0.25">
      <c r="K665" t="str">
        <f>mapPRC!A660</f>
        <v>TPPUBUSELC-N</v>
      </c>
      <c r="L665" t="str">
        <f>IFERROR(INDEX($X$7:$X$88,MATCH(mapPRC!D660,$W$7:$W$88,0)),"")</f>
        <v>tranlp</v>
      </c>
    </row>
    <row r="666" spans="11:12" x14ac:dyDescent="0.25">
      <c r="K666" t="str">
        <f>mapPRC!A661</f>
        <v>TPPUBUSGAS-N</v>
      </c>
      <c r="L666" t="str">
        <f>IFERROR(INDEX($X$7:$X$88,MATCH(mapPRC!D661,$W$7:$W$88,0)),"")</f>
        <v>tranlp</v>
      </c>
    </row>
    <row r="667" spans="11:12" x14ac:dyDescent="0.25">
      <c r="K667" t="str">
        <f>mapPRC!A662</f>
        <v>TPPUBUSHGNF-N</v>
      </c>
      <c r="L667" t="str">
        <f>IFERROR(INDEX($X$7:$X$88,MATCH(mapPRC!D662,$W$7:$W$88,0)),"")</f>
        <v>tranlp</v>
      </c>
    </row>
    <row r="668" spans="11:12" x14ac:dyDescent="0.25">
      <c r="K668" t="str">
        <f>mapPRC!A663</f>
        <v>TPPUBUSODS-E</v>
      </c>
      <c r="L668" t="str">
        <f>IFERROR(INDEX($X$7:$X$88,MATCH(mapPRC!D663,$W$7:$W$88,0)),"")</f>
        <v>tranlp</v>
      </c>
    </row>
    <row r="669" spans="11:12" x14ac:dyDescent="0.25">
      <c r="K669" t="str">
        <f>mapPRC!A664</f>
        <v>TPPUBUSODS-N</v>
      </c>
      <c r="L669" t="str">
        <f>IFERROR(INDEX($X$7:$X$88,MATCH(mapPRC!D664,$W$7:$W$88,0)),"")</f>
        <v>tranlp</v>
      </c>
    </row>
    <row r="670" spans="11:12" x14ac:dyDescent="0.25">
      <c r="K670" t="str">
        <f>mapPRC!A665</f>
        <v>TPPUGATELC-N</v>
      </c>
      <c r="L670" t="str">
        <f>IFERROR(INDEX($X$7:$X$88,MATCH(mapPRC!D665,$W$7:$W$88,0)),"")</f>
        <v>tranlp</v>
      </c>
    </row>
    <row r="671" spans="11:12" x14ac:dyDescent="0.25">
      <c r="K671" t="str">
        <f>mapPRC!A666</f>
        <v>TPPUMBTBGS-N</v>
      </c>
      <c r="L671" t="str">
        <f>IFERROR(INDEX($X$7:$X$88,MATCH(mapPRC!D666,$W$7:$W$88,0)),"")</f>
        <v>tranlp</v>
      </c>
    </row>
    <row r="672" spans="11:12" x14ac:dyDescent="0.25">
      <c r="K672" t="str">
        <f>mapPRC!A667</f>
        <v>TPPUMBTELC-N</v>
      </c>
      <c r="L672" t="str">
        <f>IFERROR(INDEX($X$7:$X$88,MATCH(mapPRC!D667,$W$7:$W$88,0)),"")</f>
        <v>tranlp</v>
      </c>
    </row>
    <row r="673" spans="11:12" x14ac:dyDescent="0.25">
      <c r="K673" t="str">
        <f>mapPRC!A668</f>
        <v>TPPUMBTGAS-N</v>
      </c>
      <c r="L673" t="str">
        <f>IFERROR(INDEX($X$7:$X$88,MATCH(mapPRC!D668,$W$7:$W$88,0)),"")</f>
        <v>tranlp</v>
      </c>
    </row>
    <row r="674" spans="11:12" x14ac:dyDescent="0.25">
      <c r="K674" t="str">
        <f>mapPRC!A669</f>
        <v>TPPUMBTHGNF-N</v>
      </c>
      <c r="L674" t="str">
        <f>IFERROR(INDEX($X$7:$X$88,MATCH(mapPRC!D669,$W$7:$W$88,0)),"")</f>
        <v>tranlp</v>
      </c>
    </row>
    <row r="675" spans="11:12" x14ac:dyDescent="0.25">
      <c r="K675" t="str">
        <f>mapPRC!A670</f>
        <v>TPPUMBTODS-E</v>
      </c>
      <c r="L675" t="str">
        <f>IFERROR(INDEX($X$7:$X$88,MATCH(mapPRC!D670,$W$7:$W$88,0)),"")</f>
        <v>tranlp</v>
      </c>
    </row>
    <row r="676" spans="11:12" x14ac:dyDescent="0.25">
      <c r="K676" t="str">
        <f>mapPRC!A671</f>
        <v>TPPUMBTODSH-N</v>
      </c>
      <c r="L676" t="str">
        <f>IFERROR(INDEX($X$7:$X$88,MATCH(mapPRC!D671,$W$7:$W$88,0)),"")</f>
        <v>tranlp</v>
      </c>
    </row>
    <row r="677" spans="11:12" x14ac:dyDescent="0.25">
      <c r="K677" t="str">
        <f>mapPRC!A672</f>
        <v>TPPUMBTODS-N</v>
      </c>
      <c r="L677" t="str">
        <f>IFERROR(INDEX($X$7:$X$88,MATCH(mapPRC!D672,$W$7:$W$88,0)),"")</f>
        <v>tranlp</v>
      </c>
    </row>
    <row r="678" spans="11:12" x14ac:dyDescent="0.25">
      <c r="K678" t="str">
        <f>mapPRC!A673</f>
        <v>TPPUMBTOGS-E</v>
      </c>
      <c r="L678" t="str">
        <f>IFERROR(INDEX($X$7:$X$88,MATCH(mapPRC!D673,$W$7:$W$88,0)),"")</f>
        <v>tranlp</v>
      </c>
    </row>
    <row r="679" spans="11:12" x14ac:dyDescent="0.25">
      <c r="K679" t="str">
        <f>mapPRC!A674</f>
        <v>TPPUMBTOGS-N</v>
      </c>
      <c r="L679" t="str">
        <f>IFERROR(INDEX($X$7:$X$88,MATCH(mapPRC!D674,$W$7:$W$88,0)),"")</f>
        <v>tranlp</v>
      </c>
    </row>
    <row r="680" spans="11:12" x14ac:dyDescent="0.25">
      <c r="K680" t="str">
        <f>mapPRC!A675</f>
        <v>TPPUMERELC-E</v>
      </c>
      <c r="L680" t="str">
        <f>IFERROR(INDEX($X$7:$X$88,MATCH(mapPRC!D675,$W$7:$W$88,0)),"")</f>
        <v>tranlp</v>
      </c>
    </row>
    <row r="681" spans="11:12" x14ac:dyDescent="0.25">
      <c r="K681" t="str">
        <f>mapPRC!A676</f>
        <v>TPPUMERELC-N</v>
      </c>
      <c r="L681" t="str">
        <f>IFERROR(INDEX($X$7:$X$88,MATCH(mapPRC!D676,$W$7:$W$88,0)),"")</f>
        <v>tranlp</v>
      </c>
    </row>
    <row r="682" spans="11:12" x14ac:dyDescent="0.25">
      <c r="K682" t="str">
        <f>mapPRC!A677</f>
        <v>TSHFOOHF-E</v>
      </c>
      <c r="L682" t="str">
        <f>IFERROR(INDEX($X$7:$X$88,MATCH(mapPRC!D677,$W$7:$W$88,0)),"")</f>
        <v>trano</v>
      </c>
    </row>
    <row r="683" spans="11:12" x14ac:dyDescent="0.25">
      <c r="K683" t="str">
        <f>mapPRC!A678</f>
        <v>TSHFOOHF-N</v>
      </c>
      <c r="L683" t="str">
        <f>IFERROR(INDEX($X$7:$X$88,MATCH(mapPRC!D678,$W$7:$W$88,0)),"")</f>
        <v>trano</v>
      </c>
    </row>
    <row r="684" spans="11:12" x14ac:dyDescent="0.25">
      <c r="K684" t="str">
        <f>mapPRC!A679</f>
        <v>UBBEBIE-N</v>
      </c>
      <c r="L684" t="str">
        <f>IFERROR(INDEX($X$7:$X$88,MATCH(mapPRC!D679,$W$7:$W$88,0)),"")</f>
        <v>petr</v>
      </c>
    </row>
    <row r="685" spans="11:12" x14ac:dyDescent="0.25">
      <c r="K685" t="str">
        <f>mapPRC!A680</f>
        <v>UBCABID-N</v>
      </c>
      <c r="L685" t="str">
        <f>IFERROR(INDEX($X$7:$X$88,MATCH(mapPRC!D680,$W$7:$W$88,0)),"")</f>
        <v>petr</v>
      </c>
    </row>
    <row r="686" spans="11:12" x14ac:dyDescent="0.25">
      <c r="K686" t="str">
        <f>mapPRC!A681</f>
        <v>UBSCBIE-N</v>
      </c>
      <c r="L686" t="str">
        <f>IFERROR(INDEX($X$7:$X$88,MATCH(mapPRC!D681,$W$7:$W$88,0)),"")</f>
        <v>petr</v>
      </c>
    </row>
    <row r="687" spans="11:12" x14ac:dyDescent="0.25">
      <c r="K687" t="str">
        <f>mapPRC!A682</f>
        <v>UBSRBIE-N</v>
      </c>
      <c r="L687" t="str">
        <f>IFERROR(INDEX($X$7:$X$88,MATCH(mapPRC!D682,$W$7:$W$88,0)),"")</f>
        <v>petr</v>
      </c>
    </row>
    <row r="688" spans="11:12" x14ac:dyDescent="0.25">
      <c r="K688" t="str">
        <f>mapPRC!A683</f>
        <v>UBSYBID-N</v>
      </c>
      <c r="L688" t="str">
        <f>IFERROR(INDEX($X$7:$X$88,MATCH(mapPRC!D683,$W$7:$W$88,0)),"")</f>
        <v>petr</v>
      </c>
    </row>
    <row r="689" spans="11:12" x14ac:dyDescent="0.25">
      <c r="K689" t="str">
        <f>mapPRC!A684</f>
        <v>UCOGCLEHGN</v>
      </c>
      <c r="L689" t="str">
        <f>IFERROR(INDEX($X$7:$X$88,MATCH(mapPRC!D684,$W$7:$W$88,0)),"")</f>
        <v>hydr</v>
      </c>
    </row>
    <row r="690" spans="11:12" x14ac:dyDescent="0.25">
      <c r="K690" t="str">
        <f>mapPRC!A685</f>
        <v>UCTLCLEIN-E</v>
      </c>
      <c r="L690" t="str">
        <f>IFERROR(INDEX($X$7:$X$88,MATCH(mapPRC!D685,$W$7:$W$88,0)),"")</f>
        <v>petr</v>
      </c>
    </row>
    <row r="691" spans="11:12" x14ac:dyDescent="0.25">
      <c r="K691" t="str">
        <f>mapPRC!A686</f>
        <v>UCTLCLEIN-N</v>
      </c>
      <c r="L691" t="str">
        <f>IFERROR(INDEX($X$7:$X$88,MATCH(mapPRC!D686,$W$7:$W$88,0)),"")</f>
        <v>petr</v>
      </c>
    </row>
    <row r="692" spans="11:12" x14ac:dyDescent="0.25">
      <c r="K692" t="str">
        <f>mapPRC!A687</f>
        <v>UCTLCLEIN-N-A</v>
      </c>
      <c r="L692" t="str">
        <f>IFERROR(INDEX($X$7:$X$88,MATCH(mapPRC!D687,$W$7:$W$88,0)),"")</f>
        <v>petr</v>
      </c>
    </row>
    <row r="693" spans="11:12" x14ac:dyDescent="0.25">
      <c r="K693" t="str">
        <f>mapPRC!A688</f>
        <v>UELEHGN</v>
      </c>
      <c r="L693" t="str">
        <f>IFERROR(INDEX($X$7:$X$88,MATCH(mapPRC!D688,$W$7:$W$88,0)),"")</f>
        <v>hydr</v>
      </c>
    </row>
    <row r="694" spans="11:12" x14ac:dyDescent="0.25">
      <c r="K694" t="str">
        <f>mapPRC!A689</f>
        <v>UGASGIB-N</v>
      </c>
      <c r="L694" t="str">
        <f>IFERROR(INDEX($X$7:$X$88,MATCH(mapPRC!D689,$W$7:$W$88,0)),"")</f>
        <v/>
      </c>
    </row>
    <row r="695" spans="11:12" x14ac:dyDescent="0.25">
      <c r="K695" t="str">
        <f>mapPRC!A690</f>
        <v>UGASGIC-N</v>
      </c>
      <c r="L695" t="str">
        <f>IFERROR(INDEX($X$7:$X$88,MATCH(mapPRC!D690,$W$7:$W$88,0)),"")</f>
        <v/>
      </c>
    </row>
    <row r="696" spans="11:12" x14ac:dyDescent="0.25">
      <c r="K696" t="str">
        <f>mapPRC!A691</f>
        <v>UGASGIHE-N</v>
      </c>
      <c r="L696" t="str">
        <f>IFERROR(INDEX($X$7:$X$88,MATCH(mapPRC!D691,$W$7:$W$88,0)),"")</f>
        <v/>
      </c>
    </row>
    <row r="697" spans="11:12" x14ac:dyDescent="0.25">
      <c r="K697" t="str">
        <f>mapPRC!A692</f>
        <v>UGASGIH-N</v>
      </c>
      <c r="L697" t="str">
        <f>IFERROR(INDEX($X$7:$X$88,MATCH(mapPRC!D692,$W$7:$W$88,0)),"")</f>
        <v/>
      </c>
    </row>
    <row r="698" spans="11:12" x14ac:dyDescent="0.25">
      <c r="K698" t="str">
        <f>mapPRC!A693</f>
        <v>UGASGRM-N</v>
      </c>
      <c r="L698" t="str">
        <f>IFERROR(INDEX($X$7:$X$88,MATCH(mapPRC!D693,$W$7:$W$88,0)),"")</f>
        <v>imp</v>
      </c>
    </row>
    <row r="699" spans="11:12" x14ac:dyDescent="0.25">
      <c r="K699" t="str">
        <f>mapPRC!A694</f>
        <v>UGASGRS-N</v>
      </c>
      <c r="L699" t="str">
        <f>IFERROR(INDEX($X$7:$X$88,MATCH(mapPRC!D694,$W$7:$W$88,0)),"")</f>
        <v>imp</v>
      </c>
    </row>
    <row r="700" spans="11:12" x14ac:dyDescent="0.25">
      <c r="K700" t="str">
        <f>mapPRC!A695</f>
        <v>UGTLGASIN-N</v>
      </c>
      <c r="L700" t="str">
        <f>IFERROR(INDEX($X$7:$X$88,MATCH(mapPRC!D695,$W$7:$W$88,0)),"")</f>
        <v>petr</v>
      </c>
    </row>
    <row r="701" spans="11:12" x14ac:dyDescent="0.25">
      <c r="K701" t="str">
        <f>mapPRC!A696</f>
        <v>UGTLGICCO-E</v>
      </c>
      <c r="L701" t="str">
        <f>IFERROR(INDEX($X$7:$X$88,MATCH(mapPRC!D696,$W$7:$W$88,0)),"")</f>
        <v>petr</v>
      </c>
    </row>
    <row r="702" spans="11:12" x14ac:dyDescent="0.25">
      <c r="K702" t="str">
        <f>mapPRC!A697</f>
        <v>UGTLGICCO-N</v>
      </c>
      <c r="L702" t="str">
        <f>IFERROR(INDEX($X$7:$X$88,MATCH(mapPRC!D697,$W$7:$W$88,0)),"")</f>
        <v>petr</v>
      </c>
    </row>
    <row r="703" spans="11:12" x14ac:dyDescent="0.25">
      <c r="K703" t="str">
        <f>mapPRC!A698</f>
        <v>UHETCLE-E</v>
      </c>
      <c r="L703" t="str">
        <f>IFERROR(INDEX($X$7:$X$88,MATCH(mapPRC!D698,$W$7:$W$88,0)),"")</f>
        <v>petr</v>
      </c>
    </row>
    <row r="704" spans="11:12" x14ac:dyDescent="0.25">
      <c r="K704" t="str">
        <f>mapPRC!A699</f>
        <v>UHETCLE-N</v>
      </c>
      <c r="L704" t="str">
        <f>IFERROR(INDEX($X$7:$X$88,MATCH(mapPRC!D699,$W$7:$W$88,0)),"")</f>
        <v>petr</v>
      </c>
    </row>
    <row r="705" spans="11:12" x14ac:dyDescent="0.25">
      <c r="K705" t="str">
        <f>mapPRC!A700</f>
        <v>UINDSCOA1-N</v>
      </c>
      <c r="L705" t="str">
        <f>IFERROR(INDEX($X$7:$X$88,MATCH(mapPRC!D700,$W$7:$W$88,0)),"")</f>
        <v/>
      </c>
    </row>
    <row r="706" spans="11:12" x14ac:dyDescent="0.25">
      <c r="K706" t="str">
        <f>mapPRC!A701</f>
        <v>UINDSGAS1-N</v>
      </c>
      <c r="L706" t="str">
        <f>IFERROR(INDEX($X$7:$X$88,MATCH(mapPRC!D701,$W$7:$W$88,0)),"")</f>
        <v/>
      </c>
    </row>
    <row r="707" spans="11:12" x14ac:dyDescent="0.25">
      <c r="K707" t="str">
        <f>mapPRC!A702</f>
        <v>ULGTGRLFSRU-N</v>
      </c>
      <c r="L707" t="str">
        <f>IFERROR(INDEX($X$7:$X$88,MATCH(mapPRC!D702,$W$7:$W$88,0)),"")</f>
        <v>gas</v>
      </c>
    </row>
    <row r="708" spans="11:12" x14ac:dyDescent="0.25">
      <c r="K708" t="str">
        <f>mapPRC!A703</f>
        <v>ULGTGRL-N</v>
      </c>
      <c r="L708" t="str">
        <f>IFERROR(INDEX($X$7:$X$88,MATCH(mapPRC!D703,$W$7:$W$88,0)),"")</f>
        <v>gas</v>
      </c>
    </row>
    <row r="709" spans="11:12" x14ac:dyDescent="0.25">
      <c r="K709" t="str">
        <f>mapPRC!A704</f>
        <v>UREFOCRCO-E</v>
      </c>
      <c r="L709" t="str">
        <f>IFERROR(INDEX($X$7:$X$88,MATCH(mapPRC!D704,$W$7:$W$88,0)),"")</f>
        <v>petr</v>
      </c>
    </row>
    <row r="710" spans="11:12" x14ac:dyDescent="0.25">
      <c r="K710" t="str">
        <f>mapPRC!A705</f>
        <v>UREFOCRCO-N</v>
      </c>
      <c r="L710" t="str">
        <f>IFERROR(INDEX($X$7:$X$88,MATCH(mapPRC!D705,$W$7:$W$88,0)),"")</f>
        <v>petr</v>
      </c>
    </row>
    <row r="711" spans="11:12" x14ac:dyDescent="0.25">
      <c r="K711" t="str">
        <f>mapPRC!A706</f>
        <v>UREFOCRIN-E</v>
      </c>
      <c r="L711" t="str">
        <f>IFERROR(INDEX($X$7:$X$88,MATCH(mapPRC!D706,$W$7:$W$88,0)),"")</f>
        <v>petr</v>
      </c>
    </row>
    <row r="712" spans="11:12" x14ac:dyDescent="0.25">
      <c r="K712" t="str">
        <f>mapPRC!A707</f>
        <v>USMRGASHGN</v>
      </c>
      <c r="L712" t="str">
        <f>IFERROR(INDEX($X$7:$X$88,MATCH(mapPRC!D707,$W$7:$W$88,0)),"")</f>
        <v>hydr</v>
      </c>
    </row>
    <row r="713" spans="11:12" x14ac:dyDescent="0.25">
      <c r="K713" t="str">
        <f>mapPRC!A708</f>
        <v>USMRGICHGN</v>
      </c>
      <c r="L713" t="str">
        <f>IFERROR(INDEX($X$7:$X$88,MATCH(mapPRC!D708,$W$7:$W$88,0)),"")</f>
        <v>hydr</v>
      </c>
    </row>
    <row r="714" spans="11:12" x14ac:dyDescent="0.25">
      <c r="K714" t="str">
        <f>mapPRC!A709</f>
        <v>UTRNGIMGAS</v>
      </c>
      <c r="L714" t="str">
        <f>IFERROR(INDEX($X$7:$X$88,MATCH(mapPRC!D709,$W$7:$W$88,0)),"")</f>
        <v/>
      </c>
    </row>
    <row r="715" spans="11:12" x14ac:dyDescent="0.25">
      <c r="K715" t="str">
        <f>mapPRC!A710</f>
        <v>UXCWCME</v>
      </c>
      <c r="L715" t="str">
        <f>IFERROR(INDEX($X$7:$X$88,MATCH(mapPRC!D710,$W$7:$W$88,0)),"")</f>
        <v/>
      </c>
    </row>
    <row r="716" spans="11:12" x14ac:dyDescent="0.25">
      <c r="K716" t="str">
        <f>mapPRC!A711</f>
        <v>UXCWCOA</v>
      </c>
      <c r="L716" t="str">
        <f>IFERROR(INDEX($X$7:$X$88,MATCH(mapPRC!D711,$W$7:$W$88,0)),"")</f>
        <v/>
      </c>
    </row>
    <row r="717" spans="11:12" x14ac:dyDescent="0.25">
      <c r="K717" t="str">
        <f>mapPRC!A712</f>
        <v>UXLE2-AB</v>
      </c>
      <c r="L717" t="str">
        <f>IFERROR(INDEX($X$7:$X$88,MATCH(mapPRC!D712,$W$7:$W$88,0)),"")</f>
        <v/>
      </c>
    </row>
    <row r="718" spans="11:12" x14ac:dyDescent="0.25">
      <c r="K718" t="str">
        <f>mapPRC!A713</f>
        <v>UXLE-AB</v>
      </c>
      <c r="L718" t="str">
        <f>IFERROR(INDEX($X$7:$X$88,MATCH(mapPRC!D713,$W$7:$W$88,0)),"")</f>
        <v/>
      </c>
    </row>
    <row r="719" spans="11:12" x14ac:dyDescent="0.25">
      <c r="K719" t="str">
        <f>mapPRC!A714</f>
        <v>UXLE-BR</v>
      </c>
      <c r="L719" t="str">
        <f>IFERROR(INDEX($X$7:$X$88,MATCH(mapPRC!D714,$W$7:$W$88,0)),"")</f>
        <v/>
      </c>
    </row>
    <row r="720" spans="11:12" x14ac:dyDescent="0.25">
      <c r="K720" t="str">
        <f>mapPRC!A715</f>
        <v>XAGRBIO</v>
      </c>
      <c r="L720" t="str">
        <f>IFERROR(INDEX($X$7:$X$88,MATCH(mapPRC!D715,$W$7:$W$88,0)),"")</f>
        <v/>
      </c>
    </row>
    <row r="721" spans="11:12" x14ac:dyDescent="0.25">
      <c r="K721" t="str">
        <f>mapPRC!A716</f>
        <v>XAGRCOA</v>
      </c>
      <c r="L721" t="str">
        <f>IFERROR(INDEX($X$7:$X$88,MATCH(mapPRC!D716,$W$7:$W$88,0)),"")</f>
        <v/>
      </c>
    </row>
    <row r="722" spans="11:12" x14ac:dyDescent="0.25">
      <c r="K722" t="str">
        <f>mapPRC!A717</f>
        <v>XAGRELC</v>
      </c>
      <c r="L722" t="str">
        <f>IFERROR(INDEX($X$7:$X$88,MATCH(mapPRC!D717,$W$7:$W$88,0)),"")</f>
        <v>elec</v>
      </c>
    </row>
    <row r="723" spans="11:12" x14ac:dyDescent="0.25">
      <c r="K723" t="str">
        <f>mapPRC!A718</f>
        <v>XAGRODS</v>
      </c>
      <c r="L723" t="str">
        <f>IFERROR(INDEX($X$7:$X$88,MATCH(mapPRC!D718,$W$7:$W$88,0)),"")</f>
        <v/>
      </c>
    </row>
    <row r="724" spans="11:12" x14ac:dyDescent="0.25">
      <c r="K724" t="str">
        <f>mapPRC!A719</f>
        <v>XAGROGS</v>
      </c>
      <c r="L724" t="str">
        <f>IFERROR(INDEX($X$7:$X$88,MATCH(mapPRC!D719,$W$7:$W$88,0)),"")</f>
        <v/>
      </c>
    </row>
    <row r="725" spans="11:12" x14ac:dyDescent="0.25">
      <c r="K725" t="str">
        <f>mapPRC!A720</f>
        <v>XAGROHF</v>
      </c>
      <c r="L725" t="str">
        <f>IFERROR(INDEX($X$7:$X$88,MATCH(mapPRC!D720,$W$7:$W$88,0)),"")</f>
        <v/>
      </c>
    </row>
    <row r="726" spans="11:12" x14ac:dyDescent="0.25">
      <c r="K726" t="str">
        <f>mapPRC!A721</f>
        <v>XAGROKE</v>
      </c>
      <c r="L726" t="str">
        <f>IFERROR(INDEX($X$7:$X$88,MATCH(mapPRC!D721,$W$7:$W$88,0)),"")</f>
        <v/>
      </c>
    </row>
    <row r="727" spans="11:12" x14ac:dyDescent="0.25">
      <c r="K727" t="str">
        <f>mapPRC!A722</f>
        <v>XAGROLP</v>
      </c>
      <c r="L727" t="str">
        <f>IFERROR(INDEX($X$7:$X$88,MATCH(mapPRC!D722,$W$7:$W$88,0)),"")</f>
        <v/>
      </c>
    </row>
    <row r="728" spans="11:12" x14ac:dyDescent="0.25">
      <c r="K728" t="str">
        <f>mapPRC!A723</f>
        <v>XCOMCOA</v>
      </c>
      <c r="L728" t="str">
        <f>IFERROR(INDEX($X$7:$X$88,MATCH(mapPRC!D723,$W$7:$W$88,0)),"")</f>
        <v/>
      </c>
    </row>
    <row r="729" spans="11:12" x14ac:dyDescent="0.25">
      <c r="K729" t="str">
        <f>mapPRC!A724</f>
        <v>XCOMELC</v>
      </c>
      <c r="L729" t="str">
        <f>IFERROR(INDEX($X$7:$X$88,MATCH(mapPRC!D724,$W$7:$W$88,0)),"")</f>
        <v>elec</v>
      </c>
    </row>
    <row r="730" spans="11:12" x14ac:dyDescent="0.25">
      <c r="K730" t="str">
        <f>mapPRC!A725</f>
        <v>XCOMGAS</v>
      </c>
      <c r="L730" t="str">
        <f>IFERROR(INDEX($X$7:$X$88,MATCH(mapPRC!D725,$W$7:$W$88,0)),"")</f>
        <v/>
      </c>
    </row>
    <row r="731" spans="11:12" x14ac:dyDescent="0.25">
      <c r="K731" t="str">
        <f>mapPRC!A726</f>
        <v>XCOMODS</v>
      </c>
      <c r="L731" t="str">
        <f>IFERROR(INDEX($X$7:$X$88,MATCH(mapPRC!D726,$W$7:$W$88,0)),"")</f>
        <v/>
      </c>
    </row>
    <row r="732" spans="11:12" x14ac:dyDescent="0.25">
      <c r="K732" t="str">
        <f>mapPRC!A727</f>
        <v>XCOMOGS</v>
      </c>
      <c r="L732" t="str">
        <f>IFERROR(INDEX($X$7:$X$88,MATCH(mapPRC!D727,$W$7:$W$88,0)),"")</f>
        <v/>
      </c>
    </row>
    <row r="733" spans="11:12" x14ac:dyDescent="0.25">
      <c r="K733" t="str">
        <f>mapPRC!A728</f>
        <v>XCOMOHF</v>
      </c>
      <c r="L733" t="str">
        <f>IFERROR(INDEX($X$7:$X$88,MATCH(mapPRC!D728,$W$7:$W$88,0)),"")</f>
        <v/>
      </c>
    </row>
    <row r="734" spans="11:12" x14ac:dyDescent="0.25">
      <c r="K734" t="str">
        <f>mapPRC!A729</f>
        <v>XCOMOKE</v>
      </c>
      <c r="L734" t="str">
        <f>IFERROR(INDEX($X$7:$X$88,MATCH(mapPRC!D729,$W$7:$W$88,0)),"")</f>
        <v/>
      </c>
    </row>
    <row r="735" spans="11:12" x14ac:dyDescent="0.25">
      <c r="K735" t="str">
        <f>mapPRC!A730</f>
        <v>XCOMOLP</v>
      </c>
      <c r="L735" t="str">
        <f>IFERROR(INDEX($X$7:$X$88,MATCH(mapPRC!D730,$W$7:$W$88,0)),"")</f>
        <v/>
      </c>
    </row>
    <row r="736" spans="11:12" x14ac:dyDescent="0.25">
      <c r="K736" t="str">
        <f>mapPRC!A731</f>
        <v>XICPELC</v>
      </c>
      <c r="L736" t="str">
        <f>IFERROR(INDEX($X$7:$X$88,MATCH(mapPRC!D731,$W$7:$W$88,0)),"")</f>
        <v>elec</v>
      </c>
    </row>
    <row r="737" spans="11:12" x14ac:dyDescent="0.25">
      <c r="K737" t="str">
        <f>mapPRC!A732</f>
        <v>XICPGAS</v>
      </c>
      <c r="L737" t="str">
        <f>IFERROR(INDEX($X$7:$X$88,MATCH(mapPRC!D732,$W$7:$W$88,0)),"")</f>
        <v/>
      </c>
    </row>
    <row r="738" spans="11:12" x14ac:dyDescent="0.25">
      <c r="K738" t="str">
        <f>mapPRC!A733</f>
        <v>XIFAELC</v>
      </c>
      <c r="L738" t="str">
        <f>IFERROR(INDEX($X$7:$X$88,MATCH(mapPRC!D733,$W$7:$W$88,0)),"")</f>
        <v>elec</v>
      </c>
    </row>
    <row r="739" spans="11:12" x14ac:dyDescent="0.25">
      <c r="K739" t="str">
        <f>mapPRC!A734</f>
        <v>XIFAGAS</v>
      </c>
      <c r="L739" t="str">
        <f>IFERROR(INDEX($X$7:$X$88,MATCH(mapPRC!D734,$W$7:$W$88,0)),"")</f>
        <v/>
      </c>
    </row>
    <row r="740" spans="11:12" x14ac:dyDescent="0.25">
      <c r="K740" t="str">
        <f>mapPRC!A735</f>
        <v>XIFBELC</v>
      </c>
      <c r="L740" t="str">
        <f>IFERROR(INDEX($X$7:$X$88,MATCH(mapPRC!D735,$W$7:$W$88,0)),"")</f>
        <v>elec</v>
      </c>
    </row>
    <row r="741" spans="11:12" x14ac:dyDescent="0.25">
      <c r="K741" t="str">
        <f>mapPRC!A736</f>
        <v>XIFBGAS</v>
      </c>
      <c r="L741" t="str">
        <f>IFERROR(INDEX($X$7:$X$88,MATCH(mapPRC!D736,$W$7:$W$88,0)),"")</f>
        <v/>
      </c>
    </row>
    <row r="742" spans="11:12" x14ac:dyDescent="0.25">
      <c r="K742" t="str">
        <f>mapPRC!A737</f>
        <v>XIISBIO</v>
      </c>
      <c r="L742" t="str">
        <f>IFERROR(INDEX($X$7:$X$88,MATCH(mapPRC!D737,$W$7:$W$88,0)),"")</f>
        <v/>
      </c>
    </row>
    <row r="743" spans="11:12" x14ac:dyDescent="0.25">
      <c r="K743" t="str">
        <f>mapPRC!A738</f>
        <v>XIISCKC</v>
      </c>
      <c r="L743" t="str">
        <f>IFERROR(INDEX($X$7:$X$88,MATCH(mapPRC!D738,$W$7:$W$88,0)),"")</f>
        <v/>
      </c>
    </row>
    <row r="744" spans="11:12" x14ac:dyDescent="0.25">
      <c r="K744" t="str">
        <f>mapPRC!A739</f>
        <v>XIISCOA</v>
      </c>
      <c r="L744" t="str">
        <f>IFERROR(INDEX($X$7:$X$88,MATCH(mapPRC!D739,$W$7:$W$88,0)),"")</f>
        <v/>
      </c>
    </row>
    <row r="745" spans="11:12" x14ac:dyDescent="0.25">
      <c r="K745" t="str">
        <f>mapPRC!A740</f>
        <v>XIISELC</v>
      </c>
      <c r="L745" t="str">
        <f>IFERROR(INDEX($X$7:$X$88,MATCH(mapPRC!D740,$W$7:$W$88,0)),"")</f>
        <v>elec</v>
      </c>
    </row>
    <row r="746" spans="11:12" x14ac:dyDescent="0.25">
      <c r="K746" t="str">
        <f>mapPRC!A741</f>
        <v>XIISELCHY</v>
      </c>
      <c r="L746" t="str">
        <f>IFERROR(INDEX($X$7:$X$88,MATCH(mapPRC!D741,$W$7:$W$88,0)),"")</f>
        <v/>
      </c>
    </row>
    <row r="747" spans="11:12" x14ac:dyDescent="0.25">
      <c r="K747" t="str">
        <f>mapPRC!A742</f>
        <v>XIISGAS</v>
      </c>
      <c r="L747" t="str">
        <f>IFERROR(INDEX($X$7:$X$88,MATCH(mapPRC!D742,$W$7:$W$88,0)),"")</f>
        <v/>
      </c>
    </row>
    <row r="748" spans="11:12" x14ac:dyDescent="0.25">
      <c r="K748" t="str">
        <f>mapPRC!A743</f>
        <v>XIISOIL</v>
      </c>
      <c r="L748" t="str">
        <f>IFERROR(INDEX($X$7:$X$88,MATCH(mapPRC!D743,$W$7:$W$88,0)),"")</f>
        <v/>
      </c>
    </row>
    <row r="749" spans="11:12" x14ac:dyDescent="0.25">
      <c r="K749" t="str">
        <f>mapPRC!A744</f>
        <v>XIISOLP</v>
      </c>
      <c r="L749" t="str">
        <f>IFERROR(INDEX($X$7:$X$88,MATCH(mapPRC!D744,$W$7:$W$88,0)),"")</f>
        <v/>
      </c>
    </row>
    <row r="750" spans="11:12" x14ac:dyDescent="0.25">
      <c r="K750" t="str">
        <f>mapPRC!A745</f>
        <v>XIISSSC</v>
      </c>
      <c r="L750" t="str">
        <f>IFERROR(INDEX($X$7:$X$88,MATCH(mapPRC!D745,$W$7:$W$88,0)),"")</f>
        <v/>
      </c>
    </row>
    <row r="751" spans="11:12" x14ac:dyDescent="0.25">
      <c r="K751" t="str">
        <f>mapPRC!A746</f>
        <v>XIISWAS</v>
      </c>
      <c r="L751" t="str">
        <f>IFERROR(INDEX($X$7:$X$88,MATCH(mapPRC!D746,$W$7:$W$88,0)),"")</f>
        <v/>
      </c>
    </row>
    <row r="752" spans="11:12" x14ac:dyDescent="0.25">
      <c r="K752" t="str">
        <f>mapPRC!A747</f>
        <v>XIMIELC</v>
      </c>
      <c r="L752" t="str">
        <f>IFERROR(INDEX($X$7:$X$88,MATCH(mapPRC!D747,$W$7:$W$88,0)),"")</f>
        <v>elec</v>
      </c>
    </row>
    <row r="753" spans="11:12" x14ac:dyDescent="0.25">
      <c r="K753" t="str">
        <f>mapPRC!A748</f>
        <v>XIMIGAS</v>
      </c>
      <c r="L753" t="str">
        <f>IFERROR(INDEX($X$7:$X$88,MATCH(mapPRC!D748,$W$7:$W$88,0)),"")</f>
        <v/>
      </c>
    </row>
    <row r="754" spans="11:12" x14ac:dyDescent="0.25">
      <c r="K754" t="str">
        <f>mapPRC!A749</f>
        <v>XINDBIB</v>
      </c>
      <c r="L754" t="str">
        <f>IFERROR(INDEX($X$7:$X$88,MATCH(mapPRC!D749,$W$7:$W$88,0)),"")</f>
        <v/>
      </c>
    </row>
    <row r="755" spans="11:12" x14ac:dyDescent="0.25">
      <c r="K755" t="str">
        <f>mapPRC!A750</f>
        <v>XINDBIW</v>
      </c>
      <c r="L755" t="str">
        <f>IFERROR(INDEX($X$7:$X$88,MATCH(mapPRC!D750,$W$7:$W$88,0)),"")</f>
        <v/>
      </c>
    </row>
    <row r="756" spans="11:12" x14ac:dyDescent="0.25">
      <c r="K756" t="str">
        <f>mapPRC!A751</f>
        <v>XINDCLE</v>
      </c>
      <c r="L756" t="str">
        <f>IFERROR(INDEX($X$7:$X$88,MATCH(mapPRC!D751,$W$7:$W$88,0)),"")</f>
        <v/>
      </c>
    </row>
    <row r="757" spans="11:12" x14ac:dyDescent="0.25">
      <c r="K757" t="str">
        <f>mapPRC!A752</f>
        <v>XINDCOA</v>
      </c>
      <c r="L757" t="str">
        <f>IFERROR(INDEX($X$7:$X$88,MATCH(mapPRC!D752,$W$7:$W$88,0)),"")</f>
        <v/>
      </c>
    </row>
    <row r="758" spans="11:12" x14ac:dyDescent="0.25">
      <c r="K758" t="str">
        <f>mapPRC!A753</f>
        <v>XINDCOK</v>
      </c>
      <c r="L758" t="str">
        <f>IFERROR(INDEX($X$7:$X$88,MATCH(mapPRC!D753,$W$7:$W$88,0)),"")</f>
        <v/>
      </c>
    </row>
    <row r="759" spans="11:12" x14ac:dyDescent="0.25">
      <c r="K759" t="str">
        <f>mapPRC!A754</f>
        <v>XINDELC</v>
      </c>
      <c r="L759" t="str">
        <f>IFERROR(INDEX($X$7:$X$88,MATCH(mapPRC!D754,$W$7:$W$88,0)),"")</f>
        <v/>
      </c>
    </row>
    <row r="760" spans="11:12" x14ac:dyDescent="0.25">
      <c r="K760" t="str">
        <f>mapPRC!A755</f>
        <v>XINDELP</v>
      </c>
      <c r="L760" t="str">
        <f>IFERROR(INDEX($X$7:$X$88,MATCH(mapPRC!D755,$W$7:$W$88,0)),"")</f>
        <v/>
      </c>
    </row>
    <row r="761" spans="11:12" x14ac:dyDescent="0.25">
      <c r="K761" t="str">
        <f>mapPRC!A756</f>
        <v>XINDGAS</v>
      </c>
      <c r="L761" t="str">
        <f>IFERROR(INDEX($X$7:$X$88,MATCH(mapPRC!D756,$W$7:$W$88,0)),"")</f>
        <v/>
      </c>
    </row>
    <row r="762" spans="11:12" x14ac:dyDescent="0.25">
      <c r="K762" t="str">
        <f>mapPRC!A757</f>
        <v>XINDODS</v>
      </c>
      <c r="L762" t="str">
        <f>IFERROR(INDEX($X$7:$X$88,MATCH(mapPRC!D757,$W$7:$W$88,0)),"")</f>
        <v/>
      </c>
    </row>
    <row r="763" spans="11:12" x14ac:dyDescent="0.25">
      <c r="K763" t="str">
        <f>mapPRC!A758</f>
        <v>XINDOGS</v>
      </c>
      <c r="L763" t="str">
        <f>IFERROR(INDEX($X$7:$X$88,MATCH(mapPRC!D758,$W$7:$W$88,0)),"")</f>
        <v/>
      </c>
    </row>
    <row r="764" spans="11:12" x14ac:dyDescent="0.25">
      <c r="K764" t="str">
        <f>mapPRC!A759</f>
        <v>XINDOHF</v>
      </c>
      <c r="L764" t="str">
        <f>IFERROR(INDEX($X$7:$X$88,MATCH(mapPRC!D759,$W$7:$W$88,0)),"")</f>
        <v/>
      </c>
    </row>
    <row r="765" spans="11:12" x14ac:dyDescent="0.25">
      <c r="K765" t="str">
        <f>mapPRC!A760</f>
        <v>XINDOLP</v>
      </c>
      <c r="L765" t="str">
        <f>IFERROR(INDEX($X$7:$X$88,MATCH(mapPRC!D760,$W$7:$W$88,0)),"")</f>
        <v/>
      </c>
    </row>
    <row r="766" spans="11:12" x14ac:dyDescent="0.25">
      <c r="K766" t="str">
        <f>mapPRC!A761</f>
        <v>XINDWAS</v>
      </c>
      <c r="L766" t="str">
        <f>IFERROR(INDEX($X$7:$X$88,MATCH(mapPRC!D761,$W$7:$W$88,0)),"")</f>
        <v/>
      </c>
    </row>
    <row r="767" spans="11:12" x14ac:dyDescent="0.25">
      <c r="K767" t="str">
        <f>mapPRC!A762</f>
        <v>XINFELC</v>
      </c>
      <c r="L767" t="str">
        <f>IFERROR(INDEX($X$7:$X$88,MATCH(mapPRC!D762,$W$7:$W$88,0)),"")</f>
        <v>elec</v>
      </c>
    </row>
    <row r="768" spans="11:12" x14ac:dyDescent="0.25">
      <c r="K768" t="str">
        <f>mapPRC!A763</f>
        <v>XINFGAS</v>
      </c>
      <c r="L768" t="str">
        <f>IFERROR(INDEX($X$7:$X$88,MATCH(mapPRC!D763,$W$7:$W$88,0)),"")</f>
        <v/>
      </c>
    </row>
    <row r="769" spans="11:12" x14ac:dyDescent="0.25">
      <c r="K769" t="str">
        <f>mapPRC!A764</f>
        <v>XINMBIO</v>
      </c>
      <c r="L769" t="str">
        <f>IFERROR(INDEX($X$7:$X$88,MATCH(mapPRC!D764,$W$7:$W$88,0)),"")</f>
        <v/>
      </c>
    </row>
    <row r="770" spans="11:12" x14ac:dyDescent="0.25">
      <c r="K770" t="str">
        <f>mapPRC!A765</f>
        <v>XINMCOA</v>
      </c>
      <c r="L770" t="str">
        <f>IFERROR(INDEX($X$7:$X$88,MATCH(mapPRC!D765,$W$7:$W$88,0)),"")</f>
        <v/>
      </c>
    </row>
    <row r="771" spans="11:12" x14ac:dyDescent="0.25">
      <c r="K771" t="str">
        <f>mapPRC!A766</f>
        <v>XINMELC</v>
      </c>
      <c r="L771" t="str">
        <f>IFERROR(INDEX($X$7:$X$88,MATCH(mapPRC!D766,$W$7:$W$88,0)),"")</f>
        <v>elec</v>
      </c>
    </row>
    <row r="772" spans="11:12" x14ac:dyDescent="0.25">
      <c r="K772" t="str">
        <f>mapPRC!A767</f>
        <v>XINMGAS</v>
      </c>
      <c r="L772" t="str">
        <f>IFERROR(INDEX($X$7:$X$88,MATCH(mapPRC!D767,$W$7:$W$88,0)),"")</f>
        <v/>
      </c>
    </row>
    <row r="773" spans="11:12" x14ac:dyDescent="0.25">
      <c r="K773" t="str">
        <f>mapPRC!A768</f>
        <v>XINMOIL</v>
      </c>
      <c r="L773" t="str">
        <f>IFERROR(INDEX($X$7:$X$88,MATCH(mapPRC!D768,$W$7:$W$88,0)),"")</f>
        <v/>
      </c>
    </row>
    <row r="774" spans="11:12" x14ac:dyDescent="0.25">
      <c r="K774" t="str">
        <f>mapPRC!A769</f>
        <v>XIOTELC</v>
      </c>
      <c r="L774" t="str">
        <f>IFERROR(INDEX($X$7:$X$88,MATCH(mapPRC!D769,$W$7:$W$88,0)),"")</f>
        <v>elec</v>
      </c>
    </row>
    <row r="775" spans="11:12" x14ac:dyDescent="0.25">
      <c r="K775" t="str">
        <f>mapPRC!A770</f>
        <v>XIOTGAS</v>
      </c>
      <c r="L775" t="str">
        <f>IFERROR(INDEX($X$7:$X$88,MATCH(mapPRC!D770,$W$7:$W$88,0)),"")</f>
        <v/>
      </c>
    </row>
    <row r="776" spans="11:12" x14ac:dyDescent="0.25">
      <c r="K776" t="str">
        <f>mapPRC!A771</f>
        <v>XIPPBIB</v>
      </c>
      <c r="L776" t="str">
        <f>IFERROR(INDEX($X$7:$X$88,MATCH(mapPRC!D771,$W$7:$W$88,0)),"")</f>
        <v/>
      </c>
    </row>
    <row r="777" spans="11:12" x14ac:dyDescent="0.25">
      <c r="K777" t="str">
        <f>mapPRC!A772</f>
        <v>XIPPCOA</v>
      </c>
      <c r="L777" t="str">
        <f>IFERROR(INDEX($X$7:$X$88,MATCH(mapPRC!D772,$W$7:$W$88,0)),"")</f>
        <v/>
      </c>
    </row>
    <row r="778" spans="11:12" x14ac:dyDescent="0.25">
      <c r="K778" t="str">
        <f>mapPRC!A773</f>
        <v>XIPPELC</v>
      </c>
      <c r="L778" t="str">
        <f>IFERROR(INDEX($X$7:$X$88,MATCH(mapPRC!D773,$W$7:$W$88,0)),"")</f>
        <v>elec</v>
      </c>
    </row>
    <row r="779" spans="11:12" x14ac:dyDescent="0.25">
      <c r="K779" t="str">
        <f>mapPRC!A774</f>
        <v>XIPPGAS</v>
      </c>
      <c r="L779" t="str">
        <f>IFERROR(INDEX($X$7:$X$88,MATCH(mapPRC!D774,$W$7:$W$88,0)),"")</f>
        <v/>
      </c>
    </row>
    <row r="780" spans="11:12" x14ac:dyDescent="0.25">
      <c r="K780" t="str">
        <f>mapPRC!A775</f>
        <v>XIPPODS</v>
      </c>
      <c r="L780" t="str">
        <f>IFERROR(INDEX($X$7:$X$88,MATCH(mapPRC!D775,$W$7:$W$88,0)),"")</f>
        <v/>
      </c>
    </row>
    <row r="781" spans="11:12" x14ac:dyDescent="0.25">
      <c r="K781" t="str">
        <f>mapPRC!A776</f>
        <v>XIPPOGS</v>
      </c>
      <c r="L781" t="str">
        <f>IFERROR(INDEX($X$7:$X$88,MATCH(mapPRC!D776,$W$7:$W$88,0)),"")</f>
        <v/>
      </c>
    </row>
    <row r="782" spans="11:12" x14ac:dyDescent="0.25">
      <c r="K782" t="str">
        <f>mapPRC!A777</f>
        <v>XIPPOHF</v>
      </c>
      <c r="L782" t="str">
        <f>IFERROR(INDEX($X$7:$X$88,MATCH(mapPRC!D777,$W$7:$W$88,0)),"")</f>
        <v/>
      </c>
    </row>
    <row r="783" spans="11:12" x14ac:dyDescent="0.25">
      <c r="K783" t="str">
        <f>mapPRC!A778</f>
        <v>XIPPOLP</v>
      </c>
      <c r="L783" t="str">
        <f>IFERROR(INDEX($X$7:$X$88,MATCH(mapPRC!D778,$W$7:$W$88,0)),"")</f>
        <v/>
      </c>
    </row>
    <row r="784" spans="11:12" x14ac:dyDescent="0.25">
      <c r="K784" t="str">
        <f>mapPRC!A779</f>
        <v>XIPPRECP</v>
      </c>
      <c r="L784" t="str">
        <f>IFERROR(INDEX($X$7:$X$88,MATCH(mapPRC!D779,$W$7:$W$88,0)),"")</f>
        <v/>
      </c>
    </row>
    <row r="785" spans="11:12" x14ac:dyDescent="0.25">
      <c r="K785" t="str">
        <f>mapPRC!A780</f>
        <v>XPWRBIB</v>
      </c>
      <c r="L785" t="str">
        <f>IFERROR(INDEX($X$7:$X$88,MATCH(mapPRC!D780,$W$7:$W$88,0)),"")</f>
        <v/>
      </c>
    </row>
    <row r="786" spans="11:12" x14ac:dyDescent="0.25">
      <c r="K786" t="str">
        <f>mapPRC!A781</f>
        <v>XPWRBIG</v>
      </c>
      <c r="L786" t="str">
        <f>IFERROR(INDEX($X$7:$X$88,MATCH(mapPRC!D781,$W$7:$W$88,0)),"")</f>
        <v/>
      </c>
    </row>
    <row r="787" spans="11:12" x14ac:dyDescent="0.25">
      <c r="K787" t="str">
        <f>mapPRC!A782</f>
        <v>XPWRBIO</v>
      </c>
      <c r="L787" t="str">
        <f>IFERROR(INDEX($X$7:$X$88,MATCH(mapPRC!D782,$W$7:$W$88,0)),"")</f>
        <v/>
      </c>
    </row>
    <row r="788" spans="11:12" x14ac:dyDescent="0.25">
      <c r="K788" t="str">
        <f>mapPRC!A783</f>
        <v>XPWRBIW</v>
      </c>
      <c r="L788" t="str">
        <f>IFERROR(INDEX($X$7:$X$88,MATCH(mapPRC!D783,$W$7:$W$88,0)),"")</f>
        <v/>
      </c>
    </row>
    <row r="789" spans="11:12" x14ac:dyDescent="0.25">
      <c r="K789" t="str">
        <f>mapPRC!A784</f>
        <v>XPWRCLD</v>
      </c>
      <c r="L789" t="str">
        <f>IFERROR(INDEX($X$7:$X$88,MATCH(mapPRC!D784,$W$7:$W$88,0)),"")</f>
        <v/>
      </c>
    </row>
    <row r="790" spans="11:12" x14ac:dyDescent="0.25">
      <c r="K790" t="str">
        <f>mapPRC!A785</f>
        <v>XPWRCLE</v>
      </c>
      <c r="L790" t="str">
        <f>IFERROR(INDEX($X$7:$X$88,MATCH(mapPRC!D785,$W$7:$W$88,0)),"")</f>
        <v/>
      </c>
    </row>
    <row r="791" spans="11:12" x14ac:dyDescent="0.25">
      <c r="K791" t="str">
        <f>mapPRC!A786</f>
        <v>XPWRCLE-A</v>
      </c>
      <c r="L791" t="str">
        <f>IFERROR(INDEX($X$7:$X$88,MATCH(mapPRC!D786,$W$7:$W$88,0)),"")</f>
        <v/>
      </c>
    </row>
    <row r="792" spans="11:12" x14ac:dyDescent="0.25">
      <c r="K792" t="str">
        <f>mapPRC!A787</f>
        <v>XPWRCLEC</v>
      </c>
      <c r="L792" t="str">
        <f>IFERROR(INDEX($X$7:$X$88,MATCH(mapPRC!D787,$W$7:$W$88,0)),"")</f>
        <v/>
      </c>
    </row>
    <row r="793" spans="11:12" x14ac:dyDescent="0.25">
      <c r="K793" t="str">
        <f>mapPRC!A788</f>
        <v>XPWRCLEC-A</v>
      </c>
      <c r="L793" t="str">
        <f>IFERROR(INDEX($X$7:$X$88,MATCH(mapPRC!D788,$W$7:$W$88,0)),"")</f>
        <v/>
      </c>
    </row>
    <row r="794" spans="11:12" x14ac:dyDescent="0.25">
      <c r="K794" t="str">
        <f>mapPRC!A789</f>
        <v>XPWRCRB</v>
      </c>
      <c r="L794" t="str">
        <f>IFERROR(INDEX($X$7:$X$88,MATCH(mapPRC!D789,$W$7:$W$88,0)),"")</f>
        <v/>
      </c>
    </row>
    <row r="795" spans="11:12" x14ac:dyDescent="0.25">
      <c r="K795" t="str">
        <f>mapPRC!A790</f>
        <v>XPWRGAS</v>
      </c>
      <c r="L795" t="str">
        <f>IFERROR(INDEX($X$7:$X$88,MATCH(mapPRC!D790,$W$7:$W$88,0)),"")</f>
        <v/>
      </c>
    </row>
    <row r="796" spans="11:12" x14ac:dyDescent="0.25">
      <c r="K796" t="str">
        <f>mapPRC!A791</f>
        <v>XPWRGIC</v>
      </c>
      <c r="L796" t="str">
        <f>IFERROR(INDEX($X$7:$X$88,MATCH(mapPRC!D791,$W$7:$W$88,0)),"")</f>
        <v/>
      </c>
    </row>
    <row r="797" spans="11:12" x14ac:dyDescent="0.25">
      <c r="K797" t="str">
        <f>mapPRC!A792</f>
        <v>XPWRGIH</v>
      </c>
      <c r="L797" t="str">
        <f>IFERROR(INDEX($X$7:$X$88,MATCH(mapPRC!D792,$W$7:$W$88,0)),"")</f>
        <v/>
      </c>
    </row>
    <row r="798" spans="11:12" x14ac:dyDescent="0.25">
      <c r="K798" t="str">
        <f>mapPRC!A793</f>
        <v>XPWRGRM</v>
      </c>
      <c r="L798" t="str">
        <f>IFERROR(INDEX($X$7:$X$88,MATCH(mapPRC!D793,$W$7:$W$88,0)),"")</f>
        <v/>
      </c>
    </row>
    <row r="799" spans="11:12" x14ac:dyDescent="0.25">
      <c r="K799" t="str">
        <f>mapPRC!A794</f>
        <v>XPWRGRN</v>
      </c>
      <c r="L799" t="str">
        <f>IFERROR(INDEX($X$7:$X$88,MATCH(mapPRC!D794,$W$7:$W$88,0)),"")</f>
        <v/>
      </c>
    </row>
    <row r="800" spans="11:12" x14ac:dyDescent="0.25">
      <c r="K800" t="str">
        <f>mapPRC!A795</f>
        <v>XPWRGRS</v>
      </c>
      <c r="L800" t="str">
        <f>IFERROR(INDEX($X$7:$X$88,MATCH(mapPRC!D795,$W$7:$W$88,0)),"")</f>
        <v/>
      </c>
    </row>
    <row r="801" spans="11:12" x14ac:dyDescent="0.25">
      <c r="K801" t="str">
        <f>mapPRC!A796</f>
        <v>XPWRHYD</v>
      </c>
      <c r="L801" t="str">
        <f>IFERROR(INDEX($X$7:$X$88,MATCH(mapPRC!D796,$W$7:$W$88,0)),"")</f>
        <v/>
      </c>
    </row>
    <row r="802" spans="11:12" x14ac:dyDescent="0.25">
      <c r="K802" t="str">
        <f>mapPRC!A797</f>
        <v>XPWRNUC</v>
      </c>
      <c r="L802" t="str">
        <f>IFERROR(INDEX($X$7:$X$88,MATCH(mapPRC!D797,$W$7:$W$88,0)),"")</f>
        <v/>
      </c>
    </row>
    <row r="803" spans="11:12" x14ac:dyDescent="0.25">
      <c r="K803" t="str">
        <f>mapPRC!A798</f>
        <v>XPWRODS</v>
      </c>
      <c r="L803" t="str">
        <f>IFERROR(INDEX($X$7:$X$88,MATCH(mapPRC!D798,$W$7:$W$88,0)),"")</f>
        <v/>
      </c>
    </row>
    <row r="804" spans="11:12" x14ac:dyDescent="0.25">
      <c r="K804" t="str">
        <f>mapPRC!A799</f>
        <v>XPWRSOL</v>
      </c>
      <c r="L804" t="str">
        <f>IFERROR(INDEX($X$7:$X$88,MATCH(mapPRC!D799,$W$7:$W$88,0)),"")</f>
        <v/>
      </c>
    </row>
    <row r="805" spans="11:12" x14ac:dyDescent="0.25">
      <c r="K805" t="str">
        <f>mapPRC!A800</f>
        <v>XPWRWND</v>
      </c>
      <c r="L805" t="str">
        <f>IFERROR(INDEX($X$7:$X$88,MATCH(mapPRC!D800,$W$7:$W$88,0)),"")</f>
        <v/>
      </c>
    </row>
    <row r="806" spans="11:12" x14ac:dyDescent="0.25">
      <c r="K806" t="str">
        <f>mapPRC!A801</f>
        <v>XRESBIW</v>
      </c>
      <c r="L806" t="str">
        <f>IFERROR(INDEX($X$7:$X$88,MATCH(mapPRC!D801,$W$7:$W$88,0)),"")</f>
        <v/>
      </c>
    </row>
    <row r="807" spans="11:12" x14ac:dyDescent="0.25">
      <c r="K807" t="str">
        <f>mapPRC!A802</f>
        <v>XRESCOA</v>
      </c>
      <c r="L807" t="str">
        <f>IFERROR(INDEX($X$7:$X$88,MATCH(mapPRC!D802,$W$7:$W$88,0)),"")</f>
        <v/>
      </c>
    </row>
    <row r="808" spans="11:12" x14ac:dyDescent="0.25">
      <c r="K808" t="str">
        <f>mapPRC!A803</f>
        <v>XRESELC</v>
      </c>
      <c r="L808" t="str">
        <f>IFERROR(INDEX($X$7:$X$88,MATCH(mapPRC!D803,$W$7:$W$88,0)),"")</f>
        <v>elec</v>
      </c>
    </row>
    <row r="809" spans="11:12" x14ac:dyDescent="0.25">
      <c r="K809" t="str">
        <f>mapPRC!A804</f>
        <v>XRESGAS</v>
      </c>
      <c r="L809" t="str">
        <f>IFERROR(INDEX($X$7:$X$88,MATCH(mapPRC!D804,$W$7:$W$88,0)),"")</f>
        <v/>
      </c>
    </row>
    <row r="810" spans="11:12" x14ac:dyDescent="0.25">
      <c r="K810" t="str">
        <f>mapPRC!A805</f>
        <v>XRESOKE</v>
      </c>
      <c r="L810" t="str">
        <f>IFERROR(INDEX($X$7:$X$88,MATCH(mapPRC!D805,$W$7:$W$88,0)),"")</f>
        <v/>
      </c>
    </row>
    <row r="811" spans="11:12" x14ac:dyDescent="0.25">
      <c r="K811" t="str">
        <f>mapPRC!A806</f>
        <v>XRESOLP</v>
      </c>
      <c r="L811" t="str">
        <f>IFERROR(INDEX($X$7:$X$88,MATCH(mapPRC!D806,$W$7:$W$88,0)),"")</f>
        <v/>
      </c>
    </row>
    <row r="812" spans="11:12" x14ac:dyDescent="0.25">
      <c r="K812" t="str">
        <f>mapPRC!A807</f>
        <v>XTRABGS</v>
      </c>
      <c r="L812" t="str">
        <f>IFERROR(INDEX($X$7:$X$88,MATCH(mapPRC!D807,$W$7:$W$88,0)),"")</f>
        <v/>
      </c>
    </row>
    <row r="813" spans="11:12" x14ac:dyDescent="0.25">
      <c r="K813" t="str">
        <f>mapPRC!A808</f>
        <v>XTRABID</v>
      </c>
      <c r="L813" t="str">
        <f>IFERROR(INDEX($X$7:$X$88,MATCH(mapPRC!D808,$W$7:$W$88,0)),"")</f>
        <v/>
      </c>
    </row>
    <row r="814" spans="11:12" x14ac:dyDescent="0.25">
      <c r="K814" t="str">
        <f>mapPRC!A809</f>
        <v>XTRABIE</v>
      </c>
      <c r="L814" t="str">
        <f>IFERROR(INDEX($X$7:$X$88,MATCH(mapPRC!D809,$W$7:$W$88,0)),"")</f>
        <v/>
      </c>
    </row>
    <row r="815" spans="11:12" x14ac:dyDescent="0.25">
      <c r="K815" t="str">
        <f>mapPRC!A810</f>
        <v>XTRAELC</v>
      </c>
      <c r="L815" t="str">
        <f>IFERROR(INDEX($X$7:$X$88,MATCH(mapPRC!D810,$W$7:$W$88,0)),"")</f>
        <v>elec</v>
      </c>
    </row>
    <row r="816" spans="11:12" x14ac:dyDescent="0.25">
      <c r="K816" t="str">
        <f>mapPRC!A811</f>
        <v>XTRAEVF</v>
      </c>
      <c r="L816" t="str">
        <f>IFERROR(INDEX($X$7:$X$88,MATCH(mapPRC!D811,$W$7:$W$88,0)),"")</f>
        <v/>
      </c>
    </row>
    <row r="817" spans="11:12" x14ac:dyDescent="0.25">
      <c r="K817" t="str">
        <f>mapPRC!A812</f>
        <v>XTRAEVP</v>
      </c>
      <c r="L817" t="str">
        <f>IFERROR(INDEX($X$7:$X$88,MATCH(mapPRC!D812,$W$7:$W$88,0)),"")</f>
        <v/>
      </c>
    </row>
    <row r="818" spans="11:12" x14ac:dyDescent="0.25">
      <c r="K818" t="str">
        <f>mapPRC!A813</f>
        <v>XTRAGAS</v>
      </c>
      <c r="L818" t="str">
        <f>IFERROR(INDEX($X$7:$X$88,MATCH(mapPRC!D813,$W$7:$W$88,0)),"")</f>
        <v/>
      </c>
    </row>
    <row r="819" spans="11:12" x14ac:dyDescent="0.25">
      <c r="K819" t="str">
        <f>mapPRC!A814</f>
        <v>XTRAHGN</v>
      </c>
      <c r="L819" t="str">
        <f>IFERROR(INDEX($X$7:$X$88,MATCH(mapPRC!D814,$W$7:$W$88,0)),"")</f>
        <v/>
      </c>
    </row>
    <row r="820" spans="11:12" x14ac:dyDescent="0.25">
      <c r="K820" t="str">
        <f>mapPRC!A815</f>
        <v>XTRAOAG</v>
      </c>
      <c r="L820" t="str">
        <f>IFERROR(INDEX($X$7:$X$88,MATCH(mapPRC!D815,$W$7:$W$88,0)),"")</f>
        <v/>
      </c>
    </row>
    <row r="821" spans="11:12" x14ac:dyDescent="0.25">
      <c r="K821" t="str">
        <f>mapPRC!A816</f>
        <v>XTRAODS</v>
      </c>
      <c r="L821" t="str">
        <f>IFERROR(INDEX($X$7:$X$88,MATCH(mapPRC!D816,$W$7:$W$88,0)),"")</f>
        <v/>
      </c>
    </row>
    <row r="822" spans="11:12" x14ac:dyDescent="0.25">
      <c r="K822" t="str">
        <f>mapPRC!A817</f>
        <v>XTRAOGS</v>
      </c>
      <c r="L822" t="str">
        <f>IFERROR(INDEX($X$7:$X$88,MATCH(mapPRC!D817,$W$7:$W$88,0)),"")</f>
        <v/>
      </c>
    </row>
    <row r="823" spans="11:12" x14ac:dyDescent="0.25">
      <c r="K823" t="str">
        <f>mapPRC!A818</f>
        <v>XTRAOHF</v>
      </c>
      <c r="L823" t="str">
        <f>IFERROR(INDEX($X$7:$X$88,MATCH(mapPRC!D818,$W$7:$W$88,0)),"")</f>
        <v/>
      </c>
    </row>
    <row r="824" spans="11:12" x14ac:dyDescent="0.25">
      <c r="K824" t="str">
        <f>mapPRC!A819</f>
        <v>XTRAOKE</v>
      </c>
      <c r="L824" t="str">
        <f>IFERROR(INDEX($X$7:$X$88,MATCH(mapPRC!D819,$W$7:$W$88,0)),"")</f>
        <v/>
      </c>
    </row>
    <row r="825" spans="11:12" x14ac:dyDescent="0.25">
      <c r="K825" t="str">
        <f>mapPRC!A820</f>
        <v>XUPSBID</v>
      </c>
      <c r="L825" t="str">
        <f>IFERROR(INDEX($X$7:$X$88,MATCH(mapPRC!D820,$W$7:$W$88,0)),"")</f>
        <v/>
      </c>
    </row>
    <row r="826" spans="11:12" x14ac:dyDescent="0.25">
      <c r="K826" t="str">
        <f>mapPRC!A821</f>
        <v>XUPSBIE</v>
      </c>
      <c r="L826" t="str">
        <f>IFERROR(INDEX($X$7:$X$88,MATCH(mapPRC!D821,$W$7:$W$88,0)),"")</f>
        <v/>
      </c>
    </row>
    <row r="827" spans="11:12" x14ac:dyDescent="0.25">
      <c r="K827" t="str">
        <f>mapPRC!A822</f>
        <v>XUPSCLE</v>
      </c>
      <c r="L827" t="str">
        <f>IFERROR(INDEX($X$7:$X$88,MATCH(mapPRC!D822,$W$7:$W$88,0)),"")</f>
        <v/>
      </c>
    </row>
    <row r="828" spans="11:12" x14ac:dyDescent="0.25">
      <c r="K828" t="str">
        <f>mapPRC!A823</f>
        <v>XUPSCLE-S</v>
      </c>
      <c r="L828" t="str">
        <f>IFERROR(INDEX($X$7:$X$88,MATCH(mapPRC!D823,$W$7:$W$88,0)),"")</f>
        <v/>
      </c>
    </row>
    <row r="829" spans="11:12" x14ac:dyDescent="0.25">
      <c r="K829" t="str">
        <f>mapPRC!A824</f>
        <v>XUPSELC</v>
      </c>
      <c r="L829" t="str">
        <f>IFERROR(INDEX($X$7:$X$88,MATCH(mapPRC!D824,$W$7:$W$88,0)),"")</f>
        <v>elec</v>
      </c>
    </row>
    <row r="830" spans="11:12" x14ac:dyDescent="0.25">
      <c r="K830" t="str">
        <f>mapPRC!A825</f>
        <v>XUPSGAS</v>
      </c>
      <c r="L830" t="str">
        <f>IFERROR(INDEX($X$7:$X$88,MATCH(mapPRC!D825,$W$7:$W$88,0)),"")</f>
        <v/>
      </c>
    </row>
    <row r="831" spans="11:12" x14ac:dyDescent="0.25">
      <c r="K831" t="str">
        <f>mapPRC!A826</f>
        <v>XUPSGIC</v>
      </c>
      <c r="L831" t="str">
        <f>IFERROR(INDEX($X$7:$X$88,MATCH(mapPRC!D826,$W$7:$W$88,0)),"")</f>
        <v/>
      </c>
    </row>
    <row r="832" spans="11:12" x14ac:dyDescent="0.25">
      <c r="K832" t="str">
        <f>mapPRC!A827</f>
        <v>XUPSHEE</v>
      </c>
      <c r="L832" t="str">
        <f>IFERROR(INDEX($X$7:$X$88,MATCH(mapPRC!D827,$W$7:$W$88,0)),"")</f>
        <v/>
      </c>
    </row>
    <row r="833" spans="11:12" x14ac:dyDescent="0.25">
      <c r="K833" t="str">
        <f>mapPRC!A828</f>
        <v>XUPSHEN</v>
      </c>
      <c r="L833" t="str">
        <f>IFERROR(INDEX($X$7:$X$88,MATCH(mapPRC!D828,$W$7:$W$88,0)),"")</f>
        <v/>
      </c>
    </row>
    <row r="834" spans="11:12" x14ac:dyDescent="0.25">
      <c r="K834" t="str">
        <f>mapPRC!A829</f>
        <v>XUPSOCR</v>
      </c>
      <c r="L834" t="str">
        <f>IFERROR(INDEX($X$7:$X$88,MATCH(mapPRC!D829,$W$7:$W$88,0)),"")</f>
        <v/>
      </c>
    </row>
    <row r="835" spans="11:12" x14ac:dyDescent="0.25">
      <c r="K835" t="str">
        <f>mapPRC!A830</f>
        <v>XUPSOHF</v>
      </c>
      <c r="L835" t="str">
        <f>IFERROR(INDEX($X$7:$X$88,MATCH(mapPRC!D830,$W$7:$W$88,0)),"")</f>
        <v/>
      </c>
    </row>
    <row r="836" spans="11:12" x14ac:dyDescent="0.25">
      <c r="K836" t="str">
        <f>mapPRC!A831</f>
        <v>ZZBKELCC</v>
      </c>
      <c r="L836" t="str">
        <f>IFERROR(INDEX($X$7:$X$88,MATCH(mapPRC!D831,$W$7:$W$88,0)),"")</f>
        <v/>
      </c>
    </row>
    <row r="837" spans="11:12" x14ac:dyDescent="0.25">
      <c r="K837" t="str">
        <f>mapPRC!A832</f>
        <v>ZZBKNRG</v>
      </c>
      <c r="L837" t="str">
        <f>IFERROR(INDEX($X$7:$X$88,MATCH(mapPRC!D832,$W$7:$W$88,0)),"")</f>
        <v/>
      </c>
    </row>
    <row r="838" spans="11:12" x14ac:dyDescent="0.25">
      <c r="K838" t="str">
        <f>mapPRC!A833</f>
        <v>ZZCOMCEC</v>
      </c>
      <c r="L838" t="str">
        <f>IFERROR(INDEX($X$7:$X$88,MATCH(mapPRC!D833,$W$7:$W$88,0)),"")</f>
        <v/>
      </c>
    </row>
    <row r="839" spans="11:12" x14ac:dyDescent="0.25">
      <c r="K839" t="str">
        <f>mapPRC!A834</f>
        <v>ZZCOMCEG</v>
      </c>
      <c r="L839" t="str">
        <f>IFERROR(INDEX($X$7:$X$88,MATCH(mapPRC!D834,$W$7:$W$88,0)),"")</f>
        <v/>
      </c>
    </row>
    <row r="840" spans="11:12" x14ac:dyDescent="0.25">
      <c r="K840" t="str">
        <f>mapPRC!A835</f>
        <v>ZZCOMCEH</v>
      </c>
      <c r="L840" t="str">
        <f>IFERROR(INDEX($X$7:$X$88,MATCH(mapPRC!D835,$W$7:$W$88,0)),"")</f>
        <v/>
      </c>
    </row>
    <row r="841" spans="11:12" x14ac:dyDescent="0.25">
      <c r="K841" t="str">
        <f>mapPRC!A836</f>
        <v>ZZCOMCEK</v>
      </c>
      <c r="L841" t="str">
        <f>IFERROR(INDEX($X$7:$X$88,MATCH(mapPRC!D836,$W$7:$W$88,0)),"")</f>
        <v/>
      </c>
    </row>
    <row r="842" spans="11:12" x14ac:dyDescent="0.25">
      <c r="K842" t="str">
        <f>mapPRC!A837</f>
        <v>ZZCOMCEL</v>
      </c>
      <c r="L842" t="str">
        <f>IFERROR(INDEX($X$7:$X$88,MATCH(mapPRC!D837,$W$7:$W$88,0)),"")</f>
        <v/>
      </c>
    </row>
    <row r="843" spans="11:12" x14ac:dyDescent="0.25">
      <c r="K843" t="str">
        <f>mapPRC!A838</f>
        <v>ZZCOMCEO</v>
      </c>
      <c r="L843" t="str">
        <f>IFERROR(INDEX($X$7:$X$88,MATCH(mapPRC!D838,$W$7:$W$88,0)),"")</f>
        <v/>
      </c>
    </row>
    <row r="844" spans="11:12" x14ac:dyDescent="0.25">
      <c r="K844" t="str">
        <f>mapPRC!A839</f>
        <v>ZZCOMCER</v>
      </c>
      <c r="L844" t="str">
        <f>IFERROR(INDEX($X$7:$X$88,MATCH(mapPRC!D839,$W$7:$W$88,0)),"")</f>
        <v/>
      </c>
    </row>
    <row r="845" spans="11:12" x14ac:dyDescent="0.25">
      <c r="K845" t="str">
        <f>mapPRC!A840</f>
        <v>ZZCOMCET</v>
      </c>
      <c r="L845" t="str">
        <f>IFERROR(INDEX($X$7:$X$88,MATCH(mapPRC!D840,$W$7:$W$88,0)),"")</f>
        <v/>
      </c>
    </row>
    <row r="846" spans="11:12" x14ac:dyDescent="0.25">
      <c r="K846" t="str">
        <f>mapPRC!A841</f>
        <v>ZZCOMCEW</v>
      </c>
      <c r="L846" t="str">
        <f>IFERROR(INDEX($X$7:$X$88,MATCH(mapPRC!D841,$W$7:$W$88,0)),"")</f>
        <v/>
      </c>
    </row>
    <row r="847" spans="11:12" x14ac:dyDescent="0.25">
      <c r="K847" t="str">
        <f>mapPRC!A842</f>
        <v>ZZRHEH</v>
      </c>
      <c r="L847" t="str">
        <f>IFERROR(INDEX($X$7:$X$88,MATCH(mapPRC!D842,$W$7:$W$88,0)),"")</f>
        <v/>
      </c>
    </row>
    <row r="848" spans="11:12" x14ac:dyDescent="0.25">
      <c r="K848" t="str">
        <f>mapPRC!A843</f>
        <v>ZZRHEK</v>
      </c>
      <c r="L848" t="str">
        <f>IFERROR(INDEX($X$7:$X$88,MATCH(mapPRC!D843,$W$7:$W$88,0)),"")</f>
        <v/>
      </c>
    </row>
    <row r="849" spans="11:12" x14ac:dyDescent="0.25">
      <c r="K849" t="str">
        <f>mapPRC!A844</f>
        <v>ZZRHEL</v>
      </c>
      <c r="L849" t="str">
        <f>IFERROR(INDEX($X$7:$X$88,MATCH(mapPRC!D844,$W$7:$W$88,0)),"")</f>
        <v/>
      </c>
    </row>
    <row r="850" spans="11:12" x14ac:dyDescent="0.25">
      <c r="K850" t="str">
        <f>mapPRC!A845</f>
        <v>ZZRHEN</v>
      </c>
      <c r="L850" t="str">
        <f>IFERROR(INDEX($X$7:$X$88,MATCH(mapPRC!D845,$W$7:$W$88,0)),"")</f>
        <v/>
      </c>
    </row>
    <row r="851" spans="11:12" x14ac:dyDescent="0.25">
      <c r="K851" t="str">
        <f>mapPRC!A846</f>
        <v>ZZRHEO</v>
      </c>
      <c r="L851" t="str">
        <f>IFERROR(INDEX($X$7:$X$88,MATCH(mapPRC!D846,$W$7:$W$88,0)),"")</f>
        <v/>
      </c>
    </row>
    <row r="852" spans="11:12" x14ac:dyDescent="0.25">
      <c r="K852" t="str">
        <f>mapPRC!A847</f>
        <v>ZZRHER</v>
      </c>
      <c r="L852" t="str">
        <f>IFERROR(INDEX($X$7:$X$88,MATCH(mapPRC!D847,$W$7:$W$88,0)),"")</f>
        <v/>
      </c>
    </row>
    <row r="853" spans="11:12" x14ac:dyDescent="0.25">
      <c r="K853" t="str">
        <f>mapPRC!A848</f>
        <v>ZZRHEW</v>
      </c>
      <c r="L853" t="str">
        <f>IFERROR(INDEX($X$7:$X$88,MATCH(mapPRC!D848,$W$7:$W$88,0)),"")</f>
        <v/>
      </c>
    </row>
    <row r="854" spans="11:12" x14ac:dyDescent="0.25">
      <c r="K854" t="str">
        <f>mapPRC!A849</f>
        <v>ZZRHEWG</v>
      </c>
      <c r="L854" t="str">
        <f>IFERROR(INDEX($X$7:$X$88,MATCH(mapPRC!D849,$W$7:$W$88,0)),"")</f>
        <v/>
      </c>
    </row>
    <row r="855" spans="11:12" x14ac:dyDescent="0.25">
      <c r="K855" t="str">
        <f>mapPRC!A850</f>
        <v>ZZRLEH</v>
      </c>
      <c r="L855" t="str">
        <f>IFERROR(INDEX($X$7:$X$88,MATCH(mapPRC!D850,$W$7:$W$88,0)),"")</f>
        <v/>
      </c>
    </row>
    <row r="856" spans="11:12" x14ac:dyDescent="0.25">
      <c r="K856" t="str">
        <f>mapPRC!A851</f>
        <v>ZZRLEK</v>
      </c>
      <c r="L856" t="str">
        <f>IFERROR(INDEX($X$7:$X$88,MATCH(mapPRC!D851,$W$7:$W$88,0)),"")</f>
        <v/>
      </c>
    </row>
    <row r="857" spans="11:12" x14ac:dyDescent="0.25">
      <c r="K857" t="str">
        <f>mapPRC!A852</f>
        <v>ZZRLEL</v>
      </c>
      <c r="L857" t="str">
        <f>IFERROR(INDEX($X$7:$X$88,MATCH(mapPRC!D852,$W$7:$W$88,0)),"")</f>
        <v/>
      </c>
    </row>
    <row r="858" spans="11:12" x14ac:dyDescent="0.25">
      <c r="K858" t="str">
        <f>mapPRC!A853</f>
        <v>ZZRLEN</v>
      </c>
      <c r="L858" t="str">
        <f>IFERROR(INDEX($X$7:$X$88,MATCH(mapPRC!D853,$W$7:$W$88,0)),"")</f>
        <v/>
      </c>
    </row>
    <row r="859" spans="11:12" x14ac:dyDescent="0.25">
      <c r="K859" t="str">
        <f>mapPRC!A854</f>
        <v>ZZRLEO</v>
      </c>
      <c r="L859" t="str">
        <f>IFERROR(INDEX($X$7:$X$88,MATCH(mapPRC!D854,$W$7:$W$88,0)),"")</f>
        <v/>
      </c>
    </row>
    <row r="860" spans="11:12" x14ac:dyDescent="0.25">
      <c r="K860" t="str">
        <f>mapPRC!A855</f>
        <v>ZZRLER</v>
      </c>
      <c r="L860" t="str">
        <f>IFERROR(INDEX($X$7:$X$88,MATCH(mapPRC!D855,$W$7:$W$88,0)),"")</f>
        <v/>
      </c>
    </row>
    <row r="861" spans="11:12" x14ac:dyDescent="0.25">
      <c r="K861" t="str">
        <f>mapPRC!A856</f>
        <v>ZZRLEW</v>
      </c>
      <c r="L861" t="str">
        <f>IFERROR(INDEX($X$7:$X$88,MATCH(mapPRC!D856,$W$7:$W$88,0)),"")</f>
        <v/>
      </c>
    </row>
    <row r="862" spans="11:12" x14ac:dyDescent="0.25">
      <c r="K862" t="str">
        <f>mapPRC!A857</f>
        <v>ZZRLEWG</v>
      </c>
      <c r="L862" t="str">
        <f>IFERROR(INDEX($X$7:$X$88,MATCH(mapPRC!D857,$W$7:$W$88,0)),"")</f>
        <v/>
      </c>
    </row>
    <row r="863" spans="11:12" x14ac:dyDescent="0.25">
      <c r="K863" t="str">
        <f>mapPRC!A858</f>
        <v>ZZRLNH</v>
      </c>
      <c r="L863" t="str">
        <f>IFERROR(INDEX($X$7:$X$88,MATCH(mapPRC!D858,$W$7:$W$88,0)),"")</f>
        <v/>
      </c>
    </row>
    <row r="864" spans="11:12" x14ac:dyDescent="0.25">
      <c r="K864" t="str">
        <f>mapPRC!A859</f>
        <v>ZZRLNK</v>
      </c>
      <c r="L864" t="str">
        <f>IFERROR(INDEX($X$7:$X$88,MATCH(mapPRC!D859,$W$7:$W$88,0)),"")</f>
        <v/>
      </c>
    </row>
    <row r="865" spans="11:12" x14ac:dyDescent="0.25">
      <c r="K865" t="str">
        <f>mapPRC!A860</f>
        <v>ZZRLNL</v>
      </c>
      <c r="L865" t="str">
        <f>IFERROR(INDEX($X$7:$X$88,MATCH(mapPRC!D860,$W$7:$W$88,0)),"")</f>
        <v/>
      </c>
    </row>
    <row r="866" spans="11:12" x14ac:dyDescent="0.25">
      <c r="K866" t="str">
        <f>mapPRC!A861</f>
        <v>ZZRLNN</v>
      </c>
      <c r="L866" t="str">
        <f>IFERROR(INDEX($X$7:$X$88,MATCH(mapPRC!D861,$W$7:$W$88,0)),"")</f>
        <v/>
      </c>
    </row>
    <row r="867" spans="11:12" x14ac:dyDescent="0.25">
      <c r="K867" t="str">
        <f>mapPRC!A862</f>
        <v>ZZRLNW</v>
      </c>
      <c r="L867" t="str">
        <f>IFERROR(INDEX($X$7:$X$88,MATCH(mapPRC!D862,$W$7:$W$88,0)),"")</f>
        <v/>
      </c>
    </row>
    <row r="868" spans="11:12" x14ac:dyDescent="0.25">
      <c r="K868" t="str">
        <f>mapPRC!A863</f>
        <v>ZZRMEH</v>
      </c>
      <c r="L868" t="str">
        <f>IFERROR(INDEX($X$7:$X$88,MATCH(mapPRC!D863,$W$7:$W$88,0)),"")</f>
        <v/>
      </c>
    </row>
    <row r="869" spans="11:12" x14ac:dyDescent="0.25">
      <c r="K869" t="str">
        <f>mapPRC!A864</f>
        <v>ZZRMEK</v>
      </c>
      <c r="L869" t="str">
        <f>IFERROR(INDEX($X$7:$X$88,MATCH(mapPRC!D864,$W$7:$W$88,0)),"")</f>
        <v/>
      </c>
    </row>
    <row r="870" spans="11:12" x14ac:dyDescent="0.25">
      <c r="K870" t="str">
        <f>mapPRC!A865</f>
        <v>ZZRMEL</v>
      </c>
      <c r="L870" t="str">
        <f>IFERROR(INDEX($X$7:$X$88,MATCH(mapPRC!D865,$W$7:$W$88,0)),"")</f>
        <v/>
      </c>
    </row>
    <row r="871" spans="11:12" x14ac:dyDescent="0.25">
      <c r="K871" t="str">
        <f>mapPRC!A866</f>
        <v>ZZRMEN</v>
      </c>
      <c r="L871" t="str">
        <f>IFERROR(INDEX($X$7:$X$88,MATCH(mapPRC!D866,$W$7:$W$88,0)),"")</f>
        <v/>
      </c>
    </row>
    <row r="872" spans="11:12" x14ac:dyDescent="0.25">
      <c r="K872" t="str">
        <f>mapPRC!A867</f>
        <v>ZZRMEO</v>
      </c>
      <c r="L872" t="str">
        <f>IFERROR(INDEX($X$7:$X$88,MATCH(mapPRC!D867,$W$7:$W$88,0)),"")</f>
        <v/>
      </c>
    </row>
    <row r="873" spans="11:12" x14ac:dyDescent="0.25">
      <c r="K873" t="str">
        <f>mapPRC!A868</f>
        <v>ZZRMER</v>
      </c>
      <c r="L873" t="str">
        <f>IFERROR(INDEX($X$7:$X$88,MATCH(mapPRC!D868,$W$7:$W$88,0)),"")</f>
        <v/>
      </c>
    </row>
    <row r="874" spans="11:12" x14ac:dyDescent="0.25">
      <c r="K874" t="str">
        <f>mapPRC!A869</f>
        <v>ZZRMEW</v>
      </c>
      <c r="L874" t="str">
        <f>IFERROR(INDEX($X$7:$X$88,MATCH(mapPRC!D869,$W$7:$W$88,0)),"")</f>
        <v/>
      </c>
    </row>
    <row r="875" spans="11:12" x14ac:dyDescent="0.25">
      <c r="K875" t="str">
        <f>mapPRC!A870</f>
        <v>ZZRMEWG</v>
      </c>
      <c r="L875" t="str">
        <f>IFERROR(INDEX($X$7:$X$88,MATCH(mapPRC!D870,$W$7:$W$88,0)),"")</f>
        <v/>
      </c>
    </row>
    <row r="876" spans="11:12" x14ac:dyDescent="0.25">
      <c r="K876" t="str">
        <f>mapPRC!A871</f>
        <v>ZZRMNH</v>
      </c>
      <c r="L876" t="str">
        <f>IFERROR(INDEX($X$7:$X$88,MATCH(mapPRC!D871,$W$7:$W$88,0)),"")</f>
        <v/>
      </c>
    </row>
    <row r="877" spans="11:12" x14ac:dyDescent="0.25">
      <c r="K877" t="str">
        <f>mapPRC!A872</f>
        <v>ZZRMNK</v>
      </c>
      <c r="L877" t="str">
        <f>IFERROR(INDEX($X$7:$X$88,MATCH(mapPRC!D872,$W$7:$W$88,0)),"")</f>
        <v/>
      </c>
    </row>
    <row r="878" spans="11:12" x14ac:dyDescent="0.25">
      <c r="K878" t="str">
        <f>mapPRC!A873</f>
        <v>ZZRMNL</v>
      </c>
      <c r="L878" t="str">
        <f>IFERROR(INDEX($X$7:$X$88,MATCH(mapPRC!D873,$W$7:$W$88,0)),"")</f>
        <v/>
      </c>
    </row>
    <row r="879" spans="11:12" x14ac:dyDescent="0.25">
      <c r="K879" t="str">
        <f>mapPRC!A874</f>
        <v>ZZRMNN</v>
      </c>
      <c r="L879" t="str">
        <f>IFERROR(INDEX($X$7:$X$88,MATCH(mapPRC!D874,$W$7:$W$88,0)),"")</f>
        <v/>
      </c>
    </row>
    <row r="880" spans="11:12" x14ac:dyDescent="0.25">
      <c r="K880" t="str">
        <f>mapPRC!A875</f>
        <v>ZZRMNW</v>
      </c>
      <c r="L880" t="str">
        <f>IFERROR(INDEX($X$7:$X$88,MATCH(mapPRC!D875,$W$7:$W$88,0)),"")</f>
        <v/>
      </c>
    </row>
    <row r="881" spans="12:12" x14ac:dyDescent="0.25">
      <c r="L881" t="str">
        <f>IFERROR(INDEX($X$7:$X$88,MATCH(mapPRC!D876,$W$7:$W$88,0)),"")</f>
        <v/>
      </c>
    </row>
    <row r="882" spans="12:12" x14ac:dyDescent="0.25">
      <c r="L882" t="str">
        <f>IFERROR(INDEX($X$7:$X$88,MATCH(mapPRC!D877,$W$7:$W$88,0)),"")</f>
        <v/>
      </c>
    </row>
    <row r="883" spans="12:12" x14ac:dyDescent="0.25">
      <c r="L883" t="str">
        <f>IFERROR(INDEX($X$7:$X$88,MATCH(mapPRC!D878,$W$7:$W$88,0)),"")</f>
        <v/>
      </c>
    </row>
    <row r="884" spans="12:12" x14ac:dyDescent="0.25">
      <c r="L884" t="str">
        <f>IFERROR(INDEX($X$7:$X$88,MATCH(mapPRC!D879,$W$7:$W$88,0)),"")</f>
        <v/>
      </c>
    </row>
    <row r="885" spans="12:12" x14ac:dyDescent="0.25">
      <c r="L885" t="str">
        <f>IFERROR(INDEX($X$7:$X$88,MATCH(mapPRC!D880,$W$7:$W$88,0)),"")</f>
        <v/>
      </c>
    </row>
    <row r="886" spans="12:12" x14ac:dyDescent="0.25">
      <c r="L886" t="str">
        <f>IFERROR(INDEX($X$7:$X$88,MATCH(mapPRC!D881,$W$7:$W$88,0)),"")</f>
        <v/>
      </c>
    </row>
    <row r="887" spans="12:12" x14ac:dyDescent="0.25">
      <c r="L887" t="str">
        <f>IFERROR(INDEX($X$7:$X$88,MATCH(mapPRC!D882,$W$7:$W$88,0)),"")</f>
        <v/>
      </c>
    </row>
    <row r="888" spans="12:12" x14ac:dyDescent="0.25">
      <c r="L888" t="str">
        <f>IFERROR(INDEX($X$7:$X$88,MATCH(mapPRC!D883,$W$7:$W$88,0)),"")</f>
        <v/>
      </c>
    </row>
    <row r="889" spans="12:12" x14ac:dyDescent="0.25">
      <c r="L889" t="str">
        <f>IFERROR(INDEX($X$7:$X$88,MATCH(mapPRC!D884,$W$7:$W$88,0)),"")</f>
        <v/>
      </c>
    </row>
    <row r="890" spans="12:12" x14ac:dyDescent="0.25">
      <c r="L890" t="str">
        <f>IFERROR(INDEX($X$7:$X$88,MATCH(mapPRC!D885,$W$7:$W$88,0)),"")</f>
        <v/>
      </c>
    </row>
    <row r="891" spans="12:12" x14ac:dyDescent="0.25">
      <c r="L891" t="str">
        <f>IFERROR(INDEX($X$7:$X$88,MATCH(mapPRC!D886,$W$7:$W$88,0)),"")</f>
        <v/>
      </c>
    </row>
    <row r="892" spans="12:12" x14ac:dyDescent="0.25">
      <c r="L892" t="str">
        <f>IFERROR(INDEX($X$7:$X$88,MATCH(mapPRC!D887,$W$7:$W$88,0)),"")</f>
        <v/>
      </c>
    </row>
    <row r="893" spans="12:12" x14ac:dyDescent="0.25">
      <c r="L893" t="str">
        <f>IFERROR(INDEX($X$7:$X$88,MATCH(mapPRC!D888,$W$7:$W$88,0)),"")</f>
        <v/>
      </c>
    </row>
    <row r="894" spans="12:12" x14ac:dyDescent="0.25">
      <c r="L894" t="str">
        <f>IFERROR(INDEX($X$7:$X$88,MATCH(mapPRC!D889,$W$7:$W$88,0)),"")</f>
        <v/>
      </c>
    </row>
    <row r="895" spans="12:12" x14ac:dyDescent="0.25">
      <c r="L895" t="str">
        <f>IFERROR(INDEX($X$7:$X$88,MATCH(mapPRC!D890,$W$7:$W$88,0)),"")</f>
        <v/>
      </c>
    </row>
    <row r="896" spans="12:12" x14ac:dyDescent="0.25">
      <c r="L896" t="str">
        <f>IFERROR(INDEX($X$7:$X$88,MATCH(mapPRC!D891,$W$7:$W$88,0)),"")</f>
        <v/>
      </c>
    </row>
    <row r="897" spans="12:12" x14ac:dyDescent="0.25">
      <c r="L897" t="str">
        <f>IFERROR(INDEX($X$7:$X$88,MATCH(mapPRC!D892,$W$7:$W$88,0)),"")</f>
        <v/>
      </c>
    </row>
    <row r="898" spans="12:12" x14ac:dyDescent="0.25">
      <c r="L898" t="str">
        <f>IFERROR(INDEX($X$7:$X$88,MATCH(mapPRC!D893,$W$7:$W$88,0)),"")</f>
        <v/>
      </c>
    </row>
    <row r="899" spans="12:12" x14ac:dyDescent="0.25">
      <c r="L899" t="str">
        <f>IFERROR(INDEX($X$7:$X$88,MATCH(mapPRC!D894,$W$7:$W$88,0)),"")</f>
        <v/>
      </c>
    </row>
    <row r="900" spans="12:12" x14ac:dyDescent="0.25">
      <c r="L900" t="str">
        <f>IFERROR(INDEX($X$7:$X$88,MATCH(mapPRC!D895,$W$7:$W$88,0)),"")</f>
        <v/>
      </c>
    </row>
    <row r="901" spans="12:12" x14ac:dyDescent="0.25">
      <c r="L901" t="str">
        <f>IFERROR(INDEX($X$7:$X$88,MATCH(mapPRC!D896,$W$7:$W$88,0)),"")</f>
        <v/>
      </c>
    </row>
    <row r="902" spans="12:12" x14ac:dyDescent="0.25">
      <c r="L902" t="str">
        <f>IFERROR(INDEX($X$7:$X$88,MATCH(mapPRC!D897,$W$7:$W$88,0)),"")</f>
        <v/>
      </c>
    </row>
    <row r="903" spans="12:12" x14ac:dyDescent="0.25">
      <c r="L903" t="str">
        <f>IFERROR(INDEX($X$7:$X$88,MATCH(mapPRC!D898,$W$7:$W$88,0)),"")</f>
        <v/>
      </c>
    </row>
    <row r="904" spans="12:12" x14ac:dyDescent="0.25">
      <c r="L904" t="str">
        <f>IFERROR(INDEX($X$7:$X$88,MATCH(mapPRC!D899,$W$7:$W$88,0)),"")</f>
        <v/>
      </c>
    </row>
    <row r="905" spans="12:12" x14ac:dyDescent="0.25">
      <c r="L905" t="str">
        <f>IFERROR(INDEX($X$7:$X$88,MATCH(mapPRC!D900,$W$7:$W$88,0)),"")</f>
        <v/>
      </c>
    </row>
    <row r="906" spans="12:12" x14ac:dyDescent="0.25">
      <c r="L906" t="str">
        <f>IFERROR(INDEX($X$7:$X$88,MATCH(mapPRC!D901,$W$7:$W$88,0)),"")</f>
        <v/>
      </c>
    </row>
    <row r="907" spans="12:12" x14ac:dyDescent="0.25">
      <c r="L907" t="str">
        <f>IFERROR(INDEX($X$7:$X$88,MATCH(mapPRC!D902,$W$7:$W$88,0)),"")</f>
        <v/>
      </c>
    </row>
    <row r="908" spans="12:12" x14ac:dyDescent="0.25">
      <c r="L908" t="str">
        <f>IFERROR(INDEX($X$7:$X$88,MATCH(mapPRC!D903,$W$7:$W$88,0)),"")</f>
        <v/>
      </c>
    </row>
    <row r="909" spans="12:12" x14ac:dyDescent="0.25">
      <c r="L909" t="str">
        <f>IFERROR(INDEX($X$7:$X$88,MATCH(mapPRC!D904,$W$7:$W$88,0)),"")</f>
        <v/>
      </c>
    </row>
    <row r="910" spans="12:12" x14ac:dyDescent="0.25">
      <c r="L910" t="str">
        <f>IFERROR(INDEX($X$7:$X$88,MATCH(mapPRC!D905,$W$7:$W$88,0)),"")</f>
        <v/>
      </c>
    </row>
    <row r="911" spans="12:12" x14ac:dyDescent="0.25">
      <c r="L911" t="str">
        <f>IFERROR(INDEX($X$7:$X$88,MATCH(mapPRC!D906,$W$7:$W$88,0)),"")</f>
        <v/>
      </c>
    </row>
  </sheetData>
  <autoFilter ref="A6:X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mapPRC</vt:lpstr>
      <vt:lpstr>mapCOM</vt:lpstr>
      <vt:lpstr>IPCCMaps</vt:lpstr>
      <vt:lpstr>UserConstraints</vt:lpstr>
      <vt:lpstr>OtherSets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2020-07-16T11:38:12Z</dcterms:modified>
</cp:coreProperties>
</file>