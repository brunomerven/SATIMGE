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chartsheets/sheet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3.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heets/sheet4.xml" ContentType="application/vnd.openxmlformats-officedocument.spreadsheetml.chart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chartsheets/sheet5.xml" ContentType="application/vnd.openxmlformats-officedocument.spreadsheetml.chart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chartsheets/sheet6.xml" ContentType="application/vnd.openxmlformats-officedocument.spreadsheetml.chart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omments7.xml" ContentType="application/vnd.openxmlformats-officedocument.spreadsheetml.comment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5.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comments8.xml" ContentType="application/vnd.openxmlformats-officedocument.spreadsheetml.comment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8.xml" ContentType="application/vnd.openxmlformats-officedocument.drawing+xml"/>
  <Override PartName="/xl/comments9.xml" ContentType="application/vnd.openxmlformats-officedocument.spreadsheetml.comment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9.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0.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1.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2.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4.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5.xml" ContentType="application/vnd.openxmlformats-officedocument.drawing+xml"/>
  <Override PartName="/xl/comments10.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6.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7.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28.xml" ContentType="application/vnd.openxmlformats-officedocument.drawing+xml"/>
  <Override PartName="/xl/comments11.xml" ContentType="application/vnd.openxmlformats-officedocument.spreadsheetml.comments+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Deept\Desktop\NDC\"/>
    </mc:Choice>
  </mc:AlternateContent>
  <xr:revisionPtr revIDLastSave="0" documentId="13_ncr:1_{97AC3A8A-6A62-4C62-89D2-4B2D04B173DC}" xr6:coauthVersionLast="44" xr6:coauthVersionMax="44" xr10:uidLastSave="{00000000-0000-0000-0000-000000000000}"/>
  <bookViews>
    <workbookView xWindow="-120" yWindow="-120" windowWidth="20730" windowHeight="11160" tabRatio="878" firstSheet="37" activeTab="38" xr2:uid="{00000000-000D-0000-FFFF-FFFF00000000}"/>
  </bookViews>
  <sheets>
    <sheet name="QA Log" sheetId="54" r:id="rId1"/>
    <sheet name="QA Sheet" sheetId="40" r:id="rId2"/>
    <sheet name="# Lookup Table" sheetId="42" r:id="rId3"/>
    <sheet name="CheckLibrary" sheetId="2" r:id="rId4"/>
    <sheet name="Version notes" sheetId="43" r:id="rId5"/>
    <sheet name="Reviewer comments" sheetId="55" r:id="rId6"/>
    <sheet name="Conversion factors" sheetId="44" r:id="rId7"/>
    <sheet name="Completeness" sheetId="58" r:id="rId8"/>
    <sheet name="Data sources" sheetId="59" r:id="rId9"/>
    <sheet name="Sectoral table" sheetId="57" r:id="rId10"/>
    <sheet name="Trend tables" sheetId="56" r:id="rId11"/>
    <sheet name="IPPU Summary" sheetId="19" r:id="rId12"/>
    <sheet name="Chart1" sheetId="48" r:id="rId13"/>
    <sheet name="2A Summary" sheetId="14" r:id="rId14"/>
    <sheet name="Chart2" sheetId="49" r:id="rId15"/>
    <sheet name="2A1 Cement Production" sheetId="3" r:id="rId16"/>
    <sheet name="2A2 Lime Production" sheetId="4" r:id="rId17"/>
    <sheet name="2A3 Glass Production" sheetId="5" r:id="rId18"/>
    <sheet name="2A4 OPUC" sheetId="15" r:id="rId19"/>
    <sheet name="2B Summary" sheetId="20" r:id="rId20"/>
    <sheet name="Chart3" sheetId="50" r:id="rId21"/>
    <sheet name="2B1 Ammonia Production" sheetId="21" r:id="rId22"/>
    <sheet name="2B2 Nitric Acid Production" sheetId="22" r:id="rId23"/>
    <sheet name="2B5 Carbide Production" sheetId="23" r:id="rId24"/>
    <sheet name="2B6 Titanium Dioxide Production" sheetId="24" r:id="rId25"/>
    <sheet name="2B8 Carbon Black Production" sheetId="25" r:id="rId26"/>
    <sheet name="2C Summary" sheetId="29" r:id="rId27"/>
    <sheet name="Chart4" sheetId="51" r:id="rId28"/>
    <sheet name="2C1 Iron and Steel Production" sheetId="26" r:id="rId29"/>
    <sheet name="2C2 Ferroalloys Production" sheetId="27" r:id="rId30"/>
    <sheet name="2C3 Aluminium Production" sheetId="28" r:id="rId31"/>
    <sheet name="2C5 Lead Production" sheetId="30" r:id="rId32"/>
    <sheet name="2C6 Zinc Production" sheetId="31" r:id="rId33"/>
    <sheet name="2D Summary" sheetId="32" r:id="rId34"/>
    <sheet name="Chart5" sheetId="52" r:id="rId35"/>
    <sheet name="2D1 Lubricant Use" sheetId="33" r:id="rId36"/>
    <sheet name="2D2 Paraffin Wax Use" sheetId="34" r:id="rId37"/>
    <sheet name="2E Summary" sheetId="35" r:id="rId38"/>
    <sheet name="2F Summary" sheetId="36" r:id="rId39"/>
    <sheet name="Chart6" sheetId="53" r:id="rId40"/>
    <sheet name="2F1 Refrigeration and AC" sheetId="41" r:id="rId41"/>
    <sheet name="2F2 Foam blowing agents" sheetId="45" r:id="rId42"/>
    <sheet name="2F3 Fire protection" sheetId="46" r:id="rId43"/>
    <sheet name="2F4 Aerosols" sheetId="47" r:id="rId44"/>
    <sheet name="2G Summary" sheetId="37" r:id="rId45"/>
    <sheet name="2H Summary" sheetId="38" r:id="rId46"/>
    <sheet name="DbaseIndices" sheetId="60" r:id="rId47"/>
    <sheet name="Dbase" sheetId="61" r:id="rId48"/>
  </sheets>
  <externalReferences>
    <externalReference r:id="rId49"/>
  </externalReferences>
  <definedNames>
    <definedName name="_AtRisk_SimSetting_AutomaticallyGenerateReports">FALSE</definedName>
    <definedName name="_AtRisk_SimSetting_AutomaticResultsDisplayMode">0</definedName>
    <definedName name="_AtRisk_SimSetting_ConvergenceConfidenceLevel">0.95</definedName>
    <definedName name="_AtRisk_SimSetting_ConvergencePercentileToTest">0.9</definedName>
    <definedName name="_AtRisk_SimSetting_ConvergencePerformMeanTest">TRUE</definedName>
    <definedName name="_AtRisk_SimSetting_ConvergencePerformPercentileTest">FALSE</definedName>
    <definedName name="_AtRisk_SimSetting_ConvergencePerformStdDeviationTest">FALSE</definedName>
    <definedName name="_AtRisk_SimSetting_ConvergenceTestAllOutputs">TRUE</definedName>
    <definedName name="_AtRisk_SimSetting_ConvergenceTestingPeriod">100</definedName>
    <definedName name="_AtRisk_SimSetting_ConvergenceTolerance">0.03</definedName>
    <definedName name="_AtRisk_SimSetting_LiveUpdate">TRUE</definedName>
    <definedName name="_AtRisk_SimSetting_LiveUpdatePeriod">-1</definedName>
    <definedName name="_AtRisk_SimSetting_RandomNumberGenerator">0</definedName>
    <definedName name="_AtRisk_SimSetting_ReportsList">0</definedName>
    <definedName name="_AtRisk_SimSetting_SimNameCount">0</definedName>
    <definedName name="_AtRisk_SimSetting_SmartSensitivityAnalysisEnabled">TRUE</definedName>
    <definedName name="_AtRisk_SimSetting_StatisticFunctionUpdating">1</definedName>
    <definedName name="_AtRisk_SimSetting_StdRecalcBehavior">0</definedName>
    <definedName name="_AtRisk_SimSetting_StdRecalcWithoutRiskStatic">0</definedName>
    <definedName name="_AtRisk_SimSetting_StdRecalcWithoutRiskStaticPercentile">0.5</definedName>
    <definedName name="_xlnm._FilterDatabase" localSheetId="3" hidden="1">CheckLibrary!$A$5:$F$5</definedName>
    <definedName name="BMGHIndex">"O"</definedName>
    <definedName name="Cell_Range" localSheetId="0">'QA Log'!$F$21</definedName>
    <definedName name="CH4GWP">'Conversion factors'!$B$5</definedName>
    <definedName name="Comments" localSheetId="0">'QA Log'!#REF!</definedName>
    <definedName name="Date_comment_added" localSheetId="0">'QA Log'!$H$21</definedName>
    <definedName name="DME_LocalFile">"True"</definedName>
    <definedName name="Documentation" localSheetId="0">'QA Log'!$I$21</definedName>
    <definedName name="Fix_Status" localSheetId="0">'QA Log'!$K$21</definedName>
    <definedName name="Fix_Status_Analyst" localSheetId="0">'QA Log'!$M$21</definedName>
    <definedName name="Fix_Status_Comments" localSheetId="0">'QA Log'!#REF!</definedName>
    <definedName name="Fix_Status_Date" localSheetId="0">'QA Log'!$L$21</definedName>
    <definedName name="Full_Discussion" localSheetId="0">'QA Log'!#REF!</definedName>
    <definedName name="Full_String" localSheetId="0">'QA Log'!$O$21</definedName>
    <definedName name="Good_Practice" localSheetId="0">'QA Log'!#REF!</definedName>
    <definedName name="Impact" localSheetId="0">'QA Log'!#REF!</definedName>
    <definedName name="Issue_Score" localSheetId="0">'QA Log'!#REF!</definedName>
    <definedName name="N2OGWP">'Conversion factors'!$B$6</definedName>
    <definedName name="Pal_Workbook_GUID">"1LMS2U6TLKFBVGQISFA5FIYM"</definedName>
    <definedName name="_xlnm.Print_Area" localSheetId="9">'Sectoral table'!$A$1:$L$79</definedName>
    <definedName name="Problem" localSheetId="0">'QA Log'!$J$21</definedName>
    <definedName name="QA_analyst" localSheetId="0">'QA Log'!$D$21</definedName>
    <definedName name="QA_analysts_reference" localSheetId="0">'QA Log'!$C$21</definedName>
    <definedName name="QA_Requirement" localSheetId="0">'QA Log'!#REF!</definedName>
    <definedName name="QA_Requirement_Rating" localSheetId="0">'QA Log'!#REF!</definedName>
    <definedName name="QAAnalystCopyright" localSheetId="0">'QA Log'!$D$3</definedName>
    <definedName name="QAAnalystLicenceExpiry" comment="Text for licence expiry date, but has no effect on expiry date" localSheetId="0">'QA Log'!$E$4</definedName>
    <definedName name="QALogValues" localSheetId="0">'QA Log'!$B$22:$O$186</definedName>
    <definedName name="RiskAfterRecalcMacro">""</definedName>
    <definedName name="RiskAfterSimMacro">""</definedName>
    <definedName name="RiskBeforeRecalcMacro">""</definedName>
    <definedName name="RiskBeforeSimMacro">""</definedName>
    <definedName name="RiskCollectDistributionSamples">2</definedName>
    <definedName name="RiskFixedSeed">1</definedName>
    <definedName name="RiskHasSettings">5</definedName>
    <definedName name="RiskMinimizeOnStart">FALSE</definedName>
    <definedName name="RiskMonitorConvergence">FALSE</definedName>
    <definedName name="RiskMultipleCPUSupportEnabled">TRUE</definedName>
    <definedName name="RiskNumIterations">3000</definedName>
    <definedName name="RiskNumSimulations">1</definedName>
    <definedName name="RiskPauseOnError">FALSE</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tandardRecalc">1</definedName>
    <definedName name="RiskUpdateDisplay">FALSE</definedName>
    <definedName name="RiskUseDifferentSeedForEachSim">FALSE</definedName>
    <definedName name="RiskUseFixedSeed">FALSE</definedName>
    <definedName name="RiskUseMultipleCPUs">TRUE</definedName>
    <definedName name="Status">[1]Sheet1!$A$7:$A$10</definedName>
    <definedName name="Unknown_Hashtag" localSheetId="0">'QA Log'!$N$21</definedName>
    <definedName name="Workbook" localSheetId="0">'QA Log'!#REF!</definedName>
    <definedName name="Worksheet" localSheetId="0">'QA Log'!$E$21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10" i="36" l="1"/>
  <c r="W10" i="36"/>
  <c r="V8" i="36"/>
  <c r="W8" i="36"/>
  <c r="F3" i="61" l="1"/>
  <c r="F4" i="61"/>
  <c r="F5" i="61"/>
  <c r="F6" i="61"/>
  <c r="F7" i="61"/>
  <c r="F8" i="61"/>
  <c r="F9" i="61"/>
  <c r="F10" i="61"/>
  <c r="F11" i="61"/>
  <c r="F12" i="61"/>
  <c r="F13" i="61"/>
  <c r="F14" i="61"/>
  <c r="F15" i="61"/>
  <c r="F16" i="61"/>
  <c r="F17" i="61"/>
  <c r="F18" i="61"/>
  <c r="F19" i="61"/>
  <c r="F20" i="61"/>
  <c r="F21" i="61"/>
  <c r="F22" i="61"/>
  <c r="F23" i="61"/>
  <c r="F24" i="61"/>
  <c r="F25" i="61"/>
  <c r="F26" i="61"/>
  <c r="F27" i="61"/>
  <c r="F28" i="61"/>
  <c r="F29" i="61"/>
  <c r="F30" i="61"/>
  <c r="F31" i="61"/>
  <c r="F32" i="61"/>
  <c r="F33" i="61"/>
  <c r="F34" i="61"/>
  <c r="F35" i="61"/>
  <c r="F36" i="61"/>
  <c r="F37" i="61"/>
  <c r="F38" i="61"/>
  <c r="F39" i="61"/>
  <c r="F40" i="61"/>
  <c r="F41" i="61"/>
  <c r="F42" i="61"/>
  <c r="F43" i="61"/>
  <c r="F44" i="61"/>
  <c r="F45" i="61"/>
  <c r="F46" i="61"/>
  <c r="F47" i="61"/>
  <c r="F48" i="61"/>
  <c r="F49" i="61"/>
  <c r="F50" i="61"/>
  <c r="F51" i="61"/>
  <c r="F52" i="61"/>
  <c r="F53" i="61"/>
  <c r="F54" i="61"/>
  <c r="F55" i="61"/>
  <c r="F56" i="61"/>
  <c r="F57" i="61"/>
  <c r="F58" i="61"/>
  <c r="F59" i="61"/>
  <c r="F60" i="61"/>
  <c r="F61" i="61"/>
  <c r="F62" i="61"/>
  <c r="F63" i="61"/>
  <c r="F64" i="61"/>
  <c r="F65" i="61"/>
  <c r="F66" i="61"/>
  <c r="F67" i="61"/>
  <c r="F68" i="61"/>
  <c r="F69" i="61"/>
  <c r="F70" i="61"/>
  <c r="F71" i="61"/>
  <c r="F72" i="61"/>
  <c r="F73" i="61"/>
  <c r="F74" i="61"/>
  <c r="F75" i="61"/>
  <c r="F76" i="61"/>
  <c r="F77" i="61"/>
  <c r="F78" i="61"/>
  <c r="F79" i="61"/>
  <c r="F80" i="61"/>
  <c r="F81" i="61"/>
  <c r="F82" i="61"/>
  <c r="F83" i="61"/>
  <c r="F84" i="61"/>
  <c r="F85" i="61"/>
  <c r="F86" i="61"/>
  <c r="F87" i="61"/>
  <c r="F88" i="61"/>
  <c r="F89" i="61"/>
  <c r="F90" i="61"/>
  <c r="F91" i="61"/>
  <c r="F92" i="61"/>
  <c r="F93" i="61"/>
  <c r="F94" i="61"/>
  <c r="F95" i="61"/>
  <c r="F96" i="61"/>
  <c r="F97" i="61"/>
  <c r="F98" i="61"/>
  <c r="F99" i="61"/>
  <c r="F100" i="61"/>
  <c r="F101" i="61"/>
  <c r="F102" i="61"/>
  <c r="F103" i="61"/>
  <c r="F104" i="61"/>
  <c r="F105" i="61"/>
  <c r="F106" i="61"/>
  <c r="F107" i="61"/>
  <c r="F108" i="61"/>
  <c r="F109" i="61"/>
  <c r="F110" i="61"/>
  <c r="F111" i="61"/>
  <c r="F112" i="61"/>
  <c r="F113" i="61"/>
  <c r="F114" i="61"/>
  <c r="F115" i="61"/>
  <c r="F116" i="61"/>
  <c r="F117" i="61"/>
  <c r="F118" i="61"/>
  <c r="F119" i="61"/>
  <c r="F120" i="61"/>
  <c r="F121" i="61"/>
  <c r="F122" i="61"/>
  <c r="F123" i="61"/>
  <c r="F124" i="61"/>
  <c r="F125" i="61"/>
  <c r="F126" i="61"/>
  <c r="F127" i="61"/>
  <c r="F128" i="61"/>
  <c r="F129" i="61"/>
  <c r="F130" i="61"/>
  <c r="F131" i="61"/>
  <c r="F132" i="61"/>
  <c r="F133" i="61"/>
  <c r="F134" i="61"/>
  <c r="F135" i="61"/>
  <c r="F136" i="61"/>
  <c r="F137" i="61"/>
  <c r="F138" i="61"/>
  <c r="F139" i="61"/>
  <c r="F140" i="61"/>
  <c r="F141" i="61"/>
  <c r="F142" i="61"/>
  <c r="F143" i="61"/>
  <c r="F144" i="61"/>
  <c r="F145" i="61"/>
  <c r="F146" i="61"/>
  <c r="F147" i="61"/>
  <c r="F148" i="61"/>
  <c r="F149" i="61"/>
  <c r="F150" i="61"/>
  <c r="F151" i="61"/>
  <c r="F2" i="61"/>
  <c r="I3" i="60"/>
  <c r="I4" i="60"/>
  <c r="I5" i="60"/>
  <c r="I6" i="60"/>
  <c r="I7" i="60"/>
  <c r="I8" i="60"/>
  <c r="I9" i="60"/>
  <c r="I10" i="60"/>
  <c r="I11" i="60"/>
  <c r="I12" i="60"/>
  <c r="I13" i="60"/>
  <c r="I14" i="60"/>
  <c r="I15" i="60"/>
  <c r="I16" i="60"/>
  <c r="I17" i="60"/>
  <c r="I18" i="60"/>
  <c r="I19" i="60"/>
  <c r="I20" i="60"/>
  <c r="I21" i="60"/>
  <c r="I22" i="60"/>
  <c r="I23" i="60"/>
  <c r="I24" i="60"/>
  <c r="I25" i="60"/>
  <c r="I26" i="60"/>
  <c r="I2" i="60"/>
  <c r="A5" i="60" l="1"/>
  <c r="A6" i="60"/>
  <c r="A7" i="60"/>
  <c r="A8" i="60" s="1"/>
  <c r="A9" i="60" s="1"/>
  <c r="A10" i="60" s="1"/>
  <c r="A11" i="60" s="1"/>
  <c r="A12" i="60" s="1"/>
  <c r="A13" i="60" s="1"/>
  <c r="A14" i="60" s="1"/>
  <c r="A15" i="60" s="1"/>
  <c r="A16" i="60" s="1"/>
  <c r="A17" i="60" s="1"/>
  <c r="A18" i="60" s="1"/>
  <c r="A19" i="60" s="1"/>
  <c r="A20" i="60" s="1"/>
  <c r="A21" i="60" s="1"/>
  <c r="A22" i="60" s="1"/>
  <c r="A23" i="60" s="1"/>
  <c r="A24" i="60" s="1"/>
  <c r="A25" i="60" s="1"/>
  <c r="A26" i="60" s="1"/>
  <c r="H15" i="60"/>
  <c r="C2" i="60"/>
  <c r="E2" i="60"/>
  <c r="C3" i="60"/>
  <c r="E3" i="60"/>
  <c r="C4" i="60"/>
  <c r="E4" i="60"/>
  <c r="C5" i="60"/>
  <c r="E5" i="60"/>
  <c r="C6" i="60"/>
  <c r="E6" i="60"/>
  <c r="C7" i="60"/>
  <c r="E7" i="60"/>
  <c r="C8" i="60"/>
  <c r="E8" i="60"/>
  <c r="C9" i="60"/>
  <c r="E9" i="60"/>
  <c r="C10" i="60"/>
  <c r="E10" i="60"/>
  <c r="C11" i="60"/>
  <c r="E11" i="60"/>
  <c r="C12" i="60"/>
  <c r="E12" i="60"/>
  <c r="C13" i="60"/>
  <c r="E13" i="60"/>
  <c r="C14" i="60"/>
  <c r="E14" i="60"/>
  <c r="C15" i="60"/>
  <c r="E15" i="60"/>
  <c r="C16" i="60"/>
  <c r="E16" i="60"/>
  <c r="C17" i="60"/>
  <c r="E17" i="60"/>
  <c r="C18" i="60"/>
  <c r="E18" i="60"/>
  <c r="C19" i="60"/>
  <c r="E19" i="60"/>
  <c r="C20" i="60"/>
  <c r="E20" i="60"/>
  <c r="C21" i="60"/>
  <c r="E21" i="60"/>
  <c r="C22" i="60"/>
  <c r="E22" i="60"/>
  <c r="C23" i="60"/>
  <c r="C24" i="60"/>
  <c r="C25" i="60"/>
  <c r="C26" i="60"/>
  <c r="B26" i="60"/>
  <c r="H26" i="60" s="1"/>
  <c r="B25" i="60"/>
  <c r="H25" i="60" s="1"/>
  <c r="B24" i="60"/>
  <c r="H24" i="60" s="1"/>
  <c r="B23" i="60"/>
  <c r="H23" i="60" s="1"/>
  <c r="B22" i="60"/>
  <c r="H22" i="60" s="1"/>
  <c r="B21" i="60"/>
  <c r="H21" i="60" s="1"/>
  <c r="B20" i="60"/>
  <c r="H20" i="60" s="1"/>
  <c r="B19" i="60"/>
  <c r="H19" i="60" s="1"/>
  <c r="B18" i="60"/>
  <c r="H18" i="60" s="1"/>
  <c r="B17" i="60"/>
  <c r="H17" i="60" s="1"/>
  <c r="B16" i="60"/>
  <c r="H16" i="60" s="1"/>
  <c r="B15" i="60"/>
  <c r="B14" i="60"/>
  <c r="H14" i="60" s="1"/>
  <c r="B13" i="60"/>
  <c r="H13" i="60" s="1"/>
  <c r="B12" i="60"/>
  <c r="H12" i="60" s="1"/>
  <c r="B11" i="60"/>
  <c r="H11" i="60" s="1"/>
  <c r="B10" i="60"/>
  <c r="H10" i="60" s="1"/>
  <c r="B9" i="60"/>
  <c r="H9" i="60" s="1"/>
  <c r="B8" i="60"/>
  <c r="H8" i="60" s="1"/>
  <c r="B7" i="60"/>
  <c r="H7" i="60" s="1"/>
  <c r="B6" i="60"/>
  <c r="H6" i="60" s="1"/>
  <c r="B5" i="60"/>
  <c r="H5" i="60" s="1"/>
  <c r="B4" i="60"/>
  <c r="H4" i="60" s="1"/>
  <c r="B3" i="60"/>
  <c r="H3" i="60" s="1"/>
  <c r="B2" i="60"/>
  <c r="H2" i="60" s="1"/>
  <c r="I2" i="61"/>
  <c r="A3" i="61" s="1"/>
  <c r="B3" i="61" s="1"/>
  <c r="B2" i="61"/>
  <c r="J2" i="61"/>
  <c r="H2" i="61" l="1"/>
  <c r="I3" i="61"/>
  <c r="I4" i="61" s="1"/>
  <c r="C3" i="61"/>
  <c r="H3" i="61"/>
  <c r="G3" i="61"/>
  <c r="E3" i="61"/>
  <c r="D3" i="61"/>
  <c r="C2" i="61"/>
  <c r="D2" i="61"/>
  <c r="G2" i="61"/>
  <c r="E2" i="61"/>
  <c r="A4" i="60"/>
  <c r="A3" i="60"/>
  <c r="J3" i="61"/>
  <c r="A4" i="61" l="1"/>
  <c r="B4" i="61" s="1"/>
  <c r="I5" i="61"/>
  <c r="J4" i="61"/>
  <c r="D4" i="61" l="1"/>
  <c r="C4" i="61"/>
  <c r="H4" i="61"/>
  <c r="G4" i="61"/>
  <c r="E4" i="61"/>
  <c r="A5" i="61"/>
  <c r="B5" i="61" s="1"/>
  <c r="I6" i="61"/>
  <c r="I7" i="61" s="1"/>
  <c r="I8" i="61" s="1"/>
  <c r="J5" i="61"/>
  <c r="A6" i="61" l="1"/>
  <c r="B6" i="61" s="1"/>
  <c r="H6" i="61" s="1"/>
  <c r="G5" i="61"/>
  <c r="C5" i="61"/>
  <c r="D5" i="61"/>
  <c r="H5" i="61"/>
  <c r="E5" i="61"/>
  <c r="A7" i="61"/>
  <c r="I9" i="61"/>
  <c r="J6" i="61"/>
  <c r="E6" i="61" l="1"/>
  <c r="D6" i="61"/>
  <c r="G6" i="61"/>
  <c r="C6" i="61"/>
  <c r="B7" i="61"/>
  <c r="A8" i="61"/>
  <c r="I10" i="61"/>
  <c r="J7" i="61"/>
  <c r="E7" i="61" l="1"/>
  <c r="G7" i="61"/>
  <c r="C7" i="61"/>
  <c r="D7" i="61"/>
  <c r="H7" i="61"/>
  <c r="B8" i="61"/>
  <c r="A9" i="61"/>
  <c r="I11" i="61"/>
  <c r="J8" i="61"/>
  <c r="E8" i="61" l="1"/>
  <c r="C8" i="61"/>
  <c r="H8" i="61"/>
  <c r="G8" i="61"/>
  <c r="D8" i="61"/>
  <c r="B9" i="61"/>
  <c r="A10" i="61"/>
  <c r="I12" i="61"/>
  <c r="J9" i="61"/>
  <c r="B10" i="61" l="1"/>
  <c r="A11" i="61"/>
  <c r="H9" i="61"/>
  <c r="E9" i="61"/>
  <c r="G9" i="61"/>
  <c r="C9" i="61"/>
  <c r="D9" i="61"/>
  <c r="I13" i="61"/>
  <c r="J10" i="61"/>
  <c r="B11" i="61" l="1"/>
  <c r="A12" i="61"/>
  <c r="G10" i="61"/>
  <c r="D10" i="61"/>
  <c r="C10" i="61"/>
  <c r="H10" i="61"/>
  <c r="E10" i="61"/>
  <c r="I14" i="61"/>
  <c r="J11" i="61"/>
  <c r="B12" i="61" l="1"/>
  <c r="A13" i="61"/>
  <c r="D11" i="61"/>
  <c r="G11" i="61"/>
  <c r="C11" i="61"/>
  <c r="E11" i="61"/>
  <c r="H11" i="61"/>
  <c r="I15" i="61"/>
  <c r="J12" i="61"/>
  <c r="B13" i="61" l="1"/>
  <c r="A14" i="61"/>
  <c r="H12" i="61"/>
  <c r="D12" i="61"/>
  <c r="C12" i="61"/>
  <c r="G12" i="61"/>
  <c r="E12" i="61"/>
  <c r="I16" i="61"/>
  <c r="J13" i="61"/>
  <c r="B14" i="61" l="1"/>
  <c r="A15" i="61"/>
  <c r="E13" i="61"/>
  <c r="H13" i="61"/>
  <c r="D13" i="61"/>
  <c r="C13" i="61"/>
  <c r="G13" i="61"/>
  <c r="I17" i="61"/>
  <c r="J14" i="61"/>
  <c r="B15" i="61" l="1"/>
  <c r="A16" i="61"/>
  <c r="E14" i="61"/>
  <c r="H14" i="61"/>
  <c r="C14" i="61"/>
  <c r="G14" i="61"/>
  <c r="D14" i="61"/>
  <c r="I18" i="61"/>
  <c r="J15" i="61"/>
  <c r="B16" i="61" l="1"/>
  <c r="A17" i="61"/>
  <c r="G15" i="61"/>
  <c r="H15" i="61"/>
  <c r="E15" i="61"/>
  <c r="D15" i="61"/>
  <c r="C15" i="61"/>
  <c r="I19" i="61"/>
  <c r="J16" i="61"/>
  <c r="B17" i="61" l="1"/>
  <c r="A18" i="61"/>
  <c r="H16" i="61"/>
  <c r="C16" i="61"/>
  <c r="D16" i="61"/>
  <c r="E16" i="61"/>
  <c r="G16" i="61"/>
  <c r="I20" i="61"/>
  <c r="J17" i="61"/>
  <c r="I21" i="61" l="1"/>
  <c r="B18" i="61"/>
  <c r="A19" i="61"/>
  <c r="C17" i="61"/>
  <c r="E17" i="61"/>
  <c r="D17" i="61"/>
  <c r="H17" i="61"/>
  <c r="G17" i="61"/>
  <c r="J18" i="61"/>
  <c r="I22" i="61" l="1"/>
  <c r="B19" i="61"/>
  <c r="A20" i="61"/>
  <c r="C18" i="61"/>
  <c r="G18" i="61"/>
  <c r="E18" i="61"/>
  <c r="H18" i="61"/>
  <c r="D18" i="61"/>
  <c r="J19" i="61"/>
  <c r="B20" i="61" l="1"/>
  <c r="A21" i="61"/>
  <c r="I23" i="61"/>
  <c r="H20" i="61"/>
  <c r="E20" i="61"/>
  <c r="D20" i="61"/>
  <c r="G20" i="61"/>
  <c r="C20" i="61"/>
  <c r="G19" i="61"/>
  <c r="H19" i="61"/>
  <c r="D19" i="61"/>
  <c r="E19" i="61"/>
  <c r="C19" i="61"/>
  <c r="J20" i="61"/>
  <c r="I24" i="61" l="1"/>
  <c r="B21" i="61"/>
  <c r="A22" i="61"/>
  <c r="J21" i="61"/>
  <c r="B22" i="61" l="1"/>
  <c r="A23" i="61"/>
  <c r="G21" i="61"/>
  <c r="C21" i="61"/>
  <c r="D21" i="61"/>
  <c r="E21" i="61"/>
  <c r="H21" i="61"/>
  <c r="I25" i="61"/>
  <c r="J22" i="61"/>
  <c r="I26" i="61" l="1"/>
  <c r="B23" i="61"/>
  <c r="A24" i="61"/>
  <c r="D22" i="61"/>
  <c r="G22" i="61"/>
  <c r="C22" i="61"/>
  <c r="H22" i="61"/>
  <c r="E22" i="61"/>
  <c r="J23" i="61"/>
  <c r="B24" i="61" l="1"/>
  <c r="A25" i="61"/>
  <c r="H23" i="61"/>
  <c r="G23" i="61"/>
  <c r="E23" i="61"/>
  <c r="C23" i="61"/>
  <c r="D23" i="61"/>
  <c r="I27" i="61"/>
  <c r="J24" i="61"/>
  <c r="I28" i="61" l="1"/>
  <c r="B25" i="61"/>
  <c r="A26" i="61"/>
  <c r="G24" i="61"/>
  <c r="D24" i="61"/>
  <c r="C24" i="61"/>
  <c r="H24" i="61"/>
  <c r="E24" i="61"/>
  <c r="J25" i="61"/>
  <c r="B26" i="61" l="1"/>
  <c r="A27" i="61"/>
  <c r="D25" i="61"/>
  <c r="E25" i="61"/>
  <c r="G25" i="61"/>
  <c r="H25" i="61"/>
  <c r="C25" i="61"/>
  <c r="I29" i="61"/>
  <c r="J26" i="61"/>
  <c r="I30" i="61" l="1"/>
  <c r="B27" i="61"/>
  <c r="A28" i="61"/>
  <c r="G26" i="61"/>
  <c r="D26" i="61"/>
  <c r="H26" i="61"/>
  <c r="C26" i="61"/>
  <c r="E26" i="61"/>
  <c r="J27" i="61"/>
  <c r="B28" i="61" l="1"/>
  <c r="A29" i="61"/>
  <c r="E27" i="61"/>
  <c r="C27" i="61"/>
  <c r="G27" i="61"/>
  <c r="D27" i="61"/>
  <c r="H27" i="61"/>
  <c r="I31" i="61"/>
  <c r="J28" i="61"/>
  <c r="I32" i="61" l="1"/>
  <c r="B29" i="61"/>
  <c r="A30" i="61"/>
  <c r="E28" i="61"/>
  <c r="G28" i="61"/>
  <c r="D28" i="61"/>
  <c r="H28" i="61"/>
  <c r="C28" i="61"/>
  <c r="J29" i="61"/>
  <c r="B30" i="61" l="1"/>
  <c r="A31" i="61"/>
  <c r="D29" i="61"/>
  <c r="G29" i="61"/>
  <c r="E29" i="61"/>
  <c r="H29" i="61"/>
  <c r="C29" i="61"/>
  <c r="I33" i="61"/>
  <c r="J30" i="61"/>
  <c r="I34" i="61" l="1"/>
  <c r="B31" i="61"/>
  <c r="A32" i="61"/>
  <c r="C30" i="61"/>
  <c r="H30" i="61"/>
  <c r="D30" i="61"/>
  <c r="E30" i="61"/>
  <c r="G30" i="61"/>
  <c r="J31" i="61"/>
  <c r="B32" i="61" l="1"/>
  <c r="A33" i="61"/>
  <c r="E31" i="61"/>
  <c r="C31" i="61"/>
  <c r="H31" i="61"/>
  <c r="G31" i="61"/>
  <c r="D31" i="61"/>
  <c r="I35" i="61"/>
  <c r="J32" i="61"/>
  <c r="I36" i="61" l="1"/>
  <c r="B33" i="61"/>
  <c r="A34" i="61"/>
  <c r="H32" i="61"/>
  <c r="D32" i="61"/>
  <c r="C32" i="61"/>
  <c r="E32" i="61"/>
  <c r="G32" i="61"/>
  <c r="J33" i="61"/>
  <c r="B34" i="61" l="1"/>
  <c r="A35" i="61"/>
  <c r="D33" i="61"/>
  <c r="E33" i="61"/>
  <c r="G33" i="61"/>
  <c r="H33" i="61"/>
  <c r="C33" i="61"/>
  <c r="I37" i="61"/>
  <c r="J34" i="61"/>
  <c r="I38" i="61" l="1"/>
  <c r="B35" i="61"/>
  <c r="A36" i="61"/>
  <c r="H34" i="61"/>
  <c r="C34" i="61"/>
  <c r="D34" i="61"/>
  <c r="G34" i="61"/>
  <c r="E34" i="61"/>
  <c r="J35" i="61"/>
  <c r="D35" i="61" l="1"/>
  <c r="C35" i="61"/>
  <c r="G35" i="61"/>
  <c r="E35" i="61"/>
  <c r="H35" i="61"/>
  <c r="B36" i="61"/>
  <c r="A37" i="61"/>
  <c r="I39" i="61"/>
  <c r="J36" i="61"/>
  <c r="B37" i="61" l="1"/>
  <c r="A38" i="61"/>
  <c r="H36" i="61"/>
  <c r="C36" i="61"/>
  <c r="D36" i="61"/>
  <c r="E36" i="61"/>
  <c r="G36" i="61"/>
  <c r="I40" i="61"/>
  <c r="J37" i="61"/>
  <c r="I41" i="61" l="1"/>
  <c r="B38" i="61"/>
  <c r="A39" i="61"/>
  <c r="E37" i="61"/>
  <c r="H37" i="61"/>
  <c r="D37" i="61"/>
  <c r="G37" i="61"/>
  <c r="C37" i="61"/>
  <c r="J38" i="61"/>
  <c r="E38" i="61" l="1"/>
  <c r="C38" i="61"/>
  <c r="D38" i="61"/>
  <c r="H38" i="61"/>
  <c r="G38" i="61"/>
  <c r="I42" i="61"/>
  <c r="B39" i="61"/>
  <c r="A40" i="61"/>
  <c r="J39" i="61"/>
  <c r="B40" i="61" l="1"/>
  <c r="A41" i="61"/>
  <c r="I43" i="61"/>
  <c r="G39" i="61"/>
  <c r="E39" i="61"/>
  <c r="C39" i="61"/>
  <c r="H39" i="61"/>
  <c r="D39" i="61"/>
  <c r="J40" i="61"/>
  <c r="I44" i="61" l="1"/>
  <c r="B41" i="61"/>
  <c r="A42" i="61"/>
  <c r="G40" i="61"/>
  <c r="H40" i="61"/>
  <c r="C40" i="61"/>
  <c r="E40" i="61"/>
  <c r="D40" i="61"/>
  <c r="J41" i="61"/>
  <c r="B42" i="61" l="1"/>
  <c r="A43" i="61"/>
  <c r="C41" i="61"/>
  <c r="G41" i="61"/>
  <c r="H41" i="61"/>
  <c r="D41" i="61"/>
  <c r="E41" i="61"/>
  <c r="I45" i="61"/>
  <c r="J42" i="61"/>
  <c r="I46" i="61" l="1"/>
  <c r="B43" i="61"/>
  <c r="A44" i="61"/>
  <c r="E42" i="61"/>
  <c r="G42" i="61"/>
  <c r="H42" i="61"/>
  <c r="C42" i="61"/>
  <c r="D42" i="61"/>
  <c r="J43" i="61"/>
  <c r="H43" i="61" l="1"/>
  <c r="G43" i="61"/>
  <c r="E43" i="61"/>
  <c r="C43" i="61"/>
  <c r="D43" i="61"/>
  <c r="B44" i="61"/>
  <c r="A45" i="61"/>
  <c r="I47" i="61"/>
  <c r="J44" i="61"/>
  <c r="I48" i="61" l="1"/>
  <c r="B45" i="61"/>
  <c r="A46" i="61"/>
  <c r="C44" i="61"/>
  <c r="D44" i="61"/>
  <c r="E44" i="61"/>
  <c r="H44" i="61"/>
  <c r="G44" i="61"/>
  <c r="J45" i="61"/>
  <c r="B46" i="61" l="1"/>
  <c r="A47" i="61"/>
  <c r="D45" i="61"/>
  <c r="C45" i="61"/>
  <c r="E45" i="61"/>
  <c r="G45" i="61"/>
  <c r="H45" i="61"/>
  <c r="I49" i="61"/>
  <c r="J46" i="61"/>
  <c r="B47" i="61" l="1"/>
  <c r="A48" i="61"/>
  <c r="I50" i="61"/>
  <c r="D46" i="61"/>
  <c r="H46" i="61"/>
  <c r="E46" i="61"/>
  <c r="G46" i="61"/>
  <c r="C46" i="61"/>
  <c r="J47" i="61"/>
  <c r="I51" i="61" l="1"/>
  <c r="B48" i="61"/>
  <c r="A49" i="61"/>
  <c r="D47" i="61"/>
  <c r="E47" i="61"/>
  <c r="G47" i="61"/>
  <c r="C47" i="61"/>
  <c r="H47" i="61"/>
  <c r="J48" i="61"/>
  <c r="B49" i="61" l="1"/>
  <c r="A50" i="61"/>
  <c r="H48" i="61"/>
  <c r="C48" i="61"/>
  <c r="D48" i="61"/>
  <c r="E48" i="61"/>
  <c r="G48" i="61"/>
  <c r="I52" i="61"/>
  <c r="J49" i="61"/>
  <c r="I53" i="61" l="1"/>
  <c r="B50" i="61"/>
  <c r="A51" i="61"/>
  <c r="D49" i="61"/>
  <c r="G49" i="61"/>
  <c r="H49" i="61"/>
  <c r="E49" i="61"/>
  <c r="C49" i="61"/>
  <c r="J50" i="61"/>
  <c r="C50" i="61" l="1"/>
  <c r="H50" i="61"/>
  <c r="D50" i="61"/>
  <c r="E50" i="61"/>
  <c r="G50" i="61"/>
  <c r="B51" i="61"/>
  <c r="A52" i="61"/>
  <c r="I54" i="61"/>
  <c r="J51" i="61"/>
  <c r="I55" i="61" l="1"/>
  <c r="H51" i="61"/>
  <c r="D51" i="61"/>
  <c r="G51" i="61"/>
  <c r="E51" i="61"/>
  <c r="C51" i="61"/>
  <c r="B52" i="61"/>
  <c r="A53" i="61"/>
  <c r="J52" i="61"/>
  <c r="C52" i="61" l="1"/>
  <c r="E52" i="61"/>
  <c r="H52" i="61"/>
  <c r="D52" i="61"/>
  <c r="G52" i="61"/>
  <c r="B53" i="61"/>
  <c r="A54" i="61"/>
  <c r="I56" i="61"/>
  <c r="J53" i="61"/>
  <c r="B54" i="61" l="1"/>
  <c r="A55" i="61"/>
  <c r="D53" i="61"/>
  <c r="C53" i="61"/>
  <c r="H53" i="61"/>
  <c r="E53" i="61"/>
  <c r="G53" i="61"/>
  <c r="I57" i="61"/>
  <c r="J54" i="61"/>
  <c r="I58" i="61" l="1"/>
  <c r="B55" i="61"/>
  <c r="A56" i="61"/>
  <c r="D54" i="61"/>
  <c r="G54" i="61"/>
  <c r="E54" i="61"/>
  <c r="C54" i="61"/>
  <c r="H54" i="61"/>
  <c r="J55" i="61"/>
  <c r="B56" i="61" l="1"/>
  <c r="A57" i="61"/>
  <c r="C55" i="61"/>
  <c r="G55" i="61"/>
  <c r="E55" i="61"/>
  <c r="H55" i="61"/>
  <c r="D55" i="61"/>
  <c r="I59" i="61"/>
  <c r="J56" i="61"/>
  <c r="I60" i="61" l="1"/>
  <c r="B57" i="61"/>
  <c r="A58" i="61"/>
  <c r="E56" i="61"/>
  <c r="G56" i="61"/>
  <c r="C56" i="61"/>
  <c r="H56" i="61"/>
  <c r="D56" i="61"/>
  <c r="J57" i="61"/>
  <c r="D57" i="61" l="1"/>
  <c r="G57" i="61"/>
  <c r="E57" i="61"/>
  <c r="H57" i="61"/>
  <c r="C57" i="61"/>
  <c r="I61" i="61"/>
  <c r="B58" i="61"/>
  <c r="A59" i="61"/>
  <c r="J58" i="61"/>
  <c r="I62" i="61" l="1"/>
  <c r="B59" i="61"/>
  <c r="A60" i="61"/>
  <c r="H58" i="61"/>
  <c r="E58" i="61"/>
  <c r="C58" i="61"/>
  <c r="D58" i="61"/>
  <c r="G58" i="61"/>
  <c r="J59" i="61"/>
  <c r="B60" i="61" l="1"/>
  <c r="A61" i="61"/>
  <c r="I63" i="61"/>
  <c r="D59" i="61"/>
  <c r="G59" i="61"/>
  <c r="C59" i="61"/>
  <c r="E59" i="61"/>
  <c r="H59" i="61"/>
  <c r="J60" i="61"/>
  <c r="I64" i="61" l="1"/>
  <c r="B61" i="61"/>
  <c r="A62" i="61"/>
  <c r="C60" i="61"/>
  <c r="G60" i="61"/>
  <c r="D60" i="61"/>
  <c r="E60" i="61"/>
  <c r="H60" i="61"/>
  <c r="J61" i="61"/>
  <c r="B62" i="61" l="1"/>
  <c r="A63" i="61"/>
  <c r="I65" i="61"/>
  <c r="D61" i="61"/>
  <c r="G61" i="61"/>
  <c r="E61" i="61"/>
  <c r="H61" i="61"/>
  <c r="C61" i="61"/>
  <c r="J62" i="61"/>
  <c r="I66" i="61" l="1"/>
  <c r="B63" i="61"/>
  <c r="A64" i="61"/>
  <c r="H62" i="61"/>
  <c r="C62" i="61"/>
  <c r="E62" i="61"/>
  <c r="G62" i="61"/>
  <c r="D62" i="61"/>
  <c r="J63" i="61"/>
  <c r="G63" i="61" l="1"/>
  <c r="H63" i="61"/>
  <c r="C63" i="61"/>
  <c r="E63" i="61"/>
  <c r="D63" i="61"/>
  <c r="I67" i="61"/>
  <c r="B64" i="61"/>
  <c r="A65" i="61"/>
  <c r="J64" i="61"/>
  <c r="G64" i="61" l="1"/>
  <c r="H64" i="61"/>
  <c r="E64" i="61"/>
  <c r="D64" i="61"/>
  <c r="C64" i="61"/>
  <c r="B65" i="61"/>
  <c r="A66" i="61"/>
  <c r="I68" i="61"/>
  <c r="J65" i="61"/>
  <c r="G65" i="61" l="1"/>
  <c r="H65" i="61"/>
  <c r="D65" i="61"/>
  <c r="C65" i="61"/>
  <c r="E65" i="61"/>
  <c r="I69" i="61"/>
  <c r="B66" i="61"/>
  <c r="A67" i="61"/>
  <c r="J66" i="61"/>
  <c r="E66" i="61" l="1"/>
  <c r="D66" i="61"/>
  <c r="G66" i="61"/>
  <c r="C66" i="61"/>
  <c r="H66" i="61"/>
  <c r="B67" i="61"/>
  <c r="A68" i="61"/>
  <c r="I70" i="61"/>
  <c r="J67" i="61"/>
  <c r="B68" i="61" l="1"/>
  <c r="A69" i="61"/>
  <c r="E67" i="61"/>
  <c r="C67" i="61"/>
  <c r="G67" i="61"/>
  <c r="H67" i="61"/>
  <c r="D67" i="61"/>
  <c r="I71" i="61"/>
  <c r="J68" i="61"/>
  <c r="I72" i="61" l="1"/>
  <c r="B69" i="61"/>
  <c r="A70" i="61"/>
  <c r="E68" i="61"/>
  <c r="D68" i="61"/>
  <c r="H68" i="61"/>
  <c r="G68" i="61"/>
  <c r="C68" i="61"/>
  <c r="J69" i="61"/>
  <c r="B70" i="61" l="1"/>
  <c r="A71" i="61"/>
  <c r="I73" i="61"/>
  <c r="D69" i="61"/>
  <c r="E69" i="61"/>
  <c r="G69" i="61"/>
  <c r="H69" i="61"/>
  <c r="C69" i="61"/>
  <c r="J70" i="61"/>
  <c r="I74" i="61" l="1"/>
  <c r="I75" i="61" s="1"/>
  <c r="B71" i="61"/>
  <c r="A72" i="61"/>
  <c r="G70" i="61"/>
  <c r="D70" i="61"/>
  <c r="E70" i="61"/>
  <c r="H70" i="61"/>
  <c r="C70" i="61"/>
  <c r="J71" i="61"/>
  <c r="B72" i="61" l="1"/>
  <c r="A73" i="61"/>
  <c r="I76" i="61"/>
  <c r="E71" i="61"/>
  <c r="C71" i="61"/>
  <c r="D71" i="61"/>
  <c r="H71" i="61"/>
  <c r="G71" i="61"/>
  <c r="J72" i="61"/>
  <c r="I77" i="61" l="1"/>
  <c r="B73" i="61"/>
  <c r="A74" i="61"/>
  <c r="D72" i="61"/>
  <c r="G72" i="61"/>
  <c r="H72" i="61"/>
  <c r="C72" i="61"/>
  <c r="E72" i="61"/>
  <c r="J73" i="61"/>
  <c r="G73" i="61" l="1"/>
  <c r="H73" i="61"/>
  <c r="C73" i="61"/>
  <c r="E73" i="61"/>
  <c r="D73" i="61"/>
  <c r="I78" i="61"/>
  <c r="A75" i="61"/>
  <c r="B74" i="61"/>
  <c r="J74" i="61"/>
  <c r="E74" i="61" l="1"/>
  <c r="H74" i="61"/>
  <c r="G74" i="61"/>
  <c r="D74" i="61"/>
  <c r="C74" i="61"/>
  <c r="B75" i="61"/>
  <c r="A76" i="61"/>
  <c r="I79" i="61"/>
  <c r="J75" i="61"/>
  <c r="I80" i="61" l="1"/>
  <c r="C75" i="61"/>
  <c r="H75" i="61"/>
  <c r="D75" i="61"/>
  <c r="G75" i="61"/>
  <c r="E75" i="61"/>
  <c r="B76" i="61"/>
  <c r="A77" i="61"/>
  <c r="J76" i="61"/>
  <c r="B77" i="61" l="1"/>
  <c r="A78" i="61"/>
  <c r="E76" i="61"/>
  <c r="H76" i="61"/>
  <c r="G76" i="61"/>
  <c r="D76" i="61"/>
  <c r="C76" i="61"/>
  <c r="I81" i="61"/>
  <c r="J77" i="61"/>
  <c r="I82" i="61" l="1"/>
  <c r="B78" i="61"/>
  <c r="A79" i="61"/>
  <c r="D77" i="61"/>
  <c r="H77" i="61"/>
  <c r="G77" i="61"/>
  <c r="E77" i="61"/>
  <c r="C77" i="61"/>
  <c r="J78" i="61"/>
  <c r="B79" i="61" l="1"/>
  <c r="A80" i="61"/>
  <c r="E78" i="61"/>
  <c r="G78" i="61"/>
  <c r="H78" i="61"/>
  <c r="D78" i="61"/>
  <c r="C78" i="61"/>
  <c r="I83" i="61"/>
  <c r="J79" i="61"/>
  <c r="I84" i="61" l="1"/>
  <c r="B80" i="61"/>
  <c r="A81" i="61"/>
  <c r="H79" i="61"/>
  <c r="D79" i="61"/>
  <c r="E79" i="61"/>
  <c r="C79" i="61"/>
  <c r="G79" i="61"/>
  <c r="J80" i="61"/>
  <c r="B81" i="61" l="1"/>
  <c r="A82" i="61"/>
  <c r="I85" i="61"/>
  <c r="D80" i="61"/>
  <c r="H80" i="61"/>
  <c r="C80" i="61"/>
  <c r="E80" i="61"/>
  <c r="G80" i="61"/>
  <c r="J81" i="61"/>
  <c r="I86" i="61" l="1"/>
  <c r="B82" i="61"/>
  <c r="A83" i="61"/>
  <c r="C81" i="61"/>
  <c r="D81" i="61"/>
  <c r="E81" i="61"/>
  <c r="H81" i="61"/>
  <c r="G81" i="61"/>
  <c r="J82" i="61"/>
  <c r="B83" i="61" l="1"/>
  <c r="A84" i="61"/>
  <c r="E82" i="61"/>
  <c r="G82" i="61"/>
  <c r="C82" i="61"/>
  <c r="H82" i="61"/>
  <c r="D82" i="61"/>
  <c r="I87" i="61"/>
  <c r="J83" i="61"/>
  <c r="I88" i="61" l="1"/>
  <c r="B84" i="61"/>
  <c r="A85" i="61"/>
  <c r="G83" i="61"/>
  <c r="D83" i="61"/>
  <c r="E83" i="61"/>
  <c r="C83" i="61"/>
  <c r="H83" i="61"/>
  <c r="J84" i="61"/>
  <c r="C84" i="61" l="1"/>
  <c r="D84" i="61"/>
  <c r="E84" i="61"/>
  <c r="G84" i="61"/>
  <c r="H84" i="61"/>
  <c r="I89" i="61"/>
  <c r="B85" i="61"/>
  <c r="A86" i="61"/>
  <c r="J85" i="61"/>
  <c r="E85" i="61" l="1"/>
  <c r="C85" i="61"/>
  <c r="H85" i="61"/>
  <c r="G85" i="61"/>
  <c r="D85" i="61"/>
  <c r="B86" i="61"/>
  <c r="A87" i="61"/>
  <c r="I90" i="61"/>
  <c r="J86" i="61"/>
  <c r="I91" i="61" l="1"/>
  <c r="E86" i="61"/>
  <c r="G86" i="61"/>
  <c r="C86" i="61"/>
  <c r="H86" i="61"/>
  <c r="D86" i="61"/>
  <c r="B87" i="61"/>
  <c r="A88" i="61"/>
  <c r="J87" i="61"/>
  <c r="B88" i="61" l="1"/>
  <c r="A89" i="61"/>
  <c r="G87" i="61"/>
  <c r="D87" i="61"/>
  <c r="H87" i="61"/>
  <c r="E87" i="61"/>
  <c r="C87" i="61"/>
  <c r="I92" i="61"/>
  <c r="J88" i="61"/>
  <c r="I93" i="61" l="1"/>
  <c r="B89" i="61"/>
  <c r="A90" i="61"/>
  <c r="D88" i="61"/>
  <c r="H88" i="61"/>
  <c r="C88" i="61"/>
  <c r="G88" i="61"/>
  <c r="E88" i="61"/>
  <c r="J89" i="61"/>
  <c r="B90" i="61" l="1"/>
  <c r="A91" i="61"/>
  <c r="I94" i="61"/>
  <c r="G89" i="61"/>
  <c r="H89" i="61"/>
  <c r="D89" i="61"/>
  <c r="C89" i="61"/>
  <c r="E89" i="61"/>
  <c r="J90" i="61"/>
  <c r="I95" i="61" l="1"/>
  <c r="B91" i="61"/>
  <c r="A92" i="61"/>
  <c r="C90" i="61"/>
  <c r="H90" i="61"/>
  <c r="D90" i="61"/>
  <c r="G90" i="61"/>
  <c r="E90" i="61"/>
  <c r="J91" i="61"/>
  <c r="B92" i="61" l="1"/>
  <c r="A93" i="61"/>
  <c r="E91" i="61"/>
  <c r="G91" i="61"/>
  <c r="H91" i="61"/>
  <c r="C91" i="61"/>
  <c r="D91" i="61"/>
  <c r="I96" i="61"/>
  <c r="J92" i="61"/>
  <c r="B93" i="61" l="1"/>
  <c r="A94" i="61"/>
  <c r="I97" i="61"/>
  <c r="D92" i="61"/>
  <c r="G92" i="61"/>
  <c r="C92" i="61"/>
  <c r="H92" i="61"/>
  <c r="E92" i="61"/>
  <c r="J93" i="61"/>
  <c r="I98" i="61" l="1"/>
  <c r="B94" i="61"/>
  <c r="A95" i="61"/>
  <c r="D93" i="61"/>
  <c r="H93" i="61"/>
  <c r="G93" i="61"/>
  <c r="E93" i="61"/>
  <c r="C93" i="61"/>
  <c r="J94" i="61"/>
  <c r="B95" i="61" l="1"/>
  <c r="A96" i="61"/>
  <c r="H94" i="61"/>
  <c r="C94" i="61"/>
  <c r="D94" i="61"/>
  <c r="G94" i="61"/>
  <c r="E94" i="61"/>
  <c r="I99" i="61"/>
  <c r="J95" i="61"/>
  <c r="I100" i="61" l="1"/>
  <c r="B96" i="61"/>
  <c r="A97" i="61"/>
  <c r="E95" i="61"/>
  <c r="H95" i="61"/>
  <c r="G95" i="61"/>
  <c r="C95" i="61"/>
  <c r="D95" i="61"/>
  <c r="J96" i="61"/>
  <c r="B97" i="61" l="1"/>
  <c r="A98" i="61"/>
  <c r="I101" i="61"/>
  <c r="G96" i="61"/>
  <c r="C96" i="61"/>
  <c r="H96" i="61"/>
  <c r="D96" i="61"/>
  <c r="E96" i="61"/>
  <c r="J97" i="61"/>
  <c r="I102" i="61" l="1"/>
  <c r="B98" i="61"/>
  <c r="A99" i="61"/>
  <c r="D97" i="61"/>
  <c r="G97" i="61"/>
  <c r="E97" i="61"/>
  <c r="H97" i="61"/>
  <c r="C97" i="61"/>
  <c r="J98" i="61"/>
  <c r="B99" i="61" l="1"/>
  <c r="A100" i="61"/>
  <c r="G98" i="61"/>
  <c r="E98" i="61"/>
  <c r="C98" i="61"/>
  <c r="D98" i="61"/>
  <c r="H98" i="61"/>
  <c r="I103" i="61"/>
  <c r="J99" i="61"/>
  <c r="I104" i="61" l="1"/>
  <c r="B100" i="61"/>
  <c r="A101" i="61"/>
  <c r="H99" i="61"/>
  <c r="D99" i="61"/>
  <c r="G99" i="61"/>
  <c r="E99" i="61"/>
  <c r="C99" i="61"/>
  <c r="J100" i="61"/>
  <c r="B101" i="61" l="1"/>
  <c r="A102" i="61"/>
  <c r="H100" i="61"/>
  <c r="C100" i="61"/>
  <c r="D100" i="61"/>
  <c r="G100" i="61"/>
  <c r="E100" i="61"/>
  <c r="I105" i="61"/>
  <c r="J101" i="61"/>
  <c r="I106" i="61" l="1"/>
  <c r="B102" i="61"/>
  <c r="A103" i="61"/>
  <c r="H101" i="61"/>
  <c r="C101" i="61"/>
  <c r="D101" i="61"/>
  <c r="E101" i="61"/>
  <c r="G101" i="61"/>
  <c r="J102" i="61"/>
  <c r="B103" i="61" l="1"/>
  <c r="A104" i="61"/>
  <c r="I107" i="61"/>
  <c r="H102" i="61"/>
  <c r="D102" i="61"/>
  <c r="E102" i="61"/>
  <c r="C102" i="61"/>
  <c r="G102" i="61"/>
  <c r="J103" i="61"/>
  <c r="I108" i="61" l="1"/>
  <c r="B104" i="61"/>
  <c r="A105" i="61"/>
  <c r="C103" i="61"/>
  <c r="D103" i="61"/>
  <c r="H103" i="61"/>
  <c r="G103" i="61"/>
  <c r="E103" i="61"/>
  <c r="J104" i="61"/>
  <c r="B105" i="61" l="1"/>
  <c r="A106" i="61"/>
  <c r="D104" i="61"/>
  <c r="G104" i="61"/>
  <c r="H104" i="61"/>
  <c r="E104" i="61"/>
  <c r="C104" i="61"/>
  <c r="I109" i="61"/>
  <c r="J105" i="61"/>
  <c r="I110" i="61" l="1"/>
  <c r="B106" i="61"/>
  <c r="A107" i="61"/>
  <c r="D105" i="61"/>
  <c r="C105" i="61"/>
  <c r="E105" i="61"/>
  <c r="H105" i="61"/>
  <c r="G105" i="61"/>
  <c r="J106" i="61"/>
  <c r="B107" i="61" l="1"/>
  <c r="A108" i="61"/>
  <c r="I111" i="61"/>
  <c r="C106" i="61"/>
  <c r="G106" i="61"/>
  <c r="D106" i="61"/>
  <c r="E106" i="61"/>
  <c r="H106" i="61"/>
  <c r="J107" i="61"/>
  <c r="I112" i="61" l="1"/>
  <c r="B108" i="61"/>
  <c r="A109" i="61"/>
  <c r="H107" i="61"/>
  <c r="C107" i="61"/>
  <c r="D107" i="61"/>
  <c r="G107" i="61"/>
  <c r="E107" i="61"/>
  <c r="J108" i="61"/>
  <c r="B109" i="61" l="1"/>
  <c r="A110" i="61"/>
  <c r="G108" i="61"/>
  <c r="H108" i="61"/>
  <c r="E108" i="61"/>
  <c r="C108" i="61"/>
  <c r="D108" i="61"/>
  <c r="I113" i="61"/>
  <c r="J109" i="61"/>
  <c r="B110" i="61" l="1"/>
  <c r="A111" i="61"/>
  <c r="I114" i="61"/>
  <c r="G109" i="61"/>
  <c r="H109" i="61"/>
  <c r="E109" i="61"/>
  <c r="C109" i="61"/>
  <c r="D109" i="61"/>
  <c r="J110" i="61"/>
  <c r="I115" i="61" l="1"/>
  <c r="B111" i="61"/>
  <c r="A112" i="61"/>
  <c r="H110" i="61"/>
  <c r="C110" i="61"/>
  <c r="E110" i="61"/>
  <c r="D110" i="61"/>
  <c r="G110" i="61"/>
  <c r="J111" i="61"/>
  <c r="B112" i="61" l="1"/>
  <c r="A113" i="61"/>
  <c r="C111" i="61"/>
  <c r="D111" i="61"/>
  <c r="E111" i="61"/>
  <c r="H111" i="61"/>
  <c r="G111" i="61"/>
  <c r="I116" i="61"/>
  <c r="J112" i="61"/>
  <c r="I117" i="61" l="1"/>
  <c r="B113" i="61"/>
  <c r="A114" i="61"/>
  <c r="E112" i="61"/>
  <c r="D112" i="61"/>
  <c r="H112" i="61"/>
  <c r="C112" i="61"/>
  <c r="G112" i="61"/>
  <c r="J113" i="61"/>
  <c r="B114" i="61" l="1"/>
  <c r="A115" i="61"/>
  <c r="C113" i="61"/>
  <c r="D113" i="61"/>
  <c r="E113" i="61"/>
  <c r="H113" i="61"/>
  <c r="G113" i="61"/>
  <c r="I118" i="61"/>
  <c r="J114" i="61"/>
  <c r="I119" i="61" l="1"/>
  <c r="B115" i="61"/>
  <c r="A116" i="61"/>
  <c r="D114" i="61"/>
  <c r="H114" i="61"/>
  <c r="G114" i="61"/>
  <c r="C114" i="61"/>
  <c r="E114" i="61"/>
  <c r="J115" i="61"/>
  <c r="B116" i="61" l="1"/>
  <c r="A117" i="61"/>
  <c r="G115" i="61"/>
  <c r="D115" i="61"/>
  <c r="E115" i="61"/>
  <c r="H115" i="61"/>
  <c r="C115" i="61"/>
  <c r="I120" i="61"/>
  <c r="J116" i="61"/>
  <c r="I121" i="61" l="1"/>
  <c r="B117" i="61"/>
  <c r="A118" i="61"/>
  <c r="H116" i="61"/>
  <c r="G116" i="61"/>
  <c r="E116" i="61"/>
  <c r="D116" i="61"/>
  <c r="C116" i="61"/>
  <c r="J117" i="61"/>
  <c r="B118" i="61" l="1"/>
  <c r="A119" i="61"/>
  <c r="I122" i="61"/>
  <c r="G117" i="61"/>
  <c r="H117" i="61"/>
  <c r="C117" i="61"/>
  <c r="E117" i="61"/>
  <c r="D117" i="61"/>
  <c r="J118" i="61"/>
  <c r="B119" i="61" l="1"/>
  <c r="A120" i="61"/>
  <c r="I123" i="61"/>
  <c r="E118" i="61"/>
  <c r="D118" i="61"/>
  <c r="G118" i="61"/>
  <c r="H118" i="61"/>
  <c r="C118" i="61"/>
  <c r="J119" i="61"/>
  <c r="I124" i="61" l="1"/>
  <c r="B120" i="61"/>
  <c r="A121" i="61"/>
  <c r="H119" i="61"/>
  <c r="D119" i="61"/>
  <c r="E119" i="61"/>
  <c r="G119" i="61"/>
  <c r="C119" i="61"/>
  <c r="J120" i="61"/>
  <c r="B121" i="61" l="1"/>
  <c r="A122" i="61"/>
  <c r="H120" i="61"/>
  <c r="D120" i="61"/>
  <c r="E120" i="61"/>
  <c r="C120" i="61"/>
  <c r="G120" i="61"/>
  <c r="I125" i="61"/>
  <c r="J121" i="61"/>
  <c r="I126" i="61" l="1"/>
  <c r="B122" i="61"/>
  <c r="A123" i="61"/>
  <c r="D121" i="61"/>
  <c r="G121" i="61"/>
  <c r="E121" i="61"/>
  <c r="H121" i="61"/>
  <c r="C121" i="61"/>
  <c r="J122" i="61"/>
  <c r="D122" i="61" l="1"/>
  <c r="C122" i="61"/>
  <c r="E122" i="61"/>
  <c r="G122" i="61"/>
  <c r="H122" i="61"/>
  <c r="I127" i="61"/>
  <c r="B123" i="61"/>
  <c r="A124" i="61"/>
  <c r="J123" i="61"/>
  <c r="B124" i="61" l="1"/>
  <c r="A125" i="61"/>
  <c r="I128" i="61"/>
  <c r="C123" i="61"/>
  <c r="H123" i="61"/>
  <c r="D123" i="61"/>
  <c r="E123" i="61"/>
  <c r="G123" i="61"/>
  <c r="J124" i="61"/>
  <c r="I129" i="61" l="1"/>
  <c r="B125" i="61"/>
  <c r="A126" i="61"/>
  <c r="H124" i="61"/>
  <c r="C124" i="61"/>
  <c r="D124" i="61"/>
  <c r="E124" i="61"/>
  <c r="G124" i="61"/>
  <c r="J125" i="61"/>
  <c r="B126" i="61" l="1"/>
  <c r="A127" i="61"/>
  <c r="I130" i="61"/>
  <c r="C125" i="61"/>
  <c r="G125" i="61"/>
  <c r="H125" i="61"/>
  <c r="E125" i="61"/>
  <c r="D125" i="61"/>
  <c r="J126" i="61"/>
  <c r="I131" i="61" l="1"/>
  <c r="B127" i="61"/>
  <c r="A128" i="61"/>
  <c r="C126" i="61"/>
  <c r="H126" i="61"/>
  <c r="E126" i="61"/>
  <c r="G126" i="61"/>
  <c r="D126" i="61"/>
  <c r="J127" i="61"/>
  <c r="D127" i="61" l="1"/>
  <c r="G127" i="61"/>
  <c r="H127" i="61"/>
  <c r="C127" i="61"/>
  <c r="E127" i="61"/>
  <c r="B128" i="61"/>
  <c r="A129" i="61"/>
  <c r="I132" i="61"/>
  <c r="J128" i="61"/>
  <c r="I133" i="61" l="1"/>
  <c r="B129" i="61"/>
  <c r="A130" i="61"/>
  <c r="H128" i="61"/>
  <c r="D128" i="61"/>
  <c r="E128" i="61"/>
  <c r="G128" i="61"/>
  <c r="C128" i="61"/>
  <c r="J129" i="61"/>
  <c r="B130" i="61" l="1"/>
  <c r="A131" i="61"/>
  <c r="E129" i="61"/>
  <c r="G129" i="61"/>
  <c r="D129" i="61"/>
  <c r="C129" i="61"/>
  <c r="H129" i="61"/>
  <c r="I134" i="61"/>
  <c r="J130" i="61"/>
  <c r="I135" i="61" l="1"/>
  <c r="B131" i="61"/>
  <c r="A132" i="61"/>
  <c r="H130" i="61"/>
  <c r="C130" i="61"/>
  <c r="E130" i="61"/>
  <c r="G130" i="61"/>
  <c r="D130" i="61"/>
  <c r="J131" i="61"/>
  <c r="B132" i="61" l="1"/>
  <c r="A133" i="61"/>
  <c r="D131" i="61"/>
  <c r="E131" i="61"/>
  <c r="C131" i="61"/>
  <c r="G131" i="61"/>
  <c r="H131" i="61"/>
  <c r="I136" i="61"/>
  <c r="J132" i="61"/>
  <c r="B133" i="61" l="1"/>
  <c r="A134" i="61"/>
  <c r="I137" i="61"/>
  <c r="D132" i="61"/>
  <c r="C132" i="61"/>
  <c r="G132" i="61"/>
  <c r="H132" i="61"/>
  <c r="E132" i="61"/>
  <c r="J133" i="61"/>
  <c r="I138" i="61" l="1"/>
  <c r="B134" i="61"/>
  <c r="A135" i="61"/>
  <c r="E133" i="61"/>
  <c r="C133" i="61"/>
  <c r="D133" i="61"/>
  <c r="H133" i="61"/>
  <c r="G133" i="61"/>
  <c r="J134" i="61"/>
  <c r="C134" i="61" l="1"/>
  <c r="H134" i="61"/>
  <c r="E134" i="61"/>
  <c r="D134" i="61"/>
  <c r="G134" i="61"/>
  <c r="B135" i="61"/>
  <c r="A136" i="61"/>
  <c r="I139" i="61"/>
  <c r="J135" i="61"/>
  <c r="I140" i="61" l="1"/>
  <c r="C135" i="61"/>
  <c r="E135" i="61"/>
  <c r="D135" i="61"/>
  <c r="H135" i="61"/>
  <c r="G135" i="61"/>
  <c r="B136" i="61"/>
  <c r="A137" i="61"/>
  <c r="J136" i="61"/>
  <c r="H136" i="61" l="1"/>
  <c r="G136" i="61"/>
  <c r="D136" i="61"/>
  <c r="C136" i="61"/>
  <c r="E136" i="61"/>
  <c r="B137" i="61"/>
  <c r="A138" i="61"/>
  <c r="I141" i="61"/>
  <c r="J137" i="61"/>
  <c r="B138" i="61" l="1"/>
  <c r="A139" i="61"/>
  <c r="I142" i="61"/>
  <c r="E137" i="61"/>
  <c r="H137" i="61"/>
  <c r="C137" i="61"/>
  <c r="D137" i="61"/>
  <c r="G137" i="61"/>
  <c r="J138" i="61"/>
  <c r="I143" i="61" l="1"/>
  <c r="B139" i="61"/>
  <c r="A140" i="61"/>
  <c r="G138" i="61"/>
  <c r="H138" i="61"/>
  <c r="C138" i="61"/>
  <c r="D138" i="61"/>
  <c r="E138" i="61"/>
  <c r="J139" i="61"/>
  <c r="B140" i="61" l="1"/>
  <c r="A141" i="61"/>
  <c r="I144" i="61"/>
  <c r="G139" i="61"/>
  <c r="H139" i="61"/>
  <c r="C139" i="61"/>
  <c r="E139" i="61"/>
  <c r="D139" i="61"/>
  <c r="J140" i="61"/>
  <c r="I145" i="61" l="1"/>
  <c r="B141" i="61"/>
  <c r="A142" i="61"/>
  <c r="D140" i="61"/>
  <c r="E140" i="61"/>
  <c r="G140" i="61"/>
  <c r="C140" i="61"/>
  <c r="H140" i="61"/>
  <c r="J141" i="61"/>
  <c r="G141" i="61" l="1"/>
  <c r="D141" i="61"/>
  <c r="C141" i="61"/>
  <c r="H141" i="61"/>
  <c r="E141" i="61"/>
  <c r="I146" i="61"/>
  <c r="B142" i="61"/>
  <c r="A143" i="61"/>
  <c r="J142" i="61"/>
  <c r="G142" i="61" l="1"/>
  <c r="C142" i="61"/>
  <c r="D142" i="61"/>
  <c r="H142" i="61"/>
  <c r="E142" i="61"/>
  <c r="B143" i="61"/>
  <c r="A144" i="61"/>
  <c r="I147" i="61"/>
  <c r="J143" i="61"/>
  <c r="B144" i="61" l="1"/>
  <c r="A145" i="61"/>
  <c r="G143" i="61"/>
  <c r="C143" i="61"/>
  <c r="H143" i="61"/>
  <c r="E143" i="61"/>
  <c r="D143" i="61"/>
  <c r="I148" i="61"/>
  <c r="J144" i="61"/>
  <c r="I149" i="61" l="1"/>
  <c r="B145" i="61"/>
  <c r="A146" i="61"/>
  <c r="C144" i="61"/>
  <c r="E144" i="61"/>
  <c r="G144" i="61"/>
  <c r="D144" i="61"/>
  <c r="H144" i="61"/>
  <c r="J145" i="61"/>
  <c r="B146" i="61" l="1"/>
  <c r="A147" i="61"/>
  <c r="G145" i="61"/>
  <c r="D145" i="61"/>
  <c r="C145" i="61"/>
  <c r="H145" i="61"/>
  <c r="E145" i="61"/>
  <c r="I150" i="61"/>
  <c r="J146" i="61"/>
  <c r="I151" i="61" l="1"/>
  <c r="B147" i="61"/>
  <c r="A148" i="61"/>
  <c r="E146" i="61"/>
  <c r="G146" i="61"/>
  <c r="H146" i="61"/>
  <c r="C146" i="61"/>
  <c r="D146" i="61"/>
  <c r="J147" i="61"/>
  <c r="B148" i="61" l="1"/>
  <c r="A149" i="61"/>
  <c r="E147" i="61"/>
  <c r="G147" i="61"/>
  <c r="H147" i="61"/>
  <c r="D147" i="61"/>
  <c r="C147" i="61"/>
  <c r="J148" i="61"/>
  <c r="B149" i="61" l="1"/>
  <c r="A150" i="61"/>
  <c r="C148" i="61"/>
  <c r="D148" i="61"/>
  <c r="E148" i="61"/>
  <c r="G148" i="61"/>
  <c r="H148" i="61"/>
  <c r="J149" i="61"/>
  <c r="B150" i="61" l="1"/>
  <c r="A151" i="61"/>
  <c r="B151" i="61" s="1"/>
  <c r="G149" i="61"/>
  <c r="E149" i="61"/>
  <c r="D149" i="61"/>
  <c r="H149" i="61"/>
  <c r="C149" i="61"/>
  <c r="J151" i="61"/>
  <c r="J150" i="61"/>
  <c r="C151" i="61" l="1"/>
  <c r="E151" i="61"/>
  <c r="G151" i="61"/>
  <c r="D151" i="61"/>
  <c r="H151" i="61"/>
  <c r="G150" i="61"/>
  <c r="C150" i="61"/>
  <c r="D150" i="61"/>
  <c r="H150" i="61"/>
  <c r="E150" i="61"/>
  <c r="U39" i="47" l="1"/>
  <c r="V39" i="47"/>
  <c r="U40" i="47"/>
  <c r="U41" i="47" s="1"/>
  <c r="V40" i="47"/>
  <c r="U49" i="45"/>
  <c r="V49" i="45"/>
  <c r="U50" i="45"/>
  <c r="V50" i="45"/>
  <c r="U51" i="45"/>
  <c r="V51" i="45"/>
  <c r="V41" i="47" l="1"/>
  <c r="V52" i="45"/>
  <c r="U52" i="45"/>
  <c r="B41" i="57"/>
  <c r="F104" i="47" l="1"/>
  <c r="G104" i="47"/>
  <c r="H104" i="47"/>
  <c r="I104" i="47"/>
  <c r="J104" i="47"/>
  <c r="K104" i="47"/>
  <c r="L104" i="47"/>
  <c r="M104" i="47"/>
  <c r="N104" i="47"/>
  <c r="O104" i="47"/>
  <c r="P104" i="47"/>
  <c r="Q104" i="47"/>
  <c r="R104" i="47"/>
  <c r="S104" i="47"/>
  <c r="T104" i="47"/>
  <c r="F105" i="47"/>
  <c r="G105" i="47"/>
  <c r="H105" i="47"/>
  <c r="I105" i="47"/>
  <c r="J105" i="47"/>
  <c r="K105" i="47"/>
  <c r="L105" i="47"/>
  <c r="M105" i="47"/>
  <c r="N105" i="47"/>
  <c r="O105" i="47"/>
  <c r="P105" i="47"/>
  <c r="Q105" i="47"/>
  <c r="R105" i="47"/>
  <c r="S105" i="47"/>
  <c r="T105" i="47"/>
  <c r="F106" i="47"/>
  <c r="G106" i="47"/>
  <c r="H106" i="47"/>
  <c r="I106" i="47"/>
  <c r="J106" i="47"/>
  <c r="K106" i="47"/>
  <c r="L106" i="47"/>
  <c r="M106" i="47"/>
  <c r="N106" i="47"/>
  <c r="O106" i="47"/>
  <c r="P106" i="47"/>
  <c r="Q106" i="47"/>
  <c r="R106" i="47"/>
  <c r="S106" i="47"/>
  <c r="T106" i="47"/>
  <c r="F108" i="47"/>
  <c r="G108" i="47"/>
  <c r="H108" i="47"/>
  <c r="I108" i="47"/>
  <c r="J108" i="47"/>
  <c r="K108" i="47"/>
  <c r="L108" i="47"/>
  <c r="M108" i="47"/>
  <c r="N108" i="47"/>
  <c r="O108" i="47"/>
  <c r="P108" i="47"/>
  <c r="Q108" i="47"/>
  <c r="R108" i="47"/>
  <c r="S108" i="47"/>
  <c r="T108" i="47"/>
  <c r="F109" i="47"/>
  <c r="G109" i="47"/>
  <c r="H109" i="47"/>
  <c r="I109" i="47"/>
  <c r="J109" i="47"/>
  <c r="K109" i="47"/>
  <c r="L109" i="47"/>
  <c r="M109" i="47"/>
  <c r="N109" i="47"/>
  <c r="O109" i="47"/>
  <c r="P109" i="47"/>
  <c r="Q109" i="47"/>
  <c r="R109" i="47"/>
  <c r="S109" i="47"/>
  <c r="T109" i="47"/>
  <c r="F110" i="47"/>
  <c r="G110" i="47"/>
  <c r="H110" i="47"/>
  <c r="I110" i="47"/>
  <c r="J110" i="47"/>
  <c r="K110" i="47"/>
  <c r="L110" i="47"/>
  <c r="M110" i="47"/>
  <c r="N110" i="47"/>
  <c r="O110" i="47"/>
  <c r="P110" i="47"/>
  <c r="Q110" i="47"/>
  <c r="R110" i="47"/>
  <c r="S110" i="47"/>
  <c r="T110" i="47"/>
  <c r="F114" i="47"/>
  <c r="G114" i="47"/>
  <c r="H114" i="47"/>
  <c r="I114" i="47"/>
  <c r="J114" i="47"/>
  <c r="K114" i="47"/>
  <c r="L114" i="47"/>
  <c r="M114" i="47"/>
  <c r="N114" i="47"/>
  <c r="O114" i="47"/>
  <c r="P114" i="47"/>
  <c r="Q114" i="47"/>
  <c r="R114" i="47"/>
  <c r="S114" i="47"/>
  <c r="T114" i="47"/>
  <c r="F115" i="47"/>
  <c r="G115" i="47"/>
  <c r="H115" i="47"/>
  <c r="I115" i="47"/>
  <c r="J115" i="47"/>
  <c r="K115" i="47"/>
  <c r="L115" i="47"/>
  <c r="M115" i="47"/>
  <c r="N115" i="47"/>
  <c r="O115" i="47"/>
  <c r="P115" i="47"/>
  <c r="Q115" i="47"/>
  <c r="R115" i="47"/>
  <c r="S115" i="47"/>
  <c r="T115" i="47"/>
  <c r="F116" i="47"/>
  <c r="G116" i="47"/>
  <c r="H116" i="47"/>
  <c r="I116" i="47"/>
  <c r="J116" i="47"/>
  <c r="K116" i="47"/>
  <c r="L116" i="47"/>
  <c r="M116" i="47"/>
  <c r="N116" i="47"/>
  <c r="O116" i="47"/>
  <c r="P116" i="47"/>
  <c r="Q116" i="47"/>
  <c r="R116" i="47"/>
  <c r="S116" i="47"/>
  <c r="T116" i="47"/>
  <c r="F117" i="47"/>
  <c r="G117" i="47"/>
  <c r="H117" i="47"/>
  <c r="I117" i="47"/>
  <c r="J117" i="47"/>
  <c r="K117" i="47"/>
  <c r="L117" i="47"/>
  <c r="M117" i="47"/>
  <c r="N117" i="47"/>
  <c r="O117" i="47"/>
  <c r="P117" i="47"/>
  <c r="Q117" i="47"/>
  <c r="R117" i="47"/>
  <c r="S117" i="47"/>
  <c r="T117" i="47"/>
  <c r="F119" i="47"/>
  <c r="G119" i="47"/>
  <c r="H119" i="47"/>
  <c r="I119" i="47"/>
  <c r="J119" i="47"/>
  <c r="K119" i="47"/>
  <c r="L119" i="47"/>
  <c r="M119" i="47"/>
  <c r="N119" i="47"/>
  <c r="O119" i="47"/>
  <c r="P119" i="47"/>
  <c r="Q119" i="47"/>
  <c r="R119" i="47"/>
  <c r="S119" i="47"/>
  <c r="T119" i="47"/>
  <c r="F120" i="47"/>
  <c r="G120" i="47"/>
  <c r="H120" i="47"/>
  <c r="I120" i="47"/>
  <c r="J120" i="47"/>
  <c r="K120" i="47"/>
  <c r="L120" i="47"/>
  <c r="M120" i="47"/>
  <c r="N120" i="47"/>
  <c r="O120" i="47"/>
  <c r="P120" i="47"/>
  <c r="Q120" i="47"/>
  <c r="R120" i="47"/>
  <c r="S120" i="47"/>
  <c r="T120" i="47"/>
  <c r="F121" i="47"/>
  <c r="G121" i="47"/>
  <c r="H121" i="47"/>
  <c r="I121" i="47"/>
  <c r="J121" i="47"/>
  <c r="K121" i="47"/>
  <c r="L121" i="47"/>
  <c r="M121" i="47"/>
  <c r="N121" i="47"/>
  <c r="O121" i="47"/>
  <c r="P121" i="47"/>
  <c r="Q121" i="47"/>
  <c r="R121" i="47"/>
  <c r="S121" i="47"/>
  <c r="T121" i="47"/>
  <c r="F122" i="47"/>
  <c r="G122" i="47"/>
  <c r="H122" i="47"/>
  <c r="I122" i="47"/>
  <c r="J122" i="47"/>
  <c r="K122" i="47"/>
  <c r="L122" i="47"/>
  <c r="M122" i="47"/>
  <c r="N122" i="47"/>
  <c r="O122" i="47"/>
  <c r="P122" i="47"/>
  <c r="Q122" i="47"/>
  <c r="R122" i="47"/>
  <c r="S122" i="47"/>
  <c r="T122" i="47"/>
  <c r="F126" i="47"/>
  <c r="G126" i="47"/>
  <c r="H126" i="47"/>
  <c r="I126" i="47"/>
  <c r="J126" i="47"/>
  <c r="K126" i="47"/>
  <c r="L126" i="47"/>
  <c r="M126" i="47"/>
  <c r="N126" i="47"/>
  <c r="O126" i="47"/>
  <c r="P126" i="47"/>
  <c r="Q126" i="47"/>
  <c r="R126" i="47"/>
  <c r="S126" i="47"/>
  <c r="T126" i="47"/>
  <c r="F127" i="47"/>
  <c r="G127" i="47"/>
  <c r="H127" i="47"/>
  <c r="I127" i="47"/>
  <c r="J127" i="47"/>
  <c r="K127" i="47"/>
  <c r="L127" i="47"/>
  <c r="M127" i="47"/>
  <c r="N127" i="47"/>
  <c r="O127" i="47"/>
  <c r="P127" i="47"/>
  <c r="Q127" i="47"/>
  <c r="R127" i="47"/>
  <c r="S127" i="47"/>
  <c r="T127" i="47"/>
  <c r="E127" i="47"/>
  <c r="E126" i="47"/>
  <c r="E122" i="47"/>
  <c r="E121" i="47"/>
  <c r="E120" i="47"/>
  <c r="E119" i="47"/>
  <c r="E117" i="47"/>
  <c r="E116" i="47"/>
  <c r="E115" i="47"/>
  <c r="E114" i="47"/>
  <c r="E110" i="47"/>
  <c r="E109" i="47"/>
  <c r="E108" i="47"/>
  <c r="E106" i="47"/>
  <c r="E105" i="47"/>
  <c r="F104" i="46"/>
  <c r="G104" i="46"/>
  <c r="H104" i="46"/>
  <c r="I104" i="46"/>
  <c r="J104" i="46"/>
  <c r="K104" i="46"/>
  <c r="L104" i="46"/>
  <c r="M104" i="46"/>
  <c r="N104" i="46"/>
  <c r="O104" i="46"/>
  <c r="P104" i="46"/>
  <c r="Q104" i="46"/>
  <c r="R104" i="46"/>
  <c r="S104" i="46"/>
  <c r="T104" i="46"/>
  <c r="F105" i="46"/>
  <c r="G105" i="46"/>
  <c r="H105" i="46"/>
  <c r="I105" i="46"/>
  <c r="J105" i="46"/>
  <c r="K105" i="46"/>
  <c r="L105" i="46"/>
  <c r="M105" i="46"/>
  <c r="N105" i="46"/>
  <c r="O105" i="46"/>
  <c r="P105" i="46"/>
  <c r="Q105" i="46"/>
  <c r="R105" i="46"/>
  <c r="S105" i="46"/>
  <c r="T105" i="46"/>
  <c r="F106" i="46"/>
  <c r="G106" i="46"/>
  <c r="H106" i="46"/>
  <c r="I106" i="46"/>
  <c r="J106" i="46"/>
  <c r="K106" i="46"/>
  <c r="L106" i="46"/>
  <c r="M106" i="46"/>
  <c r="N106" i="46"/>
  <c r="O106" i="46"/>
  <c r="P106" i="46"/>
  <c r="Q106" i="46"/>
  <c r="R106" i="46"/>
  <c r="S106" i="46"/>
  <c r="T106" i="46"/>
  <c r="F108" i="46"/>
  <c r="G108" i="46"/>
  <c r="H108" i="46"/>
  <c r="I108" i="46"/>
  <c r="J108" i="46"/>
  <c r="K108" i="46"/>
  <c r="L108" i="46"/>
  <c r="M108" i="46"/>
  <c r="N108" i="46"/>
  <c r="O108" i="46"/>
  <c r="P108" i="46"/>
  <c r="Q108" i="46"/>
  <c r="R108" i="46"/>
  <c r="S108" i="46"/>
  <c r="T108" i="46"/>
  <c r="F109" i="46"/>
  <c r="G109" i="46"/>
  <c r="H109" i="46"/>
  <c r="I109" i="46"/>
  <c r="J109" i="46"/>
  <c r="K109" i="46"/>
  <c r="L109" i="46"/>
  <c r="M109" i="46"/>
  <c r="N109" i="46"/>
  <c r="O109" i="46"/>
  <c r="P109" i="46"/>
  <c r="Q109" i="46"/>
  <c r="R109" i="46"/>
  <c r="S109" i="46"/>
  <c r="T109" i="46"/>
  <c r="F110" i="46"/>
  <c r="G110" i="46"/>
  <c r="H110" i="46"/>
  <c r="I110" i="46"/>
  <c r="J110" i="46"/>
  <c r="K110" i="46"/>
  <c r="L110" i="46"/>
  <c r="M110" i="46"/>
  <c r="N110" i="46"/>
  <c r="O110" i="46"/>
  <c r="P110" i="46"/>
  <c r="Q110" i="46"/>
  <c r="R110" i="46"/>
  <c r="S110" i="46"/>
  <c r="T110" i="46"/>
  <c r="F114" i="46"/>
  <c r="G114" i="46"/>
  <c r="H114" i="46"/>
  <c r="I114" i="46"/>
  <c r="J114" i="46"/>
  <c r="K114" i="46"/>
  <c r="L114" i="46"/>
  <c r="M114" i="46"/>
  <c r="N114" i="46"/>
  <c r="O114" i="46"/>
  <c r="P114" i="46"/>
  <c r="Q114" i="46"/>
  <c r="R114" i="46"/>
  <c r="S114" i="46"/>
  <c r="T114" i="46"/>
  <c r="F115" i="46"/>
  <c r="G115" i="46"/>
  <c r="H115" i="46"/>
  <c r="I115" i="46"/>
  <c r="J115" i="46"/>
  <c r="K115" i="46"/>
  <c r="L115" i="46"/>
  <c r="M115" i="46"/>
  <c r="N115" i="46"/>
  <c r="O115" i="46"/>
  <c r="P115" i="46"/>
  <c r="Q115" i="46"/>
  <c r="R115" i="46"/>
  <c r="S115" i="46"/>
  <c r="T115" i="46"/>
  <c r="F116" i="46"/>
  <c r="G116" i="46"/>
  <c r="H116" i="46"/>
  <c r="I116" i="46"/>
  <c r="J116" i="46"/>
  <c r="K116" i="46"/>
  <c r="L116" i="46"/>
  <c r="M116" i="46"/>
  <c r="N116" i="46"/>
  <c r="O116" i="46"/>
  <c r="P116" i="46"/>
  <c r="Q116" i="46"/>
  <c r="R116" i="46"/>
  <c r="S116" i="46"/>
  <c r="T116" i="46"/>
  <c r="F117" i="46"/>
  <c r="G117" i="46"/>
  <c r="H117" i="46"/>
  <c r="I117" i="46"/>
  <c r="J117" i="46"/>
  <c r="K117" i="46"/>
  <c r="L117" i="46"/>
  <c r="M117" i="46"/>
  <c r="N117" i="46"/>
  <c r="O117" i="46"/>
  <c r="P117" i="46"/>
  <c r="Q117" i="46"/>
  <c r="R117" i="46"/>
  <c r="S117" i="46"/>
  <c r="T117" i="46"/>
  <c r="F119" i="46"/>
  <c r="G119" i="46"/>
  <c r="H119" i="46"/>
  <c r="I119" i="46"/>
  <c r="J119" i="46"/>
  <c r="K119" i="46"/>
  <c r="L119" i="46"/>
  <c r="M119" i="46"/>
  <c r="N119" i="46"/>
  <c r="O119" i="46"/>
  <c r="P119" i="46"/>
  <c r="Q119" i="46"/>
  <c r="R119" i="46"/>
  <c r="S119" i="46"/>
  <c r="T119" i="46"/>
  <c r="F120" i="46"/>
  <c r="G120" i="46"/>
  <c r="H120" i="46"/>
  <c r="I120" i="46"/>
  <c r="J120" i="46"/>
  <c r="K120" i="46"/>
  <c r="L120" i="46"/>
  <c r="M120" i="46"/>
  <c r="N120" i="46"/>
  <c r="O120" i="46"/>
  <c r="P120" i="46"/>
  <c r="Q120" i="46"/>
  <c r="R120" i="46"/>
  <c r="S120" i="46"/>
  <c r="T120" i="46"/>
  <c r="F121" i="46"/>
  <c r="G121" i="46"/>
  <c r="H121" i="46"/>
  <c r="I121" i="46"/>
  <c r="J121" i="46"/>
  <c r="K121" i="46"/>
  <c r="L121" i="46"/>
  <c r="M121" i="46"/>
  <c r="N121" i="46"/>
  <c r="O121" i="46"/>
  <c r="P121" i="46"/>
  <c r="Q121" i="46"/>
  <c r="R121" i="46"/>
  <c r="S121" i="46"/>
  <c r="T121" i="46"/>
  <c r="F122" i="46"/>
  <c r="G122" i="46"/>
  <c r="H122" i="46"/>
  <c r="I122" i="46"/>
  <c r="J122" i="46"/>
  <c r="K122" i="46"/>
  <c r="L122" i="46"/>
  <c r="M122" i="46"/>
  <c r="N122" i="46"/>
  <c r="O122" i="46"/>
  <c r="P122" i="46"/>
  <c r="Q122" i="46"/>
  <c r="R122" i="46"/>
  <c r="S122" i="46"/>
  <c r="T122" i="46"/>
  <c r="F126" i="46"/>
  <c r="G126" i="46"/>
  <c r="H126" i="46"/>
  <c r="I126" i="46"/>
  <c r="J126" i="46"/>
  <c r="K126" i="46"/>
  <c r="L126" i="46"/>
  <c r="M126" i="46"/>
  <c r="N126" i="46"/>
  <c r="O126" i="46"/>
  <c r="P126" i="46"/>
  <c r="Q126" i="46"/>
  <c r="R126" i="46"/>
  <c r="S126" i="46"/>
  <c r="T126" i="46"/>
  <c r="F127" i="46"/>
  <c r="G127" i="46"/>
  <c r="H127" i="46"/>
  <c r="I127" i="46"/>
  <c r="J127" i="46"/>
  <c r="K127" i="46"/>
  <c r="L127" i="46"/>
  <c r="M127" i="46"/>
  <c r="N127" i="46"/>
  <c r="O127" i="46"/>
  <c r="P127" i="46"/>
  <c r="Q127" i="46"/>
  <c r="R127" i="46"/>
  <c r="S127" i="46"/>
  <c r="T127" i="46"/>
  <c r="E127" i="46"/>
  <c r="E126" i="46"/>
  <c r="E122" i="46"/>
  <c r="E121" i="46"/>
  <c r="E120" i="46"/>
  <c r="E119" i="46"/>
  <c r="E117" i="46"/>
  <c r="E116" i="46"/>
  <c r="E115" i="46"/>
  <c r="E114" i="46"/>
  <c r="E110" i="46"/>
  <c r="E109" i="46"/>
  <c r="E108" i="46"/>
  <c r="E106" i="46"/>
  <c r="E105" i="46"/>
  <c r="F157" i="45"/>
  <c r="G157" i="45"/>
  <c r="H157" i="45"/>
  <c r="I157" i="45"/>
  <c r="J157" i="45"/>
  <c r="K157" i="45"/>
  <c r="L157" i="45"/>
  <c r="M157" i="45"/>
  <c r="N157" i="45"/>
  <c r="O157" i="45"/>
  <c r="P157" i="45"/>
  <c r="Q157" i="45"/>
  <c r="R157" i="45"/>
  <c r="S157" i="45"/>
  <c r="T157" i="45"/>
  <c r="F158" i="45"/>
  <c r="G158" i="45"/>
  <c r="H158" i="45"/>
  <c r="I158" i="45"/>
  <c r="J158" i="45"/>
  <c r="K158" i="45"/>
  <c r="L158" i="45"/>
  <c r="M158" i="45"/>
  <c r="N158" i="45"/>
  <c r="O158" i="45"/>
  <c r="P158" i="45"/>
  <c r="Q158" i="45"/>
  <c r="R158" i="45"/>
  <c r="S158" i="45"/>
  <c r="T158" i="45"/>
  <c r="F159" i="45"/>
  <c r="G159" i="45"/>
  <c r="H159" i="45"/>
  <c r="I159" i="45"/>
  <c r="J159" i="45"/>
  <c r="K159" i="45"/>
  <c r="L159" i="45"/>
  <c r="M159" i="45"/>
  <c r="N159" i="45"/>
  <c r="O159" i="45"/>
  <c r="P159" i="45"/>
  <c r="Q159" i="45"/>
  <c r="R159" i="45"/>
  <c r="S159" i="45"/>
  <c r="T159" i="45"/>
  <c r="E159" i="45"/>
  <c r="E158" i="45"/>
  <c r="E157" i="45"/>
  <c r="F140" i="45"/>
  <c r="G140" i="45"/>
  <c r="H140" i="45"/>
  <c r="I140" i="45"/>
  <c r="J140" i="45"/>
  <c r="K140" i="45"/>
  <c r="L140" i="45"/>
  <c r="M140" i="45"/>
  <c r="N140" i="45"/>
  <c r="O140" i="45"/>
  <c r="P140" i="45"/>
  <c r="Q140" i="45"/>
  <c r="R140" i="45"/>
  <c r="S140" i="45"/>
  <c r="T140" i="45"/>
  <c r="F141" i="45"/>
  <c r="G141" i="45"/>
  <c r="H141" i="45"/>
  <c r="I141" i="45"/>
  <c r="J141" i="45"/>
  <c r="K141" i="45"/>
  <c r="L141" i="45"/>
  <c r="M141" i="45"/>
  <c r="N141" i="45"/>
  <c r="O141" i="45"/>
  <c r="P141" i="45"/>
  <c r="Q141" i="45"/>
  <c r="R141" i="45"/>
  <c r="S141" i="45"/>
  <c r="T141" i="45"/>
  <c r="F142" i="45"/>
  <c r="G142" i="45"/>
  <c r="H142" i="45"/>
  <c r="I142" i="45"/>
  <c r="J142" i="45"/>
  <c r="K142" i="45"/>
  <c r="L142" i="45"/>
  <c r="M142" i="45"/>
  <c r="N142" i="45"/>
  <c r="O142" i="45"/>
  <c r="P142" i="45"/>
  <c r="Q142" i="45"/>
  <c r="R142" i="45"/>
  <c r="S142" i="45"/>
  <c r="T142" i="45"/>
  <c r="F143" i="45"/>
  <c r="G143" i="45"/>
  <c r="H143" i="45"/>
  <c r="I143" i="45"/>
  <c r="J143" i="45"/>
  <c r="K143" i="45"/>
  <c r="L143" i="45"/>
  <c r="M143" i="45"/>
  <c r="N143" i="45"/>
  <c r="O143" i="45"/>
  <c r="P143" i="45"/>
  <c r="Q143" i="45"/>
  <c r="R143" i="45"/>
  <c r="S143" i="45"/>
  <c r="T143" i="45"/>
  <c r="F145" i="45"/>
  <c r="G145" i="45"/>
  <c r="H145" i="45"/>
  <c r="I145" i="45"/>
  <c r="J145" i="45"/>
  <c r="K145" i="45"/>
  <c r="L145" i="45"/>
  <c r="M145" i="45"/>
  <c r="N145" i="45"/>
  <c r="O145" i="45"/>
  <c r="P145" i="45"/>
  <c r="Q145" i="45"/>
  <c r="R145" i="45"/>
  <c r="S145" i="45"/>
  <c r="T145" i="45"/>
  <c r="F146" i="45"/>
  <c r="G146" i="45"/>
  <c r="H146" i="45"/>
  <c r="I146" i="45"/>
  <c r="J146" i="45"/>
  <c r="K146" i="45"/>
  <c r="L146" i="45"/>
  <c r="M146" i="45"/>
  <c r="N146" i="45"/>
  <c r="O146" i="45"/>
  <c r="P146" i="45"/>
  <c r="Q146" i="45"/>
  <c r="R146" i="45"/>
  <c r="S146" i="45"/>
  <c r="T146" i="45"/>
  <c r="F147" i="45"/>
  <c r="G147" i="45"/>
  <c r="H147" i="45"/>
  <c r="I147" i="45"/>
  <c r="J147" i="45"/>
  <c r="K147" i="45"/>
  <c r="L147" i="45"/>
  <c r="M147" i="45"/>
  <c r="N147" i="45"/>
  <c r="O147" i="45"/>
  <c r="P147" i="45"/>
  <c r="Q147" i="45"/>
  <c r="R147" i="45"/>
  <c r="S147" i="45"/>
  <c r="T147" i="45"/>
  <c r="F148" i="45"/>
  <c r="G148" i="45"/>
  <c r="H148" i="45"/>
  <c r="I148" i="45"/>
  <c r="J148" i="45"/>
  <c r="K148" i="45"/>
  <c r="L148" i="45"/>
  <c r="M148" i="45"/>
  <c r="N148" i="45"/>
  <c r="O148" i="45"/>
  <c r="P148" i="45"/>
  <c r="Q148" i="45"/>
  <c r="R148" i="45"/>
  <c r="S148" i="45"/>
  <c r="T148" i="45"/>
  <c r="F150" i="45"/>
  <c r="G150" i="45"/>
  <c r="H150" i="45"/>
  <c r="I150" i="45"/>
  <c r="J150" i="45"/>
  <c r="K150" i="45"/>
  <c r="L150" i="45"/>
  <c r="M150" i="45"/>
  <c r="N150" i="45"/>
  <c r="O150" i="45"/>
  <c r="P150" i="45"/>
  <c r="Q150" i="45"/>
  <c r="R150" i="45"/>
  <c r="S150" i="45"/>
  <c r="T150" i="45"/>
  <c r="F151" i="45"/>
  <c r="G151" i="45"/>
  <c r="H151" i="45"/>
  <c r="I151" i="45"/>
  <c r="J151" i="45"/>
  <c r="K151" i="45"/>
  <c r="L151" i="45"/>
  <c r="M151" i="45"/>
  <c r="N151" i="45"/>
  <c r="O151" i="45"/>
  <c r="P151" i="45"/>
  <c r="Q151" i="45"/>
  <c r="R151" i="45"/>
  <c r="S151" i="45"/>
  <c r="T151" i="45"/>
  <c r="F152" i="45"/>
  <c r="G152" i="45"/>
  <c r="H152" i="45"/>
  <c r="I152" i="45"/>
  <c r="J152" i="45"/>
  <c r="K152" i="45"/>
  <c r="L152" i="45"/>
  <c r="M152" i="45"/>
  <c r="N152" i="45"/>
  <c r="O152" i="45"/>
  <c r="P152" i="45"/>
  <c r="Q152" i="45"/>
  <c r="R152" i="45"/>
  <c r="S152" i="45"/>
  <c r="T152" i="45"/>
  <c r="F153" i="45"/>
  <c r="G153" i="45"/>
  <c r="H153" i="45"/>
  <c r="I153" i="45"/>
  <c r="J153" i="45"/>
  <c r="K153" i="45"/>
  <c r="L153" i="45"/>
  <c r="M153" i="45"/>
  <c r="N153" i="45"/>
  <c r="O153" i="45"/>
  <c r="P153" i="45"/>
  <c r="Q153" i="45"/>
  <c r="R153" i="45"/>
  <c r="S153" i="45"/>
  <c r="T153" i="45"/>
  <c r="E153" i="45"/>
  <c r="E152" i="45"/>
  <c r="E151" i="45"/>
  <c r="E150" i="45"/>
  <c r="E148" i="45"/>
  <c r="E147" i="45"/>
  <c r="E146" i="45"/>
  <c r="E145" i="45"/>
  <c r="E143" i="45"/>
  <c r="E142" i="45"/>
  <c r="E141" i="45"/>
  <c r="E140" i="45"/>
  <c r="F130" i="45"/>
  <c r="G130" i="45"/>
  <c r="H130" i="45"/>
  <c r="I130" i="45"/>
  <c r="J130" i="45"/>
  <c r="K130" i="45"/>
  <c r="L130" i="45"/>
  <c r="M130" i="45"/>
  <c r="N130" i="45"/>
  <c r="O130" i="45"/>
  <c r="P130" i="45"/>
  <c r="Q130" i="45"/>
  <c r="R130" i="45"/>
  <c r="S130" i="45"/>
  <c r="T130" i="45"/>
  <c r="F131" i="45"/>
  <c r="G131" i="45"/>
  <c r="H131" i="45"/>
  <c r="I131" i="45"/>
  <c r="J131" i="45"/>
  <c r="K131" i="45"/>
  <c r="L131" i="45"/>
  <c r="M131" i="45"/>
  <c r="N131" i="45"/>
  <c r="O131" i="45"/>
  <c r="P131" i="45"/>
  <c r="Q131" i="45"/>
  <c r="R131" i="45"/>
  <c r="S131" i="45"/>
  <c r="T131" i="45"/>
  <c r="F132" i="45"/>
  <c r="G132" i="45"/>
  <c r="H132" i="45"/>
  <c r="I132" i="45"/>
  <c r="J132" i="45"/>
  <c r="K132" i="45"/>
  <c r="L132" i="45"/>
  <c r="M132" i="45"/>
  <c r="N132" i="45"/>
  <c r="O132" i="45"/>
  <c r="P132" i="45"/>
  <c r="Q132" i="45"/>
  <c r="R132" i="45"/>
  <c r="S132" i="45"/>
  <c r="T132" i="45"/>
  <c r="F134" i="45"/>
  <c r="G134" i="45"/>
  <c r="H134" i="45"/>
  <c r="I134" i="45"/>
  <c r="J134" i="45"/>
  <c r="K134" i="45"/>
  <c r="L134" i="45"/>
  <c r="M134" i="45"/>
  <c r="N134" i="45"/>
  <c r="O134" i="45"/>
  <c r="P134" i="45"/>
  <c r="Q134" i="45"/>
  <c r="R134" i="45"/>
  <c r="S134" i="45"/>
  <c r="T134" i="45"/>
  <c r="F135" i="45"/>
  <c r="G135" i="45"/>
  <c r="H135" i="45"/>
  <c r="I135" i="45"/>
  <c r="J135" i="45"/>
  <c r="K135" i="45"/>
  <c r="L135" i="45"/>
  <c r="M135" i="45"/>
  <c r="N135" i="45"/>
  <c r="O135" i="45"/>
  <c r="P135" i="45"/>
  <c r="Q135" i="45"/>
  <c r="R135" i="45"/>
  <c r="S135" i="45"/>
  <c r="T135" i="45"/>
  <c r="F136" i="45"/>
  <c r="G136" i="45"/>
  <c r="H136" i="45"/>
  <c r="I136" i="45"/>
  <c r="J136" i="45"/>
  <c r="K136" i="45"/>
  <c r="L136" i="45"/>
  <c r="M136" i="45"/>
  <c r="N136" i="45"/>
  <c r="O136" i="45"/>
  <c r="P136" i="45"/>
  <c r="Q136" i="45"/>
  <c r="R136" i="45"/>
  <c r="S136" i="45"/>
  <c r="T136" i="45"/>
  <c r="E136" i="45"/>
  <c r="E135" i="45"/>
  <c r="E134" i="45"/>
  <c r="E132" i="45"/>
  <c r="E131" i="45"/>
  <c r="E130" i="45"/>
  <c r="F126" i="45"/>
  <c r="G126" i="45"/>
  <c r="H126" i="45"/>
  <c r="I126" i="45"/>
  <c r="J126" i="45"/>
  <c r="K126" i="45"/>
  <c r="L126" i="45"/>
  <c r="M126" i="45"/>
  <c r="N126" i="45"/>
  <c r="O126" i="45"/>
  <c r="P126" i="45"/>
  <c r="Q126" i="45"/>
  <c r="R126" i="45"/>
  <c r="S126" i="45"/>
  <c r="T126" i="45"/>
  <c r="F127" i="45"/>
  <c r="G127" i="45"/>
  <c r="H127" i="45"/>
  <c r="I127" i="45"/>
  <c r="J127" i="45"/>
  <c r="K127" i="45"/>
  <c r="L127" i="45"/>
  <c r="M127" i="45"/>
  <c r="N127" i="45"/>
  <c r="O127" i="45"/>
  <c r="P127" i="45"/>
  <c r="Q127" i="45"/>
  <c r="R127" i="45"/>
  <c r="S127" i="45"/>
  <c r="T127" i="45"/>
  <c r="F128" i="45"/>
  <c r="G128" i="45"/>
  <c r="H128" i="45"/>
  <c r="I128" i="45"/>
  <c r="J128" i="45"/>
  <c r="K128" i="45"/>
  <c r="L128" i="45"/>
  <c r="M128" i="45"/>
  <c r="N128" i="45"/>
  <c r="O128" i="45"/>
  <c r="P128" i="45"/>
  <c r="Q128" i="45"/>
  <c r="R128" i="45"/>
  <c r="S128" i="45"/>
  <c r="T128" i="45"/>
  <c r="E127" i="45"/>
  <c r="E128" i="45"/>
  <c r="AU19" i="56"/>
  <c r="U189" i="29"/>
  <c r="T189" i="29"/>
  <c r="S189" i="29"/>
  <c r="R189" i="29"/>
  <c r="Q189" i="29"/>
  <c r="P189" i="29"/>
  <c r="O189" i="29"/>
  <c r="N189" i="29"/>
  <c r="M189" i="29"/>
  <c r="L189" i="29"/>
  <c r="K189" i="29"/>
  <c r="J189" i="29"/>
  <c r="I189" i="29"/>
  <c r="H189" i="29"/>
  <c r="G189" i="29"/>
  <c r="F189" i="29"/>
  <c r="U188" i="29"/>
  <c r="T188" i="29"/>
  <c r="S188" i="29"/>
  <c r="R188" i="29"/>
  <c r="Q188" i="29"/>
  <c r="P188" i="29"/>
  <c r="O188" i="29"/>
  <c r="N188" i="29"/>
  <c r="M188" i="29"/>
  <c r="L188" i="29"/>
  <c r="K188" i="29"/>
  <c r="J188" i="29"/>
  <c r="I188" i="29"/>
  <c r="H188" i="29"/>
  <c r="G188" i="29"/>
  <c r="F188" i="29"/>
  <c r="U187" i="29"/>
  <c r="T187" i="29"/>
  <c r="S187" i="29"/>
  <c r="R187" i="29"/>
  <c r="Q187" i="29"/>
  <c r="P187" i="29"/>
  <c r="O187" i="29"/>
  <c r="N187" i="29"/>
  <c r="M187" i="29"/>
  <c r="L187" i="29"/>
  <c r="K187" i="29"/>
  <c r="J187" i="29"/>
  <c r="I187" i="29"/>
  <c r="H187" i="29"/>
  <c r="G187" i="29"/>
  <c r="F187" i="29"/>
  <c r="U186" i="29"/>
  <c r="T186" i="29"/>
  <c r="S186" i="29"/>
  <c r="R186" i="29"/>
  <c r="Q186" i="29"/>
  <c r="P186" i="29"/>
  <c r="O186" i="29"/>
  <c r="N186" i="29"/>
  <c r="M186" i="29"/>
  <c r="L186" i="29"/>
  <c r="K186" i="29"/>
  <c r="J186" i="29"/>
  <c r="I186" i="29"/>
  <c r="H186" i="29"/>
  <c r="G186" i="29"/>
  <c r="F186" i="29"/>
  <c r="U184" i="29"/>
  <c r="T184" i="29"/>
  <c r="S184" i="29"/>
  <c r="R184" i="29"/>
  <c r="Q184" i="29"/>
  <c r="P184" i="29"/>
  <c r="O184" i="29"/>
  <c r="N184" i="29"/>
  <c r="M184" i="29"/>
  <c r="L184" i="29"/>
  <c r="K184" i="29"/>
  <c r="J184" i="29"/>
  <c r="I184" i="29"/>
  <c r="H184" i="29"/>
  <c r="G184" i="29"/>
  <c r="F184" i="29"/>
  <c r="U183" i="29"/>
  <c r="T183" i="29"/>
  <c r="S183" i="29"/>
  <c r="R183" i="29"/>
  <c r="Q183" i="29"/>
  <c r="P183" i="29"/>
  <c r="O183" i="29"/>
  <c r="N183" i="29"/>
  <c r="M183" i="29"/>
  <c r="L183" i="29"/>
  <c r="K183" i="29"/>
  <c r="J183" i="29"/>
  <c r="I183" i="29"/>
  <c r="H183" i="29"/>
  <c r="G183" i="29"/>
  <c r="F183" i="29"/>
  <c r="U198" i="29"/>
  <c r="T198" i="29"/>
  <c r="S198" i="29"/>
  <c r="R198" i="29"/>
  <c r="Q198" i="29"/>
  <c r="P198" i="29"/>
  <c r="O198" i="29"/>
  <c r="N198" i="29"/>
  <c r="M198" i="29"/>
  <c r="L198" i="29"/>
  <c r="K198" i="29"/>
  <c r="J198" i="29"/>
  <c r="I198" i="29"/>
  <c r="H198" i="29"/>
  <c r="G198" i="29"/>
  <c r="F198" i="29"/>
  <c r="U197" i="29"/>
  <c r="T197" i="29"/>
  <c r="S197" i="29"/>
  <c r="R197" i="29"/>
  <c r="Q197" i="29"/>
  <c r="P197" i="29"/>
  <c r="O197" i="29"/>
  <c r="N197" i="29"/>
  <c r="M197" i="29"/>
  <c r="L197" i="29"/>
  <c r="K197" i="29"/>
  <c r="J197" i="29"/>
  <c r="I197" i="29"/>
  <c r="H197" i="29"/>
  <c r="G197" i="29"/>
  <c r="F197" i="29"/>
  <c r="U196" i="29"/>
  <c r="T196" i="29"/>
  <c r="S196" i="29"/>
  <c r="R196" i="29"/>
  <c r="Q196" i="29"/>
  <c r="P196" i="29"/>
  <c r="O196" i="29"/>
  <c r="N196" i="29"/>
  <c r="M196" i="29"/>
  <c r="L196" i="29"/>
  <c r="K196" i="29"/>
  <c r="J196" i="29"/>
  <c r="I196" i="29"/>
  <c r="H196" i="29"/>
  <c r="G196" i="29"/>
  <c r="F196" i="29"/>
  <c r="U195" i="29"/>
  <c r="T195" i="29"/>
  <c r="S195" i="29"/>
  <c r="R195" i="29"/>
  <c r="Q195" i="29"/>
  <c r="P195" i="29"/>
  <c r="O195" i="29"/>
  <c r="N195" i="29"/>
  <c r="M195" i="29"/>
  <c r="L195" i="29"/>
  <c r="K195" i="29"/>
  <c r="J195" i="29"/>
  <c r="I195" i="29"/>
  <c r="H195" i="29"/>
  <c r="G195" i="29"/>
  <c r="F195" i="29"/>
  <c r="U193" i="29"/>
  <c r="T193" i="29"/>
  <c r="S193" i="29"/>
  <c r="R193" i="29"/>
  <c r="Q193" i="29"/>
  <c r="P193" i="29"/>
  <c r="O193" i="29"/>
  <c r="N193" i="29"/>
  <c r="M193" i="29"/>
  <c r="L193" i="29"/>
  <c r="K193" i="29"/>
  <c r="J193" i="29"/>
  <c r="I193" i="29"/>
  <c r="H193" i="29"/>
  <c r="G193" i="29"/>
  <c r="F193" i="29"/>
  <c r="U192" i="29"/>
  <c r="T192" i="29"/>
  <c r="S192" i="29"/>
  <c r="R192" i="29"/>
  <c r="Q192" i="29"/>
  <c r="P192" i="29"/>
  <c r="O192" i="29"/>
  <c r="N192" i="29"/>
  <c r="M192" i="29"/>
  <c r="L192" i="29"/>
  <c r="K192" i="29"/>
  <c r="J192" i="29"/>
  <c r="I192" i="29"/>
  <c r="H192" i="29"/>
  <c r="G192" i="29"/>
  <c r="F192" i="29"/>
  <c r="U170" i="29"/>
  <c r="T170" i="29"/>
  <c r="S170" i="29"/>
  <c r="R170" i="29"/>
  <c r="Q170" i="29"/>
  <c r="P170" i="29"/>
  <c r="O170" i="29"/>
  <c r="N170" i="29"/>
  <c r="M170" i="29"/>
  <c r="L170" i="29"/>
  <c r="K170" i="29"/>
  <c r="J170" i="29"/>
  <c r="I170" i="29"/>
  <c r="H170" i="29"/>
  <c r="G170" i="29"/>
  <c r="F170" i="29"/>
  <c r="U169" i="29"/>
  <c r="T169" i="29"/>
  <c r="S169" i="29"/>
  <c r="R169" i="29"/>
  <c r="Q169" i="29"/>
  <c r="P169" i="29"/>
  <c r="O169" i="29"/>
  <c r="N169" i="29"/>
  <c r="M169" i="29"/>
  <c r="L169" i="29"/>
  <c r="K169" i="29"/>
  <c r="J169" i="29"/>
  <c r="I169" i="29"/>
  <c r="H169" i="29"/>
  <c r="G169" i="29"/>
  <c r="F169" i="29"/>
  <c r="U168" i="29"/>
  <c r="T168" i="29"/>
  <c r="S168" i="29"/>
  <c r="R168" i="29"/>
  <c r="Q168" i="29"/>
  <c r="P168" i="29"/>
  <c r="O168" i="29"/>
  <c r="N168" i="29"/>
  <c r="M168" i="29"/>
  <c r="L168" i="29"/>
  <c r="K168" i="29"/>
  <c r="J168" i="29"/>
  <c r="I168" i="29"/>
  <c r="H168" i="29"/>
  <c r="G168" i="29"/>
  <c r="F168" i="29"/>
  <c r="U167" i="29"/>
  <c r="T167" i="29"/>
  <c r="S167" i="29"/>
  <c r="R167" i="29"/>
  <c r="Q167" i="29"/>
  <c r="P167" i="29"/>
  <c r="O167" i="29"/>
  <c r="N167" i="29"/>
  <c r="M167" i="29"/>
  <c r="L167" i="29"/>
  <c r="K167" i="29"/>
  <c r="J167" i="29"/>
  <c r="I167" i="29"/>
  <c r="H167" i="29"/>
  <c r="G167" i="29"/>
  <c r="F167" i="29"/>
  <c r="U166" i="29"/>
  <c r="T166" i="29"/>
  <c r="S166" i="29"/>
  <c r="R166" i="29"/>
  <c r="Q166" i="29"/>
  <c r="P166" i="29"/>
  <c r="O166" i="29"/>
  <c r="N166" i="29"/>
  <c r="M166" i="29"/>
  <c r="L166" i="29"/>
  <c r="K166" i="29"/>
  <c r="J166" i="29"/>
  <c r="I166" i="29"/>
  <c r="H166" i="29"/>
  <c r="G166" i="29"/>
  <c r="F166" i="29"/>
  <c r="U164" i="29"/>
  <c r="T164" i="29"/>
  <c r="S164" i="29"/>
  <c r="R164" i="29"/>
  <c r="Q164" i="29"/>
  <c r="P164" i="29"/>
  <c r="O164" i="29"/>
  <c r="N164" i="29"/>
  <c r="M164" i="29"/>
  <c r="L164" i="29"/>
  <c r="K164" i="29"/>
  <c r="J164" i="29"/>
  <c r="I164" i="29"/>
  <c r="H164" i="29"/>
  <c r="G164" i="29"/>
  <c r="F164" i="29"/>
  <c r="Z9" i="29"/>
  <c r="AA9" i="29" s="1"/>
  <c r="AB9" i="29"/>
  <c r="AC9" i="29" s="1"/>
  <c r="Z12" i="29"/>
  <c r="AA12" i="29" s="1"/>
  <c r="AB12" i="29"/>
  <c r="AC12" i="29" s="1"/>
  <c r="Q25" i="28"/>
  <c r="Q29" i="28"/>
  <c r="T80" i="25"/>
  <c r="T81" i="25"/>
  <c r="T26" i="22"/>
  <c r="U26" i="22"/>
  <c r="V26" i="22"/>
  <c r="T24" i="22"/>
  <c r="U24" i="22"/>
  <c r="V24" i="22"/>
  <c r="G176" i="20"/>
  <c r="H176" i="20"/>
  <c r="I176" i="20"/>
  <c r="J176" i="20"/>
  <c r="K176" i="20"/>
  <c r="L176" i="20"/>
  <c r="M176" i="20"/>
  <c r="N176" i="20"/>
  <c r="O176" i="20"/>
  <c r="P176" i="20"/>
  <c r="Q176" i="20"/>
  <c r="R176" i="20"/>
  <c r="S176" i="20"/>
  <c r="T176" i="20"/>
  <c r="U176" i="20"/>
  <c r="G177" i="20"/>
  <c r="H177" i="20"/>
  <c r="I177" i="20"/>
  <c r="J177" i="20"/>
  <c r="K177" i="20"/>
  <c r="L177" i="20"/>
  <c r="M177" i="20"/>
  <c r="N177" i="20"/>
  <c r="O177" i="20"/>
  <c r="P177" i="20"/>
  <c r="Q177" i="20"/>
  <c r="R177" i="20"/>
  <c r="S177" i="20"/>
  <c r="T177" i="20"/>
  <c r="U177" i="20"/>
  <c r="G178" i="20"/>
  <c r="H178" i="20"/>
  <c r="I178" i="20"/>
  <c r="J178" i="20"/>
  <c r="K178" i="20"/>
  <c r="L178" i="20"/>
  <c r="M178" i="20"/>
  <c r="N178" i="20"/>
  <c r="O178" i="20"/>
  <c r="P178" i="20"/>
  <c r="Q178" i="20"/>
  <c r="R178" i="20"/>
  <c r="S178" i="20"/>
  <c r="T178" i="20"/>
  <c r="U178" i="20"/>
  <c r="G181" i="20"/>
  <c r="H181" i="20"/>
  <c r="I181" i="20"/>
  <c r="J181" i="20"/>
  <c r="K181" i="20"/>
  <c r="L181" i="20"/>
  <c r="M181" i="20"/>
  <c r="N181" i="20"/>
  <c r="O181" i="20"/>
  <c r="P181" i="20"/>
  <c r="Q181" i="20"/>
  <c r="R181" i="20"/>
  <c r="S181" i="20"/>
  <c r="T181" i="20"/>
  <c r="U181" i="20"/>
  <c r="G183" i="20"/>
  <c r="H183" i="20"/>
  <c r="I183" i="20"/>
  <c r="J183" i="20"/>
  <c r="K183" i="20"/>
  <c r="L183" i="20"/>
  <c r="M183" i="20"/>
  <c r="N183" i="20"/>
  <c r="O183" i="20"/>
  <c r="P183" i="20"/>
  <c r="Q183" i="20"/>
  <c r="R183" i="20"/>
  <c r="S183" i="20"/>
  <c r="T183" i="20"/>
  <c r="U183" i="20"/>
  <c r="G184" i="20"/>
  <c r="H184" i="20"/>
  <c r="I184" i="20"/>
  <c r="J184" i="20"/>
  <c r="K184" i="20"/>
  <c r="L184" i="20"/>
  <c r="M184" i="20"/>
  <c r="N184" i="20"/>
  <c r="O184" i="20"/>
  <c r="P184" i="20"/>
  <c r="Q184" i="20"/>
  <c r="R184" i="20"/>
  <c r="S184" i="20"/>
  <c r="T184" i="20"/>
  <c r="U184" i="20"/>
  <c r="G189" i="20"/>
  <c r="H189" i="20"/>
  <c r="I189" i="20"/>
  <c r="J189" i="20"/>
  <c r="K189" i="20"/>
  <c r="L189" i="20"/>
  <c r="M189" i="20"/>
  <c r="N189" i="20"/>
  <c r="O189" i="20"/>
  <c r="P189" i="20"/>
  <c r="Q189" i="20"/>
  <c r="R189" i="20"/>
  <c r="S189" i="20"/>
  <c r="T189" i="20"/>
  <c r="U189" i="20"/>
  <c r="G190" i="20"/>
  <c r="H190" i="20"/>
  <c r="I190" i="20"/>
  <c r="J190" i="20"/>
  <c r="K190" i="20"/>
  <c r="L190" i="20"/>
  <c r="M190" i="20"/>
  <c r="N190" i="20"/>
  <c r="O190" i="20"/>
  <c r="P190" i="20"/>
  <c r="Q190" i="20"/>
  <c r="R190" i="20"/>
  <c r="S190" i="20"/>
  <c r="T190" i="20"/>
  <c r="U190" i="20"/>
  <c r="G191" i="20"/>
  <c r="H191" i="20"/>
  <c r="I191" i="20"/>
  <c r="J191" i="20"/>
  <c r="K191" i="20"/>
  <c r="L191" i="20"/>
  <c r="M191" i="20"/>
  <c r="N191" i="20"/>
  <c r="O191" i="20"/>
  <c r="P191" i="20"/>
  <c r="Q191" i="20"/>
  <c r="R191" i="20"/>
  <c r="S191" i="20"/>
  <c r="T191" i="20"/>
  <c r="U191" i="20"/>
  <c r="G193" i="20"/>
  <c r="H193" i="20"/>
  <c r="I193" i="20"/>
  <c r="J193" i="20"/>
  <c r="K193" i="20"/>
  <c r="L193" i="20"/>
  <c r="M193" i="20"/>
  <c r="N193" i="20"/>
  <c r="O193" i="20"/>
  <c r="P193" i="20"/>
  <c r="Q193" i="20"/>
  <c r="R193" i="20"/>
  <c r="S193" i="20"/>
  <c r="T193" i="20"/>
  <c r="U193" i="20"/>
  <c r="G194" i="20"/>
  <c r="H194" i="20"/>
  <c r="I194" i="20"/>
  <c r="J194" i="20"/>
  <c r="K194" i="20"/>
  <c r="L194" i="20"/>
  <c r="M194" i="20"/>
  <c r="N194" i="20"/>
  <c r="O194" i="20"/>
  <c r="P194" i="20"/>
  <c r="Q194" i="20"/>
  <c r="R194" i="20"/>
  <c r="S194" i="20"/>
  <c r="T194" i="20"/>
  <c r="U194" i="20"/>
  <c r="G196" i="20"/>
  <c r="H196" i="20"/>
  <c r="I196" i="20"/>
  <c r="J196" i="20"/>
  <c r="K196" i="20"/>
  <c r="L196" i="20"/>
  <c r="M196" i="20"/>
  <c r="N196" i="20"/>
  <c r="O196" i="20"/>
  <c r="P196" i="20"/>
  <c r="Q196" i="20"/>
  <c r="R196" i="20"/>
  <c r="S196" i="20"/>
  <c r="T196" i="20"/>
  <c r="U196" i="20"/>
  <c r="G197" i="20"/>
  <c r="H197" i="20"/>
  <c r="I197" i="20"/>
  <c r="J197" i="20"/>
  <c r="K197" i="20"/>
  <c r="L197" i="20"/>
  <c r="M197" i="20"/>
  <c r="N197" i="20"/>
  <c r="O197" i="20"/>
  <c r="P197" i="20"/>
  <c r="Q197" i="20"/>
  <c r="R197" i="20"/>
  <c r="S197" i="20"/>
  <c r="T197" i="20"/>
  <c r="U197" i="20"/>
  <c r="G201" i="20"/>
  <c r="H201" i="20"/>
  <c r="I201" i="20"/>
  <c r="J201" i="20"/>
  <c r="K201" i="20"/>
  <c r="L201" i="20"/>
  <c r="M201" i="20"/>
  <c r="N201" i="20"/>
  <c r="O201" i="20"/>
  <c r="P201" i="20"/>
  <c r="Q201" i="20"/>
  <c r="R201" i="20"/>
  <c r="S201" i="20"/>
  <c r="T201" i="20"/>
  <c r="U201" i="20"/>
  <c r="G202" i="20"/>
  <c r="H202" i="20"/>
  <c r="I202" i="20"/>
  <c r="J202" i="20"/>
  <c r="K202" i="20"/>
  <c r="L202" i="20"/>
  <c r="M202" i="20"/>
  <c r="N202" i="20"/>
  <c r="O202" i="20"/>
  <c r="P202" i="20"/>
  <c r="Q202" i="20"/>
  <c r="R202" i="20"/>
  <c r="S202" i="20"/>
  <c r="T202" i="20"/>
  <c r="U202" i="20"/>
  <c r="G203" i="20"/>
  <c r="H203" i="20"/>
  <c r="I203" i="20"/>
  <c r="J203" i="20"/>
  <c r="K203" i="20"/>
  <c r="L203" i="20"/>
  <c r="M203" i="20"/>
  <c r="N203" i="20"/>
  <c r="O203" i="20"/>
  <c r="P203" i="20"/>
  <c r="Q203" i="20"/>
  <c r="R203" i="20"/>
  <c r="S203" i="20"/>
  <c r="T203" i="20"/>
  <c r="U203" i="20"/>
  <c r="G205" i="20"/>
  <c r="H205" i="20"/>
  <c r="I205" i="20"/>
  <c r="J205" i="20"/>
  <c r="K205" i="20"/>
  <c r="L205" i="20"/>
  <c r="M205" i="20"/>
  <c r="N205" i="20"/>
  <c r="O205" i="20"/>
  <c r="P205" i="20"/>
  <c r="Q205" i="20"/>
  <c r="R205" i="20"/>
  <c r="S205" i="20"/>
  <c r="T205" i="20"/>
  <c r="U205" i="20"/>
  <c r="G206" i="20"/>
  <c r="H206" i="20"/>
  <c r="I206" i="20"/>
  <c r="J206" i="20"/>
  <c r="K206" i="20"/>
  <c r="L206" i="20"/>
  <c r="M206" i="20"/>
  <c r="N206" i="20"/>
  <c r="O206" i="20"/>
  <c r="P206" i="20"/>
  <c r="Q206" i="20"/>
  <c r="R206" i="20"/>
  <c r="S206" i="20"/>
  <c r="T206" i="20"/>
  <c r="U206" i="20"/>
  <c r="G208" i="20"/>
  <c r="H208" i="20"/>
  <c r="I208" i="20"/>
  <c r="J208" i="20"/>
  <c r="K208" i="20"/>
  <c r="L208" i="20"/>
  <c r="M208" i="20"/>
  <c r="N208" i="20"/>
  <c r="O208" i="20"/>
  <c r="P208" i="20"/>
  <c r="Q208" i="20"/>
  <c r="R208" i="20"/>
  <c r="S208" i="20"/>
  <c r="T208" i="20"/>
  <c r="U208" i="20"/>
  <c r="G209" i="20"/>
  <c r="H209" i="20"/>
  <c r="I209" i="20"/>
  <c r="J209" i="20"/>
  <c r="K209" i="20"/>
  <c r="L209" i="20"/>
  <c r="M209" i="20"/>
  <c r="N209" i="20"/>
  <c r="O209" i="20"/>
  <c r="P209" i="20"/>
  <c r="Q209" i="20"/>
  <c r="R209" i="20"/>
  <c r="S209" i="20"/>
  <c r="T209" i="20"/>
  <c r="U209" i="20"/>
  <c r="G213" i="20"/>
  <c r="H213" i="20"/>
  <c r="I213" i="20"/>
  <c r="J213" i="20"/>
  <c r="K213" i="20"/>
  <c r="L213" i="20"/>
  <c r="M213" i="20"/>
  <c r="N213" i="20"/>
  <c r="O213" i="20"/>
  <c r="P213" i="20"/>
  <c r="Q213" i="20"/>
  <c r="R213" i="20"/>
  <c r="S213" i="20"/>
  <c r="T213" i="20"/>
  <c r="U213" i="20"/>
  <c r="G215" i="20"/>
  <c r="H215" i="20"/>
  <c r="I215" i="20"/>
  <c r="J215" i="20"/>
  <c r="K215" i="20"/>
  <c r="L215" i="20"/>
  <c r="M215" i="20"/>
  <c r="N215" i="20"/>
  <c r="O215" i="20"/>
  <c r="P215" i="20"/>
  <c r="Q215" i="20"/>
  <c r="R215" i="20"/>
  <c r="S215" i="20"/>
  <c r="T215" i="20"/>
  <c r="U215" i="20"/>
  <c r="G216" i="20"/>
  <c r="H216" i="20"/>
  <c r="I216" i="20"/>
  <c r="J216" i="20"/>
  <c r="K216" i="20"/>
  <c r="L216" i="20"/>
  <c r="M216" i="20"/>
  <c r="N216" i="20"/>
  <c r="O216" i="20"/>
  <c r="P216" i="20"/>
  <c r="Q216" i="20"/>
  <c r="R216" i="20"/>
  <c r="S216" i="20"/>
  <c r="T216" i="20"/>
  <c r="U216" i="20"/>
  <c r="G217" i="20"/>
  <c r="H217" i="20"/>
  <c r="I217" i="20"/>
  <c r="J217" i="20"/>
  <c r="K217" i="20"/>
  <c r="L217" i="20"/>
  <c r="M217" i="20"/>
  <c r="N217" i="20"/>
  <c r="O217" i="20"/>
  <c r="P217" i="20"/>
  <c r="Q217" i="20"/>
  <c r="R217" i="20"/>
  <c r="S217" i="20"/>
  <c r="T217" i="20"/>
  <c r="U217" i="20"/>
  <c r="G218" i="20"/>
  <c r="H218" i="20"/>
  <c r="I218" i="20"/>
  <c r="J218" i="20"/>
  <c r="K218" i="20"/>
  <c r="L218" i="20"/>
  <c r="M218" i="20"/>
  <c r="N218" i="20"/>
  <c r="O218" i="20"/>
  <c r="P218" i="20"/>
  <c r="Q218" i="20"/>
  <c r="R218" i="20"/>
  <c r="S218" i="20"/>
  <c r="T218" i="20"/>
  <c r="U218" i="20"/>
  <c r="G219" i="20"/>
  <c r="H219" i="20"/>
  <c r="I219" i="20"/>
  <c r="J219" i="20"/>
  <c r="K219" i="20"/>
  <c r="L219" i="20"/>
  <c r="M219" i="20"/>
  <c r="N219" i="20"/>
  <c r="O219" i="20"/>
  <c r="P219" i="20"/>
  <c r="Q219" i="20"/>
  <c r="R219" i="20"/>
  <c r="S219" i="20"/>
  <c r="T219" i="20"/>
  <c r="U219" i="20"/>
  <c r="G220" i="20"/>
  <c r="H220" i="20"/>
  <c r="I220" i="20"/>
  <c r="J220" i="20"/>
  <c r="K220" i="20"/>
  <c r="L220" i="20"/>
  <c r="M220" i="20"/>
  <c r="N220" i="20"/>
  <c r="O220" i="20"/>
  <c r="P220" i="20"/>
  <c r="Q220" i="20"/>
  <c r="R220" i="20"/>
  <c r="S220" i="20"/>
  <c r="T220" i="20"/>
  <c r="U220" i="20"/>
  <c r="G221" i="20"/>
  <c r="H221" i="20"/>
  <c r="I221" i="20"/>
  <c r="J221" i="20"/>
  <c r="K221" i="20"/>
  <c r="L221" i="20"/>
  <c r="M221" i="20"/>
  <c r="N221" i="20"/>
  <c r="O221" i="20"/>
  <c r="P221" i="20"/>
  <c r="Q221" i="20"/>
  <c r="R221" i="20"/>
  <c r="S221" i="20"/>
  <c r="T221" i="20"/>
  <c r="U221" i="20"/>
  <c r="G222" i="20"/>
  <c r="H222" i="20"/>
  <c r="I222" i="20"/>
  <c r="J222" i="20"/>
  <c r="K222" i="20"/>
  <c r="L222" i="20"/>
  <c r="M222" i="20"/>
  <c r="N222" i="20"/>
  <c r="O222" i="20"/>
  <c r="P222" i="20"/>
  <c r="Q222" i="20"/>
  <c r="R222" i="20"/>
  <c r="S222" i="20"/>
  <c r="T222" i="20"/>
  <c r="U222" i="20"/>
  <c r="G225" i="20"/>
  <c r="H225" i="20"/>
  <c r="I225" i="20"/>
  <c r="J225" i="20"/>
  <c r="K225" i="20"/>
  <c r="L225" i="20"/>
  <c r="M225" i="20"/>
  <c r="N225" i="20"/>
  <c r="O225" i="20"/>
  <c r="P225" i="20"/>
  <c r="Q225" i="20"/>
  <c r="R225" i="20"/>
  <c r="S225" i="20"/>
  <c r="T225" i="20"/>
  <c r="U225" i="20"/>
  <c r="G227" i="20"/>
  <c r="H227" i="20"/>
  <c r="I227" i="20"/>
  <c r="J227" i="20"/>
  <c r="K227" i="20"/>
  <c r="L227" i="20"/>
  <c r="M227" i="20"/>
  <c r="N227" i="20"/>
  <c r="O227" i="20"/>
  <c r="P227" i="20"/>
  <c r="Q227" i="20"/>
  <c r="R227" i="20"/>
  <c r="S227" i="20"/>
  <c r="T227" i="20"/>
  <c r="U227" i="20"/>
  <c r="G228" i="20"/>
  <c r="H228" i="20"/>
  <c r="I228" i="20"/>
  <c r="J228" i="20"/>
  <c r="K228" i="20"/>
  <c r="L228" i="20"/>
  <c r="M228" i="20"/>
  <c r="N228" i="20"/>
  <c r="O228" i="20"/>
  <c r="P228" i="20"/>
  <c r="Q228" i="20"/>
  <c r="R228" i="20"/>
  <c r="S228" i="20"/>
  <c r="T228" i="20"/>
  <c r="U228" i="20"/>
  <c r="G229" i="20"/>
  <c r="H229" i="20"/>
  <c r="I229" i="20"/>
  <c r="J229" i="20"/>
  <c r="K229" i="20"/>
  <c r="L229" i="20"/>
  <c r="M229" i="20"/>
  <c r="N229" i="20"/>
  <c r="O229" i="20"/>
  <c r="P229" i="20"/>
  <c r="Q229" i="20"/>
  <c r="R229" i="20"/>
  <c r="S229" i="20"/>
  <c r="T229" i="20"/>
  <c r="U229" i="20"/>
  <c r="G230" i="20"/>
  <c r="H230" i="20"/>
  <c r="I230" i="20"/>
  <c r="J230" i="20"/>
  <c r="K230" i="20"/>
  <c r="L230" i="20"/>
  <c r="M230" i="20"/>
  <c r="N230" i="20"/>
  <c r="O230" i="20"/>
  <c r="P230" i="20"/>
  <c r="Q230" i="20"/>
  <c r="R230" i="20"/>
  <c r="S230" i="20"/>
  <c r="T230" i="20"/>
  <c r="U230" i="20"/>
  <c r="G231" i="20"/>
  <c r="H231" i="20"/>
  <c r="I231" i="20"/>
  <c r="J231" i="20"/>
  <c r="K231" i="20"/>
  <c r="L231" i="20"/>
  <c r="M231" i="20"/>
  <c r="N231" i="20"/>
  <c r="O231" i="20"/>
  <c r="P231" i="20"/>
  <c r="Q231" i="20"/>
  <c r="R231" i="20"/>
  <c r="S231" i="20"/>
  <c r="T231" i="20"/>
  <c r="U231" i="20"/>
  <c r="G232" i="20"/>
  <c r="H232" i="20"/>
  <c r="I232" i="20"/>
  <c r="J232" i="20"/>
  <c r="K232" i="20"/>
  <c r="L232" i="20"/>
  <c r="M232" i="20"/>
  <c r="N232" i="20"/>
  <c r="O232" i="20"/>
  <c r="P232" i="20"/>
  <c r="Q232" i="20"/>
  <c r="R232" i="20"/>
  <c r="S232" i="20"/>
  <c r="T232" i="20"/>
  <c r="U232" i="20"/>
  <c r="G233" i="20"/>
  <c r="H233" i="20"/>
  <c r="I233" i="20"/>
  <c r="J233" i="20"/>
  <c r="K233" i="20"/>
  <c r="L233" i="20"/>
  <c r="M233" i="20"/>
  <c r="N233" i="20"/>
  <c r="O233" i="20"/>
  <c r="P233" i="20"/>
  <c r="Q233" i="20"/>
  <c r="R233" i="20"/>
  <c r="S233" i="20"/>
  <c r="T233" i="20"/>
  <c r="U233" i="20"/>
  <c r="G234" i="20"/>
  <c r="H234" i="20"/>
  <c r="I234" i="20"/>
  <c r="J234" i="20"/>
  <c r="K234" i="20"/>
  <c r="L234" i="20"/>
  <c r="M234" i="20"/>
  <c r="N234" i="20"/>
  <c r="O234" i="20"/>
  <c r="P234" i="20"/>
  <c r="Q234" i="20"/>
  <c r="R234" i="20"/>
  <c r="S234" i="20"/>
  <c r="T234" i="20"/>
  <c r="U234" i="20"/>
  <c r="F234" i="20"/>
  <c r="F233" i="20"/>
  <c r="F232" i="20"/>
  <c r="F231" i="20"/>
  <c r="F230" i="20"/>
  <c r="F229" i="20"/>
  <c r="F228" i="20"/>
  <c r="F227" i="20"/>
  <c r="F225" i="20"/>
  <c r="F222" i="20"/>
  <c r="F221" i="20"/>
  <c r="F220" i="20"/>
  <c r="F219" i="20"/>
  <c r="F218" i="20"/>
  <c r="F217" i="20"/>
  <c r="F216" i="20"/>
  <c r="F215" i="20"/>
  <c r="F213" i="20"/>
  <c r="F209" i="20"/>
  <c r="F208" i="20"/>
  <c r="F206" i="20"/>
  <c r="F205" i="20"/>
  <c r="F203" i="20"/>
  <c r="F202" i="20"/>
  <c r="F201" i="20"/>
  <c r="F197" i="20"/>
  <c r="F196" i="20"/>
  <c r="F194" i="20"/>
  <c r="F193" i="20"/>
  <c r="F191" i="20"/>
  <c r="F190" i="20"/>
  <c r="F189" i="20"/>
  <c r="F184" i="20"/>
  <c r="F183" i="20"/>
  <c r="F181" i="20"/>
  <c r="F178" i="20"/>
  <c r="F177" i="20"/>
  <c r="F176" i="20"/>
  <c r="G58" i="20"/>
  <c r="G214" i="20" s="1"/>
  <c r="H58" i="20"/>
  <c r="H56" i="20" s="1"/>
  <c r="H212" i="20" s="1"/>
  <c r="I58" i="20"/>
  <c r="I56" i="20" s="1"/>
  <c r="I212" i="20" s="1"/>
  <c r="J58" i="20"/>
  <c r="J56" i="20" s="1"/>
  <c r="J212" i="20" s="1"/>
  <c r="K58" i="20"/>
  <c r="K214" i="20" s="1"/>
  <c r="L58" i="20"/>
  <c r="L214" i="20" s="1"/>
  <c r="M58" i="20"/>
  <c r="M56" i="20" s="1"/>
  <c r="M212" i="20" s="1"/>
  <c r="N58" i="20"/>
  <c r="N56" i="20" s="1"/>
  <c r="N212" i="20" s="1"/>
  <c r="O58" i="20"/>
  <c r="O214" i="20" s="1"/>
  <c r="P58" i="20"/>
  <c r="P214" i="20" s="1"/>
  <c r="Q58" i="20"/>
  <c r="Q56" i="20" s="1"/>
  <c r="Q212" i="20" s="1"/>
  <c r="R58" i="20"/>
  <c r="R56" i="20" s="1"/>
  <c r="R212" i="20" s="1"/>
  <c r="S58" i="20"/>
  <c r="S214" i="20" s="1"/>
  <c r="F58" i="20"/>
  <c r="F214" i="20" s="1"/>
  <c r="P56" i="20"/>
  <c r="P212" i="20" s="1"/>
  <c r="L56" i="20"/>
  <c r="L212" i="20" s="1"/>
  <c r="S56" i="20"/>
  <c r="S212" i="20" s="1"/>
  <c r="K56" i="20"/>
  <c r="K212" i="20" s="1"/>
  <c r="F56" i="20"/>
  <c r="F212" i="20" s="1"/>
  <c r="G32" i="20"/>
  <c r="G188" i="20" s="1"/>
  <c r="H32" i="20"/>
  <c r="H188" i="20" s="1"/>
  <c r="I32" i="20"/>
  <c r="I188" i="20" s="1"/>
  <c r="J32" i="20"/>
  <c r="J188" i="20" s="1"/>
  <c r="K32" i="20"/>
  <c r="K188" i="20" s="1"/>
  <c r="L32" i="20"/>
  <c r="L188" i="20" s="1"/>
  <c r="M32" i="20"/>
  <c r="M188" i="20" s="1"/>
  <c r="N32" i="20"/>
  <c r="N188" i="20" s="1"/>
  <c r="O32" i="20"/>
  <c r="O188" i="20" s="1"/>
  <c r="P32" i="20"/>
  <c r="P188" i="20" s="1"/>
  <c r="Q32" i="20"/>
  <c r="Q188" i="20" s="1"/>
  <c r="R32" i="20"/>
  <c r="R188" i="20" s="1"/>
  <c r="S32" i="20"/>
  <c r="S188" i="20" s="1"/>
  <c r="T32" i="20"/>
  <c r="T188" i="20" s="1"/>
  <c r="U32" i="20"/>
  <c r="U188" i="20" s="1"/>
  <c r="W32" i="20"/>
  <c r="F32" i="20"/>
  <c r="F188" i="20" s="1"/>
  <c r="W36" i="20"/>
  <c r="V36" i="20"/>
  <c r="U36" i="20"/>
  <c r="U192" i="20" s="1"/>
  <c r="T36" i="20"/>
  <c r="T192" i="20" s="1"/>
  <c r="S36" i="20"/>
  <c r="S192" i="20" s="1"/>
  <c r="R36" i="20"/>
  <c r="R192" i="20" s="1"/>
  <c r="Q36" i="20"/>
  <c r="Q192" i="20" s="1"/>
  <c r="P36" i="20"/>
  <c r="P192" i="20" s="1"/>
  <c r="O36" i="20"/>
  <c r="O192" i="20" s="1"/>
  <c r="N36" i="20"/>
  <c r="N192" i="20" s="1"/>
  <c r="M36" i="20"/>
  <c r="M192" i="20" s="1"/>
  <c r="L36" i="20"/>
  <c r="L192" i="20" s="1"/>
  <c r="K36" i="20"/>
  <c r="K192" i="20" s="1"/>
  <c r="J36" i="20"/>
  <c r="J192" i="20" s="1"/>
  <c r="I36" i="20"/>
  <c r="I192" i="20" s="1"/>
  <c r="H36" i="20"/>
  <c r="H192" i="20" s="1"/>
  <c r="G36" i="20"/>
  <c r="G192" i="20" s="1"/>
  <c r="F36" i="20"/>
  <c r="F192" i="20" s="1"/>
  <c r="T19" i="21"/>
  <c r="T89" i="21" s="1"/>
  <c r="U19" i="21"/>
  <c r="V19" i="21"/>
  <c r="T100" i="21"/>
  <c r="T94" i="21"/>
  <c r="T84" i="21"/>
  <c r="T85" i="21"/>
  <c r="T86" i="21"/>
  <c r="T87" i="21"/>
  <c r="T88" i="21"/>
  <c r="T74" i="5"/>
  <c r="T75" i="5"/>
  <c r="T79" i="5"/>
  <c r="O56" i="20" l="1"/>
  <c r="O212" i="20" s="1"/>
  <c r="G56" i="20"/>
  <c r="G212" i="20" s="1"/>
  <c r="J214" i="20"/>
  <c r="R214" i="20"/>
  <c r="N214" i="20"/>
  <c r="Q214" i="20"/>
  <c r="M214" i="20"/>
  <c r="I214" i="20"/>
  <c r="H214" i="20"/>
  <c r="U94" i="3"/>
  <c r="T94" i="3"/>
  <c r="S94" i="3"/>
  <c r="R94" i="3"/>
  <c r="Q94" i="3"/>
  <c r="P94" i="3"/>
  <c r="O94" i="3"/>
  <c r="N94" i="3"/>
  <c r="M94" i="3"/>
  <c r="L94" i="3"/>
  <c r="K94" i="3"/>
  <c r="J94" i="3"/>
  <c r="I94" i="3"/>
  <c r="H94" i="3"/>
  <c r="G94" i="3"/>
  <c r="F94" i="3"/>
  <c r="E94" i="3"/>
  <c r="F84" i="3"/>
  <c r="G84" i="3"/>
  <c r="H84" i="3"/>
  <c r="I84" i="3"/>
  <c r="J84" i="3"/>
  <c r="K84" i="3"/>
  <c r="L84" i="3"/>
  <c r="M84" i="3"/>
  <c r="N84" i="3"/>
  <c r="O84" i="3"/>
  <c r="P84" i="3"/>
  <c r="Q84" i="3"/>
  <c r="R84" i="3"/>
  <c r="S84" i="3"/>
  <c r="T84" i="3"/>
  <c r="F85" i="3"/>
  <c r="G85" i="3"/>
  <c r="H85" i="3"/>
  <c r="I85" i="3"/>
  <c r="J85" i="3"/>
  <c r="K85" i="3"/>
  <c r="L85" i="3"/>
  <c r="M85" i="3"/>
  <c r="N85" i="3"/>
  <c r="O85" i="3"/>
  <c r="P85" i="3"/>
  <c r="Q85" i="3"/>
  <c r="R85" i="3"/>
  <c r="S85" i="3"/>
  <c r="T85" i="3"/>
  <c r="U85" i="3"/>
  <c r="F87" i="3"/>
  <c r="G87" i="3"/>
  <c r="H87" i="3"/>
  <c r="I87" i="3"/>
  <c r="J87" i="3"/>
  <c r="K87" i="3"/>
  <c r="L87" i="3"/>
  <c r="M87" i="3"/>
  <c r="N87" i="3"/>
  <c r="O87" i="3"/>
  <c r="P87" i="3"/>
  <c r="Q87" i="3"/>
  <c r="R87" i="3"/>
  <c r="S87" i="3"/>
  <c r="T87" i="3"/>
  <c r="U87" i="3"/>
  <c r="F88" i="3"/>
  <c r="G88" i="3"/>
  <c r="H88" i="3"/>
  <c r="I88" i="3"/>
  <c r="J88" i="3"/>
  <c r="K88" i="3"/>
  <c r="L88" i="3"/>
  <c r="M88" i="3"/>
  <c r="N88" i="3"/>
  <c r="O88" i="3"/>
  <c r="P88" i="3"/>
  <c r="Q88" i="3"/>
  <c r="R88" i="3"/>
  <c r="S88" i="3"/>
  <c r="T88" i="3"/>
  <c r="U88" i="3"/>
  <c r="E85" i="3"/>
  <c r="E87" i="3"/>
  <c r="E88" i="3"/>
  <c r="E84" i="3"/>
  <c r="AZ15" i="56" l="1"/>
  <c r="AZ14" i="56"/>
  <c r="AZ13" i="56"/>
  <c r="AZ12" i="56"/>
  <c r="AZ11" i="56"/>
  <c r="AZ10" i="56"/>
  <c r="AZ9" i="56"/>
  <c r="AZ8" i="56"/>
  <c r="AZ7" i="56"/>
  <c r="AZ6" i="56"/>
  <c r="AZ5" i="56"/>
  <c r="AZ4" i="56"/>
  <c r="AY16" i="56"/>
  <c r="AY15" i="56"/>
  <c r="AY14" i="56"/>
  <c r="AY13" i="56"/>
  <c r="AY12" i="56"/>
  <c r="AY11" i="56"/>
  <c r="AY10" i="56"/>
  <c r="AY9" i="56"/>
  <c r="AY8" i="56"/>
  <c r="AY7" i="56"/>
  <c r="AY6" i="56"/>
  <c r="AY5" i="56"/>
  <c r="AY4" i="56"/>
  <c r="AV19" i="56"/>
  <c r="AV18" i="56"/>
  <c r="AV17" i="56"/>
  <c r="AV16" i="56"/>
  <c r="AV15" i="56"/>
  <c r="AV14" i="56"/>
  <c r="AV13" i="56"/>
  <c r="AV12" i="56"/>
  <c r="AV11" i="56"/>
  <c r="AV10" i="56"/>
  <c r="AV9" i="56"/>
  <c r="AV8" i="56"/>
  <c r="AV7" i="56"/>
  <c r="AV6" i="56"/>
  <c r="AV5" i="56"/>
  <c r="AV4" i="56"/>
  <c r="AU17" i="56"/>
  <c r="AU16" i="56"/>
  <c r="AU15" i="56"/>
  <c r="AU14" i="56"/>
  <c r="AU13" i="56"/>
  <c r="AU12" i="56"/>
  <c r="AU11" i="56"/>
  <c r="AU10" i="56"/>
  <c r="AU9" i="56"/>
  <c r="AU8" i="56"/>
  <c r="AU7" i="56"/>
  <c r="AU6" i="56"/>
  <c r="AU5" i="56"/>
  <c r="AU4" i="56"/>
  <c r="AR19" i="56"/>
  <c r="AR18" i="56"/>
  <c r="AR17" i="56"/>
  <c r="AR16" i="56"/>
  <c r="AR15" i="56"/>
  <c r="AR14" i="56"/>
  <c r="AR13" i="56"/>
  <c r="AR12" i="56"/>
  <c r="AR11" i="56"/>
  <c r="AR10" i="56"/>
  <c r="AR9" i="56"/>
  <c r="AR8" i="56"/>
  <c r="AR7" i="56"/>
  <c r="AR6" i="56"/>
  <c r="AR5" i="56"/>
  <c r="AR4" i="56"/>
  <c r="AQ19" i="56"/>
  <c r="AQ18" i="56"/>
  <c r="AQ17" i="56"/>
  <c r="AQ16" i="56"/>
  <c r="AQ15" i="56"/>
  <c r="AQ14" i="56"/>
  <c r="AQ13" i="56"/>
  <c r="AQ12" i="56"/>
  <c r="AQ11" i="56"/>
  <c r="AQ10" i="56"/>
  <c r="AQ9" i="56"/>
  <c r="AQ8" i="56"/>
  <c r="AQ7" i="56"/>
  <c r="AQ6" i="56"/>
  <c r="AQ5" i="56"/>
  <c r="AQ4" i="56"/>
  <c r="AP19" i="56"/>
  <c r="AP18" i="56"/>
  <c r="AP17" i="56"/>
  <c r="AP16" i="56"/>
  <c r="AP15" i="56"/>
  <c r="AP14" i="56"/>
  <c r="AP13" i="56"/>
  <c r="AP12" i="56"/>
  <c r="AP11" i="56"/>
  <c r="AP10" i="56"/>
  <c r="AP9" i="56"/>
  <c r="AP8" i="56"/>
  <c r="AP7" i="56"/>
  <c r="AP6" i="56"/>
  <c r="AP5" i="56"/>
  <c r="AP4" i="56"/>
  <c r="AO19" i="56"/>
  <c r="AO18" i="56"/>
  <c r="AO17" i="56"/>
  <c r="AO16" i="56"/>
  <c r="AO15" i="56"/>
  <c r="AO14" i="56"/>
  <c r="AO13" i="56"/>
  <c r="AO12" i="56"/>
  <c r="AO11" i="56"/>
  <c r="AO10" i="56"/>
  <c r="AO9" i="56"/>
  <c r="AO8" i="56"/>
  <c r="AO7" i="56"/>
  <c r="AO6" i="56"/>
  <c r="AO5" i="56"/>
  <c r="AO4" i="56"/>
  <c r="AN19" i="56"/>
  <c r="AN18" i="56"/>
  <c r="AN17" i="56"/>
  <c r="AN16" i="56"/>
  <c r="AN15" i="56"/>
  <c r="AN14" i="56"/>
  <c r="AN13" i="56"/>
  <c r="AN12" i="56"/>
  <c r="AN11" i="56"/>
  <c r="AN10" i="56"/>
  <c r="AN9" i="56"/>
  <c r="AN8" i="56"/>
  <c r="AN7" i="56"/>
  <c r="AN6" i="56"/>
  <c r="AN5" i="56"/>
  <c r="AN4" i="56"/>
  <c r="AK16" i="56"/>
  <c r="AK15" i="56"/>
  <c r="AK14" i="56"/>
  <c r="AK13" i="56"/>
  <c r="AK12" i="56"/>
  <c r="AK11" i="56"/>
  <c r="AK10" i="56"/>
  <c r="AK9" i="56"/>
  <c r="AK8" i="56"/>
  <c r="AK7" i="56"/>
  <c r="AK6" i="56"/>
  <c r="AK5" i="56"/>
  <c r="AK4" i="56"/>
  <c r="AJ19" i="56"/>
  <c r="AJ18" i="56"/>
  <c r="AJ17" i="56"/>
  <c r="AJ16" i="56"/>
  <c r="AJ15" i="56"/>
  <c r="AJ14" i="56"/>
  <c r="AJ13" i="56"/>
  <c r="AJ12" i="56"/>
  <c r="AJ11" i="56"/>
  <c r="AJ10" i="56"/>
  <c r="AJ9" i="56"/>
  <c r="AJ8" i="56"/>
  <c r="AJ7" i="56"/>
  <c r="AJ6" i="56"/>
  <c r="AJ5" i="56"/>
  <c r="AJ4" i="56"/>
  <c r="AI19" i="56"/>
  <c r="AI18" i="56"/>
  <c r="AI17" i="56"/>
  <c r="AI16" i="56"/>
  <c r="AI15" i="56"/>
  <c r="AI14" i="56"/>
  <c r="AI13" i="56"/>
  <c r="AI12" i="56"/>
  <c r="AI11" i="56"/>
  <c r="AI10" i="56"/>
  <c r="AI9" i="56"/>
  <c r="AI8" i="56"/>
  <c r="AI7" i="56"/>
  <c r="AI6" i="56"/>
  <c r="AI5" i="56"/>
  <c r="AI4" i="56"/>
  <c r="AH19" i="56"/>
  <c r="AH18" i="56"/>
  <c r="AH16" i="56"/>
  <c r="AH15" i="56"/>
  <c r="AH14" i="56"/>
  <c r="AH13" i="56"/>
  <c r="AH12" i="56"/>
  <c r="AH11" i="56"/>
  <c r="AH10" i="56"/>
  <c r="AH9" i="56"/>
  <c r="AH8" i="56"/>
  <c r="AH7" i="56"/>
  <c r="AH6" i="56"/>
  <c r="AH5" i="56"/>
  <c r="AH4" i="56"/>
  <c r="AG19" i="56"/>
  <c r="AG18" i="56"/>
  <c r="AG17" i="56"/>
  <c r="AG16" i="56"/>
  <c r="AG15" i="56"/>
  <c r="AG14" i="56"/>
  <c r="AG13" i="56"/>
  <c r="AG12" i="56"/>
  <c r="AG11" i="56"/>
  <c r="AG10" i="56"/>
  <c r="AG9" i="56"/>
  <c r="AG8" i="56"/>
  <c r="AG7" i="56"/>
  <c r="AG6" i="56"/>
  <c r="AG5" i="56"/>
  <c r="AG4" i="56"/>
  <c r="AD2" i="56"/>
  <c r="AC2" i="56"/>
  <c r="AB2" i="56"/>
  <c r="AA2" i="56"/>
  <c r="Z2" i="56"/>
  <c r="T19" i="56"/>
  <c r="T18" i="56"/>
  <c r="T17" i="56"/>
  <c r="T16" i="56"/>
  <c r="T15" i="56"/>
  <c r="T14" i="56"/>
  <c r="T13" i="56"/>
  <c r="T12" i="56"/>
  <c r="T11" i="56"/>
  <c r="T10" i="56"/>
  <c r="T9" i="56"/>
  <c r="T8" i="56"/>
  <c r="T7" i="56"/>
  <c r="T6" i="56"/>
  <c r="T5" i="56"/>
  <c r="T4" i="56"/>
  <c r="S19" i="56"/>
  <c r="S18" i="56"/>
  <c r="S17" i="56"/>
  <c r="S16" i="56"/>
  <c r="S15" i="56"/>
  <c r="S14" i="56"/>
  <c r="S13" i="56"/>
  <c r="S12" i="56"/>
  <c r="S11" i="56"/>
  <c r="S10" i="56"/>
  <c r="S9" i="56"/>
  <c r="S8" i="56"/>
  <c r="S7" i="56"/>
  <c r="S6" i="56"/>
  <c r="S5" i="56"/>
  <c r="S4" i="56"/>
  <c r="R19" i="56"/>
  <c r="R18" i="56"/>
  <c r="R17" i="56"/>
  <c r="R16" i="56"/>
  <c r="R15" i="56"/>
  <c r="R14" i="56"/>
  <c r="R13" i="56"/>
  <c r="R12" i="56"/>
  <c r="R11" i="56"/>
  <c r="R10" i="56"/>
  <c r="R9" i="56"/>
  <c r="R8" i="56"/>
  <c r="R7" i="56"/>
  <c r="R6" i="56"/>
  <c r="R5" i="56"/>
  <c r="R4" i="56"/>
  <c r="Q19" i="56"/>
  <c r="Q18" i="56"/>
  <c r="Q17" i="56"/>
  <c r="Q16" i="56"/>
  <c r="Q15" i="56"/>
  <c r="Q14" i="56"/>
  <c r="Q13" i="56"/>
  <c r="Q12" i="56"/>
  <c r="Q11" i="56"/>
  <c r="Q10" i="56"/>
  <c r="Q9" i="56"/>
  <c r="Q8" i="56"/>
  <c r="Q7" i="56"/>
  <c r="Q6" i="56"/>
  <c r="Q5" i="56"/>
  <c r="Q4" i="56"/>
  <c r="L79" i="57" l="1"/>
  <c r="L78" i="57"/>
  <c r="L77" i="57"/>
  <c r="L76" i="57"/>
  <c r="L62" i="57"/>
  <c r="L47" i="57"/>
  <c r="L46" i="57"/>
  <c r="L45" i="57"/>
  <c r="L33" i="57"/>
  <c r="L32" i="57"/>
  <c r="L41" i="57"/>
  <c r="G4" i="57" l="1"/>
  <c r="G2" i="56" l="1"/>
  <c r="H2" i="56"/>
  <c r="F2" i="56"/>
  <c r="E2" i="56"/>
  <c r="D2" i="56"/>
  <c r="C2" i="56"/>
  <c r="B2" i="56"/>
  <c r="V4" i="35" l="1"/>
  <c r="V35" i="19" s="1"/>
  <c r="W4" i="35"/>
  <c r="W35" i="19" s="1"/>
  <c r="V36" i="19"/>
  <c r="W36" i="19"/>
  <c r="V37" i="19"/>
  <c r="W37" i="19"/>
  <c r="V38" i="19"/>
  <c r="W38" i="19"/>
  <c r="V39" i="19"/>
  <c r="W39" i="19"/>
  <c r="V40" i="19"/>
  <c r="W40" i="19"/>
  <c r="V136" i="19"/>
  <c r="W136" i="19"/>
  <c r="V137" i="19"/>
  <c r="W137" i="19"/>
  <c r="V139" i="19"/>
  <c r="W139" i="19"/>
  <c r="V140" i="19"/>
  <c r="W140" i="19"/>
  <c r="V141" i="19"/>
  <c r="W141" i="19"/>
  <c r="V142" i="19"/>
  <c r="W142" i="19"/>
  <c r="V148" i="19"/>
  <c r="W148" i="19"/>
  <c r="V149" i="19"/>
  <c r="W149" i="19"/>
  <c r="V122" i="19"/>
  <c r="W122" i="19"/>
  <c r="V124" i="19"/>
  <c r="W124" i="19"/>
  <c r="V125" i="19"/>
  <c r="W125" i="19"/>
  <c r="V126" i="19"/>
  <c r="W126" i="19"/>
  <c r="V127" i="19"/>
  <c r="W127" i="19"/>
  <c r="V128" i="19"/>
  <c r="W128" i="19"/>
  <c r="V129" i="19"/>
  <c r="W129" i="19"/>
  <c r="V130" i="19"/>
  <c r="W130" i="19"/>
  <c r="V131" i="19"/>
  <c r="W131" i="19"/>
  <c r="V101" i="19"/>
  <c r="W101" i="19"/>
  <c r="V102" i="19"/>
  <c r="W102" i="19"/>
  <c r="V103" i="19"/>
  <c r="W103" i="19"/>
  <c r="V105" i="19"/>
  <c r="W105" i="19"/>
  <c r="V106" i="19"/>
  <c r="W106" i="19"/>
  <c r="V108" i="19"/>
  <c r="W108" i="19"/>
  <c r="V109" i="19"/>
  <c r="W109" i="19"/>
  <c r="V111" i="19"/>
  <c r="W111" i="19"/>
  <c r="C35" i="57" s="1"/>
  <c r="V113" i="19"/>
  <c r="W113" i="19"/>
  <c r="V114" i="19"/>
  <c r="W114" i="19"/>
  <c r="V115" i="19"/>
  <c r="W115" i="19"/>
  <c r="V116" i="19"/>
  <c r="W116" i="19"/>
  <c r="V117" i="19"/>
  <c r="W117" i="19"/>
  <c r="V65" i="19"/>
  <c r="W65" i="19"/>
  <c r="V68" i="19"/>
  <c r="W68" i="19"/>
  <c r="V69" i="19"/>
  <c r="W69" i="19"/>
  <c r="V70" i="19"/>
  <c r="W70" i="19"/>
  <c r="V73" i="19"/>
  <c r="W73" i="19"/>
  <c r="V75" i="19"/>
  <c r="W75" i="19"/>
  <c r="V76" i="19"/>
  <c r="W76" i="19"/>
  <c r="V81" i="19"/>
  <c r="W81" i="19"/>
  <c r="V84" i="19"/>
  <c r="W84" i="19"/>
  <c r="V88" i="19"/>
  <c r="W88" i="19"/>
  <c r="V89" i="19"/>
  <c r="W89" i="19"/>
  <c r="V90" i="19"/>
  <c r="W90" i="19"/>
  <c r="V91" i="19"/>
  <c r="W91" i="19"/>
  <c r="V92" i="19"/>
  <c r="W92" i="19"/>
  <c r="V93" i="19"/>
  <c r="W93" i="19"/>
  <c r="V94" i="19"/>
  <c r="W94" i="19"/>
  <c r="V95" i="19"/>
  <c r="W95" i="19"/>
  <c r="S10" i="19"/>
  <c r="S310" i="19" s="1"/>
  <c r="T10" i="19"/>
  <c r="T310" i="19" s="1"/>
  <c r="U10" i="19"/>
  <c r="U310" i="19" s="1"/>
  <c r="V10" i="19"/>
  <c r="W10" i="19"/>
  <c r="S26" i="19"/>
  <c r="S326" i="19" s="1"/>
  <c r="T26" i="19"/>
  <c r="T326" i="19" s="1"/>
  <c r="U26" i="19"/>
  <c r="U326" i="19" s="1"/>
  <c r="V26" i="19"/>
  <c r="W26" i="19"/>
  <c r="S29" i="19"/>
  <c r="S329" i="19" s="1"/>
  <c r="T29" i="19"/>
  <c r="T329" i="19" s="1"/>
  <c r="U29" i="19"/>
  <c r="U329" i="19" s="1"/>
  <c r="V29" i="19"/>
  <c r="W29" i="19"/>
  <c r="S33" i="19"/>
  <c r="S333" i="19" s="1"/>
  <c r="T33" i="19"/>
  <c r="T333" i="19" s="1"/>
  <c r="U33" i="19"/>
  <c r="U333" i="19" s="1"/>
  <c r="V33" i="19"/>
  <c r="W33" i="19"/>
  <c r="S34" i="19"/>
  <c r="S334" i="19" s="1"/>
  <c r="T34" i="19"/>
  <c r="T334" i="19" s="1"/>
  <c r="U34" i="19"/>
  <c r="U334" i="19" s="1"/>
  <c r="V34" i="19"/>
  <c r="W34" i="19"/>
  <c r="S36" i="19"/>
  <c r="S336" i="19" s="1"/>
  <c r="T36" i="19"/>
  <c r="T336" i="19" s="1"/>
  <c r="U36" i="19"/>
  <c r="U336" i="19" s="1"/>
  <c r="S37" i="19"/>
  <c r="S337" i="19" s="1"/>
  <c r="T37" i="19"/>
  <c r="T337" i="19" s="1"/>
  <c r="U37" i="19"/>
  <c r="U337" i="19" s="1"/>
  <c r="S38" i="19"/>
  <c r="S338" i="19" s="1"/>
  <c r="T38" i="19"/>
  <c r="T338" i="19" s="1"/>
  <c r="U38" i="19"/>
  <c r="U338" i="19" s="1"/>
  <c r="S39" i="19"/>
  <c r="S339" i="19" s="1"/>
  <c r="T39" i="19"/>
  <c r="T339" i="19" s="1"/>
  <c r="U39" i="19"/>
  <c r="U339" i="19" s="1"/>
  <c r="S40" i="19"/>
  <c r="S340" i="19" s="1"/>
  <c r="T40" i="19"/>
  <c r="T340" i="19" s="1"/>
  <c r="U40" i="19"/>
  <c r="U340" i="19" s="1"/>
  <c r="S46" i="19"/>
  <c r="S346" i="19" s="1"/>
  <c r="T46" i="19"/>
  <c r="T346" i="19" s="1"/>
  <c r="U46" i="19"/>
  <c r="U346" i="19" s="1"/>
  <c r="V46" i="19"/>
  <c r="W46" i="19"/>
  <c r="S47" i="19"/>
  <c r="S347" i="19" s="1"/>
  <c r="T47" i="19"/>
  <c r="T347" i="19" s="1"/>
  <c r="U47" i="19"/>
  <c r="U347" i="19" s="1"/>
  <c r="V47" i="19"/>
  <c r="W47" i="19"/>
  <c r="S49" i="19"/>
  <c r="S349" i="19" s="1"/>
  <c r="T49" i="19"/>
  <c r="T349" i="19" s="1"/>
  <c r="U49" i="19"/>
  <c r="U349" i="19" s="1"/>
  <c r="V49" i="19"/>
  <c r="W49" i="19"/>
  <c r="S50" i="19"/>
  <c r="S350" i="19" s="1"/>
  <c r="T50" i="19"/>
  <c r="T350" i="19" s="1"/>
  <c r="U50" i="19"/>
  <c r="U350" i="19" s="1"/>
  <c r="V50" i="19"/>
  <c r="W50" i="19"/>
  <c r="S51" i="19"/>
  <c r="S351" i="19" s="1"/>
  <c r="T51" i="19"/>
  <c r="T351" i="19" s="1"/>
  <c r="U51" i="19"/>
  <c r="U351" i="19" s="1"/>
  <c r="V51" i="19"/>
  <c r="W51" i="19"/>
  <c r="S52" i="19"/>
  <c r="S352" i="19" s="1"/>
  <c r="T52" i="19"/>
  <c r="T352" i="19" s="1"/>
  <c r="U52" i="19"/>
  <c r="U352" i="19" s="1"/>
  <c r="V52" i="19"/>
  <c r="W52" i="19"/>
  <c r="S54" i="19"/>
  <c r="S354" i="19" s="1"/>
  <c r="T54" i="19"/>
  <c r="T354" i="19" s="1"/>
  <c r="U54" i="19"/>
  <c r="U354" i="19" s="1"/>
  <c r="V54" i="19"/>
  <c r="W54" i="19"/>
  <c r="S55" i="19"/>
  <c r="S355" i="19" s="1"/>
  <c r="T55" i="19"/>
  <c r="T355" i="19" s="1"/>
  <c r="U55" i="19"/>
  <c r="U355" i="19" s="1"/>
  <c r="V55" i="19"/>
  <c r="W55" i="19"/>
  <c r="S56" i="19"/>
  <c r="S356" i="19" s="1"/>
  <c r="T56" i="19"/>
  <c r="T356" i="19" s="1"/>
  <c r="U56" i="19"/>
  <c r="U356" i="19" s="1"/>
  <c r="V56" i="19"/>
  <c r="W56" i="19"/>
  <c r="V4" i="38"/>
  <c r="V53" i="19" s="1"/>
  <c r="W4" i="38"/>
  <c r="W53" i="19" s="1"/>
  <c r="V4" i="37"/>
  <c r="V48" i="19" s="1"/>
  <c r="W4" i="37"/>
  <c r="W48" i="19" s="1"/>
  <c r="V145" i="19"/>
  <c r="W145" i="19"/>
  <c r="E57" i="57" s="1"/>
  <c r="V147" i="19"/>
  <c r="U153" i="41"/>
  <c r="V153" i="41"/>
  <c r="U154" i="41"/>
  <c r="V154" i="41"/>
  <c r="U155" i="41"/>
  <c r="V155" i="41"/>
  <c r="U156" i="41"/>
  <c r="V156" i="41"/>
  <c r="U157" i="41"/>
  <c r="V157" i="41"/>
  <c r="U158" i="41"/>
  <c r="V158" i="41"/>
  <c r="U142" i="41"/>
  <c r="V142" i="41"/>
  <c r="V136" i="41"/>
  <c r="V143" i="41" s="1"/>
  <c r="U136" i="41"/>
  <c r="U143" i="41" s="1"/>
  <c r="V134" i="41"/>
  <c r="V141" i="41" s="1"/>
  <c r="U134" i="41"/>
  <c r="U141" i="41" s="1"/>
  <c r="V133" i="41"/>
  <c r="V140" i="41" s="1"/>
  <c r="U133" i="41"/>
  <c r="U140" i="41" s="1"/>
  <c r="V132" i="41"/>
  <c r="V139" i="41" s="1"/>
  <c r="U132" i="41"/>
  <c r="U139" i="41" s="1"/>
  <c r="V131" i="41"/>
  <c r="V138" i="41" s="1"/>
  <c r="U131" i="41"/>
  <c r="U138" i="41" s="1"/>
  <c r="V37" i="46"/>
  <c r="V40" i="46" s="1"/>
  <c r="U37" i="46"/>
  <c r="U40" i="46" s="1"/>
  <c r="V36" i="46"/>
  <c r="V39" i="46" s="1"/>
  <c r="U36" i="46"/>
  <c r="U39" i="46" s="1"/>
  <c r="V14" i="34"/>
  <c r="AZ21" i="56" s="1"/>
  <c r="U14" i="34"/>
  <c r="T14" i="34"/>
  <c r="AZ19" i="56" s="1"/>
  <c r="S14" i="34"/>
  <c r="AZ18" i="56" s="1"/>
  <c r="R14" i="34"/>
  <c r="AZ17" i="56" s="1"/>
  <c r="Q14" i="34"/>
  <c r="AZ16" i="56" s="1"/>
  <c r="V14" i="33"/>
  <c r="U14" i="33"/>
  <c r="AY20" i="56" s="1"/>
  <c r="T14" i="33"/>
  <c r="AY19" i="56" s="1"/>
  <c r="S14" i="33"/>
  <c r="AY18" i="56" s="1"/>
  <c r="R14" i="33"/>
  <c r="AY17" i="56" s="1"/>
  <c r="V14" i="31"/>
  <c r="AV21" i="56" s="1"/>
  <c r="U14" i="31"/>
  <c r="AV20" i="56" s="1"/>
  <c r="V14" i="30"/>
  <c r="U14" i="30"/>
  <c r="S14" i="30"/>
  <c r="AU18" i="56" s="1"/>
  <c r="R39" i="28"/>
  <c r="U40" i="28"/>
  <c r="V40" i="28"/>
  <c r="U41" i="28"/>
  <c r="V41" i="28"/>
  <c r="U45" i="28"/>
  <c r="V45" i="28"/>
  <c r="U46" i="28"/>
  <c r="V46" i="28"/>
  <c r="U47" i="28"/>
  <c r="V47" i="28"/>
  <c r="U37" i="28"/>
  <c r="V37" i="28"/>
  <c r="V14" i="28"/>
  <c r="V16" i="28" s="1"/>
  <c r="U14" i="28"/>
  <c r="V18" i="27"/>
  <c r="U18" i="27"/>
  <c r="V17" i="27"/>
  <c r="AQ21" i="56" s="1"/>
  <c r="U17" i="27"/>
  <c r="AQ20" i="56" s="1"/>
  <c r="V16" i="27"/>
  <c r="U16" i="27"/>
  <c r="V15" i="27"/>
  <c r="AO21" i="56" s="1"/>
  <c r="U15" i="27"/>
  <c r="AO20" i="56" s="1"/>
  <c r="V14" i="27"/>
  <c r="AN21" i="56" s="1"/>
  <c r="U14" i="27"/>
  <c r="AN20" i="56" s="1"/>
  <c r="U38" i="26"/>
  <c r="V38" i="26"/>
  <c r="U41" i="26"/>
  <c r="V41" i="26"/>
  <c r="U42" i="26"/>
  <c r="V42" i="26"/>
  <c r="U32" i="26"/>
  <c r="V32" i="26"/>
  <c r="V21" i="26"/>
  <c r="AK21" i="56" s="1"/>
  <c r="U21" i="26"/>
  <c r="AK20" i="56" s="1"/>
  <c r="T21" i="26"/>
  <c r="AK19" i="56" s="1"/>
  <c r="S21" i="26"/>
  <c r="AK18" i="56" s="1"/>
  <c r="R21" i="26"/>
  <c r="AK17" i="56" s="1"/>
  <c r="V18" i="26"/>
  <c r="AJ21" i="56" s="1"/>
  <c r="U18" i="26"/>
  <c r="AJ20" i="56" s="1"/>
  <c r="V17" i="26"/>
  <c r="AI21" i="56" s="1"/>
  <c r="U17" i="26"/>
  <c r="AI20" i="56" s="1"/>
  <c r="V15" i="26"/>
  <c r="AH21" i="56" s="1"/>
  <c r="U15" i="26"/>
  <c r="AH20" i="56" s="1"/>
  <c r="R15" i="26"/>
  <c r="AH17" i="56" s="1"/>
  <c r="V14" i="26"/>
  <c r="AG21" i="56" s="1"/>
  <c r="U14" i="26"/>
  <c r="AG20" i="56" s="1"/>
  <c r="W8" i="20"/>
  <c r="W9" i="20"/>
  <c r="W12" i="20"/>
  <c r="W14" i="20"/>
  <c r="W15" i="20"/>
  <c r="V8" i="20"/>
  <c r="V14" i="19" s="1"/>
  <c r="V9" i="20"/>
  <c r="V15" i="19" s="1"/>
  <c r="V12" i="20"/>
  <c r="V18" i="19" s="1"/>
  <c r="V14" i="20"/>
  <c r="V20" i="19" s="1"/>
  <c r="V15" i="20"/>
  <c r="V21" i="19" s="1"/>
  <c r="V14" i="25"/>
  <c r="V25" i="25" s="1"/>
  <c r="V26" i="25" s="1"/>
  <c r="U14" i="25"/>
  <c r="U23" i="25" s="1"/>
  <c r="U24" i="25" s="1"/>
  <c r="V26" i="20" s="1"/>
  <c r="T14" i="25"/>
  <c r="T76" i="25" s="1"/>
  <c r="S14" i="25"/>
  <c r="V30" i="24"/>
  <c r="V31" i="24" s="1"/>
  <c r="U30" i="24"/>
  <c r="U31" i="24" s="1"/>
  <c r="T30" i="24"/>
  <c r="S30" i="24"/>
  <c r="U26" i="24"/>
  <c r="U27" i="24" s="1"/>
  <c r="V26" i="24"/>
  <c r="V27" i="24" s="1"/>
  <c r="U28" i="24"/>
  <c r="U29" i="24" s="1"/>
  <c r="V28" i="24"/>
  <c r="V29" i="24" s="1"/>
  <c r="V27" i="23"/>
  <c r="V28" i="23" s="1"/>
  <c r="V31" i="23"/>
  <c r="V32" i="23" s="1"/>
  <c r="V34" i="23"/>
  <c r="V35" i="23" s="1"/>
  <c r="W48" i="20" s="1"/>
  <c r="W104" i="19" s="1"/>
  <c r="U27" i="23"/>
  <c r="U28" i="23" s="1"/>
  <c r="U31" i="23"/>
  <c r="U32" i="23" s="1"/>
  <c r="U34" i="23"/>
  <c r="U35" i="23" s="1"/>
  <c r="V48" i="20" s="1"/>
  <c r="V104" i="19" s="1"/>
  <c r="V15" i="23"/>
  <c r="V29" i="23" s="1"/>
  <c r="V30" i="23" s="1"/>
  <c r="U15" i="23"/>
  <c r="U29" i="23" s="1"/>
  <c r="U30" i="23" s="1"/>
  <c r="T15" i="23"/>
  <c r="S15" i="23"/>
  <c r="T25" i="22"/>
  <c r="U58" i="20" s="1"/>
  <c r="S25" i="22"/>
  <c r="T58" i="20" s="1"/>
  <c r="V25" i="22"/>
  <c r="V28" i="22" s="1"/>
  <c r="U25" i="22"/>
  <c r="U28" i="22"/>
  <c r="V27" i="22"/>
  <c r="W58" i="20" s="1"/>
  <c r="W56" i="20" s="1"/>
  <c r="U27" i="22"/>
  <c r="V58" i="20" s="1"/>
  <c r="V56" i="20" s="1"/>
  <c r="V30" i="21"/>
  <c r="V17" i="21"/>
  <c r="V27" i="21" s="1"/>
  <c r="V28" i="21" s="1"/>
  <c r="W19" i="20" s="1"/>
  <c r="U29" i="21"/>
  <c r="U17" i="21"/>
  <c r="U27" i="21" s="1"/>
  <c r="U28" i="21" s="1"/>
  <c r="U23" i="33" l="1"/>
  <c r="U24" i="33" s="1"/>
  <c r="V5" i="32" s="1"/>
  <c r="AP20" i="56"/>
  <c r="U34" i="27"/>
  <c r="AP21" i="56"/>
  <c r="V34" i="27"/>
  <c r="AR20" i="56"/>
  <c r="U39" i="27"/>
  <c r="AR21" i="56"/>
  <c r="V39" i="27"/>
  <c r="U36" i="28"/>
  <c r="U38" i="28" s="1"/>
  <c r="V18" i="29" s="1"/>
  <c r="V80" i="19" s="1"/>
  <c r="U16" i="28"/>
  <c r="U44" i="28" s="1"/>
  <c r="U48" i="28" s="1"/>
  <c r="V56" i="29" s="1"/>
  <c r="V53" i="29" s="1"/>
  <c r="AZ20" i="56"/>
  <c r="U23" i="34"/>
  <c r="U24" i="34" s="1"/>
  <c r="V6" i="32" s="1"/>
  <c r="V87" i="19" s="1"/>
  <c r="V41" i="46"/>
  <c r="W9" i="36" s="1"/>
  <c r="W39" i="20"/>
  <c r="W31" i="20" s="1"/>
  <c r="W51" i="20"/>
  <c r="W107" i="19" s="1"/>
  <c r="V44" i="28"/>
  <c r="V39" i="28"/>
  <c r="U32" i="24"/>
  <c r="V24" i="20" s="1"/>
  <c r="V72" i="19" s="1"/>
  <c r="U25" i="25"/>
  <c r="U26" i="25" s="1"/>
  <c r="U43" i="26"/>
  <c r="U39" i="26"/>
  <c r="U37" i="26"/>
  <c r="U36" i="27"/>
  <c r="V35" i="27"/>
  <c r="U22" i="31"/>
  <c r="U23" i="31" s="1"/>
  <c r="V21" i="29" s="1"/>
  <c r="V83" i="19" s="1"/>
  <c r="V23" i="33"/>
  <c r="V24" i="33" s="1"/>
  <c r="W5" i="32" s="1"/>
  <c r="AY21" i="56"/>
  <c r="W43" i="19"/>
  <c r="BD21" i="56" s="1"/>
  <c r="W15" i="19"/>
  <c r="U30" i="21"/>
  <c r="V44" i="20" s="1"/>
  <c r="V100" i="19" s="1"/>
  <c r="V32" i="20"/>
  <c r="W21" i="19"/>
  <c r="W14" i="19"/>
  <c r="V40" i="26"/>
  <c r="V36" i="26"/>
  <c r="U35" i="27"/>
  <c r="V36" i="28"/>
  <c r="V23" i="34"/>
  <c r="V24" i="34" s="1"/>
  <c r="W6" i="32" s="1"/>
  <c r="W147" i="19"/>
  <c r="E59" i="57" s="1"/>
  <c r="V29" i="22"/>
  <c r="V23" i="25"/>
  <c r="V24" i="25" s="1"/>
  <c r="W20" i="19"/>
  <c r="U40" i="26"/>
  <c r="U36" i="26"/>
  <c r="V38" i="27"/>
  <c r="V40" i="27" s="1"/>
  <c r="V33" i="27"/>
  <c r="U22" i="30"/>
  <c r="U23" i="30" s="1"/>
  <c r="V20" i="29" s="1"/>
  <c r="V82" i="19" s="1"/>
  <c r="AU20" i="56"/>
  <c r="V4" i="32"/>
  <c r="V85" i="19" s="1"/>
  <c r="W18" i="19"/>
  <c r="V43" i="26"/>
  <c r="V39" i="26"/>
  <c r="V37" i="26"/>
  <c r="U38" i="27"/>
  <c r="U40" i="27" s="1"/>
  <c r="U33" i="27"/>
  <c r="V36" i="27"/>
  <c r="V32" i="27"/>
  <c r="V38" i="28"/>
  <c r="W18" i="29" s="1"/>
  <c r="V22" i="30"/>
  <c r="V23" i="30" s="1"/>
  <c r="W20" i="29" s="1"/>
  <c r="AU21" i="56"/>
  <c r="V22" i="31"/>
  <c r="V23" i="31" s="1"/>
  <c r="W21" i="29" s="1"/>
  <c r="V10" i="29"/>
  <c r="V27" i="19" s="1"/>
  <c r="AC20" i="56" s="1"/>
  <c r="W11" i="29"/>
  <c r="W82" i="19"/>
  <c r="V32" i="24"/>
  <c r="W24" i="20" s="1"/>
  <c r="T56" i="20"/>
  <c r="T212" i="20" s="1"/>
  <c r="T214" i="20"/>
  <c r="U29" i="22"/>
  <c r="U30" i="22" s="1"/>
  <c r="V70" i="20" s="1"/>
  <c r="U56" i="20"/>
  <c r="U212" i="20" s="1"/>
  <c r="U214" i="20"/>
  <c r="V30" i="22"/>
  <c r="W70" i="20" s="1"/>
  <c r="W68" i="20" s="1"/>
  <c r="W121" i="19" s="1"/>
  <c r="V11" i="20"/>
  <c r="V17" i="19" s="1"/>
  <c r="V19" i="20"/>
  <c r="V67" i="19" s="1"/>
  <c r="V31" i="21"/>
  <c r="W44" i="20"/>
  <c r="V43" i="19"/>
  <c r="BD20" i="56" s="1"/>
  <c r="V30" i="19"/>
  <c r="E20" i="56" s="1"/>
  <c r="V86" i="19"/>
  <c r="V74" i="19"/>
  <c r="W45" i="19"/>
  <c r="BF21" i="56" s="1"/>
  <c r="W32" i="19"/>
  <c r="W67" i="19"/>
  <c r="V31" i="19"/>
  <c r="W4" i="32"/>
  <c r="V45" i="19"/>
  <c r="BF20" i="56" s="1"/>
  <c r="V32" i="19"/>
  <c r="W31" i="19"/>
  <c r="U41" i="46"/>
  <c r="V9" i="36" s="1"/>
  <c r="V44" i="19" s="1"/>
  <c r="BE20" i="56" s="1"/>
  <c r="U160" i="41"/>
  <c r="V5" i="36" s="1"/>
  <c r="V144" i="19" s="1"/>
  <c r="W146" i="19"/>
  <c r="E58" i="57" s="1"/>
  <c r="W44" i="19"/>
  <c r="BE21" i="56" s="1"/>
  <c r="V7" i="36"/>
  <c r="V6" i="36"/>
  <c r="W6" i="36"/>
  <c r="W7" i="36"/>
  <c r="V160" i="41"/>
  <c r="W5" i="36" s="1"/>
  <c r="V43" i="28"/>
  <c r="V48" i="28"/>
  <c r="W56" i="29" s="1"/>
  <c r="W53" i="29" s="1"/>
  <c r="U27" i="25"/>
  <c r="V33" i="23"/>
  <c r="U33" i="23"/>
  <c r="V11" i="29" l="1"/>
  <c r="V28" i="19" s="1"/>
  <c r="AD20" i="56" s="1"/>
  <c r="U39" i="28"/>
  <c r="U43" i="28" s="1"/>
  <c r="U49" i="28" s="1"/>
  <c r="W43" i="20"/>
  <c r="W99" i="19" s="1"/>
  <c r="C15" i="57" s="1"/>
  <c r="U31" i="21"/>
  <c r="V27" i="29"/>
  <c r="V25" i="29" s="1"/>
  <c r="V36" i="29"/>
  <c r="W27" i="29"/>
  <c r="W25" i="29" s="1"/>
  <c r="W36" i="29"/>
  <c r="E55" i="57"/>
  <c r="W2" i="36"/>
  <c r="E56" i="57"/>
  <c r="V27" i="25"/>
  <c r="W26" i="20"/>
  <c r="W87" i="19"/>
  <c r="B44" i="57"/>
  <c r="W10" i="29"/>
  <c r="W27" i="19" s="1"/>
  <c r="AC21" i="56" s="1"/>
  <c r="B39" i="57"/>
  <c r="V37" i="27"/>
  <c r="V39" i="20"/>
  <c r="V31" i="20" s="1"/>
  <c r="V51" i="20"/>
  <c r="W80" i="19"/>
  <c r="B37" i="57"/>
  <c r="V47" i="29"/>
  <c r="V44" i="29" s="1"/>
  <c r="V65" i="29"/>
  <c r="B43" i="57"/>
  <c r="W86" i="19"/>
  <c r="U36" i="23"/>
  <c r="V23" i="20"/>
  <c r="V36" i="23"/>
  <c r="W23" i="20"/>
  <c r="W47" i="29"/>
  <c r="W44" i="29" s="1"/>
  <c r="W65" i="29"/>
  <c r="W7" i="20"/>
  <c r="W83" i="19"/>
  <c r="B40" i="57"/>
  <c r="V44" i="26"/>
  <c r="W16" i="29" s="1"/>
  <c r="U44" i="26"/>
  <c r="V16" i="29" s="1"/>
  <c r="W120" i="19"/>
  <c r="D15" i="57"/>
  <c r="W28" i="19"/>
  <c r="AD21" i="56" s="1"/>
  <c r="W72" i="19"/>
  <c r="W11" i="20"/>
  <c r="W123" i="19"/>
  <c r="V18" i="20"/>
  <c r="V66" i="19" s="1"/>
  <c r="V6" i="20"/>
  <c r="V12" i="19" s="1"/>
  <c r="W6" i="20"/>
  <c r="W100" i="19"/>
  <c r="V146" i="19"/>
  <c r="W85" i="19"/>
  <c r="W30" i="19"/>
  <c r="V68" i="20"/>
  <c r="V7" i="20"/>
  <c r="V13" i="19" s="1"/>
  <c r="V123" i="19"/>
  <c r="V4" i="36"/>
  <c r="V42" i="19"/>
  <c r="BC20" i="56" s="1"/>
  <c r="W4" i="36"/>
  <c r="W144" i="19"/>
  <c r="W42" i="19"/>
  <c r="BC21" i="56" s="1"/>
  <c r="V49" i="28"/>
  <c r="V41" i="19" l="1"/>
  <c r="G20" i="56" s="1"/>
  <c r="E21" i="56"/>
  <c r="W17" i="19"/>
  <c r="W6" i="29"/>
  <c r="W23" i="19" s="1"/>
  <c r="Z21" i="56" s="1"/>
  <c r="B35" i="57"/>
  <c r="W78" i="19"/>
  <c r="V107" i="19"/>
  <c r="V13" i="20"/>
  <c r="V19" i="19" s="1"/>
  <c r="V43" i="20"/>
  <c r="V99" i="19" s="1"/>
  <c r="W34" i="29"/>
  <c r="W110" i="19" s="1"/>
  <c r="W98" i="19" s="1"/>
  <c r="W112" i="19"/>
  <c r="C36" i="57" s="1"/>
  <c r="W62" i="29"/>
  <c r="W135" i="19" s="1"/>
  <c r="W138" i="19"/>
  <c r="F37" i="57" s="1"/>
  <c r="W8" i="29"/>
  <c r="V71" i="19"/>
  <c r="V10" i="20"/>
  <c r="V16" i="19" s="1"/>
  <c r="V41" i="27"/>
  <c r="W17" i="29"/>
  <c r="W15" i="29" s="1"/>
  <c r="V34" i="29"/>
  <c r="V110" i="19" s="1"/>
  <c r="V112" i="19"/>
  <c r="W12" i="19"/>
  <c r="V78" i="19"/>
  <c r="V6" i="29"/>
  <c r="V23" i="19" s="1"/>
  <c r="Z20" i="56" s="1"/>
  <c r="W13" i="19"/>
  <c r="W10" i="20"/>
  <c r="W18" i="20"/>
  <c r="W71" i="19"/>
  <c r="V62" i="29"/>
  <c r="V135" i="19" s="1"/>
  <c r="V8" i="29"/>
  <c r="V25" i="19" s="1"/>
  <c r="AB20" i="56" s="1"/>
  <c r="V138" i="19"/>
  <c r="W74" i="19"/>
  <c r="W13" i="20"/>
  <c r="E54" i="57"/>
  <c r="V121" i="19"/>
  <c r="V120" i="19" s="1"/>
  <c r="V143" i="19"/>
  <c r="W143" i="19"/>
  <c r="W41" i="19"/>
  <c r="W134" i="19" l="1"/>
  <c r="V5" i="20"/>
  <c r="V11" i="19" s="1"/>
  <c r="W77" i="19"/>
  <c r="W5" i="29"/>
  <c r="W22" i="19" s="1"/>
  <c r="V98" i="19"/>
  <c r="V134" i="19"/>
  <c r="W66" i="19"/>
  <c r="B15" i="57"/>
  <c r="W5" i="20"/>
  <c r="W19" i="19"/>
  <c r="W16" i="19"/>
  <c r="W79" i="19"/>
  <c r="B36" i="57"/>
  <c r="W7" i="29"/>
  <c r="W24" i="19" s="1"/>
  <c r="W25" i="19"/>
  <c r="AB21" i="56" s="1"/>
  <c r="W2" i="29"/>
  <c r="G21" i="56"/>
  <c r="W20" i="56"/>
  <c r="C20" i="56"/>
  <c r="W8" i="14"/>
  <c r="V8" i="14"/>
  <c r="V14" i="5"/>
  <c r="T21" i="56" s="1"/>
  <c r="U14" i="5"/>
  <c r="T20" i="56" s="1"/>
  <c r="V15" i="4"/>
  <c r="S21" i="56" s="1"/>
  <c r="U15" i="4"/>
  <c r="S20" i="56" s="1"/>
  <c r="V14" i="4"/>
  <c r="R21" i="56" s="1"/>
  <c r="U14" i="4"/>
  <c r="V14" i="3"/>
  <c r="U14" i="3"/>
  <c r="U16" i="3" s="1"/>
  <c r="Q21" i="56" l="1"/>
  <c r="V16" i="3"/>
  <c r="V19" i="3" s="1"/>
  <c r="V29" i="3" s="1"/>
  <c r="V30" i="3" s="1"/>
  <c r="W5" i="14" s="1"/>
  <c r="R20" i="56"/>
  <c r="U25" i="4"/>
  <c r="U27" i="4" s="1"/>
  <c r="AA21" i="56"/>
  <c r="D21" i="56"/>
  <c r="U86" i="3"/>
  <c r="U19" i="3"/>
  <c r="V26" i="4"/>
  <c r="V28" i="4" s="1"/>
  <c r="U24" i="5"/>
  <c r="U25" i="5" s="1"/>
  <c r="V7" i="14" s="1"/>
  <c r="V63" i="19" s="1"/>
  <c r="U26" i="4"/>
  <c r="U28" i="4" s="1"/>
  <c r="U29" i="4" s="1"/>
  <c r="V6" i="14" s="1"/>
  <c r="V25" i="4"/>
  <c r="V27" i="4" s="1"/>
  <c r="V24" i="5"/>
  <c r="V25" i="5" s="1"/>
  <c r="W7" i="14" s="1"/>
  <c r="W8" i="19" s="1"/>
  <c r="N21" i="56" s="1"/>
  <c r="W11" i="19"/>
  <c r="Q20" i="56"/>
  <c r="U84" i="3"/>
  <c r="V9" i="19"/>
  <c r="V64" i="19"/>
  <c r="W9" i="19"/>
  <c r="W64" i="19"/>
  <c r="W63" i="19"/>
  <c r="B8" i="57" s="1"/>
  <c r="W61" i="19"/>
  <c r="B6" i="57" s="1"/>
  <c r="W6" i="19"/>
  <c r="L21" i="56" s="1"/>
  <c r="R22" i="27"/>
  <c r="V8" i="19" l="1"/>
  <c r="N20" i="56" s="1"/>
  <c r="V7" i="19"/>
  <c r="M20" i="56" s="1"/>
  <c r="V62" i="19"/>
  <c r="W21" i="56"/>
  <c r="C21" i="56"/>
  <c r="V29" i="4"/>
  <c r="W6" i="14" s="1"/>
  <c r="U89" i="3"/>
  <c r="U29" i="3"/>
  <c r="E122" i="26"/>
  <c r="F122" i="26"/>
  <c r="G122" i="26"/>
  <c r="H122" i="26"/>
  <c r="I122" i="26"/>
  <c r="J122" i="26"/>
  <c r="K122" i="26"/>
  <c r="L122" i="26"/>
  <c r="M122" i="26"/>
  <c r="N122" i="26"/>
  <c r="O122" i="26"/>
  <c r="P122" i="26"/>
  <c r="Q122" i="26"/>
  <c r="R122" i="26"/>
  <c r="S122" i="26"/>
  <c r="T122" i="26"/>
  <c r="E123" i="26"/>
  <c r="F123" i="26"/>
  <c r="G123" i="26"/>
  <c r="H123" i="26"/>
  <c r="I123" i="26"/>
  <c r="J123" i="26"/>
  <c r="K123" i="26"/>
  <c r="L123" i="26"/>
  <c r="M123" i="26"/>
  <c r="N123" i="26"/>
  <c r="O123" i="26"/>
  <c r="P123" i="26"/>
  <c r="Q123" i="26"/>
  <c r="R123" i="26"/>
  <c r="S123" i="26"/>
  <c r="T123" i="26"/>
  <c r="E124" i="26"/>
  <c r="F124" i="26"/>
  <c r="G124" i="26"/>
  <c r="H124" i="26"/>
  <c r="I124" i="26"/>
  <c r="J124" i="26"/>
  <c r="K124" i="26"/>
  <c r="L124" i="26"/>
  <c r="M124" i="26"/>
  <c r="N124" i="26"/>
  <c r="O124" i="26"/>
  <c r="P124" i="26"/>
  <c r="Q124" i="26"/>
  <c r="R124" i="26"/>
  <c r="S124" i="26"/>
  <c r="T124" i="26"/>
  <c r="E125" i="26"/>
  <c r="F125" i="26"/>
  <c r="G125" i="26"/>
  <c r="H125" i="26"/>
  <c r="I125" i="26"/>
  <c r="J125" i="26"/>
  <c r="K125" i="26"/>
  <c r="L125" i="26"/>
  <c r="M125" i="26"/>
  <c r="N125" i="26"/>
  <c r="O125" i="26"/>
  <c r="P125" i="26"/>
  <c r="Q125" i="26"/>
  <c r="R125" i="26"/>
  <c r="S125" i="26"/>
  <c r="T125" i="26"/>
  <c r="E126" i="26"/>
  <c r="F126" i="26"/>
  <c r="G126" i="26"/>
  <c r="H126" i="26"/>
  <c r="I126" i="26"/>
  <c r="J126" i="26"/>
  <c r="K126" i="26"/>
  <c r="L126" i="26"/>
  <c r="M126" i="26"/>
  <c r="N126" i="26"/>
  <c r="O126" i="26"/>
  <c r="P126" i="26"/>
  <c r="Q126" i="26"/>
  <c r="R126" i="26"/>
  <c r="S126" i="26"/>
  <c r="T126" i="26"/>
  <c r="E127" i="26"/>
  <c r="F127" i="26"/>
  <c r="G127" i="26"/>
  <c r="H127" i="26"/>
  <c r="I127" i="26"/>
  <c r="J127" i="26"/>
  <c r="K127" i="26"/>
  <c r="L127" i="26"/>
  <c r="M127" i="26"/>
  <c r="N127" i="26"/>
  <c r="O127" i="26"/>
  <c r="P127" i="26"/>
  <c r="Q127" i="26"/>
  <c r="R127" i="26"/>
  <c r="S127" i="26"/>
  <c r="T127" i="26"/>
  <c r="G32" i="26"/>
  <c r="G128" i="26" s="1"/>
  <c r="H32" i="26"/>
  <c r="H128" i="26" s="1"/>
  <c r="I32" i="26"/>
  <c r="I128" i="26" s="1"/>
  <c r="J32" i="26"/>
  <c r="J128" i="26" s="1"/>
  <c r="K32" i="26"/>
  <c r="K128" i="26" s="1"/>
  <c r="L32" i="26"/>
  <c r="L128" i="26" s="1"/>
  <c r="M32" i="26"/>
  <c r="M128" i="26" s="1"/>
  <c r="N32" i="26"/>
  <c r="N128" i="26" s="1"/>
  <c r="O32" i="26"/>
  <c r="O128" i="26" s="1"/>
  <c r="P32" i="26"/>
  <c r="P128" i="26" s="1"/>
  <c r="Q32" i="26"/>
  <c r="Q128" i="26" s="1"/>
  <c r="R32" i="26"/>
  <c r="R128" i="26" s="1"/>
  <c r="S32" i="26"/>
  <c r="S128" i="26" s="1"/>
  <c r="T32" i="26"/>
  <c r="T128" i="26" s="1"/>
  <c r="F32" i="26"/>
  <c r="F128" i="26" s="1"/>
  <c r="W4" i="14" l="1"/>
  <c r="W7" i="19"/>
  <c r="M21" i="56" s="1"/>
  <c r="W62" i="19"/>
  <c r="B7" i="57" s="1"/>
  <c r="U99" i="3"/>
  <c r="U30" i="3"/>
  <c r="G186" i="54"/>
  <c r="B186" i="54"/>
  <c r="G185" i="54"/>
  <c r="B185" i="54"/>
  <c r="G184" i="54"/>
  <c r="B184" i="54"/>
  <c r="G183" i="54"/>
  <c r="B183" i="54"/>
  <c r="G182" i="54"/>
  <c r="B182" i="54"/>
  <c r="G181" i="54"/>
  <c r="B181" i="54"/>
  <c r="G180" i="54"/>
  <c r="B180" i="54"/>
  <c r="G179" i="54"/>
  <c r="B179" i="54"/>
  <c r="G178" i="54"/>
  <c r="B178" i="54"/>
  <c r="G177" i="54"/>
  <c r="B177" i="54"/>
  <c r="G176" i="54"/>
  <c r="B176" i="54"/>
  <c r="G175" i="54"/>
  <c r="B175" i="54"/>
  <c r="G174" i="54"/>
  <c r="B174" i="54"/>
  <c r="G173" i="54"/>
  <c r="B173" i="54"/>
  <c r="G172" i="54"/>
  <c r="B172" i="54"/>
  <c r="G171" i="54"/>
  <c r="B171" i="54"/>
  <c r="G170" i="54"/>
  <c r="B170" i="54"/>
  <c r="G169" i="54"/>
  <c r="B169" i="54"/>
  <c r="G168" i="54"/>
  <c r="B168" i="54"/>
  <c r="G167" i="54"/>
  <c r="B167" i="54"/>
  <c r="G166" i="54"/>
  <c r="B166" i="54"/>
  <c r="G165" i="54"/>
  <c r="B165" i="54"/>
  <c r="G164" i="54"/>
  <c r="B164" i="54"/>
  <c r="G163" i="54"/>
  <c r="B163" i="54"/>
  <c r="G162" i="54"/>
  <c r="B162" i="54"/>
  <c r="G161" i="54"/>
  <c r="B161" i="54"/>
  <c r="G160" i="54"/>
  <c r="B160" i="54"/>
  <c r="G159" i="54"/>
  <c r="B159" i="54"/>
  <c r="G158" i="54"/>
  <c r="B158" i="54"/>
  <c r="G157" i="54"/>
  <c r="B157" i="54"/>
  <c r="G156" i="54"/>
  <c r="B156" i="54"/>
  <c r="G155" i="54"/>
  <c r="B155" i="54"/>
  <c r="G154" i="54"/>
  <c r="B154" i="54"/>
  <c r="G153" i="54"/>
  <c r="B153" i="54"/>
  <c r="G152" i="54"/>
  <c r="B152" i="54"/>
  <c r="G151" i="54"/>
  <c r="B151" i="54"/>
  <c r="G150" i="54"/>
  <c r="B150" i="54"/>
  <c r="G149" i="54"/>
  <c r="B149" i="54"/>
  <c r="G148" i="54"/>
  <c r="B148" i="54"/>
  <c r="G147" i="54"/>
  <c r="B147" i="54"/>
  <c r="G146" i="54"/>
  <c r="B146" i="54"/>
  <c r="G145" i="54"/>
  <c r="B145" i="54"/>
  <c r="G144" i="54"/>
  <c r="B144" i="54"/>
  <c r="G143" i="54"/>
  <c r="B143" i="54"/>
  <c r="G142" i="54"/>
  <c r="B142" i="54"/>
  <c r="G141" i="54"/>
  <c r="B141" i="54"/>
  <c r="G140" i="54"/>
  <c r="B140" i="54"/>
  <c r="G139" i="54"/>
  <c r="B139" i="54"/>
  <c r="G138" i="54"/>
  <c r="B138" i="54"/>
  <c r="G137" i="54"/>
  <c r="B137" i="54"/>
  <c r="G136" i="54"/>
  <c r="B136" i="54"/>
  <c r="G135" i="54"/>
  <c r="B135" i="54"/>
  <c r="G134" i="54"/>
  <c r="B134" i="54"/>
  <c r="G133" i="54"/>
  <c r="B133" i="54"/>
  <c r="G132" i="54"/>
  <c r="B132" i="54"/>
  <c r="G131" i="54"/>
  <c r="B131" i="54"/>
  <c r="G130" i="54"/>
  <c r="B130" i="54"/>
  <c r="G129" i="54"/>
  <c r="B129" i="54"/>
  <c r="G128" i="54"/>
  <c r="B128" i="54"/>
  <c r="G127" i="54"/>
  <c r="B127" i="54"/>
  <c r="G126" i="54"/>
  <c r="B126" i="54"/>
  <c r="G125" i="54"/>
  <c r="B125" i="54"/>
  <c r="G124" i="54"/>
  <c r="B124" i="54"/>
  <c r="G123" i="54"/>
  <c r="B123" i="54"/>
  <c r="G122" i="54"/>
  <c r="B122" i="54"/>
  <c r="G121" i="54"/>
  <c r="B121" i="54"/>
  <c r="G120" i="54"/>
  <c r="B120" i="54"/>
  <c r="G119" i="54"/>
  <c r="B119" i="54"/>
  <c r="G118" i="54"/>
  <c r="B118" i="54"/>
  <c r="G117" i="54"/>
  <c r="B117" i="54"/>
  <c r="G116" i="54"/>
  <c r="B116" i="54"/>
  <c r="G115" i="54"/>
  <c r="B115" i="54"/>
  <c r="G114" i="54"/>
  <c r="B114" i="54"/>
  <c r="G113" i="54"/>
  <c r="B113" i="54"/>
  <c r="G112" i="54"/>
  <c r="B112" i="54"/>
  <c r="G111" i="54"/>
  <c r="B111" i="54"/>
  <c r="G110" i="54"/>
  <c r="B110" i="54"/>
  <c r="G109" i="54"/>
  <c r="B109" i="54"/>
  <c r="G108" i="54"/>
  <c r="B108" i="54"/>
  <c r="G107" i="54"/>
  <c r="B107" i="54"/>
  <c r="G106" i="54"/>
  <c r="B106" i="54"/>
  <c r="G105" i="54"/>
  <c r="B105" i="54"/>
  <c r="G104" i="54"/>
  <c r="B104" i="54"/>
  <c r="G103" i="54"/>
  <c r="B103" i="54"/>
  <c r="G102" i="54"/>
  <c r="B102" i="54"/>
  <c r="G101" i="54"/>
  <c r="B101" i="54"/>
  <c r="G100" i="54"/>
  <c r="B100" i="54"/>
  <c r="G99" i="54"/>
  <c r="B99" i="54"/>
  <c r="G98" i="54"/>
  <c r="B98" i="54"/>
  <c r="G97" i="54"/>
  <c r="B97" i="54"/>
  <c r="G96" i="54"/>
  <c r="B96" i="54"/>
  <c r="G95" i="54"/>
  <c r="B95" i="54"/>
  <c r="G94" i="54"/>
  <c r="B94" i="54"/>
  <c r="G93" i="54"/>
  <c r="B93" i="54"/>
  <c r="G92" i="54"/>
  <c r="B92" i="54"/>
  <c r="G91" i="54"/>
  <c r="B91" i="54"/>
  <c r="G90" i="54"/>
  <c r="B90" i="54"/>
  <c r="G89" i="54"/>
  <c r="B89" i="54"/>
  <c r="G88" i="54"/>
  <c r="B88" i="54"/>
  <c r="G87" i="54"/>
  <c r="B87" i="54"/>
  <c r="G86" i="54"/>
  <c r="B86" i="54"/>
  <c r="G85" i="54"/>
  <c r="B85" i="54"/>
  <c r="G84" i="54"/>
  <c r="B84" i="54"/>
  <c r="G83" i="54"/>
  <c r="B83" i="54"/>
  <c r="G82" i="54"/>
  <c r="B82" i="54"/>
  <c r="G81" i="54"/>
  <c r="B81" i="54"/>
  <c r="G80" i="54"/>
  <c r="B80" i="54"/>
  <c r="G79" i="54"/>
  <c r="B79" i="54"/>
  <c r="G78" i="54"/>
  <c r="B78" i="54"/>
  <c r="G77" i="54"/>
  <c r="B77" i="54"/>
  <c r="G76" i="54"/>
  <c r="B76" i="54"/>
  <c r="G75" i="54"/>
  <c r="B75" i="54"/>
  <c r="G74" i="54"/>
  <c r="B74" i="54"/>
  <c r="G73" i="54"/>
  <c r="B73" i="54"/>
  <c r="G72" i="54"/>
  <c r="B72" i="54"/>
  <c r="G71" i="54"/>
  <c r="B71" i="54"/>
  <c r="G70" i="54"/>
  <c r="B70" i="54"/>
  <c r="G69" i="54"/>
  <c r="B69" i="54"/>
  <c r="G68" i="54"/>
  <c r="B68" i="54"/>
  <c r="G67" i="54"/>
  <c r="B67" i="54"/>
  <c r="G66" i="54"/>
  <c r="B66" i="54"/>
  <c r="G65" i="54"/>
  <c r="B65" i="54"/>
  <c r="G64" i="54"/>
  <c r="B64" i="54"/>
  <c r="G63" i="54"/>
  <c r="B63" i="54"/>
  <c r="G62" i="54"/>
  <c r="B62" i="54"/>
  <c r="G61" i="54"/>
  <c r="B61" i="54"/>
  <c r="G60" i="54"/>
  <c r="B60" i="54"/>
  <c r="G59" i="54"/>
  <c r="B59" i="54"/>
  <c r="G58" i="54"/>
  <c r="B58" i="54"/>
  <c r="G57" i="54"/>
  <c r="B57" i="54"/>
  <c r="G56" i="54"/>
  <c r="B56" i="54"/>
  <c r="G55" i="54"/>
  <c r="B55" i="54"/>
  <c r="G54" i="54"/>
  <c r="B54" i="54"/>
  <c r="G53" i="54"/>
  <c r="B53" i="54"/>
  <c r="G52" i="54"/>
  <c r="B52" i="54"/>
  <c r="G51" i="54"/>
  <c r="B51" i="54"/>
  <c r="G50" i="54"/>
  <c r="B50" i="54"/>
  <c r="G49" i="54"/>
  <c r="B49" i="54"/>
  <c r="G48" i="54"/>
  <c r="B48" i="54"/>
  <c r="G47" i="54"/>
  <c r="B47" i="54"/>
  <c r="G46" i="54"/>
  <c r="B46" i="54"/>
  <c r="G45" i="54"/>
  <c r="B45" i="54"/>
  <c r="G44" i="54"/>
  <c r="B44" i="54"/>
  <c r="G43" i="54"/>
  <c r="B43" i="54"/>
  <c r="G42" i="54"/>
  <c r="B42" i="54"/>
  <c r="G41" i="54"/>
  <c r="B41" i="54"/>
  <c r="G40" i="54"/>
  <c r="B40" i="54"/>
  <c r="G39" i="54"/>
  <c r="B39" i="54"/>
  <c r="G38" i="54"/>
  <c r="B38" i="54"/>
  <c r="G37" i="54"/>
  <c r="B37" i="54"/>
  <c r="G36" i="54"/>
  <c r="B36" i="54"/>
  <c r="G35" i="54"/>
  <c r="B35" i="54"/>
  <c r="G34" i="54"/>
  <c r="B34" i="54"/>
  <c r="G33" i="54"/>
  <c r="B33" i="54"/>
  <c r="G32" i="54"/>
  <c r="B32" i="54"/>
  <c r="G31" i="54"/>
  <c r="B31" i="54"/>
  <c r="G30" i="54"/>
  <c r="B30" i="54"/>
  <c r="G29" i="54"/>
  <c r="B29" i="54"/>
  <c r="G28" i="54"/>
  <c r="B28" i="54"/>
  <c r="G27" i="54"/>
  <c r="B27" i="54"/>
  <c r="G26" i="54"/>
  <c r="B26" i="54"/>
  <c r="G25" i="54"/>
  <c r="B25" i="54"/>
  <c r="G24" i="54"/>
  <c r="B24" i="54"/>
  <c r="G23" i="54"/>
  <c r="B23" i="54"/>
  <c r="G22" i="54"/>
  <c r="B22" i="54"/>
  <c r="U100" i="3" l="1"/>
  <c r="V5" i="14"/>
  <c r="W5" i="19"/>
  <c r="W2" i="14"/>
  <c r="W60" i="19"/>
  <c r="W59" i="19" s="1"/>
  <c r="G201" i="29"/>
  <c r="H201" i="29"/>
  <c r="I201" i="29"/>
  <c r="J201" i="29"/>
  <c r="K201" i="29"/>
  <c r="L201" i="29"/>
  <c r="M201" i="29"/>
  <c r="N201" i="29"/>
  <c r="O201" i="29"/>
  <c r="P201" i="29"/>
  <c r="Q201" i="29"/>
  <c r="R201" i="29"/>
  <c r="S201" i="29"/>
  <c r="T201" i="29"/>
  <c r="U201" i="29"/>
  <c r="G202" i="29"/>
  <c r="H202" i="29"/>
  <c r="I202" i="29"/>
  <c r="J202" i="29"/>
  <c r="K202" i="29"/>
  <c r="L202" i="29"/>
  <c r="M202" i="29"/>
  <c r="N202" i="29"/>
  <c r="O202" i="29"/>
  <c r="P202" i="29"/>
  <c r="Q202" i="29"/>
  <c r="R202" i="29"/>
  <c r="S202" i="29"/>
  <c r="T202" i="29"/>
  <c r="U202" i="29"/>
  <c r="G204" i="29"/>
  <c r="H204" i="29"/>
  <c r="I204" i="29"/>
  <c r="J204" i="29"/>
  <c r="K204" i="29"/>
  <c r="L204" i="29"/>
  <c r="M204" i="29"/>
  <c r="N204" i="29"/>
  <c r="O204" i="29"/>
  <c r="P204" i="29"/>
  <c r="Q204" i="29"/>
  <c r="R204" i="29"/>
  <c r="S204" i="29"/>
  <c r="T204" i="29"/>
  <c r="U204" i="29"/>
  <c r="G205" i="29"/>
  <c r="H205" i="29"/>
  <c r="I205" i="29"/>
  <c r="J205" i="29"/>
  <c r="K205" i="29"/>
  <c r="L205" i="29"/>
  <c r="M205" i="29"/>
  <c r="N205" i="29"/>
  <c r="O205" i="29"/>
  <c r="P205" i="29"/>
  <c r="Q205" i="29"/>
  <c r="R205" i="29"/>
  <c r="S205" i="29"/>
  <c r="T205" i="29"/>
  <c r="U205" i="29"/>
  <c r="G206" i="29"/>
  <c r="H206" i="29"/>
  <c r="I206" i="29"/>
  <c r="J206" i="29"/>
  <c r="K206" i="29"/>
  <c r="L206" i="29"/>
  <c r="M206" i="29"/>
  <c r="N206" i="29"/>
  <c r="O206" i="29"/>
  <c r="P206" i="29"/>
  <c r="Q206" i="29"/>
  <c r="R206" i="29"/>
  <c r="S206" i="29"/>
  <c r="T206" i="29"/>
  <c r="U206" i="29"/>
  <c r="G207" i="29"/>
  <c r="H207" i="29"/>
  <c r="I207" i="29"/>
  <c r="J207" i="29"/>
  <c r="K207" i="29"/>
  <c r="L207" i="29"/>
  <c r="M207" i="29"/>
  <c r="N207" i="29"/>
  <c r="O207" i="29"/>
  <c r="P207" i="29"/>
  <c r="Q207" i="29"/>
  <c r="R207" i="29"/>
  <c r="S207" i="29"/>
  <c r="T207" i="29"/>
  <c r="U207" i="29"/>
  <c r="F201" i="29"/>
  <c r="F202" i="29"/>
  <c r="F204" i="29"/>
  <c r="F205" i="29"/>
  <c r="F206" i="29"/>
  <c r="F207" i="29"/>
  <c r="G173" i="29"/>
  <c r="H173" i="29"/>
  <c r="I173" i="29"/>
  <c r="J173" i="29"/>
  <c r="K173" i="29"/>
  <c r="L173" i="29"/>
  <c r="M173" i="29"/>
  <c r="N173" i="29"/>
  <c r="O173" i="29"/>
  <c r="P173" i="29"/>
  <c r="Q173" i="29"/>
  <c r="R173" i="29"/>
  <c r="S173" i="29"/>
  <c r="T173" i="29"/>
  <c r="U173" i="29"/>
  <c r="G175" i="29"/>
  <c r="H175" i="29"/>
  <c r="I175" i="29"/>
  <c r="J175" i="29"/>
  <c r="K175" i="29"/>
  <c r="L175" i="29"/>
  <c r="M175" i="29"/>
  <c r="N175" i="29"/>
  <c r="O175" i="29"/>
  <c r="P175" i="29"/>
  <c r="Q175" i="29"/>
  <c r="R175" i="29"/>
  <c r="S175" i="29"/>
  <c r="T175" i="29"/>
  <c r="U175" i="29"/>
  <c r="G176" i="29"/>
  <c r="H176" i="29"/>
  <c r="I176" i="29"/>
  <c r="J176" i="29"/>
  <c r="K176" i="29"/>
  <c r="L176" i="29"/>
  <c r="M176" i="29"/>
  <c r="N176" i="29"/>
  <c r="O176" i="29"/>
  <c r="P176" i="29"/>
  <c r="Q176" i="29"/>
  <c r="R176" i="29"/>
  <c r="S176" i="29"/>
  <c r="T176" i="29"/>
  <c r="U176" i="29"/>
  <c r="G177" i="29"/>
  <c r="H177" i="29"/>
  <c r="I177" i="29"/>
  <c r="J177" i="29"/>
  <c r="K177" i="29"/>
  <c r="L177" i="29"/>
  <c r="M177" i="29"/>
  <c r="N177" i="29"/>
  <c r="O177" i="29"/>
  <c r="P177" i="29"/>
  <c r="Q177" i="29"/>
  <c r="R177" i="29"/>
  <c r="S177" i="29"/>
  <c r="T177" i="29"/>
  <c r="U177" i="29"/>
  <c r="G178" i="29"/>
  <c r="H178" i="29"/>
  <c r="I178" i="29"/>
  <c r="J178" i="29"/>
  <c r="K178" i="29"/>
  <c r="L178" i="29"/>
  <c r="M178" i="29"/>
  <c r="N178" i="29"/>
  <c r="O178" i="29"/>
  <c r="P178" i="29"/>
  <c r="Q178" i="29"/>
  <c r="R178" i="29"/>
  <c r="S178" i="29"/>
  <c r="T178" i="29"/>
  <c r="U178" i="29"/>
  <c r="G179" i="29"/>
  <c r="H179" i="29"/>
  <c r="I179" i="29"/>
  <c r="J179" i="29"/>
  <c r="K179" i="29"/>
  <c r="L179" i="29"/>
  <c r="M179" i="29"/>
  <c r="N179" i="29"/>
  <c r="O179" i="29"/>
  <c r="P179" i="29"/>
  <c r="Q179" i="29"/>
  <c r="R179" i="29"/>
  <c r="S179" i="29"/>
  <c r="T179" i="29"/>
  <c r="U179" i="29"/>
  <c r="F173" i="29"/>
  <c r="F175" i="29"/>
  <c r="F176" i="29"/>
  <c r="F177" i="29"/>
  <c r="F178" i="29"/>
  <c r="F179" i="29"/>
  <c r="G157" i="29"/>
  <c r="H157" i="29"/>
  <c r="I157" i="29"/>
  <c r="J157" i="29"/>
  <c r="K157" i="29"/>
  <c r="L157" i="29"/>
  <c r="M157" i="29"/>
  <c r="N157" i="29"/>
  <c r="O157" i="29"/>
  <c r="P157" i="29"/>
  <c r="Q157" i="29"/>
  <c r="R157" i="29"/>
  <c r="S157" i="29"/>
  <c r="T157" i="29"/>
  <c r="U157" i="29"/>
  <c r="G160" i="29"/>
  <c r="H160" i="29"/>
  <c r="I160" i="29"/>
  <c r="J160" i="29"/>
  <c r="K160" i="29"/>
  <c r="L160" i="29"/>
  <c r="M160" i="29"/>
  <c r="N160" i="29"/>
  <c r="O160" i="29"/>
  <c r="P160" i="29"/>
  <c r="Q160" i="29"/>
  <c r="R160" i="29"/>
  <c r="S160" i="29"/>
  <c r="T160" i="29"/>
  <c r="U160" i="29"/>
  <c r="F157" i="29"/>
  <c r="F160" i="29"/>
  <c r="W4" i="19" l="1"/>
  <c r="AB4" i="19" s="1"/>
  <c r="B21" i="56"/>
  <c r="V6" i="19"/>
  <c r="L20" i="56" s="1"/>
  <c r="V4" i="14"/>
  <c r="V61" i="19"/>
  <c r="G148" i="19"/>
  <c r="G448" i="19" s="1"/>
  <c r="H148" i="19"/>
  <c r="H448" i="19" s="1"/>
  <c r="I148" i="19"/>
  <c r="I448" i="19" s="1"/>
  <c r="J148" i="19"/>
  <c r="J448" i="19" s="1"/>
  <c r="K148" i="19"/>
  <c r="K448" i="19" s="1"/>
  <c r="L148" i="19"/>
  <c r="L448" i="19" s="1"/>
  <c r="M148" i="19"/>
  <c r="M448" i="19" s="1"/>
  <c r="N148" i="19"/>
  <c r="N448" i="19" s="1"/>
  <c r="O148" i="19"/>
  <c r="O448" i="19" s="1"/>
  <c r="P148" i="19"/>
  <c r="P448" i="19" s="1"/>
  <c r="Q148" i="19"/>
  <c r="Q448" i="19" s="1"/>
  <c r="R148" i="19"/>
  <c r="R448" i="19" s="1"/>
  <c r="S148" i="19"/>
  <c r="S448" i="19" s="1"/>
  <c r="T148" i="19"/>
  <c r="T448" i="19" s="1"/>
  <c r="U148" i="19"/>
  <c r="U448" i="19" s="1"/>
  <c r="G149" i="19"/>
  <c r="G449" i="19" s="1"/>
  <c r="H149" i="19"/>
  <c r="H449" i="19" s="1"/>
  <c r="I149" i="19"/>
  <c r="I449" i="19" s="1"/>
  <c r="J149" i="19"/>
  <c r="J449" i="19" s="1"/>
  <c r="K149" i="19"/>
  <c r="K449" i="19" s="1"/>
  <c r="L149" i="19"/>
  <c r="L449" i="19" s="1"/>
  <c r="M149" i="19"/>
  <c r="M449" i="19" s="1"/>
  <c r="N149" i="19"/>
  <c r="N449" i="19" s="1"/>
  <c r="O149" i="19"/>
  <c r="O449" i="19" s="1"/>
  <c r="P149" i="19"/>
  <c r="P449" i="19" s="1"/>
  <c r="Q149" i="19"/>
  <c r="Q449" i="19" s="1"/>
  <c r="R149" i="19"/>
  <c r="R449" i="19" s="1"/>
  <c r="S149" i="19"/>
  <c r="S449" i="19" s="1"/>
  <c r="T149" i="19"/>
  <c r="T449" i="19" s="1"/>
  <c r="U149" i="19"/>
  <c r="U449" i="19" s="1"/>
  <c r="F148" i="19"/>
  <c r="F448" i="19" s="1"/>
  <c r="F149" i="19"/>
  <c r="F449" i="19" s="1"/>
  <c r="G91" i="19"/>
  <c r="G391" i="19" s="1"/>
  <c r="H91" i="19"/>
  <c r="H391" i="19" s="1"/>
  <c r="I91" i="19"/>
  <c r="I391" i="19" s="1"/>
  <c r="J91" i="19"/>
  <c r="J391" i="19" s="1"/>
  <c r="K91" i="19"/>
  <c r="K391" i="19" s="1"/>
  <c r="L91" i="19"/>
  <c r="L391" i="19" s="1"/>
  <c r="M91" i="19"/>
  <c r="M391" i="19" s="1"/>
  <c r="N91" i="19"/>
  <c r="N391" i="19" s="1"/>
  <c r="O91" i="19"/>
  <c r="O391" i="19" s="1"/>
  <c r="P91" i="19"/>
  <c r="P391" i="19" s="1"/>
  <c r="Q91" i="19"/>
  <c r="Q391" i="19" s="1"/>
  <c r="R91" i="19"/>
  <c r="R391" i="19" s="1"/>
  <c r="S91" i="19"/>
  <c r="S391" i="19" s="1"/>
  <c r="T91" i="19"/>
  <c r="T391" i="19" s="1"/>
  <c r="U91" i="19"/>
  <c r="U391" i="19" s="1"/>
  <c r="G92" i="19"/>
  <c r="G392" i="19" s="1"/>
  <c r="H92" i="19"/>
  <c r="H392" i="19" s="1"/>
  <c r="I92" i="19"/>
  <c r="I392" i="19" s="1"/>
  <c r="J92" i="19"/>
  <c r="J392" i="19" s="1"/>
  <c r="K92" i="19"/>
  <c r="K392" i="19" s="1"/>
  <c r="L92" i="19"/>
  <c r="L392" i="19" s="1"/>
  <c r="M92" i="19"/>
  <c r="M392" i="19" s="1"/>
  <c r="N92" i="19"/>
  <c r="N392" i="19" s="1"/>
  <c r="O92" i="19"/>
  <c r="O392" i="19" s="1"/>
  <c r="P92" i="19"/>
  <c r="P392" i="19" s="1"/>
  <c r="Q92" i="19"/>
  <c r="Q392" i="19" s="1"/>
  <c r="R92" i="19"/>
  <c r="R392" i="19" s="1"/>
  <c r="S92" i="19"/>
  <c r="S392" i="19" s="1"/>
  <c r="T92" i="19"/>
  <c r="T392" i="19" s="1"/>
  <c r="U92" i="19"/>
  <c r="U392" i="19" s="1"/>
  <c r="G93" i="19"/>
  <c r="G393" i="19" s="1"/>
  <c r="H93" i="19"/>
  <c r="H393" i="19" s="1"/>
  <c r="I93" i="19"/>
  <c r="I393" i="19" s="1"/>
  <c r="J93" i="19"/>
  <c r="J393" i="19" s="1"/>
  <c r="K93" i="19"/>
  <c r="K393" i="19" s="1"/>
  <c r="L93" i="19"/>
  <c r="L393" i="19" s="1"/>
  <c r="M93" i="19"/>
  <c r="M393" i="19" s="1"/>
  <c r="N93" i="19"/>
  <c r="N393" i="19" s="1"/>
  <c r="O93" i="19"/>
  <c r="O393" i="19" s="1"/>
  <c r="P93" i="19"/>
  <c r="P393" i="19" s="1"/>
  <c r="Q93" i="19"/>
  <c r="Q393" i="19" s="1"/>
  <c r="R93" i="19"/>
  <c r="R393" i="19" s="1"/>
  <c r="S93" i="19"/>
  <c r="S393" i="19" s="1"/>
  <c r="T93" i="19"/>
  <c r="T393" i="19" s="1"/>
  <c r="U93" i="19"/>
  <c r="U393" i="19" s="1"/>
  <c r="G94" i="19"/>
  <c r="G394" i="19" s="1"/>
  <c r="H94" i="19"/>
  <c r="H394" i="19" s="1"/>
  <c r="I94" i="19"/>
  <c r="I394" i="19" s="1"/>
  <c r="J94" i="19"/>
  <c r="J394" i="19" s="1"/>
  <c r="K94" i="19"/>
  <c r="K394" i="19" s="1"/>
  <c r="L94" i="19"/>
  <c r="L394" i="19" s="1"/>
  <c r="M94" i="19"/>
  <c r="M394" i="19" s="1"/>
  <c r="N94" i="19"/>
  <c r="N394" i="19" s="1"/>
  <c r="O94" i="19"/>
  <c r="O394" i="19" s="1"/>
  <c r="P94" i="19"/>
  <c r="P394" i="19" s="1"/>
  <c r="Q94" i="19"/>
  <c r="Q394" i="19" s="1"/>
  <c r="R94" i="19"/>
  <c r="R394" i="19" s="1"/>
  <c r="S94" i="19"/>
  <c r="S394" i="19" s="1"/>
  <c r="T94" i="19"/>
  <c r="T394" i="19" s="1"/>
  <c r="U94" i="19"/>
  <c r="U394" i="19" s="1"/>
  <c r="G95" i="19"/>
  <c r="G395" i="19" s="1"/>
  <c r="H95" i="19"/>
  <c r="H395" i="19" s="1"/>
  <c r="I95" i="19"/>
  <c r="I395" i="19" s="1"/>
  <c r="J95" i="19"/>
  <c r="J395" i="19" s="1"/>
  <c r="K95" i="19"/>
  <c r="K395" i="19" s="1"/>
  <c r="L95" i="19"/>
  <c r="L395" i="19" s="1"/>
  <c r="M95" i="19"/>
  <c r="M395" i="19" s="1"/>
  <c r="N95" i="19"/>
  <c r="N395" i="19" s="1"/>
  <c r="O95" i="19"/>
  <c r="O395" i="19" s="1"/>
  <c r="P95" i="19"/>
  <c r="P395" i="19" s="1"/>
  <c r="Q95" i="19"/>
  <c r="Q395" i="19" s="1"/>
  <c r="R95" i="19"/>
  <c r="R395" i="19" s="1"/>
  <c r="S95" i="19"/>
  <c r="S395" i="19" s="1"/>
  <c r="T95" i="19"/>
  <c r="T395" i="19" s="1"/>
  <c r="U95" i="19"/>
  <c r="U395" i="19" s="1"/>
  <c r="F91" i="19"/>
  <c r="F391" i="19" s="1"/>
  <c r="F92" i="19"/>
  <c r="F392" i="19" s="1"/>
  <c r="F93" i="19"/>
  <c r="F393" i="19" s="1"/>
  <c r="F94" i="19"/>
  <c r="F394" i="19" s="1"/>
  <c r="F95" i="19"/>
  <c r="F395" i="19" s="1"/>
  <c r="G88" i="19"/>
  <c r="G388" i="19" s="1"/>
  <c r="H88" i="19"/>
  <c r="H388" i="19" s="1"/>
  <c r="I88" i="19"/>
  <c r="I388" i="19" s="1"/>
  <c r="J88" i="19"/>
  <c r="J388" i="19" s="1"/>
  <c r="K88" i="19"/>
  <c r="K388" i="19" s="1"/>
  <c r="L88" i="19"/>
  <c r="L388" i="19" s="1"/>
  <c r="M88" i="19"/>
  <c r="M388" i="19" s="1"/>
  <c r="N88" i="19"/>
  <c r="N388" i="19" s="1"/>
  <c r="O88" i="19"/>
  <c r="O388" i="19" s="1"/>
  <c r="P88" i="19"/>
  <c r="P388" i="19" s="1"/>
  <c r="Q88" i="19"/>
  <c r="Q388" i="19" s="1"/>
  <c r="R88" i="19"/>
  <c r="R388" i="19" s="1"/>
  <c r="S88" i="19"/>
  <c r="S388" i="19" s="1"/>
  <c r="T88" i="19"/>
  <c r="T388" i="19" s="1"/>
  <c r="U88" i="19"/>
  <c r="U388" i="19" s="1"/>
  <c r="G89" i="19"/>
  <c r="G389" i="19" s="1"/>
  <c r="H89" i="19"/>
  <c r="H389" i="19" s="1"/>
  <c r="I89" i="19"/>
  <c r="I389" i="19" s="1"/>
  <c r="J89" i="19"/>
  <c r="J389" i="19" s="1"/>
  <c r="K89" i="19"/>
  <c r="K389" i="19" s="1"/>
  <c r="L89" i="19"/>
  <c r="L389" i="19" s="1"/>
  <c r="M89" i="19"/>
  <c r="M389" i="19" s="1"/>
  <c r="N89" i="19"/>
  <c r="N389" i="19" s="1"/>
  <c r="O89" i="19"/>
  <c r="O389" i="19" s="1"/>
  <c r="P89" i="19"/>
  <c r="P389" i="19" s="1"/>
  <c r="Q89" i="19"/>
  <c r="Q389" i="19" s="1"/>
  <c r="R89" i="19"/>
  <c r="R389" i="19" s="1"/>
  <c r="S89" i="19"/>
  <c r="S389" i="19" s="1"/>
  <c r="T89" i="19"/>
  <c r="T389" i="19" s="1"/>
  <c r="U89" i="19"/>
  <c r="U389" i="19" s="1"/>
  <c r="F88" i="19"/>
  <c r="F388" i="19" s="1"/>
  <c r="F89" i="19"/>
  <c r="F389" i="19" s="1"/>
  <c r="G136" i="19"/>
  <c r="G436" i="19" s="1"/>
  <c r="H136" i="19"/>
  <c r="H436" i="19" s="1"/>
  <c r="I136" i="19"/>
  <c r="I436" i="19" s="1"/>
  <c r="J136" i="19"/>
  <c r="J436" i="19" s="1"/>
  <c r="K136" i="19"/>
  <c r="K436" i="19" s="1"/>
  <c r="L136" i="19"/>
  <c r="L436" i="19" s="1"/>
  <c r="M136" i="19"/>
  <c r="M436" i="19" s="1"/>
  <c r="N136" i="19"/>
  <c r="N436" i="19" s="1"/>
  <c r="O136" i="19"/>
  <c r="O436" i="19" s="1"/>
  <c r="P136" i="19"/>
  <c r="P436" i="19" s="1"/>
  <c r="Q136" i="19"/>
  <c r="Q436" i="19" s="1"/>
  <c r="R136" i="19"/>
  <c r="R436" i="19" s="1"/>
  <c r="S136" i="19"/>
  <c r="S436" i="19" s="1"/>
  <c r="T136" i="19"/>
  <c r="T436" i="19" s="1"/>
  <c r="U136" i="19"/>
  <c r="U436" i="19" s="1"/>
  <c r="G137" i="19"/>
  <c r="G437" i="19" s="1"/>
  <c r="H137" i="19"/>
  <c r="H437" i="19" s="1"/>
  <c r="I137" i="19"/>
  <c r="I437" i="19" s="1"/>
  <c r="J137" i="19"/>
  <c r="J437" i="19" s="1"/>
  <c r="K137" i="19"/>
  <c r="K437" i="19" s="1"/>
  <c r="L137" i="19"/>
  <c r="L437" i="19" s="1"/>
  <c r="M137" i="19"/>
  <c r="M437" i="19" s="1"/>
  <c r="N137" i="19"/>
  <c r="N437" i="19" s="1"/>
  <c r="O137" i="19"/>
  <c r="O437" i="19" s="1"/>
  <c r="P137" i="19"/>
  <c r="P437" i="19" s="1"/>
  <c r="Q137" i="19"/>
  <c r="Q437" i="19" s="1"/>
  <c r="R137" i="19"/>
  <c r="R437" i="19" s="1"/>
  <c r="S137" i="19"/>
  <c r="S437" i="19" s="1"/>
  <c r="T137" i="19"/>
  <c r="T437" i="19" s="1"/>
  <c r="U137" i="19"/>
  <c r="U437" i="19" s="1"/>
  <c r="G139" i="19"/>
  <c r="G439" i="19" s="1"/>
  <c r="H139" i="19"/>
  <c r="H439" i="19" s="1"/>
  <c r="I139" i="19"/>
  <c r="I439" i="19" s="1"/>
  <c r="J139" i="19"/>
  <c r="J439" i="19" s="1"/>
  <c r="K139" i="19"/>
  <c r="K439" i="19" s="1"/>
  <c r="L139" i="19"/>
  <c r="L439" i="19" s="1"/>
  <c r="M139" i="19"/>
  <c r="M439" i="19" s="1"/>
  <c r="N139" i="19"/>
  <c r="N439" i="19" s="1"/>
  <c r="O139" i="19"/>
  <c r="O439" i="19" s="1"/>
  <c r="P139" i="19"/>
  <c r="P439" i="19" s="1"/>
  <c r="Q139" i="19"/>
  <c r="Q439" i="19" s="1"/>
  <c r="R139" i="19"/>
  <c r="R439" i="19" s="1"/>
  <c r="S139" i="19"/>
  <c r="S439" i="19" s="1"/>
  <c r="T139" i="19"/>
  <c r="T439" i="19" s="1"/>
  <c r="U139" i="19"/>
  <c r="U439" i="19" s="1"/>
  <c r="G140" i="19"/>
  <c r="G440" i="19" s="1"/>
  <c r="H140" i="19"/>
  <c r="H440" i="19" s="1"/>
  <c r="I140" i="19"/>
  <c r="I440" i="19" s="1"/>
  <c r="J140" i="19"/>
  <c r="J440" i="19" s="1"/>
  <c r="K140" i="19"/>
  <c r="K440" i="19" s="1"/>
  <c r="L140" i="19"/>
  <c r="L440" i="19" s="1"/>
  <c r="M140" i="19"/>
  <c r="M440" i="19" s="1"/>
  <c r="N140" i="19"/>
  <c r="N440" i="19" s="1"/>
  <c r="O140" i="19"/>
  <c r="O440" i="19" s="1"/>
  <c r="P140" i="19"/>
  <c r="P440" i="19" s="1"/>
  <c r="Q140" i="19"/>
  <c r="Q440" i="19" s="1"/>
  <c r="R140" i="19"/>
  <c r="R440" i="19" s="1"/>
  <c r="S140" i="19"/>
  <c r="S440" i="19" s="1"/>
  <c r="T140" i="19"/>
  <c r="T440" i="19" s="1"/>
  <c r="U140" i="19"/>
  <c r="U440" i="19" s="1"/>
  <c r="G141" i="19"/>
  <c r="G441" i="19" s="1"/>
  <c r="H141" i="19"/>
  <c r="H441" i="19" s="1"/>
  <c r="I141" i="19"/>
  <c r="I441" i="19" s="1"/>
  <c r="J141" i="19"/>
  <c r="J441" i="19" s="1"/>
  <c r="K141" i="19"/>
  <c r="K441" i="19" s="1"/>
  <c r="L141" i="19"/>
  <c r="L441" i="19" s="1"/>
  <c r="M141" i="19"/>
  <c r="M441" i="19" s="1"/>
  <c r="N141" i="19"/>
  <c r="N441" i="19" s="1"/>
  <c r="O141" i="19"/>
  <c r="O441" i="19" s="1"/>
  <c r="P141" i="19"/>
  <c r="P441" i="19" s="1"/>
  <c r="Q141" i="19"/>
  <c r="Q441" i="19" s="1"/>
  <c r="R141" i="19"/>
  <c r="R441" i="19" s="1"/>
  <c r="S141" i="19"/>
  <c r="S441" i="19" s="1"/>
  <c r="T141" i="19"/>
  <c r="T441" i="19" s="1"/>
  <c r="U141" i="19"/>
  <c r="U441" i="19" s="1"/>
  <c r="G142" i="19"/>
  <c r="G442" i="19" s="1"/>
  <c r="H142" i="19"/>
  <c r="H442" i="19" s="1"/>
  <c r="I142" i="19"/>
  <c r="I442" i="19" s="1"/>
  <c r="J142" i="19"/>
  <c r="J442" i="19" s="1"/>
  <c r="K142" i="19"/>
  <c r="K442" i="19" s="1"/>
  <c r="L142" i="19"/>
  <c r="L442" i="19" s="1"/>
  <c r="M142" i="19"/>
  <c r="M442" i="19" s="1"/>
  <c r="N142" i="19"/>
  <c r="N442" i="19" s="1"/>
  <c r="O142" i="19"/>
  <c r="O442" i="19" s="1"/>
  <c r="P142" i="19"/>
  <c r="P442" i="19" s="1"/>
  <c r="Q142" i="19"/>
  <c r="Q442" i="19" s="1"/>
  <c r="R142" i="19"/>
  <c r="R442" i="19" s="1"/>
  <c r="S142" i="19"/>
  <c r="S442" i="19" s="1"/>
  <c r="T142" i="19"/>
  <c r="T442" i="19" s="1"/>
  <c r="U142" i="19"/>
  <c r="U442" i="19" s="1"/>
  <c r="F136" i="19"/>
  <c r="F436" i="19" s="1"/>
  <c r="F137" i="19"/>
  <c r="F437" i="19" s="1"/>
  <c r="F139" i="19"/>
  <c r="F439" i="19" s="1"/>
  <c r="F140" i="19"/>
  <c r="F440" i="19" s="1"/>
  <c r="F141" i="19"/>
  <c r="F441" i="19" s="1"/>
  <c r="F142" i="19"/>
  <c r="F442" i="19" s="1"/>
  <c r="G111" i="19"/>
  <c r="G411" i="19" s="1"/>
  <c r="H111" i="19"/>
  <c r="H411" i="19" s="1"/>
  <c r="I111" i="19"/>
  <c r="I411" i="19" s="1"/>
  <c r="J111" i="19"/>
  <c r="J411" i="19" s="1"/>
  <c r="K111" i="19"/>
  <c r="K411" i="19" s="1"/>
  <c r="L111" i="19"/>
  <c r="L411" i="19" s="1"/>
  <c r="M111" i="19"/>
  <c r="M411" i="19" s="1"/>
  <c r="N111" i="19"/>
  <c r="N411" i="19" s="1"/>
  <c r="O111" i="19"/>
  <c r="O411" i="19" s="1"/>
  <c r="P111" i="19"/>
  <c r="P411" i="19" s="1"/>
  <c r="Q111" i="19"/>
  <c r="Q411" i="19" s="1"/>
  <c r="R111" i="19"/>
  <c r="R411" i="19" s="1"/>
  <c r="S111" i="19"/>
  <c r="S411" i="19" s="1"/>
  <c r="T111" i="19"/>
  <c r="T411" i="19" s="1"/>
  <c r="U111" i="19"/>
  <c r="U411" i="19" s="1"/>
  <c r="G113" i="19"/>
  <c r="G413" i="19" s="1"/>
  <c r="H113" i="19"/>
  <c r="H413" i="19" s="1"/>
  <c r="I113" i="19"/>
  <c r="I413" i="19" s="1"/>
  <c r="J113" i="19"/>
  <c r="J413" i="19" s="1"/>
  <c r="K113" i="19"/>
  <c r="K413" i="19" s="1"/>
  <c r="L113" i="19"/>
  <c r="L413" i="19" s="1"/>
  <c r="M113" i="19"/>
  <c r="M413" i="19" s="1"/>
  <c r="N113" i="19"/>
  <c r="N413" i="19" s="1"/>
  <c r="O113" i="19"/>
  <c r="O413" i="19" s="1"/>
  <c r="P113" i="19"/>
  <c r="P413" i="19" s="1"/>
  <c r="Q113" i="19"/>
  <c r="Q413" i="19" s="1"/>
  <c r="R113" i="19"/>
  <c r="R413" i="19" s="1"/>
  <c r="S113" i="19"/>
  <c r="S413" i="19" s="1"/>
  <c r="T113" i="19"/>
  <c r="T413" i="19" s="1"/>
  <c r="U113" i="19"/>
  <c r="U413" i="19" s="1"/>
  <c r="G114" i="19"/>
  <c r="G414" i="19" s="1"/>
  <c r="H114" i="19"/>
  <c r="H414" i="19" s="1"/>
  <c r="I114" i="19"/>
  <c r="I414" i="19" s="1"/>
  <c r="J114" i="19"/>
  <c r="J414" i="19" s="1"/>
  <c r="K114" i="19"/>
  <c r="K414" i="19" s="1"/>
  <c r="L114" i="19"/>
  <c r="L414" i="19" s="1"/>
  <c r="M114" i="19"/>
  <c r="M414" i="19" s="1"/>
  <c r="N114" i="19"/>
  <c r="N414" i="19" s="1"/>
  <c r="O114" i="19"/>
  <c r="O414" i="19" s="1"/>
  <c r="P114" i="19"/>
  <c r="P414" i="19" s="1"/>
  <c r="Q114" i="19"/>
  <c r="Q414" i="19" s="1"/>
  <c r="R114" i="19"/>
  <c r="R414" i="19" s="1"/>
  <c r="S114" i="19"/>
  <c r="S414" i="19" s="1"/>
  <c r="T114" i="19"/>
  <c r="T414" i="19" s="1"/>
  <c r="U114" i="19"/>
  <c r="U414" i="19" s="1"/>
  <c r="G115" i="19"/>
  <c r="G415" i="19" s="1"/>
  <c r="H115" i="19"/>
  <c r="H415" i="19" s="1"/>
  <c r="I115" i="19"/>
  <c r="I415" i="19" s="1"/>
  <c r="J115" i="19"/>
  <c r="J415" i="19" s="1"/>
  <c r="K115" i="19"/>
  <c r="K415" i="19" s="1"/>
  <c r="L115" i="19"/>
  <c r="L415" i="19" s="1"/>
  <c r="M115" i="19"/>
  <c r="M415" i="19" s="1"/>
  <c r="N115" i="19"/>
  <c r="N415" i="19" s="1"/>
  <c r="O115" i="19"/>
  <c r="O415" i="19" s="1"/>
  <c r="P115" i="19"/>
  <c r="P415" i="19" s="1"/>
  <c r="Q115" i="19"/>
  <c r="Q415" i="19" s="1"/>
  <c r="R115" i="19"/>
  <c r="R415" i="19" s="1"/>
  <c r="S115" i="19"/>
  <c r="S415" i="19" s="1"/>
  <c r="T115" i="19"/>
  <c r="T415" i="19" s="1"/>
  <c r="U115" i="19"/>
  <c r="U415" i="19" s="1"/>
  <c r="G116" i="19"/>
  <c r="G416" i="19" s="1"/>
  <c r="H116" i="19"/>
  <c r="H416" i="19" s="1"/>
  <c r="I116" i="19"/>
  <c r="I416" i="19" s="1"/>
  <c r="J116" i="19"/>
  <c r="J416" i="19" s="1"/>
  <c r="K116" i="19"/>
  <c r="K416" i="19" s="1"/>
  <c r="L116" i="19"/>
  <c r="L416" i="19" s="1"/>
  <c r="M116" i="19"/>
  <c r="M416" i="19" s="1"/>
  <c r="N116" i="19"/>
  <c r="N416" i="19" s="1"/>
  <c r="O116" i="19"/>
  <c r="O416" i="19" s="1"/>
  <c r="P116" i="19"/>
  <c r="P416" i="19" s="1"/>
  <c r="Q116" i="19"/>
  <c r="Q416" i="19" s="1"/>
  <c r="R116" i="19"/>
  <c r="R416" i="19" s="1"/>
  <c r="S116" i="19"/>
  <c r="S416" i="19" s="1"/>
  <c r="T116" i="19"/>
  <c r="T416" i="19" s="1"/>
  <c r="U116" i="19"/>
  <c r="U416" i="19" s="1"/>
  <c r="G117" i="19"/>
  <c r="G417" i="19" s="1"/>
  <c r="H117" i="19"/>
  <c r="H417" i="19" s="1"/>
  <c r="I117" i="19"/>
  <c r="I417" i="19" s="1"/>
  <c r="J117" i="19"/>
  <c r="J417" i="19" s="1"/>
  <c r="K117" i="19"/>
  <c r="K417" i="19" s="1"/>
  <c r="L117" i="19"/>
  <c r="L417" i="19" s="1"/>
  <c r="M117" i="19"/>
  <c r="M417" i="19" s="1"/>
  <c r="N117" i="19"/>
  <c r="N417" i="19" s="1"/>
  <c r="O117" i="19"/>
  <c r="O417" i="19" s="1"/>
  <c r="P117" i="19"/>
  <c r="P417" i="19" s="1"/>
  <c r="Q117" i="19"/>
  <c r="Q417" i="19" s="1"/>
  <c r="R117" i="19"/>
  <c r="R417" i="19" s="1"/>
  <c r="S117" i="19"/>
  <c r="S417" i="19" s="1"/>
  <c r="T117" i="19"/>
  <c r="T417" i="19" s="1"/>
  <c r="U117" i="19"/>
  <c r="U417" i="19" s="1"/>
  <c r="F111" i="19"/>
  <c r="F411" i="19" s="1"/>
  <c r="F113" i="19"/>
  <c r="F413" i="19" s="1"/>
  <c r="F114" i="19"/>
  <c r="F414" i="19" s="1"/>
  <c r="F115" i="19"/>
  <c r="F415" i="19" s="1"/>
  <c r="F116" i="19"/>
  <c r="F416" i="19" s="1"/>
  <c r="F117" i="19"/>
  <c r="F417" i="19" s="1"/>
  <c r="G81" i="19"/>
  <c r="G381" i="19" s="1"/>
  <c r="H81" i="19"/>
  <c r="H381" i="19" s="1"/>
  <c r="I81" i="19"/>
  <c r="I381" i="19" s="1"/>
  <c r="J81" i="19"/>
  <c r="J381" i="19" s="1"/>
  <c r="K81" i="19"/>
  <c r="K381" i="19" s="1"/>
  <c r="L81" i="19"/>
  <c r="L381" i="19" s="1"/>
  <c r="M81" i="19"/>
  <c r="M381" i="19" s="1"/>
  <c r="N81" i="19"/>
  <c r="N381" i="19" s="1"/>
  <c r="O81" i="19"/>
  <c r="O381" i="19" s="1"/>
  <c r="P81" i="19"/>
  <c r="P381" i="19" s="1"/>
  <c r="Q81" i="19"/>
  <c r="Q381" i="19" s="1"/>
  <c r="R81" i="19"/>
  <c r="R381" i="19" s="1"/>
  <c r="S81" i="19"/>
  <c r="S381" i="19" s="1"/>
  <c r="T81" i="19"/>
  <c r="T381" i="19" s="1"/>
  <c r="U81" i="19"/>
  <c r="U381" i="19" s="1"/>
  <c r="G84" i="19"/>
  <c r="G384" i="19" s="1"/>
  <c r="H84" i="19"/>
  <c r="H384" i="19" s="1"/>
  <c r="I84" i="19"/>
  <c r="I384" i="19" s="1"/>
  <c r="J84" i="19"/>
  <c r="J384" i="19" s="1"/>
  <c r="K84" i="19"/>
  <c r="K384" i="19" s="1"/>
  <c r="L84" i="19"/>
  <c r="L384" i="19" s="1"/>
  <c r="M84" i="19"/>
  <c r="M384" i="19" s="1"/>
  <c r="N84" i="19"/>
  <c r="N384" i="19" s="1"/>
  <c r="O84" i="19"/>
  <c r="O384" i="19" s="1"/>
  <c r="P84" i="19"/>
  <c r="P384" i="19" s="1"/>
  <c r="Q84" i="19"/>
  <c r="Q384" i="19" s="1"/>
  <c r="R84" i="19"/>
  <c r="R384" i="19" s="1"/>
  <c r="S84" i="19"/>
  <c r="S384" i="19" s="1"/>
  <c r="T84" i="19"/>
  <c r="T384" i="19" s="1"/>
  <c r="U84" i="19"/>
  <c r="U384" i="19" s="1"/>
  <c r="F81" i="19"/>
  <c r="F381" i="19" s="1"/>
  <c r="F84" i="19"/>
  <c r="F384" i="19" s="1"/>
  <c r="G122" i="19"/>
  <c r="G422" i="19" s="1"/>
  <c r="H122" i="19"/>
  <c r="H422" i="19" s="1"/>
  <c r="I122" i="19"/>
  <c r="I422" i="19" s="1"/>
  <c r="J122" i="19"/>
  <c r="J422" i="19" s="1"/>
  <c r="K122" i="19"/>
  <c r="K422" i="19" s="1"/>
  <c r="L122" i="19"/>
  <c r="L422" i="19" s="1"/>
  <c r="M122" i="19"/>
  <c r="M422" i="19" s="1"/>
  <c r="N122" i="19"/>
  <c r="N422" i="19" s="1"/>
  <c r="O122" i="19"/>
  <c r="O422" i="19" s="1"/>
  <c r="P122" i="19"/>
  <c r="P422" i="19" s="1"/>
  <c r="Q122" i="19"/>
  <c r="Q422" i="19" s="1"/>
  <c r="R122" i="19"/>
  <c r="R422" i="19" s="1"/>
  <c r="S122" i="19"/>
  <c r="S422" i="19" s="1"/>
  <c r="T122" i="19"/>
  <c r="T422" i="19" s="1"/>
  <c r="U122" i="19"/>
  <c r="U422" i="19" s="1"/>
  <c r="G124" i="19"/>
  <c r="G424" i="19" s="1"/>
  <c r="H124" i="19"/>
  <c r="H424" i="19" s="1"/>
  <c r="I124" i="19"/>
  <c r="I424" i="19" s="1"/>
  <c r="J124" i="19"/>
  <c r="J424" i="19" s="1"/>
  <c r="K124" i="19"/>
  <c r="K424" i="19" s="1"/>
  <c r="L124" i="19"/>
  <c r="L424" i="19" s="1"/>
  <c r="M124" i="19"/>
  <c r="M424" i="19" s="1"/>
  <c r="N124" i="19"/>
  <c r="N424" i="19" s="1"/>
  <c r="O124" i="19"/>
  <c r="O424" i="19" s="1"/>
  <c r="P124" i="19"/>
  <c r="P424" i="19" s="1"/>
  <c r="Q124" i="19"/>
  <c r="Q424" i="19" s="1"/>
  <c r="R124" i="19"/>
  <c r="R424" i="19" s="1"/>
  <c r="S124" i="19"/>
  <c r="S424" i="19" s="1"/>
  <c r="T124" i="19"/>
  <c r="T424" i="19" s="1"/>
  <c r="U124" i="19"/>
  <c r="U424" i="19" s="1"/>
  <c r="G125" i="19"/>
  <c r="G425" i="19" s="1"/>
  <c r="H125" i="19"/>
  <c r="H425" i="19" s="1"/>
  <c r="I125" i="19"/>
  <c r="I425" i="19" s="1"/>
  <c r="J125" i="19"/>
  <c r="J425" i="19" s="1"/>
  <c r="K125" i="19"/>
  <c r="K425" i="19" s="1"/>
  <c r="L125" i="19"/>
  <c r="L425" i="19" s="1"/>
  <c r="M125" i="19"/>
  <c r="M425" i="19" s="1"/>
  <c r="N125" i="19"/>
  <c r="N425" i="19" s="1"/>
  <c r="O125" i="19"/>
  <c r="O425" i="19" s="1"/>
  <c r="P125" i="19"/>
  <c r="P425" i="19" s="1"/>
  <c r="Q125" i="19"/>
  <c r="Q425" i="19" s="1"/>
  <c r="R125" i="19"/>
  <c r="R425" i="19" s="1"/>
  <c r="S125" i="19"/>
  <c r="S425" i="19" s="1"/>
  <c r="T125" i="19"/>
  <c r="T425" i="19" s="1"/>
  <c r="U125" i="19"/>
  <c r="U425" i="19" s="1"/>
  <c r="G126" i="19"/>
  <c r="G426" i="19" s="1"/>
  <c r="H126" i="19"/>
  <c r="H426" i="19" s="1"/>
  <c r="I126" i="19"/>
  <c r="I426" i="19" s="1"/>
  <c r="J126" i="19"/>
  <c r="J426" i="19" s="1"/>
  <c r="K126" i="19"/>
  <c r="K426" i="19" s="1"/>
  <c r="L126" i="19"/>
  <c r="L426" i="19" s="1"/>
  <c r="M126" i="19"/>
  <c r="M426" i="19" s="1"/>
  <c r="N126" i="19"/>
  <c r="N426" i="19" s="1"/>
  <c r="O126" i="19"/>
  <c r="O426" i="19" s="1"/>
  <c r="P126" i="19"/>
  <c r="P426" i="19" s="1"/>
  <c r="Q126" i="19"/>
  <c r="Q426" i="19" s="1"/>
  <c r="R126" i="19"/>
  <c r="R426" i="19" s="1"/>
  <c r="S126" i="19"/>
  <c r="S426" i="19" s="1"/>
  <c r="T126" i="19"/>
  <c r="T426" i="19" s="1"/>
  <c r="U126" i="19"/>
  <c r="U426" i="19" s="1"/>
  <c r="G127" i="19"/>
  <c r="G427" i="19" s="1"/>
  <c r="H127" i="19"/>
  <c r="H427" i="19" s="1"/>
  <c r="I127" i="19"/>
  <c r="I427" i="19" s="1"/>
  <c r="J127" i="19"/>
  <c r="J427" i="19" s="1"/>
  <c r="K127" i="19"/>
  <c r="K427" i="19" s="1"/>
  <c r="L127" i="19"/>
  <c r="L427" i="19" s="1"/>
  <c r="M127" i="19"/>
  <c r="M427" i="19" s="1"/>
  <c r="N127" i="19"/>
  <c r="N427" i="19" s="1"/>
  <c r="O127" i="19"/>
  <c r="O427" i="19" s="1"/>
  <c r="P127" i="19"/>
  <c r="P427" i="19" s="1"/>
  <c r="Q127" i="19"/>
  <c r="Q427" i="19" s="1"/>
  <c r="R127" i="19"/>
  <c r="R427" i="19" s="1"/>
  <c r="S127" i="19"/>
  <c r="S427" i="19" s="1"/>
  <c r="T127" i="19"/>
  <c r="T427" i="19" s="1"/>
  <c r="U127" i="19"/>
  <c r="U427" i="19" s="1"/>
  <c r="G128" i="19"/>
  <c r="G428" i="19" s="1"/>
  <c r="H128" i="19"/>
  <c r="H428" i="19" s="1"/>
  <c r="I128" i="19"/>
  <c r="I428" i="19" s="1"/>
  <c r="J128" i="19"/>
  <c r="J428" i="19" s="1"/>
  <c r="K128" i="19"/>
  <c r="K428" i="19" s="1"/>
  <c r="L128" i="19"/>
  <c r="L428" i="19" s="1"/>
  <c r="M128" i="19"/>
  <c r="M428" i="19" s="1"/>
  <c r="N128" i="19"/>
  <c r="N428" i="19" s="1"/>
  <c r="O128" i="19"/>
  <c r="O428" i="19" s="1"/>
  <c r="P128" i="19"/>
  <c r="P428" i="19" s="1"/>
  <c r="Q128" i="19"/>
  <c r="Q428" i="19" s="1"/>
  <c r="R128" i="19"/>
  <c r="R428" i="19" s="1"/>
  <c r="S128" i="19"/>
  <c r="S428" i="19" s="1"/>
  <c r="T128" i="19"/>
  <c r="T428" i="19" s="1"/>
  <c r="U128" i="19"/>
  <c r="U428" i="19" s="1"/>
  <c r="G129" i="19"/>
  <c r="G429" i="19" s="1"/>
  <c r="H129" i="19"/>
  <c r="H429" i="19" s="1"/>
  <c r="I129" i="19"/>
  <c r="I429" i="19" s="1"/>
  <c r="J129" i="19"/>
  <c r="J429" i="19" s="1"/>
  <c r="K129" i="19"/>
  <c r="K429" i="19" s="1"/>
  <c r="L129" i="19"/>
  <c r="L429" i="19" s="1"/>
  <c r="M129" i="19"/>
  <c r="M429" i="19" s="1"/>
  <c r="N129" i="19"/>
  <c r="N429" i="19" s="1"/>
  <c r="O129" i="19"/>
  <c r="O429" i="19" s="1"/>
  <c r="P129" i="19"/>
  <c r="P429" i="19" s="1"/>
  <c r="Q129" i="19"/>
  <c r="Q429" i="19" s="1"/>
  <c r="R129" i="19"/>
  <c r="R429" i="19" s="1"/>
  <c r="S129" i="19"/>
  <c r="S429" i="19" s="1"/>
  <c r="T129" i="19"/>
  <c r="T429" i="19" s="1"/>
  <c r="U129" i="19"/>
  <c r="U429" i="19" s="1"/>
  <c r="G130" i="19"/>
  <c r="G430" i="19" s="1"/>
  <c r="H130" i="19"/>
  <c r="H430" i="19" s="1"/>
  <c r="I130" i="19"/>
  <c r="I430" i="19" s="1"/>
  <c r="J130" i="19"/>
  <c r="J430" i="19" s="1"/>
  <c r="K130" i="19"/>
  <c r="K430" i="19" s="1"/>
  <c r="L130" i="19"/>
  <c r="L430" i="19" s="1"/>
  <c r="M130" i="19"/>
  <c r="M430" i="19" s="1"/>
  <c r="N130" i="19"/>
  <c r="N430" i="19" s="1"/>
  <c r="O130" i="19"/>
  <c r="O430" i="19" s="1"/>
  <c r="P130" i="19"/>
  <c r="P430" i="19" s="1"/>
  <c r="Q130" i="19"/>
  <c r="Q430" i="19" s="1"/>
  <c r="R130" i="19"/>
  <c r="R430" i="19" s="1"/>
  <c r="S130" i="19"/>
  <c r="S430" i="19" s="1"/>
  <c r="T130" i="19"/>
  <c r="T430" i="19" s="1"/>
  <c r="U130" i="19"/>
  <c r="U430" i="19" s="1"/>
  <c r="G131" i="19"/>
  <c r="G431" i="19" s="1"/>
  <c r="H131" i="19"/>
  <c r="H431" i="19" s="1"/>
  <c r="I131" i="19"/>
  <c r="I431" i="19" s="1"/>
  <c r="J131" i="19"/>
  <c r="J431" i="19" s="1"/>
  <c r="K131" i="19"/>
  <c r="K431" i="19" s="1"/>
  <c r="L131" i="19"/>
  <c r="L431" i="19" s="1"/>
  <c r="M131" i="19"/>
  <c r="M431" i="19" s="1"/>
  <c r="N131" i="19"/>
  <c r="N431" i="19" s="1"/>
  <c r="O131" i="19"/>
  <c r="O431" i="19" s="1"/>
  <c r="P131" i="19"/>
  <c r="P431" i="19" s="1"/>
  <c r="Q131" i="19"/>
  <c r="Q431" i="19" s="1"/>
  <c r="R131" i="19"/>
  <c r="R431" i="19" s="1"/>
  <c r="S131" i="19"/>
  <c r="S431" i="19" s="1"/>
  <c r="T131" i="19"/>
  <c r="T431" i="19" s="1"/>
  <c r="U131" i="19"/>
  <c r="U431" i="19" s="1"/>
  <c r="F122" i="19"/>
  <c r="F422" i="19" s="1"/>
  <c r="F124" i="19"/>
  <c r="F424" i="19" s="1"/>
  <c r="F125" i="19"/>
  <c r="F425" i="19" s="1"/>
  <c r="F126" i="19"/>
  <c r="F426" i="19" s="1"/>
  <c r="F127" i="19"/>
  <c r="F427" i="19" s="1"/>
  <c r="F128" i="19"/>
  <c r="F428" i="19" s="1"/>
  <c r="F129" i="19"/>
  <c r="F429" i="19" s="1"/>
  <c r="F130" i="19"/>
  <c r="F430" i="19" s="1"/>
  <c r="F131" i="19"/>
  <c r="F431" i="19" s="1"/>
  <c r="G101" i="19"/>
  <c r="G401" i="19" s="1"/>
  <c r="H101" i="19"/>
  <c r="H401" i="19" s="1"/>
  <c r="I101" i="19"/>
  <c r="I401" i="19" s="1"/>
  <c r="J101" i="19"/>
  <c r="J401" i="19" s="1"/>
  <c r="K101" i="19"/>
  <c r="K401" i="19" s="1"/>
  <c r="L101" i="19"/>
  <c r="L401" i="19" s="1"/>
  <c r="M101" i="19"/>
  <c r="M401" i="19" s="1"/>
  <c r="N101" i="19"/>
  <c r="N401" i="19" s="1"/>
  <c r="O101" i="19"/>
  <c r="O401" i="19" s="1"/>
  <c r="P101" i="19"/>
  <c r="P401" i="19" s="1"/>
  <c r="Q101" i="19"/>
  <c r="Q401" i="19" s="1"/>
  <c r="R101" i="19"/>
  <c r="R401" i="19" s="1"/>
  <c r="S101" i="19"/>
  <c r="S401" i="19" s="1"/>
  <c r="T101" i="19"/>
  <c r="T401" i="19" s="1"/>
  <c r="U101" i="19"/>
  <c r="U401" i="19" s="1"/>
  <c r="G102" i="19"/>
  <c r="G402" i="19" s="1"/>
  <c r="H102" i="19"/>
  <c r="H402" i="19" s="1"/>
  <c r="I102" i="19"/>
  <c r="I402" i="19" s="1"/>
  <c r="J102" i="19"/>
  <c r="J402" i="19" s="1"/>
  <c r="K102" i="19"/>
  <c r="K402" i="19" s="1"/>
  <c r="L102" i="19"/>
  <c r="L402" i="19" s="1"/>
  <c r="M102" i="19"/>
  <c r="M402" i="19" s="1"/>
  <c r="N102" i="19"/>
  <c r="N402" i="19" s="1"/>
  <c r="O102" i="19"/>
  <c r="O402" i="19" s="1"/>
  <c r="P102" i="19"/>
  <c r="P402" i="19" s="1"/>
  <c r="Q102" i="19"/>
  <c r="Q402" i="19" s="1"/>
  <c r="R102" i="19"/>
  <c r="R402" i="19" s="1"/>
  <c r="S102" i="19"/>
  <c r="S402" i="19" s="1"/>
  <c r="T102" i="19"/>
  <c r="T402" i="19" s="1"/>
  <c r="U102" i="19"/>
  <c r="U402" i="19" s="1"/>
  <c r="G103" i="19"/>
  <c r="G403" i="19" s="1"/>
  <c r="H103" i="19"/>
  <c r="H403" i="19" s="1"/>
  <c r="I103" i="19"/>
  <c r="I403" i="19" s="1"/>
  <c r="J103" i="19"/>
  <c r="J403" i="19" s="1"/>
  <c r="K103" i="19"/>
  <c r="K403" i="19" s="1"/>
  <c r="L103" i="19"/>
  <c r="L403" i="19" s="1"/>
  <c r="M103" i="19"/>
  <c r="M403" i="19" s="1"/>
  <c r="N103" i="19"/>
  <c r="N403" i="19" s="1"/>
  <c r="O103" i="19"/>
  <c r="O403" i="19" s="1"/>
  <c r="P103" i="19"/>
  <c r="P403" i="19" s="1"/>
  <c r="Q103" i="19"/>
  <c r="Q403" i="19" s="1"/>
  <c r="R103" i="19"/>
  <c r="R403" i="19" s="1"/>
  <c r="S103" i="19"/>
  <c r="S403" i="19" s="1"/>
  <c r="T103" i="19"/>
  <c r="T403" i="19" s="1"/>
  <c r="U103" i="19"/>
  <c r="U403" i="19" s="1"/>
  <c r="G105" i="19"/>
  <c r="G405" i="19" s="1"/>
  <c r="H105" i="19"/>
  <c r="H405" i="19" s="1"/>
  <c r="I105" i="19"/>
  <c r="I405" i="19" s="1"/>
  <c r="J105" i="19"/>
  <c r="J405" i="19" s="1"/>
  <c r="K105" i="19"/>
  <c r="K405" i="19" s="1"/>
  <c r="L105" i="19"/>
  <c r="L405" i="19" s="1"/>
  <c r="M105" i="19"/>
  <c r="M405" i="19" s="1"/>
  <c r="N105" i="19"/>
  <c r="N405" i="19" s="1"/>
  <c r="O105" i="19"/>
  <c r="O405" i="19" s="1"/>
  <c r="P105" i="19"/>
  <c r="P405" i="19" s="1"/>
  <c r="Q105" i="19"/>
  <c r="Q405" i="19" s="1"/>
  <c r="R105" i="19"/>
  <c r="R405" i="19" s="1"/>
  <c r="S105" i="19"/>
  <c r="S405" i="19" s="1"/>
  <c r="T105" i="19"/>
  <c r="T405" i="19" s="1"/>
  <c r="U105" i="19"/>
  <c r="U405" i="19" s="1"/>
  <c r="G106" i="19"/>
  <c r="G406" i="19" s="1"/>
  <c r="H106" i="19"/>
  <c r="H406" i="19" s="1"/>
  <c r="I106" i="19"/>
  <c r="I406" i="19" s="1"/>
  <c r="J106" i="19"/>
  <c r="J406" i="19" s="1"/>
  <c r="K106" i="19"/>
  <c r="K406" i="19" s="1"/>
  <c r="L106" i="19"/>
  <c r="L406" i="19" s="1"/>
  <c r="M106" i="19"/>
  <c r="M406" i="19" s="1"/>
  <c r="N106" i="19"/>
  <c r="N406" i="19" s="1"/>
  <c r="O106" i="19"/>
  <c r="O406" i="19" s="1"/>
  <c r="P106" i="19"/>
  <c r="P406" i="19" s="1"/>
  <c r="Q106" i="19"/>
  <c r="Q406" i="19" s="1"/>
  <c r="R106" i="19"/>
  <c r="R406" i="19" s="1"/>
  <c r="S106" i="19"/>
  <c r="S406" i="19" s="1"/>
  <c r="T106" i="19"/>
  <c r="T406" i="19" s="1"/>
  <c r="U106" i="19"/>
  <c r="U406" i="19" s="1"/>
  <c r="G108" i="19"/>
  <c r="G408" i="19" s="1"/>
  <c r="H108" i="19"/>
  <c r="H408" i="19" s="1"/>
  <c r="I108" i="19"/>
  <c r="I408" i="19" s="1"/>
  <c r="J108" i="19"/>
  <c r="J408" i="19" s="1"/>
  <c r="K108" i="19"/>
  <c r="K408" i="19" s="1"/>
  <c r="L108" i="19"/>
  <c r="L408" i="19" s="1"/>
  <c r="M108" i="19"/>
  <c r="M408" i="19" s="1"/>
  <c r="N108" i="19"/>
  <c r="N408" i="19" s="1"/>
  <c r="O108" i="19"/>
  <c r="O408" i="19" s="1"/>
  <c r="P108" i="19"/>
  <c r="P408" i="19" s="1"/>
  <c r="Q108" i="19"/>
  <c r="Q408" i="19" s="1"/>
  <c r="R108" i="19"/>
  <c r="R408" i="19" s="1"/>
  <c r="S108" i="19"/>
  <c r="S408" i="19" s="1"/>
  <c r="T108" i="19"/>
  <c r="T408" i="19" s="1"/>
  <c r="U108" i="19"/>
  <c r="U408" i="19" s="1"/>
  <c r="G109" i="19"/>
  <c r="G409" i="19" s="1"/>
  <c r="H109" i="19"/>
  <c r="H409" i="19" s="1"/>
  <c r="I109" i="19"/>
  <c r="I409" i="19" s="1"/>
  <c r="J109" i="19"/>
  <c r="J409" i="19" s="1"/>
  <c r="K109" i="19"/>
  <c r="K409" i="19" s="1"/>
  <c r="L109" i="19"/>
  <c r="L409" i="19" s="1"/>
  <c r="M109" i="19"/>
  <c r="M409" i="19" s="1"/>
  <c r="N109" i="19"/>
  <c r="N409" i="19" s="1"/>
  <c r="O109" i="19"/>
  <c r="O409" i="19" s="1"/>
  <c r="P109" i="19"/>
  <c r="P409" i="19" s="1"/>
  <c r="Q109" i="19"/>
  <c r="Q409" i="19" s="1"/>
  <c r="R109" i="19"/>
  <c r="R409" i="19" s="1"/>
  <c r="S109" i="19"/>
  <c r="S409" i="19" s="1"/>
  <c r="T109" i="19"/>
  <c r="T409" i="19" s="1"/>
  <c r="U109" i="19"/>
  <c r="U409" i="19" s="1"/>
  <c r="F101" i="19"/>
  <c r="F401" i="19" s="1"/>
  <c r="F102" i="19"/>
  <c r="F402" i="19" s="1"/>
  <c r="F103" i="19"/>
  <c r="F403" i="19" s="1"/>
  <c r="F105" i="19"/>
  <c r="F405" i="19" s="1"/>
  <c r="F106" i="19"/>
  <c r="F406" i="19" s="1"/>
  <c r="F108" i="19"/>
  <c r="F408" i="19" s="1"/>
  <c r="F109" i="19"/>
  <c r="F409" i="19" s="1"/>
  <c r="G68" i="19"/>
  <c r="G368" i="19" s="1"/>
  <c r="H68" i="19"/>
  <c r="H368" i="19" s="1"/>
  <c r="I68" i="19"/>
  <c r="I368" i="19" s="1"/>
  <c r="J68" i="19"/>
  <c r="J368" i="19" s="1"/>
  <c r="K68" i="19"/>
  <c r="K368" i="19" s="1"/>
  <c r="L68" i="19"/>
  <c r="L368" i="19" s="1"/>
  <c r="M68" i="19"/>
  <c r="M368" i="19" s="1"/>
  <c r="N68" i="19"/>
  <c r="N368" i="19" s="1"/>
  <c r="O68" i="19"/>
  <c r="O368" i="19" s="1"/>
  <c r="P68" i="19"/>
  <c r="P368" i="19" s="1"/>
  <c r="Q68" i="19"/>
  <c r="Q368" i="19" s="1"/>
  <c r="R68" i="19"/>
  <c r="R368" i="19" s="1"/>
  <c r="S68" i="19"/>
  <c r="S368" i="19" s="1"/>
  <c r="T68" i="19"/>
  <c r="T368" i="19" s="1"/>
  <c r="U68" i="19"/>
  <c r="U368" i="19" s="1"/>
  <c r="G69" i="19"/>
  <c r="G369" i="19" s="1"/>
  <c r="H69" i="19"/>
  <c r="H369" i="19" s="1"/>
  <c r="I69" i="19"/>
  <c r="I369" i="19" s="1"/>
  <c r="J69" i="19"/>
  <c r="J369" i="19" s="1"/>
  <c r="K69" i="19"/>
  <c r="K369" i="19" s="1"/>
  <c r="L69" i="19"/>
  <c r="L369" i="19" s="1"/>
  <c r="M69" i="19"/>
  <c r="M369" i="19" s="1"/>
  <c r="N69" i="19"/>
  <c r="N369" i="19" s="1"/>
  <c r="O69" i="19"/>
  <c r="O369" i="19" s="1"/>
  <c r="P69" i="19"/>
  <c r="P369" i="19" s="1"/>
  <c r="Q69" i="19"/>
  <c r="Q369" i="19" s="1"/>
  <c r="R69" i="19"/>
  <c r="R369" i="19" s="1"/>
  <c r="S69" i="19"/>
  <c r="S369" i="19" s="1"/>
  <c r="T69" i="19"/>
  <c r="T369" i="19" s="1"/>
  <c r="U69" i="19"/>
  <c r="U369" i="19" s="1"/>
  <c r="G70" i="19"/>
  <c r="G370" i="19" s="1"/>
  <c r="H70" i="19"/>
  <c r="H370" i="19" s="1"/>
  <c r="I70" i="19"/>
  <c r="I370" i="19" s="1"/>
  <c r="J70" i="19"/>
  <c r="J370" i="19" s="1"/>
  <c r="K70" i="19"/>
  <c r="K370" i="19" s="1"/>
  <c r="L70" i="19"/>
  <c r="L370" i="19" s="1"/>
  <c r="M70" i="19"/>
  <c r="M370" i="19" s="1"/>
  <c r="N70" i="19"/>
  <c r="N370" i="19" s="1"/>
  <c r="O70" i="19"/>
  <c r="O370" i="19" s="1"/>
  <c r="P70" i="19"/>
  <c r="P370" i="19" s="1"/>
  <c r="Q70" i="19"/>
  <c r="Q370" i="19" s="1"/>
  <c r="R70" i="19"/>
  <c r="R370" i="19" s="1"/>
  <c r="S70" i="19"/>
  <c r="S370" i="19" s="1"/>
  <c r="T70" i="19"/>
  <c r="T370" i="19" s="1"/>
  <c r="U70" i="19"/>
  <c r="U370" i="19" s="1"/>
  <c r="G73" i="19"/>
  <c r="G373" i="19" s="1"/>
  <c r="H73" i="19"/>
  <c r="H373" i="19" s="1"/>
  <c r="I73" i="19"/>
  <c r="I373" i="19" s="1"/>
  <c r="J73" i="19"/>
  <c r="J373" i="19" s="1"/>
  <c r="K73" i="19"/>
  <c r="K373" i="19" s="1"/>
  <c r="L73" i="19"/>
  <c r="L373" i="19" s="1"/>
  <c r="M73" i="19"/>
  <c r="M373" i="19" s="1"/>
  <c r="N73" i="19"/>
  <c r="N373" i="19" s="1"/>
  <c r="O73" i="19"/>
  <c r="O373" i="19" s="1"/>
  <c r="P73" i="19"/>
  <c r="P373" i="19" s="1"/>
  <c r="Q73" i="19"/>
  <c r="Q373" i="19" s="1"/>
  <c r="R73" i="19"/>
  <c r="R373" i="19" s="1"/>
  <c r="S73" i="19"/>
  <c r="S373" i="19" s="1"/>
  <c r="T73" i="19"/>
  <c r="T373" i="19" s="1"/>
  <c r="U73" i="19"/>
  <c r="U373" i="19" s="1"/>
  <c r="G75" i="19"/>
  <c r="G375" i="19" s="1"/>
  <c r="H75" i="19"/>
  <c r="H375" i="19" s="1"/>
  <c r="I75" i="19"/>
  <c r="I375" i="19" s="1"/>
  <c r="J75" i="19"/>
  <c r="J375" i="19" s="1"/>
  <c r="K75" i="19"/>
  <c r="K375" i="19" s="1"/>
  <c r="L75" i="19"/>
  <c r="L375" i="19" s="1"/>
  <c r="M75" i="19"/>
  <c r="M375" i="19" s="1"/>
  <c r="N75" i="19"/>
  <c r="N375" i="19" s="1"/>
  <c r="O75" i="19"/>
  <c r="O375" i="19" s="1"/>
  <c r="P75" i="19"/>
  <c r="P375" i="19" s="1"/>
  <c r="Q75" i="19"/>
  <c r="Q375" i="19" s="1"/>
  <c r="R75" i="19"/>
  <c r="R375" i="19" s="1"/>
  <c r="S75" i="19"/>
  <c r="S375" i="19" s="1"/>
  <c r="T75" i="19"/>
  <c r="T375" i="19" s="1"/>
  <c r="U75" i="19"/>
  <c r="U375" i="19" s="1"/>
  <c r="G76" i="19"/>
  <c r="G376" i="19" s="1"/>
  <c r="H76" i="19"/>
  <c r="H376" i="19" s="1"/>
  <c r="I76" i="19"/>
  <c r="I376" i="19" s="1"/>
  <c r="J76" i="19"/>
  <c r="J376" i="19" s="1"/>
  <c r="K76" i="19"/>
  <c r="K376" i="19" s="1"/>
  <c r="L76" i="19"/>
  <c r="L376" i="19" s="1"/>
  <c r="M76" i="19"/>
  <c r="M376" i="19" s="1"/>
  <c r="N76" i="19"/>
  <c r="N376" i="19" s="1"/>
  <c r="O76" i="19"/>
  <c r="O376" i="19" s="1"/>
  <c r="P76" i="19"/>
  <c r="P376" i="19" s="1"/>
  <c r="Q76" i="19"/>
  <c r="Q376" i="19" s="1"/>
  <c r="R76" i="19"/>
  <c r="R376" i="19" s="1"/>
  <c r="S76" i="19"/>
  <c r="S376" i="19" s="1"/>
  <c r="T76" i="19"/>
  <c r="T376" i="19" s="1"/>
  <c r="U76" i="19"/>
  <c r="U376" i="19" s="1"/>
  <c r="F68" i="19"/>
  <c r="F368" i="19" s="1"/>
  <c r="F69" i="19"/>
  <c r="F369" i="19" s="1"/>
  <c r="F70" i="19"/>
  <c r="F370" i="19" s="1"/>
  <c r="F73" i="19"/>
  <c r="F373" i="19" s="1"/>
  <c r="F75" i="19"/>
  <c r="F375" i="19" s="1"/>
  <c r="F76" i="19"/>
  <c r="F376" i="19" s="1"/>
  <c r="G65" i="19"/>
  <c r="G365" i="19" s="1"/>
  <c r="H65" i="19"/>
  <c r="H365" i="19" s="1"/>
  <c r="I65" i="19"/>
  <c r="I365" i="19" s="1"/>
  <c r="J65" i="19"/>
  <c r="J365" i="19" s="1"/>
  <c r="K65" i="19"/>
  <c r="K365" i="19" s="1"/>
  <c r="L65" i="19"/>
  <c r="L365" i="19" s="1"/>
  <c r="M65" i="19"/>
  <c r="M365" i="19" s="1"/>
  <c r="N65" i="19"/>
  <c r="N365" i="19" s="1"/>
  <c r="O65" i="19"/>
  <c r="O365" i="19" s="1"/>
  <c r="P65" i="19"/>
  <c r="P365" i="19" s="1"/>
  <c r="Q65" i="19"/>
  <c r="Q365" i="19" s="1"/>
  <c r="R65" i="19"/>
  <c r="R365" i="19" s="1"/>
  <c r="S65" i="19"/>
  <c r="S365" i="19" s="1"/>
  <c r="T65" i="19"/>
  <c r="T365" i="19" s="1"/>
  <c r="U65" i="19"/>
  <c r="U365" i="19" s="1"/>
  <c r="F65" i="19"/>
  <c r="F365" i="19" s="1"/>
  <c r="W2" i="19" l="1"/>
  <c r="V60" i="19"/>
  <c r="V5" i="19"/>
  <c r="I21" i="56"/>
  <c r="F36" i="28"/>
  <c r="G36" i="28"/>
  <c r="H36" i="28"/>
  <c r="I36" i="28"/>
  <c r="J36" i="28"/>
  <c r="K36" i="28"/>
  <c r="L36" i="28"/>
  <c r="M36" i="28"/>
  <c r="N36" i="28"/>
  <c r="O36" i="28"/>
  <c r="P36" i="28"/>
  <c r="Q36" i="28"/>
  <c r="R36" i="28"/>
  <c r="S36" i="28"/>
  <c r="T36" i="28"/>
  <c r="F37" i="28"/>
  <c r="G37" i="28"/>
  <c r="H37" i="28"/>
  <c r="I37" i="28"/>
  <c r="J37" i="28"/>
  <c r="K37" i="28"/>
  <c r="L37" i="28"/>
  <c r="M37" i="28"/>
  <c r="N37" i="28"/>
  <c r="O37" i="28"/>
  <c r="P37" i="28"/>
  <c r="Q37" i="28"/>
  <c r="R37" i="28"/>
  <c r="S37" i="28"/>
  <c r="T37" i="28"/>
  <c r="E37" i="28"/>
  <c r="E36" i="28"/>
  <c r="T44" i="28"/>
  <c r="S44" i="28"/>
  <c r="R44" i="28"/>
  <c r="T39" i="28"/>
  <c r="S39" i="28"/>
  <c r="B20" i="56" l="1"/>
  <c r="E26" i="4"/>
  <c r="E25" i="4"/>
  <c r="G8" i="20" l="1"/>
  <c r="G164" i="20" s="1"/>
  <c r="H8" i="20"/>
  <c r="H164" i="20" s="1"/>
  <c r="I8" i="20"/>
  <c r="I164" i="20" s="1"/>
  <c r="J8" i="20"/>
  <c r="J164" i="20" s="1"/>
  <c r="K8" i="20"/>
  <c r="K164" i="20" s="1"/>
  <c r="L8" i="20"/>
  <c r="L164" i="20" s="1"/>
  <c r="M8" i="20"/>
  <c r="M164" i="20" s="1"/>
  <c r="N8" i="20"/>
  <c r="N164" i="20" s="1"/>
  <c r="O8" i="20"/>
  <c r="O164" i="20" s="1"/>
  <c r="P8" i="20"/>
  <c r="P164" i="20" s="1"/>
  <c r="Q8" i="20"/>
  <c r="Q164" i="20" s="1"/>
  <c r="R8" i="20"/>
  <c r="R164" i="20" s="1"/>
  <c r="S8" i="20"/>
  <c r="T8" i="20"/>
  <c r="U8" i="20"/>
  <c r="G9" i="20"/>
  <c r="G165" i="20" s="1"/>
  <c r="H9" i="20"/>
  <c r="H165" i="20" s="1"/>
  <c r="I9" i="20"/>
  <c r="I165" i="20" s="1"/>
  <c r="J9" i="20"/>
  <c r="J165" i="20" s="1"/>
  <c r="K9" i="20"/>
  <c r="K165" i="20" s="1"/>
  <c r="L9" i="20"/>
  <c r="L165" i="20" s="1"/>
  <c r="M9" i="20"/>
  <c r="M165" i="20" s="1"/>
  <c r="N9" i="20"/>
  <c r="N165" i="20" s="1"/>
  <c r="O9" i="20"/>
  <c r="O165" i="20" s="1"/>
  <c r="P9" i="20"/>
  <c r="P165" i="20" s="1"/>
  <c r="Q9" i="20"/>
  <c r="Q165" i="20" s="1"/>
  <c r="R9" i="20"/>
  <c r="R165" i="20" s="1"/>
  <c r="S9" i="20"/>
  <c r="T9" i="20"/>
  <c r="U9" i="20"/>
  <c r="G12" i="20"/>
  <c r="G168" i="20" s="1"/>
  <c r="H12" i="20"/>
  <c r="H168" i="20" s="1"/>
  <c r="I12" i="20"/>
  <c r="I168" i="20" s="1"/>
  <c r="J12" i="20"/>
  <c r="J168" i="20" s="1"/>
  <c r="K12" i="20"/>
  <c r="K168" i="20" s="1"/>
  <c r="L12" i="20"/>
  <c r="L168" i="20" s="1"/>
  <c r="M12" i="20"/>
  <c r="M168" i="20" s="1"/>
  <c r="N12" i="20"/>
  <c r="N168" i="20" s="1"/>
  <c r="O12" i="20"/>
  <c r="O168" i="20" s="1"/>
  <c r="P12" i="20"/>
  <c r="P168" i="20" s="1"/>
  <c r="Q12" i="20"/>
  <c r="Q168" i="20" s="1"/>
  <c r="R12" i="20"/>
  <c r="R168" i="20" s="1"/>
  <c r="S12" i="20"/>
  <c r="T12" i="20"/>
  <c r="U12" i="20"/>
  <c r="G14" i="20"/>
  <c r="G170" i="20" s="1"/>
  <c r="H14" i="20"/>
  <c r="H170" i="20" s="1"/>
  <c r="I14" i="20"/>
  <c r="I170" i="20" s="1"/>
  <c r="J14" i="20"/>
  <c r="J170" i="20" s="1"/>
  <c r="K14" i="20"/>
  <c r="K170" i="20" s="1"/>
  <c r="L14" i="20"/>
  <c r="L170" i="20" s="1"/>
  <c r="M14" i="20"/>
  <c r="M170" i="20" s="1"/>
  <c r="N14" i="20"/>
  <c r="N170" i="20" s="1"/>
  <c r="O14" i="20"/>
  <c r="O170" i="20" s="1"/>
  <c r="P14" i="20"/>
  <c r="P170" i="20" s="1"/>
  <c r="Q14" i="20"/>
  <c r="Q170" i="20" s="1"/>
  <c r="R14" i="20"/>
  <c r="R170" i="20" s="1"/>
  <c r="S14" i="20"/>
  <c r="T14" i="20"/>
  <c r="U14" i="20"/>
  <c r="G15" i="20"/>
  <c r="G171" i="20" s="1"/>
  <c r="H15" i="20"/>
  <c r="H171" i="20" s="1"/>
  <c r="I15" i="20"/>
  <c r="I171" i="20" s="1"/>
  <c r="J15" i="20"/>
  <c r="J171" i="20" s="1"/>
  <c r="K15" i="20"/>
  <c r="K171" i="20" s="1"/>
  <c r="L15" i="20"/>
  <c r="L171" i="20" s="1"/>
  <c r="M15" i="20"/>
  <c r="M171" i="20" s="1"/>
  <c r="N15" i="20"/>
  <c r="N171" i="20" s="1"/>
  <c r="O15" i="20"/>
  <c r="O171" i="20" s="1"/>
  <c r="P15" i="20"/>
  <c r="P171" i="20" s="1"/>
  <c r="Q15" i="20"/>
  <c r="Q171" i="20" s="1"/>
  <c r="R15" i="20"/>
  <c r="R171" i="20" s="1"/>
  <c r="S15" i="20"/>
  <c r="T15" i="20"/>
  <c r="U15" i="20"/>
  <c r="F15" i="20"/>
  <c r="F14" i="20"/>
  <c r="F12" i="20"/>
  <c r="F9" i="20"/>
  <c r="F8" i="20"/>
  <c r="U4" i="38"/>
  <c r="U53" i="19" s="1"/>
  <c r="U353" i="19" s="1"/>
  <c r="U4" i="37"/>
  <c r="U48" i="19" s="1"/>
  <c r="U348" i="19" s="1"/>
  <c r="U4" i="35"/>
  <c r="U35" i="19" s="1"/>
  <c r="U335" i="19" s="1"/>
  <c r="T27" i="21"/>
  <c r="T98" i="21" s="1"/>
  <c r="F164" i="20" l="1"/>
  <c r="Z8" i="20"/>
  <c r="AA8" i="20" s="1"/>
  <c r="F171" i="20"/>
  <c r="Z15" i="20"/>
  <c r="AA15" i="20" s="1"/>
  <c r="U20" i="19"/>
  <c r="U320" i="19" s="1"/>
  <c r="U170" i="20"/>
  <c r="AB14" i="20"/>
  <c r="AC14" i="20" s="1"/>
  <c r="T18" i="19"/>
  <c r="T318" i="19" s="1"/>
  <c r="T168" i="20"/>
  <c r="S15" i="19"/>
  <c r="S315" i="19" s="1"/>
  <c r="S165" i="20"/>
  <c r="F165" i="20"/>
  <c r="Z9" i="20"/>
  <c r="AA9" i="20" s="1"/>
  <c r="U21" i="19"/>
  <c r="U321" i="19" s="1"/>
  <c r="U171" i="20"/>
  <c r="AB15" i="20"/>
  <c r="AC15" i="20" s="1"/>
  <c r="T20" i="19"/>
  <c r="T320" i="19" s="1"/>
  <c r="T170" i="20"/>
  <c r="S18" i="19"/>
  <c r="S318" i="19" s="1"/>
  <c r="S168" i="20"/>
  <c r="U14" i="19"/>
  <c r="U314" i="19" s="1"/>
  <c r="U164" i="20"/>
  <c r="AB8" i="20"/>
  <c r="AC8" i="20" s="1"/>
  <c r="F168" i="20"/>
  <c r="Z12" i="20"/>
  <c r="AA12" i="20" s="1"/>
  <c r="T21" i="19"/>
  <c r="T321" i="19" s="1"/>
  <c r="T171" i="20"/>
  <c r="S20" i="19"/>
  <c r="S320" i="19" s="1"/>
  <c r="S170" i="20"/>
  <c r="U15" i="19"/>
  <c r="U315" i="19" s="1"/>
  <c r="U165" i="20"/>
  <c r="AB9" i="20"/>
  <c r="AC9" i="20" s="1"/>
  <c r="T14" i="19"/>
  <c r="T314" i="19" s="1"/>
  <c r="T164" i="20"/>
  <c r="F170" i="20"/>
  <c r="Z14" i="20"/>
  <c r="AA14" i="20" s="1"/>
  <c r="S21" i="19"/>
  <c r="S321" i="19" s="1"/>
  <c r="S171" i="20"/>
  <c r="U18" i="19"/>
  <c r="U318" i="19" s="1"/>
  <c r="U168" i="20"/>
  <c r="AB12" i="20"/>
  <c r="AC12" i="20" s="1"/>
  <c r="T15" i="19"/>
  <c r="T315" i="19" s="1"/>
  <c r="T165" i="20"/>
  <c r="S14" i="19"/>
  <c r="S314" i="19" s="1"/>
  <c r="S164" i="20"/>
  <c r="U90" i="19"/>
  <c r="U390" i="19" s="1"/>
  <c r="T454" i="41"/>
  <c r="S454" i="41"/>
  <c r="R454" i="41"/>
  <c r="Q454" i="41"/>
  <c r="P454" i="41"/>
  <c r="O454" i="41"/>
  <c r="N454" i="41"/>
  <c r="M454" i="41"/>
  <c r="L454" i="41"/>
  <c r="K454" i="41"/>
  <c r="J454" i="41"/>
  <c r="I454" i="41"/>
  <c r="H454" i="41"/>
  <c r="G454" i="41"/>
  <c r="F454" i="41"/>
  <c r="E454" i="41"/>
  <c r="T453" i="41"/>
  <c r="S453" i="41"/>
  <c r="R453" i="41"/>
  <c r="Q453" i="41"/>
  <c r="P453" i="41"/>
  <c r="O453" i="41"/>
  <c r="N453" i="41"/>
  <c r="M453" i="41"/>
  <c r="L453" i="41"/>
  <c r="K453" i="41"/>
  <c r="J453" i="41"/>
  <c r="I453" i="41"/>
  <c r="H453" i="41"/>
  <c r="G453" i="41"/>
  <c r="F453" i="41"/>
  <c r="E453" i="41"/>
  <c r="T452" i="41"/>
  <c r="S452" i="41"/>
  <c r="R452" i="41"/>
  <c r="Q452" i="41"/>
  <c r="P452" i="41"/>
  <c r="O452" i="41"/>
  <c r="N452" i="41"/>
  <c r="M452" i="41"/>
  <c r="L452" i="41"/>
  <c r="K452" i="41"/>
  <c r="J452" i="41"/>
  <c r="I452" i="41"/>
  <c r="H452" i="41"/>
  <c r="G452" i="41"/>
  <c r="F452" i="41"/>
  <c r="E452" i="41"/>
  <c r="T451" i="41"/>
  <c r="S451" i="41"/>
  <c r="R451" i="41"/>
  <c r="Q451" i="41"/>
  <c r="P451" i="41"/>
  <c r="O451" i="41"/>
  <c r="N451" i="41"/>
  <c r="M451" i="41"/>
  <c r="L451" i="41"/>
  <c r="K451" i="41"/>
  <c r="J451" i="41"/>
  <c r="I451" i="41"/>
  <c r="H451" i="41"/>
  <c r="G451" i="41"/>
  <c r="F451" i="41"/>
  <c r="E451" i="41"/>
  <c r="T479" i="41"/>
  <c r="S479" i="41"/>
  <c r="R479" i="41"/>
  <c r="Q479" i="41"/>
  <c r="P479" i="41"/>
  <c r="O479" i="41"/>
  <c r="N479" i="41"/>
  <c r="M479" i="41"/>
  <c r="L479" i="41"/>
  <c r="K479" i="41"/>
  <c r="J479" i="41"/>
  <c r="I479" i="41"/>
  <c r="H479" i="41"/>
  <c r="G479" i="41"/>
  <c r="F479" i="41"/>
  <c r="E479" i="41"/>
  <c r="T478" i="41"/>
  <c r="S478" i="41"/>
  <c r="R478" i="41"/>
  <c r="Q478" i="41"/>
  <c r="P478" i="41"/>
  <c r="O478" i="41"/>
  <c r="N478" i="41"/>
  <c r="M478" i="41"/>
  <c r="L478" i="41"/>
  <c r="K478" i="41"/>
  <c r="J478" i="41"/>
  <c r="I478" i="41"/>
  <c r="H478" i="41"/>
  <c r="G478" i="41"/>
  <c r="F478" i="41"/>
  <c r="E478" i="41"/>
  <c r="T477" i="41"/>
  <c r="S477" i="41"/>
  <c r="R477" i="41"/>
  <c r="Q477" i="41"/>
  <c r="P477" i="41"/>
  <c r="O477" i="41"/>
  <c r="N477" i="41"/>
  <c r="M477" i="41"/>
  <c r="L477" i="41"/>
  <c r="K477" i="41"/>
  <c r="J477" i="41"/>
  <c r="I477" i="41"/>
  <c r="H477" i="41"/>
  <c r="G477" i="41"/>
  <c r="F477" i="41"/>
  <c r="E477" i="41"/>
  <c r="T476" i="41"/>
  <c r="S476" i="41"/>
  <c r="R476" i="41"/>
  <c r="Q476" i="41"/>
  <c r="P476" i="41"/>
  <c r="O476" i="41"/>
  <c r="N476" i="41"/>
  <c r="M476" i="41"/>
  <c r="L476" i="41"/>
  <c r="K476" i="41"/>
  <c r="J476" i="41"/>
  <c r="I476" i="41"/>
  <c r="H476" i="41"/>
  <c r="G476" i="41"/>
  <c r="F476" i="41"/>
  <c r="E476" i="41"/>
  <c r="T475" i="41"/>
  <c r="S475" i="41"/>
  <c r="R475" i="41"/>
  <c r="Q475" i="41"/>
  <c r="P475" i="41"/>
  <c r="O475" i="41"/>
  <c r="N475" i="41"/>
  <c r="M475" i="41"/>
  <c r="L475" i="41"/>
  <c r="K475" i="41"/>
  <c r="J475" i="41"/>
  <c r="I475" i="41"/>
  <c r="H475" i="41"/>
  <c r="G475" i="41"/>
  <c r="F475" i="41"/>
  <c r="E475" i="41"/>
  <c r="T474" i="41"/>
  <c r="S474" i="41"/>
  <c r="R474" i="41"/>
  <c r="Q474" i="41"/>
  <c r="P474" i="41"/>
  <c r="O474" i="41"/>
  <c r="N474" i="41"/>
  <c r="M474" i="41"/>
  <c r="L474" i="41"/>
  <c r="K474" i="41"/>
  <c r="J474" i="41"/>
  <c r="I474" i="41"/>
  <c r="H474" i="41"/>
  <c r="G474" i="41"/>
  <c r="F474" i="41"/>
  <c r="E474" i="41"/>
  <c r="T464" i="41"/>
  <c r="S464" i="41"/>
  <c r="R464" i="41"/>
  <c r="Q464" i="41"/>
  <c r="P464" i="41"/>
  <c r="O464" i="41"/>
  <c r="N464" i="41"/>
  <c r="M464" i="41"/>
  <c r="L464" i="41"/>
  <c r="K464" i="41"/>
  <c r="J464" i="41"/>
  <c r="I464" i="41"/>
  <c r="H464" i="41"/>
  <c r="G464" i="41"/>
  <c r="F464" i="41"/>
  <c r="E464" i="41"/>
  <c r="T463" i="41"/>
  <c r="S463" i="41"/>
  <c r="R463" i="41"/>
  <c r="Q463" i="41"/>
  <c r="P463" i="41"/>
  <c r="O463" i="41"/>
  <c r="N463" i="41"/>
  <c r="M463" i="41"/>
  <c r="L463" i="41"/>
  <c r="K463" i="41"/>
  <c r="J463" i="41"/>
  <c r="I463" i="41"/>
  <c r="H463" i="41"/>
  <c r="G463" i="41"/>
  <c r="F463" i="41"/>
  <c r="E463" i="41"/>
  <c r="T462" i="41"/>
  <c r="S462" i="41"/>
  <c r="R462" i="41"/>
  <c r="Q462" i="41"/>
  <c r="P462" i="41"/>
  <c r="O462" i="41"/>
  <c r="N462" i="41"/>
  <c r="M462" i="41"/>
  <c r="L462" i="41"/>
  <c r="K462" i="41"/>
  <c r="J462" i="41"/>
  <c r="I462" i="41"/>
  <c r="H462" i="41"/>
  <c r="G462" i="41"/>
  <c r="F462" i="41"/>
  <c r="E462" i="41"/>
  <c r="T461" i="41"/>
  <c r="S461" i="41"/>
  <c r="R461" i="41"/>
  <c r="Q461" i="41"/>
  <c r="P461" i="41"/>
  <c r="O461" i="41"/>
  <c r="N461" i="41"/>
  <c r="M461" i="41"/>
  <c r="L461" i="41"/>
  <c r="K461" i="41"/>
  <c r="J461" i="41"/>
  <c r="I461" i="41"/>
  <c r="H461" i="41"/>
  <c r="G461" i="41"/>
  <c r="F461" i="41"/>
  <c r="E461" i="41"/>
  <c r="T460" i="41"/>
  <c r="S460" i="41"/>
  <c r="R460" i="41"/>
  <c r="Q460" i="41"/>
  <c r="P460" i="41"/>
  <c r="O460" i="41"/>
  <c r="N460" i="41"/>
  <c r="M460" i="41"/>
  <c r="L460" i="41"/>
  <c r="K460" i="41"/>
  <c r="J460" i="41"/>
  <c r="I460" i="41"/>
  <c r="H460" i="41"/>
  <c r="G460" i="41"/>
  <c r="F460" i="41"/>
  <c r="E460" i="41"/>
  <c r="T459" i="41"/>
  <c r="S459" i="41"/>
  <c r="R459" i="41"/>
  <c r="Q459" i="41"/>
  <c r="P459" i="41"/>
  <c r="O459" i="41"/>
  <c r="N459" i="41"/>
  <c r="M459" i="41"/>
  <c r="L459" i="41"/>
  <c r="K459" i="41"/>
  <c r="J459" i="41"/>
  <c r="I459" i="41"/>
  <c r="H459" i="41"/>
  <c r="G459" i="41"/>
  <c r="F459" i="41"/>
  <c r="E459" i="41"/>
  <c r="T449" i="41"/>
  <c r="S449" i="41"/>
  <c r="R449" i="41"/>
  <c r="Q449" i="41"/>
  <c r="P449" i="41"/>
  <c r="O449" i="41"/>
  <c r="N449" i="41"/>
  <c r="M449" i="41"/>
  <c r="L449" i="41"/>
  <c r="K449" i="41"/>
  <c r="J449" i="41"/>
  <c r="I449" i="41"/>
  <c r="H449" i="41"/>
  <c r="G449" i="41"/>
  <c r="F449" i="41"/>
  <c r="E449" i="41"/>
  <c r="T448" i="41"/>
  <c r="S448" i="41"/>
  <c r="R448" i="41"/>
  <c r="Q448" i="41"/>
  <c r="P448" i="41"/>
  <c r="O448" i="41"/>
  <c r="N448" i="41"/>
  <c r="M448" i="41"/>
  <c r="L448" i="41"/>
  <c r="K448" i="41"/>
  <c r="J448" i="41"/>
  <c r="I448" i="41"/>
  <c r="H448" i="41"/>
  <c r="G448" i="41"/>
  <c r="F448" i="41"/>
  <c r="E448" i="41"/>
  <c r="T447" i="41"/>
  <c r="S447" i="41"/>
  <c r="R447" i="41"/>
  <c r="Q447" i="41"/>
  <c r="P447" i="41"/>
  <c r="O447" i="41"/>
  <c r="N447" i="41"/>
  <c r="M447" i="41"/>
  <c r="L447" i="41"/>
  <c r="K447" i="41"/>
  <c r="J447" i="41"/>
  <c r="I447" i="41"/>
  <c r="H447" i="41"/>
  <c r="G447" i="41"/>
  <c r="F447" i="41"/>
  <c r="E447" i="41"/>
  <c r="T446" i="41"/>
  <c r="S446" i="41"/>
  <c r="R446" i="41"/>
  <c r="Q446" i="41"/>
  <c r="P446" i="41"/>
  <c r="O446" i="41"/>
  <c r="N446" i="41"/>
  <c r="M446" i="41"/>
  <c r="L446" i="41"/>
  <c r="K446" i="41"/>
  <c r="J446" i="41"/>
  <c r="I446" i="41"/>
  <c r="H446" i="41"/>
  <c r="G446" i="41"/>
  <c r="F446" i="41"/>
  <c r="E446" i="41"/>
  <c r="T444" i="41"/>
  <c r="S444" i="41"/>
  <c r="R444" i="41"/>
  <c r="Q444" i="41"/>
  <c r="P444" i="41"/>
  <c r="O444" i="41"/>
  <c r="N444" i="41"/>
  <c r="M444" i="41"/>
  <c r="L444" i="41"/>
  <c r="K444" i="41"/>
  <c r="J444" i="41"/>
  <c r="I444" i="41"/>
  <c r="H444" i="41"/>
  <c r="G444" i="41"/>
  <c r="F444" i="41"/>
  <c r="E444" i="41"/>
  <c r="T443" i="41"/>
  <c r="S443" i="41"/>
  <c r="R443" i="41"/>
  <c r="Q443" i="41"/>
  <c r="P443" i="41"/>
  <c r="O443" i="41"/>
  <c r="N443" i="41"/>
  <c r="M443" i="41"/>
  <c r="L443" i="41"/>
  <c r="K443" i="41"/>
  <c r="J443" i="41"/>
  <c r="I443" i="41"/>
  <c r="H443" i="41"/>
  <c r="G443" i="41"/>
  <c r="F443" i="41"/>
  <c r="E443" i="41"/>
  <c r="T442" i="41"/>
  <c r="S442" i="41"/>
  <c r="R442" i="41"/>
  <c r="Q442" i="41"/>
  <c r="P442" i="41"/>
  <c r="O442" i="41"/>
  <c r="N442" i="41"/>
  <c r="M442" i="41"/>
  <c r="L442" i="41"/>
  <c r="K442" i="41"/>
  <c r="J442" i="41"/>
  <c r="I442" i="41"/>
  <c r="H442" i="41"/>
  <c r="G442" i="41"/>
  <c r="F442" i="41"/>
  <c r="E442" i="41"/>
  <c r="T441" i="41"/>
  <c r="S441" i="41"/>
  <c r="R441" i="41"/>
  <c r="Q441" i="41"/>
  <c r="P441" i="41"/>
  <c r="O441" i="41"/>
  <c r="N441" i="41"/>
  <c r="M441" i="41"/>
  <c r="L441" i="41"/>
  <c r="K441" i="41"/>
  <c r="J441" i="41"/>
  <c r="I441" i="41"/>
  <c r="H441" i="41"/>
  <c r="G441" i="41"/>
  <c r="F441" i="41"/>
  <c r="E441" i="41"/>
  <c r="T439" i="41"/>
  <c r="S439" i="41"/>
  <c r="R439" i="41"/>
  <c r="Q439" i="41"/>
  <c r="P439" i="41"/>
  <c r="O439" i="41"/>
  <c r="N439" i="41"/>
  <c r="M439" i="41"/>
  <c r="L439" i="41"/>
  <c r="K439" i="41"/>
  <c r="J439" i="41"/>
  <c r="I439" i="41"/>
  <c r="H439" i="41"/>
  <c r="G439" i="41"/>
  <c r="F439" i="41"/>
  <c r="E439" i="41"/>
  <c r="T438" i="41"/>
  <c r="S438" i="41"/>
  <c r="R438" i="41"/>
  <c r="Q438" i="41"/>
  <c r="P438" i="41"/>
  <c r="O438" i="41"/>
  <c r="N438" i="41"/>
  <c r="M438" i="41"/>
  <c r="L438" i="41"/>
  <c r="K438" i="41"/>
  <c r="J438" i="41"/>
  <c r="I438" i="41"/>
  <c r="H438" i="41"/>
  <c r="G438" i="41"/>
  <c r="F438" i="41"/>
  <c r="E438" i="41"/>
  <c r="T437" i="41"/>
  <c r="S437" i="41"/>
  <c r="R437" i="41"/>
  <c r="Q437" i="41"/>
  <c r="P437" i="41"/>
  <c r="O437" i="41"/>
  <c r="N437" i="41"/>
  <c r="M437" i="41"/>
  <c r="L437" i="41"/>
  <c r="K437" i="41"/>
  <c r="J437" i="41"/>
  <c r="I437" i="41"/>
  <c r="H437" i="41"/>
  <c r="G437" i="41"/>
  <c r="F437" i="41"/>
  <c r="E437" i="41"/>
  <c r="T436" i="41"/>
  <c r="S436" i="41"/>
  <c r="R436" i="41"/>
  <c r="Q436" i="41"/>
  <c r="P436" i="41"/>
  <c r="O436" i="41"/>
  <c r="N436" i="41"/>
  <c r="M436" i="41"/>
  <c r="L436" i="41"/>
  <c r="K436" i="41"/>
  <c r="J436" i="41"/>
  <c r="I436" i="41"/>
  <c r="H436" i="41"/>
  <c r="G436" i="41"/>
  <c r="F436" i="41"/>
  <c r="E436" i="41"/>
  <c r="T434" i="41"/>
  <c r="S434" i="41"/>
  <c r="R434" i="41"/>
  <c r="Q434" i="41"/>
  <c r="P434" i="41"/>
  <c r="O434" i="41"/>
  <c r="N434" i="41"/>
  <c r="M434" i="41"/>
  <c r="L434" i="41"/>
  <c r="K434" i="41"/>
  <c r="J434" i="41"/>
  <c r="I434" i="41"/>
  <c r="H434" i="41"/>
  <c r="G434" i="41"/>
  <c r="F434" i="41"/>
  <c r="E434" i="41"/>
  <c r="T433" i="41"/>
  <c r="S433" i="41"/>
  <c r="R433" i="41"/>
  <c r="Q433" i="41"/>
  <c r="P433" i="41"/>
  <c r="O433" i="41"/>
  <c r="N433" i="41"/>
  <c r="M433" i="41"/>
  <c r="L433" i="41"/>
  <c r="K433" i="41"/>
  <c r="J433" i="41"/>
  <c r="I433" i="41"/>
  <c r="H433" i="41"/>
  <c r="G433" i="41"/>
  <c r="F433" i="41"/>
  <c r="E433" i="41"/>
  <c r="T432" i="41"/>
  <c r="S432" i="41"/>
  <c r="R432" i="41"/>
  <c r="Q432" i="41"/>
  <c r="P432" i="41"/>
  <c r="O432" i="41"/>
  <c r="N432" i="41"/>
  <c r="M432" i="41"/>
  <c r="L432" i="41"/>
  <c r="K432" i="41"/>
  <c r="J432" i="41"/>
  <c r="I432" i="41"/>
  <c r="H432" i="41"/>
  <c r="G432" i="41"/>
  <c r="F432" i="41"/>
  <c r="E432" i="41"/>
  <c r="T431" i="41"/>
  <c r="S431" i="41"/>
  <c r="R431" i="41"/>
  <c r="Q431" i="41"/>
  <c r="P431" i="41"/>
  <c r="O431" i="41"/>
  <c r="N431" i="41"/>
  <c r="M431" i="41"/>
  <c r="L431" i="41"/>
  <c r="K431" i="41"/>
  <c r="J431" i="41"/>
  <c r="I431" i="41"/>
  <c r="H431" i="41"/>
  <c r="G431" i="41"/>
  <c r="F431" i="41"/>
  <c r="E431" i="41"/>
  <c r="T429" i="41"/>
  <c r="S429" i="41"/>
  <c r="R429" i="41"/>
  <c r="Q429" i="41"/>
  <c r="P429" i="41"/>
  <c r="O429" i="41"/>
  <c r="N429" i="41"/>
  <c r="M429" i="41"/>
  <c r="L429" i="41"/>
  <c r="K429" i="41"/>
  <c r="J429" i="41"/>
  <c r="I429" i="41"/>
  <c r="H429" i="41"/>
  <c r="G429" i="41"/>
  <c r="F429" i="41"/>
  <c r="E429" i="41"/>
  <c r="T428" i="41"/>
  <c r="S428" i="41"/>
  <c r="R428" i="41"/>
  <c r="Q428" i="41"/>
  <c r="P428" i="41"/>
  <c r="O428" i="41"/>
  <c r="N428" i="41"/>
  <c r="M428" i="41"/>
  <c r="L428" i="41"/>
  <c r="K428" i="41"/>
  <c r="J428" i="41"/>
  <c r="I428" i="41"/>
  <c r="H428" i="41"/>
  <c r="G428" i="41"/>
  <c r="F428" i="41"/>
  <c r="E428" i="41"/>
  <c r="T427" i="41"/>
  <c r="S427" i="41"/>
  <c r="R427" i="41"/>
  <c r="Q427" i="41"/>
  <c r="P427" i="41"/>
  <c r="O427" i="41"/>
  <c r="N427" i="41"/>
  <c r="M427" i="41"/>
  <c r="L427" i="41"/>
  <c r="K427" i="41"/>
  <c r="J427" i="41"/>
  <c r="I427" i="41"/>
  <c r="H427" i="41"/>
  <c r="G427" i="41"/>
  <c r="F427" i="41"/>
  <c r="E427" i="41"/>
  <c r="T426" i="41"/>
  <c r="S426" i="41"/>
  <c r="R426" i="41"/>
  <c r="Q426" i="41"/>
  <c r="P426" i="41"/>
  <c r="O426" i="41"/>
  <c r="N426" i="41"/>
  <c r="M426" i="41"/>
  <c r="L426" i="41"/>
  <c r="K426" i="41"/>
  <c r="J426" i="41"/>
  <c r="I426" i="41"/>
  <c r="H426" i="41"/>
  <c r="G426" i="41"/>
  <c r="F426" i="41"/>
  <c r="E426" i="41"/>
  <c r="T423" i="41"/>
  <c r="S423" i="41"/>
  <c r="R423" i="41"/>
  <c r="Q423" i="41"/>
  <c r="P423" i="41"/>
  <c r="O423" i="41"/>
  <c r="N423" i="41"/>
  <c r="M423" i="41"/>
  <c r="L423" i="41"/>
  <c r="K423" i="41"/>
  <c r="J423" i="41"/>
  <c r="I423" i="41"/>
  <c r="H423" i="41"/>
  <c r="G423" i="41"/>
  <c r="F423" i="41"/>
  <c r="E423" i="41"/>
  <c r="T422" i="41"/>
  <c r="S422" i="41"/>
  <c r="R422" i="41"/>
  <c r="Q422" i="41"/>
  <c r="P422" i="41"/>
  <c r="O422" i="41"/>
  <c r="N422" i="41"/>
  <c r="M422" i="41"/>
  <c r="L422" i="41"/>
  <c r="K422" i="41"/>
  <c r="J422" i="41"/>
  <c r="I422" i="41"/>
  <c r="H422" i="41"/>
  <c r="G422" i="41"/>
  <c r="F422" i="41"/>
  <c r="E422" i="41"/>
  <c r="T421" i="41"/>
  <c r="S421" i="41"/>
  <c r="R421" i="41"/>
  <c r="Q421" i="41"/>
  <c r="P421" i="41"/>
  <c r="O421" i="41"/>
  <c r="N421" i="41"/>
  <c r="M421" i="41"/>
  <c r="L421" i="41"/>
  <c r="K421" i="41"/>
  <c r="J421" i="41"/>
  <c r="I421" i="41"/>
  <c r="H421" i="41"/>
  <c r="G421" i="41"/>
  <c r="F421" i="41"/>
  <c r="E421" i="41"/>
  <c r="T420" i="41"/>
  <c r="S420" i="41"/>
  <c r="R420" i="41"/>
  <c r="Q420" i="41"/>
  <c r="P420" i="41"/>
  <c r="O420" i="41"/>
  <c r="N420" i="41"/>
  <c r="M420" i="41"/>
  <c r="L420" i="41"/>
  <c r="K420" i="41"/>
  <c r="J420" i="41"/>
  <c r="I420" i="41"/>
  <c r="H420" i="41"/>
  <c r="G420" i="41"/>
  <c r="F420" i="41"/>
  <c r="E420" i="41"/>
  <c r="T418" i="41"/>
  <c r="S418" i="41"/>
  <c r="R418" i="41"/>
  <c r="Q418" i="41"/>
  <c r="P418" i="41"/>
  <c r="O418" i="41"/>
  <c r="N418" i="41"/>
  <c r="M418" i="41"/>
  <c r="L418" i="41"/>
  <c r="K418" i="41"/>
  <c r="J418" i="41"/>
  <c r="I418" i="41"/>
  <c r="H418" i="41"/>
  <c r="G418" i="41"/>
  <c r="F418" i="41"/>
  <c r="E418" i="41"/>
  <c r="T417" i="41"/>
  <c r="S417" i="41"/>
  <c r="R417" i="41"/>
  <c r="Q417" i="41"/>
  <c r="P417" i="41"/>
  <c r="O417" i="41"/>
  <c r="N417" i="41"/>
  <c r="M417" i="41"/>
  <c r="L417" i="41"/>
  <c r="K417" i="41"/>
  <c r="J417" i="41"/>
  <c r="I417" i="41"/>
  <c r="H417" i="41"/>
  <c r="G417" i="41"/>
  <c r="F417" i="41"/>
  <c r="E417" i="41"/>
  <c r="T416" i="41"/>
  <c r="S416" i="41"/>
  <c r="R416" i="41"/>
  <c r="Q416" i="41"/>
  <c r="P416" i="41"/>
  <c r="O416" i="41"/>
  <c r="N416" i="41"/>
  <c r="M416" i="41"/>
  <c r="L416" i="41"/>
  <c r="K416" i="41"/>
  <c r="J416" i="41"/>
  <c r="I416" i="41"/>
  <c r="H416" i="41"/>
  <c r="G416" i="41"/>
  <c r="F416" i="41"/>
  <c r="E416" i="41"/>
  <c r="T415" i="41"/>
  <c r="S415" i="41"/>
  <c r="R415" i="41"/>
  <c r="Q415" i="41"/>
  <c r="P415" i="41"/>
  <c r="O415" i="41"/>
  <c r="N415" i="41"/>
  <c r="M415" i="41"/>
  <c r="L415" i="41"/>
  <c r="K415" i="41"/>
  <c r="J415" i="41"/>
  <c r="I415" i="41"/>
  <c r="H415" i="41"/>
  <c r="G415" i="41"/>
  <c r="F415" i="41"/>
  <c r="E415" i="41"/>
  <c r="T413" i="41"/>
  <c r="S413" i="41"/>
  <c r="R413" i="41"/>
  <c r="Q413" i="41"/>
  <c r="P413" i="41"/>
  <c r="O413" i="41"/>
  <c r="N413" i="41"/>
  <c r="M413" i="41"/>
  <c r="L413" i="41"/>
  <c r="K413" i="41"/>
  <c r="J413" i="41"/>
  <c r="I413" i="41"/>
  <c r="H413" i="41"/>
  <c r="G413" i="41"/>
  <c r="F413" i="41"/>
  <c r="E413" i="41"/>
  <c r="T412" i="41"/>
  <c r="S412" i="41"/>
  <c r="R412" i="41"/>
  <c r="Q412" i="41"/>
  <c r="P412" i="41"/>
  <c r="O412" i="41"/>
  <c r="N412" i="41"/>
  <c r="M412" i="41"/>
  <c r="L412" i="41"/>
  <c r="K412" i="41"/>
  <c r="J412" i="41"/>
  <c r="I412" i="41"/>
  <c r="H412" i="41"/>
  <c r="G412" i="41"/>
  <c r="F412" i="41"/>
  <c r="E412" i="41"/>
  <c r="T411" i="41"/>
  <c r="S411" i="41"/>
  <c r="R411" i="41"/>
  <c r="Q411" i="41"/>
  <c r="P411" i="41"/>
  <c r="O411" i="41"/>
  <c r="N411" i="41"/>
  <c r="M411" i="41"/>
  <c r="L411" i="41"/>
  <c r="K411" i="41"/>
  <c r="J411" i="41"/>
  <c r="I411" i="41"/>
  <c r="H411" i="41"/>
  <c r="G411" i="41"/>
  <c r="F411" i="41"/>
  <c r="E411" i="41"/>
  <c r="T410" i="41"/>
  <c r="S410" i="41"/>
  <c r="R410" i="41"/>
  <c r="Q410" i="41"/>
  <c r="P410" i="41"/>
  <c r="O410" i="41"/>
  <c r="N410" i="41"/>
  <c r="M410" i="41"/>
  <c r="L410" i="41"/>
  <c r="K410" i="41"/>
  <c r="J410" i="41"/>
  <c r="I410" i="41"/>
  <c r="H410" i="41"/>
  <c r="G410" i="41"/>
  <c r="F410" i="41"/>
  <c r="E410" i="41"/>
  <c r="T408" i="41"/>
  <c r="S408" i="41"/>
  <c r="R408" i="41"/>
  <c r="Q408" i="41"/>
  <c r="P408" i="41"/>
  <c r="O408" i="41"/>
  <c r="N408" i="41"/>
  <c r="M408" i="41"/>
  <c r="L408" i="41"/>
  <c r="K408" i="41"/>
  <c r="J408" i="41"/>
  <c r="I408" i="41"/>
  <c r="H408" i="41"/>
  <c r="G408" i="41"/>
  <c r="F408" i="41"/>
  <c r="E408" i="41"/>
  <c r="T407" i="41"/>
  <c r="S407" i="41"/>
  <c r="R407" i="41"/>
  <c r="Q407" i="41"/>
  <c r="P407" i="41"/>
  <c r="O407" i="41"/>
  <c r="N407" i="41"/>
  <c r="M407" i="41"/>
  <c r="L407" i="41"/>
  <c r="K407" i="41"/>
  <c r="J407" i="41"/>
  <c r="I407" i="41"/>
  <c r="H407" i="41"/>
  <c r="G407" i="41"/>
  <c r="F407" i="41"/>
  <c r="E407" i="41"/>
  <c r="T406" i="41"/>
  <c r="S406" i="41"/>
  <c r="R406" i="41"/>
  <c r="Q406" i="41"/>
  <c r="P406" i="41"/>
  <c r="O406" i="41"/>
  <c r="N406" i="41"/>
  <c r="M406" i="41"/>
  <c r="L406" i="41"/>
  <c r="K406" i="41"/>
  <c r="J406" i="41"/>
  <c r="I406" i="41"/>
  <c r="H406" i="41"/>
  <c r="G406" i="41"/>
  <c r="F406" i="41"/>
  <c r="E406" i="41"/>
  <c r="T405" i="41"/>
  <c r="S405" i="41"/>
  <c r="R405" i="41"/>
  <c r="Q405" i="41"/>
  <c r="P405" i="41"/>
  <c r="O405" i="41"/>
  <c r="N405" i="41"/>
  <c r="M405" i="41"/>
  <c r="L405" i="41"/>
  <c r="K405" i="41"/>
  <c r="J405" i="41"/>
  <c r="I405" i="41"/>
  <c r="H405" i="41"/>
  <c r="G405" i="41"/>
  <c r="F405" i="41"/>
  <c r="E405" i="41"/>
  <c r="T403" i="41"/>
  <c r="S403" i="41"/>
  <c r="R403" i="41"/>
  <c r="Q403" i="41"/>
  <c r="P403" i="41"/>
  <c r="O403" i="41"/>
  <c r="N403" i="41"/>
  <c r="M403" i="41"/>
  <c r="L403" i="41"/>
  <c r="K403" i="41"/>
  <c r="J403" i="41"/>
  <c r="I403" i="41"/>
  <c r="H403" i="41"/>
  <c r="G403" i="41"/>
  <c r="F403" i="41"/>
  <c r="E403" i="41"/>
  <c r="T402" i="41"/>
  <c r="S402" i="41"/>
  <c r="R402" i="41"/>
  <c r="Q402" i="41"/>
  <c r="P402" i="41"/>
  <c r="O402" i="41"/>
  <c r="N402" i="41"/>
  <c r="M402" i="41"/>
  <c r="L402" i="41"/>
  <c r="K402" i="41"/>
  <c r="J402" i="41"/>
  <c r="I402" i="41"/>
  <c r="H402" i="41"/>
  <c r="G402" i="41"/>
  <c r="F402" i="41"/>
  <c r="E402" i="41"/>
  <c r="T401" i="41"/>
  <c r="S401" i="41"/>
  <c r="R401" i="41"/>
  <c r="Q401" i="41"/>
  <c r="P401" i="41"/>
  <c r="O401" i="41"/>
  <c r="N401" i="41"/>
  <c r="M401" i="41"/>
  <c r="L401" i="41"/>
  <c r="K401" i="41"/>
  <c r="J401" i="41"/>
  <c r="I401" i="41"/>
  <c r="H401" i="41"/>
  <c r="G401" i="41"/>
  <c r="F401" i="41"/>
  <c r="E401" i="41"/>
  <c r="T400" i="41"/>
  <c r="S400" i="41"/>
  <c r="R400" i="41"/>
  <c r="Q400" i="41"/>
  <c r="P400" i="41"/>
  <c r="O400" i="41"/>
  <c r="N400" i="41"/>
  <c r="M400" i="41"/>
  <c r="L400" i="41"/>
  <c r="K400" i="41"/>
  <c r="J400" i="41"/>
  <c r="I400" i="41"/>
  <c r="H400" i="41"/>
  <c r="G400" i="41"/>
  <c r="F400" i="41"/>
  <c r="E400" i="41"/>
  <c r="T398" i="41"/>
  <c r="S398" i="41"/>
  <c r="R398" i="41"/>
  <c r="Q398" i="41"/>
  <c r="P398" i="41"/>
  <c r="O398" i="41"/>
  <c r="N398" i="41"/>
  <c r="M398" i="41"/>
  <c r="L398" i="41"/>
  <c r="K398" i="41"/>
  <c r="J398" i="41"/>
  <c r="I398" i="41"/>
  <c r="H398" i="41"/>
  <c r="G398" i="41"/>
  <c r="F398" i="41"/>
  <c r="E398" i="41"/>
  <c r="T397" i="41"/>
  <c r="S397" i="41"/>
  <c r="R397" i="41"/>
  <c r="Q397" i="41"/>
  <c r="P397" i="41"/>
  <c r="O397" i="41"/>
  <c r="N397" i="41"/>
  <c r="M397" i="41"/>
  <c r="L397" i="41"/>
  <c r="K397" i="41"/>
  <c r="J397" i="41"/>
  <c r="I397" i="41"/>
  <c r="H397" i="41"/>
  <c r="G397" i="41"/>
  <c r="F397" i="41"/>
  <c r="E397" i="41"/>
  <c r="T396" i="41"/>
  <c r="S396" i="41"/>
  <c r="R396" i="41"/>
  <c r="Q396" i="41"/>
  <c r="P396" i="41"/>
  <c r="O396" i="41"/>
  <c r="N396" i="41"/>
  <c r="M396" i="41"/>
  <c r="L396" i="41"/>
  <c r="K396" i="41"/>
  <c r="J396" i="41"/>
  <c r="I396" i="41"/>
  <c r="H396" i="41"/>
  <c r="G396" i="41"/>
  <c r="F396" i="41"/>
  <c r="E396" i="41"/>
  <c r="T395" i="41"/>
  <c r="S395" i="41"/>
  <c r="R395" i="41"/>
  <c r="Q395" i="41"/>
  <c r="P395" i="41"/>
  <c r="O395" i="41"/>
  <c r="N395" i="41"/>
  <c r="M395" i="41"/>
  <c r="L395" i="41"/>
  <c r="K395" i="41"/>
  <c r="J395" i="41"/>
  <c r="I395" i="41"/>
  <c r="H395" i="41"/>
  <c r="G395" i="41"/>
  <c r="F395" i="41"/>
  <c r="E395" i="41"/>
  <c r="T390" i="41"/>
  <c r="S390" i="41"/>
  <c r="R390" i="41"/>
  <c r="Q390" i="41"/>
  <c r="P390" i="41"/>
  <c r="O390" i="41"/>
  <c r="N390" i="41"/>
  <c r="M390" i="41"/>
  <c r="L390" i="41"/>
  <c r="K390" i="41"/>
  <c r="J390" i="41"/>
  <c r="I390" i="41"/>
  <c r="H390" i="41"/>
  <c r="G390" i="41"/>
  <c r="F390" i="41"/>
  <c r="E390" i="41"/>
  <c r="T389" i="41"/>
  <c r="S389" i="41"/>
  <c r="R389" i="41"/>
  <c r="Q389" i="41"/>
  <c r="P389" i="41"/>
  <c r="O389" i="41"/>
  <c r="N389" i="41"/>
  <c r="M389" i="41"/>
  <c r="L389" i="41"/>
  <c r="K389" i="41"/>
  <c r="J389" i="41"/>
  <c r="I389" i="41"/>
  <c r="H389" i="41"/>
  <c r="G389" i="41"/>
  <c r="F389" i="41"/>
  <c r="E389" i="41"/>
  <c r="T388" i="41"/>
  <c r="S388" i="41"/>
  <c r="R388" i="41"/>
  <c r="Q388" i="41"/>
  <c r="P388" i="41"/>
  <c r="O388" i="41"/>
  <c r="N388" i="41"/>
  <c r="M388" i="41"/>
  <c r="L388" i="41"/>
  <c r="K388" i="41"/>
  <c r="J388" i="41"/>
  <c r="I388" i="41"/>
  <c r="H388" i="41"/>
  <c r="G388" i="41"/>
  <c r="F388" i="41"/>
  <c r="E388" i="41"/>
  <c r="T386" i="41"/>
  <c r="S386" i="41"/>
  <c r="R386" i="41"/>
  <c r="Q386" i="41"/>
  <c r="P386" i="41"/>
  <c r="O386" i="41"/>
  <c r="N386" i="41"/>
  <c r="M386" i="41"/>
  <c r="L386" i="41"/>
  <c r="K386" i="41"/>
  <c r="J386" i="41"/>
  <c r="I386" i="41"/>
  <c r="H386" i="41"/>
  <c r="G386" i="41"/>
  <c r="F386" i="41"/>
  <c r="E386" i="41"/>
  <c r="T385" i="41"/>
  <c r="S385" i="41"/>
  <c r="R385" i="41"/>
  <c r="Q385" i="41"/>
  <c r="P385" i="41"/>
  <c r="O385" i="41"/>
  <c r="N385" i="41"/>
  <c r="M385" i="41"/>
  <c r="L385" i="41"/>
  <c r="K385" i="41"/>
  <c r="J385" i="41"/>
  <c r="I385" i="41"/>
  <c r="H385" i="41"/>
  <c r="G385" i="41"/>
  <c r="F385" i="41"/>
  <c r="E385" i="41"/>
  <c r="T384" i="41"/>
  <c r="S384" i="41"/>
  <c r="R384" i="41"/>
  <c r="Q384" i="41"/>
  <c r="P384" i="41"/>
  <c r="O384" i="41"/>
  <c r="N384" i="41"/>
  <c r="M384" i="41"/>
  <c r="L384" i="41"/>
  <c r="K384" i="41"/>
  <c r="J384" i="41"/>
  <c r="I384" i="41"/>
  <c r="H384" i="41"/>
  <c r="G384" i="41"/>
  <c r="F384" i="41"/>
  <c r="E384" i="41"/>
  <c r="T382" i="41"/>
  <c r="S382" i="41"/>
  <c r="R382" i="41"/>
  <c r="Q382" i="41"/>
  <c r="P382" i="41"/>
  <c r="O382" i="41"/>
  <c r="N382" i="41"/>
  <c r="M382" i="41"/>
  <c r="L382" i="41"/>
  <c r="K382" i="41"/>
  <c r="J382" i="41"/>
  <c r="I382" i="41"/>
  <c r="H382" i="41"/>
  <c r="G382" i="41"/>
  <c r="F382" i="41"/>
  <c r="E382" i="41"/>
  <c r="T381" i="41"/>
  <c r="S381" i="41"/>
  <c r="R381" i="41"/>
  <c r="Q381" i="41"/>
  <c r="P381" i="41"/>
  <c r="O381" i="41"/>
  <c r="N381" i="41"/>
  <c r="M381" i="41"/>
  <c r="L381" i="41"/>
  <c r="K381" i="41"/>
  <c r="J381" i="41"/>
  <c r="I381" i="41"/>
  <c r="H381" i="41"/>
  <c r="G381" i="41"/>
  <c r="F381" i="41"/>
  <c r="E381" i="41"/>
  <c r="T380" i="41"/>
  <c r="S380" i="41"/>
  <c r="R380" i="41"/>
  <c r="Q380" i="41"/>
  <c r="P380" i="41"/>
  <c r="O380" i="41"/>
  <c r="N380" i="41"/>
  <c r="M380" i="41"/>
  <c r="L380" i="41"/>
  <c r="K380" i="41"/>
  <c r="J380" i="41"/>
  <c r="I380" i="41"/>
  <c r="H380" i="41"/>
  <c r="G380" i="41"/>
  <c r="F380" i="41"/>
  <c r="E380" i="41"/>
  <c r="T378" i="41"/>
  <c r="S378" i="41"/>
  <c r="R378" i="41"/>
  <c r="Q378" i="41"/>
  <c r="P378" i="41"/>
  <c r="O378" i="41"/>
  <c r="N378" i="41"/>
  <c r="M378" i="41"/>
  <c r="L378" i="41"/>
  <c r="K378" i="41"/>
  <c r="J378" i="41"/>
  <c r="I378" i="41"/>
  <c r="H378" i="41"/>
  <c r="G378" i="41"/>
  <c r="F378" i="41"/>
  <c r="E378" i="41"/>
  <c r="T377" i="41"/>
  <c r="S377" i="41"/>
  <c r="R377" i="41"/>
  <c r="Q377" i="41"/>
  <c r="P377" i="41"/>
  <c r="O377" i="41"/>
  <c r="N377" i="41"/>
  <c r="M377" i="41"/>
  <c r="L377" i="41"/>
  <c r="K377" i="41"/>
  <c r="J377" i="41"/>
  <c r="I377" i="41"/>
  <c r="H377" i="41"/>
  <c r="G377" i="41"/>
  <c r="F377" i="41"/>
  <c r="E377" i="41"/>
  <c r="T376" i="41"/>
  <c r="S376" i="41"/>
  <c r="R376" i="41"/>
  <c r="Q376" i="41"/>
  <c r="P376" i="41"/>
  <c r="O376" i="41"/>
  <c r="N376" i="41"/>
  <c r="M376" i="41"/>
  <c r="L376" i="41"/>
  <c r="K376" i="41"/>
  <c r="J376" i="41"/>
  <c r="I376" i="41"/>
  <c r="H376" i="41"/>
  <c r="G376" i="41"/>
  <c r="F376" i="41"/>
  <c r="E376" i="41"/>
  <c r="T374" i="41"/>
  <c r="S374" i="41"/>
  <c r="R374" i="41"/>
  <c r="Q374" i="41"/>
  <c r="P374" i="41"/>
  <c r="O374" i="41"/>
  <c r="N374" i="41"/>
  <c r="M374" i="41"/>
  <c r="L374" i="41"/>
  <c r="K374" i="41"/>
  <c r="J374" i="41"/>
  <c r="I374" i="41"/>
  <c r="H374" i="41"/>
  <c r="G374" i="41"/>
  <c r="F374" i="41"/>
  <c r="E374" i="41"/>
  <c r="T373" i="41"/>
  <c r="S373" i="41"/>
  <c r="R373" i="41"/>
  <c r="Q373" i="41"/>
  <c r="P373" i="41"/>
  <c r="O373" i="41"/>
  <c r="N373" i="41"/>
  <c r="M373" i="41"/>
  <c r="L373" i="41"/>
  <c r="K373" i="41"/>
  <c r="J373" i="41"/>
  <c r="I373" i="41"/>
  <c r="H373" i="41"/>
  <c r="G373" i="41"/>
  <c r="F373" i="41"/>
  <c r="E373" i="41"/>
  <c r="T372" i="41"/>
  <c r="S372" i="41"/>
  <c r="R372" i="41"/>
  <c r="Q372" i="41"/>
  <c r="P372" i="41"/>
  <c r="O372" i="41"/>
  <c r="N372" i="41"/>
  <c r="M372" i="41"/>
  <c r="L372" i="41"/>
  <c r="K372" i="41"/>
  <c r="J372" i="41"/>
  <c r="I372" i="41"/>
  <c r="H372" i="41"/>
  <c r="G372" i="41"/>
  <c r="F372" i="41"/>
  <c r="E372" i="41"/>
  <c r="T370" i="41"/>
  <c r="S370" i="41"/>
  <c r="R370" i="41"/>
  <c r="Q370" i="41"/>
  <c r="P370" i="41"/>
  <c r="O370" i="41"/>
  <c r="N370" i="41"/>
  <c r="M370" i="41"/>
  <c r="L370" i="41"/>
  <c r="K370" i="41"/>
  <c r="J370" i="41"/>
  <c r="I370" i="41"/>
  <c r="H370" i="41"/>
  <c r="G370" i="41"/>
  <c r="F370" i="41"/>
  <c r="E370" i="41"/>
  <c r="T369" i="41"/>
  <c r="S369" i="41"/>
  <c r="R369" i="41"/>
  <c r="Q369" i="41"/>
  <c r="P369" i="41"/>
  <c r="O369" i="41"/>
  <c r="N369" i="41"/>
  <c r="M369" i="41"/>
  <c r="L369" i="41"/>
  <c r="K369" i="41"/>
  <c r="J369" i="41"/>
  <c r="I369" i="41"/>
  <c r="H369" i="41"/>
  <c r="G369" i="41"/>
  <c r="F369" i="41"/>
  <c r="E369" i="41"/>
  <c r="T368" i="41"/>
  <c r="S368" i="41"/>
  <c r="R368" i="41"/>
  <c r="Q368" i="41"/>
  <c r="P368" i="41"/>
  <c r="O368" i="41"/>
  <c r="N368" i="41"/>
  <c r="M368" i="41"/>
  <c r="L368" i="41"/>
  <c r="K368" i="41"/>
  <c r="J368" i="41"/>
  <c r="I368" i="41"/>
  <c r="H368" i="41"/>
  <c r="G368" i="41"/>
  <c r="F368" i="41"/>
  <c r="E368" i="41"/>
  <c r="T365" i="41"/>
  <c r="S365" i="41"/>
  <c r="R365" i="41"/>
  <c r="Q365" i="41"/>
  <c r="P365" i="41"/>
  <c r="O365" i="41"/>
  <c r="N365" i="41"/>
  <c r="M365" i="41"/>
  <c r="L365" i="41"/>
  <c r="K365" i="41"/>
  <c r="J365" i="41"/>
  <c r="I365" i="41"/>
  <c r="H365" i="41"/>
  <c r="G365" i="41"/>
  <c r="F365" i="41"/>
  <c r="E365" i="41"/>
  <c r="T364" i="41"/>
  <c r="S364" i="41"/>
  <c r="R364" i="41"/>
  <c r="Q364" i="41"/>
  <c r="P364" i="41"/>
  <c r="O364" i="41"/>
  <c r="N364" i="41"/>
  <c r="M364" i="41"/>
  <c r="L364" i="41"/>
  <c r="K364" i="41"/>
  <c r="J364" i="41"/>
  <c r="I364" i="41"/>
  <c r="H364" i="41"/>
  <c r="G364" i="41"/>
  <c r="F364" i="41"/>
  <c r="E364" i="41"/>
  <c r="T363" i="41"/>
  <c r="S363" i="41"/>
  <c r="R363" i="41"/>
  <c r="Q363" i="41"/>
  <c r="P363" i="41"/>
  <c r="O363" i="41"/>
  <c r="N363" i="41"/>
  <c r="M363" i="41"/>
  <c r="L363" i="41"/>
  <c r="K363" i="41"/>
  <c r="J363" i="41"/>
  <c r="I363" i="41"/>
  <c r="H363" i="41"/>
  <c r="G363" i="41"/>
  <c r="F363" i="41"/>
  <c r="E363" i="41"/>
  <c r="T361" i="41"/>
  <c r="S361" i="41"/>
  <c r="R361" i="41"/>
  <c r="Q361" i="41"/>
  <c r="P361" i="41"/>
  <c r="O361" i="41"/>
  <c r="N361" i="41"/>
  <c r="M361" i="41"/>
  <c r="L361" i="41"/>
  <c r="K361" i="41"/>
  <c r="J361" i="41"/>
  <c r="I361" i="41"/>
  <c r="H361" i="41"/>
  <c r="G361" i="41"/>
  <c r="F361" i="41"/>
  <c r="E361" i="41"/>
  <c r="T360" i="41"/>
  <c r="S360" i="41"/>
  <c r="R360" i="41"/>
  <c r="Q360" i="41"/>
  <c r="P360" i="41"/>
  <c r="O360" i="41"/>
  <c r="N360" i="41"/>
  <c r="M360" i="41"/>
  <c r="L360" i="41"/>
  <c r="K360" i="41"/>
  <c r="J360" i="41"/>
  <c r="I360" i="41"/>
  <c r="H360" i="41"/>
  <c r="G360" i="41"/>
  <c r="F360" i="41"/>
  <c r="E360" i="41"/>
  <c r="T359" i="41"/>
  <c r="S359" i="41"/>
  <c r="R359" i="41"/>
  <c r="Q359" i="41"/>
  <c r="P359" i="41"/>
  <c r="O359" i="41"/>
  <c r="N359" i="41"/>
  <c r="M359" i="41"/>
  <c r="L359" i="41"/>
  <c r="K359" i="41"/>
  <c r="J359" i="41"/>
  <c r="I359" i="41"/>
  <c r="H359" i="41"/>
  <c r="G359" i="41"/>
  <c r="F359" i="41"/>
  <c r="E359" i="41"/>
  <c r="T357" i="41"/>
  <c r="S357" i="41"/>
  <c r="R357" i="41"/>
  <c r="Q357" i="41"/>
  <c r="P357" i="41"/>
  <c r="O357" i="41"/>
  <c r="N357" i="41"/>
  <c r="M357" i="41"/>
  <c r="L357" i="41"/>
  <c r="K357" i="41"/>
  <c r="J357" i="41"/>
  <c r="I357" i="41"/>
  <c r="H357" i="41"/>
  <c r="G357" i="41"/>
  <c r="F357" i="41"/>
  <c r="E357" i="41"/>
  <c r="T356" i="41"/>
  <c r="S356" i="41"/>
  <c r="R356" i="41"/>
  <c r="Q356" i="41"/>
  <c r="P356" i="41"/>
  <c r="O356" i="41"/>
  <c r="N356" i="41"/>
  <c r="M356" i="41"/>
  <c r="L356" i="41"/>
  <c r="K356" i="41"/>
  <c r="J356" i="41"/>
  <c r="I356" i="41"/>
  <c r="H356" i="41"/>
  <c r="G356" i="41"/>
  <c r="F356" i="41"/>
  <c r="E356" i="41"/>
  <c r="T355" i="41"/>
  <c r="S355" i="41"/>
  <c r="R355" i="41"/>
  <c r="Q355" i="41"/>
  <c r="P355" i="41"/>
  <c r="O355" i="41"/>
  <c r="N355" i="41"/>
  <c r="M355" i="41"/>
  <c r="L355" i="41"/>
  <c r="K355" i="41"/>
  <c r="J355" i="41"/>
  <c r="I355" i="41"/>
  <c r="H355" i="41"/>
  <c r="G355" i="41"/>
  <c r="F355" i="41"/>
  <c r="E355" i="41"/>
  <c r="T353" i="41"/>
  <c r="S353" i="41"/>
  <c r="R353" i="41"/>
  <c r="Q353" i="41"/>
  <c r="P353" i="41"/>
  <c r="O353" i="41"/>
  <c r="N353" i="41"/>
  <c r="M353" i="41"/>
  <c r="L353" i="41"/>
  <c r="K353" i="41"/>
  <c r="J353" i="41"/>
  <c r="I353" i="41"/>
  <c r="H353" i="41"/>
  <c r="G353" i="41"/>
  <c r="F353" i="41"/>
  <c r="E353" i="41"/>
  <c r="T352" i="41"/>
  <c r="S352" i="41"/>
  <c r="R352" i="41"/>
  <c r="Q352" i="41"/>
  <c r="P352" i="41"/>
  <c r="O352" i="41"/>
  <c r="N352" i="41"/>
  <c r="M352" i="41"/>
  <c r="L352" i="41"/>
  <c r="K352" i="41"/>
  <c r="J352" i="41"/>
  <c r="I352" i="41"/>
  <c r="H352" i="41"/>
  <c r="G352" i="41"/>
  <c r="F352" i="41"/>
  <c r="E352" i="41"/>
  <c r="T351" i="41"/>
  <c r="S351" i="41"/>
  <c r="R351" i="41"/>
  <c r="Q351" i="41"/>
  <c r="P351" i="41"/>
  <c r="O351" i="41"/>
  <c r="N351" i="41"/>
  <c r="M351" i="41"/>
  <c r="L351" i="41"/>
  <c r="K351" i="41"/>
  <c r="J351" i="41"/>
  <c r="I351" i="41"/>
  <c r="H351" i="41"/>
  <c r="G351" i="41"/>
  <c r="F351" i="41"/>
  <c r="E351" i="41"/>
  <c r="T349" i="41"/>
  <c r="S349" i="41"/>
  <c r="R349" i="41"/>
  <c r="Q349" i="41"/>
  <c r="P349" i="41"/>
  <c r="O349" i="41"/>
  <c r="N349" i="41"/>
  <c r="M349" i="41"/>
  <c r="L349" i="41"/>
  <c r="K349" i="41"/>
  <c r="J349" i="41"/>
  <c r="I349" i="41"/>
  <c r="H349" i="41"/>
  <c r="G349" i="41"/>
  <c r="F349" i="41"/>
  <c r="E349" i="41"/>
  <c r="T348" i="41"/>
  <c r="S348" i="41"/>
  <c r="R348" i="41"/>
  <c r="Q348" i="41"/>
  <c r="P348" i="41"/>
  <c r="O348" i="41"/>
  <c r="N348" i="41"/>
  <c r="M348" i="41"/>
  <c r="L348" i="41"/>
  <c r="K348" i="41"/>
  <c r="J348" i="41"/>
  <c r="I348" i="41"/>
  <c r="H348" i="41"/>
  <c r="G348" i="41"/>
  <c r="F348" i="41"/>
  <c r="E348" i="41"/>
  <c r="T347" i="41"/>
  <c r="S347" i="41"/>
  <c r="R347" i="41"/>
  <c r="Q347" i="41"/>
  <c r="P347" i="41"/>
  <c r="O347" i="41"/>
  <c r="N347" i="41"/>
  <c r="M347" i="41"/>
  <c r="L347" i="41"/>
  <c r="K347" i="41"/>
  <c r="J347" i="41"/>
  <c r="I347" i="41"/>
  <c r="H347" i="41"/>
  <c r="G347" i="41"/>
  <c r="F347" i="41"/>
  <c r="E347" i="41"/>
  <c r="T345" i="41"/>
  <c r="S345" i="41"/>
  <c r="R345" i="41"/>
  <c r="Q345" i="41"/>
  <c r="P345" i="41"/>
  <c r="O345" i="41"/>
  <c r="N345" i="41"/>
  <c r="M345" i="41"/>
  <c r="L345" i="41"/>
  <c r="K345" i="41"/>
  <c r="J345" i="41"/>
  <c r="I345" i="41"/>
  <c r="H345" i="41"/>
  <c r="G345" i="41"/>
  <c r="F345" i="41"/>
  <c r="E345" i="41"/>
  <c r="T344" i="41"/>
  <c r="S344" i="41"/>
  <c r="R344" i="41"/>
  <c r="Q344" i="41"/>
  <c r="P344" i="41"/>
  <c r="O344" i="41"/>
  <c r="N344" i="41"/>
  <c r="M344" i="41"/>
  <c r="L344" i="41"/>
  <c r="K344" i="41"/>
  <c r="J344" i="41"/>
  <c r="I344" i="41"/>
  <c r="H344" i="41"/>
  <c r="G344" i="41"/>
  <c r="F344" i="41"/>
  <c r="E344" i="41"/>
  <c r="T343" i="41"/>
  <c r="T75" i="34" l="1"/>
  <c r="T74" i="34"/>
  <c r="T70" i="34"/>
  <c r="T75" i="33"/>
  <c r="T74" i="33"/>
  <c r="T70" i="33"/>
  <c r="T72" i="31"/>
  <c r="T68" i="31"/>
  <c r="T72" i="30"/>
  <c r="T68" i="30"/>
  <c r="T150" i="28"/>
  <c r="T148" i="28"/>
  <c r="T138" i="28"/>
  <c r="T135" i="28"/>
  <c r="T134" i="28"/>
  <c r="T130" i="28"/>
  <c r="T125" i="28"/>
  <c r="T124" i="28"/>
  <c r="T123" i="28"/>
  <c r="T122" i="28"/>
  <c r="T121" i="28"/>
  <c r="T120" i="28"/>
  <c r="Q122" i="27"/>
  <c r="P122" i="27"/>
  <c r="O122" i="27"/>
  <c r="N122" i="27"/>
  <c r="M122" i="27"/>
  <c r="L122" i="27"/>
  <c r="K122" i="27"/>
  <c r="J122" i="27"/>
  <c r="I122" i="27"/>
  <c r="H122" i="27"/>
  <c r="G122" i="27"/>
  <c r="F122" i="27"/>
  <c r="T118" i="27"/>
  <c r="S118" i="27"/>
  <c r="R118" i="27"/>
  <c r="Q118" i="27"/>
  <c r="P118" i="27"/>
  <c r="O118" i="27"/>
  <c r="N118" i="27"/>
  <c r="M118" i="27"/>
  <c r="L118" i="27"/>
  <c r="K118" i="27"/>
  <c r="J118" i="27"/>
  <c r="I118" i="27"/>
  <c r="H118" i="27"/>
  <c r="G118" i="27"/>
  <c r="F118" i="27"/>
  <c r="E118" i="27"/>
  <c r="T117" i="27"/>
  <c r="S117" i="27"/>
  <c r="R117" i="27"/>
  <c r="Q117" i="27"/>
  <c r="P117" i="27"/>
  <c r="O117" i="27"/>
  <c r="N117" i="27"/>
  <c r="M117" i="27"/>
  <c r="L117" i="27"/>
  <c r="K117" i="27"/>
  <c r="J117" i="27"/>
  <c r="I117" i="27"/>
  <c r="H117" i="27"/>
  <c r="G117" i="27"/>
  <c r="F117" i="27"/>
  <c r="E117" i="27"/>
  <c r="T116" i="27"/>
  <c r="S116" i="27"/>
  <c r="R116" i="27"/>
  <c r="Q116" i="27"/>
  <c r="P116" i="27"/>
  <c r="O116" i="27"/>
  <c r="N116" i="27"/>
  <c r="M116" i="27"/>
  <c r="L116" i="27"/>
  <c r="K116" i="27"/>
  <c r="J116" i="27"/>
  <c r="I116" i="27"/>
  <c r="H116" i="27"/>
  <c r="G116" i="27"/>
  <c r="F116" i="27"/>
  <c r="E116" i="27"/>
  <c r="T115" i="27"/>
  <c r="S115" i="27"/>
  <c r="R115" i="27"/>
  <c r="Q115" i="27"/>
  <c r="P115" i="27"/>
  <c r="O115" i="27"/>
  <c r="N115" i="27"/>
  <c r="M115" i="27"/>
  <c r="L115" i="27"/>
  <c r="K115" i="27"/>
  <c r="J115" i="27"/>
  <c r="I115" i="27"/>
  <c r="H115" i="27"/>
  <c r="G115" i="27"/>
  <c r="F115" i="27"/>
  <c r="E115" i="27"/>
  <c r="T114" i="27"/>
  <c r="S114" i="27"/>
  <c r="R114" i="27"/>
  <c r="Q114" i="27"/>
  <c r="P114" i="27"/>
  <c r="O114" i="27"/>
  <c r="N114" i="27"/>
  <c r="M114" i="27"/>
  <c r="L114" i="27"/>
  <c r="K114" i="27"/>
  <c r="J114" i="27"/>
  <c r="I114" i="27"/>
  <c r="H114" i="27"/>
  <c r="G114" i="27"/>
  <c r="F114" i="27"/>
  <c r="E114" i="27"/>
  <c r="T113" i="27"/>
  <c r="S113" i="27"/>
  <c r="R113" i="27"/>
  <c r="Q113" i="27"/>
  <c r="P113" i="27"/>
  <c r="O113" i="27"/>
  <c r="N113" i="27"/>
  <c r="M113" i="27"/>
  <c r="L113" i="27"/>
  <c r="K113" i="27"/>
  <c r="J113" i="27"/>
  <c r="I113" i="27"/>
  <c r="H113" i="27"/>
  <c r="G113" i="27"/>
  <c r="F113" i="27"/>
  <c r="E113" i="27"/>
  <c r="T112" i="27"/>
  <c r="S112" i="27"/>
  <c r="Q112" i="27"/>
  <c r="P112" i="27"/>
  <c r="O112" i="27"/>
  <c r="N112" i="27"/>
  <c r="M112" i="27"/>
  <c r="L112" i="27"/>
  <c r="K112" i="27"/>
  <c r="J112" i="27"/>
  <c r="I112" i="27"/>
  <c r="H112" i="27"/>
  <c r="G112" i="27"/>
  <c r="F112" i="27"/>
  <c r="T108" i="27"/>
  <c r="S108" i="27"/>
  <c r="R108" i="27"/>
  <c r="Q108" i="27"/>
  <c r="P108" i="27"/>
  <c r="O108" i="27"/>
  <c r="N108" i="27"/>
  <c r="M108" i="27"/>
  <c r="L108" i="27"/>
  <c r="K108" i="27"/>
  <c r="J108" i="27"/>
  <c r="I108" i="27"/>
  <c r="H108" i="27"/>
  <c r="G108" i="27"/>
  <c r="F108" i="27"/>
  <c r="E108" i="27"/>
  <c r="T107" i="27"/>
  <c r="S107" i="27"/>
  <c r="R107" i="27"/>
  <c r="Q107" i="27"/>
  <c r="P107" i="27"/>
  <c r="O107" i="27"/>
  <c r="N107" i="27"/>
  <c r="M107" i="27"/>
  <c r="L107" i="27"/>
  <c r="K107" i="27"/>
  <c r="J107" i="27"/>
  <c r="I107" i="27"/>
  <c r="H107" i="27"/>
  <c r="G107" i="27"/>
  <c r="F107" i="27"/>
  <c r="E107" i="27"/>
  <c r="T106" i="27"/>
  <c r="S106" i="27"/>
  <c r="R106" i="27"/>
  <c r="Q106" i="27"/>
  <c r="P106" i="27"/>
  <c r="O106" i="27"/>
  <c r="N106" i="27"/>
  <c r="M106" i="27"/>
  <c r="L106" i="27"/>
  <c r="K106" i="27"/>
  <c r="J106" i="27"/>
  <c r="I106" i="27"/>
  <c r="H106" i="27"/>
  <c r="G106" i="27"/>
  <c r="F106" i="27"/>
  <c r="E106" i="27"/>
  <c r="T105" i="27"/>
  <c r="S105" i="27"/>
  <c r="R105" i="27"/>
  <c r="Q105" i="27"/>
  <c r="P105" i="27"/>
  <c r="O105" i="27"/>
  <c r="N105" i="27"/>
  <c r="M105" i="27"/>
  <c r="L105" i="27"/>
  <c r="K105" i="27"/>
  <c r="J105" i="27"/>
  <c r="I105" i="27"/>
  <c r="H105" i="27"/>
  <c r="G105" i="27"/>
  <c r="F105" i="27"/>
  <c r="E105" i="27"/>
  <c r="T104" i="27"/>
  <c r="T121" i="26"/>
  <c r="T117" i="26"/>
  <c r="T116" i="26"/>
  <c r="T115" i="26"/>
  <c r="T114" i="26"/>
  <c r="T113" i="26"/>
  <c r="T112" i="26"/>
  <c r="T111" i="26"/>
  <c r="T110" i="26"/>
  <c r="T103" i="23" l="1"/>
  <c r="T102" i="23"/>
  <c r="T101" i="23"/>
  <c r="T100" i="23"/>
  <c r="T96" i="23"/>
  <c r="T95" i="23"/>
  <c r="T94" i="23"/>
  <c r="T96" i="22"/>
  <c r="T95" i="22"/>
  <c r="T94" i="22"/>
  <c r="T93" i="22"/>
  <c r="T89" i="22"/>
  <c r="T88" i="22"/>
  <c r="T83" i="22"/>
  <c r="T82" i="22"/>
  <c r="S96" i="22"/>
  <c r="R96" i="22"/>
  <c r="Q96" i="22"/>
  <c r="P96" i="22"/>
  <c r="O96" i="22"/>
  <c r="N96" i="22"/>
  <c r="M96" i="22"/>
  <c r="L96" i="22"/>
  <c r="K96" i="22"/>
  <c r="J96" i="22"/>
  <c r="I96" i="22"/>
  <c r="H96" i="22"/>
  <c r="G96" i="22"/>
  <c r="F96" i="22"/>
  <c r="E96" i="22"/>
  <c r="T87" i="4"/>
  <c r="T86" i="4"/>
  <c r="T82" i="4"/>
  <c r="T81" i="4"/>
  <c r="T23" i="34" l="1"/>
  <c r="T23" i="33"/>
  <c r="T22" i="31"/>
  <c r="T22" i="30"/>
  <c r="T47" i="28"/>
  <c r="T153" i="28" s="1"/>
  <c r="T143" i="28"/>
  <c r="T39" i="27"/>
  <c r="T129" i="27" s="1"/>
  <c r="T38" i="27"/>
  <c r="T36" i="27"/>
  <c r="T126" i="27" s="1"/>
  <c r="T35" i="27"/>
  <c r="T125" i="27" s="1"/>
  <c r="T34" i="27"/>
  <c r="T124" i="27" s="1"/>
  <c r="T33" i="27"/>
  <c r="T123" i="27" s="1"/>
  <c r="T32" i="27"/>
  <c r="T43" i="26"/>
  <c r="T139" i="26" s="1"/>
  <c r="T42" i="26"/>
  <c r="T138" i="26" s="1"/>
  <c r="T41" i="26"/>
  <c r="T137" i="26" s="1"/>
  <c r="T40" i="26"/>
  <c r="T136" i="26" s="1"/>
  <c r="T39" i="26"/>
  <c r="T135" i="26" s="1"/>
  <c r="T38" i="26"/>
  <c r="T134" i="26" s="1"/>
  <c r="T37" i="26"/>
  <c r="T133" i="26" s="1"/>
  <c r="T36" i="26"/>
  <c r="T132" i="26" s="1"/>
  <c r="T25" i="25"/>
  <c r="T23" i="25"/>
  <c r="T31" i="24"/>
  <c r="T28" i="24"/>
  <c r="T29" i="24" s="1"/>
  <c r="T26" i="24"/>
  <c r="T27" i="24" s="1"/>
  <c r="T34" i="23"/>
  <c r="T31" i="23"/>
  <c r="T29" i="23"/>
  <c r="T27" i="23"/>
  <c r="T30" i="21"/>
  <c r="T28" i="21"/>
  <c r="T24" i="5"/>
  <c r="T26" i="4"/>
  <c r="T25" i="4"/>
  <c r="T91" i="4" s="1"/>
  <c r="T40" i="46"/>
  <c r="T130" i="46" s="1"/>
  <c r="T39" i="46"/>
  <c r="T129" i="46" s="1"/>
  <c r="T51" i="45"/>
  <c r="T163" i="45" s="1"/>
  <c r="T50" i="45"/>
  <c r="T162" i="45" s="1"/>
  <c r="T49" i="45"/>
  <c r="T161" i="45" s="1"/>
  <c r="U44" i="20" l="1"/>
  <c r="U200" i="20" s="1"/>
  <c r="T101" i="21"/>
  <c r="T24" i="25"/>
  <c r="T86" i="25" s="1"/>
  <c r="T85" i="25"/>
  <c r="T26" i="25"/>
  <c r="T87" i="25"/>
  <c r="T25" i="5"/>
  <c r="T84" i="5"/>
  <c r="T122" i="27"/>
  <c r="U22" i="27"/>
  <c r="U32" i="27" s="1"/>
  <c r="U37" i="27" s="1"/>
  <c r="U19" i="20"/>
  <c r="U175" i="20" s="1"/>
  <c r="T99" i="21"/>
  <c r="T41" i="46"/>
  <c r="U26" i="20"/>
  <c r="U182" i="20" s="1"/>
  <c r="T30" i="23"/>
  <c r="T110" i="23" s="1"/>
  <c r="T109" i="23"/>
  <c r="T32" i="24"/>
  <c r="U24" i="20" s="1"/>
  <c r="U180" i="20" s="1"/>
  <c r="T35" i="23"/>
  <c r="T114" i="23"/>
  <c r="T24" i="33"/>
  <c r="T79" i="33"/>
  <c r="U67" i="19"/>
  <c r="U367" i="19" s="1"/>
  <c r="T32" i="23"/>
  <c r="T112" i="23" s="1"/>
  <c r="T111" i="23"/>
  <c r="T24" i="34"/>
  <c r="T79" i="34"/>
  <c r="T40" i="27"/>
  <c r="U27" i="29" s="1"/>
  <c r="T128" i="27"/>
  <c r="T23" i="30"/>
  <c r="T76" i="30"/>
  <c r="T28" i="23"/>
  <c r="T107" i="23"/>
  <c r="T23" i="31"/>
  <c r="T76" i="31"/>
  <c r="U36" i="29"/>
  <c r="T130" i="27"/>
  <c r="T44" i="26"/>
  <c r="T52" i="45"/>
  <c r="T28" i="4"/>
  <c r="T94" i="4" s="1"/>
  <c r="T92" i="4"/>
  <c r="T27" i="4"/>
  <c r="T93" i="4" s="1"/>
  <c r="T31" i="21"/>
  <c r="T102" i="21" s="1"/>
  <c r="T37" i="27"/>
  <c r="U17" i="29" s="1"/>
  <c r="T27" i="25" l="1"/>
  <c r="T89" i="25" s="1"/>
  <c r="U6" i="20"/>
  <c r="U162" i="20" s="1"/>
  <c r="U100" i="19"/>
  <c r="U400" i="19" s="1"/>
  <c r="U12" i="19"/>
  <c r="U312" i="19" s="1"/>
  <c r="AB6" i="20"/>
  <c r="AC6" i="20" s="1"/>
  <c r="U25" i="29"/>
  <c r="U163" i="29" s="1"/>
  <c r="U165" i="29"/>
  <c r="U9" i="36"/>
  <c r="T131" i="46"/>
  <c r="U7" i="14"/>
  <c r="T85" i="5"/>
  <c r="U8" i="36"/>
  <c r="U145" i="19" s="1"/>
  <c r="T164" i="45"/>
  <c r="U41" i="27"/>
  <c r="V17" i="29"/>
  <c r="U51" i="20"/>
  <c r="T88" i="25"/>
  <c r="U39" i="20"/>
  <c r="L58" i="57"/>
  <c r="L8" i="57"/>
  <c r="U5" i="32"/>
  <c r="AB5" i="32" s="1"/>
  <c r="AC5" i="32" s="1"/>
  <c r="T80" i="33"/>
  <c r="U74" i="19"/>
  <c r="U374" i="19" s="1"/>
  <c r="U13" i="20"/>
  <c r="U48" i="20"/>
  <c r="U204" i="20" s="1"/>
  <c r="T115" i="23"/>
  <c r="T29" i="4"/>
  <c r="T95" i="4" s="1"/>
  <c r="T33" i="23"/>
  <c r="T108" i="23"/>
  <c r="U11" i="20"/>
  <c r="AB11" i="20" s="1"/>
  <c r="AC11" i="20" s="1"/>
  <c r="U72" i="19"/>
  <c r="U372" i="19" s="1"/>
  <c r="U21" i="29"/>
  <c r="L40" i="57" s="1"/>
  <c r="T77" i="31"/>
  <c r="U20" i="29"/>
  <c r="L39" i="57" s="1"/>
  <c r="T77" i="30"/>
  <c r="U6" i="32"/>
  <c r="AB6" i="32" s="1"/>
  <c r="AC6" i="32" s="1"/>
  <c r="T80" i="34"/>
  <c r="U155" i="29"/>
  <c r="U7" i="29"/>
  <c r="U79" i="19"/>
  <c r="U379" i="19" s="1"/>
  <c r="U174" i="29"/>
  <c r="U34" i="29"/>
  <c r="U112" i="19"/>
  <c r="U16" i="29"/>
  <c r="T140" i="26"/>
  <c r="U6" i="14"/>
  <c r="T41" i="27"/>
  <c r="T131" i="27" s="1"/>
  <c r="T127" i="27"/>
  <c r="T104" i="24"/>
  <c r="T103" i="24"/>
  <c r="T102" i="24"/>
  <c r="T101" i="24"/>
  <c r="T100" i="24"/>
  <c r="T99" i="24"/>
  <c r="T98" i="24"/>
  <c r="T94" i="24"/>
  <c r="T93" i="24"/>
  <c r="T92" i="24"/>
  <c r="T88" i="24"/>
  <c r="T87" i="24"/>
  <c r="T86" i="24"/>
  <c r="T39" i="47"/>
  <c r="T129" i="47" s="1"/>
  <c r="T40" i="47"/>
  <c r="T130" i="47" s="1"/>
  <c r="S40" i="47"/>
  <c r="S130" i="47" s="1"/>
  <c r="R40" i="47"/>
  <c r="R130" i="47" s="1"/>
  <c r="Q40" i="47"/>
  <c r="Q130" i="47" s="1"/>
  <c r="P40" i="47"/>
  <c r="P130" i="47" s="1"/>
  <c r="O40" i="47"/>
  <c r="O130" i="47" s="1"/>
  <c r="N40" i="47"/>
  <c r="N130" i="47" s="1"/>
  <c r="M40" i="47"/>
  <c r="M130" i="47" s="1"/>
  <c r="L40" i="47"/>
  <c r="L130" i="47" s="1"/>
  <c r="K40" i="47"/>
  <c r="K130" i="47" s="1"/>
  <c r="J40" i="47"/>
  <c r="J130" i="47" s="1"/>
  <c r="I40" i="47"/>
  <c r="I130" i="47" s="1"/>
  <c r="H40" i="47"/>
  <c r="H130" i="47" s="1"/>
  <c r="G40" i="47"/>
  <c r="G130" i="47" s="1"/>
  <c r="F40" i="47"/>
  <c r="F130" i="47" s="1"/>
  <c r="E40" i="47"/>
  <c r="E130" i="47" s="1"/>
  <c r="U19" i="19" l="1"/>
  <c r="U319" i="19" s="1"/>
  <c r="U169" i="20"/>
  <c r="AB13" i="20"/>
  <c r="AC13" i="20" s="1"/>
  <c r="U195" i="20"/>
  <c r="U31" i="20"/>
  <c r="U187" i="20" s="1"/>
  <c r="U8" i="19"/>
  <c r="U63" i="19"/>
  <c r="U363" i="19" s="1"/>
  <c r="AB7" i="14"/>
  <c r="AC7" i="14" s="1"/>
  <c r="U207" i="20"/>
  <c r="U107" i="19"/>
  <c r="U407" i="19" s="1"/>
  <c r="U43" i="19"/>
  <c r="Z8" i="36"/>
  <c r="AA8" i="36" s="1"/>
  <c r="U44" i="19"/>
  <c r="Z9" i="36"/>
  <c r="AA9" i="36" s="1"/>
  <c r="U146" i="19"/>
  <c r="U446" i="19" s="1"/>
  <c r="V79" i="19"/>
  <c r="V7" i="29"/>
  <c r="V24" i="19" s="1"/>
  <c r="AA20" i="56" s="1"/>
  <c r="V15" i="29"/>
  <c r="C34" i="57"/>
  <c r="U412" i="19"/>
  <c r="L57" i="57"/>
  <c r="U445" i="19"/>
  <c r="U24" i="19"/>
  <c r="U324" i="19" s="1"/>
  <c r="AB7" i="29"/>
  <c r="AC7" i="29" s="1"/>
  <c r="U17" i="19"/>
  <c r="U317" i="19" s="1"/>
  <c r="U167" i="20"/>
  <c r="U7" i="19"/>
  <c r="AB6" i="14"/>
  <c r="AC6" i="14" s="1"/>
  <c r="L35" i="57"/>
  <c r="L44" i="57"/>
  <c r="U32" i="19"/>
  <c r="U332" i="19" s="1"/>
  <c r="U31" i="19"/>
  <c r="U331" i="19" s="1"/>
  <c r="L36" i="57"/>
  <c r="U87" i="19"/>
  <c r="U387" i="19" s="1"/>
  <c r="U159" i="29"/>
  <c r="U11" i="29"/>
  <c r="U83" i="19"/>
  <c r="U383" i="19" s="1"/>
  <c r="U104" i="19"/>
  <c r="U404" i="19" s="1"/>
  <c r="U43" i="20"/>
  <c r="U199" i="20" s="1"/>
  <c r="U158" i="29"/>
  <c r="U82" i="19"/>
  <c r="U382" i="19" s="1"/>
  <c r="U10" i="29"/>
  <c r="T36" i="23"/>
  <c r="T116" i="23" s="1"/>
  <c r="U23" i="20"/>
  <c r="U179" i="20" s="1"/>
  <c r="T113" i="23"/>
  <c r="U86" i="19"/>
  <c r="U386" i="19" s="1"/>
  <c r="U4" i="32"/>
  <c r="U172" i="29"/>
  <c r="U110" i="19"/>
  <c r="U410" i="19" s="1"/>
  <c r="U154" i="29"/>
  <c r="U6" i="29"/>
  <c r="U78" i="19"/>
  <c r="U378" i="19" s="1"/>
  <c r="U62" i="19"/>
  <c r="T41" i="47"/>
  <c r="S39" i="27"/>
  <c r="S129" i="27" s="1"/>
  <c r="R39" i="27"/>
  <c r="R129" i="27" s="1"/>
  <c r="Q39" i="27"/>
  <c r="Q129" i="27" s="1"/>
  <c r="P39" i="27"/>
  <c r="P129" i="27" s="1"/>
  <c r="O39" i="27"/>
  <c r="O129" i="27" s="1"/>
  <c r="N39" i="27"/>
  <c r="N129" i="27" s="1"/>
  <c r="M39" i="27"/>
  <c r="M129" i="27" s="1"/>
  <c r="L39" i="27"/>
  <c r="L129" i="27" s="1"/>
  <c r="K39" i="27"/>
  <c r="K129" i="27" s="1"/>
  <c r="J39" i="27"/>
  <c r="J129" i="27" s="1"/>
  <c r="I39" i="27"/>
  <c r="I129" i="27" s="1"/>
  <c r="H39" i="27"/>
  <c r="H129" i="27" s="1"/>
  <c r="G39" i="27"/>
  <c r="G129" i="27" s="1"/>
  <c r="F39" i="27"/>
  <c r="F129" i="27" s="1"/>
  <c r="S38" i="27"/>
  <c r="S128" i="27" s="1"/>
  <c r="R38" i="27"/>
  <c r="R128" i="27" s="1"/>
  <c r="Q38" i="27"/>
  <c r="Q128" i="27" s="1"/>
  <c r="P38" i="27"/>
  <c r="P128" i="27" s="1"/>
  <c r="O38" i="27"/>
  <c r="O128" i="27" s="1"/>
  <c r="N38" i="27"/>
  <c r="N128" i="27" s="1"/>
  <c r="M38" i="27"/>
  <c r="M128" i="27" s="1"/>
  <c r="L38" i="27"/>
  <c r="L128" i="27" s="1"/>
  <c r="K38" i="27"/>
  <c r="K128" i="27" s="1"/>
  <c r="J38" i="27"/>
  <c r="J128" i="27" s="1"/>
  <c r="I38" i="27"/>
  <c r="I128" i="27" s="1"/>
  <c r="H38" i="27"/>
  <c r="H128" i="27" s="1"/>
  <c r="G38" i="27"/>
  <c r="G128" i="27" s="1"/>
  <c r="F38" i="27"/>
  <c r="F128" i="27" s="1"/>
  <c r="E39" i="27"/>
  <c r="E129" i="27" s="1"/>
  <c r="E38" i="27"/>
  <c r="E128" i="27" s="1"/>
  <c r="AA19" i="56" l="1"/>
  <c r="U30" i="19"/>
  <c r="U330" i="19" s="1"/>
  <c r="AB4" i="32"/>
  <c r="AC4" i="32" s="1"/>
  <c r="U10" i="36"/>
  <c r="U147" i="19" s="1"/>
  <c r="T131" i="47"/>
  <c r="U343" i="19"/>
  <c r="BD19" i="56"/>
  <c r="V77" i="19"/>
  <c r="V59" i="19" s="1"/>
  <c r="V5" i="29"/>
  <c r="V22" i="19" s="1"/>
  <c r="N19" i="56"/>
  <c r="U308" i="19"/>
  <c r="U344" i="19"/>
  <c r="BE19" i="56"/>
  <c r="L7" i="57"/>
  <c r="U362" i="19"/>
  <c r="M19" i="56"/>
  <c r="U307" i="19"/>
  <c r="U27" i="19"/>
  <c r="U327" i="19" s="1"/>
  <c r="AB10" i="29"/>
  <c r="AC10" i="29" s="1"/>
  <c r="U23" i="19"/>
  <c r="U323" i="19" s="1"/>
  <c r="AB6" i="29"/>
  <c r="AC6" i="29" s="1"/>
  <c r="U28" i="19"/>
  <c r="U328" i="19" s="1"/>
  <c r="AB11" i="29"/>
  <c r="AC11" i="29" s="1"/>
  <c r="U99" i="19"/>
  <c r="U98" i="19" s="1"/>
  <c r="U398" i="19" s="1"/>
  <c r="E19" i="56"/>
  <c r="L43" i="57"/>
  <c r="B42" i="57"/>
  <c r="L42" i="57" s="1"/>
  <c r="U85" i="19"/>
  <c r="U385" i="19" s="1"/>
  <c r="U10" i="20"/>
  <c r="U71" i="19"/>
  <c r="U371" i="19" s="1"/>
  <c r="U18" i="20"/>
  <c r="T157" i="41"/>
  <c r="T485" i="41" s="1"/>
  <c r="S157" i="41"/>
  <c r="S485" i="41" s="1"/>
  <c r="R157" i="41"/>
  <c r="R485" i="41" s="1"/>
  <c r="Q157" i="41"/>
  <c r="Q485" i="41" s="1"/>
  <c r="P157" i="41"/>
  <c r="P485" i="41" s="1"/>
  <c r="O157" i="41"/>
  <c r="O485" i="41" s="1"/>
  <c r="N157" i="41"/>
  <c r="N485" i="41" s="1"/>
  <c r="M157" i="41"/>
  <c r="M485" i="41" s="1"/>
  <c r="L157" i="41"/>
  <c r="L485" i="41" s="1"/>
  <c r="K157" i="41"/>
  <c r="K485" i="41" s="1"/>
  <c r="J157" i="41"/>
  <c r="J485" i="41" s="1"/>
  <c r="I157" i="41"/>
  <c r="I485" i="41" s="1"/>
  <c r="H157" i="41"/>
  <c r="H485" i="41" s="1"/>
  <c r="G157" i="41"/>
  <c r="G485" i="41" s="1"/>
  <c r="F157" i="41"/>
  <c r="F485" i="41" s="1"/>
  <c r="E157" i="41"/>
  <c r="E485" i="41" s="1"/>
  <c r="T142" i="41"/>
  <c r="T470" i="41" s="1"/>
  <c r="S142" i="41"/>
  <c r="S470" i="41" s="1"/>
  <c r="R142" i="41"/>
  <c r="R470" i="41" s="1"/>
  <c r="Q142" i="41"/>
  <c r="Q470" i="41" s="1"/>
  <c r="P142" i="41"/>
  <c r="P470" i="41" s="1"/>
  <c r="O142" i="41"/>
  <c r="O470" i="41" s="1"/>
  <c r="N142" i="41"/>
  <c r="N470" i="41" s="1"/>
  <c r="M142" i="41"/>
  <c r="M470" i="41" s="1"/>
  <c r="L142" i="41"/>
  <c r="L470" i="41" s="1"/>
  <c r="K142" i="41"/>
  <c r="K470" i="41" s="1"/>
  <c r="J142" i="41"/>
  <c r="J470" i="41" s="1"/>
  <c r="I142" i="41"/>
  <c r="I470" i="41" s="1"/>
  <c r="H142" i="41"/>
  <c r="H470" i="41" s="1"/>
  <c r="G142" i="41"/>
  <c r="G470" i="41" s="1"/>
  <c r="F142" i="41"/>
  <c r="F470" i="41" s="1"/>
  <c r="E142" i="41"/>
  <c r="E470" i="41" s="1"/>
  <c r="AD19" i="56" l="1"/>
  <c r="Z19" i="56"/>
  <c r="D20" i="56"/>
  <c r="V4" i="19"/>
  <c r="I20" i="56" s="1"/>
  <c r="AC19" i="56"/>
  <c r="U45" i="19"/>
  <c r="Z10" i="36"/>
  <c r="AA10" i="36" s="1"/>
  <c r="U16" i="19"/>
  <c r="U316" i="19" s="1"/>
  <c r="U166" i="20"/>
  <c r="AB10" i="20"/>
  <c r="AC10" i="20" s="1"/>
  <c r="C4" i="57"/>
  <c r="U399" i="19"/>
  <c r="L59" i="57"/>
  <c r="U447" i="19"/>
  <c r="U174" i="20"/>
  <c r="U66" i="19"/>
  <c r="U366" i="19" s="1"/>
  <c r="S51" i="45"/>
  <c r="S163" i="45" s="1"/>
  <c r="R51" i="45"/>
  <c r="R163" i="45" s="1"/>
  <c r="Q51" i="45"/>
  <c r="Q163" i="45" s="1"/>
  <c r="P51" i="45"/>
  <c r="P163" i="45" s="1"/>
  <c r="O51" i="45"/>
  <c r="O163" i="45" s="1"/>
  <c r="N51" i="45"/>
  <c r="N163" i="45" s="1"/>
  <c r="M51" i="45"/>
  <c r="M163" i="45" s="1"/>
  <c r="L51" i="45"/>
  <c r="L163" i="45" s="1"/>
  <c r="K51" i="45"/>
  <c r="K163" i="45" s="1"/>
  <c r="J51" i="45"/>
  <c r="J163" i="45" s="1"/>
  <c r="I51" i="45"/>
  <c r="I163" i="45" s="1"/>
  <c r="H51" i="45"/>
  <c r="H163" i="45" s="1"/>
  <c r="G51" i="45"/>
  <c r="G163" i="45" s="1"/>
  <c r="F51" i="45"/>
  <c r="F163" i="45" s="1"/>
  <c r="S50" i="45"/>
  <c r="S162" i="45" s="1"/>
  <c r="R50" i="45"/>
  <c r="R162" i="45" s="1"/>
  <c r="Q50" i="45"/>
  <c r="Q162" i="45" s="1"/>
  <c r="P50" i="45"/>
  <c r="P162" i="45" s="1"/>
  <c r="O50" i="45"/>
  <c r="O162" i="45" s="1"/>
  <c r="N50" i="45"/>
  <c r="N162" i="45" s="1"/>
  <c r="M50" i="45"/>
  <c r="M162" i="45" s="1"/>
  <c r="L50" i="45"/>
  <c r="L162" i="45" s="1"/>
  <c r="K50" i="45"/>
  <c r="K162" i="45" s="1"/>
  <c r="J50" i="45"/>
  <c r="J162" i="45" s="1"/>
  <c r="I50" i="45"/>
  <c r="I162" i="45" s="1"/>
  <c r="H50" i="45"/>
  <c r="H162" i="45" s="1"/>
  <c r="G50" i="45"/>
  <c r="G162" i="45" s="1"/>
  <c r="F50" i="45"/>
  <c r="F162" i="45" s="1"/>
  <c r="S49" i="45"/>
  <c r="S161" i="45" s="1"/>
  <c r="R49" i="45"/>
  <c r="R161" i="45" s="1"/>
  <c r="Q49" i="45"/>
  <c r="Q161" i="45" s="1"/>
  <c r="P49" i="45"/>
  <c r="P161" i="45" s="1"/>
  <c r="O49" i="45"/>
  <c r="O161" i="45" s="1"/>
  <c r="N49" i="45"/>
  <c r="N161" i="45" s="1"/>
  <c r="M49" i="45"/>
  <c r="M161" i="45" s="1"/>
  <c r="L49" i="45"/>
  <c r="L161" i="45" s="1"/>
  <c r="K49" i="45"/>
  <c r="K161" i="45" s="1"/>
  <c r="J49" i="45"/>
  <c r="J161" i="45" s="1"/>
  <c r="I49" i="45"/>
  <c r="I161" i="45" s="1"/>
  <c r="H49" i="45"/>
  <c r="H161" i="45" s="1"/>
  <c r="G49" i="45"/>
  <c r="G161" i="45" s="1"/>
  <c r="F49" i="45"/>
  <c r="F161" i="45" s="1"/>
  <c r="U345" i="19" l="1"/>
  <c r="BF19" i="56"/>
  <c r="G52" i="45"/>
  <c r="G164" i="45" s="1"/>
  <c r="O52" i="45"/>
  <c r="O164" i="45" s="1"/>
  <c r="K52" i="45"/>
  <c r="K164" i="45" s="1"/>
  <c r="L52" i="45"/>
  <c r="L164" i="45" s="1"/>
  <c r="H52" i="45"/>
  <c r="H164" i="45" s="1"/>
  <c r="I52" i="45"/>
  <c r="I164" i="45" s="1"/>
  <c r="M52" i="45"/>
  <c r="M164" i="45" s="1"/>
  <c r="S52" i="45"/>
  <c r="S164" i="45" s="1"/>
  <c r="Q52" i="45"/>
  <c r="Q164" i="45" s="1"/>
  <c r="F52" i="45"/>
  <c r="F164" i="45" s="1"/>
  <c r="J52" i="45"/>
  <c r="J164" i="45" s="1"/>
  <c r="N52" i="45"/>
  <c r="N164" i="45" s="1"/>
  <c r="R52" i="45"/>
  <c r="R164" i="45" s="1"/>
  <c r="P52" i="45"/>
  <c r="P164" i="45" s="1"/>
  <c r="U23" i="38" l="1"/>
  <c r="U22" i="38"/>
  <c r="U21" i="38"/>
  <c r="U20" i="38"/>
  <c r="U26" i="37"/>
  <c r="U25" i="37"/>
  <c r="U24" i="37"/>
  <c r="U23" i="37"/>
  <c r="U22" i="37"/>
  <c r="S39" i="47"/>
  <c r="R39" i="47"/>
  <c r="Q39" i="47"/>
  <c r="P39" i="47"/>
  <c r="O39" i="47"/>
  <c r="N39" i="47"/>
  <c r="M39" i="47"/>
  <c r="L39" i="47"/>
  <c r="K39" i="47"/>
  <c r="J39" i="47"/>
  <c r="I39" i="47"/>
  <c r="H39" i="47"/>
  <c r="G39" i="47"/>
  <c r="F39" i="47"/>
  <c r="S40" i="46"/>
  <c r="S130" i="46" s="1"/>
  <c r="R40" i="46"/>
  <c r="R130" i="46" s="1"/>
  <c r="Q40" i="46"/>
  <c r="Q130" i="46" s="1"/>
  <c r="P40" i="46"/>
  <c r="P130" i="46" s="1"/>
  <c r="O40" i="46"/>
  <c r="O130" i="46" s="1"/>
  <c r="N40" i="46"/>
  <c r="N130" i="46" s="1"/>
  <c r="M40" i="46"/>
  <c r="M130" i="46" s="1"/>
  <c r="L40" i="46"/>
  <c r="L130" i="46" s="1"/>
  <c r="K40" i="46"/>
  <c r="K130" i="46" s="1"/>
  <c r="J40" i="46"/>
  <c r="J130" i="46" s="1"/>
  <c r="I40" i="46"/>
  <c r="I130" i="46" s="1"/>
  <c r="H40" i="46"/>
  <c r="H130" i="46" s="1"/>
  <c r="G40" i="46"/>
  <c r="G130" i="46" s="1"/>
  <c r="F40" i="46"/>
  <c r="F130" i="46" s="1"/>
  <c r="S39" i="46"/>
  <c r="S129" i="46" s="1"/>
  <c r="R39" i="46"/>
  <c r="R129" i="46" s="1"/>
  <c r="Q39" i="46"/>
  <c r="Q129" i="46" s="1"/>
  <c r="P39" i="46"/>
  <c r="P129" i="46" s="1"/>
  <c r="O39" i="46"/>
  <c r="O129" i="46" s="1"/>
  <c r="N39" i="46"/>
  <c r="N129" i="46" s="1"/>
  <c r="M39" i="46"/>
  <c r="M129" i="46" s="1"/>
  <c r="L39" i="46"/>
  <c r="L129" i="46" s="1"/>
  <c r="K39" i="46"/>
  <c r="K129" i="46" s="1"/>
  <c r="J39" i="46"/>
  <c r="J129" i="46" s="1"/>
  <c r="I39" i="46"/>
  <c r="I129" i="46" s="1"/>
  <c r="H39" i="46"/>
  <c r="H129" i="46" s="1"/>
  <c r="G39" i="46"/>
  <c r="G129" i="46" s="1"/>
  <c r="F39" i="46"/>
  <c r="F129" i="46" s="1"/>
  <c r="T158" i="41"/>
  <c r="T486" i="41" s="1"/>
  <c r="S158" i="41"/>
  <c r="S486" i="41" s="1"/>
  <c r="R158" i="41"/>
  <c r="R486" i="41" s="1"/>
  <c r="Q158" i="41"/>
  <c r="Q486" i="41" s="1"/>
  <c r="P158" i="41"/>
  <c r="P486" i="41" s="1"/>
  <c r="O158" i="41"/>
  <c r="O486" i="41" s="1"/>
  <c r="N158" i="41"/>
  <c r="N486" i="41" s="1"/>
  <c r="M158" i="41"/>
  <c r="M486" i="41" s="1"/>
  <c r="L158" i="41"/>
  <c r="L486" i="41" s="1"/>
  <c r="K158" i="41"/>
  <c r="K486" i="41" s="1"/>
  <c r="J158" i="41"/>
  <c r="J486" i="41" s="1"/>
  <c r="I158" i="41"/>
  <c r="I486" i="41" s="1"/>
  <c r="H158" i="41"/>
  <c r="H486" i="41" s="1"/>
  <c r="G158" i="41"/>
  <c r="G486" i="41" s="1"/>
  <c r="F158" i="41"/>
  <c r="F486" i="41" s="1"/>
  <c r="T156" i="41"/>
  <c r="T484" i="41" s="1"/>
  <c r="S156" i="41"/>
  <c r="S484" i="41" s="1"/>
  <c r="R156" i="41"/>
  <c r="R484" i="41" s="1"/>
  <c r="Q156" i="41"/>
  <c r="Q484" i="41" s="1"/>
  <c r="P156" i="41"/>
  <c r="P484" i="41" s="1"/>
  <c r="O156" i="41"/>
  <c r="O484" i="41" s="1"/>
  <c r="N156" i="41"/>
  <c r="N484" i="41" s="1"/>
  <c r="M156" i="41"/>
  <c r="M484" i="41" s="1"/>
  <c r="L156" i="41"/>
  <c r="L484" i="41" s="1"/>
  <c r="K156" i="41"/>
  <c r="K484" i="41" s="1"/>
  <c r="J156" i="41"/>
  <c r="J484" i="41" s="1"/>
  <c r="I156" i="41"/>
  <c r="I484" i="41" s="1"/>
  <c r="H156" i="41"/>
  <c r="H484" i="41" s="1"/>
  <c r="G156" i="41"/>
  <c r="G484" i="41" s="1"/>
  <c r="F156" i="41"/>
  <c r="F484" i="41" s="1"/>
  <c r="T155" i="41"/>
  <c r="T483" i="41" s="1"/>
  <c r="S155" i="41"/>
  <c r="S483" i="41" s="1"/>
  <c r="R155" i="41"/>
  <c r="R483" i="41" s="1"/>
  <c r="Q155" i="41"/>
  <c r="Q483" i="41" s="1"/>
  <c r="P155" i="41"/>
  <c r="P483" i="41" s="1"/>
  <c r="O155" i="41"/>
  <c r="O483" i="41" s="1"/>
  <c r="N155" i="41"/>
  <c r="N483" i="41" s="1"/>
  <c r="M155" i="41"/>
  <c r="M483" i="41" s="1"/>
  <c r="L155" i="41"/>
  <c r="L483" i="41" s="1"/>
  <c r="K155" i="41"/>
  <c r="K483" i="41" s="1"/>
  <c r="J155" i="41"/>
  <c r="J483" i="41" s="1"/>
  <c r="I155" i="41"/>
  <c r="I483" i="41" s="1"/>
  <c r="H155" i="41"/>
  <c r="H483" i="41" s="1"/>
  <c r="G155" i="41"/>
  <c r="G483" i="41" s="1"/>
  <c r="F155" i="41"/>
  <c r="F483" i="41" s="1"/>
  <c r="T154" i="41"/>
  <c r="T482" i="41" s="1"/>
  <c r="S154" i="41"/>
  <c r="S482" i="41" s="1"/>
  <c r="R154" i="41"/>
  <c r="R482" i="41" s="1"/>
  <c r="Q154" i="41"/>
  <c r="Q482" i="41" s="1"/>
  <c r="P154" i="41"/>
  <c r="P482" i="41" s="1"/>
  <c r="O154" i="41"/>
  <c r="O482" i="41" s="1"/>
  <c r="N154" i="41"/>
  <c r="N482" i="41" s="1"/>
  <c r="M154" i="41"/>
  <c r="M482" i="41" s="1"/>
  <c r="L154" i="41"/>
  <c r="L482" i="41" s="1"/>
  <c r="K154" i="41"/>
  <c r="K482" i="41" s="1"/>
  <c r="J154" i="41"/>
  <c r="J482" i="41" s="1"/>
  <c r="I154" i="41"/>
  <c r="I482" i="41" s="1"/>
  <c r="H154" i="41"/>
  <c r="H482" i="41" s="1"/>
  <c r="G154" i="41"/>
  <c r="G482" i="41" s="1"/>
  <c r="F154" i="41"/>
  <c r="F482" i="41" s="1"/>
  <c r="T153" i="41"/>
  <c r="S153" i="41"/>
  <c r="S481" i="41" s="1"/>
  <c r="R153" i="41"/>
  <c r="R481" i="41" s="1"/>
  <c r="Q153" i="41"/>
  <c r="Q481" i="41" s="1"/>
  <c r="P153" i="41"/>
  <c r="P481" i="41" s="1"/>
  <c r="O153" i="41"/>
  <c r="O481" i="41" s="1"/>
  <c r="N153" i="41"/>
  <c r="N481" i="41" s="1"/>
  <c r="M153" i="41"/>
  <c r="M481" i="41" s="1"/>
  <c r="L153" i="41"/>
  <c r="L481" i="41" s="1"/>
  <c r="K153" i="41"/>
  <c r="K481" i="41" s="1"/>
  <c r="J153" i="41"/>
  <c r="J481" i="41" s="1"/>
  <c r="I153" i="41"/>
  <c r="I481" i="41" s="1"/>
  <c r="H153" i="41"/>
  <c r="H481" i="41" s="1"/>
  <c r="G153" i="41"/>
  <c r="G481" i="41" s="1"/>
  <c r="F153" i="41"/>
  <c r="F481" i="41" s="1"/>
  <c r="T143" i="41"/>
  <c r="T471" i="41" s="1"/>
  <c r="S143" i="41"/>
  <c r="S471" i="41" s="1"/>
  <c r="R143" i="41"/>
  <c r="R471" i="41" s="1"/>
  <c r="Q143" i="41"/>
  <c r="Q471" i="41" s="1"/>
  <c r="P143" i="41"/>
  <c r="P471" i="41" s="1"/>
  <c r="O143" i="41"/>
  <c r="O471" i="41" s="1"/>
  <c r="N143" i="41"/>
  <c r="N471" i="41" s="1"/>
  <c r="M143" i="41"/>
  <c r="M471" i="41" s="1"/>
  <c r="L143" i="41"/>
  <c r="L471" i="41" s="1"/>
  <c r="K143" i="41"/>
  <c r="K471" i="41" s="1"/>
  <c r="J143" i="41"/>
  <c r="J471" i="41" s="1"/>
  <c r="I143" i="41"/>
  <c r="I471" i="41" s="1"/>
  <c r="H143" i="41"/>
  <c r="H471" i="41" s="1"/>
  <c r="G143" i="41"/>
  <c r="G471" i="41" s="1"/>
  <c r="F143" i="41"/>
  <c r="F471" i="41" s="1"/>
  <c r="T141" i="41"/>
  <c r="T469" i="41" s="1"/>
  <c r="S141" i="41"/>
  <c r="S469" i="41" s="1"/>
  <c r="R141" i="41"/>
  <c r="R469" i="41" s="1"/>
  <c r="Q141" i="41"/>
  <c r="Q469" i="41" s="1"/>
  <c r="P141" i="41"/>
  <c r="P469" i="41" s="1"/>
  <c r="O141" i="41"/>
  <c r="O469" i="41" s="1"/>
  <c r="N141" i="41"/>
  <c r="N469" i="41" s="1"/>
  <c r="M141" i="41"/>
  <c r="M469" i="41" s="1"/>
  <c r="L141" i="41"/>
  <c r="L469" i="41" s="1"/>
  <c r="K141" i="41"/>
  <c r="K469" i="41" s="1"/>
  <c r="J141" i="41"/>
  <c r="J469" i="41" s="1"/>
  <c r="I141" i="41"/>
  <c r="I469" i="41" s="1"/>
  <c r="H141" i="41"/>
  <c r="H469" i="41" s="1"/>
  <c r="G141" i="41"/>
  <c r="G469" i="41" s="1"/>
  <c r="F141" i="41"/>
  <c r="F469" i="41" s="1"/>
  <c r="T140" i="41"/>
  <c r="T468" i="41" s="1"/>
  <c r="S140" i="41"/>
  <c r="S468" i="41" s="1"/>
  <c r="R140" i="41"/>
  <c r="R468" i="41" s="1"/>
  <c r="Q140" i="41"/>
  <c r="Q468" i="41" s="1"/>
  <c r="P140" i="41"/>
  <c r="P468" i="41" s="1"/>
  <c r="O140" i="41"/>
  <c r="O468" i="41" s="1"/>
  <c r="N140" i="41"/>
  <c r="N468" i="41" s="1"/>
  <c r="M140" i="41"/>
  <c r="M468" i="41" s="1"/>
  <c r="L140" i="41"/>
  <c r="L468" i="41" s="1"/>
  <c r="K140" i="41"/>
  <c r="K468" i="41" s="1"/>
  <c r="J140" i="41"/>
  <c r="J468" i="41" s="1"/>
  <c r="I140" i="41"/>
  <c r="I468" i="41" s="1"/>
  <c r="H140" i="41"/>
  <c r="H468" i="41" s="1"/>
  <c r="G140" i="41"/>
  <c r="G468" i="41" s="1"/>
  <c r="F140" i="41"/>
  <c r="F468" i="41" s="1"/>
  <c r="T139" i="41"/>
  <c r="T467" i="41" s="1"/>
  <c r="S139" i="41"/>
  <c r="S467" i="41" s="1"/>
  <c r="R139" i="41"/>
  <c r="R467" i="41" s="1"/>
  <c r="Q139" i="41"/>
  <c r="Q467" i="41" s="1"/>
  <c r="P139" i="41"/>
  <c r="P467" i="41" s="1"/>
  <c r="O139" i="41"/>
  <c r="O467" i="41" s="1"/>
  <c r="N139" i="41"/>
  <c r="N467" i="41" s="1"/>
  <c r="M139" i="41"/>
  <c r="M467" i="41" s="1"/>
  <c r="L139" i="41"/>
  <c r="L467" i="41" s="1"/>
  <c r="K139" i="41"/>
  <c r="K467" i="41" s="1"/>
  <c r="J139" i="41"/>
  <c r="J467" i="41" s="1"/>
  <c r="I139" i="41"/>
  <c r="I467" i="41" s="1"/>
  <c r="H139" i="41"/>
  <c r="H467" i="41" s="1"/>
  <c r="G139" i="41"/>
  <c r="G467" i="41" s="1"/>
  <c r="F139" i="41"/>
  <c r="F467" i="41" s="1"/>
  <c r="T138" i="41"/>
  <c r="S138" i="41"/>
  <c r="S466" i="41" s="1"/>
  <c r="R138" i="41"/>
  <c r="R466" i="41" s="1"/>
  <c r="Q138" i="41"/>
  <c r="Q466" i="41" s="1"/>
  <c r="P138" i="41"/>
  <c r="P466" i="41" s="1"/>
  <c r="O138" i="41"/>
  <c r="O466" i="41" s="1"/>
  <c r="N138" i="41"/>
  <c r="N466" i="41" s="1"/>
  <c r="M138" i="41"/>
  <c r="M466" i="41" s="1"/>
  <c r="L138" i="41"/>
  <c r="L466" i="41" s="1"/>
  <c r="K138" i="41"/>
  <c r="K466" i="41" s="1"/>
  <c r="J138" i="41"/>
  <c r="J466" i="41" s="1"/>
  <c r="I138" i="41"/>
  <c r="I466" i="41" s="1"/>
  <c r="H138" i="41"/>
  <c r="H466" i="41" s="1"/>
  <c r="G138" i="41"/>
  <c r="G466" i="41" s="1"/>
  <c r="F138" i="41"/>
  <c r="F466" i="41" s="1"/>
  <c r="U38" i="36"/>
  <c r="U37" i="36"/>
  <c r="U29" i="35"/>
  <c r="U28" i="35"/>
  <c r="U27" i="35"/>
  <c r="U26" i="35"/>
  <c r="U25" i="35"/>
  <c r="U24" i="35"/>
  <c r="U26" i="32"/>
  <c r="U25" i="32"/>
  <c r="U24" i="32"/>
  <c r="U23" i="32"/>
  <c r="U22" i="32"/>
  <c r="U150" i="29"/>
  <c r="U149" i="29"/>
  <c r="U148" i="29"/>
  <c r="U147" i="29"/>
  <c r="U145" i="29"/>
  <c r="U144" i="29"/>
  <c r="T29" i="22"/>
  <c r="T98" i="22" s="1"/>
  <c r="S29" i="22"/>
  <c r="S98" i="22" s="1"/>
  <c r="R29" i="22"/>
  <c r="R98" i="22" s="1"/>
  <c r="Q29" i="22"/>
  <c r="Q98" i="22" s="1"/>
  <c r="P29" i="22"/>
  <c r="P98" i="22" s="1"/>
  <c r="O29" i="22"/>
  <c r="O98" i="22" s="1"/>
  <c r="N29" i="22"/>
  <c r="N98" i="22" s="1"/>
  <c r="M29" i="22"/>
  <c r="L29" i="22"/>
  <c r="L98" i="22" s="1"/>
  <c r="K29" i="22"/>
  <c r="K98" i="22" s="1"/>
  <c r="J29" i="22"/>
  <c r="J98" i="22" s="1"/>
  <c r="I29" i="22"/>
  <c r="I98" i="22" s="1"/>
  <c r="H29" i="22"/>
  <c r="H98" i="22" s="1"/>
  <c r="G29" i="22"/>
  <c r="G98" i="22" s="1"/>
  <c r="F29" i="22"/>
  <c r="F98" i="22" s="1"/>
  <c r="T28" i="22"/>
  <c r="T97" i="22" s="1"/>
  <c r="S28" i="22"/>
  <c r="S97" i="22" s="1"/>
  <c r="R28" i="22"/>
  <c r="Q28" i="22"/>
  <c r="Q97" i="22" s="1"/>
  <c r="P28" i="22"/>
  <c r="P97" i="22" s="1"/>
  <c r="O28" i="22"/>
  <c r="N28" i="22"/>
  <c r="N97" i="22" s="1"/>
  <c r="M28" i="22"/>
  <c r="M97" i="22" s="1"/>
  <c r="L28" i="22"/>
  <c r="L97" i="22" s="1"/>
  <c r="K28" i="22"/>
  <c r="K97" i="22" s="1"/>
  <c r="J28" i="22"/>
  <c r="I28" i="22"/>
  <c r="I97" i="22" s="1"/>
  <c r="H28" i="22"/>
  <c r="H97" i="22" s="1"/>
  <c r="G28" i="22"/>
  <c r="G97" i="22" s="1"/>
  <c r="F28" i="22"/>
  <c r="E29" i="22"/>
  <c r="E98" i="22" s="1"/>
  <c r="E28" i="22"/>
  <c r="E97" i="22" s="1"/>
  <c r="S19" i="21"/>
  <c r="S27" i="21" s="1"/>
  <c r="R19" i="21"/>
  <c r="R27" i="21" s="1"/>
  <c r="Q19" i="21"/>
  <c r="P19" i="21"/>
  <c r="O19" i="21"/>
  <c r="N19" i="21"/>
  <c r="M19" i="21"/>
  <c r="L19" i="21"/>
  <c r="K19" i="21"/>
  <c r="J19" i="21"/>
  <c r="I19" i="21"/>
  <c r="H19" i="21"/>
  <c r="G19" i="21"/>
  <c r="F19" i="21"/>
  <c r="I41" i="47" l="1"/>
  <c r="I129" i="47"/>
  <c r="M41" i="47"/>
  <c r="M129" i="47"/>
  <c r="Q41" i="47"/>
  <c r="Q129" i="47"/>
  <c r="F41" i="47"/>
  <c r="F129" i="47"/>
  <c r="J41" i="47"/>
  <c r="J129" i="47"/>
  <c r="N41" i="47"/>
  <c r="N129" i="47"/>
  <c r="R41" i="47"/>
  <c r="R129" i="47"/>
  <c r="G41" i="47"/>
  <c r="G129" i="47"/>
  <c r="K41" i="47"/>
  <c r="K129" i="47"/>
  <c r="O41" i="47"/>
  <c r="O129" i="47"/>
  <c r="S41" i="47"/>
  <c r="S129" i="47"/>
  <c r="H41" i="47"/>
  <c r="H129" i="47"/>
  <c r="L41" i="47"/>
  <c r="L129" i="47"/>
  <c r="P41" i="47"/>
  <c r="P129" i="47"/>
  <c r="F41" i="46"/>
  <c r="F131" i="46" s="1"/>
  <c r="J41" i="46"/>
  <c r="J131" i="46" s="1"/>
  <c r="N41" i="46"/>
  <c r="N131" i="46" s="1"/>
  <c r="R41" i="46"/>
  <c r="R131" i="46" s="1"/>
  <c r="G41" i="46"/>
  <c r="G131" i="46" s="1"/>
  <c r="K41" i="46"/>
  <c r="K131" i="46" s="1"/>
  <c r="O41" i="46"/>
  <c r="O131" i="46" s="1"/>
  <c r="S41" i="46"/>
  <c r="S131" i="46" s="1"/>
  <c r="T466" i="41"/>
  <c r="U6" i="36"/>
  <c r="T481" i="41"/>
  <c r="U7" i="36"/>
  <c r="M30" i="22"/>
  <c r="M98" i="22"/>
  <c r="F30" i="22"/>
  <c r="F97" i="22"/>
  <c r="J30" i="22"/>
  <c r="J97" i="22"/>
  <c r="R30" i="22"/>
  <c r="R97" i="22"/>
  <c r="O30" i="22"/>
  <c r="O97" i="22"/>
  <c r="T30" i="22"/>
  <c r="U70" i="20" s="1"/>
  <c r="U226" i="20" s="1"/>
  <c r="S30" i="22"/>
  <c r="Q30" i="22"/>
  <c r="P30" i="22"/>
  <c r="N30" i="22"/>
  <c r="L30" i="22"/>
  <c r="K30" i="22"/>
  <c r="I30" i="22"/>
  <c r="H30" i="22"/>
  <c r="G30" i="22"/>
  <c r="H41" i="46"/>
  <c r="H131" i="46" s="1"/>
  <c r="L41" i="46"/>
  <c r="L131" i="46" s="1"/>
  <c r="P41" i="46"/>
  <c r="P131" i="46" s="1"/>
  <c r="I41" i="46"/>
  <c r="I131" i="46" s="1"/>
  <c r="M41" i="46"/>
  <c r="M131" i="46" s="1"/>
  <c r="Q41" i="46"/>
  <c r="Q131" i="46" s="1"/>
  <c r="H160" i="41"/>
  <c r="H488" i="41" s="1"/>
  <c r="P160" i="41"/>
  <c r="P488" i="41" s="1"/>
  <c r="Q160" i="41"/>
  <c r="Q488" i="41" s="1"/>
  <c r="L160" i="41"/>
  <c r="L488" i="41" s="1"/>
  <c r="I160" i="41"/>
  <c r="I488" i="41" s="1"/>
  <c r="M160" i="41"/>
  <c r="M488" i="41" s="1"/>
  <c r="F160" i="41"/>
  <c r="F488" i="41" s="1"/>
  <c r="J160" i="41"/>
  <c r="J488" i="41" s="1"/>
  <c r="N160" i="41"/>
  <c r="N488" i="41" s="1"/>
  <c r="R160" i="41"/>
  <c r="R488" i="41" s="1"/>
  <c r="T160" i="41"/>
  <c r="G160" i="41"/>
  <c r="G488" i="41" s="1"/>
  <c r="K160" i="41"/>
  <c r="K488" i="41" s="1"/>
  <c r="O160" i="41"/>
  <c r="O488" i="41" s="1"/>
  <c r="S160" i="41"/>
  <c r="S488" i="41" s="1"/>
  <c r="U33" i="36" l="1"/>
  <c r="Z7" i="36"/>
  <c r="AA7" i="36" s="1"/>
  <c r="Q10" i="36"/>
  <c r="Q147" i="19" s="1"/>
  <c r="Q447" i="19" s="1"/>
  <c r="P131" i="47"/>
  <c r="I10" i="36"/>
  <c r="I147" i="19" s="1"/>
  <c r="I447" i="19" s="1"/>
  <c r="H131" i="47"/>
  <c r="P10" i="36"/>
  <c r="P147" i="19" s="1"/>
  <c r="P447" i="19" s="1"/>
  <c r="O131" i="47"/>
  <c r="H10" i="36"/>
  <c r="H147" i="19" s="1"/>
  <c r="H447" i="19" s="1"/>
  <c r="G131" i="47"/>
  <c r="O10" i="36"/>
  <c r="O147" i="19" s="1"/>
  <c r="O447" i="19" s="1"/>
  <c r="N131" i="47"/>
  <c r="G10" i="36"/>
  <c r="G147" i="19" s="1"/>
  <c r="G447" i="19" s="1"/>
  <c r="F131" i="47"/>
  <c r="N10" i="36"/>
  <c r="N147" i="19" s="1"/>
  <c r="N447" i="19" s="1"/>
  <c r="M131" i="47"/>
  <c r="U32" i="36"/>
  <c r="Z6" i="36"/>
  <c r="AA6" i="36" s="1"/>
  <c r="M10" i="36"/>
  <c r="M147" i="19" s="1"/>
  <c r="M447" i="19" s="1"/>
  <c r="L131" i="47"/>
  <c r="T10" i="36"/>
  <c r="S131" i="47"/>
  <c r="L10" i="36"/>
  <c r="L147" i="19" s="1"/>
  <c r="L447" i="19" s="1"/>
  <c r="K131" i="47"/>
  <c r="S10" i="36"/>
  <c r="R131" i="47"/>
  <c r="K10" i="36"/>
  <c r="K147" i="19" s="1"/>
  <c r="K447" i="19" s="1"/>
  <c r="J131" i="47"/>
  <c r="R10" i="36"/>
  <c r="R147" i="19" s="1"/>
  <c r="R447" i="19" s="1"/>
  <c r="Q131" i="47"/>
  <c r="J10" i="36"/>
  <c r="J147" i="19" s="1"/>
  <c r="J447" i="19" s="1"/>
  <c r="I131" i="47"/>
  <c r="L99" i="22"/>
  <c r="M70" i="20"/>
  <c r="M226" i="20" s="1"/>
  <c r="R99" i="22"/>
  <c r="S70" i="20"/>
  <c r="S226" i="20" s="1"/>
  <c r="G99" i="22"/>
  <c r="H70" i="20"/>
  <c r="H226" i="20" s="1"/>
  <c r="S99" i="22"/>
  <c r="T70" i="20"/>
  <c r="T226" i="20" s="1"/>
  <c r="H99" i="22"/>
  <c r="I70" i="20"/>
  <c r="I226" i="20" s="1"/>
  <c r="N99" i="22"/>
  <c r="O70" i="20"/>
  <c r="O226" i="20" s="1"/>
  <c r="U68" i="20"/>
  <c r="U224" i="20" s="1"/>
  <c r="U123" i="19"/>
  <c r="U423" i="19" s="1"/>
  <c r="U7" i="20"/>
  <c r="AB7" i="20" s="1"/>
  <c r="AC7" i="20" s="1"/>
  <c r="F99" i="22"/>
  <c r="G70" i="20"/>
  <c r="G226" i="20" s="1"/>
  <c r="I99" i="22"/>
  <c r="J70" i="20"/>
  <c r="J226" i="20" s="1"/>
  <c r="P99" i="22"/>
  <c r="Q70" i="20"/>
  <c r="Q226" i="20" s="1"/>
  <c r="T488" i="41"/>
  <c r="U5" i="36"/>
  <c r="Z5" i="36" s="1"/>
  <c r="AA5" i="36" s="1"/>
  <c r="K99" i="22"/>
  <c r="L70" i="20"/>
  <c r="L226" i="20" s="1"/>
  <c r="Q99" i="22"/>
  <c r="R70" i="20"/>
  <c r="R226" i="20" s="1"/>
  <c r="O99" i="22"/>
  <c r="P70" i="20"/>
  <c r="P226" i="20" s="1"/>
  <c r="J99" i="22"/>
  <c r="K70" i="20"/>
  <c r="K226" i="20" s="1"/>
  <c r="M99" i="22"/>
  <c r="N70" i="20"/>
  <c r="N226" i="20" s="1"/>
  <c r="T99" i="22"/>
  <c r="T16" i="3"/>
  <c r="S16" i="3"/>
  <c r="R16" i="3"/>
  <c r="Q16" i="3"/>
  <c r="P16" i="3"/>
  <c r="O16" i="3"/>
  <c r="N16" i="3"/>
  <c r="M16" i="3"/>
  <c r="L16" i="3"/>
  <c r="K16" i="3"/>
  <c r="J16" i="3"/>
  <c r="I16" i="3"/>
  <c r="H16" i="3"/>
  <c r="G16" i="3"/>
  <c r="F16" i="3"/>
  <c r="U8" i="14"/>
  <c r="U27" i="14"/>
  <c r="U29" i="14"/>
  <c r="U26" i="14"/>
  <c r="T4" i="35"/>
  <c r="T35" i="19" s="1"/>
  <c r="T335" i="19" s="1"/>
  <c r="S4" i="35"/>
  <c r="S35" i="19" s="1"/>
  <c r="S335" i="19" s="1"/>
  <c r="R4" i="35"/>
  <c r="R35" i="19" s="1"/>
  <c r="R335" i="19" s="1"/>
  <c r="Q4" i="35"/>
  <c r="P4" i="35"/>
  <c r="O4" i="35"/>
  <c r="O35" i="19" s="1"/>
  <c r="O335" i="19" s="1"/>
  <c r="N4" i="35"/>
  <c r="N35" i="19" s="1"/>
  <c r="N335" i="19" s="1"/>
  <c r="M4" i="35"/>
  <c r="L4" i="35"/>
  <c r="K4" i="35"/>
  <c r="K35" i="19" s="1"/>
  <c r="K335" i="19" s="1"/>
  <c r="J4" i="35"/>
  <c r="J35" i="19" s="1"/>
  <c r="J335" i="19" s="1"/>
  <c r="I4" i="35"/>
  <c r="H4" i="35"/>
  <c r="G4" i="35"/>
  <c r="G35" i="19" s="1"/>
  <c r="G335" i="19" s="1"/>
  <c r="F4" i="35"/>
  <c r="F35" i="19" s="1"/>
  <c r="F335" i="19" s="1"/>
  <c r="T4" i="38"/>
  <c r="S4" i="38"/>
  <c r="R4" i="38"/>
  <c r="R20" i="38" s="1"/>
  <c r="Q4" i="38"/>
  <c r="Q20" i="38" s="1"/>
  <c r="P4" i="38"/>
  <c r="P20" i="38" s="1"/>
  <c r="O4" i="38"/>
  <c r="O20" i="38" s="1"/>
  <c r="N4" i="38"/>
  <c r="N20" i="38" s="1"/>
  <c r="M4" i="38"/>
  <c r="M20" i="38" s="1"/>
  <c r="L4" i="38"/>
  <c r="L20" i="38" s="1"/>
  <c r="K4" i="38"/>
  <c r="K20" i="38" s="1"/>
  <c r="J4" i="38"/>
  <c r="J20" i="38" s="1"/>
  <c r="I4" i="38"/>
  <c r="I20" i="38" s="1"/>
  <c r="H4" i="38"/>
  <c r="H20" i="38" s="1"/>
  <c r="G4" i="38"/>
  <c r="G20" i="38" s="1"/>
  <c r="F4" i="38"/>
  <c r="F20" i="38" s="1"/>
  <c r="T4" i="37"/>
  <c r="S4" i="37"/>
  <c r="R4" i="37"/>
  <c r="R22" i="37" s="1"/>
  <c r="Q4" i="37"/>
  <c r="Q22" i="37" s="1"/>
  <c r="P4" i="37"/>
  <c r="P22" i="37" s="1"/>
  <c r="O4" i="37"/>
  <c r="O22" i="37" s="1"/>
  <c r="N4" i="37"/>
  <c r="N22" i="37" s="1"/>
  <c r="M4" i="37"/>
  <c r="M22" i="37" s="1"/>
  <c r="L4" i="37"/>
  <c r="L22" i="37" s="1"/>
  <c r="K4" i="37"/>
  <c r="K22" i="37" s="1"/>
  <c r="J4" i="37"/>
  <c r="J22" i="37" s="1"/>
  <c r="I4" i="37"/>
  <c r="I22" i="37" s="1"/>
  <c r="H4" i="37"/>
  <c r="H22" i="37" s="1"/>
  <c r="G4" i="37"/>
  <c r="G22" i="37" s="1"/>
  <c r="F4" i="37"/>
  <c r="F22" i="37" s="1"/>
  <c r="U36" i="36"/>
  <c r="U35" i="36"/>
  <c r="U34" i="36"/>
  <c r="T9" i="36"/>
  <c r="S9" i="36"/>
  <c r="R9" i="36"/>
  <c r="R146" i="19" s="1"/>
  <c r="R446" i="19" s="1"/>
  <c r="Q9" i="36"/>
  <c r="Q146" i="19" s="1"/>
  <c r="Q446" i="19" s="1"/>
  <c r="P9" i="36"/>
  <c r="P146" i="19" s="1"/>
  <c r="P446" i="19" s="1"/>
  <c r="O9" i="36"/>
  <c r="O146" i="19" s="1"/>
  <c r="O446" i="19" s="1"/>
  <c r="N9" i="36"/>
  <c r="N146" i="19" s="1"/>
  <c r="N446" i="19" s="1"/>
  <c r="M9" i="36"/>
  <c r="M146" i="19" s="1"/>
  <c r="M446" i="19" s="1"/>
  <c r="L9" i="36"/>
  <c r="L146" i="19" s="1"/>
  <c r="L446" i="19" s="1"/>
  <c r="K9" i="36"/>
  <c r="K146" i="19" s="1"/>
  <c r="K446" i="19" s="1"/>
  <c r="J9" i="36"/>
  <c r="J146" i="19" s="1"/>
  <c r="J446" i="19" s="1"/>
  <c r="I9" i="36"/>
  <c r="I146" i="19" s="1"/>
  <c r="I446" i="19" s="1"/>
  <c r="H9" i="36"/>
  <c r="H146" i="19" s="1"/>
  <c r="H446" i="19" s="1"/>
  <c r="G9" i="36"/>
  <c r="G146" i="19" s="1"/>
  <c r="G446" i="19" s="1"/>
  <c r="T8" i="36"/>
  <c r="S8" i="36"/>
  <c r="R8" i="36"/>
  <c r="R145" i="19" s="1"/>
  <c r="R445" i="19" s="1"/>
  <c r="Q8" i="36"/>
  <c r="Q145" i="19" s="1"/>
  <c r="Q445" i="19" s="1"/>
  <c r="P8" i="36"/>
  <c r="P145" i="19" s="1"/>
  <c r="P445" i="19" s="1"/>
  <c r="O8" i="36"/>
  <c r="O145" i="19" s="1"/>
  <c r="O445" i="19" s="1"/>
  <c r="N8" i="36"/>
  <c r="N145" i="19" s="1"/>
  <c r="N445" i="19" s="1"/>
  <c r="M8" i="36"/>
  <c r="M145" i="19" s="1"/>
  <c r="M445" i="19" s="1"/>
  <c r="L8" i="36"/>
  <c r="L145" i="19" s="1"/>
  <c r="L445" i="19" s="1"/>
  <c r="K8" i="36"/>
  <c r="K145" i="19" s="1"/>
  <c r="K445" i="19" s="1"/>
  <c r="J8" i="36"/>
  <c r="J145" i="19" s="1"/>
  <c r="J445" i="19" s="1"/>
  <c r="I8" i="36"/>
  <c r="I145" i="19" s="1"/>
  <c r="I445" i="19" s="1"/>
  <c r="H8" i="36"/>
  <c r="H145" i="19" s="1"/>
  <c r="H445" i="19" s="1"/>
  <c r="G8" i="36"/>
  <c r="G145" i="19" s="1"/>
  <c r="G445" i="19" s="1"/>
  <c r="T7" i="36"/>
  <c r="T33" i="36" s="1"/>
  <c r="S7" i="36"/>
  <c r="S33" i="36" s="1"/>
  <c r="R7" i="36"/>
  <c r="R33" i="36" s="1"/>
  <c r="Q7" i="36"/>
  <c r="Q33" i="36" s="1"/>
  <c r="P7" i="36"/>
  <c r="P33" i="36" s="1"/>
  <c r="O7" i="36"/>
  <c r="O33" i="36" s="1"/>
  <c r="N7" i="36"/>
  <c r="N33" i="36" s="1"/>
  <c r="M7" i="36"/>
  <c r="M33" i="36" s="1"/>
  <c r="L7" i="36"/>
  <c r="L33" i="36" s="1"/>
  <c r="K7" i="36"/>
  <c r="K33" i="36" s="1"/>
  <c r="J7" i="36"/>
  <c r="J33" i="36" s="1"/>
  <c r="I7" i="36"/>
  <c r="I33" i="36" s="1"/>
  <c r="H7" i="36"/>
  <c r="H33" i="36" s="1"/>
  <c r="G7" i="36"/>
  <c r="G33" i="36" s="1"/>
  <c r="T6" i="36"/>
  <c r="T32" i="36" s="1"/>
  <c r="S6" i="36"/>
  <c r="S32" i="36" s="1"/>
  <c r="R6" i="36"/>
  <c r="R32" i="36" s="1"/>
  <c r="Q6" i="36"/>
  <c r="Q32" i="36" s="1"/>
  <c r="P6" i="36"/>
  <c r="P32" i="36" s="1"/>
  <c r="O6" i="36"/>
  <c r="O32" i="36" s="1"/>
  <c r="N6" i="36"/>
  <c r="N32" i="36" s="1"/>
  <c r="M6" i="36"/>
  <c r="M32" i="36" s="1"/>
  <c r="L6" i="36"/>
  <c r="L32" i="36" s="1"/>
  <c r="K6" i="36"/>
  <c r="K32" i="36" s="1"/>
  <c r="J6" i="36"/>
  <c r="J32" i="36" s="1"/>
  <c r="I6" i="36"/>
  <c r="I32" i="36" s="1"/>
  <c r="H6" i="36"/>
  <c r="H32" i="36" s="1"/>
  <c r="G6" i="36"/>
  <c r="G32" i="36" s="1"/>
  <c r="T5" i="36"/>
  <c r="S5" i="36"/>
  <c r="R5" i="36"/>
  <c r="R144" i="19" s="1"/>
  <c r="R444" i="19" s="1"/>
  <c r="Q5" i="36"/>
  <c r="Q144" i="19" s="1"/>
  <c r="Q444" i="19" s="1"/>
  <c r="P5" i="36"/>
  <c r="P144" i="19" s="1"/>
  <c r="P444" i="19" s="1"/>
  <c r="O5" i="36"/>
  <c r="O144" i="19" s="1"/>
  <c r="O444" i="19" s="1"/>
  <c r="N5" i="36"/>
  <c r="N144" i="19" s="1"/>
  <c r="N444" i="19" s="1"/>
  <c r="M5" i="36"/>
  <c r="M144" i="19" s="1"/>
  <c r="M444" i="19" s="1"/>
  <c r="L5" i="36"/>
  <c r="L144" i="19" s="1"/>
  <c r="L444" i="19" s="1"/>
  <c r="K5" i="36"/>
  <c r="K144" i="19" s="1"/>
  <c r="K444" i="19" s="1"/>
  <c r="J5" i="36"/>
  <c r="J144" i="19" s="1"/>
  <c r="J444" i="19" s="1"/>
  <c r="I5" i="36"/>
  <c r="I144" i="19" s="1"/>
  <c r="I444" i="19" s="1"/>
  <c r="H5" i="36"/>
  <c r="H144" i="19" s="1"/>
  <c r="H444" i="19" s="1"/>
  <c r="G5" i="36"/>
  <c r="G144" i="19" s="1"/>
  <c r="G444" i="19" s="1"/>
  <c r="E39" i="47"/>
  <c r="E129" i="47" s="1"/>
  <c r="E104" i="47"/>
  <c r="B1" i="47"/>
  <c r="E40" i="46"/>
  <c r="E130" i="46" s="1"/>
  <c r="E39" i="46"/>
  <c r="E129" i="46" s="1"/>
  <c r="E51" i="45"/>
  <c r="E163" i="45" s="1"/>
  <c r="E50" i="45"/>
  <c r="E162" i="45" s="1"/>
  <c r="E49" i="45"/>
  <c r="E161" i="45" s="1"/>
  <c r="E158" i="41"/>
  <c r="E486" i="41" s="1"/>
  <c r="E156" i="41"/>
  <c r="E484" i="41" s="1"/>
  <c r="E155" i="41"/>
  <c r="E483" i="41" s="1"/>
  <c r="E154" i="41"/>
  <c r="E482" i="41" s="1"/>
  <c r="E153" i="41"/>
  <c r="E481" i="41" s="1"/>
  <c r="S20" i="38" l="1"/>
  <c r="S53" i="19"/>
  <c r="S353" i="19" s="1"/>
  <c r="H53" i="19"/>
  <c r="H353" i="19" s="1"/>
  <c r="G19" i="3"/>
  <c r="G89" i="3" s="1"/>
  <c r="G86" i="3"/>
  <c r="K19" i="3"/>
  <c r="K89" i="3" s="1"/>
  <c r="K86" i="3"/>
  <c r="O19" i="3"/>
  <c r="O89" i="3" s="1"/>
  <c r="O86" i="3"/>
  <c r="S19" i="3"/>
  <c r="S86" i="3"/>
  <c r="S22" i="37"/>
  <c r="S48" i="19"/>
  <c r="S348" i="19" s="1"/>
  <c r="T20" i="38"/>
  <c r="T53" i="19"/>
  <c r="T353" i="19" s="1"/>
  <c r="G48" i="19"/>
  <c r="G348" i="19" s="1"/>
  <c r="L53" i="19"/>
  <c r="L353" i="19" s="1"/>
  <c r="H19" i="3"/>
  <c r="H89" i="3" s="1"/>
  <c r="H86" i="3"/>
  <c r="L19" i="3"/>
  <c r="L89" i="3" s="1"/>
  <c r="L86" i="3"/>
  <c r="P19" i="3"/>
  <c r="P89" i="3" s="1"/>
  <c r="P86" i="3"/>
  <c r="T19" i="3"/>
  <c r="T86" i="3"/>
  <c r="T22" i="37"/>
  <c r="T48" i="19"/>
  <c r="T348" i="19" s="1"/>
  <c r="K48" i="19"/>
  <c r="K348" i="19" s="1"/>
  <c r="P53" i="19"/>
  <c r="P353" i="19" s="1"/>
  <c r="I19" i="3"/>
  <c r="I89" i="3" s="1"/>
  <c r="I86" i="3"/>
  <c r="M19" i="3"/>
  <c r="M89" i="3" s="1"/>
  <c r="M86" i="3"/>
  <c r="Q19" i="3"/>
  <c r="Q89" i="3" s="1"/>
  <c r="Q86" i="3"/>
  <c r="O48" i="19"/>
  <c r="O348" i="19" s="1"/>
  <c r="F19" i="3"/>
  <c r="F89" i="3" s="1"/>
  <c r="F86" i="3"/>
  <c r="J19" i="3"/>
  <c r="J89" i="3" s="1"/>
  <c r="J86" i="3"/>
  <c r="N19" i="3"/>
  <c r="N89" i="3" s="1"/>
  <c r="N86" i="3"/>
  <c r="R19" i="3"/>
  <c r="R86" i="3"/>
  <c r="S147" i="19"/>
  <c r="S447" i="19" s="1"/>
  <c r="S45" i="19"/>
  <c r="T147" i="19"/>
  <c r="T447" i="19" s="1"/>
  <c r="T45" i="19"/>
  <c r="U13" i="19"/>
  <c r="U313" i="19" s="1"/>
  <c r="U163" i="20"/>
  <c r="U28" i="14"/>
  <c r="U9" i="19"/>
  <c r="U309" i="19" s="1"/>
  <c r="S145" i="19"/>
  <c r="S445" i="19" s="1"/>
  <c r="S43" i="19"/>
  <c r="T145" i="19"/>
  <c r="T445" i="19" s="1"/>
  <c r="T43" i="19"/>
  <c r="S146" i="19"/>
  <c r="S446" i="19" s="1"/>
  <c r="S44" i="19"/>
  <c r="T146" i="19"/>
  <c r="T446" i="19" s="1"/>
  <c r="T44" i="19"/>
  <c r="S144" i="19"/>
  <c r="S444" i="19" s="1"/>
  <c r="S42" i="19"/>
  <c r="U31" i="36"/>
  <c r="U42" i="19"/>
  <c r="U342" i="19" s="1"/>
  <c r="T144" i="19"/>
  <c r="T444" i="19" s="1"/>
  <c r="T42" i="19"/>
  <c r="H90" i="19"/>
  <c r="H390" i="19" s="1"/>
  <c r="H24" i="35"/>
  <c r="L90" i="19"/>
  <c r="L390" i="19" s="1"/>
  <c r="L24" i="35"/>
  <c r="P90" i="19"/>
  <c r="P390" i="19" s="1"/>
  <c r="P24" i="35"/>
  <c r="T90" i="19"/>
  <c r="T390" i="19" s="1"/>
  <c r="T24" i="35"/>
  <c r="H48" i="19"/>
  <c r="H348" i="19" s="1"/>
  <c r="L48" i="19"/>
  <c r="L348" i="19" s="1"/>
  <c r="P48" i="19"/>
  <c r="P348" i="19" s="1"/>
  <c r="I53" i="19"/>
  <c r="I353" i="19" s="1"/>
  <c r="M53" i="19"/>
  <c r="M353" i="19" s="1"/>
  <c r="Q53" i="19"/>
  <c r="Q353" i="19" s="1"/>
  <c r="G90" i="19"/>
  <c r="G390" i="19" s="1"/>
  <c r="G24" i="35"/>
  <c r="K90" i="19"/>
  <c r="K390" i="19" s="1"/>
  <c r="K24" i="35"/>
  <c r="S90" i="19"/>
  <c r="S390" i="19" s="1"/>
  <c r="S24" i="35"/>
  <c r="I90" i="19"/>
  <c r="I390" i="19" s="1"/>
  <c r="I24" i="35"/>
  <c r="M90" i="19"/>
  <c r="M390" i="19" s="1"/>
  <c r="M24" i="35"/>
  <c r="Q90" i="19"/>
  <c r="Q390" i="19" s="1"/>
  <c r="Q24" i="35"/>
  <c r="H35" i="19"/>
  <c r="H335" i="19" s="1"/>
  <c r="L35" i="19"/>
  <c r="L335" i="19" s="1"/>
  <c r="P35" i="19"/>
  <c r="P335" i="19" s="1"/>
  <c r="I48" i="19"/>
  <c r="I348" i="19" s="1"/>
  <c r="M48" i="19"/>
  <c r="M348" i="19" s="1"/>
  <c r="Q48" i="19"/>
  <c r="Q348" i="19" s="1"/>
  <c r="F53" i="19"/>
  <c r="F353" i="19" s="1"/>
  <c r="J53" i="19"/>
  <c r="J353" i="19" s="1"/>
  <c r="N53" i="19"/>
  <c r="N353" i="19" s="1"/>
  <c r="R53" i="19"/>
  <c r="R353" i="19" s="1"/>
  <c r="O90" i="19"/>
  <c r="O390" i="19" s="1"/>
  <c r="O24" i="35"/>
  <c r="F90" i="19"/>
  <c r="F390" i="19" s="1"/>
  <c r="F24" i="35"/>
  <c r="J90" i="19"/>
  <c r="J390" i="19" s="1"/>
  <c r="J24" i="35"/>
  <c r="N90" i="19"/>
  <c r="N390" i="19" s="1"/>
  <c r="N24" i="35"/>
  <c r="R90" i="19"/>
  <c r="R390" i="19" s="1"/>
  <c r="R24" i="35"/>
  <c r="I35" i="19"/>
  <c r="I335" i="19" s="1"/>
  <c r="M35" i="19"/>
  <c r="M335" i="19" s="1"/>
  <c r="Q35" i="19"/>
  <c r="Q335" i="19" s="1"/>
  <c r="F48" i="19"/>
  <c r="F348" i="19" s="1"/>
  <c r="J48" i="19"/>
  <c r="J348" i="19" s="1"/>
  <c r="N48" i="19"/>
  <c r="N348" i="19" s="1"/>
  <c r="R48" i="19"/>
  <c r="R348" i="19" s="1"/>
  <c r="G53" i="19"/>
  <c r="G353" i="19" s="1"/>
  <c r="K53" i="19"/>
  <c r="K353" i="19" s="1"/>
  <c r="O53" i="19"/>
  <c r="O353" i="19" s="1"/>
  <c r="U64" i="19"/>
  <c r="U364" i="19" s="1"/>
  <c r="N68" i="20"/>
  <c r="N224" i="20" s="1"/>
  <c r="N123" i="19"/>
  <c r="N423" i="19" s="1"/>
  <c r="N7" i="20"/>
  <c r="N163" i="20" s="1"/>
  <c r="P68" i="20"/>
  <c r="P224" i="20" s="1"/>
  <c r="P7" i="20"/>
  <c r="P163" i="20" s="1"/>
  <c r="P123" i="19"/>
  <c r="P423" i="19" s="1"/>
  <c r="L68" i="20"/>
  <c r="L224" i="20" s="1"/>
  <c r="L123" i="19"/>
  <c r="L423" i="19" s="1"/>
  <c r="L7" i="20"/>
  <c r="L163" i="20" s="1"/>
  <c r="Q68" i="20"/>
  <c r="Q224" i="20" s="1"/>
  <c r="Q7" i="20"/>
  <c r="Q163" i="20" s="1"/>
  <c r="Q123" i="19"/>
  <c r="Q423" i="19" s="1"/>
  <c r="G68" i="20"/>
  <c r="G224" i="20" s="1"/>
  <c r="G123" i="19"/>
  <c r="G423" i="19" s="1"/>
  <c r="G7" i="20"/>
  <c r="G163" i="20" s="1"/>
  <c r="U121" i="19"/>
  <c r="U421" i="19" s="1"/>
  <c r="U5" i="20"/>
  <c r="AB5" i="20" s="1"/>
  <c r="AC5" i="20" s="1"/>
  <c r="I68" i="20"/>
  <c r="I224" i="20" s="1"/>
  <c r="I7" i="20"/>
  <c r="I163" i="20" s="1"/>
  <c r="I123" i="19"/>
  <c r="I423" i="19" s="1"/>
  <c r="H68" i="20"/>
  <c r="H224" i="20" s="1"/>
  <c r="H123" i="19"/>
  <c r="H423" i="19" s="1"/>
  <c r="H7" i="20"/>
  <c r="H163" i="20" s="1"/>
  <c r="M68" i="20"/>
  <c r="M224" i="20" s="1"/>
  <c r="M7" i="20"/>
  <c r="M163" i="20" s="1"/>
  <c r="M123" i="19"/>
  <c r="M423" i="19" s="1"/>
  <c r="K68" i="20"/>
  <c r="K224" i="20" s="1"/>
  <c r="K123" i="19"/>
  <c r="K423" i="19" s="1"/>
  <c r="K7" i="20"/>
  <c r="K163" i="20" s="1"/>
  <c r="R68" i="20"/>
  <c r="R224" i="20" s="1"/>
  <c r="R123" i="19"/>
  <c r="R423" i="19" s="1"/>
  <c r="R7" i="20"/>
  <c r="R163" i="20" s="1"/>
  <c r="U144" i="19"/>
  <c r="U444" i="19" s="1"/>
  <c r="U4" i="36"/>
  <c r="J68" i="20"/>
  <c r="J224" i="20" s="1"/>
  <c r="J7" i="20"/>
  <c r="J163" i="20" s="1"/>
  <c r="J123" i="19"/>
  <c r="J423" i="19" s="1"/>
  <c r="O68" i="20"/>
  <c r="O224" i="20" s="1"/>
  <c r="O7" i="20"/>
  <c r="O163" i="20" s="1"/>
  <c r="O123" i="19"/>
  <c r="O423" i="19" s="1"/>
  <c r="T68" i="20"/>
  <c r="T224" i="20" s="1"/>
  <c r="T7" i="20"/>
  <c r="T123" i="19"/>
  <c r="T423" i="19" s="1"/>
  <c r="S68" i="20"/>
  <c r="S224" i="20" s="1"/>
  <c r="S7" i="20"/>
  <c r="S123" i="19"/>
  <c r="S423" i="19" s="1"/>
  <c r="F29" i="3"/>
  <c r="J29" i="3"/>
  <c r="G29" i="3"/>
  <c r="K29" i="3"/>
  <c r="H29" i="3"/>
  <c r="I29" i="3"/>
  <c r="E41" i="47"/>
  <c r="R4" i="36"/>
  <c r="H4" i="36"/>
  <c r="L4" i="36"/>
  <c r="P4" i="36"/>
  <c r="T4" i="36"/>
  <c r="T41" i="19" s="1"/>
  <c r="T341" i="19" s="1"/>
  <c r="F7" i="36"/>
  <c r="F33" i="36" s="1"/>
  <c r="G4" i="36"/>
  <c r="G143" i="19" s="1"/>
  <c r="G443" i="19" s="1"/>
  <c r="K4" i="36"/>
  <c r="K143" i="19" s="1"/>
  <c r="K443" i="19" s="1"/>
  <c r="O4" i="36"/>
  <c r="O143" i="19" s="1"/>
  <c r="O443" i="19" s="1"/>
  <c r="S4" i="36"/>
  <c r="Z3" i="36" s="1"/>
  <c r="J4" i="36"/>
  <c r="J143" i="19" s="1"/>
  <c r="J443" i="19" s="1"/>
  <c r="N4" i="36"/>
  <c r="N143" i="19" s="1"/>
  <c r="N443" i="19" s="1"/>
  <c r="I4" i="36"/>
  <c r="I143" i="19" s="1"/>
  <c r="I443" i="19" s="1"/>
  <c r="M4" i="36"/>
  <c r="M143" i="19" s="1"/>
  <c r="M443" i="19" s="1"/>
  <c r="Q4" i="36"/>
  <c r="Q143" i="19" s="1"/>
  <c r="Q443" i="19" s="1"/>
  <c r="H30" i="3" l="1"/>
  <c r="H100" i="3" s="1"/>
  <c r="H99" i="3"/>
  <c r="K30" i="3"/>
  <c r="K100" i="3" s="1"/>
  <c r="K99" i="3"/>
  <c r="U41" i="19"/>
  <c r="U341" i="19" s="1"/>
  <c r="Z4" i="36"/>
  <c r="AA4" i="36" s="1"/>
  <c r="BF18" i="56"/>
  <c r="T345" i="19"/>
  <c r="T29" i="3"/>
  <c r="T89" i="3"/>
  <c r="G30" i="3"/>
  <c r="G100" i="3" s="1"/>
  <c r="G99" i="3"/>
  <c r="R29" i="3"/>
  <c r="R89" i="3"/>
  <c r="F10" i="36"/>
  <c r="F147" i="19" s="1"/>
  <c r="F447" i="19" s="1"/>
  <c r="E131" i="47"/>
  <c r="I30" i="3"/>
  <c r="I100" i="3" s="1"/>
  <c r="I99" i="3"/>
  <c r="J30" i="3"/>
  <c r="J100" i="3" s="1"/>
  <c r="J99" i="3"/>
  <c r="BF17" i="56"/>
  <c r="S345" i="19"/>
  <c r="S29" i="3"/>
  <c r="S89" i="3"/>
  <c r="F30" i="3"/>
  <c r="F100" i="3" s="1"/>
  <c r="F99" i="3"/>
  <c r="BC17" i="56"/>
  <c r="S342" i="19"/>
  <c r="BE17" i="56"/>
  <c r="S344" i="19"/>
  <c r="BE18" i="56"/>
  <c r="T344" i="19"/>
  <c r="BD18" i="56"/>
  <c r="T343" i="19"/>
  <c r="BC18" i="56"/>
  <c r="T342" i="19"/>
  <c r="BD17" i="56"/>
  <c r="S343" i="19"/>
  <c r="U11" i="19"/>
  <c r="U311" i="19" s="1"/>
  <c r="U161" i="20"/>
  <c r="S13" i="19"/>
  <c r="S313" i="19" s="1"/>
  <c r="S163" i="20"/>
  <c r="T13" i="19"/>
  <c r="T313" i="19" s="1"/>
  <c r="T163" i="20"/>
  <c r="BC19" i="56"/>
  <c r="G19" i="56"/>
  <c r="U120" i="19"/>
  <c r="U420" i="19" s="1"/>
  <c r="L55" i="57"/>
  <c r="G18" i="56"/>
  <c r="L6" i="57"/>
  <c r="B5" i="57"/>
  <c r="S143" i="19"/>
  <c r="S443" i="19" s="1"/>
  <c r="S41" i="19"/>
  <c r="S341" i="19" s="1"/>
  <c r="H121" i="19"/>
  <c r="H421" i="19" s="1"/>
  <c r="G121" i="19"/>
  <c r="G421" i="19" s="1"/>
  <c r="Q121" i="19"/>
  <c r="Q421" i="19" s="1"/>
  <c r="L121" i="19"/>
  <c r="L421" i="19" s="1"/>
  <c r="P121" i="19"/>
  <c r="P421" i="19" s="1"/>
  <c r="N121" i="19"/>
  <c r="N421" i="19" s="1"/>
  <c r="L30" i="36"/>
  <c r="L143" i="19"/>
  <c r="L443" i="19" s="1"/>
  <c r="U143" i="19"/>
  <c r="U443" i="19" s="1"/>
  <c r="H41" i="19"/>
  <c r="H341" i="19" s="1"/>
  <c r="H143" i="19"/>
  <c r="H443" i="19" s="1"/>
  <c r="P41" i="19"/>
  <c r="P341" i="19" s="1"/>
  <c r="P143" i="19"/>
  <c r="P443" i="19" s="1"/>
  <c r="M121" i="19"/>
  <c r="M421" i="19" s="1"/>
  <c r="I121" i="19"/>
  <c r="I421" i="19" s="1"/>
  <c r="R121" i="19"/>
  <c r="R421" i="19" s="1"/>
  <c r="K121" i="19"/>
  <c r="K421" i="19" s="1"/>
  <c r="T30" i="36"/>
  <c r="T143" i="19"/>
  <c r="T443" i="19" s="1"/>
  <c r="R30" i="36"/>
  <c r="R143" i="19"/>
  <c r="R443" i="19" s="1"/>
  <c r="S121" i="19"/>
  <c r="S421" i="19" s="1"/>
  <c r="T121" i="19"/>
  <c r="T421" i="19" s="1"/>
  <c r="O121" i="19"/>
  <c r="O421" i="19" s="1"/>
  <c r="J121" i="19"/>
  <c r="J421" i="19" s="1"/>
  <c r="Q29" i="3"/>
  <c r="O29" i="3"/>
  <c r="M29" i="3"/>
  <c r="P29" i="3"/>
  <c r="L29" i="3"/>
  <c r="N29" i="3"/>
  <c r="H30" i="36"/>
  <c r="R41" i="19"/>
  <c r="R341" i="19" s="1"/>
  <c r="P30" i="36"/>
  <c r="L41" i="19"/>
  <c r="L341" i="19" s="1"/>
  <c r="Q41" i="19"/>
  <c r="Q341" i="19" s="1"/>
  <c r="Q30" i="36"/>
  <c r="J41" i="19"/>
  <c r="J341" i="19" s="1"/>
  <c r="J30" i="36"/>
  <c r="G41" i="19"/>
  <c r="G341" i="19" s="1"/>
  <c r="G30" i="36"/>
  <c r="M41" i="19"/>
  <c r="M341" i="19" s="1"/>
  <c r="M30" i="36"/>
  <c r="S30" i="36"/>
  <c r="N41" i="19"/>
  <c r="N341" i="19" s="1"/>
  <c r="N30" i="36"/>
  <c r="K41" i="19"/>
  <c r="K341" i="19" s="1"/>
  <c r="K30" i="36"/>
  <c r="U30" i="36"/>
  <c r="I41" i="19"/>
  <c r="I341" i="19" s="1"/>
  <c r="I30" i="36"/>
  <c r="O41" i="19"/>
  <c r="O341" i="19" s="1"/>
  <c r="O30" i="36"/>
  <c r="W19" i="56" l="1"/>
  <c r="L30" i="3"/>
  <c r="L100" i="3" s="1"/>
  <c r="L99" i="3"/>
  <c r="Q30" i="3"/>
  <c r="Q100" i="3" s="1"/>
  <c r="Q99" i="3"/>
  <c r="P30" i="3"/>
  <c r="P100" i="3" s="1"/>
  <c r="P99" i="3"/>
  <c r="S30" i="3"/>
  <c r="S100" i="3" s="1"/>
  <c r="S99" i="3"/>
  <c r="M30" i="3"/>
  <c r="M100" i="3" s="1"/>
  <c r="M99" i="3"/>
  <c r="N30" i="3"/>
  <c r="N100" i="3" s="1"/>
  <c r="N99" i="3"/>
  <c r="O30" i="3"/>
  <c r="O100" i="3" s="1"/>
  <c r="O99" i="3"/>
  <c r="R30" i="3"/>
  <c r="R100" i="3" s="1"/>
  <c r="R99" i="3"/>
  <c r="T30" i="3"/>
  <c r="T99" i="3"/>
  <c r="C19" i="56"/>
  <c r="G8" i="56"/>
  <c r="E53" i="57"/>
  <c r="L53" i="57" s="1"/>
  <c r="L54" i="57"/>
  <c r="D4" i="57"/>
  <c r="L15" i="57"/>
  <c r="G11" i="56"/>
  <c r="G9" i="56"/>
  <c r="G5" i="56"/>
  <c r="G15" i="56"/>
  <c r="G16" i="56"/>
  <c r="G6" i="56"/>
  <c r="L5" i="57"/>
  <c r="G12" i="56"/>
  <c r="G10" i="56"/>
  <c r="G14" i="56"/>
  <c r="G17" i="56"/>
  <c r="G13" i="56"/>
  <c r="G7" i="56"/>
  <c r="R120" i="19"/>
  <c r="R420" i="19" s="1"/>
  <c r="P120" i="19"/>
  <c r="P420" i="19" s="1"/>
  <c r="H120" i="19"/>
  <c r="H420" i="19" s="1"/>
  <c r="T120" i="19"/>
  <c r="T420" i="19" s="1"/>
  <c r="I120" i="19"/>
  <c r="I420" i="19" s="1"/>
  <c r="L120" i="19"/>
  <c r="L420" i="19" s="1"/>
  <c r="O120" i="19"/>
  <c r="O420" i="19" s="1"/>
  <c r="J120" i="19"/>
  <c r="J420" i="19" s="1"/>
  <c r="K120" i="19"/>
  <c r="K420" i="19" s="1"/>
  <c r="N120" i="19"/>
  <c r="N420" i="19" s="1"/>
  <c r="G120" i="19"/>
  <c r="G420" i="19" s="1"/>
  <c r="S120" i="19"/>
  <c r="S420" i="19" s="1"/>
  <c r="M120" i="19"/>
  <c r="M420" i="19" s="1"/>
  <c r="Q120" i="19"/>
  <c r="Q420" i="19" s="1"/>
  <c r="E139" i="41"/>
  <c r="E467" i="41" s="1"/>
  <c r="U5" i="14" l="1"/>
  <c r="T100" i="3"/>
  <c r="E4" i="57"/>
  <c r="E104" i="46"/>
  <c r="E41" i="46"/>
  <c r="E131" i="46" s="1"/>
  <c r="B1" i="46"/>
  <c r="E126" i="45"/>
  <c r="B1" i="45"/>
  <c r="U4" i="14" l="1"/>
  <c r="U6" i="19"/>
  <c r="AB5" i="14"/>
  <c r="AC5" i="14" s="1"/>
  <c r="U61" i="19"/>
  <c r="U361" i="19" s="1"/>
  <c r="U25" i="14"/>
  <c r="F9" i="36"/>
  <c r="F146" i="19" s="1"/>
  <c r="F446" i="19" s="1"/>
  <c r="E52" i="45"/>
  <c r="E164" i="45" s="1"/>
  <c r="L19" i="56" l="1"/>
  <c r="U306" i="19"/>
  <c r="U60" i="19"/>
  <c r="U360" i="19" s="1"/>
  <c r="U5" i="19"/>
  <c r="F8" i="36"/>
  <c r="F145" i="19" s="1"/>
  <c r="F445" i="19" s="1"/>
  <c r="E143" i="41"/>
  <c r="E471" i="41" s="1"/>
  <c r="E141" i="41"/>
  <c r="E469" i="41" s="1"/>
  <c r="E140" i="41"/>
  <c r="E468" i="41" s="1"/>
  <c r="E138" i="41"/>
  <c r="E466" i="41" s="1"/>
  <c r="U305" i="19" l="1"/>
  <c r="B19" i="56"/>
  <c r="E160" i="41"/>
  <c r="E488" i="41" s="1"/>
  <c r="F6" i="36"/>
  <c r="F32" i="36" s="1"/>
  <c r="E32" i="26"/>
  <c r="E128" i="26" s="1"/>
  <c r="F5" i="36" l="1"/>
  <c r="S30" i="21"/>
  <c r="T44" i="20" s="1"/>
  <c r="T200" i="20" s="1"/>
  <c r="R30" i="21"/>
  <c r="S44" i="20" s="1"/>
  <c r="S200" i="20" s="1"/>
  <c r="Q30" i="21"/>
  <c r="R44" i="20" s="1"/>
  <c r="R200" i="20" s="1"/>
  <c r="P30" i="21"/>
  <c r="Q44" i="20" s="1"/>
  <c r="Q200" i="20" s="1"/>
  <c r="O30" i="21"/>
  <c r="P44" i="20" s="1"/>
  <c r="P200" i="20" s="1"/>
  <c r="N30" i="21"/>
  <c r="O44" i="20" s="1"/>
  <c r="O200" i="20" s="1"/>
  <c r="M30" i="21"/>
  <c r="N44" i="20" s="1"/>
  <c r="N200" i="20" s="1"/>
  <c r="L30" i="21"/>
  <c r="M44" i="20" s="1"/>
  <c r="M200" i="20" s="1"/>
  <c r="K30" i="21"/>
  <c r="L44" i="20" s="1"/>
  <c r="L200" i="20" s="1"/>
  <c r="J30" i="21"/>
  <c r="K44" i="20" s="1"/>
  <c r="K200" i="20" s="1"/>
  <c r="I30" i="21"/>
  <c r="J44" i="20" s="1"/>
  <c r="J200" i="20" s="1"/>
  <c r="H30" i="21"/>
  <c r="I44" i="20" s="1"/>
  <c r="I200" i="20" s="1"/>
  <c r="G30" i="21"/>
  <c r="H44" i="20" s="1"/>
  <c r="H200" i="20" s="1"/>
  <c r="F30" i="21"/>
  <c r="G44" i="20" s="1"/>
  <c r="G200" i="20" s="1"/>
  <c r="E30" i="21"/>
  <c r="F44" i="20" s="1"/>
  <c r="F200" i="20" s="1"/>
  <c r="R52" i="19"/>
  <c r="R352" i="19" s="1"/>
  <c r="Q52" i="19"/>
  <c r="Q352" i="19" s="1"/>
  <c r="P52" i="19"/>
  <c r="P352" i="19" s="1"/>
  <c r="O52" i="19"/>
  <c r="O352" i="19" s="1"/>
  <c r="N52" i="19"/>
  <c r="N352" i="19" s="1"/>
  <c r="M52" i="19"/>
  <c r="M352" i="19" s="1"/>
  <c r="L52" i="19"/>
  <c r="L352" i="19" s="1"/>
  <c r="K52" i="19"/>
  <c r="K352" i="19" s="1"/>
  <c r="J52" i="19"/>
  <c r="J352" i="19" s="1"/>
  <c r="I52" i="19"/>
  <c r="I352" i="19" s="1"/>
  <c r="H52" i="19"/>
  <c r="H352" i="19" s="1"/>
  <c r="G52" i="19"/>
  <c r="G352" i="19" s="1"/>
  <c r="R51" i="19"/>
  <c r="R351" i="19" s="1"/>
  <c r="Q51" i="19"/>
  <c r="Q351" i="19" s="1"/>
  <c r="P51" i="19"/>
  <c r="P351" i="19" s="1"/>
  <c r="O51" i="19"/>
  <c r="O351" i="19" s="1"/>
  <c r="N51" i="19"/>
  <c r="N351" i="19" s="1"/>
  <c r="M51" i="19"/>
  <c r="M351" i="19" s="1"/>
  <c r="L51" i="19"/>
  <c r="L351" i="19" s="1"/>
  <c r="K51" i="19"/>
  <c r="K351" i="19" s="1"/>
  <c r="J51" i="19"/>
  <c r="J351" i="19" s="1"/>
  <c r="I51" i="19"/>
  <c r="I351" i="19" s="1"/>
  <c r="H51" i="19"/>
  <c r="H351" i="19" s="1"/>
  <c r="G51" i="19"/>
  <c r="G351" i="19" s="1"/>
  <c r="R50" i="19"/>
  <c r="R350" i="19" s="1"/>
  <c r="Q50" i="19"/>
  <c r="Q350" i="19" s="1"/>
  <c r="P50" i="19"/>
  <c r="P350" i="19" s="1"/>
  <c r="O50" i="19"/>
  <c r="O350" i="19" s="1"/>
  <c r="N50" i="19"/>
  <c r="N350" i="19" s="1"/>
  <c r="M50" i="19"/>
  <c r="M350" i="19" s="1"/>
  <c r="L50" i="19"/>
  <c r="L350" i="19" s="1"/>
  <c r="K50" i="19"/>
  <c r="K350" i="19" s="1"/>
  <c r="J50" i="19"/>
  <c r="J350" i="19" s="1"/>
  <c r="I50" i="19"/>
  <c r="I350" i="19" s="1"/>
  <c r="H50" i="19"/>
  <c r="H350" i="19" s="1"/>
  <c r="G50" i="19"/>
  <c r="G350" i="19" s="1"/>
  <c r="R49" i="19"/>
  <c r="R349" i="19" s="1"/>
  <c r="Q49" i="19"/>
  <c r="Q349" i="19" s="1"/>
  <c r="P49" i="19"/>
  <c r="P349" i="19" s="1"/>
  <c r="O49" i="19"/>
  <c r="O349" i="19" s="1"/>
  <c r="N49" i="19"/>
  <c r="N349" i="19" s="1"/>
  <c r="M49" i="19"/>
  <c r="M349" i="19" s="1"/>
  <c r="L49" i="19"/>
  <c r="L349" i="19" s="1"/>
  <c r="K49" i="19"/>
  <c r="K349" i="19" s="1"/>
  <c r="J49" i="19"/>
  <c r="J349" i="19" s="1"/>
  <c r="I49" i="19"/>
  <c r="I349" i="19" s="1"/>
  <c r="H49" i="19"/>
  <c r="H349" i="19" s="1"/>
  <c r="G49" i="19"/>
  <c r="G349" i="19" s="1"/>
  <c r="K100" i="19" l="1"/>
  <c r="K400" i="19" s="1"/>
  <c r="S100" i="19"/>
  <c r="S400" i="19" s="1"/>
  <c r="H100" i="19"/>
  <c r="H400" i="19" s="1"/>
  <c r="L100" i="19"/>
  <c r="L400" i="19" s="1"/>
  <c r="P100" i="19"/>
  <c r="P400" i="19" s="1"/>
  <c r="T100" i="19"/>
  <c r="T400" i="19" s="1"/>
  <c r="G100" i="19"/>
  <c r="G400" i="19" s="1"/>
  <c r="I100" i="19"/>
  <c r="I400" i="19" s="1"/>
  <c r="M100" i="19"/>
  <c r="M400" i="19" s="1"/>
  <c r="Q100" i="19"/>
  <c r="Q400" i="19" s="1"/>
  <c r="O100" i="19"/>
  <c r="O400" i="19" s="1"/>
  <c r="F100" i="19"/>
  <c r="F400" i="19" s="1"/>
  <c r="J100" i="19"/>
  <c r="J400" i="19" s="1"/>
  <c r="N100" i="19"/>
  <c r="N400" i="19" s="1"/>
  <c r="R100" i="19"/>
  <c r="R400" i="19" s="1"/>
  <c r="F4" i="36"/>
  <c r="F30" i="36" s="1"/>
  <c r="F144" i="19"/>
  <c r="F444" i="19" s="1"/>
  <c r="F343" i="41"/>
  <c r="G343" i="41"/>
  <c r="H343" i="41"/>
  <c r="I343" i="41"/>
  <c r="J343" i="41"/>
  <c r="K343" i="41"/>
  <c r="L343" i="41"/>
  <c r="M343" i="41"/>
  <c r="N343" i="41"/>
  <c r="O343" i="41"/>
  <c r="P343" i="41"/>
  <c r="Q343" i="41"/>
  <c r="R343" i="41"/>
  <c r="S343" i="41"/>
  <c r="F41" i="19" l="1"/>
  <c r="F143" i="19"/>
  <c r="F443" i="19" s="1"/>
  <c r="G10" i="19"/>
  <c r="G310" i="19" s="1"/>
  <c r="H10" i="19"/>
  <c r="H310" i="19" s="1"/>
  <c r="I10" i="19"/>
  <c r="I310" i="19" s="1"/>
  <c r="J10" i="19"/>
  <c r="J310" i="19" s="1"/>
  <c r="K10" i="19"/>
  <c r="K310" i="19" s="1"/>
  <c r="L10" i="19"/>
  <c r="L310" i="19" s="1"/>
  <c r="M10" i="19"/>
  <c r="M310" i="19" s="1"/>
  <c r="N10" i="19"/>
  <c r="N310" i="19" s="1"/>
  <c r="O10" i="19"/>
  <c r="O310" i="19" s="1"/>
  <c r="P10" i="19"/>
  <c r="P310" i="19" s="1"/>
  <c r="Q10" i="19"/>
  <c r="Q310" i="19" s="1"/>
  <c r="R10" i="19"/>
  <c r="R310" i="19" s="1"/>
  <c r="G14" i="19"/>
  <c r="G314" i="19" s="1"/>
  <c r="H14" i="19"/>
  <c r="H314" i="19" s="1"/>
  <c r="I14" i="19"/>
  <c r="I314" i="19" s="1"/>
  <c r="J14" i="19"/>
  <c r="J314" i="19" s="1"/>
  <c r="K14" i="19"/>
  <c r="K314" i="19" s="1"/>
  <c r="L14" i="19"/>
  <c r="L314" i="19" s="1"/>
  <c r="M14" i="19"/>
  <c r="M314" i="19" s="1"/>
  <c r="N14" i="19"/>
  <c r="N314" i="19" s="1"/>
  <c r="O14" i="19"/>
  <c r="O314" i="19" s="1"/>
  <c r="P14" i="19"/>
  <c r="P314" i="19" s="1"/>
  <c r="Q14" i="19"/>
  <c r="Q314" i="19" s="1"/>
  <c r="R14" i="19"/>
  <c r="R314" i="19" s="1"/>
  <c r="G15" i="19"/>
  <c r="G315" i="19" s="1"/>
  <c r="H15" i="19"/>
  <c r="H315" i="19" s="1"/>
  <c r="I15" i="19"/>
  <c r="I315" i="19" s="1"/>
  <c r="J15" i="19"/>
  <c r="J315" i="19" s="1"/>
  <c r="K15" i="19"/>
  <c r="K315" i="19" s="1"/>
  <c r="L15" i="19"/>
  <c r="L315" i="19" s="1"/>
  <c r="M15" i="19"/>
  <c r="M315" i="19" s="1"/>
  <c r="N15" i="19"/>
  <c r="N315" i="19" s="1"/>
  <c r="O15" i="19"/>
  <c r="O315" i="19" s="1"/>
  <c r="P15" i="19"/>
  <c r="P315" i="19" s="1"/>
  <c r="Q15" i="19"/>
  <c r="Q315" i="19" s="1"/>
  <c r="R15" i="19"/>
  <c r="R315" i="19" s="1"/>
  <c r="G18" i="19"/>
  <c r="G318" i="19" s="1"/>
  <c r="H18" i="19"/>
  <c r="H318" i="19" s="1"/>
  <c r="I18" i="19"/>
  <c r="I318" i="19" s="1"/>
  <c r="J18" i="19"/>
  <c r="J318" i="19" s="1"/>
  <c r="K18" i="19"/>
  <c r="K318" i="19" s="1"/>
  <c r="L18" i="19"/>
  <c r="L318" i="19" s="1"/>
  <c r="M18" i="19"/>
  <c r="M318" i="19" s="1"/>
  <c r="N18" i="19"/>
  <c r="N318" i="19" s="1"/>
  <c r="O18" i="19"/>
  <c r="O318" i="19" s="1"/>
  <c r="P18" i="19"/>
  <c r="P318" i="19" s="1"/>
  <c r="Q18" i="19"/>
  <c r="Q318" i="19" s="1"/>
  <c r="R18" i="19"/>
  <c r="R318" i="19" s="1"/>
  <c r="G20" i="19"/>
  <c r="G320" i="19" s="1"/>
  <c r="H20" i="19"/>
  <c r="H320" i="19" s="1"/>
  <c r="I20" i="19"/>
  <c r="I320" i="19" s="1"/>
  <c r="J20" i="19"/>
  <c r="J320" i="19" s="1"/>
  <c r="K20" i="19"/>
  <c r="K320" i="19" s="1"/>
  <c r="L20" i="19"/>
  <c r="L320" i="19" s="1"/>
  <c r="M20" i="19"/>
  <c r="M320" i="19" s="1"/>
  <c r="N20" i="19"/>
  <c r="N320" i="19" s="1"/>
  <c r="O20" i="19"/>
  <c r="O320" i="19" s="1"/>
  <c r="P20" i="19"/>
  <c r="P320" i="19" s="1"/>
  <c r="Q20" i="19"/>
  <c r="Q320" i="19" s="1"/>
  <c r="R20" i="19"/>
  <c r="R320" i="19" s="1"/>
  <c r="G21" i="19"/>
  <c r="G321" i="19" s="1"/>
  <c r="H21" i="19"/>
  <c r="H321" i="19" s="1"/>
  <c r="I21" i="19"/>
  <c r="I321" i="19" s="1"/>
  <c r="J21" i="19"/>
  <c r="J321" i="19" s="1"/>
  <c r="K21" i="19"/>
  <c r="K321" i="19" s="1"/>
  <c r="L21" i="19"/>
  <c r="L321" i="19" s="1"/>
  <c r="M21" i="19"/>
  <c r="M321" i="19" s="1"/>
  <c r="N21" i="19"/>
  <c r="N321" i="19" s="1"/>
  <c r="O21" i="19"/>
  <c r="O321" i="19" s="1"/>
  <c r="P21" i="19"/>
  <c r="P321" i="19" s="1"/>
  <c r="Q21" i="19"/>
  <c r="Q321" i="19" s="1"/>
  <c r="R21" i="19"/>
  <c r="R321" i="19" s="1"/>
  <c r="G26" i="19"/>
  <c r="G326" i="19" s="1"/>
  <c r="H26" i="19"/>
  <c r="H326" i="19" s="1"/>
  <c r="I26" i="19"/>
  <c r="I326" i="19" s="1"/>
  <c r="J26" i="19"/>
  <c r="J326" i="19" s="1"/>
  <c r="K26" i="19"/>
  <c r="K326" i="19" s="1"/>
  <c r="L26" i="19"/>
  <c r="L326" i="19" s="1"/>
  <c r="M26" i="19"/>
  <c r="M326" i="19" s="1"/>
  <c r="N26" i="19"/>
  <c r="N326" i="19" s="1"/>
  <c r="O26" i="19"/>
  <c r="O326" i="19" s="1"/>
  <c r="P26" i="19"/>
  <c r="P326" i="19" s="1"/>
  <c r="Q26" i="19"/>
  <c r="Q326" i="19" s="1"/>
  <c r="R26" i="19"/>
  <c r="R326" i="19" s="1"/>
  <c r="G29" i="19"/>
  <c r="G329" i="19" s="1"/>
  <c r="H29" i="19"/>
  <c r="H329" i="19" s="1"/>
  <c r="I29" i="19"/>
  <c r="I329" i="19" s="1"/>
  <c r="J29" i="19"/>
  <c r="J329" i="19" s="1"/>
  <c r="K29" i="19"/>
  <c r="K329" i="19" s="1"/>
  <c r="L29" i="19"/>
  <c r="L329" i="19" s="1"/>
  <c r="M29" i="19"/>
  <c r="M329" i="19" s="1"/>
  <c r="N29" i="19"/>
  <c r="N329" i="19" s="1"/>
  <c r="O29" i="19"/>
  <c r="O329" i="19" s="1"/>
  <c r="P29" i="19"/>
  <c r="P329" i="19" s="1"/>
  <c r="Q29" i="19"/>
  <c r="Q329" i="19" s="1"/>
  <c r="R29" i="19"/>
  <c r="R329" i="19" s="1"/>
  <c r="G33" i="19"/>
  <c r="G333" i="19" s="1"/>
  <c r="H33" i="19"/>
  <c r="H333" i="19" s="1"/>
  <c r="I33" i="19"/>
  <c r="I333" i="19" s="1"/>
  <c r="J33" i="19"/>
  <c r="J333" i="19" s="1"/>
  <c r="K33" i="19"/>
  <c r="K333" i="19" s="1"/>
  <c r="L33" i="19"/>
  <c r="L333" i="19" s="1"/>
  <c r="M33" i="19"/>
  <c r="M333" i="19" s="1"/>
  <c r="N33" i="19"/>
  <c r="N333" i="19" s="1"/>
  <c r="O33" i="19"/>
  <c r="O333" i="19" s="1"/>
  <c r="P33" i="19"/>
  <c r="P333" i="19" s="1"/>
  <c r="Q33" i="19"/>
  <c r="Q333" i="19" s="1"/>
  <c r="R33" i="19"/>
  <c r="R333" i="19" s="1"/>
  <c r="G34" i="19"/>
  <c r="G334" i="19" s="1"/>
  <c r="H34" i="19"/>
  <c r="H334" i="19" s="1"/>
  <c r="I34" i="19"/>
  <c r="I334" i="19" s="1"/>
  <c r="J34" i="19"/>
  <c r="J334" i="19" s="1"/>
  <c r="K34" i="19"/>
  <c r="K334" i="19" s="1"/>
  <c r="L34" i="19"/>
  <c r="L334" i="19" s="1"/>
  <c r="M34" i="19"/>
  <c r="M334" i="19" s="1"/>
  <c r="N34" i="19"/>
  <c r="N334" i="19" s="1"/>
  <c r="O34" i="19"/>
  <c r="O334" i="19" s="1"/>
  <c r="P34" i="19"/>
  <c r="P334" i="19" s="1"/>
  <c r="Q34" i="19"/>
  <c r="Q334" i="19" s="1"/>
  <c r="R34" i="19"/>
  <c r="R334" i="19" s="1"/>
  <c r="G36" i="19"/>
  <c r="G336" i="19" s="1"/>
  <c r="H36" i="19"/>
  <c r="H336" i="19" s="1"/>
  <c r="I36" i="19"/>
  <c r="I336" i="19" s="1"/>
  <c r="J36" i="19"/>
  <c r="J336" i="19" s="1"/>
  <c r="K36" i="19"/>
  <c r="K336" i="19" s="1"/>
  <c r="L36" i="19"/>
  <c r="L336" i="19" s="1"/>
  <c r="M36" i="19"/>
  <c r="M336" i="19" s="1"/>
  <c r="N36" i="19"/>
  <c r="N336" i="19" s="1"/>
  <c r="O36" i="19"/>
  <c r="O336" i="19" s="1"/>
  <c r="P36" i="19"/>
  <c r="P336" i="19" s="1"/>
  <c r="Q36" i="19"/>
  <c r="Q336" i="19" s="1"/>
  <c r="R36" i="19"/>
  <c r="R336" i="19" s="1"/>
  <c r="G37" i="19"/>
  <c r="G337" i="19" s="1"/>
  <c r="H37" i="19"/>
  <c r="H337" i="19" s="1"/>
  <c r="I37" i="19"/>
  <c r="I337" i="19" s="1"/>
  <c r="J37" i="19"/>
  <c r="J337" i="19" s="1"/>
  <c r="K37" i="19"/>
  <c r="K337" i="19" s="1"/>
  <c r="L37" i="19"/>
  <c r="L337" i="19" s="1"/>
  <c r="M37" i="19"/>
  <c r="M337" i="19" s="1"/>
  <c r="N37" i="19"/>
  <c r="N337" i="19" s="1"/>
  <c r="O37" i="19"/>
  <c r="O337" i="19" s="1"/>
  <c r="P37" i="19"/>
  <c r="P337" i="19" s="1"/>
  <c r="Q37" i="19"/>
  <c r="Q337" i="19" s="1"/>
  <c r="R37" i="19"/>
  <c r="R337" i="19" s="1"/>
  <c r="G38" i="19"/>
  <c r="G338" i="19" s="1"/>
  <c r="H38" i="19"/>
  <c r="H338" i="19" s="1"/>
  <c r="I38" i="19"/>
  <c r="I338" i="19" s="1"/>
  <c r="J38" i="19"/>
  <c r="J338" i="19" s="1"/>
  <c r="K38" i="19"/>
  <c r="K338" i="19" s="1"/>
  <c r="L38" i="19"/>
  <c r="L338" i="19" s="1"/>
  <c r="M38" i="19"/>
  <c r="M338" i="19" s="1"/>
  <c r="N38" i="19"/>
  <c r="N338" i="19" s="1"/>
  <c r="O38" i="19"/>
  <c r="O338" i="19" s="1"/>
  <c r="P38" i="19"/>
  <c r="P338" i="19" s="1"/>
  <c r="Q38" i="19"/>
  <c r="Q338" i="19" s="1"/>
  <c r="R38" i="19"/>
  <c r="R338" i="19" s="1"/>
  <c r="G39" i="19"/>
  <c r="G339" i="19" s="1"/>
  <c r="H39" i="19"/>
  <c r="H339" i="19" s="1"/>
  <c r="I39" i="19"/>
  <c r="I339" i="19" s="1"/>
  <c r="J39" i="19"/>
  <c r="J339" i="19" s="1"/>
  <c r="K39" i="19"/>
  <c r="K339" i="19" s="1"/>
  <c r="L39" i="19"/>
  <c r="L339" i="19" s="1"/>
  <c r="M39" i="19"/>
  <c r="M339" i="19" s="1"/>
  <c r="N39" i="19"/>
  <c r="N339" i="19" s="1"/>
  <c r="O39" i="19"/>
  <c r="O339" i="19" s="1"/>
  <c r="P39" i="19"/>
  <c r="P339" i="19" s="1"/>
  <c r="Q39" i="19"/>
  <c r="Q339" i="19" s="1"/>
  <c r="R39" i="19"/>
  <c r="R339" i="19" s="1"/>
  <c r="G40" i="19"/>
  <c r="G340" i="19" s="1"/>
  <c r="H40" i="19"/>
  <c r="H340" i="19" s="1"/>
  <c r="I40" i="19"/>
  <c r="I340" i="19" s="1"/>
  <c r="J40" i="19"/>
  <c r="J340" i="19" s="1"/>
  <c r="K40" i="19"/>
  <c r="K340" i="19" s="1"/>
  <c r="L40" i="19"/>
  <c r="L340" i="19" s="1"/>
  <c r="M40" i="19"/>
  <c r="M340" i="19" s="1"/>
  <c r="N40" i="19"/>
  <c r="N340" i="19" s="1"/>
  <c r="O40" i="19"/>
  <c r="O340" i="19" s="1"/>
  <c r="P40" i="19"/>
  <c r="P340" i="19" s="1"/>
  <c r="Q40" i="19"/>
  <c r="Q340" i="19" s="1"/>
  <c r="R40" i="19"/>
  <c r="R340" i="19" s="1"/>
  <c r="G43" i="19"/>
  <c r="H43" i="19"/>
  <c r="I43" i="19"/>
  <c r="J43" i="19"/>
  <c r="K43" i="19"/>
  <c r="L43" i="19"/>
  <c r="M43" i="19"/>
  <c r="N43" i="19"/>
  <c r="O43" i="19"/>
  <c r="P43" i="19"/>
  <c r="Q43" i="19"/>
  <c r="R43" i="19"/>
  <c r="R343" i="19" s="1"/>
  <c r="G44" i="19"/>
  <c r="H44" i="19"/>
  <c r="I44" i="19"/>
  <c r="J44" i="19"/>
  <c r="K44" i="19"/>
  <c r="L44" i="19"/>
  <c r="M44" i="19"/>
  <c r="N44" i="19"/>
  <c r="O44" i="19"/>
  <c r="P44" i="19"/>
  <c r="Q44" i="19"/>
  <c r="R44" i="19"/>
  <c r="R344" i="19" s="1"/>
  <c r="G45" i="19"/>
  <c r="H45" i="19"/>
  <c r="I45" i="19"/>
  <c r="J45" i="19"/>
  <c r="K45" i="19"/>
  <c r="L45" i="19"/>
  <c r="M45" i="19"/>
  <c r="N45" i="19"/>
  <c r="O45" i="19"/>
  <c r="P45" i="19"/>
  <c r="Q45" i="19"/>
  <c r="R45" i="19"/>
  <c r="R345" i="19" s="1"/>
  <c r="G46" i="19"/>
  <c r="G346" i="19" s="1"/>
  <c r="H46" i="19"/>
  <c r="H346" i="19" s="1"/>
  <c r="I46" i="19"/>
  <c r="I346" i="19" s="1"/>
  <c r="J46" i="19"/>
  <c r="J346" i="19" s="1"/>
  <c r="K46" i="19"/>
  <c r="K346" i="19" s="1"/>
  <c r="L46" i="19"/>
  <c r="L346" i="19" s="1"/>
  <c r="M46" i="19"/>
  <c r="M346" i="19" s="1"/>
  <c r="N46" i="19"/>
  <c r="N346" i="19" s="1"/>
  <c r="O46" i="19"/>
  <c r="O346" i="19" s="1"/>
  <c r="P46" i="19"/>
  <c r="P346" i="19" s="1"/>
  <c r="Q46" i="19"/>
  <c r="Q346" i="19" s="1"/>
  <c r="R46" i="19"/>
  <c r="R346" i="19" s="1"/>
  <c r="G47" i="19"/>
  <c r="G347" i="19" s="1"/>
  <c r="H47" i="19"/>
  <c r="H347" i="19" s="1"/>
  <c r="I47" i="19"/>
  <c r="I347" i="19" s="1"/>
  <c r="J47" i="19"/>
  <c r="J347" i="19" s="1"/>
  <c r="K47" i="19"/>
  <c r="K347" i="19" s="1"/>
  <c r="L47" i="19"/>
  <c r="L347" i="19" s="1"/>
  <c r="M47" i="19"/>
  <c r="M347" i="19" s="1"/>
  <c r="N47" i="19"/>
  <c r="N347" i="19" s="1"/>
  <c r="O47" i="19"/>
  <c r="O347" i="19" s="1"/>
  <c r="P47" i="19"/>
  <c r="P347" i="19" s="1"/>
  <c r="Q47" i="19"/>
  <c r="Q347" i="19" s="1"/>
  <c r="R47" i="19"/>
  <c r="R347" i="19" s="1"/>
  <c r="G54" i="19"/>
  <c r="G354" i="19" s="1"/>
  <c r="H54" i="19"/>
  <c r="H354" i="19" s="1"/>
  <c r="I54" i="19"/>
  <c r="I354" i="19" s="1"/>
  <c r="J54" i="19"/>
  <c r="J354" i="19" s="1"/>
  <c r="K54" i="19"/>
  <c r="K354" i="19" s="1"/>
  <c r="L54" i="19"/>
  <c r="L354" i="19" s="1"/>
  <c r="M54" i="19"/>
  <c r="M354" i="19" s="1"/>
  <c r="N54" i="19"/>
  <c r="N354" i="19" s="1"/>
  <c r="O54" i="19"/>
  <c r="O354" i="19" s="1"/>
  <c r="P54" i="19"/>
  <c r="P354" i="19" s="1"/>
  <c r="Q54" i="19"/>
  <c r="Q354" i="19" s="1"/>
  <c r="R54" i="19"/>
  <c r="R354" i="19" s="1"/>
  <c r="G55" i="19"/>
  <c r="G355" i="19" s="1"/>
  <c r="H55" i="19"/>
  <c r="H355" i="19" s="1"/>
  <c r="I55" i="19"/>
  <c r="I355" i="19" s="1"/>
  <c r="J55" i="19"/>
  <c r="J355" i="19" s="1"/>
  <c r="K55" i="19"/>
  <c r="K355" i="19" s="1"/>
  <c r="L55" i="19"/>
  <c r="L355" i="19" s="1"/>
  <c r="M55" i="19"/>
  <c r="M355" i="19" s="1"/>
  <c r="N55" i="19"/>
  <c r="N355" i="19" s="1"/>
  <c r="O55" i="19"/>
  <c r="O355" i="19" s="1"/>
  <c r="P55" i="19"/>
  <c r="P355" i="19" s="1"/>
  <c r="Q55" i="19"/>
  <c r="Q355" i="19" s="1"/>
  <c r="R55" i="19"/>
  <c r="R355" i="19" s="1"/>
  <c r="G56" i="19"/>
  <c r="G356" i="19" s="1"/>
  <c r="H56" i="19"/>
  <c r="H356" i="19" s="1"/>
  <c r="I56" i="19"/>
  <c r="I356" i="19" s="1"/>
  <c r="J56" i="19"/>
  <c r="J356" i="19" s="1"/>
  <c r="K56" i="19"/>
  <c r="K356" i="19" s="1"/>
  <c r="L56" i="19"/>
  <c r="L356" i="19" s="1"/>
  <c r="M56" i="19"/>
  <c r="M356" i="19" s="1"/>
  <c r="N56" i="19"/>
  <c r="N356" i="19" s="1"/>
  <c r="O56" i="19"/>
  <c r="O356" i="19" s="1"/>
  <c r="P56" i="19"/>
  <c r="P356" i="19" s="1"/>
  <c r="Q56" i="19"/>
  <c r="Q356" i="19" s="1"/>
  <c r="R56" i="19"/>
  <c r="R356" i="19" s="1"/>
  <c r="F33" i="19"/>
  <c r="F333" i="19" s="1"/>
  <c r="F34" i="19"/>
  <c r="F334" i="19" s="1"/>
  <c r="F26" i="19"/>
  <c r="F326" i="19" s="1"/>
  <c r="F29" i="19"/>
  <c r="F329" i="19" s="1"/>
  <c r="F14" i="19"/>
  <c r="F314" i="19" s="1"/>
  <c r="F15" i="19"/>
  <c r="F315" i="19" s="1"/>
  <c r="F18" i="19"/>
  <c r="F318" i="19" s="1"/>
  <c r="F20" i="19"/>
  <c r="F320" i="19" s="1"/>
  <c r="F21" i="19"/>
  <c r="F321" i="19" s="1"/>
  <c r="F341" i="19" l="1"/>
  <c r="Z41" i="19"/>
  <c r="AA41" i="19" s="1"/>
  <c r="BF11" i="56"/>
  <c r="M345" i="19"/>
  <c r="BE15" i="56"/>
  <c r="Q344" i="19"/>
  <c r="BE7" i="56"/>
  <c r="I344" i="19"/>
  <c r="BD15" i="56"/>
  <c r="Q343" i="19"/>
  <c r="BD11" i="56"/>
  <c r="M343" i="19"/>
  <c r="BF14" i="56"/>
  <c r="P345" i="19"/>
  <c r="BF6" i="56"/>
  <c r="H345" i="19"/>
  <c r="BE10" i="56"/>
  <c r="L344" i="19"/>
  <c r="BD14" i="56"/>
  <c r="P343" i="19"/>
  <c r="BF13" i="56"/>
  <c r="O345" i="19"/>
  <c r="BF9" i="56"/>
  <c r="K345" i="19"/>
  <c r="BF5" i="56"/>
  <c r="G345" i="19"/>
  <c r="BE13" i="56"/>
  <c r="O344" i="19"/>
  <c r="BE9" i="56"/>
  <c r="K344" i="19"/>
  <c r="BE5" i="56"/>
  <c r="G344" i="19"/>
  <c r="BD13" i="56"/>
  <c r="O343" i="19"/>
  <c r="BD9" i="56"/>
  <c r="K343" i="19"/>
  <c r="BD5" i="56"/>
  <c r="G343" i="19"/>
  <c r="BF15" i="56"/>
  <c r="Q345" i="19"/>
  <c r="BF7" i="56"/>
  <c r="I345" i="19"/>
  <c r="BE11" i="56"/>
  <c r="M344" i="19"/>
  <c r="BF10" i="56"/>
  <c r="L345" i="19"/>
  <c r="BE14" i="56"/>
  <c r="P344" i="19"/>
  <c r="BE6" i="56"/>
  <c r="H344" i="19"/>
  <c r="BD10" i="56"/>
  <c r="L343" i="19"/>
  <c r="BD6" i="56"/>
  <c r="H343" i="19"/>
  <c r="BF12" i="56"/>
  <c r="N345" i="19"/>
  <c r="BF8" i="56"/>
  <c r="J345" i="19"/>
  <c r="BE12" i="56"/>
  <c r="N344" i="19"/>
  <c r="BE8" i="56"/>
  <c r="J344" i="19"/>
  <c r="BD12" i="56"/>
  <c r="N343" i="19"/>
  <c r="BD8" i="56"/>
  <c r="J343" i="19"/>
  <c r="BD7" i="56"/>
  <c r="I343" i="19"/>
  <c r="BF16" i="56"/>
  <c r="BE16" i="56"/>
  <c r="BD16" i="56"/>
  <c r="G4" i="56"/>
  <c r="F55" i="19"/>
  <c r="F355" i="19" s="1"/>
  <c r="F56" i="19"/>
  <c r="F356" i="19" s="1"/>
  <c r="F54" i="19"/>
  <c r="F354" i="19" s="1"/>
  <c r="F50" i="19"/>
  <c r="F350" i="19" s="1"/>
  <c r="F51" i="19"/>
  <c r="F351" i="19" s="1"/>
  <c r="F52" i="19"/>
  <c r="F352" i="19" s="1"/>
  <c r="F49" i="19"/>
  <c r="F349" i="19" s="1"/>
  <c r="F44" i="19"/>
  <c r="F344" i="19" s="1"/>
  <c r="F45" i="19"/>
  <c r="F345" i="19" s="1"/>
  <c r="F46" i="19"/>
  <c r="F346" i="19" s="1"/>
  <c r="F47" i="19"/>
  <c r="F347" i="19" s="1"/>
  <c r="F43" i="19"/>
  <c r="F343" i="19" s="1"/>
  <c r="F37" i="19"/>
  <c r="F337" i="19" s="1"/>
  <c r="F38" i="19"/>
  <c r="F338" i="19" s="1"/>
  <c r="F39" i="19"/>
  <c r="F339" i="19" s="1"/>
  <c r="F40" i="19"/>
  <c r="F340" i="19" s="1"/>
  <c r="F36" i="19"/>
  <c r="F336" i="19" s="1"/>
  <c r="F10" i="19"/>
  <c r="F310" i="19" s="1"/>
  <c r="B1" i="41"/>
  <c r="E343" i="41"/>
  <c r="BF4" i="56" l="1"/>
  <c r="BD4" i="56"/>
  <c r="BE4" i="56"/>
  <c r="R42" i="19"/>
  <c r="R342" i="19" s="1"/>
  <c r="J42" i="19"/>
  <c r="O42" i="19"/>
  <c r="G42" i="19"/>
  <c r="K42" i="19"/>
  <c r="N42" i="19"/>
  <c r="G25" i="32"/>
  <c r="H25" i="32"/>
  <c r="I25" i="32"/>
  <c r="J25" i="32"/>
  <c r="K25" i="32"/>
  <c r="L25" i="32"/>
  <c r="M25" i="32"/>
  <c r="N25" i="32"/>
  <c r="O25" i="32"/>
  <c r="P25" i="32"/>
  <c r="Q25" i="32"/>
  <c r="R25" i="32"/>
  <c r="S25" i="32"/>
  <c r="T25" i="32"/>
  <c r="G26" i="32"/>
  <c r="H26" i="32"/>
  <c r="I26" i="32"/>
  <c r="J26" i="32"/>
  <c r="K26" i="32"/>
  <c r="L26" i="32"/>
  <c r="M26" i="32"/>
  <c r="N26" i="32"/>
  <c r="O26" i="32"/>
  <c r="P26" i="32"/>
  <c r="Q26" i="32"/>
  <c r="R26" i="32"/>
  <c r="S26" i="32"/>
  <c r="T26" i="32"/>
  <c r="F25" i="32"/>
  <c r="F26" i="32"/>
  <c r="T23" i="38"/>
  <c r="S23" i="38"/>
  <c r="R23" i="38"/>
  <c r="Q23" i="38"/>
  <c r="P23" i="38"/>
  <c r="O23" i="38"/>
  <c r="N23" i="38"/>
  <c r="M23" i="38"/>
  <c r="L23" i="38"/>
  <c r="K23" i="38"/>
  <c r="J23" i="38"/>
  <c r="I23" i="38"/>
  <c r="H23" i="38"/>
  <c r="G23" i="38"/>
  <c r="F23" i="38"/>
  <c r="T22" i="38"/>
  <c r="S22" i="38"/>
  <c r="R22" i="38"/>
  <c r="Q22" i="38"/>
  <c r="P22" i="38"/>
  <c r="O22" i="38"/>
  <c r="N22" i="38"/>
  <c r="M22" i="38"/>
  <c r="L22" i="38"/>
  <c r="K22" i="38"/>
  <c r="J22" i="38"/>
  <c r="I22" i="38"/>
  <c r="H22" i="38"/>
  <c r="G22" i="38"/>
  <c r="F22" i="38"/>
  <c r="T21" i="38"/>
  <c r="S21" i="38"/>
  <c r="R21" i="38"/>
  <c r="Q21" i="38"/>
  <c r="P21" i="38"/>
  <c r="O21" i="38"/>
  <c r="N21" i="38"/>
  <c r="M21" i="38"/>
  <c r="L21" i="38"/>
  <c r="K21" i="38"/>
  <c r="J21" i="38"/>
  <c r="I21" i="38"/>
  <c r="H21" i="38"/>
  <c r="G21" i="38"/>
  <c r="F21" i="38"/>
  <c r="T26" i="37"/>
  <c r="S26" i="37"/>
  <c r="R26" i="37"/>
  <c r="Q26" i="37"/>
  <c r="P26" i="37"/>
  <c r="O26" i="37"/>
  <c r="N26" i="37"/>
  <c r="M26" i="37"/>
  <c r="L26" i="37"/>
  <c r="K26" i="37"/>
  <c r="J26" i="37"/>
  <c r="I26" i="37"/>
  <c r="H26" i="37"/>
  <c r="G26" i="37"/>
  <c r="F26" i="37"/>
  <c r="T25" i="37"/>
  <c r="S25" i="37"/>
  <c r="R25" i="37"/>
  <c r="Q25" i="37"/>
  <c r="P25" i="37"/>
  <c r="O25" i="37"/>
  <c r="N25" i="37"/>
  <c r="M25" i="37"/>
  <c r="L25" i="37"/>
  <c r="K25" i="37"/>
  <c r="J25" i="37"/>
  <c r="I25" i="37"/>
  <c r="H25" i="37"/>
  <c r="G25" i="37"/>
  <c r="F25" i="37"/>
  <c r="T24" i="37"/>
  <c r="S24" i="37"/>
  <c r="R24" i="37"/>
  <c r="Q24" i="37"/>
  <c r="P24" i="37"/>
  <c r="O24" i="37"/>
  <c r="N24" i="37"/>
  <c r="M24" i="37"/>
  <c r="L24" i="37"/>
  <c r="K24" i="37"/>
  <c r="J24" i="37"/>
  <c r="I24" i="37"/>
  <c r="H24" i="37"/>
  <c r="G24" i="37"/>
  <c r="F24" i="37"/>
  <c r="T23" i="37"/>
  <c r="S23" i="37"/>
  <c r="R23" i="37"/>
  <c r="Q23" i="37"/>
  <c r="P23" i="37"/>
  <c r="O23" i="37"/>
  <c r="N23" i="37"/>
  <c r="M23" i="37"/>
  <c r="L23" i="37"/>
  <c r="K23" i="37"/>
  <c r="J23" i="37"/>
  <c r="I23" i="37"/>
  <c r="H23" i="37"/>
  <c r="G23" i="37"/>
  <c r="F23" i="37"/>
  <c r="T38" i="36"/>
  <c r="S38" i="36"/>
  <c r="R38" i="36"/>
  <c r="Q38" i="36"/>
  <c r="P38" i="36"/>
  <c r="O38" i="36"/>
  <c r="N38" i="36"/>
  <c r="M38" i="36"/>
  <c r="L38" i="36"/>
  <c r="K38" i="36"/>
  <c r="J38" i="36"/>
  <c r="I38" i="36"/>
  <c r="H38" i="36"/>
  <c r="G38" i="36"/>
  <c r="F38" i="36"/>
  <c r="T37" i="36"/>
  <c r="S37" i="36"/>
  <c r="R37" i="36"/>
  <c r="Q37" i="36"/>
  <c r="P37" i="36"/>
  <c r="O37" i="36"/>
  <c r="N37" i="36"/>
  <c r="M37" i="36"/>
  <c r="L37" i="36"/>
  <c r="K37" i="36"/>
  <c r="J37" i="36"/>
  <c r="I37" i="36"/>
  <c r="H37" i="36"/>
  <c r="G37" i="36"/>
  <c r="F37" i="36"/>
  <c r="T36" i="36"/>
  <c r="S36" i="36"/>
  <c r="R36" i="36"/>
  <c r="Q36" i="36"/>
  <c r="P36" i="36"/>
  <c r="O36" i="36"/>
  <c r="N36" i="36"/>
  <c r="M36" i="36"/>
  <c r="L36" i="36"/>
  <c r="K36" i="36"/>
  <c r="J36" i="36"/>
  <c r="I36" i="36"/>
  <c r="H36" i="36"/>
  <c r="G36" i="36"/>
  <c r="F36" i="36"/>
  <c r="T35" i="36"/>
  <c r="S35" i="36"/>
  <c r="R35" i="36"/>
  <c r="Q35" i="36"/>
  <c r="P35" i="36"/>
  <c r="O35" i="36"/>
  <c r="N35" i="36"/>
  <c r="M35" i="36"/>
  <c r="L35" i="36"/>
  <c r="K35" i="36"/>
  <c r="J35" i="36"/>
  <c r="I35" i="36"/>
  <c r="H35" i="36"/>
  <c r="G35" i="36"/>
  <c r="F35" i="36"/>
  <c r="T34" i="36"/>
  <c r="S34" i="36"/>
  <c r="R34" i="36"/>
  <c r="Q34" i="36"/>
  <c r="P34" i="36"/>
  <c r="O34" i="36"/>
  <c r="N34" i="36"/>
  <c r="M34" i="36"/>
  <c r="L34" i="36"/>
  <c r="K34" i="36"/>
  <c r="J34" i="36"/>
  <c r="I34" i="36"/>
  <c r="H34" i="36"/>
  <c r="G34" i="36"/>
  <c r="F34" i="36"/>
  <c r="T29" i="35"/>
  <c r="S29" i="35"/>
  <c r="R29" i="35"/>
  <c r="Q29" i="35"/>
  <c r="P29" i="35"/>
  <c r="O29" i="35"/>
  <c r="N29" i="35"/>
  <c r="M29" i="35"/>
  <c r="L29" i="35"/>
  <c r="K29" i="35"/>
  <c r="J29" i="35"/>
  <c r="I29" i="35"/>
  <c r="H29" i="35"/>
  <c r="G29" i="35"/>
  <c r="F29" i="35"/>
  <c r="T28" i="35"/>
  <c r="S28" i="35"/>
  <c r="R28" i="35"/>
  <c r="Q28" i="35"/>
  <c r="P28" i="35"/>
  <c r="O28" i="35"/>
  <c r="N28" i="35"/>
  <c r="M28" i="35"/>
  <c r="L28" i="35"/>
  <c r="K28" i="35"/>
  <c r="J28" i="35"/>
  <c r="I28" i="35"/>
  <c r="H28" i="35"/>
  <c r="G28" i="35"/>
  <c r="F28" i="35"/>
  <c r="T27" i="35"/>
  <c r="S27" i="35"/>
  <c r="R27" i="35"/>
  <c r="Q27" i="35"/>
  <c r="P27" i="35"/>
  <c r="O27" i="35"/>
  <c r="N27" i="35"/>
  <c r="M27" i="35"/>
  <c r="L27" i="35"/>
  <c r="K27" i="35"/>
  <c r="J27" i="35"/>
  <c r="I27" i="35"/>
  <c r="H27" i="35"/>
  <c r="G27" i="35"/>
  <c r="F27" i="35"/>
  <c r="T26" i="35"/>
  <c r="S26" i="35"/>
  <c r="R26" i="35"/>
  <c r="Q26" i="35"/>
  <c r="P26" i="35"/>
  <c r="O26" i="35"/>
  <c r="N26" i="35"/>
  <c r="M26" i="35"/>
  <c r="L26" i="35"/>
  <c r="K26" i="35"/>
  <c r="J26" i="35"/>
  <c r="I26" i="35"/>
  <c r="H26" i="35"/>
  <c r="G26" i="35"/>
  <c r="F26" i="35"/>
  <c r="T25" i="35"/>
  <c r="S25" i="35"/>
  <c r="R25" i="35"/>
  <c r="Q25" i="35"/>
  <c r="P25" i="35"/>
  <c r="O25" i="35"/>
  <c r="N25" i="35"/>
  <c r="M25" i="35"/>
  <c r="L25" i="35"/>
  <c r="K25" i="35"/>
  <c r="J25" i="35"/>
  <c r="I25" i="35"/>
  <c r="H25" i="35"/>
  <c r="G25" i="35"/>
  <c r="F25" i="35"/>
  <c r="G147" i="29"/>
  <c r="H147" i="29"/>
  <c r="I147" i="29"/>
  <c r="J147" i="29"/>
  <c r="K147" i="29"/>
  <c r="L147" i="29"/>
  <c r="M147" i="29"/>
  <c r="N147" i="29"/>
  <c r="O147" i="29"/>
  <c r="P147" i="29"/>
  <c r="Q147" i="29"/>
  <c r="R147" i="29"/>
  <c r="S147" i="29"/>
  <c r="T147" i="29"/>
  <c r="G150" i="29"/>
  <c r="H150" i="29"/>
  <c r="I150" i="29"/>
  <c r="J150" i="29"/>
  <c r="K150" i="29"/>
  <c r="L150" i="29"/>
  <c r="M150" i="29"/>
  <c r="N150" i="29"/>
  <c r="O150" i="29"/>
  <c r="P150" i="29"/>
  <c r="Q150" i="29"/>
  <c r="R150" i="29"/>
  <c r="S150" i="29"/>
  <c r="T150" i="29"/>
  <c r="F147" i="29"/>
  <c r="F150" i="29"/>
  <c r="G29" i="14"/>
  <c r="H29" i="14"/>
  <c r="I29" i="14"/>
  <c r="J29" i="14"/>
  <c r="K29" i="14"/>
  <c r="L29" i="14"/>
  <c r="M29" i="14"/>
  <c r="N29" i="14"/>
  <c r="O29" i="14"/>
  <c r="P29" i="14"/>
  <c r="Q29" i="14"/>
  <c r="R29" i="14"/>
  <c r="S29" i="14"/>
  <c r="T29" i="14"/>
  <c r="F29" i="14"/>
  <c r="S75" i="34"/>
  <c r="R75" i="34"/>
  <c r="Q75" i="34"/>
  <c r="P75" i="34"/>
  <c r="O75" i="34"/>
  <c r="N75" i="34"/>
  <c r="M75" i="34"/>
  <c r="L75" i="34"/>
  <c r="K75" i="34"/>
  <c r="J75" i="34"/>
  <c r="I75" i="34"/>
  <c r="H75" i="34"/>
  <c r="G75" i="34"/>
  <c r="F75" i="34"/>
  <c r="E75" i="34"/>
  <c r="S74" i="34"/>
  <c r="R74" i="34"/>
  <c r="Q74" i="34"/>
  <c r="P74" i="34"/>
  <c r="O74" i="34"/>
  <c r="N74" i="34"/>
  <c r="M74" i="34"/>
  <c r="L74" i="34"/>
  <c r="K74" i="34"/>
  <c r="J74" i="34"/>
  <c r="I74" i="34"/>
  <c r="H74" i="34"/>
  <c r="G74" i="34"/>
  <c r="F74" i="34"/>
  <c r="E74" i="34"/>
  <c r="S70" i="34"/>
  <c r="R70" i="34"/>
  <c r="Q70" i="34"/>
  <c r="P70" i="34"/>
  <c r="O70" i="34"/>
  <c r="N70" i="34"/>
  <c r="M70" i="34"/>
  <c r="L70" i="34"/>
  <c r="K70" i="34"/>
  <c r="J70" i="34"/>
  <c r="I70" i="34"/>
  <c r="H70" i="34"/>
  <c r="G70" i="34"/>
  <c r="F70" i="34"/>
  <c r="E70" i="34"/>
  <c r="S23" i="34"/>
  <c r="S79" i="34" s="1"/>
  <c r="R23" i="34"/>
  <c r="R79" i="34" s="1"/>
  <c r="Q23" i="34"/>
  <c r="Q79" i="34" s="1"/>
  <c r="P23" i="34"/>
  <c r="P79" i="34" s="1"/>
  <c r="O23" i="34"/>
  <c r="N23" i="34"/>
  <c r="N79" i="34" s="1"/>
  <c r="M23" i="34"/>
  <c r="M79" i="34" s="1"/>
  <c r="L23" i="34"/>
  <c r="L79" i="34" s="1"/>
  <c r="K23" i="34"/>
  <c r="K79" i="34" s="1"/>
  <c r="J23" i="34"/>
  <c r="J79" i="34" s="1"/>
  <c r="I23" i="34"/>
  <c r="I79" i="34" s="1"/>
  <c r="H23" i="34"/>
  <c r="H79" i="34" s="1"/>
  <c r="G23" i="34"/>
  <c r="G24" i="34" s="1"/>
  <c r="F23" i="34"/>
  <c r="F79" i="34" s="1"/>
  <c r="E23" i="34"/>
  <c r="B1" i="34"/>
  <c r="E75" i="33"/>
  <c r="F75" i="33"/>
  <c r="G75" i="33"/>
  <c r="H75" i="33"/>
  <c r="I75" i="33"/>
  <c r="J75" i="33"/>
  <c r="K75" i="33"/>
  <c r="L75" i="33"/>
  <c r="M75" i="33"/>
  <c r="N75" i="33"/>
  <c r="O75" i="33"/>
  <c r="P75" i="33"/>
  <c r="Q75" i="33"/>
  <c r="R75" i="33"/>
  <c r="S75" i="33"/>
  <c r="F23" i="33"/>
  <c r="F24" i="33" s="1"/>
  <c r="G5" i="32" s="1"/>
  <c r="G86" i="19" s="1"/>
  <c r="G386" i="19" s="1"/>
  <c r="G23" i="33"/>
  <c r="G24" i="33" s="1"/>
  <c r="H23" i="33"/>
  <c r="H24" i="33" s="1"/>
  <c r="I23" i="33"/>
  <c r="I24" i="33" s="1"/>
  <c r="J5" i="32" s="1"/>
  <c r="J86" i="19" s="1"/>
  <c r="J386" i="19" s="1"/>
  <c r="J23" i="33"/>
  <c r="J24" i="33" s="1"/>
  <c r="K5" i="32" s="1"/>
  <c r="K86" i="19" s="1"/>
  <c r="K386" i="19" s="1"/>
  <c r="K23" i="33"/>
  <c r="K24" i="33" s="1"/>
  <c r="L23" i="33"/>
  <c r="M23" i="33"/>
  <c r="M79" i="33" s="1"/>
  <c r="N23" i="33"/>
  <c r="N24" i="33" s="1"/>
  <c r="O5" i="32" s="1"/>
  <c r="O86" i="19" s="1"/>
  <c r="O386" i="19" s="1"/>
  <c r="O23" i="33"/>
  <c r="O24" i="33" s="1"/>
  <c r="P23" i="33"/>
  <c r="P24" i="33" s="1"/>
  <c r="Q23" i="33"/>
  <c r="Q24" i="33" s="1"/>
  <c r="R5" i="32" s="1"/>
  <c r="R86" i="19" s="1"/>
  <c r="R386" i="19" s="1"/>
  <c r="R23" i="33"/>
  <c r="R24" i="33" s="1"/>
  <c r="S5" i="32" s="1"/>
  <c r="S23" i="33"/>
  <c r="S24" i="33" s="1"/>
  <c r="L24" i="33"/>
  <c r="M24" i="33"/>
  <c r="N5" i="32" s="1"/>
  <c r="N86" i="19" s="1"/>
  <c r="N386" i="19" s="1"/>
  <c r="E23" i="33"/>
  <c r="S74" i="33"/>
  <c r="R74" i="33"/>
  <c r="Q74" i="33"/>
  <c r="P74" i="33"/>
  <c r="O74" i="33"/>
  <c r="N74" i="33"/>
  <c r="M74" i="33"/>
  <c r="L74" i="33"/>
  <c r="K74" i="33"/>
  <c r="J74" i="33"/>
  <c r="I74" i="33"/>
  <c r="H74" i="33"/>
  <c r="G74" i="33"/>
  <c r="F74" i="33"/>
  <c r="E74" i="33"/>
  <c r="S70" i="33"/>
  <c r="R70" i="33"/>
  <c r="Q70" i="33"/>
  <c r="P70" i="33"/>
  <c r="O70" i="33"/>
  <c r="N70" i="33"/>
  <c r="M70" i="33"/>
  <c r="L70" i="33"/>
  <c r="K70" i="33"/>
  <c r="J70" i="33"/>
  <c r="I70" i="33"/>
  <c r="H70" i="33"/>
  <c r="G70" i="33"/>
  <c r="F70" i="33"/>
  <c r="E70" i="33"/>
  <c r="Q79" i="33"/>
  <c r="L79" i="33"/>
  <c r="H79" i="33"/>
  <c r="B1" i="33"/>
  <c r="S72" i="31"/>
  <c r="R72" i="31"/>
  <c r="Q72" i="31"/>
  <c r="P72" i="31"/>
  <c r="O72" i="31"/>
  <c r="N72" i="31"/>
  <c r="M72" i="31"/>
  <c r="L72" i="31"/>
  <c r="K72" i="31"/>
  <c r="J72" i="31"/>
  <c r="I72" i="31"/>
  <c r="H72" i="31"/>
  <c r="G72" i="31"/>
  <c r="F72" i="31"/>
  <c r="E72" i="31"/>
  <c r="S68" i="31"/>
  <c r="R68" i="31"/>
  <c r="Q68" i="31"/>
  <c r="P68" i="31"/>
  <c r="O68" i="31"/>
  <c r="N68" i="31"/>
  <c r="M68" i="31"/>
  <c r="L68" i="31"/>
  <c r="K68" i="31"/>
  <c r="J68" i="31"/>
  <c r="I68" i="31"/>
  <c r="H68" i="31"/>
  <c r="G68" i="31"/>
  <c r="F68" i="31"/>
  <c r="E68" i="31"/>
  <c r="S22" i="31"/>
  <c r="S23" i="31" s="1"/>
  <c r="T21" i="29" s="1"/>
  <c r="R22" i="31"/>
  <c r="R76" i="31" s="1"/>
  <c r="Q22" i="31"/>
  <c r="Q76" i="31" s="1"/>
  <c r="P22" i="31"/>
  <c r="P76" i="31" s="1"/>
  <c r="O22" i="31"/>
  <c r="O23" i="31" s="1"/>
  <c r="P21" i="29" s="1"/>
  <c r="N22" i="31"/>
  <c r="N76" i="31" s="1"/>
  <c r="M22" i="31"/>
  <c r="M76" i="31" s="1"/>
  <c r="L22" i="31"/>
  <c r="L76" i="31" s="1"/>
  <c r="K22" i="31"/>
  <c r="K23" i="31" s="1"/>
  <c r="L21" i="29" s="1"/>
  <c r="J22" i="31"/>
  <c r="J76" i="31" s="1"/>
  <c r="I22" i="31"/>
  <c r="I76" i="31" s="1"/>
  <c r="H22" i="31"/>
  <c r="H76" i="31" s="1"/>
  <c r="G22" i="31"/>
  <c r="G23" i="31" s="1"/>
  <c r="H21" i="29" s="1"/>
  <c r="F22" i="31"/>
  <c r="F76" i="31" s="1"/>
  <c r="E22" i="31"/>
  <c r="E76" i="31" s="1"/>
  <c r="B1" i="31"/>
  <c r="F22" i="30"/>
  <c r="G22" i="30"/>
  <c r="G76" i="30" s="1"/>
  <c r="H22" i="30"/>
  <c r="H23" i="30" s="1"/>
  <c r="I20" i="29" s="1"/>
  <c r="I22" i="30"/>
  <c r="I23" i="30" s="1"/>
  <c r="J20" i="29" s="1"/>
  <c r="J22" i="30"/>
  <c r="J23" i="30" s="1"/>
  <c r="K20" i="29" s="1"/>
  <c r="K22" i="30"/>
  <c r="K23" i="30" s="1"/>
  <c r="L20" i="29" s="1"/>
  <c r="L22" i="30"/>
  <c r="L23" i="30" s="1"/>
  <c r="M20" i="29" s="1"/>
  <c r="M22" i="30"/>
  <c r="M23" i="30" s="1"/>
  <c r="N20" i="29" s="1"/>
  <c r="N22" i="30"/>
  <c r="N76" i="30" s="1"/>
  <c r="O22" i="30"/>
  <c r="O76" i="30" s="1"/>
  <c r="P22" i="30"/>
  <c r="P23" i="30" s="1"/>
  <c r="Q20" i="29" s="1"/>
  <c r="Q22" i="30"/>
  <c r="Q23" i="30" s="1"/>
  <c r="R20" i="29" s="1"/>
  <c r="R22" i="30"/>
  <c r="R23" i="30" s="1"/>
  <c r="S22" i="30"/>
  <c r="S76" i="30" s="1"/>
  <c r="E22" i="30"/>
  <c r="E23" i="30" s="1"/>
  <c r="S72" i="30"/>
  <c r="R72" i="30"/>
  <c r="Q72" i="30"/>
  <c r="P72" i="30"/>
  <c r="O72" i="30"/>
  <c r="N72" i="30"/>
  <c r="M72" i="30"/>
  <c r="L72" i="30"/>
  <c r="K72" i="30"/>
  <c r="J72" i="30"/>
  <c r="I72" i="30"/>
  <c r="H72" i="30"/>
  <c r="G72" i="30"/>
  <c r="F72" i="30"/>
  <c r="E72" i="30"/>
  <c r="S68" i="30"/>
  <c r="R68" i="30"/>
  <c r="Q68" i="30"/>
  <c r="P68" i="30"/>
  <c r="O68" i="30"/>
  <c r="N68" i="30"/>
  <c r="M68" i="30"/>
  <c r="L68" i="30"/>
  <c r="K68" i="30"/>
  <c r="J68" i="30"/>
  <c r="I68" i="30"/>
  <c r="H68" i="30"/>
  <c r="G68" i="30"/>
  <c r="F68" i="30"/>
  <c r="E68" i="30"/>
  <c r="B1" i="30"/>
  <c r="J145" i="28"/>
  <c r="N145" i="28"/>
  <c r="O145" i="28"/>
  <c r="I148" i="28"/>
  <c r="Q148" i="28"/>
  <c r="H150" i="28"/>
  <c r="S150" i="28"/>
  <c r="F129" i="28"/>
  <c r="G129" i="28"/>
  <c r="H129" i="28"/>
  <c r="I129" i="28"/>
  <c r="J129" i="28"/>
  <c r="K129" i="28"/>
  <c r="L129" i="28"/>
  <c r="M129" i="28"/>
  <c r="N129" i="28"/>
  <c r="O129" i="28"/>
  <c r="P129" i="28"/>
  <c r="Q129" i="28"/>
  <c r="F130" i="28"/>
  <c r="G130" i="28"/>
  <c r="H130" i="28"/>
  <c r="I130" i="28"/>
  <c r="J130" i="28"/>
  <c r="K130" i="28"/>
  <c r="L130" i="28"/>
  <c r="M130" i="28"/>
  <c r="R130" i="28"/>
  <c r="S130" i="28"/>
  <c r="F131" i="28"/>
  <c r="G131" i="28"/>
  <c r="H131" i="28"/>
  <c r="I131" i="28"/>
  <c r="J131" i="28"/>
  <c r="K131" i="28"/>
  <c r="L131" i="28"/>
  <c r="M131" i="28"/>
  <c r="N131" i="28"/>
  <c r="O131" i="28"/>
  <c r="P131" i="28"/>
  <c r="Q131" i="28"/>
  <c r="F132" i="28"/>
  <c r="G132" i="28"/>
  <c r="H132" i="28"/>
  <c r="I132" i="28"/>
  <c r="J132" i="28"/>
  <c r="K132" i="28"/>
  <c r="L132" i="28"/>
  <c r="M132" i="28"/>
  <c r="F133" i="28"/>
  <c r="G133" i="28"/>
  <c r="H133" i="28"/>
  <c r="I133" i="28"/>
  <c r="J133" i="28"/>
  <c r="K133" i="28"/>
  <c r="L133" i="28"/>
  <c r="M133" i="28"/>
  <c r="F134" i="28"/>
  <c r="G134" i="28"/>
  <c r="H134" i="28"/>
  <c r="I134" i="28"/>
  <c r="J134" i="28"/>
  <c r="K134" i="28"/>
  <c r="L134" i="28"/>
  <c r="M134" i="28"/>
  <c r="N134" i="28"/>
  <c r="O134" i="28"/>
  <c r="P134" i="28"/>
  <c r="Q134" i="28"/>
  <c r="R134" i="28"/>
  <c r="S134" i="28"/>
  <c r="F135" i="28"/>
  <c r="G135" i="28"/>
  <c r="H135" i="28"/>
  <c r="I135" i="28"/>
  <c r="J135" i="28"/>
  <c r="K135" i="28"/>
  <c r="L135" i="28"/>
  <c r="M135" i="28"/>
  <c r="N135" i="28"/>
  <c r="O135" i="28"/>
  <c r="P135" i="28"/>
  <c r="Q135" i="28"/>
  <c r="R135" i="28"/>
  <c r="S135" i="28"/>
  <c r="F136" i="28"/>
  <c r="G136" i="28"/>
  <c r="H136" i="28"/>
  <c r="I136" i="28"/>
  <c r="J136" i="28"/>
  <c r="K136" i="28"/>
  <c r="L136" i="28"/>
  <c r="M136" i="28"/>
  <c r="F137" i="28"/>
  <c r="G137" i="28"/>
  <c r="H137" i="28"/>
  <c r="I137" i="28"/>
  <c r="J137" i="28"/>
  <c r="K137" i="28"/>
  <c r="L137" i="28"/>
  <c r="M137" i="28"/>
  <c r="F138" i="28"/>
  <c r="G138" i="28"/>
  <c r="H138" i="28"/>
  <c r="I138" i="28"/>
  <c r="J138" i="28"/>
  <c r="K138" i="28"/>
  <c r="L138" i="28"/>
  <c r="M138" i="28"/>
  <c r="N138" i="28"/>
  <c r="O138" i="28"/>
  <c r="P138" i="28"/>
  <c r="Q138" i="28"/>
  <c r="R138" i="28"/>
  <c r="S138" i="28"/>
  <c r="E130" i="28"/>
  <c r="E131" i="28"/>
  <c r="E132" i="28"/>
  <c r="E133" i="28"/>
  <c r="E134" i="28"/>
  <c r="E135" i="28"/>
  <c r="E136" i="28"/>
  <c r="E137" i="28"/>
  <c r="F120" i="28"/>
  <c r="G120" i="28"/>
  <c r="H120" i="28"/>
  <c r="I120" i="28"/>
  <c r="J120" i="28"/>
  <c r="K120" i="28"/>
  <c r="L120" i="28"/>
  <c r="M120" i="28"/>
  <c r="N120" i="28"/>
  <c r="O120" i="28"/>
  <c r="P120" i="28"/>
  <c r="Q120" i="28"/>
  <c r="R120" i="28"/>
  <c r="S120" i="28"/>
  <c r="F121" i="28"/>
  <c r="G121" i="28"/>
  <c r="H121" i="28"/>
  <c r="I121" i="28"/>
  <c r="J121" i="28"/>
  <c r="K121" i="28"/>
  <c r="L121" i="28"/>
  <c r="M121" i="28"/>
  <c r="N121" i="28"/>
  <c r="O121" i="28"/>
  <c r="P121" i="28"/>
  <c r="Q121" i="28"/>
  <c r="R121" i="28"/>
  <c r="S121" i="28"/>
  <c r="F122" i="28"/>
  <c r="G122" i="28"/>
  <c r="H122" i="28"/>
  <c r="I122" i="28"/>
  <c r="J122" i="28"/>
  <c r="K122" i="28"/>
  <c r="L122" i="28"/>
  <c r="M122" i="28"/>
  <c r="N122" i="28"/>
  <c r="O122" i="28"/>
  <c r="P122" i="28"/>
  <c r="Q122" i="28"/>
  <c r="R122" i="28"/>
  <c r="S122" i="28"/>
  <c r="F123" i="28"/>
  <c r="G123" i="28"/>
  <c r="H123" i="28"/>
  <c r="I123" i="28"/>
  <c r="J123" i="28"/>
  <c r="K123" i="28"/>
  <c r="L123" i="28"/>
  <c r="M123" i="28"/>
  <c r="N123" i="28"/>
  <c r="O123" i="28"/>
  <c r="P123" i="28"/>
  <c r="Q123" i="28"/>
  <c r="R123" i="28"/>
  <c r="S123" i="28"/>
  <c r="F124" i="28"/>
  <c r="G124" i="28"/>
  <c r="H124" i="28"/>
  <c r="I124" i="28"/>
  <c r="J124" i="28"/>
  <c r="K124" i="28"/>
  <c r="L124" i="28"/>
  <c r="M124" i="28"/>
  <c r="N124" i="28"/>
  <c r="O124" i="28"/>
  <c r="P124" i="28"/>
  <c r="Q124" i="28"/>
  <c r="R124" i="28"/>
  <c r="S124" i="28"/>
  <c r="F125" i="28"/>
  <c r="G125" i="28"/>
  <c r="H125" i="28"/>
  <c r="I125" i="28"/>
  <c r="J125" i="28"/>
  <c r="K125" i="28"/>
  <c r="L125" i="28"/>
  <c r="M125" i="28"/>
  <c r="N125" i="28"/>
  <c r="O125" i="28"/>
  <c r="P125" i="28"/>
  <c r="Q125" i="28"/>
  <c r="R125" i="28"/>
  <c r="S125" i="28"/>
  <c r="E121" i="28"/>
  <c r="E122" i="28"/>
  <c r="E123" i="28"/>
  <c r="E124" i="28"/>
  <c r="E125" i="28"/>
  <c r="F142" i="28"/>
  <c r="G142" i="28"/>
  <c r="I142" i="28"/>
  <c r="J142" i="28"/>
  <c r="K142" i="28"/>
  <c r="L142" i="28"/>
  <c r="M142" i="28"/>
  <c r="N142" i="28"/>
  <c r="O142" i="28"/>
  <c r="Q142" i="28"/>
  <c r="F143" i="28"/>
  <c r="G143" i="28"/>
  <c r="H143" i="28"/>
  <c r="I143" i="28"/>
  <c r="J143" i="28"/>
  <c r="K143" i="28"/>
  <c r="L143" i="28"/>
  <c r="M143" i="28"/>
  <c r="R143" i="28"/>
  <c r="S143" i="28"/>
  <c r="F145" i="28"/>
  <c r="G145" i="28"/>
  <c r="H145" i="28"/>
  <c r="I145" i="28"/>
  <c r="K145" i="28"/>
  <c r="L145" i="28"/>
  <c r="M145" i="28"/>
  <c r="P145" i="28"/>
  <c r="Q145" i="28"/>
  <c r="F146" i="28"/>
  <c r="G146" i="28"/>
  <c r="H146" i="28"/>
  <c r="I146" i="28"/>
  <c r="J146" i="28"/>
  <c r="K146" i="28"/>
  <c r="L146" i="28"/>
  <c r="M146" i="28"/>
  <c r="F147" i="28"/>
  <c r="G147" i="28"/>
  <c r="H147" i="28"/>
  <c r="I147" i="28"/>
  <c r="J147" i="28"/>
  <c r="K147" i="28"/>
  <c r="L147" i="28"/>
  <c r="M147" i="28"/>
  <c r="F148" i="28"/>
  <c r="G148" i="28"/>
  <c r="H148" i="28"/>
  <c r="J148" i="28"/>
  <c r="K148" i="28"/>
  <c r="L148" i="28"/>
  <c r="M148" i="28"/>
  <c r="N148" i="28"/>
  <c r="O148" i="28"/>
  <c r="P148" i="28"/>
  <c r="R148" i="28"/>
  <c r="S148" i="28"/>
  <c r="F150" i="28"/>
  <c r="G150" i="28"/>
  <c r="I150" i="28"/>
  <c r="J150" i="28"/>
  <c r="K150" i="28"/>
  <c r="L150" i="28"/>
  <c r="M150" i="28"/>
  <c r="N150" i="28"/>
  <c r="O150" i="28"/>
  <c r="P150" i="28"/>
  <c r="Q150" i="28"/>
  <c r="R150" i="28"/>
  <c r="F151" i="28"/>
  <c r="G151" i="28"/>
  <c r="H151" i="28"/>
  <c r="I151" i="28"/>
  <c r="J151" i="28"/>
  <c r="K151" i="28"/>
  <c r="L151" i="28"/>
  <c r="M151" i="28"/>
  <c r="F152" i="28"/>
  <c r="G152" i="28"/>
  <c r="H152" i="28"/>
  <c r="I152" i="28"/>
  <c r="J152" i="28"/>
  <c r="K152" i="28"/>
  <c r="L152" i="28"/>
  <c r="M152" i="28"/>
  <c r="F47" i="28"/>
  <c r="F153" i="28" s="1"/>
  <c r="G47" i="28"/>
  <c r="G153" i="28" s="1"/>
  <c r="H47" i="28"/>
  <c r="H153" i="28" s="1"/>
  <c r="I47" i="28"/>
  <c r="I153" i="28" s="1"/>
  <c r="J47" i="28"/>
  <c r="J153" i="28" s="1"/>
  <c r="K47" i="28"/>
  <c r="K153" i="28" s="1"/>
  <c r="L47" i="28"/>
  <c r="L153" i="28" s="1"/>
  <c r="M47" i="28"/>
  <c r="M153" i="28" s="1"/>
  <c r="N47" i="28"/>
  <c r="N153" i="28" s="1"/>
  <c r="O47" i="28"/>
  <c r="O153" i="28" s="1"/>
  <c r="P47" i="28"/>
  <c r="P153" i="28" s="1"/>
  <c r="Q47" i="28"/>
  <c r="Q153" i="28" s="1"/>
  <c r="R47" i="28"/>
  <c r="R153" i="28" s="1"/>
  <c r="S47" i="28"/>
  <c r="S153" i="28" s="1"/>
  <c r="E151" i="28"/>
  <c r="E152" i="28"/>
  <c r="E150" i="28"/>
  <c r="E146" i="28"/>
  <c r="E147" i="28"/>
  <c r="E148" i="28"/>
  <c r="E145" i="28"/>
  <c r="E143" i="28"/>
  <c r="E142" i="28"/>
  <c r="E129" i="28"/>
  <c r="E120" i="28"/>
  <c r="B1" i="28"/>
  <c r="S32" i="27"/>
  <c r="S122" i="27" s="1"/>
  <c r="F33" i="27"/>
  <c r="F123" i="27" s="1"/>
  <c r="G33" i="27"/>
  <c r="G123" i="27" s="1"/>
  <c r="H33" i="27"/>
  <c r="H123" i="27" s="1"/>
  <c r="I33" i="27"/>
  <c r="I123" i="27" s="1"/>
  <c r="J33" i="27"/>
  <c r="J123" i="27" s="1"/>
  <c r="K33" i="27"/>
  <c r="K123" i="27" s="1"/>
  <c r="L33" i="27"/>
  <c r="L123" i="27" s="1"/>
  <c r="M33" i="27"/>
  <c r="M123" i="27" s="1"/>
  <c r="N33" i="27"/>
  <c r="N123" i="27" s="1"/>
  <c r="O33" i="27"/>
  <c r="O123" i="27" s="1"/>
  <c r="P33" i="27"/>
  <c r="P123" i="27" s="1"/>
  <c r="Q33" i="27"/>
  <c r="Q123" i="27" s="1"/>
  <c r="R33" i="27"/>
  <c r="R123" i="27" s="1"/>
  <c r="S33" i="27"/>
  <c r="S123" i="27" s="1"/>
  <c r="F34" i="27"/>
  <c r="F124" i="27" s="1"/>
  <c r="G34" i="27"/>
  <c r="G124" i="27" s="1"/>
  <c r="H34" i="27"/>
  <c r="H124" i="27" s="1"/>
  <c r="I34" i="27"/>
  <c r="I124" i="27" s="1"/>
  <c r="J34" i="27"/>
  <c r="J124" i="27" s="1"/>
  <c r="K34" i="27"/>
  <c r="K124" i="27" s="1"/>
  <c r="L34" i="27"/>
  <c r="L124" i="27" s="1"/>
  <c r="M34" i="27"/>
  <c r="M124" i="27" s="1"/>
  <c r="N34" i="27"/>
  <c r="N124" i="27" s="1"/>
  <c r="O34" i="27"/>
  <c r="O124" i="27" s="1"/>
  <c r="P34" i="27"/>
  <c r="P124" i="27" s="1"/>
  <c r="Q34" i="27"/>
  <c r="Q124" i="27" s="1"/>
  <c r="R34" i="27"/>
  <c r="R124" i="27" s="1"/>
  <c r="S34" i="27"/>
  <c r="S124" i="27" s="1"/>
  <c r="F35" i="27"/>
  <c r="F125" i="27" s="1"/>
  <c r="G35" i="27"/>
  <c r="G125" i="27" s="1"/>
  <c r="H35" i="27"/>
  <c r="H125" i="27" s="1"/>
  <c r="I35" i="27"/>
  <c r="I125" i="27" s="1"/>
  <c r="J35" i="27"/>
  <c r="J125" i="27" s="1"/>
  <c r="K35" i="27"/>
  <c r="K125" i="27" s="1"/>
  <c r="L35" i="27"/>
  <c r="L125" i="27" s="1"/>
  <c r="M35" i="27"/>
  <c r="M125" i="27" s="1"/>
  <c r="N35" i="27"/>
  <c r="N125" i="27" s="1"/>
  <c r="O35" i="27"/>
  <c r="O125" i="27" s="1"/>
  <c r="P35" i="27"/>
  <c r="P125" i="27" s="1"/>
  <c r="Q35" i="27"/>
  <c r="Q125" i="27" s="1"/>
  <c r="R35" i="27"/>
  <c r="R125" i="27" s="1"/>
  <c r="S35" i="27"/>
  <c r="S125" i="27" s="1"/>
  <c r="F36" i="27"/>
  <c r="F126" i="27" s="1"/>
  <c r="G36" i="27"/>
  <c r="G126" i="27" s="1"/>
  <c r="H36" i="27"/>
  <c r="H126" i="27" s="1"/>
  <c r="I36" i="27"/>
  <c r="I126" i="27" s="1"/>
  <c r="J36" i="27"/>
  <c r="J126" i="27" s="1"/>
  <c r="K36" i="27"/>
  <c r="K126" i="27" s="1"/>
  <c r="L36" i="27"/>
  <c r="L126" i="27" s="1"/>
  <c r="M36" i="27"/>
  <c r="M126" i="27" s="1"/>
  <c r="N36" i="27"/>
  <c r="N126" i="27" s="1"/>
  <c r="O36" i="27"/>
  <c r="O126" i="27" s="1"/>
  <c r="P36" i="27"/>
  <c r="P126" i="27" s="1"/>
  <c r="Q36" i="27"/>
  <c r="Q126" i="27" s="1"/>
  <c r="R36" i="27"/>
  <c r="R126" i="27" s="1"/>
  <c r="S36" i="27"/>
  <c r="S126" i="27" s="1"/>
  <c r="J40" i="27"/>
  <c r="K27" i="29" s="1"/>
  <c r="O40" i="27"/>
  <c r="P27" i="29" s="1"/>
  <c r="R40" i="27"/>
  <c r="S27" i="29" s="1"/>
  <c r="E40" i="27"/>
  <c r="F27" i="29" s="1"/>
  <c r="E33" i="27"/>
  <c r="E123" i="27" s="1"/>
  <c r="E34" i="27"/>
  <c r="E124" i="27" s="1"/>
  <c r="E35" i="27"/>
  <c r="E125" i="27" s="1"/>
  <c r="E36" i="27"/>
  <c r="E126" i="27" s="1"/>
  <c r="S104" i="27"/>
  <c r="R104" i="27"/>
  <c r="Q104" i="27"/>
  <c r="P104" i="27"/>
  <c r="O104" i="27"/>
  <c r="N104" i="27"/>
  <c r="M104" i="27"/>
  <c r="L104" i="27"/>
  <c r="K104" i="27"/>
  <c r="J104" i="27"/>
  <c r="I104" i="27"/>
  <c r="H104" i="27"/>
  <c r="G104" i="27"/>
  <c r="F104" i="27"/>
  <c r="E104" i="27"/>
  <c r="B1" i="27"/>
  <c r="F85" i="15"/>
  <c r="G85" i="15"/>
  <c r="H85" i="15"/>
  <c r="I85" i="15"/>
  <c r="J85" i="15"/>
  <c r="K85" i="15"/>
  <c r="L85" i="15"/>
  <c r="M85" i="15"/>
  <c r="N85" i="15"/>
  <c r="O85" i="15"/>
  <c r="P85" i="15"/>
  <c r="Q85" i="15"/>
  <c r="R85" i="15"/>
  <c r="S85" i="15"/>
  <c r="F86" i="15"/>
  <c r="G86" i="15"/>
  <c r="H86" i="15"/>
  <c r="I86" i="15"/>
  <c r="J86" i="15"/>
  <c r="K86" i="15"/>
  <c r="L86" i="15"/>
  <c r="M86" i="15"/>
  <c r="N86" i="15"/>
  <c r="O86" i="15"/>
  <c r="P86" i="15"/>
  <c r="Q86" i="15"/>
  <c r="R86" i="15"/>
  <c r="S86" i="15"/>
  <c r="F87" i="15"/>
  <c r="G87" i="15"/>
  <c r="H87" i="15"/>
  <c r="I87" i="15"/>
  <c r="J87" i="15"/>
  <c r="K87" i="15"/>
  <c r="L87" i="15"/>
  <c r="M87" i="15"/>
  <c r="N87" i="15"/>
  <c r="O87" i="15"/>
  <c r="P87" i="15"/>
  <c r="Q87" i="15"/>
  <c r="R87" i="15"/>
  <c r="S87" i="15"/>
  <c r="F88" i="15"/>
  <c r="G88" i="15"/>
  <c r="H88" i="15"/>
  <c r="I88" i="15"/>
  <c r="J88" i="15"/>
  <c r="K88" i="15"/>
  <c r="L88" i="15"/>
  <c r="M88" i="15"/>
  <c r="N88" i="15"/>
  <c r="O88" i="15"/>
  <c r="P88" i="15"/>
  <c r="Q88" i="15"/>
  <c r="R88" i="15"/>
  <c r="S88" i="15"/>
  <c r="F93" i="15"/>
  <c r="G93" i="15"/>
  <c r="H93" i="15"/>
  <c r="I93" i="15"/>
  <c r="J93" i="15"/>
  <c r="K93" i="15"/>
  <c r="L93" i="15"/>
  <c r="M93" i="15"/>
  <c r="N93" i="15"/>
  <c r="O93" i="15"/>
  <c r="P93" i="15"/>
  <c r="Q93" i="15"/>
  <c r="R93" i="15"/>
  <c r="S93" i="15"/>
  <c r="F94" i="15"/>
  <c r="G94" i="15"/>
  <c r="H94" i="15"/>
  <c r="I94" i="15"/>
  <c r="J94" i="15"/>
  <c r="K94" i="15"/>
  <c r="L94" i="15"/>
  <c r="M94" i="15"/>
  <c r="N94" i="15"/>
  <c r="O94" i="15"/>
  <c r="P94" i="15"/>
  <c r="Q94" i="15"/>
  <c r="R94" i="15"/>
  <c r="S94" i="15"/>
  <c r="F95" i="15"/>
  <c r="G95" i="15"/>
  <c r="H95" i="15"/>
  <c r="I95" i="15"/>
  <c r="J95" i="15"/>
  <c r="K95" i="15"/>
  <c r="L95" i="15"/>
  <c r="M95" i="15"/>
  <c r="N95" i="15"/>
  <c r="O95" i="15"/>
  <c r="P95" i="15"/>
  <c r="Q95" i="15"/>
  <c r="R95" i="15"/>
  <c r="S95" i="15"/>
  <c r="F96" i="15"/>
  <c r="G96" i="15"/>
  <c r="H96" i="15"/>
  <c r="I96" i="15"/>
  <c r="J96" i="15"/>
  <c r="K96" i="15"/>
  <c r="L96" i="15"/>
  <c r="M96" i="15"/>
  <c r="N96" i="15"/>
  <c r="O96" i="15"/>
  <c r="P96" i="15"/>
  <c r="Q96" i="15"/>
  <c r="R96" i="15"/>
  <c r="S96" i="15"/>
  <c r="E94" i="15"/>
  <c r="E95" i="15"/>
  <c r="E96" i="15"/>
  <c r="E93" i="15"/>
  <c r="E86" i="15"/>
  <c r="E87" i="15"/>
  <c r="E88" i="15"/>
  <c r="E85" i="15"/>
  <c r="F79" i="5"/>
  <c r="G79" i="5"/>
  <c r="H79" i="5"/>
  <c r="I79" i="5"/>
  <c r="J79" i="5"/>
  <c r="K79" i="5"/>
  <c r="L79" i="5"/>
  <c r="M79" i="5"/>
  <c r="N79" i="5"/>
  <c r="O79" i="5"/>
  <c r="P79" i="5"/>
  <c r="Q79" i="5"/>
  <c r="R79" i="5"/>
  <c r="S79" i="5"/>
  <c r="E79" i="5"/>
  <c r="F74" i="5"/>
  <c r="G74" i="5"/>
  <c r="H74" i="5"/>
  <c r="I74" i="5"/>
  <c r="J74" i="5"/>
  <c r="K74" i="5"/>
  <c r="L74" i="5"/>
  <c r="M74" i="5"/>
  <c r="N74" i="5"/>
  <c r="O74" i="5"/>
  <c r="P74" i="5"/>
  <c r="Q74" i="5"/>
  <c r="R74" i="5"/>
  <c r="S74" i="5"/>
  <c r="F75" i="5"/>
  <c r="G75" i="5"/>
  <c r="H75" i="5"/>
  <c r="I75" i="5"/>
  <c r="J75" i="5"/>
  <c r="K75" i="5"/>
  <c r="L75" i="5"/>
  <c r="M75" i="5"/>
  <c r="N75" i="5"/>
  <c r="O75" i="5"/>
  <c r="P75" i="5"/>
  <c r="Q75" i="5"/>
  <c r="R75" i="5"/>
  <c r="S75" i="5"/>
  <c r="E75" i="5"/>
  <c r="E74" i="5"/>
  <c r="E111" i="26"/>
  <c r="F111" i="26"/>
  <c r="G111" i="26"/>
  <c r="H111" i="26"/>
  <c r="I111" i="26"/>
  <c r="J111" i="26"/>
  <c r="K111" i="26"/>
  <c r="L111" i="26"/>
  <c r="M111" i="26"/>
  <c r="N111" i="26"/>
  <c r="O111" i="26"/>
  <c r="P111" i="26"/>
  <c r="Q111" i="26"/>
  <c r="R111" i="26"/>
  <c r="S111" i="26"/>
  <c r="E112" i="26"/>
  <c r="F112" i="26"/>
  <c r="G112" i="26"/>
  <c r="H112" i="26"/>
  <c r="I112" i="26"/>
  <c r="J112" i="26"/>
  <c r="K112" i="26"/>
  <c r="L112" i="26"/>
  <c r="M112" i="26"/>
  <c r="N112" i="26"/>
  <c r="O112" i="26"/>
  <c r="P112" i="26"/>
  <c r="Q112" i="26"/>
  <c r="R112" i="26"/>
  <c r="S112" i="26"/>
  <c r="E113" i="26"/>
  <c r="F113" i="26"/>
  <c r="G113" i="26"/>
  <c r="H113" i="26"/>
  <c r="I113" i="26"/>
  <c r="J113" i="26"/>
  <c r="K113" i="26"/>
  <c r="L113" i="26"/>
  <c r="M113" i="26"/>
  <c r="N113" i="26"/>
  <c r="O113" i="26"/>
  <c r="P113" i="26"/>
  <c r="Q113" i="26"/>
  <c r="R113" i="26"/>
  <c r="S113" i="26"/>
  <c r="E114" i="26"/>
  <c r="F114" i="26"/>
  <c r="G114" i="26"/>
  <c r="H114" i="26"/>
  <c r="I114" i="26"/>
  <c r="J114" i="26"/>
  <c r="K114" i="26"/>
  <c r="L114" i="26"/>
  <c r="M114" i="26"/>
  <c r="N114" i="26"/>
  <c r="O114" i="26"/>
  <c r="P114" i="26"/>
  <c r="Q114" i="26"/>
  <c r="R114" i="26"/>
  <c r="S114" i="26"/>
  <c r="E115" i="26"/>
  <c r="F115" i="26"/>
  <c r="G115" i="26"/>
  <c r="H115" i="26"/>
  <c r="I115" i="26"/>
  <c r="J115" i="26"/>
  <c r="K115" i="26"/>
  <c r="L115" i="26"/>
  <c r="M115" i="26"/>
  <c r="N115" i="26"/>
  <c r="O115" i="26"/>
  <c r="P115" i="26"/>
  <c r="Q115" i="26"/>
  <c r="R115" i="26"/>
  <c r="S115" i="26"/>
  <c r="E116" i="26"/>
  <c r="F116" i="26"/>
  <c r="G116" i="26"/>
  <c r="H116" i="26"/>
  <c r="I116" i="26"/>
  <c r="J116" i="26"/>
  <c r="K116" i="26"/>
  <c r="L116" i="26"/>
  <c r="M116" i="26"/>
  <c r="N116" i="26"/>
  <c r="O116" i="26"/>
  <c r="P116" i="26"/>
  <c r="Q116" i="26"/>
  <c r="R116" i="26"/>
  <c r="S116" i="26"/>
  <c r="E117" i="26"/>
  <c r="F117" i="26"/>
  <c r="G117" i="26"/>
  <c r="H117" i="26"/>
  <c r="I117" i="26"/>
  <c r="J117" i="26"/>
  <c r="K117" i="26"/>
  <c r="L117" i="26"/>
  <c r="M117" i="26"/>
  <c r="N117" i="26"/>
  <c r="O117" i="26"/>
  <c r="P117" i="26"/>
  <c r="Q117" i="26"/>
  <c r="R117" i="26"/>
  <c r="S117" i="26"/>
  <c r="F36" i="26"/>
  <c r="G36" i="26"/>
  <c r="G132" i="26" s="1"/>
  <c r="H36" i="26"/>
  <c r="H132" i="26" s="1"/>
  <c r="I36" i="26"/>
  <c r="I132" i="26" s="1"/>
  <c r="J36" i="26"/>
  <c r="K36" i="26"/>
  <c r="K132" i="26" s="1"/>
  <c r="L36" i="26"/>
  <c r="L132" i="26" s="1"/>
  <c r="M36" i="26"/>
  <c r="M132" i="26" s="1"/>
  <c r="N36" i="26"/>
  <c r="O36" i="26"/>
  <c r="O132" i="26" s="1"/>
  <c r="P36" i="26"/>
  <c r="P132" i="26" s="1"/>
  <c r="Q36" i="26"/>
  <c r="Q132" i="26" s="1"/>
  <c r="R36" i="26"/>
  <c r="S36" i="26"/>
  <c r="S132" i="26" s="1"/>
  <c r="F37" i="26"/>
  <c r="G37" i="26"/>
  <c r="G133" i="26" s="1"/>
  <c r="H37" i="26"/>
  <c r="H133" i="26" s="1"/>
  <c r="I37" i="26"/>
  <c r="I133" i="26" s="1"/>
  <c r="J37" i="26"/>
  <c r="K37" i="26"/>
  <c r="L37" i="26"/>
  <c r="M37" i="26"/>
  <c r="N37" i="26"/>
  <c r="O37" i="26"/>
  <c r="P37" i="26"/>
  <c r="P133" i="26" s="1"/>
  <c r="Q37" i="26"/>
  <c r="Q133" i="26" s="1"/>
  <c r="R37" i="26"/>
  <c r="S37" i="26"/>
  <c r="F38" i="26"/>
  <c r="F134" i="26" s="1"/>
  <c r="G38" i="26"/>
  <c r="G134" i="26" s="1"/>
  <c r="H38" i="26"/>
  <c r="I38" i="26"/>
  <c r="I134" i="26" s="1"/>
  <c r="J38" i="26"/>
  <c r="J134" i="26" s="1"/>
  <c r="K38" i="26"/>
  <c r="K134" i="26" s="1"/>
  <c r="L38" i="26"/>
  <c r="M38" i="26"/>
  <c r="M134" i="26" s="1"/>
  <c r="N38" i="26"/>
  <c r="N134" i="26" s="1"/>
  <c r="O38" i="26"/>
  <c r="O134" i="26" s="1"/>
  <c r="P38" i="26"/>
  <c r="Q38" i="26"/>
  <c r="Q134" i="26" s="1"/>
  <c r="R38" i="26"/>
  <c r="R134" i="26" s="1"/>
  <c r="S38" i="26"/>
  <c r="S134" i="26" s="1"/>
  <c r="F39" i="26"/>
  <c r="F135" i="26" s="1"/>
  <c r="G39" i="26"/>
  <c r="G135" i="26" s="1"/>
  <c r="H39" i="26"/>
  <c r="H135" i="26" s="1"/>
  <c r="I39" i="26"/>
  <c r="I135" i="26" s="1"/>
  <c r="J39" i="26"/>
  <c r="J135" i="26" s="1"/>
  <c r="K39" i="26"/>
  <c r="K135" i="26" s="1"/>
  <c r="L39" i="26"/>
  <c r="L135" i="26" s="1"/>
  <c r="M39" i="26"/>
  <c r="M135" i="26" s="1"/>
  <c r="N39" i="26"/>
  <c r="N135" i="26" s="1"/>
  <c r="O39" i="26"/>
  <c r="O135" i="26" s="1"/>
  <c r="P39" i="26"/>
  <c r="P135" i="26" s="1"/>
  <c r="Q39" i="26"/>
  <c r="Q135" i="26" s="1"/>
  <c r="R39" i="26"/>
  <c r="R135" i="26" s="1"/>
  <c r="S39" i="26"/>
  <c r="S135" i="26" s="1"/>
  <c r="F40" i="26"/>
  <c r="F136" i="26" s="1"/>
  <c r="G40" i="26"/>
  <c r="G136" i="26" s="1"/>
  <c r="H40" i="26"/>
  <c r="H136" i="26" s="1"/>
  <c r="I40" i="26"/>
  <c r="I136" i="26" s="1"/>
  <c r="J40" i="26"/>
  <c r="J136" i="26" s="1"/>
  <c r="K40" i="26"/>
  <c r="K136" i="26" s="1"/>
  <c r="L40" i="26"/>
  <c r="L136" i="26" s="1"/>
  <c r="M40" i="26"/>
  <c r="M136" i="26" s="1"/>
  <c r="N40" i="26"/>
  <c r="N136" i="26" s="1"/>
  <c r="O40" i="26"/>
  <c r="O136" i="26" s="1"/>
  <c r="P40" i="26"/>
  <c r="P136" i="26" s="1"/>
  <c r="Q40" i="26"/>
  <c r="Q136" i="26" s="1"/>
  <c r="R40" i="26"/>
  <c r="R136" i="26" s="1"/>
  <c r="S40" i="26"/>
  <c r="S136" i="26" s="1"/>
  <c r="F41" i="26"/>
  <c r="F137" i="26" s="1"/>
  <c r="G41" i="26"/>
  <c r="G137" i="26" s="1"/>
  <c r="H41" i="26"/>
  <c r="H137" i="26" s="1"/>
  <c r="I41" i="26"/>
  <c r="I137" i="26" s="1"/>
  <c r="J41" i="26"/>
  <c r="J137" i="26" s="1"/>
  <c r="K41" i="26"/>
  <c r="K137" i="26" s="1"/>
  <c r="L41" i="26"/>
  <c r="L137" i="26" s="1"/>
  <c r="M41" i="26"/>
  <c r="M137" i="26" s="1"/>
  <c r="N41" i="26"/>
  <c r="N137" i="26" s="1"/>
  <c r="O41" i="26"/>
  <c r="O137" i="26" s="1"/>
  <c r="P41" i="26"/>
  <c r="P137" i="26" s="1"/>
  <c r="Q41" i="26"/>
  <c r="Q137" i="26" s="1"/>
  <c r="R41" i="26"/>
  <c r="R137" i="26" s="1"/>
  <c r="S41" i="26"/>
  <c r="S137" i="26" s="1"/>
  <c r="F42" i="26"/>
  <c r="F138" i="26" s="1"/>
  <c r="G42" i="26"/>
  <c r="G138" i="26" s="1"/>
  <c r="H42" i="26"/>
  <c r="H138" i="26" s="1"/>
  <c r="I42" i="26"/>
  <c r="I138" i="26" s="1"/>
  <c r="J42" i="26"/>
  <c r="J138" i="26" s="1"/>
  <c r="K42" i="26"/>
  <c r="K138" i="26" s="1"/>
  <c r="L42" i="26"/>
  <c r="L138" i="26" s="1"/>
  <c r="M42" i="26"/>
  <c r="M138" i="26" s="1"/>
  <c r="N42" i="26"/>
  <c r="N138" i="26" s="1"/>
  <c r="O42" i="26"/>
  <c r="O138" i="26" s="1"/>
  <c r="P42" i="26"/>
  <c r="P138" i="26" s="1"/>
  <c r="Q42" i="26"/>
  <c r="Q138" i="26" s="1"/>
  <c r="R42" i="26"/>
  <c r="R138" i="26" s="1"/>
  <c r="S42" i="26"/>
  <c r="S138" i="26" s="1"/>
  <c r="F43" i="26"/>
  <c r="F139" i="26" s="1"/>
  <c r="G43" i="26"/>
  <c r="G139" i="26" s="1"/>
  <c r="H43" i="26"/>
  <c r="H139" i="26" s="1"/>
  <c r="I43" i="26"/>
  <c r="I139" i="26" s="1"/>
  <c r="J43" i="26"/>
  <c r="J139" i="26" s="1"/>
  <c r="K43" i="26"/>
  <c r="K139" i="26" s="1"/>
  <c r="L43" i="26"/>
  <c r="L139" i="26" s="1"/>
  <c r="M43" i="26"/>
  <c r="M139" i="26" s="1"/>
  <c r="N43" i="26"/>
  <c r="N139" i="26" s="1"/>
  <c r="O43" i="26"/>
  <c r="O139" i="26" s="1"/>
  <c r="P43" i="26"/>
  <c r="P139" i="26" s="1"/>
  <c r="Q43" i="26"/>
  <c r="Q139" i="26" s="1"/>
  <c r="R43" i="26"/>
  <c r="R139" i="26" s="1"/>
  <c r="S43" i="26"/>
  <c r="S139" i="26" s="1"/>
  <c r="E37" i="26"/>
  <c r="E38" i="26"/>
  <c r="E134" i="26" s="1"/>
  <c r="E39" i="26"/>
  <c r="E135" i="26" s="1"/>
  <c r="E40" i="26"/>
  <c r="E136" i="26" s="1"/>
  <c r="E41" i="26"/>
  <c r="E137" i="26" s="1"/>
  <c r="E42" i="26"/>
  <c r="E138" i="26" s="1"/>
  <c r="E43" i="26"/>
  <c r="E139" i="26" s="1"/>
  <c r="E36" i="26"/>
  <c r="E132" i="26" s="1"/>
  <c r="S121" i="26"/>
  <c r="R121" i="26"/>
  <c r="Q121" i="26"/>
  <c r="P121" i="26"/>
  <c r="O121" i="26"/>
  <c r="N121" i="26"/>
  <c r="M121" i="26"/>
  <c r="L121" i="26"/>
  <c r="K121" i="26"/>
  <c r="J121" i="26"/>
  <c r="I121" i="26"/>
  <c r="H121" i="26"/>
  <c r="G121" i="26"/>
  <c r="F121" i="26"/>
  <c r="E121" i="26"/>
  <c r="S110" i="26"/>
  <c r="R110" i="26"/>
  <c r="Q110" i="26"/>
  <c r="P110" i="26"/>
  <c r="O110" i="26"/>
  <c r="N110" i="26"/>
  <c r="M110" i="26"/>
  <c r="L110" i="26"/>
  <c r="K110" i="26"/>
  <c r="J110" i="26"/>
  <c r="I110" i="26"/>
  <c r="H110" i="26"/>
  <c r="G110" i="26"/>
  <c r="F110" i="26"/>
  <c r="E110" i="26"/>
  <c r="B1" i="26"/>
  <c r="F23" i="25"/>
  <c r="F24" i="25" s="1"/>
  <c r="G26" i="20" s="1"/>
  <c r="G182" i="20" s="1"/>
  <c r="G23" i="25"/>
  <c r="G85" i="25" s="1"/>
  <c r="H23" i="25"/>
  <c r="H85" i="25" s="1"/>
  <c r="I23" i="25"/>
  <c r="J23" i="25"/>
  <c r="J24" i="25" s="1"/>
  <c r="K26" i="20" s="1"/>
  <c r="K182" i="20" s="1"/>
  <c r="K23" i="25"/>
  <c r="K24" i="25" s="1"/>
  <c r="L26" i="20" s="1"/>
  <c r="L182" i="20" s="1"/>
  <c r="L23" i="25"/>
  <c r="L24" i="25" s="1"/>
  <c r="M26" i="20" s="1"/>
  <c r="M182" i="20" s="1"/>
  <c r="M23" i="25"/>
  <c r="M24" i="25" s="1"/>
  <c r="N26" i="20" s="1"/>
  <c r="N182" i="20" s="1"/>
  <c r="N23" i="25"/>
  <c r="N24" i="25" s="1"/>
  <c r="O26" i="20" s="1"/>
  <c r="O182" i="20" s="1"/>
  <c r="O23" i="25"/>
  <c r="O24" i="25" s="1"/>
  <c r="P26" i="20" s="1"/>
  <c r="P182" i="20" s="1"/>
  <c r="P23" i="25"/>
  <c r="P85" i="25" s="1"/>
  <c r="Q23" i="25"/>
  <c r="Q24" i="25" s="1"/>
  <c r="R26" i="20" s="1"/>
  <c r="R182" i="20" s="1"/>
  <c r="R23" i="25"/>
  <c r="R24" i="25" s="1"/>
  <c r="S26" i="20" s="1"/>
  <c r="S182" i="20" s="1"/>
  <c r="S23" i="25"/>
  <c r="S24" i="25" s="1"/>
  <c r="T26" i="20" s="1"/>
  <c r="T182" i="20" s="1"/>
  <c r="H24" i="25"/>
  <c r="I26" i="20" s="1"/>
  <c r="I182" i="20" s="1"/>
  <c r="I24" i="25"/>
  <c r="J26" i="20" s="1"/>
  <c r="J182" i="20" s="1"/>
  <c r="F25" i="25"/>
  <c r="F26" i="25" s="1"/>
  <c r="G25" i="25"/>
  <c r="H25" i="25"/>
  <c r="I25" i="25"/>
  <c r="J25" i="25"/>
  <c r="J26" i="25" s="1"/>
  <c r="K25" i="25"/>
  <c r="L25" i="25"/>
  <c r="L26" i="25" s="1"/>
  <c r="M25" i="25"/>
  <c r="N25" i="25"/>
  <c r="N26" i="25" s="1"/>
  <c r="O25" i="25"/>
  <c r="P25" i="25"/>
  <c r="Q25" i="25"/>
  <c r="R25" i="25"/>
  <c r="R26" i="25" s="1"/>
  <c r="S25" i="25"/>
  <c r="E25" i="25"/>
  <c r="E23" i="25"/>
  <c r="E24" i="25" s="1"/>
  <c r="S81" i="25"/>
  <c r="R81" i="25"/>
  <c r="Q81" i="25"/>
  <c r="P81" i="25"/>
  <c r="O81" i="25"/>
  <c r="N81" i="25"/>
  <c r="M81" i="25"/>
  <c r="L81" i="25"/>
  <c r="K81" i="25"/>
  <c r="J81" i="25"/>
  <c r="I81" i="25"/>
  <c r="H81" i="25"/>
  <c r="G81" i="25"/>
  <c r="F81" i="25"/>
  <c r="E81" i="25"/>
  <c r="S80" i="25"/>
  <c r="R80" i="25"/>
  <c r="Q80" i="25"/>
  <c r="P80" i="25"/>
  <c r="O80" i="25"/>
  <c r="N80" i="25"/>
  <c r="M80" i="25"/>
  <c r="L80" i="25"/>
  <c r="K80" i="25"/>
  <c r="J80" i="25"/>
  <c r="I80" i="25"/>
  <c r="H80" i="25"/>
  <c r="G80" i="25"/>
  <c r="F80" i="25"/>
  <c r="E80" i="25"/>
  <c r="S76" i="25"/>
  <c r="R76" i="25"/>
  <c r="Q76" i="25"/>
  <c r="P76" i="25"/>
  <c r="O76" i="25"/>
  <c r="N76" i="25"/>
  <c r="M76" i="25"/>
  <c r="L76" i="25"/>
  <c r="K76" i="25"/>
  <c r="J76" i="25"/>
  <c r="I76" i="25"/>
  <c r="H76" i="25"/>
  <c r="G76" i="25"/>
  <c r="F76" i="25"/>
  <c r="E76" i="25"/>
  <c r="B1" i="25"/>
  <c r="F102" i="24"/>
  <c r="G102" i="24"/>
  <c r="H102" i="24"/>
  <c r="I102" i="24"/>
  <c r="J102" i="24"/>
  <c r="K102" i="24"/>
  <c r="L102" i="24"/>
  <c r="M102" i="24"/>
  <c r="N102" i="24"/>
  <c r="O102" i="24"/>
  <c r="P102" i="24"/>
  <c r="Q102" i="24"/>
  <c r="R102" i="24"/>
  <c r="S102" i="24"/>
  <c r="E102" i="24"/>
  <c r="E88" i="24"/>
  <c r="F88" i="24"/>
  <c r="G88" i="24"/>
  <c r="H88" i="24"/>
  <c r="I88" i="24"/>
  <c r="J88" i="24"/>
  <c r="K88" i="24"/>
  <c r="L88" i="24"/>
  <c r="M88" i="24"/>
  <c r="N88" i="24"/>
  <c r="O88" i="24"/>
  <c r="P88" i="24"/>
  <c r="Q88" i="24"/>
  <c r="R88" i="24"/>
  <c r="S88" i="24"/>
  <c r="F26" i="24"/>
  <c r="G26" i="24"/>
  <c r="H26" i="24"/>
  <c r="H98" i="24" s="1"/>
  <c r="I26" i="24"/>
  <c r="I98" i="24" s="1"/>
  <c r="J26" i="24"/>
  <c r="K26" i="24"/>
  <c r="K98" i="24" s="1"/>
  <c r="L26" i="24"/>
  <c r="L98" i="24" s="1"/>
  <c r="M26" i="24"/>
  <c r="M98" i="24" s="1"/>
  <c r="N26" i="24"/>
  <c r="O26" i="24"/>
  <c r="P26" i="24"/>
  <c r="P98" i="24" s="1"/>
  <c r="Q26" i="24"/>
  <c r="Q98" i="24" s="1"/>
  <c r="R26" i="24"/>
  <c r="S26" i="24"/>
  <c r="H27" i="24"/>
  <c r="H99" i="24" s="1"/>
  <c r="I27" i="24"/>
  <c r="I99" i="24" s="1"/>
  <c r="Q27" i="24"/>
  <c r="Q99" i="24" s="1"/>
  <c r="F28" i="24"/>
  <c r="G28" i="24"/>
  <c r="H28" i="24"/>
  <c r="H100" i="24" s="1"/>
  <c r="I28" i="24"/>
  <c r="I100" i="24" s="1"/>
  <c r="J28" i="24"/>
  <c r="K28" i="24"/>
  <c r="L28" i="24"/>
  <c r="L100" i="24" s="1"/>
  <c r="M28" i="24"/>
  <c r="M29" i="24" s="1"/>
  <c r="M101" i="24" s="1"/>
  <c r="N28" i="24"/>
  <c r="O28" i="24"/>
  <c r="P28" i="24"/>
  <c r="P100" i="24" s="1"/>
  <c r="Q28" i="24"/>
  <c r="Q100" i="24" s="1"/>
  <c r="R28" i="24"/>
  <c r="S28" i="24"/>
  <c r="S29" i="24" s="1"/>
  <c r="S101" i="24" s="1"/>
  <c r="I29" i="24"/>
  <c r="I101" i="24" s="1"/>
  <c r="F31" i="24"/>
  <c r="F103" i="24" s="1"/>
  <c r="G31" i="24"/>
  <c r="G103" i="24" s="1"/>
  <c r="J31" i="24"/>
  <c r="J103" i="24" s="1"/>
  <c r="K31" i="24"/>
  <c r="K103" i="24" s="1"/>
  <c r="N31" i="24"/>
  <c r="N103" i="24" s="1"/>
  <c r="O31" i="24"/>
  <c r="O103" i="24" s="1"/>
  <c r="R31" i="24"/>
  <c r="R103" i="24" s="1"/>
  <c r="S31" i="24"/>
  <c r="S103" i="24" s="1"/>
  <c r="H31" i="24"/>
  <c r="H103" i="24" s="1"/>
  <c r="I31" i="24"/>
  <c r="I103" i="24" s="1"/>
  <c r="L31" i="24"/>
  <c r="L103" i="24" s="1"/>
  <c r="M31" i="24"/>
  <c r="M103" i="24" s="1"/>
  <c r="P31" i="24"/>
  <c r="P103" i="24" s="1"/>
  <c r="Q31" i="24"/>
  <c r="Q103" i="24" s="1"/>
  <c r="E31" i="24"/>
  <c r="E103" i="24" s="1"/>
  <c r="S94" i="24"/>
  <c r="R94" i="24"/>
  <c r="Q94" i="24"/>
  <c r="P94" i="24"/>
  <c r="O94" i="24"/>
  <c r="N94" i="24"/>
  <c r="M94" i="24"/>
  <c r="L94" i="24"/>
  <c r="K94" i="24"/>
  <c r="J94" i="24"/>
  <c r="I94" i="24"/>
  <c r="H94" i="24"/>
  <c r="G94" i="24"/>
  <c r="F94" i="24"/>
  <c r="E94" i="24"/>
  <c r="S93" i="24"/>
  <c r="R93" i="24"/>
  <c r="Q93" i="24"/>
  <c r="P93" i="24"/>
  <c r="O93" i="24"/>
  <c r="N93" i="24"/>
  <c r="M93" i="24"/>
  <c r="L93" i="24"/>
  <c r="K93" i="24"/>
  <c r="J93" i="24"/>
  <c r="I93" i="24"/>
  <c r="H93" i="24"/>
  <c r="G93" i="24"/>
  <c r="F93" i="24"/>
  <c r="E93" i="24"/>
  <c r="S92" i="24"/>
  <c r="R92" i="24"/>
  <c r="Q92" i="24"/>
  <c r="P92" i="24"/>
  <c r="O92" i="24"/>
  <c r="N92" i="24"/>
  <c r="M92" i="24"/>
  <c r="L92" i="24"/>
  <c r="K92" i="24"/>
  <c r="J92" i="24"/>
  <c r="I92" i="24"/>
  <c r="H92" i="24"/>
  <c r="G92" i="24"/>
  <c r="F92" i="24"/>
  <c r="E92" i="24"/>
  <c r="S87" i="24"/>
  <c r="R87" i="24"/>
  <c r="Q87" i="24"/>
  <c r="P87" i="24"/>
  <c r="O87" i="24"/>
  <c r="N87" i="24"/>
  <c r="M87" i="24"/>
  <c r="L87" i="24"/>
  <c r="K87" i="24"/>
  <c r="J87" i="24"/>
  <c r="I87" i="24"/>
  <c r="H87" i="24"/>
  <c r="G87" i="24"/>
  <c r="F87" i="24"/>
  <c r="E87" i="24"/>
  <c r="S86" i="24"/>
  <c r="R86" i="24"/>
  <c r="Q86" i="24"/>
  <c r="P86" i="24"/>
  <c r="O86" i="24"/>
  <c r="N86" i="24"/>
  <c r="M86" i="24"/>
  <c r="L86" i="24"/>
  <c r="K86" i="24"/>
  <c r="J86" i="24"/>
  <c r="I86" i="24"/>
  <c r="H86" i="24"/>
  <c r="G86" i="24"/>
  <c r="F86" i="24"/>
  <c r="E86" i="24"/>
  <c r="E28" i="24"/>
  <c r="E100" i="24" s="1"/>
  <c r="E26" i="24"/>
  <c r="E98" i="24" s="1"/>
  <c r="B1" i="24"/>
  <c r="H29" i="24" l="1"/>
  <c r="H101" i="24" s="1"/>
  <c r="I79" i="33"/>
  <c r="L29" i="24"/>
  <c r="L101" i="24" s="1"/>
  <c r="E79" i="33"/>
  <c r="E24" i="33"/>
  <c r="F5" i="32" s="1"/>
  <c r="F86" i="19" s="1"/>
  <c r="F386" i="19" s="1"/>
  <c r="E79" i="34"/>
  <c r="E24" i="34"/>
  <c r="E80" i="34" s="1"/>
  <c r="E27" i="24"/>
  <c r="E99" i="24" s="1"/>
  <c r="P29" i="24"/>
  <c r="P101" i="24" s="1"/>
  <c r="L27" i="24"/>
  <c r="L32" i="24" s="1"/>
  <c r="L104" i="24" s="1"/>
  <c r="S51" i="20"/>
  <c r="S207" i="20" s="1"/>
  <c r="S39" i="20"/>
  <c r="O51" i="20"/>
  <c r="O207" i="20" s="1"/>
  <c r="O39" i="20"/>
  <c r="K51" i="20"/>
  <c r="K207" i="20" s="1"/>
  <c r="K39" i="20"/>
  <c r="G51" i="20"/>
  <c r="G207" i="20" s="1"/>
  <c r="G39" i="20"/>
  <c r="P25" i="29"/>
  <c r="P163" i="29" s="1"/>
  <c r="P165" i="29"/>
  <c r="G79" i="34"/>
  <c r="K25" i="29"/>
  <c r="K163" i="29" s="1"/>
  <c r="K165" i="29"/>
  <c r="F25" i="29"/>
  <c r="F163" i="29" s="1"/>
  <c r="F165" i="29"/>
  <c r="Z5" i="32"/>
  <c r="AA5" i="32" s="1"/>
  <c r="M51" i="20"/>
  <c r="M207" i="20" s="1"/>
  <c r="M39" i="20"/>
  <c r="Q29" i="24"/>
  <c r="Q101" i="24" s="1"/>
  <c r="P27" i="24"/>
  <c r="M100" i="24"/>
  <c r="S25" i="29"/>
  <c r="S163" i="29" s="1"/>
  <c r="S165" i="29"/>
  <c r="BC9" i="56"/>
  <c r="K342" i="19"/>
  <c r="BC5" i="56"/>
  <c r="G342" i="19"/>
  <c r="BC13" i="56"/>
  <c r="O342" i="19"/>
  <c r="BC12" i="56"/>
  <c r="N342" i="19"/>
  <c r="BC8" i="56"/>
  <c r="J342" i="19"/>
  <c r="E29" i="24"/>
  <c r="E101" i="24" s="1"/>
  <c r="M27" i="24"/>
  <c r="M99" i="24" s="1"/>
  <c r="BC16" i="56"/>
  <c r="S86" i="19"/>
  <c r="S386" i="19" s="1"/>
  <c r="S31" i="19"/>
  <c r="S331" i="19" s="1"/>
  <c r="K158" i="29"/>
  <c r="K10" i="29"/>
  <c r="K27" i="19" s="1"/>
  <c r="K327" i="19" s="1"/>
  <c r="K82" i="19"/>
  <c r="K382" i="19" s="1"/>
  <c r="N29" i="24"/>
  <c r="N101" i="24" s="1"/>
  <c r="N100" i="24"/>
  <c r="F29" i="24"/>
  <c r="F101" i="24" s="1"/>
  <c r="F100" i="24"/>
  <c r="R27" i="24"/>
  <c r="R99" i="24" s="1"/>
  <c r="R98" i="24"/>
  <c r="J27" i="24"/>
  <c r="J99" i="24" s="1"/>
  <c r="J98" i="24"/>
  <c r="F23" i="30"/>
  <c r="G20" i="29" s="1"/>
  <c r="F76" i="30"/>
  <c r="L159" i="29"/>
  <c r="L11" i="29"/>
  <c r="L28" i="19" s="1"/>
  <c r="L328" i="19" s="1"/>
  <c r="L83" i="19"/>
  <c r="L383" i="19" s="1"/>
  <c r="P159" i="29"/>
  <c r="P83" i="19"/>
  <c r="P383" i="19" s="1"/>
  <c r="P11" i="29"/>
  <c r="R29" i="24"/>
  <c r="R101" i="24" s="1"/>
  <c r="R100" i="24"/>
  <c r="J29" i="24"/>
  <c r="J101" i="24" s="1"/>
  <c r="J100" i="24"/>
  <c r="L99" i="24"/>
  <c r="N27" i="24"/>
  <c r="N99" i="24" s="1"/>
  <c r="N98" i="24"/>
  <c r="F27" i="24"/>
  <c r="F99" i="24" s="1"/>
  <c r="F98" i="24"/>
  <c r="F36" i="29"/>
  <c r="E130" i="27"/>
  <c r="S20" i="29"/>
  <c r="H159" i="29"/>
  <c r="H83" i="19"/>
  <c r="H383" i="19" s="1"/>
  <c r="H11" i="29"/>
  <c r="T159" i="29"/>
  <c r="T11" i="29"/>
  <c r="T28" i="19" s="1"/>
  <c r="T83" i="19"/>
  <c r="T383" i="19" s="1"/>
  <c r="N23" i="30"/>
  <c r="R158" i="29"/>
  <c r="R10" i="29"/>
  <c r="R82" i="19"/>
  <c r="R382" i="19" s="1"/>
  <c r="N158" i="29"/>
  <c r="N10" i="29"/>
  <c r="N82" i="19"/>
  <c r="N382" i="19" s="1"/>
  <c r="J158" i="29"/>
  <c r="J10" i="29"/>
  <c r="J27" i="19" s="1"/>
  <c r="J327" i="19" s="1"/>
  <c r="J82" i="19"/>
  <c r="J382" i="19" s="1"/>
  <c r="P32" i="24"/>
  <c r="P99" i="24"/>
  <c r="O26" i="25"/>
  <c r="K26" i="25"/>
  <c r="G26" i="25"/>
  <c r="G88" i="25" s="1"/>
  <c r="T74" i="19"/>
  <c r="T374" i="19" s="1"/>
  <c r="P74" i="19"/>
  <c r="P374" i="19" s="1"/>
  <c r="L74" i="19"/>
  <c r="L374" i="19" s="1"/>
  <c r="O79" i="34"/>
  <c r="O24" i="34"/>
  <c r="O80" i="34" s="1"/>
  <c r="O29" i="24"/>
  <c r="O101" i="24" s="1"/>
  <c r="O100" i="24"/>
  <c r="K29" i="24"/>
  <c r="K101" i="24" s="1"/>
  <c r="K100" i="24"/>
  <c r="G29" i="24"/>
  <c r="G101" i="24" s="1"/>
  <c r="G100" i="24"/>
  <c r="S27" i="24"/>
  <c r="S99" i="24" s="1"/>
  <c r="S98" i="24"/>
  <c r="O27" i="24"/>
  <c r="O99" i="24" s="1"/>
  <c r="O98" i="24"/>
  <c r="G27" i="24"/>
  <c r="G99" i="24" s="1"/>
  <c r="G98" i="24"/>
  <c r="S100" i="24"/>
  <c r="G107" i="19"/>
  <c r="G407" i="19" s="1"/>
  <c r="S74" i="19"/>
  <c r="S374" i="19" s="1"/>
  <c r="O13" i="20"/>
  <c r="O169" i="20" s="1"/>
  <c r="O74" i="19"/>
  <c r="O374" i="19" s="1"/>
  <c r="K74" i="19"/>
  <c r="K374" i="19" s="1"/>
  <c r="G74" i="19"/>
  <c r="G374" i="19" s="1"/>
  <c r="G13" i="20"/>
  <c r="G169" i="20" s="1"/>
  <c r="K36" i="29"/>
  <c r="J130" i="27"/>
  <c r="E86" i="25"/>
  <c r="F26" i="20"/>
  <c r="F182" i="20" s="1"/>
  <c r="Q87" i="25"/>
  <c r="Q26" i="25"/>
  <c r="M87" i="25"/>
  <c r="M26" i="25"/>
  <c r="I87" i="25"/>
  <c r="I26" i="25"/>
  <c r="J74" i="19"/>
  <c r="J374" i="19" s="1"/>
  <c r="R74" i="19"/>
  <c r="R374" i="19" s="1"/>
  <c r="N74" i="19"/>
  <c r="N374" i="19" s="1"/>
  <c r="S36" i="29"/>
  <c r="R130" i="27"/>
  <c r="Q158" i="29"/>
  <c r="Q82" i="19"/>
  <c r="Q382" i="19" s="1"/>
  <c r="Q10" i="29"/>
  <c r="M158" i="29"/>
  <c r="M10" i="29"/>
  <c r="M82" i="19"/>
  <c r="M382" i="19" s="1"/>
  <c r="I158" i="29"/>
  <c r="I82" i="19"/>
  <c r="I382" i="19" s="1"/>
  <c r="I10" i="29"/>
  <c r="I32" i="24"/>
  <c r="I104" i="24" s="1"/>
  <c r="E87" i="25"/>
  <c r="E26" i="25"/>
  <c r="P26" i="25"/>
  <c r="P88" i="25" s="1"/>
  <c r="M107" i="19"/>
  <c r="M407" i="19" s="1"/>
  <c r="H87" i="25"/>
  <c r="H26" i="25"/>
  <c r="I74" i="19"/>
  <c r="I374" i="19" s="1"/>
  <c r="M13" i="20"/>
  <c r="M169" i="20" s="1"/>
  <c r="M74" i="19"/>
  <c r="M374" i="19" s="1"/>
  <c r="E77" i="30"/>
  <c r="F20" i="29"/>
  <c r="L158" i="29"/>
  <c r="L10" i="29"/>
  <c r="L148" i="29" s="1"/>
  <c r="L82" i="19"/>
  <c r="L382" i="19" s="1"/>
  <c r="P36" i="29"/>
  <c r="O130" i="27"/>
  <c r="M23" i="31"/>
  <c r="N21" i="29" s="1"/>
  <c r="F23" i="31"/>
  <c r="E23" i="31"/>
  <c r="S26" i="25"/>
  <c r="T39" i="20" s="1"/>
  <c r="Q32" i="24"/>
  <c r="R24" i="20" s="1"/>
  <c r="R180" i="20" s="1"/>
  <c r="Q5" i="32"/>
  <c r="Q86" i="19" s="1"/>
  <c r="Q386" i="19" s="1"/>
  <c r="P80" i="33"/>
  <c r="P79" i="33"/>
  <c r="P104" i="24"/>
  <c r="N23" i="31"/>
  <c r="N40" i="27"/>
  <c r="O27" i="29" s="1"/>
  <c r="M24" i="34"/>
  <c r="M80" i="34" s="1"/>
  <c r="H38" i="28"/>
  <c r="I18" i="29" s="1"/>
  <c r="I156" i="29" s="1"/>
  <c r="H32" i="24"/>
  <c r="I24" i="20" s="1"/>
  <c r="I180" i="20" s="1"/>
  <c r="G80" i="34"/>
  <c r="H6" i="32"/>
  <c r="H87" i="19" s="1"/>
  <c r="H387" i="19" s="1"/>
  <c r="I24" i="34"/>
  <c r="Q24" i="34"/>
  <c r="K24" i="34"/>
  <c r="S24" i="34"/>
  <c r="N23" i="32"/>
  <c r="J31" i="19"/>
  <c r="J331" i="19" s="1"/>
  <c r="N79" i="33"/>
  <c r="O31" i="19"/>
  <c r="O331" i="19" s="1"/>
  <c r="J79" i="33"/>
  <c r="R23" i="32"/>
  <c r="G23" i="32"/>
  <c r="N31" i="19"/>
  <c r="N331" i="19" s="1"/>
  <c r="F79" i="33"/>
  <c r="H80" i="33"/>
  <c r="I5" i="32"/>
  <c r="I86" i="19" s="1"/>
  <c r="I386" i="19" s="1"/>
  <c r="K23" i="32"/>
  <c r="R31" i="19"/>
  <c r="R331" i="19" s="1"/>
  <c r="G31" i="19"/>
  <c r="G331" i="19" s="1"/>
  <c r="L80" i="33"/>
  <c r="M5" i="32"/>
  <c r="M86" i="19" s="1"/>
  <c r="M386" i="19" s="1"/>
  <c r="S23" i="32"/>
  <c r="R79" i="33"/>
  <c r="S80" i="33"/>
  <c r="T5" i="32"/>
  <c r="O80" i="33"/>
  <c r="P5" i="32"/>
  <c r="P86" i="19" s="1"/>
  <c r="P386" i="19" s="1"/>
  <c r="K80" i="33"/>
  <c r="L5" i="32"/>
  <c r="L86" i="19" s="1"/>
  <c r="L386" i="19" s="1"/>
  <c r="G80" i="33"/>
  <c r="H5" i="32"/>
  <c r="H86" i="19" s="1"/>
  <c r="H386" i="19" s="1"/>
  <c r="O23" i="32"/>
  <c r="J23" i="32"/>
  <c r="K31" i="19"/>
  <c r="K331" i="19" s="1"/>
  <c r="M77" i="31"/>
  <c r="I23" i="31"/>
  <c r="J21" i="29" s="1"/>
  <c r="Q23" i="31"/>
  <c r="R21" i="29" s="1"/>
  <c r="G77" i="31"/>
  <c r="K77" i="31"/>
  <c r="O77" i="31"/>
  <c r="S77" i="31"/>
  <c r="J23" i="31"/>
  <c r="K21" i="29" s="1"/>
  <c r="R23" i="31"/>
  <c r="S21" i="29" s="1"/>
  <c r="R77" i="30"/>
  <c r="S23" i="30"/>
  <c r="T20" i="29" s="1"/>
  <c r="P77" i="30"/>
  <c r="L77" i="30"/>
  <c r="H77" i="30"/>
  <c r="K77" i="30"/>
  <c r="J77" i="30"/>
  <c r="Q77" i="30"/>
  <c r="M77" i="30"/>
  <c r="I77" i="30"/>
  <c r="F40" i="27"/>
  <c r="G27" i="29" s="1"/>
  <c r="P40" i="27"/>
  <c r="Q27" i="29" s="1"/>
  <c r="L40" i="27"/>
  <c r="M27" i="29" s="1"/>
  <c r="H40" i="27"/>
  <c r="I27" i="29" s="1"/>
  <c r="N37" i="27"/>
  <c r="J37" i="27"/>
  <c r="F37" i="27"/>
  <c r="H27" i="25"/>
  <c r="L27" i="25"/>
  <c r="S27" i="25"/>
  <c r="O27" i="25"/>
  <c r="R27" i="25"/>
  <c r="R89" i="25" s="1"/>
  <c r="N27" i="25"/>
  <c r="N89" i="25" s="1"/>
  <c r="J27" i="25"/>
  <c r="F27" i="25"/>
  <c r="R85" i="25"/>
  <c r="I86" i="25"/>
  <c r="Q86" i="25"/>
  <c r="M86" i="25"/>
  <c r="L27" i="19"/>
  <c r="L327" i="19" s="1"/>
  <c r="F6" i="32"/>
  <c r="Z6" i="32" s="1"/>
  <c r="AA6" i="32" s="1"/>
  <c r="F23" i="32"/>
  <c r="F31" i="19"/>
  <c r="F331" i="19" s="1"/>
  <c r="P142" i="28"/>
  <c r="H142" i="28"/>
  <c r="S40" i="27"/>
  <c r="T27" i="29" s="1"/>
  <c r="K40" i="27"/>
  <c r="L27" i="29" s="1"/>
  <c r="G40" i="27"/>
  <c r="H27" i="29" s="1"/>
  <c r="Q40" i="27"/>
  <c r="R27" i="29" s="1"/>
  <c r="M40" i="27"/>
  <c r="N27" i="29" s="1"/>
  <c r="I40" i="27"/>
  <c r="J27" i="29" s="1"/>
  <c r="Q37" i="27"/>
  <c r="S37" i="27"/>
  <c r="O37" i="27"/>
  <c r="K37" i="27"/>
  <c r="P37" i="27"/>
  <c r="L37" i="27"/>
  <c r="H37" i="27"/>
  <c r="F89" i="25"/>
  <c r="E32" i="24"/>
  <c r="F24" i="20" s="1"/>
  <c r="F180" i="20" s="1"/>
  <c r="N31" i="36"/>
  <c r="K31" i="36"/>
  <c r="R31" i="36"/>
  <c r="J31" i="36"/>
  <c r="O31" i="36"/>
  <c r="S31" i="36"/>
  <c r="G31" i="36"/>
  <c r="M37" i="27"/>
  <c r="G37" i="27"/>
  <c r="I37" i="27"/>
  <c r="H24" i="34"/>
  <c r="L24" i="34"/>
  <c r="P24" i="34"/>
  <c r="F24" i="34"/>
  <c r="J24" i="34"/>
  <c r="N24" i="34"/>
  <c r="R24" i="34"/>
  <c r="E80" i="33"/>
  <c r="I80" i="33"/>
  <c r="M80" i="33"/>
  <c r="Q80" i="33"/>
  <c r="F80" i="33"/>
  <c r="J80" i="33"/>
  <c r="N80" i="33"/>
  <c r="R80" i="33"/>
  <c r="G79" i="33"/>
  <c r="K79" i="33"/>
  <c r="O79" i="33"/>
  <c r="S79" i="33"/>
  <c r="H23" i="31"/>
  <c r="I21" i="29" s="1"/>
  <c r="L23" i="31"/>
  <c r="M21" i="29" s="1"/>
  <c r="P23" i="31"/>
  <c r="Q21" i="29" s="1"/>
  <c r="G76" i="31"/>
  <c r="K76" i="31"/>
  <c r="O76" i="31"/>
  <c r="S76" i="31"/>
  <c r="O23" i="30"/>
  <c r="P20" i="29" s="1"/>
  <c r="G23" i="30"/>
  <c r="H20" i="29" s="1"/>
  <c r="K76" i="30"/>
  <c r="H76" i="30"/>
  <c r="P76" i="30"/>
  <c r="J76" i="30"/>
  <c r="R76" i="30"/>
  <c r="L76" i="30"/>
  <c r="E76" i="30"/>
  <c r="I76" i="30"/>
  <c r="M76" i="30"/>
  <c r="Q76" i="30"/>
  <c r="K38" i="28"/>
  <c r="L18" i="29" s="1"/>
  <c r="L156" i="29" s="1"/>
  <c r="G38" i="28"/>
  <c r="H18" i="29" s="1"/>
  <c r="H156" i="29" s="1"/>
  <c r="F43" i="28"/>
  <c r="G47" i="29" s="1"/>
  <c r="J43" i="28"/>
  <c r="K47" i="29" s="1"/>
  <c r="H48" i="28"/>
  <c r="L48" i="28"/>
  <c r="L38" i="28"/>
  <c r="M18" i="29" s="1"/>
  <c r="M156" i="29" s="1"/>
  <c r="E38" i="28"/>
  <c r="F18" i="29" s="1"/>
  <c r="F156" i="29" s="1"/>
  <c r="M38" i="28"/>
  <c r="N18" i="29" s="1"/>
  <c r="N156" i="29" s="1"/>
  <c r="J38" i="28"/>
  <c r="K18" i="29" s="1"/>
  <c r="K156" i="29" s="1"/>
  <c r="F38" i="28"/>
  <c r="G18" i="29" s="1"/>
  <c r="G156" i="29" s="1"/>
  <c r="I48" i="28"/>
  <c r="M48" i="28"/>
  <c r="G43" i="28"/>
  <c r="H47" i="29" s="1"/>
  <c r="E43" i="28"/>
  <c r="F47" i="29" s="1"/>
  <c r="M43" i="28"/>
  <c r="N47" i="29" s="1"/>
  <c r="I43" i="28"/>
  <c r="J47" i="29" s="1"/>
  <c r="L43" i="28"/>
  <c r="M47" i="29" s="1"/>
  <c r="H43" i="28"/>
  <c r="I47" i="29" s="1"/>
  <c r="K48" i="28"/>
  <c r="G48" i="28"/>
  <c r="K43" i="28"/>
  <c r="L47" i="29" s="1"/>
  <c r="I38" i="28"/>
  <c r="J48" i="28"/>
  <c r="F48" i="28"/>
  <c r="H44" i="26"/>
  <c r="I16" i="29" s="1"/>
  <c r="P44" i="26"/>
  <c r="Q16" i="29" s="1"/>
  <c r="I44" i="26"/>
  <c r="J16" i="29" s="1"/>
  <c r="M44" i="26"/>
  <c r="N16" i="29" s="1"/>
  <c r="E44" i="26"/>
  <c r="F16" i="29" s="1"/>
  <c r="L44" i="26"/>
  <c r="M16" i="29" s="1"/>
  <c r="E133" i="26"/>
  <c r="Q44" i="26"/>
  <c r="R16" i="29" s="1"/>
  <c r="M133" i="26"/>
  <c r="L133" i="26"/>
  <c r="S44" i="26"/>
  <c r="T16" i="29" s="1"/>
  <c r="O44" i="26"/>
  <c r="P16" i="29" s="1"/>
  <c r="K44" i="26"/>
  <c r="L16" i="29" s="1"/>
  <c r="G44" i="26"/>
  <c r="H16" i="29" s="1"/>
  <c r="O133" i="26"/>
  <c r="R44" i="26"/>
  <c r="S16" i="29" s="1"/>
  <c r="N44" i="26"/>
  <c r="O16" i="29" s="1"/>
  <c r="J44" i="26"/>
  <c r="K16" i="29" s="1"/>
  <c r="F44" i="26"/>
  <c r="G16" i="29" s="1"/>
  <c r="F133" i="26"/>
  <c r="J133" i="26"/>
  <c r="N133" i="26"/>
  <c r="R133" i="26"/>
  <c r="K133" i="26"/>
  <c r="S133" i="26"/>
  <c r="J132" i="26"/>
  <c r="R132" i="26"/>
  <c r="L134" i="26"/>
  <c r="F132" i="26"/>
  <c r="N132" i="26"/>
  <c r="H134" i="26"/>
  <c r="P134" i="26"/>
  <c r="L85" i="25"/>
  <c r="P24" i="25"/>
  <c r="M88" i="25"/>
  <c r="O85" i="25"/>
  <c r="S85" i="25"/>
  <c r="F85" i="25"/>
  <c r="K85" i="25"/>
  <c r="N87" i="25"/>
  <c r="R87" i="25"/>
  <c r="G24" i="25"/>
  <c r="F87" i="25"/>
  <c r="J87" i="25"/>
  <c r="H86" i="25"/>
  <c r="H88" i="25"/>
  <c r="I88" i="25"/>
  <c r="N85" i="25"/>
  <c r="L86" i="25"/>
  <c r="F88" i="25"/>
  <c r="P87" i="25"/>
  <c r="N88" i="25"/>
  <c r="R88" i="25"/>
  <c r="S86" i="25"/>
  <c r="E88" i="25"/>
  <c r="J88" i="25"/>
  <c r="J86" i="25"/>
  <c r="N86" i="25"/>
  <c r="L88" i="25"/>
  <c r="I85" i="25"/>
  <c r="Q85" i="25"/>
  <c r="K87" i="25"/>
  <c r="S87" i="25"/>
  <c r="E85" i="25"/>
  <c r="J85" i="25"/>
  <c r="L87" i="25"/>
  <c r="M85" i="25"/>
  <c r="G87" i="25"/>
  <c r="O87" i="25"/>
  <c r="S32" i="24"/>
  <c r="T24" i="20" s="1"/>
  <c r="T180" i="20" s="1"/>
  <c r="M32" i="24"/>
  <c r="N24" i="20" s="1"/>
  <c r="N180" i="20" s="1"/>
  <c r="K27" i="24"/>
  <c r="E103" i="23"/>
  <c r="F103" i="23"/>
  <c r="G103" i="23"/>
  <c r="H103" i="23"/>
  <c r="I103" i="23"/>
  <c r="J103" i="23"/>
  <c r="K103" i="23"/>
  <c r="L103" i="23"/>
  <c r="M103" i="23"/>
  <c r="N103" i="23"/>
  <c r="O103" i="23"/>
  <c r="P103" i="23"/>
  <c r="Q103" i="23"/>
  <c r="R103" i="23"/>
  <c r="S103" i="23"/>
  <c r="E96" i="23"/>
  <c r="F96" i="23"/>
  <c r="G96" i="23"/>
  <c r="H96" i="23"/>
  <c r="I96" i="23"/>
  <c r="J96" i="23"/>
  <c r="K96" i="23"/>
  <c r="L96" i="23"/>
  <c r="M96" i="23"/>
  <c r="N96" i="23"/>
  <c r="O96" i="23"/>
  <c r="P96" i="23"/>
  <c r="Q96" i="23"/>
  <c r="R96" i="23"/>
  <c r="S96" i="23"/>
  <c r="F27" i="23"/>
  <c r="F28" i="23" s="1"/>
  <c r="F108" i="23" s="1"/>
  <c r="G27" i="23"/>
  <c r="G107" i="23" s="1"/>
  <c r="H27" i="23"/>
  <c r="H28" i="23" s="1"/>
  <c r="H108" i="23" s="1"/>
  <c r="I27" i="23"/>
  <c r="I28" i="23" s="1"/>
  <c r="I108" i="23" s="1"/>
  <c r="J27" i="23"/>
  <c r="J107" i="23" s="1"/>
  <c r="K27" i="23"/>
  <c r="K107" i="23" s="1"/>
  <c r="L27" i="23"/>
  <c r="L28" i="23" s="1"/>
  <c r="L108" i="23" s="1"/>
  <c r="M27" i="23"/>
  <c r="M28" i="23" s="1"/>
  <c r="M108" i="23" s="1"/>
  <c r="N27" i="23"/>
  <c r="N28" i="23" s="1"/>
  <c r="N108" i="23" s="1"/>
  <c r="O27" i="23"/>
  <c r="O107" i="23" s="1"/>
  <c r="P27" i="23"/>
  <c r="P28" i="23" s="1"/>
  <c r="P108" i="23" s="1"/>
  <c r="Q27" i="23"/>
  <c r="Q28" i="23" s="1"/>
  <c r="Q108" i="23" s="1"/>
  <c r="R27" i="23"/>
  <c r="R107" i="23" s="1"/>
  <c r="S27" i="23"/>
  <c r="S107" i="23" s="1"/>
  <c r="O28" i="23"/>
  <c r="O108" i="23" s="1"/>
  <c r="F29" i="23"/>
  <c r="F30" i="23" s="1"/>
  <c r="F110" i="23" s="1"/>
  <c r="G29" i="23"/>
  <c r="G30" i="23" s="1"/>
  <c r="G110" i="23" s="1"/>
  <c r="H29" i="23"/>
  <c r="H30" i="23" s="1"/>
  <c r="H110" i="23" s="1"/>
  <c r="I29" i="23"/>
  <c r="I30" i="23" s="1"/>
  <c r="I110" i="23" s="1"/>
  <c r="J29" i="23"/>
  <c r="J30" i="23" s="1"/>
  <c r="J110" i="23" s="1"/>
  <c r="K29" i="23"/>
  <c r="K30" i="23" s="1"/>
  <c r="K110" i="23" s="1"/>
  <c r="L29" i="23"/>
  <c r="L30" i="23" s="1"/>
  <c r="L110" i="23" s="1"/>
  <c r="M29" i="23"/>
  <c r="M30" i="23" s="1"/>
  <c r="M110" i="23" s="1"/>
  <c r="N29" i="23"/>
  <c r="N30" i="23" s="1"/>
  <c r="N110" i="23" s="1"/>
  <c r="O29" i="23"/>
  <c r="O30" i="23" s="1"/>
  <c r="O110" i="23" s="1"/>
  <c r="P29" i="23"/>
  <c r="P30" i="23" s="1"/>
  <c r="P110" i="23" s="1"/>
  <c r="Q29" i="23"/>
  <c r="Q30" i="23" s="1"/>
  <c r="Q110" i="23" s="1"/>
  <c r="R29" i="23"/>
  <c r="R109" i="23" s="1"/>
  <c r="S29" i="23"/>
  <c r="S109" i="23" s="1"/>
  <c r="F31" i="23"/>
  <c r="F111" i="23" s="1"/>
  <c r="G31" i="23"/>
  <c r="G111" i="23" s="1"/>
  <c r="H31" i="23"/>
  <c r="H32" i="23" s="1"/>
  <c r="H112" i="23" s="1"/>
  <c r="I31" i="23"/>
  <c r="I32" i="23" s="1"/>
  <c r="I112" i="23" s="1"/>
  <c r="J31" i="23"/>
  <c r="J32" i="23" s="1"/>
  <c r="J112" i="23" s="1"/>
  <c r="K31" i="23"/>
  <c r="K111" i="23" s="1"/>
  <c r="L31" i="23"/>
  <c r="L32" i="23" s="1"/>
  <c r="L112" i="23" s="1"/>
  <c r="M31" i="23"/>
  <c r="M32" i="23" s="1"/>
  <c r="M112" i="23" s="1"/>
  <c r="N31" i="23"/>
  <c r="N111" i="23" s="1"/>
  <c r="O31" i="23"/>
  <c r="O111" i="23" s="1"/>
  <c r="P31" i="23"/>
  <c r="P32" i="23" s="1"/>
  <c r="P112" i="23" s="1"/>
  <c r="Q31" i="23"/>
  <c r="Q32" i="23" s="1"/>
  <c r="Q112" i="23" s="1"/>
  <c r="R31" i="23"/>
  <c r="R32" i="23" s="1"/>
  <c r="R112" i="23" s="1"/>
  <c r="S31" i="23"/>
  <c r="S111" i="23" s="1"/>
  <c r="F34" i="23"/>
  <c r="F35" i="23" s="1"/>
  <c r="G34" i="23"/>
  <c r="G35" i="23" s="1"/>
  <c r="H34" i="23"/>
  <c r="H114" i="23" s="1"/>
  <c r="I34" i="23"/>
  <c r="I114" i="23" s="1"/>
  <c r="J34" i="23"/>
  <c r="J35" i="23" s="1"/>
  <c r="K34" i="23"/>
  <c r="K35" i="23" s="1"/>
  <c r="L34" i="23"/>
  <c r="L114" i="23" s="1"/>
  <c r="M34" i="23"/>
  <c r="M114" i="23" s="1"/>
  <c r="N34" i="23"/>
  <c r="N35" i="23" s="1"/>
  <c r="O34" i="23"/>
  <c r="O35" i="23" s="1"/>
  <c r="P34" i="23"/>
  <c r="P114" i="23" s="1"/>
  <c r="Q34" i="23"/>
  <c r="Q114" i="23" s="1"/>
  <c r="R34" i="23"/>
  <c r="R35" i="23" s="1"/>
  <c r="S34" i="23"/>
  <c r="S35" i="23" s="1"/>
  <c r="H35" i="23"/>
  <c r="L35" i="23"/>
  <c r="E34" i="23"/>
  <c r="E35" i="23" s="1"/>
  <c r="E31" i="23"/>
  <c r="E32" i="23" s="1"/>
  <c r="E112" i="23" s="1"/>
  <c r="E29" i="23"/>
  <c r="E30" i="23" s="1"/>
  <c r="E110" i="23" s="1"/>
  <c r="E27" i="23"/>
  <c r="E28" i="23" s="1"/>
  <c r="S102" i="23"/>
  <c r="R102" i="23"/>
  <c r="Q102" i="23"/>
  <c r="P102" i="23"/>
  <c r="O102" i="23"/>
  <c r="N102" i="23"/>
  <c r="M102" i="23"/>
  <c r="L102" i="23"/>
  <c r="K102" i="23"/>
  <c r="J102" i="23"/>
  <c r="I102" i="23"/>
  <c r="H102" i="23"/>
  <c r="G102" i="23"/>
  <c r="F102" i="23"/>
  <c r="E102" i="23"/>
  <c r="S101" i="23"/>
  <c r="R101" i="23"/>
  <c r="Q101" i="23"/>
  <c r="P101" i="23"/>
  <c r="O101" i="23"/>
  <c r="N101" i="23"/>
  <c r="M101" i="23"/>
  <c r="L101" i="23"/>
  <c r="K101" i="23"/>
  <c r="J101" i="23"/>
  <c r="I101" i="23"/>
  <c r="H101" i="23"/>
  <c r="G101" i="23"/>
  <c r="F101" i="23"/>
  <c r="E101" i="23"/>
  <c r="S100" i="23"/>
  <c r="R100" i="23"/>
  <c r="Q100" i="23"/>
  <c r="P100" i="23"/>
  <c r="O100" i="23"/>
  <c r="N100" i="23"/>
  <c r="M100" i="23"/>
  <c r="L100" i="23"/>
  <c r="K100" i="23"/>
  <c r="J100" i="23"/>
  <c r="I100" i="23"/>
  <c r="H100" i="23"/>
  <c r="G100" i="23"/>
  <c r="F100" i="23"/>
  <c r="E100" i="23"/>
  <c r="S95" i="23"/>
  <c r="R95" i="23"/>
  <c r="Q95" i="23"/>
  <c r="P95" i="23"/>
  <c r="O95" i="23"/>
  <c r="N95" i="23"/>
  <c r="M95" i="23"/>
  <c r="L95" i="23"/>
  <c r="K95" i="23"/>
  <c r="J95" i="23"/>
  <c r="I95" i="23"/>
  <c r="H95" i="23"/>
  <c r="G95" i="23"/>
  <c r="F95" i="23"/>
  <c r="E95" i="23"/>
  <c r="S94" i="23"/>
  <c r="R94" i="23"/>
  <c r="Q94" i="23"/>
  <c r="P94" i="23"/>
  <c r="O94" i="23"/>
  <c r="N94" i="23"/>
  <c r="M94" i="23"/>
  <c r="L94" i="23"/>
  <c r="K94" i="23"/>
  <c r="J94" i="23"/>
  <c r="I94" i="23"/>
  <c r="H94" i="23"/>
  <c r="G94" i="23"/>
  <c r="F94" i="23"/>
  <c r="E94" i="23"/>
  <c r="B1" i="23"/>
  <c r="F88" i="22"/>
  <c r="G88" i="22"/>
  <c r="H88" i="22"/>
  <c r="I88" i="22"/>
  <c r="J88" i="22"/>
  <c r="K88" i="22"/>
  <c r="L88" i="22"/>
  <c r="M88" i="22"/>
  <c r="N88" i="22"/>
  <c r="O88" i="22"/>
  <c r="P88" i="22"/>
  <c r="Q88" i="22"/>
  <c r="R88" i="22"/>
  <c r="S88" i="22"/>
  <c r="F89" i="22"/>
  <c r="G89" i="22"/>
  <c r="H89" i="22"/>
  <c r="I89" i="22"/>
  <c r="J89" i="22"/>
  <c r="K89" i="22"/>
  <c r="L89" i="22"/>
  <c r="M89" i="22"/>
  <c r="N89" i="22"/>
  <c r="O89" i="22"/>
  <c r="P89" i="22"/>
  <c r="Q89" i="22"/>
  <c r="R89" i="22"/>
  <c r="S89" i="22"/>
  <c r="E89" i="22"/>
  <c r="E88" i="22"/>
  <c r="F94" i="21"/>
  <c r="G94" i="21"/>
  <c r="H94" i="21"/>
  <c r="I94" i="21"/>
  <c r="J94" i="21"/>
  <c r="K94" i="21"/>
  <c r="L94" i="21"/>
  <c r="M94" i="21"/>
  <c r="N94" i="21"/>
  <c r="O94" i="21"/>
  <c r="P94" i="21"/>
  <c r="Q94" i="21"/>
  <c r="R94" i="21"/>
  <c r="S94" i="21"/>
  <c r="E94" i="21"/>
  <c r="F24" i="22"/>
  <c r="G24" i="22"/>
  <c r="H24" i="22"/>
  <c r="I24" i="22"/>
  <c r="I93" i="22" s="1"/>
  <c r="J24" i="22"/>
  <c r="K24" i="22"/>
  <c r="L24" i="22"/>
  <c r="M24" i="22"/>
  <c r="M93" i="22" s="1"/>
  <c r="N24" i="22"/>
  <c r="O24" i="22"/>
  <c r="P24" i="22"/>
  <c r="Q24" i="22"/>
  <c r="R24" i="22"/>
  <c r="S24" i="22"/>
  <c r="F26" i="22"/>
  <c r="F95" i="22" s="1"/>
  <c r="G26" i="22"/>
  <c r="G95" i="22" s="1"/>
  <c r="H26" i="22"/>
  <c r="H95" i="22" s="1"/>
  <c r="I26" i="22"/>
  <c r="I95" i="22" s="1"/>
  <c r="J26" i="22"/>
  <c r="J95" i="22" s="1"/>
  <c r="K26" i="22"/>
  <c r="K95" i="22" s="1"/>
  <c r="L26" i="22"/>
  <c r="L95" i="22" s="1"/>
  <c r="M26" i="22"/>
  <c r="M95" i="22" s="1"/>
  <c r="N26" i="22"/>
  <c r="N95" i="22" s="1"/>
  <c r="O26" i="22"/>
  <c r="O95" i="22" s="1"/>
  <c r="P26" i="22"/>
  <c r="P95" i="22" s="1"/>
  <c r="Q26" i="22"/>
  <c r="Q95" i="22" s="1"/>
  <c r="R26" i="22"/>
  <c r="R95" i="22" s="1"/>
  <c r="S26" i="22"/>
  <c r="S95" i="22" s="1"/>
  <c r="E26" i="22"/>
  <c r="E95" i="22" s="1"/>
  <c r="E24" i="22"/>
  <c r="E93" i="22" s="1"/>
  <c r="S83" i="22"/>
  <c r="R83" i="22"/>
  <c r="Q83" i="22"/>
  <c r="P83" i="22"/>
  <c r="O83" i="22"/>
  <c r="N83" i="22"/>
  <c r="M83" i="22"/>
  <c r="L83" i="22"/>
  <c r="K83" i="22"/>
  <c r="J83" i="22"/>
  <c r="I83" i="22"/>
  <c r="H83" i="22"/>
  <c r="G83" i="22"/>
  <c r="F83" i="22"/>
  <c r="E83" i="22"/>
  <c r="S82" i="22"/>
  <c r="R82" i="22"/>
  <c r="Q82" i="22"/>
  <c r="P82" i="22"/>
  <c r="O82" i="22"/>
  <c r="N82" i="22"/>
  <c r="M82" i="22"/>
  <c r="L82" i="22"/>
  <c r="K82" i="22"/>
  <c r="J82" i="22"/>
  <c r="I82" i="22"/>
  <c r="H82" i="22"/>
  <c r="G82" i="22"/>
  <c r="F82" i="22"/>
  <c r="E82" i="22"/>
  <c r="B1" i="22"/>
  <c r="E84" i="21"/>
  <c r="E86" i="21"/>
  <c r="F86" i="21"/>
  <c r="G86" i="21"/>
  <c r="H86" i="21"/>
  <c r="I86" i="21"/>
  <c r="J86" i="21"/>
  <c r="K86" i="21"/>
  <c r="L86" i="21"/>
  <c r="M86" i="21"/>
  <c r="N86" i="21"/>
  <c r="O86" i="21"/>
  <c r="P86" i="21"/>
  <c r="Q86" i="21"/>
  <c r="R86" i="21"/>
  <c r="S86" i="21"/>
  <c r="E88" i="21"/>
  <c r="F88" i="21"/>
  <c r="G88" i="21"/>
  <c r="H88" i="21"/>
  <c r="I88" i="21"/>
  <c r="J88" i="21"/>
  <c r="K88" i="21"/>
  <c r="L88" i="21"/>
  <c r="M88" i="21"/>
  <c r="N88" i="21"/>
  <c r="O88" i="21"/>
  <c r="P88" i="21"/>
  <c r="Q88" i="21"/>
  <c r="R88" i="21"/>
  <c r="S88" i="21"/>
  <c r="F101" i="21"/>
  <c r="G101" i="21"/>
  <c r="H101" i="21"/>
  <c r="J101" i="21"/>
  <c r="K101" i="21"/>
  <c r="L101" i="21"/>
  <c r="N101" i="21"/>
  <c r="O101" i="21"/>
  <c r="P101" i="21"/>
  <c r="R101" i="21"/>
  <c r="S101" i="21"/>
  <c r="E101" i="21"/>
  <c r="F87" i="21"/>
  <c r="G87" i="21"/>
  <c r="H87" i="21"/>
  <c r="I87" i="21"/>
  <c r="J87" i="21"/>
  <c r="K87" i="21"/>
  <c r="L87" i="21"/>
  <c r="M87" i="21"/>
  <c r="N87" i="21"/>
  <c r="O87" i="21"/>
  <c r="P87" i="21"/>
  <c r="Q87" i="21"/>
  <c r="R87" i="21"/>
  <c r="S87" i="21"/>
  <c r="F89" i="21"/>
  <c r="H89" i="21"/>
  <c r="J89" i="21"/>
  <c r="L89" i="21"/>
  <c r="N89" i="21"/>
  <c r="P89" i="21"/>
  <c r="R89" i="21"/>
  <c r="E19" i="21"/>
  <c r="E89" i="21" s="1"/>
  <c r="B1" i="21"/>
  <c r="Q101" i="21"/>
  <c r="M101" i="21"/>
  <c r="I101" i="21"/>
  <c r="S100" i="21"/>
  <c r="R100" i="21"/>
  <c r="Q100" i="21"/>
  <c r="P100" i="21"/>
  <c r="O100" i="21"/>
  <c r="N100" i="21"/>
  <c r="M100" i="21"/>
  <c r="L100" i="21"/>
  <c r="K100" i="21"/>
  <c r="J100" i="21"/>
  <c r="I100" i="21"/>
  <c r="H100" i="21"/>
  <c r="G100" i="21"/>
  <c r="F100" i="21"/>
  <c r="E100" i="21"/>
  <c r="S85" i="21"/>
  <c r="R85" i="21"/>
  <c r="Q85" i="21"/>
  <c r="P85" i="21"/>
  <c r="O85" i="21"/>
  <c r="N85" i="21"/>
  <c r="M85" i="21"/>
  <c r="L85" i="21"/>
  <c r="K85" i="21"/>
  <c r="J85" i="21"/>
  <c r="I85" i="21"/>
  <c r="H85" i="21"/>
  <c r="G85" i="21"/>
  <c r="F85" i="21"/>
  <c r="E85" i="21"/>
  <c r="S84" i="21"/>
  <c r="R84" i="21"/>
  <c r="Q84" i="21"/>
  <c r="P84" i="21"/>
  <c r="O84" i="21"/>
  <c r="N84" i="21"/>
  <c r="M84" i="21"/>
  <c r="L84" i="21"/>
  <c r="K84" i="21"/>
  <c r="J84" i="21"/>
  <c r="I84" i="21"/>
  <c r="H84" i="21"/>
  <c r="G84" i="21"/>
  <c r="F84" i="21"/>
  <c r="R28" i="23" l="1"/>
  <c r="R108" i="23" s="1"/>
  <c r="J32" i="24"/>
  <c r="K24" i="20" s="1"/>
  <c r="K180" i="20" s="1"/>
  <c r="I35" i="23"/>
  <c r="G28" i="23"/>
  <c r="G108" i="23" s="1"/>
  <c r="O32" i="24"/>
  <c r="P24" i="20" s="1"/>
  <c r="P180" i="20" s="1"/>
  <c r="O107" i="19"/>
  <c r="O407" i="19" s="1"/>
  <c r="S13" i="20"/>
  <c r="K13" i="20"/>
  <c r="K169" i="20" s="1"/>
  <c r="S107" i="19"/>
  <c r="S407" i="19" s="1"/>
  <c r="K107" i="19"/>
  <c r="K407" i="19" s="1"/>
  <c r="K32" i="23"/>
  <c r="K112" i="23" s="1"/>
  <c r="S114" i="23"/>
  <c r="G114" i="23"/>
  <c r="F154" i="28"/>
  <c r="G56" i="29"/>
  <c r="G154" i="28"/>
  <c r="H56" i="29"/>
  <c r="J44" i="29"/>
  <c r="J182" i="29" s="1"/>
  <c r="J185" i="29"/>
  <c r="M154" i="28"/>
  <c r="N56" i="29"/>
  <c r="H154" i="28"/>
  <c r="I56" i="29"/>
  <c r="R25" i="29"/>
  <c r="R163" i="29" s="1"/>
  <c r="R165" i="29"/>
  <c r="G25" i="29"/>
  <c r="G163" i="29" s="1"/>
  <c r="G165" i="29"/>
  <c r="I51" i="20"/>
  <c r="I39" i="20"/>
  <c r="N51" i="20"/>
  <c r="N207" i="20" s="1"/>
  <c r="N39" i="20"/>
  <c r="O114" i="23"/>
  <c r="M111" i="23"/>
  <c r="J154" i="28"/>
  <c r="K56" i="29"/>
  <c r="K154" i="28"/>
  <c r="L56" i="29"/>
  <c r="N44" i="29"/>
  <c r="N182" i="29" s="1"/>
  <c r="N185" i="29"/>
  <c r="I154" i="28"/>
  <c r="J56" i="29"/>
  <c r="K185" i="29"/>
  <c r="K44" i="29"/>
  <c r="K182" i="29" s="1"/>
  <c r="H25" i="29"/>
  <c r="H163" i="29" s="1"/>
  <c r="H165" i="29"/>
  <c r="I25" i="29"/>
  <c r="I163" i="29" s="1"/>
  <c r="I165" i="29"/>
  <c r="F51" i="20"/>
  <c r="F207" i="20" s="1"/>
  <c r="F39" i="20"/>
  <c r="L51" i="20"/>
  <c r="L207" i="20" s="1"/>
  <c r="L39" i="20"/>
  <c r="G195" i="20"/>
  <c r="G31" i="20"/>
  <c r="G187" i="20" s="1"/>
  <c r="O195" i="20"/>
  <c r="O31" i="20"/>
  <c r="O187" i="20" s="1"/>
  <c r="I44" i="29"/>
  <c r="I182" i="29" s="1"/>
  <c r="I185" i="29"/>
  <c r="F44" i="29"/>
  <c r="F182" i="29" s="1"/>
  <c r="F185" i="29"/>
  <c r="G44" i="29"/>
  <c r="G182" i="29" s="1"/>
  <c r="G185" i="29"/>
  <c r="J25" i="29"/>
  <c r="J163" i="29" s="1"/>
  <c r="J165" i="29"/>
  <c r="L25" i="29"/>
  <c r="L163" i="29" s="1"/>
  <c r="L165" i="29"/>
  <c r="M25" i="29"/>
  <c r="M163" i="29" s="1"/>
  <c r="M165" i="29"/>
  <c r="T195" i="20"/>
  <c r="T31" i="20"/>
  <c r="T187" i="20" s="1"/>
  <c r="J51" i="20"/>
  <c r="J207" i="20" s="1"/>
  <c r="J39" i="20"/>
  <c r="R51" i="20"/>
  <c r="R207" i="20" s="1"/>
  <c r="R39" i="20"/>
  <c r="S19" i="19"/>
  <c r="S319" i="19" s="1"/>
  <c r="S169" i="20"/>
  <c r="P51" i="20"/>
  <c r="P39" i="20"/>
  <c r="M195" i="20"/>
  <c r="M31" i="20"/>
  <c r="M187" i="20" s="1"/>
  <c r="S32" i="23"/>
  <c r="S112" i="23" s="1"/>
  <c r="K114" i="23"/>
  <c r="L44" i="29"/>
  <c r="L182" i="29" s="1"/>
  <c r="L185" i="29"/>
  <c r="M44" i="29"/>
  <c r="M182" i="29" s="1"/>
  <c r="M185" i="29"/>
  <c r="H44" i="29"/>
  <c r="H182" i="29" s="1"/>
  <c r="H185" i="29"/>
  <c r="L154" i="28"/>
  <c r="M56" i="29"/>
  <c r="N25" i="29"/>
  <c r="N163" i="29" s="1"/>
  <c r="N165" i="29"/>
  <c r="T25" i="29"/>
  <c r="T163" i="29" s="1"/>
  <c r="T165" i="29"/>
  <c r="Q25" i="29"/>
  <c r="Q163" i="29" s="1"/>
  <c r="Q165" i="29"/>
  <c r="O25" i="29"/>
  <c r="O163" i="29" s="1"/>
  <c r="O165" i="29"/>
  <c r="Q51" i="20"/>
  <c r="Q207" i="20" s="1"/>
  <c r="Q39" i="20"/>
  <c r="H51" i="20"/>
  <c r="H207" i="20" s="1"/>
  <c r="H39" i="20"/>
  <c r="O88" i="25"/>
  <c r="K195" i="20"/>
  <c r="K31" i="20"/>
  <c r="K187" i="20" s="1"/>
  <c r="S195" i="20"/>
  <c r="S31" i="20"/>
  <c r="S187" i="20" s="1"/>
  <c r="AD18" i="56"/>
  <c r="T328" i="19"/>
  <c r="K148" i="29"/>
  <c r="AC10" i="56"/>
  <c r="AC9" i="56"/>
  <c r="AD10" i="56"/>
  <c r="AC8" i="56"/>
  <c r="P31" i="19"/>
  <c r="P331" i="19" s="1"/>
  <c r="T86" i="19"/>
  <c r="T386" i="19" s="1"/>
  <c r="T31" i="19"/>
  <c r="T331" i="19" s="1"/>
  <c r="R115" i="23"/>
  <c r="S48" i="20"/>
  <c r="S204" i="20" s="1"/>
  <c r="J115" i="23"/>
  <c r="K48" i="20"/>
  <c r="K204" i="20" s="1"/>
  <c r="F115" i="23"/>
  <c r="G48" i="20"/>
  <c r="G204" i="20" s="1"/>
  <c r="K11" i="20"/>
  <c r="K167" i="20" s="1"/>
  <c r="K72" i="19"/>
  <c r="K372" i="19" s="1"/>
  <c r="P158" i="29"/>
  <c r="P10" i="29"/>
  <c r="P82" i="19"/>
  <c r="P382" i="19" s="1"/>
  <c r="S159" i="29"/>
  <c r="S11" i="29"/>
  <c r="S28" i="19" s="1"/>
  <c r="S83" i="19"/>
  <c r="S383" i="19" s="1"/>
  <c r="J159" i="29"/>
  <c r="J83" i="19"/>
  <c r="J383" i="19" s="1"/>
  <c r="J11" i="29"/>
  <c r="O20" i="29"/>
  <c r="N77" i="30"/>
  <c r="M24" i="20"/>
  <c r="M180" i="20" s="1"/>
  <c r="G158" i="29"/>
  <c r="G82" i="19"/>
  <c r="G382" i="19" s="1"/>
  <c r="G10" i="29"/>
  <c r="G27" i="19" s="1"/>
  <c r="G327" i="19" s="1"/>
  <c r="J111" i="23"/>
  <c r="K32" i="24"/>
  <c r="L24" i="20" s="1"/>
  <c r="L180" i="20" s="1"/>
  <c r="K99" i="24"/>
  <c r="N32" i="24"/>
  <c r="O24" i="20" s="1"/>
  <c r="O180" i="20" s="1"/>
  <c r="G27" i="25"/>
  <c r="H26" i="20"/>
  <c r="H182" i="20" s="1"/>
  <c r="K88" i="25"/>
  <c r="Q24" i="20"/>
  <c r="Q180" i="20" s="1"/>
  <c r="F174" i="29"/>
  <c r="F34" i="29"/>
  <c r="F112" i="19"/>
  <c r="F412" i="19" s="1"/>
  <c r="L115" i="23"/>
  <c r="M48" i="20"/>
  <c r="M204" i="20" s="1"/>
  <c r="N115" i="23"/>
  <c r="O48" i="20"/>
  <c r="O204" i="20" s="1"/>
  <c r="P72" i="19"/>
  <c r="P372" i="19" s="1"/>
  <c r="P11" i="20"/>
  <c r="P167" i="20" s="1"/>
  <c r="F11" i="20"/>
  <c r="F72" i="19"/>
  <c r="F372" i="19" s="1"/>
  <c r="N36" i="29"/>
  <c r="M130" i="27"/>
  <c r="T36" i="29"/>
  <c r="S130" i="27"/>
  <c r="I72" i="19"/>
  <c r="I372" i="19" s="1"/>
  <c r="I11" i="20"/>
  <c r="I167" i="20" s="1"/>
  <c r="F77" i="31"/>
  <c r="G21" i="29"/>
  <c r="R107" i="19"/>
  <c r="R407" i="19" s="1"/>
  <c r="E115" i="23"/>
  <c r="F48" i="20"/>
  <c r="F204" i="20" s="1"/>
  <c r="I115" i="23"/>
  <c r="J48" i="20"/>
  <c r="J204" i="20" s="1"/>
  <c r="R111" i="23"/>
  <c r="T11" i="20"/>
  <c r="T72" i="19"/>
  <c r="T372" i="19" s="1"/>
  <c r="Q27" i="25"/>
  <c r="Q89" i="25" s="1"/>
  <c r="Q159" i="29"/>
  <c r="Q11" i="29"/>
  <c r="Q83" i="19"/>
  <c r="Q383" i="19" s="1"/>
  <c r="G36" i="29"/>
  <c r="F130" i="27"/>
  <c r="F77" i="30"/>
  <c r="K159" i="29"/>
  <c r="K11" i="29"/>
  <c r="K83" i="19"/>
  <c r="K383" i="19" s="1"/>
  <c r="Q23" i="32"/>
  <c r="R72" i="19"/>
  <c r="R372" i="19" s="1"/>
  <c r="R11" i="20"/>
  <c r="R167" i="20" s="1"/>
  <c r="N159" i="29"/>
  <c r="N83" i="19"/>
  <c r="N383" i="19" s="1"/>
  <c r="N11" i="29"/>
  <c r="F107" i="19"/>
  <c r="F407" i="19" s="1"/>
  <c r="L107" i="19"/>
  <c r="L407" i="19" s="1"/>
  <c r="Q35" i="23"/>
  <c r="H115" i="23"/>
  <c r="I48" i="20"/>
  <c r="I204" i="20" s="1"/>
  <c r="F32" i="23"/>
  <c r="F112" i="23" s="1"/>
  <c r="K28" i="23"/>
  <c r="K108" i="23" s="1"/>
  <c r="Q111" i="23"/>
  <c r="I111" i="23"/>
  <c r="N72" i="19"/>
  <c r="N372" i="19" s="1"/>
  <c r="N11" i="20"/>
  <c r="N167" i="20" s="1"/>
  <c r="R32" i="24"/>
  <c r="S24" i="20" s="1"/>
  <c r="S180" i="20" s="1"/>
  <c r="P27" i="25"/>
  <c r="Q26" i="20"/>
  <c r="Q182" i="20" s="1"/>
  <c r="M159" i="29"/>
  <c r="M11" i="29"/>
  <c r="M83" i="19"/>
  <c r="M383" i="19" s="1"/>
  <c r="H36" i="29"/>
  <c r="G130" i="27"/>
  <c r="J148" i="29"/>
  <c r="K27" i="25"/>
  <c r="I36" i="29"/>
  <c r="H130" i="27"/>
  <c r="T158" i="29"/>
  <c r="T10" i="29"/>
  <c r="T27" i="19" s="1"/>
  <c r="T82" i="19"/>
  <c r="T382" i="19" s="1"/>
  <c r="P6" i="32"/>
  <c r="P87" i="19" s="1"/>
  <c r="P387" i="19" s="1"/>
  <c r="N6" i="32"/>
  <c r="N32" i="19" s="1"/>
  <c r="N332" i="19" s="1"/>
  <c r="O36" i="29"/>
  <c r="N130" i="27"/>
  <c r="S88" i="25"/>
  <c r="T51" i="20"/>
  <c r="T207" i="20" s="1"/>
  <c r="S174" i="29"/>
  <c r="S112" i="19"/>
  <c r="S412" i="19" s="1"/>
  <c r="S34" i="29"/>
  <c r="J13" i="20"/>
  <c r="J169" i="20" s="1"/>
  <c r="N107" i="19"/>
  <c r="N407" i="19" s="1"/>
  <c r="E27" i="25"/>
  <c r="K174" i="29"/>
  <c r="K34" i="29"/>
  <c r="K112" i="19"/>
  <c r="K412" i="19" s="1"/>
  <c r="P35" i="23"/>
  <c r="S115" i="23"/>
  <c r="T48" i="20"/>
  <c r="T204" i="20" s="1"/>
  <c r="O115" i="23"/>
  <c r="P48" i="20"/>
  <c r="P204" i="20" s="1"/>
  <c r="K115" i="23"/>
  <c r="L48" i="20"/>
  <c r="L204" i="20" s="1"/>
  <c r="G115" i="23"/>
  <c r="H48" i="20"/>
  <c r="H204" i="20" s="1"/>
  <c r="N32" i="23"/>
  <c r="N112" i="23" s="1"/>
  <c r="S28" i="23"/>
  <c r="S108" i="23" s="1"/>
  <c r="J28" i="23"/>
  <c r="J108" i="23" s="1"/>
  <c r="F32" i="24"/>
  <c r="G24" i="20" s="1"/>
  <c r="G180" i="20" s="1"/>
  <c r="G32" i="24"/>
  <c r="H24" i="20" s="1"/>
  <c r="H180" i="20" s="1"/>
  <c r="F154" i="29"/>
  <c r="F6" i="29"/>
  <c r="Z6" i="29" s="1"/>
  <c r="AA6" i="29" s="1"/>
  <c r="F78" i="19"/>
  <c r="F378" i="19" s="1"/>
  <c r="H158" i="29"/>
  <c r="H10" i="29"/>
  <c r="H82" i="19"/>
  <c r="H382" i="19" s="1"/>
  <c r="I159" i="29"/>
  <c r="I11" i="29"/>
  <c r="I83" i="19"/>
  <c r="I383" i="19" s="1"/>
  <c r="J36" i="29"/>
  <c r="I130" i="27"/>
  <c r="L36" i="29"/>
  <c r="K130" i="27"/>
  <c r="H144" i="28"/>
  <c r="I27" i="25"/>
  <c r="I89" i="25" s="1"/>
  <c r="M36" i="29"/>
  <c r="L130" i="27"/>
  <c r="R159" i="29"/>
  <c r="R11" i="29"/>
  <c r="R83" i="19"/>
  <c r="R383" i="19" s="1"/>
  <c r="Q31" i="19"/>
  <c r="Q331" i="19" s="1"/>
  <c r="N77" i="31"/>
  <c r="O21" i="29"/>
  <c r="E77" i="31"/>
  <c r="F21" i="29"/>
  <c r="F158" i="29"/>
  <c r="F10" i="29"/>
  <c r="F148" i="29" s="1"/>
  <c r="F82" i="19"/>
  <c r="F382" i="19" s="1"/>
  <c r="I107" i="19"/>
  <c r="I407" i="19" s="1"/>
  <c r="Q107" i="19"/>
  <c r="Q407" i="19" s="1"/>
  <c r="J24" i="20"/>
  <c r="J180" i="20" s="1"/>
  <c r="N13" i="20"/>
  <c r="N169" i="20" s="1"/>
  <c r="F74" i="19"/>
  <c r="F374" i="19" s="1"/>
  <c r="L13" i="20"/>
  <c r="H107" i="19"/>
  <c r="H407" i="19" s="1"/>
  <c r="P107" i="19"/>
  <c r="P407" i="19" s="1"/>
  <c r="S158" i="29"/>
  <c r="S82" i="19"/>
  <c r="S382" i="19" s="1"/>
  <c r="S10" i="29"/>
  <c r="S27" i="19" s="1"/>
  <c r="S127" i="27"/>
  <c r="T17" i="29"/>
  <c r="R36" i="29"/>
  <c r="Q130" i="27"/>
  <c r="Q36" i="29"/>
  <c r="P130" i="27"/>
  <c r="P174" i="29"/>
  <c r="P34" i="29"/>
  <c r="P112" i="19"/>
  <c r="P412" i="19" s="1"/>
  <c r="L154" i="29"/>
  <c r="L78" i="19"/>
  <c r="L378" i="19" s="1"/>
  <c r="L6" i="29"/>
  <c r="I154" i="29"/>
  <c r="I78" i="19"/>
  <c r="I378" i="19" s="1"/>
  <c r="I6" i="29"/>
  <c r="S154" i="29"/>
  <c r="S78" i="19"/>
  <c r="S378" i="19" s="1"/>
  <c r="S6" i="29"/>
  <c r="S23" i="19" s="1"/>
  <c r="P154" i="29"/>
  <c r="P78" i="19"/>
  <c r="P378" i="19" s="1"/>
  <c r="P6" i="29"/>
  <c r="R154" i="29"/>
  <c r="R78" i="19"/>
  <c r="R378" i="19" s="1"/>
  <c r="R6" i="29"/>
  <c r="N154" i="29"/>
  <c r="N78" i="19"/>
  <c r="N378" i="19" s="1"/>
  <c r="N6" i="29"/>
  <c r="T154" i="29"/>
  <c r="T6" i="29"/>
  <c r="T23" i="19" s="1"/>
  <c r="T78" i="19"/>
  <c r="T378" i="19" s="1"/>
  <c r="J154" i="29"/>
  <c r="J78" i="19"/>
  <c r="J378" i="19" s="1"/>
  <c r="J6" i="29"/>
  <c r="O154" i="29"/>
  <c r="O6" i="29"/>
  <c r="O78" i="19"/>
  <c r="O378" i="19" s="1"/>
  <c r="K154" i="29"/>
  <c r="K6" i="29"/>
  <c r="K78" i="19"/>
  <c r="K378" i="19" s="1"/>
  <c r="H154" i="29"/>
  <c r="H6" i="29"/>
  <c r="H78" i="19"/>
  <c r="H378" i="19" s="1"/>
  <c r="M154" i="29"/>
  <c r="M6" i="29"/>
  <c r="M78" i="19"/>
  <c r="M378" i="19" s="1"/>
  <c r="Q154" i="29"/>
  <c r="Q78" i="19"/>
  <c r="Q378" i="19" s="1"/>
  <c r="Q6" i="29"/>
  <c r="G154" i="29"/>
  <c r="G78" i="19"/>
  <c r="G378" i="19" s="1"/>
  <c r="G6" i="29"/>
  <c r="N87" i="19"/>
  <c r="N387" i="19" s="1"/>
  <c r="O89" i="25"/>
  <c r="F4" i="32"/>
  <c r="F87" i="19"/>
  <c r="F387" i="19" s="1"/>
  <c r="N24" i="32"/>
  <c r="H31" i="19"/>
  <c r="H331" i="19" s="1"/>
  <c r="K80" i="19"/>
  <c r="K380" i="19" s="1"/>
  <c r="H80" i="19"/>
  <c r="H380" i="19" s="1"/>
  <c r="N80" i="19"/>
  <c r="N380" i="19" s="1"/>
  <c r="L80" i="19"/>
  <c r="L380" i="19" s="1"/>
  <c r="F80" i="19"/>
  <c r="F380" i="19" s="1"/>
  <c r="G80" i="19"/>
  <c r="G380" i="19" s="1"/>
  <c r="M80" i="19"/>
  <c r="M380" i="19" s="1"/>
  <c r="I80" i="19"/>
  <c r="I380" i="19" s="1"/>
  <c r="I49" i="28"/>
  <c r="J18" i="29"/>
  <c r="J156" i="29" s="1"/>
  <c r="J17" i="29"/>
  <c r="J155" i="29" s="1"/>
  <c r="I127" i="27"/>
  <c r="M17" i="29"/>
  <c r="M155" i="29" s="1"/>
  <c r="L127" i="27"/>
  <c r="H17" i="29"/>
  <c r="H155" i="29" s="1"/>
  <c r="G127" i="27"/>
  <c r="Q17" i="29"/>
  <c r="Q155" i="29" s="1"/>
  <c r="P127" i="27"/>
  <c r="R17" i="29"/>
  <c r="R155" i="29" s="1"/>
  <c r="Q127" i="27"/>
  <c r="G17" i="29"/>
  <c r="G155" i="29" s="1"/>
  <c r="F127" i="27"/>
  <c r="N17" i="29"/>
  <c r="N155" i="29" s="1"/>
  <c r="M127" i="27"/>
  <c r="L17" i="29"/>
  <c r="L155" i="29" s="1"/>
  <c r="K127" i="27"/>
  <c r="K17" i="29"/>
  <c r="K155" i="29" s="1"/>
  <c r="J127" i="27"/>
  <c r="I17" i="29"/>
  <c r="I155" i="29" s="1"/>
  <c r="H127" i="27"/>
  <c r="P17" i="29"/>
  <c r="P155" i="29" s="1"/>
  <c r="O127" i="27"/>
  <c r="O17" i="29"/>
  <c r="O155" i="29" s="1"/>
  <c r="N127" i="27"/>
  <c r="K149" i="28"/>
  <c r="L65" i="29"/>
  <c r="L203" i="29" s="1"/>
  <c r="I149" i="28"/>
  <c r="J65" i="29"/>
  <c r="J203" i="29" s="1"/>
  <c r="F149" i="28"/>
  <c r="G65" i="29"/>
  <c r="G203" i="29" s="1"/>
  <c r="H149" i="28"/>
  <c r="I65" i="29"/>
  <c r="I203" i="29" s="1"/>
  <c r="M149" i="28"/>
  <c r="N65" i="29"/>
  <c r="N203" i="29" s="1"/>
  <c r="L149" i="28"/>
  <c r="M65" i="29"/>
  <c r="M203" i="29" s="1"/>
  <c r="G149" i="28"/>
  <c r="H65" i="29"/>
  <c r="H203" i="29" s="1"/>
  <c r="J149" i="28"/>
  <c r="K65" i="29"/>
  <c r="K203" i="29" s="1"/>
  <c r="E149" i="28"/>
  <c r="F41" i="27"/>
  <c r="F131" i="27" s="1"/>
  <c r="P41" i="27"/>
  <c r="P131" i="27" s="1"/>
  <c r="S41" i="27"/>
  <c r="S89" i="25"/>
  <c r="S104" i="24"/>
  <c r="H89" i="25"/>
  <c r="R104" i="24"/>
  <c r="R30" i="23"/>
  <c r="R110" i="23" s="1"/>
  <c r="Q41" i="27"/>
  <c r="Q104" i="24"/>
  <c r="Q109" i="23"/>
  <c r="O41" i="27"/>
  <c r="O131" i="27" s="1"/>
  <c r="O104" i="24"/>
  <c r="N41" i="27"/>
  <c r="N131" i="27" s="1"/>
  <c r="N4" i="32"/>
  <c r="N22" i="32" s="1"/>
  <c r="M49" i="28"/>
  <c r="M41" i="27"/>
  <c r="M131" i="27" s="1"/>
  <c r="M104" i="24"/>
  <c r="L49" i="28"/>
  <c r="L41" i="27"/>
  <c r="L131" i="27" s="1"/>
  <c r="L89" i="25"/>
  <c r="K49" i="28"/>
  <c r="K41" i="27"/>
  <c r="K131" i="27" s="1"/>
  <c r="K89" i="25"/>
  <c r="K104" i="24"/>
  <c r="J49" i="28"/>
  <c r="J41" i="27"/>
  <c r="J131" i="27" s="1"/>
  <c r="J89" i="25"/>
  <c r="J104" i="24"/>
  <c r="J109" i="23"/>
  <c r="I41" i="27"/>
  <c r="I109" i="23"/>
  <c r="N109" i="23"/>
  <c r="M109" i="23"/>
  <c r="H49" i="28"/>
  <c r="H41" i="27"/>
  <c r="H131" i="27" s="1"/>
  <c r="H104" i="24"/>
  <c r="G49" i="28"/>
  <c r="G41" i="27"/>
  <c r="G131" i="27" s="1"/>
  <c r="G104" i="24"/>
  <c r="H4" i="32"/>
  <c r="H85" i="19" s="1"/>
  <c r="H385" i="19" s="1"/>
  <c r="F80" i="34"/>
  <c r="G6" i="32"/>
  <c r="G87" i="19" s="1"/>
  <c r="G387" i="19" s="1"/>
  <c r="Q80" i="34"/>
  <c r="R6" i="32"/>
  <c r="R87" i="19" s="1"/>
  <c r="R387" i="19" s="1"/>
  <c r="J80" i="34"/>
  <c r="K6" i="32"/>
  <c r="K87" i="19" s="1"/>
  <c r="K387" i="19" s="1"/>
  <c r="H80" i="34"/>
  <c r="I6" i="32"/>
  <c r="I87" i="19" s="1"/>
  <c r="I387" i="19" s="1"/>
  <c r="P24" i="32"/>
  <c r="R80" i="34"/>
  <c r="S6" i="32"/>
  <c r="P80" i="34"/>
  <c r="Q6" i="32"/>
  <c r="Q87" i="19" s="1"/>
  <c r="Q387" i="19" s="1"/>
  <c r="S80" i="34"/>
  <c r="T6" i="32"/>
  <c r="T32" i="19" s="1"/>
  <c r="T332" i="19" s="1"/>
  <c r="I80" i="34"/>
  <c r="J6" i="32"/>
  <c r="J87" i="19" s="1"/>
  <c r="J387" i="19" s="1"/>
  <c r="H24" i="32"/>
  <c r="H32" i="19"/>
  <c r="H332" i="19" s="1"/>
  <c r="N80" i="34"/>
  <c r="O6" i="32"/>
  <c r="O87" i="19" s="1"/>
  <c r="O387" i="19" s="1"/>
  <c r="L80" i="34"/>
  <c r="M6" i="32"/>
  <c r="M87" i="19" s="1"/>
  <c r="M387" i="19" s="1"/>
  <c r="K80" i="34"/>
  <c r="L6" i="32"/>
  <c r="L87" i="19" s="1"/>
  <c r="L387" i="19" s="1"/>
  <c r="I31" i="19"/>
  <c r="I331" i="19" s="1"/>
  <c r="I23" i="32"/>
  <c r="T23" i="32"/>
  <c r="L31" i="19"/>
  <c r="L331" i="19" s="1"/>
  <c r="M31" i="19"/>
  <c r="M331" i="19" s="1"/>
  <c r="M23" i="32"/>
  <c r="H23" i="32"/>
  <c r="P23" i="32"/>
  <c r="L23" i="32"/>
  <c r="L77" i="31"/>
  <c r="H77" i="31"/>
  <c r="T149" i="29"/>
  <c r="Q77" i="31"/>
  <c r="L149" i="29"/>
  <c r="I77" i="31"/>
  <c r="P77" i="31"/>
  <c r="R77" i="31"/>
  <c r="P28" i="19"/>
  <c r="P328" i="19" s="1"/>
  <c r="P149" i="29"/>
  <c r="H149" i="29"/>
  <c r="H28" i="19"/>
  <c r="H328" i="19" s="1"/>
  <c r="J77" i="31"/>
  <c r="G77" i="30"/>
  <c r="M148" i="29"/>
  <c r="M27" i="19"/>
  <c r="M327" i="19" s="1"/>
  <c r="G148" i="29"/>
  <c r="O77" i="30"/>
  <c r="N148" i="29"/>
  <c r="N27" i="19"/>
  <c r="N327" i="19" s="1"/>
  <c r="I148" i="29"/>
  <c r="I27" i="19"/>
  <c r="I327" i="19" s="1"/>
  <c r="Q27" i="19"/>
  <c r="Q327" i="19" s="1"/>
  <c r="Q148" i="29"/>
  <c r="S77" i="30"/>
  <c r="R148" i="29"/>
  <c r="R27" i="19"/>
  <c r="R327" i="19" s="1"/>
  <c r="F49" i="28"/>
  <c r="Q140" i="26"/>
  <c r="F140" i="26"/>
  <c r="S140" i="26"/>
  <c r="I140" i="26"/>
  <c r="R140" i="26"/>
  <c r="M140" i="26"/>
  <c r="J140" i="26"/>
  <c r="G140" i="26"/>
  <c r="L140" i="26"/>
  <c r="P140" i="26"/>
  <c r="O140" i="26"/>
  <c r="N140" i="26"/>
  <c r="K140" i="26"/>
  <c r="H140" i="26"/>
  <c r="M27" i="25"/>
  <c r="F109" i="23"/>
  <c r="F32" i="19"/>
  <c r="F332" i="19" s="1"/>
  <c r="F24" i="32"/>
  <c r="I144" i="28"/>
  <c r="F144" i="28"/>
  <c r="M144" i="28"/>
  <c r="K144" i="28"/>
  <c r="J144" i="28"/>
  <c r="L144" i="28"/>
  <c r="G144" i="28"/>
  <c r="E144" i="28"/>
  <c r="E140" i="26"/>
  <c r="O19" i="19"/>
  <c r="O319" i="19" s="1"/>
  <c r="M19" i="19"/>
  <c r="M319" i="19" s="1"/>
  <c r="G86" i="25"/>
  <c r="G19" i="19"/>
  <c r="G319" i="19" s="1"/>
  <c r="P86" i="25"/>
  <c r="K19" i="19"/>
  <c r="K319" i="19" s="1"/>
  <c r="E104" i="24"/>
  <c r="E114" i="23"/>
  <c r="N107" i="23"/>
  <c r="F107" i="23"/>
  <c r="Q107" i="23"/>
  <c r="I107" i="23"/>
  <c r="E111" i="23"/>
  <c r="R114" i="23"/>
  <c r="N114" i="23"/>
  <c r="J114" i="23"/>
  <c r="F114" i="23"/>
  <c r="P111" i="23"/>
  <c r="L111" i="23"/>
  <c r="H111" i="23"/>
  <c r="P109" i="23"/>
  <c r="L109" i="23"/>
  <c r="H109" i="23"/>
  <c r="P107" i="23"/>
  <c r="L107" i="23"/>
  <c r="H107" i="23"/>
  <c r="M107" i="23"/>
  <c r="M35" i="23"/>
  <c r="O32" i="23"/>
  <c r="O112" i="23" s="1"/>
  <c r="G32" i="23"/>
  <c r="G112" i="23" s="1"/>
  <c r="S30" i="23"/>
  <c r="S110" i="23" s="1"/>
  <c r="O109" i="23"/>
  <c r="K109" i="23"/>
  <c r="G109" i="23"/>
  <c r="E109" i="23"/>
  <c r="Q27" i="21"/>
  <c r="Q28" i="21" s="1"/>
  <c r="R19" i="20" s="1"/>
  <c r="R175" i="20" s="1"/>
  <c r="M27" i="21"/>
  <c r="M98" i="21" s="1"/>
  <c r="I27" i="21"/>
  <c r="I28" i="21" s="1"/>
  <c r="J19" i="20" s="1"/>
  <c r="J175" i="20" s="1"/>
  <c r="E27" i="21"/>
  <c r="E98" i="21" s="1"/>
  <c r="O27" i="21"/>
  <c r="O28" i="21" s="1"/>
  <c r="P19" i="20" s="1"/>
  <c r="P175" i="20" s="1"/>
  <c r="K27" i="21"/>
  <c r="K28" i="21" s="1"/>
  <c r="L19" i="20" s="1"/>
  <c r="L175" i="20" s="1"/>
  <c r="G27" i="21"/>
  <c r="G98" i="21" s="1"/>
  <c r="I89" i="21"/>
  <c r="Q89" i="21"/>
  <c r="M89" i="21"/>
  <c r="M42" i="19"/>
  <c r="M31" i="36"/>
  <c r="L42" i="19"/>
  <c r="L31" i="36"/>
  <c r="T31" i="36"/>
  <c r="H42" i="19"/>
  <c r="H31" i="36"/>
  <c r="F42" i="19"/>
  <c r="F342" i="19" s="1"/>
  <c r="F31" i="36"/>
  <c r="P42" i="19"/>
  <c r="P31" i="36"/>
  <c r="I42" i="19"/>
  <c r="I31" i="36"/>
  <c r="Q42" i="19"/>
  <c r="Q31" i="36"/>
  <c r="K86" i="25"/>
  <c r="R86" i="25"/>
  <c r="F86" i="25"/>
  <c r="O86" i="25"/>
  <c r="Q88" i="25"/>
  <c r="K33" i="23"/>
  <c r="E33" i="23"/>
  <c r="N33" i="23"/>
  <c r="F33" i="23"/>
  <c r="E107" i="23"/>
  <c r="R33" i="23"/>
  <c r="Q33" i="23"/>
  <c r="M33" i="23"/>
  <c r="I33" i="23"/>
  <c r="P33" i="23"/>
  <c r="L33" i="23"/>
  <c r="H33" i="23"/>
  <c r="Q93" i="22"/>
  <c r="H93" i="22"/>
  <c r="P93" i="22"/>
  <c r="G93" i="22"/>
  <c r="K93" i="22"/>
  <c r="O93" i="22"/>
  <c r="S93" i="22"/>
  <c r="L93" i="22"/>
  <c r="E30" i="22"/>
  <c r="F70" i="20" s="1"/>
  <c r="F226" i="20" s="1"/>
  <c r="S98" i="21"/>
  <c r="S28" i="21"/>
  <c r="T19" i="20" s="1"/>
  <c r="T175" i="20" s="1"/>
  <c r="S89" i="21"/>
  <c r="O89" i="21"/>
  <c r="K89" i="21"/>
  <c r="G89" i="21"/>
  <c r="E87" i="21"/>
  <c r="P27" i="21"/>
  <c r="L27" i="21"/>
  <c r="H27" i="21"/>
  <c r="N27" i="21"/>
  <c r="J27" i="21"/>
  <c r="F27" i="21"/>
  <c r="R13" i="20" l="1"/>
  <c r="R169" i="20" s="1"/>
  <c r="I98" i="21"/>
  <c r="Q98" i="21"/>
  <c r="F13" i="20"/>
  <c r="J107" i="19"/>
  <c r="J407" i="19" s="1"/>
  <c r="O98" i="21"/>
  <c r="O33" i="23"/>
  <c r="F85" i="19"/>
  <c r="F385" i="19" s="1"/>
  <c r="Z4" i="32"/>
  <c r="AA4" i="32" s="1"/>
  <c r="F167" i="20"/>
  <c r="Z11" i="20"/>
  <c r="AA11" i="20" s="1"/>
  <c r="F169" i="20"/>
  <c r="Z13" i="20"/>
  <c r="AA13" i="20" s="1"/>
  <c r="H195" i="20"/>
  <c r="H31" i="20"/>
  <c r="H187" i="20" s="1"/>
  <c r="M53" i="29"/>
  <c r="M191" i="29" s="1"/>
  <c r="M194" i="29"/>
  <c r="P195" i="20"/>
  <c r="P31" i="20"/>
  <c r="P187" i="20" s="1"/>
  <c r="R195" i="20"/>
  <c r="R31" i="20"/>
  <c r="R187" i="20" s="1"/>
  <c r="F195" i="20"/>
  <c r="F31" i="20"/>
  <c r="F187" i="20" s="1"/>
  <c r="J53" i="29"/>
  <c r="J191" i="29" s="1"/>
  <c r="J194" i="29"/>
  <c r="L53" i="29"/>
  <c r="L191" i="29" s="1"/>
  <c r="L194" i="29"/>
  <c r="I195" i="20"/>
  <c r="I31" i="20"/>
  <c r="I187" i="20" s="1"/>
  <c r="N53" i="29"/>
  <c r="N191" i="29" s="1"/>
  <c r="N194" i="29"/>
  <c r="H53" i="29"/>
  <c r="H191" i="29" s="1"/>
  <c r="H194" i="29"/>
  <c r="P207" i="20"/>
  <c r="P13" i="20"/>
  <c r="I13" i="20"/>
  <c r="I207" i="20"/>
  <c r="L19" i="19"/>
  <c r="L319" i="19" s="1"/>
  <c r="L169" i="20"/>
  <c r="Q195" i="20"/>
  <c r="Q31" i="20"/>
  <c r="Q187" i="20" s="1"/>
  <c r="J195" i="20"/>
  <c r="J31" i="20"/>
  <c r="J187" i="20" s="1"/>
  <c r="L195" i="20"/>
  <c r="L31" i="20"/>
  <c r="L187" i="20" s="1"/>
  <c r="K194" i="29"/>
  <c r="K53" i="29"/>
  <c r="K191" i="29" s="1"/>
  <c r="N195" i="20"/>
  <c r="N31" i="20"/>
  <c r="N187" i="20" s="1"/>
  <c r="I53" i="29"/>
  <c r="I191" i="29" s="1"/>
  <c r="I194" i="29"/>
  <c r="G194" i="29"/>
  <c r="G53" i="29"/>
  <c r="G191" i="29" s="1"/>
  <c r="BC14" i="56"/>
  <c r="P342" i="19"/>
  <c r="BC11" i="56"/>
  <c r="M342" i="19"/>
  <c r="Z17" i="56"/>
  <c r="S323" i="19"/>
  <c r="Z18" i="56"/>
  <c r="T323" i="19"/>
  <c r="AD17" i="56"/>
  <c r="S328" i="19"/>
  <c r="BC7" i="56"/>
  <c r="I342" i="19"/>
  <c r="BC10" i="56"/>
  <c r="L342" i="19"/>
  <c r="AC17" i="56"/>
  <c r="S327" i="19"/>
  <c r="AC18" i="56"/>
  <c r="T327" i="19"/>
  <c r="BC15" i="56"/>
  <c r="Q342" i="19"/>
  <c r="BC6" i="56"/>
  <c r="H342" i="19"/>
  <c r="F27" i="19"/>
  <c r="F327" i="19" s="1"/>
  <c r="Z10" i="29"/>
  <c r="AA10" i="29" s="1"/>
  <c r="F104" i="24"/>
  <c r="T17" i="19"/>
  <c r="T317" i="19" s="1"/>
  <c r="T167" i="20"/>
  <c r="BC4" i="56"/>
  <c r="AC16" i="56"/>
  <c r="AC11" i="56"/>
  <c r="AC15" i="56"/>
  <c r="AC12" i="56"/>
  <c r="AD6" i="56"/>
  <c r="AC7" i="56"/>
  <c r="AD14" i="56"/>
  <c r="AC4" i="56"/>
  <c r="AC5" i="56"/>
  <c r="S87" i="19"/>
  <c r="S387" i="19" s="1"/>
  <c r="S32" i="19"/>
  <c r="S332" i="19" s="1"/>
  <c r="H22" i="32"/>
  <c r="K98" i="21"/>
  <c r="E28" i="21"/>
  <c r="F19" i="20" s="1"/>
  <c r="F175" i="20" s="1"/>
  <c r="F159" i="29"/>
  <c r="F11" i="29"/>
  <c r="Z11" i="29" s="1"/>
  <c r="AA11" i="29" s="1"/>
  <c r="F83" i="19"/>
  <c r="F383" i="19" s="1"/>
  <c r="J174" i="29"/>
  <c r="J34" i="29"/>
  <c r="J112" i="19"/>
  <c r="J412" i="19" s="1"/>
  <c r="S172" i="29"/>
  <c r="S110" i="19"/>
  <c r="S410" i="19" s="1"/>
  <c r="N28" i="19"/>
  <c r="N328" i="19" s="1"/>
  <c r="N149" i="29"/>
  <c r="F172" i="29"/>
  <c r="F110" i="19"/>
  <c r="F410" i="19" s="1"/>
  <c r="O11" i="20"/>
  <c r="O167" i="20" s="1"/>
  <c r="O72" i="19"/>
  <c r="O372" i="19" s="1"/>
  <c r="J67" i="19"/>
  <c r="J367" i="19" s="1"/>
  <c r="J6" i="20"/>
  <c r="J162" i="20" s="1"/>
  <c r="L104" i="19"/>
  <c r="L404" i="19" s="1"/>
  <c r="L43" i="20"/>
  <c r="L199" i="20" s="1"/>
  <c r="Q36" i="23"/>
  <c r="R23" i="20"/>
  <c r="R179" i="20" s="1"/>
  <c r="S33" i="23"/>
  <c r="O159" i="29"/>
  <c r="O11" i="29"/>
  <c r="O83" i="19"/>
  <c r="O383" i="19" s="1"/>
  <c r="L174" i="29"/>
  <c r="L34" i="29"/>
  <c r="L112" i="19"/>
  <c r="L412" i="19" s="1"/>
  <c r="H72" i="19"/>
  <c r="H372" i="19" s="1"/>
  <c r="H11" i="20"/>
  <c r="H167" i="20" s="1"/>
  <c r="O174" i="29"/>
  <c r="O34" i="29"/>
  <c r="O112" i="19"/>
  <c r="O412" i="19" s="1"/>
  <c r="T174" i="29"/>
  <c r="T34" i="29"/>
  <c r="T112" i="19"/>
  <c r="T412" i="19" s="1"/>
  <c r="Q72" i="19"/>
  <c r="Q372" i="19" s="1"/>
  <c r="Q11" i="20"/>
  <c r="Q167" i="20" s="1"/>
  <c r="H13" i="20"/>
  <c r="H169" i="20" s="1"/>
  <c r="H74" i="19"/>
  <c r="H374" i="19" s="1"/>
  <c r="L72" i="19"/>
  <c r="L372" i="19" s="1"/>
  <c r="L11" i="20"/>
  <c r="L167" i="20" s="1"/>
  <c r="O158" i="29"/>
  <c r="O82" i="19"/>
  <c r="O382" i="19" s="1"/>
  <c r="O10" i="29"/>
  <c r="G104" i="19"/>
  <c r="G404" i="19" s="1"/>
  <c r="G43" i="20"/>
  <c r="G199" i="20" s="1"/>
  <c r="S104" i="19"/>
  <c r="S404" i="19" s="1"/>
  <c r="S43" i="20"/>
  <c r="S199" i="20" s="1"/>
  <c r="I36" i="23"/>
  <c r="J23" i="20"/>
  <c r="J179" i="20" s="1"/>
  <c r="R36" i="23"/>
  <c r="S23" i="20"/>
  <c r="S179" i="20" s="1"/>
  <c r="F23" i="20"/>
  <c r="F179" i="20" s="1"/>
  <c r="E36" i="23"/>
  <c r="O36" i="23"/>
  <c r="P23" i="20"/>
  <c r="G174" i="29"/>
  <c r="G112" i="19"/>
  <c r="G412" i="19" s="1"/>
  <c r="G34" i="29"/>
  <c r="N174" i="29"/>
  <c r="N34" i="29"/>
  <c r="N112" i="19"/>
  <c r="N412" i="19" s="1"/>
  <c r="K104" i="19"/>
  <c r="K404" i="19" s="1"/>
  <c r="K43" i="20"/>
  <c r="K199" i="20" s="1"/>
  <c r="H36" i="23"/>
  <c r="I23" i="20"/>
  <c r="I179" i="20" s="1"/>
  <c r="M36" i="23"/>
  <c r="N23" i="20"/>
  <c r="N179" i="20" s="1"/>
  <c r="K36" i="23"/>
  <c r="L23" i="20"/>
  <c r="L179" i="20" s="1"/>
  <c r="F30" i="19"/>
  <c r="P32" i="19"/>
  <c r="P332" i="19" s="1"/>
  <c r="N104" i="24"/>
  <c r="M174" i="29"/>
  <c r="M34" i="29"/>
  <c r="M112" i="19"/>
  <c r="M412" i="19" s="1"/>
  <c r="T104" i="19"/>
  <c r="T404" i="19" s="1"/>
  <c r="T43" i="20"/>
  <c r="T199" i="20" s="1"/>
  <c r="K172" i="29"/>
  <c r="K110" i="19"/>
  <c r="K410" i="19" s="1"/>
  <c r="I174" i="29"/>
  <c r="I34" i="29"/>
  <c r="I112" i="19"/>
  <c r="I412" i="19" s="1"/>
  <c r="H174" i="29"/>
  <c r="H34" i="29"/>
  <c r="H112" i="19"/>
  <c r="H412" i="19" s="1"/>
  <c r="Q13" i="20"/>
  <c r="Q169" i="20" s="1"/>
  <c r="Q74" i="19"/>
  <c r="Q374" i="19" s="1"/>
  <c r="Q115" i="23"/>
  <c r="R48" i="20"/>
  <c r="R204" i="20" s="1"/>
  <c r="J104" i="19"/>
  <c r="J404" i="19" s="1"/>
  <c r="J43" i="20"/>
  <c r="J199" i="20" s="1"/>
  <c r="M104" i="19"/>
  <c r="M404" i="19" s="1"/>
  <c r="M43" i="20"/>
  <c r="M199" i="20" s="1"/>
  <c r="T67" i="19"/>
  <c r="T367" i="19" s="1"/>
  <c r="T6" i="20"/>
  <c r="L36" i="23"/>
  <c r="M23" i="20"/>
  <c r="M179" i="20" s="1"/>
  <c r="G23" i="20"/>
  <c r="G179" i="20" s="1"/>
  <c r="F36" i="23"/>
  <c r="L67" i="19"/>
  <c r="L367" i="19" s="1"/>
  <c r="L6" i="20"/>
  <c r="L162" i="20" s="1"/>
  <c r="R67" i="19"/>
  <c r="R367" i="19" s="1"/>
  <c r="R18" i="20"/>
  <c r="R174" i="20" s="1"/>
  <c r="R6" i="20"/>
  <c r="R162" i="20" s="1"/>
  <c r="P36" i="23"/>
  <c r="Q23" i="20"/>
  <c r="Q179" i="20" s="1"/>
  <c r="J33" i="23"/>
  <c r="N36" i="23"/>
  <c r="O23" i="20"/>
  <c r="O179" i="20" s="1"/>
  <c r="G33" i="23"/>
  <c r="P67" i="19"/>
  <c r="P367" i="19" s="1"/>
  <c r="P6" i="20"/>
  <c r="P162" i="20" s="1"/>
  <c r="M115" i="23"/>
  <c r="N48" i="20"/>
  <c r="N204" i="20" s="1"/>
  <c r="P4" i="32"/>
  <c r="P30" i="19" s="1"/>
  <c r="P330" i="19" s="1"/>
  <c r="S148" i="29"/>
  <c r="J11" i="20"/>
  <c r="J167" i="20" s="1"/>
  <c r="J72" i="19"/>
  <c r="J372" i="19" s="1"/>
  <c r="G72" i="19"/>
  <c r="G372" i="19" s="1"/>
  <c r="G11" i="20"/>
  <c r="G167" i="20" s="1"/>
  <c r="H104" i="19"/>
  <c r="H404" i="19" s="1"/>
  <c r="H43" i="20"/>
  <c r="H199" i="20" s="1"/>
  <c r="P104" i="19"/>
  <c r="P404" i="19" s="1"/>
  <c r="P43" i="20"/>
  <c r="P199" i="20" s="1"/>
  <c r="P115" i="23"/>
  <c r="Q48" i="20"/>
  <c r="Q204" i="20" s="1"/>
  <c r="T107" i="19"/>
  <c r="T407" i="19" s="1"/>
  <c r="T13" i="20"/>
  <c r="S72" i="19"/>
  <c r="S372" i="19" s="1"/>
  <c r="S11" i="20"/>
  <c r="I104" i="19"/>
  <c r="I404" i="19" s="1"/>
  <c r="I43" i="20"/>
  <c r="I199" i="20" s="1"/>
  <c r="F104" i="19"/>
  <c r="F404" i="19" s="1"/>
  <c r="F43" i="20"/>
  <c r="F199" i="20" s="1"/>
  <c r="G159" i="29"/>
  <c r="G11" i="29"/>
  <c r="G83" i="19"/>
  <c r="G383" i="19" s="1"/>
  <c r="O104" i="19"/>
  <c r="O404" i="19" s="1"/>
  <c r="O43" i="20"/>
  <c r="O199" i="20" s="1"/>
  <c r="M72" i="19"/>
  <c r="M372" i="19" s="1"/>
  <c r="M11" i="20"/>
  <c r="M167" i="20" s="1"/>
  <c r="T155" i="29"/>
  <c r="T7" i="29"/>
  <c r="T79" i="19"/>
  <c r="T379" i="19" s="1"/>
  <c r="R174" i="29"/>
  <c r="R112" i="19"/>
  <c r="R412" i="19" s="1"/>
  <c r="R34" i="29"/>
  <c r="Q174" i="29"/>
  <c r="Q34" i="29"/>
  <c r="Q112" i="19"/>
  <c r="Q412" i="19" s="1"/>
  <c r="P172" i="29"/>
  <c r="P110" i="19"/>
  <c r="P410" i="19" s="1"/>
  <c r="H30" i="19"/>
  <c r="H330" i="19" s="1"/>
  <c r="P85" i="19"/>
  <c r="P385" i="19" s="1"/>
  <c r="F68" i="20"/>
  <c r="F224" i="20" s="1"/>
  <c r="F123" i="19"/>
  <c r="F423" i="19" s="1"/>
  <c r="F7" i="20"/>
  <c r="Z7" i="20" s="1"/>
  <c r="AA7" i="20" s="1"/>
  <c r="F22" i="32"/>
  <c r="T4" i="32"/>
  <c r="T87" i="19"/>
  <c r="T387" i="19" s="1"/>
  <c r="N30" i="19"/>
  <c r="N330" i="19" s="1"/>
  <c r="N85" i="19"/>
  <c r="N385" i="19" s="1"/>
  <c r="N138" i="19"/>
  <c r="N438" i="19" s="1"/>
  <c r="L138" i="19"/>
  <c r="L438" i="19" s="1"/>
  <c r="K138" i="19"/>
  <c r="K438" i="19" s="1"/>
  <c r="M138" i="19"/>
  <c r="M438" i="19" s="1"/>
  <c r="I138" i="19"/>
  <c r="I438" i="19" s="1"/>
  <c r="J138" i="19"/>
  <c r="J438" i="19" s="1"/>
  <c r="H138" i="19"/>
  <c r="H438" i="19" s="1"/>
  <c r="G138" i="19"/>
  <c r="G438" i="19" s="1"/>
  <c r="K79" i="19"/>
  <c r="K379" i="19" s="1"/>
  <c r="N79" i="19"/>
  <c r="N379" i="19" s="1"/>
  <c r="H79" i="19"/>
  <c r="H379" i="19" s="1"/>
  <c r="J79" i="19"/>
  <c r="J379" i="19" s="1"/>
  <c r="J80" i="19"/>
  <c r="J380" i="19" s="1"/>
  <c r="I79" i="19"/>
  <c r="I379" i="19" s="1"/>
  <c r="L79" i="19"/>
  <c r="L379" i="19" s="1"/>
  <c r="G79" i="19"/>
  <c r="G379" i="19" s="1"/>
  <c r="M79" i="19"/>
  <c r="M379" i="19" s="1"/>
  <c r="P7" i="29"/>
  <c r="P145" i="29" s="1"/>
  <c r="P79" i="19"/>
  <c r="P379" i="19" s="1"/>
  <c r="R7" i="29"/>
  <c r="R145" i="29" s="1"/>
  <c r="R79" i="19"/>
  <c r="R379" i="19" s="1"/>
  <c r="O7" i="29"/>
  <c r="O145" i="29" s="1"/>
  <c r="O79" i="19"/>
  <c r="O379" i="19" s="1"/>
  <c r="Q7" i="29"/>
  <c r="Q24" i="19" s="1"/>
  <c r="Q324" i="19" s="1"/>
  <c r="Q79" i="19"/>
  <c r="Q379" i="19" s="1"/>
  <c r="I7" i="29"/>
  <c r="I24" i="19" s="1"/>
  <c r="I324" i="19" s="1"/>
  <c r="I15" i="29"/>
  <c r="I153" i="29" s="1"/>
  <c r="L7" i="29"/>
  <c r="L145" i="29" s="1"/>
  <c r="L15" i="29"/>
  <c r="L153" i="29" s="1"/>
  <c r="G7" i="29"/>
  <c r="G24" i="19" s="1"/>
  <c r="G324" i="19" s="1"/>
  <c r="G15" i="29"/>
  <c r="G153" i="29" s="1"/>
  <c r="M7" i="29"/>
  <c r="M24" i="19" s="1"/>
  <c r="M324" i="19" s="1"/>
  <c r="M15" i="29"/>
  <c r="M153" i="29" s="1"/>
  <c r="I131" i="27"/>
  <c r="Q131" i="27"/>
  <c r="K7" i="29"/>
  <c r="K145" i="29" s="1"/>
  <c r="K15" i="29"/>
  <c r="K153" i="29" s="1"/>
  <c r="N7" i="29"/>
  <c r="N24" i="19" s="1"/>
  <c r="N15" i="29"/>
  <c r="N153" i="29" s="1"/>
  <c r="H7" i="29"/>
  <c r="H145" i="29" s="1"/>
  <c r="H15" i="29"/>
  <c r="H153" i="29" s="1"/>
  <c r="J7" i="29"/>
  <c r="J145" i="29" s="1"/>
  <c r="J15" i="29"/>
  <c r="J153" i="29" s="1"/>
  <c r="K62" i="29"/>
  <c r="K200" i="29" s="1"/>
  <c r="K8" i="29"/>
  <c r="I62" i="29"/>
  <c r="I200" i="29" s="1"/>
  <c r="I8" i="29"/>
  <c r="H62" i="29"/>
  <c r="H200" i="29" s="1"/>
  <c r="H8" i="29"/>
  <c r="M62" i="29"/>
  <c r="M200" i="29" s="1"/>
  <c r="M8" i="29"/>
  <c r="N62" i="29"/>
  <c r="N200" i="29" s="1"/>
  <c r="N8" i="29"/>
  <c r="G62" i="29"/>
  <c r="G200" i="29" s="1"/>
  <c r="G8" i="29"/>
  <c r="J62" i="29"/>
  <c r="J200" i="29" s="1"/>
  <c r="J8" i="29"/>
  <c r="L62" i="29"/>
  <c r="L200" i="29" s="1"/>
  <c r="L8" i="29"/>
  <c r="S131" i="27"/>
  <c r="E99" i="22"/>
  <c r="R17" i="19"/>
  <c r="R317" i="19" s="1"/>
  <c r="P17" i="19"/>
  <c r="P317" i="19" s="1"/>
  <c r="N17" i="19"/>
  <c r="N317" i="19" s="1"/>
  <c r="M28" i="21"/>
  <c r="N19" i="20" s="1"/>
  <c r="N175" i="20" s="1"/>
  <c r="K17" i="19"/>
  <c r="K317" i="19" s="1"/>
  <c r="I17" i="19"/>
  <c r="I317" i="19" s="1"/>
  <c r="M24" i="32"/>
  <c r="M32" i="19"/>
  <c r="M332" i="19" s="1"/>
  <c r="R32" i="19"/>
  <c r="R332" i="19" s="1"/>
  <c r="R24" i="32"/>
  <c r="R4" i="32"/>
  <c r="R85" i="19" s="1"/>
  <c r="R385" i="19" s="1"/>
  <c r="M4" i="32"/>
  <c r="L24" i="32"/>
  <c r="L32" i="19"/>
  <c r="L332" i="19" s="1"/>
  <c r="O24" i="32"/>
  <c r="O32" i="19"/>
  <c r="O332" i="19" s="1"/>
  <c r="O4" i="32"/>
  <c r="O85" i="19" s="1"/>
  <c r="O385" i="19" s="1"/>
  <c r="J4" i="32"/>
  <c r="J85" i="19" s="1"/>
  <c r="J385" i="19" s="1"/>
  <c r="J32" i="19"/>
  <c r="J332" i="19" s="1"/>
  <c r="J24" i="32"/>
  <c r="S24" i="32"/>
  <c r="S4" i="32"/>
  <c r="K32" i="19"/>
  <c r="K332" i="19" s="1"/>
  <c r="K24" i="32"/>
  <c r="K4" i="32"/>
  <c r="K85" i="19" s="1"/>
  <c r="K385" i="19" s="1"/>
  <c r="G24" i="32"/>
  <c r="G32" i="19"/>
  <c r="G332" i="19" s="1"/>
  <c r="G4" i="32"/>
  <c r="G85" i="19" s="1"/>
  <c r="G385" i="19" s="1"/>
  <c r="T24" i="32"/>
  <c r="Q24" i="32"/>
  <c r="Q32" i="19"/>
  <c r="Q332" i="19" s="1"/>
  <c r="Q4" i="32"/>
  <c r="Q85" i="19" s="1"/>
  <c r="Q385" i="19" s="1"/>
  <c r="I24" i="32"/>
  <c r="I32" i="19"/>
  <c r="I332" i="19" s="1"/>
  <c r="I4" i="32"/>
  <c r="L4" i="32"/>
  <c r="L85" i="19" s="1"/>
  <c r="L385" i="19" s="1"/>
  <c r="I28" i="19"/>
  <c r="I328" i="19" s="1"/>
  <c r="I149" i="29"/>
  <c r="Q28" i="19"/>
  <c r="Q328" i="19" s="1"/>
  <c r="Q149" i="29"/>
  <c r="M28" i="19"/>
  <c r="M328" i="19" s="1"/>
  <c r="M149" i="29"/>
  <c r="R28" i="19"/>
  <c r="R328" i="19" s="1"/>
  <c r="R149" i="29"/>
  <c r="K149" i="29"/>
  <c r="K28" i="19"/>
  <c r="K328" i="19" s="1"/>
  <c r="S149" i="29"/>
  <c r="J28" i="19"/>
  <c r="J328" i="19" s="1"/>
  <c r="J149" i="29"/>
  <c r="T148" i="29"/>
  <c r="P148" i="29"/>
  <c r="P27" i="19"/>
  <c r="P327" i="19" s="1"/>
  <c r="H148" i="29"/>
  <c r="H27" i="19"/>
  <c r="H327" i="19" s="1"/>
  <c r="I144" i="29"/>
  <c r="I23" i="19"/>
  <c r="I323" i="19" s="1"/>
  <c r="O23" i="19"/>
  <c r="O323" i="19" s="1"/>
  <c r="O144" i="29"/>
  <c r="Q144" i="29"/>
  <c r="Q23" i="19"/>
  <c r="Q323" i="19" s="1"/>
  <c r="H23" i="19"/>
  <c r="H323" i="19" s="1"/>
  <c r="H144" i="29"/>
  <c r="N144" i="29"/>
  <c r="N23" i="19"/>
  <c r="N323" i="19" s="1"/>
  <c r="J23" i="19"/>
  <c r="J323" i="19" s="1"/>
  <c r="J144" i="29"/>
  <c r="G144" i="29"/>
  <c r="G23" i="19"/>
  <c r="G323" i="19" s="1"/>
  <c r="L144" i="29"/>
  <c r="L23" i="19"/>
  <c r="L323" i="19" s="1"/>
  <c r="P23" i="19"/>
  <c r="P323" i="19" s="1"/>
  <c r="P144" i="29"/>
  <c r="M23" i="19"/>
  <c r="M323" i="19" s="1"/>
  <c r="M144" i="29"/>
  <c r="K144" i="29"/>
  <c r="K23" i="19"/>
  <c r="K323" i="19" s="1"/>
  <c r="S144" i="29"/>
  <c r="T144" i="29"/>
  <c r="R23" i="19"/>
  <c r="R323" i="19" s="1"/>
  <c r="R144" i="29"/>
  <c r="G155" i="28"/>
  <c r="F155" i="28"/>
  <c r="K155" i="28"/>
  <c r="L155" i="28"/>
  <c r="J155" i="28"/>
  <c r="H155" i="28"/>
  <c r="M155" i="28"/>
  <c r="I155" i="28"/>
  <c r="F23" i="19"/>
  <c r="F323" i="19" s="1"/>
  <c r="F144" i="29"/>
  <c r="M89" i="25"/>
  <c r="P89" i="25"/>
  <c r="J19" i="19"/>
  <c r="J319" i="19" s="1"/>
  <c r="R19" i="19"/>
  <c r="R319" i="19" s="1"/>
  <c r="G89" i="25"/>
  <c r="E89" i="25"/>
  <c r="F17" i="19"/>
  <c r="F317" i="19" s="1"/>
  <c r="L113" i="23"/>
  <c r="Q113" i="23"/>
  <c r="F113" i="23"/>
  <c r="S113" i="23"/>
  <c r="P113" i="23"/>
  <c r="J113" i="23"/>
  <c r="N113" i="23"/>
  <c r="G113" i="23"/>
  <c r="I113" i="23"/>
  <c r="R113" i="23"/>
  <c r="O113" i="23"/>
  <c r="H113" i="23"/>
  <c r="M113" i="23"/>
  <c r="K113" i="23"/>
  <c r="E113" i="23"/>
  <c r="G13" i="19"/>
  <c r="G313" i="19" s="1"/>
  <c r="N13" i="19"/>
  <c r="N313" i="19" s="1"/>
  <c r="H13" i="19"/>
  <c r="H313" i="19" s="1"/>
  <c r="O13" i="19"/>
  <c r="O313" i="19" s="1"/>
  <c r="L13" i="19"/>
  <c r="L313" i="19" s="1"/>
  <c r="I13" i="19"/>
  <c r="I313" i="19" s="1"/>
  <c r="K13" i="19"/>
  <c r="K313" i="19" s="1"/>
  <c r="Q13" i="19"/>
  <c r="Q313" i="19" s="1"/>
  <c r="M13" i="19"/>
  <c r="M313" i="19" s="1"/>
  <c r="P13" i="19"/>
  <c r="P313" i="19" s="1"/>
  <c r="J13" i="19"/>
  <c r="J313" i="19" s="1"/>
  <c r="R13" i="19"/>
  <c r="R313" i="19" s="1"/>
  <c r="G28" i="21"/>
  <c r="E108" i="23"/>
  <c r="E94" i="22"/>
  <c r="M94" i="22"/>
  <c r="L94" i="22"/>
  <c r="J93" i="22"/>
  <c r="I94" i="22"/>
  <c r="S94" i="22"/>
  <c r="K94" i="22"/>
  <c r="P94" i="22"/>
  <c r="R93" i="22"/>
  <c r="Q94" i="22"/>
  <c r="O94" i="22"/>
  <c r="G94" i="22"/>
  <c r="F93" i="22"/>
  <c r="N93" i="22"/>
  <c r="H94" i="22"/>
  <c r="F98" i="21"/>
  <c r="F28" i="21"/>
  <c r="G19" i="20" s="1"/>
  <c r="G175" i="20" s="1"/>
  <c r="H28" i="21"/>
  <c r="I19" i="20" s="1"/>
  <c r="I175" i="20" s="1"/>
  <c r="H98" i="21"/>
  <c r="O99" i="21"/>
  <c r="O31" i="21"/>
  <c r="J98" i="21"/>
  <c r="J28" i="21"/>
  <c r="K19" i="20" s="1"/>
  <c r="K175" i="20" s="1"/>
  <c r="L28" i="21"/>
  <c r="M19" i="20" s="1"/>
  <c r="M175" i="20" s="1"/>
  <c r="L98" i="21"/>
  <c r="I31" i="21"/>
  <c r="I99" i="21"/>
  <c r="Q31" i="21"/>
  <c r="Q99" i="21"/>
  <c r="N98" i="21"/>
  <c r="N28" i="21"/>
  <c r="O19" i="20" s="1"/>
  <c r="O175" i="20" s="1"/>
  <c r="P28" i="21"/>
  <c r="Q19" i="20" s="1"/>
  <c r="Q175" i="20" s="1"/>
  <c r="P98" i="21"/>
  <c r="K99" i="21"/>
  <c r="K31" i="21"/>
  <c r="S99" i="21"/>
  <c r="S31" i="21"/>
  <c r="R98" i="21"/>
  <c r="R28" i="21"/>
  <c r="S19" i="20" s="1"/>
  <c r="S175" i="20" s="1"/>
  <c r="E31" i="21"/>
  <c r="M31" i="21"/>
  <c r="F330" i="19" l="1"/>
  <c r="Z30" i="19"/>
  <c r="AA30" i="19" s="1"/>
  <c r="N145" i="29"/>
  <c r="I145" i="29"/>
  <c r="O24" i="19"/>
  <c r="O324" i="19" s="1"/>
  <c r="G145" i="29"/>
  <c r="T19" i="19"/>
  <c r="T319" i="19" s="1"/>
  <c r="T169" i="20"/>
  <c r="I169" i="20"/>
  <c r="I19" i="19"/>
  <c r="I319" i="19" s="1"/>
  <c r="T12" i="19"/>
  <c r="T312" i="19" s="1"/>
  <c r="T162" i="20"/>
  <c r="P18" i="20"/>
  <c r="P174" i="20" s="1"/>
  <c r="P179" i="20"/>
  <c r="P169" i="20"/>
  <c r="P19" i="19"/>
  <c r="P319" i="19" s="1"/>
  <c r="P22" i="32"/>
  <c r="AA12" i="56"/>
  <c r="N324" i="19"/>
  <c r="H17" i="19"/>
  <c r="H317" i="19" s="1"/>
  <c r="S17" i="19"/>
  <c r="S317" i="19" s="1"/>
  <c r="S167" i="20"/>
  <c r="F13" i="19"/>
  <c r="F313" i="19" s="1"/>
  <c r="F163" i="20"/>
  <c r="P99" i="19"/>
  <c r="P399" i="19" s="1"/>
  <c r="L99" i="19"/>
  <c r="L399" i="19" s="1"/>
  <c r="I99" i="19"/>
  <c r="I399" i="19" s="1"/>
  <c r="H99" i="19"/>
  <c r="H399" i="19" s="1"/>
  <c r="J99" i="19"/>
  <c r="J399" i="19" s="1"/>
  <c r="T99" i="19"/>
  <c r="T399" i="19" s="1"/>
  <c r="S99" i="19"/>
  <c r="O99" i="19"/>
  <c r="O399" i="19" s="1"/>
  <c r="F99" i="19"/>
  <c r="F399" i="19" s="1"/>
  <c r="M99" i="19"/>
  <c r="M399" i="19" s="1"/>
  <c r="K99" i="19"/>
  <c r="K399" i="19" s="1"/>
  <c r="G99" i="19"/>
  <c r="G399" i="19" s="1"/>
  <c r="F18" i="20"/>
  <c r="F174" i="20" s="1"/>
  <c r="Z4" i="56"/>
  <c r="Z16" i="56"/>
  <c r="AD16" i="56"/>
  <c r="AD8" i="56"/>
  <c r="AC6" i="56"/>
  <c r="AA11" i="56"/>
  <c r="Z11" i="56"/>
  <c r="Z8" i="56"/>
  <c r="Z6" i="56"/>
  <c r="Z13" i="56"/>
  <c r="AD15" i="56"/>
  <c r="AA5" i="56"/>
  <c r="AD12" i="56"/>
  <c r="Z14" i="56"/>
  <c r="AD11" i="56"/>
  <c r="AD7" i="56"/>
  <c r="AA13" i="56"/>
  <c r="Z10" i="56"/>
  <c r="AA7" i="56"/>
  <c r="AA15" i="56"/>
  <c r="Z9" i="56"/>
  <c r="Z5" i="56"/>
  <c r="Z12" i="56"/>
  <c r="Z15" i="56"/>
  <c r="Z7" i="56"/>
  <c r="AC14" i="56"/>
  <c r="AD9" i="56"/>
  <c r="T85" i="19"/>
  <c r="T385" i="19" s="1"/>
  <c r="T30" i="19"/>
  <c r="E6" i="56"/>
  <c r="E12" i="56"/>
  <c r="T145" i="29"/>
  <c r="T24" i="19"/>
  <c r="S85" i="19"/>
  <c r="S385" i="19" s="1"/>
  <c r="S30" i="19"/>
  <c r="E14" i="56"/>
  <c r="E4" i="56"/>
  <c r="T22" i="32"/>
  <c r="M145" i="29"/>
  <c r="O17" i="19"/>
  <c r="O317" i="19" s="1"/>
  <c r="G17" i="19"/>
  <c r="G317" i="19" s="1"/>
  <c r="E99" i="21"/>
  <c r="F6" i="20"/>
  <c r="F67" i="19"/>
  <c r="F367" i="19" s="1"/>
  <c r="F66" i="19"/>
  <c r="F366" i="19" s="1"/>
  <c r="G36" i="23"/>
  <c r="G116" i="23" s="1"/>
  <c r="H23" i="20"/>
  <c r="H179" i="20" s="1"/>
  <c r="Q71" i="19"/>
  <c r="Q371" i="19" s="1"/>
  <c r="Q10" i="20"/>
  <c r="Q166" i="20" s="1"/>
  <c r="M71" i="19"/>
  <c r="M371" i="19" s="1"/>
  <c r="M10" i="20"/>
  <c r="M166" i="20" s="1"/>
  <c r="H172" i="29"/>
  <c r="H110" i="19"/>
  <c r="L71" i="19"/>
  <c r="L371" i="19" s="1"/>
  <c r="L10" i="20"/>
  <c r="L166" i="20" s="1"/>
  <c r="I10" i="20"/>
  <c r="I166" i="20" s="1"/>
  <c r="I71" i="19"/>
  <c r="I371" i="19" s="1"/>
  <c r="N172" i="29"/>
  <c r="N110" i="19"/>
  <c r="N410" i="19" s="1"/>
  <c r="O172" i="29"/>
  <c r="O110" i="19"/>
  <c r="O410" i="19" s="1"/>
  <c r="F28" i="19"/>
  <c r="F328" i="19" s="1"/>
  <c r="F149" i="29"/>
  <c r="I18" i="20"/>
  <c r="I174" i="20" s="1"/>
  <c r="I67" i="19"/>
  <c r="I367" i="19" s="1"/>
  <c r="I6" i="20"/>
  <c r="I162" i="20" s="1"/>
  <c r="L17" i="19"/>
  <c r="L317" i="19" s="1"/>
  <c r="G149" i="29"/>
  <c r="G28" i="19"/>
  <c r="G328" i="19" s="1"/>
  <c r="J17" i="19"/>
  <c r="J317" i="19" s="1"/>
  <c r="O10" i="20"/>
  <c r="O166" i="20" s="1"/>
  <c r="O71" i="19"/>
  <c r="O371" i="19" s="1"/>
  <c r="J10" i="20"/>
  <c r="J166" i="20" s="1"/>
  <c r="J71" i="19"/>
  <c r="J371" i="19" s="1"/>
  <c r="O148" i="29"/>
  <c r="O27" i="19"/>
  <c r="O327" i="19" s="1"/>
  <c r="O28" i="19"/>
  <c r="O328" i="19" s="1"/>
  <c r="O149" i="29"/>
  <c r="S36" i="23"/>
  <c r="T23" i="20"/>
  <c r="T179" i="20" s="1"/>
  <c r="J172" i="29"/>
  <c r="J110" i="19"/>
  <c r="M17" i="19"/>
  <c r="M317" i="19" s="1"/>
  <c r="N104" i="19"/>
  <c r="N404" i="19" s="1"/>
  <c r="N43" i="20"/>
  <c r="N199" i="20" s="1"/>
  <c r="P66" i="19"/>
  <c r="P366" i="19" s="1"/>
  <c r="P5" i="20"/>
  <c r="R104" i="19"/>
  <c r="R404" i="19" s="1"/>
  <c r="R43" i="20"/>
  <c r="R199" i="20" s="1"/>
  <c r="N10" i="20"/>
  <c r="N166" i="20" s="1"/>
  <c r="N71" i="19"/>
  <c r="N371" i="19" s="1"/>
  <c r="G172" i="29"/>
  <c r="G110" i="19"/>
  <c r="G410" i="19" s="1"/>
  <c r="F71" i="19"/>
  <c r="F371" i="19" s="1"/>
  <c r="F10" i="20"/>
  <c r="Q17" i="19"/>
  <c r="Q317" i="19" s="1"/>
  <c r="T172" i="29"/>
  <c r="T110" i="19"/>
  <c r="T410" i="19" s="1"/>
  <c r="L172" i="29"/>
  <c r="L110" i="19"/>
  <c r="L410" i="19" s="1"/>
  <c r="R71" i="19"/>
  <c r="R371" i="19" s="1"/>
  <c r="R10" i="20"/>
  <c r="R166" i="20" s="1"/>
  <c r="J18" i="20"/>
  <c r="J174" i="20" s="1"/>
  <c r="G31" i="21"/>
  <c r="G102" i="21" s="1"/>
  <c r="H19" i="20"/>
  <c r="H175" i="20" s="1"/>
  <c r="N18" i="20"/>
  <c r="N174" i="20" s="1"/>
  <c r="N67" i="19"/>
  <c r="N367" i="19" s="1"/>
  <c r="N6" i="20"/>
  <c r="N162" i="20" s="1"/>
  <c r="Q67" i="19"/>
  <c r="Q367" i="19" s="1"/>
  <c r="Q18" i="20"/>
  <c r="Q174" i="20" s="1"/>
  <c r="Q6" i="20"/>
  <c r="Q162" i="20" s="1"/>
  <c r="M67" i="19"/>
  <c r="M367" i="19" s="1"/>
  <c r="M18" i="20"/>
  <c r="M174" i="20" s="1"/>
  <c r="M6" i="20"/>
  <c r="M162" i="20" s="1"/>
  <c r="G18" i="20"/>
  <c r="G174" i="20" s="1"/>
  <c r="G67" i="19"/>
  <c r="G367" i="19" s="1"/>
  <c r="G6" i="20"/>
  <c r="G162" i="20" s="1"/>
  <c r="M99" i="21"/>
  <c r="S67" i="19"/>
  <c r="S367" i="19" s="1"/>
  <c r="S18" i="20"/>
  <c r="S174" i="20" s="1"/>
  <c r="S6" i="20"/>
  <c r="O67" i="19"/>
  <c r="O367" i="19" s="1"/>
  <c r="O18" i="20"/>
  <c r="O174" i="20" s="1"/>
  <c r="O6" i="20"/>
  <c r="O162" i="20" s="1"/>
  <c r="K67" i="19"/>
  <c r="K367" i="19" s="1"/>
  <c r="K6" i="20"/>
  <c r="K162" i="20" s="1"/>
  <c r="G99" i="21"/>
  <c r="F98" i="19"/>
  <c r="F398" i="19" s="1"/>
  <c r="Q104" i="19"/>
  <c r="Q404" i="19" s="1"/>
  <c r="Q43" i="20"/>
  <c r="Q199" i="20" s="1"/>
  <c r="J36" i="23"/>
  <c r="J116" i="23" s="1"/>
  <c r="K23" i="20"/>
  <c r="R66" i="19"/>
  <c r="R366" i="19" s="1"/>
  <c r="L18" i="20"/>
  <c r="L174" i="20" s="1"/>
  <c r="G71" i="19"/>
  <c r="G371" i="19" s="1"/>
  <c r="G10" i="20"/>
  <c r="G166" i="20" s="1"/>
  <c r="I172" i="29"/>
  <c r="I110" i="19"/>
  <c r="I410" i="19" s="1"/>
  <c r="M172" i="29"/>
  <c r="M110" i="19"/>
  <c r="M410" i="19" s="1"/>
  <c r="P71" i="19"/>
  <c r="P371" i="19" s="1"/>
  <c r="P10" i="20"/>
  <c r="P166" i="20" s="1"/>
  <c r="S10" i="20"/>
  <c r="S71" i="19"/>
  <c r="S371" i="19" s="1"/>
  <c r="R172" i="29"/>
  <c r="R110" i="19"/>
  <c r="R410" i="19" s="1"/>
  <c r="R24" i="19"/>
  <c r="R324" i="19" s="1"/>
  <c r="Q172" i="29"/>
  <c r="Q110" i="19"/>
  <c r="Q410" i="19" s="1"/>
  <c r="P24" i="19"/>
  <c r="P324" i="19" s="1"/>
  <c r="I22" i="32"/>
  <c r="I85" i="19"/>
  <c r="I385" i="19" s="1"/>
  <c r="L24" i="19"/>
  <c r="L324" i="19" s="1"/>
  <c r="Q145" i="29"/>
  <c r="M30" i="19"/>
  <c r="M330" i="19" s="1"/>
  <c r="M85" i="19"/>
  <c r="M385" i="19" s="1"/>
  <c r="F121" i="19"/>
  <c r="F421" i="19" s="1"/>
  <c r="F5" i="20"/>
  <c r="Z5" i="20" s="1"/>
  <c r="AA5" i="20" s="1"/>
  <c r="L135" i="19"/>
  <c r="L435" i="19" s="1"/>
  <c r="M135" i="19"/>
  <c r="M435" i="19" s="1"/>
  <c r="J135" i="19"/>
  <c r="J435" i="19" s="1"/>
  <c r="N135" i="19"/>
  <c r="N435" i="19" s="1"/>
  <c r="G77" i="19"/>
  <c r="G377" i="19" s="1"/>
  <c r="I77" i="19"/>
  <c r="I377" i="19" s="1"/>
  <c r="H77" i="19"/>
  <c r="H377" i="19" s="1"/>
  <c r="K77" i="19"/>
  <c r="K377" i="19" s="1"/>
  <c r="M77" i="19"/>
  <c r="M377" i="19" s="1"/>
  <c r="L77" i="19"/>
  <c r="L377" i="19" s="1"/>
  <c r="J77" i="19"/>
  <c r="J377" i="19" s="1"/>
  <c r="N77" i="19"/>
  <c r="N377" i="19" s="1"/>
  <c r="J24" i="19"/>
  <c r="J324" i="19" s="1"/>
  <c r="H24" i="19"/>
  <c r="H324" i="19" s="1"/>
  <c r="K24" i="19"/>
  <c r="K324" i="19" s="1"/>
  <c r="H5" i="29"/>
  <c r="H22" i="19" s="1"/>
  <c r="H322" i="19" s="1"/>
  <c r="H135" i="19"/>
  <c r="H435" i="19" s="1"/>
  <c r="K5" i="29"/>
  <c r="K22" i="19" s="1"/>
  <c r="K322" i="19" s="1"/>
  <c r="K135" i="19"/>
  <c r="K435" i="19" s="1"/>
  <c r="G5" i="29"/>
  <c r="G22" i="19" s="1"/>
  <c r="G322" i="19" s="1"/>
  <c r="G135" i="19"/>
  <c r="G435" i="19" s="1"/>
  <c r="I5" i="29"/>
  <c r="I22" i="19" s="1"/>
  <c r="I322" i="19" s="1"/>
  <c r="I135" i="19"/>
  <c r="I435" i="19" s="1"/>
  <c r="L5" i="29"/>
  <c r="L22" i="19" s="1"/>
  <c r="L322" i="19" s="1"/>
  <c r="M5" i="29"/>
  <c r="M143" i="29" s="1"/>
  <c r="J5" i="29"/>
  <c r="J22" i="19" s="1"/>
  <c r="J322" i="19" s="1"/>
  <c r="N5" i="29"/>
  <c r="N143" i="29" s="1"/>
  <c r="M22" i="32"/>
  <c r="I30" i="19"/>
  <c r="I330" i="19" s="1"/>
  <c r="L30" i="19"/>
  <c r="L330" i="19" s="1"/>
  <c r="L22" i="32"/>
  <c r="Q30" i="19"/>
  <c r="Q330" i="19" s="1"/>
  <c r="Q22" i="32"/>
  <c r="K22" i="32"/>
  <c r="K30" i="19"/>
  <c r="K330" i="19" s="1"/>
  <c r="J22" i="32"/>
  <c r="J30" i="19"/>
  <c r="J330" i="19" s="1"/>
  <c r="S22" i="32"/>
  <c r="R30" i="19"/>
  <c r="R330" i="19" s="1"/>
  <c r="R22" i="32"/>
  <c r="G30" i="19"/>
  <c r="G330" i="19" s="1"/>
  <c r="G22" i="32"/>
  <c r="O30" i="19"/>
  <c r="O330" i="19" s="1"/>
  <c r="O22" i="32"/>
  <c r="J146" i="29"/>
  <c r="J25" i="19"/>
  <c r="I146" i="29"/>
  <c r="I25" i="19"/>
  <c r="M146" i="29"/>
  <c r="M25" i="19"/>
  <c r="N146" i="29"/>
  <c r="N25" i="19"/>
  <c r="N325" i="19" s="1"/>
  <c r="H146" i="29"/>
  <c r="H25" i="19"/>
  <c r="L146" i="29"/>
  <c r="L25" i="19"/>
  <c r="K25" i="19"/>
  <c r="K146" i="29"/>
  <c r="G25" i="19"/>
  <c r="G146" i="29"/>
  <c r="Q19" i="19"/>
  <c r="Q319" i="19" s="1"/>
  <c r="N19" i="19"/>
  <c r="N319" i="19" s="1"/>
  <c r="H19" i="19"/>
  <c r="H319" i="19" s="1"/>
  <c r="F19" i="19"/>
  <c r="F319" i="19" s="1"/>
  <c r="K116" i="23"/>
  <c r="H116" i="23"/>
  <c r="R116" i="23"/>
  <c r="S116" i="23"/>
  <c r="Q116" i="23"/>
  <c r="M116" i="23"/>
  <c r="O116" i="23"/>
  <c r="I116" i="23"/>
  <c r="N116" i="23"/>
  <c r="P116" i="23"/>
  <c r="F116" i="23"/>
  <c r="L116" i="23"/>
  <c r="E116" i="23"/>
  <c r="I102" i="21"/>
  <c r="S102" i="21"/>
  <c r="O102" i="21"/>
  <c r="Q102" i="21"/>
  <c r="M102" i="21"/>
  <c r="K102" i="21"/>
  <c r="E102" i="21"/>
  <c r="N94" i="22"/>
  <c r="J94" i="22"/>
  <c r="F94" i="22"/>
  <c r="R94" i="22"/>
  <c r="P31" i="21"/>
  <c r="P99" i="21"/>
  <c r="H31" i="21"/>
  <c r="H99" i="21"/>
  <c r="R31" i="21"/>
  <c r="R99" i="21"/>
  <c r="N31" i="21"/>
  <c r="N99" i="21"/>
  <c r="J31" i="21"/>
  <c r="J99" i="21"/>
  <c r="F31" i="21"/>
  <c r="F99" i="21"/>
  <c r="L31" i="21"/>
  <c r="L99" i="21"/>
  <c r="P98" i="19" l="1"/>
  <c r="P398" i="19" s="1"/>
  <c r="S12" i="19"/>
  <c r="S312" i="19" s="1"/>
  <c r="S162" i="20"/>
  <c r="K18" i="20"/>
  <c r="K174" i="20" s="1"/>
  <c r="K179" i="20"/>
  <c r="S16" i="19"/>
  <c r="S316" i="19" s="1"/>
  <c r="S166" i="20"/>
  <c r="F166" i="20"/>
  <c r="Z10" i="20"/>
  <c r="AA10" i="20" s="1"/>
  <c r="F162" i="20"/>
  <c r="Z6" i="20"/>
  <c r="AA6" i="20" s="1"/>
  <c r="AB6" i="56"/>
  <c r="H325" i="19"/>
  <c r="AB9" i="56"/>
  <c r="K325" i="19"/>
  <c r="AB10" i="56"/>
  <c r="L325" i="19"/>
  <c r="AB7" i="56"/>
  <c r="I325" i="19"/>
  <c r="E17" i="56"/>
  <c r="S330" i="19"/>
  <c r="AB5" i="56"/>
  <c r="G325" i="19"/>
  <c r="J98" i="19"/>
  <c r="J398" i="19" s="1"/>
  <c r="J410" i="19"/>
  <c r="S98" i="19"/>
  <c r="S398" i="19" s="1"/>
  <c r="S399" i="19"/>
  <c r="AB11" i="56"/>
  <c r="M325" i="19"/>
  <c r="AB8" i="56"/>
  <c r="J325" i="19"/>
  <c r="H98" i="19"/>
  <c r="H398" i="19" s="1"/>
  <c r="H410" i="19"/>
  <c r="AA18" i="56"/>
  <c r="T324" i="19"/>
  <c r="E18" i="56"/>
  <c r="T330" i="19"/>
  <c r="M98" i="19"/>
  <c r="M398" i="19" s="1"/>
  <c r="I98" i="19"/>
  <c r="I398" i="19" s="1"/>
  <c r="K98" i="19"/>
  <c r="K398" i="19" s="1"/>
  <c r="P11" i="19"/>
  <c r="P161" i="20"/>
  <c r="T98" i="19"/>
  <c r="T398" i="19" s="1"/>
  <c r="G98" i="19"/>
  <c r="G398" i="19" s="1"/>
  <c r="O98" i="19"/>
  <c r="O398" i="19" s="1"/>
  <c r="Q99" i="19"/>
  <c r="R99" i="19"/>
  <c r="R399" i="19" s="1"/>
  <c r="N99" i="19"/>
  <c r="AA8" i="56"/>
  <c r="AA10" i="56"/>
  <c r="AC13" i="56"/>
  <c r="AD4" i="56"/>
  <c r="AA16" i="56"/>
  <c r="AD5" i="56"/>
  <c r="AB12" i="56"/>
  <c r="AA9" i="56"/>
  <c r="AA14" i="56"/>
  <c r="AA6" i="56"/>
  <c r="AD13" i="56"/>
  <c r="D5" i="56"/>
  <c r="E10" i="56"/>
  <c r="D8" i="56"/>
  <c r="J134" i="19"/>
  <c r="J434" i="19" s="1"/>
  <c r="E11" i="56"/>
  <c r="E9" i="56"/>
  <c r="D6" i="56"/>
  <c r="E5" i="56"/>
  <c r="E8" i="56"/>
  <c r="E7" i="56"/>
  <c r="D7" i="56"/>
  <c r="D9" i="56"/>
  <c r="M134" i="19"/>
  <c r="M434" i="19" s="1"/>
  <c r="E13" i="56"/>
  <c r="E16" i="56"/>
  <c r="E15" i="56"/>
  <c r="D10" i="56"/>
  <c r="L134" i="19"/>
  <c r="L434" i="19" s="1"/>
  <c r="G143" i="29"/>
  <c r="R5" i="20"/>
  <c r="R161" i="20" s="1"/>
  <c r="K66" i="19"/>
  <c r="K366" i="19" s="1"/>
  <c r="K5" i="20"/>
  <c r="K161" i="20" s="1"/>
  <c r="I66" i="19"/>
  <c r="I366" i="19" s="1"/>
  <c r="I5" i="20"/>
  <c r="L66" i="19"/>
  <c r="L366" i="19" s="1"/>
  <c r="L5" i="20"/>
  <c r="L161" i="20" s="1"/>
  <c r="O66" i="19"/>
  <c r="O366" i="19" s="1"/>
  <c r="O5" i="20"/>
  <c r="S66" i="19"/>
  <c r="S366" i="19" s="1"/>
  <c r="S5" i="20"/>
  <c r="S161" i="20" s="1"/>
  <c r="H67" i="19"/>
  <c r="H367" i="19" s="1"/>
  <c r="H18" i="20"/>
  <c r="H174" i="20" s="1"/>
  <c r="H6" i="20"/>
  <c r="J66" i="19"/>
  <c r="J366" i="19" s="1"/>
  <c r="J5" i="20"/>
  <c r="J161" i="20" s="1"/>
  <c r="H71" i="19"/>
  <c r="H371" i="19" s="1"/>
  <c r="H10" i="20"/>
  <c r="H166" i="20" s="1"/>
  <c r="K71" i="19"/>
  <c r="K371" i="19" s="1"/>
  <c r="K10" i="20"/>
  <c r="M66" i="19"/>
  <c r="M366" i="19" s="1"/>
  <c r="M5" i="20"/>
  <c r="Q66" i="19"/>
  <c r="Q366" i="19" s="1"/>
  <c r="Q5" i="20"/>
  <c r="Q161" i="20" s="1"/>
  <c r="T71" i="19"/>
  <c r="T371" i="19" s="1"/>
  <c r="T10" i="20"/>
  <c r="T166" i="20" s="1"/>
  <c r="T18" i="20"/>
  <c r="T174" i="20" s="1"/>
  <c r="L98" i="19"/>
  <c r="L398" i="19" s="1"/>
  <c r="G66" i="19"/>
  <c r="G366" i="19" s="1"/>
  <c r="G5" i="20"/>
  <c r="G161" i="20" s="1"/>
  <c r="N66" i="19"/>
  <c r="N366" i="19" s="1"/>
  <c r="N5" i="20"/>
  <c r="N161" i="20" s="1"/>
  <c r="N134" i="19"/>
  <c r="N434" i="19" s="1"/>
  <c r="I143" i="29"/>
  <c r="K143" i="29"/>
  <c r="L143" i="29"/>
  <c r="F120" i="19"/>
  <c r="F420" i="19" s="1"/>
  <c r="J143" i="29"/>
  <c r="H143" i="29"/>
  <c r="M22" i="19"/>
  <c r="M322" i="19" s="1"/>
  <c r="I134" i="19"/>
  <c r="I434" i="19" s="1"/>
  <c r="G134" i="19"/>
  <c r="G434" i="19" s="1"/>
  <c r="K134" i="19"/>
  <c r="K434" i="19" s="1"/>
  <c r="H134" i="19"/>
  <c r="H434" i="19" s="1"/>
  <c r="N22" i="19"/>
  <c r="N322" i="19" s="1"/>
  <c r="F11" i="19"/>
  <c r="F161" i="20"/>
  <c r="M16" i="19"/>
  <c r="M316" i="19" s="1"/>
  <c r="J16" i="19"/>
  <c r="J316" i="19" s="1"/>
  <c r="N16" i="19"/>
  <c r="N316" i="19" s="1"/>
  <c r="Q16" i="19"/>
  <c r="Q316" i="19" s="1"/>
  <c r="I16" i="19"/>
  <c r="I316" i="19" s="1"/>
  <c r="G16" i="19"/>
  <c r="G316" i="19" s="1"/>
  <c r="O16" i="19"/>
  <c r="O316" i="19" s="1"/>
  <c r="R16" i="19"/>
  <c r="R316" i="19" s="1"/>
  <c r="L16" i="19"/>
  <c r="L316" i="19" s="1"/>
  <c r="P16" i="19"/>
  <c r="P316" i="19" s="1"/>
  <c r="F16" i="19"/>
  <c r="F316" i="19" s="1"/>
  <c r="L12" i="19"/>
  <c r="L312" i="19" s="1"/>
  <c r="F102" i="21"/>
  <c r="N102" i="21"/>
  <c r="H102" i="21"/>
  <c r="N12" i="19"/>
  <c r="N312" i="19" s="1"/>
  <c r="P12" i="19"/>
  <c r="P312" i="19" s="1"/>
  <c r="J12" i="19"/>
  <c r="J312" i="19" s="1"/>
  <c r="R12" i="19"/>
  <c r="R312" i="19" s="1"/>
  <c r="L102" i="21"/>
  <c r="J102" i="21"/>
  <c r="R102" i="21"/>
  <c r="P102" i="21"/>
  <c r="F12" i="19"/>
  <c r="F312" i="19" s="1"/>
  <c r="B1" i="15"/>
  <c r="B1" i="5"/>
  <c r="B1" i="4"/>
  <c r="B1" i="3"/>
  <c r="F311" i="19" l="1"/>
  <c r="Z11" i="19"/>
  <c r="AA11" i="19" s="1"/>
  <c r="H16" i="19"/>
  <c r="H316" i="19" s="1"/>
  <c r="H12" i="19"/>
  <c r="H312" i="19" s="1"/>
  <c r="H162" i="20"/>
  <c r="K16" i="19"/>
  <c r="K316" i="19" s="1"/>
  <c r="K166" i="20"/>
  <c r="Q98" i="19"/>
  <c r="Q398" i="19" s="1"/>
  <c r="Q399" i="19"/>
  <c r="W14" i="56"/>
  <c r="P311" i="19"/>
  <c r="N98" i="19"/>
  <c r="N398" i="19" s="1"/>
  <c r="N399" i="19"/>
  <c r="C14" i="56"/>
  <c r="R98" i="19"/>
  <c r="R398" i="19" s="1"/>
  <c r="I11" i="19"/>
  <c r="C7" i="56" s="1"/>
  <c r="I161" i="20"/>
  <c r="M11" i="19"/>
  <c r="M161" i="20"/>
  <c r="O11" i="19"/>
  <c r="O161" i="20"/>
  <c r="Q11" i="19"/>
  <c r="W4" i="56"/>
  <c r="D11" i="56"/>
  <c r="T16" i="19"/>
  <c r="T316" i="19" s="1"/>
  <c r="C4" i="56"/>
  <c r="D12" i="56"/>
  <c r="S11" i="19"/>
  <c r="G11" i="19"/>
  <c r="K11" i="19"/>
  <c r="R11" i="19"/>
  <c r="R311" i="19" s="1"/>
  <c r="T66" i="19"/>
  <c r="T366" i="19" s="1"/>
  <c r="T5" i="20"/>
  <c r="J11" i="19"/>
  <c r="H66" i="19"/>
  <c r="H366" i="19" s="1"/>
  <c r="H5" i="20"/>
  <c r="H161" i="20" s="1"/>
  <c r="N11" i="19"/>
  <c r="N311" i="19" s="1"/>
  <c r="L11" i="19"/>
  <c r="Q12" i="19"/>
  <c r="Q312" i="19" s="1"/>
  <c r="K12" i="19"/>
  <c r="K312" i="19" s="1"/>
  <c r="O12" i="19"/>
  <c r="O312" i="19" s="1"/>
  <c r="M12" i="19"/>
  <c r="M312" i="19" s="1"/>
  <c r="I12" i="19"/>
  <c r="I312" i="19" s="1"/>
  <c r="G12" i="19"/>
  <c r="G312" i="19" s="1"/>
  <c r="R25" i="4"/>
  <c r="W10" i="56" l="1"/>
  <c r="L311" i="19"/>
  <c r="W8" i="56"/>
  <c r="J311" i="19"/>
  <c r="W9" i="56"/>
  <c r="K311" i="19"/>
  <c r="W5" i="56"/>
  <c r="G311" i="19"/>
  <c r="W15" i="56"/>
  <c r="Q311" i="19"/>
  <c r="W11" i="56"/>
  <c r="M311" i="19"/>
  <c r="W17" i="56"/>
  <c r="S311" i="19"/>
  <c r="W13" i="56"/>
  <c r="O311" i="19"/>
  <c r="W7" i="56"/>
  <c r="I311" i="19"/>
  <c r="C13" i="56"/>
  <c r="C11" i="56"/>
  <c r="T11" i="19"/>
  <c r="T161" i="20"/>
  <c r="C15" i="56"/>
  <c r="W16" i="56"/>
  <c r="W12" i="56"/>
  <c r="C8" i="56"/>
  <c r="C9" i="56"/>
  <c r="C10" i="56"/>
  <c r="C5" i="56"/>
  <c r="C12" i="56"/>
  <c r="C16" i="56"/>
  <c r="C17" i="56"/>
  <c r="H11" i="19"/>
  <c r="R86" i="4"/>
  <c r="S86" i="4"/>
  <c r="R87" i="4"/>
  <c r="S87" i="4"/>
  <c r="R81" i="4"/>
  <c r="S81" i="4"/>
  <c r="R82" i="4"/>
  <c r="S82" i="4"/>
  <c r="P87" i="4"/>
  <c r="P86" i="4"/>
  <c r="P82" i="4"/>
  <c r="P81" i="4"/>
  <c r="W6" i="56" l="1"/>
  <c r="H311" i="19"/>
  <c r="W18" i="56"/>
  <c r="T311" i="19"/>
  <c r="C18" i="56"/>
  <c r="C6" i="56"/>
  <c r="O87" i="4"/>
  <c r="O86" i="4"/>
  <c r="O82" i="4"/>
  <c r="O81" i="4"/>
  <c r="N87" i="4" l="1"/>
  <c r="N86" i="4"/>
  <c r="N82" i="4"/>
  <c r="N81" i="4"/>
  <c r="M87" i="4" l="1"/>
  <c r="M86" i="4"/>
  <c r="M82" i="4"/>
  <c r="M81" i="4"/>
  <c r="L87" i="4" l="1"/>
  <c r="L86" i="4"/>
  <c r="L82" i="4"/>
  <c r="L81" i="4"/>
  <c r="K87" i="4" l="1"/>
  <c r="K86" i="4"/>
  <c r="K82" i="4"/>
  <c r="K81" i="4"/>
  <c r="J87" i="4" l="1"/>
  <c r="J86" i="4"/>
  <c r="J82" i="4"/>
  <c r="J81" i="4"/>
  <c r="I87" i="4" l="1"/>
  <c r="I86" i="4"/>
  <c r="I82" i="4"/>
  <c r="I81" i="4"/>
  <c r="H87" i="4" l="1"/>
  <c r="H86" i="4"/>
  <c r="H82" i="4"/>
  <c r="H81" i="4"/>
  <c r="G87" i="4" l="1"/>
  <c r="G86" i="4"/>
  <c r="G82" i="4"/>
  <c r="G81" i="4"/>
  <c r="F87" i="4" l="1"/>
  <c r="F86" i="4"/>
  <c r="F82" i="4"/>
  <c r="F81" i="4"/>
  <c r="E87" i="4" l="1"/>
  <c r="E86" i="4"/>
  <c r="E81" i="4"/>
  <c r="E92" i="4" l="1"/>
  <c r="E82" i="4"/>
  <c r="R27" i="4"/>
  <c r="R93" i="4" s="1"/>
  <c r="Q87" i="4"/>
  <c r="Q86" i="4"/>
  <c r="Q81" i="4"/>
  <c r="E28" i="4"/>
  <c r="E94" i="4" s="1"/>
  <c r="F25" i="4"/>
  <c r="G25" i="4"/>
  <c r="H25" i="4"/>
  <c r="I25" i="4"/>
  <c r="J25" i="4"/>
  <c r="K25" i="4"/>
  <c r="L25" i="4"/>
  <c r="M25" i="4"/>
  <c r="N25" i="4"/>
  <c r="O25" i="4"/>
  <c r="P25" i="4"/>
  <c r="R91" i="4"/>
  <c r="S25" i="4"/>
  <c r="S91" i="4" s="1"/>
  <c r="F26" i="4"/>
  <c r="G26" i="4"/>
  <c r="H26" i="4"/>
  <c r="I26" i="4"/>
  <c r="J26" i="4"/>
  <c r="K26" i="4"/>
  <c r="L26" i="4"/>
  <c r="M26" i="4"/>
  <c r="N26" i="4"/>
  <c r="O26" i="4"/>
  <c r="P26" i="4"/>
  <c r="R26" i="4"/>
  <c r="R92" i="4" s="1"/>
  <c r="S26" i="4"/>
  <c r="S92" i="4" s="1"/>
  <c r="S28" i="4" l="1"/>
  <c r="R28" i="4"/>
  <c r="Q25" i="4"/>
  <c r="Q91" i="4" s="1"/>
  <c r="S27" i="4"/>
  <c r="S93" i="4" s="1"/>
  <c r="O28" i="4"/>
  <c r="O94" i="4" s="1"/>
  <c r="O92" i="4"/>
  <c r="K28" i="4"/>
  <c r="K94" i="4" s="1"/>
  <c r="K92" i="4"/>
  <c r="G28" i="4"/>
  <c r="G94" i="4" s="1"/>
  <c r="G92" i="4"/>
  <c r="M27" i="4"/>
  <c r="M93" i="4" s="1"/>
  <c r="M91" i="4"/>
  <c r="I27" i="4"/>
  <c r="I93" i="4" s="1"/>
  <c r="I91" i="4"/>
  <c r="Q27" i="4"/>
  <c r="N28" i="4"/>
  <c r="N94" i="4" s="1"/>
  <c r="N92" i="4"/>
  <c r="J28" i="4"/>
  <c r="J94" i="4" s="1"/>
  <c r="J92" i="4"/>
  <c r="F28" i="4"/>
  <c r="F94" i="4" s="1"/>
  <c r="F92" i="4"/>
  <c r="P27" i="4"/>
  <c r="P93" i="4" s="1"/>
  <c r="P91" i="4"/>
  <c r="L27" i="4"/>
  <c r="L93" i="4" s="1"/>
  <c r="L91" i="4"/>
  <c r="H27" i="4"/>
  <c r="H93" i="4" s="1"/>
  <c r="H91" i="4"/>
  <c r="E27" i="4"/>
  <c r="E93" i="4" s="1"/>
  <c r="E91" i="4"/>
  <c r="M28" i="4"/>
  <c r="M94" i="4" s="1"/>
  <c r="M92" i="4"/>
  <c r="I28" i="4"/>
  <c r="I94" i="4" s="1"/>
  <c r="I92" i="4"/>
  <c r="O27" i="4"/>
  <c r="O93" i="4" s="1"/>
  <c r="O91" i="4"/>
  <c r="K27" i="4"/>
  <c r="K93" i="4" s="1"/>
  <c r="K91" i="4"/>
  <c r="G27" i="4"/>
  <c r="G93" i="4" s="1"/>
  <c r="G91" i="4"/>
  <c r="P28" i="4"/>
  <c r="P94" i="4" s="1"/>
  <c r="P92" i="4"/>
  <c r="L28" i="4"/>
  <c r="L94" i="4" s="1"/>
  <c r="L92" i="4"/>
  <c r="H28" i="4"/>
  <c r="H94" i="4" s="1"/>
  <c r="H92" i="4"/>
  <c r="N27" i="4"/>
  <c r="N93" i="4" s="1"/>
  <c r="N91" i="4"/>
  <c r="J27" i="4"/>
  <c r="J93" i="4" s="1"/>
  <c r="J91" i="4"/>
  <c r="F27" i="4"/>
  <c r="F93" i="4" s="1"/>
  <c r="F91" i="4"/>
  <c r="Q26" i="4"/>
  <c r="Q82" i="4"/>
  <c r="O29" i="4" l="1"/>
  <c r="P6" i="14" s="1"/>
  <c r="P62" i="19" s="1"/>
  <c r="P362" i="19" s="1"/>
  <c r="H29" i="4"/>
  <c r="I6" i="14" s="1"/>
  <c r="I62" i="19" s="1"/>
  <c r="I362" i="19" s="1"/>
  <c r="L29" i="4"/>
  <c r="M6" i="14" s="1"/>
  <c r="M62" i="19" s="1"/>
  <c r="M362" i="19" s="1"/>
  <c r="I29" i="4"/>
  <c r="J6" i="14" s="1"/>
  <c r="J62" i="19" s="1"/>
  <c r="J362" i="19" s="1"/>
  <c r="J29" i="4"/>
  <c r="K6" i="14" s="1"/>
  <c r="K62" i="19" s="1"/>
  <c r="K362" i="19" s="1"/>
  <c r="P29" i="4"/>
  <c r="Q6" i="14" s="1"/>
  <c r="Q62" i="19" s="1"/>
  <c r="Q362" i="19" s="1"/>
  <c r="R29" i="4"/>
  <c r="S6" i="14" s="1"/>
  <c r="R94" i="4"/>
  <c r="G29" i="4"/>
  <c r="H6" i="14" s="1"/>
  <c r="H62" i="19" s="1"/>
  <c r="H362" i="19" s="1"/>
  <c r="K29" i="4"/>
  <c r="L6" i="14" s="1"/>
  <c r="L62" i="19" s="1"/>
  <c r="L362" i="19" s="1"/>
  <c r="S29" i="4"/>
  <c r="T6" i="14" s="1"/>
  <c r="S94" i="4"/>
  <c r="F29" i="4"/>
  <c r="G6" i="14" s="1"/>
  <c r="G62" i="19" s="1"/>
  <c r="G362" i="19" s="1"/>
  <c r="N29" i="4"/>
  <c r="O6" i="14" s="1"/>
  <c r="O62" i="19" s="1"/>
  <c r="O362" i="19" s="1"/>
  <c r="Q92" i="4"/>
  <c r="Q28" i="4"/>
  <c r="Q94" i="4" s="1"/>
  <c r="O95" i="4"/>
  <c r="Q93" i="4"/>
  <c r="M29" i="4"/>
  <c r="N6" i="14" s="1"/>
  <c r="N62" i="19" s="1"/>
  <c r="N362" i="19" s="1"/>
  <c r="T62" i="19" l="1"/>
  <c r="T362" i="19" s="1"/>
  <c r="T7" i="19"/>
  <c r="S62" i="19"/>
  <c r="S362" i="19" s="1"/>
  <c r="S7" i="19"/>
  <c r="I26" i="14"/>
  <c r="I7" i="19"/>
  <c r="P26" i="14"/>
  <c r="P7" i="19"/>
  <c r="L95" i="4"/>
  <c r="I95" i="4"/>
  <c r="G95" i="4"/>
  <c r="H95" i="4"/>
  <c r="J95" i="4"/>
  <c r="Q29" i="4"/>
  <c r="S95" i="4"/>
  <c r="R95" i="4"/>
  <c r="K95" i="4"/>
  <c r="P95" i="4"/>
  <c r="N95" i="4"/>
  <c r="M95" i="4"/>
  <c r="F95" i="4"/>
  <c r="M17" i="56" l="1"/>
  <c r="S307" i="19"/>
  <c r="M18" i="56"/>
  <c r="T307" i="19"/>
  <c r="M14" i="56"/>
  <c r="P307" i="19"/>
  <c r="M7" i="56"/>
  <c r="I307" i="19"/>
  <c r="Q95" i="4"/>
  <c r="R6" i="14"/>
  <c r="R62" i="19" s="1"/>
  <c r="R362" i="19" s="1"/>
  <c r="T26" i="14"/>
  <c r="S26" i="14"/>
  <c r="N26" i="14"/>
  <c r="N7" i="19"/>
  <c r="Q26" i="14"/>
  <c r="Q7" i="19"/>
  <c r="M26" i="14"/>
  <c r="M7" i="19"/>
  <c r="G26" i="14"/>
  <c r="G7" i="19"/>
  <c r="H26" i="14"/>
  <c r="H7" i="19"/>
  <c r="K26" i="14"/>
  <c r="K7" i="19"/>
  <c r="L26" i="14"/>
  <c r="L7" i="19"/>
  <c r="O26" i="14"/>
  <c r="O7" i="19"/>
  <c r="J26" i="14"/>
  <c r="J7" i="19"/>
  <c r="F30" i="15"/>
  <c r="F102" i="15" s="1"/>
  <c r="G30" i="15"/>
  <c r="G102" i="15" s="1"/>
  <c r="H30" i="15"/>
  <c r="H102" i="15" s="1"/>
  <c r="I30" i="15"/>
  <c r="I102" i="15" s="1"/>
  <c r="J30" i="15"/>
  <c r="J102" i="15" s="1"/>
  <c r="K30" i="15"/>
  <c r="K102" i="15" s="1"/>
  <c r="L30" i="15"/>
  <c r="L102" i="15" s="1"/>
  <c r="M30" i="15"/>
  <c r="M102" i="15" s="1"/>
  <c r="N30" i="15"/>
  <c r="N102" i="15" s="1"/>
  <c r="O30" i="15"/>
  <c r="O102" i="15" s="1"/>
  <c r="P30" i="15"/>
  <c r="P102" i="15" s="1"/>
  <c r="Q30" i="15"/>
  <c r="Q102" i="15" s="1"/>
  <c r="R30" i="15"/>
  <c r="R102" i="15" s="1"/>
  <c r="S30" i="15"/>
  <c r="S102" i="15" s="1"/>
  <c r="F31" i="15"/>
  <c r="F103" i="15" s="1"/>
  <c r="G31" i="15"/>
  <c r="G103" i="15" s="1"/>
  <c r="H31" i="15"/>
  <c r="H103" i="15" s="1"/>
  <c r="I31" i="15"/>
  <c r="I103" i="15" s="1"/>
  <c r="J31" i="15"/>
  <c r="J103" i="15" s="1"/>
  <c r="K31" i="15"/>
  <c r="K103" i="15" s="1"/>
  <c r="L31" i="15"/>
  <c r="L103" i="15" s="1"/>
  <c r="M31" i="15"/>
  <c r="M103" i="15" s="1"/>
  <c r="N31" i="15"/>
  <c r="N103" i="15" s="1"/>
  <c r="O31" i="15"/>
  <c r="O103" i="15" s="1"/>
  <c r="P31" i="15"/>
  <c r="P103" i="15" s="1"/>
  <c r="Q31" i="15"/>
  <c r="Q103" i="15" s="1"/>
  <c r="R31" i="15"/>
  <c r="R103" i="15" s="1"/>
  <c r="S31" i="15"/>
  <c r="S103" i="15" s="1"/>
  <c r="E29" i="15"/>
  <c r="E101" i="15" s="1"/>
  <c r="E30" i="15"/>
  <c r="E102" i="15" s="1"/>
  <c r="E31" i="15"/>
  <c r="E103" i="15" s="1"/>
  <c r="F28" i="15"/>
  <c r="F100" i="15" s="1"/>
  <c r="G28" i="15"/>
  <c r="G100" i="15" s="1"/>
  <c r="H28" i="15"/>
  <c r="H100" i="15" s="1"/>
  <c r="I28" i="15"/>
  <c r="I100" i="15" s="1"/>
  <c r="J28" i="15"/>
  <c r="J100" i="15" s="1"/>
  <c r="K28" i="15"/>
  <c r="K100" i="15" s="1"/>
  <c r="L28" i="15"/>
  <c r="L100" i="15" s="1"/>
  <c r="M28" i="15"/>
  <c r="M100" i="15" s="1"/>
  <c r="N28" i="15"/>
  <c r="N100" i="15" s="1"/>
  <c r="O28" i="15"/>
  <c r="O100" i="15" s="1"/>
  <c r="P28" i="15"/>
  <c r="P100" i="15" s="1"/>
  <c r="Q28" i="15"/>
  <c r="Q100" i="15" s="1"/>
  <c r="R28" i="15"/>
  <c r="R100" i="15" s="1"/>
  <c r="S28" i="15"/>
  <c r="S100" i="15" s="1"/>
  <c r="E28" i="15"/>
  <c r="E100" i="15" s="1"/>
  <c r="M13" i="56" l="1"/>
  <c r="O307" i="19"/>
  <c r="M15" i="56"/>
  <c r="Q307" i="19"/>
  <c r="M9" i="56"/>
  <c r="K307" i="19"/>
  <c r="M5" i="56"/>
  <c r="G307" i="19"/>
  <c r="M10" i="56"/>
  <c r="L307" i="19"/>
  <c r="M6" i="56"/>
  <c r="H307" i="19"/>
  <c r="M12" i="56"/>
  <c r="N307" i="19"/>
  <c r="M8" i="56"/>
  <c r="J307" i="19"/>
  <c r="M11" i="56"/>
  <c r="M307" i="19"/>
  <c r="R26" i="14"/>
  <c r="R7" i="19"/>
  <c r="R307" i="19" s="1"/>
  <c r="E32" i="15"/>
  <c r="F8" i="14" s="1"/>
  <c r="F64" i="19" s="1"/>
  <c r="F364" i="19" s="1"/>
  <c r="F24" i="5"/>
  <c r="F25" i="5" s="1"/>
  <c r="G24" i="5"/>
  <c r="G25" i="5" s="1"/>
  <c r="H24" i="5"/>
  <c r="H25" i="5" s="1"/>
  <c r="I24" i="5"/>
  <c r="I25" i="5" s="1"/>
  <c r="J24" i="5"/>
  <c r="J25" i="5" s="1"/>
  <c r="K24" i="5"/>
  <c r="K25" i="5" s="1"/>
  <c r="L24" i="5"/>
  <c r="L25" i="5" s="1"/>
  <c r="M24" i="5"/>
  <c r="M25" i="5" s="1"/>
  <c r="N24" i="5"/>
  <c r="N25" i="5" s="1"/>
  <c r="O24" i="5"/>
  <c r="O25" i="5" s="1"/>
  <c r="P24" i="5"/>
  <c r="P25" i="5" s="1"/>
  <c r="Q24" i="5"/>
  <c r="Q25" i="5" s="1"/>
  <c r="R24" i="5"/>
  <c r="R25" i="5" s="1"/>
  <c r="S24" i="5"/>
  <c r="S25" i="5" s="1"/>
  <c r="E24" i="5"/>
  <c r="M16" i="56" l="1"/>
  <c r="S84" i="5"/>
  <c r="K84" i="5"/>
  <c r="N84" i="5"/>
  <c r="O84" i="5"/>
  <c r="G84" i="5"/>
  <c r="R84" i="5"/>
  <c r="J84" i="5"/>
  <c r="Q84" i="5"/>
  <c r="M84" i="5"/>
  <c r="I84" i="5"/>
  <c r="P84" i="5"/>
  <c r="L84" i="5"/>
  <c r="H84" i="5"/>
  <c r="F84" i="5"/>
  <c r="F28" i="14"/>
  <c r="F9" i="19"/>
  <c r="F309" i="19" s="1"/>
  <c r="E25" i="5"/>
  <c r="E84" i="5"/>
  <c r="J29" i="15"/>
  <c r="J101" i="15" s="1"/>
  <c r="J7" i="14" l="1"/>
  <c r="J63" i="19" s="1"/>
  <c r="J363" i="19" s="1"/>
  <c r="I85" i="5"/>
  <c r="S7" i="14"/>
  <c r="R85" i="5"/>
  <c r="L7" i="14"/>
  <c r="L63" i="19" s="1"/>
  <c r="L363" i="19" s="1"/>
  <c r="K85" i="5"/>
  <c r="M7" i="14"/>
  <c r="M63" i="19" s="1"/>
  <c r="M363" i="19" s="1"/>
  <c r="L85" i="5"/>
  <c r="R7" i="14"/>
  <c r="R63" i="19" s="1"/>
  <c r="R363" i="19" s="1"/>
  <c r="Q85" i="5"/>
  <c r="P7" i="14"/>
  <c r="P63" i="19" s="1"/>
  <c r="P363" i="19" s="1"/>
  <c r="O85" i="5"/>
  <c r="I7" i="14"/>
  <c r="I63" i="19" s="1"/>
  <c r="I363" i="19" s="1"/>
  <c r="H85" i="5"/>
  <c r="Q7" i="14"/>
  <c r="Q63" i="19" s="1"/>
  <c r="Q363" i="19" s="1"/>
  <c r="P85" i="5"/>
  <c r="N7" i="14"/>
  <c r="N63" i="19" s="1"/>
  <c r="N363" i="19" s="1"/>
  <c r="M85" i="5"/>
  <c r="K7" i="14"/>
  <c r="K63" i="19" s="1"/>
  <c r="K363" i="19" s="1"/>
  <c r="J85" i="5"/>
  <c r="H7" i="14"/>
  <c r="H63" i="19" s="1"/>
  <c r="H363" i="19" s="1"/>
  <c r="G85" i="5"/>
  <c r="O7" i="14"/>
  <c r="O63" i="19" s="1"/>
  <c r="O363" i="19" s="1"/>
  <c r="N85" i="5"/>
  <c r="T7" i="14"/>
  <c r="S85" i="5"/>
  <c r="G7" i="14"/>
  <c r="G63" i="19" s="1"/>
  <c r="G363" i="19" s="1"/>
  <c r="F85" i="5"/>
  <c r="F7" i="14"/>
  <c r="E85" i="5"/>
  <c r="J32" i="15"/>
  <c r="K8" i="14" s="1"/>
  <c r="K64" i="19" s="1"/>
  <c r="K364" i="19" s="1"/>
  <c r="L29" i="15"/>
  <c r="L101" i="15" s="1"/>
  <c r="F29" i="15"/>
  <c r="F101" i="15" s="1"/>
  <c r="G29" i="15"/>
  <c r="G101" i="15" s="1"/>
  <c r="H29" i="15"/>
  <c r="H101" i="15" s="1"/>
  <c r="O29" i="15"/>
  <c r="O101" i="15" s="1"/>
  <c r="R29" i="15"/>
  <c r="R101" i="15" s="1"/>
  <c r="S29" i="15"/>
  <c r="S101" i="15" s="1"/>
  <c r="K29" i="15"/>
  <c r="K101" i="15" s="1"/>
  <c r="P29" i="15"/>
  <c r="P101" i="15" s="1"/>
  <c r="N29" i="15"/>
  <c r="N101" i="15" s="1"/>
  <c r="F63" i="19" l="1"/>
  <c r="F363" i="19" s="1"/>
  <c r="Z7" i="14"/>
  <c r="AA7" i="14" s="1"/>
  <c r="T63" i="19"/>
  <c r="T363" i="19" s="1"/>
  <c r="T8" i="19"/>
  <c r="S63" i="19"/>
  <c r="S363" i="19" s="1"/>
  <c r="S8" i="19"/>
  <c r="S308" i="19" s="1"/>
  <c r="O27" i="14"/>
  <c r="O8" i="19"/>
  <c r="O308" i="19" s="1"/>
  <c r="P27" i="14"/>
  <c r="P8" i="19"/>
  <c r="P308" i="19" s="1"/>
  <c r="S27" i="14"/>
  <c r="K27" i="14"/>
  <c r="K8" i="19"/>
  <c r="K308" i="19" s="1"/>
  <c r="Q27" i="14"/>
  <c r="Q8" i="19"/>
  <c r="Q308" i="19" s="1"/>
  <c r="M27" i="14"/>
  <c r="M8" i="19"/>
  <c r="M308" i="19" s="1"/>
  <c r="T27" i="14"/>
  <c r="H27" i="14"/>
  <c r="H8" i="19"/>
  <c r="H308" i="19" s="1"/>
  <c r="N27" i="14"/>
  <c r="N8" i="19"/>
  <c r="N308" i="19" s="1"/>
  <c r="I27" i="14"/>
  <c r="I8" i="19"/>
  <c r="I308" i="19" s="1"/>
  <c r="R27" i="14"/>
  <c r="R8" i="19"/>
  <c r="R308" i="19" s="1"/>
  <c r="L27" i="14"/>
  <c r="L8" i="19"/>
  <c r="L308" i="19" s="1"/>
  <c r="J27" i="14"/>
  <c r="J8" i="19"/>
  <c r="J308" i="19" s="1"/>
  <c r="G8" i="19"/>
  <c r="G308" i="19" s="1"/>
  <c r="G27" i="14"/>
  <c r="K28" i="14"/>
  <c r="K9" i="19"/>
  <c r="K309" i="19" s="1"/>
  <c r="F27" i="14"/>
  <c r="F8" i="19"/>
  <c r="F308" i="19" s="1"/>
  <c r="O32" i="15"/>
  <c r="P8" i="14" s="1"/>
  <c r="P64" i="19" s="1"/>
  <c r="P364" i="19" s="1"/>
  <c r="F32" i="15"/>
  <c r="G8" i="14" s="1"/>
  <c r="G64" i="19" s="1"/>
  <c r="G364" i="19" s="1"/>
  <c r="N32" i="15"/>
  <c r="O8" i="14" s="1"/>
  <c r="O64" i="19" s="1"/>
  <c r="O364" i="19" s="1"/>
  <c r="K32" i="15"/>
  <c r="L8" i="14" s="1"/>
  <c r="L64" i="19" s="1"/>
  <c r="L364" i="19" s="1"/>
  <c r="G32" i="15"/>
  <c r="H8" i="14" s="1"/>
  <c r="H64" i="19" s="1"/>
  <c r="H364" i="19" s="1"/>
  <c r="R32" i="15"/>
  <c r="S8" i="14" s="1"/>
  <c r="P32" i="15"/>
  <c r="Q8" i="14" s="1"/>
  <c r="Q64" i="19" s="1"/>
  <c r="Q364" i="19" s="1"/>
  <c r="S32" i="15"/>
  <c r="T8" i="14" s="1"/>
  <c r="H32" i="15"/>
  <c r="I8" i="14" s="1"/>
  <c r="I64" i="19" s="1"/>
  <c r="I364" i="19" s="1"/>
  <c r="L32" i="15"/>
  <c r="M8" i="14" s="1"/>
  <c r="M64" i="19" s="1"/>
  <c r="M364" i="19" s="1"/>
  <c r="E29" i="4"/>
  <c r="I29" i="15"/>
  <c r="I101" i="15" s="1"/>
  <c r="Q29" i="15"/>
  <c r="Q101" i="15" s="1"/>
  <c r="M29" i="15"/>
  <c r="M101" i="15" s="1"/>
  <c r="N18" i="56" l="1"/>
  <c r="T308" i="19"/>
  <c r="N14" i="56"/>
  <c r="N17" i="56"/>
  <c r="N4" i="56"/>
  <c r="N10" i="56"/>
  <c r="N7" i="56"/>
  <c r="N6" i="56"/>
  <c r="N11" i="56"/>
  <c r="N9" i="56"/>
  <c r="N5" i="56"/>
  <c r="N13" i="56"/>
  <c r="N8" i="56"/>
  <c r="N16" i="56"/>
  <c r="N12" i="56"/>
  <c r="N15" i="56"/>
  <c r="T64" i="19"/>
  <c r="T364" i="19" s="1"/>
  <c r="T9" i="19"/>
  <c r="T309" i="19" s="1"/>
  <c r="S64" i="19"/>
  <c r="S364" i="19" s="1"/>
  <c r="S9" i="19"/>
  <c r="S309" i="19" s="1"/>
  <c r="T28" i="14"/>
  <c r="L28" i="14"/>
  <c r="L9" i="19"/>
  <c r="L309" i="19" s="1"/>
  <c r="Q28" i="14"/>
  <c r="Q9" i="19"/>
  <c r="Q309" i="19" s="1"/>
  <c r="O28" i="14"/>
  <c r="O9" i="19"/>
  <c r="O309" i="19" s="1"/>
  <c r="M28" i="14"/>
  <c r="M9" i="19"/>
  <c r="M309" i="19" s="1"/>
  <c r="S28" i="14"/>
  <c r="G28" i="14"/>
  <c r="G9" i="19"/>
  <c r="G309" i="19" s="1"/>
  <c r="I28" i="14"/>
  <c r="I9" i="19"/>
  <c r="I309" i="19" s="1"/>
  <c r="H28" i="14"/>
  <c r="H9" i="19"/>
  <c r="H309" i="19" s="1"/>
  <c r="P28" i="14"/>
  <c r="P9" i="19"/>
  <c r="P309" i="19" s="1"/>
  <c r="E95" i="4"/>
  <c r="Q32" i="15"/>
  <c r="R8" i="14" s="1"/>
  <c r="R64" i="19" s="1"/>
  <c r="R364" i="19" s="1"/>
  <c r="M32" i="15"/>
  <c r="N8" i="14" s="1"/>
  <c r="N64" i="19" s="1"/>
  <c r="N364" i="19" s="1"/>
  <c r="I32" i="15"/>
  <c r="J8" i="14" s="1"/>
  <c r="J64" i="19" s="1"/>
  <c r="J364" i="19" s="1"/>
  <c r="F6" i="14"/>
  <c r="E16" i="3"/>
  <c r="E19" i="3" l="1"/>
  <c r="E86" i="3"/>
  <c r="F62" i="19"/>
  <c r="F362" i="19" s="1"/>
  <c r="Z6" i="14"/>
  <c r="AA6" i="14" s="1"/>
  <c r="R28" i="14"/>
  <c r="R9" i="19"/>
  <c r="R309" i="19" s="1"/>
  <c r="J28" i="14"/>
  <c r="J9" i="19"/>
  <c r="J309" i="19" s="1"/>
  <c r="N28" i="14"/>
  <c r="N9" i="19"/>
  <c r="N309" i="19" s="1"/>
  <c r="F26" i="14"/>
  <c r="F7" i="19"/>
  <c r="F307" i="19" s="1"/>
  <c r="E29" i="3" l="1"/>
  <c r="E89" i="3"/>
  <c r="M4" i="56"/>
  <c r="E99" i="3" l="1"/>
  <c r="E30" i="3"/>
  <c r="E100" i="3" s="1"/>
  <c r="P5" i="14"/>
  <c r="P61" i="19" s="1"/>
  <c r="P361" i="19" s="1"/>
  <c r="H5" i="14"/>
  <c r="H61" i="19" s="1"/>
  <c r="H361" i="19" s="1"/>
  <c r="J5" i="14" l="1"/>
  <c r="J61" i="19" s="1"/>
  <c r="J361" i="19" s="1"/>
  <c r="K5" i="14"/>
  <c r="K61" i="19" s="1"/>
  <c r="K361" i="19" s="1"/>
  <c r="Q5" i="14"/>
  <c r="Q61" i="19" s="1"/>
  <c r="Q361" i="19" s="1"/>
  <c r="N5" i="14"/>
  <c r="N61" i="19" s="1"/>
  <c r="N361" i="19" s="1"/>
  <c r="H4" i="14"/>
  <c r="H25" i="14"/>
  <c r="H6" i="19"/>
  <c r="H306" i="19" s="1"/>
  <c r="M5" i="14"/>
  <c r="M61" i="19" s="1"/>
  <c r="M361" i="19" s="1"/>
  <c r="S5" i="14"/>
  <c r="G5" i="14"/>
  <c r="G61" i="19" s="1"/>
  <c r="G361" i="19" s="1"/>
  <c r="L5" i="14"/>
  <c r="L61" i="19" s="1"/>
  <c r="L361" i="19" s="1"/>
  <c r="T5" i="14"/>
  <c r="I5" i="14"/>
  <c r="I61" i="19" s="1"/>
  <c r="I361" i="19" s="1"/>
  <c r="R5" i="14"/>
  <c r="R61" i="19" s="1"/>
  <c r="R361" i="19" s="1"/>
  <c r="O5" i="14"/>
  <c r="O61" i="19" s="1"/>
  <c r="O361" i="19" s="1"/>
  <c r="P4" i="14"/>
  <c r="P25" i="14"/>
  <c r="P6" i="19"/>
  <c r="P306" i="19" s="1"/>
  <c r="F5" i="14"/>
  <c r="Z5" i="14" s="1"/>
  <c r="AA5" i="14" s="1"/>
  <c r="L6" i="56" l="1"/>
  <c r="L14" i="56"/>
  <c r="S61" i="19"/>
  <c r="S361" i="19" s="1"/>
  <c r="S6" i="19"/>
  <c r="T61" i="19"/>
  <c r="T361" i="19" s="1"/>
  <c r="T6" i="19"/>
  <c r="T4" i="14"/>
  <c r="T5" i="19" s="1"/>
  <c r="T305" i="19" s="1"/>
  <c r="P5" i="19"/>
  <c r="P305" i="19" s="1"/>
  <c r="P60" i="19"/>
  <c r="P360" i="19" s="1"/>
  <c r="F4" i="14"/>
  <c r="Z4" i="14" s="1"/>
  <c r="AA4" i="14" s="1"/>
  <c r="F61" i="19"/>
  <c r="F361" i="19" s="1"/>
  <c r="H5" i="19"/>
  <c r="H60" i="19"/>
  <c r="H360" i="19" s="1"/>
  <c r="R4" i="14"/>
  <c r="R25" i="14"/>
  <c r="R6" i="19"/>
  <c r="R306" i="19" s="1"/>
  <c r="T25" i="14"/>
  <c r="G4" i="14"/>
  <c r="G25" i="14"/>
  <c r="G6" i="19"/>
  <c r="G306" i="19" s="1"/>
  <c r="M4" i="14"/>
  <c r="M25" i="14"/>
  <c r="M6" i="19"/>
  <c r="M306" i="19" s="1"/>
  <c r="N4" i="14"/>
  <c r="N25" i="14"/>
  <c r="N6" i="19"/>
  <c r="N306" i="19" s="1"/>
  <c r="K4" i="14"/>
  <c r="K25" i="14"/>
  <c r="K6" i="19"/>
  <c r="K306" i="19" s="1"/>
  <c r="O4" i="14"/>
  <c r="O25" i="14"/>
  <c r="O6" i="19"/>
  <c r="O306" i="19" s="1"/>
  <c r="I4" i="14"/>
  <c r="I25" i="14"/>
  <c r="I6" i="19"/>
  <c r="I306" i="19" s="1"/>
  <c r="L4" i="14"/>
  <c r="L25" i="14"/>
  <c r="L6" i="19"/>
  <c r="L306" i="19" s="1"/>
  <c r="S4" i="14"/>
  <c r="S5" i="19" s="1"/>
  <c r="S305" i="19" s="1"/>
  <c r="S25" i="14"/>
  <c r="Q4" i="14"/>
  <c r="Q25" i="14"/>
  <c r="Q6" i="19"/>
  <c r="Q306" i="19" s="1"/>
  <c r="J4" i="14"/>
  <c r="J25" i="14"/>
  <c r="J6" i="19"/>
  <c r="J306" i="19" s="1"/>
  <c r="F25" i="14"/>
  <c r="F6" i="19"/>
  <c r="F306" i="19" s="1"/>
  <c r="B6" i="56" l="1"/>
  <c r="H305" i="19"/>
  <c r="L17" i="56"/>
  <c r="S306" i="19"/>
  <c r="L18" i="56"/>
  <c r="T306" i="19"/>
  <c r="H4" i="19"/>
  <c r="H304" i="19" s="1"/>
  <c r="R60" i="19"/>
  <c r="R360" i="19" s="1"/>
  <c r="AB4" i="14"/>
  <c r="AC4" i="14" s="1"/>
  <c r="L5" i="56"/>
  <c r="L4" i="56"/>
  <c r="L7" i="56"/>
  <c r="L11" i="56"/>
  <c r="L16" i="56"/>
  <c r="L8" i="56"/>
  <c r="L9" i="56"/>
  <c r="L13" i="56"/>
  <c r="L15" i="56"/>
  <c r="L10" i="56"/>
  <c r="L12" i="56"/>
  <c r="B17" i="56"/>
  <c r="B14" i="56"/>
  <c r="B18" i="56"/>
  <c r="J5" i="19"/>
  <c r="J60" i="19"/>
  <c r="J360" i="19" s="1"/>
  <c r="K5" i="19"/>
  <c r="K305" i="19" s="1"/>
  <c r="K60" i="19"/>
  <c r="K360" i="19" s="1"/>
  <c r="G5" i="19"/>
  <c r="G60" i="19"/>
  <c r="G360" i="19" s="1"/>
  <c r="I5" i="19"/>
  <c r="I305" i="19" s="1"/>
  <c r="I60" i="19"/>
  <c r="I360" i="19" s="1"/>
  <c r="M5" i="19"/>
  <c r="M60" i="19"/>
  <c r="M360" i="19" s="1"/>
  <c r="H59" i="19"/>
  <c r="H359" i="19" s="1"/>
  <c r="S60" i="19"/>
  <c r="S360" i="19" s="1"/>
  <c r="T60" i="19"/>
  <c r="T360" i="19" s="1"/>
  <c r="O5" i="19"/>
  <c r="O60" i="19"/>
  <c r="O360" i="19" s="1"/>
  <c r="F5" i="19"/>
  <c r="F60" i="19"/>
  <c r="F360" i="19" s="1"/>
  <c r="Q5" i="19"/>
  <c r="Q60" i="19"/>
  <c r="Q360" i="19" s="1"/>
  <c r="L5" i="19"/>
  <c r="L305" i="19" s="1"/>
  <c r="L60" i="19"/>
  <c r="L360" i="19" s="1"/>
  <c r="N5" i="19"/>
  <c r="N60" i="19"/>
  <c r="N360" i="19" s="1"/>
  <c r="R5" i="19"/>
  <c r="R305" i="19" s="1"/>
  <c r="F305" i="19" l="1"/>
  <c r="Z5" i="19"/>
  <c r="AA5" i="19" s="1"/>
  <c r="I6" i="56"/>
  <c r="B13" i="56"/>
  <c r="O305" i="19"/>
  <c r="N4" i="19"/>
  <c r="N304" i="19" s="1"/>
  <c r="N305" i="19"/>
  <c r="B15" i="56"/>
  <c r="Q305" i="19"/>
  <c r="B11" i="56"/>
  <c r="M305" i="19"/>
  <c r="B5" i="56"/>
  <c r="G305" i="19"/>
  <c r="B8" i="56"/>
  <c r="J305" i="19"/>
  <c r="G4" i="19"/>
  <c r="M4" i="19"/>
  <c r="M304" i="19" s="1"/>
  <c r="J4" i="19"/>
  <c r="J304" i="19" s="1"/>
  <c r="B16" i="56"/>
  <c r="L4" i="19"/>
  <c r="B10" i="56"/>
  <c r="B12" i="56"/>
  <c r="B4" i="56"/>
  <c r="B7" i="56"/>
  <c r="B9" i="56"/>
  <c r="L59" i="19"/>
  <c r="L359" i="19" s="1"/>
  <c r="I59" i="19"/>
  <c r="I359" i="19" s="1"/>
  <c r="K4" i="19"/>
  <c r="K304" i="19" s="1"/>
  <c r="I4" i="19"/>
  <c r="I304" i="19" s="1"/>
  <c r="N59" i="19"/>
  <c r="N359" i="19" s="1"/>
  <c r="M59" i="19"/>
  <c r="M359" i="19" s="1"/>
  <c r="G59" i="19"/>
  <c r="G359" i="19" s="1"/>
  <c r="J59" i="19"/>
  <c r="J359" i="19" s="1"/>
  <c r="K59" i="19"/>
  <c r="K359" i="19" s="1"/>
  <c r="N143" i="28"/>
  <c r="N130" i="28"/>
  <c r="N38" i="28"/>
  <c r="N144" i="28" s="1"/>
  <c r="I12" i="56" l="1"/>
  <c r="I10" i="56"/>
  <c r="L304" i="19"/>
  <c r="I5" i="56"/>
  <c r="G304" i="19"/>
  <c r="I8" i="56"/>
  <c r="I11" i="56"/>
  <c r="I9" i="56"/>
  <c r="I7" i="56"/>
  <c r="O18" i="29"/>
  <c r="O156" i="29" s="1"/>
  <c r="O80" i="19" l="1"/>
  <c r="O380" i="19" s="1"/>
  <c r="O15" i="29"/>
  <c r="O153" i="29" s="1"/>
  <c r="O77" i="19" l="1"/>
  <c r="O143" i="28"/>
  <c r="O130" i="28"/>
  <c r="O38" i="28"/>
  <c r="O144" i="28" s="1"/>
  <c r="O59" i="19" l="1"/>
  <c r="O359" i="19" s="1"/>
  <c r="O377" i="19"/>
  <c r="P18" i="29"/>
  <c r="P156" i="29" s="1"/>
  <c r="P80" i="19" l="1"/>
  <c r="P380" i="19" s="1"/>
  <c r="P15" i="29"/>
  <c r="P153" i="29" s="1"/>
  <c r="P77" i="19" l="1"/>
  <c r="P143" i="28"/>
  <c r="P130" i="28"/>
  <c r="P38" i="28"/>
  <c r="P144" i="28" s="1"/>
  <c r="Q18" i="29" l="1"/>
  <c r="Q156" i="29" s="1"/>
  <c r="P59" i="19"/>
  <c r="P359" i="19" s="1"/>
  <c r="P377" i="19"/>
  <c r="Q15" i="29"/>
  <c r="Q153" i="29" s="1"/>
  <c r="Q80" i="19" l="1"/>
  <c r="Q380" i="19" s="1"/>
  <c r="Q77" i="19"/>
  <c r="Q143" i="28"/>
  <c r="Q130" i="28"/>
  <c r="Q38" i="28"/>
  <c r="Q144" i="28" s="1"/>
  <c r="Q59" i="19" l="1"/>
  <c r="Q359" i="19" s="1"/>
  <c r="Q377" i="19"/>
  <c r="R18" i="29"/>
  <c r="R156" i="29" s="1"/>
  <c r="R80" i="19" l="1"/>
  <c r="R380" i="19" s="1"/>
  <c r="R15" i="29"/>
  <c r="R153" i="29" s="1"/>
  <c r="T129" i="28"/>
  <c r="S129" i="28"/>
  <c r="R129" i="28"/>
  <c r="R142" i="28"/>
  <c r="S38" i="28"/>
  <c r="T38" i="28"/>
  <c r="R77" i="19" l="1"/>
  <c r="T144" i="28"/>
  <c r="U18" i="29"/>
  <c r="S144" i="28"/>
  <c r="T18" i="29"/>
  <c r="T156" i="29" s="1"/>
  <c r="T142" i="28"/>
  <c r="R38" i="28"/>
  <c r="S142" i="28"/>
  <c r="R59" i="19" l="1"/>
  <c r="R359" i="19" s="1"/>
  <c r="R377" i="19"/>
  <c r="U156" i="29"/>
  <c r="U80" i="19"/>
  <c r="U380" i="19" s="1"/>
  <c r="T80" i="19"/>
  <c r="T380" i="19" s="1"/>
  <c r="U15" i="29"/>
  <c r="U153" i="29" s="1"/>
  <c r="T15" i="29"/>
  <c r="T153" i="29" s="1"/>
  <c r="R144" i="28"/>
  <c r="S18" i="29"/>
  <c r="S156" i="29" s="1"/>
  <c r="B34" i="57" l="1"/>
  <c r="B4" i="57" s="1"/>
  <c r="S80" i="19"/>
  <c r="S380" i="19" s="1"/>
  <c r="T77" i="19"/>
  <c r="U77" i="19"/>
  <c r="U377" i="19" s="1"/>
  <c r="T59" i="19" l="1"/>
  <c r="T359" i="19" s="1"/>
  <c r="T377" i="19"/>
  <c r="U59" i="19"/>
  <c r="U359" i="19" s="1"/>
  <c r="E138" i="28"/>
  <c r="E47" i="28"/>
  <c r="E153" i="28" s="1"/>
  <c r="E48" i="28" l="1"/>
  <c r="F56" i="29" s="1"/>
  <c r="F53" i="29" l="1"/>
  <c r="F191" i="29" s="1"/>
  <c r="F194" i="29"/>
  <c r="E49" i="28"/>
  <c r="E155" i="28" s="1"/>
  <c r="F65" i="29"/>
  <c r="F203" i="29" s="1"/>
  <c r="E154" i="28"/>
  <c r="F138" i="19" l="1"/>
  <c r="F438" i="19" s="1"/>
  <c r="F8" i="29"/>
  <c r="Z8" i="29" s="1"/>
  <c r="AA8" i="29" s="1"/>
  <c r="F62" i="29"/>
  <c r="F200" i="29" s="1"/>
  <c r="F135" i="19" l="1"/>
  <c r="F435" i="19" s="1"/>
  <c r="F146" i="29"/>
  <c r="F25" i="19"/>
  <c r="F325" i="19" s="1"/>
  <c r="AB4" i="56" l="1"/>
  <c r="F134" i="19"/>
  <c r="F434" i="19" s="1"/>
  <c r="N132" i="28"/>
  <c r="N41" i="28"/>
  <c r="N147" i="28" s="1"/>
  <c r="N133" i="28"/>
  <c r="N40" i="28"/>
  <c r="N146" i="28" s="1"/>
  <c r="N43" i="28" l="1"/>
  <c r="O47" i="29" s="1"/>
  <c r="O44" i="29" l="1"/>
  <c r="O182" i="29" s="1"/>
  <c r="O185" i="29"/>
  <c r="N149" i="28"/>
  <c r="O133" i="28"/>
  <c r="R132" i="28"/>
  <c r="O41" i="28"/>
  <c r="O147" i="28" s="1"/>
  <c r="S133" i="28"/>
  <c r="T133" i="28"/>
  <c r="S132" i="28"/>
  <c r="O132" i="28"/>
  <c r="Q132" i="28"/>
  <c r="S41" i="28"/>
  <c r="S147" i="28" s="1"/>
  <c r="R133" i="28"/>
  <c r="T41" i="28"/>
  <c r="T147" i="28" s="1"/>
  <c r="Q41" i="28"/>
  <c r="Q147" i="28" s="1"/>
  <c r="Q133" i="28"/>
  <c r="P132" i="28"/>
  <c r="O40" i="28"/>
  <c r="O146" i="28" s="1"/>
  <c r="R41" i="28"/>
  <c r="R147" i="28" s="1"/>
  <c r="T132" i="28"/>
  <c r="S40" i="28"/>
  <c r="S146" i="28" s="1"/>
  <c r="P40" i="28"/>
  <c r="P146" i="28" s="1"/>
  <c r="P133" i="28"/>
  <c r="P41" i="28"/>
  <c r="P147" i="28" s="1"/>
  <c r="R40" i="28"/>
  <c r="R146" i="28" s="1"/>
  <c r="Q40" i="28"/>
  <c r="Q146" i="28" s="1"/>
  <c r="T40" i="28"/>
  <c r="T146" i="28" s="1"/>
  <c r="Q43" i="28" l="1"/>
  <c r="R47" i="29" s="1"/>
  <c r="O43" i="28"/>
  <c r="P47" i="29" s="1"/>
  <c r="Q149" i="28"/>
  <c r="P43" i="28"/>
  <c r="Q47" i="29" s="1"/>
  <c r="P44" i="29" l="1"/>
  <c r="P182" i="29" s="1"/>
  <c r="P185" i="29"/>
  <c r="Q44" i="29"/>
  <c r="Q182" i="29" s="1"/>
  <c r="Q185" i="29"/>
  <c r="R44" i="29"/>
  <c r="R182" i="29" s="1"/>
  <c r="R185" i="29"/>
  <c r="P149" i="28"/>
  <c r="O149" i="28"/>
  <c r="N137" i="28"/>
  <c r="T137" i="28"/>
  <c r="Q137" i="28"/>
  <c r="S136" i="28"/>
  <c r="R137" i="28"/>
  <c r="T46" i="28"/>
  <c r="T152" i="28" s="1"/>
  <c r="P46" i="28"/>
  <c r="P152" i="28" s="1"/>
  <c r="P137" i="28"/>
  <c r="T136" i="28"/>
  <c r="N136" i="28"/>
  <c r="P136" i="28"/>
  <c r="Q136" i="28"/>
  <c r="R136" i="28"/>
  <c r="Q46" i="28"/>
  <c r="Q152" i="28" s="1"/>
  <c r="O136" i="28"/>
  <c r="N46" i="28"/>
  <c r="N152" i="28" s="1"/>
  <c r="O46" i="28"/>
  <c r="O152" i="28" s="1"/>
  <c r="O137" i="28"/>
  <c r="S137" i="28"/>
  <c r="S46" i="28"/>
  <c r="S152" i="28" s="1"/>
  <c r="R46" i="28"/>
  <c r="R152" i="28" s="1"/>
  <c r="N45" i="28"/>
  <c r="N151" i="28" s="1"/>
  <c r="O45" i="28"/>
  <c r="P45" i="28"/>
  <c r="Q45" i="28"/>
  <c r="S45" i="28"/>
  <c r="S151" i="28" s="1"/>
  <c r="T45" i="28"/>
  <c r="T151" i="28" s="1"/>
  <c r="R45" i="28"/>
  <c r="S48" i="28" l="1"/>
  <c r="T56" i="29" s="1"/>
  <c r="T48" i="28"/>
  <c r="U56" i="29" s="1"/>
  <c r="Q48" i="28"/>
  <c r="R56" i="29" s="1"/>
  <c r="N48" i="28"/>
  <c r="O56" i="29" s="1"/>
  <c r="Q151" i="28"/>
  <c r="Q154" i="28"/>
  <c r="R65" i="29"/>
  <c r="R203" i="29" s="1"/>
  <c r="S154" i="28"/>
  <c r="O48" i="28"/>
  <c r="P56" i="29" s="1"/>
  <c r="O151" i="28"/>
  <c r="N154" i="28"/>
  <c r="N49" i="28"/>
  <c r="N155" i="28" s="1"/>
  <c r="O65" i="29"/>
  <c r="O203" i="29" s="1"/>
  <c r="R151" i="28"/>
  <c r="R48" i="28"/>
  <c r="S56" i="29" s="1"/>
  <c r="T154" i="28"/>
  <c r="P48" i="28"/>
  <c r="Q56" i="29" s="1"/>
  <c r="P151" i="28"/>
  <c r="S194" i="29" l="1"/>
  <c r="S53" i="29"/>
  <c r="S191" i="29" s="1"/>
  <c r="O194" i="29"/>
  <c r="O53" i="29"/>
  <c r="O191" i="29" s="1"/>
  <c r="R53" i="29"/>
  <c r="R191" i="29" s="1"/>
  <c r="R194" i="29"/>
  <c r="Q53" i="29"/>
  <c r="Q191" i="29" s="1"/>
  <c r="Q194" i="29"/>
  <c r="P53" i="29"/>
  <c r="P191" i="29" s="1"/>
  <c r="P194" i="29"/>
  <c r="Q49" i="28"/>
  <c r="Q155" i="28" s="1"/>
  <c r="U53" i="29"/>
  <c r="U191" i="29" s="1"/>
  <c r="U194" i="29"/>
  <c r="T53" i="29"/>
  <c r="T191" i="29" s="1"/>
  <c r="T194" i="29"/>
  <c r="R138" i="19"/>
  <c r="R438" i="19" s="1"/>
  <c r="O138" i="19"/>
  <c r="O438" i="19" s="1"/>
  <c r="O8" i="29"/>
  <c r="O62" i="29"/>
  <c r="O200" i="29" s="1"/>
  <c r="O154" i="28"/>
  <c r="P65" i="29"/>
  <c r="P203" i="29" s="1"/>
  <c r="O49" i="28"/>
  <c r="O155" i="28" s="1"/>
  <c r="R62" i="29"/>
  <c r="R200" i="29" s="1"/>
  <c r="R8" i="29"/>
  <c r="P154" i="28"/>
  <c r="P49" i="28"/>
  <c r="P155" i="28" s="1"/>
  <c r="Q65" i="29"/>
  <c r="Q203" i="29" s="1"/>
  <c r="R154" i="28"/>
  <c r="P138" i="19" l="1"/>
  <c r="P438" i="19" s="1"/>
  <c r="Q138" i="19"/>
  <c r="Q438" i="19" s="1"/>
  <c r="R5" i="29"/>
  <c r="R143" i="29" s="1"/>
  <c r="R135" i="19"/>
  <c r="R435" i="19" s="1"/>
  <c r="O5" i="29"/>
  <c r="O143" i="29" s="1"/>
  <c r="O135" i="19"/>
  <c r="O435" i="19" s="1"/>
  <c r="P62" i="29"/>
  <c r="P200" i="29" s="1"/>
  <c r="P8" i="29"/>
  <c r="R25" i="19"/>
  <c r="R325" i="19" s="1"/>
  <c r="R146" i="29"/>
  <c r="Q8" i="29"/>
  <c r="Q62" i="29"/>
  <c r="Q200" i="29" s="1"/>
  <c r="O25" i="19"/>
  <c r="O325" i="19" s="1"/>
  <c r="O146" i="29"/>
  <c r="AB13" i="56" l="1"/>
  <c r="AB16" i="56"/>
  <c r="R22" i="19"/>
  <c r="R322" i="19" s="1"/>
  <c r="O22" i="19"/>
  <c r="O322" i="19" s="1"/>
  <c r="P5" i="29"/>
  <c r="P22" i="19" s="1"/>
  <c r="P135" i="19"/>
  <c r="P435" i="19" s="1"/>
  <c r="O134" i="19"/>
  <c r="O434" i="19" s="1"/>
  <c r="Q5" i="29"/>
  <c r="Q22" i="19" s="1"/>
  <c r="Q135" i="19"/>
  <c r="Q435" i="19" s="1"/>
  <c r="R134" i="19"/>
  <c r="R434" i="19" s="1"/>
  <c r="Q146" i="29"/>
  <c r="Q25" i="19"/>
  <c r="Q325" i="19" s="1"/>
  <c r="P146" i="29"/>
  <c r="P25" i="19"/>
  <c r="P325" i="19" s="1"/>
  <c r="D15" i="56" l="1"/>
  <c r="Q322" i="19"/>
  <c r="D14" i="56"/>
  <c r="P322" i="19"/>
  <c r="AB15" i="56"/>
  <c r="AB14" i="56"/>
  <c r="O4" i="19"/>
  <c r="D13" i="56"/>
  <c r="D16" i="56"/>
  <c r="R4" i="19"/>
  <c r="Q143" i="29"/>
  <c r="P143" i="29"/>
  <c r="Q134" i="19"/>
  <c r="Q434" i="19" s="1"/>
  <c r="P134" i="19"/>
  <c r="P434" i="19" s="1"/>
  <c r="P4" i="19"/>
  <c r="P304" i="19" s="1"/>
  <c r="Q4" i="19"/>
  <c r="Q304" i="19" s="1"/>
  <c r="T131" i="28"/>
  <c r="S145" i="28"/>
  <c r="T145" i="28"/>
  <c r="S131" i="28"/>
  <c r="S43" i="28"/>
  <c r="T43" i="28"/>
  <c r="T49" i="28" l="1"/>
  <c r="T155" i="28" s="1"/>
  <c r="U47" i="29"/>
  <c r="S149" i="28"/>
  <c r="T47" i="29"/>
  <c r="I13" i="56"/>
  <c r="O304" i="19"/>
  <c r="I16" i="56"/>
  <c r="R304" i="19"/>
  <c r="I15" i="56"/>
  <c r="I14" i="56"/>
  <c r="T149" i="28"/>
  <c r="T65" i="29"/>
  <c r="T203" i="29" s="1"/>
  <c r="U65" i="29"/>
  <c r="U203" i="29" s="1"/>
  <c r="S49" i="28"/>
  <c r="S155" i="28" s="1"/>
  <c r="T44" i="29" l="1"/>
  <c r="T182" i="29" s="1"/>
  <c r="T185" i="29"/>
  <c r="U185" i="29"/>
  <c r="U44" i="29"/>
  <c r="U182" i="29" s="1"/>
  <c r="U138" i="19"/>
  <c r="U438" i="19" s="1"/>
  <c r="T138" i="19"/>
  <c r="T438" i="19" s="1"/>
  <c r="T8" i="29"/>
  <c r="T25" i="19" s="1"/>
  <c r="T62" i="29"/>
  <c r="T200" i="29" s="1"/>
  <c r="U8" i="29"/>
  <c r="U62" i="29"/>
  <c r="U200" i="29" s="1"/>
  <c r="AB18" i="56" l="1"/>
  <c r="T325" i="19"/>
  <c r="U25" i="19"/>
  <c r="AB8" i="29"/>
  <c r="AC8" i="29" s="1"/>
  <c r="F34" i="57"/>
  <c r="L37" i="57"/>
  <c r="U5" i="29"/>
  <c r="AB5" i="29" s="1"/>
  <c r="AC5" i="29" s="1"/>
  <c r="U135" i="19"/>
  <c r="U435" i="19" s="1"/>
  <c r="T5" i="29"/>
  <c r="T135" i="19"/>
  <c r="T435" i="19" s="1"/>
  <c r="U146" i="29"/>
  <c r="T146" i="29"/>
  <c r="AB19" i="56" l="1"/>
  <c r="U325" i="19"/>
  <c r="T143" i="29"/>
  <c r="T22" i="19"/>
  <c r="T322" i="19" s="1"/>
  <c r="F4" i="57"/>
  <c r="L4" i="57" s="1"/>
  <c r="L34" i="57"/>
  <c r="U134" i="19"/>
  <c r="U434" i="19" s="1"/>
  <c r="U143" i="29"/>
  <c r="U22" i="19"/>
  <c r="U322" i="19" s="1"/>
  <c r="T134" i="19"/>
  <c r="T434" i="19" s="1"/>
  <c r="D19" i="56" l="1"/>
  <c r="U4" i="19"/>
  <c r="U304" i="19" s="1"/>
  <c r="D18" i="56"/>
  <c r="T4" i="19"/>
  <c r="I18" i="56" l="1"/>
  <c r="T304" i="19"/>
  <c r="I19" i="56"/>
  <c r="E112" i="27"/>
  <c r="E122" i="27"/>
  <c r="E37" i="27"/>
  <c r="F17" i="29" s="1"/>
  <c r="F155" i="29" s="1"/>
  <c r="F79" i="19" l="1"/>
  <c r="F379" i="19" s="1"/>
  <c r="E41" i="27"/>
  <c r="E131" i="27" s="1"/>
  <c r="F7" i="29"/>
  <c r="Z7" i="29" s="1"/>
  <c r="AA7" i="29" s="1"/>
  <c r="F15" i="29"/>
  <c r="F153" i="29" s="1"/>
  <c r="E127" i="27"/>
  <c r="F5" i="29" l="1"/>
  <c r="F77" i="19"/>
  <c r="F377" i="19" s="1"/>
  <c r="F24" i="19"/>
  <c r="F324" i="19" s="1"/>
  <c r="F145" i="29"/>
  <c r="F22" i="19" l="1"/>
  <c r="D4" i="56" s="1"/>
  <c r="Z5" i="29"/>
  <c r="AA5" i="29" s="1"/>
  <c r="AA4" i="56"/>
  <c r="F143" i="29"/>
  <c r="F59" i="19"/>
  <c r="F359" i="19" s="1"/>
  <c r="R112" i="27"/>
  <c r="R32" i="27"/>
  <c r="R122" i="27" s="1"/>
  <c r="F4" i="19" l="1"/>
  <c r="Z4" i="19" s="1"/>
  <c r="F322" i="19"/>
  <c r="Z22" i="19"/>
  <c r="AA22" i="19" s="1"/>
  <c r="R37" i="27"/>
  <c r="R127" i="27" s="1"/>
  <c r="S17" i="29"/>
  <c r="F304" i="19" l="1"/>
  <c r="I4" i="56"/>
  <c r="R41" i="27"/>
  <c r="R131" i="27" s="1"/>
  <c r="S79" i="19"/>
  <c r="S379" i="19" s="1"/>
  <c r="S7" i="29"/>
  <c r="S24" i="19" s="1"/>
  <c r="S155" i="29"/>
  <c r="S15" i="29"/>
  <c r="AA17" i="56" l="1"/>
  <c r="S324" i="19"/>
  <c r="S77" i="19"/>
  <c r="S377" i="19" s="1"/>
  <c r="S153" i="29"/>
  <c r="S145" i="29"/>
  <c r="S59" i="19" l="1"/>
  <c r="S359" i="19" s="1"/>
  <c r="R131" i="28"/>
  <c r="R145" i="28"/>
  <c r="R43" i="28" l="1"/>
  <c r="S47" i="29" s="1"/>
  <c r="S44" i="29" l="1"/>
  <c r="S182" i="29" s="1"/>
  <c r="S185" i="29"/>
  <c r="R49" i="28"/>
  <c r="R155" i="28" s="1"/>
  <c r="R149" i="28"/>
  <c r="S65" i="29"/>
  <c r="S62" i="29" l="1"/>
  <c r="S138" i="19"/>
  <c r="S438" i="19" s="1"/>
  <c r="S8" i="29"/>
  <c r="S25" i="19" s="1"/>
  <c r="S203" i="29"/>
  <c r="AB17" i="56" l="1"/>
  <c r="S325" i="19"/>
  <c r="S146" i="29"/>
  <c r="S200" i="29"/>
  <c r="S135" i="19"/>
  <c r="S435" i="19" s="1"/>
  <c r="S5" i="29"/>
  <c r="S22" i="19" s="1"/>
  <c r="S322" i="19" s="1"/>
  <c r="D17" i="56" l="1"/>
  <c r="S4" i="19"/>
  <c r="S134" i="19"/>
  <c r="S434" i="19" s="1"/>
  <c r="S143" i="29"/>
  <c r="I17" i="56" l="1"/>
  <c r="S30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Kathryn Hampshire</author>
  </authors>
  <commentList>
    <comment ref="C21" authorId="0" shapeId="0" xr:uid="{00000000-0006-0000-0000-000001000000}">
      <text>
        <r>
          <rPr>
            <sz val="9"/>
            <color indexed="81"/>
            <rFont val="Tahoma"/>
            <family val="2"/>
          </rPr>
          <t>This number is automatically generated</t>
        </r>
      </text>
    </comment>
    <comment ref="D21" authorId="0" shapeId="0" xr:uid="{00000000-0006-0000-0000-000002000000}">
      <text>
        <r>
          <rPr>
            <sz val="9"/>
            <color indexed="81"/>
            <rFont val="Tahoma"/>
            <family val="2"/>
          </rPr>
          <t>Initials of QA analyst that found the issue.From the lookup group 'QA Analyst'</t>
        </r>
      </text>
    </comment>
    <comment ref="I21" authorId="1" shapeId="0" xr:uid="{00000000-0006-0000-0000-000003000000}">
      <text>
        <r>
          <rPr>
            <sz val="9"/>
            <color indexed="81"/>
            <rFont val="Tahoma"/>
            <family val="2"/>
          </rPr>
          <t xml:space="preserve">Tags from the 'Documentation' lookup group
</t>
        </r>
      </text>
    </comment>
    <comment ref="J21" authorId="0" shapeId="0" xr:uid="{00000000-0006-0000-0000-000004000000}">
      <text>
        <r>
          <rPr>
            <sz val="9"/>
            <color indexed="81"/>
            <rFont val="Tahoma"/>
            <family val="2"/>
          </rPr>
          <t>Tags from the 'Problem' lookup group. For an extra level of detail, add a grading for the problem.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Jongikhaya</author>
    <author>Luanne Stevens</author>
  </authors>
  <commentList>
    <comment ref="A7" authorId="0" shapeId="0" xr:uid="{00000000-0006-0000-0600-000001000000}">
      <text>
        <r>
          <rPr>
            <b/>
            <sz val="9"/>
            <color indexed="81"/>
            <rFont val="Tahoma"/>
            <family val="2"/>
          </rPr>
          <t>Jongikhaya:</t>
        </r>
        <r>
          <rPr>
            <sz val="9"/>
            <color indexed="81"/>
            <rFont val="Tahoma"/>
            <family val="2"/>
          </rPr>
          <t xml:space="preserve">
All changed to SAR GWPs</t>
        </r>
      </text>
    </comment>
    <comment ref="B7" authorId="1" shapeId="0" xr:uid="{00000000-0006-0000-0600-000002000000}">
      <text>
        <r>
          <rPr>
            <sz val="9"/>
            <color indexed="81"/>
            <rFont val="Tahoma"/>
            <family val="2"/>
          </rPr>
          <t>#LS #12/05/2017 #DSR: Please double check these CF and HFC GWP are correct and provide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LBS</author>
    <author>Luanne Stevens</author>
  </authors>
  <commentList>
    <comment ref="B14" authorId="0" shapeId="0" xr:uid="{00000000-0006-0000-0F00-000001000000}">
      <text>
        <r>
          <rPr>
            <b/>
            <sz val="9"/>
            <color indexed="81"/>
            <rFont val="Tahoma"/>
            <family val="2"/>
          </rPr>
          <t>LBS:</t>
        </r>
        <r>
          <rPr>
            <sz val="9"/>
            <color indexed="81"/>
            <rFont val="Tahoma"/>
            <family val="2"/>
          </rPr>
          <t xml:space="preserve">
#LS #03/07/2017 #DSR: Only total amount of cement production was obtained therefore do not know the type of cement.</t>
        </r>
      </text>
    </comment>
    <comment ref="T19" authorId="1" shapeId="0" xr:uid="{00000000-0006-0000-0F00-000002000000}">
      <text>
        <r>
          <rPr>
            <sz val="9"/>
            <color indexed="81"/>
            <rFont val="Tahoma"/>
            <family val="2"/>
          </rPr>
          <t>#LS #14/05/2017 #PPE: This calculated value does not match that given in the old spreadsheet but I think that is due to an error in the old spreadsheet. Please check and confirm this number.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LBS</author>
  </authors>
  <commentList>
    <comment ref="B14" authorId="0" shapeId="0" xr:uid="{00000000-0006-0000-1000-000001000000}">
      <text>
        <r>
          <rPr>
            <b/>
            <sz val="9"/>
            <color indexed="81"/>
            <rFont val="Tahoma"/>
            <family val="2"/>
          </rPr>
          <t>LBS:</t>
        </r>
        <r>
          <rPr>
            <sz val="9"/>
            <color indexed="81"/>
            <rFont val="Tahoma"/>
            <family val="2"/>
          </rPr>
          <t xml:space="preserve">
#LS #03/07/2017 #Dimp: There is only a value for quicklime and hydrated lime, so it would be important to also obtain a value for the production of dolomitic lime.</t>
        </r>
      </text>
    </comment>
    <comment ref="B15" authorId="0" shapeId="0" xr:uid="{00000000-0006-0000-1000-000002000000}">
      <text>
        <r>
          <rPr>
            <b/>
            <sz val="9"/>
            <color indexed="81"/>
            <rFont val="Tahoma"/>
            <family val="2"/>
          </rPr>
          <t>LBS:</t>
        </r>
        <r>
          <rPr>
            <sz val="9"/>
            <color indexed="81"/>
            <rFont val="Tahoma"/>
            <family val="2"/>
          </rPr>
          <t xml:space="preserve">
#LS #03/07/2017 #DA: Assumed that all hydrated lime is quicklime.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Kathryn Hampshire</author>
  </authors>
  <commentList>
    <comment ref="C1" authorId="0" shapeId="0" xr:uid="{00000000-0006-0000-1200-000001000000}">
      <text>
        <r>
          <rPr>
            <b/>
            <sz val="9"/>
            <color indexed="81"/>
            <rFont val="Tahoma"/>
            <family val="2"/>
          </rPr>
          <t>Kathryn Hampshire:</t>
        </r>
        <r>
          <rPr>
            <sz val="9"/>
            <color indexed="81"/>
            <rFont val="Tahoma"/>
            <family val="2"/>
          </rPr>
          <t xml:space="preserve">
Details of the methodologies implemented for the data provided in this sheet.
Include any relevant information from IPCC 2006 guidelines.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Q17" authorId="0" shapeId="0" xr:uid="{00000000-0006-0000-1500-000001000000}">
      <text>
        <r>
          <rPr>
            <b/>
            <sz val="9"/>
            <color indexed="81"/>
            <rFont val="Tahoma"/>
            <family val="2"/>
          </rPr>
          <t>Luanne Stevens:</t>
        </r>
        <r>
          <rPr>
            <sz val="9"/>
            <color indexed="81"/>
            <rFont val="Tahoma"/>
            <family val="2"/>
          </rPr>
          <t xml:space="preserve">
#LS #14/05/2017 #PPE: Are these numbers in the correct row? Should they be in row 27?</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F30" authorId="0" shapeId="0" xr:uid="{00000000-0006-0000-1800-000001000000}">
      <text>
        <r>
          <rPr>
            <sz val="9"/>
            <color indexed="81"/>
            <rFont val="Tahoma"/>
            <family val="2"/>
          </rPr>
          <t>#LS #12/05/2017 #PPE: This is the same value as the previous year.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LBS</author>
    <author>Luanne Stevens</author>
  </authors>
  <commentList>
    <comment ref="R15" authorId="0" shapeId="0" xr:uid="{00000000-0006-0000-1D00-000001000000}">
      <text>
        <r>
          <rPr>
            <b/>
            <sz val="9"/>
            <color indexed="81"/>
            <rFont val="Tahoma"/>
            <family val="2"/>
          </rPr>
          <t>LBS:</t>
        </r>
        <r>
          <rPr>
            <sz val="9"/>
            <color indexed="81"/>
            <rFont val="Tahoma"/>
            <family val="2"/>
          </rPr>
          <t xml:space="preserve">
#LS #03/07/2017 #DSR: SAMI Report Table 79. #LS #26/09/2018 It is table 79 of 2013-2014 SAMI report</t>
        </r>
      </text>
    </comment>
    <comment ref="S15" authorId="0" shapeId="0" xr:uid="{00000000-0006-0000-1D00-000002000000}">
      <text>
        <r>
          <rPr>
            <b/>
            <sz val="9"/>
            <color indexed="81"/>
            <rFont val="Tahoma"/>
            <family val="2"/>
          </rPr>
          <t>LBS:</t>
        </r>
        <r>
          <rPr>
            <sz val="9"/>
            <color indexed="81"/>
            <rFont val="Tahoma"/>
            <family val="2"/>
          </rPr>
          <t xml:space="preserve">
#LS #03/07/2017 #DSR: SAMI Report provides a total value for Manganese alloys of 1009 kt, however DMR supplied the value of 970kt. The 970kt was used as it is more recently supplied. There is no split between 7% and 1% any more therefore 80% of the total was assumed to be 7% (ratio taken from previous year). #LS #26/09/2018 A correction was made after the review - reverted to the 1009 value (total) in SAMI report to be consistent with other years. Ratio of 7% and 1% from previous year was applied. DMR data used for 2015.</t>
        </r>
      </text>
    </comment>
    <comment ref="T15" authorId="0" shapeId="0" xr:uid="{00000000-0006-0000-1D00-000003000000}">
      <text>
        <r>
          <rPr>
            <b/>
            <sz val="9"/>
            <color indexed="81"/>
            <rFont val="Tahoma"/>
            <family val="2"/>
          </rPr>
          <t>LBS:</t>
        </r>
        <r>
          <rPr>
            <sz val="9"/>
            <color indexed="81"/>
            <rFont val="Tahoma"/>
            <family val="2"/>
          </rPr>
          <t xml:space="preserve">
#LS #03/07/2017 #DSR:  DMR supplied the value of 615kt.  There is no split between 7% and 1% any more therefore 80% of the total was assumed to be 7% (ratio taken from previous years).</t>
        </r>
      </text>
    </comment>
    <comment ref="R16" authorId="0" shapeId="0" xr:uid="{00000000-0006-0000-1D00-000004000000}">
      <text>
        <r>
          <rPr>
            <sz val="9"/>
            <color indexed="81"/>
            <rFont val="Tahoma"/>
            <family val="2"/>
          </rPr>
          <t>#LS #03/07/2017 #DSR: SAMI Report Table 78. #LS #26/09/2018 It is Table 80 of SAMI 2013-2014 report.</t>
        </r>
      </text>
    </comment>
    <comment ref="S16" authorId="0" shapeId="0" xr:uid="{00000000-0006-0000-1D00-000005000000}">
      <text>
        <r>
          <rPr>
            <b/>
            <sz val="9"/>
            <color indexed="81"/>
            <rFont val="Tahoma"/>
            <family val="2"/>
          </rPr>
          <t>LBS:</t>
        </r>
        <r>
          <rPr>
            <sz val="9"/>
            <color indexed="81"/>
            <rFont val="Tahoma"/>
            <family val="2"/>
          </rPr>
          <t xml:space="preserve">
#LS #03/07/2017 #DSR: SAMI Report provides a total value for Manganese alloys of 1009 kt, however DMR supplied the value of 970kt. The 970kt was used as it is more recently supplied. There is no split between 7% and 1% any more therefore the ratio from previous year was used. #LS #26/09/2018 Correction after review - reverted to SAMI total value of 1009 to be consistent with other years.Applied ratio of 7% and 1% from previous year.</t>
        </r>
      </text>
    </comment>
    <comment ref="T16" authorId="0" shapeId="0" xr:uid="{00000000-0006-0000-1D00-000006000000}">
      <text>
        <r>
          <rPr>
            <b/>
            <sz val="9"/>
            <color indexed="81"/>
            <rFont val="Tahoma"/>
            <family val="2"/>
          </rPr>
          <t>LBS:</t>
        </r>
        <r>
          <rPr>
            <sz val="9"/>
            <color indexed="81"/>
            <rFont val="Tahoma"/>
            <family val="2"/>
          </rPr>
          <t xml:space="preserve">
#LS #03/07/2017 #DSR:  DMR supplied the value of 615kt.  There is no split between 7% and 1% any more therefore 20% of the total was assumed to be 7% (ratio taken from previous years).</t>
        </r>
      </text>
    </comment>
    <comment ref="E22" authorId="1" shapeId="0" xr:uid="{00000000-0006-0000-1D00-000007000000}">
      <text>
        <r>
          <rPr>
            <sz val="9"/>
            <color indexed="81"/>
            <rFont val="Tahoma"/>
            <family val="2"/>
          </rPr>
          <t>#LS #12/05/2017 #PPE: This is the value from the old spreadsheets but it is different from the IPCC default and there is no reference to indicate where it is from. There is a note saying it is an implied emission factor determined from the production and emission data supplied by industry. Please check and add some notes and references. #LS #05/07/2017 #response: This is correct it is an implied emission factor and is not the actual EF used in the calculation as the emission outputs were supplied by industry. This applies to all years. #LS #05/07/2017 #ok: Spreadsheet has been changed to reflect this.#LS #25/09/2018 Made a further correction to clarify. Removed the calculated emissio factor to clearly show that just the emissions are supplied by inventory and the actual EF used is not know.</t>
        </r>
      </text>
    </comment>
    <comment ref="R22" authorId="1" shapeId="0" xr:uid="{00000000-0006-0000-1D00-000008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S22" authorId="1" shapeId="0" xr:uid="{00000000-0006-0000-1D00-000009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T22" authorId="1" shapeId="0" xr:uid="{00000000-0006-0000-1D00-00000A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D27" authorId="1" shapeId="0" xr:uid="{00000000-0006-0000-1D00-00000B000000}">
      <text>
        <r>
          <rPr>
            <sz val="9"/>
            <color indexed="81"/>
            <rFont val="Tahoma"/>
            <family val="2"/>
          </rPr>
          <t>#LS #14/05/2017 #PPE: Please check this is kg and not tonnes. #LS #05/07/2017 #response: checked and it is ok. #LS #05/07/2017 #ok</t>
        </r>
      </text>
    </comment>
    <comment ref="D28" authorId="1" shapeId="0" xr:uid="{00000000-0006-0000-1D00-00000C000000}">
      <text>
        <r>
          <rPr>
            <sz val="9"/>
            <color indexed="81"/>
            <rFont val="Tahoma"/>
            <family val="2"/>
          </rPr>
          <t>#LS #14/05/2017 #PPE: Please check this is kg and not tonnes. #LS $05/07/2017 #ok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R44" authorId="0" shapeId="0" xr:uid="{00000000-0006-0000-1E00-000001000000}">
      <text>
        <r>
          <rPr>
            <sz val="9"/>
            <color indexed="81"/>
            <rFont val="Tahoma"/>
            <family val="2"/>
          </rPr>
          <t>#LS #14/05/2017 #PPE: This number is the same as the previous year yet the production value is different. In previous years the emissions were obtained from industry but if they are to be calculated from production an emission factor is needed.</t>
        </r>
      </text>
    </comment>
    <comment ref="S44" authorId="0" shapeId="0" xr:uid="{00000000-0006-0000-1E00-000002000000}">
      <text>
        <r>
          <rPr>
            <sz val="9"/>
            <color indexed="81"/>
            <rFont val="Tahoma"/>
            <family val="2"/>
          </rPr>
          <t>#LS #14/05/2017 #PPE: This number is the same as the previous year yet the production value is different. In previous years the emissions were obtained from industry but if they are to be calculated from production an emission factor is needed.</t>
        </r>
      </text>
    </comment>
    <comment ref="T44" authorId="0" shapeId="0" xr:uid="{00000000-0006-0000-1E00-000003000000}">
      <text>
        <r>
          <rPr>
            <sz val="9"/>
            <color indexed="81"/>
            <rFont val="Tahoma"/>
            <family val="2"/>
          </rPr>
          <t>#LS #14/05/2017 #PPE: This number is the same as the previous year yet the production value is different. In previous years the emissions were obtained from industry but if they are to be calculated from production an emission factor is needed.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J131" authorId="0" shapeId="0" xr:uid="{00000000-0006-0000-2800-000001000000}">
      <text>
        <r>
          <rPr>
            <sz val="9"/>
            <color indexed="81"/>
            <rFont val="Tahoma"/>
            <family val="2"/>
          </rPr>
          <t>#LS #13/05/2017 #PPE: Need to confirm that these are tonnes of emissions and not tonnes produced. Also need to confirm that these are tonnes and not Gg. Applies to all years.</t>
        </r>
      </text>
    </comment>
    <comment ref="J134" authorId="0" shapeId="0" xr:uid="{00000000-0006-0000-2800-000002000000}">
      <text>
        <r>
          <rPr>
            <sz val="9"/>
            <color indexed="81"/>
            <rFont val="Tahoma"/>
            <family val="2"/>
          </rPr>
          <t>#LS #13/05/2017 #PPE: Need to confirm that these are tonnes of emissions and not tonnes produced. Also need to confirm that these are tonnes and not Gg. Applies to all years.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P36" authorId="0" shapeId="0" xr:uid="{00000000-0006-0000-2B00-000001000000}">
      <text>
        <r>
          <rPr>
            <sz val="9"/>
            <color indexed="81"/>
            <rFont val="Tahoma"/>
            <family val="2"/>
          </rPr>
          <t>#LS #14/05/2017 #PPE: Need to confirm these are tonnes emitted and not tonnes produced. Also need to confirm it is tonnes and not Gg. Applies to all years.</t>
        </r>
      </text>
    </comment>
  </commentList>
</comments>
</file>

<file path=xl/sharedStrings.xml><?xml version="1.0" encoding="utf-8"?>
<sst xmlns="http://schemas.openxmlformats.org/spreadsheetml/2006/main" count="12396" uniqueCount="1146">
  <si>
    <t xml:space="preserve">    Quality Analyst Tool</t>
  </si>
  <si>
    <r>
      <t xml:space="preserve">QA Analyst is a simple Excel tool to aid QAQC within Excel based calculations and data processing. It uses a set of bespokes 'hashtags' to identify then collate various types of checking and documentation within Excel files.
For further information or for help with this tools, please go to the Aether website: </t>
    </r>
    <r>
      <rPr>
        <b/>
        <u/>
        <sz val="14"/>
        <color rgb="FF0096C8"/>
        <rFont val="Arial"/>
        <family val="2"/>
      </rPr>
      <t>www.aether-uk.com</t>
    </r>
    <r>
      <rPr>
        <b/>
        <sz val="14"/>
        <color rgb="FF0096C8"/>
        <rFont val="Arial"/>
        <family val="2"/>
      </rPr>
      <t xml:space="preserve"> or contact Aether via email: </t>
    </r>
    <r>
      <rPr>
        <b/>
        <u/>
        <sz val="14"/>
        <color rgb="FF0096C8"/>
        <rFont val="Arial"/>
        <family val="2"/>
      </rPr>
      <t>QAAnalyst@aether-uk.com</t>
    </r>
  </si>
  <si>
    <t>©2017 Aether Ltd. The QA Analyst Tool is Aether Ltd copyright and the functionality and software code may not be modified or reproduced without permission from Aether</t>
  </si>
  <si>
    <t>Version 2.0 February 2017</t>
  </si>
  <si>
    <t>Licensed until 2017/11/01</t>
  </si>
  <si>
    <t>QA Log</t>
  </si>
  <si>
    <t>Unique reference</t>
  </si>
  <si>
    <t>QA analysts reference</t>
  </si>
  <si>
    <t>QA analyst</t>
  </si>
  <si>
    <t xml:space="preserve">Worksheet </t>
  </si>
  <si>
    <t>Cell/Range</t>
  </si>
  <si>
    <t>Link to comment</t>
  </si>
  <si>
    <t>Date comment added</t>
  </si>
  <si>
    <t>Documentation</t>
  </si>
  <si>
    <t>Problem</t>
  </si>
  <si>
    <t>Fix Status</t>
  </si>
  <si>
    <t>Fix Status Date</t>
  </si>
  <si>
    <t>Fix Status Analyst</t>
  </si>
  <si>
    <t>Unknown Hashtag</t>
  </si>
  <si>
    <t>Full String</t>
  </si>
  <si>
    <t>#LS</t>
  </si>
  <si>
    <t>Conversion factors</t>
  </si>
  <si>
    <t>B7</t>
  </si>
  <si>
    <t>#DSR</t>
  </si>
  <si>
    <t>#LS #12/05/2017 #DSR: Please double check these CF and HFC GWP are correct and provide reference.</t>
  </si>
  <si>
    <t>IPPU Summary</t>
  </si>
  <si>
    <t>H2</t>
  </si>
  <si>
    <t>#PCm</t>
  </si>
  <si>
    <t>#LS #15/05/2017 #PCm: It would be useful if you could use the IPCC notation (NO, NE, NI, etc) in this table in the rows where there is no data. Also include a short explanation.</t>
  </si>
  <si>
    <t>2A1 Cement Production</t>
  </si>
  <si>
    <t>B14</t>
  </si>
  <si>
    <t>#LS #03/07/2017 #DSR: Only total amount of cement production was obtained therefore do not know the type of cement.</t>
  </si>
  <si>
    <t>Y14</t>
  </si>
  <si>
    <t>#PT</t>
  </si>
  <si>
    <t>#LS #13/12/2018 #PT: What is the source of this data?</t>
  </si>
  <si>
    <t>Y15</t>
  </si>
  <si>
    <t>#PCs</t>
  </si>
  <si>
    <t>#LS #13/12/2018 #PCs: The clinker fraction has been constant from 2012. Have there been any udates?</t>
  </si>
  <si>
    <t>Y17</t>
  </si>
  <si>
    <t>#LS #13/12/2018 #PCs: No 2016 2017 data for clinker imports. Data also missiong for 2000 - 2007.</t>
  </si>
  <si>
    <t>Y24</t>
  </si>
  <si>
    <t>#LS #13/12/2018 #DSR: IPCC 2006, Equation 2.4.</t>
  </si>
  <si>
    <t>Y30</t>
  </si>
  <si>
    <t>#LS #13/12/2018 #PT: Need to provide data source.</t>
  </si>
  <si>
    <t>T19</t>
  </si>
  <si>
    <t>#PPE</t>
  </si>
  <si>
    <t>#LS #14/05/2017 #PPE: This calculated value does not match that given in the old spreadsheet but I think that is due to an error in the old spreadsheet. Please check and confirm this number.</t>
  </si>
  <si>
    <t>2A2 Lime Production</t>
  </si>
  <si>
    <t>M12</t>
  </si>
  <si>
    <t>#LS #03/07/2017 #PCs: In the 2012 inventory the quicklime value was only the pyrometallurgical quicklime value and not the total quicklime and the hydrated lime was only the value under water purification and not the total hydrtaed lime. This was corrected from 2008 (see SAMI reports) but only the data going back to 2008 could be obtained. THis is the reason for the change in the lime production values.</t>
  </si>
  <si>
    <t>#Dimp</t>
  </si>
  <si>
    <t>#LS #03/07/2017 #Dimp: There is only a value for quicklime and hydrated lime, so it would be important to also obtain a value for the production of dolomitic lime.</t>
  </si>
  <si>
    <t>B15</t>
  </si>
  <si>
    <t>#DA</t>
  </si>
  <si>
    <t>#LS #03/07/2017 #DA: Assumed that all hydrated lime is quicklime.</t>
  </si>
  <si>
    <t>#LS #13/12/2018 #PT: What is the source of this data - indicated to be SAMI report but the numbers do not match the SAMI report.</t>
  </si>
  <si>
    <t>Y18</t>
  </si>
  <si>
    <t>#PIE</t>
  </si>
  <si>
    <t>#LS #17/12/2018 #PIE: Hydrated lime needs to use the emission factor of 0.59 not 0.75. Need to correct this.</t>
  </si>
  <si>
    <t>Y19</t>
  </si>
  <si>
    <t>#LS #13/12/2018 #DSR: IPCC 2006 table 2.4.</t>
  </si>
  <si>
    <t>Y20</t>
  </si>
  <si>
    <t>#</t>
  </si>
  <si>
    <t>#LS #13/12/2018 # DSR: IPCC 2006, vol 2, page 2.12</t>
  </si>
  <si>
    <t>Y21</t>
  </si>
  <si>
    <t>#LS #13/12/2018 # DSR: IPCC 2006, vol 2, page 2.24</t>
  </si>
  <si>
    <t>2A3 Glass Production</t>
  </si>
  <si>
    <t>#LS #13/12/2018 #PCs: The mass of glass produced in 2013 - 2015 is assumed to be the same as for 2012. Any updated data?</t>
  </si>
  <si>
    <t>#LS #13/12/2018 #PCs: The cullet ratio for 2013 - 2017 is assumed to be the same as 2012, whereas it varied before. Any updated data?</t>
  </si>
  <si>
    <t>#LS #13/12/2018 #DSR: IPCC 2006, Equation 2.13</t>
  </si>
  <si>
    <t>2B1 Ammonia Production</t>
  </si>
  <si>
    <t>Q17</t>
  </si>
  <si>
    <t>#LS #14/05/2017 #PPE: Are these numbers in the correct row? Should they be in row 27?</t>
  </si>
  <si>
    <t>Y29</t>
  </si>
  <si>
    <t>2B2 Nitric Acid Production</t>
  </si>
  <si>
    <t>Y25</t>
  </si>
  <si>
    <t>Y27</t>
  </si>
  <si>
    <t>2B5 Carbide Production</t>
  </si>
  <si>
    <t>#LS #13/12/2018 #PPE: I am not sure this emission factor is correct. IPCC default for raw material for petroluem coke is 1.7. Is this activity data raw material? Also if it is raw material then the EF needs to be adjusted for carbon content and carbon oxidation (see page 3.41 of guidelines.</t>
  </si>
  <si>
    <t>Y23</t>
  </si>
  <si>
    <t>#LS #13/12/2018 #PCm: Why are CH4 emissions not estimated?</t>
  </si>
  <si>
    <t>2B6 Titanium Dioxide Production</t>
  </si>
  <si>
    <t>F30</t>
  </si>
  <si>
    <t>#LS #12/05/2017 #PPE: This is the same value as the previous year.</t>
  </si>
  <si>
    <t>2B8 Carbon Black Production</t>
  </si>
  <si>
    <t>#LS #13/12/2018 #DSR: Emission factor for total feedstock, IPCC 2006 default, Table 3.23.</t>
  </si>
  <si>
    <t>#LS #13/12/2018 #DSR: Emission factor for thermal treatment, IPCC 2006 default, Table 3.24.</t>
  </si>
  <si>
    <t>2C1 Iron and Steel Production</t>
  </si>
  <si>
    <t>#LS #13/12/2018 #DSR: IPCC 2006 default, table 4.1.</t>
  </si>
  <si>
    <t>Y26</t>
  </si>
  <si>
    <t>Y28</t>
  </si>
  <si>
    <t>#LS #13/12/2018 #PT: Need to provide the data source for this value, particulrly since it is twice the default value.</t>
  </si>
  <si>
    <t>#LS #13/12/2018 #PT: Need to provide the data source for this value.</t>
  </si>
  <si>
    <t>Y32</t>
  </si>
  <si>
    <t>#LS #13/12/2018 #DSR: Weighted emission factor based on 50% Basic Oxygen Furnace and 50% Electric Arc Furnace (NIR, 2012).</t>
  </si>
  <si>
    <t>2C2 Ferroalloys Production</t>
  </si>
  <si>
    <t>R15</t>
  </si>
  <si>
    <t>#LS #03/07/2017 #DSR: SAMI Report Table 79. #LS #26/09/2018 It is table 79 of 2013-2014 SAMI report</t>
  </si>
  <si>
    <t>S15</t>
  </si>
  <si>
    <t>#LS #03/07/2017 #DSR: SAMI Report provides a total value for Manganese alloys of 1009 kt, however DMR supplied the value of 970kt. The 970kt was used as it is more recently supplied. There is no split between 7% and 1% any more therefore 80% of the total was assumed to be 7% (ratio taken from previous year). #LS #26/09/2018 A correction was made after the review - reverted to the 1009 value (total) in SAMI report to be consistent with other years. Ratio of 7% and 1% from previous year was applied. DMR data used for 2015.</t>
  </si>
  <si>
    <t>T15</t>
  </si>
  <si>
    <t>#LS #03/07/2017 #DSR:  DMR supplied the value of 615kt.  There is no split between 7% and 1% any more therefore 80% of the total was assumed to be 7% (ratio taken from previous years).</t>
  </si>
  <si>
    <t>R16</t>
  </si>
  <si>
    <t>#LS #03/07/2017 #DSR: SAMI Report Table 78. #LS #26/09/2018 It is Table 80 of SAMI 2013-2014 report.</t>
  </si>
  <si>
    <t>S16</t>
  </si>
  <si>
    <t>#LS #03/07/2017 #DSR: SAMI Report provides a total value for Manganese alloys of 1009 kt, however DMR supplied the value of 970kt. The 970kt was used as it is more recently supplied. There is no split between 7% and 1% any more therefore the ratio from previous year was used. #LS #26/09/2018 Correction after review - reverted to SAMI total value of 1009 to be consistent with other years.Applied ratio of 7% and 1% from previous year.</t>
  </si>
  <si>
    <t>T16</t>
  </si>
  <si>
    <t>#LS #03/07/2017 #DSR:  DMR supplied the value of 615kt.  There is no split between 7% and 1% any more therefore 20% of the total was assumed to be 7% (ratio taken from previous years).</t>
  </si>
  <si>
    <t>Y16</t>
  </si>
  <si>
    <t>D27</t>
  </si>
  <si>
    <t>#ok</t>
  </si>
  <si>
    <t>#LS #14/05/2017 #PPE: Please check this is kg and not tonnes. #LS #05/07/2017 #response: checked and it is ok. #LS #05/07/2017 #ok</t>
  </si>
  <si>
    <t>D28</t>
  </si>
  <si>
    <t>#LS #14/05/2017 #PPE: Please check this is kg and not tonnes. #LS $05/07/2017 #ok</t>
  </si>
  <si>
    <t>Y22</t>
  </si>
  <si>
    <t>#LS #13/12/2018 #PPE: For 2000 - 2012 emisison data was supplied so no EF was recorder. Since then emissions have been calculated from production data and the emission factor is just an applied emission factor based on 2012 data. This needs to be checked and corrected if necessary, or perhaps revert back to Tier 1 methods.</t>
  </si>
  <si>
    <t>#LS #13/12/2018 #DSR: IPCC 2006 default value, table 4.5.</t>
  </si>
  <si>
    <t>#LS #13/12/2018 #DSR: IPCC 2006 default value, table 4.7.</t>
  </si>
  <si>
    <t>#LS #13/12/2018 #PCs: For 2000 - 20012 emissions were supplied, thereafter they were calculated. There is an inconsistency in the time series.</t>
  </si>
  <si>
    <t>E22</t>
  </si>
  <si>
    <t>#LS #12/05/2017 #PPE: This is the value from the old spreadsheets but it is different from the IPCC default and there is no reference to indicate where it is from. There is a note saying it is an implied emission factor determined from the production and emission data supplied by industry. Please check and add some notes and references. #LS #05/07/2017 #response: This is correct it is an implied emission factor and is not the actual EF used in the calculation as the emission outputs were supplied by industry. This applies to all years. #LS #05/07/2017 #ok: Spreadsheet has been changed to reflect this.#LS #25/09/2018 Made a further correction to clarify. Removed the calculated emissio factor to clearly show that just the emissions are supplied by inventory and the actual EF used is not know.</t>
  </si>
  <si>
    <t>R22</t>
  </si>
  <si>
    <t>#response</t>
  </si>
  <si>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</si>
  <si>
    <t>S22</t>
  </si>
  <si>
    <t>T22</t>
  </si>
  <si>
    <t>2C3 Aluminium Production</t>
  </si>
  <si>
    <t>#LS #13/12/2018 #DSR: IPCC 2006, table 4.10.</t>
  </si>
  <si>
    <t>#LS #13/12/2018 #PPE: For 200 - 2012 the CF emission data was supplied by industry so EF were not supplied.. From 2012 to 2015 there is only the production data and so implied emission factors were determined for 2012 and these were used to keep time series consistency. I do not think this would be correct to continue with this approach going to 2017. This is an extended period and it may therefore be better to revert to Tier 1 approach and EF for the whole time series.</t>
  </si>
  <si>
    <t>Y31</t>
  </si>
  <si>
    <t>Y39</t>
  </si>
  <si>
    <t>#LS #13/12/2018 #PT: Need to provide data source for 2000 - 2012</t>
  </si>
  <si>
    <t>Y40</t>
  </si>
  <si>
    <t>#LS #13/12/2018 #PT: Need to provide data source for 2000 - 2013</t>
  </si>
  <si>
    <t>Y41</t>
  </si>
  <si>
    <t>#LS #13/12/2018 #PT: Need to provide data source for 2000 - 2014</t>
  </si>
  <si>
    <t>Y42</t>
  </si>
  <si>
    <t>#LS #13/12/2018 #PT: Need to provide data source for 2000 - 2015</t>
  </si>
  <si>
    <t>Y44</t>
  </si>
  <si>
    <t>Y45</t>
  </si>
  <si>
    <t>Y46</t>
  </si>
  <si>
    <t>R44</t>
  </si>
  <si>
    <t>#LS #14/05/2017 #PPE: This number is the same as the previous year yet the production value is different. In previous years the emissions were obtained from industry but if they are to be calculated from production an emission factor is needed.</t>
  </si>
  <si>
    <t>S44</t>
  </si>
  <si>
    <t>T44</t>
  </si>
  <si>
    <t>2C5 Lead Production</t>
  </si>
  <si>
    <t>#LS #13/12/2018 #DSR: IPCC 2006 default, table 4.21.</t>
  </si>
  <si>
    <t>2C6 Zinc Production</t>
  </si>
  <si>
    <t>#LS #13/12/2018 #DSR: IPCC 2006 default, table 4.24.</t>
  </si>
  <si>
    <t>2D1 Lubricant Use</t>
  </si>
  <si>
    <t>#LS #13/12/2018 #DSR: IPCC 2006 defauls, page 5.9.</t>
  </si>
  <si>
    <t>#LS #13/12/2018 #DSR: IPCC 2006 defauls, table 5.2.</t>
  </si>
  <si>
    <t>2D2 Paraffin Wax Use</t>
  </si>
  <si>
    <t>#LS #13/12/2018 #DSR: IPCC 2006 defauls, page 5.12.</t>
  </si>
  <si>
    <t>2F1 Refrigeration and AC</t>
  </si>
  <si>
    <t>J131</t>
  </si>
  <si>
    <t>#LS #13/05/2017 #PPE: Need to confirm that these are tonnes of emissions and not tonnes produced. Also need to confirm that these are tonnes and not Gg. Applies to all years.</t>
  </si>
  <si>
    <t>J134</t>
  </si>
  <si>
    <t>Y130</t>
  </si>
  <si>
    <t>#LS #13/12/2018 #PT: Need to provide data source for all these emissions.</t>
  </si>
  <si>
    <t>Y131</t>
  </si>
  <si>
    <t>Y132</t>
  </si>
  <si>
    <t>Y133</t>
  </si>
  <si>
    <t>Y134</t>
  </si>
  <si>
    <t>Y135</t>
  </si>
  <si>
    <t>Y136</t>
  </si>
  <si>
    <t>Y146</t>
  </si>
  <si>
    <t>Y147</t>
  </si>
  <si>
    <t>Y148</t>
  </si>
  <si>
    <t>Y149</t>
  </si>
  <si>
    <t>Y150</t>
  </si>
  <si>
    <t>Y151</t>
  </si>
  <si>
    <t>2F2 Foam blowing agents</t>
  </si>
  <si>
    <t>U44</t>
  </si>
  <si>
    <t>#LS #14/12/2018 #PPE: No data for 2016/2017. Just assumed it to be the same as 2015 until it can be updated.</t>
  </si>
  <si>
    <t>#LS #14/05/2017 #PPE: Need to confirm these are tonnes emitted and not tonnes produced. Also need to confirm it is tonnes and not Gg. Applies to all years.</t>
  </si>
  <si>
    <t>Y47</t>
  </si>
  <si>
    <t>2F3 Fire protection</t>
  </si>
  <si>
    <t>X35</t>
  </si>
  <si>
    <t>X36</t>
  </si>
  <si>
    <t>X37</t>
  </si>
  <si>
    <t>2F4 Aerosols</t>
  </si>
  <si>
    <t>U35</t>
  </si>
  <si>
    <t>#LS #14/12/2018 #PPE: No data for 2016/2017. Assumed it the same as 2015 for now until the data is updated.</t>
  </si>
  <si>
    <t>P36</t>
  </si>
  <si>
    <t>Y35</t>
  </si>
  <si>
    <t>Y36</t>
  </si>
  <si>
    <t>Y37</t>
  </si>
  <si>
    <t>QA Sheet</t>
  </si>
  <si>
    <t>This sheet can be used to give an overview of the workbook. It should be kept up to date until the final version is created. This sheet can also be used to log QA procedures and includes a suggested protocol for colour coding</t>
  </si>
  <si>
    <t>QA Information</t>
  </si>
  <si>
    <t>Project name</t>
  </si>
  <si>
    <t>Project short name</t>
  </si>
  <si>
    <t>Project ID</t>
  </si>
  <si>
    <t>SharePoint/project ID number</t>
  </si>
  <si>
    <t>File Name</t>
  </si>
  <si>
    <t xml:space="preserve">Name of the file </t>
  </si>
  <si>
    <t>Description of file</t>
  </si>
  <si>
    <t>The spreadsheet provides xxx</t>
  </si>
  <si>
    <t>Status</t>
  </si>
  <si>
    <t xml:space="preserve">Status of the spreadsheet i.e. draft or final </t>
  </si>
  <si>
    <t xml:space="preserve">Versions </t>
  </si>
  <si>
    <t xml:space="preserve">Version </t>
  </si>
  <si>
    <t>Details</t>
  </si>
  <si>
    <t>Recipient</t>
  </si>
  <si>
    <t>Date</t>
  </si>
  <si>
    <t>Vx</t>
  </si>
  <si>
    <t>If not version 1, provide details on reasons for update</t>
  </si>
  <si>
    <t>If spreadsheet is sent to another person, provide details of the recipient</t>
  </si>
  <si>
    <t>Date the version was created</t>
  </si>
  <si>
    <t>Data details</t>
  </si>
  <si>
    <t>Sheet name</t>
  </si>
  <si>
    <t>Sheet content</t>
  </si>
  <si>
    <t>Spreadsheets linked to</t>
  </si>
  <si>
    <t>Data source</t>
  </si>
  <si>
    <t>Sheet1</t>
  </si>
  <si>
    <t>This sheet contains xxx</t>
  </si>
  <si>
    <t>xxx.xlsx</t>
  </si>
  <si>
    <t>Provide details of data sources (e.g. URL, contact name, pdf)</t>
  </si>
  <si>
    <t>QA Checking</t>
  </si>
  <si>
    <t>Completion date</t>
  </si>
  <si>
    <t>xx/xx/xxxx</t>
  </si>
  <si>
    <t>Author Name</t>
  </si>
  <si>
    <t>xx xx</t>
  </si>
  <si>
    <t>Review Date</t>
  </si>
  <si>
    <t>Reviewer Name</t>
  </si>
  <si>
    <t xml:space="preserve">xx xx </t>
  </si>
  <si>
    <t>PROTOCOL FOR COLOUR CODING</t>
  </si>
  <si>
    <t>RGB coour setting</t>
  </si>
  <si>
    <t>Input data</t>
  </si>
  <si>
    <t>150, 200, 255</t>
  </si>
  <si>
    <t>Calculation/linked cells</t>
  </si>
  <si>
    <t>255, 255, 120</t>
  </si>
  <si>
    <t>Data sourced from another spreadsheet</t>
  </si>
  <si>
    <t>170, 220, 155</t>
  </si>
  <si>
    <t>Extrapolated/interpolated figure</t>
  </si>
  <si>
    <t>255, 230, 180</t>
  </si>
  <si>
    <t>Assumptions/assumed values</t>
  </si>
  <si>
    <t>190, 190, 190</t>
  </si>
  <si>
    <t>Conversion factors &amp; constants</t>
  </si>
  <si>
    <t>180, 130, 255</t>
  </si>
  <si>
    <t>Data sourced from model</t>
  </si>
  <si>
    <t>170, 250, 255</t>
  </si>
  <si>
    <t>IPCC default</t>
  </si>
  <si>
    <t>204, 102, 0</t>
  </si>
  <si>
    <t>Checks</t>
  </si>
  <si>
    <t>255, 165, 220</t>
  </si>
  <si>
    <t>General notes</t>
  </si>
  <si>
    <t>Warnings or things to check</t>
  </si>
  <si>
    <t>Tag Lookup Table</t>
  </si>
  <si>
    <t>This is a table of all tags that can be added to compilation spreadsheets. All tags must be present in this table and must be unique.</t>
  </si>
  <si>
    <t>Compilation team members</t>
  </si>
  <si>
    <t>#ES</t>
  </si>
  <si>
    <t>Emma Salisbury</t>
  </si>
  <si>
    <t>Inventory QA/QC manager</t>
  </si>
  <si>
    <t>#KH</t>
  </si>
  <si>
    <t>Kathryn Hampshire</t>
  </si>
  <si>
    <t>Inventory compiler of Energy, IPPU and Waste</t>
  </si>
  <si>
    <t>Problem found during compilation and QA/QC activities</t>
  </si>
  <si>
    <t>Possible Error</t>
  </si>
  <si>
    <t>A possible error has been identified in the calculations, which needs to be reviewed</t>
  </si>
  <si>
    <t>Identified Error</t>
  </si>
  <si>
    <t>An error has been identified in the calculations, which needs to be addressed</t>
  </si>
  <si>
    <t>Transparency</t>
  </si>
  <si>
    <t>Documentation is needed for source referencing, assumptions etc.</t>
  </si>
  <si>
    <t>Completeness</t>
  </si>
  <si>
    <t>Data gaps in the inventory have been identified</t>
  </si>
  <si>
    <t>Consistency</t>
  </si>
  <si>
    <t>A change in method or data source within a timeseries has led to issues of consistency</t>
  </si>
  <si>
    <t>Documentation added during compilation and QA/QC activities</t>
  </si>
  <si>
    <t>Assumptions used</t>
  </si>
  <si>
    <t>Information regarding the assumptions that have been applied to the calculations</t>
  </si>
  <si>
    <t>#DM</t>
  </si>
  <si>
    <t>Description of method</t>
  </si>
  <si>
    <t>Information regarding the methods that have been applied to the calculations</t>
  </si>
  <si>
    <t>Source data reference</t>
  </si>
  <si>
    <t>Information regarding the source of data used in the calculations</t>
  </si>
  <si>
    <t>#DRfC</t>
  </si>
  <si>
    <t>Reason for change</t>
  </si>
  <si>
    <t>Information regarding the reasons for change in the calculations</t>
  </si>
  <si>
    <t>#DChR</t>
  </si>
  <si>
    <t>Evidence of a check</t>
  </si>
  <si>
    <t>Information regarding the QC activities that have been applied to the calculations</t>
  </si>
  <si>
    <t>#DTF</t>
  </si>
  <si>
    <t>Trend Feature</t>
  </si>
  <si>
    <t>Information regarding the reasons for the trends that can be seen in the data</t>
  </si>
  <si>
    <t>Improvement flag</t>
  </si>
  <si>
    <t>Information regarding future improvement suggestions for the calculations</t>
  </si>
  <si>
    <t>Review of tagged comments</t>
  </si>
  <si>
    <t>Response to tagged comment</t>
  </si>
  <si>
    <t>Use this to add a response to any comment; always include #[initials] #[date] before #response</t>
  </si>
  <si>
    <t>#OK</t>
  </si>
  <si>
    <t>Tagged comment sign-off</t>
  </si>
  <si>
    <t>Tagged comment has been finalised and is ready for final review</t>
  </si>
  <si>
    <t>#FixChck</t>
  </si>
  <si>
    <t>Tagged comment has been reviewed by QA/QC expert and finalisation has been accepted</t>
  </si>
  <si>
    <t>QA/QC Checklist</t>
  </si>
  <si>
    <t>Use this table to ensure QA/QC are completed and recorded</t>
  </si>
  <si>
    <r>
      <t>QA/QC Principles:
T</t>
    </r>
    <r>
      <rPr>
        <sz val="12"/>
        <color theme="1"/>
        <rFont val="Calibri"/>
        <family val="2"/>
        <scheme val="minor"/>
      </rPr>
      <t xml:space="preserve">ransparency
</t>
    </r>
    <r>
      <rPr>
        <b/>
        <sz val="12"/>
        <color theme="1"/>
        <rFont val="Calibri"/>
        <family val="2"/>
        <scheme val="minor"/>
      </rPr>
      <t>C</t>
    </r>
    <r>
      <rPr>
        <sz val="12"/>
        <color theme="1"/>
        <rFont val="Calibri"/>
        <family val="2"/>
        <scheme val="minor"/>
      </rPr>
      <t xml:space="preserve">onsistency
</t>
    </r>
    <r>
      <rPr>
        <b/>
        <sz val="12"/>
        <color theme="1"/>
        <rFont val="Calibri"/>
        <family val="2"/>
        <scheme val="minor"/>
      </rPr>
      <t>C</t>
    </r>
    <r>
      <rPr>
        <sz val="12"/>
        <color theme="1"/>
        <rFont val="Calibri"/>
        <family val="2"/>
        <scheme val="minor"/>
      </rPr>
      <t xml:space="preserve">ompleteness
</t>
    </r>
    <r>
      <rPr>
        <b/>
        <sz val="12"/>
        <color theme="1"/>
        <rFont val="Calibri"/>
        <family val="2"/>
        <scheme val="minor"/>
      </rPr>
      <t>C</t>
    </r>
    <r>
      <rPr>
        <sz val="12"/>
        <color theme="1"/>
        <rFont val="Calibri"/>
        <family val="2"/>
        <scheme val="minor"/>
      </rPr>
      <t xml:space="preserve">omparability
</t>
    </r>
    <r>
      <rPr>
        <b/>
        <sz val="12"/>
        <color theme="1"/>
        <rFont val="Calibri"/>
        <family val="2"/>
        <scheme val="minor"/>
      </rPr>
      <t>A</t>
    </r>
    <r>
      <rPr>
        <sz val="12"/>
        <color theme="1"/>
        <rFont val="Calibri"/>
        <family val="2"/>
        <scheme val="minor"/>
      </rPr>
      <t>ccuracy</t>
    </r>
  </si>
  <si>
    <t>QA/QC Principle</t>
  </si>
  <si>
    <t xml:space="preserve">Check </t>
  </si>
  <si>
    <t>Description</t>
  </si>
  <si>
    <t>Notes</t>
  </si>
  <si>
    <t>Completed</t>
  </si>
  <si>
    <t>Sign-off</t>
  </si>
  <si>
    <t>Principle which this check adheres to (see box above). Multiple options may be selected.</t>
  </si>
  <si>
    <t>Title of the check to be undertaken.</t>
  </si>
  <si>
    <t>Description of the check.</t>
  </si>
  <si>
    <t>Any issues or notes arising from the check.</t>
  </si>
  <si>
    <t>Initials and date of person completing the check.</t>
  </si>
  <si>
    <t>Initials and date of person signing off the check.</t>
  </si>
  <si>
    <t>Accuracy</t>
  </si>
  <si>
    <t>Activity data source</t>
  </si>
  <si>
    <t>Is the appropriate data source being used for activity data?</t>
  </si>
  <si>
    <t>Correct units</t>
  </si>
  <si>
    <t>Check that the correct units are being used</t>
  </si>
  <si>
    <t>Unit carry through</t>
  </si>
  <si>
    <t>Are all units correctly carried through calculations to the summary table? This includes activity data and emission factors.</t>
  </si>
  <si>
    <t>Method validity</t>
  </si>
  <si>
    <t>Are the methods used valid and appropriate?</t>
  </si>
  <si>
    <t>Calculations check</t>
  </si>
  <si>
    <t>All calculations checked by a second person</t>
  </si>
  <si>
    <t>Uncertainties</t>
  </si>
  <si>
    <t>Carry out uncertainties analysis</t>
  </si>
  <si>
    <t>Double counting</t>
  </si>
  <si>
    <t xml:space="preserve">Check to ensure no double counting is present </t>
  </si>
  <si>
    <t>Correct GWP</t>
  </si>
  <si>
    <t xml:space="preserve">Where used, check that the correct GWP is being applied. </t>
  </si>
  <si>
    <t>Notation keys</t>
  </si>
  <si>
    <t>Review the use of notation keys and the associated assumption to ensure they are correct.</t>
  </si>
  <si>
    <t>Calorific values</t>
  </si>
  <si>
    <t>Check values to ensure they are correct.</t>
  </si>
  <si>
    <t>Oxidation factors</t>
  </si>
  <si>
    <t>Carbon content</t>
  </si>
  <si>
    <t>Accuracy, Comparability, Completeness, Consistency</t>
  </si>
  <si>
    <t>Non-energy use of fuels</t>
  </si>
  <si>
    <t>Check reporting of non-energy fuels between Energy and IPPU sectors.</t>
  </si>
  <si>
    <t>Iron and Steel CO2</t>
  </si>
  <si>
    <t>Ensure proper allocation of CO2 between Energy and IPPU sectors for Iron and Steel.</t>
  </si>
  <si>
    <t>Accuracy, Completeness, Consistency, Transparency</t>
  </si>
  <si>
    <t>Trend check</t>
  </si>
  <si>
    <t>Carry out checks on the trend to identify possible errors. Document any stand out data points.</t>
  </si>
  <si>
    <t>Accuracy, Transparency</t>
  </si>
  <si>
    <t>Emission factor applicability</t>
  </si>
  <si>
    <t>Where default emission factors are used, are they correct? Is source information provided?</t>
  </si>
  <si>
    <t>Accuracy, Transparency, Consistency, Completeness</t>
  </si>
  <si>
    <t>Recalculations</t>
  </si>
  <si>
    <t>Check values against previous submission. Give reasons where the two values do not match.</t>
  </si>
  <si>
    <t>Completeness, Comparability</t>
  </si>
  <si>
    <t>Sub-category completeness</t>
  </si>
  <si>
    <t>Is the reporting of each sub-category complete? If not this should be highlighted.</t>
  </si>
  <si>
    <t>Time series consistency</t>
  </si>
  <si>
    <t>Are activity data and emission factor time series consistent?</t>
  </si>
  <si>
    <t>Is there sufficient documentation?</t>
  </si>
  <si>
    <t>Transparency, Completeness, Consistency, Accuracy</t>
  </si>
  <si>
    <t>Colour coding</t>
  </si>
  <si>
    <t>Has colour coding been used in a consistent and accurate manner? Are there any significant data gaps of weaknesses?</t>
  </si>
  <si>
    <t>Accuracy, Comparability</t>
  </si>
  <si>
    <t>Cross check data</t>
  </si>
  <si>
    <t>Where possible cross check data against an alternative data sources.</t>
  </si>
  <si>
    <t>Spot checks</t>
  </si>
  <si>
    <t>Complete random spot checks on a data set.</t>
  </si>
  <si>
    <t>Transparency, Consistency</t>
  </si>
  <si>
    <t>Data source referencing</t>
  </si>
  <si>
    <t>All source data submitted must be referenced</t>
  </si>
  <si>
    <t>Links to source data</t>
  </si>
  <si>
    <t>Where possible, links to the source data must be provided</t>
  </si>
  <si>
    <t>Raw primary data</t>
  </si>
  <si>
    <t>All raw primary data must be present in the workbook</t>
  </si>
  <si>
    <t>QA review</t>
  </si>
  <si>
    <t>Data must be reviewed and checked by a second person</t>
  </si>
  <si>
    <t>Version</t>
  </si>
  <si>
    <t>Name</t>
  </si>
  <si>
    <t>Comment</t>
  </si>
  <si>
    <t>12/12/2018</t>
  </si>
  <si>
    <t>Luanne Stevens</t>
  </si>
  <si>
    <t>Created the 2017 file from the 2015 inventory calculation files.</t>
  </si>
  <si>
    <t>1a</t>
  </si>
  <si>
    <t>16/12/2018</t>
  </si>
  <si>
    <t>Added the completeness and data sources tables.</t>
  </si>
  <si>
    <t>ID</t>
  </si>
  <si>
    <t>GHG inventory chapter and sector</t>
  </si>
  <si>
    <t>Origin of comment</t>
  </si>
  <si>
    <t>Nature of comment</t>
  </si>
  <si>
    <t>Source of correction</t>
  </si>
  <si>
    <t>Inventory team response</t>
  </si>
  <si>
    <t>Status of action in 2015 inventory</t>
  </si>
  <si>
    <t>Status of action in 2017 inventory</t>
  </si>
  <si>
    <t>Comments from review of 2015 GHG inventory:</t>
  </si>
  <si>
    <t>IPPU sector</t>
  </si>
  <si>
    <t>4: IPPU: General</t>
  </si>
  <si>
    <r>
      <t xml:space="preserve">The NIR indicated that that there were two reasons for recalculations, namely a change in data source (for mineral and metal industries) and the addition of new categories (which affected the product uses as substitute ODS category). These can be seen in the excel sheets, under the recalculation section. However, it </t>
    </r>
    <r>
      <rPr>
        <sz val="10"/>
        <color rgb="FFFF0000"/>
        <rFont val="Calibri"/>
        <family val="2"/>
        <scheme val="minor"/>
      </rPr>
      <t>appears that some numbers have not been copied across correctly from the previous 2012 CRF tables</t>
    </r>
    <r>
      <rPr>
        <sz val="10"/>
        <color theme="1"/>
        <rFont val="Calibri"/>
        <family val="2"/>
        <scheme val="minor"/>
      </rPr>
      <t>, into the recalculation part of the 2015 CRF tables, hence there seem to be recalculations done with no explanation provided as to why. For example, for</t>
    </r>
    <r>
      <rPr>
        <sz val="10"/>
        <color rgb="FFFF0000"/>
        <rFont val="Calibri"/>
        <family val="2"/>
        <scheme val="minor"/>
      </rPr>
      <t xml:space="preserve"> Iron and Steel Production,</t>
    </r>
    <r>
      <rPr>
        <sz val="10"/>
        <color theme="1"/>
        <rFont val="Calibri"/>
        <family val="2"/>
        <scheme val="minor"/>
      </rPr>
      <t xml:space="preserve"> from the previous 2012 CRF table the 2012 total emissions were 25 008.5 Gg CO2e; however, the 2012 total in the 2015 CRF table is 15 202.7 Gg CO2e. Upon further analysis this does not seem to be a recalculation; rather it is due to the 2012 emission factors not being copied across correctly. Similarly, the 2012</t>
    </r>
    <r>
      <rPr>
        <sz val="10"/>
        <color rgb="FFFF0000"/>
        <rFont val="Calibri"/>
        <family val="2"/>
        <scheme val="minor"/>
      </rPr>
      <t xml:space="preserve"> Ferroalloys Production</t>
    </r>
    <r>
      <rPr>
        <sz val="10"/>
        <color theme="1"/>
        <rFont val="Calibri"/>
        <family val="2"/>
        <scheme val="minor"/>
      </rPr>
      <t xml:space="preserve"> total emissions do not match, and this seems to be due to the activity factors not being correctly copied across. It is recommended that further checks are done and that the correct activity data and emission factors are copied from the 2012 CRF tables to the 2015 ones.</t>
    </r>
  </si>
  <si>
    <t>Point 111 of external inventory review</t>
  </si>
  <si>
    <t>Recalculations: Transcription error from 2012 inventory</t>
  </si>
  <si>
    <t>Calculation file</t>
  </si>
  <si>
    <t>LS: This was check but it seems the reviewer was not looking at the final 2012 calculation files. Corrections were made after the last review and incorporated into the calculation files. Numbers are correct. Archived the correct 2012 inventory on NGHGIS</t>
  </si>
  <si>
    <r>
      <t xml:space="preserve">In general, the NIR descriptions do not provide adequate contextual information about which estimations (categories and sub-categories) are applicable to the country and the basis of the methodology chosen. The referencing in the NIR is not adequate and sources of data are very difficult to find. It takes the reader much longer to understand which estimations have been done. In several instances, no explanation is provided why some sub-categories have not been calculated (i.e. there is no data or it is unknown whether these categories/sub-categories (production processes) are applicable to the country or not). </t>
    </r>
    <r>
      <rPr>
        <sz val="10"/>
        <color rgb="FFFF0000"/>
        <rFont val="Calibri"/>
        <family val="2"/>
        <scheme val="minor"/>
      </rPr>
      <t>The NIR could be updated and provide a more detailed description of the methodology, the source of emission factors and activity data with clear references. Assumptions must also be clearly explained.</t>
    </r>
  </si>
  <si>
    <t>Point 112 of external inventory review</t>
  </si>
  <si>
    <t>Transparency: Provide more detailed description of data sources and methods</t>
  </si>
  <si>
    <t>NIR</t>
  </si>
  <si>
    <t>Address in 2017 inventory</t>
  </si>
  <si>
    <t>4: IPPU: Key categories: Iron and Steel</t>
  </si>
  <si>
    <r>
      <t>The following guidance is provided in IPCC Good Practice Guidance (Ch3 p3.25) regarding the appropriate choice of emission factors: “The Tier 1 method calculates emissions from the consumption of the reducing agent (e.g. coke from coal, coal, petroleum coke), using emission factors similar to those used to estimate combustion emissions. The Tier 1 method is rather simple and slightly overestimates emissions. The Tier 2 method is similar to Tier 1 but includes a correction for the carbon stored in the metals produced. In addition, a very simple approach that is mentioned in the 2006 IPCC Guidelines, is to multiply iron and steel production by a production-based emission factor. However, this method is not considered to be good practice.”</t>
    </r>
    <r>
      <rPr>
        <sz val="10"/>
        <color rgb="FFFF0000"/>
        <rFont val="Calibri"/>
        <family val="2"/>
        <scheme val="minor"/>
      </rPr>
      <t xml:space="preserve"> The current inventory calculation does not adhere to Tier 2 calculations as no coke consumption was recorded, the calculation relied on electricity consumption and steel/iron production as inputs. This is 'not considered to be good practice' as per the 2006 IPCC Guidelines. </t>
    </r>
    <r>
      <rPr>
        <sz val="10"/>
        <color theme="1"/>
        <rFont val="Calibri"/>
        <family val="2"/>
        <scheme val="minor"/>
      </rPr>
      <t xml:space="preserve">Section 4.4.4.1 of the NIR incorrectly states that a Tier 2 methodology was used and then immediately contradicts this statement by stating that no disaggregated information was available on coke consumption and only energy-related emissions were accounted for. </t>
    </r>
    <r>
      <rPr>
        <sz val="10"/>
        <color rgb="FFFF0000"/>
        <rFont val="Calibri"/>
        <family val="2"/>
        <scheme val="minor"/>
      </rPr>
      <t>It is recommended that the reference to use of the Tier 2 methodology in Iron and Steel Production should be amended.</t>
    </r>
    <r>
      <rPr>
        <sz val="10"/>
        <color theme="1"/>
        <rFont val="Calibri"/>
        <family val="2"/>
        <scheme val="minor"/>
      </rPr>
      <t xml:space="preserve"> As part of the new GHG Reporting Regulations it is anticipated that a Tier 2 or Tier 3 approach will be adopted in the next inventory update.</t>
    </r>
    <r>
      <rPr>
        <sz val="10"/>
        <color rgb="FFFF0000"/>
        <rFont val="Calibri"/>
        <family val="2"/>
        <scheme val="minor"/>
      </rPr>
      <t xml:space="preserve"> It is recommended that the methodology for calculation of emissions from Iron and Steel Production through this process is clearly and transparently explained.</t>
    </r>
  </si>
  <si>
    <t>Point 114 of external inventory review</t>
  </si>
  <si>
    <t>Accuracey: Tier 2 is not adhered to; Improvements suggested for Tier 2 in next inventory</t>
  </si>
  <si>
    <t>LS: Put a comment in NIR about this but Phindile to clarify.</t>
  </si>
  <si>
    <t>Still to be incorporated</t>
  </si>
  <si>
    <r>
      <t xml:space="preserve">The use of coke, coal or petroleum coke as reducing agents (non-energy use of fuel) is not included under the industrial processes sector, but under the energy sector. The </t>
    </r>
    <r>
      <rPr>
        <sz val="10"/>
        <color rgb="FFFF0000"/>
        <rFont val="Calibri"/>
        <family val="2"/>
        <scheme val="minor"/>
      </rPr>
      <t>Independent Reviewer noted that contradictory statements in this regard appear in the NIR. While it is stated in the Energy sector that non-energy use of fuel for Iron and Steel Production is accounted for under IPPU (see paragraph, under 1.A.2 above), it is stated under IPPU that the separation between energy and process emissions emanating from the use of coke was not done.</t>
    </r>
    <r>
      <rPr>
        <sz val="10"/>
        <color theme="1"/>
        <rFont val="Calibri"/>
        <family val="2"/>
        <scheme val="minor"/>
      </rPr>
      <t xml:space="preserve"> This is contradictory to the requirements of 2006 IPCC Guidelines and introduces a risk of double accounting for emissions from Iron and Steel Production.</t>
    </r>
    <r>
      <rPr>
        <sz val="10"/>
        <color rgb="FFFF0000"/>
        <rFont val="Calibri"/>
        <family val="2"/>
        <scheme val="minor"/>
      </rPr>
      <t xml:space="preserve"> The Independent Reviewer recommends that the Party reallocates the use of coke, coal or petroleum coke used as a reducing agent, along with the corresponding emissions, to the industrial processes sector in its next annual submission.</t>
    </r>
  </si>
  <si>
    <t>Point 115 of external inventory review</t>
  </si>
  <si>
    <t>Transparency and accuracey: Possible double counting; Improvement recommendation</t>
  </si>
  <si>
    <t>Calculation file &amp; report</t>
  </si>
  <si>
    <t>LS: Need to perhaps correct statements in NIR (Phindile to do) and follow up with recommended improvements in 2017.</t>
  </si>
  <si>
    <r>
      <t xml:space="preserve">Activity data are sourced from the South African Iron and Steel Institute (SAISI) and country-specific emissions factors are sourced from a single company. </t>
    </r>
    <r>
      <rPr>
        <sz val="10"/>
        <color rgb="FFFF0000"/>
        <rFont val="Calibri"/>
        <family val="2"/>
        <scheme val="minor"/>
      </rPr>
      <t xml:space="preserve">No detail is provided regarding the derivation of the emissions factor </t>
    </r>
    <r>
      <rPr>
        <sz val="10"/>
        <color theme="1"/>
        <rFont val="Calibri"/>
        <family val="2"/>
        <scheme val="minor"/>
      </rPr>
      <t xml:space="preserve">or confirmation as to whether the company providing said factors is a key producer of steel whose processes are typical of the broader SAISI. In addition, data are provided for subcategories of production namely, Direct Reduced Iron (DRI), blast furnaces, electric arc, oxygen furnaces and Other (Corex). </t>
    </r>
    <r>
      <rPr>
        <sz val="10"/>
        <color rgb="FFFF0000"/>
        <rFont val="Calibri"/>
        <family val="2"/>
        <scheme val="minor"/>
      </rPr>
      <t>It is unknown what 'Other' represents and the NIR does not provide any detail on this category. It is recommended that further transparency is provided in this regard in future iterations of the NIR.</t>
    </r>
  </si>
  <si>
    <t>Point 116 of external inventory review</t>
  </si>
  <si>
    <r>
      <t xml:space="preserve">Only CO2 emissions have been calculated and emission contributions from CH4, a requirement of the IPCC methodology, have been excluded. </t>
    </r>
    <r>
      <rPr>
        <sz val="10"/>
        <color rgb="FFFF0000"/>
        <rFont val="Calibri"/>
        <family val="2"/>
        <scheme val="minor"/>
      </rPr>
      <t>There is no explanation provided in the NIR as to why CH4 emissions have not been estimated.</t>
    </r>
  </si>
  <si>
    <t>Point 117 of external inventory review</t>
  </si>
  <si>
    <t>Transparency; Improvement</t>
  </si>
  <si>
    <r>
      <t xml:space="preserve">Emissions from open hearth furnace, sinter and pellets are not estimated. The NIR does not provide an explanation as to why emissions from these processes have not been calculated. </t>
    </r>
    <r>
      <rPr>
        <sz val="10"/>
        <color rgb="FFFF0000"/>
        <rFont val="Calibri"/>
        <family val="2"/>
        <scheme val="minor"/>
      </rPr>
      <t>It is recommended that the NIR clearly details which production processes are used in the country and also clearly differentiate between iron and steel production.</t>
    </r>
  </si>
  <si>
    <t>Point 118 of external inventory review</t>
  </si>
  <si>
    <r>
      <t xml:space="preserve">It is observed that the references provided in the NIR only cover the period up until 2012 for the SAISI source and the websites were last accessed in 2012. The referenced sources are not available on the DEA's internal GHG system and the provided website links are not accessible (web browsers indicate that the website does not exist). </t>
    </r>
    <r>
      <rPr>
        <sz val="10"/>
        <color rgb="FFFF0000"/>
        <rFont val="Calibri"/>
        <family val="2"/>
        <scheme val="minor"/>
      </rPr>
      <t>The references and sources of data need to be updated in the NIR to reflect the sources of data for the 2013 to 2015 period. Furthermore, the correct website links must be provided or alternatively, the reports that contain the source data must be saved on the DEA's internal system so that they are readily available.</t>
    </r>
  </si>
  <si>
    <t>Point 119 of external inventory review</t>
  </si>
  <si>
    <r>
      <t xml:space="preserve">The country-specific emission factor for DRI production is more than twice the default factor (Table 4.5 of the NIR) and it was used for the estimation of GHG emissions from this process. According to the NIR (page 161), “this country specific factor was used for estimating emissions as it was based on a comprehensive carbon balance analysis. Differences in feedstock material and origin results in higher emission factors compared with the IPCC default emission factor values, which assume consistent feedstock conditions across countries". </t>
    </r>
    <r>
      <rPr>
        <sz val="10"/>
        <color rgb="FFFF0000"/>
        <rFont val="Calibri"/>
        <family val="2"/>
        <scheme val="minor"/>
      </rPr>
      <t>The NIR does not provide a clear justification of why the DRI emission factor is appropriate for use, despite being double the IPCC default. The NIR needs to explain whether the carbon balance analysis was peer reviewed or whether expert judgement was elicited to ensure that the emission factor is correct and can be applied across the whole country.</t>
    </r>
  </si>
  <si>
    <t>Point 120 of external inventory review</t>
  </si>
  <si>
    <t>LS: I think the reviewer is referring to table 4.12.</t>
  </si>
  <si>
    <t>The Other category values were based on production by the Corex process. This process is 50% Basic Oxygen Furnace and 50% Electric Arc Furnace, therefore, a weighted emission factor (0.77 t CO2/ t production) accounting for these two processes was applied to the Other category. The NIR report should explicitly state that the production in the Other category consists only of production from the Corex process.</t>
  </si>
  <si>
    <t>Point 121 of external inventory review</t>
  </si>
  <si>
    <t>Transparency: Clarification required.</t>
  </si>
  <si>
    <t>LS: Wording corrected to reflect this</t>
  </si>
  <si>
    <r>
      <t xml:space="preserve">Activity data for the "Other" sub-category for 2013, 2014 and 2015 was not available and the value for 2012 was applied for these three years. </t>
    </r>
    <r>
      <rPr>
        <sz val="10"/>
        <color rgb="FFFF0000"/>
        <rFont val="Calibri"/>
        <family val="2"/>
        <scheme val="minor"/>
      </rPr>
      <t>No reason was provided for why this is the case in the NIR.</t>
    </r>
  </si>
  <si>
    <t>Point 122 of external inventory review</t>
  </si>
  <si>
    <t>LS: Phindile this is due to the original data source being unknow. Jongi can update this in the 2017 inventory but could provde explanation in 2015 NIR text</t>
  </si>
  <si>
    <r>
      <rPr>
        <sz val="10"/>
        <color rgb="FFFF0000"/>
        <rFont val="Calibri"/>
        <family val="2"/>
        <scheme val="minor"/>
      </rPr>
      <t>There is a potential discrepancy in the activity data in the CRF tables. The value for electric arc furnace for 2013 is an order of magnitude lower (288 952 tonnes compared to 3 904 276 tonnes for 2012 and 2 789 291 tonnes for 2014) than the rest of the data set.</t>
    </r>
    <r>
      <rPr>
        <sz val="10"/>
        <color theme="1"/>
        <rFont val="Calibri"/>
        <family val="2"/>
        <scheme val="minor"/>
      </rPr>
      <t xml:space="preserve"> There is no explanation for this discrepancy and it appears to potentially be a typographical error. The source data for the 2013 EAF data should be reviewed to ensure that the correct value has been used in the CRF tables, and if required, must be updated.</t>
    </r>
  </si>
  <si>
    <t>Point 123 of external inventory review</t>
  </si>
  <si>
    <t>Accuracey: Possible transcription error</t>
  </si>
  <si>
    <t>LS: Note made in calculation files but Phindile to check.</t>
  </si>
  <si>
    <t>The NIR states that there were no recalculations performed for this subcategory. However, it is evident that a recalculation has been undertaken in the Iron and Steel Production category but no detail has been provided in the NIR on the details underlying this. The 2012 GHG emissions numbers have decreased by approximately 9 988 Gg CO2e between the 5th inventory and the 6th inventory, which is a decrease of approximately 40%. It is evident that the inventory compilers have reverted to using default emission factors as follows:
a) Electric arc furnace – In the 2012 NIR, an emission factor of 2.1 tonnes CO2/tonne of product was used in the calculations, whereas in 2015, the default value of 0.08 tonnes CO2/tonne of product has been used.
b) Pig iron production – In the 2012 NIR, an emission factor of 1.658 tonnes CO2/tonne of product was used in the calculations, whereas in 2015, the default value of 1.35 tonnes CO2/tonne of product has been used.
c) Other category – In the 2012 NIR, an emission factor of 1.78 tonnes CO2/tonne of product was used in the calculations, whereas in 2015, a value of 0.77 tonnes CO2/tonne of product has been used.</t>
  </si>
  <si>
    <t>Point 124 of external inventory review</t>
  </si>
  <si>
    <t>Accuracey and transparency</t>
  </si>
  <si>
    <t>LS: In the 2012 inventory an error was detected in the EF being used and these were corrected (should have been the default emission factors). The reviewer is clearly looking at the unammended version of the 2012 inventory. This issue has already been sorted out and there are therefore no recalculations.</t>
  </si>
  <si>
    <t>It is recommended that details for the recalculation, including reasons behind the significant increase, is provided in the NIR. A detailed description of the source and calculation methodology of all the emission factors must be provided.</t>
  </si>
  <si>
    <t>Point 125 of external inventory review</t>
  </si>
  <si>
    <t>Recalculation explanation</t>
  </si>
  <si>
    <t>LS: As mentioned above this has already been dealt with</t>
  </si>
  <si>
    <r>
      <t xml:space="preserve">The NIR states that the use of Tier 1 emissions may result in an uncertainty of ± 25%. The NIR indicates that a combination of Tier 1 and Tier 2 methodologies has been used. An analysis of the uncertainty estimates done for this sector indicate a 10% uncertainty factor was used for the emission factors. Given that the emission factors were not all Tier 2 it is incorrect to assume such a low uncertainty. </t>
    </r>
    <r>
      <rPr>
        <sz val="10"/>
        <color rgb="FFFF0000"/>
        <rFont val="Calibri"/>
        <family val="2"/>
        <scheme val="minor"/>
      </rPr>
      <t>It is recommended that the uncertainty percentages chosen for the Iron and Steel Production sector emission factors are reviewed and updated to be more reflective of the uncertainty of Tier 1 emission factors, which is closer to 25%.</t>
    </r>
  </si>
  <si>
    <t>Point 126 of external inventory review</t>
  </si>
  <si>
    <t>Accuracey: Possible uncertainty correction</t>
  </si>
  <si>
    <t>No description of the data collection process for this category has been provided. It is recommended that a documented procedure is developed to ensure easy traceability and replicability of data sources and calculation.</t>
  </si>
  <si>
    <t>Point 127 of external inventory review</t>
  </si>
  <si>
    <t>LS: I think the NGHGIS should take care of some of these issues.</t>
  </si>
  <si>
    <t>The QC system appears to have been set up to perform general inventory checks. However, it appears as if the system was not used extensively for this category. For example, a few queries were raised for the category but it appears as if none of the queries were addressed (or responses were recorded). The queries that were logged in the QA log should be addressed.</t>
  </si>
  <si>
    <t>Point 128 of external inventory review</t>
  </si>
  <si>
    <t>QA/QC checks</t>
  </si>
  <si>
    <t>LS: QA system was setup while inventory was being compiled so full QA/QC system was not operational during 2015 inventory. The 2017 inventory will make full use of the QA/QC system setup</t>
  </si>
  <si>
    <t>4: IPPU: Key categories: Ferroalloy production</t>
  </si>
  <si>
    <r>
      <t xml:space="preserve">This category was identified as a key category (in both the current and previous NIR submission) and thus the Party should be aiming to use a higher tier method. According to the 2006 IPCC Guidelines (V3 Ch 4 p4.32) "The Tier 1 method calculates emissions from general emission factors applied to a country’s total ferroalloy production. The Tier 1 method is very simple, and it may lead to errors due to its reliance on assumptions rather than actual data. Therefore, it is appropriate only when ferroalloy production is not a key category." This is a repeated observation from the previous review. </t>
    </r>
    <r>
      <rPr>
        <sz val="10"/>
        <color rgb="FFFF0000"/>
        <rFont val="Calibri"/>
        <family val="2"/>
        <scheme val="minor"/>
      </rPr>
      <t>It is recommended that the Party improve the collection of data for this category to allow them to use a higher tier method in the future. It is recommended that as a minimum, plant specific production data is obtained to ensure that the source activity data is accurate. However, in future in order to move to a higher tier method, it is recommended that plant specific GHG data (or measured emissions) is obtained.</t>
    </r>
  </si>
  <si>
    <t>Point 130 of external inventory review</t>
  </si>
  <si>
    <t>Improvement</t>
  </si>
  <si>
    <t>LS: Hopefully GHG regulation will provide more plant specific data to be used in future.</t>
  </si>
  <si>
    <t>Add to future improvement list</t>
  </si>
  <si>
    <r>
      <t>A Tier 1 methodology is applied for the calculation of emissions from ferroalloys (production data multiplied by relevant default IPCC emission factors). The emission factors chosen are in accordance with the Tier 1 approach and align with the emission factors provided in the IPCC, with the exception of the emission factor for Ferrochromium. An emission factor of 3.22452 tonnes CO2/tonne of Ferrochrome was used in the inventory calculation for 2012. This emission factor has also changed year on year - in 2009 it was 4.2903 tonnes CO2/tonne of Ferrochrome while between 2006-2008 it varied between 2.5 and 2.8 tonnes CO2/tonne of Ferrochrome. This is significantly higher than the emission factor of 1.3 to 1.6 tonnes CO2/tonne of Ferrochrome provided as a default emission factor Table 4.5 of Volume 3 of the 2006 IPCC Guideline. Neither the NIR document nor the Excel spreadsheets provide any detail as to the source of this emission factor, nor the reasons why it has changed so significantly year on year. It is recommended that the source of the emission factor is documented in both the NIR and excel spreadsheets.</t>
    </r>
    <r>
      <rPr>
        <sz val="10"/>
        <color rgb="FFFF0000"/>
        <rFont val="Calibri"/>
        <family val="2"/>
        <scheme val="minor"/>
      </rPr>
      <t xml:space="preserve"> Reasons for the emission factor being so much higher than the default value should be provided. In addition, the variation in the emission factor across the time series needs to be justified. This is a repeat observation from the 5th inventory review.</t>
    </r>
  </si>
  <si>
    <t>Point 131 of external inventory review</t>
  </si>
  <si>
    <t>LS: It is explained in a comment in the calculation file that industry supplied emission data directly and the EF is just an implied emission factor based on production and emisison data. IEF has been removed from calculation file to make it more clear. Between 2013 and 2015 no industry emissions were supplied therefore the IEF from 2012 was used in this case. This will be updated in next inventory. Note has been included in calculation file and text in NIR has been improved to explain this better.</t>
  </si>
  <si>
    <r>
      <t xml:space="preserve">A brief description is provided of the methodologies used for the different production processes. The NIR does not provide a clear and sufficient description of the methods used. The NIR briefly indicates that Tier 1 and Tier 3 (for ferrochromium) approaches have been used. However, there is no explanation of the basis for the methodological choice, emission factor and activity data. No documentation has been provided to assess whether the emissions for ferrochromium production were determined using a prescribed Tier 3 method or if these were actually measured. </t>
    </r>
    <r>
      <rPr>
        <sz val="10"/>
        <color rgb="FFFF0000"/>
        <rFont val="Calibri"/>
        <family val="2"/>
        <scheme val="minor"/>
      </rPr>
      <t>It is recommended that NIR clearly describes the method used for each production process, the basis for the choice and provide clearer references to the method used for each production process, the basis for the choice and provide clearer references to  activity data.</t>
    </r>
  </si>
  <si>
    <t>Point 132 of external inventory review</t>
  </si>
  <si>
    <r>
      <t xml:space="preserve">The NIR states: "Ferrochromium emissions for 2000 to 2012 were supplied by industry, however in this submission the updated values for 2013 to 2015 were not available". This suggests that a Tier 3 approach using site specific data was used and that there is only a gap for 2013 to 2015. However, a review of the previous (2012) NIR and CRF tables shows that this statement is incorrect. The Ferrochromium emissions were calculated in the 2012 CRF tables using country-level production data and what appears to be country specific emission factors. For the 2013 to 2015 data, the Party has used country-level production data and the assumption was made that the 2012 emission factor was applicable for this period. </t>
    </r>
    <r>
      <rPr>
        <sz val="10"/>
        <color rgb="FFFF0000"/>
        <rFont val="Calibri"/>
        <family val="2"/>
        <scheme val="minor"/>
      </rPr>
      <t>The NIR must be updated with the correct information in the text indicating that country specific emission factors were not obtained for 2013 to 2015 and reasons must be provided for the assumption about the constant emission factor applied to the 2013 to 2015 period.</t>
    </r>
  </si>
  <si>
    <t>Point 133 of external inventory review</t>
  </si>
  <si>
    <t>LS: This is related to point 131 and has been corrected as mentioned above.</t>
  </si>
  <si>
    <r>
      <t xml:space="preserve">The source of activity data for the Ferroalloy Production categories was sourced from the SAMI (2014 - 2015) report published by the DMR. Reviewing the source data from the SAMI report shows inconsistencies with the activity data used in the inventory for the calculation of GHG emissions from the Ferroalloy categories. The following issues were observed:
a) It is noted in the NIR that "For ferromanganese production the 7% C values were taken to be the high and medium carbon ferromanganese and the 1% C values were the other manganese alloys (DMR, 2013, 2015)." In the CRF tables, it is noted that the 2015 ferromanganese data was obtained directly from the DMR, thus there is no reference/source for this data. In addition, there was no split provided for the different ferromanganese alloys (1% and 7% C), thus the historical ratio between the two was used. The NIR must provide an explanation and justification for the choices made of the different categories of ferroalloys from the source data which corresponds with the IPCC categories.
b) It is observed that for 2014 the split between ferromanganese 7% C and 1% C in the CRF tables does not add up to the total provided in the source document (970 000 tonnes in the CRF tables vs 1 009 000 tonnes in the source document). For 2013 and 2015, the split for the ferromanganese 7% C and 1% C in the CRF tables adds up to the total in the source document. The 2014 data should be reviewed and corrected.
c) The ferrosilicon data in the calculation spreadsheet does not correspond to the data in the provided source reference files (SAMI 2014-2015) for 2010 (127.7 tonnes vs 128.8 tonnes in the CRF table) and 2011 (126.2 tonnes vs 126 tonnes in the CRF table). The compilers should review the data discrepancy and update with the correct data.
</t>
    </r>
    <r>
      <rPr>
        <sz val="10"/>
        <color rgb="FFFF0000"/>
        <rFont val="Calibri"/>
        <family val="2"/>
        <scheme val="minor"/>
      </rPr>
      <t>The Party must confirm which numbers are correct and update the Inventory accordingly.</t>
    </r>
  </si>
  <si>
    <t>Point 134 of external inventory review</t>
  </si>
  <si>
    <t>Transparency and accuracey: Possible errors</t>
  </si>
  <si>
    <t>LS: Concerning point a) Phindile needs to provide information; Point b) correction made in calculation file and explanation added; point c) corrected the data in the calculation file and made a note.</t>
  </si>
  <si>
    <r>
      <t>As explained in the NIR, the Tier 1 approach for metal production emission estimates generates several uncertainties. For example, the 2006 IPCC Guidelines explain that applying Tier 1 to default emission factors for Iron and Steel Production may have an uncertainty of ± 25%. The same range of uncertainty is associated with the Tier 1 approach for ferroalloy production emission factors. This overall uncertainty means that the confidence in the emissions from this source category is low. The IPPC 2006 Guidelines (Section 4.3.3.1, page 4.40) indicate that the default emission factors used in Tier 1 for Ferroalloys Production may have an uncertainty of 25 to 50%. This indicates that the 25% uncertainty percentage chosen for this category is on the lower range, and may indeed be higher. In addition, a 5% uncertainty was provided for the activity data but no specific reasons for this were provided.</t>
    </r>
    <r>
      <rPr>
        <sz val="10"/>
        <color rgb="FFFF0000"/>
        <rFont val="Calibri"/>
        <family val="2"/>
        <scheme val="minor"/>
      </rPr>
      <t xml:space="preserve"> In order to reduce uncertainty, it is recommended that site specific data is urgently acquired for metal production activities. Other improvements would be ensuring that site-specific or country-specific emission factors are determined. It is further recommended that reasonable justification is provided for the uncertainty percentages chosen for activity data and emission factors.</t>
    </r>
  </si>
  <si>
    <t>Point 135 of external inventory review</t>
  </si>
  <si>
    <t>Transparency; Uncertainty - suggested improvements</t>
  </si>
  <si>
    <t>LS: Phindile to check and correct</t>
  </si>
  <si>
    <t>No description of the data collection process for this sources has been provided. It is recommended that a documented procedure is developed to ensure easy traceability and replicability of data sources and calculations.</t>
  </si>
  <si>
    <t>Point 136 of external inventory review</t>
  </si>
  <si>
    <t>The QC system appears to have been set up to perform general inventory checks. However, it appears as if the system was not used extensively for this category. For example, a few queries were raised for the category but it appears as is none of the queries were addressed (or responses recorded). The queries that were logged in the QA log should be addressed.</t>
  </si>
  <si>
    <t>Point 137 of external inventory review</t>
  </si>
  <si>
    <t>Conversion Factors</t>
  </si>
  <si>
    <t xml:space="preserve">Use this table to compile all relevant conversion factors. These are linked to in the compilations sheets. </t>
  </si>
  <si>
    <t>GWP</t>
  </si>
  <si>
    <t>Gas</t>
  </si>
  <si>
    <t>Data source reference</t>
  </si>
  <si>
    <t>SAR</t>
  </si>
  <si>
    <t>TAR</t>
  </si>
  <si>
    <t>CH4</t>
  </si>
  <si>
    <t>IPCC SAR</t>
  </si>
  <si>
    <t>N2O</t>
  </si>
  <si>
    <t>CF4</t>
  </si>
  <si>
    <t>C2F6</t>
  </si>
  <si>
    <t>HFC-23</t>
  </si>
  <si>
    <t>HFC-32</t>
  </si>
  <si>
    <t>HFC-125</t>
  </si>
  <si>
    <t>HFC-134a</t>
  </si>
  <si>
    <t>HFC-143a</t>
  </si>
  <si>
    <t>HFC-227ea</t>
  </si>
  <si>
    <t>HFC-365mfc</t>
  </si>
  <si>
    <t>HFC-152a</t>
  </si>
  <si>
    <t>GHG Source and sink category</t>
  </si>
  <si>
    <r>
      <t>CO</t>
    </r>
    <r>
      <rPr>
        <b/>
        <vertAlign val="subscript"/>
        <sz val="10"/>
        <color rgb="FFFFFFFF"/>
        <rFont val="Calibri"/>
        <family val="2"/>
      </rPr>
      <t>2</t>
    </r>
    <r>
      <rPr>
        <b/>
        <sz val="10"/>
        <color rgb="FFFFFFFF"/>
        <rFont val="Calibri"/>
        <family val="2"/>
      </rPr>
      <t xml:space="preserve"> </t>
    </r>
  </si>
  <si>
    <r>
      <t>CH</t>
    </r>
    <r>
      <rPr>
        <b/>
        <vertAlign val="subscript"/>
        <sz val="10"/>
        <color rgb="FFFFFFFF"/>
        <rFont val="Calibri"/>
        <family val="2"/>
      </rPr>
      <t>4</t>
    </r>
  </si>
  <si>
    <r>
      <t>N</t>
    </r>
    <r>
      <rPr>
        <b/>
        <vertAlign val="subscript"/>
        <sz val="10"/>
        <color rgb="FFFFFFFF"/>
        <rFont val="Calibri"/>
        <family val="2"/>
      </rPr>
      <t>2</t>
    </r>
    <r>
      <rPr>
        <b/>
        <sz val="10"/>
        <color rgb="FFFFFFFF"/>
        <rFont val="Calibri"/>
        <family val="2"/>
      </rPr>
      <t xml:space="preserve">O </t>
    </r>
  </si>
  <si>
    <t>HFCs</t>
  </si>
  <si>
    <t>PFCs</t>
  </si>
  <si>
    <t>TM</t>
  </si>
  <si>
    <t>EF</t>
  </si>
  <si>
    <t>A</t>
  </si>
  <si>
    <t>Mineral industry</t>
  </si>
  <si>
    <t>Cement production</t>
  </si>
  <si>
    <t>T1</t>
  </si>
  <si>
    <t>DF</t>
  </si>
  <si>
    <t>NO</t>
  </si>
  <si>
    <t>Lime production</t>
  </si>
  <si>
    <t>T2</t>
  </si>
  <si>
    <t>Lime is disagregated into lime types.</t>
  </si>
  <si>
    <t>Glass production</t>
  </si>
  <si>
    <t>Other process uses of carbonates</t>
  </si>
  <si>
    <t>NE</t>
  </si>
  <si>
    <t>B</t>
  </si>
  <si>
    <t>Chemical industry</t>
  </si>
  <si>
    <t>Ammonia production</t>
  </si>
  <si>
    <t>T3</t>
  </si>
  <si>
    <t>CS</t>
  </si>
  <si>
    <t>CO2 and CH4 emissions calculated by industry.</t>
  </si>
  <si>
    <t>Nitric acid production</t>
  </si>
  <si>
    <t>N2O emissions calculated by industry.</t>
  </si>
  <si>
    <t>Adipic acid production</t>
  </si>
  <si>
    <t>Caprolactam, glyoxal and glyoxylic acid production</t>
  </si>
  <si>
    <t>Carbide production</t>
  </si>
  <si>
    <t>Titanium dioxide production</t>
  </si>
  <si>
    <t>Emissions provided by industry.</t>
  </si>
  <si>
    <t>Soda Ash production</t>
  </si>
  <si>
    <t>Petrochemical and carbon black production</t>
  </si>
  <si>
    <t>Fluorochemical production</t>
  </si>
  <si>
    <t>C</t>
  </si>
  <si>
    <t>Metal industry</t>
  </si>
  <si>
    <t>Iron and steel production</t>
  </si>
  <si>
    <t>T1, T2</t>
  </si>
  <si>
    <t>DF, CS</t>
  </si>
  <si>
    <t>CS CO2 EF for direct reduced iron and sinter.</t>
  </si>
  <si>
    <t>Ferroalloy production</t>
  </si>
  <si>
    <t>T1, T3</t>
  </si>
  <si>
    <t>Ferrochromium emissions provided by industry.</t>
  </si>
  <si>
    <t>Aluminium production</t>
  </si>
  <si>
    <t>CF4 and C2F6 emission data supplied by industry.</t>
  </si>
  <si>
    <t>Magnesium production</t>
  </si>
  <si>
    <t>Lead production</t>
  </si>
  <si>
    <t>Zinc production</t>
  </si>
  <si>
    <t>D</t>
  </si>
  <si>
    <t>Non-energy products from fuels and solvents</t>
  </si>
  <si>
    <t>Lubricant use</t>
  </si>
  <si>
    <t>Paraffin wax use</t>
  </si>
  <si>
    <t>Solvent use</t>
  </si>
  <si>
    <t>E</t>
  </si>
  <si>
    <t>Electronics industry</t>
  </si>
  <si>
    <t>Integrated circuit or semiconductor</t>
  </si>
  <si>
    <t>TFT flat panel display</t>
  </si>
  <si>
    <t>Photovoltaics</t>
  </si>
  <si>
    <t>Heat transfer fluid</t>
  </si>
  <si>
    <t>F</t>
  </si>
  <si>
    <t>Product uses as substitute ODS</t>
  </si>
  <si>
    <t>Refrigeration and air conditioning</t>
  </si>
  <si>
    <t>Foam blowing agents</t>
  </si>
  <si>
    <t>Fire protection</t>
  </si>
  <si>
    <t>Aerosols</t>
  </si>
  <si>
    <t>Solvents</t>
  </si>
  <si>
    <t>G</t>
  </si>
  <si>
    <t>Other product manufacture and use</t>
  </si>
  <si>
    <t>Electrical equipment</t>
  </si>
  <si>
    <t>SF6 and PFCs from other product uses</t>
  </si>
  <si>
    <t>NA</t>
  </si>
  <si>
    <r>
      <t>N</t>
    </r>
    <r>
      <rPr>
        <i/>
        <vertAlign val="subscript"/>
        <sz val="10"/>
        <color theme="1"/>
        <rFont val="Calibri"/>
        <family val="2"/>
      </rPr>
      <t>2</t>
    </r>
    <r>
      <rPr>
        <i/>
        <sz val="10"/>
        <color theme="1"/>
        <rFont val="Calibri"/>
        <family val="2"/>
      </rPr>
      <t>O from product uses</t>
    </r>
  </si>
  <si>
    <t>H</t>
  </si>
  <si>
    <t>Other</t>
  </si>
  <si>
    <t>Pulp and paper industry</t>
  </si>
  <si>
    <t>Food and beverage industry</t>
  </si>
  <si>
    <t>Sub-category</t>
  </si>
  <si>
    <t>Activity data</t>
  </si>
  <si>
    <t>Cement produced</t>
  </si>
  <si>
    <t>SAMI Report from DMRE</t>
  </si>
  <si>
    <t>Clinker fraction</t>
  </si>
  <si>
    <t>Cement industries</t>
  </si>
  <si>
    <t>Mass of lime produced</t>
  </si>
  <si>
    <t>Glass production industries (PG Group, Consol Glass and Nampak)</t>
  </si>
  <si>
    <t>Emissions from ammonia production</t>
  </si>
  <si>
    <t>Sasol</t>
  </si>
  <si>
    <t>Emissions from nitric acid production</t>
  </si>
  <si>
    <t>Other smaller nitric acid production plants</t>
  </si>
  <si>
    <t>Raw material (petroleum coke) consumption</t>
  </si>
  <si>
    <t> SAMI report – DMRE (2017)</t>
  </si>
  <si>
    <t>Emissions from titanium dioxide production</t>
  </si>
  <si>
    <t>Carbon black production</t>
  </si>
  <si>
    <r>
      <t>Amount of carbon black produced</t>
    </r>
    <r>
      <rPr>
        <sz val="8"/>
        <color theme="1"/>
        <rFont val="Cambria"/>
        <family val="1"/>
      </rPr>
      <t> </t>
    </r>
  </si>
  <si>
    <r>
      <t> </t>
    </r>
    <r>
      <rPr>
        <sz val="10"/>
        <color theme="1"/>
        <rFont val="Calibri"/>
        <family val="2"/>
      </rPr>
      <t>Orion Engineered Carbons (Pty) Ltd</t>
    </r>
  </si>
  <si>
    <t>Production data</t>
  </si>
  <si>
    <t>South African Iron and Steel Institute (SAISI)</t>
  </si>
  <si>
    <t>Ferroalloys production</t>
  </si>
  <si>
    <t>South African Minerals Industry (SAMI) Report produced by DMRE</t>
  </si>
  <si>
    <t>Aluminium industry</t>
  </si>
  <si>
    <t>SAMI Report produced by DMRE (2017)</t>
  </si>
  <si>
    <t>Lubricant consumption</t>
  </si>
  <si>
    <t>Energy balance data from DoE</t>
  </si>
  <si>
    <t>Paraffin wax consumption</t>
  </si>
  <si>
    <t>Existing, new and retired refrigerators</t>
  </si>
  <si>
    <t>HFC Survey  DEA; Stats SA</t>
  </si>
  <si>
    <t>Annual data on stationary air conditioning units</t>
  </si>
  <si>
    <t>HFC Survey, DEA; BSRIA</t>
  </si>
  <si>
    <t>Existing, new and retired refrigeration trucks</t>
  </si>
  <si>
    <t>HFC study (GIZ, 2014); SARDA</t>
  </si>
  <si>
    <t>Existing. New and retired vehicles</t>
  </si>
  <si>
    <t>eNaTIS; NAAMSA</t>
  </si>
  <si>
    <t xml:space="preserve">Total HFC used in foam manufacturing in a year </t>
  </si>
  <si>
    <t>HFC Survey  DEA</t>
  </si>
  <si>
    <t>Bank of agent in fire protection equipment in a year</t>
  </si>
  <si>
    <t>Inventory Year: 2017</t>
  </si>
  <si>
    <t>Categories</t>
  </si>
  <si>
    <t>(Gg)</t>
  </si>
  <si>
    <r>
      <t>CO</t>
    </r>
    <r>
      <rPr>
        <b/>
        <vertAlign val="subscript"/>
        <sz val="10"/>
        <color theme="0"/>
        <rFont val="Arial"/>
        <family val="2"/>
      </rPr>
      <t>2</t>
    </r>
    <r>
      <rPr>
        <b/>
        <sz val="10"/>
        <color theme="0"/>
        <rFont val="Arial"/>
        <family val="2"/>
      </rPr>
      <t xml:space="preserve"> Equivalents(Gg)</t>
    </r>
  </si>
  <si>
    <t>Emissions</t>
  </si>
  <si>
    <r>
      <t>CO</t>
    </r>
    <r>
      <rPr>
        <b/>
        <vertAlign val="subscript"/>
        <sz val="10"/>
        <color theme="0"/>
        <rFont val="Arial"/>
        <family val="2"/>
      </rPr>
      <t>2</t>
    </r>
  </si>
  <si>
    <r>
      <t>CH</t>
    </r>
    <r>
      <rPr>
        <b/>
        <vertAlign val="subscript"/>
        <sz val="10"/>
        <color theme="0"/>
        <rFont val="Arial"/>
        <family val="2"/>
      </rPr>
      <t>4</t>
    </r>
  </si>
  <si>
    <r>
      <t>N</t>
    </r>
    <r>
      <rPr>
        <b/>
        <vertAlign val="subscript"/>
        <sz val="10"/>
        <color theme="0"/>
        <rFont val="Arial"/>
        <family val="2"/>
      </rPr>
      <t>2</t>
    </r>
    <r>
      <rPr>
        <b/>
        <sz val="10"/>
        <color theme="0"/>
        <rFont val="Arial"/>
        <family val="2"/>
      </rPr>
      <t>O</t>
    </r>
  </si>
  <si>
    <t>SF6</t>
  </si>
  <si>
    <t>NOx</t>
  </si>
  <si>
    <t>CO</t>
  </si>
  <si>
    <t>NMVOCs</t>
  </si>
  <si>
    <r>
      <t>SO</t>
    </r>
    <r>
      <rPr>
        <b/>
        <vertAlign val="subscript"/>
        <sz val="10"/>
        <color theme="0"/>
        <rFont val="Arial"/>
        <family val="2"/>
      </rPr>
      <t>2</t>
    </r>
  </si>
  <si>
    <r>
      <t>(Gg CO</t>
    </r>
    <r>
      <rPr>
        <b/>
        <vertAlign val="subscript"/>
        <sz val="10"/>
        <color theme="0"/>
        <rFont val="Arial"/>
        <family val="2"/>
      </rPr>
      <t>2</t>
    </r>
    <r>
      <rPr>
        <b/>
        <sz val="10"/>
        <color theme="0"/>
        <rFont val="Arial"/>
        <family val="2"/>
      </rPr>
      <t>e)</t>
    </r>
  </si>
  <si>
    <t xml:space="preserve">2 - Industrial Processes and Product Use </t>
  </si>
  <si>
    <t xml:space="preserve">   2.A - Mineral Industry </t>
  </si>
  <si>
    <t xml:space="preserve">      2.A.1 - Cement production </t>
  </si>
  <si>
    <t xml:space="preserve">      2.A.2 - Lime production </t>
  </si>
  <si>
    <t xml:space="preserve">      2.A.3 - Glass Production </t>
  </si>
  <si>
    <t xml:space="preserve">      2.A.4 - Other Process Uses of Carbonates </t>
  </si>
  <si>
    <t xml:space="preserve">         2.A.4.a - Ceramics </t>
  </si>
  <si>
    <t xml:space="preserve">         2.A.4.b - Other Uses of Soda Ash </t>
  </si>
  <si>
    <t xml:space="preserve">         2.A.4.c - Non Metallurgical Magnesia Production </t>
  </si>
  <si>
    <t xml:space="preserve">         2.A.4.d - Other (please specify)  (3)</t>
  </si>
  <si>
    <t xml:space="preserve">      2.A.5 - Other (please specify)  (3)</t>
  </si>
  <si>
    <t xml:space="preserve">   2.B - Chemical Industry </t>
  </si>
  <si>
    <t xml:space="preserve">      2.B.1 - Ammonia Production </t>
  </si>
  <si>
    <t xml:space="preserve">      2.B.2 - Nitric Acid Production </t>
  </si>
  <si>
    <t xml:space="preserve">      2.B.3 - Adipic Acid Production </t>
  </si>
  <si>
    <t xml:space="preserve">      2.B.4 - Caprolactam, Glyoxal and Glyoxylic Acid Production </t>
  </si>
  <si>
    <t xml:space="preserve">      2.B.5 - Carbide Production </t>
  </si>
  <si>
    <t xml:space="preserve">      2.B.6 - Titanium Dioxide Production </t>
  </si>
  <si>
    <t xml:space="preserve">      2.B.7 - Soda Ash Production </t>
  </si>
  <si>
    <t xml:space="preserve">      2.B.8 - Petrochemical and Carbon Black Production </t>
  </si>
  <si>
    <t xml:space="preserve">         2.B.8.a - Methanol </t>
  </si>
  <si>
    <t xml:space="preserve">         2.B.8.b - Ethylene </t>
  </si>
  <si>
    <t xml:space="preserve">         2.B.8.c - Ethylene Dichloride and Vinyl Chloride Monomer </t>
  </si>
  <si>
    <t xml:space="preserve">         2.B.8.d - Ethylene Oxide </t>
  </si>
  <si>
    <t xml:space="preserve">         2.B.8.e - Acrylonitrile </t>
  </si>
  <si>
    <t xml:space="preserve">         2.B.8.f - Carbon Black </t>
  </si>
  <si>
    <t xml:space="preserve">      2.B.9 - Fluorochemical Production </t>
  </si>
  <si>
    <t xml:space="preserve">         2.B.9.a - By-product emissions  (4)</t>
  </si>
  <si>
    <t xml:space="preserve">         2.B.9.b - Fugitive Emissions  (4)</t>
  </si>
  <si>
    <t xml:space="preserve">      2.B.10 - Other (Please specify)  (3)</t>
  </si>
  <si>
    <t xml:space="preserve">   2.C - Metal Industry </t>
  </si>
  <si>
    <t xml:space="preserve">      2.C.1 - Iron and Steel Production </t>
  </si>
  <si>
    <t xml:space="preserve">      2.C.2 - Ferroalloys Production </t>
  </si>
  <si>
    <t xml:space="preserve">      2.C.3 - Aluminium production </t>
  </si>
  <si>
    <t xml:space="preserve">      2.C.4 - Magnesium production  (5)</t>
  </si>
  <si>
    <t xml:space="preserve">      2.C.5 - Lead Production </t>
  </si>
  <si>
    <t xml:space="preserve">      2.C.6 - Zinc Production </t>
  </si>
  <si>
    <t xml:space="preserve">      2.C.7 - Other (please specify)  (3)</t>
  </si>
  <si>
    <t xml:space="preserve">   2.D - Non-Energy Products from Fuels and Solvent Use  (6)</t>
  </si>
  <si>
    <t xml:space="preserve">      2.D.1 - Lubricant Use </t>
  </si>
  <si>
    <t xml:space="preserve">      2.D.2 - Paraffin Wax Use </t>
  </si>
  <si>
    <t xml:space="preserve">      2.D.3 - Solvent Use  (7)</t>
  </si>
  <si>
    <t xml:space="preserve">      2.D.4 - Other (please specify)  (3), (8)</t>
  </si>
  <si>
    <t xml:space="preserve">   2.E - Electronics Industry </t>
  </si>
  <si>
    <t xml:space="preserve">      2.E.1 - Integrated Circuit or Semiconductor  (9)</t>
  </si>
  <si>
    <t xml:space="preserve">      2.E.2 - TFT Flat Panel Display  (9)</t>
  </si>
  <si>
    <t xml:space="preserve">      2.E.3 - Photovoltaics  (9)</t>
  </si>
  <si>
    <t xml:space="preserve">      2.E.4 - Heat Transfer Fluid  (10)</t>
  </si>
  <si>
    <t xml:space="preserve">      2.E.5 - Other (please specify)  (3)</t>
  </si>
  <si>
    <t xml:space="preserve">   2.F - Product Uses as Substitutes for Ozone Depleting Substances </t>
  </si>
  <si>
    <t xml:space="preserve">      2.F.1 - Refrigeration and Air Conditioning </t>
  </si>
  <si>
    <t xml:space="preserve">         2.F.1.a - Refrigeration and Stationary Air Conditioning </t>
  </si>
  <si>
    <t xml:space="preserve">         2.F.1.b - Mobile Air Conditioning </t>
  </si>
  <si>
    <t xml:space="preserve">      2.F.2 - Foam Blowing Agents </t>
  </si>
  <si>
    <t xml:space="preserve">      2.F.3 - Fire Protection </t>
  </si>
  <si>
    <t xml:space="preserve">      2.F.4 - Aerosols </t>
  </si>
  <si>
    <t xml:space="preserve">      2.F.5 - Solvents </t>
  </si>
  <si>
    <t xml:space="preserve">      2.F.6 - Other Applications (please specify)  (3)</t>
  </si>
  <si>
    <t xml:space="preserve">   2.G - Other Product Manufacture and Use </t>
  </si>
  <si>
    <t xml:space="preserve">      2.G.1 - Electrical Equipment </t>
  </si>
  <si>
    <t xml:space="preserve">         2.G.1.a - Manufacture of Electrical Equipment </t>
  </si>
  <si>
    <t xml:space="preserve">         2.G.1.b - Use of Electrical Equipment </t>
  </si>
  <si>
    <t xml:space="preserve">         2.G.1.c - Disposal of Electrical Equipment </t>
  </si>
  <si>
    <t xml:space="preserve">      2.G.2 - SF6 and PFCs from Other Product Uses </t>
  </si>
  <si>
    <t xml:space="preserve">         2.G.2.a - Military Applications </t>
  </si>
  <si>
    <t xml:space="preserve">         2.G.2.b - Accelerators </t>
  </si>
  <si>
    <t xml:space="preserve">         2.G.2.c - Other (please specify)  (3)</t>
  </si>
  <si>
    <t xml:space="preserve">      2.G.3 - N2O from Product Uses </t>
  </si>
  <si>
    <t xml:space="preserve">         2.G.3.a - Medical Applications </t>
  </si>
  <si>
    <t xml:space="preserve">         2.G.3.b - Propellant for pressure and aerosol products </t>
  </si>
  <si>
    <t xml:space="preserve">         2.G.3.c - Other (Please specify)  (3)</t>
  </si>
  <si>
    <t xml:space="preserve">      2.G.4 - Other (Please specify)  (3)</t>
  </si>
  <si>
    <t xml:space="preserve">   2.H - Other </t>
  </si>
  <si>
    <t xml:space="preserve">      2.H.1 - Pulp and Paper Industry </t>
  </si>
  <si>
    <t xml:space="preserve">      2.H.2 - Food and Beverages Industry </t>
  </si>
  <si>
    <t xml:space="preserve">      2.H.3 - Other (please specify)  (3)</t>
  </si>
  <si>
    <t>Mineral industries</t>
  </si>
  <si>
    <t>Mineral industry activity data</t>
  </si>
  <si>
    <t>Chemical industries</t>
  </si>
  <si>
    <t>Metal industries</t>
  </si>
  <si>
    <t>Iron and steel activity data</t>
  </si>
  <si>
    <t>Ferroalloy production data</t>
  </si>
  <si>
    <t>Lead and zinc production</t>
  </si>
  <si>
    <t>Non-energy products</t>
  </si>
  <si>
    <t>ODS</t>
  </si>
  <si>
    <t>Total</t>
  </si>
  <si>
    <t>Quick lime production</t>
  </si>
  <si>
    <t>Hydrated lime production</t>
  </si>
  <si>
    <t>Basic oxygen furnace</t>
  </si>
  <si>
    <t>Electric arc</t>
  </si>
  <si>
    <t>Pig iron</t>
  </si>
  <si>
    <t>Direct reduced iron</t>
  </si>
  <si>
    <t>Ferro-chromium</t>
  </si>
  <si>
    <t>Ferro-manganese (7% C)</t>
  </si>
  <si>
    <t>Ferro-manganese (1% C)</t>
  </si>
  <si>
    <t>Ferro-silicon (65% Si)</t>
  </si>
  <si>
    <t>Silicon metal</t>
  </si>
  <si>
    <t>Lead</t>
  </si>
  <si>
    <t>Zinc</t>
  </si>
  <si>
    <t>Lubricant</t>
  </si>
  <si>
    <t>Paraffin wax</t>
  </si>
  <si>
    <t>Gg CO2e</t>
  </si>
  <si>
    <t>Production (tonne)</t>
  </si>
  <si>
    <t>Emissions (Gg CO2e)</t>
  </si>
  <si>
    <t>Consumption (tonne)</t>
  </si>
  <si>
    <t>Summary table</t>
  </si>
  <si>
    <t>The table below links to the total emissions time series in each category</t>
  </si>
  <si>
    <t>Sector</t>
  </si>
  <si>
    <t>IPCC code</t>
  </si>
  <si>
    <t xml:space="preserve">Category </t>
  </si>
  <si>
    <t xml:space="preserve">Gas </t>
  </si>
  <si>
    <t>Unit</t>
  </si>
  <si>
    <t>Trend</t>
  </si>
  <si>
    <t>Industrial Processes and Product Use</t>
  </si>
  <si>
    <t>Total IPPU</t>
  </si>
  <si>
    <t>All</t>
  </si>
  <si>
    <t>GgCO2 eq</t>
  </si>
  <si>
    <t>2A</t>
  </si>
  <si>
    <t>2A1</t>
  </si>
  <si>
    <t>Cement Production</t>
  </si>
  <si>
    <t>2A2</t>
  </si>
  <si>
    <t>Lime Production</t>
  </si>
  <si>
    <t>2A3</t>
  </si>
  <si>
    <t>Glass Production</t>
  </si>
  <si>
    <t>2A4</t>
  </si>
  <si>
    <t>Other Process Uses of Carbonates</t>
  </si>
  <si>
    <t>2A5</t>
  </si>
  <si>
    <t>Other (please specify)</t>
  </si>
  <si>
    <t>2B</t>
  </si>
  <si>
    <t>2B1</t>
  </si>
  <si>
    <t>Ammonia Production</t>
  </si>
  <si>
    <t>2B2</t>
  </si>
  <si>
    <t>Nitric Acid Production</t>
  </si>
  <si>
    <t>2B3</t>
  </si>
  <si>
    <t>Adipic Acrid Production</t>
  </si>
  <si>
    <t>2B4</t>
  </si>
  <si>
    <t>Caprolactam, Glyoxal and Glyoxylic Acid Production</t>
  </si>
  <si>
    <t>2B5</t>
  </si>
  <si>
    <t>Carbide Production</t>
  </si>
  <si>
    <t>2B6</t>
  </si>
  <si>
    <t>Titanium Dioxide Production</t>
  </si>
  <si>
    <t>2B7</t>
  </si>
  <si>
    <t>Soda Ash Production</t>
  </si>
  <si>
    <t>2B8</t>
  </si>
  <si>
    <t>Petrochemical and Carbon Black Production</t>
  </si>
  <si>
    <t>2B9</t>
  </si>
  <si>
    <t>Fluorochemical Production</t>
  </si>
  <si>
    <t>2B10</t>
  </si>
  <si>
    <t>2C</t>
  </si>
  <si>
    <t>2C1</t>
  </si>
  <si>
    <t>Iron and Steel Production</t>
  </si>
  <si>
    <t>2C2</t>
  </si>
  <si>
    <t>Ferroalloys Production</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</si>
  <si>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</si>
  <si>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</si>
  <si>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</si>
  <si>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</si>
  <si>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</si>
  <si>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</si>
  <si>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</si>
  <si>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</si>
  <si>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</si>
  <si>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</si>
  <si>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</si>
  <si>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</si>
  <si>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</si>
  <si>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</si>
  <si>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</si>
  <si>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</si>
  <si>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</si>
  <si>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</si>
  <si>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</si>
  <si>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2E1</t>
  </si>
  <si>
    <t>Integrated Circuit or Semiconductor</t>
  </si>
  <si>
    <t>2E2</t>
  </si>
  <si>
    <t>TFT Flat Panel Display</t>
  </si>
  <si>
    <t>2E3</t>
  </si>
  <si>
    <t>2E4</t>
  </si>
  <si>
    <t>Heat Transfer Fluid</t>
  </si>
  <si>
    <t>2E5</t>
  </si>
  <si>
    <t>2F</t>
  </si>
  <si>
    <t>Product uses as substitutes for ozone depleting substances</t>
  </si>
  <si>
    <t>2F1</t>
  </si>
  <si>
    <t>Refrigeration and Air Conditioning</t>
  </si>
  <si>
    <t>2F2</t>
  </si>
  <si>
    <t>Foam Blowing Agents</t>
  </si>
  <si>
    <t>2F3</t>
  </si>
  <si>
    <t>Fire Protection</t>
  </si>
  <si>
    <t>2F4</t>
  </si>
  <si>
    <t>2F5</t>
  </si>
  <si>
    <t>2F6</t>
  </si>
  <si>
    <t>Other Applications (please specify)</t>
  </si>
  <si>
    <t>2G</t>
  </si>
  <si>
    <t>2G1</t>
  </si>
  <si>
    <t>Electrical Equipment</t>
  </si>
  <si>
    <t>2G2</t>
  </si>
  <si>
    <t>SF6 and PFCs from Other Product Use</t>
  </si>
  <si>
    <t>2G3</t>
  </si>
  <si>
    <t>N2O from Product Use</t>
  </si>
  <si>
    <t>2G4</t>
  </si>
  <si>
    <t>2H</t>
  </si>
  <si>
    <t>2H1</t>
  </si>
  <si>
    <t>Pulp and Paper Industry</t>
  </si>
  <si>
    <t>2H2</t>
  </si>
  <si>
    <t>Food and Beverages Industry</t>
  </si>
  <si>
    <t>2H3</t>
  </si>
  <si>
    <t>Total CO2 emissions</t>
  </si>
  <si>
    <t>CO2</t>
  </si>
  <si>
    <t>Total CH4 emissions</t>
  </si>
  <si>
    <t>Total N2O emissions</t>
  </si>
  <si>
    <t>Total F-gas emissions</t>
  </si>
  <si>
    <t>HFC, PFC</t>
  </si>
  <si>
    <t>PFC</t>
  </si>
  <si>
    <t>HFC</t>
  </si>
  <si>
    <t>Copy as values the data from the previous submission. The second table uses conditional formatting to show recalculations. Add documentation to explain any values that aren't 0%.</t>
  </si>
  <si>
    <t>Previous submission</t>
  </si>
  <si>
    <t/>
  </si>
  <si>
    <t>Total CO2</t>
  </si>
  <si>
    <t>Total CH4</t>
  </si>
  <si>
    <t>Total N2O</t>
  </si>
  <si>
    <t>Total IPPU N2O</t>
  </si>
  <si>
    <t>Total F-gas</t>
  </si>
  <si>
    <t>Total IPPU F-gases</t>
  </si>
  <si>
    <t>Percentage change from the previous submission to the current submission with conditional formatting applied. Add documentation to explain all values not equal to 0%. If CHECK appears, this could be due to notation keys.</t>
  </si>
  <si>
    <t>Mineral Industry</t>
  </si>
  <si>
    <t>Recalculation</t>
  </si>
  <si>
    <t>Category</t>
  </si>
  <si>
    <t>Methodology</t>
  </si>
  <si>
    <t>2 Industrial Proccesses and Product Use</t>
  </si>
  <si>
    <t>Time Series</t>
  </si>
  <si>
    <t>2000-2017</t>
  </si>
  <si>
    <t>Pollutants</t>
  </si>
  <si>
    <t>Improvements</t>
  </si>
  <si>
    <t xml:space="preserve">Last edited </t>
  </si>
  <si>
    <t>LS 12/12/2018</t>
  </si>
  <si>
    <t xml:space="preserve">Notes </t>
  </si>
  <si>
    <t>Activity Data</t>
  </si>
  <si>
    <t>Input activity data into the table below for all years, linking to compilation spreadsheets if possible. Where linking is not possible please add a comment on the data source</t>
  </si>
  <si>
    <t>CRF Category</t>
  </si>
  <si>
    <t xml:space="preserve">Activity </t>
  </si>
  <si>
    <t>Mass of individual type of cement produced</t>
  </si>
  <si>
    <t>tonne</t>
  </si>
  <si>
    <t>Clinker fraction in cement</t>
  </si>
  <si>
    <t>fraction</t>
  </si>
  <si>
    <t xml:space="preserve">Mass of clinker in the individual type of cement produced </t>
  </si>
  <si>
    <t>Imports for consumption of clinker</t>
  </si>
  <si>
    <t xml:space="preserve">Exports of clinker </t>
  </si>
  <si>
    <t>Mass of clinker produced in the country</t>
  </si>
  <si>
    <t>Emission Factors</t>
  </si>
  <si>
    <t>Input relevant emission factors, linking to compilation spreadsheets if possible. Add a comment to explain the source of the emission factor</t>
  </si>
  <si>
    <t xml:space="preserve">Mass of CO2 emitted per mass of clinker </t>
  </si>
  <si>
    <t>tCO2/t</t>
  </si>
  <si>
    <t>If only emissions are available, please document reasons and source of data</t>
  </si>
  <si>
    <t>Total emissions</t>
  </si>
  <si>
    <t>tCO2</t>
  </si>
  <si>
    <t>Gg CO2</t>
  </si>
  <si>
    <t>Trends</t>
  </si>
  <si>
    <t>Find below graphs to show the trends in activity data, emission factors and emissions</t>
  </si>
  <si>
    <t>Use the table below to assess the recalculations from the previous submission</t>
  </si>
  <si>
    <t>Copy and paste as values the data from the previous submission</t>
  </si>
  <si>
    <t>IPCC 2006 guidelines info: When country-specific information on lime production by type is not available, apply the default emission factor to national level lime production data. (See Equation 2.8 in Chapter 2 of this volume.)</t>
  </si>
  <si>
    <t>Draft - not checked</t>
  </si>
  <si>
    <t xml:space="preserve">Mass of quicklime produced </t>
  </si>
  <si>
    <t>tonnes</t>
  </si>
  <si>
    <t>Mass of hydrated lime produced</t>
  </si>
  <si>
    <t xml:space="preserve">Mass of CO2 emitted per mass of quicklime </t>
  </si>
  <si>
    <t>LKD correction</t>
  </si>
  <si>
    <t>dimensionless</t>
  </si>
  <si>
    <t>Hydrated lime correction</t>
  </si>
  <si>
    <t>Emissions of quicklime</t>
  </si>
  <si>
    <t>Emissions of hydrated lime</t>
  </si>
  <si>
    <t>To include additional years, double click and drag the boxes to expand the data source range</t>
  </si>
  <si>
    <t xml:space="preserve">Mass of CO2 emitted per mass of hydrated lime </t>
  </si>
  <si>
    <t>Mass of glass produced</t>
  </si>
  <si>
    <t>Average annual cullet ratio</t>
  </si>
  <si>
    <t xml:space="preserve">Mass of CO2 emitted per mass of glass </t>
  </si>
  <si>
    <t>IPCC 2006 Guidelines: 
1) Limestone and other carbonate materials also are consumed in a variety of other industries not covered in Chapter 2 of Volume 3. Examples include carbonates used as fluxes and slagging agents in metals smelting and refining (e.g. iron and steel production and base metals such as copper), and as inputs to the chemical industry (e.g., fertiliser). The methods outlined here for estimating emissions from the use of carbonates are applicable to these other industries as well. It is good practice to allocate emissions from the use of limestone, dolomite and other carbonates to the industrial source category where they are emitted (e.g., iron and steel production).
2) This row should contain estimates of emissions that do not fit into any of the major sources presented in Table 2.7 in Chapter 2 of Volume 3. Insert additional rows, if necessary.
3) For the Tier 1 method, it is consistent with good practice for inventory compilers to assume that 85 percent of carbonates consumed are limestone and 15 percent of carbonates consumed are dolomite. For the Tier 1 method for soda ash use (Other Uses of Soda Ash), this default fraction (0.85:0.15) should not be applied, and the default value for sodium carbonate should be used. (For default emission factors for various carbonates, see Table 2.1 in Chapter 2 of Volume 3.
4) It is suggested that inventory compilers ensure that data on carbonates reflect pure carbonates and not carbonate rock. If data are only available on carbonate rock, a default purity of 95% can be assumed. For clays a default carbonate content of 10% can be assumed, if no other information is available.</t>
  </si>
  <si>
    <t>2000-2015</t>
  </si>
  <si>
    <t>LS 12/05/2017</t>
  </si>
  <si>
    <t xml:space="preserve">2A4 Other Process Uses of Carbonates </t>
  </si>
  <si>
    <t>Ceramics</t>
  </si>
  <si>
    <t>Other Uses of Soda Ash</t>
  </si>
  <si>
    <t>Non Metallurgical Magnesia Production</t>
  </si>
  <si>
    <t>2A4 Ceramics</t>
  </si>
  <si>
    <t xml:space="preserve">Mass of CO2 emitted per mass of carbonate consumed </t>
  </si>
  <si>
    <t>2A4 Other Uses of Soda Ash</t>
  </si>
  <si>
    <t>2A4 Non Metallurgical Magnesia Production</t>
  </si>
  <si>
    <t>2A4 Other</t>
  </si>
  <si>
    <t>Emissions from Ceramics</t>
  </si>
  <si>
    <t>GgCO2</t>
  </si>
  <si>
    <t>Emissions from Other Uses of Soda Ash</t>
  </si>
  <si>
    <t>Emissions from Non Metallurgical Magnesia Production</t>
  </si>
  <si>
    <t>Emissions from Other</t>
  </si>
  <si>
    <t>Total Emissions</t>
  </si>
  <si>
    <t>Chemical Industry</t>
  </si>
  <si>
    <t>Gg CH4</t>
  </si>
  <si>
    <t>Gg N2O</t>
  </si>
  <si>
    <t>Chemical Industry (total)</t>
  </si>
  <si>
    <t xml:space="preserve">Chemical Industry </t>
  </si>
  <si>
    <t>GgCH4</t>
  </si>
  <si>
    <t>Gg CH5</t>
  </si>
  <si>
    <t>GgCH5</t>
  </si>
  <si>
    <t>Gg CH6</t>
  </si>
  <si>
    <t>GgCH6</t>
  </si>
  <si>
    <t>Gg CH7</t>
  </si>
  <si>
    <t>GgCH7</t>
  </si>
  <si>
    <t>Gg CH8</t>
  </si>
  <si>
    <t>GgCH8</t>
  </si>
  <si>
    <t>Chemical Industry (Total)</t>
  </si>
  <si>
    <t>CO2, CH4</t>
  </si>
  <si>
    <t>LS 13/12/2018</t>
  </si>
  <si>
    <t>Amount of ammonia produced</t>
  </si>
  <si>
    <t>Fuel requirement for ammonia production</t>
  </si>
  <si>
    <t>GJ/tonne ammonia</t>
  </si>
  <si>
    <t>Carbon content of fuel</t>
  </si>
  <si>
    <t>kg C/GJ</t>
  </si>
  <si>
    <t>CO2 generated</t>
  </si>
  <si>
    <t>kg CO2</t>
  </si>
  <si>
    <t>Amount of urea produced</t>
  </si>
  <si>
    <t>kg</t>
  </si>
  <si>
    <t>CO2 recovered for urea production</t>
  </si>
  <si>
    <t>Emission Factors and Conversion Factors</t>
  </si>
  <si>
    <t>Input relevant emission factors and conversion factors, linking to compilation spreadsheets if possible. Add a comment to explain the source of the emission factor</t>
  </si>
  <si>
    <t>Carbon oxidation factor of fuel</t>
  </si>
  <si>
    <t>CO2 Emissions</t>
  </si>
  <si>
    <t>CH4 emissions</t>
  </si>
  <si>
    <t>Gg CO2 eq</t>
  </si>
  <si>
    <t>CO2 eq</t>
  </si>
  <si>
    <t>Amount of nitric acid produced - Other Plants</t>
  </si>
  <si>
    <t>Amount of nitric acid produced - Sasol</t>
  </si>
  <si>
    <t>Mass of N2O per tonne of nitric acid produced - Other Plants</t>
  </si>
  <si>
    <t>tN2O/tonne</t>
  </si>
  <si>
    <t>Mass of N2O per tonne of nitric acid produced - Sasol</t>
  </si>
  <si>
    <t>N2O Emissions - Other Plants</t>
  </si>
  <si>
    <t>kg N2O</t>
  </si>
  <si>
    <t>N2O Emissions - Sasol</t>
  </si>
  <si>
    <t>1) The emission factor needs to be adjusted to account for the carbon contained in the product. See Section 3.6.2.1 of Volume 3.
Sheet 1 and 5 of 6 used - Emissions calculation based on raw material used</t>
  </si>
  <si>
    <t>Raw material (petroleum coke) consumption - Silicon Carbide</t>
  </si>
  <si>
    <t>Raw material (petroleum coke) consumption - Calcium Carbide</t>
  </si>
  <si>
    <t>Calcium Carbide used in Acetylene production</t>
  </si>
  <si>
    <t>Mass of CO2 per tonne of raw material used - Silicon Carbide</t>
  </si>
  <si>
    <t>tCO2/tonne</t>
  </si>
  <si>
    <t>Mass of CO2 per tonne of raw material used - Calcium Carbide</t>
  </si>
  <si>
    <t>Mass of CO2 per tonne of carbide used</t>
  </si>
  <si>
    <t>Mass of CH4 per tonne raw material used</t>
  </si>
  <si>
    <t>tCH4/tonne</t>
  </si>
  <si>
    <t>CO2 emissions from silicon carbide production</t>
  </si>
  <si>
    <t>tonnes CO2</t>
  </si>
  <si>
    <t>CO2 emissions from calcium carbide production</t>
  </si>
  <si>
    <t>CO2 emissions from use of CaC2 in Acetylene production</t>
  </si>
  <si>
    <t>kg CH4</t>
  </si>
  <si>
    <t>Amount of production - Titanium Slag</t>
  </si>
  <si>
    <t>Amount of production - Synthetic Rutile</t>
  </si>
  <si>
    <t>Amount of production - Rutile TiO2</t>
  </si>
  <si>
    <t xml:space="preserve">Emission Factors </t>
  </si>
  <si>
    <t>Mass of CO2 per tonne produced - Titanium Slag</t>
  </si>
  <si>
    <t>Mass of CO2 per tonne produced - Synthetic Rutile</t>
  </si>
  <si>
    <t>Mass of CO2 per tonne produced - Rutile TiO2</t>
  </si>
  <si>
    <t>CO2 Emissions - Titanium slag</t>
  </si>
  <si>
    <t xml:space="preserve">Gg CO2 </t>
  </si>
  <si>
    <t>CO2 Emissions - Synthetic Rutile</t>
  </si>
  <si>
    <t>CO2 Emissions - Rutile TiO2</t>
  </si>
  <si>
    <t>1) For details of process types, see Table 3.24 in Chapter 3 of Volume 3. For the default process type, 
    see Table 3.11 in Chapter 3 of Volume 3.</t>
  </si>
  <si>
    <t>Amount of carbon black produced - Furnace black process</t>
  </si>
  <si>
    <t>Mass of CO2 per tonne of carbon black produced</t>
  </si>
  <si>
    <t>Mass of CH4 per tonne of carbon black produced</t>
  </si>
  <si>
    <t>kg CH4/tonne produced</t>
  </si>
  <si>
    <t xml:space="preserve">CO2 emissions </t>
  </si>
  <si>
    <t xml:space="preserve">Total CO2 emissions </t>
  </si>
  <si>
    <t xml:space="preserve">CH4 emissions </t>
  </si>
  <si>
    <t xml:space="preserve">Total CH4 emissions </t>
  </si>
  <si>
    <t>tonnes CH4</t>
  </si>
  <si>
    <t>Metal Industry</t>
  </si>
  <si>
    <t>Total PFC emissions</t>
  </si>
  <si>
    <t xml:space="preserve">CF4 </t>
  </si>
  <si>
    <t>Gg CF4</t>
  </si>
  <si>
    <t>Gg C2F6</t>
  </si>
  <si>
    <t>CF4, C2F6</t>
  </si>
  <si>
    <t>Metal Industry (Total)</t>
  </si>
  <si>
    <t>Total PFCs</t>
  </si>
  <si>
    <t xml:space="preserve">Metal Industry </t>
  </si>
  <si>
    <t>LS 14/12/2018</t>
  </si>
  <si>
    <t>Undergoing QA/QC</t>
  </si>
  <si>
    <t>Amount of steel or iron production - Basic oxygen furnace</t>
  </si>
  <si>
    <t>Amount of steel or iron production - Electric arc furnace</t>
  </si>
  <si>
    <t>Amount of steel or iron production - Open hearth furnace</t>
  </si>
  <si>
    <t>Amount of steel or iron production - Pig iron production</t>
  </si>
  <si>
    <t>Amount of steel or iron production - Direct reduced iron</t>
  </si>
  <si>
    <t>Amount of steel or iron production - Sinter</t>
  </si>
  <si>
    <t>Amount of steel or iron production - Pellet</t>
  </si>
  <si>
    <t>Amount of steel or iron production - Total other</t>
  </si>
  <si>
    <t>Mass of CO2 per tonne produced - Basic oxygen furnace</t>
  </si>
  <si>
    <t>Mass of CO2 per tonne produced - Electric arc furnace</t>
  </si>
  <si>
    <t>Mass of CO2 per tonne produced - Open hearth furnace</t>
  </si>
  <si>
    <t>Mass of CO2 per tonne produced - Pig iron production</t>
  </si>
  <si>
    <t>Mass of CO2 per tonne produced - Direct reduced iron</t>
  </si>
  <si>
    <t>Mass of CO2 per tonne produced - Sinter</t>
  </si>
  <si>
    <t>Mass of CO2 per tonne produced - Pellet</t>
  </si>
  <si>
    <t>Mass of CO2 per tonne produced - Total other</t>
  </si>
  <si>
    <t>CO2 emissions - Basic oxygen furnace</t>
  </si>
  <si>
    <t>CO2 emissions - Electric arc furnace</t>
  </si>
  <si>
    <t>CO2 emissions - Open hearth furnace</t>
  </si>
  <si>
    <t>CO2 emissions - Pig iron production</t>
  </si>
  <si>
    <t>CO2 emissions - Direct reduced iron</t>
  </si>
  <si>
    <t>CO2 emissions - Sinter</t>
  </si>
  <si>
    <t>CO2 emissions - Pellet</t>
  </si>
  <si>
    <t>CO2 emissions - Total other</t>
  </si>
  <si>
    <t>1) For details of ferroalloy types, see Table 4.5 in Chapter 4 of Volume 3.</t>
  </si>
  <si>
    <t>2000 - 2017</t>
  </si>
  <si>
    <t>2C2 Ferroalloys production</t>
  </si>
  <si>
    <t>Amount of ferroalloy production - Ferrochromium</t>
  </si>
  <si>
    <t>Amount of ferroalloy production - Ferromanganeses (7% C)</t>
  </si>
  <si>
    <t>Amount of ferroalloy production - Ferromanganeses (1% C)</t>
  </si>
  <si>
    <t>Amount of ferroalloy production - Ferrosilicon 65% Si</t>
  </si>
  <si>
    <t>Amount of ferroalloy production - Silicon metal</t>
  </si>
  <si>
    <t>Mass of CO2 per tonne Ferrochromium produced</t>
  </si>
  <si>
    <t>Mass of CO2 per tonne Ferromanganeses (7% C) produced</t>
  </si>
  <si>
    <t>Mass of CO2 per tonne Ferromanganeses (1% C) produced</t>
  </si>
  <si>
    <t>Mass of CO2 per tonne Ferrosilicon 65% Si produced</t>
  </si>
  <si>
    <t>Mass of CO2 per tonne Silicon metal produced</t>
  </si>
  <si>
    <t>Mass of CH4 per tonne Ferrosilicon 65% Si produced</t>
  </si>
  <si>
    <t>kg CH4/tonne</t>
  </si>
  <si>
    <t>Mass of CH4 per tonne Silicon metal produced</t>
  </si>
  <si>
    <t>CO2, CF4, C2F6</t>
  </si>
  <si>
    <t>Amount of aluminium production - Prebake</t>
  </si>
  <si>
    <t>Amount of aluminium production - Soderberg</t>
  </si>
  <si>
    <t>Amount of aluminium production - CWPB</t>
  </si>
  <si>
    <t>Amount of aluminium production - SWPB</t>
  </si>
  <si>
    <t>Amount of aluminium production - VSS</t>
  </si>
  <si>
    <t>Amount of aluminium production - HSS</t>
  </si>
  <si>
    <t>tCF4/tonne</t>
  </si>
  <si>
    <t>tC2F6/tonne</t>
  </si>
  <si>
    <t>Total CF4 emissions</t>
  </si>
  <si>
    <t>Total C2F6 emissions</t>
  </si>
  <si>
    <t>1) For details of source and furnace types, see Table 4.21 in Chapter 4 of Volume 3.</t>
  </si>
  <si>
    <t>Amount of lead production</t>
  </si>
  <si>
    <t>Mass of CO2 per tonne production</t>
  </si>
  <si>
    <t>tonne CO2</t>
  </si>
  <si>
    <t xml:space="preserve">Total emissions </t>
  </si>
  <si>
    <t>1) For details of process types, see Table 4.24 in Chapter 4 of Volume 3.</t>
  </si>
  <si>
    <t>Amount of zinc production</t>
  </si>
  <si>
    <t>Non-Energy Products from Fuels and Solvent Use</t>
  </si>
  <si>
    <t>2D1 Lubricant use</t>
  </si>
  <si>
    <t>Amount of lubricant consumed</t>
  </si>
  <si>
    <t>Lubricant carbon content</t>
  </si>
  <si>
    <t>t-C/TJ</t>
  </si>
  <si>
    <t>Fraction oxidised during use (ODU factor)</t>
  </si>
  <si>
    <t>Amount of paraffin waxes consumed</t>
  </si>
  <si>
    <t>Paraffin waxes carbon content</t>
  </si>
  <si>
    <t>Product Uses as Substitutes for Ozone Depleting Substances</t>
  </si>
  <si>
    <t>2F1a</t>
  </si>
  <si>
    <t>Refrigeration and Stationary Air Conditioning</t>
  </si>
  <si>
    <t>2F1b</t>
  </si>
  <si>
    <t>Mobile Air Conditioning</t>
  </si>
  <si>
    <t>HFC-23, HFC-125, HFC-134a, HFC-143a</t>
  </si>
  <si>
    <t>2F1a Refrigeration and Stationary Air Conditioning</t>
  </si>
  <si>
    <t>Production</t>
  </si>
  <si>
    <t>Import</t>
  </si>
  <si>
    <t>Export</t>
  </si>
  <si>
    <t>2F1b Mobile Air Conditioning</t>
  </si>
  <si>
    <t>Parameters and Emission Factors</t>
  </si>
  <si>
    <t>Input relevant emission factors and parameters, linking to compilation spreadsheets if possible. Add a comment to explain the source of the emission factor</t>
  </si>
  <si>
    <t>Year of introduction</t>
  </si>
  <si>
    <t>Assumed equipment lifetime</t>
  </si>
  <si>
    <t>Years</t>
  </si>
  <si>
    <t>Emission factor from installed base</t>
  </si>
  <si>
    <t>%</t>
  </si>
  <si>
    <t>% destroyed at end of life</t>
  </si>
  <si>
    <t>Gg CO2eq</t>
  </si>
  <si>
    <t>2F1 Refrigeration and Air Conditioning</t>
  </si>
  <si>
    <t>HFC-227a</t>
  </si>
  <si>
    <t>Other Product Manufacture and Use</t>
  </si>
  <si>
    <t>CRF #</t>
  </si>
  <si>
    <t>Commodity_Name</t>
  </si>
  <si>
    <t>Indicator</t>
  </si>
  <si>
    <t>IPCC_Category_L1</t>
  </si>
  <si>
    <t>IPCC_Category_L2</t>
  </si>
  <si>
    <t>IPCC_Category_L3</t>
  </si>
  <si>
    <t>Cell address</t>
  </si>
  <si>
    <t>Start Year</t>
  </si>
  <si>
    <t>End Year</t>
  </si>
  <si>
    <t xml:space="preserve">2 Industrial Processes and Product Use </t>
  </si>
  <si>
    <t>2A Mineral Industry</t>
  </si>
  <si>
    <t>Row #</t>
  </si>
  <si>
    <t>Year</t>
  </si>
  <si>
    <t>Value</t>
  </si>
  <si>
    <t>'2A1 Cement Production'!D30</t>
  </si>
  <si>
    <t>CO2eq</t>
  </si>
  <si>
    <t>'2A2 Lime Production'!D29</t>
  </si>
  <si>
    <t>'2A3 Glass Production'!D25</t>
  </si>
  <si>
    <t>'2B1 Ammonia Production'!D28</t>
  </si>
  <si>
    <t>'2B1 Ammonia Production'!D29</t>
  </si>
  <si>
    <t>'2B2 Nitric Acid Production'!D25</t>
  </si>
  <si>
    <t>'2B2 Nitric Acid Production'!D27</t>
  </si>
  <si>
    <t>'2B5 Carbide Production'!D30</t>
  </si>
  <si>
    <t>'2B6 Titanium Dioxide Production'!D31</t>
  </si>
  <si>
    <t>'2B8 Carbon Black Production'!D24</t>
  </si>
  <si>
    <t>'2B8 Carbon Black Production'!D26</t>
  </si>
  <si>
    <t>'2C1 Iron and Steel Production'!D44</t>
  </si>
  <si>
    <t>'2C2 Ferroalloys Production'!D37</t>
  </si>
  <si>
    <t>'2C2 Ferroalloys Production'!D40</t>
  </si>
  <si>
    <t>'2C3 Aluminium Production'!D38</t>
  </si>
  <si>
    <t>'2C3 Aluminium Production'!D43</t>
  </si>
  <si>
    <t>'2C3 Aluminium Production'!D48</t>
  </si>
  <si>
    <t>'2C5 Lead Production'!D23</t>
  </si>
  <si>
    <t>'2C6 Zinc Production'!D23</t>
  </si>
  <si>
    <t>'2D1 Lubricant Use'!D24</t>
  </si>
  <si>
    <t>'2D2 Paraffin Wax Use'!D24</t>
  </si>
  <si>
    <t>'2F1 Refrigeration and AC'!D160</t>
  </si>
  <si>
    <t>'2F2 Foam blowing agents'!D52</t>
  </si>
  <si>
    <t>'2F3 Fire protection'!D41</t>
  </si>
  <si>
    <t>'2F4 Aerosols'!D41</t>
  </si>
  <si>
    <t>2B Chemical Industry</t>
  </si>
  <si>
    <t>2C Metal Industry</t>
  </si>
  <si>
    <t>2D Non-energy products from fuels and solvent use</t>
  </si>
  <si>
    <t>2F Product uses as substitutes for ozone depleting substances</t>
  </si>
  <si>
    <t>IPCC_Category_L4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</si>
</sst>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6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0"/>
      <name val="Arial"/>
      <family val="2"/>
    </font>
    <font>
      <b/>
      <sz val="16"/>
      <color theme="1"/>
      <name val="Calibri"/>
      <family val="2"/>
      <scheme val="minor"/>
    </font>
    <font>
      <sz val="10"/>
      <color theme="1"/>
      <name val="Calibri"/>
      <family val="2"/>
      <scheme val="minor"/>
    </font>
    <font>
      <b/>
      <sz val="10"/>
      <color theme="1"/>
      <name val="Calibri"/>
      <family val="2"/>
      <scheme val="minor"/>
    </font>
    <font>
      <b/>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2"/>
      <color theme="1"/>
      <name val="Calibri"/>
      <family val="2"/>
      <scheme val="minor"/>
    </font>
    <font>
      <sz val="14"/>
      <color theme="1"/>
      <name val="Calibri"/>
      <family val="2"/>
      <scheme val="minor"/>
    </font>
    <font>
      <sz val="16"/>
      <color theme="1"/>
      <name val="Calibri"/>
      <family val="2"/>
      <scheme val="minor"/>
    </font>
    <font>
      <sz val="16"/>
      <color rgb="FFFF0000"/>
      <name val="Calibri"/>
      <family val="2"/>
      <scheme val="minor"/>
    </font>
    <font>
      <b/>
      <sz val="12"/>
      <color theme="1"/>
      <name val="Calibri"/>
      <family val="2"/>
      <scheme val="minor"/>
    </font>
    <font>
      <b/>
      <sz val="11"/>
      <name val="Calibri"/>
      <family val="2"/>
      <scheme val="minor"/>
    </font>
    <font>
      <b/>
      <sz val="24"/>
      <color rgb="FF0096C8"/>
      <name val="Calibri"/>
      <family val="2"/>
      <scheme val="minor"/>
    </font>
    <font>
      <sz val="11"/>
      <color theme="3" tint="0.39997558519241921"/>
      <name val="Calibri"/>
      <family val="2"/>
      <scheme val="minor"/>
    </font>
    <font>
      <sz val="11"/>
      <color theme="4" tint="-0.249977111117893"/>
      <name val="Calibri"/>
      <family val="2"/>
      <scheme val="minor"/>
    </font>
    <font>
      <sz val="11"/>
      <color theme="8" tint="-0.499984740745262"/>
      <name val="Calibri"/>
      <family val="2"/>
      <scheme val="minor"/>
    </font>
    <font>
      <b/>
      <sz val="10"/>
      <color rgb="FFFF0000"/>
      <name val="Calibri"/>
      <family val="2"/>
      <scheme val="minor"/>
    </font>
    <font>
      <sz val="11"/>
      <color theme="4"/>
      <name val="Calibri"/>
      <family val="2"/>
      <scheme val="minor"/>
    </font>
    <font>
      <sz val="20"/>
      <color theme="1"/>
      <name val="Calibri"/>
      <family val="2"/>
      <scheme val="minor"/>
    </font>
    <font>
      <sz val="10"/>
      <name val="Calibri"/>
      <family val="2"/>
      <scheme val="minor"/>
    </font>
    <font>
      <i/>
      <sz val="11"/>
      <color theme="1"/>
      <name val="Calibri"/>
      <family val="2"/>
      <scheme val="minor"/>
    </font>
    <font>
      <i/>
      <sz val="11"/>
      <color theme="0" tint="-0.499984740745262"/>
      <name val="Calibri"/>
      <family val="2"/>
      <scheme val="minor"/>
    </font>
    <font>
      <b/>
      <sz val="14"/>
      <color rgb="FF0096C8"/>
      <name val="Arial"/>
      <family val="2"/>
    </font>
    <font>
      <b/>
      <sz val="28"/>
      <color rgb="FF0096C8"/>
      <name val="Arial"/>
      <family val="2"/>
    </font>
    <font>
      <sz val="10"/>
      <color theme="1"/>
      <name val="Arial"/>
      <family val="2"/>
    </font>
    <font>
      <b/>
      <u/>
      <sz val="14"/>
      <color rgb="FF0096C8"/>
      <name val="Arial"/>
      <family val="2"/>
    </font>
    <font>
      <sz val="18"/>
      <color theme="1"/>
      <name val="Calibri"/>
      <family val="2"/>
      <scheme val="minor"/>
    </font>
    <font>
      <sz val="16"/>
      <color theme="5"/>
      <name val="Arial"/>
      <family val="2"/>
    </font>
    <font>
      <b/>
      <sz val="14"/>
      <color theme="5"/>
      <name val="Arial"/>
      <family val="2"/>
    </font>
    <font>
      <b/>
      <sz val="18"/>
      <color theme="0"/>
      <name val="Arial"/>
      <family val="2"/>
    </font>
    <font>
      <b/>
      <sz val="24"/>
      <color theme="0"/>
      <name val="Arial"/>
      <family val="2"/>
    </font>
    <font>
      <b/>
      <sz val="10"/>
      <color theme="0"/>
      <name val="Arial"/>
      <family val="2"/>
    </font>
    <font>
      <u/>
      <sz val="12"/>
      <color theme="10"/>
      <name val="Arial"/>
      <family val="2"/>
    </font>
    <font>
      <i/>
      <sz val="11"/>
      <color theme="1"/>
      <name val="Times New Roman"/>
      <family val="1"/>
    </font>
    <font>
      <sz val="10"/>
      <color rgb="FFFF0000"/>
      <name val="Calibri"/>
      <family val="2"/>
      <scheme val="minor"/>
    </font>
    <font>
      <b/>
      <sz val="11"/>
      <name val="Arial"/>
      <family val="2"/>
    </font>
    <font>
      <b/>
      <sz val="11"/>
      <color rgb="FF000000"/>
      <name val="Arial"/>
      <family val="2"/>
    </font>
    <font>
      <b/>
      <sz val="10"/>
      <color rgb="FF000000"/>
      <name val="Arial"/>
      <family val="2"/>
    </font>
    <font>
      <sz val="10"/>
      <color rgb="FF000000"/>
      <name val="Arial"/>
      <family val="2"/>
    </font>
    <font>
      <sz val="9"/>
      <color rgb="FF000000"/>
      <name val="Arial"/>
      <family val="2"/>
    </font>
    <font>
      <i/>
      <sz val="8"/>
      <color rgb="FF000000"/>
      <name val="Arial"/>
      <family val="2"/>
    </font>
    <font>
      <i/>
      <sz val="10"/>
      <color rgb="FF000000"/>
      <name val="Arial"/>
      <family val="2"/>
    </font>
    <font>
      <b/>
      <vertAlign val="subscript"/>
      <sz val="10"/>
      <color theme="0"/>
      <name val="Arial"/>
      <family val="2"/>
    </font>
    <font>
      <sz val="11"/>
      <color theme="0"/>
      <name val="Calibri"/>
      <family val="2"/>
      <scheme val="minor"/>
    </font>
    <font>
      <sz val="10"/>
      <color theme="0" tint="-0.499984740745262"/>
      <name val="Calibri"/>
      <family val="2"/>
      <scheme val="minor"/>
    </font>
    <font>
      <sz val="11"/>
      <name val="Calibri"/>
      <family val="2"/>
      <scheme val="minor"/>
    </font>
    <font>
      <i/>
      <sz val="11"/>
      <name val="Calibri"/>
      <family val="2"/>
      <scheme val="minor"/>
    </font>
    <font>
      <b/>
      <sz val="10"/>
      <color rgb="FFFFFFFF"/>
      <name val="Calibri"/>
      <family val="2"/>
    </font>
    <font>
      <b/>
      <vertAlign val="subscript"/>
      <sz val="10"/>
      <color rgb="FFFFFFFF"/>
      <name val="Calibri"/>
      <family val="2"/>
    </font>
    <font>
      <b/>
      <sz val="10"/>
      <color theme="1"/>
      <name val="Calibri"/>
      <family val="2"/>
    </font>
    <font>
      <sz val="10"/>
      <color theme="1"/>
      <name val="Calibri"/>
      <family val="2"/>
    </font>
    <font>
      <i/>
      <sz val="10"/>
      <color theme="1"/>
      <name val="Calibri"/>
      <family val="2"/>
    </font>
    <font>
      <i/>
      <vertAlign val="subscript"/>
      <sz val="10"/>
      <color theme="1"/>
      <name val="Calibri"/>
      <family val="2"/>
    </font>
    <font>
      <sz val="8"/>
      <color theme="1"/>
      <name val="Cambria"/>
      <family val="1"/>
    </font>
    <font>
      <sz val="10"/>
      <color rgb="FF000000"/>
      <name val="Calibri"/>
      <family val="2"/>
    </font>
    <font>
      <b/>
      <sz val="11"/>
      <color rgb="FFFFFFFF"/>
      <name val="Arial"/>
      <family val="2"/>
    </font>
    <font>
      <b/>
      <sz val="11"/>
      <color theme="0"/>
      <name val="Arial"/>
      <family val="2"/>
    </font>
    <font>
      <sz val="11"/>
      <color rgb="FF9C0006"/>
      <name val="Calibri"/>
      <family val="2"/>
      <scheme val="minor"/>
    </font>
    <font>
      <sz val="8"/>
      <name val="Calibri"/>
      <family val="2"/>
      <scheme val="minor"/>
    </font>
  </fonts>
  <fills count="37">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rgb="FFE4ECF4"/>
        <bgColor indexed="64"/>
      </patternFill>
    </fill>
    <fill>
      <patternFill patternType="solid">
        <fgColor theme="0"/>
        <bgColor indexed="64"/>
      </patternFill>
    </fill>
    <fill>
      <patternFill patternType="solid">
        <fgColor theme="0" tint="-4.9989318521683403E-2"/>
        <bgColor indexed="64"/>
      </patternFill>
    </fill>
    <fill>
      <patternFill patternType="solid">
        <fgColor rgb="FF96C8FF"/>
        <bgColor indexed="64"/>
      </patternFill>
    </fill>
    <fill>
      <patternFill patternType="solid">
        <fgColor rgb="FFFFFF78"/>
        <bgColor indexed="64"/>
      </patternFill>
    </fill>
    <fill>
      <patternFill patternType="solid">
        <fgColor rgb="FFAADC9B"/>
        <bgColor indexed="64"/>
      </patternFill>
    </fill>
    <fill>
      <patternFill patternType="solid">
        <fgColor rgb="FFBFBFBF"/>
        <bgColor indexed="64"/>
      </patternFill>
    </fill>
    <fill>
      <patternFill patternType="solid">
        <fgColor rgb="FFB482FF"/>
        <bgColor indexed="64"/>
      </patternFill>
    </fill>
    <fill>
      <patternFill patternType="solid">
        <fgColor rgb="FFAAFAFF"/>
        <bgColor indexed="64"/>
      </patternFill>
    </fill>
    <fill>
      <patternFill patternType="solid">
        <fgColor rgb="FFFFA5DC"/>
        <bgColor indexed="64"/>
      </patternFill>
    </fill>
    <fill>
      <patternFill patternType="solid">
        <fgColor rgb="FFFFE6B4"/>
        <bgColor indexed="64"/>
      </patternFill>
    </fill>
    <fill>
      <patternFill patternType="solid">
        <fgColor theme="4" tint="0.59999389629810485"/>
        <bgColor indexed="64"/>
      </patternFill>
    </fill>
    <fill>
      <patternFill patternType="solid">
        <fgColor rgb="FFEBF7FF"/>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0096C8"/>
        <bgColor indexed="64"/>
      </patternFill>
    </fill>
    <fill>
      <patternFill patternType="solid">
        <fgColor rgb="FFBAE4FE"/>
        <bgColor indexed="64"/>
      </patternFill>
    </fill>
    <fill>
      <patternFill patternType="solid">
        <fgColor rgb="FFCC6600"/>
        <bgColor indexed="64"/>
      </patternFill>
    </fill>
    <fill>
      <patternFill patternType="solid">
        <fgColor theme="0" tint="-0.499984740745262"/>
        <bgColor indexed="64"/>
      </patternFill>
    </fill>
    <fill>
      <patternFill patternType="solid">
        <fgColor rgb="FF0070C0"/>
        <bgColor indexed="64"/>
      </patternFill>
    </fill>
    <fill>
      <patternFill patternType="solid">
        <fgColor rgb="FF009900"/>
        <bgColor rgb="FFFFFFFF"/>
      </patternFill>
    </fill>
    <fill>
      <patternFill patternType="solid">
        <fgColor rgb="FF92D050"/>
        <bgColor indexed="64"/>
      </patternFill>
    </fill>
    <fill>
      <patternFill patternType="solid">
        <fgColor rgb="FFCCEBB5"/>
        <bgColor indexed="64"/>
      </patternFill>
    </fill>
    <fill>
      <patternFill patternType="solid">
        <fgColor rgb="FFFFC7CE"/>
      </patternFill>
    </fill>
    <fill>
      <patternFill patternType="solid">
        <fgColor rgb="FFFF0000"/>
        <bgColor indexed="64"/>
      </patternFill>
    </fill>
  </fills>
  <borders count="34">
    <border>
      <left/>
      <right/>
      <top/>
      <bottom/>
      <diagonal/>
    </border>
    <border>
      <left style="thin">
        <color indexed="64"/>
      </left>
      <right/>
      <top/>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right/>
      <top style="dashed">
        <color theme="0" tint="-0.499984740745262"/>
      </top>
      <bottom style="dashed">
        <color theme="0" tint="-0.499984740745262"/>
      </bottom>
      <diagonal/>
    </border>
    <border>
      <left style="mediumDashed">
        <color indexed="64"/>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right/>
      <top style="mediumDashed">
        <color indexed="64"/>
      </top>
      <bottom/>
      <diagonal/>
    </border>
    <border>
      <left/>
      <right/>
      <top style="medium">
        <color indexed="64"/>
      </top>
      <bottom style="thick">
        <color indexed="64"/>
      </bottom>
      <diagonal/>
    </border>
    <border>
      <left/>
      <right/>
      <top style="medium">
        <color auto="1"/>
      </top>
      <bottom/>
      <diagonal/>
    </border>
    <border>
      <left/>
      <right/>
      <top style="thick">
        <color indexed="64"/>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diagonal/>
    </border>
  </borders>
  <cellStyleXfs count="22">
    <xf numFmtId="0" fontId="0" fillId="0" borderId="0"/>
    <xf numFmtId="0" fontId="1" fillId="0" borderId="0" applyNumberFormat="0" applyFont="0" applyFill="0" applyBorder="0" applyProtection="0">
      <alignment vertical="center"/>
    </xf>
    <xf numFmtId="0" fontId="5"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9" fillId="0" borderId="0" applyNumberFormat="0" applyFill="0" applyBorder="0" applyAlignment="0" applyProtection="0"/>
    <xf numFmtId="0" fontId="52" fillId="12" borderId="0" applyAlignment="0" applyProtection="0"/>
    <xf numFmtId="0" fontId="52" fillId="13" borderId="0" applyAlignment="0" applyProtection="0"/>
    <xf numFmtId="0" fontId="52" fillId="18" borderId="0" applyAlignment="0" applyProtection="0"/>
    <xf numFmtId="0" fontId="23" fillId="0" borderId="0" applyFill="0" applyBorder="0" applyAlignment="0" applyProtection="0"/>
    <xf numFmtId="0" fontId="53" fillId="0" borderId="0" applyAlignment="0" applyProtection="0"/>
    <xf numFmtId="0" fontId="52" fillId="14" borderId="0" applyAlignment="0" applyProtection="0"/>
    <xf numFmtId="0" fontId="52" fillId="19" borderId="0" applyAlignment="0" applyProtection="0"/>
    <xf numFmtId="0" fontId="52" fillId="15" borderId="0" applyAlignment="0" applyProtection="0"/>
    <xf numFmtId="0" fontId="50" fillId="16" borderId="0" applyAlignment="0" applyProtection="0"/>
    <xf numFmtId="0" fontId="52" fillId="17" borderId="0" applyAlignment="0" applyProtection="0"/>
    <xf numFmtId="0" fontId="50" fillId="29" borderId="0" applyAlignment="0" applyProtection="0"/>
    <xf numFmtId="0" fontId="64" fillId="35" borderId="0" applyNumberFormat="0" applyBorder="0" applyAlignment="0" applyProtection="0"/>
  </cellStyleXfs>
  <cellXfs count="276">
    <xf numFmtId="0" fontId="0" fillId="0" borderId="0" xfId="0"/>
    <xf numFmtId="0" fontId="0" fillId="0" borderId="0" xfId="0" applyAlignment="1">
      <alignment wrapText="1"/>
    </xf>
    <xf numFmtId="49" fontId="0" fillId="0" borderId="0" xfId="0" applyNumberFormat="1" applyAlignment="1">
      <alignment wrapText="1"/>
    </xf>
    <xf numFmtId="49" fontId="0" fillId="0" borderId="0" xfId="0" applyNumberFormat="1" applyAlignment="1"/>
    <xf numFmtId="0" fontId="0" fillId="2" borderId="0" xfId="0" applyFill="1"/>
    <xf numFmtId="0" fontId="0" fillId="3" borderId="0" xfId="0" applyFill="1"/>
    <xf numFmtId="0" fontId="6" fillId="3" borderId="0" xfId="0" applyFont="1" applyFill="1"/>
    <xf numFmtId="0" fontId="3" fillId="0" borderId="0" xfId="0" applyFont="1"/>
    <xf numFmtId="0" fontId="7" fillId="4" borderId="0" xfId="0" applyFont="1" applyFill="1"/>
    <xf numFmtId="0" fontId="8" fillId="4" borderId="0" xfId="0" applyFont="1" applyFill="1"/>
    <xf numFmtId="0" fontId="9" fillId="0" borderId="0" xfId="0" applyFont="1"/>
    <xf numFmtId="0" fontId="10" fillId="0" borderId="0" xfId="0" applyFont="1"/>
    <xf numFmtId="0" fontId="4" fillId="0" borderId="0" xfId="0" applyFont="1" applyFill="1"/>
    <xf numFmtId="0" fontId="4" fillId="0" borderId="0" xfId="0" applyFont="1"/>
    <xf numFmtId="0" fontId="2" fillId="0" borderId="0" xfId="0" applyFont="1"/>
    <xf numFmtId="0" fontId="3" fillId="2" borderId="2" xfId="0" applyFont="1" applyFill="1" applyBorder="1"/>
    <xf numFmtId="0" fontId="0" fillId="2" borderId="6" xfId="0" applyFill="1" applyBorder="1" applyAlignment="1"/>
    <xf numFmtId="0" fontId="0" fillId="2" borderId="0" xfId="0" applyFill="1" applyBorder="1" applyAlignment="1"/>
    <xf numFmtId="0" fontId="0" fillId="2" borderId="7" xfId="0" applyFill="1" applyBorder="1" applyAlignment="1"/>
    <xf numFmtId="0" fontId="0" fillId="2" borderId="8" xfId="0" applyFill="1" applyBorder="1" applyAlignment="1"/>
    <xf numFmtId="0" fontId="0" fillId="2" borderId="9" xfId="0" applyFill="1" applyBorder="1" applyAlignment="1"/>
    <xf numFmtId="0" fontId="0" fillId="2" borderId="10" xfId="0" applyFill="1" applyBorder="1" applyAlignment="1"/>
    <xf numFmtId="0" fontId="0" fillId="4" borderId="0" xfId="0" applyFill="1"/>
    <xf numFmtId="0" fontId="0" fillId="0" borderId="0" xfId="0" applyFill="1"/>
    <xf numFmtId="9" fontId="0" fillId="0" borderId="0" xfId="8" applyFont="1" applyFill="1"/>
    <xf numFmtId="0" fontId="0" fillId="0" borderId="0" xfId="0" applyAlignment="1">
      <alignment horizontal="center"/>
    </xf>
    <xf numFmtId="0" fontId="0" fillId="0" borderId="0" xfId="0" applyNumberFormat="1"/>
    <xf numFmtId="0" fontId="0" fillId="0" borderId="0" xfId="0" applyAlignment="1">
      <alignment horizontal="left"/>
    </xf>
    <xf numFmtId="0" fontId="13" fillId="3" borderId="0" xfId="0" applyFont="1" applyFill="1"/>
    <xf numFmtId="0" fontId="10" fillId="2" borderId="0" xfId="0" applyFont="1" applyFill="1"/>
    <xf numFmtId="0" fontId="10" fillId="0" borderId="0" xfId="0" applyFont="1" applyFill="1"/>
    <xf numFmtId="0" fontId="0" fillId="2" borderId="3" xfId="0" applyFill="1" applyBorder="1" applyAlignment="1">
      <alignment horizontal="left"/>
    </xf>
    <xf numFmtId="0" fontId="0" fillId="3" borderId="0" xfId="0" applyFont="1" applyFill="1"/>
    <xf numFmtId="0" fontId="0" fillId="2" borderId="3" xfId="0" applyFill="1" applyBorder="1" applyAlignment="1"/>
    <xf numFmtId="0" fontId="3" fillId="2" borderId="1" xfId="0" applyFont="1" applyFill="1" applyBorder="1" applyAlignment="1"/>
    <xf numFmtId="0" fontId="3" fillId="2" borderId="0" xfId="0" applyFont="1" applyFill="1" applyBorder="1" applyAlignment="1"/>
    <xf numFmtId="0" fontId="0" fillId="2" borderId="12" xfId="0" applyFill="1" applyBorder="1" applyAlignment="1"/>
    <xf numFmtId="0" fontId="0" fillId="2" borderId="11" xfId="0" applyFill="1" applyBorder="1" applyAlignment="1"/>
    <xf numFmtId="0" fontId="0" fillId="0" borderId="0" xfId="0" applyAlignment="1"/>
    <xf numFmtId="0" fontId="3" fillId="2" borderId="9" xfId="0" applyFont="1" applyFill="1" applyBorder="1" applyAlignment="1"/>
    <xf numFmtId="0" fontId="3" fillId="2" borderId="10" xfId="0" applyFont="1" applyFill="1" applyBorder="1" applyAlignment="1"/>
    <xf numFmtId="10" fontId="0" fillId="0" borderId="0" xfId="8" applyNumberFormat="1" applyFont="1" applyFill="1"/>
    <xf numFmtId="0" fontId="15" fillId="3" borderId="0" xfId="0" applyFont="1" applyFill="1"/>
    <xf numFmtId="0" fontId="16" fillId="3" borderId="0" xfId="0" applyFont="1" applyFill="1"/>
    <xf numFmtId="0" fontId="14" fillId="0" borderId="0" xfId="0" applyFont="1"/>
    <xf numFmtId="0" fontId="6" fillId="3" borderId="0" xfId="0" applyFont="1" applyFill="1" applyAlignment="1"/>
    <xf numFmtId="49" fontId="4" fillId="7" borderId="0" xfId="0" applyNumberFormat="1" applyFont="1" applyFill="1" applyAlignment="1">
      <alignment wrapText="1"/>
    </xf>
    <xf numFmtId="49" fontId="4" fillId="7" borderId="0" xfId="0" applyNumberFormat="1" applyFont="1" applyFill="1" applyAlignment="1"/>
    <xf numFmtId="0" fontId="4" fillId="7" borderId="0" xfId="0" applyFont="1" applyFill="1" applyAlignment="1">
      <alignment wrapText="1"/>
    </xf>
    <xf numFmtId="0" fontId="4" fillId="7" borderId="0" xfId="0" applyFont="1" applyFill="1"/>
    <xf numFmtId="49" fontId="0" fillId="9" borderId="14" xfId="0" applyNumberFormat="1" applyFill="1" applyBorder="1" applyAlignment="1">
      <alignment wrapText="1"/>
    </xf>
    <xf numFmtId="49" fontId="0" fillId="9" borderId="14" xfId="0" applyNumberFormat="1" applyFill="1" applyBorder="1" applyAlignment="1"/>
    <xf numFmtId="0" fontId="0" fillId="9" borderId="14" xfId="0" applyFill="1" applyBorder="1" applyAlignment="1">
      <alignment wrapText="1"/>
    </xf>
    <xf numFmtId="0" fontId="0" fillId="9" borderId="14" xfId="0" applyFill="1" applyBorder="1"/>
    <xf numFmtId="0" fontId="6" fillId="0" borderId="0" xfId="0" applyFont="1" applyFill="1" applyAlignment="1"/>
    <xf numFmtId="0" fontId="15" fillId="0" borderId="0" xfId="0" applyFont="1" applyFill="1"/>
    <xf numFmtId="0" fontId="0" fillId="0" borderId="0" xfId="0" applyFont="1" applyFill="1"/>
    <xf numFmtId="0" fontId="16" fillId="0" borderId="0" xfId="0" applyFont="1" applyFill="1"/>
    <xf numFmtId="0" fontId="17" fillId="5" borderId="0" xfId="0" applyFont="1" applyFill="1" applyAlignment="1">
      <alignment wrapText="1"/>
    </xf>
    <xf numFmtId="49" fontId="0" fillId="9" borderId="0" xfId="0" applyNumberFormat="1" applyFill="1" applyBorder="1" applyAlignment="1">
      <alignment wrapText="1"/>
    </xf>
    <xf numFmtId="49" fontId="18" fillId="8" borderId="14" xfId="0" applyNumberFormat="1" applyFont="1" applyFill="1" applyBorder="1" applyAlignment="1">
      <alignment horizontal="left" vertical="top" wrapText="1"/>
    </xf>
    <xf numFmtId="49" fontId="0" fillId="9" borderId="0" xfId="0" applyNumberFormat="1" applyFill="1" applyBorder="1" applyAlignment="1"/>
    <xf numFmtId="0" fontId="0" fillId="9" borderId="0" xfId="0" applyFill="1" applyBorder="1" applyAlignment="1">
      <alignment wrapText="1"/>
    </xf>
    <xf numFmtId="0" fontId="18" fillId="8" borderId="14" xfId="0" applyFont="1" applyFill="1" applyBorder="1" applyAlignment="1">
      <alignment horizontal="left" vertical="top" wrapText="1"/>
    </xf>
    <xf numFmtId="0" fontId="0" fillId="9" borderId="0" xfId="0" applyFill="1" applyBorder="1"/>
    <xf numFmtId="0" fontId="7" fillId="3" borderId="0" xfId="0" applyFont="1" applyFill="1"/>
    <xf numFmtId="9" fontId="10" fillId="0" borderId="0" xfId="8" applyFont="1" applyFill="1"/>
    <xf numFmtId="49" fontId="0" fillId="0" borderId="0" xfId="0" applyNumberFormat="1"/>
    <xf numFmtId="0" fontId="0" fillId="10" borderId="0" xfId="0" applyFill="1"/>
    <xf numFmtId="0" fontId="19" fillId="10" borderId="0" xfId="0" applyFont="1" applyFill="1" applyAlignment="1">
      <alignment vertical="center" wrapText="1"/>
    </xf>
    <xf numFmtId="0" fontId="0" fillId="10" borderId="0" xfId="0" applyFill="1" applyAlignment="1">
      <alignment wrapText="1"/>
    </xf>
    <xf numFmtId="0" fontId="0" fillId="11" borderId="0" xfId="0" applyFill="1" applyAlignment="1">
      <alignment wrapText="1"/>
    </xf>
    <xf numFmtId="0" fontId="3" fillId="11" borderId="0" xfId="0" applyFont="1" applyFill="1" applyAlignment="1">
      <alignment wrapText="1"/>
    </xf>
    <xf numFmtId="0" fontId="21" fillId="11" borderId="0" xfId="0" applyFont="1" applyFill="1" applyAlignment="1">
      <alignment wrapText="1"/>
    </xf>
    <xf numFmtId="0" fontId="0" fillId="11" borderId="0" xfId="0" applyFill="1" applyAlignment="1">
      <alignment vertical="top" wrapText="1"/>
    </xf>
    <xf numFmtId="0" fontId="21" fillId="11" borderId="0" xfId="0" applyFont="1" applyFill="1" applyAlignment="1">
      <alignment vertical="top" wrapText="1"/>
    </xf>
    <xf numFmtId="0" fontId="21" fillId="11" borderId="0" xfId="0" applyFont="1" applyFill="1" applyAlignment="1">
      <alignment horizontal="left" vertical="top" wrapText="1"/>
    </xf>
    <xf numFmtId="0" fontId="0" fillId="11" borderId="0" xfId="0" applyFont="1" applyFill="1" applyAlignment="1">
      <alignment vertical="top" wrapText="1"/>
    </xf>
    <xf numFmtId="0" fontId="22" fillId="11" borderId="0" xfId="0" applyFont="1" applyFill="1" applyAlignment="1">
      <alignment vertical="top" wrapText="1"/>
    </xf>
    <xf numFmtId="0" fontId="3" fillId="11" borderId="0" xfId="0" applyFont="1" applyFill="1" applyAlignment="1">
      <alignment vertical="top" wrapText="1"/>
    </xf>
    <xf numFmtId="0" fontId="8" fillId="0" borderId="0" xfId="0" applyFont="1" applyFill="1"/>
    <xf numFmtId="0" fontId="7" fillId="0" borderId="0" xfId="0" applyFont="1" applyFill="1"/>
    <xf numFmtId="0" fontId="13" fillId="0" borderId="0" xfId="0" applyFont="1" applyBorder="1" applyAlignment="1">
      <alignment vertical="center"/>
    </xf>
    <xf numFmtId="0" fontId="19" fillId="0" borderId="0" xfId="0" applyFont="1" applyBorder="1" applyAlignment="1">
      <alignment vertical="center"/>
    </xf>
    <xf numFmtId="0" fontId="0" fillId="0" borderId="0" xfId="0" applyBorder="1" applyAlignment="1">
      <alignment vertical="center"/>
    </xf>
    <xf numFmtId="0" fontId="24" fillId="0" borderId="0" xfId="0" applyFont="1" applyBorder="1" applyAlignment="1">
      <alignment horizontal="center" vertical="center" wrapText="1"/>
    </xf>
    <xf numFmtId="0" fontId="25" fillId="0" borderId="0" xfId="0" applyFont="1" applyBorder="1" applyAlignment="1">
      <alignment vertical="center"/>
    </xf>
    <xf numFmtId="0" fontId="7" fillId="0" borderId="0" xfId="0" applyFont="1" applyBorder="1" applyAlignment="1">
      <alignment vertical="center"/>
    </xf>
    <xf numFmtId="0" fontId="4" fillId="20" borderId="0" xfId="0" applyFont="1" applyFill="1" applyBorder="1" applyAlignment="1">
      <alignment vertical="center"/>
    </xf>
    <xf numFmtId="0" fontId="7" fillId="20" borderId="0" xfId="0" applyFont="1" applyFill="1" applyBorder="1" applyAlignment="1">
      <alignment vertical="center" wrapText="1"/>
    </xf>
    <xf numFmtId="0" fontId="26" fillId="21" borderId="0" xfId="0" applyFont="1" applyFill="1" applyBorder="1" applyAlignment="1">
      <alignment vertical="center" wrapText="1"/>
    </xf>
    <xf numFmtId="0" fontId="4" fillId="22" borderId="0" xfId="0" applyFont="1" applyFill="1" applyBorder="1" applyAlignment="1">
      <alignment vertical="center"/>
    </xf>
    <xf numFmtId="0" fontId="7" fillId="22" borderId="0" xfId="0" applyFont="1" applyFill="1" applyBorder="1" applyAlignment="1">
      <alignment vertical="center" wrapText="1"/>
    </xf>
    <xf numFmtId="0" fontId="7" fillId="23" borderId="0" xfId="0" applyFont="1" applyFill="1" applyBorder="1" applyAlignment="1">
      <alignment vertical="center" wrapText="1"/>
    </xf>
    <xf numFmtId="0" fontId="4" fillId="6" borderId="0" xfId="0" applyFont="1" applyFill="1" applyBorder="1" applyAlignment="1">
      <alignment vertical="center"/>
    </xf>
    <xf numFmtId="0" fontId="7" fillId="6" borderId="0" xfId="0" applyFont="1" applyFill="1" applyBorder="1" applyAlignment="1">
      <alignment vertical="center" wrapText="1"/>
    </xf>
    <xf numFmtId="0" fontId="7" fillId="5" borderId="0" xfId="0" applyFont="1" applyFill="1" applyBorder="1" applyAlignment="1">
      <alignment vertical="center" wrapText="1"/>
    </xf>
    <xf numFmtId="0" fontId="7" fillId="5" borderId="0" xfId="5" applyFont="1" applyFill="1" applyBorder="1" applyAlignment="1">
      <alignment vertical="center" wrapText="1"/>
    </xf>
    <xf numFmtId="0" fontId="4" fillId="24" borderId="0" xfId="0" applyFont="1" applyFill="1" applyBorder="1" applyAlignment="1">
      <alignment vertical="center"/>
    </xf>
    <xf numFmtId="0" fontId="7" fillId="24" borderId="0" xfId="0" applyFont="1" applyFill="1" applyBorder="1" applyAlignment="1">
      <alignment vertical="center" wrapText="1"/>
    </xf>
    <xf numFmtId="0" fontId="7" fillId="25" borderId="0" xfId="5" applyFont="1" applyFill="1" applyBorder="1" applyAlignment="1">
      <alignment vertical="center" wrapText="1"/>
    </xf>
    <xf numFmtId="0" fontId="3" fillId="20" borderId="0" xfId="0" applyFont="1" applyFill="1"/>
    <xf numFmtId="0" fontId="3" fillId="4" borderId="0" xfId="0" applyFont="1" applyFill="1"/>
    <xf numFmtId="0" fontId="3" fillId="0" borderId="0" xfId="0" applyFont="1" applyFill="1"/>
    <xf numFmtId="0" fontId="27" fillId="0" borderId="0" xfId="0" applyFont="1"/>
    <xf numFmtId="0" fontId="3" fillId="0" borderId="0" xfId="0" applyFont="1" applyFill="1" applyAlignment="1">
      <alignment horizontal="left"/>
    </xf>
    <xf numFmtId="49" fontId="3" fillId="0" borderId="0" xfId="0" applyNumberFormat="1" applyFont="1"/>
    <xf numFmtId="49" fontId="27" fillId="0" borderId="0" xfId="0" applyNumberFormat="1" applyFont="1"/>
    <xf numFmtId="0" fontId="27" fillId="14" borderId="0" xfId="0" applyFont="1" applyFill="1"/>
    <xf numFmtId="0" fontId="9" fillId="0" borderId="0" xfId="0" applyFont="1" applyFill="1" applyAlignment="1">
      <alignment horizontal="left"/>
    </xf>
    <xf numFmtId="0" fontId="9" fillId="0" borderId="0" xfId="0" applyFont="1" applyFill="1"/>
    <xf numFmtId="0" fontId="28" fillId="0" borderId="0" xfId="0" applyFont="1"/>
    <xf numFmtId="49" fontId="9" fillId="0" borderId="0" xfId="0" applyNumberFormat="1" applyFont="1"/>
    <xf numFmtId="49" fontId="28" fillId="0" borderId="0" xfId="0" applyNumberFormat="1" applyFont="1"/>
    <xf numFmtId="0" fontId="0" fillId="12" borderId="0" xfId="0" applyFill="1"/>
    <xf numFmtId="0" fontId="3" fillId="0" borderId="0" xfId="0" applyFont="1" applyAlignment="1">
      <alignment horizontal="center"/>
    </xf>
    <xf numFmtId="0" fontId="3" fillId="13" borderId="0" xfId="0" applyFont="1" applyFill="1"/>
    <xf numFmtId="0" fontId="0" fillId="13" borderId="0" xfId="0" applyFill="1"/>
    <xf numFmtId="0" fontId="0" fillId="0" borderId="0" xfId="0" applyFont="1"/>
    <xf numFmtId="0" fontId="0" fillId="14" borderId="0" xfId="0" applyFill="1"/>
    <xf numFmtId="0" fontId="3" fillId="4" borderId="0" xfId="0" applyFont="1" applyFill="1" applyAlignment="1">
      <alignment horizontal="center"/>
    </xf>
    <xf numFmtId="0" fontId="0" fillId="14" borderId="0" xfId="0" applyFont="1" applyFill="1"/>
    <xf numFmtId="0" fontId="3" fillId="12" borderId="0" xfId="0" applyFont="1" applyFill="1"/>
    <xf numFmtId="0" fontId="18" fillId="4" borderId="0" xfId="0" applyFont="1" applyFill="1"/>
    <xf numFmtId="0" fontId="9" fillId="4" borderId="0" xfId="0" applyFont="1" applyFill="1"/>
    <xf numFmtId="0" fontId="9" fillId="4" borderId="0" xfId="0" applyFont="1" applyFill="1" applyAlignment="1">
      <alignment horizontal="center"/>
    </xf>
    <xf numFmtId="0" fontId="9" fillId="2" borderId="0" xfId="0" applyFont="1" applyFill="1"/>
    <xf numFmtId="0" fontId="3" fillId="2" borderId="0" xfId="0" applyFont="1" applyFill="1"/>
    <xf numFmtId="10" fontId="0" fillId="4" borderId="0" xfId="8" applyNumberFormat="1" applyFont="1" applyFill="1"/>
    <xf numFmtId="0" fontId="9" fillId="0" borderId="0" xfId="0" applyFont="1" applyAlignment="1">
      <alignment horizontal="center"/>
    </xf>
    <xf numFmtId="0" fontId="28" fillId="2" borderId="0" xfId="0" applyFont="1" applyFill="1"/>
    <xf numFmtId="0" fontId="0" fillId="26" borderId="0" xfId="0" applyFill="1"/>
    <xf numFmtId="0" fontId="3" fillId="11" borderId="0" xfId="0" applyFont="1" applyFill="1"/>
    <xf numFmtId="0" fontId="27" fillId="0" borderId="0" xfId="0" applyFont="1" applyFill="1"/>
    <xf numFmtId="0" fontId="29" fillId="0" borderId="0" xfId="3" applyFont="1" applyAlignment="1">
      <alignment vertical="center" wrapText="1"/>
    </xf>
    <xf numFmtId="0" fontId="30" fillId="0" borderId="0" xfId="3" applyFont="1" applyAlignment="1">
      <alignment vertical="center"/>
    </xf>
    <xf numFmtId="0" fontId="31" fillId="0" borderId="0" xfId="3" applyFont="1"/>
    <xf numFmtId="0" fontId="33" fillId="0" borderId="0" xfId="0" applyFont="1" applyAlignment="1"/>
    <xf numFmtId="0" fontId="34" fillId="0" borderId="0" xfId="0" applyFont="1" applyAlignment="1"/>
    <xf numFmtId="0" fontId="31" fillId="0" borderId="0" xfId="3" applyFont="1" applyAlignment="1">
      <alignment wrapText="1"/>
    </xf>
    <xf numFmtId="0" fontId="35" fillId="0" borderId="0" xfId="3" applyFont="1"/>
    <xf numFmtId="0" fontId="31" fillId="0" borderId="0" xfId="3" applyFont="1" applyAlignment="1">
      <alignment vertical="top" wrapText="1"/>
    </xf>
    <xf numFmtId="0" fontId="36" fillId="27" borderId="0" xfId="2" applyFont="1" applyFill="1"/>
    <xf numFmtId="0" fontId="37" fillId="27" borderId="0" xfId="2" applyFont="1" applyFill="1"/>
    <xf numFmtId="0" fontId="36" fillId="27" borderId="0" xfId="2" applyFont="1" applyFill="1" applyBorder="1" applyAlignment="1">
      <alignment vertical="top" wrapText="1"/>
    </xf>
    <xf numFmtId="0" fontId="36" fillId="27" borderId="0" xfId="2" applyFont="1" applyFill="1" applyBorder="1"/>
    <xf numFmtId="0" fontId="0" fillId="27" borderId="0" xfId="0" applyFill="1"/>
    <xf numFmtId="0" fontId="36" fillId="10" borderId="0" xfId="2" applyFont="1" applyFill="1"/>
    <xf numFmtId="0" fontId="37" fillId="10" borderId="0" xfId="2" applyFont="1" applyFill="1"/>
    <xf numFmtId="0" fontId="36" fillId="10" borderId="0" xfId="2" applyFont="1" applyFill="1" applyBorder="1" applyAlignment="1">
      <alignment vertical="top" wrapText="1"/>
    </xf>
    <xf numFmtId="0" fontId="36" fillId="10" borderId="0" xfId="2" applyFont="1" applyFill="1" applyBorder="1"/>
    <xf numFmtId="0" fontId="38" fillId="0" borderId="0" xfId="2" applyFont="1" applyFill="1"/>
    <xf numFmtId="0" fontId="31" fillId="28" borderId="15" xfId="3" applyFont="1" applyFill="1" applyBorder="1" applyAlignment="1">
      <alignment vertical="top" wrapText="1"/>
    </xf>
    <xf numFmtId="0" fontId="31" fillId="28" borderId="16" xfId="3" applyFont="1" applyFill="1" applyBorder="1"/>
    <xf numFmtId="0" fontId="31" fillId="28" borderId="17" xfId="3" applyFont="1" applyFill="1" applyBorder="1" applyAlignment="1">
      <alignment vertical="top" wrapText="1"/>
    </xf>
    <xf numFmtId="0" fontId="31" fillId="28" borderId="18" xfId="3" applyFont="1" applyFill="1" applyBorder="1"/>
    <xf numFmtId="0" fontId="31" fillId="28" borderId="0" xfId="3" applyFont="1" applyFill="1"/>
    <xf numFmtId="0" fontId="31" fillId="0" borderId="17" xfId="3" applyFont="1" applyBorder="1"/>
    <xf numFmtId="0" fontId="31" fillId="0" borderId="19" xfId="3" applyFont="1" applyBorder="1" applyAlignment="1">
      <alignment vertical="top" wrapText="1"/>
    </xf>
    <xf numFmtId="0" fontId="31" fillId="0" borderId="19" xfId="3" applyFont="1" applyBorder="1"/>
    <xf numFmtId="0" fontId="31" fillId="0" borderId="0" xfId="3" applyFont="1" applyFill="1"/>
    <xf numFmtId="0" fontId="1" fillId="0" borderId="0" xfId="5" applyFill="1"/>
    <xf numFmtId="0" fontId="31" fillId="0" borderId="0" xfId="3" applyFont="1" applyFill="1" applyBorder="1" applyAlignment="1">
      <alignment horizontal="center"/>
    </xf>
    <xf numFmtId="0" fontId="1" fillId="0" borderId="0" xfId="5"/>
    <xf numFmtId="0" fontId="31" fillId="10" borderId="0" xfId="3" applyFont="1" applyFill="1"/>
    <xf numFmtId="0" fontId="31" fillId="10" borderId="0" xfId="3" applyFont="1" applyFill="1" applyBorder="1" applyAlignment="1">
      <alignment horizontal="center"/>
    </xf>
    <xf numFmtId="0" fontId="1" fillId="0" borderId="0" xfId="3"/>
    <xf numFmtId="0" fontId="31" fillId="0" borderId="0" xfId="4" applyFont="1" applyAlignment="1">
      <alignment wrapText="1"/>
    </xf>
    <xf numFmtId="0" fontId="1" fillId="0" borderId="0" xfId="4" applyFont="1" applyAlignment="1">
      <alignment wrapText="1"/>
    </xf>
    <xf numFmtId="0" fontId="0" fillId="0" borderId="0" xfId="4" applyFont="1" applyAlignment="1">
      <alignment wrapText="1"/>
    </xf>
    <xf numFmtId="0" fontId="1" fillId="0" borderId="0" xfId="4" applyAlignment="1">
      <alignment wrapText="1"/>
    </xf>
    <xf numFmtId="0" fontId="31" fillId="0" borderId="0" xfId="3" applyNumberFormat="1" applyFont="1" applyAlignment="1">
      <alignment vertical="top"/>
    </xf>
    <xf numFmtId="0" fontId="39" fillId="0" borderId="0" xfId="9"/>
    <xf numFmtId="14" fontId="0" fillId="0" borderId="0" xfId="0" applyNumberFormat="1"/>
    <xf numFmtId="0" fontId="31" fillId="0" borderId="0" xfId="3" applyNumberFormat="1" applyFont="1" applyFill="1" applyAlignment="1">
      <alignment vertical="top"/>
    </xf>
    <xf numFmtId="0" fontId="39" fillId="0" borderId="0" xfId="9" applyNumberFormat="1"/>
    <xf numFmtId="0" fontId="0" fillId="0" borderId="0" xfId="0" quotePrefix="1"/>
    <xf numFmtId="0" fontId="40" fillId="0" borderId="20" xfId="0" applyFont="1" applyBorder="1" applyAlignment="1">
      <alignment vertical="center" wrapText="1"/>
    </xf>
    <xf numFmtId="0" fontId="0" fillId="0" borderId="21" xfId="0" applyBorder="1"/>
    <xf numFmtId="0" fontId="6" fillId="0" borderId="21" xfId="0" applyFont="1" applyBorder="1" applyAlignment="1">
      <alignment horizontal="left" wrapText="1"/>
    </xf>
    <xf numFmtId="0" fontId="0" fillId="0" borderId="0" xfId="0" applyAlignment="1">
      <alignment horizontal="left" vertical="center" wrapText="1"/>
    </xf>
    <xf numFmtId="0" fontId="7" fillId="0" borderId="0" xfId="0" applyFont="1" applyAlignment="1">
      <alignment wrapText="1"/>
    </xf>
    <xf numFmtId="0" fontId="0" fillId="0" borderId="0" xfId="0" applyAlignment="1">
      <alignment horizontal="left" vertical="top" wrapText="1"/>
    </xf>
    <xf numFmtId="1" fontId="0" fillId="12" borderId="0" xfId="0" applyNumberFormat="1" applyFill="1"/>
    <xf numFmtId="164" fontId="0" fillId="12" borderId="0" xfId="0" applyNumberFormat="1" applyFill="1"/>
    <xf numFmtId="3" fontId="0" fillId="0" borderId="23" xfId="0" applyNumberFormat="1" applyBorder="1" applyAlignment="1">
      <alignment horizontal="center"/>
    </xf>
    <xf numFmtId="0" fontId="42" fillId="0" borderId="26" xfId="0" applyFont="1" applyFill="1" applyBorder="1" applyAlignment="1"/>
    <xf numFmtId="0" fontId="42" fillId="0" borderId="0" xfId="0" applyFont="1" applyFill="1" applyBorder="1" applyAlignment="1"/>
    <xf numFmtId="0" fontId="47" fillId="0" borderId="23" xfId="0" applyFont="1" applyFill="1" applyBorder="1" applyAlignment="1">
      <alignment horizontal="left" vertical="center"/>
    </xf>
    <xf numFmtId="0" fontId="48" fillId="0" borderId="23" xfId="0" applyFont="1" applyFill="1" applyBorder="1" applyAlignment="1">
      <alignment horizontal="left" vertical="center"/>
    </xf>
    <xf numFmtId="0" fontId="46" fillId="0" borderId="23" xfId="0" applyFont="1" applyFill="1" applyBorder="1" applyAlignment="1">
      <alignment horizontal="left" vertical="center"/>
    </xf>
    <xf numFmtId="0" fontId="0" fillId="0" borderId="23" xfId="0" applyBorder="1"/>
    <xf numFmtId="0" fontId="3" fillId="0" borderId="23" xfId="0" applyFont="1" applyBorder="1"/>
    <xf numFmtId="3" fontId="0" fillId="0" borderId="23" xfId="0" applyNumberFormat="1" applyBorder="1"/>
    <xf numFmtId="0" fontId="3" fillId="0" borderId="23" xfId="0" applyFont="1" applyBorder="1" applyAlignment="1">
      <alignment wrapText="1"/>
    </xf>
    <xf numFmtId="0" fontId="3" fillId="0" borderId="23" xfId="0" applyFont="1" applyFill="1" applyBorder="1" applyAlignment="1">
      <alignment wrapText="1"/>
    </xf>
    <xf numFmtId="0" fontId="0" fillId="0" borderId="23" xfId="0" applyBorder="1" applyAlignment="1">
      <alignment wrapText="1"/>
    </xf>
    <xf numFmtId="0" fontId="51" fillId="4" borderId="0" xfId="0" applyFont="1" applyFill="1"/>
    <xf numFmtId="0" fontId="52" fillId="12" borderId="0" xfId="10"/>
    <xf numFmtId="0" fontId="52" fillId="13" borderId="0" xfId="11"/>
    <xf numFmtId="0" fontId="52" fillId="14" borderId="0" xfId="15"/>
    <xf numFmtId="0" fontId="52" fillId="19" borderId="0" xfId="16"/>
    <xf numFmtId="0" fontId="52" fillId="15" borderId="0" xfId="17"/>
    <xf numFmtId="0" fontId="50" fillId="16" borderId="0" xfId="18"/>
    <xf numFmtId="0" fontId="52" fillId="17" borderId="0" xfId="19"/>
    <xf numFmtId="0" fontId="50" fillId="29" borderId="0" xfId="20"/>
    <xf numFmtId="0" fontId="52" fillId="18" borderId="0" xfId="12"/>
    <xf numFmtId="0" fontId="53" fillId="0" borderId="0" xfId="14"/>
    <xf numFmtId="0" fontId="23" fillId="0" borderId="0" xfId="13" applyFill="1"/>
    <xf numFmtId="0" fontId="3" fillId="0" borderId="23" xfId="0" applyFont="1" applyFill="1" applyBorder="1" applyAlignment="1">
      <alignment horizontal="center"/>
    </xf>
    <xf numFmtId="0" fontId="56" fillId="20" borderId="23" xfId="0" applyFont="1" applyFill="1" applyBorder="1" applyAlignment="1">
      <alignment horizontal="center" vertical="center" wrapText="1"/>
    </xf>
    <xf numFmtId="0" fontId="56" fillId="20" borderId="23" xfId="0" applyFont="1" applyFill="1" applyBorder="1" applyAlignment="1">
      <alignment horizontal="left" vertical="center" wrapText="1"/>
    </xf>
    <xf numFmtId="0" fontId="57" fillId="20" borderId="23" xfId="0" applyFont="1" applyFill="1" applyBorder="1" applyAlignment="1">
      <alignment horizontal="center" vertical="center" wrapText="1"/>
    </xf>
    <xf numFmtId="0" fontId="57" fillId="0" borderId="23" xfId="0" applyFont="1" applyBorder="1" applyAlignment="1">
      <alignment horizontal="center" vertical="center" wrapText="1"/>
    </xf>
    <xf numFmtId="0" fontId="58" fillId="0" borderId="23" xfId="0" applyFont="1" applyBorder="1" applyAlignment="1">
      <alignment horizontal="left" vertical="center" wrapText="1"/>
    </xf>
    <xf numFmtId="0" fontId="54" fillId="31" borderId="30" xfId="0" applyFont="1" applyFill="1" applyBorder="1" applyAlignment="1">
      <alignment horizontal="justify" vertical="center" wrapText="1"/>
    </xf>
    <xf numFmtId="0" fontId="54" fillId="31" borderId="31" xfId="0" applyFont="1" applyFill="1" applyBorder="1" applyAlignment="1">
      <alignment horizontal="justify" vertical="center" wrapText="1"/>
    </xf>
    <xf numFmtId="0" fontId="57" fillId="0" borderId="23" xfId="0" applyFont="1" applyBorder="1" applyAlignment="1">
      <alignment horizontal="justify" vertical="center" wrapText="1"/>
    </xf>
    <xf numFmtId="0" fontId="18" fillId="13" borderId="0" xfId="11" applyFont="1"/>
    <xf numFmtId="10" fontId="10" fillId="0" borderId="0" xfId="0" applyNumberFormat="1" applyFont="1" applyFill="1"/>
    <xf numFmtId="0" fontId="61" fillId="0" borderId="32" xfId="0" applyFont="1" applyBorder="1" applyAlignment="1">
      <alignment horizontal="justify" vertical="center" wrapText="1"/>
    </xf>
    <xf numFmtId="0" fontId="7" fillId="0" borderId="23" xfId="0" applyFont="1" applyBorder="1"/>
    <xf numFmtId="0" fontId="57" fillId="0" borderId="23" xfId="0" applyFont="1" applyBorder="1" applyAlignment="1">
      <alignment horizontal="left" vertical="center"/>
    </xf>
    <xf numFmtId="0" fontId="62" fillId="32" borderId="23" xfId="0" applyFont="1" applyFill="1" applyBorder="1" applyAlignment="1">
      <alignment horizontal="center" vertical="center"/>
    </xf>
    <xf numFmtId="0" fontId="63" fillId="32" borderId="23" xfId="0" applyFont="1" applyFill="1" applyBorder="1" applyAlignment="1">
      <alignment horizontal="center" vertical="center"/>
    </xf>
    <xf numFmtId="0" fontId="43" fillId="33" borderId="23" xfId="0" applyFont="1" applyFill="1" applyBorder="1" applyAlignment="1">
      <alignment horizontal="left" vertical="center"/>
    </xf>
    <xf numFmtId="0" fontId="44" fillId="34" borderId="23" xfId="0" applyFont="1" applyFill="1" applyBorder="1" applyAlignment="1">
      <alignment horizontal="left" vertical="center"/>
    </xf>
    <xf numFmtId="165" fontId="0" fillId="0" borderId="23" xfId="0" applyNumberFormat="1" applyBorder="1" applyAlignment="1">
      <alignment horizontal="center"/>
    </xf>
    <xf numFmtId="165" fontId="0" fillId="0" borderId="23" xfId="0" applyNumberFormat="1" applyBorder="1"/>
    <xf numFmtId="165" fontId="43" fillId="33" borderId="23" xfId="0" applyNumberFormat="1" applyFont="1" applyFill="1" applyBorder="1" applyAlignment="1">
      <alignment horizontal="right" vertical="center"/>
    </xf>
    <xf numFmtId="165" fontId="45" fillId="34" borderId="23" xfId="0" applyNumberFormat="1" applyFont="1" applyFill="1" applyBorder="1" applyAlignment="1">
      <alignment horizontal="right" vertical="center"/>
    </xf>
    <xf numFmtId="165" fontId="46" fillId="0" borderId="23" xfId="0" applyNumberFormat="1" applyFont="1" applyFill="1" applyBorder="1" applyAlignment="1">
      <alignment horizontal="right" vertical="center"/>
    </xf>
    <xf numFmtId="165" fontId="46" fillId="4" borderId="23" xfId="0" applyNumberFormat="1" applyFont="1" applyFill="1" applyBorder="1" applyAlignment="1">
      <alignment horizontal="right" vertical="center"/>
    </xf>
    <xf numFmtId="165" fontId="47" fillId="0" borderId="23" xfId="0" applyNumberFormat="1" applyFont="1" applyFill="1" applyBorder="1" applyAlignment="1">
      <alignment horizontal="right" vertical="center"/>
    </xf>
    <xf numFmtId="165" fontId="47" fillId="4" borderId="23" xfId="0" applyNumberFormat="1" applyFont="1" applyFill="1" applyBorder="1" applyAlignment="1">
      <alignment horizontal="right" vertical="center"/>
    </xf>
    <xf numFmtId="165" fontId="48" fillId="0" borderId="23" xfId="0" applyNumberFormat="1" applyFont="1" applyFill="1" applyBorder="1" applyAlignment="1">
      <alignment horizontal="right" vertical="center"/>
    </xf>
    <xf numFmtId="165" fontId="48" fillId="4" borderId="23" xfId="0" applyNumberFormat="1" applyFont="1" applyFill="1" applyBorder="1" applyAlignment="1">
      <alignment horizontal="right" vertical="center"/>
    </xf>
    <xf numFmtId="0" fontId="54" fillId="30" borderId="23" xfId="0" applyFont="1" applyFill="1" applyBorder="1" applyAlignment="1">
      <alignment horizontal="center" vertical="center" wrapText="1"/>
    </xf>
    <xf numFmtId="0" fontId="57" fillId="0" borderId="23" xfId="0" applyFont="1" applyBorder="1" applyAlignment="1">
      <alignment horizontal="left" vertical="center" wrapText="1"/>
    </xf>
    <xf numFmtId="0" fontId="3" fillId="0" borderId="23" xfId="0" applyFont="1" applyBorder="1" applyAlignment="1">
      <alignment horizontal="center" wrapText="1"/>
    </xf>
    <xf numFmtId="0" fontId="3" fillId="0" borderId="23" xfId="0" applyFont="1" applyBorder="1" applyAlignment="1">
      <alignment horizontal="center"/>
    </xf>
    <xf numFmtId="0" fontId="64" fillId="35" borderId="0" xfId="21"/>
    <xf numFmtId="2" fontId="3" fillId="0" borderId="0" xfId="0" applyNumberFormat="1" applyFont="1"/>
    <xf numFmtId="2" fontId="0" fillId="0" borderId="0" xfId="0" applyNumberFormat="1"/>
    <xf numFmtId="0" fontId="29" fillId="0" borderId="0" xfId="3" applyFont="1" applyAlignment="1">
      <alignment horizontal="left" vertical="center" wrapText="1"/>
    </xf>
    <xf numFmtId="0" fontId="20" fillId="10" borderId="0" xfId="0" applyFont="1" applyFill="1" applyAlignment="1">
      <alignment horizontal="center" wrapText="1"/>
    </xf>
    <xf numFmtId="0" fontId="6" fillId="0" borderId="22" xfId="0" applyFont="1" applyBorder="1" applyAlignment="1">
      <alignment horizontal="left" vertical="top" wrapText="1"/>
    </xf>
    <xf numFmtId="0" fontId="54" fillId="30" borderId="0" xfId="0" applyFont="1" applyFill="1" applyBorder="1" applyAlignment="1">
      <alignment horizontal="center" vertical="center" wrapText="1"/>
    </xf>
    <xf numFmtId="0" fontId="54" fillId="30" borderId="23" xfId="0" applyFont="1" applyFill="1" applyBorder="1" applyAlignment="1">
      <alignment horizontal="center" vertical="center" wrapText="1"/>
    </xf>
    <xf numFmtId="0" fontId="57" fillId="0" borderId="24" xfId="0" applyFont="1" applyBorder="1" applyAlignment="1">
      <alignment horizontal="left" vertical="center" wrapText="1"/>
    </xf>
    <xf numFmtId="0" fontId="57" fillId="0" borderId="33" xfId="0" applyFont="1" applyBorder="1" applyAlignment="1">
      <alignment horizontal="left" vertical="center" wrapText="1"/>
    </xf>
    <xf numFmtId="0" fontId="57" fillId="0" borderId="25" xfId="0" applyFont="1" applyBorder="1" applyAlignment="1">
      <alignment horizontal="left" vertical="center" wrapText="1"/>
    </xf>
    <xf numFmtId="0" fontId="57" fillId="0" borderId="23" xfId="0" applyFont="1" applyBorder="1" applyAlignment="1">
      <alignment horizontal="left" vertical="center" wrapText="1"/>
    </xf>
    <xf numFmtId="0" fontId="62" fillId="32" borderId="24" xfId="0" applyFont="1" applyFill="1" applyBorder="1" applyAlignment="1">
      <alignment horizontal="center" vertical="center"/>
    </xf>
    <xf numFmtId="0" fontId="62" fillId="32" borderId="25" xfId="0" applyFont="1" applyFill="1" applyBorder="1" applyAlignment="1">
      <alignment horizontal="center" vertical="center"/>
    </xf>
    <xf numFmtId="0" fontId="63" fillId="32" borderId="27" xfId="0" applyFont="1" applyFill="1" applyBorder="1" applyAlignment="1">
      <alignment horizontal="center" vertical="center"/>
    </xf>
    <xf numFmtId="0" fontId="63" fillId="32" borderId="28" xfId="0" applyFont="1" applyFill="1" applyBorder="1" applyAlignment="1">
      <alignment horizontal="center" vertical="center"/>
    </xf>
    <xf numFmtId="0" fontId="63" fillId="32" borderId="29" xfId="0" applyFont="1" applyFill="1" applyBorder="1" applyAlignment="1">
      <alignment horizontal="center" vertical="center"/>
    </xf>
    <xf numFmtId="0" fontId="3" fillId="0" borderId="23" xfId="0" applyFont="1" applyBorder="1" applyAlignment="1">
      <alignment horizontal="center" wrapText="1"/>
    </xf>
    <xf numFmtId="0" fontId="3" fillId="0" borderId="23" xfId="0" applyFont="1" applyBorder="1" applyAlignment="1">
      <alignment horizontal="center"/>
    </xf>
    <xf numFmtId="0" fontId="0" fillId="0" borderId="23" xfId="0" applyBorder="1" applyAlignment="1">
      <alignment horizontal="center"/>
    </xf>
    <xf numFmtId="0" fontId="3" fillId="2" borderId="3" xfId="0" applyFont="1" applyFill="1" applyBorder="1" applyAlignment="1">
      <alignment horizontal="left"/>
    </xf>
    <xf numFmtId="0" fontId="3" fillId="2" borderId="5" xfId="0" applyFont="1" applyFill="1" applyBorder="1" applyAlignment="1">
      <alignment horizontal="left"/>
    </xf>
    <xf numFmtId="0" fontId="3" fillId="2" borderId="4" xfId="0" applyFont="1" applyFill="1" applyBorder="1" applyAlignment="1">
      <alignment horizontal="left"/>
    </xf>
    <xf numFmtId="0" fontId="0" fillId="2" borderId="11" xfId="0" applyFill="1" applyBorder="1" applyAlignment="1">
      <alignment horizontal="left" wrapText="1"/>
    </xf>
    <xf numFmtId="0" fontId="0" fillId="2" borderId="12" xfId="0" applyFill="1" applyBorder="1" applyAlignment="1">
      <alignment horizontal="left" wrapText="1"/>
    </xf>
    <xf numFmtId="0" fontId="0" fillId="2" borderId="13" xfId="0" applyFill="1" applyBorder="1" applyAlignment="1">
      <alignment horizontal="left" wrapText="1"/>
    </xf>
    <xf numFmtId="0" fontId="3" fillId="2" borderId="8" xfId="0" applyFont="1" applyFill="1" applyBorder="1" applyAlignment="1">
      <alignment horizontal="left"/>
    </xf>
    <xf numFmtId="0" fontId="3" fillId="2" borderId="9" xfId="0" applyFont="1" applyFill="1" applyBorder="1" applyAlignment="1">
      <alignment horizontal="left"/>
    </xf>
    <xf numFmtId="0" fontId="0" fillId="2" borderId="6" xfId="0" applyFill="1" applyBorder="1" applyAlignment="1">
      <alignment horizontal="left" wrapText="1"/>
    </xf>
    <xf numFmtId="0" fontId="0" fillId="2" borderId="0" xfId="0" applyFill="1" applyBorder="1" applyAlignment="1">
      <alignment horizontal="left" wrapText="1"/>
    </xf>
    <xf numFmtId="0" fontId="0" fillId="2" borderId="7" xfId="0" applyFill="1" applyBorder="1" applyAlignment="1">
      <alignment horizontal="left" wrapText="1"/>
    </xf>
    <xf numFmtId="0" fontId="0" fillId="2" borderId="8" xfId="0" applyFill="1" applyBorder="1" applyAlignment="1">
      <alignment horizontal="left" wrapText="1"/>
    </xf>
    <xf numFmtId="0" fontId="0" fillId="2" borderId="9" xfId="0" applyFill="1" applyBorder="1" applyAlignment="1">
      <alignment horizontal="left" wrapText="1"/>
    </xf>
    <xf numFmtId="0" fontId="0" fillId="2" borderId="10" xfId="0" applyFill="1" applyBorder="1" applyAlignment="1">
      <alignment horizontal="left" wrapText="1"/>
    </xf>
    <xf numFmtId="0" fontId="0" fillId="36" borderId="0" xfId="0" applyFont="1" applyFill="1"/>
  </cellXfs>
  <cellStyles count="22">
    <cellStyle name="Assumption" xfId="17" xr:uid="{00000000-0005-0000-0000-000000000000}"/>
    <cellStyle name="Bad" xfId="21" builtinId="27"/>
    <cellStyle name="Calculation" xfId="11" builtinId="22" customBuiltin="1"/>
    <cellStyle name="Check Cell" xfId="12" builtinId="23" customBuiltin="1"/>
    <cellStyle name="Conversion" xfId="18" xr:uid="{00000000-0005-0000-0000-000003000000}"/>
    <cellStyle name="Explanatory Text" xfId="14" builtinId="53" customBuiltin="1"/>
    <cellStyle name="Extrapolation" xfId="16" xr:uid="{00000000-0005-0000-0000-000005000000}"/>
    <cellStyle name="Hyperlink" xfId="9" builtinId="8"/>
    <cellStyle name="Input" xfId="10" builtinId="20" customBuiltin="1"/>
    <cellStyle name="IPCC" xfId="20" xr:uid="{00000000-0005-0000-0000-000008000000}"/>
    <cellStyle name="Model" xfId="19" xr:uid="{00000000-0005-0000-0000-000009000000}"/>
    <cellStyle name="Normal" xfId="0" builtinId="0"/>
    <cellStyle name="Normal 10 3 3 3" xfId="5" xr:uid="{00000000-0005-0000-0000-00000B000000}"/>
    <cellStyle name="Normal 2 2" xfId="1" xr:uid="{00000000-0005-0000-0000-00000C000000}"/>
    <cellStyle name="Normal 209 2" xfId="4" xr:uid="{00000000-0005-0000-0000-00000D000000}"/>
    <cellStyle name="Normal 209 2 4" xfId="6" xr:uid="{00000000-0005-0000-0000-00000E000000}"/>
    <cellStyle name="Normal 210" xfId="2" xr:uid="{00000000-0005-0000-0000-00000F000000}"/>
    <cellStyle name="Normal 5 33" xfId="3" xr:uid="{00000000-0005-0000-0000-000010000000}"/>
    <cellStyle name="Normal 5 33 4" xfId="7" xr:uid="{00000000-0005-0000-0000-000011000000}"/>
    <cellStyle name="Percent" xfId="8" builtinId="5"/>
    <cellStyle name="Spreadsheet" xfId="15" xr:uid="{00000000-0005-0000-0000-000013000000}"/>
    <cellStyle name="Warning Text" xfId="13" builtinId="11" customBuiltin="1"/>
  </cellStyles>
  <dxfs count="46">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ont>
        <strike val="0"/>
        <outline val="0"/>
        <shadow val="0"/>
        <u val="none"/>
        <vertAlign val="baseline"/>
        <sz val="11"/>
        <color rgb="FFFF0000"/>
        <name val="Calibri"/>
        <scheme val="minor"/>
      </font>
    </dxf>
    <dxf>
      <numFmt numFmtId="166" formatCode="dd/mm/yyyy"/>
    </dxf>
    <dxf>
      <numFmt numFmtId="166" formatCode="dd/mm/yyyy"/>
    </dxf>
    <dxf>
      <numFmt numFmtId="0" formatCode="General"/>
    </dxf>
    <dxf>
      <font>
        <strike val="0"/>
        <outline val="0"/>
        <shadow val="0"/>
        <u val="none"/>
        <vertAlign val="baseline"/>
        <sz val="10"/>
        <name val="Arial"/>
        <scheme val="none"/>
      </font>
      <numFmt numFmtId="0" formatCode="General"/>
      <alignment horizontal="general" vertical="top" textRotation="0" wrapText="0" indent="0" justifyLastLine="0" shrinkToFit="0" readingOrder="0"/>
    </dxf>
    <dxf>
      <font>
        <strike val="0"/>
        <outline val="0"/>
        <shadow val="0"/>
        <u val="none"/>
        <vertAlign val="baseline"/>
        <sz val="10"/>
        <name val="Arial"/>
        <scheme val="none"/>
      </font>
      <alignment horizontal="general" vertical="bottom" textRotation="0" wrapText="1" indent="0" justifyLastLine="0" shrinkToFit="0" readingOrder="0"/>
    </dxf>
    <dxf>
      <fill>
        <patternFill>
          <bgColor rgb="FFFF9900"/>
        </patternFill>
      </fill>
    </dxf>
    <dxf>
      <fill>
        <patternFill>
          <bgColor rgb="FF99CC00"/>
        </patternFill>
      </fill>
    </dxf>
  </dxfs>
  <tableStyles count="0" defaultTableStyle="TableStyleMedium2" defaultPivotStyle="PivotStyleLight16"/>
  <colors>
    <mruColors>
      <color rgb="FF006600"/>
      <color rgb="FFFDCD03"/>
      <color rgb="FF7EC234"/>
      <color rgb="FFFFA5DC"/>
      <color rgb="FFFFFF78"/>
      <color rgb="FF96C8FF"/>
      <color rgb="FF9BBB59"/>
      <color rgb="FFE1C896"/>
      <color rgb="FFAADC9B"/>
      <color rgb="FFB48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xml"/><Relationship Id="rId18" Type="http://schemas.openxmlformats.org/officeDocument/2006/relationships/worksheet" Target="worksheets/sheet16.xml"/><Relationship Id="rId26" Type="http://schemas.openxmlformats.org/officeDocument/2006/relationships/worksheet" Target="worksheets/sheet23.xml"/><Relationship Id="rId39" Type="http://schemas.openxmlformats.org/officeDocument/2006/relationships/worksheet" Target="worksheets/sheet34.xml"/><Relationship Id="rId21" Type="http://schemas.openxmlformats.org/officeDocument/2006/relationships/chartsheet" Target="chartsheets/sheet3.xml"/><Relationship Id="rId34" Type="http://schemas.openxmlformats.org/officeDocument/2006/relationships/worksheet" Target="worksheets/sheet30.xml"/><Relationship Id="rId42" Type="http://schemas.openxmlformats.org/officeDocument/2006/relationships/worksheet" Target="worksheets/sheet36.xml"/><Relationship Id="rId47" Type="http://schemas.openxmlformats.org/officeDocument/2006/relationships/worksheet" Target="worksheets/sheet41.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5.xml"/><Relationship Id="rId25" Type="http://schemas.openxmlformats.org/officeDocument/2006/relationships/worksheet" Target="worksheets/sheet22.xml"/><Relationship Id="rId33" Type="http://schemas.openxmlformats.org/officeDocument/2006/relationships/worksheet" Target="worksheets/sheet29.xml"/><Relationship Id="rId38" Type="http://schemas.openxmlformats.org/officeDocument/2006/relationships/worksheet" Target="worksheets/sheet33.xml"/><Relationship Id="rId46" Type="http://schemas.openxmlformats.org/officeDocument/2006/relationships/worksheet" Target="worksheets/sheet40.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worksheet" Target="worksheets/sheet25.xml"/><Relationship Id="rId41" Type="http://schemas.openxmlformats.org/officeDocument/2006/relationships/worksheet" Target="worksheets/sheet35.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1.xml"/><Relationship Id="rId32" Type="http://schemas.openxmlformats.org/officeDocument/2006/relationships/worksheet" Target="worksheets/sheet28.xml"/><Relationship Id="rId37" Type="http://schemas.openxmlformats.org/officeDocument/2006/relationships/worksheet" Target="worksheets/sheet32.xml"/><Relationship Id="rId40" Type="http://schemas.openxmlformats.org/officeDocument/2006/relationships/chartsheet" Target="chartsheets/sheet6.xml"/><Relationship Id="rId45" Type="http://schemas.openxmlformats.org/officeDocument/2006/relationships/worksheet" Target="worksheets/sheet39.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hartsheet" Target="chartsheets/sheet2.xml"/><Relationship Id="rId23" Type="http://schemas.openxmlformats.org/officeDocument/2006/relationships/worksheet" Target="worksheets/sheet20.xml"/><Relationship Id="rId28" Type="http://schemas.openxmlformats.org/officeDocument/2006/relationships/chartsheet" Target="chartsheets/sheet4.xml"/><Relationship Id="rId36" Type="http://schemas.openxmlformats.org/officeDocument/2006/relationships/worksheet" Target="worksheets/sheet31.xml"/><Relationship Id="rId49" Type="http://schemas.openxmlformats.org/officeDocument/2006/relationships/externalLink" Target="externalLinks/externalLink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7.xml"/><Relationship Id="rId31" Type="http://schemas.openxmlformats.org/officeDocument/2006/relationships/worksheet" Target="worksheets/sheet27.xml"/><Relationship Id="rId44" Type="http://schemas.openxmlformats.org/officeDocument/2006/relationships/worksheet" Target="worksheets/sheet38.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19.xml"/><Relationship Id="rId27" Type="http://schemas.openxmlformats.org/officeDocument/2006/relationships/worksheet" Target="worksheets/sheet24.xml"/><Relationship Id="rId30" Type="http://schemas.openxmlformats.org/officeDocument/2006/relationships/worksheet" Target="worksheets/sheet26.xml"/><Relationship Id="rId35" Type="http://schemas.openxmlformats.org/officeDocument/2006/relationships/chartsheet" Target="chartsheets/sheet5.xml"/><Relationship Id="rId43" Type="http://schemas.openxmlformats.org/officeDocument/2006/relationships/worksheet" Target="worksheets/sheet37.xml"/><Relationship Id="rId48" Type="http://schemas.openxmlformats.org/officeDocument/2006/relationships/worksheet" Target="worksheets/sheet42.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37500537842607"/>
          <c:y val="2.8336737719500543E-2"/>
          <c:w val="0.84259767221720228"/>
          <c:h val="0.88010097848647584"/>
        </c:manualLayout>
      </c:layout>
      <c:lineChart>
        <c:grouping val="standard"/>
        <c:varyColors val="0"/>
        <c:ser>
          <c:idx val="1"/>
          <c:order val="0"/>
          <c:tx>
            <c:strRef>
              <c:f>'IPPU Summary'!$C$4</c:f>
              <c:strCache>
                <c:ptCount val="1"/>
                <c:pt idx="0">
                  <c:v>Total IPPU</c:v>
                </c:pt>
              </c:strCache>
            </c:strRef>
          </c:tx>
          <c:spPr>
            <a:ln w="38100" cap="rnd">
              <a:solidFill>
                <a:schemeClr val="accent3">
                  <a:lumMod val="50000"/>
                </a:schemeClr>
              </a:solidFill>
              <a:round/>
            </a:ln>
            <a:effectLst/>
          </c:spPr>
          <c:marker>
            <c:symbol val="none"/>
          </c:marker>
          <c:cat>
            <c:numRef>
              <c:f>'IPPU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'IPPU Summary'!$F$4:$W$4</c:f>
              <c:numCache>
                <c:formatCode>General</c:formatCode>
                <c:ptCount val="18"/>
                <c:pt idx="0">
                  <c:v>34070.784091473332</c:v>
                </c:pt>
                <c:pt idx="1">
                  <c:v>34057.418689953331</c:v>
                </c:pt>
                <c:pt idx="2">
                  <c:v>36140.550376841995</c:v>
                </c:pt>
                <c:pt idx="3">
                  <c:v>35606.54817809067</c:v>
                </c:pt>
                <c:pt idx="4">
                  <c:v>35783.775326864001</c:v>
                </c:pt>
                <c:pt idx="5">
                  <c:v>39118.218840102003</c:v>
                </c:pt>
                <c:pt idx="6">
                  <c:v>40173.210256311737</c:v>
                </c:pt>
                <c:pt idx="7">
                  <c:v>38222.529935045204</c:v>
                </c:pt>
                <c:pt idx="8">
                  <c:v>36048.017206838667</c:v>
                </c:pt>
                <c:pt idx="9">
                  <c:v>34351.983930875736</c:v>
                </c:pt>
                <c:pt idx="10">
                  <c:v>36441.570589909068</c:v>
                </c:pt>
                <c:pt idx="11">
                  <c:v>40227.721556868666</c:v>
                </c:pt>
                <c:pt idx="12">
                  <c:v>38954.926376138297</c:v>
                </c:pt>
                <c:pt idx="13">
                  <c:v>41348.821958289758</c:v>
                </c:pt>
                <c:pt idx="14">
                  <c:v>41878.363159654727</c:v>
                </c:pt>
                <c:pt idx="15">
                  <c:v>41882.300101529981</c:v>
                </c:pt>
                <c:pt idx="16">
                  <c:v>42485.681718826389</c:v>
                </c:pt>
                <c:pt idx="17">
                  <c:v>43249.804354365056</c:v>
                </c:pt>
              </c:numCache>
            </c:numRef>
          </c:val>
          <c:smooth val="0"/>
          <c:extLst>
            <c:ext xmlns:c16="http://schemas.microsoft.com/office/drawing/2014/chart" uri="{C3380CC4-5D6E-409C-BE32-E72D297353CC}">
              <c16:uniqueId val="{00000000-A21B-4702-A628-75AFF019D51A}"/>
            </c:ext>
          </c:extLst>
        </c:ser>
        <c:dLbls>
          <c:showLegendKey val="0"/>
          <c:showVal val="0"/>
          <c:showCatName val="0"/>
          <c:showSerName val="0"/>
          <c:showPercent val="0"/>
          <c:showBubbleSize val="0"/>
        </c:dLbls>
        <c:smooth val="0"/>
        <c:axId val="-1095927904"/>
        <c:axId val="-1095913216"/>
      </c:lineChart>
      <c:catAx>
        <c:axId val="-109592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95913216"/>
        <c:crosses val="autoZero"/>
        <c:auto val="1"/>
        <c:lblAlgn val="ctr"/>
        <c:lblOffset val="100"/>
        <c:noMultiLvlLbl val="0"/>
      </c:catAx>
      <c:valAx>
        <c:axId val="-1095913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r>
                  <a:rPr lang="en-ZA" sz="1400">
                    <a:solidFill>
                      <a:sysClr val="windowText" lastClr="000000"/>
                    </a:solidFill>
                  </a:rPr>
                  <a:t>)</a:t>
                </a:r>
              </a:p>
            </c:rich>
          </c:tx>
          <c:layout>
            <c:manualLayout>
              <c:xMode val="edge"/>
              <c:yMode val="edge"/>
              <c:x val="2.4590163934426229E-2"/>
              <c:y val="0.3421006160840773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95927904"/>
        <c:crosses val="autoZero"/>
        <c:crossBetween val="between"/>
      </c:valAx>
      <c:spPr>
        <a:noFill/>
        <a:ln>
          <a:solidFill>
            <a:schemeClr val="bg1">
              <a:lumMod val="50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'2A Summary'!$C$5</c:f>
              <c:strCache>
                <c:ptCount val="1"/>
                <c:pt idx="0">
                  <c:v>Cement Production</c:v>
                </c:pt>
              </c:strCache>
            </c:strRef>
          </c:tx>
          <c:spPr>
            <a:solidFill>
              <a:srgbClr val="7EC234"/>
            </a:solidFill>
            <a:ln>
              <a:solidFill>
                <a:srgbClr val="7EC234"/>
              </a:solidFill>
            </a:ln>
            <a:effectLst/>
          </c:spPr>
          <c:cat>
            <c:numRef>
              <c:f>'2A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 Summary'!$F$5:$W$5</c:f>
              <c:numCache>
                <c:formatCode>General</c:formatCode>
                <c:ptCount val="18"/>
                <c:pt idx="0">
                  <c:v>3870.5888000000004</c:v>
                </c:pt>
                <c:pt idx="1">
                  <c:v>3783</c:v>
                </c:pt>
                <c:pt idx="2">
                  <c:v>4258.3527999999997</c:v>
                </c:pt>
                <c:pt idx="3">
                  <c:v>4514.5828000000001</c:v>
                </c:pt>
                <c:pt idx="4">
                  <c:v>4390.0739999999996</c:v>
                </c:pt>
                <c:pt idx="5">
                  <c:v>5061.5136000000002</c:v>
                </c:pt>
                <c:pt idx="6">
                  <c:v>5399.81</c:v>
                </c:pt>
                <c:pt idx="7">
                  <c:v>5407.6724000000004</c:v>
                </c:pt>
                <c:pt idx="8">
                  <c:v>4988.5680000000002</c:v>
                </c:pt>
                <c:pt idx="9">
                  <c:v>5432.1279999999997</c:v>
                </c:pt>
                <c:pt idx="10">
                  <c:v>4818.9544000000005</c:v>
                </c:pt>
                <c:pt idx="11">
                  <c:v>4432.8284000000003</c:v>
                </c:pt>
                <c:pt idx="12">
                  <c:v>4414.4984000000004</c:v>
                </c:pt>
                <c:pt idx="13">
                  <c:v>4659.2156000000004</c:v>
                </c:pt>
                <c:pt idx="14">
                  <c:v>4678.1851999999999</c:v>
                </c:pt>
                <c:pt idx="15">
                  <c:v>5204.8256000000001</c:v>
                </c:pt>
                <c:pt idx="16">
                  <c:v>5255.2563310261185</c:v>
                </c:pt>
                <c:pt idx="17">
                  <c:v>5295.8739638517654</c:v>
                </c:pt>
              </c:numCache>
            </c:numRef>
          </c:val>
          <c:extLst>
            <c:ext xmlns:c16="http://schemas.microsoft.com/office/drawing/2014/chart" uri="{C3380CC4-5D6E-409C-BE32-E72D297353CC}">
              <c16:uniqueId val="{00000000-124A-4BF5-AA3C-4D10B03485DB}"/>
            </c:ext>
          </c:extLst>
        </c:ser>
        <c:ser>
          <c:idx val="1"/>
          <c:order val="1"/>
          <c:tx>
            <c:strRef>
              <c:f>'2A Summary'!$C$6</c:f>
              <c:strCache>
                <c:ptCount val="1"/>
                <c:pt idx="0">
                  <c:v>Lime Production</c:v>
                </c:pt>
              </c:strCache>
            </c:strRef>
          </c:tx>
          <c:spPr>
            <a:solidFill>
              <a:srgbClr val="0070C0"/>
            </a:solidFill>
            <a:ln w="25400">
              <a:solidFill>
                <a:srgbClr val="0070C0"/>
              </a:solidFill>
            </a:ln>
            <a:effectLst/>
          </c:spPr>
          <c:cat>
            <c:numRef>
              <c:f>'2A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 Summary'!$F$6:$W$6</c:f>
              <c:numCache>
                <c:formatCode>General</c:formatCode>
                <c:ptCount val="18"/>
                <c:pt idx="0">
                  <c:v>441.39115350000003</c:v>
                </c:pt>
                <c:pt idx="1">
                  <c:v>436.28840000000002</c:v>
                </c:pt>
                <c:pt idx="2">
                  <c:v>477.55462</c:v>
                </c:pt>
                <c:pt idx="3">
                  <c:v>489.73651999999998</c:v>
                </c:pt>
                <c:pt idx="4">
                  <c:v>507.32977999999997</c:v>
                </c:pt>
                <c:pt idx="5">
                  <c:v>572.24579999999992</c:v>
                </c:pt>
                <c:pt idx="6">
                  <c:v>630.18416000000002</c:v>
                </c:pt>
                <c:pt idx="7">
                  <c:v>551.31326000000001</c:v>
                </c:pt>
                <c:pt idx="8">
                  <c:v>1214.74</c:v>
                </c:pt>
                <c:pt idx="9">
                  <c:v>1048.8800000000001</c:v>
                </c:pt>
                <c:pt idx="10">
                  <c:v>993.86</c:v>
                </c:pt>
                <c:pt idx="11">
                  <c:v>1180.96</c:v>
                </c:pt>
                <c:pt idx="12">
                  <c:v>928.84</c:v>
                </c:pt>
                <c:pt idx="13">
                  <c:v>915.25</c:v>
                </c:pt>
                <c:pt idx="14">
                  <c:v>977.98145</c:v>
                </c:pt>
                <c:pt idx="15">
                  <c:v>859.78755999999998</c:v>
                </c:pt>
                <c:pt idx="16">
                  <c:v>1022.3607095203586</c:v>
                </c:pt>
                <c:pt idx="17">
                  <c:v>1045.2890791883435</c:v>
                </c:pt>
              </c:numCache>
            </c:numRef>
          </c:val>
          <c:extLst>
            <c:ext xmlns:c16="http://schemas.microsoft.com/office/drawing/2014/chart" uri="{C3380CC4-5D6E-409C-BE32-E72D297353CC}">
              <c16:uniqueId val="{00000001-124A-4BF5-AA3C-4D10B03485DB}"/>
            </c:ext>
          </c:extLst>
        </c:ser>
        <c:ser>
          <c:idx val="2"/>
          <c:order val="2"/>
          <c:tx>
            <c:strRef>
              <c:f>'2A Summary'!$C$7</c:f>
              <c:strCache>
                <c:ptCount val="1"/>
                <c:pt idx="0">
                  <c:v>Glass Production</c:v>
                </c:pt>
              </c:strCache>
            </c:strRef>
          </c:tx>
          <c:spPr>
            <a:solidFill>
              <a:srgbClr val="FDCD03"/>
            </a:solidFill>
            <a:ln w="25400">
              <a:solidFill>
                <a:srgbClr val="FDCD03"/>
              </a:solidFill>
            </a:ln>
            <a:effectLst/>
          </c:spPr>
          <c:cat>
            <c:numRef>
              <c:f>'2A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 Summary'!$F$7:$W$7</c:f>
              <c:numCache>
                <c:formatCode>General</c:formatCode>
                <c:ptCount val="18"/>
                <c:pt idx="0">
                  <c:v>74.359376980000008</c:v>
                </c:pt>
                <c:pt idx="1">
                  <c:v>84.385891200000003</c:v>
                </c:pt>
                <c:pt idx="2">
                  <c:v>88.345510721999986</c:v>
                </c:pt>
                <c:pt idx="3">
                  <c:v>91.329836783999994</c:v>
                </c:pt>
                <c:pt idx="4">
                  <c:v>95.892302104000024</c:v>
                </c:pt>
                <c:pt idx="5">
                  <c:v>102.36264598200002</c:v>
                </c:pt>
                <c:pt idx="6">
                  <c:v>101.7707585184</c:v>
                </c:pt>
                <c:pt idx="7">
                  <c:v>104.9875006852</c:v>
                </c:pt>
                <c:pt idx="8">
                  <c:v>117.37354955200001</c:v>
                </c:pt>
                <c:pt idx="9">
                  <c:v>109.76702042240001</c:v>
                </c:pt>
                <c:pt idx="10">
                  <c:v>103.88420578760002</c:v>
                </c:pt>
                <c:pt idx="11">
                  <c:v>106.05452000000001</c:v>
                </c:pt>
                <c:pt idx="12">
                  <c:v>113.90679884160002</c:v>
                </c:pt>
                <c:pt idx="13">
                  <c:v>113.90679884160002</c:v>
                </c:pt>
                <c:pt idx="14">
                  <c:v>113.90679884160002</c:v>
                </c:pt>
                <c:pt idx="15">
                  <c:v>113.90679884160002</c:v>
                </c:pt>
                <c:pt idx="16">
                  <c:v>119.21405462264002</c:v>
                </c:pt>
                <c:pt idx="17">
                  <c:v>120.89260493864002</c:v>
                </c:pt>
              </c:numCache>
            </c:numRef>
          </c:val>
          <c:extLst>
            <c:ext xmlns:c16="http://schemas.microsoft.com/office/drawing/2014/chart" uri="{C3380CC4-5D6E-409C-BE32-E72D297353CC}">
              <c16:uniqueId val="{00000002-124A-4BF5-AA3C-4D10B03485DB}"/>
            </c:ext>
          </c:extLst>
        </c:ser>
        <c:dLbls>
          <c:showLegendKey val="0"/>
          <c:showVal val="0"/>
          <c:showCatName val="0"/>
          <c:showSerName val="0"/>
          <c:showPercent val="0"/>
          <c:showBubbleSize val="0"/>
        </c:dLbls>
        <c:axId val="-1095911040"/>
        <c:axId val="-1095910496"/>
      </c:areaChart>
      <c:catAx>
        <c:axId val="-1095911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95910496"/>
        <c:crosses val="autoZero"/>
        <c:auto val="1"/>
        <c:lblAlgn val="ctr"/>
        <c:lblOffset val="100"/>
        <c:noMultiLvlLbl val="0"/>
      </c:catAx>
      <c:valAx>
        <c:axId val="-1095910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95911040"/>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'2A1 Cement Production'!$A$24:$D$24</c:f>
              <c:strCache>
                <c:ptCount val="4"/>
                <c:pt idx="0">
                  <c:v>2A1 Cement Production</c:v>
                </c:pt>
                <c:pt idx="1">
                  <c:v>Mass of CO2 emitted per mass of clinker </c:v>
                </c:pt>
                <c:pt idx="2">
                  <c:v>CO2</c:v>
                </c:pt>
                <c:pt idx="3">
                  <c:v>tCO2/t</c:v>
                </c:pt>
              </c:strCache>
            </c:strRef>
          </c:tx>
          <c:spPr>
            <a:ln w="28575" cap="rnd">
              <a:solidFill>
                <a:schemeClr val="accent1"/>
              </a:solidFill>
              <a:round/>
            </a:ln>
            <a:effectLst/>
          </c:spPr>
          <c:marker>
            <c:symbol val="none"/>
          </c:marker>
          <c:cat>
            <c:numRef>
              <c:f>'2A1 Cement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'2A1 Cement Production'!$E$24:$V$24</c:f>
              <c:numCache>
                <c:formatCode>General</c:formatCode>
                <c:ptCount val="18"/>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numCache>
            </c:numRef>
          </c:val>
          <c:smooth val="0"/>
          <c:extLst>
            <c:ext xmlns:c16="http://schemas.microsoft.com/office/drawing/2014/chart" uri="{C3380CC4-5D6E-409C-BE32-E72D297353CC}">
              <c16:uniqueId val="{00000000-8CA0-4D28-87B0-C7CE478C33F6}"/>
            </c:ext>
          </c:extLst>
        </c:ser>
        <c:dLbls>
          <c:showLegendKey val="0"/>
          <c:showVal val="0"/>
          <c:showCatName val="0"/>
          <c:showSerName val="0"/>
          <c:showPercent val="0"/>
          <c:showBubbleSize val="0"/>
        </c:dLbls>
        <c:smooth val="0"/>
        <c:axId val="-1095939328"/>
        <c:axId val="-1095909408"/>
      </c:lineChart>
      <c:catAx>
        <c:axId val="-109593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9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09408"/>
        <c:crosses val="autoZero"/>
        <c:auto val="1"/>
        <c:lblAlgn val="ctr"/>
        <c:lblOffset val="100"/>
        <c:noMultiLvlLbl val="0"/>
      </c:catAx>
      <c:valAx>
        <c:axId val="-1095909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9328"/>
        <c:crosses val="autoZero"/>
        <c:crossBetween val="between"/>
      </c:valAx>
      <c:spPr>
        <a:noFill/>
        <a:ln>
          <a:noFill/>
        </a:ln>
        <a:effectLst/>
      </c:spPr>
    </c:plotArea>
    <c:legend>
      <c:legendPos val="r"/>
      <c:layout>
        <c:manualLayout>
          <c:xMode val="edge"/>
          <c:yMode val="edge"/>
          <c:x val="0.76306870672798566"/>
          <c:y val="0.49681489598448791"/>
          <c:w val="0.22048730737931421"/>
          <c:h val="0.190888110022571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'2A1 Cement Production'!$A$30:$D$30</c:f>
              <c:strCache>
                <c:ptCount val="4"/>
                <c:pt idx="0">
                  <c:v>2A1 Cement Production</c:v>
                </c:pt>
                <c:pt idx="1">
                  <c:v>Total emissions</c:v>
                </c:pt>
                <c:pt idx="2">
                  <c:v>CO2</c:v>
                </c:pt>
                <c:pt idx="3">
                  <c:v>Gg CO2</c:v>
                </c:pt>
              </c:strCache>
            </c:strRef>
          </c:tx>
          <c:spPr>
            <a:ln w="28575" cap="rnd">
              <a:solidFill>
                <a:schemeClr val="accent2"/>
              </a:solidFill>
              <a:round/>
            </a:ln>
            <a:effectLst/>
          </c:spPr>
          <c:marker>
            <c:symbol val="none"/>
          </c:marker>
          <c:cat>
            <c:numRef>
              <c:f>'2A1 Cement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'2A1 Cement Production'!$E$30:$V$30</c:f>
              <c:numCache>
                <c:formatCode>General</c:formatCode>
                <c:ptCount val="18"/>
                <c:pt idx="0">
                  <c:v>3870.5888000000004</c:v>
                </c:pt>
                <c:pt idx="1">
                  <c:v>3783</c:v>
                </c:pt>
                <c:pt idx="2">
                  <c:v>4258.3527999999997</c:v>
                </c:pt>
                <c:pt idx="3">
                  <c:v>4514.5828000000001</c:v>
                </c:pt>
                <c:pt idx="4">
                  <c:v>4390.0739999999996</c:v>
                </c:pt>
                <c:pt idx="5">
                  <c:v>5061.5136000000002</c:v>
                </c:pt>
                <c:pt idx="6">
                  <c:v>5399.81</c:v>
                </c:pt>
                <c:pt idx="7">
                  <c:v>5407.6724000000004</c:v>
                </c:pt>
                <c:pt idx="8">
                  <c:v>4988.5680000000002</c:v>
                </c:pt>
                <c:pt idx="9">
                  <c:v>5432.1279999999997</c:v>
                </c:pt>
                <c:pt idx="10">
                  <c:v>4818.9544000000005</c:v>
                </c:pt>
                <c:pt idx="11">
                  <c:v>4432.8284000000003</c:v>
                </c:pt>
                <c:pt idx="12">
                  <c:v>4414.4984000000004</c:v>
                </c:pt>
                <c:pt idx="13">
                  <c:v>4659.2156000000004</c:v>
                </c:pt>
                <c:pt idx="14">
                  <c:v>4678.1851999999999</c:v>
                </c:pt>
                <c:pt idx="15">
                  <c:v>5204.8256000000001</c:v>
                </c:pt>
                <c:pt idx="16">
                  <c:v>5255.2563310261185</c:v>
                </c:pt>
                <c:pt idx="17">
                  <c:v>5295.8739638517654</c:v>
                </c:pt>
              </c:numCache>
            </c:numRef>
          </c:val>
          <c:smooth val="0"/>
          <c:extLst>
            <c:ext xmlns:c16="http://schemas.microsoft.com/office/drawing/2014/chart" uri="{C3380CC4-5D6E-409C-BE32-E72D297353CC}">
              <c16:uniqueId val="{00000000-83AE-42CA-B603-D350709AC4D2}"/>
            </c:ext>
          </c:extLst>
        </c:ser>
        <c:dLbls>
          <c:showLegendKey val="0"/>
          <c:showVal val="0"/>
          <c:showCatName val="0"/>
          <c:showSerName val="0"/>
          <c:showPercent val="0"/>
          <c:showBubbleSize val="0"/>
        </c:dLbls>
        <c:smooth val="0"/>
        <c:axId val="-1095941504"/>
        <c:axId val="-1095940960"/>
      </c:lineChart>
      <c:catAx>
        <c:axId val="-109594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0960"/>
        <c:crosses val="autoZero"/>
        <c:auto val="1"/>
        <c:lblAlgn val="ctr"/>
        <c:lblOffset val="100"/>
        <c:noMultiLvlLbl val="0"/>
      </c:catAx>
      <c:valAx>
        <c:axId val="-1095940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1504"/>
        <c:crosses val="autoZero"/>
        <c:crossBetween val="between"/>
      </c:valAx>
      <c:spPr>
        <a:noFill/>
        <a:ln>
          <a:noFill/>
        </a:ln>
        <a:effectLst/>
      </c:spPr>
    </c:plotArea>
    <c:legend>
      <c:legendPos val="r"/>
      <c:layout>
        <c:manualLayout>
          <c:xMode val="edge"/>
          <c:yMode val="edge"/>
          <c:x val="0.73180311601891546"/>
          <c:y val="0.49684215697228079"/>
          <c:w val="0.25151283992645007"/>
          <c:h val="0.174037962410210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'2A2 Lime Production'!$B$19</c:f>
              <c:strCache>
                <c:ptCount val="1"/>
                <c:pt idx="0">
                  <c:v>Mass of CO2 emitted per mass of quicklime </c:v>
                </c:pt>
              </c:strCache>
            </c:strRef>
          </c:tx>
          <c:spPr>
            <a:ln w="28575" cap="rnd">
              <a:solidFill>
                <a:schemeClr val="accent1"/>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Production'!$E$19:$V$19</c:f>
              <c:numCache>
                <c:formatCode>General</c:formatCode>
                <c:ptCount val="18"/>
                <c:pt idx="0">
                  <c:v>0.75</c:v>
                </c:pt>
                <c:pt idx="1">
                  <c:v>0.75</c:v>
                </c:pt>
                <c:pt idx="2">
                  <c:v>0.75</c:v>
                </c:pt>
                <c:pt idx="3">
                  <c:v>0.75</c:v>
                </c:pt>
                <c:pt idx="4">
                  <c:v>0.75</c:v>
                </c:pt>
                <c:pt idx="5">
                  <c:v>0.75</c:v>
                </c:pt>
                <c:pt idx="6">
                  <c:v>0.75</c:v>
                </c:pt>
                <c:pt idx="7">
                  <c:v>0.75</c:v>
                </c:pt>
                <c:pt idx="8">
                  <c:v>0.75</c:v>
                </c:pt>
                <c:pt idx="9">
                  <c:v>0.75</c:v>
                </c:pt>
                <c:pt idx="10">
                  <c:v>0.75</c:v>
                </c:pt>
                <c:pt idx="11">
                  <c:v>0.75</c:v>
                </c:pt>
                <c:pt idx="12">
                  <c:v>0.75</c:v>
                </c:pt>
                <c:pt idx="13">
                  <c:v>0.75</c:v>
                </c:pt>
                <c:pt idx="14">
                  <c:v>0.75</c:v>
                </c:pt>
                <c:pt idx="15">
                  <c:v>0.75</c:v>
                </c:pt>
                <c:pt idx="16">
                  <c:v>0.75</c:v>
                </c:pt>
                <c:pt idx="17">
                  <c:v>0.75</c:v>
                </c:pt>
              </c:numCache>
            </c:numRef>
          </c:val>
          <c:smooth val="0"/>
          <c:extLst>
            <c:ext xmlns:c16="http://schemas.microsoft.com/office/drawing/2014/chart" uri="{C3380CC4-5D6E-409C-BE32-E72D297353CC}">
              <c16:uniqueId val="{00000001-A3D1-4971-811D-488E2EBCCE60}"/>
            </c:ext>
          </c:extLst>
        </c:ser>
        <c:ser>
          <c:idx val="1"/>
          <c:order val="1"/>
          <c:tx>
            <c:strRef>
              <c:f>'2A2 Lime Production'!$B$21</c:f>
              <c:strCache>
                <c:ptCount val="1"/>
                <c:pt idx="0">
                  <c:v>Hydrated lime correction</c:v>
                </c:pt>
              </c:strCache>
            </c:strRef>
          </c:tx>
          <c:spPr>
            <a:ln w="28575" cap="rnd">
              <a:solidFill>
                <a:schemeClr val="accent2"/>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Production'!$E$21:$V$21</c:f>
              <c:numCache>
                <c:formatCode>General</c:formatCode>
                <c:ptCount val="18"/>
                <c:pt idx="0">
                  <c:v>0.97</c:v>
                </c:pt>
                <c:pt idx="1">
                  <c:v>0.97</c:v>
                </c:pt>
                <c:pt idx="2">
                  <c:v>0.97</c:v>
                </c:pt>
                <c:pt idx="3">
                  <c:v>0.97</c:v>
                </c:pt>
                <c:pt idx="4">
                  <c:v>0.97</c:v>
                </c:pt>
                <c:pt idx="5">
                  <c:v>0.97</c:v>
                </c:pt>
                <c:pt idx="6">
                  <c:v>0.97</c:v>
                </c:pt>
                <c:pt idx="7">
                  <c:v>0.97</c:v>
                </c:pt>
                <c:pt idx="8">
                  <c:v>0.97</c:v>
                </c:pt>
                <c:pt idx="9">
                  <c:v>0.97</c:v>
                </c:pt>
                <c:pt idx="10">
                  <c:v>0.97</c:v>
                </c:pt>
                <c:pt idx="11">
                  <c:v>0.97</c:v>
                </c:pt>
                <c:pt idx="12">
                  <c:v>0.97</c:v>
                </c:pt>
                <c:pt idx="13">
                  <c:v>0.97</c:v>
                </c:pt>
                <c:pt idx="14">
                  <c:v>0.97</c:v>
                </c:pt>
                <c:pt idx="15">
                  <c:v>0.97</c:v>
                </c:pt>
                <c:pt idx="16">
                  <c:v>0.97</c:v>
                </c:pt>
                <c:pt idx="17">
                  <c:v>0.97</c:v>
                </c:pt>
              </c:numCache>
            </c:numRef>
          </c:val>
          <c:smooth val="0"/>
          <c:extLst>
            <c:ext xmlns:c16="http://schemas.microsoft.com/office/drawing/2014/chart" uri="{C3380CC4-5D6E-409C-BE32-E72D297353CC}">
              <c16:uniqueId val="{00000002-A3D1-4971-811D-488E2EBCCE60}"/>
            </c:ext>
          </c:extLst>
        </c:ser>
        <c:dLbls>
          <c:showLegendKey val="0"/>
          <c:showVal val="0"/>
          <c:showCatName val="0"/>
          <c:showSerName val="0"/>
          <c:showPercent val="0"/>
          <c:showBubbleSize val="0"/>
        </c:dLbls>
        <c:smooth val="0"/>
        <c:axId val="-1095919200"/>
        <c:axId val="-1095915392"/>
      </c:lineChart>
      <c:catAx>
        <c:axId val="-109591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15392"/>
        <c:crosses val="autoZero"/>
        <c:auto val="1"/>
        <c:lblAlgn val="ctr"/>
        <c:lblOffset val="100"/>
        <c:noMultiLvlLbl val="0"/>
      </c:catAx>
      <c:valAx>
        <c:axId val="-1095915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19200"/>
        <c:crosses val="autoZero"/>
        <c:crossBetween val="between"/>
      </c:valAx>
      <c:spPr>
        <a:noFill/>
        <a:ln>
          <a:noFill/>
        </a:ln>
        <a:effectLst/>
      </c:spPr>
    </c:plotArea>
    <c:legend>
      <c:legendPos val="r"/>
      <c:layout>
        <c:manualLayout>
          <c:xMode val="edge"/>
          <c:yMode val="edge"/>
          <c:x val="0.76306870672798566"/>
          <c:y val="0.49681489598448791"/>
          <c:w val="0.23693126528877598"/>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'2A2 Lime Production'!$B$27</c:f>
              <c:strCache>
                <c:ptCount val="1"/>
                <c:pt idx="0">
                  <c:v>Emissions of quicklime</c:v>
                </c:pt>
              </c:strCache>
            </c:strRef>
          </c:tx>
          <c:spPr>
            <a:ln w="28575" cap="rnd">
              <a:solidFill>
                <a:schemeClr val="accent1"/>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Production'!$E$27:$V$27</c:f>
              <c:numCache>
                <c:formatCode>General</c:formatCode>
                <c:ptCount val="18"/>
                <c:pt idx="0">
                  <c:v>407.05650000000003</c:v>
                </c:pt>
                <c:pt idx="1">
                  <c:v>392.1825</c:v>
                </c:pt>
                <c:pt idx="2">
                  <c:v>429.27674999999999</c:v>
                </c:pt>
                <c:pt idx="3">
                  <c:v>440.22674999999998</c:v>
                </c:pt>
                <c:pt idx="4">
                  <c:v>456.04199999999997</c:v>
                </c:pt>
                <c:pt idx="5">
                  <c:v>514.39499999999998</c:v>
                </c:pt>
                <c:pt idx="6">
                  <c:v>566.47649999999999</c:v>
                </c:pt>
                <c:pt idx="7">
                  <c:v>495.57900000000001</c:v>
                </c:pt>
                <c:pt idx="8">
                  <c:v>1077</c:v>
                </c:pt>
                <c:pt idx="9">
                  <c:v>948</c:v>
                </c:pt>
                <c:pt idx="10">
                  <c:v>884.25</c:v>
                </c:pt>
                <c:pt idx="11">
                  <c:v>1066.5</c:v>
                </c:pt>
                <c:pt idx="12">
                  <c:v>834.75</c:v>
                </c:pt>
                <c:pt idx="13">
                  <c:v>818.25</c:v>
                </c:pt>
                <c:pt idx="14">
                  <c:v>833.68425000000002</c:v>
                </c:pt>
                <c:pt idx="15">
                  <c:v>769.94325000000003</c:v>
                </c:pt>
                <c:pt idx="16">
                  <c:v>910.8977137584593</c:v>
                </c:pt>
                <c:pt idx="17">
                  <c:v>931.04801795188803</c:v>
                </c:pt>
              </c:numCache>
            </c:numRef>
          </c:val>
          <c:smooth val="0"/>
          <c:extLst>
            <c:ext xmlns:c16="http://schemas.microsoft.com/office/drawing/2014/chart" uri="{C3380CC4-5D6E-409C-BE32-E72D297353CC}">
              <c16:uniqueId val="{00000001-D517-4A3D-AA05-D8A6C8ABEEF0}"/>
            </c:ext>
          </c:extLst>
        </c:ser>
        <c:ser>
          <c:idx val="1"/>
          <c:order val="1"/>
          <c:tx>
            <c:strRef>
              <c:f>'2A2 Lime Production'!$B$28</c:f>
              <c:strCache>
                <c:ptCount val="1"/>
                <c:pt idx="0">
                  <c:v>Emissions of hydrated lime</c:v>
                </c:pt>
              </c:strCache>
            </c:strRef>
          </c:tx>
          <c:spPr>
            <a:ln w="28575" cap="rnd">
              <a:solidFill>
                <a:schemeClr val="accent2"/>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Production'!$E$28:$V$28</c:f>
              <c:numCache>
                <c:formatCode>General</c:formatCode>
                <c:ptCount val="18"/>
                <c:pt idx="0">
                  <c:v>34.334653500000002</c:v>
                </c:pt>
                <c:pt idx="1">
                  <c:v>44.105899999999998</c:v>
                </c:pt>
                <c:pt idx="2">
                  <c:v>48.277869999999993</c:v>
                </c:pt>
                <c:pt idx="3">
                  <c:v>49.509769999999996</c:v>
                </c:pt>
                <c:pt idx="4">
                  <c:v>51.287779999999998</c:v>
                </c:pt>
                <c:pt idx="5">
                  <c:v>57.850799999999992</c:v>
                </c:pt>
                <c:pt idx="6">
                  <c:v>63.707659999999997</c:v>
                </c:pt>
                <c:pt idx="7">
                  <c:v>55.734259999999999</c:v>
                </c:pt>
                <c:pt idx="8">
                  <c:v>137.74</c:v>
                </c:pt>
                <c:pt idx="9">
                  <c:v>100.88</c:v>
                </c:pt>
                <c:pt idx="10">
                  <c:v>109.61</c:v>
                </c:pt>
                <c:pt idx="11">
                  <c:v>114.46</c:v>
                </c:pt>
                <c:pt idx="12">
                  <c:v>94.09</c:v>
                </c:pt>
                <c:pt idx="13">
                  <c:v>97</c:v>
                </c:pt>
                <c:pt idx="14">
                  <c:v>144.29719999999998</c:v>
                </c:pt>
                <c:pt idx="15">
                  <c:v>89.844309999999993</c:v>
                </c:pt>
                <c:pt idx="16">
                  <c:v>111.46299576189921</c:v>
                </c:pt>
                <c:pt idx="17">
                  <c:v>114.24106123645547</c:v>
                </c:pt>
              </c:numCache>
            </c:numRef>
          </c:val>
          <c:smooth val="0"/>
          <c:extLst>
            <c:ext xmlns:c16="http://schemas.microsoft.com/office/drawing/2014/chart" uri="{C3380CC4-5D6E-409C-BE32-E72D297353CC}">
              <c16:uniqueId val="{00000002-D517-4A3D-AA05-D8A6C8ABEEF0}"/>
            </c:ext>
          </c:extLst>
        </c:ser>
        <c:dLbls>
          <c:showLegendKey val="0"/>
          <c:showVal val="0"/>
          <c:showCatName val="0"/>
          <c:showSerName val="0"/>
          <c:showPercent val="0"/>
          <c:showBubbleSize val="0"/>
        </c:dLbls>
        <c:smooth val="0"/>
        <c:axId val="-1095926816"/>
        <c:axId val="-1095940416"/>
      </c:lineChart>
      <c:catAx>
        <c:axId val="-109592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0416"/>
        <c:crosses val="autoZero"/>
        <c:auto val="1"/>
        <c:lblAlgn val="ctr"/>
        <c:lblOffset val="100"/>
        <c:noMultiLvlLbl val="0"/>
      </c:catAx>
      <c:valAx>
        <c:axId val="-1095940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26816"/>
        <c:crosses val="autoZero"/>
        <c:crossBetween val="between"/>
      </c:valAx>
      <c:spPr>
        <a:noFill/>
        <a:ln>
          <a:noFill/>
        </a:ln>
        <a:effectLst/>
      </c:spPr>
    </c:plotArea>
    <c:legend>
      <c:legendPos val="r"/>
      <c:layout>
        <c:manualLayout>
          <c:xMode val="edge"/>
          <c:yMode val="edge"/>
          <c:x val="0.73180311601891546"/>
          <c:y val="0.49684215697228079"/>
          <c:w val="0.2681968365376744"/>
          <c:h val="0.253923827764037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'2A3 Glass Production'!$B$19</c:f>
              <c:strCache>
                <c:ptCount val="1"/>
                <c:pt idx="0">
                  <c:v>Mass of CO2 emitted per mass of glass </c:v>
                </c:pt>
              </c:strCache>
            </c:strRef>
          </c:tx>
          <c:spPr>
            <a:ln w="28575" cap="rnd">
              <a:solidFill>
                <a:schemeClr val="accent1"/>
              </a:solidFill>
              <a:round/>
            </a:ln>
            <a:effectLst/>
          </c:spPr>
          <c:marker>
            <c:symbol val="none"/>
          </c:marker>
          <c:cat>
            <c:numRef>
              <c:f>'2A3 Glass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'2A3 Glass Production'!$E$19:$V$19</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1C0D-4412-8593-A0524F0CEF27}"/>
            </c:ext>
          </c:extLst>
        </c:ser>
        <c:dLbls>
          <c:showLegendKey val="0"/>
          <c:showVal val="0"/>
          <c:showCatName val="0"/>
          <c:showSerName val="0"/>
          <c:showPercent val="0"/>
          <c:showBubbleSize val="0"/>
        </c:dLbls>
        <c:smooth val="0"/>
        <c:axId val="-1095937152"/>
        <c:axId val="-1095923552"/>
      </c:lineChart>
      <c:catAx>
        <c:axId val="-109593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23552"/>
        <c:crosses val="autoZero"/>
        <c:auto val="1"/>
        <c:lblAlgn val="ctr"/>
        <c:lblOffset val="100"/>
        <c:noMultiLvlLbl val="0"/>
      </c:catAx>
      <c:valAx>
        <c:axId val="-1095923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7152"/>
        <c:crosses val="autoZero"/>
        <c:crossBetween val="between"/>
      </c:valAx>
      <c:spPr>
        <a:noFill/>
        <a:ln>
          <a:noFill/>
        </a:ln>
        <a:effectLst/>
      </c:spPr>
    </c:plotArea>
    <c:legend>
      <c:legendPos val="r"/>
      <c:layout>
        <c:manualLayout>
          <c:xMode val="edge"/>
          <c:yMode val="edge"/>
          <c:x val="0.76306870672798566"/>
          <c:y val="0.49681489598448791"/>
          <c:w val="0.23693126528877598"/>
          <c:h val="0.106475678252680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'2A3 Glass Production'!$B$25</c:f>
              <c:strCache>
                <c:ptCount val="1"/>
                <c:pt idx="0">
                  <c:v>Total emissions</c:v>
                </c:pt>
              </c:strCache>
            </c:strRef>
          </c:tx>
          <c:spPr>
            <a:ln w="28575" cap="rnd">
              <a:solidFill>
                <a:schemeClr val="accent2"/>
              </a:solidFill>
              <a:round/>
            </a:ln>
            <a:effectLst/>
          </c:spPr>
          <c:marker>
            <c:symbol val="none"/>
          </c:marker>
          <c:cat>
            <c:numRef>
              <c:f>'2A3 Glass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'2A3 Glass Production'!$E$25:$V$25</c:f>
              <c:numCache>
                <c:formatCode>General</c:formatCode>
                <c:ptCount val="18"/>
                <c:pt idx="0">
                  <c:v>74.359376980000008</c:v>
                </c:pt>
                <c:pt idx="1">
                  <c:v>84.385891200000003</c:v>
                </c:pt>
                <c:pt idx="2">
                  <c:v>88.345510721999986</c:v>
                </c:pt>
                <c:pt idx="3">
                  <c:v>91.329836783999994</c:v>
                </c:pt>
                <c:pt idx="4">
                  <c:v>95.892302104000024</c:v>
                </c:pt>
                <c:pt idx="5">
                  <c:v>102.36264598200002</c:v>
                </c:pt>
                <c:pt idx="6">
                  <c:v>101.7707585184</c:v>
                </c:pt>
                <c:pt idx="7">
                  <c:v>104.9875006852</c:v>
                </c:pt>
                <c:pt idx="8">
                  <c:v>117.37354955200001</c:v>
                </c:pt>
                <c:pt idx="9">
                  <c:v>109.76702042240001</c:v>
                </c:pt>
                <c:pt idx="10">
                  <c:v>103.88420578760002</c:v>
                </c:pt>
                <c:pt idx="11">
                  <c:v>106.05452000000001</c:v>
                </c:pt>
                <c:pt idx="12">
                  <c:v>113.90679884160002</c:v>
                </c:pt>
                <c:pt idx="13">
                  <c:v>113.90679884160002</c:v>
                </c:pt>
                <c:pt idx="14">
                  <c:v>113.90679884160002</c:v>
                </c:pt>
                <c:pt idx="15">
                  <c:v>113.90679884160002</c:v>
                </c:pt>
                <c:pt idx="16">
                  <c:v>119.21405462264002</c:v>
                </c:pt>
                <c:pt idx="17">
                  <c:v>120.89260493864002</c:v>
                </c:pt>
              </c:numCache>
            </c:numRef>
          </c:val>
          <c:smooth val="0"/>
          <c:extLst>
            <c:ext xmlns:c16="http://schemas.microsoft.com/office/drawing/2014/chart" uri="{C3380CC4-5D6E-409C-BE32-E72D297353CC}">
              <c16:uniqueId val="{00000001-EA82-4D3E-86DF-1609C7416B72}"/>
            </c:ext>
          </c:extLst>
        </c:ser>
        <c:dLbls>
          <c:showLegendKey val="0"/>
          <c:showVal val="0"/>
          <c:showCatName val="0"/>
          <c:showSerName val="0"/>
          <c:showPercent val="0"/>
          <c:showBubbleSize val="0"/>
        </c:dLbls>
        <c:smooth val="0"/>
        <c:axId val="-1085256240"/>
        <c:axId val="-1085266032"/>
      </c:lineChart>
      <c:catAx>
        <c:axId val="-108525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6032"/>
        <c:crosses val="autoZero"/>
        <c:auto val="1"/>
        <c:lblAlgn val="ctr"/>
        <c:lblOffset val="100"/>
        <c:noMultiLvlLbl val="0"/>
      </c:catAx>
      <c:valAx>
        <c:axId val="-108526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56240"/>
        <c:crosses val="autoZero"/>
        <c:crossBetween val="between"/>
      </c:valAx>
      <c:spPr>
        <a:noFill/>
        <a:ln>
          <a:noFill/>
        </a:ln>
        <a:effectLst/>
      </c:spPr>
    </c:plotArea>
    <c:legend>
      <c:legendPos val="r"/>
      <c:layout>
        <c:manualLayout>
          <c:xMode val="edge"/>
          <c:yMode val="edge"/>
          <c:x val="0.73180311601891546"/>
          <c:y val="0.49684215697228079"/>
          <c:w val="0.2123264063934195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737160979877515"/>
          <c:y val="0.16708333333333336"/>
          <c:w val="0.83953018372703414"/>
          <c:h val="0.7208876494604841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3.3318678915135611E-2"/>
                  <c:y val="-0.1624537037037037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'2A3 Glass Production'!$E$14:$V$14</c:f>
              <c:numCache>
                <c:formatCode>General</c:formatCode>
                <c:ptCount val="18"/>
                <c:pt idx="0">
                  <c:v>561754</c:v>
                </c:pt>
                <c:pt idx="1">
                  <c:v>624156</c:v>
                </c:pt>
                <c:pt idx="2">
                  <c:v>667110</c:v>
                </c:pt>
                <c:pt idx="3">
                  <c:v>702008</c:v>
                </c:pt>
                <c:pt idx="4">
                  <c:v>726644</c:v>
                </c:pt>
                <c:pt idx="5">
                  <c:v>775839</c:v>
                </c:pt>
                <c:pt idx="6">
                  <c:v>808328</c:v>
                </c:pt>
                <c:pt idx="7">
                  <c:v>858382</c:v>
                </c:pt>
                <c:pt idx="8">
                  <c:v>978488</c:v>
                </c:pt>
                <c:pt idx="9">
                  <c:v>993784</c:v>
                </c:pt>
                <c:pt idx="10">
                  <c:v>1009043</c:v>
                </c:pt>
                <c:pt idx="11">
                  <c:v>1019755</c:v>
                </c:pt>
                <c:pt idx="12">
                  <c:v>1095264</c:v>
                </c:pt>
                <c:pt idx="13">
                  <c:v>1095264</c:v>
                </c:pt>
                <c:pt idx="14">
                  <c:v>1095264</c:v>
                </c:pt>
                <c:pt idx="15">
                  <c:v>1095264</c:v>
                </c:pt>
                <c:pt idx="16">
                  <c:v>1146295.6000000001</c:v>
                </c:pt>
                <c:pt idx="17">
                  <c:v>1162435.6000000001</c:v>
                </c:pt>
              </c:numCache>
            </c:numRef>
          </c:val>
          <c:smooth val="0"/>
          <c:extLst>
            <c:ext xmlns:c16="http://schemas.microsoft.com/office/drawing/2014/chart" uri="{C3380CC4-5D6E-409C-BE32-E72D297353CC}">
              <c16:uniqueId val="{00000000-542D-40F6-9DF1-6F7918C8121A}"/>
            </c:ext>
          </c:extLst>
        </c:ser>
        <c:dLbls>
          <c:showLegendKey val="0"/>
          <c:showVal val="0"/>
          <c:showCatName val="0"/>
          <c:showSerName val="0"/>
          <c:showPercent val="0"/>
          <c:showBubbleSize val="0"/>
        </c:dLbls>
        <c:marker val="1"/>
        <c:smooth val="0"/>
        <c:axId val="-1085267120"/>
        <c:axId val="-1085283440"/>
      </c:lineChart>
      <c:catAx>
        <c:axId val="-1085267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83440"/>
        <c:crosses val="autoZero"/>
        <c:auto val="1"/>
        <c:lblAlgn val="ctr"/>
        <c:lblOffset val="100"/>
        <c:noMultiLvlLbl val="0"/>
      </c:catAx>
      <c:valAx>
        <c:axId val="-108528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7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'2A4 OPUC'!$A$21</c:f>
              <c:strCache>
                <c:ptCount val="1"/>
                <c:pt idx="0">
                  <c:v>2A4 Ceramics</c:v>
                </c:pt>
              </c:strCache>
            </c:strRef>
          </c:tx>
          <c:spPr>
            <a:ln w="28575" cap="rnd">
              <a:solidFill>
                <a:schemeClr val="accent1"/>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OPUC'!$E$21:$S$21</c:f>
              <c:numCache>
                <c:formatCode>General</c:formatCode>
                <c:ptCount val="15"/>
              </c:numCache>
            </c:numRef>
          </c:val>
          <c:smooth val="0"/>
          <c:extLst>
            <c:ext xmlns:c16="http://schemas.microsoft.com/office/drawing/2014/chart" uri="{C3380CC4-5D6E-409C-BE32-E72D297353CC}">
              <c16:uniqueId val="{00000000-6CB4-4650-A9A2-4B4CAAFAC84F}"/>
            </c:ext>
          </c:extLst>
        </c:ser>
        <c:ser>
          <c:idx val="1"/>
          <c:order val="1"/>
          <c:tx>
            <c:strRef>
              <c:f>'2A4 OPUC'!$A$22</c:f>
              <c:strCache>
                <c:ptCount val="1"/>
                <c:pt idx="0">
                  <c:v>2A4 Other Uses of Soda Ash</c:v>
                </c:pt>
              </c:strCache>
            </c:strRef>
          </c:tx>
          <c:spPr>
            <a:ln w="28575" cap="rnd">
              <a:solidFill>
                <a:schemeClr val="accent2"/>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OPUC'!$E$22:$S$22</c:f>
              <c:numCache>
                <c:formatCode>General</c:formatCode>
                <c:ptCount val="15"/>
              </c:numCache>
            </c:numRef>
          </c:val>
          <c:smooth val="0"/>
          <c:extLst>
            <c:ext xmlns:c16="http://schemas.microsoft.com/office/drawing/2014/chart" uri="{C3380CC4-5D6E-409C-BE32-E72D297353CC}">
              <c16:uniqueId val="{00000002-6CB4-4650-A9A2-4B4CAAFAC84F}"/>
            </c:ext>
          </c:extLst>
        </c:ser>
        <c:ser>
          <c:idx val="2"/>
          <c:order val="2"/>
          <c:tx>
            <c:strRef>
              <c:f>'2A4 OPUC'!$A$23</c:f>
              <c:strCache>
                <c:ptCount val="1"/>
                <c:pt idx="0">
                  <c:v>2A4 Non Metallurgical Magnesia Production</c:v>
                </c:pt>
              </c:strCache>
            </c:strRef>
          </c:tx>
          <c:spPr>
            <a:ln w="28575" cap="rnd">
              <a:solidFill>
                <a:schemeClr val="accent3"/>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OPUC'!$E$23:$S$23</c:f>
              <c:numCache>
                <c:formatCode>General</c:formatCode>
                <c:ptCount val="15"/>
              </c:numCache>
            </c:numRef>
          </c:val>
          <c:smooth val="0"/>
          <c:extLst>
            <c:ext xmlns:c16="http://schemas.microsoft.com/office/drawing/2014/chart" uri="{C3380CC4-5D6E-409C-BE32-E72D297353CC}">
              <c16:uniqueId val="{00000003-6CB4-4650-A9A2-4B4CAAFAC84F}"/>
            </c:ext>
          </c:extLst>
        </c:ser>
        <c:ser>
          <c:idx val="3"/>
          <c:order val="3"/>
          <c:tx>
            <c:strRef>
              <c:f>'2A4 OPUC'!$A$24</c:f>
              <c:strCache>
                <c:ptCount val="1"/>
                <c:pt idx="0">
                  <c:v>2A4 Other</c:v>
                </c:pt>
              </c:strCache>
            </c:strRef>
          </c:tx>
          <c:spPr>
            <a:ln w="28575" cap="rnd">
              <a:solidFill>
                <a:schemeClr val="accent4"/>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OPUC'!$E$24:$S$24</c:f>
              <c:numCache>
                <c:formatCode>General</c:formatCode>
                <c:ptCount val="15"/>
              </c:numCache>
            </c:numRef>
          </c:val>
          <c:smooth val="0"/>
          <c:extLst>
            <c:ext xmlns:c16="http://schemas.microsoft.com/office/drawing/2014/chart" uri="{C3380CC4-5D6E-409C-BE32-E72D297353CC}">
              <c16:uniqueId val="{00000004-6CB4-4650-A9A2-4B4CAAFAC84F}"/>
            </c:ext>
          </c:extLst>
        </c:ser>
        <c:dLbls>
          <c:showLegendKey val="0"/>
          <c:showVal val="0"/>
          <c:showCatName val="0"/>
          <c:showSerName val="0"/>
          <c:showPercent val="0"/>
          <c:showBubbleSize val="0"/>
        </c:dLbls>
        <c:smooth val="0"/>
        <c:axId val="-1085279088"/>
        <c:axId val="-1085275280"/>
      </c:lineChart>
      <c:catAx>
        <c:axId val="-108527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75280"/>
        <c:crosses val="autoZero"/>
        <c:auto val="1"/>
        <c:lblAlgn val="ctr"/>
        <c:lblOffset val="100"/>
        <c:noMultiLvlLbl val="0"/>
      </c:catAx>
      <c:valAx>
        <c:axId val="-108527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79088"/>
        <c:crosses val="autoZero"/>
        <c:crossBetween val="between"/>
      </c:valAx>
      <c:spPr>
        <a:noFill/>
        <a:ln>
          <a:noFill/>
        </a:ln>
        <a:effectLst/>
      </c:spPr>
    </c:plotArea>
    <c:legend>
      <c:legendPos val="r"/>
      <c:layout>
        <c:manualLayout>
          <c:xMode val="edge"/>
          <c:yMode val="edge"/>
          <c:x val="0.76306873471122405"/>
          <c:y val="0.17451288377217827"/>
          <c:w val="0.23693126528877598"/>
          <c:h val="0.425902713010723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'2A4 OPUC'!$B$28</c:f>
              <c:strCache>
                <c:ptCount val="1"/>
                <c:pt idx="0">
                  <c:v>Emissions from Ceramics</c:v>
                </c:pt>
              </c:strCache>
            </c:strRef>
          </c:tx>
          <c:spPr>
            <a:ln w="28575" cap="rnd">
              <a:solidFill>
                <a:schemeClr val="accent1"/>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OPUC'!$E$28:$S$28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672E-4B7E-9F42-04964BFB41C7}"/>
            </c:ext>
          </c:extLst>
        </c:ser>
        <c:ser>
          <c:idx val="1"/>
          <c:order val="1"/>
          <c:tx>
            <c:strRef>
              <c:f>'2A4 OPUC'!$B$29</c:f>
              <c:strCache>
                <c:ptCount val="1"/>
                <c:pt idx="0">
                  <c:v>Emissions from Other Uses of Soda Ash</c:v>
                </c:pt>
              </c:strCache>
            </c:strRef>
          </c:tx>
          <c:spPr>
            <a:ln w="28575" cap="rnd">
              <a:solidFill>
                <a:schemeClr val="accent2"/>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OPUC'!$E$29:$S$29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672E-4B7E-9F42-04964BFB41C7}"/>
            </c:ext>
          </c:extLst>
        </c:ser>
        <c:ser>
          <c:idx val="2"/>
          <c:order val="2"/>
          <c:tx>
            <c:strRef>
              <c:f>'2A4 OPUC'!$B$30</c:f>
              <c:strCache>
                <c:ptCount val="1"/>
                <c:pt idx="0">
                  <c:v>Emissions from Non Metallurgical Magnesia Production</c:v>
                </c:pt>
              </c:strCache>
            </c:strRef>
          </c:tx>
          <c:spPr>
            <a:ln w="28575" cap="rnd">
              <a:solidFill>
                <a:schemeClr val="accent3"/>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OPUC'!$E$30:$S$30</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672E-4B7E-9F42-04964BFB41C7}"/>
            </c:ext>
          </c:extLst>
        </c:ser>
        <c:ser>
          <c:idx val="3"/>
          <c:order val="3"/>
          <c:tx>
            <c:strRef>
              <c:f>'2A4 OPUC'!$B$31</c:f>
              <c:strCache>
                <c:ptCount val="1"/>
                <c:pt idx="0">
                  <c:v>Emissions from Other</c:v>
                </c:pt>
              </c:strCache>
            </c:strRef>
          </c:tx>
          <c:spPr>
            <a:ln w="28575" cap="rnd">
              <a:solidFill>
                <a:schemeClr val="accent4"/>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OPUC'!$E$31:$S$31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672E-4B7E-9F42-04964BFB41C7}"/>
            </c:ext>
          </c:extLst>
        </c:ser>
        <c:dLbls>
          <c:showLegendKey val="0"/>
          <c:showVal val="0"/>
          <c:showCatName val="0"/>
          <c:showSerName val="0"/>
          <c:showPercent val="0"/>
          <c:showBubbleSize val="0"/>
        </c:dLbls>
        <c:smooth val="0"/>
        <c:axId val="-1085268208"/>
        <c:axId val="-1085270928"/>
      </c:lineChart>
      <c:catAx>
        <c:axId val="-108526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70928"/>
        <c:crosses val="autoZero"/>
        <c:auto val="1"/>
        <c:lblAlgn val="ctr"/>
        <c:lblOffset val="100"/>
        <c:noMultiLvlLbl val="0"/>
      </c:catAx>
      <c:valAx>
        <c:axId val="-1085270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8208"/>
        <c:crosses val="autoZero"/>
        <c:crossBetween val="between"/>
      </c:valAx>
      <c:spPr>
        <a:noFill/>
        <a:ln>
          <a:noFill/>
        </a:ln>
        <a:effectLst/>
      </c:spPr>
    </c:plotArea>
    <c:legend>
      <c:legendPos val="r"/>
      <c:layout>
        <c:manualLayout>
          <c:xMode val="edge"/>
          <c:yMode val="edge"/>
          <c:x val="0.73180316346232555"/>
          <c:y val="0.21533958382070104"/>
          <c:w val="0.2681968365376744"/>
          <c:h val="0.587737115296540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'2B Summary'!$C$5</c:f>
              <c:strCache>
                <c:ptCount val="1"/>
                <c:pt idx="0">
                  <c:v>Chemical Industry</c:v>
                </c:pt>
              </c:strCache>
            </c:strRef>
          </c:tx>
          <c:spPr>
            <a:solidFill>
              <a:srgbClr val="7EC234"/>
            </a:solidFill>
            <a:ln>
              <a:solidFill>
                <a:srgbClr val="7EC234"/>
              </a:solidFill>
            </a:ln>
            <a:effectLst/>
          </c:spPr>
          <c:cat>
            <c:numRef>
              <c:f>'2B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 Summary'!$F$5:$W$5</c:f>
              <c:numCache>
                <c:formatCode>General</c:formatCode>
                <c:ptCount val="18"/>
                <c:pt idx="0">
                  <c:v>2773.5975926599999</c:v>
                </c:pt>
                <c:pt idx="1">
                  <c:v>2715.1124154199997</c:v>
                </c:pt>
                <c:pt idx="2">
                  <c:v>2743.9578261200004</c:v>
                </c:pt>
                <c:pt idx="3">
                  <c:v>2169.0740746400002</c:v>
                </c:pt>
                <c:pt idx="4">
                  <c:v>2472.5599297600002</c:v>
                </c:pt>
                <c:pt idx="5">
                  <c:v>2973.63683412</c:v>
                </c:pt>
                <c:pt idx="6">
                  <c:v>2746.81862946</c:v>
                </c:pt>
                <c:pt idx="7">
                  <c:v>1968.9813043600002</c:v>
                </c:pt>
                <c:pt idx="8">
                  <c:v>1226.37704562</c:v>
                </c:pt>
                <c:pt idx="9">
                  <c:v>1068.23981712</c:v>
                </c:pt>
                <c:pt idx="10">
                  <c:v>1021.2058874548001</c:v>
                </c:pt>
                <c:pt idx="11">
                  <c:v>1070.9225498000001</c:v>
                </c:pt>
                <c:pt idx="12">
                  <c:v>931.2860447999999</c:v>
                </c:pt>
                <c:pt idx="13">
                  <c:v>1152.1518874548001</c:v>
                </c:pt>
                <c:pt idx="14">
                  <c:v>927.62527027089368</c:v>
                </c:pt>
                <c:pt idx="15">
                  <c:v>1001.5070286576954</c:v>
                </c:pt>
                <c:pt idx="16">
                  <c:v>968.88074659355482</c:v>
                </c:pt>
                <c:pt idx="17">
                  <c:v>983.67864249593674</c:v>
                </c:pt>
              </c:numCache>
            </c:numRef>
          </c:val>
          <c:extLst>
            <c:ext xmlns:c16="http://schemas.microsoft.com/office/drawing/2014/chart" uri="{C3380CC4-5D6E-409C-BE32-E72D297353CC}">
              <c16:uniqueId val="{00000000-ABDE-4717-A1C9-F6C5961499DD}"/>
            </c:ext>
          </c:extLst>
        </c:ser>
        <c:dLbls>
          <c:showLegendKey val="0"/>
          <c:showVal val="0"/>
          <c:showCatName val="0"/>
          <c:showSerName val="0"/>
          <c:showPercent val="0"/>
          <c:showBubbleSize val="0"/>
        </c:dLbls>
        <c:axId val="-1085263312"/>
        <c:axId val="-1085273104"/>
      </c:areaChart>
      <c:catAx>
        <c:axId val="-1085263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85273104"/>
        <c:crosses val="autoZero"/>
        <c:auto val="1"/>
        <c:lblAlgn val="ctr"/>
        <c:lblOffset val="100"/>
        <c:noMultiLvlLbl val="0"/>
      </c:catAx>
      <c:valAx>
        <c:axId val="-1085273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85263312"/>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'2B1 Ammonia Production'!$B$23</c:f>
              <c:strCache>
                <c:ptCount val="1"/>
                <c:pt idx="0">
                  <c:v>Carbon oxidation factor of fuel</c:v>
                </c:pt>
              </c:strCache>
            </c:strRef>
          </c:tx>
          <c:spPr>
            <a:ln w="28575" cap="rnd">
              <a:solidFill>
                <a:schemeClr val="accent1"/>
              </a:solidFill>
              <a:round/>
            </a:ln>
            <a:effectLst/>
          </c:spPr>
          <c:marker>
            <c:symbol val="none"/>
          </c:marker>
          <c:cat>
            <c:numRef>
              <c:f>'2B1 Ammonia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'2B1 Ammonia Production'!$E$23:$V$23</c:f>
              <c:numCache>
                <c:formatCode>General</c:formatCode>
                <c:ptCount val="18"/>
              </c:numCache>
            </c:numRef>
          </c:val>
          <c:smooth val="0"/>
          <c:extLst>
            <c:ext xmlns:c16="http://schemas.microsoft.com/office/drawing/2014/chart" uri="{C3380CC4-5D6E-409C-BE32-E72D297353CC}">
              <c16:uniqueId val="{00000000-6D68-408A-8EE8-49A54CD0FFEA}"/>
            </c:ext>
          </c:extLst>
        </c:ser>
        <c:dLbls>
          <c:showLegendKey val="0"/>
          <c:showVal val="0"/>
          <c:showCatName val="0"/>
          <c:showSerName val="0"/>
          <c:showPercent val="0"/>
          <c:showBubbleSize val="0"/>
        </c:dLbls>
        <c:smooth val="0"/>
        <c:axId val="-1085259504"/>
        <c:axId val="-1085268752"/>
      </c:lineChart>
      <c:catAx>
        <c:axId val="-108525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8752"/>
        <c:crosses val="autoZero"/>
        <c:auto val="1"/>
        <c:lblAlgn val="ctr"/>
        <c:lblOffset val="100"/>
        <c:noMultiLvlLbl val="0"/>
      </c:catAx>
      <c:valAx>
        <c:axId val="-108526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59504"/>
        <c:crosses val="autoZero"/>
        <c:crossBetween val="between"/>
      </c:valAx>
      <c:spPr>
        <a:noFill/>
        <a:ln>
          <a:noFill/>
        </a:ln>
        <a:effectLst/>
      </c:spPr>
    </c:plotArea>
    <c:legend>
      <c:legendPos val="r"/>
      <c:layout>
        <c:manualLayout>
          <c:xMode val="edge"/>
          <c:yMode val="edge"/>
          <c:x val="0.76306870672798566"/>
          <c:y val="0.49681489598448791"/>
          <c:w val="0.23693126528877598"/>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'2B1 Ammonia Production'!$B$31</c:f>
              <c:strCache>
                <c:ptCount val="1"/>
                <c:pt idx="0">
                  <c:v>Total emissions</c:v>
                </c:pt>
              </c:strCache>
            </c:strRef>
          </c:tx>
          <c:spPr>
            <a:ln w="28575" cap="rnd">
              <a:solidFill>
                <a:schemeClr val="accent1"/>
              </a:solidFill>
              <a:round/>
            </a:ln>
            <a:effectLst/>
          </c:spPr>
          <c:marker>
            <c:symbol val="none"/>
          </c:marker>
          <c:cat>
            <c:numRef>
              <c:f>'2B1 Ammonia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'2B1 Ammonia Production'!$E$31:$V$31</c:f>
              <c:numCache>
                <c:formatCode>General</c:formatCode>
                <c:ptCount val="18"/>
                <c:pt idx="0">
                  <c:v>550.84</c:v>
                </c:pt>
                <c:pt idx="1">
                  <c:v>552.88499999999999</c:v>
                </c:pt>
                <c:pt idx="2">
                  <c:v>524.98599999999999</c:v>
                </c:pt>
                <c:pt idx="3">
                  <c:v>545.48500000000001</c:v>
                </c:pt>
                <c:pt idx="4">
                  <c:v>573.66300000000001</c:v>
                </c:pt>
                <c:pt idx="5">
                  <c:v>285.23599999999999</c:v>
                </c:pt>
                <c:pt idx="6">
                  <c:v>270.98500000000001</c:v>
                </c:pt>
                <c:pt idx="7">
                  <c:v>369.61200000000002</c:v>
                </c:pt>
                <c:pt idx="8">
                  <c:v>274.49700000000001</c:v>
                </c:pt>
                <c:pt idx="9">
                  <c:v>234.26499999999999</c:v>
                </c:pt>
                <c:pt idx="10">
                  <c:v>382.29700000000003</c:v>
                </c:pt>
                <c:pt idx="11">
                  <c:v>453.79600000000005</c:v>
                </c:pt>
                <c:pt idx="12">
                  <c:v>281.803</c:v>
                </c:pt>
                <c:pt idx="13">
                  <c:v>249.74299999999999</c:v>
                </c:pt>
                <c:pt idx="14">
                  <c:v>255.40699999999998</c:v>
                </c:pt>
                <c:pt idx="15">
                  <c:v>360.00800000000004</c:v>
                </c:pt>
                <c:pt idx="16">
                  <c:v>385.34424999999999</c:v>
                </c:pt>
                <c:pt idx="17">
                  <c:v>408.61699999999996</c:v>
                </c:pt>
              </c:numCache>
            </c:numRef>
          </c:val>
          <c:smooth val="0"/>
          <c:extLst>
            <c:ext xmlns:c16="http://schemas.microsoft.com/office/drawing/2014/chart" uri="{C3380CC4-5D6E-409C-BE32-E72D297353CC}">
              <c16:uniqueId val="{00000000-23B0-4D2B-9C84-5ADCF557B085}"/>
            </c:ext>
          </c:extLst>
        </c:ser>
        <c:dLbls>
          <c:showLegendKey val="0"/>
          <c:showVal val="0"/>
          <c:showCatName val="0"/>
          <c:showSerName val="0"/>
          <c:showPercent val="0"/>
          <c:showBubbleSize val="0"/>
        </c:dLbls>
        <c:smooth val="0"/>
        <c:axId val="-1085264944"/>
        <c:axId val="-1085262768"/>
      </c:lineChart>
      <c:catAx>
        <c:axId val="-108526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2768"/>
        <c:crosses val="autoZero"/>
        <c:auto val="1"/>
        <c:lblAlgn val="ctr"/>
        <c:lblOffset val="100"/>
        <c:noMultiLvlLbl val="0"/>
      </c:catAx>
      <c:valAx>
        <c:axId val="-108526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4944"/>
        <c:crosses val="autoZero"/>
        <c:crossBetween val="between"/>
      </c:valAx>
      <c:spPr>
        <a:noFill/>
        <a:ln>
          <a:noFill/>
        </a:ln>
        <a:effectLst/>
      </c:spPr>
    </c:plotArea>
    <c:legend>
      <c:legendPos val="r"/>
      <c:layout>
        <c:manualLayout>
          <c:xMode val="edge"/>
          <c:yMode val="edge"/>
          <c:x val="0.73180311601891546"/>
          <c:y val="0.49684215697228079"/>
          <c:w val="0.2681968365376744"/>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'2B2 Nitric Acid Production'!$B$19</c:f>
              <c:strCache>
                <c:ptCount val="1"/>
                <c:pt idx="0">
                  <c:v>Mass of N2O per tonne of nitric acid produced - Other Plants</c:v>
                </c:pt>
              </c:strCache>
            </c:strRef>
          </c:tx>
          <c:spPr>
            <a:ln w="28575" cap="rnd">
              <a:solidFill>
                <a:schemeClr val="accent1"/>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Production'!$E$19:$V$19</c:f>
              <c:numCache>
                <c:formatCode>General</c:formatCode>
                <c:ptCount val="18"/>
              </c:numCache>
            </c:numRef>
          </c:val>
          <c:smooth val="0"/>
          <c:extLst>
            <c:ext xmlns:c16="http://schemas.microsoft.com/office/drawing/2014/chart" uri="{C3380CC4-5D6E-409C-BE32-E72D297353CC}">
              <c16:uniqueId val="{00000000-8E39-448B-B602-5AD4D96BEFCC}"/>
            </c:ext>
          </c:extLst>
        </c:ser>
        <c:ser>
          <c:idx val="1"/>
          <c:order val="1"/>
          <c:tx>
            <c:strRef>
              <c:f>'2B2 Nitric Acid Production'!$B$20</c:f>
              <c:strCache>
                <c:ptCount val="1"/>
                <c:pt idx="0">
                  <c:v>Mass of N2O per tonne of nitric acid produced - Sasol</c:v>
                </c:pt>
              </c:strCache>
            </c:strRef>
          </c:tx>
          <c:spPr>
            <a:ln w="28575" cap="rnd">
              <a:solidFill>
                <a:schemeClr val="accent2"/>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Production'!$E$20:$V$20</c:f>
              <c:numCache>
                <c:formatCode>General</c:formatCode>
                <c:ptCount val="18"/>
              </c:numCache>
            </c:numRef>
          </c:val>
          <c:smooth val="0"/>
          <c:extLst>
            <c:ext xmlns:c16="http://schemas.microsoft.com/office/drawing/2014/chart" uri="{C3380CC4-5D6E-409C-BE32-E72D297353CC}">
              <c16:uniqueId val="{00000001-8E39-448B-B602-5AD4D96BEFCC}"/>
            </c:ext>
          </c:extLst>
        </c:ser>
        <c:dLbls>
          <c:showLegendKey val="0"/>
          <c:showVal val="0"/>
          <c:showCatName val="0"/>
          <c:showSerName val="0"/>
          <c:showPercent val="0"/>
          <c:showBubbleSize val="0"/>
        </c:dLbls>
        <c:smooth val="0"/>
        <c:axId val="-1085267664"/>
        <c:axId val="-1085264400"/>
      </c:lineChart>
      <c:catAx>
        <c:axId val="-1085267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4400"/>
        <c:crosses val="autoZero"/>
        <c:auto val="1"/>
        <c:lblAlgn val="ctr"/>
        <c:lblOffset val="100"/>
        <c:noMultiLvlLbl val="0"/>
      </c:catAx>
      <c:valAx>
        <c:axId val="-108526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7664"/>
        <c:crosses val="autoZero"/>
        <c:crossBetween val="between"/>
      </c:valAx>
      <c:spPr>
        <a:noFill/>
        <a:ln>
          <a:noFill/>
        </a:ln>
        <a:effectLst/>
      </c:spPr>
    </c:plotArea>
    <c:legend>
      <c:legendPos val="r"/>
      <c:layout>
        <c:manualLayout>
          <c:xMode val="edge"/>
          <c:yMode val="edge"/>
          <c:x val="0.76306870672798566"/>
          <c:y val="0.31647924629426705"/>
          <c:w val="0.23693126528877598"/>
          <c:h val="0.393287006195582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'2B2 Nitric Acid Production'!$B$30</c:f>
              <c:strCache>
                <c:ptCount val="1"/>
                <c:pt idx="0">
                  <c:v>Total Emissions</c:v>
                </c:pt>
              </c:strCache>
            </c:strRef>
          </c:tx>
          <c:spPr>
            <a:ln w="28575" cap="rnd">
              <a:solidFill>
                <a:schemeClr val="accent1"/>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Production'!$E$30:$V$30</c:f>
              <c:numCache>
                <c:formatCode>General</c:formatCode>
                <c:ptCount val="18"/>
                <c:pt idx="0">
                  <c:v>1644.519</c:v>
                </c:pt>
                <c:pt idx="1">
                  <c:v>1583.9195799999998</c:v>
                </c:pt>
                <c:pt idx="2">
                  <c:v>1579.3802500000002</c:v>
                </c:pt>
                <c:pt idx="3">
                  <c:v>980.55790000000013</c:v>
                </c:pt>
                <c:pt idx="4">
                  <c:v>1264.0001999999999</c:v>
                </c:pt>
                <c:pt idx="5">
                  <c:v>2065.096</c:v>
                </c:pt>
                <c:pt idx="6">
                  <c:v>2134.6289999999999</c:v>
                </c:pt>
                <c:pt idx="7">
                  <c:v>1252.2388000000001</c:v>
                </c:pt>
                <c:pt idx="8">
                  <c:v>554.60239999999999</c:v>
                </c:pt>
                <c:pt idx="9">
                  <c:v>536.11399999999992</c:v>
                </c:pt>
                <c:pt idx="10">
                  <c:v>340.89769999999999</c:v>
                </c:pt>
                <c:pt idx="11">
                  <c:v>319.05509999999998</c:v>
                </c:pt>
                <c:pt idx="12">
                  <c:v>350.67509999999999</c:v>
                </c:pt>
                <c:pt idx="13">
                  <c:v>604.39769999999999</c:v>
                </c:pt>
                <c:pt idx="14">
                  <c:v>368.71400000000006</c:v>
                </c:pt>
                <c:pt idx="15">
                  <c:v>345.40200000000004</c:v>
                </c:pt>
                <c:pt idx="16">
                  <c:v>294.41503876107924</c:v>
                </c:pt>
                <c:pt idx="17">
                  <c:v>292.55503876107923</c:v>
                </c:pt>
              </c:numCache>
            </c:numRef>
          </c:val>
          <c:smooth val="0"/>
          <c:extLst>
            <c:ext xmlns:c16="http://schemas.microsoft.com/office/drawing/2014/chart" uri="{C3380CC4-5D6E-409C-BE32-E72D297353CC}">
              <c16:uniqueId val="{00000001-9DE6-4D10-9FD0-80E49AB1DF52}"/>
            </c:ext>
          </c:extLst>
        </c:ser>
        <c:ser>
          <c:idx val="1"/>
          <c:order val="1"/>
          <c:tx>
            <c:strRef>
              <c:f>'2B2 Nitric Acid Production'!$B$28</c:f>
              <c:strCache>
                <c:ptCount val="1"/>
                <c:pt idx="0">
                  <c:v>N2O Emissions - Other Plants</c:v>
                </c:pt>
              </c:strCache>
            </c:strRef>
          </c:tx>
          <c:spPr>
            <a:ln w="28575" cap="rnd">
              <a:solidFill>
                <a:schemeClr val="accent2"/>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Production'!$E$28:$V$28</c:f>
              <c:numCache>
                <c:formatCode>General</c:formatCode>
                <c:ptCount val="18"/>
                <c:pt idx="0">
                  <c:v>565.09899999999993</c:v>
                </c:pt>
                <c:pt idx="1">
                  <c:v>565.38419999999996</c:v>
                </c:pt>
                <c:pt idx="2">
                  <c:v>509.77330000000001</c:v>
                </c:pt>
                <c:pt idx="3">
                  <c:v>52.417899999999996</c:v>
                </c:pt>
                <c:pt idx="4">
                  <c:v>327.80020000000002</c:v>
                </c:pt>
                <c:pt idx="5">
                  <c:v>1043.336</c:v>
                </c:pt>
                <c:pt idx="6">
                  <c:v>1124.9589999999998</c:v>
                </c:pt>
                <c:pt idx="7">
                  <c:v>809.24879999999996</c:v>
                </c:pt>
                <c:pt idx="8">
                  <c:v>265.37240000000003</c:v>
                </c:pt>
                <c:pt idx="9">
                  <c:v>169.69399999999999</c:v>
                </c:pt>
                <c:pt idx="10">
                  <c:v>169.77770000000001</c:v>
                </c:pt>
                <c:pt idx="11">
                  <c:v>169.9451</c:v>
                </c:pt>
                <c:pt idx="12">
                  <c:v>169.9451</c:v>
                </c:pt>
                <c:pt idx="13">
                  <c:v>169.77770000000001</c:v>
                </c:pt>
                <c:pt idx="14">
                  <c:v>160.084</c:v>
                </c:pt>
                <c:pt idx="15">
                  <c:v>158.47200000000001</c:v>
                </c:pt>
                <c:pt idx="16">
                  <c:v>156.73600000000002</c:v>
                </c:pt>
                <c:pt idx="17">
                  <c:v>154.876</c:v>
                </c:pt>
              </c:numCache>
            </c:numRef>
          </c:val>
          <c:smooth val="0"/>
          <c:extLst>
            <c:ext xmlns:c16="http://schemas.microsoft.com/office/drawing/2014/chart" uri="{C3380CC4-5D6E-409C-BE32-E72D297353CC}">
              <c16:uniqueId val="{00000002-9DE6-4D10-9FD0-80E49AB1DF52}"/>
            </c:ext>
          </c:extLst>
        </c:ser>
        <c:ser>
          <c:idx val="2"/>
          <c:order val="2"/>
          <c:tx>
            <c:strRef>
              <c:f>'2B2 Nitric Acid Production'!$B$29</c:f>
              <c:strCache>
                <c:ptCount val="1"/>
                <c:pt idx="0">
                  <c:v>N2O Emissions - Sasol</c:v>
                </c:pt>
              </c:strCache>
            </c:strRef>
          </c:tx>
          <c:spPr>
            <a:ln w="28575" cap="rnd">
              <a:solidFill>
                <a:schemeClr val="accent3"/>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Production'!$E$29:$V$29</c:f>
              <c:numCache>
                <c:formatCode>General</c:formatCode>
                <c:ptCount val="18"/>
                <c:pt idx="0">
                  <c:v>1079.42</c:v>
                </c:pt>
                <c:pt idx="1">
                  <c:v>1018.5353799999999</c:v>
                </c:pt>
                <c:pt idx="2">
                  <c:v>1069.6069500000001</c:v>
                </c:pt>
                <c:pt idx="3">
                  <c:v>928.1400000000001</c:v>
                </c:pt>
                <c:pt idx="4">
                  <c:v>936.2</c:v>
                </c:pt>
                <c:pt idx="5">
                  <c:v>1021.76</c:v>
                </c:pt>
                <c:pt idx="6">
                  <c:v>1009.6700000000001</c:v>
                </c:pt>
                <c:pt idx="7">
                  <c:v>442.99</c:v>
                </c:pt>
                <c:pt idx="8">
                  <c:v>289.23</c:v>
                </c:pt>
                <c:pt idx="9">
                  <c:v>366.41999999999996</c:v>
                </c:pt>
                <c:pt idx="10">
                  <c:v>171.12</c:v>
                </c:pt>
                <c:pt idx="11">
                  <c:v>149.10999999999999</c:v>
                </c:pt>
                <c:pt idx="12">
                  <c:v>180.73</c:v>
                </c:pt>
                <c:pt idx="13">
                  <c:v>434.61999999999995</c:v>
                </c:pt>
                <c:pt idx="14">
                  <c:v>208.63000000000002</c:v>
                </c:pt>
                <c:pt idx="15">
                  <c:v>186.93</c:v>
                </c:pt>
                <c:pt idx="16">
                  <c:v>137.67903876107923</c:v>
                </c:pt>
                <c:pt idx="17">
                  <c:v>137.67903876107923</c:v>
                </c:pt>
              </c:numCache>
            </c:numRef>
          </c:val>
          <c:smooth val="0"/>
          <c:extLst>
            <c:ext xmlns:c16="http://schemas.microsoft.com/office/drawing/2014/chart" uri="{C3380CC4-5D6E-409C-BE32-E72D297353CC}">
              <c16:uniqueId val="{00000003-9DE6-4D10-9FD0-80E49AB1DF52}"/>
            </c:ext>
          </c:extLst>
        </c:ser>
        <c:dLbls>
          <c:showLegendKey val="0"/>
          <c:showVal val="0"/>
          <c:showCatName val="0"/>
          <c:showSerName val="0"/>
          <c:showPercent val="0"/>
          <c:showBubbleSize val="0"/>
        </c:dLbls>
        <c:smooth val="0"/>
        <c:axId val="-1085261136"/>
        <c:axId val="-1085260592"/>
      </c:lineChart>
      <c:catAx>
        <c:axId val="-108526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0592"/>
        <c:crosses val="autoZero"/>
        <c:auto val="1"/>
        <c:lblAlgn val="ctr"/>
        <c:lblOffset val="100"/>
        <c:noMultiLvlLbl val="0"/>
      </c:catAx>
      <c:valAx>
        <c:axId val="-108526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1136"/>
        <c:crosses val="autoZero"/>
        <c:crossBetween val="between"/>
      </c:valAx>
      <c:spPr>
        <a:noFill/>
        <a:ln>
          <a:noFill/>
        </a:ln>
        <a:effectLst/>
      </c:spPr>
    </c:plotArea>
    <c:legend>
      <c:legendPos val="r"/>
      <c:layout>
        <c:manualLayout>
          <c:xMode val="edge"/>
          <c:yMode val="edge"/>
          <c:x val="0.73180311601891546"/>
          <c:y val="0.28000909386903694"/>
          <c:w val="0.2681968365376744"/>
          <c:h val="0.409416407843851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'2B5 Carbide Production'!$B$20</c:f>
              <c:strCache>
                <c:ptCount val="1"/>
                <c:pt idx="0">
                  <c:v>Mass of CO2 per tonne of raw material used - Silicon Carbide</c:v>
                </c:pt>
              </c:strCache>
            </c:strRef>
          </c:tx>
          <c:spPr>
            <a:ln w="28575" cap="rnd">
              <a:solidFill>
                <a:schemeClr val="accent1"/>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Production'!$E$20:$V$20</c:f>
              <c:numCache>
                <c:formatCode>General</c:formatCode>
                <c:ptCount val="18"/>
              </c:numCache>
            </c:numRef>
          </c:val>
          <c:smooth val="0"/>
          <c:extLst>
            <c:ext xmlns:c16="http://schemas.microsoft.com/office/drawing/2014/chart" uri="{C3380CC4-5D6E-409C-BE32-E72D297353CC}">
              <c16:uniqueId val="{00000000-054D-4BF1-A162-3DAA4D93DE55}"/>
            </c:ext>
          </c:extLst>
        </c:ser>
        <c:ser>
          <c:idx val="1"/>
          <c:order val="1"/>
          <c:tx>
            <c:strRef>
              <c:f>'2B5 Carbide Production'!$B$21</c:f>
              <c:strCache>
                <c:ptCount val="1"/>
                <c:pt idx="0">
                  <c:v>Mass of CO2 per tonne of raw material used - Calcium Carbide</c:v>
                </c:pt>
              </c:strCache>
            </c:strRef>
          </c:tx>
          <c:spPr>
            <a:ln w="28575" cap="rnd">
              <a:solidFill>
                <a:schemeClr val="accent2"/>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Production'!$E$21:$V$21</c:f>
              <c:numCache>
                <c:formatCode>General</c:formatCode>
                <c:ptCount val="18"/>
                <c:pt idx="0">
                  <c:v>1.0900000000000001</c:v>
                </c:pt>
                <c:pt idx="1">
                  <c:v>1.0900000000000001</c:v>
                </c:pt>
                <c:pt idx="2">
                  <c:v>1.0900000000000001</c:v>
                </c:pt>
                <c:pt idx="3">
                  <c:v>1.0900000000000001</c:v>
                </c:pt>
                <c:pt idx="4">
                  <c:v>1.0900000000000001</c:v>
                </c:pt>
                <c:pt idx="5">
                  <c:v>1.0900000000000001</c:v>
                </c:pt>
                <c:pt idx="6">
                  <c:v>1.0900000000000001</c:v>
                </c:pt>
                <c:pt idx="7">
                  <c:v>1.0900000000000001</c:v>
                </c:pt>
                <c:pt idx="8">
                  <c:v>1.0900000000000001</c:v>
                </c:pt>
                <c:pt idx="9">
                  <c:v>1.0900000000000001</c:v>
                </c:pt>
                <c:pt idx="10">
                  <c:v>1.0900000000000001</c:v>
                </c:pt>
                <c:pt idx="11">
                  <c:v>1.0900000000000001</c:v>
                </c:pt>
                <c:pt idx="12">
                  <c:v>1.0900000000000001</c:v>
                </c:pt>
                <c:pt idx="13">
                  <c:v>1.0900000000000001</c:v>
                </c:pt>
                <c:pt idx="14">
                  <c:v>1.0900000000000001</c:v>
                </c:pt>
                <c:pt idx="15">
                  <c:v>1.0900000000000001</c:v>
                </c:pt>
                <c:pt idx="16">
                  <c:v>1.0900000000000001</c:v>
                </c:pt>
                <c:pt idx="17">
                  <c:v>1.0900000000000001</c:v>
                </c:pt>
              </c:numCache>
            </c:numRef>
          </c:val>
          <c:smooth val="0"/>
          <c:extLst>
            <c:ext xmlns:c16="http://schemas.microsoft.com/office/drawing/2014/chart" uri="{C3380CC4-5D6E-409C-BE32-E72D297353CC}">
              <c16:uniqueId val="{00000001-054D-4BF1-A162-3DAA4D93DE55}"/>
            </c:ext>
          </c:extLst>
        </c:ser>
        <c:ser>
          <c:idx val="2"/>
          <c:order val="2"/>
          <c:tx>
            <c:strRef>
              <c:f>'2B5 Carbide Production'!$B$22</c:f>
              <c:strCache>
                <c:ptCount val="1"/>
                <c:pt idx="0">
                  <c:v>Mass of CO2 per tonne of carbide used</c:v>
                </c:pt>
              </c:strCache>
            </c:strRef>
          </c:tx>
          <c:spPr>
            <a:ln w="28575" cap="rnd">
              <a:solidFill>
                <a:schemeClr val="accent3"/>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Production'!$E$22:$V$22</c:f>
              <c:numCache>
                <c:formatCode>General</c:formatCode>
                <c:ptCount val="18"/>
              </c:numCache>
            </c:numRef>
          </c:val>
          <c:smooth val="0"/>
          <c:extLst>
            <c:ext xmlns:c16="http://schemas.microsoft.com/office/drawing/2014/chart" uri="{C3380CC4-5D6E-409C-BE32-E72D297353CC}">
              <c16:uniqueId val="{00000002-054D-4BF1-A162-3DAA4D93DE55}"/>
            </c:ext>
          </c:extLst>
        </c:ser>
        <c:ser>
          <c:idx val="3"/>
          <c:order val="3"/>
          <c:tx>
            <c:strRef>
              <c:f>'2B5 Carbide Production'!$B$23</c:f>
              <c:strCache>
                <c:ptCount val="1"/>
                <c:pt idx="0">
                  <c:v>Mass of CH4 per tonne raw material used</c:v>
                </c:pt>
              </c:strCache>
            </c:strRef>
          </c:tx>
          <c:spPr>
            <a:ln w="28575" cap="rnd">
              <a:solidFill>
                <a:schemeClr val="accent4"/>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Production'!$E$23:$V$23</c:f>
              <c:numCache>
                <c:formatCode>General</c:formatCode>
                <c:ptCount val="18"/>
              </c:numCache>
            </c:numRef>
          </c:val>
          <c:smooth val="0"/>
          <c:extLst>
            <c:ext xmlns:c16="http://schemas.microsoft.com/office/drawing/2014/chart" uri="{C3380CC4-5D6E-409C-BE32-E72D297353CC}">
              <c16:uniqueId val="{00000003-054D-4BF1-A162-3DAA4D93DE55}"/>
            </c:ext>
          </c:extLst>
        </c:ser>
        <c:dLbls>
          <c:showLegendKey val="0"/>
          <c:showVal val="0"/>
          <c:showCatName val="0"/>
          <c:showSerName val="0"/>
          <c:showPercent val="0"/>
          <c:showBubbleSize val="0"/>
        </c:dLbls>
        <c:smooth val="0"/>
        <c:axId val="-1085257872"/>
        <c:axId val="-1085256784"/>
      </c:lineChart>
      <c:catAx>
        <c:axId val="-1085257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56784"/>
        <c:crosses val="autoZero"/>
        <c:auto val="1"/>
        <c:lblAlgn val="ctr"/>
        <c:lblOffset val="100"/>
        <c:noMultiLvlLbl val="0"/>
      </c:catAx>
      <c:valAx>
        <c:axId val="-108525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57872"/>
        <c:crosses val="autoZero"/>
        <c:crossBetween val="between"/>
      </c:valAx>
      <c:spPr>
        <a:noFill/>
        <a:ln>
          <a:noFill/>
        </a:ln>
        <a:effectLst/>
      </c:spPr>
    </c:plotArea>
    <c:legend>
      <c:legendPos val="r"/>
      <c:layout>
        <c:manualLayout>
          <c:xMode val="edge"/>
          <c:yMode val="edge"/>
          <c:x val="0.76306870672798566"/>
          <c:y val="0.31647924629426705"/>
          <c:w val="0.23693125113015542"/>
          <c:h val="0.529499788364679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'2B5 Carbide Production'!$B$33</c:f>
              <c:strCache>
                <c:ptCount val="1"/>
                <c:pt idx="0">
                  <c:v>Total CO2 emissions</c:v>
                </c:pt>
              </c:strCache>
            </c:strRef>
          </c:tx>
          <c:spPr>
            <a:ln w="28575" cap="rnd">
              <a:solidFill>
                <a:schemeClr val="accent1"/>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Production'!$E$33:$V$33</c:f>
              <c:numCache>
                <c:formatCode>General</c:formatCode>
                <c:ptCount val="18"/>
                <c:pt idx="0">
                  <c:v>1.9805300000000001</c:v>
                </c:pt>
                <c:pt idx="1">
                  <c:v>1.9816200000000002</c:v>
                </c:pt>
                <c:pt idx="2">
                  <c:v>4.4591900000000004</c:v>
                </c:pt>
                <c:pt idx="3">
                  <c:v>4.7360500000000005</c:v>
                </c:pt>
                <c:pt idx="4">
                  <c:v>4.1877800000000009</c:v>
                </c:pt>
                <c:pt idx="5">
                  <c:v>5.3257400000000006</c:v>
                </c:pt>
                <c:pt idx="6">
                  <c:v>4.9834800000000001</c:v>
                </c:pt>
                <c:pt idx="7">
                  <c:v>5.2865000000000002</c:v>
                </c:pt>
                <c:pt idx="8">
                  <c:v>5.3072100000000004</c:v>
                </c:pt>
                <c:pt idx="9">
                  <c:v>5.1938500000000003</c:v>
                </c:pt>
                <c:pt idx="10">
                  <c:v>5.1971200000000009</c:v>
                </c:pt>
                <c:pt idx="11">
                  <c:v>5.1993</c:v>
                </c:pt>
                <c:pt idx="12">
                  <c:v>5.2014800000000001</c:v>
                </c:pt>
                <c:pt idx="13">
                  <c:v>5.1971200000000009</c:v>
                </c:pt>
                <c:pt idx="14">
                  <c:v>4.450524500000002</c:v>
                </c:pt>
                <c:pt idx="15">
                  <c:v>3.9892430400000007</c:v>
                </c:pt>
                <c:pt idx="16">
                  <c:v>3.4449166599999987</c:v>
                </c:pt>
                <c:pt idx="17">
                  <c:v>2.8175453600000009</c:v>
                </c:pt>
              </c:numCache>
            </c:numRef>
          </c:val>
          <c:smooth val="0"/>
          <c:extLst>
            <c:ext xmlns:c16="http://schemas.microsoft.com/office/drawing/2014/chart" uri="{C3380CC4-5D6E-409C-BE32-E72D297353CC}">
              <c16:uniqueId val="{00000003-393D-40B2-ADE7-17EA1C7A81A4}"/>
            </c:ext>
          </c:extLst>
        </c:ser>
        <c:ser>
          <c:idx val="1"/>
          <c:order val="1"/>
          <c:tx>
            <c:strRef>
              <c:f>'2B5 Carbide Production'!$B$35</c:f>
              <c:strCache>
                <c:ptCount val="1"/>
                <c:pt idx="0">
                  <c:v>Total CH4 emissions</c:v>
                </c:pt>
              </c:strCache>
            </c:strRef>
          </c:tx>
          <c:spPr>
            <a:ln w="28575" cap="rnd">
              <a:solidFill>
                <a:schemeClr val="accent2"/>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Production'!$E$35:$V$35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4-393D-40B2-ADE7-17EA1C7A81A4}"/>
            </c:ext>
          </c:extLst>
        </c:ser>
        <c:dLbls>
          <c:showLegendKey val="0"/>
          <c:showVal val="0"/>
          <c:showCatName val="0"/>
          <c:showSerName val="0"/>
          <c:showPercent val="0"/>
          <c:showBubbleSize val="0"/>
        </c:dLbls>
        <c:smooth val="0"/>
        <c:axId val="-1085288336"/>
        <c:axId val="-1154726192"/>
      </c:lineChart>
      <c:catAx>
        <c:axId val="-108528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6192"/>
        <c:crosses val="autoZero"/>
        <c:auto val="1"/>
        <c:lblAlgn val="ctr"/>
        <c:lblOffset val="100"/>
        <c:noMultiLvlLbl val="0"/>
      </c:catAx>
      <c:valAx>
        <c:axId val="-115472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88336"/>
        <c:crosses val="autoZero"/>
        <c:crossBetween val="between"/>
      </c:valAx>
      <c:spPr>
        <a:noFill/>
        <a:ln>
          <a:noFill/>
        </a:ln>
        <a:effectLst/>
      </c:spPr>
    </c:plotArea>
    <c:legend>
      <c:legendPos val="r"/>
      <c:layout>
        <c:manualLayout>
          <c:xMode val="edge"/>
          <c:yMode val="edge"/>
          <c:x val="0.73180311601891546"/>
          <c:y val="0.28000909386903694"/>
          <c:w val="0.25498087690836613"/>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'2B6 Titanium Dioxide Production'!$B$20</c:f>
              <c:strCache>
                <c:ptCount val="1"/>
                <c:pt idx="0">
                  <c:v>Mass of CO2 per tonne produced - Titanium Slag</c:v>
                </c:pt>
              </c:strCache>
            </c:strRef>
          </c:tx>
          <c:spPr>
            <a:ln w="28575" cap="rnd">
              <a:solidFill>
                <a:schemeClr val="accent1"/>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Production'!$E$20:$V$20</c:f>
              <c:numCache>
                <c:formatCode>General</c:formatCode>
                <c:ptCount val="18"/>
              </c:numCache>
            </c:numRef>
          </c:val>
          <c:smooth val="0"/>
          <c:extLst>
            <c:ext xmlns:c16="http://schemas.microsoft.com/office/drawing/2014/chart" uri="{C3380CC4-5D6E-409C-BE32-E72D297353CC}">
              <c16:uniqueId val="{00000000-5294-40C4-8BB7-1B9AE702200D}"/>
            </c:ext>
          </c:extLst>
        </c:ser>
        <c:ser>
          <c:idx val="1"/>
          <c:order val="1"/>
          <c:tx>
            <c:strRef>
              <c:f>'2B6 Titanium Dioxide Production'!$B$21</c:f>
              <c:strCache>
                <c:ptCount val="1"/>
                <c:pt idx="0">
                  <c:v>Mass of CO2 per tonne produced - Synthetic Rutile</c:v>
                </c:pt>
              </c:strCache>
            </c:strRef>
          </c:tx>
          <c:spPr>
            <a:ln w="28575" cap="rnd">
              <a:solidFill>
                <a:schemeClr val="accent2"/>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Production'!$E$21:$V$21</c:f>
              <c:numCache>
                <c:formatCode>General</c:formatCode>
                <c:ptCount val="18"/>
              </c:numCache>
            </c:numRef>
          </c:val>
          <c:smooth val="0"/>
          <c:extLst>
            <c:ext xmlns:c16="http://schemas.microsoft.com/office/drawing/2014/chart" uri="{C3380CC4-5D6E-409C-BE32-E72D297353CC}">
              <c16:uniqueId val="{00000001-5294-40C4-8BB7-1B9AE702200D}"/>
            </c:ext>
          </c:extLst>
        </c:ser>
        <c:ser>
          <c:idx val="2"/>
          <c:order val="2"/>
          <c:tx>
            <c:strRef>
              <c:f>'2B6 Titanium Dioxide Production'!$B$22</c:f>
              <c:strCache>
                <c:ptCount val="1"/>
                <c:pt idx="0">
                  <c:v>Mass of CO2 per tonne produced - Rutile TiO2</c:v>
                </c:pt>
              </c:strCache>
            </c:strRef>
          </c:tx>
          <c:spPr>
            <a:ln w="28575" cap="rnd">
              <a:solidFill>
                <a:schemeClr val="accent3"/>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Production'!$E$22:$V$22</c:f>
              <c:numCache>
                <c:formatCode>General</c:formatCode>
                <c:ptCount val="18"/>
              </c:numCache>
            </c:numRef>
          </c:val>
          <c:smooth val="0"/>
          <c:extLst>
            <c:ext xmlns:c16="http://schemas.microsoft.com/office/drawing/2014/chart" uri="{C3380CC4-5D6E-409C-BE32-E72D297353CC}">
              <c16:uniqueId val="{00000000-48E2-4E04-9446-F0A28CFA26D9}"/>
            </c:ext>
          </c:extLst>
        </c:ser>
        <c:dLbls>
          <c:showLegendKey val="0"/>
          <c:showVal val="0"/>
          <c:showCatName val="0"/>
          <c:showSerName val="0"/>
          <c:showPercent val="0"/>
          <c:showBubbleSize val="0"/>
        </c:dLbls>
        <c:smooth val="0"/>
        <c:axId val="-1154730000"/>
        <c:axId val="-1154724560"/>
      </c:lineChart>
      <c:catAx>
        <c:axId val="-115473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4560"/>
        <c:crosses val="autoZero"/>
        <c:auto val="1"/>
        <c:lblAlgn val="ctr"/>
        <c:lblOffset val="100"/>
        <c:noMultiLvlLbl val="0"/>
      </c:catAx>
      <c:valAx>
        <c:axId val="-1154724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0000"/>
        <c:crosses val="autoZero"/>
        <c:crossBetween val="between"/>
      </c:valAx>
      <c:spPr>
        <a:noFill/>
        <a:ln>
          <a:noFill/>
        </a:ln>
        <a:effectLst/>
      </c:spPr>
    </c:plotArea>
    <c:legend>
      <c:legendPos val="r"/>
      <c:layout>
        <c:manualLayout>
          <c:xMode val="edge"/>
          <c:yMode val="edge"/>
          <c:x val="0.76306870672798566"/>
          <c:y val="0.31647924629426705"/>
          <c:w val="0.23693129001726151"/>
          <c:h val="0.319427034758042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'2B6 Titanium Dioxide Production'!$B$32</c:f>
              <c:strCache>
                <c:ptCount val="1"/>
                <c:pt idx="0">
                  <c:v>Total Emissions</c:v>
                </c:pt>
              </c:strCache>
            </c:strRef>
          </c:tx>
          <c:spPr>
            <a:ln w="28575" cap="rnd">
              <a:solidFill>
                <a:schemeClr val="accent1"/>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Production'!$E$32:$V$32</c:f>
              <c:numCache>
                <c:formatCode>General</c:formatCode>
                <c:ptCount val="18"/>
                <c:pt idx="0">
                  <c:v>437.61700000000002</c:v>
                </c:pt>
                <c:pt idx="1">
                  <c:v>437.61700000000002</c:v>
                </c:pt>
                <c:pt idx="2">
                  <c:v>472.976</c:v>
                </c:pt>
                <c:pt idx="3">
                  <c:v>477.18200000000002</c:v>
                </c:pt>
                <c:pt idx="4">
                  <c:v>470.875</c:v>
                </c:pt>
                <c:pt idx="5">
                  <c:v>466.83199999999999</c:v>
                </c:pt>
                <c:pt idx="6">
                  <c:v>194.48699999999999</c:v>
                </c:pt>
                <c:pt idx="7">
                  <c:v>190.63399999999999</c:v>
                </c:pt>
                <c:pt idx="8">
                  <c:v>257.79599999999999</c:v>
                </c:pt>
                <c:pt idx="9">
                  <c:v>158.42699999999999</c:v>
                </c:pt>
                <c:pt idx="10">
                  <c:v>158.506</c:v>
                </c:pt>
                <c:pt idx="11">
                  <c:v>158.58500000000001</c:v>
                </c:pt>
                <c:pt idx="12">
                  <c:v>158.66399999999999</c:v>
                </c:pt>
                <c:pt idx="13">
                  <c:v>158.506</c:v>
                </c:pt>
                <c:pt idx="14">
                  <c:v>167.48546225441859</c:v>
                </c:pt>
                <c:pt idx="15">
                  <c:v>161.97882244489372</c:v>
                </c:pt>
                <c:pt idx="16">
                  <c:v>156.97115258003473</c:v>
                </c:pt>
                <c:pt idx="17">
                  <c:v>152.39167085372586</c:v>
                </c:pt>
              </c:numCache>
            </c:numRef>
          </c:val>
          <c:smooth val="0"/>
          <c:extLst>
            <c:ext xmlns:c16="http://schemas.microsoft.com/office/drawing/2014/chart" uri="{C3380CC4-5D6E-409C-BE32-E72D297353CC}">
              <c16:uniqueId val="{00000000-4215-4E61-A9EA-19858C33EF4C}"/>
            </c:ext>
          </c:extLst>
        </c:ser>
        <c:ser>
          <c:idx val="2"/>
          <c:order val="2"/>
          <c:tx>
            <c:strRef>
              <c:f>'2B6 Titanium Dioxide Production'!$B$31</c:f>
              <c:strCache>
                <c:ptCount val="1"/>
                <c:pt idx="0">
                  <c:v>CO2 Emissions - Rutile TiO2</c:v>
                </c:pt>
              </c:strCache>
            </c:strRef>
          </c:tx>
          <c:spPr>
            <a:ln w="28575" cap="rnd">
              <a:solidFill>
                <a:schemeClr val="accent3"/>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Production'!$E$31:$V$31</c:f>
              <c:numCache>
                <c:formatCode>General</c:formatCode>
                <c:ptCount val="18"/>
                <c:pt idx="0">
                  <c:v>437.61700000000002</c:v>
                </c:pt>
                <c:pt idx="1">
                  <c:v>437.61700000000002</c:v>
                </c:pt>
                <c:pt idx="2">
                  <c:v>472.976</c:v>
                </c:pt>
                <c:pt idx="3">
                  <c:v>477.18200000000002</c:v>
                </c:pt>
                <c:pt idx="4">
                  <c:v>470.875</c:v>
                </c:pt>
                <c:pt idx="5">
                  <c:v>466.83199999999999</c:v>
                </c:pt>
                <c:pt idx="6">
                  <c:v>194.48699999999999</c:v>
                </c:pt>
                <c:pt idx="7">
                  <c:v>190.63399999999999</c:v>
                </c:pt>
                <c:pt idx="8">
                  <c:v>257.79599999999999</c:v>
                </c:pt>
                <c:pt idx="9">
                  <c:v>158.42699999999999</c:v>
                </c:pt>
                <c:pt idx="10">
                  <c:v>158.506</c:v>
                </c:pt>
                <c:pt idx="11">
                  <c:v>158.58500000000001</c:v>
                </c:pt>
                <c:pt idx="12">
                  <c:v>158.66399999999999</c:v>
                </c:pt>
                <c:pt idx="13">
                  <c:v>158.506</c:v>
                </c:pt>
                <c:pt idx="14">
                  <c:v>167.48546225441859</c:v>
                </c:pt>
                <c:pt idx="15">
                  <c:v>161.97882244489372</c:v>
                </c:pt>
                <c:pt idx="16">
                  <c:v>156.97115258003473</c:v>
                </c:pt>
                <c:pt idx="17">
                  <c:v>152.39167085372586</c:v>
                </c:pt>
              </c:numCache>
            </c:numRef>
          </c:val>
          <c:smooth val="0"/>
          <c:extLst>
            <c:ext xmlns:c16="http://schemas.microsoft.com/office/drawing/2014/chart" uri="{C3380CC4-5D6E-409C-BE32-E72D297353CC}">
              <c16:uniqueId val="{00000002-4215-4E61-A9EA-19858C33EF4C}"/>
            </c:ext>
          </c:extLst>
        </c:ser>
        <c:dLbls>
          <c:showLegendKey val="0"/>
          <c:showVal val="0"/>
          <c:showCatName val="0"/>
          <c:showSerName val="0"/>
          <c:showPercent val="0"/>
          <c:showBubbleSize val="0"/>
        </c:dLbls>
        <c:smooth val="0"/>
        <c:axId val="-1154730544"/>
        <c:axId val="-1154728912"/>
        <c:extLst>
          <c:ext xmlns:c15="http://schemas.microsoft.com/office/drawing/2012/chart" uri="{02D57815-91ED-43cb-92C2-25804820EDAC}">
            <c15:filteredLineSeries>
              <c15:ser>
                <c:idx val="1"/>
                <c:order val="1"/>
                <c:tx>
                  <c:strRef>
                    <c:extLst>
                      <c:ext uri="{02D57815-91ED-43cb-92C2-25804820EDAC}">
                        <c15:formulaRef>
                          <c15:sqref>'2B6 Titanium Dioxide Production'!$B$30</c15:sqref>
                        </c15:formulaRef>
                      </c:ext>
                    </c:extLst>
                    <c:strCache>
                      <c:ptCount val="1"/>
                      <c:pt idx="0">
                        <c:v>CO2 Emissions - Rutile TiO2</c:v>
                      </c:pt>
                    </c:strCache>
                  </c:strRef>
                </c:tx>
                <c:spPr>
                  <a:ln w="28575" cap="rnd">
                    <a:solidFill>
                      <a:schemeClr val="accent2"/>
                    </a:solidFill>
                    <a:round/>
                  </a:ln>
                  <a:effectLst/>
                </c:spPr>
                <c:marker>
                  <c:symbol val="none"/>
                </c:marker>
                <c:cat>
                  <c:numRef>
                    <c:extLst>
                      <c:ext uri="{02D57815-91ED-43cb-92C2-25804820EDAC}">
                        <c15:formulaRef>
                          <c15:sqref>'2B6 Titanium Dioxide Production'!$E$13:$V$13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c:ext uri="{02D57815-91ED-43cb-92C2-25804820EDAC}">
                        <c15:formulaRef>
                          <c15:sqref>'2B6 Titanium Dioxide Production'!$E$30:$V$30</c15:sqref>
                        </c15:formulaRef>
                      </c:ext>
                    </c:extLst>
                    <c:numCache>
                      <c:formatCode>General</c:formatCode>
                      <c:ptCount val="18"/>
                      <c:pt idx="0">
                        <c:v>437617</c:v>
                      </c:pt>
                      <c:pt idx="1">
                        <c:v>437617</c:v>
                      </c:pt>
                      <c:pt idx="2">
                        <c:v>472976</c:v>
                      </c:pt>
                      <c:pt idx="3">
                        <c:v>477182</c:v>
                      </c:pt>
                      <c:pt idx="4">
                        <c:v>470875</c:v>
                      </c:pt>
                      <c:pt idx="5">
                        <c:v>466832</c:v>
                      </c:pt>
                      <c:pt idx="6">
                        <c:v>194487</c:v>
                      </c:pt>
                      <c:pt idx="7">
                        <c:v>190634</c:v>
                      </c:pt>
                      <c:pt idx="8">
                        <c:v>257796</c:v>
                      </c:pt>
                      <c:pt idx="9">
                        <c:v>158427</c:v>
                      </c:pt>
                      <c:pt idx="10">
                        <c:v>158506</c:v>
                      </c:pt>
                      <c:pt idx="11">
                        <c:v>158585</c:v>
                      </c:pt>
                      <c:pt idx="12">
                        <c:v>158664</c:v>
                      </c:pt>
                      <c:pt idx="13">
                        <c:v>158506</c:v>
                      </c:pt>
                      <c:pt idx="14">
                        <c:v>167485.46225441858</c:v>
                      </c:pt>
                      <c:pt idx="15">
                        <c:v>161978.82244489371</c:v>
                      </c:pt>
                      <c:pt idx="16">
                        <c:v>156971.15258003472</c:v>
                      </c:pt>
                      <c:pt idx="17">
                        <c:v>152391.67085372587</c:v>
                      </c:pt>
                    </c:numCache>
                  </c:numRef>
                </c:val>
                <c:smooth val="0"/>
                <c:extLst>
                  <c:ext xmlns:c16="http://schemas.microsoft.com/office/drawing/2014/chart" uri="{C3380CC4-5D6E-409C-BE32-E72D297353CC}">
                    <c16:uniqueId val="{00000001-4215-4E61-A9EA-19858C33EF4C}"/>
                  </c:ext>
                </c:extLst>
              </c15:ser>
            </c15:filteredLineSeries>
          </c:ext>
        </c:extLst>
      </c:lineChart>
      <c:catAx>
        <c:axId val="-115473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8912"/>
        <c:crosses val="autoZero"/>
        <c:auto val="1"/>
        <c:lblAlgn val="ctr"/>
        <c:lblOffset val="100"/>
        <c:noMultiLvlLbl val="0"/>
      </c:catAx>
      <c:valAx>
        <c:axId val="-115472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0544"/>
        <c:crosses val="autoZero"/>
        <c:crossBetween val="between"/>
      </c:valAx>
      <c:spPr>
        <a:noFill/>
        <a:ln>
          <a:noFill/>
        </a:ln>
        <a:effectLst/>
      </c:spPr>
    </c:plotArea>
    <c:legend>
      <c:legendPos val="r"/>
      <c:layout>
        <c:manualLayout>
          <c:xMode val="edge"/>
          <c:yMode val="edge"/>
          <c:x val="0.73180311601891546"/>
          <c:y val="0.28000909386903694"/>
          <c:w val="0.2681968365376744"/>
          <c:h val="0.409416407843851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'2B8 Carbon Black Production'!$B$18</c:f>
              <c:strCache>
                <c:ptCount val="1"/>
                <c:pt idx="0">
                  <c:v>Mass of CO2 per tonne of carbon black produced</c:v>
                </c:pt>
              </c:strCache>
            </c:strRef>
          </c:tx>
          <c:spPr>
            <a:ln w="28575" cap="rnd">
              <a:solidFill>
                <a:schemeClr val="accent1"/>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Production'!$E$18:$V$18</c:f>
              <c:numCache>
                <c:formatCode>General</c:formatCode>
                <c:ptCount val="18"/>
                <c:pt idx="0">
                  <c:v>2.62</c:v>
                </c:pt>
                <c:pt idx="1">
                  <c:v>2.62</c:v>
                </c:pt>
                <c:pt idx="2">
                  <c:v>2.62</c:v>
                </c:pt>
                <c:pt idx="3">
                  <c:v>2.62</c:v>
                </c:pt>
                <c:pt idx="4">
                  <c:v>2.62</c:v>
                </c:pt>
                <c:pt idx="5">
                  <c:v>2.62</c:v>
                </c:pt>
                <c:pt idx="6">
                  <c:v>2.62</c:v>
                </c:pt>
                <c:pt idx="7">
                  <c:v>2.62</c:v>
                </c:pt>
                <c:pt idx="8">
                  <c:v>2.62</c:v>
                </c:pt>
                <c:pt idx="9">
                  <c:v>2.62</c:v>
                </c:pt>
                <c:pt idx="10">
                  <c:v>2.62</c:v>
                </c:pt>
                <c:pt idx="11">
                  <c:v>2.62</c:v>
                </c:pt>
                <c:pt idx="12">
                  <c:v>2.62</c:v>
                </c:pt>
                <c:pt idx="13">
                  <c:v>2.62</c:v>
                </c:pt>
                <c:pt idx="14">
                  <c:v>2.62</c:v>
                </c:pt>
                <c:pt idx="15">
                  <c:v>2.62</c:v>
                </c:pt>
                <c:pt idx="16">
                  <c:v>2.62</c:v>
                </c:pt>
                <c:pt idx="17">
                  <c:v>2.62</c:v>
                </c:pt>
              </c:numCache>
            </c:numRef>
          </c:val>
          <c:smooth val="0"/>
          <c:extLst>
            <c:ext xmlns:c16="http://schemas.microsoft.com/office/drawing/2014/chart" uri="{C3380CC4-5D6E-409C-BE32-E72D297353CC}">
              <c16:uniqueId val="{00000004-E16C-4000-89EB-AE6700F06761}"/>
            </c:ext>
          </c:extLst>
        </c:ser>
        <c:ser>
          <c:idx val="1"/>
          <c:order val="1"/>
          <c:tx>
            <c:strRef>
              <c:f>'2B8 Carbon Black Production'!$B$19</c:f>
              <c:strCache>
                <c:ptCount val="1"/>
                <c:pt idx="0">
                  <c:v>Mass of CH4 per tonne of carbon black produced</c:v>
                </c:pt>
              </c:strCache>
            </c:strRef>
          </c:tx>
          <c:spPr>
            <a:ln w="28575" cap="rnd">
              <a:solidFill>
                <a:schemeClr val="accent2"/>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Production'!$E$19:$V$19</c:f>
              <c:numCache>
                <c:formatCode>General</c:formatCode>
                <c:ptCount val="18"/>
                <c:pt idx="0">
                  <c:v>0.06</c:v>
                </c:pt>
                <c:pt idx="1">
                  <c:v>0.06</c:v>
                </c:pt>
                <c:pt idx="2">
                  <c:v>0.06</c:v>
                </c:pt>
                <c:pt idx="3">
                  <c:v>0.06</c:v>
                </c:pt>
                <c:pt idx="4">
                  <c:v>0.06</c:v>
                </c:pt>
                <c:pt idx="5">
                  <c:v>0.06</c:v>
                </c:pt>
                <c:pt idx="6">
                  <c:v>0.06</c:v>
                </c:pt>
                <c:pt idx="7">
                  <c:v>0.06</c:v>
                </c:pt>
                <c:pt idx="8">
                  <c:v>0.06</c:v>
                </c:pt>
                <c:pt idx="9">
                  <c:v>0.06</c:v>
                </c:pt>
                <c:pt idx="10">
                  <c:v>0.06</c:v>
                </c:pt>
                <c:pt idx="11">
                  <c:v>0.06</c:v>
                </c:pt>
                <c:pt idx="12">
                  <c:v>0.06</c:v>
                </c:pt>
                <c:pt idx="13">
                  <c:v>0.06</c:v>
                </c:pt>
                <c:pt idx="14">
                  <c:v>0.06</c:v>
                </c:pt>
                <c:pt idx="15">
                  <c:v>0.06</c:v>
                </c:pt>
                <c:pt idx="16">
                  <c:v>0.06</c:v>
                </c:pt>
                <c:pt idx="17">
                  <c:v>0.06</c:v>
                </c:pt>
              </c:numCache>
            </c:numRef>
          </c:val>
          <c:smooth val="0"/>
          <c:extLst>
            <c:ext xmlns:c16="http://schemas.microsoft.com/office/drawing/2014/chart" uri="{C3380CC4-5D6E-409C-BE32-E72D297353CC}">
              <c16:uniqueId val="{00000005-E16C-4000-89EB-AE6700F06761}"/>
            </c:ext>
          </c:extLst>
        </c:ser>
        <c:dLbls>
          <c:showLegendKey val="0"/>
          <c:showVal val="0"/>
          <c:showCatName val="0"/>
          <c:showSerName val="0"/>
          <c:showPercent val="0"/>
          <c:showBubbleSize val="0"/>
        </c:dLbls>
        <c:smooth val="0"/>
        <c:axId val="-1154724016"/>
        <c:axId val="-1154727824"/>
      </c:lineChart>
      <c:catAx>
        <c:axId val="-115472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7824"/>
        <c:crosses val="autoZero"/>
        <c:auto val="1"/>
        <c:lblAlgn val="ctr"/>
        <c:lblOffset val="100"/>
        <c:noMultiLvlLbl val="0"/>
      </c:catAx>
      <c:valAx>
        <c:axId val="-115472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4016"/>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'2B8 Carbon Black Production'!$B$24</c:f>
              <c:strCache>
                <c:ptCount val="1"/>
                <c:pt idx="0">
                  <c:v>Total CO2 emissions </c:v>
                </c:pt>
              </c:strCache>
            </c:strRef>
          </c:tx>
          <c:spPr>
            <a:ln w="28575" cap="rnd">
              <a:solidFill>
                <a:schemeClr val="accent1"/>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Production'!$E$24:$V$24</c:f>
              <c:numCache>
                <c:formatCode>General</c:formatCode>
                <c:ptCount val="18"/>
                <c:pt idx="0">
                  <c:v>138.57442</c:v>
                </c:pt>
                <c:pt idx="1">
                  <c:v>138.64254</c:v>
                </c:pt>
                <c:pt idx="2">
                  <c:v>162.07844</c:v>
                </c:pt>
                <c:pt idx="3">
                  <c:v>161.03567999999999</c:v>
                </c:pt>
                <c:pt idx="4">
                  <c:v>159.75711999999999</c:v>
                </c:pt>
                <c:pt idx="5">
                  <c:v>151.07444000000001</c:v>
                </c:pt>
                <c:pt idx="6">
                  <c:v>141.66602000000003</c:v>
                </c:pt>
                <c:pt idx="7">
                  <c:v>151.13732000000002</c:v>
                </c:pt>
                <c:pt idx="8">
                  <c:v>134.10993999999999</c:v>
                </c:pt>
                <c:pt idx="9">
                  <c:v>134.17544000000001</c:v>
                </c:pt>
                <c:pt idx="10">
                  <c:v>134.24350760000002</c:v>
                </c:pt>
                <c:pt idx="11">
                  <c:v>134.2226</c:v>
                </c:pt>
                <c:pt idx="12">
                  <c:v>134.8776</c:v>
                </c:pt>
                <c:pt idx="13">
                  <c:v>134.24350760000002</c:v>
                </c:pt>
                <c:pt idx="14">
                  <c:v>131.50504063433797</c:v>
                </c:pt>
                <c:pt idx="15">
                  <c:v>130.0664121501645</c:v>
                </c:pt>
                <c:pt idx="16">
                  <c:v>128.6435218605537</c:v>
                </c:pt>
                <c:pt idx="17">
                  <c:v>127.2361975940445</c:v>
                </c:pt>
              </c:numCache>
            </c:numRef>
          </c:val>
          <c:smooth val="0"/>
          <c:extLst>
            <c:ext xmlns:c16="http://schemas.microsoft.com/office/drawing/2014/chart" uri="{C3380CC4-5D6E-409C-BE32-E72D297353CC}">
              <c16:uniqueId val="{00000002-A8B8-45FA-80A6-0BE95D267599}"/>
            </c:ext>
          </c:extLst>
        </c:ser>
        <c:ser>
          <c:idx val="1"/>
          <c:order val="1"/>
          <c:tx>
            <c:strRef>
              <c:f>'2B8 Carbon Black Production'!$B$26</c:f>
              <c:strCache>
                <c:ptCount val="1"/>
                <c:pt idx="0">
                  <c:v>Total CH4 emissions </c:v>
                </c:pt>
              </c:strCache>
            </c:strRef>
          </c:tx>
          <c:spPr>
            <a:ln w="28575" cap="rnd">
              <a:solidFill>
                <a:schemeClr val="accent2"/>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Production'!$E$26:$V$26</c:f>
              <c:numCache>
                <c:formatCode>General</c:formatCode>
                <c:ptCount val="18"/>
                <c:pt idx="0">
                  <c:v>3.1734599999999999E-3</c:v>
                </c:pt>
                <c:pt idx="1">
                  <c:v>3.1750200000000002E-3</c:v>
                </c:pt>
                <c:pt idx="2">
                  <c:v>3.7117199999999999E-3</c:v>
                </c:pt>
                <c:pt idx="3">
                  <c:v>3.6878399999999995E-3</c:v>
                </c:pt>
                <c:pt idx="4">
                  <c:v>3.6585599999999999E-3</c:v>
                </c:pt>
                <c:pt idx="5">
                  <c:v>3.4597199999999999E-3</c:v>
                </c:pt>
                <c:pt idx="6">
                  <c:v>3.2442599999999997E-3</c:v>
                </c:pt>
                <c:pt idx="7">
                  <c:v>3.46116E-3</c:v>
                </c:pt>
                <c:pt idx="8">
                  <c:v>3.0712199999999999E-3</c:v>
                </c:pt>
                <c:pt idx="9">
                  <c:v>3.0727199999999997E-3</c:v>
                </c:pt>
                <c:pt idx="10">
                  <c:v>3.0742788E-3</c:v>
                </c:pt>
                <c:pt idx="11">
                  <c:v>3.0737999999999998E-3</c:v>
                </c:pt>
                <c:pt idx="12">
                  <c:v>3.0887999999999996E-3</c:v>
                </c:pt>
                <c:pt idx="13">
                  <c:v>3.0742788E-3</c:v>
                </c:pt>
                <c:pt idx="14">
                  <c:v>3.0115658160535415E-3</c:v>
                </c:pt>
                <c:pt idx="15">
                  <c:v>2.9786201255762863E-3</c:v>
                </c:pt>
                <c:pt idx="16">
                  <c:v>2.9460348517684051E-3</c:v>
                </c:pt>
                <c:pt idx="17">
                  <c:v>2.9138060517720108E-3</c:v>
                </c:pt>
              </c:numCache>
            </c:numRef>
          </c:val>
          <c:smooth val="0"/>
          <c:extLst>
            <c:ext xmlns:c16="http://schemas.microsoft.com/office/drawing/2014/chart" uri="{C3380CC4-5D6E-409C-BE32-E72D297353CC}">
              <c16:uniqueId val="{00000003-A8B8-45FA-80A6-0BE95D267599}"/>
            </c:ext>
          </c:extLst>
        </c:ser>
        <c:dLbls>
          <c:showLegendKey val="0"/>
          <c:showVal val="0"/>
          <c:showCatName val="0"/>
          <c:showSerName val="0"/>
          <c:showPercent val="0"/>
          <c:showBubbleSize val="0"/>
        </c:dLbls>
        <c:smooth val="0"/>
        <c:axId val="-1154727280"/>
        <c:axId val="-1154721296"/>
      </c:lineChart>
      <c:catAx>
        <c:axId val="-115472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1296"/>
        <c:crosses val="autoZero"/>
        <c:auto val="1"/>
        <c:lblAlgn val="ctr"/>
        <c:lblOffset val="100"/>
        <c:noMultiLvlLbl val="0"/>
      </c:catAx>
      <c:valAx>
        <c:axId val="-1154721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7280"/>
        <c:crosses val="autoZero"/>
        <c:crossBetween val="between"/>
      </c:valAx>
      <c:spPr>
        <a:noFill/>
        <a:ln>
          <a:noFill/>
        </a:ln>
        <a:effectLst/>
      </c:spPr>
    </c:plotArea>
    <c:legend>
      <c:legendPos val="r"/>
      <c:layout>
        <c:manualLayout>
          <c:xMode val="edge"/>
          <c:yMode val="edge"/>
          <c:x val="0.73180311601891546"/>
          <c:y val="0.28000909386903694"/>
          <c:w val="0.25998250928480626"/>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1"/>
            <c:dispEq val="1"/>
            <c:trendlineLbl>
              <c:layout>
                <c:manualLayout>
                  <c:x val="1.1485126859142608E-2"/>
                  <c:y val="-0.2448895450568678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'2B8 Carbon Black Production'!$E$14:$V$14</c:f>
              <c:numCache>
                <c:formatCode>General</c:formatCode>
                <c:ptCount val="18"/>
                <c:pt idx="0">
                  <c:v>52891</c:v>
                </c:pt>
                <c:pt idx="1">
                  <c:v>52917</c:v>
                </c:pt>
                <c:pt idx="2">
                  <c:v>61862</c:v>
                </c:pt>
                <c:pt idx="3">
                  <c:v>61464</c:v>
                </c:pt>
                <c:pt idx="4">
                  <c:v>60976</c:v>
                </c:pt>
                <c:pt idx="5">
                  <c:v>57662</c:v>
                </c:pt>
                <c:pt idx="6">
                  <c:v>54071</c:v>
                </c:pt>
                <c:pt idx="7">
                  <c:v>57686</c:v>
                </c:pt>
                <c:pt idx="8">
                  <c:v>51187</c:v>
                </c:pt>
                <c:pt idx="9">
                  <c:v>51212</c:v>
                </c:pt>
                <c:pt idx="10">
                  <c:v>51237.98</c:v>
                </c:pt>
                <c:pt idx="11">
                  <c:v>51230</c:v>
                </c:pt>
                <c:pt idx="12">
                  <c:v>51480</c:v>
                </c:pt>
                <c:pt idx="13">
                  <c:v>51237.98</c:v>
                </c:pt>
                <c:pt idx="14">
                  <c:v>50192.763600892358</c:v>
                </c:pt>
                <c:pt idx="15">
                  <c:v>49643.66875960477</c:v>
                </c:pt>
                <c:pt idx="16">
                  <c:v>49100.580862806753</c:v>
                </c:pt>
                <c:pt idx="17">
                  <c:v>48563.434196200185</c:v>
                </c:pt>
              </c:numCache>
            </c:numRef>
          </c:val>
          <c:smooth val="0"/>
          <c:extLst>
            <c:ext xmlns:c16="http://schemas.microsoft.com/office/drawing/2014/chart" uri="{C3380CC4-5D6E-409C-BE32-E72D297353CC}">
              <c16:uniqueId val="{00000000-2C2E-4A0F-9E6C-D561D3F4976A}"/>
            </c:ext>
          </c:extLst>
        </c:ser>
        <c:dLbls>
          <c:showLegendKey val="0"/>
          <c:showVal val="0"/>
          <c:showCatName val="0"/>
          <c:showSerName val="0"/>
          <c:showPercent val="0"/>
          <c:showBubbleSize val="0"/>
        </c:dLbls>
        <c:marker val="1"/>
        <c:smooth val="0"/>
        <c:axId val="-1154720752"/>
        <c:axId val="-1154723472"/>
      </c:lineChart>
      <c:catAx>
        <c:axId val="-11547207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3472"/>
        <c:crosses val="autoZero"/>
        <c:auto val="1"/>
        <c:lblAlgn val="ctr"/>
        <c:lblOffset val="100"/>
        <c:noMultiLvlLbl val="0"/>
      </c:catAx>
      <c:valAx>
        <c:axId val="-115472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0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7353760638694524"/>
        </c:manualLayout>
      </c:layout>
      <c:areaChart>
        <c:grouping val="stacked"/>
        <c:varyColors val="0"/>
        <c:ser>
          <c:idx val="0"/>
          <c:order val="0"/>
          <c:tx>
            <c:strRef>
              <c:f>'2C Summary'!$C$6</c:f>
              <c:strCache>
                <c:ptCount val="1"/>
                <c:pt idx="0">
                  <c:v>Iron and Steel Production</c:v>
                </c:pt>
              </c:strCache>
            </c:strRef>
          </c:tx>
          <c:spPr>
            <a:solidFill>
              <a:srgbClr val="7EC234"/>
            </a:solidFill>
            <a:ln>
              <a:solidFill>
                <a:srgbClr val="7EC234"/>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Summary'!$F$6:$W$6</c:f>
              <c:numCache>
                <c:formatCode>General</c:formatCode>
                <c:ptCount val="18"/>
                <c:pt idx="0">
                  <c:v>16410.526914999999</c:v>
                </c:pt>
                <c:pt idx="1">
                  <c:v>16410.537369999998</c:v>
                </c:pt>
                <c:pt idx="2">
                  <c:v>17176.103220000001</c:v>
                </c:pt>
                <c:pt idx="3">
                  <c:v>16786.444480000002</c:v>
                </c:pt>
                <c:pt idx="4">
                  <c:v>16425.253915000001</c:v>
                </c:pt>
                <c:pt idx="5">
                  <c:v>17359.699860000001</c:v>
                </c:pt>
                <c:pt idx="6">
                  <c:v>17218.494115000001</c:v>
                </c:pt>
                <c:pt idx="7">
                  <c:v>15147.096109999999</c:v>
                </c:pt>
                <c:pt idx="8">
                  <c:v>14152.034485</c:v>
                </c:pt>
                <c:pt idx="9">
                  <c:v>12794.452040000002</c:v>
                </c:pt>
                <c:pt idx="10">
                  <c:v>13861.709649999999</c:v>
                </c:pt>
                <c:pt idx="11">
                  <c:v>14922.64853</c:v>
                </c:pt>
                <c:pt idx="12">
                  <c:v>15020.696860000002</c:v>
                </c:pt>
                <c:pt idx="13">
                  <c:v>15582.114970055352</c:v>
                </c:pt>
                <c:pt idx="14">
                  <c:v>14363.524995027368</c:v>
                </c:pt>
                <c:pt idx="15">
                  <c:v>14093.548470927624</c:v>
                </c:pt>
                <c:pt idx="16">
                  <c:v>14829.058053603329</c:v>
                </c:pt>
                <c:pt idx="17">
                  <c:v>15074.336748610733</c:v>
                </c:pt>
              </c:numCache>
            </c:numRef>
          </c:val>
          <c:extLst>
            <c:ext xmlns:c16="http://schemas.microsoft.com/office/drawing/2014/chart" uri="{C3380CC4-5D6E-409C-BE32-E72D297353CC}">
              <c16:uniqueId val="{00000000-873F-4F56-8D54-1DFE454FE1F1}"/>
            </c:ext>
          </c:extLst>
        </c:ser>
        <c:ser>
          <c:idx val="1"/>
          <c:order val="1"/>
          <c:tx>
            <c:strRef>
              <c:f>'2C Summary'!$C$7</c:f>
              <c:strCache>
                <c:ptCount val="1"/>
                <c:pt idx="0">
                  <c:v>Ferroalloys Production</c:v>
                </c:pt>
              </c:strCache>
            </c:strRef>
          </c:tx>
          <c:spPr>
            <a:solidFill>
              <a:srgbClr val="0070C0"/>
            </a:solidFill>
            <a:ln w="25400">
              <a:solidFill>
                <a:srgbClr val="0070C0"/>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Summary'!$F$7:$W$7</c:f>
              <c:numCache>
                <c:formatCode>General</c:formatCode>
                <c:ptCount val="18"/>
                <c:pt idx="0">
                  <c:v>8082.4457200000015</c:v>
                </c:pt>
                <c:pt idx="1">
                  <c:v>8199.1991799999996</c:v>
                </c:pt>
                <c:pt idx="2">
                  <c:v>8974.3143</c:v>
                </c:pt>
                <c:pt idx="3">
                  <c:v>9160.4660999999996</c:v>
                </c:pt>
                <c:pt idx="4">
                  <c:v>9286.9134000000013</c:v>
                </c:pt>
                <c:pt idx="5">
                  <c:v>9388.0440000000017</c:v>
                </c:pt>
                <c:pt idx="6">
                  <c:v>10068.29506</c:v>
                </c:pt>
                <c:pt idx="7">
                  <c:v>11250.145560000001</c:v>
                </c:pt>
                <c:pt idx="8">
                  <c:v>11179.47366</c:v>
                </c:pt>
                <c:pt idx="9">
                  <c:v>11192.699320000002</c:v>
                </c:pt>
                <c:pt idx="10">
                  <c:v>11822.08778</c:v>
                </c:pt>
                <c:pt idx="11">
                  <c:v>12241.180260000001</c:v>
                </c:pt>
                <c:pt idx="12">
                  <c:v>11627.24546</c:v>
                </c:pt>
                <c:pt idx="13">
                  <c:v>11964.273079999999</c:v>
                </c:pt>
                <c:pt idx="14">
                  <c:v>13897.388419999999</c:v>
                </c:pt>
                <c:pt idx="15">
                  <c:v>13420.227720000001</c:v>
                </c:pt>
                <c:pt idx="16">
                  <c:v>12462.615648911587</c:v>
                </c:pt>
                <c:pt idx="17">
                  <c:v>12575.364804099698</c:v>
                </c:pt>
              </c:numCache>
            </c:numRef>
          </c:val>
          <c:extLst>
            <c:ext xmlns:c16="http://schemas.microsoft.com/office/drawing/2014/chart" uri="{C3380CC4-5D6E-409C-BE32-E72D297353CC}">
              <c16:uniqueId val="{00000001-873F-4F56-8D54-1DFE454FE1F1}"/>
            </c:ext>
          </c:extLst>
        </c:ser>
        <c:ser>
          <c:idx val="2"/>
          <c:order val="2"/>
          <c:tx>
            <c:strRef>
              <c:f>'2C Summary'!$C$8</c:f>
              <c:strCache>
                <c:ptCount val="1"/>
                <c:pt idx="0">
                  <c:v>Aluminium Production</c:v>
                </c:pt>
              </c:strCache>
            </c:strRef>
          </c:tx>
          <c:spPr>
            <a:solidFill>
              <a:srgbClr val="FDCD03"/>
            </a:solidFill>
            <a:ln w="25400">
              <a:solidFill>
                <a:srgbClr val="FDCD03"/>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Summary'!$F$8:$W$8</c:f>
              <c:numCache>
                <c:formatCode>General</c:formatCode>
                <c:ptCount val="18"/>
                <c:pt idx="0">
                  <c:v>2074.4412000000002</c:v>
                </c:pt>
                <c:pt idx="1">
                  <c:v>2071.0700999999999</c:v>
                </c:pt>
                <c:pt idx="2">
                  <c:v>2035.8380999999999</c:v>
                </c:pt>
                <c:pt idx="3">
                  <c:v>2055.0317</c:v>
                </c:pt>
                <c:pt idx="4">
                  <c:v>2285.0319999999997</c:v>
                </c:pt>
                <c:pt idx="5">
                  <c:v>2274.1301000000003</c:v>
                </c:pt>
                <c:pt idx="6">
                  <c:v>2369.7282000000005</c:v>
                </c:pt>
                <c:pt idx="7">
                  <c:v>2419.7458000000001</c:v>
                </c:pt>
                <c:pt idx="8">
                  <c:v>1848.4218000000001</c:v>
                </c:pt>
                <c:pt idx="9">
                  <c:v>1406.3284000000001</c:v>
                </c:pt>
                <c:pt idx="10">
                  <c:v>1431.962</c:v>
                </c:pt>
                <c:pt idx="11">
                  <c:v>3710.3844000000008</c:v>
                </c:pt>
                <c:pt idx="12">
                  <c:v>3046.0540000000001</c:v>
                </c:pt>
                <c:pt idx="13">
                  <c:v>3764.2263621230068</c:v>
                </c:pt>
                <c:pt idx="14">
                  <c:v>3514.3438596859583</c:v>
                </c:pt>
                <c:pt idx="15">
                  <c:v>3364.5057229412555</c:v>
                </c:pt>
                <c:pt idx="16">
                  <c:v>3749.064630899753</c:v>
                </c:pt>
                <c:pt idx="17">
                  <c:v>3775.8173800921886</c:v>
                </c:pt>
              </c:numCache>
            </c:numRef>
          </c:val>
          <c:extLst>
            <c:ext xmlns:c16="http://schemas.microsoft.com/office/drawing/2014/chart" uri="{C3380CC4-5D6E-409C-BE32-E72D297353CC}">
              <c16:uniqueId val="{00000002-873F-4F56-8D54-1DFE454FE1F1}"/>
            </c:ext>
          </c:extLst>
        </c:ser>
        <c:ser>
          <c:idx val="3"/>
          <c:order val="3"/>
          <c:tx>
            <c:strRef>
              <c:f>'2C Summary'!$C$10</c:f>
              <c:strCache>
                <c:ptCount val="1"/>
                <c:pt idx="0">
                  <c:v>Lead Production</c:v>
                </c:pt>
              </c:strCache>
            </c:strRef>
          </c:tx>
          <c:spPr>
            <a:solidFill>
              <a:srgbClr val="006600"/>
            </a:solidFill>
            <a:ln w="25400">
              <a:solidFill>
                <a:srgbClr val="006600"/>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Summary'!$F$10:$W$10</c:f>
              <c:numCache>
                <c:formatCode>General</c:formatCode>
                <c:ptCount val="18"/>
                <c:pt idx="0">
                  <c:v>39.155999999999999</c:v>
                </c:pt>
                <c:pt idx="1">
                  <c:v>26.936</c:v>
                </c:pt>
                <c:pt idx="2">
                  <c:v>25.687999999999999</c:v>
                </c:pt>
                <c:pt idx="3">
                  <c:v>20.748000000000001</c:v>
                </c:pt>
                <c:pt idx="4">
                  <c:v>19.5</c:v>
                </c:pt>
                <c:pt idx="5">
                  <c:v>21.943999999999999</c:v>
                </c:pt>
                <c:pt idx="6">
                  <c:v>25.116</c:v>
                </c:pt>
                <c:pt idx="7">
                  <c:v>21.788</c:v>
                </c:pt>
                <c:pt idx="8">
                  <c:v>24.128</c:v>
                </c:pt>
                <c:pt idx="9">
                  <c:v>25.532</c:v>
                </c:pt>
                <c:pt idx="10">
                  <c:v>26.312000000000001</c:v>
                </c:pt>
                <c:pt idx="11">
                  <c:v>28.319200000000002</c:v>
                </c:pt>
                <c:pt idx="12">
                  <c:v>27.294280000000004</c:v>
                </c:pt>
                <c:pt idx="13">
                  <c:v>21.84</c:v>
                </c:pt>
                <c:pt idx="14">
                  <c:v>22.07208198804468</c:v>
                </c:pt>
                <c:pt idx="15">
                  <c:v>18.2</c:v>
                </c:pt>
                <c:pt idx="16">
                  <c:v>21.901802271619349</c:v>
                </c:pt>
                <c:pt idx="17">
                  <c:v>21.743045827186773</c:v>
                </c:pt>
              </c:numCache>
            </c:numRef>
          </c:val>
          <c:extLst>
            <c:ext xmlns:c16="http://schemas.microsoft.com/office/drawing/2014/chart" uri="{C3380CC4-5D6E-409C-BE32-E72D297353CC}">
              <c16:uniqueId val="{00000003-873F-4F56-8D54-1DFE454FE1F1}"/>
            </c:ext>
          </c:extLst>
        </c:ser>
        <c:ser>
          <c:idx val="4"/>
          <c:order val="4"/>
          <c:tx>
            <c:strRef>
              <c:f>'2C Summary'!$C$11</c:f>
              <c:strCache>
                <c:ptCount val="1"/>
                <c:pt idx="0">
                  <c:v>Zinc Production</c:v>
                </c:pt>
              </c:strCache>
            </c:strRef>
          </c:tx>
          <c:spPr>
            <a:solidFill>
              <a:schemeClr val="bg1">
                <a:lumMod val="75000"/>
              </a:schemeClr>
            </a:solidFill>
            <a:ln w="25400">
              <a:solidFill>
                <a:schemeClr val="bg1">
                  <a:lumMod val="75000"/>
                </a:schemeClr>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Summary'!$F$11:$W$11</c:f>
              <c:numCache>
                <c:formatCode>General</c:formatCode>
                <c:ptCount val="18"/>
                <c:pt idx="0">
                  <c:v>108.36</c:v>
                </c:pt>
                <c:pt idx="1">
                  <c:v>104.92</c:v>
                </c:pt>
                <c:pt idx="2">
                  <c:v>110.08</c:v>
                </c:pt>
                <c:pt idx="3">
                  <c:v>70.52</c:v>
                </c:pt>
                <c:pt idx="4">
                  <c:v>55.04</c:v>
                </c:pt>
                <c:pt idx="5">
                  <c:v>55.04</c:v>
                </c:pt>
                <c:pt idx="6">
                  <c:v>58.48</c:v>
                </c:pt>
                <c:pt idx="7">
                  <c:v>53.32</c:v>
                </c:pt>
                <c:pt idx="8">
                  <c:v>49.88</c:v>
                </c:pt>
                <c:pt idx="9">
                  <c:v>48.16</c:v>
                </c:pt>
                <c:pt idx="10">
                  <c:v>61.92</c:v>
                </c:pt>
                <c:pt idx="11">
                  <c:v>63.64</c:v>
                </c:pt>
                <c:pt idx="12">
                  <c:v>63.64</c:v>
                </c:pt>
                <c:pt idx="13">
                  <c:v>51.6</c:v>
                </c:pt>
                <c:pt idx="14">
                  <c:v>44.962519999999998</c:v>
                </c:pt>
                <c:pt idx="15">
                  <c:v>49.88</c:v>
                </c:pt>
                <c:pt idx="16">
                  <c:v>47.152020906125856</c:v>
                </c:pt>
                <c:pt idx="17">
                  <c:v>46.315944980820788</c:v>
                </c:pt>
              </c:numCache>
            </c:numRef>
          </c:val>
          <c:extLst>
            <c:ext xmlns:c16="http://schemas.microsoft.com/office/drawing/2014/chart" uri="{C3380CC4-5D6E-409C-BE32-E72D297353CC}">
              <c16:uniqueId val="{00000004-873F-4F56-8D54-1DFE454FE1F1}"/>
            </c:ext>
          </c:extLst>
        </c:ser>
        <c:dLbls>
          <c:showLegendKey val="0"/>
          <c:showVal val="0"/>
          <c:showCatName val="0"/>
          <c:showSerName val="0"/>
          <c:showPercent val="0"/>
          <c:showBubbleSize val="0"/>
        </c:dLbls>
        <c:axId val="-1154722928"/>
        <c:axId val="-1154722384"/>
      </c:areaChart>
      <c:catAx>
        <c:axId val="-1154722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154722384"/>
        <c:crosses val="autoZero"/>
        <c:auto val="1"/>
        <c:lblAlgn val="ctr"/>
        <c:lblOffset val="100"/>
        <c:noMultiLvlLbl val="0"/>
      </c:catAx>
      <c:valAx>
        <c:axId val="-1154722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154722928"/>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'2C1 Iron and Steel Production'!$B$25</c:f>
              <c:strCache>
                <c:ptCount val="1"/>
                <c:pt idx="0">
                  <c:v>Mass of CO2 per tonne produced - Basic oxygen furnace</c:v>
                </c:pt>
              </c:strCache>
            </c:strRef>
          </c:tx>
          <c:spPr>
            <a:ln w="28575" cap="rnd">
              <a:solidFill>
                <a:schemeClr val="accent1"/>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Production'!$E$25:$V$25</c:f>
              <c:numCache>
                <c:formatCode>General</c:formatCode>
                <c:ptCount val="18"/>
                <c:pt idx="0">
                  <c:v>1.46</c:v>
                </c:pt>
                <c:pt idx="1">
                  <c:v>1.46</c:v>
                </c:pt>
                <c:pt idx="2">
                  <c:v>1.46</c:v>
                </c:pt>
                <c:pt idx="3">
                  <c:v>1.46</c:v>
                </c:pt>
                <c:pt idx="4">
                  <c:v>1.46</c:v>
                </c:pt>
                <c:pt idx="5">
                  <c:v>1.46</c:v>
                </c:pt>
                <c:pt idx="6">
                  <c:v>1.46</c:v>
                </c:pt>
                <c:pt idx="7">
                  <c:v>1.46</c:v>
                </c:pt>
                <c:pt idx="8">
                  <c:v>1.46</c:v>
                </c:pt>
                <c:pt idx="9">
                  <c:v>1.46</c:v>
                </c:pt>
                <c:pt idx="10">
                  <c:v>1.46</c:v>
                </c:pt>
                <c:pt idx="11">
                  <c:v>1.46</c:v>
                </c:pt>
                <c:pt idx="12">
                  <c:v>1.46</c:v>
                </c:pt>
                <c:pt idx="13">
                  <c:v>1.46</c:v>
                </c:pt>
                <c:pt idx="14">
                  <c:v>1.46</c:v>
                </c:pt>
                <c:pt idx="15">
                  <c:v>1.46</c:v>
                </c:pt>
                <c:pt idx="16">
                  <c:v>1.46</c:v>
                </c:pt>
                <c:pt idx="17">
                  <c:v>1.46</c:v>
                </c:pt>
              </c:numCache>
            </c:numRef>
          </c:val>
          <c:smooth val="0"/>
          <c:extLst>
            <c:ext xmlns:c16="http://schemas.microsoft.com/office/drawing/2014/chart" uri="{C3380CC4-5D6E-409C-BE32-E72D297353CC}">
              <c16:uniqueId val="{00000000-431F-493D-8927-E7E0B3430707}"/>
            </c:ext>
          </c:extLst>
        </c:ser>
        <c:ser>
          <c:idx val="1"/>
          <c:order val="1"/>
          <c:tx>
            <c:strRef>
              <c:f>'2C1 Iron and Steel Production'!$B$26</c:f>
              <c:strCache>
                <c:ptCount val="1"/>
                <c:pt idx="0">
                  <c:v>Mass of CO2 per tonne produced - Electric arc furnace</c:v>
                </c:pt>
              </c:strCache>
            </c:strRef>
          </c:tx>
          <c:spPr>
            <a:ln w="28575" cap="rnd">
              <a:solidFill>
                <a:schemeClr val="accent2"/>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Production'!$E$26:$V$26</c:f>
              <c:numCache>
                <c:formatCode>General</c:formatCode>
                <c:ptCount val="18"/>
                <c:pt idx="0">
                  <c:v>0.08</c:v>
                </c:pt>
                <c:pt idx="1">
                  <c:v>0.08</c:v>
                </c:pt>
                <c:pt idx="2">
                  <c:v>0.08</c:v>
                </c:pt>
                <c:pt idx="3">
                  <c:v>0.08</c:v>
                </c:pt>
                <c:pt idx="4">
                  <c:v>0.08</c:v>
                </c:pt>
                <c:pt idx="5">
                  <c:v>0.08</c:v>
                </c:pt>
                <c:pt idx="6">
                  <c:v>0.08</c:v>
                </c:pt>
                <c:pt idx="7">
                  <c:v>0.08</c:v>
                </c:pt>
                <c:pt idx="8">
                  <c:v>0.08</c:v>
                </c:pt>
                <c:pt idx="9">
                  <c:v>0.08</c:v>
                </c:pt>
                <c:pt idx="10">
                  <c:v>0.08</c:v>
                </c:pt>
                <c:pt idx="11">
                  <c:v>0.08</c:v>
                </c:pt>
                <c:pt idx="12">
                  <c:v>0.08</c:v>
                </c:pt>
                <c:pt idx="13">
                  <c:v>0.08</c:v>
                </c:pt>
                <c:pt idx="14">
                  <c:v>0.08</c:v>
                </c:pt>
                <c:pt idx="15">
                  <c:v>0.08</c:v>
                </c:pt>
                <c:pt idx="16">
                  <c:v>0.08</c:v>
                </c:pt>
                <c:pt idx="17">
                  <c:v>0.08</c:v>
                </c:pt>
              </c:numCache>
            </c:numRef>
          </c:val>
          <c:smooth val="0"/>
          <c:extLst>
            <c:ext xmlns:c16="http://schemas.microsoft.com/office/drawing/2014/chart" uri="{C3380CC4-5D6E-409C-BE32-E72D297353CC}">
              <c16:uniqueId val="{00000001-431F-493D-8927-E7E0B3430707}"/>
            </c:ext>
          </c:extLst>
        </c:ser>
        <c:dLbls>
          <c:showLegendKey val="0"/>
          <c:showVal val="0"/>
          <c:showCatName val="0"/>
          <c:showSerName val="0"/>
          <c:showPercent val="0"/>
          <c:showBubbleSize val="0"/>
        </c:dLbls>
        <c:smooth val="0"/>
        <c:axId val="-1154735984"/>
        <c:axId val="-1154733264"/>
      </c:lineChart>
      <c:catAx>
        <c:axId val="-115473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3264"/>
        <c:crosses val="autoZero"/>
        <c:auto val="1"/>
        <c:lblAlgn val="ctr"/>
        <c:lblOffset val="100"/>
        <c:noMultiLvlLbl val="0"/>
      </c:catAx>
      <c:valAx>
        <c:axId val="-115473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5984"/>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'2C1 Iron and Steel Production'!$B$37</c:f>
              <c:strCache>
                <c:ptCount val="1"/>
                <c:pt idx="0">
                  <c:v>CO2 emissions - Electric arc furnace</c:v>
                </c:pt>
              </c:strCache>
            </c:strRef>
          </c:tx>
          <c:spPr>
            <a:ln w="28575" cap="rnd">
              <a:solidFill>
                <a:schemeClr val="accent1"/>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Production'!$E$37:$V$37</c:f>
              <c:numCache>
                <c:formatCode>General</c:formatCode>
                <c:ptCount val="18"/>
                <c:pt idx="0">
                  <c:v>363.98624000000001</c:v>
                </c:pt>
                <c:pt idx="1">
                  <c:v>377.35631999999998</c:v>
                </c:pt>
                <c:pt idx="2">
                  <c:v>391.10960000000006</c:v>
                </c:pt>
                <c:pt idx="3">
                  <c:v>428.27647999999999</c:v>
                </c:pt>
                <c:pt idx="4">
                  <c:v>440.67904000000004</c:v>
                </c:pt>
                <c:pt idx="5">
                  <c:v>407.18544000000003</c:v>
                </c:pt>
                <c:pt idx="6">
                  <c:v>433.05632000000003</c:v>
                </c:pt>
                <c:pt idx="7">
                  <c:v>437.91264000000001</c:v>
                </c:pt>
                <c:pt idx="8">
                  <c:v>366.52184</c:v>
                </c:pt>
                <c:pt idx="9">
                  <c:v>348.76447999999999</c:v>
                </c:pt>
                <c:pt idx="10">
                  <c:v>338.87943999999999</c:v>
                </c:pt>
                <c:pt idx="11">
                  <c:v>284.38423999999998</c:v>
                </c:pt>
                <c:pt idx="12">
                  <c:v>312.34208000000001</c:v>
                </c:pt>
                <c:pt idx="13">
                  <c:v>263.42958532513273</c:v>
                </c:pt>
                <c:pt idx="14">
                  <c:v>223.14328</c:v>
                </c:pt>
                <c:pt idx="15">
                  <c:v>199.24696</c:v>
                </c:pt>
                <c:pt idx="16">
                  <c:v>243.17615633548297</c:v>
                </c:pt>
                <c:pt idx="17">
                  <c:v>233.64108286078641</c:v>
                </c:pt>
              </c:numCache>
            </c:numRef>
          </c:val>
          <c:smooth val="0"/>
          <c:extLst>
            <c:ext xmlns:c16="http://schemas.microsoft.com/office/drawing/2014/chart" uri="{C3380CC4-5D6E-409C-BE32-E72D297353CC}">
              <c16:uniqueId val="{00000000-5955-47B8-9B5C-BAB5D5716D61}"/>
            </c:ext>
          </c:extLst>
        </c:ser>
        <c:ser>
          <c:idx val="1"/>
          <c:order val="1"/>
          <c:tx>
            <c:strRef>
              <c:f>'2C1 Iron and Steel Production'!$B$39</c:f>
              <c:strCache>
                <c:ptCount val="1"/>
                <c:pt idx="0">
                  <c:v>CO2 emissions - Pig iron production</c:v>
                </c:pt>
              </c:strCache>
            </c:strRef>
          </c:tx>
          <c:spPr>
            <a:ln w="28575" cap="rnd">
              <a:solidFill>
                <a:schemeClr val="accent2"/>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Production'!$E$39:$V$39</c:f>
              <c:numCache>
                <c:formatCode>General</c:formatCode>
                <c:ptCount val="18"/>
                <c:pt idx="0">
                  <c:v>6310.5898500000003</c:v>
                </c:pt>
                <c:pt idx="1">
                  <c:v>6547.0342499999997</c:v>
                </c:pt>
                <c:pt idx="2">
                  <c:v>6820.1136000000006</c:v>
                </c:pt>
                <c:pt idx="3">
                  <c:v>6040.8436500000007</c:v>
                </c:pt>
                <c:pt idx="4">
                  <c:v>5703.0574500000002</c:v>
                </c:pt>
                <c:pt idx="5">
                  <c:v>5996.5704000000005</c:v>
                </c:pt>
                <c:pt idx="6">
                  <c:v>5987.9938500000007</c:v>
                </c:pt>
                <c:pt idx="7">
                  <c:v>4917.402</c:v>
                </c:pt>
                <c:pt idx="8">
                  <c:v>5058.1611000000003</c:v>
                </c:pt>
                <c:pt idx="9">
                  <c:v>4299.1641000000009</c:v>
                </c:pt>
                <c:pt idx="10">
                  <c:v>4988.6914500000003</c:v>
                </c:pt>
                <c:pt idx="11">
                  <c:v>6214.8033000000005</c:v>
                </c:pt>
                <c:pt idx="12">
                  <c:v>6208.6702500000001</c:v>
                </c:pt>
                <c:pt idx="13">
                  <c:v>6652.1925000000001</c:v>
                </c:pt>
                <c:pt idx="14">
                  <c:v>5942.3409000000001</c:v>
                </c:pt>
                <c:pt idx="15">
                  <c:v>6026.0746500000005</c:v>
                </c:pt>
                <c:pt idx="16">
                  <c:v>6278.7447000000002</c:v>
                </c:pt>
                <c:pt idx="17">
                  <c:v>6648.3288000000011</c:v>
                </c:pt>
              </c:numCache>
            </c:numRef>
          </c:val>
          <c:smooth val="0"/>
          <c:extLst>
            <c:ext xmlns:c16="http://schemas.microsoft.com/office/drawing/2014/chart" uri="{C3380CC4-5D6E-409C-BE32-E72D297353CC}">
              <c16:uniqueId val="{00000001-5955-47B8-9B5C-BAB5D5716D61}"/>
            </c:ext>
          </c:extLst>
        </c:ser>
        <c:ser>
          <c:idx val="2"/>
          <c:order val="2"/>
          <c:tx>
            <c:strRef>
              <c:f>'2C1 Iron and Steel Production'!$B$36</c:f>
              <c:strCache>
                <c:ptCount val="1"/>
                <c:pt idx="0">
                  <c:v>CO2 emissions - Basic oxygen furnace</c:v>
                </c:pt>
              </c:strCache>
            </c:strRef>
          </c:tx>
          <c:spPr>
            <a:ln w="28575" cap="rnd">
              <a:solidFill>
                <a:schemeClr val="accent3"/>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Production'!$E$36:$V$36</c:f>
              <c:numCache>
                <c:formatCode>General</c:formatCode>
                <c:ptCount val="18"/>
                <c:pt idx="0">
                  <c:v>6824.7860599999995</c:v>
                </c:pt>
                <c:pt idx="1">
                  <c:v>7080.4962999999998</c:v>
                </c:pt>
                <c:pt idx="2">
                  <c:v>7375.8265599999995</c:v>
                </c:pt>
                <c:pt idx="3">
                  <c:v>7421.4252800000004</c:v>
                </c:pt>
                <c:pt idx="4">
                  <c:v>7226.5517800000007</c:v>
                </c:pt>
                <c:pt idx="5">
                  <c:v>7673.5132599999997</c:v>
                </c:pt>
                <c:pt idx="6">
                  <c:v>7553.5669600000001</c:v>
                </c:pt>
                <c:pt idx="7">
                  <c:v>6601.3330599999999</c:v>
                </c:pt>
                <c:pt idx="8">
                  <c:v>6576.2415000000001</c:v>
                </c:pt>
                <c:pt idx="9">
                  <c:v>5772.4151400000001</c:v>
                </c:pt>
                <c:pt idx="10">
                  <c:v>6375.4214199999997</c:v>
                </c:pt>
                <c:pt idx="11">
                  <c:v>5827.8615599999994</c:v>
                </c:pt>
                <c:pt idx="12">
                  <c:v>5700.2429599999996</c:v>
                </c:pt>
                <c:pt idx="13">
                  <c:v>6237.0440799999997</c:v>
                </c:pt>
                <c:pt idx="14">
                  <c:v>5289.4471399999993</c:v>
                </c:pt>
                <c:pt idx="15">
                  <c:v>5704.9689799999996</c:v>
                </c:pt>
                <c:pt idx="16">
                  <c:v>5108.3392334626606</c:v>
                </c:pt>
                <c:pt idx="17">
                  <c:v>5002.1826548608533</c:v>
                </c:pt>
              </c:numCache>
            </c:numRef>
          </c:val>
          <c:smooth val="0"/>
          <c:extLst>
            <c:ext xmlns:c16="http://schemas.microsoft.com/office/drawing/2014/chart" uri="{C3380CC4-5D6E-409C-BE32-E72D297353CC}">
              <c16:uniqueId val="{00000000-9FEF-4128-A6EA-8C997D37646C}"/>
            </c:ext>
          </c:extLst>
        </c:ser>
        <c:ser>
          <c:idx val="3"/>
          <c:order val="3"/>
          <c:tx>
            <c:strRef>
              <c:f>'2C1 Iron and Steel Production'!$B$40</c:f>
              <c:strCache>
                <c:ptCount val="1"/>
                <c:pt idx="0">
                  <c:v>CO2 emissions - Direct reduced iron</c:v>
                </c:pt>
              </c:strCache>
            </c:strRef>
          </c:tx>
          <c:spPr>
            <a:ln w="28575" cap="rnd">
              <a:solidFill>
                <a:schemeClr val="accent4"/>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Production'!$E$40:$V$40</c:f>
              <c:numCache>
                <c:formatCode>General</c:formatCode>
                <c:ptCount val="18"/>
                <c:pt idx="0">
                  <c:v>2367.6433249999995</c:v>
                </c:pt>
                <c:pt idx="1">
                  <c:v>1861.85725</c:v>
                </c:pt>
                <c:pt idx="2">
                  <c:v>2044.9884</c:v>
                </c:pt>
                <c:pt idx="3">
                  <c:v>2351.5621999999998</c:v>
                </c:pt>
                <c:pt idx="4">
                  <c:v>2489.9696749999998</c:v>
                </c:pt>
                <c:pt idx="5">
                  <c:v>2716.1896999999999</c:v>
                </c:pt>
                <c:pt idx="6">
                  <c:v>2674.2171250000001</c:v>
                </c:pt>
                <c:pt idx="7">
                  <c:v>2647.2688499999995</c:v>
                </c:pt>
                <c:pt idx="8">
                  <c:v>1796.3356249999999</c:v>
                </c:pt>
                <c:pt idx="9">
                  <c:v>2043.0729999999999</c:v>
                </c:pt>
                <c:pt idx="10">
                  <c:v>1708.6892999999998</c:v>
                </c:pt>
                <c:pt idx="11">
                  <c:v>2156.6001000000001</c:v>
                </c:pt>
                <c:pt idx="12">
                  <c:v>2277.4654999999998</c:v>
                </c:pt>
                <c:pt idx="13">
                  <c:v>1974.875</c:v>
                </c:pt>
                <c:pt idx="14">
                  <c:v>2457.5832500000001</c:v>
                </c:pt>
                <c:pt idx="15">
                  <c:v>1715.5807749999999</c:v>
                </c:pt>
                <c:pt idx="16">
                  <c:v>2754.2520298699405</c:v>
                </c:pt>
                <c:pt idx="17">
                  <c:v>2748.5904244342255</c:v>
                </c:pt>
              </c:numCache>
            </c:numRef>
          </c:val>
          <c:smooth val="0"/>
          <c:extLst>
            <c:ext xmlns:c16="http://schemas.microsoft.com/office/drawing/2014/chart" uri="{C3380CC4-5D6E-409C-BE32-E72D297353CC}">
              <c16:uniqueId val="{00000001-9FEF-4128-A6EA-8C997D37646C}"/>
            </c:ext>
          </c:extLst>
        </c:ser>
        <c:ser>
          <c:idx val="4"/>
          <c:order val="4"/>
          <c:tx>
            <c:strRef>
              <c:f>'2C1 Iron and Steel Production'!$B$43</c:f>
              <c:strCache>
                <c:ptCount val="1"/>
                <c:pt idx="0">
                  <c:v>CO2 emissions - Total other</c:v>
                </c:pt>
              </c:strCache>
            </c:strRef>
          </c:tx>
          <c:spPr>
            <a:ln w="28575" cap="rnd">
              <a:solidFill>
                <a:schemeClr val="accent5"/>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Production'!$E$43:$V$43</c:f>
              <c:numCache>
                <c:formatCode>General</c:formatCode>
                <c:ptCount val="18"/>
                <c:pt idx="0">
                  <c:v>543.5214400000001</c:v>
                </c:pt>
                <c:pt idx="1">
                  <c:v>543.79324999999994</c:v>
                </c:pt>
                <c:pt idx="2">
                  <c:v>544.06506000000002</c:v>
                </c:pt>
                <c:pt idx="3">
                  <c:v>544.33686999999998</c:v>
                </c:pt>
                <c:pt idx="4">
                  <c:v>564.99596999999994</c:v>
                </c:pt>
                <c:pt idx="5">
                  <c:v>566.24106000000006</c:v>
                </c:pt>
                <c:pt idx="6">
                  <c:v>569.65985999999998</c:v>
                </c:pt>
                <c:pt idx="7">
                  <c:v>543.17956000000004</c:v>
                </c:pt>
                <c:pt idx="8">
                  <c:v>354.77441999999996</c:v>
                </c:pt>
                <c:pt idx="9">
                  <c:v>331.03532000000001</c:v>
                </c:pt>
                <c:pt idx="10">
                  <c:v>450.02804000000003</c:v>
                </c:pt>
                <c:pt idx="11">
                  <c:v>438.99933000000004</c:v>
                </c:pt>
                <c:pt idx="12">
                  <c:v>521.97607000000005</c:v>
                </c:pt>
                <c:pt idx="13">
                  <c:v>454.57380473021976</c:v>
                </c:pt>
                <c:pt idx="14">
                  <c:v>451.01042502736851</c:v>
                </c:pt>
                <c:pt idx="15">
                  <c:v>447.67710592762421</c:v>
                </c:pt>
                <c:pt idx="16">
                  <c:v>444.54593393524567</c:v>
                </c:pt>
                <c:pt idx="17">
                  <c:v>441.59378645486481</c:v>
                </c:pt>
              </c:numCache>
            </c:numRef>
          </c:val>
          <c:smooth val="0"/>
          <c:extLst>
            <c:ext xmlns:c16="http://schemas.microsoft.com/office/drawing/2014/chart" uri="{C3380CC4-5D6E-409C-BE32-E72D297353CC}">
              <c16:uniqueId val="{00000002-9FEF-4128-A6EA-8C997D37646C}"/>
            </c:ext>
          </c:extLst>
        </c:ser>
        <c:dLbls>
          <c:showLegendKey val="0"/>
          <c:showVal val="0"/>
          <c:showCatName val="0"/>
          <c:showSerName val="0"/>
          <c:showPercent val="0"/>
          <c:showBubbleSize val="0"/>
        </c:dLbls>
        <c:smooth val="0"/>
        <c:axId val="-1154735440"/>
        <c:axId val="-1154734896"/>
      </c:lineChart>
      <c:catAx>
        <c:axId val="-1154735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4896"/>
        <c:crosses val="autoZero"/>
        <c:auto val="1"/>
        <c:lblAlgn val="ctr"/>
        <c:lblOffset val="100"/>
        <c:noMultiLvlLbl val="0"/>
      </c:catAx>
      <c:valAx>
        <c:axId val="-1154734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5440"/>
        <c:crosses val="autoZero"/>
        <c:crossBetween val="between"/>
      </c:valAx>
      <c:spPr>
        <a:noFill/>
        <a:ln>
          <a:noFill/>
        </a:ln>
        <a:effectLst/>
      </c:spPr>
    </c:plotArea>
    <c:legend>
      <c:legendPos val="r"/>
      <c:layout>
        <c:manualLayout>
          <c:xMode val="edge"/>
          <c:yMode val="edge"/>
          <c:x val="0.73180311601891546"/>
          <c:y val="0.28000909386903694"/>
          <c:w val="0.2681968365376744"/>
          <c:h val="0.527821817677510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1030933682913568"/>
          <c:h val="0.74565664201062321"/>
        </c:manualLayout>
      </c:layout>
      <c:lineChart>
        <c:grouping val="standard"/>
        <c:varyColors val="0"/>
        <c:ser>
          <c:idx val="0"/>
          <c:order val="0"/>
          <c:tx>
            <c:strRef>
              <c:f>'2C2 Ferroalloys Production'!$B$22</c:f>
              <c:strCache>
                <c:ptCount val="1"/>
                <c:pt idx="0">
                  <c:v>Mass of CO2 per tonne Ferrochromium produced</c:v>
                </c:pt>
              </c:strCache>
            </c:strRef>
          </c:tx>
          <c:spPr>
            <a:ln w="28575" cap="rnd">
              <a:solidFill>
                <a:schemeClr val="accent1"/>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Production'!$E$22:$V$22</c:f>
              <c:numCache>
                <c:formatCode>General</c:formatCode>
                <c:ptCount val="18"/>
                <c:pt idx="13">
                  <c:v>3.2245200000000001</c:v>
                </c:pt>
                <c:pt idx="14">
                  <c:v>3.2245200000000001</c:v>
                </c:pt>
                <c:pt idx="15">
                  <c:v>3.2245200000000001</c:v>
                </c:pt>
                <c:pt idx="16">
                  <c:v>3.2245200000000005</c:v>
                </c:pt>
                <c:pt idx="17">
                  <c:v>3.2245200000000001</c:v>
                </c:pt>
              </c:numCache>
            </c:numRef>
          </c:val>
          <c:smooth val="0"/>
          <c:extLst>
            <c:ext xmlns:c16="http://schemas.microsoft.com/office/drawing/2014/chart" uri="{C3380CC4-5D6E-409C-BE32-E72D297353CC}">
              <c16:uniqueId val="{00000000-D1CD-4023-BE42-637EB31E8A39}"/>
            </c:ext>
          </c:extLst>
        </c:ser>
        <c:ser>
          <c:idx val="1"/>
          <c:order val="1"/>
          <c:tx>
            <c:strRef>
              <c:f>'2C2 Ferroalloys Production'!$B$23</c:f>
              <c:strCache>
                <c:ptCount val="1"/>
                <c:pt idx="0">
                  <c:v>Mass of CO2 per tonne Ferromanganeses (7% C) produced</c:v>
                </c:pt>
              </c:strCache>
            </c:strRef>
          </c:tx>
          <c:spPr>
            <a:ln w="28575" cap="rnd">
              <a:solidFill>
                <a:schemeClr val="accent2"/>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Production'!$E$23:$V$23</c:f>
              <c:numCache>
                <c:formatCode>General</c:formatCode>
                <c:ptCount val="18"/>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numCache>
            </c:numRef>
          </c:val>
          <c:smooth val="0"/>
          <c:extLst>
            <c:ext xmlns:c16="http://schemas.microsoft.com/office/drawing/2014/chart" uri="{C3380CC4-5D6E-409C-BE32-E72D297353CC}">
              <c16:uniqueId val="{00000001-D1CD-4023-BE42-637EB31E8A39}"/>
            </c:ext>
          </c:extLst>
        </c:ser>
        <c:ser>
          <c:idx val="2"/>
          <c:order val="2"/>
          <c:tx>
            <c:strRef>
              <c:f>'2C2 Ferroalloys Production'!$B$24</c:f>
              <c:strCache>
                <c:ptCount val="1"/>
                <c:pt idx="0">
                  <c:v>Mass of CO2 per tonne Ferromanganeses (1% C) produced</c:v>
                </c:pt>
              </c:strCache>
            </c:strRef>
          </c:tx>
          <c:spPr>
            <a:ln w="28575" cap="rnd">
              <a:solidFill>
                <a:schemeClr val="accent3"/>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Production'!$E$24:$V$24</c:f>
              <c:numCache>
                <c:formatCode>General</c:formatCode>
                <c:ptCount val="18"/>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numCache>
            </c:numRef>
          </c:val>
          <c:smooth val="0"/>
          <c:extLst>
            <c:ext xmlns:c16="http://schemas.microsoft.com/office/drawing/2014/chart" uri="{C3380CC4-5D6E-409C-BE32-E72D297353CC}">
              <c16:uniqueId val="{00000002-D1CD-4023-BE42-637EB31E8A39}"/>
            </c:ext>
          </c:extLst>
        </c:ser>
        <c:ser>
          <c:idx val="3"/>
          <c:order val="3"/>
          <c:tx>
            <c:strRef>
              <c:f>'2C2 Ferroalloys Production'!$B$25</c:f>
              <c:strCache>
                <c:ptCount val="1"/>
                <c:pt idx="0">
                  <c:v>Mass of CO2 per tonne Ferrosilicon 65% Si produced</c:v>
                </c:pt>
              </c:strCache>
            </c:strRef>
          </c:tx>
          <c:spPr>
            <a:ln w="28575" cap="rnd">
              <a:solidFill>
                <a:schemeClr val="accent4"/>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Production'!$E$25:$V$25</c:f>
              <c:numCache>
                <c:formatCode>General</c:formatCode>
                <c:ptCount val="18"/>
                <c:pt idx="0">
                  <c:v>3.6</c:v>
                </c:pt>
                <c:pt idx="1">
                  <c:v>3.6</c:v>
                </c:pt>
                <c:pt idx="2">
                  <c:v>3.6</c:v>
                </c:pt>
                <c:pt idx="3">
                  <c:v>3.6</c:v>
                </c:pt>
                <c:pt idx="4">
                  <c:v>3.6</c:v>
                </c:pt>
                <c:pt idx="5">
                  <c:v>3.6</c:v>
                </c:pt>
                <c:pt idx="6">
                  <c:v>3.6</c:v>
                </c:pt>
                <c:pt idx="7">
                  <c:v>3.6</c:v>
                </c:pt>
                <c:pt idx="8">
                  <c:v>3.6</c:v>
                </c:pt>
                <c:pt idx="9">
                  <c:v>3.6</c:v>
                </c:pt>
                <c:pt idx="10">
                  <c:v>3.6</c:v>
                </c:pt>
                <c:pt idx="11">
                  <c:v>3.6</c:v>
                </c:pt>
                <c:pt idx="12">
                  <c:v>3.6</c:v>
                </c:pt>
                <c:pt idx="13">
                  <c:v>3.6</c:v>
                </c:pt>
                <c:pt idx="14">
                  <c:v>3.6</c:v>
                </c:pt>
                <c:pt idx="15">
                  <c:v>3.6</c:v>
                </c:pt>
                <c:pt idx="16">
                  <c:v>3.6</c:v>
                </c:pt>
                <c:pt idx="17">
                  <c:v>3.6</c:v>
                </c:pt>
              </c:numCache>
            </c:numRef>
          </c:val>
          <c:smooth val="0"/>
          <c:extLst>
            <c:ext xmlns:c16="http://schemas.microsoft.com/office/drawing/2014/chart" uri="{C3380CC4-5D6E-409C-BE32-E72D297353CC}">
              <c16:uniqueId val="{00000003-D1CD-4023-BE42-637EB31E8A39}"/>
            </c:ext>
          </c:extLst>
        </c:ser>
        <c:ser>
          <c:idx val="4"/>
          <c:order val="4"/>
          <c:tx>
            <c:strRef>
              <c:f>'2C2 Ferroalloys Production'!$B$26</c:f>
              <c:strCache>
                <c:ptCount val="1"/>
                <c:pt idx="0">
                  <c:v>Mass of CO2 per tonne Silicon metal produced</c:v>
                </c:pt>
              </c:strCache>
            </c:strRef>
          </c:tx>
          <c:spPr>
            <a:ln w="28575" cap="rnd">
              <a:solidFill>
                <a:schemeClr val="accent5"/>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Production'!$E$26:$V$26</c:f>
              <c:numCache>
                <c:formatCode>General</c:formatCode>
                <c:ptCount val="18"/>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numCache>
            </c:numRef>
          </c:val>
          <c:smooth val="0"/>
          <c:extLst>
            <c:ext xmlns:c16="http://schemas.microsoft.com/office/drawing/2014/chart" uri="{C3380CC4-5D6E-409C-BE32-E72D297353CC}">
              <c16:uniqueId val="{00000004-D1CD-4023-BE42-637EB31E8A39}"/>
            </c:ext>
          </c:extLst>
        </c:ser>
        <c:ser>
          <c:idx val="5"/>
          <c:order val="5"/>
          <c:tx>
            <c:strRef>
              <c:f>'2C2 Ferroalloys Production'!$B$27</c:f>
              <c:strCache>
                <c:ptCount val="1"/>
                <c:pt idx="0">
                  <c:v>Mass of CH4 per tonne Ferrosilicon 65% Si produced</c:v>
                </c:pt>
              </c:strCache>
            </c:strRef>
          </c:tx>
          <c:spPr>
            <a:ln w="28575" cap="rnd">
              <a:solidFill>
                <a:schemeClr val="accent6"/>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Production'!$E$27:$V$27</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extLst>
            <c:ext xmlns:c16="http://schemas.microsoft.com/office/drawing/2014/chart" uri="{C3380CC4-5D6E-409C-BE32-E72D297353CC}">
              <c16:uniqueId val="{00000005-D1CD-4023-BE42-637EB31E8A39}"/>
            </c:ext>
          </c:extLst>
        </c:ser>
        <c:ser>
          <c:idx val="6"/>
          <c:order val="6"/>
          <c:tx>
            <c:strRef>
              <c:f>'2C2 Ferroalloys Production'!$B$28</c:f>
              <c:strCache>
                <c:ptCount val="1"/>
                <c:pt idx="0">
                  <c:v>Mass of CH4 per tonne Silicon metal produced</c:v>
                </c:pt>
              </c:strCache>
            </c:strRef>
          </c:tx>
          <c:spPr>
            <a:ln w="28575" cap="rnd">
              <a:solidFill>
                <a:schemeClr val="accent1">
                  <a:lumMod val="60000"/>
                </a:schemeClr>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Production'!$E$28:$V$28</c:f>
              <c:numCache>
                <c:formatCode>General</c:formatCode>
                <c:ptCount val="1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numCache>
            </c:numRef>
          </c:val>
          <c:smooth val="0"/>
          <c:extLst>
            <c:ext xmlns:c16="http://schemas.microsoft.com/office/drawing/2014/chart" uri="{C3380CC4-5D6E-409C-BE32-E72D297353CC}">
              <c16:uniqueId val="{00000006-D1CD-4023-BE42-637EB31E8A39}"/>
            </c:ext>
          </c:extLst>
        </c:ser>
        <c:dLbls>
          <c:showLegendKey val="0"/>
          <c:showVal val="0"/>
          <c:showCatName val="0"/>
          <c:showSerName val="0"/>
          <c:showPercent val="0"/>
          <c:showBubbleSize val="0"/>
        </c:dLbls>
        <c:smooth val="0"/>
        <c:axId val="-1154734352"/>
        <c:axId val="-1154733808"/>
      </c:lineChart>
      <c:catAx>
        <c:axId val="-115473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3808"/>
        <c:crosses val="autoZero"/>
        <c:auto val="1"/>
        <c:lblAlgn val="ctr"/>
        <c:lblOffset val="100"/>
        <c:noMultiLvlLbl val="0"/>
      </c:catAx>
      <c:valAx>
        <c:axId val="-115473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4352"/>
        <c:crosses val="autoZero"/>
        <c:crossBetween val="between"/>
      </c:valAx>
      <c:spPr>
        <a:noFill/>
        <a:ln>
          <a:noFill/>
        </a:ln>
        <a:effectLst/>
      </c:spPr>
    </c:plotArea>
    <c:legend>
      <c:legendPos val="r"/>
      <c:layout>
        <c:manualLayout>
          <c:xMode val="edge"/>
          <c:yMode val="edge"/>
          <c:x val="0.76306876898347054"/>
          <c:y val="0.20137138478987074"/>
          <c:w val="0.23693123101652941"/>
          <c:h val="0.745329747768765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'2C2 Ferroalloys Production'!$B$32</c:f>
              <c:strCache>
                <c:ptCount val="1"/>
                <c:pt idx="0">
                  <c:v>Amount of ferroalloy production - Ferrochromium</c:v>
                </c:pt>
              </c:strCache>
            </c:strRef>
          </c:tx>
          <c:spPr>
            <a:ln w="28575" cap="rnd">
              <a:solidFill>
                <a:schemeClr val="accent1"/>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Production'!$E$32:$V$32</c:f>
              <c:numCache>
                <c:formatCode>General</c:formatCode>
                <c:ptCount val="18"/>
                <c:pt idx="0">
                  <c:v>6244.0092000000004</c:v>
                </c:pt>
                <c:pt idx="1">
                  <c:v>6541.8254999999999</c:v>
                </c:pt>
                <c:pt idx="2">
                  <c:v>6969.3043999999991</c:v>
                </c:pt>
                <c:pt idx="3">
                  <c:v>7167.5240000000003</c:v>
                </c:pt>
                <c:pt idx="4">
                  <c:v>7167.6480000000001</c:v>
                </c:pt>
                <c:pt idx="5">
                  <c:v>7504.5966000000008</c:v>
                </c:pt>
                <c:pt idx="6">
                  <c:v>7991.6250000000009</c:v>
                </c:pt>
                <c:pt idx="7">
                  <c:v>9091.9452000000001</c:v>
                </c:pt>
                <c:pt idx="8">
                  <c:v>9390.2024999999994</c:v>
                </c:pt>
                <c:pt idx="9">
                  <c:v>10065.043800000001</c:v>
                </c:pt>
                <c:pt idx="10">
                  <c:v>10036.116800000002</c:v>
                </c:pt>
                <c:pt idx="11">
                  <c:v>10035.5283</c:v>
                </c:pt>
                <c:pt idx="12">
                  <c:v>9876.7047600000005</c:v>
                </c:pt>
                <c:pt idx="13">
                  <c:v>10379.729880000001</c:v>
                </c:pt>
                <c:pt idx="14">
                  <c:v>11991.989880000001</c:v>
                </c:pt>
                <c:pt idx="15">
                  <c:v>11882.356200000002</c:v>
                </c:pt>
                <c:pt idx="16">
                  <c:v>10752.825223764003</c:v>
                </c:pt>
                <c:pt idx="17">
                  <c:v>10869.667318224001</c:v>
                </c:pt>
              </c:numCache>
            </c:numRef>
          </c:val>
          <c:smooth val="0"/>
          <c:extLst>
            <c:ext xmlns:c16="http://schemas.microsoft.com/office/drawing/2014/chart" uri="{C3380CC4-5D6E-409C-BE32-E72D297353CC}">
              <c16:uniqueId val="{00000004-2B3A-4C4D-857E-CCB2A4FD534E}"/>
            </c:ext>
          </c:extLst>
        </c:ser>
        <c:ser>
          <c:idx val="1"/>
          <c:order val="1"/>
          <c:tx>
            <c:strRef>
              <c:f>'2C2 Ferroalloys Production'!$B$33</c:f>
              <c:strCache>
                <c:ptCount val="1"/>
                <c:pt idx="0">
                  <c:v>Amount of ferroalloy production - Ferromanganeses (7% C)</c:v>
                </c:pt>
              </c:strCache>
            </c:strRef>
          </c:tx>
          <c:spPr>
            <a:ln w="28575" cap="rnd">
              <a:solidFill>
                <a:schemeClr val="accent2"/>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Production'!$E$33:$V$33</c:f>
              <c:numCache>
                <c:formatCode>General</c:formatCode>
                <c:ptCount val="18"/>
                <c:pt idx="0">
                  <c:v>775.93489999999997</c:v>
                </c:pt>
                <c:pt idx="1">
                  <c:v>680.99720000000002</c:v>
                </c:pt>
                <c:pt idx="2">
                  <c:v>804.64020000000005</c:v>
                </c:pt>
                <c:pt idx="3">
                  <c:v>789.57060000000001</c:v>
                </c:pt>
                <c:pt idx="4">
                  <c:v>795.48820000000012</c:v>
                </c:pt>
                <c:pt idx="5">
                  <c:v>741.74620000000004</c:v>
                </c:pt>
                <c:pt idx="6">
                  <c:v>853.10550000000001</c:v>
                </c:pt>
                <c:pt idx="7">
                  <c:v>908.25020000000006</c:v>
                </c:pt>
                <c:pt idx="8">
                  <c:v>653.4203</c:v>
                </c:pt>
                <c:pt idx="9">
                  <c:v>357.3999</c:v>
                </c:pt>
                <c:pt idx="10">
                  <c:v>614.9</c:v>
                </c:pt>
                <c:pt idx="11">
                  <c:v>928.2</c:v>
                </c:pt>
                <c:pt idx="12">
                  <c:v>917.8</c:v>
                </c:pt>
                <c:pt idx="13">
                  <c:v>885.3</c:v>
                </c:pt>
                <c:pt idx="14">
                  <c:v>1058.5419000000002</c:v>
                </c:pt>
                <c:pt idx="15">
                  <c:v>639.6</c:v>
                </c:pt>
                <c:pt idx="16">
                  <c:v>889.22158000000024</c:v>
                </c:pt>
                <c:pt idx="17">
                  <c:v>919.25938000000008</c:v>
                </c:pt>
              </c:numCache>
            </c:numRef>
          </c:val>
          <c:smooth val="0"/>
          <c:extLst>
            <c:ext xmlns:c16="http://schemas.microsoft.com/office/drawing/2014/chart" uri="{C3380CC4-5D6E-409C-BE32-E72D297353CC}">
              <c16:uniqueId val="{00000005-2B3A-4C4D-857E-CCB2A4FD534E}"/>
            </c:ext>
          </c:extLst>
        </c:ser>
        <c:ser>
          <c:idx val="2"/>
          <c:order val="2"/>
          <c:tx>
            <c:strRef>
              <c:f>'2C2 Ferroalloys Production'!$B$34</c:f>
              <c:strCache>
                <c:ptCount val="1"/>
                <c:pt idx="0">
                  <c:v>Amount of ferroalloy production - Ferromanganeses (1% C)</c:v>
                </c:pt>
              </c:strCache>
            </c:strRef>
          </c:tx>
          <c:spPr>
            <a:ln w="28575" cap="rnd">
              <a:solidFill>
                <a:schemeClr val="accent3"/>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Production'!$E$34:$V$34</c:f>
              <c:numCache>
                <c:formatCode>General</c:formatCode>
                <c:ptCount val="18"/>
                <c:pt idx="0">
                  <c:v>465.6</c:v>
                </c:pt>
                <c:pt idx="1">
                  <c:v>388.76400000000001</c:v>
                </c:pt>
                <c:pt idx="2">
                  <c:v>473.70299999999997</c:v>
                </c:pt>
                <c:pt idx="3">
                  <c:v>469.72800000000001</c:v>
                </c:pt>
                <c:pt idx="4">
                  <c:v>560.89200000000005</c:v>
                </c:pt>
                <c:pt idx="5">
                  <c:v>412.98599999999999</c:v>
                </c:pt>
                <c:pt idx="6">
                  <c:v>416.55450000000002</c:v>
                </c:pt>
                <c:pt idx="7">
                  <c:v>491.69099999999997</c:v>
                </c:pt>
                <c:pt idx="8">
                  <c:v>388.52100000000002</c:v>
                </c:pt>
                <c:pt idx="9">
                  <c:v>176.52449999999999</c:v>
                </c:pt>
                <c:pt idx="10">
                  <c:v>475.5</c:v>
                </c:pt>
                <c:pt idx="11">
                  <c:v>525</c:v>
                </c:pt>
                <c:pt idx="12">
                  <c:v>265.5</c:v>
                </c:pt>
                <c:pt idx="13">
                  <c:v>244.5</c:v>
                </c:pt>
                <c:pt idx="14">
                  <c:v>292.10550000000001</c:v>
                </c:pt>
                <c:pt idx="15">
                  <c:v>184.5</c:v>
                </c:pt>
                <c:pt idx="16">
                  <c:v>244.70889531558561</c:v>
                </c:pt>
                <c:pt idx="17">
                  <c:v>233.24031612369674</c:v>
                </c:pt>
              </c:numCache>
            </c:numRef>
          </c:val>
          <c:smooth val="0"/>
          <c:extLst>
            <c:ext xmlns:c16="http://schemas.microsoft.com/office/drawing/2014/chart" uri="{C3380CC4-5D6E-409C-BE32-E72D297353CC}">
              <c16:uniqueId val="{00000006-2B3A-4C4D-857E-CCB2A4FD534E}"/>
            </c:ext>
          </c:extLst>
        </c:ser>
        <c:ser>
          <c:idx val="3"/>
          <c:order val="3"/>
          <c:tx>
            <c:strRef>
              <c:f>'2C2 Ferroalloys Production'!$B$35</c:f>
              <c:strCache>
                <c:ptCount val="1"/>
                <c:pt idx="0">
                  <c:v>Amount of ferroalloy production - Ferrosilicon 65% Si</c:v>
                </c:pt>
              </c:strCache>
            </c:strRef>
          </c:tx>
          <c:spPr>
            <a:ln w="28575" cap="rnd">
              <a:solidFill>
                <a:schemeClr val="accent4"/>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Production'!$E$35:$V$35</c:f>
              <c:numCache>
                <c:formatCode>General</c:formatCode>
                <c:ptCount val="18"/>
                <c:pt idx="0">
                  <c:v>390.6</c:v>
                </c:pt>
                <c:pt idx="1">
                  <c:v>387.36</c:v>
                </c:pt>
                <c:pt idx="2">
                  <c:v>510.12</c:v>
                </c:pt>
                <c:pt idx="3">
                  <c:v>487.08</c:v>
                </c:pt>
                <c:pt idx="4">
                  <c:v>506.16</c:v>
                </c:pt>
                <c:pt idx="5">
                  <c:v>457.2</c:v>
                </c:pt>
                <c:pt idx="6">
                  <c:v>536.04</c:v>
                </c:pt>
                <c:pt idx="7">
                  <c:v>502.56</c:v>
                </c:pt>
                <c:pt idx="8">
                  <c:v>484.2</c:v>
                </c:pt>
                <c:pt idx="9">
                  <c:v>397.44</c:v>
                </c:pt>
                <c:pt idx="10">
                  <c:v>459.72</c:v>
                </c:pt>
                <c:pt idx="11">
                  <c:v>454.32</c:v>
                </c:pt>
                <c:pt idx="12">
                  <c:v>299.16000000000003</c:v>
                </c:pt>
                <c:pt idx="13">
                  <c:v>282.24</c:v>
                </c:pt>
                <c:pt idx="14">
                  <c:v>315.72000000000003</c:v>
                </c:pt>
                <c:pt idx="15">
                  <c:v>496.8</c:v>
                </c:pt>
                <c:pt idx="16">
                  <c:v>381.4128</c:v>
                </c:pt>
                <c:pt idx="17">
                  <c:v>375.05879999999996</c:v>
                </c:pt>
              </c:numCache>
            </c:numRef>
          </c:val>
          <c:smooth val="0"/>
          <c:extLst>
            <c:ext xmlns:c16="http://schemas.microsoft.com/office/drawing/2014/chart" uri="{C3380CC4-5D6E-409C-BE32-E72D297353CC}">
              <c16:uniqueId val="{00000007-2B3A-4C4D-857E-CCB2A4FD534E}"/>
            </c:ext>
          </c:extLst>
        </c:ser>
        <c:ser>
          <c:idx val="4"/>
          <c:order val="4"/>
          <c:tx>
            <c:strRef>
              <c:f>'2C2 Ferroalloys Production'!$B$36</c:f>
              <c:strCache>
                <c:ptCount val="1"/>
                <c:pt idx="0">
                  <c:v>Amount of ferroalloy production - Silicon metal</c:v>
                </c:pt>
              </c:strCache>
            </c:strRef>
          </c:tx>
          <c:spPr>
            <a:ln w="28575" cap="rnd">
              <a:solidFill>
                <a:schemeClr val="accent5"/>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Production'!$E$36:$V$36</c:f>
              <c:numCache>
                <c:formatCode>General</c:formatCode>
                <c:ptCount val="18"/>
                <c:pt idx="0">
                  <c:v>203</c:v>
                </c:pt>
                <c:pt idx="1">
                  <c:v>197</c:v>
                </c:pt>
                <c:pt idx="2">
                  <c:v>212.5</c:v>
                </c:pt>
                <c:pt idx="3">
                  <c:v>242.5</c:v>
                </c:pt>
                <c:pt idx="4">
                  <c:v>252.5</c:v>
                </c:pt>
                <c:pt idx="5">
                  <c:v>267.5</c:v>
                </c:pt>
                <c:pt idx="6">
                  <c:v>266.5</c:v>
                </c:pt>
                <c:pt idx="7">
                  <c:v>251.5</c:v>
                </c:pt>
                <c:pt idx="8">
                  <c:v>259</c:v>
                </c:pt>
                <c:pt idx="9">
                  <c:v>193</c:v>
                </c:pt>
                <c:pt idx="10">
                  <c:v>232</c:v>
                </c:pt>
                <c:pt idx="11">
                  <c:v>294</c:v>
                </c:pt>
                <c:pt idx="12">
                  <c:v>265</c:v>
                </c:pt>
                <c:pt idx="13">
                  <c:v>170</c:v>
                </c:pt>
                <c:pt idx="14">
                  <c:v>236</c:v>
                </c:pt>
                <c:pt idx="15">
                  <c:v>213</c:v>
                </c:pt>
                <c:pt idx="16">
                  <c:v>191.25829999999999</c:v>
                </c:pt>
                <c:pt idx="17">
                  <c:v>175.06880000000001</c:v>
                </c:pt>
              </c:numCache>
            </c:numRef>
          </c:val>
          <c:smooth val="0"/>
          <c:extLst>
            <c:ext xmlns:c16="http://schemas.microsoft.com/office/drawing/2014/chart" uri="{C3380CC4-5D6E-409C-BE32-E72D297353CC}">
              <c16:uniqueId val="{00000008-2B3A-4C4D-857E-CCB2A4FD534E}"/>
            </c:ext>
          </c:extLst>
        </c:ser>
        <c:ser>
          <c:idx val="5"/>
          <c:order val="5"/>
          <c:tx>
            <c:strRef>
              <c:f>'2C2 Ferroalloys Production'!$B$38</c:f>
              <c:strCache>
                <c:ptCount val="1"/>
                <c:pt idx="0">
                  <c:v>Amount of ferroalloy production - Ferrosilicon 65% Si</c:v>
                </c:pt>
              </c:strCache>
            </c:strRef>
          </c:tx>
          <c:spPr>
            <a:ln w="28575" cap="rnd">
              <a:solidFill>
                <a:schemeClr val="accent6"/>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Production'!$E$38:$V$38</c:f>
              <c:numCache>
                <c:formatCode>General</c:formatCode>
                <c:ptCount val="18"/>
                <c:pt idx="0">
                  <c:v>0.1085</c:v>
                </c:pt>
                <c:pt idx="1">
                  <c:v>0.1076</c:v>
                </c:pt>
                <c:pt idx="2">
                  <c:v>0.14169999999999999</c:v>
                </c:pt>
                <c:pt idx="3">
                  <c:v>0.1353</c:v>
                </c:pt>
                <c:pt idx="4">
                  <c:v>0.1406</c:v>
                </c:pt>
                <c:pt idx="5">
                  <c:v>0.127</c:v>
                </c:pt>
                <c:pt idx="6">
                  <c:v>0.1489</c:v>
                </c:pt>
                <c:pt idx="7">
                  <c:v>0.1396</c:v>
                </c:pt>
                <c:pt idx="8">
                  <c:v>0.13450000000000001</c:v>
                </c:pt>
                <c:pt idx="9">
                  <c:v>0.1104</c:v>
                </c:pt>
                <c:pt idx="10">
                  <c:v>0.12770000000000001</c:v>
                </c:pt>
                <c:pt idx="11">
                  <c:v>0.12620000000000001</c:v>
                </c:pt>
                <c:pt idx="12">
                  <c:v>8.3099999999999993E-2</c:v>
                </c:pt>
                <c:pt idx="13">
                  <c:v>7.8399999999999997E-2</c:v>
                </c:pt>
                <c:pt idx="14">
                  <c:v>8.77E-2</c:v>
                </c:pt>
                <c:pt idx="15">
                  <c:v>0.13800000000000001</c:v>
                </c:pt>
                <c:pt idx="16">
                  <c:v>0.105948</c:v>
                </c:pt>
                <c:pt idx="17">
                  <c:v>0.104183</c:v>
                </c:pt>
              </c:numCache>
            </c:numRef>
          </c:val>
          <c:smooth val="0"/>
          <c:extLst>
            <c:ext xmlns:c16="http://schemas.microsoft.com/office/drawing/2014/chart" uri="{C3380CC4-5D6E-409C-BE32-E72D297353CC}">
              <c16:uniqueId val="{00000009-2B3A-4C4D-857E-CCB2A4FD534E}"/>
            </c:ext>
          </c:extLst>
        </c:ser>
        <c:ser>
          <c:idx val="6"/>
          <c:order val="6"/>
          <c:tx>
            <c:strRef>
              <c:f>'2C2 Ferroalloys Production'!$B$39</c:f>
              <c:strCache>
                <c:ptCount val="1"/>
                <c:pt idx="0">
                  <c:v>Amount of ferroalloy production - Silicon metal</c:v>
                </c:pt>
              </c:strCache>
            </c:strRef>
          </c:tx>
          <c:spPr>
            <a:ln w="28575" cap="rnd">
              <a:solidFill>
                <a:schemeClr val="accent1">
                  <a:lumMod val="60000"/>
                </a:schemeClr>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Production'!$E$39:$V$39</c:f>
              <c:numCache>
                <c:formatCode>General</c:formatCode>
                <c:ptCount val="18"/>
                <c:pt idx="0">
                  <c:v>4.8719999999999999E-2</c:v>
                </c:pt>
                <c:pt idx="1">
                  <c:v>4.7280000000000003E-2</c:v>
                </c:pt>
                <c:pt idx="2">
                  <c:v>5.0999999999999997E-2</c:v>
                </c:pt>
                <c:pt idx="3">
                  <c:v>5.8200000000000002E-2</c:v>
                </c:pt>
                <c:pt idx="4">
                  <c:v>6.0600000000000001E-2</c:v>
                </c:pt>
                <c:pt idx="5">
                  <c:v>6.4199999999999993E-2</c:v>
                </c:pt>
                <c:pt idx="6">
                  <c:v>6.3960000000000003E-2</c:v>
                </c:pt>
                <c:pt idx="7">
                  <c:v>6.0359999999999997E-2</c:v>
                </c:pt>
                <c:pt idx="8">
                  <c:v>6.216E-2</c:v>
                </c:pt>
                <c:pt idx="9">
                  <c:v>4.632E-2</c:v>
                </c:pt>
                <c:pt idx="10">
                  <c:v>5.568E-2</c:v>
                </c:pt>
                <c:pt idx="11">
                  <c:v>7.0559999999999998E-2</c:v>
                </c:pt>
                <c:pt idx="12">
                  <c:v>6.3600000000000004E-2</c:v>
                </c:pt>
                <c:pt idx="13">
                  <c:v>4.0800000000000003E-2</c:v>
                </c:pt>
                <c:pt idx="14">
                  <c:v>5.6640000000000003E-2</c:v>
                </c:pt>
                <c:pt idx="15">
                  <c:v>5.1119999999999999E-2</c:v>
                </c:pt>
                <c:pt idx="16">
                  <c:v>4.5901991999999989E-2</c:v>
                </c:pt>
                <c:pt idx="17">
                  <c:v>4.2016512000000006E-2</c:v>
                </c:pt>
              </c:numCache>
            </c:numRef>
          </c:val>
          <c:smooth val="0"/>
          <c:extLst>
            <c:ext xmlns:c16="http://schemas.microsoft.com/office/drawing/2014/chart" uri="{C3380CC4-5D6E-409C-BE32-E72D297353CC}">
              <c16:uniqueId val="{0000000A-2B3A-4C4D-857E-CCB2A4FD534E}"/>
            </c:ext>
          </c:extLst>
        </c:ser>
        <c:dLbls>
          <c:showLegendKey val="0"/>
          <c:showVal val="0"/>
          <c:showCatName val="0"/>
          <c:showSerName val="0"/>
          <c:showPercent val="0"/>
          <c:showBubbleSize val="0"/>
        </c:dLbls>
        <c:smooth val="0"/>
        <c:axId val="-1154732720"/>
        <c:axId val="-1154732176"/>
      </c:lineChart>
      <c:catAx>
        <c:axId val="-115473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2176"/>
        <c:crosses val="autoZero"/>
        <c:auto val="1"/>
        <c:lblAlgn val="ctr"/>
        <c:lblOffset val="100"/>
        <c:noMultiLvlLbl val="0"/>
      </c:catAx>
      <c:valAx>
        <c:axId val="-1154732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2720"/>
        <c:crosses val="autoZero"/>
        <c:crossBetween val="between"/>
      </c:valAx>
      <c:spPr>
        <a:noFill/>
        <a:ln>
          <a:noFill/>
        </a:ln>
        <a:effectLst/>
      </c:spPr>
    </c:plotArea>
    <c:legend>
      <c:legendPos val="r"/>
      <c:layout>
        <c:manualLayout>
          <c:xMode val="edge"/>
          <c:yMode val="edge"/>
          <c:x val="0.73180316346232555"/>
          <c:y val="8.9804652550401931E-2"/>
          <c:w val="0.2681968365376744"/>
          <c:h val="0.90639125862322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1030933682913568"/>
          <c:h val="0.74565664201062321"/>
        </c:manualLayout>
      </c:layout>
      <c:lineChart>
        <c:grouping val="standard"/>
        <c:varyColors val="0"/>
        <c:ser>
          <c:idx val="0"/>
          <c:order val="0"/>
          <c:tx>
            <c:strRef>
              <c:f>'2C3 Aluminium Production'!$B$23</c:f>
              <c:strCache>
                <c:ptCount val="1"/>
                <c:pt idx="0">
                  <c:v>Amount of aluminium production - Prebake</c:v>
                </c:pt>
              </c:strCache>
            </c:strRef>
          </c:tx>
          <c:spPr>
            <a:ln w="28575" cap="rnd">
              <a:solidFill>
                <a:schemeClr val="accent1"/>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Production'!$E$23:$V$23</c:f>
              <c:numCache>
                <c:formatCode>General</c:formatCode>
                <c:ptCount val="18"/>
                <c:pt idx="0">
                  <c:v>1.6</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c:v>
                </c:pt>
                <c:pt idx="15">
                  <c:v>1.6</c:v>
                </c:pt>
                <c:pt idx="16">
                  <c:v>1.6</c:v>
                </c:pt>
                <c:pt idx="17">
                  <c:v>1.6</c:v>
                </c:pt>
              </c:numCache>
            </c:numRef>
          </c:val>
          <c:smooth val="0"/>
          <c:extLst>
            <c:ext xmlns:c16="http://schemas.microsoft.com/office/drawing/2014/chart" uri="{C3380CC4-5D6E-409C-BE32-E72D297353CC}">
              <c16:uniqueId val="{00000000-4985-4F7F-BA54-24782552D111}"/>
            </c:ext>
          </c:extLst>
        </c:ser>
        <c:ser>
          <c:idx val="1"/>
          <c:order val="1"/>
          <c:tx>
            <c:strRef>
              <c:f>'2C3 Aluminium Production'!$B$24</c:f>
              <c:strCache>
                <c:ptCount val="1"/>
                <c:pt idx="0">
                  <c:v>Amount of aluminium production - Soderberg</c:v>
                </c:pt>
              </c:strCache>
            </c:strRef>
          </c:tx>
          <c:spPr>
            <a:ln w="28575" cap="rnd">
              <a:solidFill>
                <a:schemeClr val="accent2"/>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Production'!$E$24:$V$24</c:f>
              <c:numCache>
                <c:formatCode>General</c:formatCode>
                <c:ptCount val="18"/>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numCache>
            </c:numRef>
          </c:val>
          <c:smooth val="0"/>
          <c:extLst>
            <c:ext xmlns:c16="http://schemas.microsoft.com/office/drawing/2014/chart" uri="{C3380CC4-5D6E-409C-BE32-E72D297353CC}">
              <c16:uniqueId val="{00000001-4985-4F7F-BA54-24782552D111}"/>
            </c:ext>
          </c:extLst>
        </c:ser>
        <c:ser>
          <c:idx val="2"/>
          <c:order val="2"/>
          <c:tx>
            <c:strRef>
              <c:f>'2C3 Aluminium Production'!$B$25</c:f>
              <c:strCache>
                <c:ptCount val="1"/>
                <c:pt idx="0">
                  <c:v>Amount of aluminium production - CWPB</c:v>
                </c:pt>
              </c:strCache>
            </c:strRef>
          </c:tx>
          <c:spPr>
            <a:ln w="28575" cap="rnd">
              <a:solidFill>
                <a:schemeClr val="accent3"/>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Production'!$E$25:$V$25</c:f>
              <c:numCache>
                <c:formatCode>General</c:formatCode>
                <c:ptCount val="18"/>
                <c:pt idx="12">
                  <c:v>3.999760044391787E-4</c:v>
                </c:pt>
                <c:pt idx="13">
                  <c:v>3.999760044391787E-4</c:v>
                </c:pt>
                <c:pt idx="14">
                  <c:v>3.999760044391787E-4</c:v>
                </c:pt>
                <c:pt idx="15">
                  <c:v>3.999760044391787E-4</c:v>
                </c:pt>
                <c:pt idx="16">
                  <c:v>3.9997600443917903E-4</c:v>
                </c:pt>
                <c:pt idx="17">
                  <c:v>3.9997600443917903E-4</c:v>
                </c:pt>
              </c:numCache>
            </c:numRef>
          </c:val>
          <c:smooth val="0"/>
          <c:extLst>
            <c:ext xmlns:c16="http://schemas.microsoft.com/office/drawing/2014/chart" uri="{C3380CC4-5D6E-409C-BE32-E72D297353CC}">
              <c16:uniqueId val="{00000002-4985-4F7F-BA54-24782552D111}"/>
            </c:ext>
          </c:extLst>
        </c:ser>
        <c:ser>
          <c:idx val="3"/>
          <c:order val="3"/>
          <c:tx>
            <c:strRef>
              <c:f>'2C3 Aluminium Production'!$B$26</c:f>
              <c:strCache>
                <c:ptCount val="1"/>
                <c:pt idx="0">
                  <c:v>Amount of aluminium production - SWPB</c:v>
                </c:pt>
              </c:strCache>
            </c:strRef>
          </c:tx>
          <c:spPr>
            <a:ln w="28575" cap="rnd">
              <a:solidFill>
                <a:schemeClr val="accent4"/>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Production'!$E$26:$V$26</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3-4985-4F7F-BA54-24782552D111}"/>
            </c:ext>
          </c:extLst>
        </c:ser>
        <c:ser>
          <c:idx val="4"/>
          <c:order val="4"/>
          <c:tx>
            <c:strRef>
              <c:f>'2C3 Aluminium Production'!$B$27</c:f>
              <c:strCache>
                <c:ptCount val="1"/>
                <c:pt idx="0">
                  <c:v>Amount of aluminium production - VSS</c:v>
                </c:pt>
              </c:strCache>
            </c:strRef>
          </c:tx>
          <c:spPr>
            <a:ln w="28575" cap="rnd">
              <a:solidFill>
                <a:schemeClr val="accent5"/>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Production'!$E$27:$V$27</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4-4985-4F7F-BA54-24782552D111}"/>
            </c:ext>
          </c:extLst>
        </c:ser>
        <c:ser>
          <c:idx val="5"/>
          <c:order val="5"/>
          <c:tx>
            <c:strRef>
              <c:f>'2C3 Aluminium Production'!$B$28</c:f>
              <c:strCache>
                <c:ptCount val="1"/>
                <c:pt idx="0">
                  <c:v>Amount of aluminium production - HSS</c:v>
                </c:pt>
              </c:strCache>
            </c:strRef>
          </c:tx>
          <c:spPr>
            <a:ln w="28575" cap="rnd">
              <a:solidFill>
                <a:schemeClr val="accent6"/>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Production'!$E$28:$V$28</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5-4985-4F7F-BA54-24782552D111}"/>
            </c:ext>
          </c:extLst>
        </c:ser>
        <c:ser>
          <c:idx val="6"/>
          <c:order val="6"/>
          <c:tx>
            <c:strRef>
              <c:f>'2C3 Aluminium Production'!$B$31</c:f>
              <c:strCache>
                <c:ptCount val="1"/>
                <c:pt idx="0">
                  <c:v>Amount of aluminium production - VSS</c:v>
                </c:pt>
              </c:strCache>
            </c:strRef>
          </c:tx>
          <c:spPr>
            <a:ln w="28575" cap="rnd">
              <a:solidFill>
                <a:schemeClr val="accent1">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Production'!$E$31:$V$31</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6-4985-4F7F-BA54-24782552D111}"/>
            </c:ext>
          </c:extLst>
        </c:ser>
        <c:ser>
          <c:idx val="7"/>
          <c:order val="7"/>
          <c:tx>
            <c:strRef>
              <c:f>'2C3 Aluminium Production'!$B$29</c:f>
              <c:strCache>
                <c:ptCount val="1"/>
                <c:pt idx="0">
                  <c:v>Amount of aluminium production - CWPB</c:v>
                </c:pt>
              </c:strCache>
            </c:strRef>
          </c:tx>
          <c:spPr>
            <a:ln w="28575" cap="rnd">
              <a:solidFill>
                <a:schemeClr val="accent2">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Production'!$E$29:$V$29</c:f>
              <c:numCache>
                <c:formatCode>General</c:formatCode>
                <c:ptCount val="18"/>
                <c:pt idx="12">
                  <c:v>4.0042592120457721E-5</c:v>
                </c:pt>
                <c:pt idx="13">
                  <c:v>4.0042592120457721E-5</c:v>
                </c:pt>
                <c:pt idx="14">
                  <c:v>4.0042592120457721E-5</c:v>
                </c:pt>
                <c:pt idx="15">
                  <c:v>4.0042592120457721E-5</c:v>
                </c:pt>
                <c:pt idx="16">
                  <c:v>4.0042592120457701E-5</c:v>
                </c:pt>
                <c:pt idx="17">
                  <c:v>4.0042592120457701E-5</c:v>
                </c:pt>
              </c:numCache>
            </c:numRef>
          </c:val>
          <c:smooth val="0"/>
          <c:extLst>
            <c:ext xmlns:c16="http://schemas.microsoft.com/office/drawing/2014/chart" uri="{C3380CC4-5D6E-409C-BE32-E72D297353CC}">
              <c16:uniqueId val="{00000007-4985-4F7F-BA54-24782552D111}"/>
            </c:ext>
          </c:extLst>
        </c:ser>
        <c:ser>
          <c:idx val="8"/>
          <c:order val="8"/>
          <c:tx>
            <c:strRef>
              <c:f>'2C3 Aluminium Production'!$B$30</c:f>
              <c:strCache>
                <c:ptCount val="1"/>
                <c:pt idx="0">
                  <c:v>Amount of aluminium production - SWPB</c:v>
                </c:pt>
              </c:strCache>
            </c:strRef>
          </c:tx>
          <c:spPr>
            <a:ln w="28575" cap="rnd">
              <a:solidFill>
                <a:schemeClr val="accent3">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Production'!$E$30:$V$30</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8-4985-4F7F-BA54-24782552D111}"/>
            </c:ext>
          </c:extLst>
        </c:ser>
        <c:ser>
          <c:idx val="9"/>
          <c:order val="9"/>
          <c:tx>
            <c:strRef>
              <c:f>'2C3 Aluminium Production'!$B$32</c:f>
              <c:strCache>
                <c:ptCount val="1"/>
                <c:pt idx="0">
                  <c:v>Amount of aluminium production - HSS</c:v>
                </c:pt>
              </c:strCache>
            </c:strRef>
          </c:tx>
          <c:spPr>
            <a:ln w="28575" cap="rnd">
              <a:solidFill>
                <a:schemeClr val="accent4">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Production'!$E$32:$V$32</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9-4985-4F7F-BA54-24782552D111}"/>
            </c:ext>
          </c:extLst>
        </c:ser>
        <c:dLbls>
          <c:showLegendKey val="0"/>
          <c:showVal val="0"/>
          <c:showCatName val="0"/>
          <c:showSerName val="0"/>
          <c:showPercent val="0"/>
          <c:showBubbleSize val="0"/>
        </c:dLbls>
        <c:smooth val="0"/>
        <c:axId val="-922804352"/>
        <c:axId val="-922804896"/>
      </c:lineChart>
      <c:catAx>
        <c:axId val="-92280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4896"/>
        <c:crosses val="autoZero"/>
        <c:auto val="1"/>
        <c:lblAlgn val="ctr"/>
        <c:lblOffset val="100"/>
        <c:noMultiLvlLbl val="0"/>
      </c:catAx>
      <c:valAx>
        <c:axId val="-922804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4352"/>
        <c:crosses val="autoZero"/>
        <c:crossBetween val="between"/>
      </c:valAx>
      <c:spPr>
        <a:noFill/>
        <a:ln>
          <a:noFill/>
        </a:ln>
        <a:effectLst/>
      </c:spPr>
    </c:plotArea>
    <c:legend>
      <c:legendPos val="r"/>
      <c:layout>
        <c:manualLayout>
          <c:xMode val="edge"/>
          <c:yMode val="edge"/>
          <c:x val="0.76306876898347054"/>
          <c:y val="6.7078879701408384E-2"/>
          <c:w val="0.23693123101652941"/>
          <c:h val="0.917991540025359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'2C3 Aluminium Production'!$B$38</c:f>
              <c:strCache>
                <c:ptCount val="1"/>
                <c:pt idx="0">
                  <c:v>Total CO2 emissions</c:v>
                </c:pt>
              </c:strCache>
            </c:strRef>
          </c:tx>
          <c:spPr>
            <a:ln w="28575" cap="rnd">
              <a:solidFill>
                <a:schemeClr val="accent1"/>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Production'!$E$38:$V$38</c:f>
              <c:numCache>
                <c:formatCode>General</c:formatCode>
                <c:ptCount val="18"/>
                <c:pt idx="0">
                  <c:v>1091.2612000000001</c:v>
                </c:pt>
                <c:pt idx="1">
                  <c:v>1063.4101000000001</c:v>
                </c:pt>
                <c:pt idx="2">
                  <c:v>1138.7181</c:v>
                </c:pt>
                <c:pt idx="3">
                  <c:v>1158.8317000000002</c:v>
                </c:pt>
                <c:pt idx="4">
                  <c:v>1395.6019999999999</c:v>
                </c:pt>
                <c:pt idx="5">
                  <c:v>1402.5201000000002</c:v>
                </c:pt>
                <c:pt idx="6">
                  <c:v>1434.2082</c:v>
                </c:pt>
                <c:pt idx="7">
                  <c:v>1449.0758000000001</c:v>
                </c:pt>
                <c:pt idx="8">
                  <c:v>1300.8018000000002</c:v>
                </c:pt>
                <c:pt idx="9">
                  <c:v>1298.1184000000001</c:v>
                </c:pt>
                <c:pt idx="10">
                  <c:v>1294.0719999999999</c:v>
                </c:pt>
                <c:pt idx="11">
                  <c:v>1299.5344000000002</c:v>
                </c:pt>
                <c:pt idx="12">
                  <c:v>1066.864</c:v>
                </c:pt>
                <c:pt idx="13">
                  <c:v>1318.4</c:v>
                </c:pt>
                <c:pt idx="14">
                  <c:v>1230.8800000000001</c:v>
                </c:pt>
                <c:pt idx="15">
                  <c:v>1178.4000000000001</c:v>
                </c:pt>
                <c:pt idx="16">
                  <c:v>1313.0896853372371</c:v>
                </c:pt>
                <c:pt idx="17">
                  <c:v>1322.4596915861214</c:v>
                </c:pt>
              </c:numCache>
            </c:numRef>
          </c:val>
          <c:smooth val="0"/>
          <c:extLst>
            <c:ext xmlns:c16="http://schemas.microsoft.com/office/drawing/2014/chart" uri="{C3380CC4-5D6E-409C-BE32-E72D297353CC}">
              <c16:uniqueId val="{00000007-47EB-4263-A26B-580A5F67E15D}"/>
            </c:ext>
          </c:extLst>
        </c:ser>
        <c:ser>
          <c:idx val="1"/>
          <c:order val="1"/>
          <c:tx>
            <c:strRef>
              <c:f>'2C3 Aluminium Production'!$B$43</c:f>
              <c:strCache>
                <c:ptCount val="1"/>
                <c:pt idx="0">
                  <c:v>Total CF4 emissions</c:v>
                </c:pt>
              </c:strCache>
            </c:strRef>
          </c:tx>
          <c:spPr>
            <a:ln w="28575" cap="rnd">
              <a:solidFill>
                <a:schemeClr val="accent2"/>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Production'!$E$43:$V$43</c:f>
              <c:numCache>
                <c:formatCode>General</c:formatCode>
                <c:ptCount val="18"/>
                <c:pt idx="0">
                  <c:v>0.13300000000000001</c:v>
                </c:pt>
                <c:pt idx="1">
                  <c:v>0.13619999999999999</c:v>
                </c:pt>
                <c:pt idx="2">
                  <c:v>0.12159999999999999</c:v>
                </c:pt>
                <c:pt idx="3">
                  <c:v>0.1216</c:v>
                </c:pt>
                <c:pt idx="4">
                  <c:v>0.1207</c:v>
                </c:pt>
                <c:pt idx="5">
                  <c:v>0.1181</c:v>
                </c:pt>
                <c:pt idx="6">
                  <c:v>0.12680000000000002</c:v>
                </c:pt>
                <c:pt idx="7">
                  <c:v>0.13150000000000001</c:v>
                </c:pt>
                <c:pt idx="8">
                  <c:v>7.4200000000000002E-2</c:v>
                </c:pt>
                <c:pt idx="9">
                  <c:v>1.41E-2</c:v>
                </c:pt>
                <c:pt idx="10">
                  <c:v>1.8100000000000002E-2</c:v>
                </c:pt>
                <c:pt idx="11">
                  <c:v>0.32490000000000002</c:v>
                </c:pt>
                <c:pt idx="12">
                  <c:v>0.26669999999999999</c:v>
                </c:pt>
                <c:pt idx="13">
                  <c:v>0.32958022765788325</c:v>
                </c:pt>
                <c:pt idx="14">
                  <c:v>0.30770154021506019</c:v>
                </c:pt>
                <c:pt idx="15">
                  <c:v>0.2945823272694551</c:v>
                </c:pt>
                <c:pt idx="16">
                  <c:v>0.32825272863217936</c:v>
                </c:pt>
                <c:pt idx="17">
                  <c:v>0.33059508967030365</c:v>
                </c:pt>
              </c:numCache>
            </c:numRef>
          </c:val>
          <c:smooth val="0"/>
          <c:extLst>
            <c:ext xmlns:c16="http://schemas.microsoft.com/office/drawing/2014/chart" uri="{C3380CC4-5D6E-409C-BE32-E72D297353CC}">
              <c16:uniqueId val="{00000008-47EB-4263-A26B-580A5F67E15D}"/>
            </c:ext>
          </c:extLst>
        </c:ser>
        <c:ser>
          <c:idx val="2"/>
          <c:order val="2"/>
          <c:tx>
            <c:strRef>
              <c:f>'2C3 Aluminium Production'!$B$48</c:f>
              <c:strCache>
                <c:ptCount val="1"/>
                <c:pt idx="0">
                  <c:v>Total C2F6 emissions</c:v>
                </c:pt>
              </c:strCache>
            </c:strRef>
          </c:tx>
          <c:spPr>
            <a:ln w="28575" cap="rnd">
              <a:solidFill>
                <a:schemeClr val="accent3"/>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Production'!$E$48:$V$48</c:f>
              <c:numCache>
                <c:formatCode>General</c:formatCode>
                <c:ptCount val="18"/>
                <c:pt idx="0">
                  <c:v>1.29E-2</c:v>
                </c:pt>
                <c:pt idx="1">
                  <c:v>1.3299999999999999E-2</c:v>
                </c:pt>
                <c:pt idx="2">
                  <c:v>1.1599999999999999E-2</c:v>
                </c:pt>
                <c:pt idx="3">
                  <c:v>1.15E-2</c:v>
                </c:pt>
                <c:pt idx="4">
                  <c:v>1.1399999999999999E-2</c:v>
                </c:pt>
                <c:pt idx="5">
                  <c:v>1.1299999999999999E-2</c:v>
                </c:pt>
                <c:pt idx="6">
                  <c:v>1.21E-2</c:v>
                </c:pt>
                <c:pt idx="7">
                  <c:v>1.26E-2</c:v>
                </c:pt>
                <c:pt idx="8">
                  <c:v>7.0999999999999995E-3</c:v>
                </c:pt>
                <c:pt idx="9">
                  <c:v>1.8E-3</c:v>
                </c:pt>
                <c:pt idx="10">
                  <c:v>2.2000000000000001E-3</c:v>
                </c:pt>
                <c:pt idx="11">
                  <c:v>3.2500000000000001E-2</c:v>
                </c:pt>
                <c:pt idx="12">
                  <c:v>2.6700000000000002E-2</c:v>
                </c:pt>
                <c:pt idx="13">
                  <c:v>3.299509590725716E-2</c:v>
                </c:pt>
                <c:pt idx="14">
                  <c:v>3.0804766118268122E-2</c:v>
                </c:pt>
                <c:pt idx="15">
                  <c:v>2.949136909671711E-2</c:v>
                </c:pt>
                <c:pt idx="16">
                  <c:v>3.2862196679711957E-2</c:v>
                </c:pt>
                <c:pt idx="17">
                  <c:v>3.3096696266205837E-2</c:v>
                </c:pt>
              </c:numCache>
            </c:numRef>
          </c:val>
          <c:smooth val="0"/>
          <c:extLst>
            <c:ext xmlns:c16="http://schemas.microsoft.com/office/drawing/2014/chart" uri="{C3380CC4-5D6E-409C-BE32-E72D297353CC}">
              <c16:uniqueId val="{00000009-47EB-4263-A26B-580A5F67E15D}"/>
            </c:ext>
          </c:extLst>
        </c:ser>
        <c:dLbls>
          <c:showLegendKey val="0"/>
          <c:showVal val="0"/>
          <c:showCatName val="0"/>
          <c:showSerName val="0"/>
          <c:showPercent val="0"/>
          <c:showBubbleSize val="0"/>
        </c:dLbls>
        <c:smooth val="0"/>
        <c:axId val="-922800544"/>
        <c:axId val="-922803808"/>
      </c:lineChart>
      <c:catAx>
        <c:axId val="-92280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3808"/>
        <c:crosses val="autoZero"/>
        <c:auto val="1"/>
        <c:lblAlgn val="ctr"/>
        <c:lblOffset val="100"/>
        <c:noMultiLvlLbl val="0"/>
      </c:catAx>
      <c:valAx>
        <c:axId val="-92280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0544"/>
        <c:crosses val="autoZero"/>
        <c:crossBetween val="between"/>
      </c:valAx>
      <c:spPr>
        <a:noFill/>
        <a:ln>
          <a:noFill/>
        </a:ln>
        <a:effectLst/>
      </c:spPr>
    </c:plotArea>
    <c:legend>
      <c:legendPos val="r"/>
      <c:layout>
        <c:manualLayout>
          <c:xMode val="edge"/>
          <c:yMode val="edge"/>
          <c:x val="0.75126265162800598"/>
          <c:y val="0.39793584748659061"/>
          <c:w val="0.23022787827197275"/>
          <c:h val="0.192583344740607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'2C5 Lead Production'!$B$18</c:f>
              <c:strCache>
                <c:ptCount val="1"/>
                <c:pt idx="0">
                  <c:v>Mass of CO2 per tonne production</c:v>
                </c:pt>
              </c:strCache>
            </c:strRef>
          </c:tx>
          <c:spPr>
            <a:ln w="28575" cap="rnd">
              <a:solidFill>
                <a:schemeClr val="accent1"/>
              </a:solidFill>
              <a:round/>
            </a:ln>
            <a:effectLst/>
          </c:spPr>
          <c:marker>
            <c:symbol val="none"/>
          </c:marker>
          <c:cat>
            <c:numRef>
              <c:f>'2C5 Lead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'2C5 Lead Production'!$E$18:$V$18</c:f>
              <c:numCache>
                <c:formatCode>General</c:formatCode>
                <c:ptCount val="18"/>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numCache>
            </c:numRef>
          </c:val>
          <c:smooth val="0"/>
          <c:extLst>
            <c:ext xmlns:c16="http://schemas.microsoft.com/office/drawing/2014/chart" uri="{C3380CC4-5D6E-409C-BE32-E72D297353CC}">
              <c16:uniqueId val="{00000002-DD9C-42D4-AFA8-661F4EBF7294}"/>
            </c:ext>
          </c:extLst>
        </c:ser>
        <c:dLbls>
          <c:showLegendKey val="0"/>
          <c:showVal val="0"/>
          <c:showCatName val="0"/>
          <c:showSerName val="0"/>
          <c:showPercent val="0"/>
          <c:showBubbleSize val="0"/>
        </c:dLbls>
        <c:smooth val="0"/>
        <c:axId val="-922792384"/>
        <c:axId val="-922803264"/>
      </c:lineChart>
      <c:catAx>
        <c:axId val="-92279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3264"/>
        <c:crosses val="autoZero"/>
        <c:auto val="1"/>
        <c:lblAlgn val="ctr"/>
        <c:lblOffset val="100"/>
        <c:noMultiLvlLbl val="0"/>
      </c:catAx>
      <c:valAx>
        <c:axId val="-92280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2384"/>
        <c:crosses val="autoZero"/>
        <c:crossBetween val="between"/>
      </c:valAx>
      <c:spPr>
        <a:noFill/>
        <a:ln>
          <a:noFill/>
        </a:ln>
        <a:effectLst/>
      </c:spPr>
    </c:plotArea>
    <c:legend>
      <c:legendPos val="r"/>
      <c:layout>
        <c:manualLayout>
          <c:xMode val="edge"/>
          <c:yMode val="edge"/>
          <c:x val="0.76306870672798566"/>
          <c:y val="0.31647924629426705"/>
          <c:w val="0.23693125113015542"/>
          <c:h val="6.474862527678003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'2C5 Lead Production'!$B$23</c:f>
              <c:strCache>
                <c:ptCount val="1"/>
                <c:pt idx="0">
                  <c:v>Total emissions </c:v>
                </c:pt>
              </c:strCache>
            </c:strRef>
          </c:tx>
          <c:spPr>
            <a:ln w="28575" cap="rnd">
              <a:solidFill>
                <a:schemeClr val="accent1"/>
              </a:solidFill>
              <a:round/>
            </a:ln>
            <a:effectLst/>
          </c:spPr>
          <c:marker>
            <c:symbol val="none"/>
          </c:marker>
          <c:cat>
            <c:numRef>
              <c:f>'2C5 Lead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'2C5 Lead Production'!$E$23:$V$23</c:f>
              <c:numCache>
                <c:formatCode>General</c:formatCode>
                <c:ptCount val="18"/>
                <c:pt idx="0">
                  <c:v>39.155999999999999</c:v>
                </c:pt>
                <c:pt idx="1">
                  <c:v>26.936</c:v>
                </c:pt>
                <c:pt idx="2">
                  <c:v>25.687999999999999</c:v>
                </c:pt>
                <c:pt idx="3">
                  <c:v>20.748000000000001</c:v>
                </c:pt>
                <c:pt idx="4">
                  <c:v>19.5</c:v>
                </c:pt>
                <c:pt idx="5">
                  <c:v>21.943999999999999</c:v>
                </c:pt>
                <c:pt idx="6">
                  <c:v>25.116</c:v>
                </c:pt>
                <c:pt idx="7">
                  <c:v>21.788</c:v>
                </c:pt>
                <c:pt idx="8">
                  <c:v>24.128</c:v>
                </c:pt>
                <c:pt idx="9">
                  <c:v>25.532</c:v>
                </c:pt>
                <c:pt idx="10">
                  <c:v>26.312000000000001</c:v>
                </c:pt>
                <c:pt idx="11">
                  <c:v>28.319200000000002</c:v>
                </c:pt>
                <c:pt idx="12">
                  <c:v>27.294280000000004</c:v>
                </c:pt>
                <c:pt idx="13">
                  <c:v>21.84</c:v>
                </c:pt>
                <c:pt idx="14">
                  <c:v>22.07208198804468</c:v>
                </c:pt>
                <c:pt idx="15">
                  <c:v>18.2</c:v>
                </c:pt>
                <c:pt idx="16">
                  <c:v>21.901802271619349</c:v>
                </c:pt>
                <c:pt idx="17">
                  <c:v>21.743045827186773</c:v>
                </c:pt>
              </c:numCache>
            </c:numRef>
          </c:val>
          <c:smooth val="0"/>
          <c:extLst>
            <c:ext xmlns:c16="http://schemas.microsoft.com/office/drawing/2014/chart" uri="{C3380CC4-5D6E-409C-BE32-E72D297353CC}">
              <c16:uniqueId val="{00000002-93A2-4EC8-8C9C-26D05EE30F90}"/>
            </c:ext>
          </c:extLst>
        </c:ser>
        <c:dLbls>
          <c:showLegendKey val="0"/>
          <c:showVal val="0"/>
          <c:showCatName val="0"/>
          <c:showSerName val="0"/>
          <c:showPercent val="0"/>
          <c:showBubbleSize val="0"/>
        </c:dLbls>
        <c:smooth val="0"/>
        <c:axId val="-922801632"/>
        <c:axId val="-922796736"/>
      </c:lineChart>
      <c:catAx>
        <c:axId val="-92280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6736"/>
        <c:crosses val="autoZero"/>
        <c:auto val="1"/>
        <c:lblAlgn val="ctr"/>
        <c:lblOffset val="100"/>
        <c:noMultiLvlLbl val="0"/>
      </c:catAx>
      <c:valAx>
        <c:axId val="-92279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1632"/>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'2C6 Zinc Production'!$B$18</c:f>
              <c:strCache>
                <c:ptCount val="1"/>
                <c:pt idx="0">
                  <c:v>Mass of CO2 per tonne production</c:v>
                </c:pt>
              </c:strCache>
            </c:strRef>
          </c:tx>
          <c:spPr>
            <a:ln w="28575" cap="rnd">
              <a:solidFill>
                <a:schemeClr val="accent1"/>
              </a:solidFill>
              <a:round/>
            </a:ln>
            <a:effectLst/>
          </c:spPr>
          <c:marker>
            <c:symbol val="none"/>
          </c:marker>
          <c:cat>
            <c:numRef>
              <c:f>'2C6 Zinc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'2C6 Zinc Production'!$E$18:$V$18</c:f>
              <c:numCache>
                <c:formatCode>General</c:formatCode>
                <c:ptCount val="18"/>
                <c:pt idx="0">
                  <c:v>1.72</c:v>
                </c:pt>
                <c:pt idx="1">
                  <c:v>1.72</c:v>
                </c:pt>
                <c:pt idx="2">
                  <c:v>1.72</c:v>
                </c:pt>
                <c:pt idx="3">
                  <c:v>1.72</c:v>
                </c:pt>
                <c:pt idx="4">
                  <c:v>1.72</c:v>
                </c:pt>
                <c:pt idx="5">
                  <c:v>1.72</c:v>
                </c:pt>
                <c:pt idx="6">
                  <c:v>1.72</c:v>
                </c:pt>
                <c:pt idx="7">
                  <c:v>1.72</c:v>
                </c:pt>
                <c:pt idx="8">
                  <c:v>1.72</c:v>
                </c:pt>
                <c:pt idx="9">
                  <c:v>1.72</c:v>
                </c:pt>
                <c:pt idx="10">
                  <c:v>1.72</c:v>
                </c:pt>
                <c:pt idx="11">
                  <c:v>1.72</c:v>
                </c:pt>
                <c:pt idx="12">
                  <c:v>1.72</c:v>
                </c:pt>
                <c:pt idx="13">
                  <c:v>1.72</c:v>
                </c:pt>
                <c:pt idx="14">
                  <c:v>1.72</c:v>
                </c:pt>
                <c:pt idx="15">
                  <c:v>1.72</c:v>
                </c:pt>
                <c:pt idx="16">
                  <c:v>1.72</c:v>
                </c:pt>
                <c:pt idx="17">
                  <c:v>1.72</c:v>
                </c:pt>
              </c:numCache>
            </c:numRef>
          </c:val>
          <c:smooth val="0"/>
          <c:extLst>
            <c:ext xmlns:c16="http://schemas.microsoft.com/office/drawing/2014/chart" uri="{C3380CC4-5D6E-409C-BE32-E72D297353CC}">
              <c16:uniqueId val="{00000000-3763-462A-9D24-9463D0F29EFA}"/>
            </c:ext>
          </c:extLst>
        </c:ser>
        <c:dLbls>
          <c:showLegendKey val="0"/>
          <c:showVal val="0"/>
          <c:showCatName val="0"/>
          <c:showSerName val="0"/>
          <c:showPercent val="0"/>
          <c:showBubbleSize val="0"/>
        </c:dLbls>
        <c:smooth val="0"/>
        <c:axId val="-922801088"/>
        <c:axId val="-922793472"/>
      </c:lineChart>
      <c:catAx>
        <c:axId val="-92280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3472"/>
        <c:crosses val="autoZero"/>
        <c:auto val="1"/>
        <c:lblAlgn val="ctr"/>
        <c:lblOffset val="100"/>
        <c:noMultiLvlLbl val="0"/>
      </c:catAx>
      <c:valAx>
        <c:axId val="-92279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1088"/>
        <c:crosses val="autoZero"/>
        <c:crossBetween val="between"/>
      </c:valAx>
      <c:spPr>
        <a:noFill/>
        <a:ln>
          <a:noFill/>
        </a:ln>
        <a:effectLst/>
      </c:spPr>
    </c:plotArea>
    <c:legend>
      <c:legendPos val="r"/>
      <c:layout>
        <c:manualLayout>
          <c:xMode val="edge"/>
          <c:yMode val="edge"/>
          <c:x val="0.76306870672798566"/>
          <c:y val="0.31647924629426705"/>
          <c:w val="0.23693125113015542"/>
          <c:h val="0.183693415497989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'2C6 Zinc Production'!$B$23</c:f>
              <c:strCache>
                <c:ptCount val="1"/>
                <c:pt idx="0">
                  <c:v>Total emissions </c:v>
                </c:pt>
              </c:strCache>
            </c:strRef>
          </c:tx>
          <c:spPr>
            <a:ln w="28575" cap="rnd">
              <a:solidFill>
                <a:schemeClr val="accent1"/>
              </a:solidFill>
              <a:round/>
            </a:ln>
            <a:effectLst/>
          </c:spPr>
          <c:marker>
            <c:symbol val="none"/>
          </c:marker>
          <c:cat>
            <c:numRef>
              <c:f>'2C6 Zinc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'2C6 Zinc Production'!$E$23:$V$23</c:f>
              <c:numCache>
                <c:formatCode>General</c:formatCode>
                <c:ptCount val="18"/>
                <c:pt idx="0">
                  <c:v>108.36</c:v>
                </c:pt>
                <c:pt idx="1">
                  <c:v>104.92</c:v>
                </c:pt>
                <c:pt idx="2">
                  <c:v>110.08</c:v>
                </c:pt>
                <c:pt idx="3">
                  <c:v>70.52</c:v>
                </c:pt>
                <c:pt idx="4">
                  <c:v>55.04</c:v>
                </c:pt>
                <c:pt idx="5">
                  <c:v>55.04</c:v>
                </c:pt>
                <c:pt idx="6">
                  <c:v>58.48</c:v>
                </c:pt>
                <c:pt idx="7">
                  <c:v>53.32</c:v>
                </c:pt>
                <c:pt idx="8">
                  <c:v>49.88</c:v>
                </c:pt>
                <c:pt idx="9">
                  <c:v>48.16</c:v>
                </c:pt>
                <c:pt idx="10">
                  <c:v>61.92</c:v>
                </c:pt>
                <c:pt idx="11">
                  <c:v>63.64</c:v>
                </c:pt>
                <c:pt idx="12">
                  <c:v>63.64</c:v>
                </c:pt>
                <c:pt idx="13">
                  <c:v>51.6</c:v>
                </c:pt>
                <c:pt idx="14">
                  <c:v>44.962519999999998</c:v>
                </c:pt>
                <c:pt idx="15">
                  <c:v>49.88</c:v>
                </c:pt>
                <c:pt idx="16">
                  <c:v>47.152020906125856</c:v>
                </c:pt>
                <c:pt idx="17">
                  <c:v>46.315944980820788</c:v>
                </c:pt>
              </c:numCache>
            </c:numRef>
          </c:val>
          <c:smooth val="0"/>
          <c:extLst>
            <c:ext xmlns:c16="http://schemas.microsoft.com/office/drawing/2014/chart" uri="{C3380CC4-5D6E-409C-BE32-E72D297353CC}">
              <c16:uniqueId val="{00000000-4640-45F6-BEF2-4F9A091A7CC4}"/>
            </c:ext>
          </c:extLst>
        </c:ser>
        <c:dLbls>
          <c:showLegendKey val="0"/>
          <c:showVal val="0"/>
          <c:showCatName val="0"/>
          <c:showSerName val="0"/>
          <c:showPercent val="0"/>
          <c:showBubbleSize val="0"/>
        </c:dLbls>
        <c:smooth val="0"/>
        <c:axId val="-922795104"/>
        <c:axId val="-922798912"/>
      </c:lineChart>
      <c:catAx>
        <c:axId val="-92279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8912"/>
        <c:crosses val="autoZero"/>
        <c:auto val="1"/>
        <c:lblAlgn val="ctr"/>
        <c:lblOffset val="100"/>
        <c:noMultiLvlLbl val="0"/>
      </c:catAx>
      <c:valAx>
        <c:axId val="-92279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510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087454068241469"/>
          <c:y val="0.19486124234470695"/>
          <c:w val="0.86486351706036746"/>
          <c:h val="0.7208876494604841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1.2304680664916886E-2"/>
                  <c:y val="-0.543152887139107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'2C6 Zinc Production'!$E$14:$V$14</c:f>
              <c:numCache>
                <c:formatCode>General</c:formatCode>
                <c:ptCount val="18"/>
                <c:pt idx="0">
                  <c:v>63000</c:v>
                </c:pt>
                <c:pt idx="1">
                  <c:v>61000</c:v>
                </c:pt>
                <c:pt idx="2">
                  <c:v>64000</c:v>
                </c:pt>
                <c:pt idx="3">
                  <c:v>41000</c:v>
                </c:pt>
                <c:pt idx="4">
                  <c:v>32000</c:v>
                </c:pt>
                <c:pt idx="5">
                  <c:v>32000</c:v>
                </c:pt>
                <c:pt idx="6">
                  <c:v>34000</c:v>
                </c:pt>
                <c:pt idx="7">
                  <c:v>31000</c:v>
                </c:pt>
                <c:pt idx="8">
                  <c:v>29000</c:v>
                </c:pt>
                <c:pt idx="9">
                  <c:v>28000</c:v>
                </c:pt>
                <c:pt idx="10">
                  <c:v>36000</c:v>
                </c:pt>
                <c:pt idx="11">
                  <c:v>37000</c:v>
                </c:pt>
                <c:pt idx="12">
                  <c:v>37000</c:v>
                </c:pt>
                <c:pt idx="13">
                  <c:v>30000</c:v>
                </c:pt>
                <c:pt idx="14">
                  <c:v>26141</c:v>
                </c:pt>
                <c:pt idx="15">
                  <c:v>29000</c:v>
                </c:pt>
                <c:pt idx="16" formatCode="0">
                  <c:v>27413.965643096428</c:v>
                </c:pt>
                <c:pt idx="17" formatCode="0">
                  <c:v>26927.874988849297</c:v>
                </c:pt>
              </c:numCache>
            </c:numRef>
          </c:val>
          <c:smooth val="0"/>
          <c:extLst>
            <c:ext xmlns:c16="http://schemas.microsoft.com/office/drawing/2014/chart" uri="{C3380CC4-5D6E-409C-BE32-E72D297353CC}">
              <c16:uniqueId val="{00000000-7276-449D-A553-B9256A830171}"/>
            </c:ext>
          </c:extLst>
        </c:ser>
        <c:dLbls>
          <c:showLegendKey val="0"/>
          <c:showVal val="0"/>
          <c:showCatName val="0"/>
          <c:showSerName val="0"/>
          <c:showPercent val="0"/>
          <c:showBubbleSize val="0"/>
        </c:dLbls>
        <c:marker val="1"/>
        <c:smooth val="0"/>
        <c:axId val="-922797280"/>
        <c:axId val="-922797824"/>
      </c:lineChart>
      <c:catAx>
        <c:axId val="-9227972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7824"/>
        <c:crosses val="autoZero"/>
        <c:auto val="1"/>
        <c:lblAlgn val="ctr"/>
        <c:lblOffset val="100"/>
        <c:noMultiLvlLbl val="0"/>
      </c:catAx>
      <c:valAx>
        <c:axId val="-9227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7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'2D Summary'!$C$5</c:f>
              <c:strCache>
                <c:ptCount val="1"/>
                <c:pt idx="0">
                  <c:v>Lubricant Use</c:v>
                </c:pt>
              </c:strCache>
            </c:strRef>
          </c:tx>
          <c:spPr>
            <a:solidFill>
              <a:srgbClr val="7EC234"/>
            </a:solidFill>
            <a:ln>
              <a:solidFill>
                <a:srgbClr val="7EC234"/>
              </a:solidFill>
            </a:ln>
            <a:effectLst/>
          </c:spPr>
          <c:cat>
            <c:numRef>
              <c:f>'2D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 Summary'!$F$5:$W$5</c:f>
              <c:numCache>
                <c:formatCode>General</c:formatCode>
                <c:ptCount val="18"/>
                <c:pt idx="0">
                  <c:v>188.48133333333331</c:v>
                </c:pt>
                <c:pt idx="1">
                  <c:v>221.364</c:v>
                </c:pt>
                <c:pt idx="2">
                  <c:v>242.89466666666667</c:v>
                </c:pt>
                <c:pt idx="3">
                  <c:v>240.9733333333333</c:v>
                </c:pt>
                <c:pt idx="4">
                  <c:v>238.99333333333331</c:v>
                </c:pt>
                <c:pt idx="5">
                  <c:v>462.71866666666665</c:v>
                </c:pt>
                <c:pt idx="6">
                  <c:v>504.4013333333333</c:v>
                </c:pt>
                <c:pt idx="7">
                  <c:v>232.012</c:v>
                </c:pt>
                <c:pt idx="8">
                  <c:v>218.40133333333333</c:v>
                </c:pt>
                <c:pt idx="9">
                  <c:v>230.36933333333332</c:v>
                </c:pt>
                <c:pt idx="10">
                  <c:v>230.48666666666665</c:v>
                </c:pt>
                <c:pt idx="11">
                  <c:v>192.57333333333332</c:v>
                </c:pt>
                <c:pt idx="12">
                  <c:v>250.58</c:v>
                </c:pt>
                <c:pt idx="13">
                  <c:v>268.54593874595992</c:v>
                </c:pt>
                <c:pt idx="14">
                  <c:v>269.74550295424086</c:v>
                </c:pt>
                <c:pt idx="15">
                  <c:v>270.87247043125336</c:v>
                </c:pt>
                <c:pt idx="16">
                  <c:v>271.93538199363684</c:v>
                </c:pt>
                <c:pt idx="17">
                  <c:v>272.94134139337575</c:v>
                </c:pt>
              </c:numCache>
            </c:numRef>
          </c:val>
          <c:extLst>
            <c:ext xmlns:c16="http://schemas.microsoft.com/office/drawing/2014/chart" uri="{C3380CC4-5D6E-409C-BE32-E72D297353CC}">
              <c16:uniqueId val="{00000000-87FF-4583-84D3-0855541FE2A7}"/>
            </c:ext>
          </c:extLst>
        </c:ser>
        <c:ser>
          <c:idx val="1"/>
          <c:order val="1"/>
          <c:tx>
            <c:strRef>
              <c:f>'2D Summary'!$C$6</c:f>
              <c:strCache>
                <c:ptCount val="1"/>
                <c:pt idx="0">
                  <c:v>Paraffin Wax Use</c:v>
                </c:pt>
              </c:strCache>
            </c:strRef>
          </c:tx>
          <c:spPr>
            <a:solidFill>
              <a:srgbClr val="0070C0"/>
            </a:solidFill>
            <a:ln>
              <a:solidFill>
                <a:srgbClr val="0070C0"/>
              </a:solidFill>
            </a:ln>
            <a:effectLst/>
          </c:spPr>
          <c:cat>
            <c:numRef>
              <c:f>'2D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 Summary'!$F$6:$W$6</c:f>
              <c:numCache>
                <c:formatCode>General</c:formatCode>
                <c:ptCount val="18"/>
                <c:pt idx="0">
                  <c:v>7.4359999999999999</c:v>
                </c:pt>
                <c:pt idx="1">
                  <c:v>4.6053333333333333</c:v>
                </c:pt>
                <c:pt idx="2">
                  <c:v>7.4213333333333331</c:v>
                </c:pt>
                <c:pt idx="3">
                  <c:v>7.6413333333333329</c:v>
                </c:pt>
                <c:pt idx="4">
                  <c:v>7.1866666666666656</c:v>
                </c:pt>
                <c:pt idx="5">
                  <c:v>5.1333333333333329</c:v>
                </c:pt>
                <c:pt idx="6">
                  <c:v>4.7519999999999998</c:v>
                </c:pt>
                <c:pt idx="7">
                  <c:v>2.0680000000000001</c:v>
                </c:pt>
                <c:pt idx="8">
                  <c:v>2.6693333333333329</c:v>
                </c:pt>
                <c:pt idx="9">
                  <c:v>3.3879999999999999</c:v>
                </c:pt>
                <c:pt idx="10">
                  <c:v>3.3879999999999999</c:v>
                </c:pt>
                <c:pt idx="11">
                  <c:v>3.813333333333333</c:v>
                </c:pt>
                <c:pt idx="12">
                  <c:v>3.2969107721929678</c:v>
                </c:pt>
                <c:pt idx="13">
                  <c:v>3.1601766230378749</c:v>
                </c:pt>
                <c:pt idx="14">
                  <c:v>3.0328801756196833</c:v>
                </c:pt>
                <c:pt idx="15">
                  <c:v>2.9138023015527885</c:v>
                </c:pt>
                <c:pt idx="16">
                  <c:v>2.8019458326600115</c:v>
                </c:pt>
                <c:pt idx="17">
                  <c:v>2.6964847485643841</c:v>
                </c:pt>
              </c:numCache>
            </c:numRef>
          </c:val>
          <c:extLst>
            <c:ext xmlns:c16="http://schemas.microsoft.com/office/drawing/2014/chart" uri="{C3380CC4-5D6E-409C-BE32-E72D297353CC}">
              <c16:uniqueId val="{00000001-87FF-4583-84D3-0855541FE2A7}"/>
            </c:ext>
          </c:extLst>
        </c:ser>
        <c:dLbls>
          <c:showLegendKey val="0"/>
          <c:showVal val="0"/>
          <c:showCatName val="0"/>
          <c:showSerName val="0"/>
          <c:showPercent val="0"/>
          <c:showBubbleSize val="0"/>
        </c:dLbls>
        <c:axId val="-922800000"/>
        <c:axId val="-922794016"/>
      </c:areaChart>
      <c:catAx>
        <c:axId val="-9228000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922794016"/>
        <c:crosses val="autoZero"/>
        <c:auto val="1"/>
        <c:lblAlgn val="ctr"/>
        <c:lblOffset val="100"/>
        <c:noMultiLvlLbl val="0"/>
      </c:catAx>
      <c:valAx>
        <c:axId val="-922794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922800000"/>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'2D1 Lubricant Use'!$B$18</c:f>
              <c:strCache>
                <c:ptCount val="1"/>
                <c:pt idx="0">
                  <c:v>Lubricant carbon content</c:v>
                </c:pt>
              </c:strCache>
            </c:strRef>
          </c:tx>
          <c:spPr>
            <a:ln w="28575" cap="rnd">
              <a:solidFill>
                <a:schemeClr val="accent1"/>
              </a:solidFill>
              <a:round/>
            </a:ln>
            <a:effectLst/>
          </c:spPr>
          <c:marker>
            <c:symbol val="none"/>
          </c:marker>
          <c:cat>
            <c:numRef>
              <c:f>'2D1 Lubricant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'2D1 Lubricant Use'!$E$18:$V$18</c:f>
              <c:numCache>
                <c:formatCode>General</c:formatCode>
                <c:ptCount val="18"/>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numCache>
            </c:numRef>
          </c:val>
          <c:smooth val="0"/>
          <c:extLst>
            <c:ext xmlns:c16="http://schemas.microsoft.com/office/drawing/2014/chart" uri="{C3380CC4-5D6E-409C-BE32-E72D297353CC}">
              <c16:uniqueId val="{00000000-F50D-4FA5-8893-ECFFA1F01154}"/>
            </c:ext>
          </c:extLst>
        </c:ser>
        <c:ser>
          <c:idx val="1"/>
          <c:order val="1"/>
          <c:tx>
            <c:strRef>
              <c:f>'2D1 Lubricant Use'!$B$19</c:f>
              <c:strCache>
                <c:ptCount val="1"/>
                <c:pt idx="0">
                  <c:v>Fraction oxidised during use (ODU factor)</c:v>
                </c:pt>
              </c:strCache>
            </c:strRef>
          </c:tx>
          <c:spPr>
            <a:ln w="28575" cap="rnd">
              <a:solidFill>
                <a:schemeClr val="accent2"/>
              </a:solidFill>
              <a:round/>
            </a:ln>
            <a:effectLst/>
          </c:spPr>
          <c:marker>
            <c:symbol val="none"/>
          </c:marker>
          <c:cat>
            <c:numRef>
              <c:f>'2D1 Lubricant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'2D1 Lubricant Use'!$E$19:$V$19</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F50D-4FA5-8893-ECFFA1F01154}"/>
            </c:ext>
          </c:extLst>
        </c:ser>
        <c:dLbls>
          <c:showLegendKey val="0"/>
          <c:showVal val="0"/>
          <c:showCatName val="0"/>
          <c:showSerName val="0"/>
          <c:showPercent val="0"/>
          <c:showBubbleSize val="0"/>
        </c:dLbls>
        <c:smooth val="0"/>
        <c:axId val="-922798368"/>
        <c:axId val="-922796192"/>
      </c:lineChart>
      <c:catAx>
        <c:axId val="-92279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6192"/>
        <c:crosses val="autoZero"/>
        <c:auto val="1"/>
        <c:lblAlgn val="ctr"/>
        <c:lblOffset val="100"/>
        <c:noMultiLvlLbl val="0"/>
      </c:catAx>
      <c:valAx>
        <c:axId val="-9227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8368"/>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'2D1 Lubricant Use'!$B$24</c:f>
              <c:strCache>
                <c:ptCount val="1"/>
                <c:pt idx="0">
                  <c:v>Total emissions </c:v>
                </c:pt>
              </c:strCache>
            </c:strRef>
          </c:tx>
          <c:spPr>
            <a:ln w="28575" cap="rnd">
              <a:solidFill>
                <a:schemeClr val="accent1"/>
              </a:solidFill>
              <a:round/>
            </a:ln>
            <a:effectLst/>
          </c:spPr>
          <c:marker>
            <c:symbol val="none"/>
          </c:marker>
          <c:cat>
            <c:numRef>
              <c:f>'2D1 Lubricant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'2D1 Lubricant Use'!$E$24:$V$24</c:f>
              <c:numCache>
                <c:formatCode>General</c:formatCode>
                <c:ptCount val="18"/>
                <c:pt idx="0">
                  <c:v>188.48133333333331</c:v>
                </c:pt>
                <c:pt idx="1">
                  <c:v>221.364</c:v>
                </c:pt>
                <c:pt idx="2">
                  <c:v>242.89466666666667</c:v>
                </c:pt>
                <c:pt idx="3">
                  <c:v>240.9733333333333</c:v>
                </c:pt>
                <c:pt idx="4">
                  <c:v>238.99333333333331</c:v>
                </c:pt>
                <c:pt idx="5">
                  <c:v>462.71866666666665</c:v>
                </c:pt>
                <c:pt idx="6">
                  <c:v>504.4013333333333</c:v>
                </c:pt>
                <c:pt idx="7">
                  <c:v>232.012</c:v>
                </c:pt>
                <c:pt idx="8">
                  <c:v>218.40133333333333</c:v>
                </c:pt>
                <c:pt idx="9">
                  <c:v>230.36933333333332</c:v>
                </c:pt>
                <c:pt idx="10">
                  <c:v>230.48666666666665</c:v>
                </c:pt>
                <c:pt idx="11">
                  <c:v>192.57333333333332</c:v>
                </c:pt>
                <c:pt idx="12">
                  <c:v>250.58</c:v>
                </c:pt>
                <c:pt idx="13">
                  <c:v>268.54593874595992</c:v>
                </c:pt>
                <c:pt idx="14">
                  <c:v>269.74550295424086</c:v>
                </c:pt>
                <c:pt idx="15">
                  <c:v>270.87247043125336</c:v>
                </c:pt>
                <c:pt idx="16">
                  <c:v>271.93538199363684</c:v>
                </c:pt>
                <c:pt idx="17">
                  <c:v>272.94134139337575</c:v>
                </c:pt>
              </c:numCache>
            </c:numRef>
          </c:val>
          <c:smooth val="0"/>
          <c:extLst>
            <c:ext xmlns:c16="http://schemas.microsoft.com/office/drawing/2014/chart" uri="{C3380CC4-5D6E-409C-BE32-E72D297353CC}">
              <c16:uniqueId val="{00000000-FAAC-4CBF-8B1D-A3FA92A222D2}"/>
            </c:ext>
          </c:extLst>
        </c:ser>
        <c:dLbls>
          <c:showLegendKey val="0"/>
          <c:showVal val="0"/>
          <c:showCatName val="0"/>
          <c:showSerName val="0"/>
          <c:showPercent val="0"/>
          <c:showBubbleSize val="0"/>
        </c:dLbls>
        <c:smooth val="0"/>
        <c:axId val="-922795648"/>
        <c:axId val="-1311314064"/>
      </c:lineChart>
      <c:catAx>
        <c:axId val="-92279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4064"/>
        <c:crosses val="autoZero"/>
        <c:auto val="1"/>
        <c:lblAlgn val="ctr"/>
        <c:lblOffset val="100"/>
        <c:noMultiLvlLbl val="0"/>
      </c:catAx>
      <c:valAx>
        <c:axId val="-1311314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5648"/>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'2D2 Paraffin Wax Use'!$B$18</c:f>
              <c:strCache>
                <c:ptCount val="1"/>
                <c:pt idx="0">
                  <c:v>Paraffin waxes carbon content</c:v>
                </c:pt>
              </c:strCache>
            </c:strRef>
          </c:tx>
          <c:spPr>
            <a:ln w="28575" cap="rnd">
              <a:solidFill>
                <a:schemeClr val="accent1"/>
              </a:solidFill>
              <a:round/>
            </a:ln>
            <a:effectLst/>
          </c:spPr>
          <c:marker>
            <c:symbol val="none"/>
          </c:marker>
          <c:cat>
            <c:numRef>
              <c:f>'2D2 Paraffin Wax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'2D2 Paraffin Wax Use'!$E$18:$V$18</c:f>
              <c:numCache>
                <c:formatCode>General</c:formatCode>
                <c:ptCount val="18"/>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numCache>
            </c:numRef>
          </c:val>
          <c:smooth val="0"/>
          <c:extLst>
            <c:ext xmlns:c16="http://schemas.microsoft.com/office/drawing/2014/chart" uri="{C3380CC4-5D6E-409C-BE32-E72D297353CC}">
              <c16:uniqueId val="{00000000-C7F9-4121-98B6-CE6095E551D4}"/>
            </c:ext>
          </c:extLst>
        </c:ser>
        <c:ser>
          <c:idx val="1"/>
          <c:order val="1"/>
          <c:tx>
            <c:strRef>
              <c:f>'2D2 Paraffin Wax Use'!$B$19</c:f>
              <c:strCache>
                <c:ptCount val="1"/>
                <c:pt idx="0">
                  <c:v>Fraction oxidised during use (ODU factor)</c:v>
                </c:pt>
              </c:strCache>
            </c:strRef>
          </c:tx>
          <c:spPr>
            <a:ln w="28575" cap="rnd">
              <a:solidFill>
                <a:schemeClr val="accent2"/>
              </a:solidFill>
              <a:round/>
            </a:ln>
            <a:effectLst/>
          </c:spPr>
          <c:marker>
            <c:symbol val="none"/>
          </c:marker>
          <c:cat>
            <c:numRef>
              <c:f>'2D2 Paraffin Wax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'2D2 Paraffin Wax Use'!$E$19:$V$19</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C7F9-4121-98B6-CE6095E551D4}"/>
            </c:ext>
          </c:extLst>
        </c:ser>
        <c:dLbls>
          <c:showLegendKey val="0"/>
          <c:showVal val="0"/>
          <c:showCatName val="0"/>
          <c:showSerName val="0"/>
          <c:showPercent val="0"/>
          <c:showBubbleSize val="0"/>
        </c:dLbls>
        <c:smooth val="0"/>
        <c:axId val="-1311316240"/>
        <c:axId val="-1311303728"/>
      </c:lineChart>
      <c:catAx>
        <c:axId val="-131131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3728"/>
        <c:crosses val="autoZero"/>
        <c:auto val="1"/>
        <c:lblAlgn val="ctr"/>
        <c:lblOffset val="100"/>
        <c:noMultiLvlLbl val="0"/>
      </c:catAx>
      <c:valAx>
        <c:axId val="-131130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6240"/>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'2D2 Paraffin Wax Use'!$B$24</c:f>
              <c:strCache>
                <c:ptCount val="1"/>
                <c:pt idx="0">
                  <c:v>Total emissions </c:v>
                </c:pt>
              </c:strCache>
            </c:strRef>
          </c:tx>
          <c:spPr>
            <a:ln w="28575" cap="rnd">
              <a:solidFill>
                <a:schemeClr val="accent1"/>
              </a:solidFill>
              <a:round/>
            </a:ln>
            <a:effectLst/>
          </c:spPr>
          <c:marker>
            <c:symbol val="none"/>
          </c:marker>
          <c:cat>
            <c:numRef>
              <c:f>'2D2 Paraffin Wax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'2D2 Paraffin Wax Use'!$E$24:$V$24</c:f>
              <c:numCache>
                <c:formatCode>General</c:formatCode>
                <c:ptCount val="18"/>
                <c:pt idx="0">
                  <c:v>7.4359999999999999</c:v>
                </c:pt>
                <c:pt idx="1">
                  <c:v>4.6053333333333333</c:v>
                </c:pt>
                <c:pt idx="2">
                  <c:v>7.4213333333333331</c:v>
                </c:pt>
                <c:pt idx="3">
                  <c:v>7.6413333333333329</c:v>
                </c:pt>
                <c:pt idx="4">
                  <c:v>7.1866666666666656</c:v>
                </c:pt>
                <c:pt idx="5">
                  <c:v>5.1333333333333329</c:v>
                </c:pt>
                <c:pt idx="6">
                  <c:v>4.7519999999999998</c:v>
                </c:pt>
                <c:pt idx="7">
                  <c:v>2.0680000000000001</c:v>
                </c:pt>
                <c:pt idx="8">
                  <c:v>2.6693333333333329</c:v>
                </c:pt>
                <c:pt idx="9">
                  <c:v>3.3879999999999999</c:v>
                </c:pt>
                <c:pt idx="10">
                  <c:v>3.3879999999999999</c:v>
                </c:pt>
                <c:pt idx="11">
                  <c:v>3.813333333333333</c:v>
                </c:pt>
                <c:pt idx="12">
                  <c:v>3.2969107721929678</c:v>
                </c:pt>
                <c:pt idx="13">
                  <c:v>3.1601766230378749</c:v>
                </c:pt>
                <c:pt idx="14">
                  <c:v>3.0328801756196833</c:v>
                </c:pt>
                <c:pt idx="15">
                  <c:v>2.9138023015527885</c:v>
                </c:pt>
                <c:pt idx="16">
                  <c:v>2.8019458326600115</c:v>
                </c:pt>
                <c:pt idx="17">
                  <c:v>2.6964847485643841</c:v>
                </c:pt>
              </c:numCache>
            </c:numRef>
          </c:val>
          <c:smooth val="0"/>
          <c:extLst>
            <c:ext xmlns:c16="http://schemas.microsoft.com/office/drawing/2014/chart" uri="{C3380CC4-5D6E-409C-BE32-E72D297353CC}">
              <c16:uniqueId val="{00000000-3DF6-4271-BA51-25D15AAD2F58}"/>
            </c:ext>
          </c:extLst>
        </c:ser>
        <c:dLbls>
          <c:showLegendKey val="0"/>
          <c:showVal val="0"/>
          <c:showCatName val="0"/>
          <c:showSerName val="0"/>
          <c:showPercent val="0"/>
          <c:showBubbleSize val="0"/>
        </c:dLbls>
        <c:smooth val="0"/>
        <c:axId val="-1311308624"/>
        <c:axId val="-1311317328"/>
      </c:lineChart>
      <c:catAx>
        <c:axId val="-131130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7328"/>
        <c:crosses val="autoZero"/>
        <c:auto val="1"/>
        <c:lblAlgn val="ctr"/>
        <c:lblOffset val="100"/>
        <c:noMultiLvlLbl val="0"/>
      </c:catAx>
      <c:valAx>
        <c:axId val="-1311317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862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'2F Summary'!$C$5</c:f>
              <c:strCache>
                <c:ptCount val="1"/>
                <c:pt idx="0">
                  <c:v>Refrigeration and Air Conditioning</c:v>
                </c:pt>
              </c:strCache>
            </c:strRef>
          </c:tx>
          <c:spPr>
            <a:solidFill>
              <a:srgbClr val="7EC234"/>
            </a:solidFill>
            <a:ln>
              <a:solidFill>
                <a:srgbClr val="7EC234"/>
              </a:solidFill>
            </a:ln>
            <a:effectLst/>
          </c:spPr>
          <c:cat>
            <c:numRef>
              <c:f>'2F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 Summary'!$F$5:$W$5</c:f>
              <c:numCache>
                <c:formatCode>General</c:formatCode>
                <c:ptCount val="18"/>
                <c:pt idx="0">
                  <c:v>0</c:v>
                </c:pt>
                <c:pt idx="1">
                  <c:v>0</c:v>
                </c:pt>
                <c:pt idx="2">
                  <c:v>0</c:v>
                </c:pt>
                <c:pt idx="3">
                  <c:v>0</c:v>
                </c:pt>
                <c:pt idx="4">
                  <c:v>0</c:v>
                </c:pt>
                <c:pt idx="5">
                  <c:v>841.75</c:v>
                </c:pt>
                <c:pt idx="6">
                  <c:v>1045.3600000000001</c:v>
                </c:pt>
                <c:pt idx="7">
                  <c:v>1063.4000000000001</c:v>
                </c:pt>
                <c:pt idx="8">
                  <c:v>1025.95</c:v>
                </c:pt>
                <c:pt idx="9">
                  <c:v>992.04</c:v>
                </c:pt>
                <c:pt idx="10">
                  <c:v>2065.8000000000002</c:v>
                </c:pt>
                <c:pt idx="11">
                  <c:v>2232.500866332</c:v>
                </c:pt>
                <c:pt idx="12">
                  <c:v>2482.7810084104999</c:v>
                </c:pt>
                <c:pt idx="13">
                  <c:v>2802.3997062409999</c:v>
                </c:pt>
                <c:pt idx="14">
                  <c:v>3011.31930134</c:v>
                </c:pt>
                <c:pt idx="15">
                  <c:v>3419.7235398180001</c:v>
                </c:pt>
                <c:pt idx="16">
                  <c:v>3668.991196254</c:v>
                </c:pt>
                <c:pt idx="17">
                  <c:v>3963.4610677467999</c:v>
                </c:pt>
              </c:numCache>
            </c:numRef>
          </c:val>
          <c:extLst>
            <c:ext xmlns:c16="http://schemas.microsoft.com/office/drawing/2014/chart" uri="{C3380CC4-5D6E-409C-BE32-E72D297353CC}">
              <c16:uniqueId val="{00000000-BA27-491E-ABBF-8904CF0A2C20}"/>
            </c:ext>
          </c:extLst>
        </c:ser>
        <c:ser>
          <c:idx val="1"/>
          <c:order val="1"/>
          <c:tx>
            <c:strRef>
              <c:f>'2F Summary'!$C$8</c:f>
              <c:strCache>
                <c:ptCount val="1"/>
                <c:pt idx="0">
                  <c:v>Foam Blowing Agents</c:v>
                </c:pt>
              </c:strCache>
            </c:strRef>
          </c:tx>
          <c:spPr>
            <a:solidFill>
              <a:srgbClr val="0070C0"/>
            </a:solidFill>
            <a:ln>
              <a:solidFill>
                <a:srgbClr val="0070C0"/>
              </a:solidFill>
            </a:ln>
            <a:effectLst/>
          </c:spPr>
          <c:cat>
            <c:numRef>
              <c:f>'2F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 Summary'!$F$8:$W$8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3.7830966699999999</c:v>
                </c:pt>
                <c:pt idx="12">
                  <c:v>3.4528660840000001</c:v>
                </c:pt>
                <c:pt idx="13">
                  <c:v>2.0036058250000002</c:v>
                </c:pt>
                <c:pt idx="14">
                  <c:v>1.7355986710000002</c:v>
                </c:pt>
                <c:pt idx="15">
                  <c:v>2.1042043709999998</c:v>
                </c:pt>
                <c:pt idx="16">
                  <c:v>2.1042043709999998</c:v>
                </c:pt>
                <c:pt idx="17">
                  <c:v>2.1042043709999998</c:v>
                </c:pt>
              </c:numCache>
            </c:numRef>
          </c:val>
          <c:extLst>
            <c:ext xmlns:c16="http://schemas.microsoft.com/office/drawing/2014/chart" uri="{C3380CC4-5D6E-409C-BE32-E72D297353CC}">
              <c16:uniqueId val="{00000001-BA27-491E-ABBF-8904CF0A2C20}"/>
            </c:ext>
          </c:extLst>
        </c:ser>
        <c:ser>
          <c:idx val="2"/>
          <c:order val="2"/>
          <c:tx>
            <c:strRef>
              <c:f>'2F Summary'!$C$9</c:f>
              <c:strCache>
                <c:ptCount val="1"/>
                <c:pt idx="0">
                  <c:v>Fire Protection</c:v>
                </c:pt>
              </c:strCache>
            </c:strRef>
          </c:tx>
          <c:spPr>
            <a:solidFill>
              <a:srgbClr val="FDCD03"/>
            </a:solidFill>
            <a:ln>
              <a:solidFill>
                <a:srgbClr val="FDCD03"/>
              </a:solidFill>
            </a:ln>
            <a:effectLst/>
          </c:spPr>
          <c:cat>
            <c:numRef>
              <c:f>'2F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 Summary'!$F$9:$W$9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22.980200300000003</c:v>
                </c:pt>
                <c:pt idx="12">
                  <c:v>25.331806229999998</c:v>
                </c:pt>
                <c:pt idx="13">
                  <c:v>30.53210928</c:v>
                </c:pt>
                <c:pt idx="14">
                  <c:v>35.923529300000006</c:v>
                </c:pt>
                <c:pt idx="15">
                  <c:v>42.095061219999998</c:v>
                </c:pt>
                <c:pt idx="16">
                  <c:v>46.142869999999995</c:v>
                </c:pt>
                <c:pt idx="17">
                  <c:v>51.086919999999992</c:v>
                </c:pt>
              </c:numCache>
            </c:numRef>
          </c:val>
          <c:extLst>
            <c:ext xmlns:c16="http://schemas.microsoft.com/office/drawing/2014/chart" uri="{C3380CC4-5D6E-409C-BE32-E72D297353CC}">
              <c16:uniqueId val="{00000002-BA27-491E-ABBF-8904CF0A2C20}"/>
            </c:ext>
          </c:extLst>
        </c:ser>
        <c:ser>
          <c:idx val="3"/>
          <c:order val="3"/>
          <c:tx>
            <c:strRef>
              <c:f>'2F Summary'!$C$10</c:f>
              <c:strCache>
                <c:ptCount val="1"/>
                <c:pt idx="0">
                  <c:v>Aerosols</c:v>
                </c:pt>
              </c:strCache>
            </c:strRef>
          </c:tx>
          <c:spPr>
            <a:solidFill>
              <a:srgbClr val="006600"/>
            </a:solidFill>
            <a:ln>
              <a:solidFill>
                <a:srgbClr val="006600"/>
              </a:solidFill>
            </a:ln>
            <a:effectLst/>
          </c:spPr>
          <c:cat>
            <c:numRef>
              <c:f>'2F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 Summary'!$F$10:$W$10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15.1328671</c:v>
                </c:pt>
                <c:pt idx="12">
                  <c:v>16.021940999999998</c:v>
                </c:pt>
                <c:pt idx="13">
                  <c:v>17.601723100000001</c:v>
                </c:pt>
                <c:pt idx="14">
                  <c:v>16.615751399999997</c:v>
                </c:pt>
                <c:pt idx="15">
                  <c:v>18.202122020000004</c:v>
                </c:pt>
                <c:pt idx="16">
                  <c:v>18.202122020000004</c:v>
                </c:pt>
                <c:pt idx="17">
                  <c:v>18.202122020000004</c:v>
                </c:pt>
              </c:numCache>
            </c:numRef>
          </c:val>
          <c:extLst>
            <c:ext xmlns:c16="http://schemas.microsoft.com/office/drawing/2014/chart" uri="{C3380CC4-5D6E-409C-BE32-E72D297353CC}">
              <c16:uniqueId val="{00000003-BA27-491E-ABBF-8904CF0A2C20}"/>
            </c:ext>
          </c:extLst>
        </c:ser>
        <c:dLbls>
          <c:showLegendKey val="0"/>
          <c:showVal val="0"/>
          <c:showCatName val="0"/>
          <c:showSerName val="0"/>
          <c:showPercent val="0"/>
          <c:showBubbleSize val="0"/>
        </c:dLbls>
        <c:axId val="-1311307536"/>
        <c:axId val="-1311306992"/>
      </c:areaChart>
      <c:catAx>
        <c:axId val="-13113075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311306992"/>
        <c:crosses val="autoZero"/>
        <c:auto val="1"/>
        <c:lblAlgn val="ctr"/>
        <c:lblOffset val="100"/>
        <c:noMultiLvlLbl val="0"/>
      </c:catAx>
      <c:valAx>
        <c:axId val="-1311306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311307536"/>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'2F1 Refrigeration and AC'!$B$160</c:f>
              <c:strCache>
                <c:ptCount val="1"/>
                <c:pt idx="0">
                  <c:v>Total emissions </c:v>
                </c:pt>
              </c:strCache>
            </c:strRef>
          </c:tx>
          <c:spPr>
            <a:ln w="28575" cap="rnd">
              <a:solidFill>
                <a:schemeClr val="accent1"/>
              </a:solidFill>
              <a:round/>
            </a:ln>
            <a:effectLst/>
          </c:spPr>
          <c:marker>
            <c:symbol val="none"/>
          </c:marker>
          <c:cat>
            <c:numRef>
              <c:f>'2F1 Refrigeration and AC'!$E$13:$V$13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'2F1 Refrigeration and AC'!$E$160:$V$160</c:f>
              <c:numCache>
                <c:formatCode>General</c:formatCode>
                <c:ptCount val="18"/>
                <c:pt idx="0">
                  <c:v>0</c:v>
                </c:pt>
                <c:pt idx="1">
                  <c:v>0</c:v>
                </c:pt>
                <c:pt idx="2">
                  <c:v>0</c:v>
                </c:pt>
                <c:pt idx="3">
                  <c:v>0</c:v>
                </c:pt>
                <c:pt idx="4">
                  <c:v>0</c:v>
                </c:pt>
                <c:pt idx="5">
                  <c:v>841.75</c:v>
                </c:pt>
                <c:pt idx="6">
                  <c:v>1045.3600000000001</c:v>
                </c:pt>
                <c:pt idx="7">
                  <c:v>1063.4000000000001</c:v>
                </c:pt>
                <c:pt idx="8">
                  <c:v>1025.95</c:v>
                </c:pt>
                <c:pt idx="9">
                  <c:v>992.04</c:v>
                </c:pt>
                <c:pt idx="10">
                  <c:v>2065.8000000000002</c:v>
                </c:pt>
                <c:pt idx="11">
                  <c:v>2232.500866332</c:v>
                </c:pt>
                <c:pt idx="12">
                  <c:v>2482.7810084104999</c:v>
                </c:pt>
                <c:pt idx="13">
                  <c:v>2802.3997062409999</c:v>
                </c:pt>
                <c:pt idx="14">
                  <c:v>3011.31930134</c:v>
                </c:pt>
                <c:pt idx="15">
                  <c:v>3419.7235398180001</c:v>
                </c:pt>
                <c:pt idx="16">
                  <c:v>3668.991196254</c:v>
                </c:pt>
                <c:pt idx="17">
                  <c:v>3963.4610677467999</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1311316784"/>
        <c:axId val="-1311312976"/>
      </c:lineChart>
      <c:catAx>
        <c:axId val="-1311316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2976"/>
        <c:crosses val="autoZero"/>
        <c:auto val="1"/>
        <c:lblAlgn val="ctr"/>
        <c:lblOffset val="100"/>
        <c:noMultiLvlLbl val="0"/>
      </c:catAx>
      <c:valAx>
        <c:axId val="-131131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678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'2F2 Foam blowing agents'!$B$52</c:f>
              <c:strCache>
                <c:ptCount val="1"/>
                <c:pt idx="0">
                  <c:v>Total emissions </c:v>
                </c:pt>
              </c:strCache>
            </c:strRef>
          </c:tx>
          <c:spPr>
            <a:ln w="28575" cap="rnd">
              <a:solidFill>
                <a:schemeClr val="accent1"/>
              </a:solidFill>
              <a:round/>
            </a:ln>
            <a:effectLst/>
          </c:spPr>
          <c:marker>
            <c:symbol val="none"/>
          </c:marker>
          <c:cat>
            <c:numRef>
              <c:f>'2F2 Foam blowing agents'!$E$13:$V$13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'2F2 Foam blowing agents'!$E$52:$V$52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3.7830966699999999</c:v>
                </c:pt>
                <c:pt idx="12">
                  <c:v>3.4528660840000001</c:v>
                </c:pt>
                <c:pt idx="13">
                  <c:v>2.0036058250000002</c:v>
                </c:pt>
                <c:pt idx="14">
                  <c:v>1.7355986710000002</c:v>
                </c:pt>
                <c:pt idx="15">
                  <c:v>2.1042043709999998</c:v>
                </c:pt>
                <c:pt idx="16">
                  <c:v>2.1042043709999998</c:v>
                </c:pt>
                <c:pt idx="17">
                  <c:v>2.1042043709999998</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1311311344"/>
        <c:axId val="-1311312432"/>
      </c:lineChart>
      <c:catAx>
        <c:axId val="-131131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2432"/>
        <c:crosses val="autoZero"/>
        <c:auto val="1"/>
        <c:lblAlgn val="ctr"/>
        <c:lblOffset val="100"/>
        <c:noMultiLvlLbl val="0"/>
      </c:catAx>
      <c:valAx>
        <c:axId val="-131131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134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'2F3 Fire protection'!$B$41</c:f>
              <c:strCache>
                <c:ptCount val="1"/>
                <c:pt idx="0">
                  <c:v>Total emissions </c:v>
                </c:pt>
              </c:strCache>
            </c:strRef>
          </c:tx>
          <c:spPr>
            <a:ln w="28575" cap="rnd">
              <a:solidFill>
                <a:schemeClr val="accent1"/>
              </a:solidFill>
              <a:round/>
            </a:ln>
            <a:effectLst/>
          </c:spPr>
          <c:marker>
            <c:symbol val="none"/>
          </c:marker>
          <c:cat>
            <c:numRef>
              <c:f>'2F3 Fire protection'!$E$13:$V$13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'2F3 Fire protection'!$E$41:$V$41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22.980200300000003</c:v>
                </c:pt>
                <c:pt idx="12">
                  <c:v>25.331806229999998</c:v>
                </c:pt>
                <c:pt idx="13">
                  <c:v>30.53210928</c:v>
                </c:pt>
                <c:pt idx="14">
                  <c:v>35.923529300000006</c:v>
                </c:pt>
                <c:pt idx="15">
                  <c:v>42.095061219999998</c:v>
                </c:pt>
                <c:pt idx="16">
                  <c:v>46.142869999999995</c:v>
                </c:pt>
                <c:pt idx="17">
                  <c:v>51.086919999999992</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1311305904"/>
        <c:axId val="-1311303184"/>
      </c:lineChart>
      <c:catAx>
        <c:axId val="-131130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3184"/>
        <c:crosses val="autoZero"/>
        <c:auto val="1"/>
        <c:lblAlgn val="ctr"/>
        <c:lblOffset val="100"/>
        <c:noMultiLvlLbl val="0"/>
      </c:catAx>
      <c:valAx>
        <c:axId val="-1311303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590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'2F4 Aerosols'!$B$41</c:f>
              <c:strCache>
                <c:ptCount val="1"/>
                <c:pt idx="0">
                  <c:v>Total emissions</c:v>
                </c:pt>
              </c:strCache>
            </c:strRef>
          </c:tx>
          <c:spPr>
            <a:ln w="28575" cap="rnd">
              <a:solidFill>
                <a:schemeClr val="accent1"/>
              </a:solidFill>
              <a:round/>
            </a:ln>
            <a:effectLst/>
          </c:spPr>
          <c:marker>
            <c:symbol val="none"/>
          </c:marker>
          <c:cat>
            <c:numRef>
              <c:f>'2F4 Aerosols'!$E$13:$V$13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'2F4 Aerosols'!$E$41:$V$41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15.1328671</c:v>
                </c:pt>
                <c:pt idx="12">
                  <c:v>16.021940999999998</c:v>
                </c:pt>
                <c:pt idx="13">
                  <c:v>17.601723100000001</c:v>
                </c:pt>
                <c:pt idx="14">
                  <c:v>16.615751399999997</c:v>
                </c:pt>
                <c:pt idx="15">
                  <c:v>18.202122020000004</c:v>
                </c:pt>
                <c:pt idx="16">
                  <c:v>18.202122020000004</c:v>
                </c:pt>
                <c:pt idx="17">
                  <c:v>18.202122020000004</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1311302640"/>
        <c:axId val="-1311317872"/>
      </c:lineChart>
      <c:catAx>
        <c:axId val="-131130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7872"/>
        <c:crosses val="autoZero"/>
        <c:auto val="1"/>
        <c:lblAlgn val="ctr"/>
        <c:lblOffset val="100"/>
        <c:noMultiLvlLbl val="0"/>
      </c:catAx>
      <c:valAx>
        <c:axId val="-1311317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2640"/>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21.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2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32">
    <tabColor theme="5"/>
  </sheetPr>
  <sheetViews>
    <sheetView zoomScale="125"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33">
    <tabColor theme="5"/>
  </sheetPr>
  <sheetViews>
    <sheetView zoomScale="125"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400-000000000000}">
  <sheetPr codeName="Chart34">
    <tabColor theme="5"/>
  </sheetPr>
  <sheetViews>
    <sheetView zoomScale="125"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35">
    <tabColor theme="5"/>
  </sheetPr>
  <sheetViews>
    <sheetView zoomScale="125"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2200-000000000000}">
  <sheetPr codeName="Chart36">
    <tabColor theme="5"/>
  </sheetPr>
  <sheetViews>
    <sheetView zoomScale="125"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2700-000000000000}">
  <sheetPr codeName="Chart37">
    <tabColor theme="5"/>
  </sheetPr>
  <sheetViews>
    <sheetView zoomScale="12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aether-uk.com/Products/QA-Analyst"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aether-uk.com" TargetMode="External"/><Relationship Id="rId2" Type="http://schemas.openxmlformats.org/officeDocument/2006/relationships/image" Target="../media/image2.jpeg"/><Relationship Id="rId1" Type="http://schemas.openxmlformats.org/officeDocument/2006/relationships/hyperlink" Target="http://www.aether-uk.com/Products/QA-Analyst" TargetMode="External"/><Relationship Id="rId4" Type="http://schemas.openxmlformats.org/officeDocument/2006/relationships/image" Target="../media/image3.gi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5.xml"/></Relationships>
</file>

<file path=xl/drawings/drawing1.xml><?xml version="1.0" encoding="utf-8"?>
<xdr:wsDr xmlns:xdr="http://schemas.openxmlformats.org/drawingml/2006/spreadsheetDrawing" xmlns:a="http://schemas.openxmlformats.org/drawingml/2006/main">
  <xdr:twoCellAnchor editAs="oneCell">
    <xdr:from>
      <xdr:col>5</xdr:col>
      <xdr:colOff>76200</xdr:colOff>
      <xdr:row>6</xdr:row>
      <xdr:rowOff>76200</xdr:rowOff>
    </xdr:from>
    <xdr:to>
      <xdr:col>6</xdr:col>
      <xdr:colOff>1781175</xdr:colOff>
      <xdr:row>8</xdr:row>
      <xdr:rowOff>142875</xdr:rowOff>
    </xdr:to>
    <xdr:sp macro="" textlink="">
      <xdr:nvSpPr>
        <xdr:cNvPr id="128001" name="RegenerateIssuesLogButton" hidden="1">
          <a:extLst>
            <a:ext uri="{63B3BB69-23CF-44E3-9099-C40C66FF867C}">
              <a14:compatExt xmlns:a14="http://schemas.microsoft.com/office/drawing/2010/main"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3</xdr:col>
      <xdr:colOff>421822</xdr:colOff>
      <xdr:row>2</xdr:row>
      <xdr:rowOff>7892</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2050597" cy="2055767"/>
        </a:xfrm>
        <a:prstGeom prst="rect">
          <a:avLst/>
        </a:prstGeom>
      </xdr:spPr>
    </xdr:pic>
    <xdr:clientData/>
  </xdr:twoCellAnchor>
  <xdr:twoCellAnchor>
    <xdr:from>
      <xdr:col>0</xdr:col>
      <xdr:colOff>163286</xdr:colOff>
      <xdr:row>10</xdr:row>
      <xdr:rowOff>81642</xdr:rowOff>
    </xdr:from>
    <xdr:to>
      <xdr:col>5</xdr:col>
      <xdr:colOff>421823</xdr:colOff>
      <xdr:row>19</xdr:row>
      <xdr:rowOff>317095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63286" y="4567917"/>
          <a:ext cx="6411687"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Overview</a:t>
          </a:r>
          <a:endParaRPr lang="en-GB" sz="1600" b="1"/>
        </a:p>
        <a:p>
          <a:pPr algn="l"/>
          <a:r>
            <a:rPr lang="en-GB" sz="1400" b="0"/>
            <a:t>QA Analyst uses a tagging system</a:t>
          </a:r>
          <a:r>
            <a:rPr lang="en-GB" sz="1400" b="0" baseline="0"/>
            <a:t> to aid documentation and QAQC processes, increasing efficiency and transparency. Tags are added to a document by the users and are then collated by the tool into one table. </a:t>
          </a:r>
          <a:endParaRPr lang="en-GB" sz="1400" b="0"/>
        </a:p>
        <a:p>
          <a:pPr algn="l"/>
          <a:endParaRPr lang="en-GB" sz="1400" b="0"/>
        </a:p>
        <a:p>
          <a:pPr algn="l"/>
          <a:r>
            <a:rPr lang="en-GB" sz="1400" b="0"/>
            <a:t>The overall process is as follows: </a:t>
          </a:r>
        </a:p>
        <a:p>
          <a:pPr algn="l"/>
          <a:r>
            <a:rPr lang="en-GB" sz="1400" b="0"/>
            <a:t>1.</a:t>
          </a:r>
          <a:r>
            <a:rPr lang="en-GB" sz="1400" b="0" baseline="0"/>
            <a:t> Tag your document using the tags in the lookup table</a:t>
          </a:r>
        </a:p>
        <a:p>
          <a:pPr algn="l"/>
          <a:r>
            <a:rPr lang="en-GB" sz="1400" b="0" baseline="0"/>
            <a:t>2. Run the QA Analyst tool using the button above</a:t>
          </a:r>
        </a:p>
        <a:p>
          <a:pPr algn="l"/>
          <a:r>
            <a:rPr lang="en-GB" sz="1400" b="0"/>
            <a:t>3. Review the QA Log</a:t>
          </a:r>
        </a:p>
        <a:p>
          <a:pPr algn="ctr"/>
          <a:endParaRPr lang="en-GB" sz="1200"/>
        </a:p>
      </xdr:txBody>
    </xdr:sp>
    <xdr:clientData/>
  </xdr:twoCellAnchor>
  <xdr:twoCellAnchor>
    <xdr:from>
      <xdr:col>5</xdr:col>
      <xdr:colOff>639536</xdr:colOff>
      <xdr:row>10</xdr:row>
      <xdr:rowOff>81643</xdr:rowOff>
    </xdr:from>
    <xdr:to>
      <xdr:col>7</xdr:col>
      <xdr:colOff>2855575</xdr:colOff>
      <xdr:row>19</xdr:row>
      <xdr:rowOff>317096</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792686" y="4567918"/>
          <a:ext cx="5530739"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Adding and editing tags</a:t>
          </a:r>
        </a:p>
        <a:p>
          <a:pPr algn="ctr"/>
          <a:r>
            <a:rPr lang="en-GB" sz="1400" b="1" i="1"/>
            <a:t>More</a:t>
          </a:r>
          <a:r>
            <a:rPr lang="en-GB" sz="1400" b="1" i="1" baseline="0"/>
            <a:t> detailed guidance can be found in the QA Analyst User Guide</a:t>
          </a:r>
        </a:p>
        <a:p>
          <a:pPr algn="ctr"/>
          <a:endParaRPr lang="en-GB" sz="1400" b="1" i="1"/>
        </a:p>
        <a:p>
          <a:r>
            <a:rPr lang="en-GB" sz="1400"/>
            <a:t>1. Always have the master file open when using the tool</a:t>
          </a:r>
        </a:p>
        <a:p>
          <a:r>
            <a:rPr lang="en-GB" sz="1400"/>
            <a:t>2. To set the initials and date shortcut run SetMacroShortcut.</a:t>
          </a:r>
          <a:r>
            <a:rPr lang="en-GB" sz="1400" baseline="0"/>
            <a:t> The shortcut is used by pressing [Ctrl] + [#]</a:t>
          </a:r>
        </a:p>
        <a:p>
          <a:r>
            <a:rPr lang="en-GB" sz="1400" baseline="0"/>
            <a:t>3. Format for tagging: #initials #date #tag comment</a:t>
          </a:r>
        </a:p>
        <a:p>
          <a:r>
            <a:rPr lang="en-GB" sz="1400" baseline="0"/>
            <a:t>4. Use the #response tag as many times as needed to have a conversation</a:t>
          </a:r>
        </a:p>
        <a:p>
          <a:r>
            <a:rPr lang="en-GB" sz="1400" baseline="0"/>
            <a:t>5. Use #OK and #FixChck to sign off comments</a:t>
          </a:r>
          <a:endParaRPr lang="en-GB" sz="1400" b="1">
            <a:solidFill>
              <a:srgbClr val="92D050"/>
            </a:solidFill>
          </a:endParaRPr>
        </a:p>
      </xdr:txBody>
    </xdr:sp>
    <xdr:clientData/>
  </xdr:twoCellAnchor>
  <xdr:twoCellAnchor>
    <xdr:from>
      <xdr:col>8</xdr:col>
      <xdr:colOff>136071</xdr:colOff>
      <xdr:row>10</xdr:row>
      <xdr:rowOff>68036</xdr:rowOff>
    </xdr:from>
    <xdr:to>
      <xdr:col>12</xdr:col>
      <xdr:colOff>32659</xdr:colOff>
      <xdr:row>19</xdr:row>
      <xdr:rowOff>303489</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2509046" y="4554311"/>
          <a:ext cx="4640038"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Compiling and interpreting</a:t>
          </a:r>
          <a:r>
            <a:rPr lang="en-GB" sz="1800" b="1" baseline="0"/>
            <a:t> the log</a:t>
          </a:r>
          <a:endParaRPr lang="en-GB" sz="1800" b="1"/>
        </a:p>
        <a:p>
          <a:pPr algn="ctr"/>
          <a:r>
            <a:rPr lang="en-GB" sz="1400" b="1" i="1"/>
            <a:t>More</a:t>
          </a:r>
          <a:r>
            <a:rPr lang="en-GB" sz="1400" b="1" i="1" baseline="0"/>
            <a:t> detailed guidance can be found in the QA Analyst User Guide</a:t>
          </a:r>
        </a:p>
        <a:p>
          <a:pPr algn="ctr"/>
          <a:endParaRPr lang="en-GB" sz="1400" b="1" i="1"/>
        </a:p>
        <a:p>
          <a:r>
            <a:rPr lang="en-GB" sz="1400"/>
            <a:t>1. Always have the master file open when using the tool</a:t>
          </a:r>
        </a:p>
        <a:p>
          <a:r>
            <a:rPr lang="en-GB" sz="1400" baseline="0"/>
            <a:t>2. To run the tool press the 'Run QA Analyst' button</a:t>
          </a:r>
        </a:p>
        <a:p>
          <a:r>
            <a:rPr lang="en-GB" sz="1400" baseline="0"/>
            <a:t>3. Uncoloured table rows are tags that have not been reviewed or resolved</a:t>
          </a:r>
        </a:p>
        <a:p>
          <a:r>
            <a:rPr lang="en-GB" sz="1400" baseline="0"/>
            <a:t>4. </a:t>
          </a:r>
          <a:r>
            <a:rPr lang="en-GB" sz="1400" b="1" baseline="0">
              <a:solidFill>
                <a:schemeClr val="accent6"/>
              </a:solidFill>
            </a:rPr>
            <a:t>Orange</a:t>
          </a:r>
          <a:r>
            <a:rPr lang="en-GB" sz="1400" baseline="0"/>
            <a:t> table rows have had a </a:t>
          </a:r>
          <a:r>
            <a:rPr lang="en-GB" sz="1400" b="1" baseline="0">
              <a:solidFill>
                <a:schemeClr val="accent6"/>
              </a:solidFill>
            </a:rPr>
            <a:t>#ok </a:t>
          </a:r>
          <a:r>
            <a:rPr lang="en-GB" sz="1400" baseline="0"/>
            <a:t>added to the comment</a:t>
          </a:r>
        </a:p>
        <a:p>
          <a:r>
            <a:rPr lang="en-GB" sz="1400" baseline="0"/>
            <a:t>5. </a:t>
          </a:r>
          <a:r>
            <a:rPr lang="en-GB" sz="1400" b="1" baseline="0">
              <a:solidFill>
                <a:schemeClr val="accent3"/>
              </a:solidFill>
            </a:rPr>
            <a:t>Green</a:t>
          </a:r>
          <a:r>
            <a:rPr lang="en-GB" sz="1400" baseline="0"/>
            <a:t> table rows have a </a:t>
          </a:r>
          <a:r>
            <a:rPr lang="en-GB" sz="1400" b="1" baseline="0">
              <a:solidFill>
                <a:schemeClr val="accent3"/>
              </a:solidFill>
            </a:rPr>
            <a:t>#FixChck </a:t>
          </a:r>
          <a:r>
            <a:rPr lang="en-GB" sz="1400" baseline="0"/>
            <a:t>added to the comment</a:t>
          </a:r>
        </a:p>
        <a:p>
          <a:endParaRPr lang="en-GB" sz="1400" b="1">
            <a:solidFill>
              <a:srgbClr val="92D050"/>
            </a:solidFill>
          </a:endParaRPr>
        </a:p>
      </xdr:txBody>
    </xdr:sp>
    <xdr:clientData/>
  </xdr:twoCellAnchor>
  <xdr:twoCellAnchor>
    <xdr:from>
      <xdr:col>12</xdr:col>
      <xdr:colOff>217714</xdr:colOff>
      <xdr:row>10</xdr:row>
      <xdr:rowOff>68035</xdr:rowOff>
    </xdr:from>
    <xdr:to>
      <xdr:col>13</xdr:col>
      <xdr:colOff>2966357</xdr:colOff>
      <xdr:row>19</xdr:row>
      <xdr:rowOff>303488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7334139" y="4554310"/>
          <a:ext cx="3739243"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Additional information</a:t>
          </a:r>
        </a:p>
        <a:p>
          <a:pPr algn="ctr"/>
          <a:endParaRPr lang="en-GB" sz="1400"/>
        </a:p>
        <a:p>
          <a:r>
            <a:rPr lang="en-GB" sz="1400"/>
            <a:t>1. #s can be placed in cells or</a:t>
          </a:r>
          <a:r>
            <a:rPr lang="en-GB" sz="1400" baseline="0"/>
            <a:t> cell comments</a:t>
          </a:r>
        </a:p>
        <a:p>
          <a:r>
            <a:rPr lang="en-GB" sz="1400" b="0" baseline="0">
              <a:solidFill>
                <a:sysClr val="windowText" lastClr="000000"/>
              </a:solidFill>
            </a:rPr>
            <a:t>2. There must be at least 2 #s for the comment to be picked up </a:t>
          </a:r>
        </a:p>
        <a:p>
          <a:r>
            <a:rPr lang="en-GB" sz="1400" b="0" baseline="0">
              <a:solidFill>
                <a:sysClr val="windowText" lastClr="000000"/>
              </a:solidFill>
            </a:rPr>
            <a:t>3. Colons and spaces between hashtags are optional</a:t>
          </a:r>
        </a:p>
        <a:p>
          <a:r>
            <a:rPr lang="en-GB" sz="1400" b="0" baseline="0">
              <a:solidFill>
                <a:sysClr val="windowText" lastClr="000000"/>
              </a:solidFill>
            </a:rPr>
            <a:t>4. Comments are optional </a:t>
          </a:r>
          <a:endParaRPr lang="en-GB" sz="1400" b="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628650</xdr:colOff>
      <xdr:row>1</xdr:row>
      <xdr:rowOff>95250</xdr:rowOff>
    </xdr:from>
    <xdr:to>
      <xdr:col>4</xdr:col>
      <xdr:colOff>2016288</xdr:colOff>
      <xdr:row>8</xdr:row>
      <xdr:rowOff>152400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29600" y="733425"/>
          <a:ext cx="1387638" cy="1390650"/>
        </a:xfrm>
        <a:prstGeom prst="rect">
          <a:avLst/>
        </a:prstGeom>
      </xdr:spPr>
    </xdr:pic>
    <xdr:clientData/>
  </xdr:twoCellAnchor>
  <xdr:twoCellAnchor editAs="oneCell">
    <xdr:from>
      <xdr:col>3</xdr:col>
      <xdr:colOff>1495425</xdr:colOff>
      <xdr:row>1</xdr:row>
      <xdr:rowOff>95250</xdr:rowOff>
    </xdr:from>
    <xdr:to>
      <xdr:col>4</xdr:col>
      <xdr:colOff>521256</xdr:colOff>
      <xdr:row>3</xdr:row>
      <xdr:rowOff>142875</xdr:rowOff>
    </xdr:to>
    <xdr:pic>
      <xdr:nvPicPr>
        <xdr:cNvPr id="4" name="Picture 3" descr="aetherlogo_313_small.gif">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stretch>
          <a:fillRect/>
        </a:stretch>
      </xdr:blipFill>
      <xdr:spPr>
        <a:xfrm>
          <a:off x="6591300" y="733425"/>
          <a:ext cx="1530906" cy="428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0</xdr:col>
      <xdr:colOff>1376362</xdr:colOff>
      <xdr:row>35</xdr:row>
      <xdr:rowOff>33336</xdr:rowOff>
    </xdr:from>
    <xdr:to>
      <xdr:col>3</xdr:col>
      <xdr:colOff>609599</xdr:colOff>
      <xdr:row>52</xdr:row>
      <xdr:rowOff>104775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42862</xdr:colOff>
      <xdr:row>35</xdr:row>
      <xdr:rowOff>42862</xdr:rowOff>
    </xdr:from>
    <xdr:to>
      <xdr:col>13</xdr:col>
      <xdr:colOff>342900</xdr:colOff>
      <xdr:row>52</xdr:row>
      <xdr:rowOff>85726</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338137</xdr:colOff>
      <xdr:row>32</xdr:row>
      <xdr:rowOff>4761</xdr:rowOff>
    </xdr:from>
    <xdr:to>
      <xdr:col>4</xdr:col>
      <xdr:colOff>533399</xdr:colOff>
      <xdr:row>49</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32</xdr:row>
      <xdr:rowOff>42861</xdr:rowOff>
    </xdr:from>
    <xdr:to>
      <xdr:col>15</xdr:col>
      <xdr:colOff>504825</xdr:colOff>
      <xdr:row>49</xdr:row>
      <xdr:rowOff>142874</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214312</xdr:colOff>
      <xdr:row>30</xdr:row>
      <xdr:rowOff>33336</xdr:rowOff>
    </xdr:from>
    <xdr:to>
      <xdr:col>2</xdr:col>
      <xdr:colOff>142874</xdr:colOff>
      <xdr:row>47</xdr:row>
      <xdr:rowOff>104775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90487</xdr:colOff>
      <xdr:row>30</xdr:row>
      <xdr:rowOff>23811</xdr:rowOff>
    </xdr:from>
    <xdr:to>
      <xdr:col>11</xdr:col>
      <xdr:colOff>390525</xdr:colOff>
      <xdr:row>47</xdr:row>
      <xdr:rowOff>123824</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540544</xdr:colOff>
      <xdr:row>29</xdr:row>
      <xdr:rowOff>154781</xdr:rowOff>
    </xdr:from>
    <xdr:to>
      <xdr:col>19</xdr:col>
      <xdr:colOff>607219</xdr:colOff>
      <xdr:row>44</xdr:row>
      <xdr:rowOff>173831</xdr:rowOff>
    </xdr:to>
    <xdr:graphicFrame macro="">
      <xdr:nvGraphicFramePr>
        <xdr:cNvPr id="2" name="Chart 1">
          <a:extLst>
            <a:ext uri="{FF2B5EF4-FFF2-40B4-BE49-F238E27FC236}">
              <a16:creationId xmlns:a16="http://schemas.microsoft.com/office/drawing/2014/main" id="{0AC66C25-9F59-441C-B3CF-FCC8B9523E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147637</xdr:colOff>
      <xdr:row>35</xdr:row>
      <xdr:rowOff>23811</xdr:rowOff>
    </xdr:from>
    <xdr:to>
      <xdr:col>2</xdr:col>
      <xdr:colOff>523874</xdr:colOff>
      <xdr:row>52</xdr:row>
      <xdr:rowOff>95250</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4762</xdr:colOff>
      <xdr:row>35</xdr:row>
      <xdr:rowOff>14286</xdr:rowOff>
    </xdr:from>
    <xdr:to>
      <xdr:col>11</xdr:col>
      <xdr:colOff>66675</xdr:colOff>
      <xdr:row>52</xdr:row>
      <xdr:rowOff>114299</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1</xdr:col>
      <xdr:colOff>338137</xdr:colOff>
      <xdr:row>34</xdr:row>
      <xdr:rowOff>4761</xdr:rowOff>
    </xdr:from>
    <xdr:to>
      <xdr:col>4</xdr:col>
      <xdr:colOff>533399</xdr:colOff>
      <xdr:row>51</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34</xdr:row>
      <xdr:rowOff>42861</xdr:rowOff>
    </xdr:from>
    <xdr:to>
      <xdr:col>15</xdr:col>
      <xdr:colOff>504825</xdr:colOff>
      <xdr:row>51</xdr:row>
      <xdr:rowOff>142874</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338137</xdr:colOff>
      <xdr:row>33</xdr:row>
      <xdr:rowOff>4761</xdr:rowOff>
    </xdr:from>
    <xdr:to>
      <xdr:col>4</xdr:col>
      <xdr:colOff>533399</xdr:colOff>
      <xdr:row>50</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33</xdr:row>
      <xdr:rowOff>42861</xdr:rowOff>
    </xdr:from>
    <xdr:to>
      <xdr:col>15</xdr:col>
      <xdr:colOff>504825</xdr:colOff>
      <xdr:row>50</xdr:row>
      <xdr:rowOff>142874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338137</xdr:colOff>
      <xdr:row>39</xdr:row>
      <xdr:rowOff>4761</xdr:rowOff>
    </xdr:from>
    <xdr:to>
      <xdr:col>4</xdr:col>
      <xdr:colOff>533399</xdr:colOff>
      <xdr:row>56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39</xdr:row>
      <xdr:rowOff>42861</xdr:rowOff>
    </xdr:from>
    <xdr:to>
      <xdr:col>15</xdr:col>
      <xdr:colOff>504825</xdr:colOff>
      <xdr:row>56</xdr:row>
      <xdr:rowOff>142874</xdr:rowOff>
    </xdr:to>
    <xdr:graphicFrame macro="">
      <xdr:nvGraphicFramePr>
        <xdr:cNvPr id="3" name="Chart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338137</xdr:colOff>
      <xdr:row>35</xdr:row>
      <xdr:rowOff>4761</xdr:rowOff>
    </xdr:from>
    <xdr:to>
      <xdr:col>4</xdr:col>
      <xdr:colOff>533399</xdr:colOff>
      <xdr:row>52</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35</xdr:row>
      <xdr:rowOff>42861</xdr:rowOff>
    </xdr:from>
    <xdr:to>
      <xdr:col>15</xdr:col>
      <xdr:colOff>504825</xdr:colOff>
      <xdr:row>52</xdr:row>
      <xdr:rowOff>142874</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338137</xdr:colOff>
      <xdr:row>30</xdr:row>
      <xdr:rowOff>4761</xdr:rowOff>
    </xdr:from>
    <xdr:to>
      <xdr:col>4</xdr:col>
      <xdr:colOff>533399</xdr:colOff>
      <xdr:row>47</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30</xdr:row>
      <xdr:rowOff>42861</xdr:rowOff>
    </xdr:from>
    <xdr:to>
      <xdr:col>15</xdr:col>
      <xdr:colOff>504825</xdr:colOff>
      <xdr:row>47</xdr:row>
      <xdr:rowOff>142874</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192881</xdr:colOff>
      <xdr:row>29</xdr:row>
      <xdr:rowOff>159543</xdr:rowOff>
    </xdr:from>
    <xdr:to>
      <xdr:col>22</xdr:col>
      <xdr:colOff>307181</xdr:colOff>
      <xdr:row>44</xdr:row>
      <xdr:rowOff>159543</xdr:rowOff>
    </xdr:to>
    <xdr:graphicFrame macro="">
      <xdr:nvGraphicFramePr>
        <xdr:cNvPr id="4" name="Chart 3">
          <a:extLst>
            <a:ext uri="{FF2B5EF4-FFF2-40B4-BE49-F238E27FC236}">
              <a16:creationId xmlns:a16="http://schemas.microsoft.com/office/drawing/2014/main" id="{2D79EA50-C83B-49A1-ACD4-26AF5C42C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5.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xdr:col>
      <xdr:colOff>338137</xdr:colOff>
      <xdr:row>47</xdr:row>
      <xdr:rowOff>4761</xdr:rowOff>
    </xdr:from>
    <xdr:to>
      <xdr:col>4</xdr:col>
      <xdr:colOff>533399</xdr:colOff>
      <xdr:row>64</xdr:row>
      <xdr:rowOff>76200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47</xdr:row>
      <xdr:rowOff>42861</xdr:rowOff>
    </xdr:from>
    <xdr:to>
      <xdr:col>15</xdr:col>
      <xdr:colOff>504825</xdr:colOff>
      <xdr:row>64</xdr:row>
      <xdr:rowOff>142874</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1685925</xdr:colOff>
      <xdr:row>44</xdr:row>
      <xdr:rowOff>4761</xdr:rowOff>
    </xdr:from>
    <xdr:to>
      <xdr:col>4</xdr:col>
      <xdr:colOff>533399</xdr:colOff>
      <xdr:row>61</xdr:row>
      <xdr:rowOff>76200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219076</xdr:colOff>
      <xdr:row>44</xdr:row>
      <xdr:rowOff>42861</xdr:rowOff>
    </xdr:from>
    <xdr:to>
      <xdr:col>15</xdr:col>
      <xdr:colOff>504826</xdr:colOff>
      <xdr:row>61</xdr:row>
      <xdr:rowOff>142874</xdr:rowOff>
    </xdr:to>
    <xdr:graphicFrame macro="">
      <xdr:nvGraphicFramePr>
        <xdr:cNvPr id="3" name="Chart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1685925</xdr:colOff>
      <xdr:row>52</xdr:row>
      <xdr:rowOff>4761</xdr:rowOff>
    </xdr:from>
    <xdr:to>
      <xdr:col>4</xdr:col>
      <xdr:colOff>533399</xdr:colOff>
      <xdr:row>69</xdr:row>
      <xdr:rowOff>76200</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219076</xdr:colOff>
      <xdr:row>52</xdr:row>
      <xdr:rowOff>42861</xdr:rowOff>
    </xdr:from>
    <xdr:to>
      <xdr:col>15</xdr:col>
      <xdr:colOff>504826</xdr:colOff>
      <xdr:row>69</xdr:row>
      <xdr:rowOff>142874</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338137</xdr:colOff>
      <xdr:row>26</xdr:row>
      <xdr:rowOff>4761</xdr:rowOff>
    </xdr:from>
    <xdr:to>
      <xdr:col>4</xdr:col>
      <xdr:colOff>533399</xdr:colOff>
      <xdr:row>43</xdr:row>
      <xdr:rowOff>76200</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26</xdr:row>
      <xdr:rowOff>42861</xdr:rowOff>
    </xdr:from>
    <xdr:to>
      <xdr:col>15</xdr:col>
      <xdr:colOff>504825</xdr:colOff>
      <xdr:row>43</xdr:row>
      <xdr:rowOff>142874</xdr:rowOff>
    </xdr:to>
    <xdr:graphicFrame macro="">
      <xdr:nvGraphicFramePr>
        <xdr:cNvPr id="3" name="Chart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338137</xdr:colOff>
      <xdr:row>26</xdr:row>
      <xdr:rowOff>4761</xdr:rowOff>
    </xdr:from>
    <xdr:to>
      <xdr:col>4</xdr:col>
      <xdr:colOff>533399</xdr:colOff>
      <xdr:row>43</xdr:row>
      <xdr:rowOff>76200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26</xdr:row>
      <xdr:rowOff>42861</xdr:rowOff>
    </xdr:from>
    <xdr:to>
      <xdr:col>15</xdr:col>
      <xdr:colOff>504825</xdr:colOff>
      <xdr:row>43</xdr:row>
      <xdr:rowOff>142874</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45243</xdr:colOff>
      <xdr:row>26</xdr:row>
      <xdr:rowOff>21431</xdr:rowOff>
    </xdr:from>
    <xdr:to>
      <xdr:col>22</xdr:col>
      <xdr:colOff>159543</xdr:colOff>
      <xdr:row>41</xdr:row>
      <xdr:rowOff>21431</xdr:rowOff>
    </xdr:to>
    <xdr:graphicFrame macro="">
      <xdr:nvGraphicFramePr>
        <xdr:cNvPr id="4" name="Chart 3">
          <a:extLst>
            <a:ext uri="{FF2B5EF4-FFF2-40B4-BE49-F238E27FC236}">
              <a16:creationId xmlns:a16="http://schemas.microsoft.com/office/drawing/2014/main" id="{79733672-E906-4326-B37F-9891B8C8B6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xdr:wsDr xmlns:xdr="http://schemas.openxmlformats.org/drawingml/2006/spreadsheetDrawing" xmlns:a="http://schemas.openxmlformats.org/drawingml/2006/main">
  <xdr:twoCellAnchor>
    <xdr:from>
      <xdr:col>1</xdr:col>
      <xdr:colOff>338137</xdr:colOff>
      <xdr:row>27</xdr:row>
      <xdr:rowOff>4761</xdr:rowOff>
    </xdr:from>
    <xdr:to>
      <xdr:col>4</xdr:col>
      <xdr:colOff>533399</xdr:colOff>
      <xdr:row>44</xdr:row>
      <xdr:rowOff>76200</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27</xdr:row>
      <xdr:rowOff>42861</xdr:rowOff>
    </xdr:from>
    <xdr:to>
      <xdr:col>15</xdr:col>
      <xdr:colOff>504825</xdr:colOff>
      <xdr:row>44</xdr:row>
      <xdr:rowOff>142874</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338137</xdr:colOff>
      <xdr:row>27</xdr:row>
      <xdr:rowOff>4761</xdr:rowOff>
    </xdr:from>
    <xdr:to>
      <xdr:col>4</xdr:col>
      <xdr:colOff>533399</xdr:colOff>
      <xdr:row>44</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27</xdr:row>
      <xdr:rowOff>42861</xdr:rowOff>
    </xdr:from>
    <xdr:to>
      <xdr:col>15</xdr:col>
      <xdr:colOff>504825</xdr:colOff>
      <xdr:row>44</xdr:row>
      <xdr:rowOff>142874</xdr:rowOff>
    </xdr:to>
    <xdr:graphicFrame macro="">
      <xdr:nvGraphicFramePr>
        <xdr:cNvPr id="3" name="Chart 2">
          <a:extLst>
            <a:ext uri="{FF2B5EF4-FFF2-40B4-BE49-F238E27FC236}">
              <a16:creationId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2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xdr:twoCellAnchor>
    <xdr:from>
      <xdr:col>1</xdr:col>
      <xdr:colOff>42862</xdr:colOff>
      <xdr:row>162</xdr:row>
      <xdr:rowOff>185736</xdr:rowOff>
    </xdr:from>
    <xdr:to>
      <xdr:col>3</xdr:col>
      <xdr:colOff>771525</xdr:colOff>
      <xdr:row>180</xdr:row>
      <xdr:rowOff>95249</xdr:rowOff>
    </xdr:to>
    <xdr:graphicFrame macro="">
      <xdr:nvGraphicFramePr>
        <xdr:cNvPr id="3" name="Chart 2">
          <a:extLst>
            <a:ext uri="{FF2B5EF4-FFF2-40B4-BE49-F238E27FC236}">
              <a16:creationId xmlns:a16="http://schemas.microsoft.com/office/drawing/2014/main" id="{00000000-0008-0000-2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42862</xdr:colOff>
      <xdr:row>54</xdr:row>
      <xdr:rowOff>185736</xdr:rowOff>
    </xdr:from>
    <xdr:to>
      <xdr:col>3</xdr:col>
      <xdr:colOff>771525</xdr:colOff>
      <xdr:row>72</xdr:row>
      <xdr:rowOff>95249</xdr:rowOff>
    </xdr:to>
    <xdr:graphicFrame macro="">
      <xdr:nvGraphicFramePr>
        <xdr:cNvPr id="2" name="Chart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42862</xdr:colOff>
      <xdr:row>43</xdr:row>
      <xdr:rowOff>185736</xdr:rowOff>
    </xdr:from>
    <xdr:to>
      <xdr:col>3</xdr:col>
      <xdr:colOff>771525</xdr:colOff>
      <xdr:row>61</xdr:row>
      <xdr:rowOff>95249</xdr:rowOff>
    </xdr:to>
    <xdr:graphicFrame macro="">
      <xdr:nvGraphicFramePr>
        <xdr:cNvPr id="2" name="Chart 1">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42862</xdr:colOff>
      <xdr:row>43</xdr:row>
      <xdr:rowOff>185736</xdr:rowOff>
    </xdr:from>
    <xdr:to>
      <xdr:col>3</xdr:col>
      <xdr:colOff>771525</xdr:colOff>
      <xdr:row>61</xdr:row>
      <xdr:rowOff>95249</xdr:rowOff>
    </xdr:to>
    <xdr:graphicFrame macro="">
      <xdr:nvGraphicFramePr>
        <xdr:cNvPr id="2" name="Chart 1">
          <a:extLst>
            <a:ext uri="{FF2B5EF4-FFF2-40B4-BE49-F238E27FC236}">
              <a16:creationId xmlns:a16="http://schemas.microsoft.com/office/drawing/2014/main" id="{00000000-0008-0000-2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My%20Drive\Consulting\2018Projects\GIZ%20BUR%20Review\Review\BUR3-ReviewChecklist-v1_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BUR3 Reviewer comments"/>
      <sheetName val="BUR3 Internal DEA comments"/>
      <sheetName val="BUR3 Public comments"/>
      <sheetName val="GHG Inventory review comments"/>
      <sheetName val="Assessment of additional themes"/>
      <sheetName val="Sheet1"/>
    </sheetNames>
    <sheetDataSet>
      <sheetData sheetId="0"/>
      <sheetData sheetId="1"/>
      <sheetData sheetId="2"/>
      <sheetData sheetId="3"/>
      <sheetData sheetId="4"/>
      <sheetData sheetId="5"/>
      <sheetData sheetId="6">
        <row r="7">
          <cell r="A7" t="str">
            <v>Completed</v>
          </cell>
        </row>
        <row r="8">
          <cell r="A8" t="str">
            <v>Still to be incorporated</v>
          </cell>
        </row>
        <row r="9">
          <cell r="A9" t="str">
            <v>Address in 2017 inventory</v>
          </cell>
        </row>
        <row r="10">
          <cell r="A10" t="str">
            <v>Add to future improvement list</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QALog" displayName="QALog" ref="B21:O186" totalsRowShown="0" headerRowDxfId="43">
  <autoFilter ref="B21:O186" xr:uid="{00000000-0009-0000-0100-000001000000}"/>
  <tableColumns count="14">
    <tableColumn id="14" xr3:uid="{00000000-0010-0000-0000-00000E000000}" name="Unique reference" dataDxfId="42" dataCellStyle="Normal 5 33">
      <calculatedColumnFormula>QALog[[#This Row],[QA analyst]]&amp;":"&amp;QALog[[#This Row],[QA analysts reference]]</calculatedColumnFormula>
    </tableColumn>
    <tableColumn id="1" xr3:uid="{00000000-0010-0000-0000-000001000000}" name="QA analysts reference"/>
    <tableColumn id="2" xr3:uid="{00000000-0010-0000-0000-000002000000}" name="QA analyst"/>
    <tableColumn id="3" xr3:uid="{00000000-0010-0000-0000-000003000000}" name="Worksheet "/>
    <tableColumn id="4" xr3:uid="{00000000-0010-0000-0000-000004000000}" name="Cell/Range"/>
    <tableColumn id="16" xr3:uid="{00000000-0010-0000-0000-000010000000}" name="Link to comment" dataDxfId="41" dataCellStyle="Hyperlink">
      <calculatedColumnFormula>IF(QALog[[#This Row],[Worksheet ]]="","",HYPERLINK("#'"&amp;QALog[[#This Row],[Worksheet ]]&amp;"'!"&amp;QALog[[#This Row],[Cell/Range]]&amp;"", "GoTo Cell"))</calculatedColumnFormula>
    </tableColumn>
    <tableColumn id="17" xr3:uid="{00000000-0010-0000-0000-000011000000}" name="Date comment added" dataDxfId="40"/>
    <tableColumn id="20" xr3:uid="{00000000-0010-0000-0000-000014000000}" name="Documentation"/>
    <tableColumn id="6" xr3:uid="{00000000-0010-0000-0000-000006000000}" name="Problem"/>
    <tableColumn id="27" xr3:uid="{00000000-0010-0000-0000-00001B000000}" name="Fix Status"/>
    <tableColumn id="26" xr3:uid="{00000000-0010-0000-0000-00001A000000}" name="Fix Status Date" dataDxfId="39"/>
    <tableColumn id="25" xr3:uid="{00000000-0010-0000-0000-000019000000}" name="Fix Status Analyst"/>
    <tableColumn id="24" xr3:uid="{00000000-0010-0000-0000-000018000000}" name="Unknown Hashtag" dataDxfId="38"/>
    <tableColumn id="22" xr3:uid="{00000000-0010-0000-0000-000016000000}" name="Full String"/>
  </tableColumns>
  <tableStyleInfo name="TableStyleLight1" showFirstColumn="1"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7.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5.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8.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outlinePr summaryBelow="0" summaryRight="0"/>
    <pageSetUpPr fitToPage="1"/>
  </sheetPr>
  <dimension ref="A2:Q186"/>
  <sheetViews>
    <sheetView showGridLines="0" topLeftCell="A117" zoomScale="70" zoomScaleNormal="70" workbookViewId="0">
      <selection activeCell="B22" sqref="B22"/>
    </sheetView>
  </sheetViews>
  <sheetFormatPr defaultColWidth="9.140625" defaultRowHeight="15" outlineLevelRow="1" x14ac:dyDescent="0.25"/>
  <cols>
    <col min="1" max="1" width="2.7109375" style="136" customWidth="1"/>
    <col min="2" max="2" width="9.140625" style="136"/>
    <col min="3" max="3" width="12.5703125" style="136" customWidth="1"/>
    <col min="4" max="4" width="38.5703125" style="136" customWidth="1"/>
    <col min="5" max="5" width="29.28515625" style="139" customWidth="1"/>
    <col min="6" max="6" width="21.85546875" style="141" customWidth="1"/>
    <col min="7" max="7" width="27.85546875" style="136" customWidth="1"/>
    <col min="8" max="8" width="43.5703125" style="136" customWidth="1"/>
    <col min="9" max="9" width="19.28515625" style="136" customWidth="1"/>
    <col min="10" max="10" width="22.140625" style="136" customWidth="1"/>
    <col min="11" max="13" width="14.85546875" style="136" customWidth="1"/>
    <col min="14" max="14" width="45.5703125" style="136" customWidth="1"/>
    <col min="15" max="15" width="14.85546875" style="136" customWidth="1"/>
    <col min="17" max="16384" width="9.140625" style="136"/>
  </cols>
  <sheetData>
    <row r="2" spans="1:16" ht="146.25" customHeight="1" x14ac:dyDescent="0.25">
      <c r="A2" s="134"/>
      <c r="B2" s="134"/>
      <c r="C2" s="134"/>
      <c r="D2" s="134"/>
      <c r="E2" s="134"/>
      <c r="F2" s="135" t="s">
        <v>0</v>
      </c>
      <c r="I2" s="244" t="s">
        <v>1</v>
      </c>
      <c r="J2" s="244"/>
      <c r="K2" s="244"/>
      <c r="L2" s="244"/>
      <c r="M2" s="244"/>
      <c r="N2" s="134"/>
      <c r="O2" s="134"/>
    </row>
    <row r="3" spans="1:16" ht="25.5" customHeight="1" x14ac:dyDescent="0.35">
      <c r="A3" s="137"/>
      <c r="C3" s="137"/>
      <c r="D3" s="138" t="s">
        <v>2</v>
      </c>
      <c r="F3" s="136"/>
    </row>
    <row r="4" spans="1:16" ht="24" customHeight="1" x14ac:dyDescent="0.25">
      <c r="D4" s="140" t="s">
        <v>3</v>
      </c>
      <c r="E4" s="140" t="s">
        <v>4</v>
      </c>
    </row>
    <row r="5" spans="1:16" s="146" customFormat="1" ht="37.5" customHeight="1" x14ac:dyDescent="0.4">
      <c r="A5" s="142"/>
      <c r="B5" s="142"/>
      <c r="C5" s="143" t="s">
        <v>5</v>
      </c>
      <c r="D5" s="142"/>
      <c r="E5" s="142"/>
      <c r="F5" s="144"/>
      <c r="G5" s="145"/>
      <c r="H5" s="142"/>
      <c r="I5" s="142"/>
      <c r="J5" s="142"/>
      <c r="K5" s="142"/>
      <c r="L5" s="142"/>
      <c r="M5" s="142"/>
      <c r="N5" s="142"/>
      <c r="O5" s="142"/>
      <c r="P5" s="142"/>
    </row>
    <row r="6" spans="1:16" s="68" customFormat="1" ht="25.5" customHeight="1" thickBot="1" x14ac:dyDescent="0.45">
      <c r="A6" s="147"/>
      <c r="B6" s="147"/>
      <c r="C6" s="148"/>
      <c r="D6" s="147"/>
      <c r="E6" s="147"/>
      <c r="F6" s="149"/>
      <c r="G6" s="150"/>
      <c r="H6" s="147"/>
      <c r="I6" s="147"/>
      <c r="J6" s="147"/>
      <c r="K6" s="147"/>
      <c r="L6" s="147"/>
      <c r="M6" s="147"/>
      <c r="N6" s="147"/>
      <c r="O6" s="147"/>
      <c r="P6" s="147"/>
    </row>
    <row r="7" spans="1:16" customFormat="1" ht="33.75" customHeight="1" x14ac:dyDescent="0.25">
      <c r="A7" s="151"/>
      <c r="B7" s="136"/>
      <c r="C7" s="136"/>
      <c r="D7" s="136"/>
      <c r="E7" s="139"/>
      <c r="F7" s="152"/>
      <c r="G7" s="153"/>
      <c r="H7" s="136"/>
      <c r="I7" s="136"/>
      <c r="J7" s="136"/>
      <c r="K7" s="136"/>
      <c r="L7" s="136"/>
      <c r="M7" s="136"/>
      <c r="N7" s="136"/>
      <c r="O7" s="136"/>
      <c r="P7" s="136"/>
    </row>
    <row r="8" spans="1:16" customFormat="1" x14ac:dyDescent="0.25">
      <c r="A8" s="151"/>
      <c r="B8" s="136"/>
      <c r="C8" s="136"/>
      <c r="D8" s="136"/>
      <c r="E8" s="139"/>
      <c r="F8" s="154"/>
      <c r="G8" s="155"/>
      <c r="H8" s="136"/>
      <c r="I8" s="136"/>
      <c r="J8" s="136"/>
      <c r="K8" s="136"/>
      <c r="L8" s="136"/>
      <c r="M8" s="136"/>
      <c r="N8" s="136"/>
      <c r="O8" s="136"/>
      <c r="P8" s="136"/>
    </row>
    <row r="9" spans="1:16" customFormat="1" ht="15.75" thickBot="1" x14ac:dyDescent="0.3">
      <c r="A9" s="151"/>
      <c r="B9" s="136"/>
      <c r="C9" s="136"/>
      <c r="D9" s="136"/>
      <c r="E9" s="139"/>
      <c r="F9" s="154"/>
      <c r="G9" s="156"/>
      <c r="H9" s="157"/>
      <c r="I9" s="136"/>
      <c r="J9" s="136"/>
      <c r="K9" s="136"/>
      <c r="L9" s="136"/>
      <c r="M9" s="136"/>
      <c r="N9" s="136"/>
      <c r="O9" s="136"/>
      <c r="P9" s="136"/>
    </row>
    <row r="10" spans="1:16" customFormat="1" x14ac:dyDescent="0.25">
      <c r="A10" s="151"/>
      <c r="B10" s="136"/>
      <c r="C10" s="136"/>
      <c r="D10" s="136"/>
      <c r="E10" s="139"/>
      <c r="F10" s="158"/>
      <c r="G10" s="159"/>
      <c r="H10" s="136"/>
      <c r="I10" s="136"/>
      <c r="J10" s="136"/>
      <c r="K10" s="136"/>
      <c r="L10" s="136"/>
      <c r="M10" s="136"/>
      <c r="N10" s="136"/>
      <c r="O10" s="136"/>
      <c r="P10" s="136"/>
    </row>
    <row r="11" spans="1:16" s="23" customFormat="1" x14ac:dyDescent="0.25">
      <c r="A11" s="151"/>
      <c r="B11" s="160"/>
      <c r="C11" s="161"/>
      <c r="D11" s="160"/>
      <c r="E11" s="162"/>
      <c r="F11" s="162"/>
      <c r="G11" s="162"/>
      <c r="H11" s="162"/>
      <c r="I11" s="162"/>
      <c r="J11" s="162"/>
      <c r="L11" s="162"/>
      <c r="M11" s="162"/>
      <c r="N11" s="162"/>
      <c r="O11" s="162"/>
      <c r="P11" s="160"/>
    </row>
    <row r="12" spans="1:16" s="23" customFormat="1" outlineLevel="1" x14ac:dyDescent="0.25">
      <c r="A12" s="151"/>
      <c r="B12" s="160"/>
      <c r="C12" s="161"/>
      <c r="D12" s="160"/>
      <c r="E12" s="162"/>
      <c r="F12" s="162"/>
      <c r="G12" s="162"/>
      <c r="H12" s="162"/>
      <c r="I12" s="162"/>
      <c r="J12" s="162"/>
      <c r="L12" s="162"/>
      <c r="M12" s="162"/>
      <c r="N12" s="162"/>
      <c r="O12" s="162"/>
      <c r="P12" s="160"/>
    </row>
    <row r="13" spans="1:16" s="23" customFormat="1" outlineLevel="1" x14ac:dyDescent="0.25">
      <c r="A13" s="151"/>
      <c r="B13" s="160"/>
      <c r="C13" s="161"/>
      <c r="D13" s="160"/>
      <c r="E13" s="162"/>
      <c r="F13" s="162"/>
      <c r="G13" s="162"/>
      <c r="H13" s="162"/>
      <c r="I13" s="162"/>
      <c r="J13" s="162"/>
      <c r="L13" s="162"/>
      <c r="M13" s="162"/>
      <c r="N13" s="162"/>
      <c r="O13" s="162"/>
      <c r="P13" s="160"/>
    </row>
    <row r="14" spans="1:16" s="23" customFormat="1" outlineLevel="1" x14ac:dyDescent="0.25">
      <c r="A14" s="151"/>
      <c r="B14" s="160"/>
      <c r="C14" s="161"/>
      <c r="D14" s="160"/>
      <c r="E14" s="162"/>
      <c r="F14" s="162"/>
      <c r="G14" s="162"/>
      <c r="H14" s="162"/>
      <c r="I14" s="162"/>
      <c r="J14" s="162"/>
      <c r="L14" s="162"/>
      <c r="M14" s="162"/>
      <c r="N14" s="162"/>
      <c r="O14" s="162"/>
      <c r="P14" s="160"/>
    </row>
    <row r="15" spans="1:16" s="23" customFormat="1" outlineLevel="1" x14ac:dyDescent="0.25">
      <c r="A15" s="151"/>
      <c r="B15" s="160"/>
      <c r="C15" s="161"/>
      <c r="D15" s="160"/>
      <c r="E15" s="162"/>
      <c r="F15" s="162"/>
      <c r="G15" s="162"/>
      <c r="H15" s="162"/>
      <c r="I15" s="162"/>
      <c r="J15" s="162"/>
      <c r="L15" s="162"/>
      <c r="M15" s="162"/>
      <c r="N15" s="162"/>
      <c r="O15" s="162"/>
      <c r="P15" s="160"/>
    </row>
    <row r="16" spans="1:16" s="23" customFormat="1" outlineLevel="1" x14ac:dyDescent="0.25">
      <c r="A16" s="151"/>
      <c r="B16" s="160"/>
      <c r="C16" s="161"/>
      <c r="D16" s="160"/>
      <c r="E16" s="162"/>
      <c r="F16" s="162"/>
      <c r="G16" s="162"/>
      <c r="H16" s="162"/>
      <c r="I16" s="162"/>
      <c r="J16" s="162"/>
      <c r="L16" s="162"/>
      <c r="M16" s="162"/>
      <c r="N16" s="162"/>
      <c r="O16" s="162"/>
      <c r="P16" s="160"/>
    </row>
    <row r="17" spans="1:17" s="23" customFormat="1" outlineLevel="1" x14ac:dyDescent="0.25">
      <c r="A17" s="151"/>
      <c r="B17" s="160"/>
      <c r="C17" s="161"/>
      <c r="D17" s="160"/>
      <c r="E17" s="162"/>
      <c r="F17" s="162"/>
      <c r="G17" s="162"/>
      <c r="H17" s="162"/>
      <c r="I17" s="162"/>
      <c r="J17" s="162"/>
      <c r="L17" s="162"/>
      <c r="M17" s="162"/>
      <c r="N17" s="162"/>
      <c r="O17" s="162"/>
      <c r="P17" s="160"/>
    </row>
    <row r="18" spans="1:17" s="23" customFormat="1" outlineLevel="1" x14ac:dyDescent="0.25">
      <c r="A18" s="151"/>
      <c r="B18" s="160"/>
      <c r="C18" s="161"/>
      <c r="D18" s="160"/>
      <c r="E18" s="162"/>
      <c r="F18" s="162"/>
      <c r="G18" s="162"/>
      <c r="H18" s="162"/>
      <c r="I18" s="162"/>
      <c r="J18" s="162"/>
      <c r="L18" s="162"/>
      <c r="M18" s="162"/>
      <c r="N18" s="162"/>
      <c r="O18" s="162"/>
      <c r="P18" s="160"/>
    </row>
    <row r="19" spans="1:17" customFormat="1" ht="51" customHeight="1" outlineLevel="1" x14ac:dyDescent="0.25">
      <c r="A19" s="151"/>
      <c r="B19" s="136"/>
      <c r="C19" s="163"/>
      <c r="D19" s="163"/>
      <c r="E19" s="163"/>
      <c r="F19" s="163"/>
      <c r="G19" s="163"/>
      <c r="H19" s="163"/>
      <c r="I19" s="163"/>
      <c r="J19" s="163"/>
      <c r="K19" s="163"/>
      <c r="L19" s="163"/>
      <c r="M19" s="163"/>
      <c r="N19" s="163"/>
      <c r="O19" s="163"/>
      <c r="P19" s="136"/>
    </row>
    <row r="20" spans="1:17" customFormat="1" ht="37.5" customHeight="1" outlineLevel="1" x14ac:dyDescent="0.25">
      <c r="A20" s="151"/>
      <c r="B20" s="164"/>
      <c r="C20" s="163"/>
      <c r="D20" s="165"/>
      <c r="E20" s="165"/>
      <c r="F20" s="165"/>
      <c r="G20" s="165"/>
      <c r="H20" s="166"/>
      <c r="I20" s="166"/>
      <c r="J20" s="166"/>
      <c r="K20" s="166"/>
      <c r="L20" s="166"/>
      <c r="M20" s="166"/>
      <c r="N20" s="166"/>
      <c r="O20" s="166"/>
      <c r="P20" s="166"/>
      <c r="Q20" s="166"/>
    </row>
    <row r="21" spans="1:17" customFormat="1" ht="66.75" customHeight="1" x14ac:dyDescent="0.25">
      <c r="A21" s="136"/>
      <c r="B21" s="167" t="s">
        <v>6</v>
      </c>
      <c r="C21" s="168" t="s">
        <v>7</v>
      </c>
      <c r="D21" s="169" t="s">
        <v>8</v>
      </c>
      <c r="E21" s="170" t="s">
        <v>9</v>
      </c>
      <c r="F21" s="170" t="s">
        <v>10</v>
      </c>
      <c r="G21" s="169" t="s">
        <v>11</v>
      </c>
      <c r="H21" s="169" t="s">
        <v>12</v>
      </c>
      <c r="I21" s="169" t="s">
        <v>13</v>
      </c>
      <c r="J21" s="169" t="s">
        <v>14</v>
      </c>
      <c r="K21" s="167" t="s">
        <v>15</v>
      </c>
      <c r="L21" s="167" t="s">
        <v>16</v>
      </c>
      <c r="M21" s="167" t="s">
        <v>17</v>
      </c>
      <c r="N21" s="167" t="s">
        <v>18</v>
      </c>
      <c r="O21" s="139" t="s">
        <v>19</v>
      </c>
    </row>
    <row r="22" spans="1:17" customFormat="1" ht="15.75" outlineLevel="1" x14ac:dyDescent="0.25">
      <c r="A22" s="136"/>
      <c r="B22" s="171" t="str">
        <f>QALog[[#This Row],[QA analyst]]&amp;":"&amp;QALog[[#This Row],[QA analysts reference]]</f>
        <v>#LS:1</v>
      </c>
      <c r="C22">
        <v>1</v>
      </c>
      <c r="D22" t="s">
        <v>20</v>
      </c>
      <c r="E22" s="176" t="s">
        <v>21</v>
      </c>
      <c r="F22" t="s">
        <v>22</v>
      </c>
      <c r="G22" s="172" t="str">
        <f>IF(QALog[[#This Row],[Worksheet ]]="","",HYPERLINK("#'"&amp;QALog[[#This Row],[Worksheet ]]&amp;"'!"&amp;QALog[[#This Row],[Cell/Range]]&amp;"", "GoTo Cell"))</f>
        <v>GoTo Cell</v>
      </c>
      <c r="H22" s="173">
        <v>43074</v>
      </c>
      <c r="I22" t="s">
        <v>23</v>
      </c>
      <c r="L22" s="173"/>
      <c r="N22" s="14"/>
      <c r="O22" t="s">
        <v>24</v>
      </c>
    </row>
    <row r="23" spans="1:17" customFormat="1" ht="15.75" outlineLevel="1" x14ac:dyDescent="0.25">
      <c r="A23" s="136"/>
      <c r="B23" s="171" t="str">
        <f>QALog[[#This Row],[QA analyst]]&amp;":"&amp;QALog[[#This Row],[QA analysts reference]]</f>
        <v>#LS:2</v>
      </c>
      <c r="C23">
        <v>2</v>
      </c>
      <c r="D23" t="s">
        <v>20</v>
      </c>
      <c r="E23" s="176" t="s">
        <v>25</v>
      </c>
      <c r="F23" t="s">
        <v>26</v>
      </c>
      <c r="G23" s="172" t="str">
        <f>IF(QALog[[#This Row],[Worksheet ]]="","",HYPERLINK("#'"&amp;QALog[[#This Row],[Worksheet ]]&amp;"'!"&amp;QALog[[#This Row],[Cell/Range]]&amp;"", "GoTo Cell"))</f>
        <v>GoTo Cell</v>
      </c>
      <c r="H23" s="173">
        <v>42870</v>
      </c>
      <c r="J23" t="s">
        <v>27</v>
      </c>
      <c r="L23" s="173"/>
      <c r="N23" s="14"/>
      <c r="O23" t="s">
        <v>28</v>
      </c>
    </row>
    <row r="24" spans="1:17" customFormat="1" ht="15.75" outlineLevel="1" x14ac:dyDescent="0.25">
      <c r="A24" s="136"/>
      <c r="B24" s="171" t="str">
        <f>QALog[[#This Row],[QA analyst]]&amp;":"&amp;QALog[[#This Row],[QA analysts reference]]</f>
        <v>#LS:3</v>
      </c>
      <c r="C24">
        <v>3</v>
      </c>
      <c r="D24" t="s">
        <v>20</v>
      </c>
      <c r="E24" s="176" t="s">
        <v>29</v>
      </c>
      <c r="F24" t="s">
        <v>30</v>
      </c>
      <c r="G24" s="172" t="str">
        <f>IF(QALog[[#This Row],[Worksheet ]]="","",HYPERLINK("#'"&amp;QALog[[#This Row],[Worksheet ]]&amp;"'!"&amp;QALog[[#This Row],[Cell/Range]]&amp;"", "GoTo Cell"))</f>
        <v>GoTo Cell</v>
      </c>
      <c r="H24" s="173">
        <v>42801</v>
      </c>
      <c r="I24" t="s">
        <v>23</v>
      </c>
      <c r="L24" s="173"/>
      <c r="N24" s="14"/>
      <c r="O24" t="s">
        <v>31</v>
      </c>
    </row>
    <row r="25" spans="1:17" customFormat="1" ht="15.75" outlineLevel="1" x14ac:dyDescent="0.25">
      <c r="A25" s="136"/>
      <c r="B25" s="171" t="str">
        <f>QALog[[#This Row],[QA analyst]]&amp;":"&amp;QALog[[#This Row],[QA analysts reference]]</f>
        <v>#LS:4</v>
      </c>
      <c r="C25">
        <v>4</v>
      </c>
      <c r="D25" t="s">
        <v>20</v>
      </c>
      <c r="E25" s="176" t="s">
        <v>29</v>
      </c>
      <c r="F25" t="s">
        <v>32</v>
      </c>
      <c r="G25" s="172" t="str">
        <f>IF(QALog[[#This Row],[Worksheet ]]="","",HYPERLINK("#'"&amp;QALog[[#This Row],[Worksheet ]]&amp;"'!"&amp;QALog[[#This Row],[Cell/Range]]&amp;"", "GoTo Cell"))</f>
        <v>GoTo Cell</v>
      </c>
      <c r="H25" s="173">
        <v>43447</v>
      </c>
      <c r="J25" t="s">
        <v>33</v>
      </c>
      <c r="L25" s="173"/>
      <c r="N25" s="14"/>
      <c r="O25" t="s">
        <v>34</v>
      </c>
    </row>
    <row r="26" spans="1:17" customFormat="1" ht="15.75" outlineLevel="1" x14ac:dyDescent="0.25">
      <c r="A26" s="136"/>
      <c r="B26" s="171" t="str">
        <f>QALog[[#This Row],[QA analyst]]&amp;":"&amp;QALog[[#This Row],[QA analysts reference]]</f>
        <v>#LS:5</v>
      </c>
      <c r="C26">
        <v>5</v>
      </c>
      <c r="D26" t="s">
        <v>20</v>
      </c>
      <c r="E26" s="176" t="s">
        <v>29</v>
      </c>
      <c r="F26" t="s">
        <v>35</v>
      </c>
      <c r="G26" s="172" t="str">
        <f>IF(QALog[[#This Row],[Worksheet ]]="","",HYPERLINK("#'"&amp;QALog[[#This Row],[Worksheet ]]&amp;"'!"&amp;QALog[[#This Row],[Cell/Range]]&amp;"", "GoTo Cell"))</f>
        <v>GoTo Cell</v>
      </c>
      <c r="H26" s="173">
        <v>43447</v>
      </c>
      <c r="J26" t="s">
        <v>36</v>
      </c>
      <c r="L26" s="173"/>
      <c r="N26" s="14"/>
      <c r="O26" t="s">
        <v>37</v>
      </c>
    </row>
    <row r="27" spans="1:17" customFormat="1" ht="15.75" outlineLevel="1" x14ac:dyDescent="0.25">
      <c r="A27" s="136"/>
      <c r="B27" s="171" t="str">
        <f>QALog[[#This Row],[QA analyst]]&amp;":"&amp;QALog[[#This Row],[QA analysts reference]]</f>
        <v>#LS:6</v>
      </c>
      <c r="C27">
        <v>6</v>
      </c>
      <c r="D27" t="s">
        <v>20</v>
      </c>
      <c r="E27" s="176" t="s">
        <v>29</v>
      </c>
      <c r="F27" t="s">
        <v>38</v>
      </c>
      <c r="G27" s="172" t="str">
        <f>IF(QALog[[#This Row],[Worksheet ]]="","",HYPERLINK("#'"&amp;QALog[[#This Row],[Worksheet ]]&amp;"'!"&amp;QALog[[#This Row],[Cell/Range]]&amp;"", "GoTo Cell"))</f>
        <v>GoTo Cell</v>
      </c>
      <c r="H27" s="173">
        <v>43447</v>
      </c>
      <c r="J27" t="s">
        <v>36</v>
      </c>
      <c r="L27" s="173"/>
      <c r="N27" s="14"/>
      <c r="O27" t="s">
        <v>39</v>
      </c>
    </row>
    <row r="28" spans="1:17" customFormat="1" ht="15.75" outlineLevel="1" x14ac:dyDescent="0.25">
      <c r="A28" s="136"/>
      <c r="B28" s="171" t="str">
        <f>QALog[[#This Row],[QA analyst]]&amp;":"&amp;QALog[[#This Row],[QA analysts reference]]</f>
        <v>#LS:7</v>
      </c>
      <c r="C28">
        <v>7</v>
      </c>
      <c r="D28" t="s">
        <v>20</v>
      </c>
      <c r="E28" s="176" t="s">
        <v>29</v>
      </c>
      <c r="F28" t="s">
        <v>40</v>
      </c>
      <c r="G28" s="172" t="str">
        <f>IF(QALog[[#This Row],[Worksheet ]]="","",HYPERLINK("#'"&amp;QALog[[#This Row],[Worksheet ]]&amp;"'!"&amp;QALog[[#This Row],[Cell/Range]]&amp;"", "GoTo Cell"))</f>
        <v>GoTo Cell</v>
      </c>
      <c r="H28" s="173">
        <v>43447</v>
      </c>
      <c r="I28" t="s">
        <v>23</v>
      </c>
      <c r="L28" s="173"/>
      <c r="N28" s="14"/>
      <c r="O28" t="s">
        <v>41</v>
      </c>
    </row>
    <row r="29" spans="1:17" ht="15.75" outlineLevel="1" x14ac:dyDescent="0.25">
      <c r="B29" s="171" t="str">
        <f>QALog[[#This Row],[QA analyst]]&amp;":"&amp;QALog[[#This Row],[QA analysts reference]]</f>
        <v>#LS:8</v>
      </c>
      <c r="C29">
        <v>8</v>
      </c>
      <c r="D29" t="s">
        <v>20</v>
      </c>
      <c r="E29" s="176" t="s">
        <v>29</v>
      </c>
      <c r="F29" t="s">
        <v>42</v>
      </c>
      <c r="G29" s="172" t="str">
        <f>IF(QALog[[#This Row],[Worksheet ]]="","",HYPERLINK("#'"&amp;QALog[[#This Row],[Worksheet ]]&amp;"'!"&amp;QALog[[#This Row],[Cell/Range]]&amp;"", "GoTo Cell"))</f>
        <v>GoTo Cell</v>
      </c>
      <c r="H29" s="173">
        <v>43447</v>
      </c>
      <c r="I29"/>
      <c r="J29" t="s">
        <v>33</v>
      </c>
      <c r="K29"/>
      <c r="L29" s="173"/>
      <c r="M29"/>
      <c r="N29" s="14"/>
      <c r="O29" t="s">
        <v>43</v>
      </c>
    </row>
    <row r="30" spans="1:17" s="163" customFormat="1" ht="15.75" outlineLevel="1" x14ac:dyDescent="0.25">
      <c r="B30" s="171" t="str">
        <f>QALog[[#This Row],[QA analyst]]&amp;":"&amp;QALog[[#This Row],[QA analysts reference]]</f>
        <v>#LS:9</v>
      </c>
      <c r="C30">
        <v>9</v>
      </c>
      <c r="D30" t="s">
        <v>20</v>
      </c>
      <c r="E30" s="176" t="s">
        <v>29</v>
      </c>
      <c r="F30" t="s">
        <v>44</v>
      </c>
      <c r="G30" s="172" t="str">
        <f>IF(QALog[[#This Row],[Worksheet ]]="","",HYPERLINK("#'"&amp;QALog[[#This Row],[Worksheet ]]&amp;"'!"&amp;QALog[[#This Row],[Cell/Range]]&amp;"", "GoTo Cell"))</f>
        <v>GoTo Cell</v>
      </c>
      <c r="H30" s="173">
        <v>42869</v>
      </c>
      <c r="I30"/>
      <c r="J30" t="s">
        <v>45</v>
      </c>
      <c r="K30"/>
      <c r="L30" s="173"/>
      <c r="M30"/>
      <c r="N30" s="14"/>
      <c r="O30" t="s">
        <v>46</v>
      </c>
    </row>
    <row r="31" spans="1:17" ht="15.75" outlineLevel="1" x14ac:dyDescent="0.25">
      <c r="B31" s="171" t="str">
        <f>QALog[[#This Row],[QA analyst]]&amp;":"&amp;QALog[[#This Row],[QA analysts reference]]</f>
        <v>#LS:10</v>
      </c>
      <c r="C31">
        <v>10</v>
      </c>
      <c r="D31" t="s">
        <v>20</v>
      </c>
      <c r="E31" s="176" t="s">
        <v>47</v>
      </c>
      <c r="F31" t="s">
        <v>48</v>
      </c>
      <c r="G31" s="172" t="str">
        <f>IF(QALog[[#This Row],[Worksheet ]]="","",HYPERLINK("#'"&amp;QALog[[#This Row],[Worksheet ]]&amp;"'!"&amp;QALog[[#This Row],[Cell/Range]]&amp;"", "GoTo Cell"))</f>
        <v>GoTo Cell</v>
      </c>
      <c r="H31" s="173">
        <v>42801</v>
      </c>
      <c r="I31"/>
      <c r="J31" t="s">
        <v>36</v>
      </c>
      <c r="K31"/>
      <c r="L31" s="173"/>
      <c r="M31"/>
      <c r="N31" s="14"/>
      <c r="O31" t="s">
        <v>49</v>
      </c>
    </row>
    <row r="32" spans="1:17" ht="15.75" outlineLevel="1" x14ac:dyDescent="0.25">
      <c r="B32" s="171" t="str">
        <f>QALog[[#This Row],[QA analyst]]&amp;":"&amp;QALog[[#This Row],[QA analysts reference]]</f>
        <v>#LS:11</v>
      </c>
      <c r="C32">
        <v>11</v>
      </c>
      <c r="D32" t="s">
        <v>20</v>
      </c>
      <c r="E32" s="176" t="s">
        <v>47</v>
      </c>
      <c r="F32" t="s">
        <v>30</v>
      </c>
      <c r="G32" s="172" t="str">
        <f>IF(QALog[[#This Row],[Worksheet ]]="","",HYPERLINK("#'"&amp;QALog[[#This Row],[Worksheet ]]&amp;"'!"&amp;QALog[[#This Row],[Cell/Range]]&amp;"", "GoTo Cell"))</f>
        <v>GoTo Cell</v>
      </c>
      <c r="H32" s="173">
        <v>42801</v>
      </c>
      <c r="I32" t="s">
        <v>50</v>
      </c>
      <c r="J32"/>
      <c r="K32"/>
      <c r="L32" s="173"/>
      <c r="M32"/>
      <c r="N32" s="14"/>
      <c r="O32" t="s">
        <v>51</v>
      </c>
    </row>
    <row r="33" spans="2:15" ht="15.75" outlineLevel="1" x14ac:dyDescent="0.25">
      <c r="B33" s="171" t="str">
        <f>QALog[[#This Row],[QA analyst]]&amp;":"&amp;QALog[[#This Row],[QA analysts reference]]</f>
        <v>#LS:12</v>
      </c>
      <c r="C33">
        <v>12</v>
      </c>
      <c r="D33" t="s">
        <v>20</v>
      </c>
      <c r="E33" s="176" t="s">
        <v>47</v>
      </c>
      <c r="F33" t="s">
        <v>52</v>
      </c>
      <c r="G33" s="172" t="str">
        <f>IF(QALog[[#This Row],[Worksheet ]]="","",HYPERLINK("#'"&amp;QALog[[#This Row],[Worksheet ]]&amp;"'!"&amp;QALog[[#This Row],[Cell/Range]]&amp;"", "GoTo Cell"))</f>
        <v>GoTo Cell</v>
      </c>
      <c r="H33" s="173">
        <v>42801</v>
      </c>
      <c r="I33" t="s">
        <v>53</v>
      </c>
      <c r="J33"/>
      <c r="K33"/>
      <c r="L33" s="173"/>
      <c r="M33"/>
      <c r="N33" s="14"/>
      <c r="O33" t="s">
        <v>54</v>
      </c>
    </row>
    <row r="34" spans="2:15" ht="15.75" outlineLevel="1" x14ac:dyDescent="0.25">
      <c r="B34" s="171" t="str">
        <f>QALog[[#This Row],[QA analyst]]&amp;":"&amp;QALog[[#This Row],[QA analysts reference]]</f>
        <v>#LS:13</v>
      </c>
      <c r="C34">
        <v>13</v>
      </c>
      <c r="D34" t="s">
        <v>20</v>
      </c>
      <c r="E34" s="176" t="s">
        <v>47</v>
      </c>
      <c r="F34" t="s">
        <v>32</v>
      </c>
      <c r="G34" s="172" t="str">
        <f>IF(QALog[[#This Row],[Worksheet ]]="","",HYPERLINK("#'"&amp;QALog[[#This Row],[Worksheet ]]&amp;"'!"&amp;QALog[[#This Row],[Cell/Range]]&amp;"", "GoTo Cell"))</f>
        <v>GoTo Cell</v>
      </c>
      <c r="H34" s="173">
        <v>43447</v>
      </c>
      <c r="I34"/>
      <c r="J34" t="s">
        <v>33</v>
      </c>
      <c r="K34"/>
      <c r="L34" s="173"/>
      <c r="M34"/>
      <c r="N34" s="14"/>
      <c r="O34" t="s">
        <v>55</v>
      </c>
    </row>
    <row r="35" spans="2:15" ht="15.75" outlineLevel="1" x14ac:dyDescent="0.25">
      <c r="B35" s="171" t="str">
        <f>QALog[[#This Row],[QA analyst]]&amp;":"&amp;QALog[[#This Row],[QA analysts reference]]</f>
        <v>#LS:14</v>
      </c>
      <c r="C35">
        <v>14</v>
      </c>
      <c r="D35" t="s">
        <v>20</v>
      </c>
      <c r="E35" s="176" t="s">
        <v>47</v>
      </c>
      <c r="F35" t="s">
        <v>35</v>
      </c>
      <c r="G35" s="172" t="str">
        <f>IF(QALog[[#This Row],[Worksheet ]]="","",HYPERLINK("#'"&amp;QALog[[#This Row],[Worksheet ]]&amp;"'!"&amp;QALog[[#This Row],[Cell/Range]]&amp;"", "GoTo Cell"))</f>
        <v>GoTo Cell</v>
      </c>
      <c r="H35" s="173">
        <v>43447</v>
      </c>
      <c r="I35"/>
      <c r="J35" t="s">
        <v>33</v>
      </c>
      <c r="K35"/>
      <c r="L35" s="173"/>
      <c r="M35"/>
      <c r="N35" s="14"/>
      <c r="O35" t="s">
        <v>55</v>
      </c>
    </row>
    <row r="36" spans="2:15" ht="15.75" outlineLevel="1" x14ac:dyDescent="0.25">
      <c r="B36" s="171" t="str">
        <f>QALog[[#This Row],[QA analyst]]&amp;":"&amp;QALog[[#This Row],[QA analysts reference]]</f>
        <v>#LS:15</v>
      </c>
      <c r="C36">
        <v>15</v>
      </c>
      <c r="D36" t="s">
        <v>20</v>
      </c>
      <c r="E36" s="176" t="s">
        <v>47</v>
      </c>
      <c r="F36" t="s">
        <v>56</v>
      </c>
      <c r="G36" s="172" t="str">
        <f>IF(QALog[[#This Row],[Worksheet ]]="","",HYPERLINK("#'"&amp;QALog[[#This Row],[Worksheet ]]&amp;"'!"&amp;QALog[[#This Row],[Cell/Range]]&amp;"", "GoTo Cell"))</f>
        <v>GoTo Cell</v>
      </c>
      <c r="H36" s="173">
        <v>43451</v>
      </c>
      <c r="I36"/>
      <c r="J36" t="s">
        <v>57</v>
      </c>
      <c r="K36"/>
      <c r="L36" s="173"/>
      <c r="M36"/>
      <c r="N36" s="14"/>
      <c r="O36" t="s">
        <v>58</v>
      </c>
    </row>
    <row r="37" spans="2:15" s="164" customFormat="1" ht="15.75" outlineLevel="1" x14ac:dyDescent="0.25">
      <c r="B37" s="171" t="str">
        <f>QALog[[#This Row],[QA analyst]]&amp;":"&amp;QALog[[#This Row],[QA analysts reference]]</f>
        <v>#LS:16</v>
      </c>
      <c r="C37">
        <v>16</v>
      </c>
      <c r="D37" t="s">
        <v>20</v>
      </c>
      <c r="E37" s="176" t="s">
        <v>47</v>
      </c>
      <c r="F37" t="s">
        <v>59</v>
      </c>
      <c r="G37" s="172" t="str">
        <f>IF(QALog[[#This Row],[Worksheet ]]="","",HYPERLINK("#'"&amp;QALog[[#This Row],[Worksheet ]]&amp;"'!"&amp;QALog[[#This Row],[Cell/Range]]&amp;"", "GoTo Cell"))</f>
        <v>GoTo Cell</v>
      </c>
      <c r="H37" s="173">
        <v>43447</v>
      </c>
      <c r="I37" t="s">
        <v>23</v>
      </c>
      <c r="J37"/>
      <c r="K37"/>
      <c r="L37" s="173"/>
      <c r="M37"/>
      <c r="N37" s="14"/>
      <c r="O37" t="s">
        <v>60</v>
      </c>
    </row>
    <row r="38" spans="2:15" s="139" customFormat="1" ht="15.75" outlineLevel="1" x14ac:dyDescent="0.25">
      <c r="B38" s="171" t="str">
        <f>QALog[[#This Row],[QA analyst]]&amp;":"&amp;QALog[[#This Row],[QA analysts reference]]</f>
        <v>#LS:17</v>
      </c>
      <c r="C38">
        <v>17</v>
      </c>
      <c r="D38" t="s">
        <v>20</v>
      </c>
      <c r="E38" s="176" t="s">
        <v>47</v>
      </c>
      <c r="F38" t="s">
        <v>61</v>
      </c>
      <c r="G38" s="172" t="str">
        <f>IF(QALog[[#This Row],[Worksheet ]]="","",HYPERLINK("#'"&amp;QALog[[#This Row],[Worksheet ]]&amp;"'!"&amp;QALog[[#This Row],[Cell/Range]]&amp;"", "GoTo Cell"))</f>
        <v>GoTo Cell</v>
      </c>
      <c r="H38" s="173">
        <v>43447</v>
      </c>
      <c r="I38"/>
      <c r="J38"/>
      <c r="K38"/>
      <c r="L38" s="173"/>
      <c r="M38"/>
      <c r="N38" s="14" t="s">
        <v>62</v>
      </c>
      <c r="O38" t="s">
        <v>63</v>
      </c>
    </row>
    <row r="39" spans="2:15" ht="15.75" outlineLevel="1" x14ac:dyDescent="0.25">
      <c r="B39" s="171" t="str">
        <f>QALog[[#This Row],[QA analyst]]&amp;":"&amp;QALog[[#This Row],[QA analysts reference]]</f>
        <v>#LS:18</v>
      </c>
      <c r="C39">
        <v>18</v>
      </c>
      <c r="D39" t="s">
        <v>20</v>
      </c>
      <c r="E39" s="176" t="s">
        <v>47</v>
      </c>
      <c r="F39" t="s">
        <v>64</v>
      </c>
      <c r="G39" s="172" t="str">
        <f>IF(QALog[[#This Row],[Worksheet ]]="","",HYPERLINK("#'"&amp;QALog[[#This Row],[Worksheet ]]&amp;"'!"&amp;QALog[[#This Row],[Cell/Range]]&amp;"", "GoTo Cell"))</f>
        <v>GoTo Cell</v>
      </c>
      <c r="H39" s="173">
        <v>43447</v>
      </c>
      <c r="I39"/>
      <c r="J39"/>
      <c r="K39"/>
      <c r="L39" s="173"/>
      <c r="M39"/>
      <c r="N39" s="14" t="s">
        <v>62</v>
      </c>
      <c r="O39" t="s">
        <v>65</v>
      </c>
    </row>
    <row r="40" spans="2:15" ht="15.75" outlineLevel="1" x14ac:dyDescent="0.25">
      <c r="B40" s="171" t="str">
        <f>QALog[[#This Row],[QA analyst]]&amp;":"&amp;QALog[[#This Row],[QA analysts reference]]</f>
        <v>#LS:19</v>
      </c>
      <c r="C40">
        <v>19</v>
      </c>
      <c r="D40" t="s">
        <v>20</v>
      </c>
      <c r="E40" s="176" t="s">
        <v>66</v>
      </c>
      <c r="F40" t="s">
        <v>32</v>
      </c>
      <c r="G40" s="172" t="str">
        <f>IF(QALog[[#This Row],[Worksheet ]]="","",HYPERLINK("#'"&amp;QALog[[#This Row],[Worksheet ]]&amp;"'!"&amp;QALog[[#This Row],[Cell/Range]]&amp;"", "GoTo Cell"))</f>
        <v>GoTo Cell</v>
      </c>
      <c r="H40" s="173">
        <v>43447</v>
      </c>
      <c r="I40"/>
      <c r="J40" t="s">
        <v>36</v>
      </c>
      <c r="K40"/>
      <c r="L40" s="173"/>
      <c r="M40"/>
      <c r="N40" s="14"/>
      <c r="O40" t="s">
        <v>67</v>
      </c>
    </row>
    <row r="41" spans="2:15" ht="15.75" outlineLevel="1" x14ac:dyDescent="0.25">
      <c r="B41" s="171" t="str">
        <f>QALog[[#This Row],[QA analyst]]&amp;":"&amp;QALog[[#This Row],[QA analysts reference]]</f>
        <v>#LS:20</v>
      </c>
      <c r="C41">
        <v>20</v>
      </c>
      <c r="D41" t="s">
        <v>20</v>
      </c>
      <c r="E41" s="176" t="s">
        <v>66</v>
      </c>
      <c r="F41" t="s">
        <v>35</v>
      </c>
      <c r="G41" s="172" t="str">
        <f>IF(QALog[[#This Row],[Worksheet ]]="","",HYPERLINK("#'"&amp;QALog[[#This Row],[Worksheet ]]&amp;"'!"&amp;QALog[[#This Row],[Cell/Range]]&amp;"", "GoTo Cell"))</f>
        <v>GoTo Cell</v>
      </c>
      <c r="H41" s="173">
        <v>43447</v>
      </c>
      <c r="I41"/>
      <c r="J41" t="s">
        <v>36</v>
      </c>
      <c r="K41"/>
      <c r="L41" s="173"/>
      <c r="M41"/>
      <c r="N41" s="14"/>
      <c r="O41" t="s">
        <v>68</v>
      </c>
    </row>
    <row r="42" spans="2:15" ht="15.75" outlineLevel="1" x14ac:dyDescent="0.25">
      <c r="B42" s="171" t="str">
        <f>QALog[[#This Row],[QA analyst]]&amp;":"&amp;QALog[[#This Row],[QA analysts reference]]</f>
        <v>#LS:21</v>
      </c>
      <c r="C42">
        <v>21</v>
      </c>
      <c r="D42" t="s">
        <v>20</v>
      </c>
      <c r="E42" s="176" t="s">
        <v>66</v>
      </c>
      <c r="F42" t="s">
        <v>59</v>
      </c>
      <c r="G42" s="172" t="str">
        <f>IF(QALog[[#This Row],[Worksheet ]]="","",HYPERLINK("#'"&amp;QALog[[#This Row],[Worksheet ]]&amp;"'!"&amp;QALog[[#This Row],[Cell/Range]]&amp;"", "GoTo Cell"))</f>
        <v>GoTo Cell</v>
      </c>
      <c r="H42" s="173">
        <v>43447</v>
      </c>
      <c r="I42" t="s">
        <v>23</v>
      </c>
      <c r="J42"/>
      <c r="K42"/>
      <c r="L42" s="173"/>
      <c r="M42"/>
      <c r="N42" s="14"/>
      <c r="O42" t="s">
        <v>69</v>
      </c>
    </row>
    <row r="43" spans="2:15" ht="15.75" outlineLevel="1" x14ac:dyDescent="0.25">
      <c r="B43" s="171" t="str">
        <f>QALog[[#This Row],[QA analyst]]&amp;":"&amp;QALog[[#This Row],[QA analysts reference]]</f>
        <v>#LS:22</v>
      </c>
      <c r="C43">
        <v>22</v>
      </c>
      <c r="D43" t="s">
        <v>20</v>
      </c>
      <c r="E43" s="176" t="s">
        <v>70</v>
      </c>
      <c r="F43" t="s">
        <v>71</v>
      </c>
      <c r="G43" s="172" t="str">
        <f>IF(QALog[[#This Row],[Worksheet ]]="","",HYPERLINK("#'"&amp;QALog[[#This Row],[Worksheet ]]&amp;"'!"&amp;QALog[[#This Row],[Cell/Range]]&amp;"", "GoTo Cell"))</f>
        <v>GoTo Cell</v>
      </c>
      <c r="H43" s="173">
        <v>42869</v>
      </c>
      <c r="I43"/>
      <c r="J43" t="s">
        <v>45</v>
      </c>
      <c r="K43"/>
      <c r="L43" s="173"/>
      <c r="M43"/>
      <c r="N43" s="14"/>
      <c r="O43" t="s">
        <v>72</v>
      </c>
    </row>
    <row r="44" spans="2:15" ht="15.75" outlineLevel="1" x14ac:dyDescent="0.25">
      <c r="B44" s="171" t="str">
        <f>QALog[[#This Row],[QA analyst]]&amp;":"&amp;QALog[[#This Row],[QA analysts reference]]</f>
        <v>#LS:23</v>
      </c>
      <c r="C44">
        <v>23</v>
      </c>
      <c r="D44" t="s">
        <v>20</v>
      </c>
      <c r="E44" s="176" t="s">
        <v>70</v>
      </c>
      <c r="F44" t="s">
        <v>38</v>
      </c>
      <c r="G44" s="172" t="str">
        <f>IF(QALog[[#This Row],[Worksheet ]]="","",HYPERLINK("#'"&amp;QALog[[#This Row],[Worksheet ]]&amp;"'!"&amp;QALog[[#This Row],[Cell/Range]]&amp;"", "GoTo Cell"))</f>
        <v>GoTo Cell</v>
      </c>
      <c r="H44" s="173">
        <v>43447</v>
      </c>
      <c r="I44"/>
      <c r="J44" t="s">
        <v>33</v>
      </c>
      <c r="K44"/>
      <c r="L44" s="173"/>
      <c r="M44"/>
      <c r="N44" s="14"/>
      <c r="O44" t="s">
        <v>43</v>
      </c>
    </row>
    <row r="45" spans="2:15" ht="15.75" outlineLevel="1" x14ac:dyDescent="0.25">
      <c r="B45" s="171" t="str">
        <f>QALog[[#This Row],[QA analyst]]&amp;":"&amp;QALog[[#This Row],[QA analysts reference]]</f>
        <v>#LS:24</v>
      </c>
      <c r="C45">
        <v>24</v>
      </c>
      <c r="D45" t="s">
        <v>20</v>
      </c>
      <c r="E45" s="176" t="s">
        <v>70</v>
      </c>
      <c r="F45" t="s">
        <v>73</v>
      </c>
      <c r="G45" s="172" t="str">
        <f>IF(QALog[[#This Row],[Worksheet ]]="","",HYPERLINK("#'"&amp;QALog[[#This Row],[Worksheet ]]&amp;"'!"&amp;QALog[[#This Row],[Cell/Range]]&amp;"", "GoTo Cell"))</f>
        <v>GoTo Cell</v>
      </c>
      <c r="H45" s="173">
        <v>43447</v>
      </c>
      <c r="I45"/>
      <c r="J45" t="s">
        <v>33</v>
      </c>
      <c r="K45"/>
      <c r="L45" s="173"/>
      <c r="M45"/>
      <c r="N45" s="14"/>
      <c r="O45" t="s">
        <v>43</v>
      </c>
    </row>
    <row r="46" spans="2:15" ht="15.75" outlineLevel="1" x14ac:dyDescent="0.25">
      <c r="B46" s="171" t="str">
        <f>QALog[[#This Row],[QA analyst]]&amp;":"&amp;QALog[[#This Row],[QA analysts reference]]</f>
        <v>#LS:25</v>
      </c>
      <c r="C46">
        <v>25</v>
      </c>
      <c r="D46" t="s">
        <v>20</v>
      </c>
      <c r="E46" s="176" t="s">
        <v>74</v>
      </c>
      <c r="F46" t="s">
        <v>75</v>
      </c>
      <c r="G46" s="172" t="str">
        <f>IF(QALog[[#This Row],[Worksheet ]]="","",HYPERLINK("#'"&amp;QALog[[#This Row],[Worksheet ]]&amp;"'!"&amp;QALog[[#This Row],[Cell/Range]]&amp;"", "GoTo Cell"))</f>
        <v>GoTo Cell</v>
      </c>
      <c r="H46" s="173">
        <v>43447</v>
      </c>
      <c r="I46"/>
      <c r="J46" t="s">
        <v>33</v>
      </c>
      <c r="K46"/>
      <c r="L46" s="173"/>
      <c r="M46"/>
      <c r="N46" s="14"/>
      <c r="O46" t="s">
        <v>43</v>
      </c>
    </row>
    <row r="47" spans="2:15" ht="15.75" outlineLevel="1" x14ac:dyDescent="0.25">
      <c r="B47" s="171" t="str">
        <f>QALog[[#This Row],[QA analyst]]&amp;":"&amp;QALog[[#This Row],[QA analysts reference]]</f>
        <v>#LS:26</v>
      </c>
      <c r="C47">
        <v>26</v>
      </c>
      <c r="D47" t="s">
        <v>20</v>
      </c>
      <c r="E47" s="176" t="s">
        <v>74</v>
      </c>
      <c r="F47" t="s">
        <v>76</v>
      </c>
      <c r="G47" s="172" t="str">
        <f>IF(QALog[[#This Row],[Worksheet ]]="","",HYPERLINK("#'"&amp;QALog[[#This Row],[Worksheet ]]&amp;"'!"&amp;QALog[[#This Row],[Cell/Range]]&amp;"", "GoTo Cell"))</f>
        <v>GoTo Cell</v>
      </c>
      <c r="H47" s="173">
        <v>43447</v>
      </c>
      <c r="I47"/>
      <c r="J47" t="s">
        <v>33</v>
      </c>
      <c r="K47"/>
      <c r="L47" s="173"/>
      <c r="M47"/>
      <c r="N47" s="14"/>
      <c r="O47" t="s">
        <v>43</v>
      </c>
    </row>
    <row r="48" spans="2:15" ht="15.75" outlineLevel="1" x14ac:dyDescent="0.25">
      <c r="B48" s="174" t="str">
        <f>QALog[[#This Row],[QA analyst]]&amp;":"&amp;QALog[[#This Row],[QA analysts reference]]</f>
        <v>#LS:27</v>
      </c>
      <c r="C48">
        <v>27</v>
      </c>
      <c r="D48" t="s">
        <v>20</v>
      </c>
      <c r="E48" s="176" t="s">
        <v>77</v>
      </c>
      <c r="F48" t="s">
        <v>35</v>
      </c>
      <c r="G48" s="175" t="str">
        <f>IF(QALog[[#This Row],[Worksheet ]]="","",HYPERLINK("#'"&amp;QALog[[#This Row],[Worksheet ]]&amp;"'!"&amp;QALog[[#This Row],[Cell/Range]]&amp;"", "GoTo Cell"))</f>
        <v>GoTo Cell</v>
      </c>
      <c r="H48" s="173">
        <v>43447</v>
      </c>
      <c r="I48"/>
      <c r="J48" t="s">
        <v>33</v>
      </c>
      <c r="K48"/>
      <c r="L48" s="173"/>
      <c r="M48"/>
      <c r="N48" s="14"/>
      <c r="O48" t="s">
        <v>43</v>
      </c>
    </row>
    <row r="49" spans="2:15" ht="15.75" outlineLevel="1" x14ac:dyDescent="0.25">
      <c r="B49" s="171" t="str">
        <f>QALog[[#This Row],[QA analyst]]&amp;":"&amp;QALog[[#This Row],[QA analysts reference]]</f>
        <v>#LS:28</v>
      </c>
      <c r="C49">
        <v>28</v>
      </c>
      <c r="D49" t="s">
        <v>20</v>
      </c>
      <c r="E49" s="176" t="s">
        <v>77</v>
      </c>
      <c r="F49" t="s">
        <v>64</v>
      </c>
      <c r="G49" s="172" t="str">
        <f>IF(QALog[[#This Row],[Worksheet ]]="","",HYPERLINK("#'"&amp;QALog[[#This Row],[Worksheet ]]&amp;"'!"&amp;QALog[[#This Row],[Cell/Range]]&amp;"", "GoTo Cell"))</f>
        <v>GoTo Cell</v>
      </c>
      <c r="H49" s="173">
        <v>43447</v>
      </c>
      <c r="I49"/>
      <c r="J49" t="s">
        <v>45</v>
      </c>
      <c r="K49"/>
      <c r="L49" s="173"/>
      <c r="M49"/>
      <c r="N49" s="14"/>
      <c r="O49" t="s">
        <v>78</v>
      </c>
    </row>
    <row r="50" spans="2:15" ht="15.75" outlineLevel="1" x14ac:dyDescent="0.25">
      <c r="B50" s="171" t="str">
        <f>QALog[[#This Row],[QA analyst]]&amp;":"&amp;QALog[[#This Row],[QA analysts reference]]</f>
        <v>#LS:29</v>
      </c>
      <c r="C50">
        <v>29</v>
      </c>
      <c r="D50" t="s">
        <v>20</v>
      </c>
      <c r="E50" s="176" t="s">
        <v>77</v>
      </c>
      <c r="F50" t="s">
        <v>79</v>
      </c>
      <c r="G50" s="172" t="str">
        <f>IF(QALog[[#This Row],[Worksheet ]]="","",HYPERLINK("#'"&amp;QALog[[#This Row],[Worksheet ]]&amp;"'!"&amp;QALog[[#This Row],[Cell/Range]]&amp;"", "GoTo Cell"))</f>
        <v>GoTo Cell</v>
      </c>
      <c r="H50" s="173">
        <v>43447</v>
      </c>
      <c r="I50"/>
      <c r="J50" t="s">
        <v>27</v>
      </c>
      <c r="K50"/>
      <c r="L50" s="173"/>
      <c r="M50"/>
      <c r="N50" s="14"/>
      <c r="O50" t="s">
        <v>80</v>
      </c>
    </row>
    <row r="51" spans="2:15" ht="15.75" outlineLevel="1" x14ac:dyDescent="0.25">
      <c r="B51" s="171" t="str">
        <f>QALog[[#This Row],[QA analyst]]&amp;":"&amp;QALog[[#This Row],[QA analysts reference]]</f>
        <v>#LS:30</v>
      </c>
      <c r="C51">
        <v>30</v>
      </c>
      <c r="D51" t="s">
        <v>20</v>
      </c>
      <c r="E51" s="176" t="s">
        <v>81</v>
      </c>
      <c r="F51" t="s">
        <v>82</v>
      </c>
      <c r="G51" s="172" t="str">
        <f>IF(QALog[[#This Row],[Worksheet ]]="","",HYPERLINK("#'"&amp;QALog[[#This Row],[Worksheet ]]&amp;"'!"&amp;QALog[[#This Row],[Cell/Range]]&amp;"", "GoTo Cell"))</f>
        <v>GoTo Cell</v>
      </c>
      <c r="H51" s="173">
        <v>43074</v>
      </c>
      <c r="I51"/>
      <c r="J51" t="s">
        <v>45</v>
      </c>
      <c r="K51"/>
      <c r="L51" s="173"/>
      <c r="M51"/>
      <c r="N51" s="14"/>
      <c r="O51" t="s">
        <v>83</v>
      </c>
    </row>
    <row r="52" spans="2:15" ht="15.75" outlineLevel="1" x14ac:dyDescent="0.25">
      <c r="B52" s="171" t="str">
        <f>QALog[[#This Row],[QA analyst]]&amp;":"&amp;QALog[[#This Row],[QA analysts reference]]</f>
        <v>#LS:31</v>
      </c>
      <c r="C52">
        <v>31</v>
      </c>
      <c r="D52" t="s">
        <v>20</v>
      </c>
      <c r="E52" s="176" t="s">
        <v>81</v>
      </c>
      <c r="F52" t="s">
        <v>42</v>
      </c>
      <c r="G52" s="172" t="str">
        <f>IF(QALog[[#This Row],[Worksheet ]]="","",HYPERLINK("#'"&amp;QALog[[#This Row],[Worksheet ]]&amp;"'!"&amp;QALog[[#This Row],[Cell/Range]]&amp;"", "GoTo Cell"))</f>
        <v>GoTo Cell</v>
      </c>
      <c r="H52" s="173">
        <v>43447</v>
      </c>
      <c r="I52"/>
      <c r="J52" t="s">
        <v>33</v>
      </c>
      <c r="K52"/>
      <c r="L52" s="173"/>
      <c r="M52"/>
      <c r="N52" s="14"/>
      <c r="O52" t="s">
        <v>43</v>
      </c>
    </row>
    <row r="53" spans="2:15" ht="15.75" outlineLevel="1" x14ac:dyDescent="0.25">
      <c r="B53" s="171" t="str">
        <f>QALog[[#This Row],[QA analyst]]&amp;":"&amp;QALog[[#This Row],[QA analysts reference]]</f>
        <v>#LS:32</v>
      </c>
      <c r="C53">
        <v>32</v>
      </c>
      <c r="D53" t="s">
        <v>20</v>
      </c>
      <c r="E53" s="176" t="s">
        <v>84</v>
      </c>
      <c r="F53" t="s">
        <v>32</v>
      </c>
      <c r="G53" s="172" t="str">
        <f>IF(QALog[[#This Row],[Worksheet ]]="","",HYPERLINK("#'"&amp;QALog[[#This Row],[Worksheet ]]&amp;"'!"&amp;QALog[[#This Row],[Cell/Range]]&amp;"", "GoTo Cell"))</f>
        <v>GoTo Cell</v>
      </c>
      <c r="H53" s="173">
        <v>43447</v>
      </c>
      <c r="I53"/>
      <c r="J53" t="s">
        <v>33</v>
      </c>
      <c r="K53"/>
      <c r="L53" s="173"/>
      <c r="M53"/>
      <c r="N53" s="14"/>
      <c r="O53" t="s">
        <v>43</v>
      </c>
    </row>
    <row r="54" spans="2:15" ht="15.75" outlineLevel="1" x14ac:dyDescent="0.25">
      <c r="B54" s="171" t="str">
        <f>QALog[[#This Row],[QA analyst]]&amp;":"&amp;QALog[[#This Row],[QA analysts reference]]</f>
        <v>#LS:33</v>
      </c>
      <c r="C54">
        <v>33</v>
      </c>
      <c r="D54" t="s">
        <v>20</v>
      </c>
      <c r="E54" s="176" t="s">
        <v>84</v>
      </c>
      <c r="F54" t="s">
        <v>56</v>
      </c>
      <c r="G54" s="172" t="str">
        <f>IF(QALog[[#This Row],[Worksheet ]]="","",HYPERLINK("#'"&amp;QALog[[#This Row],[Worksheet ]]&amp;"'!"&amp;QALog[[#This Row],[Cell/Range]]&amp;"", "GoTo Cell"))</f>
        <v>GoTo Cell</v>
      </c>
      <c r="H54" s="173">
        <v>43447</v>
      </c>
      <c r="I54" t="s">
        <v>23</v>
      </c>
      <c r="J54"/>
      <c r="K54"/>
      <c r="L54" s="173"/>
      <c r="M54"/>
      <c r="N54" s="14"/>
      <c r="O54" t="s">
        <v>85</v>
      </c>
    </row>
    <row r="55" spans="2:15" ht="15.75" outlineLevel="1" x14ac:dyDescent="0.25">
      <c r="B55" s="171" t="str">
        <f>QALog[[#This Row],[QA analyst]]&amp;":"&amp;QALog[[#This Row],[QA analysts reference]]</f>
        <v>#LS:34</v>
      </c>
      <c r="C55">
        <v>34</v>
      </c>
      <c r="D55" t="s">
        <v>20</v>
      </c>
      <c r="E55" s="176" t="s">
        <v>84</v>
      </c>
      <c r="F55" t="s">
        <v>59</v>
      </c>
      <c r="G55" s="172" t="str">
        <f>IF(QALog[[#This Row],[Worksheet ]]="","",HYPERLINK("#'"&amp;QALog[[#This Row],[Worksheet ]]&amp;"'!"&amp;QALog[[#This Row],[Cell/Range]]&amp;"", "GoTo Cell"))</f>
        <v>GoTo Cell</v>
      </c>
      <c r="H55" s="173">
        <v>43447</v>
      </c>
      <c r="I55" t="s">
        <v>23</v>
      </c>
      <c r="J55"/>
      <c r="K55"/>
      <c r="L55" s="173"/>
      <c r="M55"/>
      <c r="N55" s="14"/>
      <c r="O55" t="s">
        <v>86</v>
      </c>
    </row>
    <row r="56" spans="2:15" ht="15.75" outlineLevel="1" x14ac:dyDescent="0.25">
      <c r="B56" s="171" t="str">
        <f>QALog[[#This Row],[QA analyst]]&amp;":"&amp;QALog[[#This Row],[QA analysts reference]]</f>
        <v>#LS:35</v>
      </c>
      <c r="C56">
        <v>35</v>
      </c>
      <c r="D56" t="s">
        <v>20</v>
      </c>
      <c r="E56" s="176" t="s">
        <v>87</v>
      </c>
      <c r="F56" t="s">
        <v>32</v>
      </c>
      <c r="G56" s="172" t="str">
        <f>IF(QALog[[#This Row],[Worksheet ]]="","",HYPERLINK("#'"&amp;QALog[[#This Row],[Worksheet ]]&amp;"'!"&amp;QALog[[#This Row],[Cell/Range]]&amp;"", "GoTo Cell"))</f>
        <v>GoTo Cell</v>
      </c>
      <c r="H56" s="173">
        <v>43447</v>
      </c>
      <c r="I56"/>
      <c r="J56" t="s">
        <v>33</v>
      </c>
      <c r="K56"/>
      <c r="L56" s="173"/>
      <c r="M56"/>
      <c r="N56" s="14"/>
      <c r="O56" t="s">
        <v>43</v>
      </c>
    </row>
    <row r="57" spans="2:15" ht="15.75" outlineLevel="1" x14ac:dyDescent="0.25">
      <c r="B57" s="171" t="str">
        <f>QALog[[#This Row],[QA analyst]]&amp;":"&amp;QALog[[#This Row],[QA analysts reference]]</f>
        <v>#LS:36</v>
      </c>
      <c r="C57">
        <v>36</v>
      </c>
      <c r="D57" t="s">
        <v>20</v>
      </c>
      <c r="E57" s="176" t="s">
        <v>87</v>
      </c>
      <c r="F57" t="s">
        <v>35</v>
      </c>
      <c r="G57" s="172" t="str">
        <f>IF(QALog[[#This Row],[Worksheet ]]="","",HYPERLINK("#'"&amp;QALog[[#This Row],[Worksheet ]]&amp;"'!"&amp;QALog[[#This Row],[Cell/Range]]&amp;"", "GoTo Cell"))</f>
        <v>GoTo Cell</v>
      </c>
      <c r="H57" s="173">
        <v>43447</v>
      </c>
      <c r="I57"/>
      <c r="J57" t="s">
        <v>33</v>
      </c>
      <c r="K57"/>
      <c r="L57" s="173"/>
      <c r="M57"/>
      <c r="N57" s="14"/>
      <c r="O57" t="s">
        <v>43</v>
      </c>
    </row>
    <row r="58" spans="2:15" ht="15.75" outlineLevel="1" x14ac:dyDescent="0.25">
      <c r="B58" s="171" t="str">
        <f>QALog[[#This Row],[QA analyst]]&amp;":"&amp;QALog[[#This Row],[QA analysts reference]]</f>
        <v>#LS:37</v>
      </c>
      <c r="C58">
        <v>37</v>
      </c>
      <c r="D58" t="s">
        <v>20</v>
      </c>
      <c r="E58" s="176" t="s">
        <v>87</v>
      </c>
      <c r="F58" t="s">
        <v>38</v>
      </c>
      <c r="G58" s="172" t="str">
        <f>IF(QALog[[#This Row],[Worksheet ]]="","",HYPERLINK("#'"&amp;QALog[[#This Row],[Worksheet ]]&amp;"'!"&amp;QALog[[#This Row],[Cell/Range]]&amp;"", "GoTo Cell"))</f>
        <v>GoTo Cell</v>
      </c>
      <c r="H58" s="173">
        <v>43447</v>
      </c>
      <c r="I58"/>
      <c r="J58" t="s">
        <v>33</v>
      </c>
      <c r="K58"/>
      <c r="L58" s="173"/>
      <c r="M58"/>
      <c r="N58" s="14"/>
      <c r="O58" t="s">
        <v>43</v>
      </c>
    </row>
    <row r="59" spans="2:15" ht="15.75" outlineLevel="1" x14ac:dyDescent="0.25">
      <c r="B59" s="171" t="str">
        <f>QALog[[#This Row],[QA analyst]]&amp;":"&amp;QALog[[#This Row],[QA analysts reference]]</f>
        <v>#LS:38</v>
      </c>
      <c r="C59">
        <v>38</v>
      </c>
      <c r="D59" t="s">
        <v>20</v>
      </c>
      <c r="E59" s="176" t="s">
        <v>87</v>
      </c>
      <c r="F59" t="s">
        <v>56</v>
      </c>
      <c r="G59" s="172" t="str">
        <f>IF(QALog[[#This Row],[Worksheet ]]="","",HYPERLINK("#'"&amp;QALog[[#This Row],[Worksheet ]]&amp;"'!"&amp;QALog[[#This Row],[Cell/Range]]&amp;"", "GoTo Cell"))</f>
        <v>GoTo Cell</v>
      </c>
      <c r="H59" s="173">
        <v>43447</v>
      </c>
      <c r="I59"/>
      <c r="J59" t="s">
        <v>33</v>
      </c>
      <c r="K59"/>
      <c r="L59" s="173"/>
      <c r="M59"/>
      <c r="N59" s="14"/>
      <c r="O59" t="s">
        <v>43</v>
      </c>
    </row>
    <row r="60" spans="2:15" ht="15.75" outlineLevel="1" x14ac:dyDescent="0.25">
      <c r="B60" s="171" t="str">
        <f>QALog[[#This Row],[QA analyst]]&amp;":"&amp;QALog[[#This Row],[QA analysts reference]]</f>
        <v>#LS:39</v>
      </c>
      <c r="C60">
        <v>39</v>
      </c>
      <c r="D60" t="s">
        <v>20</v>
      </c>
      <c r="E60" s="176" t="s">
        <v>87</v>
      </c>
      <c r="F60" t="s">
        <v>64</v>
      </c>
      <c r="G60" s="172" t="str">
        <f>IF(QALog[[#This Row],[Worksheet ]]="","",HYPERLINK("#'"&amp;QALog[[#This Row],[Worksheet ]]&amp;"'!"&amp;QALog[[#This Row],[Cell/Range]]&amp;"", "GoTo Cell"))</f>
        <v>GoTo Cell</v>
      </c>
      <c r="H60" s="173">
        <v>43447</v>
      </c>
      <c r="I60"/>
      <c r="J60" t="s">
        <v>33</v>
      </c>
      <c r="K60"/>
      <c r="L60" s="173"/>
      <c r="M60"/>
      <c r="N60" s="14"/>
      <c r="O60" t="s">
        <v>43</v>
      </c>
    </row>
    <row r="61" spans="2:15" ht="15.75" outlineLevel="1" x14ac:dyDescent="0.25">
      <c r="B61" s="171" t="str">
        <f>QALog[[#This Row],[QA analyst]]&amp;":"&amp;QALog[[#This Row],[QA analysts reference]]</f>
        <v>#LS:40</v>
      </c>
      <c r="C61">
        <v>40</v>
      </c>
      <c r="D61" t="s">
        <v>20</v>
      </c>
      <c r="E61" s="176" t="s">
        <v>87</v>
      </c>
      <c r="F61" t="s">
        <v>75</v>
      </c>
      <c r="G61" s="172" t="str">
        <f>IF(QALog[[#This Row],[Worksheet ]]="","",HYPERLINK("#'"&amp;QALog[[#This Row],[Worksheet ]]&amp;"'!"&amp;QALog[[#This Row],[Cell/Range]]&amp;"", "GoTo Cell"))</f>
        <v>GoTo Cell</v>
      </c>
      <c r="H61" s="173">
        <v>43447</v>
      </c>
      <c r="I61" t="s">
        <v>23</v>
      </c>
      <c r="J61"/>
      <c r="K61"/>
      <c r="L61" s="173"/>
      <c r="M61"/>
      <c r="N61" s="14"/>
      <c r="O61" t="s">
        <v>88</v>
      </c>
    </row>
    <row r="62" spans="2:15" ht="15.75" outlineLevel="1" x14ac:dyDescent="0.25">
      <c r="B62" s="171" t="str">
        <f>QALog[[#This Row],[QA analyst]]&amp;":"&amp;QALog[[#This Row],[QA analysts reference]]</f>
        <v>#LS:41</v>
      </c>
      <c r="C62">
        <v>41</v>
      </c>
      <c r="D62" t="s">
        <v>20</v>
      </c>
      <c r="E62" s="176" t="s">
        <v>87</v>
      </c>
      <c r="F62" t="s">
        <v>89</v>
      </c>
      <c r="G62" s="172" t="str">
        <f>IF(QALog[[#This Row],[Worksheet ]]="","",HYPERLINK("#'"&amp;QALog[[#This Row],[Worksheet ]]&amp;"'!"&amp;QALog[[#This Row],[Cell/Range]]&amp;"", "GoTo Cell"))</f>
        <v>GoTo Cell</v>
      </c>
      <c r="H62" s="173">
        <v>43447</v>
      </c>
      <c r="I62" t="s">
        <v>23</v>
      </c>
      <c r="J62"/>
      <c r="K62"/>
      <c r="L62" s="173"/>
      <c r="M62"/>
      <c r="N62" s="14"/>
      <c r="O62" t="s">
        <v>88</v>
      </c>
    </row>
    <row r="63" spans="2:15" ht="15.75" outlineLevel="1" x14ac:dyDescent="0.25">
      <c r="B63" s="171" t="str">
        <f>QALog[[#This Row],[QA analyst]]&amp;":"&amp;QALog[[#This Row],[QA analysts reference]]</f>
        <v>#LS:42</v>
      </c>
      <c r="C63">
        <v>42</v>
      </c>
      <c r="D63" t="s">
        <v>20</v>
      </c>
      <c r="E63" s="176" t="s">
        <v>87</v>
      </c>
      <c r="F63" t="s">
        <v>90</v>
      </c>
      <c r="G63" s="172" t="str">
        <f>IF(QALog[[#This Row],[Worksheet ]]="","",HYPERLINK("#'"&amp;QALog[[#This Row],[Worksheet ]]&amp;"'!"&amp;QALog[[#This Row],[Cell/Range]]&amp;"", "GoTo Cell"))</f>
        <v>GoTo Cell</v>
      </c>
      <c r="H63" s="173">
        <v>43447</v>
      </c>
      <c r="I63" t="s">
        <v>23</v>
      </c>
      <c r="J63"/>
      <c r="K63"/>
      <c r="L63" s="173"/>
      <c r="M63"/>
      <c r="N63" s="14"/>
      <c r="O63" t="s">
        <v>88</v>
      </c>
    </row>
    <row r="64" spans="2:15" ht="15.75" outlineLevel="1" x14ac:dyDescent="0.25">
      <c r="B64" s="171" t="str">
        <f>QALog[[#This Row],[QA analyst]]&amp;":"&amp;QALog[[#This Row],[QA analysts reference]]</f>
        <v>#LS:43</v>
      </c>
      <c r="C64">
        <v>43</v>
      </c>
      <c r="D64" t="s">
        <v>20</v>
      </c>
      <c r="E64" s="176" t="s">
        <v>87</v>
      </c>
      <c r="F64" t="s">
        <v>73</v>
      </c>
      <c r="G64" s="172" t="str">
        <f>IF(QALog[[#This Row],[Worksheet ]]="","",HYPERLINK("#'"&amp;QALog[[#This Row],[Worksheet ]]&amp;"'!"&amp;QALog[[#This Row],[Cell/Range]]&amp;"", "GoTo Cell"))</f>
        <v>GoTo Cell</v>
      </c>
      <c r="H64" s="173">
        <v>43447</v>
      </c>
      <c r="I64"/>
      <c r="J64" t="s">
        <v>33</v>
      </c>
      <c r="K64"/>
      <c r="L64" s="173"/>
      <c r="M64"/>
      <c r="N64" s="14"/>
      <c r="O64" t="s">
        <v>91</v>
      </c>
    </row>
    <row r="65" spans="2:15" ht="15.75" outlineLevel="1" x14ac:dyDescent="0.25">
      <c r="B65" s="171" t="str">
        <f>QALog[[#This Row],[QA analyst]]&amp;":"&amp;QALog[[#This Row],[QA analysts reference]]</f>
        <v>#LS:44</v>
      </c>
      <c r="C65">
        <v>44</v>
      </c>
      <c r="D65" t="s">
        <v>20</v>
      </c>
      <c r="E65" s="176" t="s">
        <v>87</v>
      </c>
      <c r="F65" t="s">
        <v>42</v>
      </c>
      <c r="G65" s="172" t="str">
        <f>IF(QALog[[#This Row],[Worksheet ]]="","",HYPERLINK("#'"&amp;QALog[[#This Row],[Worksheet ]]&amp;"'!"&amp;QALog[[#This Row],[Cell/Range]]&amp;"", "GoTo Cell"))</f>
        <v>GoTo Cell</v>
      </c>
      <c r="H65" s="173">
        <v>43447</v>
      </c>
      <c r="I65"/>
      <c r="J65" t="s">
        <v>33</v>
      </c>
      <c r="K65"/>
      <c r="L65" s="173"/>
      <c r="M65"/>
      <c r="N65" s="14"/>
      <c r="O65" t="s">
        <v>92</v>
      </c>
    </row>
    <row r="66" spans="2:15" ht="15.75" outlineLevel="1" x14ac:dyDescent="0.25">
      <c r="B66" s="171" t="str">
        <f>QALog[[#This Row],[QA analyst]]&amp;":"&amp;QALog[[#This Row],[QA analysts reference]]</f>
        <v>#LS:45</v>
      </c>
      <c r="C66">
        <v>45</v>
      </c>
      <c r="D66" t="s">
        <v>20</v>
      </c>
      <c r="E66" s="176" t="s">
        <v>87</v>
      </c>
      <c r="F66" t="s">
        <v>93</v>
      </c>
      <c r="G66" s="172" t="str">
        <f>IF(QALog[[#This Row],[Worksheet ]]="","",HYPERLINK("#'"&amp;QALog[[#This Row],[Worksheet ]]&amp;"'!"&amp;QALog[[#This Row],[Cell/Range]]&amp;"", "GoTo Cell"))</f>
        <v>GoTo Cell</v>
      </c>
      <c r="H66" s="173">
        <v>43447</v>
      </c>
      <c r="I66" t="s">
        <v>23</v>
      </c>
      <c r="J66"/>
      <c r="K66"/>
      <c r="L66" s="173"/>
      <c r="M66"/>
      <c r="N66" s="14"/>
      <c r="O66" t="s">
        <v>94</v>
      </c>
    </row>
    <row r="67" spans="2:15" ht="15.75" outlineLevel="1" x14ac:dyDescent="0.25">
      <c r="B67" s="171" t="str">
        <f>QALog[[#This Row],[QA analyst]]&amp;":"&amp;QALog[[#This Row],[QA analysts reference]]</f>
        <v>#LS:46</v>
      </c>
      <c r="C67">
        <v>46</v>
      </c>
      <c r="D67" t="s">
        <v>20</v>
      </c>
      <c r="E67" s="176" t="s">
        <v>95</v>
      </c>
      <c r="F67" t="s">
        <v>96</v>
      </c>
      <c r="G67" s="172" t="str">
        <f>IF(QALog[[#This Row],[Worksheet ]]="","",HYPERLINK("#'"&amp;QALog[[#This Row],[Worksheet ]]&amp;"'!"&amp;QALog[[#This Row],[Cell/Range]]&amp;"", "GoTo Cell"))</f>
        <v>GoTo Cell</v>
      </c>
      <c r="H67" s="173">
        <v>42801</v>
      </c>
      <c r="I67" t="s">
        <v>23</v>
      </c>
      <c r="J67"/>
      <c r="K67"/>
      <c r="L67" s="173"/>
      <c r="M67"/>
      <c r="N67" s="14"/>
      <c r="O67" t="s">
        <v>97</v>
      </c>
    </row>
    <row r="68" spans="2:15" ht="15.75" outlineLevel="1" x14ac:dyDescent="0.25">
      <c r="B68" s="171" t="str">
        <f>QALog[[#This Row],[QA analyst]]&amp;":"&amp;QALog[[#This Row],[QA analysts reference]]</f>
        <v>#LS:47</v>
      </c>
      <c r="C68">
        <v>47</v>
      </c>
      <c r="D68" t="s">
        <v>20</v>
      </c>
      <c r="E68" s="176" t="s">
        <v>95</v>
      </c>
      <c r="F68" t="s">
        <v>98</v>
      </c>
      <c r="G68" s="172" t="str">
        <f>IF(QALog[[#This Row],[Worksheet ]]="","",HYPERLINK("#'"&amp;QALog[[#This Row],[Worksheet ]]&amp;"'!"&amp;QALog[[#This Row],[Cell/Range]]&amp;"", "GoTo Cell"))</f>
        <v>GoTo Cell</v>
      </c>
      <c r="H68" s="173">
        <v>42801</v>
      </c>
      <c r="I68" t="s">
        <v>23</v>
      </c>
      <c r="J68"/>
      <c r="K68"/>
      <c r="L68" s="173"/>
      <c r="M68"/>
      <c r="N68" s="14"/>
      <c r="O68" t="s">
        <v>99</v>
      </c>
    </row>
    <row r="69" spans="2:15" ht="15.75" outlineLevel="1" x14ac:dyDescent="0.25">
      <c r="B69" s="171" t="str">
        <f>QALog[[#This Row],[QA analyst]]&amp;":"&amp;QALog[[#This Row],[QA analysts reference]]</f>
        <v>#LS:48</v>
      </c>
      <c r="C69">
        <v>48</v>
      </c>
      <c r="D69" t="s">
        <v>20</v>
      </c>
      <c r="E69" s="176" t="s">
        <v>95</v>
      </c>
      <c r="F69" t="s">
        <v>100</v>
      </c>
      <c r="G69" s="172" t="str">
        <f>IF(QALog[[#This Row],[Worksheet ]]="","",HYPERLINK("#'"&amp;QALog[[#This Row],[Worksheet ]]&amp;"'!"&amp;QALog[[#This Row],[Cell/Range]]&amp;"", "GoTo Cell"))</f>
        <v>GoTo Cell</v>
      </c>
      <c r="H69" s="173">
        <v>42801</v>
      </c>
      <c r="I69" t="s">
        <v>23</v>
      </c>
      <c r="J69"/>
      <c r="K69"/>
      <c r="L69" s="173"/>
      <c r="M69"/>
      <c r="N69" s="14"/>
      <c r="O69" t="s">
        <v>101</v>
      </c>
    </row>
    <row r="70" spans="2:15" ht="15.75" outlineLevel="1" x14ac:dyDescent="0.25">
      <c r="B70" s="171" t="str">
        <f>QALog[[#This Row],[QA analyst]]&amp;":"&amp;QALog[[#This Row],[QA analysts reference]]</f>
        <v>#LS:49</v>
      </c>
      <c r="C70">
        <v>49</v>
      </c>
      <c r="D70" t="s">
        <v>20</v>
      </c>
      <c r="E70" s="176" t="s">
        <v>95</v>
      </c>
      <c r="F70" t="s">
        <v>102</v>
      </c>
      <c r="G70" s="172" t="str">
        <f>IF(QALog[[#This Row],[Worksheet ]]="","",HYPERLINK("#'"&amp;QALog[[#This Row],[Worksheet ]]&amp;"'!"&amp;QALog[[#This Row],[Cell/Range]]&amp;"", "GoTo Cell"))</f>
        <v>GoTo Cell</v>
      </c>
      <c r="H70" s="173">
        <v>42801</v>
      </c>
      <c r="I70" t="s">
        <v>23</v>
      </c>
      <c r="J70"/>
      <c r="K70"/>
      <c r="L70" s="173"/>
      <c r="M70"/>
      <c r="N70" s="14"/>
      <c r="O70" t="s">
        <v>103</v>
      </c>
    </row>
    <row r="71" spans="2:15" ht="15.75" outlineLevel="1" x14ac:dyDescent="0.25">
      <c r="B71" s="171" t="str">
        <f>QALog[[#This Row],[QA analyst]]&amp;":"&amp;QALog[[#This Row],[QA analysts reference]]</f>
        <v>#LS:50</v>
      </c>
      <c r="C71">
        <v>50</v>
      </c>
      <c r="D71" t="s">
        <v>20</v>
      </c>
      <c r="E71" s="176" t="s">
        <v>95</v>
      </c>
      <c r="F71" t="s">
        <v>104</v>
      </c>
      <c r="G71" s="172" t="str">
        <f>IF(QALog[[#This Row],[Worksheet ]]="","",HYPERLINK("#'"&amp;QALog[[#This Row],[Worksheet ]]&amp;"'!"&amp;QALog[[#This Row],[Cell/Range]]&amp;"", "GoTo Cell"))</f>
        <v>GoTo Cell</v>
      </c>
      <c r="H71" s="173">
        <v>42801</v>
      </c>
      <c r="I71" t="s">
        <v>23</v>
      </c>
      <c r="J71"/>
      <c r="K71"/>
      <c r="L71" s="173"/>
      <c r="M71"/>
      <c r="N71" s="14"/>
      <c r="O71" t="s">
        <v>105</v>
      </c>
    </row>
    <row r="72" spans="2:15" ht="15.75" outlineLevel="1" x14ac:dyDescent="0.25">
      <c r="B72" s="171" t="str">
        <f>QALog[[#This Row],[QA analyst]]&amp;":"&amp;QALog[[#This Row],[QA analysts reference]]</f>
        <v>#LS:51</v>
      </c>
      <c r="C72">
        <v>51</v>
      </c>
      <c r="D72" t="s">
        <v>20</v>
      </c>
      <c r="E72" s="176" t="s">
        <v>95</v>
      </c>
      <c r="F72" t="s">
        <v>106</v>
      </c>
      <c r="G72" s="172" t="str">
        <f>IF(QALog[[#This Row],[Worksheet ]]="","",HYPERLINK("#'"&amp;QALog[[#This Row],[Worksheet ]]&amp;"'!"&amp;QALog[[#This Row],[Cell/Range]]&amp;"", "GoTo Cell"))</f>
        <v>GoTo Cell</v>
      </c>
      <c r="H72" s="173">
        <v>42801</v>
      </c>
      <c r="I72" t="s">
        <v>23</v>
      </c>
      <c r="J72"/>
      <c r="K72"/>
      <c r="L72" s="173"/>
      <c r="M72"/>
      <c r="N72" s="14"/>
      <c r="O72" t="s">
        <v>107</v>
      </c>
    </row>
    <row r="73" spans="2:15" ht="15.75" outlineLevel="1" x14ac:dyDescent="0.25">
      <c r="B73" s="171" t="str">
        <f>QALog[[#This Row],[QA analyst]]&amp;":"&amp;QALog[[#This Row],[QA analysts reference]]</f>
        <v>#LS:52</v>
      </c>
      <c r="C73">
        <v>52</v>
      </c>
      <c r="D73" t="s">
        <v>20</v>
      </c>
      <c r="E73" s="176" t="s">
        <v>95</v>
      </c>
      <c r="F73" t="s">
        <v>32</v>
      </c>
      <c r="G73" s="172" t="str">
        <f>IF(QALog[[#This Row],[Worksheet ]]="","",HYPERLINK("#'"&amp;QALog[[#This Row],[Worksheet ]]&amp;"'!"&amp;QALog[[#This Row],[Cell/Range]]&amp;"", "GoTo Cell"))</f>
        <v>GoTo Cell</v>
      </c>
      <c r="H73" s="173">
        <v>43447</v>
      </c>
      <c r="I73"/>
      <c r="J73" t="s">
        <v>33</v>
      </c>
      <c r="K73"/>
      <c r="L73" s="173"/>
      <c r="M73"/>
      <c r="N73" s="14"/>
      <c r="O73" t="s">
        <v>43</v>
      </c>
    </row>
    <row r="74" spans="2:15" ht="15.75" outlineLevel="1" x14ac:dyDescent="0.25">
      <c r="B74" s="171" t="str">
        <f>QALog[[#This Row],[QA analyst]]&amp;":"&amp;QALog[[#This Row],[QA analysts reference]]</f>
        <v>#LS:53</v>
      </c>
      <c r="C74">
        <v>53</v>
      </c>
      <c r="D74" t="s">
        <v>20</v>
      </c>
      <c r="E74" s="176" t="s">
        <v>95</v>
      </c>
      <c r="F74" t="s">
        <v>35</v>
      </c>
      <c r="G74" s="172" t="str">
        <f>IF(QALog[[#This Row],[Worksheet ]]="","",HYPERLINK("#'"&amp;QALog[[#This Row],[Worksheet ]]&amp;"'!"&amp;QALog[[#This Row],[Cell/Range]]&amp;"", "GoTo Cell"))</f>
        <v>GoTo Cell</v>
      </c>
      <c r="H74" s="173">
        <v>43447</v>
      </c>
      <c r="I74"/>
      <c r="J74" t="s">
        <v>33</v>
      </c>
      <c r="K74"/>
      <c r="L74" s="173"/>
      <c r="M74"/>
      <c r="N74" s="14"/>
      <c r="O74" t="s">
        <v>43</v>
      </c>
    </row>
    <row r="75" spans="2:15" ht="15.75" outlineLevel="1" x14ac:dyDescent="0.25">
      <c r="B75" s="171" t="str">
        <f>QALog[[#This Row],[QA analyst]]&amp;":"&amp;QALog[[#This Row],[QA analysts reference]]</f>
        <v>#LS:54</v>
      </c>
      <c r="C75">
        <v>54</v>
      </c>
      <c r="D75" t="s">
        <v>20</v>
      </c>
      <c r="E75" s="176" t="s">
        <v>95</v>
      </c>
      <c r="F75" t="s">
        <v>108</v>
      </c>
      <c r="G75" s="172" t="str">
        <f>IF(QALog[[#This Row],[Worksheet ]]="","",HYPERLINK("#'"&amp;QALog[[#This Row],[Worksheet ]]&amp;"'!"&amp;QALog[[#This Row],[Cell/Range]]&amp;"", "GoTo Cell"))</f>
        <v>GoTo Cell</v>
      </c>
      <c r="H75" s="173">
        <v>43447</v>
      </c>
      <c r="I75"/>
      <c r="J75" t="s">
        <v>33</v>
      </c>
      <c r="K75"/>
      <c r="L75" s="173"/>
      <c r="M75"/>
      <c r="N75" s="14"/>
      <c r="O75" t="s">
        <v>43</v>
      </c>
    </row>
    <row r="76" spans="2:15" ht="15.75" outlineLevel="1" x14ac:dyDescent="0.25">
      <c r="B76" s="171" t="str">
        <f>QALog[[#This Row],[QA analyst]]&amp;":"&amp;QALog[[#This Row],[QA analysts reference]]</f>
        <v>#LS:55</v>
      </c>
      <c r="C76">
        <v>55</v>
      </c>
      <c r="D76" t="s">
        <v>20</v>
      </c>
      <c r="E76" s="176" t="s">
        <v>95</v>
      </c>
      <c r="F76" t="s">
        <v>38</v>
      </c>
      <c r="G76" s="172" t="str">
        <f>IF(QALog[[#This Row],[Worksheet ]]="","",HYPERLINK("#'"&amp;QALog[[#This Row],[Worksheet ]]&amp;"'!"&amp;QALog[[#This Row],[Cell/Range]]&amp;"", "GoTo Cell"))</f>
        <v>GoTo Cell</v>
      </c>
      <c r="H76" s="173">
        <v>43447</v>
      </c>
      <c r="I76"/>
      <c r="J76" t="s">
        <v>33</v>
      </c>
      <c r="K76"/>
      <c r="L76" s="173"/>
      <c r="M76"/>
      <c r="N76" s="14"/>
      <c r="O76" t="s">
        <v>43</v>
      </c>
    </row>
    <row r="77" spans="2:15" ht="15.75" outlineLevel="1" x14ac:dyDescent="0.25">
      <c r="B77" s="171" t="str">
        <f>QALog[[#This Row],[QA analyst]]&amp;":"&amp;QALog[[#This Row],[QA analysts reference]]</f>
        <v>#LS:56</v>
      </c>
      <c r="C77">
        <v>56</v>
      </c>
      <c r="D77" t="s">
        <v>20</v>
      </c>
      <c r="E77" s="176" t="s">
        <v>95</v>
      </c>
      <c r="F77" t="s">
        <v>56</v>
      </c>
      <c r="G77" s="172" t="str">
        <f>IF(QALog[[#This Row],[Worksheet ]]="","",HYPERLINK("#'"&amp;QALog[[#This Row],[Worksheet ]]&amp;"'!"&amp;QALog[[#This Row],[Cell/Range]]&amp;"", "GoTo Cell"))</f>
        <v>GoTo Cell</v>
      </c>
      <c r="H77" s="173">
        <v>43447</v>
      </c>
      <c r="I77"/>
      <c r="J77" t="s">
        <v>33</v>
      </c>
      <c r="K77"/>
      <c r="L77" s="173"/>
      <c r="M77"/>
      <c r="N77" s="14"/>
      <c r="O77" t="s">
        <v>43</v>
      </c>
    </row>
    <row r="78" spans="2:15" ht="15.75" outlineLevel="1" x14ac:dyDescent="0.25">
      <c r="B78" s="171" t="str">
        <f>QALog[[#This Row],[QA analyst]]&amp;":"&amp;QALog[[#This Row],[QA analysts reference]]</f>
        <v>#LS:57</v>
      </c>
      <c r="C78">
        <v>57</v>
      </c>
      <c r="D78" t="s">
        <v>20</v>
      </c>
      <c r="E78" s="176" t="s">
        <v>95</v>
      </c>
      <c r="F78" t="s">
        <v>109</v>
      </c>
      <c r="G78" s="172" t="str">
        <f>IF(QALog[[#This Row],[Worksheet ]]="","",HYPERLINK("#'"&amp;QALog[[#This Row],[Worksheet ]]&amp;"'!"&amp;QALog[[#This Row],[Cell/Range]]&amp;"", "GoTo Cell"))</f>
        <v>GoTo Cell</v>
      </c>
      <c r="H78" s="173">
        <v>42869</v>
      </c>
      <c r="I78"/>
      <c r="J78" t="s">
        <v>45</v>
      </c>
      <c r="K78" t="s">
        <v>110</v>
      </c>
      <c r="L78" s="173">
        <v>42862</v>
      </c>
      <c r="M78" t="s">
        <v>20</v>
      </c>
      <c r="N78" s="14"/>
      <c r="O78" t="s">
        <v>111</v>
      </c>
    </row>
    <row r="79" spans="2:15" ht="15.75" outlineLevel="1" x14ac:dyDescent="0.25">
      <c r="B79" s="171" t="str">
        <f>QALog[[#This Row],[QA analyst]]&amp;":"&amp;QALog[[#This Row],[QA analysts reference]]</f>
        <v>#LS:58</v>
      </c>
      <c r="C79">
        <v>58</v>
      </c>
      <c r="D79" t="s">
        <v>20</v>
      </c>
      <c r="E79" s="176" t="s">
        <v>95</v>
      </c>
      <c r="F79" t="s">
        <v>112</v>
      </c>
      <c r="G79" s="172" t="str">
        <f>IF(QALog[[#This Row],[Worksheet ]]="","",HYPERLINK("#'"&amp;QALog[[#This Row],[Worksheet ]]&amp;"'!"&amp;QALog[[#This Row],[Cell/Range]]&amp;"", "GoTo Cell"))</f>
        <v>GoTo Cell</v>
      </c>
      <c r="H79" s="173">
        <v>42869</v>
      </c>
      <c r="I79"/>
      <c r="J79" t="s">
        <v>45</v>
      </c>
      <c r="K79" t="s">
        <v>110</v>
      </c>
      <c r="L79" s="173"/>
      <c r="M79"/>
      <c r="N79" s="14"/>
      <c r="O79" t="s">
        <v>113</v>
      </c>
    </row>
    <row r="80" spans="2:15" ht="15.75" outlineLevel="1" x14ac:dyDescent="0.25">
      <c r="B80" s="171" t="str">
        <f>QALog[[#This Row],[QA analyst]]&amp;":"&amp;QALog[[#This Row],[QA analysts reference]]</f>
        <v>#LS:59</v>
      </c>
      <c r="C80">
        <v>59</v>
      </c>
      <c r="D80" t="s">
        <v>20</v>
      </c>
      <c r="E80" s="176" t="s">
        <v>95</v>
      </c>
      <c r="F80" t="s">
        <v>114</v>
      </c>
      <c r="G80" s="172" t="str">
        <f>IF(QALog[[#This Row],[Worksheet ]]="","",HYPERLINK("#'"&amp;QALog[[#This Row],[Worksheet ]]&amp;"'!"&amp;QALog[[#This Row],[Cell/Range]]&amp;"", "GoTo Cell"))</f>
        <v>GoTo Cell</v>
      </c>
      <c r="H80" s="173">
        <v>43447</v>
      </c>
      <c r="I80"/>
      <c r="J80" t="s">
        <v>45</v>
      </c>
      <c r="K80"/>
      <c r="L80" s="173"/>
      <c r="M80"/>
      <c r="N80" s="14"/>
      <c r="O80" t="s">
        <v>115</v>
      </c>
    </row>
    <row r="81" spans="2:15" ht="15.75" outlineLevel="1" x14ac:dyDescent="0.25">
      <c r="B81" s="171" t="str">
        <f>QALog[[#This Row],[QA analyst]]&amp;":"&amp;QALog[[#This Row],[QA analysts reference]]</f>
        <v>#LS:60</v>
      </c>
      <c r="C81">
        <v>60</v>
      </c>
      <c r="D81" t="s">
        <v>20</v>
      </c>
      <c r="E81" s="176" t="s">
        <v>95</v>
      </c>
      <c r="F81" t="s">
        <v>79</v>
      </c>
      <c r="G81" s="172" t="str">
        <f>IF(QALog[[#This Row],[Worksheet ]]="","",HYPERLINK("#'"&amp;QALog[[#This Row],[Worksheet ]]&amp;"'!"&amp;QALog[[#This Row],[Cell/Range]]&amp;"", "GoTo Cell"))</f>
        <v>GoTo Cell</v>
      </c>
      <c r="H81" s="173">
        <v>43447</v>
      </c>
      <c r="I81" t="s">
        <v>23</v>
      </c>
      <c r="J81"/>
      <c r="K81"/>
      <c r="L81" s="173"/>
      <c r="M81"/>
      <c r="N81" s="14"/>
      <c r="O81" t="s">
        <v>116</v>
      </c>
    </row>
    <row r="82" spans="2:15" ht="15.75" outlineLevel="1" x14ac:dyDescent="0.25">
      <c r="B82" s="171" t="str">
        <f>QALog[[#This Row],[QA analyst]]&amp;":"&amp;QALog[[#This Row],[QA analysts reference]]</f>
        <v>#LS:61</v>
      </c>
      <c r="C82">
        <v>61</v>
      </c>
      <c r="D82" t="s">
        <v>20</v>
      </c>
      <c r="E82" s="176" t="s">
        <v>95</v>
      </c>
      <c r="F82" t="s">
        <v>40</v>
      </c>
      <c r="G82" s="172" t="str">
        <f>IF(QALog[[#This Row],[Worksheet ]]="","",HYPERLINK("#'"&amp;QALog[[#This Row],[Worksheet ]]&amp;"'!"&amp;QALog[[#This Row],[Cell/Range]]&amp;"", "GoTo Cell"))</f>
        <v>GoTo Cell</v>
      </c>
      <c r="H82" s="173">
        <v>43447</v>
      </c>
      <c r="I82" t="s">
        <v>23</v>
      </c>
      <c r="J82"/>
      <c r="K82"/>
      <c r="L82" s="173"/>
      <c r="M82"/>
      <c r="N82" s="14"/>
      <c r="O82" t="s">
        <v>116</v>
      </c>
    </row>
    <row r="83" spans="2:15" ht="15.75" outlineLevel="1" x14ac:dyDescent="0.25">
      <c r="B83" s="171" t="str">
        <f>QALog[[#This Row],[QA analyst]]&amp;":"&amp;QALog[[#This Row],[QA analysts reference]]</f>
        <v>#LS:62</v>
      </c>
      <c r="C83">
        <v>62</v>
      </c>
      <c r="D83" t="s">
        <v>20</v>
      </c>
      <c r="E83" s="176" t="s">
        <v>95</v>
      </c>
      <c r="F83" t="s">
        <v>75</v>
      </c>
      <c r="G83" s="172" t="str">
        <f>IF(QALog[[#This Row],[Worksheet ]]="","",HYPERLINK("#'"&amp;QALog[[#This Row],[Worksheet ]]&amp;"'!"&amp;QALog[[#This Row],[Cell/Range]]&amp;"", "GoTo Cell"))</f>
        <v>GoTo Cell</v>
      </c>
      <c r="H83" s="173">
        <v>43447</v>
      </c>
      <c r="I83" t="s">
        <v>23</v>
      </c>
      <c r="J83"/>
      <c r="K83"/>
      <c r="L83" s="173"/>
      <c r="M83"/>
      <c r="N83" s="14"/>
      <c r="O83" t="s">
        <v>116</v>
      </c>
    </row>
    <row r="84" spans="2:15" ht="15.75" outlineLevel="1" x14ac:dyDescent="0.25">
      <c r="B84" s="171" t="str">
        <f>QALog[[#This Row],[QA analyst]]&amp;":"&amp;QALog[[#This Row],[QA analysts reference]]</f>
        <v>#LS:63</v>
      </c>
      <c r="C84">
        <v>63</v>
      </c>
      <c r="D84" t="s">
        <v>20</v>
      </c>
      <c r="E84" s="176" t="s">
        <v>95</v>
      </c>
      <c r="F84" t="s">
        <v>89</v>
      </c>
      <c r="G84" s="172" t="str">
        <f>IF(QALog[[#This Row],[Worksheet ]]="","",HYPERLINK("#'"&amp;QALog[[#This Row],[Worksheet ]]&amp;"'!"&amp;QALog[[#This Row],[Cell/Range]]&amp;"", "GoTo Cell"))</f>
        <v>GoTo Cell</v>
      </c>
      <c r="H84" s="173">
        <v>43447</v>
      </c>
      <c r="I84" t="s">
        <v>23</v>
      </c>
      <c r="J84"/>
      <c r="K84"/>
      <c r="L84" s="173"/>
      <c r="M84"/>
      <c r="N84" s="14"/>
      <c r="O84" t="s">
        <v>116</v>
      </c>
    </row>
    <row r="85" spans="2:15" ht="15.75" outlineLevel="1" x14ac:dyDescent="0.25">
      <c r="B85" s="171" t="str">
        <f>QALog[[#This Row],[QA analyst]]&amp;":"&amp;QALog[[#This Row],[QA analysts reference]]</f>
        <v>#LS:64</v>
      </c>
      <c r="C85">
        <v>64</v>
      </c>
      <c r="D85" t="s">
        <v>20</v>
      </c>
      <c r="E85" s="176" t="s">
        <v>95</v>
      </c>
      <c r="F85" t="s">
        <v>76</v>
      </c>
      <c r="G85" s="172" t="str">
        <f>IF(QALog[[#This Row],[Worksheet ]]="","",HYPERLINK("#'"&amp;QALog[[#This Row],[Worksheet ]]&amp;"'!"&amp;QALog[[#This Row],[Cell/Range]]&amp;"", "GoTo Cell"))</f>
        <v>GoTo Cell</v>
      </c>
      <c r="H85" s="173">
        <v>43447</v>
      </c>
      <c r="I85" t="s">
        <v>23</v>
      </c>
      <c r="J85"/>
      <c r="K85"/>
      <c r="L85" s="173"/>
      <c r="M85"/>
      <c r="N85" s="14"/>
      <c r="O85" t="s">
        <v>117</v>
      </c>
    </row>
    <row r="86" spans="2:15" ht="15.75" outlineLevel="1" x14ac:dyDescent="0.25">
      <c r="B86" s="171" t="str">
        <f>QALog[[#This Row],[QA analyst]]&amp;":"&amp;QALog[[#This Row],[QA analysts reference]]</f>
        <v>#LS:65</v>
      </c>
      <c r="C86">
        <v>65</v>
      </c>
      <c r="D86" t="s">
        <v>20</v>
      </c>
      <c r="E86" s="176" t="s">
        <v>95</v>
      </c>
      <c r="F86" t="s">
        <v>90</v>
      </c>
      <c r="G86" s="172" t="str">
        <f>IF(QALog[[#This Row],[Worksheet ]]="","",HYPERLINK("#'"&amp;QALog[[#This Row],[Worksheet ]]&amp;"'!"&amp;QALog[[#This Row],[Cell/Range]]&amp;"", "GoTo Cell"))</f>
        <v>GoTo Cell</v>
      </c>
      <c r="H86" s="173">
        <v>43447</v>
      </c>
      <c r="I86" t="s">
        <v>23</v>
      </c>
      <c r="J86"/>
      <c r="K86"/>
      <c r="L86" s="173"/>
      <c r="M86"/>
      <c r="N86" s="14"/>
      <c r="O86" t="s">
        <v>117</v>
      </c>
    </row>
    <row r="87" spans="2:15" ht="15.75" outlineLevel="1" x14ac:dyDescent="0.25">
      <c r="B87" s="171" t="str">
        <f>QALog[[#This Row],[QA analyst]]&amp;":"&amp;QALog[[#This Row],[QA analysts reference]]</f>
        <v>#LS:66</v>
      </c>
      <c r="C87">
        <v>66</v>
      </c>
      <c r="D87" t="s">
        <v>20</v>
      </c>
      <c r="E87" s="176" t="s">
        <v>95</v>
      </c>
      <c r="F87" t="s">
        <v>93</v>
      </c>
      <c r="G87" s="172" t="str">
        <f>IF(QALog[[#This Row],[Worksheet ]]="","",HYPERLINK("#'"&amp;QALog[[#This Row],[Worksheet ]]&amp;"'!"&amp;QALog[[#This Row],[Cell/Range]]&amp;"", "GoTo Cell"))</f>
        <v>GoTo Cell</v>
      </c>
      <c r="H87" s="173">
        <v>43447</v>
      </c>
      <c r="I87"/>
      <c r="J87" t="s">
        <v>36</v>
      </c>
      <c r="K87"/>
      <c r="L87" s="173"/>
      <c r="M87"/>
      <c r="N87" s="14"/>
      <c r="O87" t="s">
        <v>118</v>
      </c>
    </row>
    <row r="88" spans="2:15" ht="15.75" outlineLevel="1" x14ac:dyDescent="0.25">
      <c r="B88" s="171" t="str">
        <f>QALog[[#This Row],[QA analyst]]&amp;":"&amp;QALog[[#This Row],[QA analysts reference]]</f>
        <v>#LS:67</v>
      </c>
      <c r="C88">
        <v>67</v>
      </c>
      <c r="D88" t="s">
        <v>20</v>
      </c>
      <c r="E88" s="176" t="s">
        <v>95</v>
      </c>
      <c r="F88" t="s">
        <v>119</v>
      </c>
      <c r="G88" s="172" t="str">
        <f>IF(QALog[[#This Row],[Worksheet ]]="","",HYPERLINK("#'"&amp;QALog[[#This Row],[Worksheet ]]&amp;"'!"&amp;QALog[[#This Row],[Cell/Range]]&amp;"", "GoTo Cell"))</f>
        <v>GoTo Cell</v>
      </c>
      <c r="H88" s="173">
        <v>43074</v>
      </c>
      <c r="I88"/>
      <c r="J88" t="s">
        <v>45</v>
      </c>
      <c r="K88" t="s">
        <v>110</v>
      </c>
      <c r="L88" s="173">
        <v>42862</v>
      </c>
      <c r="M88" t="s">
        <v>20</v>
      </c>
      <c r="N88" s="14"/>
      <c r="O88" t="s">
        <v>120</v>
      </c>
    </row>
    <row r="89" spans="2:15" ht="15.75" outlineLevel="1" x14ac:dyDescent="0.25">
      <c r="B89" s="171" t="str">
        <f>QALog[[#This Row],[QA analyst]]&amp;":"&amp;QALog[[#This Row],[QA analysts reference]]</f>
        <v>#LS:68</v>
      </c>
      <c r="C89">
        <v>68</v>
      </c>
      <c r="D89" t="s">
        <v>20</v>
      </c>
      <c r="E89" s="176" t="s">
        <v>95</v>
      </c>
      <c r="F89" t="s">
        <v>121</v>
      </c>
      <c r="G89" s="172" t="str">
        <f>IF(QALog[[#This Row],[Worksheet ]]="","",HYPERLINK("#'"&amp;QALog[[#This Row],[Worksheet ]]&amp;"'!"&amp;QALog[[#This Row],[Cell/Range]]&amp;"", "GoTo Cell"))</f>
        <v>GoTo Cell</v>
      </c>
      <c r="H89" s="173">
        <v>42869</v>
      </c>
      <c r="I89"/>
      <c r="J89" t="s">
        <v>45</v>
      </c>
      <c r="K89" t="s">
        <v>122</v>
      </c>
      <c r="L89" s="173">
        <v>42862</v>
      </c>
      <c r="M89" t="s">
        <v>20</v>
      </c>
      <c r="N89" s="14"/>
      <c r="O89" t="s">
        <v>123</v>
      </c>
    </row>
    <row r="90" spans="2:15" ht="15.75" outlineLevel="1" x14ac:dyDescent="0.25">
      <c r="B90" s="171" t="str">
        <f>QALog[[#This Row],[QA analyst]]&amp;":"&amp;QALog[[#This Row],[QA analysts reference]]</f>
        <v>#LS:69</v>
      </c>
      <c r="C90">
        <v>69</v>
      </c>
      <c r="D90" t="s">
        <v>20</v>
      </c>
      <c r="E90" s="176" t="s">
        <v>95</v>
      </c>
      <c r="F90" t="s">
        <v>124</v>
      </c>
      <c r="G90" s="172" t="str">
        <f>IF(QALog[[#This Row],[Worksheet ]]="","",HYPERLINK("#'"&amp;QALog[[#This Row],[Worksheet ]]&amp;"'!"&amp;QALog[[#This Row],[Cell/Range]]&amp;"", "GoTo Cell"))</f>
        <v>GoTo Cell</v>
      </c>
      <c r="H90" s="173">
        <v>42869</v>
      </c>
      <c r="I90"/>
      <c r="J90" t="s">
        <v>45</v>
      </c>
      <c r="K90" t="s">
        <v>122</v>
      </c>
      <c r="L90" s="173">
        <v>42862</v>
      </c>
      <c r="M90" t="s">
        <v>20</v>
      </c>
      <c r="N90" s="14"/>
      <c r="O90" t="s">
        <v>123</v>
      </c>
    </row>
    <row r="91" spans="2:15" ht="15.75" outlineLevel="1" x14ac:dyDescent="0.25">
      <c r="B91" s="171" t="str">
        <f>QALog[[#This Row],[QA analyst]]&amp;":"&amp;QALog[[#This Row],[QA analysts reference]]</f>
        <v>#LS:70</v>
      </c>
      <c r="C91">
        <v>70</v>
      </c>
      <c r="D91" t="s">
        <v>20</v>
      </c>
      <c r="E91" s="176" t="s">
        <v>95</v>
      </c>
      <c r="F91" t="s">
        <v>125</v>
      </c>
      <c r="G91" s="172" t="str">
        <f>IF(QALog[[#This Row],[Worksheet ]]="","",HYPERLINK("#'"&amp;QALog[[#This Row],[Worksheet ]]&amp;"'!"&amp;QALog[[#This Row],[Cell/Range]]&amp;"", "GoTo Cell"))</f>
        <v>GoTo Cell</v>
      </c>
      <c r="H91" s="173">
        <v>42869</v>
      </c>
      <c r="I91"/>
      <c r="J91" t="s">
        <v>45</v>
      </c>
      <c r="K91" t="s">
        <v>122</v>
      </c>
      <c r="L91" s="173">
        <v>42862</v>
      </c>
      <c r="M91" t="s">
        <v>20</v>
      </c>
      <c r="N91" s="14"/>
      <c r="O91" t="s">
        <v>123</v>
      </c>
    </row>
    <row r="92" spans="2:15" ht="15.75" outlineLevel="1" x14ac:dyDescent="0.25">
      <c r="B92" s="171" t="str">
        <f>QALog[[#This Row],[QA analyst]]&amp;":"&amp;QALog[[#This Row],[QA analysts reference]]</f>
        <v>#LS:71</v>
      </c>
      <c r="C92">
        <v>71</v>
      </c>
      <c r="D92" t="s">
        <v>20</v>
      </c>
      <c r="E92" s="176" t="s">
        <v>126</v>
      </c>
      <c r="F92" t="s">
        <v>32</v>
      </c>
      <c r="G92" s="172" t="str">
        <f>IF(QALog[[#This Row],[Worksheet ]]="","",HYPERLINK("#'"&amp;QALog[[#This Row],[Worksheet ]]&amp;"'!"&amp;QALog[[#This Row],[Cell/Range]]&amp;"", "GoTo Cell"))</f>
        <v>GoTo Cell</v>
      </c>
      <c r="H92" s="173">
        <v>43447</v>
      </c>
      <c r="I92"/>
      <c r="J92" t="s">
        <v>33</v>
      </c>
      <c r="K92"/>
      <c r="L92" s="173"/>
      <c r="M92"/>
      <c r="N92" s="14"/>
      <c r="O92" t="s">
        <v>43</v>
      </c>
    </row>
    <row r="93" spans="2:15" ht="15.75" outlineLevel="1" x14ac:dyDescent="0.25">
      <c r="B93" s="171" t="str">
        <f>QALog[[#This Row],[QA analyst]]&amp;":"&amp;QALog[[#This Row],[QA analysts reference]]</f>
        <v>#LS:72</v>
      </c>
      <c r="C93">
        <v>72</v>
      </c>
      <c r="D93" t="s">
        <v>20</v>
      </c>
      <c r="E93" s="176" t="s">
        <v>126</v>
      </c>
      <c r="F93" t="s">
        <v>35</v>
      </c>
      <c r="G93" s="172" t="str">
        <f>IF(QALog[[#This Row],[Worksheet ]]="","",HYPERLINK("#'"&amp;QALog[[#This Row],[Worksheet ]]&amp;"'!"&amp;QALog[[#This Row],[Cell/Range]]&amp;"", "GoTo Cell"))</f>
        <v>GoTo Cell</v>
      </c>
      <c r="H93" s="173">
        <v>43447</v>
      </c>
      <c r="I93"/>
      <c r="J93" t="s">
        <v>33</v>
      </c>
      <c r="K93"/>
      <c r="L93" s="173"/>
      <c r="M93"/>
      <c r="N93" s="14"/>
      <c r="O93" t="s">
        <v>43</v>
      </c>
    </row>
    <row r="94" spans="2:15" ht="15.75" outlineLevel="1" x14ac:dyDescent="0.25">
      <c r="B94" s="171" t="str">
        <f>QALog[[#This Row],[QA analyst]]&amp;":"&amp;QALog[[#This Row],[QA analysts reference]]</f>
        <v>#LS:73</v>
      </c>
      <c r="C94">
        <v>73</v>
      </c>
      <c r="D94" t="s">
        <v>20</v>
      </c>
      <c r="E94" s="176" t="s">
        <v>126</v>
      </c>
      <c r="F94" t="s">
        <v>108</v>
      </c>
      <c r="G94" s="172" t="str">
        <f>IF(QALog[[#This Row],[Worksheet ]]="","",HYPERLINK("#'"&amp;QALog[[#This Row],[Worksheet ]]&amp;"'!"&amp;QALog[[#This Row],[Cell/Range]]&amp;"", "GoTo Cell"))</f>
        <v>GoTo Cell</v>
      </c>
      <c r="H94" s="173">
        <v>43447</v>
      </c>
      <c r="I94"/>
      <c r="J94" t="s">
        <v>33</v>
      </c>
      <c r="K94"/>
      <c r="L94" s="173"/>
      <c r="M94"/>
      <c r="N94" s="14"/>
      <c r="O94" t="s">
        <v>43</v>
      </c>
    </row>
    <row r="95" spans="2:15" ht="15.75" outlineLevel="1" x14ac:dyDescent="0.25">
      <c r="B95" s="171" t="str">
        <f>QALog[[#This Row],[QA analyst]]&amp;":"&amp;QALog[[#This Row],[QA analysts reference]]</f>
        <v>#LS:74</v>
      </c>
      <c r="C95">
        <v>74</v>
      </c>
      <c r="D95" t="s">
        <v>20</v>
      </c>
      <c r="E95" s="176" t="s">
        <v>126</v>
      </c>
      <c r="F95" t="s">
        <v>38</v>
      </c>
      <c r="G95" s="172" t="str">
        <f>IF(QALog[[#This Row],[Worksheet ]]="","",HYPERLINK("#'"&amp;QALog[[#This Row],[Worksheet ]]&amp;"'!"&amp;QALog[[#This Row],[Cell/Range]]&amp;"", "GoTo Cell"))</f>
        <v>GoTo Cell</v>
      </c>
      <c r="H95" s="173">
        <v>43447</v>
      </c>
      <c r="I95"/>
      <c r="J95" t="s">
        <v>33</v>
      </c>
      <c r="K95"/>
      <c r="L95" s="173"/>
      <c r="M95"/>
      <c r="N95" s="14"/>
      <c r="O95" t="s">
        <v>43</v>
      </c>
    </row>
    <row r="96" spans="2:15" ht="15.75" outlineLevel="1" x14ac:dyDescent="0.25">
      <c r="B96" s="171" t="str">
        <f>QALog[[#This Row],[QA analyst]]&amp;":"&amp;QALog[[#This Row],[QA analysts reference]]</f>
        <v>#LS:75</v>
      </c>
      <c r="C96">
        <v>75</v>
      </c>
      <c r="D96" t="s">
        <v>20</v>
      </c>
      <c r="E96" s="176" t="s">
        <v>126</v>
      </c>
      <c r="F96" t="s">
        <v>56</v>
      </c>
      <c r="G96" s="172" t="str">
        <f>IF(QALog[[#This Row],[Worksheet ]]="","",HYPERLINK("#'"&amp;QALog[[#This Row],[Worksheet ]]&amp;"'!"&amp;QALog[[#This Row],[Cell/Range]]&amp;"", "GoTo Cell"))</f>
        <v>GoTo Cell</v>
      </c>
      <c r="H96" s="173">
        <v>43447</v>
      </c>
      <c r="I96"/>
      <c r="J96" t="s">
        <v>33</v>
      </c>
      <c r="K96"/>
      <c r="L96" s="173"/>
      <c r="M96"/>
      <c r="N96" s="14"/>
      <c r="O96" t="s">
        <v>43</v>
      </c>
    </row>
    <row r="97" spans="2:15" ht="15.75" outlineLevel="1" x14ac:dyDescent="0.25">
      <c r="B97" s="171" t="str">
        <f>QALog[[#This Row],[QA analyst]]&amp;":"&amp;QALog[[#This Row],[QA analysts reference]]</f>
        <v>#LS:76</v>
      </c>
      <c r="C97">
        <v>76</v>
      </c>
      <c r="D97" t="s">
        <v>20</v>
      </c>
      <c r="E97" s="176" t="s">
        <v>126</v>
      </c>
      <c r="F97" t="s">
        <v>79</v>
      </c>
      <c r="G97" s="172" t="str">
        <f>IF(QALog[[#This Row],[Worksheet ]]="","",HYPERLINK("#'"&amp;QALog[[#This Row],[Worksheet ]]&amp;"'!"&amp;QALog[[#This Row],[Cell/Range]]&amp;"", "GoTo Cell"))</f>
        <v>GoTo Cell</v>
      </c>
      <c r="H97" s="173">
        <v>43447</v>
      </c>
      <c r="I97" t="s">
        <v>23</v>
      </c>
      <c r="J97"/>
      <c r="K97"/>
      <c r="L97" s="173"/>
      <c r="M97"/>
      <c r="N97" s="14"/>
      <c r="O97" t="s">
        <v>127</v>
      </c>
    </row>
    <row r="98" spans="2:15" ht="15.75" outlineLevel="1" x14ac:dyDescent="0.25">
      <c r="B98" s="171" t="str">
        <f>QALog[[#This Row],[QA analyst]]&amp;":"&amp;QALog[[#This Row],[QA analysts reference]]</f>
        <v>#LS:77</v>
      </c>
      <c r="C98">
        <v>77</v>
      </c>
      <c r="D98" t="s">
        <v>20</v>
      </c>
      <c r="E98" s="176" t="s">
        <v>126</v>
      </c>
      <c r="F98" t="s">
        <v>40</v>
      </c>
      <c r="G98" s="172" t="str">
        <f>IF(QALog[[#This Row],[Worksheet ]]="","",HYPERLINK("#'"&amp;QALog[[#This Row],[Worksheet ]]&amp;"'!"&amp;QALog[[#This Row],[Cell/Range]]&amp;"", "GoTo Cell"))</f>
        <v>GoTo Cell</v>
      </c>
      <c r="H98" s="173">
        <v>43447</v>
      </c>
      <c r="I98" t="s">
        <v>23</v>
      </c>
      <c r="J98"/>
      <c r="K98"/>
      <c r="L98" s="173"/>
      <c r="M98"/>
      <c r="N98" s="14"/>
      <c r="O98" t="s">
        <v>127</v>
      </c>
    </row>
    <row r="99" spans="2:15" ht="15.75" outlineLevel="1" x14ac:dyDescent="0.25">
      <c r="B99" s="171" t="str">
        <f>QALog[[#This Row],[QA analyst]]&amp;":"&amp;QALog[[#This Row],[QA analysts reference]]</f>
        <v>#LS:78</v>
      </c>
      <c r="C99">
        <v>78</v>
      </c>
      <c r="D99" t="s">
        <v>20</v>
      </c>
      <c r="E99" s="176" t="s">
        <v>126</v>
      </c>
      <c r="F99" t="s">
        <v>75</v>
      </c>
      <c r="G99" s="172" t="str">
        <f>IF(QALog[[#This Row],[Worksheet ]]="","",HYPERLINK("#'"&amp;QALog[[#This Row],[Worksheet ]]&amp;"'!"&amp;QALog[[#This Row],[Cell/Range]]&amp;"", "GoTo Cell"))</f>
        <v>GoTo Cell</v>
      </c>
      <c r="H99" s="173">
        <v>43447</v>
      </c>
      <c r="I99"/>
      <c r="J99" t="s">
        <v>45</v>
      </c>
      <c r="K99"/>
      <c r="L99" s="173"/>
      <c r="M99"/>
      <c r="N99" s="14"/>
      <c r="O99" t="s">
        <v>128</v>
      </c>
    </row>
    <row r="100" spans="2:15" ht="15.75" outlineLevel="1" x14ac:dyDescent="0.25">
      <c r="B100" s="171" t="str">
        <f>QALog[[#This Row],[QA analyst]]&amp;":"&amp;QALog[[#This Row],[QA analysts reference]]</f>
        <v>#LS:79</v>
      </c>
      <c r="C100">
        <v>79</v>
      </c>
      <c r="D100" t="s">
        <v>20</v>
      </c>
      <c r="E100" s="176" t="s">
        <v>126</v>
      </c>
      <c r="F100" t="s">
        <v>89</v>
      </c>
      <c r="G100" s="172" t="str">
        <f>IF(QALog[[#This Row],[Worksheet ]]="","",HYPERLINK("#'"&amp;QALog[[#This Row],[Worksheet ]]&amp;"'!"&amp;QALog[[#This Row],[Cell/Range]]&amp;"", "GoTo Cell"))</f>
        <v>GoTo Cell</v>
      </c>
      <c r="H100" s="173">
        <v>43447</v>
      </c>
      <c r="I100"/>
      <c r="J100" t="s">
        <v>45</v>
      </c>
      <c r="K100"/>
      <c r="L100" s="173"/>
      <c r="M100"/>
      <c r="N100" s="14"/>
      <c r="O100" t="s">
        <v>128</v>
      </c>
    </row>
    <row r="101" spans="2:15" ht="15.75" outlineLevel="1" x14ac:dyDescent="0.25">
      <c r="B101" s="171" t="str">
        <f>QALog[[#This Row],[QA analyst]]&amp;":"&amp;QALog[[#This Row],[QA analysts reference]]</f>
        <v>#LS:80</v>
      </c>
      <c r="C101">
        <v>80</v>
      </c>
      <c r="D101" t="s">
        <v>20</v>
      </c>
      <c r="E101" s="176" t="s">
        <v>126</v>
      </c>
      <c r="F101" t="s">
        <v>76</v>
      </c>
      <c r="G101" s="172" t="str">
        <f>IF(QALog[[#This Row],[Worksheet ]]="","",HYPERLINK("#'"&amp;QALog[[#This Row],[Worksheet ]]&amp;"'!"&amp;QALog[[#This Row],[Cell/Range]]&amp;"", "GoTo Cell"))</f>
        <v>GoTo Cell</v>
      </c>
      <c r="H101" s="173">
        <v>43447</v>
      </c>
      <c r="I101"/>
      <c r="J101" t="s">
        <v>45</v>
      </c>
      <c r="K101"/>
      <c r="L101" s="173"/>
      <c r="M101"/>
      <c r="N101" s="14"/>
      <c r="O101" t="s">
        <v>128</v>
      </c>
    </row>
    <row r="102" spans="2:15" ht="15.75" outlineLevel="1" x14ac:dyDescent="0.25">
      <c r="B102" s="171" t="str">
        <f>QALog[[#This Row],[QA analyst]]&amp;":"&amp;QALog[[#This Row],[QA analysts reference]]</f>
        <v>#LS:81</v>
      </c>
      <c r="C102">
        <v>81</v>
      </c>
      <c r="D102" t="s">
        <v>20</v>
      </c>
      <c r="E102" s="176" t="s">
        <v>126</v>
      </c>
      <c r="F102" t="s">
        <v>90</v>
      </c>
      <c r="G102" s="172" t="str">
        <f>IF(QALog[[#This Row],[Worksheet ]]="","",HYPERLINK("#'"&amp;QALog[[#This Row],[Worksheet ]]&amp;"'!"&amp;QALog[[#This Row],[Cell/Range]]&amp;"", "GoTo Cell"))</f>
        <v>GoTo Cell</v>
      </c>
      <c r="H102" s="173">
        <v>43447</v>
      </c>
      <c r="I102"/>
      <c r="J102" t="s">
        <v>45</v>
      </c>
      <c r="K102"/>
      <c r="L102" s="173"/>
      <c r="M102"/>
      <c r="N102" s="14"/>
      <c r="O102" t="s">
        <v>128</v>
      </c>
    </row>
    <row r="103" spans="2:15" ht="15.75" outlineLevel="1" x14ac:dyDescent="0.25">
      <c r="B103" s="171" t="str">
        <f>QALog[[#This Row],[QA analyst]]&amp;":"&amp;QALog[[#This Row],[QA analysts reference]]</f>
        <v>#LS:82</v>
      </c>
      <c r="C103">
        <v>82</v>
      </c>
      <c r="D103" t="s">
        <v>20</v>
      </c>
      <c r="E103" s="176" t="s">
        <v>126</v>
      </c>
      <c r="F103" t="s">
        <v>73</v>
      </c>
      <c r="G103" s="172" t="str">
        <f>IF(QALog[[#This Row],[Worksheet ]]="","",HYPERLINK("#'"&amp;QALog[[#This Row],[Worksheet ]]&amp;"'!"&amp;QALog[[#This Row],[Cell/Range]]&amp;"", "GoTo Cell"))</f>
        <v>GoTo Cell</v>
      </c>
      <c r="H103" s="173">
        <v>43447</v>
      </c>
      <c r="I103"/>
      <c r="J103" t="s">
        <v>45</v>
      </c>
      <c r="K103"/>
      <c r="L103" s="173"/>
      <c r="M103"/>
      <c r="N103" s="14"/>
      <c r="O103" t="s">
        <v>128</v>
      </c>
    </row>
    <row r="104" spans="2:15" ht="15.75" outlineLevel="1" x14ac:dyDescent="0.25">
      <c r="B104" s="171" t="str">
        <f>QALog[[#This Row],[QA analyst]]&amp;":"&amp;QALog[[#This Row],[QA analysts reference]]</f>
        <v>#LS:83</v>
      </c>
      <c r="C104">
        <v>83</v>
      </c>
      <c r="D104" t="s">
        <v>20</v>
      </c>
      <c r="E104" s="176" t="s">
        <v>126</v>
      </c>
      <c r="F104" t="s">
        <v>42</v>
      </c>
      <c r="G104" s="172" t="str">
        <f>IF(QALog[[#This Row],[Worksheet ]]="","",HYPERLINK("#'"&amp;QALog[[#This Row],[Worksheet ]]&amp;"'!"&amp;QALog[[#This Row],[Cell/Range]]&amp;"", "GoTo Cell"))</f>
        <v>GoTo Cell</v>
      </c>
      <c r="H104" s="173">
        <v>43447</v>
      </c>
      <c r="I104"/>
      <c r="J104" t="s">
        <v>45</v>
      </c>
      <c r="K104"/>
      <c r="L104" s="173"/>
      <c r="M104"/>
      <c r="N104" s="14"/>
      <c r="O104" t="s">
        <v>128</v>
      </c>
    </row>
    <row r="105" spans="2:15" ht="15.75" outlineLevel="1" x14ac:dyDescent="0.25">
      <c r="B105" s="171" t="str">
        <f>QALog[[#This Row],[QA analyst]]&amp;":"&amp;QALog[[#This Row],[QA analysts reference]]</f>
        <v>#LS:84</v>
      </c>
      <c r="C105">
        <v>84</v>
      </c>
      <c r="D105" t="s">
        <v>20</v>
      </c>
      <c r="E105" s="176" t="s">
        <v>126</v>
      </c>
      <c r="F105" t="s">
        <v>129</v>
      </c>
      <c r="G105" s="172" t="str">
        <f>IF(QALog[[#This Row],[Worksheet ]]="","",HYPERLINK("#'"&amp;QALog[[#This Row],[Worksheet ]]&amp;"'!"&amp;QALog[[#This Row],[Cell/Range]]&amp;"", "GoTo Cell"))</f>
        <v>GoTo Cell</v>
      </c>
      <c r="H105" s="173">
        <v>43447</v>
      </c>
      <c r="I105"/>
      <c r="J105" t="s">
        <v>45</v>
      </c>
      <c r="K105"/>
      <c r="L105" s="173"/>
      <c r="M105"/>
      <c r="N105" s="14"/>
      <c r="O105" t="s">
        <v>128</v>
      </c>
    </row>
    <row r="106" spans="2:15" ht="15.75" outlineLevel="1" x14ac:dyDescent="0.25">
      <c r="B106" s="171" t="str">
        <f>QALog[[#This Row],[QA analyst]]&amp;":"&amp;QALog[[#This Row],[QA analysts reference]]</f>
        <v>#LS:85</v>
      </c>
      <c r="C106">
        <v>85</v>
      </c>
      <c r="D106" t="s">
        <v>20</v>
      </c>
      <c r="E106" s="176" t="s">
        <v>126</v>
      </c>
      <c r="F106" t="s">
        <v>93</v>
      </c>
      <c r="G106" s="172" t="str">
        <f>IF(QALog[[#This Row],[Worksheet ]]="","",HYPERLINK("#'"&amp;QALog[[#This Row],[Worksheet ]]&amp;"'!"&amp;QALog[[#This Row],[Cell/Range]]&amp;"", "GoTo Cell"))</f>
        <v>GoTo Cell</v>
      </c>
      <c r="H106" s="173">
        <v>43447</v>
      </c>
      <c r="I106"/>
      <c r="J106" t="s">
        <v>45</v>
      </c>
      <c r="K106"/>
      <c r="L106" s="173"/>
      <c r="M106"/>
      <c r="N106" s="14"/>
      <c r="O106" t="s">
        <v>128</v>
      </c>
    </row>
    <row r="107" spans="2:15" ht="15.75" outlineLevel="1" x14ac:dyDescent="0.25">
      <c r="B107" s="171" t="str">
        <f>QALog[[#This Row],[QA analyst]]&amp;":"&amp;QALog[[#This Row],[QA analysts reference]]</f>
        <v>#LS:86</v>
      </c>
      <c r="C107">
        <v>86</v>
      </c>
      <c r="D107" t="s">
        <v>20</v>
      </c>
      <c r="E107" s="176" t="s">
        <v>126</v>
      </c>
      <c r="F107" t="s">
        <v>130</v>
      </c>
      <c r="G107" s="172" t="str">
        <f>IF(QALog[[#This Row],[Worksheet ]]="","",HYPERLINK("#'"&amp;QALog[[#This Row],[Worksheet ]]&amp;"'!"&amp;QALog[[#This Row],[Cell/Range]]&amp;"", "GoTo Cell"))</f>
        <v>GoTo Cell</v>
      </c>
      <c r="H107" s="173">
        <v>43447</v>
      </c>
      <c r="I107"/>
      <c r="J107" t="s">
        <v>33</v>
      </c>
      <c r="K107"/>
      <c r="L107" s="173"/>
      <c r="M107"/>
      <c r="N107" s="14"/>
      <c r="O107" t="s">
        <v>131</v>
      </c>
    </row>
    <row r="108" spans="2:15" ht="15.75" outlineLevel="1" x14ac:dyDescent="0.25">
      <c r="B108" s="171" t="str">
        <f>QALog[[#This Row],[QA analyst]]&amp;":"&amp;QALog[[#This Row],[QA analysts reference]]</f>
        <v>#LS:87</v>
      </c>
      <c r="C108">
        <v>87</v>
      </c>
      <c r="D108" t="s">
        <v>20</v>
      </c>
      <c r="E108" s="176" t="s">
        <v>126</v>
      </c>
      <c r="F108" t="s">
        <v>132</v>
      </c>
      <c r="G108" s="172" t="str">
        <f>IF(QALog[[#This Row],[Worksheet ]]="","",HYPERLINK("#'"&amp;QALog[[#This Row],[Worksheet ]]&amp;"'!"&amp;QALog[[#This Row],[Cell/Range]]&amp;"", "GoTo Cell"))</f>
        <v>GoTo Cell</v>
      </c>
      <c r="H108" s="173">
        <v>43447</v>
      </c>
      <c r="I108"/>
      <c r="J108" t="s">
        <v>33</v>
      </c>
      <c r="K108"/>
      <c r="L108" s="173"/>
      <c r="M108"/>
      <c r="N108" s="14"/>
      <c r="O108" t="s">
        <v>133</v>
      </c>
    </row>
    <row r="109" spans="2:15" ht="15.75" outlineLevel="1" x14ac:dyDescent="0.25">
      <c r="B109" s="171" t="str">
        <f>QALog[[#This Row],[QA analyst]]&amp;":"&amp;QALog[[#This Row],[QA analysts reference]]</f>
        <v>#LS:88</v>
      </c>
      <c r="C109">
        <v>88</v>
      </c>
      <c r="D109" t="s">
        <v>20</v>
      </c>
      <c r="E109" s="176" t="s">
        <v>126</v>
      </c>
      <c r="F109" t="s">
        <v>134</v>
      </c>
      <c r="G109" s="172" t="str">
        <f>IF(QALog[[#This Row],[Worksheet ]]="","",HYPERLINK("#'"&amp;QALog[[#This Row],[Worksheet ]]&amp;"'!"&amp;QALog[[#This Row],[Cell/Range]]&amp;"", "GoTo Cell"))</f>
        <v>GoTo Cell</v>
      </c>
      <c r="H109" s="173">
        <v>43447</v>
      </c>
      <c r="I109"/>
      <c r="J109" t="s">
        <v>33</v>
      </c>
      <c r="K109"/>
      <c r="L109" s="173"/>
      <c r="M109"/>
      <c r="N109" s="14"/>
      <c r="O109" t="s">
        <v>135</v>
      </c>
    </row>
    <row r="110" spans="2:15" ht="15.75" outlineLevel="1" x14ac:dyDescent="0.25">
      <c r="B110" s="171" t="str">
        <f>QALog[[#This Row],[QA analyst]]&amp;":"&amp;QALog[[#This Row],[QA analysts reference]]</f>
        <v>#LS:89</v>
      </c>
      <c r="C110">
        <v>89</v>
      </c>
      <c r="D110" t="s">
        <v>20</v>
      </c>
      <c r="E110" s="176" t="s">
        <v>126</v>
      </c>
      <c r="F110" t="s">
        <v>136</v>
      </c>
      <c r="G110" s="172" t="str">
        <f>IF(QALog[[#This Row],[Worksheet ]]="","",HYPERLINK("#'"&amp;QALog[[#This Row],[Worksheet ]]&amp;"'!"&amp;QALog[[#This Row],[Cell/Range]]&amp;"", "GoTo Cell"))</f>
        <v>GoTo Cell</v>
      </c>
      <c r="H110" s="173">
        <v>43447</v>
      </c>
      <c r="I110"/>
      <c r="J110" t="s">
        <v>33</v>
      </c>
      <c r="K110"/>
      <c r="L110" s="173"/>
      <c r="M110"/>
      <c r="N110" s="14"/>
      <c r="O110" t="s">
        <v>137</v>
      </c>
    </row>
    <row r="111" spans="2:15" ht="15.75" outlineLevel="1" x14ac:dyDescent="0.25">
      <c r="B111" s="171" t="str">
        <f>QALog[[#This Row],[QA analyst]]&amp;":"&amp;QALog[[#This Row],[QA analysts reference]]</f>
        <v>#LS:90</v>
      </c>
      <c r="C111">
        <v>90</v>
      </c>
      <c r="D111" t="s">
        <v>20</v>
      </c>
      <c r="E111" s="176" t="s">
        <v>126</v>
      </c>
      <c r="F111" t="s">
        <v>138</v>
      </c>
      <c r="G111" s="172" t="str">
        <f>IF(QALog[[#This Row],[Worksheet ]]="","",HYPERLINK("#'"&amp;QALog[[#This Row],[Worksheet ]]&amp;"'!"&amp;QALog[[#This Row],[Cell/Range]]&amp;"", "GoTo Cell"))</f>
        <v>GoTo Cell</v>
      </c>
      <c r="H111" s="173">
        <v>43447</v>
      </c>
      <c r="I111"/>
      <c r="J111" t="s">
        <v>33</v>
      </c>
      <c r="K111"/>
      <c r="L111" s="173"/>
      <c r="M111"/>
      <c r="N111" s="14"/>
      <c r="O111" t="s">
        <v>131</v>
      </c>
    </row>
    <row r="112" spans="2:15" ht="15.75" outlineLevel="1" x14ac:dyDescent="0.25">
      <c r="B112" s="171" t="str">
        <f>QALog[[#This Row],[QA analyst]]&amp;":"&amp;QALog[[#This Row],[QA analysts reference]]</f>
        <v>#LS:91</v>
      </c>
      <c r="C112">
        <v>91</v>
      </c>
      <c r="D112" t="s">
        <v>20</v>
      </c>
      <c r="E112" s="176" t="s">
        <v>126</v>
      </c>
      <c r="F112" t="s">
        <v>139</v>
      </c>
      <c r="G112" s="172" t="str">
        <f>IF(QALog[[#This Row],[Worksheet ]]="","",HYPERLINK("#'"&amp;QALog[[#This Row],[Worksheet ]]&amp;"'!"&amp;QALog[[#This Row],[Cell/Range]]&amp;"", "GoTo Cell"))</f>
        <v>GoTo Cell</v>
      </c>
      <c r="H112" s="173">
        <v>43447</v>
      </c>
      <c r="I112"/>
      <c r="J112" t="s">
        <v>33</v>
      </c>
      <c r="K112"/>
      <c r="L112" s="173"/>
      <c r="M112"/>
      <c r="N112" s="14"/>
      <c r="O112" t="s">
        <v>131</v>
      </c>
    </row>
    <row r="113" spans="2:15" ht="15.75" outlineLevel="1" x14ac:dyDescent="0.25">
      <c r="B113" s="171" t="str">
        <f>QALog[[#This Row],[QA analyst]]&amp;":"&amp;QALog[[#This Row],[QA analysts reference]]</f>
        <v>#LS:92</v>
      </c>
      <c r="C113">
        <v>92</v>
      </c>
      <c r="D113" t="s">
        <v>20</v>
      </c>
      <c r="E113" s="176" t="s">
        <v>126</v>
      </c>
      <c r="F113" t="s">
        <v>140</v>
      </c>
      <c r="G113" s="172" t="str">
        <f>IF(QALog[[#This Row],[Worksheet ]]="","",HYPERLINK("#'"&amp;QALog[[#This Row],[Worksheet ]]&amp;"'!"&amp;QALog[[#This Row],[Cell/Range]]&amp;"", "GoTo Cell"))</f>
        <v>GoTo Cell</v>
      </c>
      <c r="H113" s="173">
        <v>43447</v>
      </c>
      <c r="I113"/>
      <c r="J113" t="s">
        <v>33</v>
      </c>
      <c r="K113"/>
      <c r="L113" s="173"/>
      <c r="M113"/>
      <c r="N113" s="14"/>
      <c r="O113" t="s">
        <v>131</v>
      </c>
    </row>
    <row r="114" spans="2:15" ht="15.75" outlineLevel="1" x14ac:dyDescent="0.25">
      <c r="B114" s="171" t="str">
        <f>QALog[[#This Row],[QA analyst]]&amp;":"&amp;QALog[[#This Row],[QA analysts reference]]</f>
        <v>#LS:93</v>
      </c>
      <c r="C114">
        <v>93</v>
      </c>
      <c r="D114" t="s">
        <v>20</v>
      </c>
      <c r="E114" s="176" t="s">
        <v>126</v>
      </c>
      <c r="F114" t="s">
        <v>141</v>
      </c>
      <c r="G114" s="172" t="str">
        <f>IF(QALog[[#This Row],[Worksheet ]]="","",HYPERLINK("#'"&amp;QALog[[#This Row],[Worksheet ]]&amp;"'!"&amp;QALog[[#This Row],[Cell/Range]]&amp;"", "GoTo Cell"))</f>
        <v>GoTo Cell</v>
      </c>
      <c r="H114" s="173">
        <v>42869</v>
      </c>
      <c r="I114"/>
      <c r="J114" t="s">
        <v>45</v>
      </c>
      <c r="K114"/>
      <c r="L114" s="173"/>
      <c r="M114"/>
      <c r="N114" s="14"/>
      <c r="O114" t="s">
        <v>142</v>
      </c>
    </row>
    <row r="115" spans="2:15" ht="15.75" outlineLevel="1" x14ac:dyDescent="0.25">
      <c r="B115" s="171" t="str">
        <f>QALog[[#This Row],[QA analyst]]&amp;":"&amp;QALog[[#This Row],[QA analysts reference]]</f>
        <v>#LS:94</v>
      </c>
      <c r="C115">
        <v>94</v>
      </c>
      <c r="D115" t="s">
        <v>20</v>
      </c>
      <c r="E115" s="176" t="s">
        <v>126</v>
      </c>
      <c r="F115" t="s">
        <v>143</v>
      </c>
      <c r="G115" s="172" t="str">
        <f>IF(QALog[[#This Row],[Worksheet ]]="","",HYPERLINK("#'"&amp;QALog[[#This Row],[Worksheet ]]&amp;"'!"&amp;QALog[[#This Row],[Cell/Range]]&amp;"", "GoTo Cell"))</f>
        <v>GoTo Cell</v>
      </c>
      <c r="H115" s="173">
        <v>42869</v>
      </c>
      <c r="I115"/>
      <c r="J115" t="s">
        <v>45</v>
      </c>
      <c r="K115"/>
      <c r="L115" s="173"/>
      <c r="M115"/>
      <c r="N115" s="14"/>
      <c r="O115" t="s">
        <v>142</v>
      </c>
    </row>
    <row r="116" spans="2:15" ht="15.75" outlineLevel="1" x14ac:dyDescent="0.25">
      <c r="B116" s="171" t="str">
        <f>QALog[[#This Row],[QA analyst]]&amp;":"&amp;QALog[[#This Row],[QA analysts reference]]</f>
        <v>#LS:95</v>
      </c>
      <c r="C116">
        <v>95</v>
      </c>
      <c r="D116" t="s">
        <v>20</v>
      </c>
      <c r="E116" s="176" t="s">
        <v>126</v>
      </c>
      <c r="F116" t="s">
        <v>144</v>
      </c>
      <c r="G116" s="172" t="str">
        <f>IF(QALog[[#This Row],[Worksheet ]]="","",HYPERLINK("#'"&amp;QALog[[#This Row],[Worksheet ]]&amp;"'!"&amp;QALog[[#This Row],[Cell/Range]]&amp;"", "GoTo Cell"))</f>
        <v>GoTo Cell</v>
      </c>
      <c r="H116" s="173">
        <v>42869</v>
      </c>
      <c r="I116"/>
      <c r="J116" t="s">
        <v>45</v>
      </c>
      <c r="K116"/>
      <c r="L116" s="173"/>
      <c r="M116"/>
      <c r="N116" s="14"/>
      <c r="O116" t="s">
        <v>142</v>
      </c>
    </row>
    <row r="117" spans="2:15" ht="15.75" outlineLevel="1" x14ac:dyDescent="0.25">
      <c r="B117" s="171" t="str">
        <f>QALog[[#This Row],[QA analyst]]&amp;":"&amp;QALog[[#This Row],[QA analysts reference]]</f>
        <v>#LS:96</v>
      </c>
      <c r="C117">
        <v>96</v>
      </c>
      <c r="D117" t="s">
        <v>20</v>
      </c>
      <c r="E117" s="176" t="s">
        <v>145</v>
      </c>
      <c r="F117" t="s">
        <v>32</v>
      </c>
      <c r="G117" s="172" t="str">
        <f>IF(QALog[[#This Row],[Worksheet ]]="","",HYPERLINK("#'"&amp;QALog[[#This Row],[Worksheet ]]&amp;"'!"&amp;QALog[[#This Row],[Cell/Range]]&amp;"", "GoTo Cell"))</f>
        <v>GoTo Cell</v>
      </c>
      <c r="H117" s="173">
        <v>43447</v>
      </c>
      <c r="I117"/>
      <c r="J117" t="s">
        <v>33</v>
      </c>
      <c r="K117"/>
      <c r="L117" s="173"/>
      <c r="M117"/>
      <c r="N117" s="14"/>
      <c r="O117" t="s">
        <v>43</v>
      </c>
    </row>
    <row r="118" spans="2:15" ht="15.75" outlineLevel="1" x14ac:dyDescent="0.25">
      <c r="B118" s="171" t="str">
        <f>QALog[[#This Row],[QA analyst]]&amp;":"&amp;QALog[[#This Row],[QA analysts reference]]</f>
        <v>#LS:97</v>
      </c>
      <c r="C118">
        <v>97</v>
      </c>
      <c r="D118" t="s">
        <v>20</v>
      </c>
      <c r="E118" s="176" t="s">
        <v>145</v>
      </c>
      <c r="F118" t="s">
        <v>56</v>
      </c>
      <c r="G118" s="172" t="str">
        <f>IF(QALog[[#This Row],[Worksheet ]]="","",HYPERLINK("#'"&amp;QALog[[#This Row],[Worksheet ]]&amp;"'!"&amp;QALog[[#This Row],[Cell/Range]]&amp;"", "GoTo Cell"))</f>
        <v>GoTo Cell</v>
      </c>
      <c r="H118" s="173">
        <v>43447</v>
      </c>
      <c r="I118" t="s">
        <v>23</v>
      </c>
      <c r="J118"/>
      <c r="K118"/>
      <c r="L118" s="173"/>
      <c r="M118"/>
      <c r="N118" s="14"/>
      <c r="O118" t="s">
        <v>146</v>
      </c>
    </row>
    <row r="119" spans="2:15" ht="15.75" outlineLevel="1" x14ac:dyDescent="0.25">
      <c r="B119" s="171" t="str">
        <f>QALog[[#This Row],[QA analyst]]&amp;":"&amp;QALog[[#This Row],[QA analysts reference]]</f>
        <v>#LS:98</v>
      </c>
      <c r="C119">
        <v>98</v>
      </c>
      <c r="D119" t="s">
        <v>20</v>
      </c>
      <c r="E119" s="176" t="s">
        <v>147</v>
      </c>
      <c r="F119" t="s">
        <v>32</v>
      </c>
      <c r="G119" s="172" t="str">
        <f>IF(QALog[[#This Row],[Worksheet ]]="","",HYPERLINK("#'"&amp;QALog[[#This Row],[Worksheet ]]&amp;"'!"&amp;QALog[[#This Row],[Cell/Range]]&amp;"", "GoTo Cell"))</f>
        <v>GoTo Cell</v>
      </c>
      <c r="H119" s="173">
        <v>43447</v>
      </c>
      <c r="I119"/>
      <c r="J119" t="s">
        <v>33</v>
      </c>
      <c r="K119"/>
      <c r="L119" s="173"/>
      <c r="M119"/>
      <c r="N119" s="14"/>
      <c r="O119" t="s">
        <v>43</v>
      </c>
    </row>
    <row r="120" spans="2:15" ht="15.75" outlineLevel="1" x14ac:dyDescent="0.25">
      <c r="B120" s="171" t="str">
        <f>QALog[[#This Row],[QA analyst]]&amp;":"&amp;QALog[[#This Row],[QA analysts reference]]</f>
        <v>#LS:99</v>
      </c>
      <c r="C120">
        <v>99</v>
      </c>
      <c r="D120" t="s">
        <v>20</v>
      </c>
      <c r="E120" s="176" t="s">
        <v>147</v>
      </c>
      <c r="F120" t="s">
        <v>56</v>
      </c>
      <c r="G120" s="172" t="str">
        <f>IF(QALog[[#This Row],[Worksheet ]]="","",HYPERLINK("#'"&amp;QALog[[#This Row],[Worksheet ]]&amp;"'!"&amp;QALog[[#This Row],[Cell/Range]]&amp;"", "GoTo Cell"))</f>
        <v>GoTo Cell</v>
      </c>
      <c r="H120" s="173">
        <v>43447</v>
      </c>
      <c r="I120" t="s">
        <v>23</v>
      </c>
      <c r="J120"/>
      <c r="K120"/>
      <c r="L120" s="173"/>
      <c r="M120"/>
      <c r="N120" s="14"/>
      <c r="O120" t="s">
        <v>148</v>
      </c>
    </row>
    <row r="121" spans="2:15" ht="15.75" outlineLevel="1" x14ac:dyDescent="0.25">
      <c r="B121" s="171" t="str">
        <f>QALog[[#This Row],[QA analyst]]&amp;":"&amp;QALog[[#This Row],[QA analysts reference]]</f>
        <v>#LS:100</v>
      </c>
      <c r="C121">
        <v>100</v>
      </c>
      <c r="D121" t="s">
        <v>20</v>
      </c>
      <c r="E121" s="176" t="s">
        <v>149</v>
      </c>
      <c r="F121" t="s">
        <v>32</v>
      </c>
      <c r="G121" s="172" t="str">
        <f>IF(QALog[[#This Row],[Worksheet ]]="","",HYPERLINK("#'"&amp;QALog[[#This Row],[Worksheet ]]&amp;"'!"&amp;QALog[[#This Row],[Cell/Range]]&amp;"", "GoTo Cell"))</f>
        <v>GoTo Cell</v>
      </c>
      <c r="H121" s="173">
        <v>43447</v>
      </c>
      <c r="I121"/>
      <c r="J121" t="s">
        <v>33</v>
      </c>
      <c r="K121"/>
      <c r="L121" s="173"/>
      <c r="M121"/>
      <c r="N121" s="14"/>
      <c r="O121" t="s">
        <v>43</v>
      </c>
    </row>
    <row r="122" spans="2:15" ht="15.75" outlineLevel="1" x14ac:dyDescent="0.25">
      <c r="B122" s="171" t="str">
        <f>QALog[[#This Row],[QA analyst]]&amp;":"&amp;QALog[[#This Row],[QA analysts reference]]</f>
        <v>#LS:101</v>
      </c>
      <c r="C122">
        <v>101</v>
      </c>
      <c r="D122" t="s">
        <v>20</v>
      </c>
      <c r="E122" s="176" t="s">
        <v>149</v>
      </c>
      <c r="F122" t="s">
        <v>56</v>
      </c>
      <c r="G122" s="172" t="str">
        <f>IF(QALog[[#This Row],[Worksheet ]]="","",HYPERLINK("#'"&amp;QALog[[#This Row],[Worksheet ]]&amp;"'!"&amp;QALog[[#This Row],[Cell/Range]]&amp;"", "GoTo Cell"))</f>
        <v>GoTo Cell</v>
      </c>
      <c r="H122" s="173">
        <v>43447</v>
      </c>
      <c r="I122" t="s">
        <v>23</v>
      </c>
      <c r="J122"/>
      <c r="K122"/>
      <c r="L122" s="173"/>
      <c r="M122"/>
      <c r="N122" s="14"/>
      <c r="O122" t="s">
        <v>150</v>
      </c>
    </row>
    <row r="123" spans="2:15" ht="15.75" outlineLevel="1" x14ac:dyDescent="0.25">
      <c r="B123" s="171" t="str">
        <f>QALog[[#This Row],[QA analyst]]&amp;":"&amp;QALog[[#This Row],[QA analysts reference]]</f>
        <v>#LS:102</v>
      </c>
      <c r="C123">
        <v>102</v>
      </c>
      <c r="D123" t="s">
        <v>20</v>
      </c>
      <c r="E123" s="176" t="s">
        <v>149</v>
      </c>
      <c r="F123" t="s">
        <v>59</v>
      </c>
      <c r="G123" s="172" t="str">
        <f>IF(QALog[[#This Row],[Worksheet ]]="","",HYPERLINK("#'"&amp;QALog[[#This Row],[Worksheet ]]&amp;"'!"&amp;QALog[[#This Row],[Cell/Range]]&amp;"", "GoTo Cell"))</f>
        <v>GoTo Cell</v>
      </c>
      <c r="H123" s="173">
        <v>43447</v>
      </c>
      <c r="I123" t="s">
        <v>23</v>
      </c>
      <c r="J123"/>
      <c r="K123"/>
      <c r="L123" s="173"/>
      <c r="M123"/>
      <c r="N123" s="14"/>
      <c r="O123" t="s">
        <v>151</v>
      </c>
    </row>
    <row r="124" spans="2:15" ht="15.75" outlineLevel="1" x14ac:dyDescent="0.25">
      <c r="B124" s="171" t="str">
        <f>QALog[[#This Row],[QA analyst]]&amp;":"&amp;QALog[[#This Row],[QA analysts reference]]</f>
        <v>#LS:103</v>
      </c>
      <c r="C124">
        <v>103</v>
      </c>
      <c r="D124" t="s">
        <v>20</v>
      </c>
      <c r="E124" s="176" t="s">
        <v>152</v>
      </c>
      <c r="F124" t="s">
        <v>32</v>
      </c>
      <c r="G124" s="172" t="str">
        <f>IF(QALog[[#This Row],[Worksheet ]]="","",HYPERLINK("#'"&amp;QALog[[#This Row],[Worksheet ]]&amp;"'!"&amp;QALog[[#This Row],[Cell/Range]]&amp;"", "GoTo Cell"))</f>
        <v>GoTo Cell</v>
      </c>
      <c r="H124" s="173">
        <v>43447</v>
      </c>
      <c r="I124"/>
      <c r="J124" t="s">
        <v>33</v>
      </c>
      <c r="K124"/>
      <c r="L124" s="173"/>
      <c r="M124"/>
      <c r="N124" s="14"/>
      <c r="O124" t="s">
        <v>43</v>
      </c>
    </row>
    <row r="125" spans="2:15" ht="15.75" outlineLevel="1" x14ac:dyDescent="0.25">
      <c r="B125" s="171" t="str">
        <f>QALog[[#This Row],[QA analyst]]&amp;":"&amp;QALog[[#This Row],[QA analysts reference]]</f>
        <v>#LS:104</v>
      </c>
      <c r="C125">
        <v>104</v>
      </c>
      <c r="D125" t="s">
        <v>20</v>
      </c>
      <c r="E125" s="176" t="s">
        <v>152</v>
      </c>
      <c r="F125" t="s">
        <v>56</v>
      </c>
      <c r="G125" s="172" t="str">
        <f>IF(QALog[[#This Row],[Worksheet ]]="","",HYPERLINK("#'"&amp;QALog[[#This Row],[Worksheet ]]&amp;"'!"&amp;QALog[[#This Row],[Cell/Range]]&amp;"", "GoTo Cell"))</f>
        <v>GoTo Cell</v>
      </c>
      <c r="H125" s="173">
        <v>43447</v>
      </c>
      <c r="I125" t="s">
        <v>23</v>
      </c>
      <c r="J125"/>
      <c r="K125"/>
      <c r="L125" s="173"/>
      <c r="M125"/>
      <c r="N125" s="14"/>
      <c r="O125" t="s">
        <v>153</v>
      </c>
    </row>
    <row r="126" spans="2:15" ht="15.75" outlineLevel="1" x14ac:dyDescent="0.25">
      <c r="B126" s="171" t="str">
        <f>QALog[[#This Row],[QA analyst]]&amp;":"&amp;QALog[[#This Row],[QA analysts reference]]</f>
        <v>#LS:105</v>
      </c>
      <c r="C126">
        <v>105</v>
      </c>
      <c r="D126" t="s">
        <v>20</v>
      </c>
      <c r="E126" s="176" t="s">
        <v>152</v>
      </c>
      <c r="F126" t="s">
        <v>59</v>
      </c>
      <c r="G126" s="172" t="str">
        <f>IF(QALog[[#This Row],[Worksheet ]]="","",HYPERLINK("#'"&amp;QALog[[#This Row],[Worksheet ]]&amp;"'!"&amp;QALog[[#This Row],[Cell/Range]]&amp;"", "GoTo Cell"))</f>
        <v>GoTo Cell</v>
      </c>
      <c r="H126" s="173">
        <v>43447</v>
      </c>
      <c r="I126" t="s">
        <v>23</v>
      </c>
      <c r="J126"/>
      <c r="K126"/>
      <c r="L126" s="173"/>
      <c r="M126"/>
      <c r="N126" s="14"/>
      <c r="O126" t="s">
        <v>153</v>
      </c>
    </row>
    <row r="127" spans="2:15" ht="15.75" outlineLevel="1" x14ac:dyDescent="0.25">
      <c r="B127" s="171" t="str">
        <f>QALog[[#This Row],[QA analyst]]&amp;":"&amp;QALog[[#This Row],[QA analysts reference]]</f>
        <v>#LS:106</v>
      </c>
      <c r="C127">
        <v>106</v>
      </c>
      <c r="D127" t="s">
        <v>20</v>
      </c>
      <c r="E127" s="176" t="s">
        <v>154</v>
      </c>
      <c r="F127" t="s">
        <v>155</v>
      </c>
      <c r="G127" s="172" t="str">
        <f>IF(QALog[[#This Row],[Worksheet ]]="","",HYPERLINK("#'"&amp;QALog[[#This Row],[Worksheet ]]&amp;"'!"&amp;QALog[[#This Row],[Cell/Range]]&amp;"", "GoTo Cell"))</f>
        <v>GoTo Cell</v>
      </c>
      <c r="H127" s="173">
        <v>42868</v>
      </c>
      <c r="I127"/>
      <c r="J127" t="s">
        <v>45</v>
      </c>
      <c r="K127"/>
      <c r="L127" s="173"/>
      <c r="M127"/>
      <c r="N127" s="14"/>
      <c r="O127" t="s">
        <v>156</v>
      </c>
    </row>
    <row r="128" spans="2:15" ht="15.75" outlineLevel="1" x14ac:dyDescent="0.25">
      <c r="B128" s="171" t="str">
        <f>QALog[[#This Row],[QA analyst]]&amp;":"&amp;QALog[[#This Row],[QA analysts reference]]</f>
        <v>#LS:107</v>
      </c>
      <c r="C128">
        <v>107</v>
      </c>
      <c r="D128" t="s">
        <v>20</v>
      </c>
      <c r="E128" s="176" t="s">
        <v>154</v>
      </c>
      <c r="F128" t="s">
        <v>157</v>
      </c>
      <c r="G128" s="172" t="str">
        <f>IF(QALog[[#This Row],[Worksheet ]]="","",HYPERLINK("#'"&amp;QALog[[#This Row],[Worksheet ]]&amp;"'!"&amp;QALog[[#This Row],[Cell/Range]]&amp;"", "GoTo Cell"))</f>
        <v>GoTo Cell</v>
      </c>
      <c r="H128" s="173">
        <v>42868</v>
      </c>
      <c r="I128"/>
      <c r="J128" t="s">
        <v>45</v>
      </c>
      <c r="K128"/>
      <c r="L128" s="173"/>
      <c r="M128"/>
      <c r="N128" s="14"/>
      <c r="O128" t="s">
        <v>156</v>
      </c>
    </row>
    <row r="129" spans="2:15" ht="15.75" outlineLevel="1" x14ac:dyDescent="0.25">
      <c r="B129" s="171" t="str">
        <f>QALog[[#This Row],[QA analyst]]&amp;":"&amp;QALog[[#This Row],[QA analysts reference]]</f>
        <v>#LS:108</v>
      </c>
      <c r="C129">
        <v>108</v>
      </c>
      <c r="D129" t="s">
        <v>20</v>
      </c>
      <c r="E129" s="176" t="s">
        <v>154</v>
      </c>
      <c r="F129" t="s">
        <v>158</v>
      </c>
      <c r="G129" s="172" t="str">
        <f>IF(QALog[[#This Row],[Worksheet ]]="","",HYPERLINK("#'"&amp;QALog[[#This Row],[Worksheet ]]&amp;"'!"&amp;QALog[[#This Row],[Cell/Range]]&amp;"", "GoTo Cell"))</f>
        <v>GoTo Cell</v>
      </c>
      <c r="H129" s="173">
        <v>43447</v>
      </c>
      <c r="I129"/>
      <c r="J129" t="s">
        <v>33</v>
      </c>
      <c r="K129"/>
      <c r="L129" s="173"/>
      <c r="M129"/>
      <c r="N129" s="14"/>
      <c r="O129" t="s">
        <v>159</v>
      </c>
    </row>
    <row r="130" spans="2:15" ht="15.75" outlineLevel="1" x14ac:dyDescent="0.25">
      <c r="B130" s="171" t="str">
        <f>QALog[[#This Row],[QA analyst]]&amp;":"&amp;QALog[[#This Row],[QA analysts reference]]</f>
        <v>#LS:109</v>
      </c>
      <c r="C130">
        <v>109</v>
      </c>
      <c r="D130" t="s">
        <v>20</v>
      </c>
      <c r="E130" s="176" t="s">
        <v>154</v>
      </c>
      <c r="F130" t="s">
        <v>160</v>
      </c>
      <c r="G130" s="172" t="str">
        <f>IF(QALog[[#This Row],[Worksheet ]]="","",HYPERLINK("#'"&amp;QALog[[#This Row],[Worksheet ]]&amp;"'!"&amp;QALog[[#This Row],[Cell/Range]]&amp;"", "GoTo Cell"))</f>
        <v>GoTo Cell</v>
      </c>
      <c r="H130" s="173">
        <v>42868</v>
      </c>
      <c r="I130"/>
      <c r="J130" t="s">
        <v>45</v>
      </c>
      <c r="K130"/>
      <c r="L130" s="173"/>
      <c r="M130"/>
      <c r="N130" s="14"/>
      <c r="O130" t="s">
        <v>156</v>
      </c>
    </row>
    <row r="131" spans="2:15" ht="15.75" outlineLevel="1" x14ac:dyDescent="0.25">
      <c r="B131" s="171" t="str">
        <f>QALog[[#This Row],[QA analyst]]&amp;":"&amp;QALog[[#This Row],[QA analysts reference]]</f>
        <v>#LS:110</v>
      </c>
      <c r="C131">
        <v>110</v>
      </c>
      <c r="D131" t="s">
        <v>20</v>
      </c>
      <c r="E131" s="176" t="s">
        <v>154</v>
      </c>
      <c r="F131" t="s">
        <v>161</v>
      </c>
      <c r="G131" s="172" t="str">
        <f>IF(QALog[[#This Row],[Worksheet ]]="","",HYPERLINK("#'"&amp;QALog[[#This Row],[Worksheet ]]&amp;"'!"&amp;QALog[[#This Row],[Cell/Range]]&amp;"", "GoTo Cell"))</f>
        <v>GoTo Cell</v>
      </c>
      <c r="H131" s="173">
        <v>42868</v>
      </c>
      <c r="I131"/>
      <c r="J131" t="s">
        <v>45</v>
      </c>
      <c r="K131"/>
      <c r="L131" s="173"/>
      <c r="M131"/>
      <c r="N131" s="14"/>
      <c r="O131" t="s">
        <v>156</v>
      </c>
    </row>
    <row r="132" spans="2:15" ht="15.75" outlineLevel="1" x14ac:dyDescent="0.25">
      <c r="B132" s="171" t="str">
        <f>QALog[[#This Row],[QA analyst]]&amp;":"&amp;QALog[[#This Row],[QA analysts reference]]</f>
        <v>#LS:111</v>
      </c>
      <c r="C132">
        <v>111</v>
      </c>
      <c r="D132" t="s">
        <v>20</v>
      </c>
      <c r="E132" s="176" t="s">
        <v>154</v>
      </c>
      <c r="F132" t="s">
        <v>162</v>
      </c>
      <c r="G132" s="172" t="str">
        <f>IF(QALog[[#This Row],[Worksheet ]]="","",HYPERLINK("#'"&amp;QALog[[#This Row],[Worksheet ]]&amp;"'!"&amp;QALog[[#This Row],[Cell/Range]]&amp;"", "GoTo Cell"))</f>
        <v>GoTo Cell</v>
      </c>
      <c r="H132" s="173">
        <v>42868</v>
      </c>
      <c r="I132"/>
      <c r="J132" t="s">
        <v>45</v>
      </c>
      <c r="K132"/>
      <c r="L132" s="173"/>
      <c r="M132"/>
      <c r="N132" s="14"/>
      <c r="O132" t="s">
        <v>156</v>
      </c>
    </row>
    <row r="133" spans="2:15" ht="15.75" outlineLevel="1" x14ac:dyDescent="0.25">
      <c r="B133" s="171" t="str">
        <f>QALog[[#This Row],[QA analyst]]&amp;":"&amp;QALog[[#This Row],[QA analysts reference]]</f>
        <v>#LS:112</v>
      </c>
      <c r="C133">
        <v>112</v>
      </c>
      <c r="D133" t="s">
        <v>20</v>
      </c>
      <c r="E133" s="176" t="s">
        <v>154</v>
      </c>
      <c r="F133" t="s">
        <v>163</v>
      </c>
      <c r="G133" s="172" t="str">
        <f>IF(QALog[[#This Row],[Worksheet ]]="","",HYPERLINK("#'"&amp;QALog[[#This Row],[Worksheet ]]&amp;"'!"&amp;QALog[[#This Row],[Cell/Range]]&amp;"", "GoTo Cell"))</f>
        <v>GoTo Cell</v>
      </c>
      <c r="H133" s="173">
        <v>42868</v>
      </c>
      <c r="I133"/>
      <c r="J133" t="s">
        <v>45</v>
      </c>
      <c r="K133"/>
      <c r="L133" s="173"/>
      <c r="M133"/>
      <c r="N133" s="14"/>
      <c r="O133" t="s">
        <v>156</v>
      </c>
    </row>
    <row r="134" spans="2:15" ht="15.75" outlineLevel="1" x14ac:dyDescent="0.25">
      <c r="B134" s="171" t="str">
        <f>QALog[[#This Row],[QA analyst]]&amp;":"&amp;QALog[[#This Row],[QA analysts reference]]</f>
        <v>#LS:113</v>
      </c>
      <c r="C134">
        <v>113</v>
      </c>
      <c r="D134" t="s">
        <v>20</v>
      </c>
      <c r="E134" s="176" t="s">
        <v>154</v>
      </c>
      <c r="F134" t="s">
        <v>164</v>
      </c>
      <c r="G134" s="172" t="str">
        <f>IF(QALog[[#This Row],[Worksheet ]]="","",HYPERLINK("#'"&amp;QALog[[#This Row],[Worksheet ]]&amp;"'!"&amp;QALog[[#This Row],[Cell/Range]]&amp;"", "GoTo Cell"))</f>
        <v>GoTo Cell</v>
      </c>
      <c r="H134" s="173">
        <v>42868</v>
      </c>
      <c r="I134"/>
      <c r="J134" t="s">
        <v>45</v>
      </c>
      <c r="K134"/>
      <c r="L134" s="173"/>
      <c r="M134"/>
      <c r="N134" s="14"/>
      <c r="O134" t="s">
        <v>156</v>
      </c>
    </row>
    <row r="135" spans="2:15" ht="15.75" outlineLevel="1" x14ac:dyDescent="0.25">
      <c r="B135" s="171" t="str">
        <f>QALog[[#This Row],[QA analyst]]&amp;":"&amp;QALog[[#This Row],[QA analysts reference]]</f>
        <v>#LS:114</v>
      </c>
      <c r="C135">
        <v>114</v>
      </c>
      <c r="D135" t="s">
        <v>20</v>
      </c>
      <c r="E135" s="176" t="s">
        <v>154</v>
      </c>
      <c r="F135" t="s">
        <v>165</v>
      </c>
      <c r="G135" s="172" t="str">
        <f>IF(QALog[[#This Row],[Worksheet ]]="","",HYPERLINK("#'"&amp;QALog[[#This Row],[Worksheet ]]&amp;"'!"&amp;QALog[[#This Row],[Cell/Range]]&amp;"", "GoTo Cell"))</f>
        <v>GoTo Cell</v>
      </c>
      <c r="H135" s="173">
        <v>42868</v>
      </c>
      <c r="I135"/>
      <c r="J135" t="s">
        <v>45</v>
      </c>
      <c r="K135"/>
      <c r="L135" s="173"/>
      <c r="M135"/>
      <c r="N135" s="14"/>
      <c r="O135" t="s">
        <v>156</v>
      </c>
    </row>
    <row r="136" spans="2:15" ht="15.75" outlineLevel="1" x14ac:dyDescent="0.25">
      <c r="B136" s="171" t="str">
        <f>QALog[[#This Row],[QA analyst]]&amp;":"&amp;QALog[[#This Row],[QA analysts reference]]</f>
        <v>#LS:115</v>
      </c>
      <c r="C136">
        <v>115</v>
      </c>
      <c r="D136" t="s">
        <v>20</v>
      </c>
      <c r="E136" s="176" t="s">
        <v>154</v>
      </c>
      <c r="F136" t="s">
        <v>166</v>
      </c>
      <c r="G136" s="172" t="str">
        <f>IF(QALog[[#This Row],[Worksheet ]]="","",HYPERLINK("#'"&amp;QALog[[#This Row],[Worksheet ]]&amp;"'!"&amp;QALog[[#This Row],[Cell/Range]]&amp;"", "GoTo Cell"))</f>
        <v>GoTo Cell</v>
      </c>
      <c r="H136" s="173">
        <v>42868</v>
      </c>
      <c r="I136"/>
      <c r="J136" t="s">
        <v>45</v>
      </c>
      <c r="K136"/>
      <c r="L136" s="173"/>
      <c r="M136"/>
      <c r="N136" s="14"/>
      <c r="O136" t="s">
        <v>156</v>
      </c>
    </row>
    <row r="137" spans="2:15" ht="15.75" outlineLevel="1" x14ac:dyDescent="0.25">
      <c r="B137" s="171" t="str">
        <f>QALog[[#This Row],[QA analyst]]&amp;":"&amp;QALog[[#This Row],[QA analysts reference]]</f>
        <v>#LS:116</v>
      </c>
      <c r="C137">
        <v>116</v>
      </c>
      <c r="D137" t="s">
        <v>20</v>
      </c>
      <c r="E137" s="176" t="s">
        <v>154</v>
      </c>
      <c r="F137" t="s">
        <v>167</v>
      </c>
      <c r="G137" s="172" t="str">
        <f>IF(QALog[[#This Row],[Worksheet ]]="","",HYPERLINK("#'"&amp;QALog[[#This Row],[Worksheet ]]&amp;"'!"&amp;QALog[[#This Row],[Cell/Range]]&amp;"", "GoTo Cell"))</f>
        <v>GoTo Cell</v>
      </c>
      <c r="H137" s="173">
        <v>42868</v>
      </c>
      <c r="I137"/>
      <c r="J137" t="s">
        <v>45</v>
      </c>
      <c r="K137"/>
      <c r="L137" s="173"/>
      <c r="M137"/>
      <c r="N137" s="14"/>
      <c r="O137" t="s">
        <v>156</v>
      </c>
    </row>
    <row r="138" spans="2:15" ht="15.75" outlineLevel="1" x14ac:dyDescent="0.25">
      <c r="B138" s="171" t="str">
        <f>QALog[[#This Row],[QA analyst]]&amp;":"&amp;QALog[[#This Row],[QA analysts reference]]</f>
        <v>#LS:117</v>
      </c>
      <c r="C138">
        <v>117</v>
      </c>
      <c r="D138" t="s">
        <v>20</v>
      </c>
      <c r="E138" s="176" t="s">
        <v>154</v>
      </c>
      <c r="F138" t="s">
        <v>168</v>
      </c>
      <c r="G138" s="172" t="str">
        <f>IF(QALog[[#This Row],[Worksheet ]]="","",HYPERLINK("#'"&amp;QALog[[#This Row],[Worksheet ]]&amp;"'!"&amp;QALog[[#This Row],[Cell/Range]]&amp;"", "GoTo Cell"))</f>
        <v>GoTo Cell</v>
      </c>
      <c r="H138" s="173">
        <v>42868</v>
      </c>
      <c r="I138"/>
      <c r="J138" t="s">
        <v>45</v>
      </c>
      <c r="K138"/>
      <c r="L138" s="173"/>
      <c r="M138"/>
      <c r="N138" s="14"/>
      <c r="O138" t="s">
        <v>156</v>
      </c>
    </row>
    <row r="139" spans="2:15" ht="15.75" outlineLevel="1" x14ac:dyDescent="0.25">
      <c r="B139" s="171" t="str">
        <f>QALog[[#This Row],[QA analyst]]&amp;":"&amp;QALog[[#This Row],[QA analysts reference]]</f>
        <v>#LS:118</v>
      </c>
      <c r="C139">
        <v>118</v>
      </c>
      <c r="D139" t="s">
        <v>20</v>
      </c>
      <c r="E139" s="176" t="s">
        <v>154</v>
      </c>
      <c r="F139" t="s">
        <v>169</v>
      </c>
      <c r="G139" s="172" t="str">
        <f>IF(QALog[[#This Row],[Worksheet ]]="","",HYPERLINK("#'"&amp;QALog[[#This Row],[Worksheet ]]&amp;"'!"&amp;QALog[[#This Row],[Cell/Range]]&amp;"", "GoTo Cell"))</f>
        <v>GoTo Cell</v>
      </c>
      <c r="H139" s="173">
        <v>42868</v>
      </c>
      <c r="I139"/>
      <c r="J139" t="s">
        <v>45</v>
      </c>
      <c r="K139"/>
      <c r="L139" s="173"/>
      <c r="M139"/>
      <c r="N139" s="14"/>
      <c r="O139" t="s">
        <v>156</v>
      </c>
    </row>
    <row r="140" spans="2:15" ht="15.75" outlineLevel="1" x14ac:dyDescent="0.25">
      <c r="B140" s="171" t="str">
        <f>QALog[[#This Row],[QA analyst]]&amp;":"&amp;QALog[[#This Row],[QA analysts reference]]</f>
        <v>#LS:119</v>
      </c>
      <c r="C140">
        <v>119</v>
      </c>
      <c r="D140" t="s">
        <v>20</v>
      </c>
      <c r="E140" s="176" t="s">
        <v>154</v>
      </c>
      <c r="F140" t="s">
        <v>170</v>
      </c>
      <c r="G140" s="172" t="str">
        <f>IF(QALog[[#This Row],[Worksheet ]]="","",HYPERLINK("#'"&amp;QALog[[#This Row],[Worksheet ]]&amp;"'!"&amp;QALog[[#This Row],[Cell/Range]]&amp;"", "GoTo Cell"))</f>
        <v>GoTo Cell</v>
      </c>
      <c r="H140" s="173">
        <v>42868</v>
      </c>
      <c r="I140"/>
      <c r="J140" t="s">
        <v>45</v>
      </c>
      <c r="K140"/>
      <c r="L140" s="173"/>
      <c r="M140"/>
      <c r="N140" s="14"/>
      <c r="O140" t="s">
        <v>156</v>
      </c>
    </row>
    <row r="141" spans="2:15" ht="15.75" outlineLevel="1" x14ac:dyDescent="0.25">
      <c r="B141" s="171" t="str">
        <f>QALog[[#This Row],[QA analyst]]&amp;":"&amp;QALog[[#This Row],[QA analysts reference]]</f>
        <v>#LS:120</v>
      </c>
      <c r="C141">
        <v>120</v>
      </c>
      <c r="D141" t="s">
        <v>20</v>
      </c>
      <c r="E141" s="176" t="s">
        <v>154</v>
      </c>
      <c r="F141" t="s">
        <v>171</v>
      </c>
      <c r="G141" s="172" t="str">
        <f>IF(QALog[[#This Row],[Worksheet ]]="","",HYPERLINK("#'"&amp;QALog[[#This Row],[Worksheet ]]&amp;"'!"&amp;QALog[[#This Row],[Cell/Range]]&amp;"", "GoTo Cell"))</f>
        <v>GoTo Cell</v>
      </c>
      <c r="H141" s="173">
        <v>42868</v>
      </c>
      <c r="I141"/>
      <c r="J141" t="s">
        <v>45</v>
      </c>
      <c r="K141"/>
      <c r="L141" s="173"/>
      <c r="M141"/>
      <c r="N141" s="14"/>
      <c r="O141" t="s">
        <v>156</v>
      </c>
    </row>
    <row r="142" spans="2:15" ht="15.75" outlineLevel="1" x14ac:dyDescent="0.25">
      <c r="B142" s="171" t="str">
        <f>QALog[[#This Row],[QA analyst]]&amp;":"&amp;QALog[[#This Row],[QA analysts reference]]</f>
        <v>#LS:121</v>
      </c>
      <c r="C142">
        <v>121</v>
      </c>
      <c r="D142" t="s">
        <v>20</v>
      </c>
      <c r="E142" s="176" t="s">
        <v>172</v>
      </c>
      <c r="F142" t="s">
        <v>173</v>
      </c>
      <c r="G142" s="172" t="str">
        <f>IF(QALog[[#This Row],[Worksheet ]]="","",HYPERLINK("#'"&amp;QALog[[#This Row],[Worksheet ]]&amp;"'!"&amp;QALog[[#This Row],[Cell/Range]]&amp;"", "GoTo Cell"))</f>
        <v>GoTo Cell</v>
      </c>
      <c r="H142" s="173">
        <v>43448</v>
      </c>
      <c r="I142"/>
      <c r="J142" t="s">
        <v>45</v>
      </c>
      <c r="K142"/>
      <c r="L142" s="173"/>
      <c r="M142"/>
      <c r="N142" s="14"/>
      <c r="O142" t="s">
        <v>174</v>
      </c>
    </row>
    <row r="143" spans="2:15" ht="15.75" outlineLevel="1" x14ac:dyDescent="0.25">
      <c r="B143" s="171" t="str">
        <f>QALog[[#This Row],[QA analyst]]&amp;":"&amp;QALog[[#This Row],[QA analysts reference]]</f>
        <v>#LS:122</v>
      </c>
      <c r="C143">
        <v>122</v>
      </c>
      <c r="D143" t="s">
        <v>20</v>
      </c>
      <c r="E143" s="176" t="s">
        <v>172</v>
      </c>
      <c r="F143" t="s">
        <v>138</v>
      </c>
      <c r="G143" s="172" t="str">
        <f>IF(QALog[[#This Row],[Worksheet ]]="","",HYPERLINK("#'"&amp;QALog[[#This Row],[Worksheet ]]&amp;"'!"&amp;QALog[[#This Row],[Cell/Range]]&amp;"", "GoTo Cell"))</f>
        <v>GoTo Cell</v>
      </c>
      <c r="H143" s="173">
        <v>43447</v>
      </c>
      <c r="I143"/>
      <c r="J143" t="s">
        <v>33</v>
      </c>
      <c r="K143"/>
      <c r="L143" s="173"/>
      <c r="M143"/>
      <c r="N143" s="14"/>
      <c r="O143" t="s">
        <v>43</v>
      </c>
    </row>
    <row r="144" spans="2:15" ht="15.75" outlineLevel="1" x14ac:dyDescent="0.25">
      <c r="B144" s="171" t="str">
        <f>QALog[[#This Row],[QA analyst]]&amp;":"&amp;QALog[[#This Row],[QA analysts reference]]</f>
        <v>#LS:123</v>
      </c>
      <c r="C144">
        <v>123</v>
      </c>
      <c r="D144" t="s">
        <v>20</v>
      </c>
      <c r="E144" s="176" t="s">
        <v>172</v>
      </c>
      <c r="F144" t="s">
        <v>139</v>
      </c>
      <c r="G144" s="172" t="str">
        <f>IF(QALog[[#This Row],[Worksheet ]]="","",HYPERLINK("#'"&amp;QALog[[#This Row],[Worksheet ]]&amp;"'!"&amp;QALog[[#This Row],[Cell/Range]]&amp;"", "GoTo Cell"))</f>
        <v>GoTo Cell</v>
      </c>
      <c r="H144" s="173">
        <v>42869</v>
      </c>
      <c r="I144"/>
      <c r="J144" t="s">
        <v>45</v>
      </c>
      <c r="K144"/>
      <c r="L144" s="173"/>
      <c r="M144"/>
      <c r="N144" s="14"/>
      <c r="O144" t="s">
        <v>175</v>
      </c>
    </row>
    <row r="145" spans="2:15" ht="15.75" outlineLevel="1" x14ac:dyDescent="0.25">
      <c r="B145" s="171" t="str">
        <f>QALog[[#This Row],[QA analyst]]&amp;":"&amp;QALog[[#This Row],[QA analysts reference]]</f>
        <v>#LS:124</v>
      </c>
      <c r="C145">
        <v>124</v>
      </c>
      <c r="D145" t="s">
        <v>20</v>
      </c>
      <c r="E145" s="176" t="s">
        <v>172</v>
      </c>
      <c r="F145" t="s">
        <v>140</v>
      </c>
      <c r="G145" s="172" t="str">
        <f>IF(QALog[[#This Row],[Worksheet ]]="","",HYPERLINK("#'"&amp;QALog[[#This Row],[Worksheet ]]&amp;"'!"&amp;QALog[[#This Row],[Cell/Range]]&amp;"", "GoTo Cell"))</f>
        <v>GoTo Cell</v>
      </c>
      <c r="H145" s="173">
        <v>42869</v>
      </c>
      <c r="I145"/>
      <c r="J145" t="s">
        <v>45</v>
      </c>
      <c r="K145"/>
      <c r="L145" s="173"/>
      <c r="M145"/>
      <c r="N145" s="14"/>
      <c r="O145" t="s">
        <v>175</v>
      </c>
    </row>
    <row r="146" spans="2:15" ht="15.75" outlineLevel="1" x14ac:dyDescent="0.25">
      <c r="B146" s="171" t="str">
        <f>QALog[[#This Row],[QA analyst]]&amp;":"&amp;QALog[[#This Row],[QA analysts reference]]</f>
        <v>#LS:125</v>
      </c>
      <c r="C146">
        <v>125</v>
      </c>
      <c r="D146" t="s">
        <v>20</v>
      </c>
      <c r="E146" s="176" t="s">
        <v>172</v>
      </c>
      <c r="F146" t="s">
        <v>176</v>
      </c>
      <c r="G146" s="172" t="str">
        <f>IF(QALog[[#This Row],[Worksheet ]]="","",HYPERLINK("#'"&amp;QALog[[#This Row],[Worksheet ]]&amp;"'!"&amp;QALog[[#This Row],[Cell/Range]]&amp;"", "GoTo Cell"))</f>
        <v>GoTo Cell</v>
      </c>
      <c r="H146" s="173">
        <v>42869</v>
      </c>
      <c r="I146"/>
      <c r="J146" t="s">
        <v>45</v>
      </c>
      <c r="K146"/>
      <c r="L146" s="173"/>
      <c r="M146"/>
      <c r="N146" s="14"/>
      <c r="O146" t="s">
        <v>175</v>
      </c>
    </row>
    <row r="147" spans="2:15" ht="15.75" outlineLevel="1" x14ac:dyDescent="0.25">
      <c r="B147" s="171" t="str">
        <f>QALog[[#This Row],[QA analyst]]&amp;":"&amp;QALog[[#This Row],[QA analysts reference]]</f>
        <v>#LS:126</v>
      </c>
      <c r="C147">
        <v>126</v>
      </c>
      <c r="D147" t="s">
        <v>20</v>
      </c>
      <c r="E147" s="176" t="s">
        <v>177</v>
      </c>
      <c r="F147" t="s">
        <v>178</v>
      </c>
      <c r="G147" s="172" t="str">
        <f>IF(QALog[[#This Row],[Worksheet ]]="","",HYPERLINK("#'"&amp;QALog[[#This Row],[Worksheet ]]&amp;"'!"&amp;QALog[[#This Row],[Cell/Range]]&amp;"", "GoTo Cell"))</f>
        <v>GoTo Cell</v>
      </c>
      <c r="H147" s="173">
        <v>43447</v>
      </c>
      <c r="I147"/>
      <c r="J147" t="s">
        <v>33</v>
      </c>
      <c r="K147"/>
      <c r="L147" s="173"/>
      <c r="M147"/>
      <c r="N147" s="14"/>
      <c r="O147" t="s">
        <v>43</v>
      </c>
    </row>
    <row r="148" spans="2:15" ht="15.75" outlineLevel="1" x14ac:dyDescent="0.25">
      <c r="B148" s="171" t="str">
        <f>QALog[[#This Row],[QA analyst]]&amp;":"&amp;QALog[[#This Row],[QA analysts reference]]</f>
        <v>#LS:127</v>
      </c>
      <c r="C148">
        <v>127</v>
      </c>
      <c r="D148" t="s">
        <v>20</v>
      </c>
      <c r="E148" s="176" t="s">
        <v>177</v>
      </c>
      <c r="F148" t="s">
        <v>179</v>
      </c>
      <c r="G148" s="172" t="str">
        <f>IF(QALog[[#This Row],[Worksheet ]]="","",HYPERLINK("#'"&amp;QALog[[#This Row],[Worksheet ]]&amp;"'!"&amp;QALog[[#This Row],[Cell/Range]]&amp;"", "GoTo Cell"))</f>
        <v>GoTo Cell</v>
      </c>
      <c r="H148" s="173">
        <v>42869</v>
      </c>
      <c r="I148"/>
      <c r="J148" t="s">
        <v>45</v>
      </c>
      <c r="K148"/>
      <c r="L148" s="173"/>
      <c r="M148"/>
      <c r="N148" s="14"/>
      <c r="O148" t="s">
        <v>175</v>
      </c>
    </row>
    <row r="149" spans="2:15" ht="15.75" outlineLevel="1" x14ac:dyDescent="0.25">
      <c r="B149" s="171" t="str">
        <f>QALog[[#This Row],[QA analyst]]&amp;":"&amp;QALog[[#This Row],[QA analysts reference]]</f>
        <v>#LS:128</v>
      </c>
      <c r="C149">
        <v>128</v>
      </c>
      <c r="D149" t="s">
        <v>20</v>
      </c>
      <c r="E149" s="176" t="s">
        <v>177</v>
      </c>
      <c r="F149" t="s">
        <v>180</v>
      </c>
      <c r="G149" s="172" t="str">
        <f>IF(QALog[[#This Row],[Worksheet ]]="","",HYPERLINK("#'"&amp;QALog[[#This Row],[Worksheet ]]&amp;"'!"&amp;QALog[[#This Row],[Cell/Range]]&amp;"", "GoTo Cell"))</f>
        <v>GoTo Cell</v>
      </c>
      <c r="H149" s="173">
        <v>42869</v>
      </c>
      <c r="I149"/>
      <c r="J149" t="s">
        <v>45</v>
      </c>
      <c r="K149"/>
      <c r="L149" s="173"/>
      <c r="M149"/>
      <c r="N149" s="14"/>
      <c r="O149" t="s">
        <v>175</v>
      </c>
    </row>
    <row r="150" spans="2:15" ht="15.75" outlineLevel="1" x14ac:dyDescent="0.25">
      <c r="B150" s="171" t="str">
        <f>QALog[[#This Row],[QA analyst]]&amp;":"&amp;QALog[[#This Row],[QA analysts reference]]</f>
        <v>#LS:129</v>
      </c>
      <c r="C150">
        <v>129</v>
      </c>
      <c r="D150" t="s">
        <v>20</v>
      </c>
      <c r="E150" s="176" t="s">
        <v>181</v>
      </c>
      <c r="F150" t="s">
        <v>182</v>
      </c>
      <c r="G150" s="172" t="str">
        <f>IF(QALog[[#This Row],[Worksheet ]]="","",HYPERLINK("#'"&amp;QALog[[#This Row],[Worksheet ]]&amp;"'!"&amp;QALog[[#This Row],[Cell/Range]]&amp;"", "GoTo Cell"))</f>
        <v>GoTo Cell</v>
      </c>
      <c r="H150" s="173">
        <v>43448</v>
      </c>
      <c r="I150"/>
      <c r="J150" t="s">
        <v>45</v>
      </c>
      <c r="K150"/>
      <c r="L150" s="173"/>
      <c r="M150"/>
      <c r="N150" s="14"/>
      <c r="O150" t="s">
        <v>183</v>
      </c>
    </row>
    <row r="151" spans="2:15" ht="15.75" outlineLevel="1" x14ac:dyDescent="0.25">
      <c r="B151" s="171" t="str">
        <f>QALog[[#This Row],[QA analyst]]&amp;":"&amp;QALog[[#This Row],[QA analysts reference]]</f>
        <v>#LS:130</v>
      </c>
      <c r="C151">
        <v>130</v>
      </c>
      <c r="D151" t="s">
        <v>20</v>
      </c>
      <c r="E151" s="176" t="s">
        <v>181</v>
      </c>
      <c r="F151" t="s">
        <v>184</v>
      </c>
      <c r="G151" s="172" t="str">
        <f>IF(QALog[[#This Row],[Worksheet ]]="","",HYPERLINK("#'"&amp;QALog[[#This Row],[Worksheet ]]&amp;"'!"&amp;QALog[[#This Row],[Cell/Range]]&amp;"", "GoTo Cell"))</f>
        <v>GoTo Cell</v>
      </c>
      <c r="H151" s="173">
        <v>42869</v>
      </c>
      <c r="I151"/>
      <c r="J151" t="s">
        <v>45</v>
      </c>
      <c r="K151"/>
      <c r="L151" s="173"/>
      <c r="M151"/>
      <c r="N151" s="14"/>
      <c r="O151" t="s">
        <v>175</v>
      </c>
    </row>
    <row r="152" spans="2:15" ht="15.75" outlineLevel="1" x14ac:dyDescent="0.25">
      <c r="B152" s="171" t="str">
        <f>QALog[[#This Row],[QA analyst]]&amp;":"&amp;QALog[[#This Row],[QA analysts reference]]</f>
        <v>#LS:131</v>
      </c>
      <c r="C152">
        <v>131</v>
      </c>
      <c r="D152" t="s">
        <v>20</v>
      </c>
      <c r="E152" s="176" t="s">
        <v>181</v>
      </c>
      <c r="F152" t="s">
        <v>185</v>
      </c>
      <c r="G152" s="172" t="str">
        <f>IF(QALog[[#This Row],[Worksheet ]]="","",HYPERLINK("#'"&amp;QALog[[#This Row],[Worksheet ]]&amp;"'!"&amp;QALog[[#This Row],[Cell/Range]]&amp;"", "GoTo Cell"))</f>
        <v>GoTo Cell</v>
      </c>
      <c r="H152" s="173">
        <v>43447</v>
      </c>
      <c r="I152"/>
      <c r="J152" t="s">
        <v>33</v>
      </c>
      <c r="K152"/>
      <c r="L152" s="173"/>
      <c r="M152"/>
      <c r="N152" s="14"/>
      <c r="O152" t="s">
        <v>43</v>
      </c>
    </row>
    <row r="153" spans="2:15" ht="15.75" outlineLevel="1" x14ac:dyDescent="0.25">
      <c r="B153" s="171" t="str">
        <f>QALog[[#This Row],[QA analyst]]&amp;":"&amp;QALog[[#This Row],[QA analysts reference]]</f>
        <v>#LS:132</v>
      </c>
      <c r="C153">
        <v>132</v>
      </c>
      <c r="D153" t="s">
        <v>20</v>
      </c>
      <c r="E153" s="176" t="s">
        <v>181</v>
      </c>
      <c r="F153" t="s">
        <v>186</v>
      </c>
      <c r="G153" s="172" t="str">
        <f>IF(QALog[[#This Row],[Worksheet ]]="","",HYPERLINK("#'"&amp;QALog[[#This Row],[Worksheet ]]&amp;"'!"&amp;QALog[[#This Row],[Cell/Range]]&amp;"", "GoTo Cell"))</f>
        <v>GoTo Cell</v>
      </c>
      <c r="H153" s="173">
        <v>42869</v>
      </c>
      <c r="I153"/>
      <c r="J153" t="s">
        <v>45</v>
      </c>
      <c r="K153"/>
      <c r="L153" s="173"/>
      <c r="M153"/>
      <c r="N153" s="14"/>
      <c r="O153" t="s">
        <v>175</v>
      </c>
    </row>
    <row r="154" spans="2:15" ht="15.75" outlineLevel="1" x14ac:dyDescent="0.25">
      <c r="B154" s="171" t="str">
        <f>QALog[[#This Row],[QA analyst]]&amp;":"&amp;QALog[[#This Row],[QA analysts reference]]</f>
        <v>#LS:133</v>
      </c>
      <c r="C154">
        <v>133</v>
      </c>
      <c r="D154" t="s">
        <v>20</v>
      </c>
      <c r="E154" s="176" t="s">
        <v>181</v>
      </c>
      <c r="F154" t="s">
        <v>187</v>
      </c>
      <c r="G154" s="172" t="str">
        <f>IF(QALog[[#This Row],[Worksheet ]]="","",HYPERLINK("#'"&amp;QALog[[#This Row],[Worksheet ]]&amp;"'!"&amp;QALog[[#This Row],[Cell/Range]]&amp;"", "GoTo Cell"))</f>
        <v>GoTo Cell</v>
      </c>
      <c r="H154" s="173">
        <v>42869</v>
      </c>
      <c r="I154"/>
      <c r="J154" t="s">
        <v>45</v>
      </c>
      <c r="K154"/>
      <c r="L154" s="173"/>
      <c r="M154"/>
      <c r="N154" s="14"/>
      <c r="O154" t="s">
        <v>175</v>
      </c>
    </row>
    <row r="155" spans="2:15" ht="15.75" outlineLevel="1" x14ac:dyDescent="0.25">
      <c r="B155" s="171" t="str">
        <f>QALog[[#This Row],[QA analyst]]&amp;":"&amp;QALog[[#This Row],[QA analysts reference]]</f>
        <v>:</v>
      </c>
      <c r="C155"/>
      <c r="D155"/>
      <c r="E155"/>
      <c r="F155"/>
      <c r="G155" s="172" t="str">
        <f>IF(QALog[[#This Row],[Worksheet ]]="","",HYPERLINK("#'"&amp;QALog[[#This Row],[Worksheet ]]&amp;"'!"&amp;QALog[[#This Row],[Cell/Range]]&amp;"", "GoTo Cell"))</f>
        <v/>
      </c>
      <c r="H155" s="173"/>
      <c r="I155"/>
      <c r="J155"/>
      <c r="K155"/>
      <c r="L155" s="173"/>
      <c r="M155"/>
      <c r="N155" s="14"/>
      <c r="O155"/>
    </row>
    <row r="156" spans="2:15" ht="15.75" outlineLevel="1" x14ac:dyDescent="0.25">
      <c r="B156" s="171" t="str">
        <f>QALog[[#This Row],[QA analyst]]&amp;":"&amp;QALog[[#This Row],[QA analysts reference]]</f>
        <v>:</v>
      </c>
      <c r="C156"/>
      <c r="D156"/>
      <c r="E156"/>
      <c r="F156"/>
      <c r="G156" s="172" t="str">
        <f>IF(QALog[[#This Row],[Worksheet ]]="","",HYPERLINK("#'"&amp;QALog[[#This Row],[Worksheet ]]&amp;"'!"&amp;QALog[[#This Row],[Cell/Range]]&amp;"", "GoTo Cell"))</f>
        <v/>
      </c>
      <c r="H156" s="173"/>
      <c r="I156"/>
      <c r="J156"/>
      <c r="K156"/>
      <c r="L156" s="173"/>
      <c r="M156"/>
      <c r="N156" s="14"/>
      <c r="O156"/>
    </row>
    <row r="157" spans="2:15" ht="15.75" outlineLevel="1" x14ac:dyDescent="0.25">
      <c r="B157" s="171" t="str">
        <f>QALog[[#This Row],[QA analyst]]&amp;":"&amp;QALog[[#This Row],[QA analysts reference]]</f>
        <v>:</v>
      </c>
      <c r="C157"/>
      <c r="D157"/>
      <c r="E157"/>
      <c r="F157"/>
      <c r="G157" s="172" t="str">
        <f>IF(QALog[[#This Row],[Worksheet ]]="","",HYPERLINK("#'"&amp;QALog[[#This Row],[Worksheet ]]&amp;"'!"&amp;QALog[[#This Row],[Cell/Range]]&amp;"", "GoTo Cell"))</f>
        <v/>
      </c>
      <c r="H157" s="173"/>
      <c r="I157"/>
      <c r="J157"/>
      <c r="K157"/>
      <c r="L157" s="173"/>
      <c r="M157"/>
      <c r="N157" s="14"/>
      <c r="O157"/>
    </row>
    <row r="158" spans="2:15" ht="15.75" outlineLevel="1" x14ac:dyDescent="0.25">
      <c r="B158" s="171" t="str">
        <f>QALog[[#This Row],[QA analyst]]&amp;":"&amp;QALog[[#This Row],[QA analysts reference]]</f>
        <v>:</v>
      </c>
      <c r="C158"/>
      <c r="D158"/>
      <c r="E158"/>
      <c r="F158"/>
      <c r="G158" s="172" t="str">
        <f>IF(QALog[[#This Row],[Worksheet ]]="","",HYPERLINK("#'"&amp;QALog[[#This Row],[Worksheet ]]&amp;"'!"&amp;QALog[[#This Row],[Cell/Range]]&amp;"", "GoTo Cell"))</f>
        <v/>
      </c>
      <c r="H158" s="173"/>
      <c r="I158"/>
      <c r="J158"/>
      <c r="K158"/>
      <c r="L158" s="173"/>
      <c r="M158"/>
      <c r="N158" s="14"/>
      <c r="O158"/>
    </row>
    <row r="159" spans="2:15" ht="15.75" outlineLevel="1" x14ac:dyDescent="0.25">
      <c r="B159" s="171" t="str">
        <f>QALog[[#This Row],[QA analyst]]&amp;":"&amp;QALog[[#This Row],[QA analysts reference]]</f>
        <v>:</v>
      </c>
      <c r="C159"/>
      <c r="D159"/>
      <c r="E159"/>
      <c r="F159"/>
      <c r="G159" s="172" t="str">
        <f>IF(QALog[[#This Row],[Worksheet ]]="","",HYPERLINK("#'"&amp;QALog[[#This Row],[Worksheet ]]&amp;"'!"&amp;QALog[[#This Row],[Cell/Range]]&amp;"", "GoTo Cell"))</f>
        <v/>
      </c>
      <c r="H159" s="173"/>
      <c r="I159"/>
      <c r="J159"/>
      <c r="K159"/>
      <c r="L159" s="173"/>
      <c r="M159"/>
      <c r="N159" s="14"/>
      <c r="O159"/>
    </row>
    <row r="160" spans="2:15" ht="15.75" outlineLevel="1" x14ac:dyDescent="0.25">
      <c r="B160" s="171" t="str">
        <f>QALog[[#This Row],[QA analyst]]&amp;":"&amp;QALog[[#This Row],[QA analysts reference]]</f>
        <v>:</v>
      </c>
      <c r="C160"/>
      <c r="D160"/>
      <c r="E160"/>
      <c r="F160"/>
      <c r="G160" s="172" t="str">
        <f>IF(QALog[[#This Row],[Worksheet ]]="","",HYPERLINK("#'"&amp;QALog[[#This Row],[Worksheet ]]&amp;"'!"&amp;QALog[[#This Row],[Cell/Range]]&amp;"", "GoTo Cell"))</f>
        <v/>
      </c>
      <c r="H160" s="173"/>
      <c r="I160"/>
      <c r="J160"/>
      <c r="K160"/>
      <c r="L160" s="173"/>
      <c r="M160"/>
      <c r="N160" s="14"/>
      <c r="O160"/>
    </row>
    <row r="161" spans="2:15" ht="15.75" outlineLevel="1" x14ac:dyDescent="0.25">
      <c r="B161" s="171" t="str">
        <f>QALog[[#This Row],[QA analyst]]&amp;":"&amp;QALog[[#This Row],[QA analysts reference]]</f>
        <v>:</v>
      </c>
      <c r="C161"/>
      <c r="D161"/>
      <c r="E161"/>
      <c r="F161"/>
      <c r="G161" s="172" t="str">
        <f>IF(QALog[[#This Row],[Worksheet ]]="","",HYPERLINK("#'"&amp;QALog[[#This Row],[Worksheet ]]&amp;"'!"&amp;QALog[[#This Row],[Cell/Range]]&amp;"", "GoTo Cell"))</f>
        <v/>
      </c>
      <c r="H161" s="173"/>
      <c r="I161"/>
      <c r="J161"/>
      <c r="K161"/>
      <c r="L161" s="173"/>
      <c r="M161"/>
      <c r="N161" s="14"/>
      <c r="O161"/>
    </row>
    <row r="162" spans="2:15" ht="15.75" outlineLevel="1" x14ac:dyDescent="0.25">
      <c r="B162" s="171" t="str">
        <f>QALog[[#This Row],[QA analyst]]&amp;":"&amp;QALog[[#This Row],[QA analysts reference]]</f>
        <v>:</v>
      </c>
      <c r="C162"/>
      <c r="D162"/>
      <c r="E162"/>
      <c r="F162"/>
      <c r="G162" s="172" t="str">
        <f>IF(QALog[[#This Row],[Worksheet ]]="","",HYPERLINK("#'"&amp;QALog[[#This Row],[Worksheet ]]&amp;"'!"&amp;QALog[[#This Row],[Cell/Range]]&amp;"", "GoTo Cell"))</f>
        <v/>
      </c>
      <c r="H162" s="173"/>
      <c r="I162"/>
      <c r="J162"/>
      <c r="K162"/>
      <c r="L162" s="173"/>
      <c r="M162"/>
      <c r="N162" s="14"/>
      <c r="O162"/>
    </row>
    <row r="163" spans="2:15" ht="15.75" outlineLevel="1" x14ac:dyDescent="0.25">
      <c r="B163" s="171" t="str">
        <f>QALog[[#This Row],[QA analyst]]&amp;":"&amp;QALog[[#This Row],[QA analysts reference]]</f>
        <v>:</v>
      </c>
      <c r="C163"/>
      <c r="D163"/>
      <c r="E163"/>
      <c r="F163"/>
      <c r="G163" s="172" t="str">
        <f>IF(QALog[[#This Row],[Worksheet ]]="","",HYPERLINK("#'"&amp;QALog[[#This Row],[Worksheet ]]&amp;"'!"&amp;QALog[[#This Row],[Cell/Range]]&amp;"", "GoTo Cell"))</f>
        <v/>
      </c>
      <c r="H163" s="173"/>
      <c r="I163"/>
      <c r="J163"/>
      <c r="K163"/>
      <c r="L163" s="173"/>
      <c r="M163"/>
      <c r="N163" s="14"/>
      <c r="O163"/>
    </row>
    <row r="164" spans="2:15" ht="15.75" outlineLevel="1" x14ac:dyDescent="0.25">
      <c r="B164" s="171" t="str">
        <f>QALog[[#This Row],[QA analyst]]&amp;":"&amp;QALog[[#This Row],[QA analysts reference]]</f>
        <v>:</v>
      </c>
      <c r="C164"/>
      <c r="D164"/>
      <c r="E164"/>
      <c r="F164"/>
      <c r="G164" s="172" t="str">
        <f>IF(QALog[[#This Row],[Worksheet ]]="","",HYPERLINK("#'"&amp;QALog[[#This Row],[Worksheet ]]&amp;"'!"&amp;QALog[[#This Row],[Cell/Range]]&amp;"", "GoTo Cell"))</f>
        <v/>
      </c>
      <c r="H164" s="173"/>
      <c r="I164"/>
      <c r="J164"/>
      <c r="K164"/>
      <c r="L164" s="173"/>
      <c r="M164"/>
      <c r="N164" s="14"/>
      <c r="O164"/>
    </row>
    <row r="165" spans="2:15" ht="15.75" outlineLevel="1" x14ac:dyDescent="0.25">
      <c r="B165" s="171" t="str">
        <f>QALog[[#This Row],[QA analyst]]&amp;":"&amp;QALog[[#This Row],[QA analysts reference]]</f>
        <v>:</v>
      </c>
      <c r="C165"/>
      <c r="D165"/>
      <c r="E165"/>
      <c r="F165"/>
      <c r="G165" s="172" t="str">
        <f>IF(QALog[[#This Row],[Worksheet ]]="","",HYPERLINK("#'"&amp;QALog[[#This Row],[Worksheet ]]&amp;"'!"&amp;QALog[[#This Row],[Cell/Range]]&amp;"", "GoTo Cell"))</f>
        <v/>
      </c>
      <c r="H165" s="173"/>
      <c r="I165"/>
      <c r="J165"/>
      <c r="K165"/>
      <c r="L165" s="173"/>
      <c r="M165"/>
      <c r="N165" s="14"/>
      <c r="O165"/>
    </row>
    <row r="166" spans="2:15" ht="15.75" outlineLevel="1" x14ac:dyDescent="0.25">
      <c r="B166" s="171" t="str">
        <f>QALog[[#This Row],[QA analyst]]&amp;":"&amp;QALog[[#This Row],[QA analysts reference]]</f>
        <v>:</v>
      </c>
      <c r="C166"/>
      <c r="D166"/>
      <c r="E166"/>
      <c r="F166"/>
      <c r="G166" s="172" t="str">
        <f>IF(QALog[[#This Row],[Worksheet ]]="","",HYPERLINK("#'"&amp;QALog[[#This Row],[Worksheet ]]&amp;"'!"&amp;QALog[[#This Row],[Cell/Range]]&amp;"", "GoTo Cell"))</f>
        <v/>
      </c>
      <c r="H166" s="173"/>
      <c r="I166"/>
      <c r="J166"/>
      <c r="K166"/>
      <c r="L166" s="173"/>
      <c r="M166"/>
      <c r="N166" s="14"/>
      <c r="O166"/>
    </row>
    <row r="167" spans="2:15" ht="15.75" outlineLevel="1" x14ac:dyDescent="0.25">
      <c r="B167" s="171" t="str">
        <f>QALog[[#This Row],[QA analyst]]&amp;":"&amp;QALog[[#This Row],[QA analysts reference]]</f>
        <v>:</v>
      </c>
      <c r="C167"/>
      <c r="D167"/>
      <c r="E167"/>
      <c r="F167"/>
      <c r="G167" s="172" t="str">
        <f>IF(QALog[[#This Row],[Worksheet ]]="","",HYPERLINK("#'"&amp;QALog[[#This Row],[Worksheet ]]&amp;"'!"&amp;QALog[[#This Row],[Cell/Range]]&amp;"", "GoTo Cell"))</f>
        <v/>
      </c>
      <c r="H167" s="173"/>
      <c r="I167"/>
      <c r="J167"/>
      <c r="K167"/>
      <c r="L167" s="173"/>
      <c r="M167"/>
      <c r="N167" s="14"/>
      <c r="O167"/>
    </row>
    <row r="168" spans="2:15" ht="15.75" outlineLevel="1" x14ac:dyDescent="0.25">
      <c r="B168" s="171" t="str">
        <f>QALog[[#This Row],[QA analyst]]&amp;":"&amp;QALog[[#This Row],[QA analysts reference]]</f>
        <v>:</v>
      </c>
      <c r="C168"/>
      <c r="D168"/>
      <c r="E168"/>
      <c r="F168"/>
      <c r="G168" s="172" t="str">
        <f>IF(QALog[[#This Row],[Worksheet ]]="","",HYPERLINK("#'"&amp;QALog[[#This Row],[Worksheet ]]&amp;"'!"&amp;QALog[[#This Row],[Cell/Range]]&amp;"", "GoTo Cell"))</f>
        <v/>
      </c>
      <c r="H168" s="173"/>
      <c r="I168"/>
      <c r="J168"/>
      <c r="K168"/>
      <c r="L168" s="173"/>
      <c r="M168"/>
      <c r="N168" s="14"/>
      <c r="O168"/>
    </row>
    <row r="169" spans="2:15" ht="15.75" outlineLevel="1" x14ac:dyDescent="0.25">
      <c r="B169" s="171" t="str">
        <f>QALog[[#This Row],[QA analyst]]&amp;":"&amp;QALog[[#This Row],[QA analysts reference]]</f>
        <v>:</v>
      </c>
      <c r="C169"/>
      <c r="D169"/>
      <c r="E169"/>
      <c r="F169"/>
      <c r="G169" s="172" t="str">
        <f>IF(QALog[[#This Row],[Worksheet ]]="","",HYPERLINK("#'"&amp;QALog[[#This Row],[Worksheet ]]&amp;"'!"&amp;QALog[[#This Row],[Cell/Range]]&amp;"", "GoTo Cell"))</f>
        <v/>
      </c>
      <c r="H169" s="173"/>
      <c r="I169"/>
      <c r="J169"/>
      <c r="K169"/>
      <c r="L169" s="173"/>
      <c r="M169"/>
      <c r="N169" s="14"/>
      <c r="O169"/>
    </row>
    <row r="170" spans="2:15" ht="15.75" outlineLevel="1" x14ac:dyDescent="0.25">
      <c r="B170" s="171" t="str">
        <f>QALog[[#This Row],[QA analyst]]&amp;":"&amp;QALog[[#This Row],[QA analysts reference]]</f>
        <v>:</v>
      </c>
      <c r="C170"/>
      <c r="D170"/>
      <c r="E170"/>
      <c r="F170"/>
      <c r="G170" s="172" t="str">
        <f>IF(QALog[[#This Row],[Worksheet ]]="","",HYPERLINK("#'"&amp;QALog[[#This Row],[Worksheet ]]&amp;"'!"&amp;QALog[[#This Row],[Cell/Range]]&amp;"", "GoTo Cell"))</f>
        <v/>
      </c>
      <c r="H170" s="173"/>
      <c r="I170"/>
      <c r="J170"/>
      <c r="K170"/>
      <c r="L170" s="173"/>
      <c r="M170"/>
      <c r="N170" s="14"/>
      <c r="O170"/>
    </row>
    <row r="171" spans="2:15" ht="15.75" outlineLevel="1" x14ac:dyDescent="0.25">
      <c r="B171" s="171" t="str">
        <f>QALog[[#This Row],[QA analyst]]&amp;":"&amp;QALog[[#This Row],[QA analysts reference]]</f>
        <v>:</v>
      </c>
      <c r="C171"/>
      <c r="D171"/>
      <c r="E171"/>
      <c r="F171"/>
      <c r="G171" s="172" t="str">
        <f>IF(QALog[[#This Row],[Worksheet ]]="","",HYPERLINK("#'"&amp;QALog[[#This Row],[Worksheet ]]&amp;"'!"&amp;QALog[[#This Row],[Cell/Range]]&amp;"", "GoTo Cell"))</f>
        <v/>
      </c>
      <c r="H171" s="173"/>
      <c r="I171"/>
      <c r="J171"/>
      <c r="K171"/>
      <c r="L171" s="173"/>
      <c r="M171"/>
      <c r="N171" s="14"/>
      <c r="O171"/>
    </row>
    <row r="172" spans="2:15" ht="15.75" outlineLevel="1" x14ac:dyDescent="0.25">
      <c r="B172" s="171" t="str">
        <f>QALog[[#This Row],[QA analyst]]&amp;":"&amp;QALog[[#This Row],[QA analysts reference]]</f>
        <v>:</v>
      </c>
      <c r="C172"/>
      <c r="D172"/>
      <c r="E172"/>
      <c r="F172"/>
      <c r="G172" s="172" t="str">
        <f>IF(QALog[[#This Row],[Worksheet ]]="","",HYPERLINK("#'"&amp;QALog[[#This Row],[Worksheet ]]&amp;"'!"&amp;QALog[[#This Row],[Cell/Range]]&amp;"", "GoTo Cell"))</f>
        <v/>
      </c>
      <c r="H172" s="173"/>
      <c r="I172"/>
      <c r="J172"/>
      <c r="K172"/>
      <c r="L172" s="173"/>
      <c r="M172"/>
      <c r="N172" s="14"/>
      <c r="O172"/>
    </row>
    <row r="173" spans="2:15" ht="15.75" outlineLevel="1" x14ac:dyDescent="0.25">
      <c r="B173" s="171" t="str">
        <f>QALog[[#This Row],[QA analyst]]&amp;":"&amp;QALog[[#This Row],[QA analysts reference]]</f>
        <v>:</v>
      </c>
      <c r="C173"/>
      <c r="D173"/>
      <c r="E173"/>
      <c r="F173"/>
      <c r="G173" s="172" t="str">
        <f>IF(QALog[[#This Row],[Worksheet ]]="","",HYPERLINK("#'"&amp;QALog[[#This Row],[Worksheet ]]&amp;"'!"&amp;QALog[[#This Row],[Cell/Range]]&amp;"", "GoTo Cell"))</f>
        <v/>
      </c>
      <c r="H173" s="173"/>
      <c r="I173"/>
      <c r="J173"/>
      <c r="K173"/>
      <c r="L173" s="173"/>
      <c r="M173"/>
      <c r="N173" s="14"/>
      <c r="O173"/>
    </row>
    <row r="174" spans="2:15" ht="15.75" outlineLevel="1" x14ac:dyDescent="0.25">
      <c r="B174" s="171" t="str">
        <f>QALog[[#This Row],[QA analyst]]&amp;":"&amp;QALog[[#This Row],[QA analysts reference]]</f>
        <v>:</v>
      </c>
      <c r="C174"/>
      <c r="D174"/>
      <c r="E174"/>
      <c r="F174"/>
      <c r="G174" s="172" t="str">
        <f>IF(QALog[[#This Row],[Worksheet ]]="","",HYPERLINK("#'"&amp;QALog[[#This Row],[Worksheet ]]&amp;"'!"&amp;QALog[[#This Row],[Cell/Range]]&amp;"", "GoTo Cell"))</f>
        <v/>
      </c>
      <c r="H174" s="173"/>
      <c r="I174"/>
      <c r="J174"/>
      <c r="K174"/>
      <c r="L174" s="173"/>
      <c r="M174"/>
      <c r="N174" s="14"/>
      <c r="O174"/>
    </row>
    <row r="175" spans="2:15" ht="15.75" outlineLevel="1" x14ac:dyDescent="0.25">
      <c r="B175" s="171" t="str">
        <f>QALog[[#This Row],[QA analyst]]&amp;":"&amp;QALog[[#This Row],[QA analysts reference]]</f>
        <v>:</v>
      </c>
      <c r="C175"/>
      <c r="D175"/>
      <c r="E175"/>
      <c r="F175"/>
      <c r="G175" s="172" t="str">
        <f>IF(QALog[[#This Row],[Worksheet ]]="","",HYPERLINK("#'"&amp;QALog[[#This Row],[Worksheet ]]&amp;"'!"&amp;QALog[[#This Row],[Cell/Range]]&amp;"", "GoTo Cell"))</f>
        <v/>
      </c>
      <c r="H175" s="173"/>
      <c r="I175"/>
      <c r="J175"/>
      <c r="K175"/>
      <c r="L175" s="173"/>
      <c r="M175"/>
      <c r="N175" s="14"/>
      <c r="O175"/>
    </row>
    <row r="176" spans="2:15" ht="15.75" outlineLevel="1" x14ac:dyDescent="0.25">
      <c r="B176" s="171" t="str">
        <f>QALog[[#This Row],[QA analyst]]&amp;":"&amp;QALog[[#This Row],[QA analysts reference]]</f>
        <v>:</v>
      </c>
      <c r="C176"/>
      <c r="D176"/>
      <c r="E176"/>
      <c r="F176"/>
      <c r="G176" s="172" t="str">
        <f>IF(QALog[[#This Row],[Worksheet ]]="","",HYPERLINK("#'"&amp;QALog[[#This Row],[Worksheet ]]&amp;"'!"&amp;QALog[[#This Row],[Cell/Range]]&amp;"", "GoTo Cell"))</f>
        <v/>
      </c>
      <c r="H176" s="173"/>
      <c r="I176"/>
      <c r="J176"/>
      <c r="K176"/>
      <c r="L176" s="173"/>
      <c r="M176"/>
      <c r="N176" s="14"/>
      <c r="O176"/>
    </row>
    <row r="177" spans="2:15" ht="15.75" outlineLevel="1" x14ac:dyDescent="0.25">
      <c r="B177" s="171" t="str">
        <f>QALog[[#This Row],[QA analyst]]&amp;":"&amp;QALog[[#This Row],[QA analysts reference]]</f>
        <v>:</v>
      </c>
      <c r="C177"/>
      <c r="D177"/>
      <c r="E177"/>
      <c r="F177"/>
      <c r="G177" s="172" t="str">
        <f>IF(QALog[[#This Row],[Worksheet ]]="","",HYPERLINK("#'"&amp;QALog[[#This Row],[Worksheet ]]&amp;"'!"&amp;QALog[[#This Row],[Cell/Range]]&amp;"", "GoTo Cell"))</f>
        <v/>
      </c>
      <c r="H177" s="173"/>
      <c r="I177"/>
      <c r="J177"/>
      <c r="K177"/>
      <c r="L177" s="173"/>
      <c r="M177"/>
      <c r="N177" s="14"/>
      <c r="O177"/>
    </row>
    <row r="178" spans="2:15" ht="15.75" outlineLevel="1" x14ac:dyDescent="0.25">
      <c r="B178" s="171" t="str">
        <f>QALog[[#This Row],[QA analyst]]&amp;":"&amp;QALog[[#This Row],[QA analysts reference]]</f>
        <v>:</v>
      </c>
      <c r="C178"/>
      <c r="D178"/>
      <c r="E178"/>
      <c r="F178"/>
      <c r="G178" s="172" t="str">
        <f>IF(QALog[[#This Row],[Worksheet ]]="","",HYPERLINK("#'"&amp;QALog[[#This Row],[Worksheet ]]&amp;"'!"&amp;QALog[[#This Row],[Cell/Range]]&amp;"", "GoTo Cell"))</f>
        <v/>
      </c>
      <c r="H178" s="173"/>
      <c r="I178"/>
      <c r="J178"/>
      <c r="K178"/>
      <c r="L178" s="173"/>
      <c r="M178"/>
      <c r="N178" s="14"/>
      <c r="O178"/>
    </row>
    <row r="179" spans="2:15" ht="15.75" outlineLevel="1" x14ac:dyDescent="0.25">
      <c r="B179" s="171" t="str">
        <f>QALog[[#This Row],[QA analyst]]&amp;":"&amp;QALog[[#This Row],[QA analysts reference]]</f>
        <v>:</v>
      </c>
      <c r="C179"/>
      <c r="D179"/>
      <c r="E179"/>
      <c r="F179"/>
      <c r="G179" s="172" t="str">
        <f>IF(QALog[[#This Row],[Worksheet ]]="","",HYPERLINK("#'"&amp;QALog[[#This Row],[Worksheet ]]&amp;"'!"&amp;QALog[[#This Row],[Cell/Range]]&amp;"", "GoTo Cell"))</f>
        <v/>
      </c>
      <c r="H179" s="173"/>
      <c r="I179"/>
      <c r="J179"/>
      <c r="K179"/>
      <c r="L179" s="173"/>
      <c r="M179"/>
      <c r="N179" s="14"/>
      <c r="O179"/>
    </row>
    <row r="180" spans="2:15" ht="15.75" outlineLevel="1" x14ac:dyDescent="0.25">
      <c r="B180" s="171" t="str">
        <f>QALog[[#This Row],[QA analyst]]&amp;":"&amp;QALog[[#This Row],[QA analysts reference]]</f>
        <v>:</v>
      </c>
      <c r="C180"/>
      <c r="D180"/>
      <c r="E180"/>
      <c r="F180"/>
      <c r="G180" s="172" t="str">
        <f>IF(QALog[[#This Row],[Worksheet ]]="","",HYPERLINK("#'"&amp;QALog[[#This Row],[Worksheet ]]&amp;"'!"&amp;QALog[[#This Row],[Cell/Range]]&amp;"", "GoTo Cell"))</f>
        <v/>
      </c>
      <c r="H180" s="173"/>
      <c r="I180"/>
      <c r="J180"/>
      <c r="K180"/>
      <c r="L180" s="173"/>
      <c r="M180"/>
      <c r="N180" s="14"/>
      <c r="O180"/>
    </row>
    <row r="181" spans="2:15" ht="15.75" outlineLevel="1" x14ac:dyDescent="0.25">
      <c r="B181" s="171" t="str">
        <f>QALog[[#This Row],[QA analyst]]&amp;":"&amp;QALog[[#This Row],[QA analysts reference]]</f>
        <v>:</v>
      </c>
      <c r="C181"/>
      <c r="D181"/>
      <c r="E181"/>
      <c r="F181"/>
      <c r="G181" s="172" t="str">
        <f>IF(QALog[[#This Row],[Worksheet ]]="","",HYPERLINK("#'"&amp;QALog[[#This Row],[Worksheet ]]&amp;"'!"&amp;QALog[[#This Row],[Cell/Range]]&amp;"", "GoTo Cell"))</f>
        <v/>
      </c>
      <c r="H181" s="173"/>
      <c r="I181"/>
      <c r="J181"/>
      <c r="K181"/>
      <c r="L181" s="173"/>
      <c r="M181"/>
      <c r="N181" s="14"/>
      <c r="O181"/>
    </row>
    <row r="182" spans="2:15" ht="15.75" outlineLevel="1" x14ac:dyDescent="0.25">
      <c r="B182" s="171" t="str">
        <f>QALog[[#This Row],[QA analyst]]&amp;":"&amp;QALog[[#This Row],[QA analysts reference]]</f>
        <v>:</v>
      </c>
      <c r="C182"/>
      <c r="D182"/>
      <c r="E182"/>
      <c r="F182"/>
      <c r="G182" s="172" t="str">
        <f>IF(QALog[[#This Row],[Worksheet ]]="","",HYPERLINK("#'"&amp;QALog[[#This Row],[Worksheet ]]&amp;"'!"&amp;QALog[[#This Row],[Cell/Range]]&amp;"", "GoTo Cell"))</f>
        <v/>
      </c>
      <c r="H182" s="173"/>
      <c r="I182"/>
      <c r="J182"/>
      <c r="K182"/>
      <c r="L182" s="173"/>
      <c r="M182"/>
      <c r="N182" s="14"/>
      <c r="O182"/>
    </row>
    <row r="183" spans="2:15" ht="15.75" outlineLevel="1" x14ac:dyDescent="0.25">
      <c r="B183" s="171" t="str">
        <f>QALog[[#This Row],[QA analyst]]&amp;":"&amp;QALog[[#This Row],[QA analysts reference]]</f>
        <v>:</v>
      </c>
      <c r="C183"/>
      <c r="D183"/>
      <c r="E183"/>
      <c r="F183"/>
      <c r="G183" s="172" t="str">
        <f>IF(QALog[[#This Row],[Worksheet ]]="","",HYPERLINK("#'"&amp;QALog[[#This Row],[Worksheet ]]&amp;"'!"&amp;QALog[[#This Row],[Cell/Range]]&amp;"", "GoTo Cell"))</f>
        <v/>
      </c>
      <c r="H183" s="173"/>
      <c r="I183"/>
      <c r="J183"/>
      <c r="K183"/>
      <c r="L183" s="173"/>
      <c r="M183"/>
      <c r="N183" s="14"/>
      <c r="O183"/>
    </row>
    <row r="184" spans="2:15" ht="15.75" outlineLevel="1" x14ac:dyDescent="0.25">
      <c r="B184" s="171" t="str">
        <f>QALog[[#This Row],[QA analyst]]&amp;":"&amp;QALog[[#This Row],[QA analysts reference]]</f>
        <v>:</v>
      </c>
      <c r="C184"/>
      <c r="D184"/>
      <c r="E184"/>
      <c r="F184"/>
      <c r="G184" s="172" t="str">
        <f>IF(QALog[[#This Row],[Worksheet ]]="","",HYPERLINK("#'"&amp;QALog[[#This Row],[Worksheet ]]&amp;"'!"&amp;QALog[[#This Row],[Cell/Range]]&amp;"", "GoTo Cell"))</f>
        <v/>
      </c>
      <c r="H184" s="173"/>
      <c r="I184"/>
      <c r="J184"/>
      <c r="K184"/>
      <c r="L184" s="173"/>
      <c r="M184"/>
      <c r="N184" s="14"/>
      <c r="O184"/>
    </row>
    <row r="185" spans="2:15" ht="15.75" outlineLevel="1" x14ac:dyDescent="0.25">
      <c r="B185" s="171" t="str">
        <f>QALog[[#This Row],[QA analyst]]&amp;":"&amp;QALog[[#This Row],[QA analysts reference]]</f>
        <v>:</v>
      </c>
      <c r="C185"/>
      <c r="D185"/>
      <c r="E185"/>
      <c r="F185"/>
      <c r="G185" s="172" t="str">
        <f>IF(QALog[[#This Row],[Worksheet ]]="","",HYPERLINK("#'"&amp;QALog[[#This Row],[Worksheet ]]&amp;"'!"&amp;QALog[[#This Row],[Cell/Range]]&amp;"", "GoTo Cell"))</f>
        <v/>
      </c>
      <c r="H185" s="173"/>
      <c r="I185"/>
      <c r="J185"/>
      <c r="K185"/>
      <c r="L185" s="173"/>
      <c r="M185"/>
      <c r="N185" s="14"/>
      <c r="O185"/>
    </row>
    <row r="186" spans="2:15" ht="15.75" outlineLevel="1" x14ac:dyDescent="0.25">
      <c r="B186" s="171" t="str">
        <f>QALog[[#This Row],[QA analyst]]&amp;":"&amp;QALog[[#This Row],[QA analysts reference]]</f>
        <v>:</v>
      </c>
      <c r="C186"/>
      <c r="D186"/>
      <c r="E186"/>
      <c r="F186"/>
      <c r="G186" s="172" t="str">
        <f>IF(QALog[[#This Row],[Worksheet ]]="","",HYPERLINK("#'"&amp;QALog[[#This Row],[Worksheet ]]&amp;"'!"&amp;QALog[[#This Row],[Cell/Range]]&amp;"", "GoTo Cell"))</f>
        <v/>
      </c>
      <c r="H186" s="173"/>
      <c r="I186"/>
      <c r="J186"/>
      <c r="K186"/>
      <c r="L186" s="173"/>
      <c r="M186"/>
      <c r="N186" s="14"/>
      <c r="O186"/>
    </row>
  </sheetData>
  <dataConsolidate/>
  <mergeCells count="1">
    <mergeCell ref="I2:M2"/>
  </mergeCells>
  <conditionalFormatting sqref="B22:O186">
    <cfRule type="expression" dxfId="45" priority="1">
      <formula>(UPPER(LEFT(SUBSTITUTE($K22,"#",""),5))="FIXCH")</formula>
    </cfRule>
    <cfRule type="expression" dxfId="44" priority="2">
      <formula>(UPPER(SUBSTITUTE($K22,"#",""))="OK")</formula>
    </cfRule>
  </conditionalFormatting>
  <pageMargins left="0.25" right="0.25" top="0.75" bottom="0.75" header="0.3" footer="0.3"/>
  <pageSetup paperSize="9" scale="16"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tabColor rgb="FF9BBB59"/>
  </sheetPr>
  <dimension ref="A1:H38"/>
  <sheetViews>
    <sheetView topLeftCell="A20" workbookViewId="0">
      <selection activeCell="C41" sqref="C41"/>
    </sheetView>
  </sheetViews>
  <sheetFormatPr defaultRowHeight="15" x14ac:dyDescent="0.25"/>
  <cols>
    <col min="1" max="1" width="9.140625" style="23"/>
    <col min="2" max="2" width="28.140625" style="23" customWidth="1"/>
    <col min="3" max="3" width="39.140625" style="23" customWidth="1"/>
    <col min="4" max="4" width="37.5703125" style="23" customWidth="1"/>
    <col min="5" max="5" width="30.5703125" style="23" customWidth="1"/>
    <col min="6" max="6" width="1.28515625" style="23" customWidth="1"/>
    <col min="7" max="7" width="0.42578125" style="23" customWidth="1"/>
    <col min="8" max="8" width="9.140625" style="23"/>
  </cols>
  <sheetData>
    <row r="1" spans="1:8" ht="50.25" customHeight="1" x14ac:dyDescent="0.25">
      <c r="A1" s="68"/>
      <c r="B1" s="69" t="s">
        <v>188</v>
      </c>
      <c r="C1" s="245" t="s">
        <v>189</v>
      </c>
      <c r="D1" s="245"/>
      <c r="E1" s="245"/>
      <c r="F1" s="245"/>
      <c r="G1" s="70"/>
      <c r="H1" s="68"/>
    </row>
    <row r="2" spans="1:8" x14ac:dyDescent="0.25">
      <c r="A2" s="68"/>
      <c r="B2" s="71"/>
      <c r="C2" s="71"/>
      <c r="D2" s="71"/>
      <c r="E2" s="71"/>
      <c r="F2" s="71"/>
      <c r="G2" s="71"/>
      <c r="H2" s="68"/>
    </row>
    <row r="3" spans="1:8" x14ac:dyDescent="0.25">
      <c r="A3" s="68"/>
      <c r="B3" s="71"/>
      <c r="C3" s="71"/>
      <c r="D3" s="71"/>
      <c r="E3" s="71"/>
      <c r="F3" s="71"/>
      <c r="G3" s="71"/>
      <c r="H3" s="68"/>
    </row>
    <row r="4" spans="1:8" x14ac:dyDescent="0.25">
      <c r="A4" s="68"/>
      <c r="B4" s="72" t="s">
        <v>190</v>
      </c>
      <c r="C4" s="71"/>
      <c r="D4" s="71"/>
      <c r="E4" s="71"/>
      <c r="F4" s="71"/>
      <c r="G4" s="71"/>
      <c r="H4" s="68"/>
    </row>
    <row r="5" spans="1:8" x14ac:dyDescent="0.25">
      <c r="A5" s="68"/>
      <c r="B5" s="71" t="s">
        <v>191</v>
      </c>
      <c r="C5" s="73" t="s">
        <v>192</v>
      </c>
      <c r="D5" s="71"/>
      <c r="E5" s="71"/>
      <c r="F5" s="71"/>
      <c r="G5" s="71"/>
      <c r="H5" s="68"/>
    </row>
    <row r="6" spans="1:8" x14ac:dyDescent="0.25">
      <c r="A6" s="68"/>
      <c r="B6" s="71" t="s">
        <v>193</v>
      </c>
      <c r="C6" s="73" t="s">
        <v>194</v>
      </c>
      <c r="D6" s="71"/>
      <c r="E6" s="71"/>
      <c r="F6" s="71"/>
      <c r="G6" s="71"/>
      <c r="H6" s="68"/>
    </row>
    <row r="7" spans="1:8" x14ac:dyDescent="0.25">
      <c r="A7" s="68"/>
      <c r="B7" s="71" t="s">
        <v>195</v>
      </c>
      <c r="C7" s="73" t="s">
        <v>196</v>
      </c>
      <c r="D7" s="71"/>
      <c r="E7" s="71"/>
      <c r="F7" s="71"/>
      <c r="G7" s="71"/>
      <c r="H7" s="68"/>
    </row>
    <row r="8" spans="1:8" x14ac:dyDescent="0.25">
      <c r="A8" s="68"/>
      <c r="B8" s="71" t="s">
        <v>197</v>
      </c>
      <c r="C8" s="73" t="s">
        <v>198</v>
      </c>
      <c r="D8" s="71"/>
      <c r="E8" s="71"/>
      <c r="F8" s="71"/>
      <c r="G8" s="71"/>
      <c r="H8" s="68"/>
    </row>
    <row r="9" spans="1:8" ht="30" x14ac:dyDescent="0.25">
      <c r="A9" s="68"/>
      <c r="B9" s="74" t="s">
        <v>199</v>
      </c>
      <c r="C9" s="73" t="s">
        <v>200</v>
      </c>
      <c r="D9" s="71"/>
      <c r="E9" s="71"/>
      <c r="F9" s="71"/>
      <c r="G9" s="71"/>
      <c r="H9" s="68"/>
    </row>
    <row r="10" spans="1:8" x14ac:dyDescent="0.25">
      <c r="A10" s="68"/>
      <c r="B10" s="71"/>
      <c r="C10" s="71"/>
      <c r="D10" s="71"/>
      <c r="E10" s="71"/>
      <c r="F10" s="71"/>
      <c r="G10" s="71"/>
      <c r="H10" s="68"/>
    </row>
    <row r="11" spans="1:8" x14ac:dyDescent="0.25">
      <c r="A11" s="68"/>
      <c r="B11" s="72" t="s">
        <v>201</v>
      </c>
      <c r="C11" s="71"/>
      <c r="D11" s="71"/>
      <c r="E11" s="71"/>
      <c r="F11" s="71"/>
      <c r="G11" s="71"/>
      <c r="H11" s="68"/>
    </row>
    <row r="12" spans="1:8" x14ac:dyDescent="0.25">
      <c r="A12" s="68"/>
      <c r="B12" s="71" t="s">
        <v>202</v>
      </c>
      <c r="C12" s="71" t="s">
        <v>203</v>
      </c>
      <c r="D12" s="71" t="s">
        <v>204</v>
      </c>
      <c r="E12" s="71" t="s">
        <v>205</v>
      </c>
      <c r="F12" s="71"/>
      <c r="G12" s="71"/>
      <c r="H12" s="68"/>
    </row>
    <row r="13" spans="1:8" ht="30" x14ac:dyDescent="0.25">
      <c r="A13" s="68"/>
      <c r="B13" s="75" t="s">
        <v>206</v>
      </c>
      <c r="C13" s="75" t="s">
        <v>207</v>
      </c>
      <c r="D13" s="75" t="s">
        <v>208</v>
      </c>
      <c r="E13" s="76" t="s">
        <v>209</v>
      </c>
      <c r="F13" s="71"/>
      <c r="G13" s="71"/>
      <c r="H13" s="68"/>
    </row>
    <row r="14" spans="1:8" x14ac:dyDescent="0.25">
      <c r="A14" s="68"/>
      <c r="B14" s="71"/>
      <c r="C14" s="71"/>
      <c r="D14" s="71"/>
      <c r="E14" s="71"/>
      <c r="F14" s="71"/>
      <c r="G14" s="71"/>
      <c r="H14" s="68"/>
    </row>
    <row r="15" spans="1:8" x14ac:dyDescent="0.25">
      <c r="A15" s="68"/>
      <c r="B15" s="72" t="s">
        <v>210</v>
      </c>
      <c r="C15" s="71"/>
      <c r="D15" s="71"/>
      <c r="E15" s="71"/>
      <c r="F15" s="71"/>
      <c r="G15" s="71"/>
      <c r="H15" s="68"/>
    </row>
    <row r="16" spans="1:8" x14ac:dyDescent="0.25">
      <c r="A16" s="68"/>
      <c r="B16" s="71" t="s">
        <v>211</v>
      </c>
      <c r="C16" s="71" t="s">
        <v>212</v>
      </c>
      <c r="D16" s="71" t="s">
        <v>213</v>
      </c>
      <c r="E16" s="71" t="s">
        <v>214</v>
      </c>
      <c r="F16" s="71"/>
      <c r="G16" s="71"/>
      <c r="H16" s="68"/>
    </row>
    <row r="17" spans="1:8" ht="30" x14ac:dyDescent="0.25">
      <c r="A17" s="68"/>
      <c r="B17" s="75" t="s">
        <v>215</v>
      </c>
      <c r="C17" s="75" t="s">
        <v>216</v>
      </c>
      <c r="D17" s="75" t="s">
        <v>217</v>
      </c>
      <c r="E17" s="75" t="s">
        <v>218</v>
      </c>
      <c r="F17" s="71"/>
      <c r="G17" s="71"/>
      <c r="H17" s="68"/>
    </row>
    <row r="18" spans="1:8" x14ac:dyDescent="0.25">
      <c r="A18" s="68"/>
      <c r="B18" s="71"/>
      <c r="C18" s="71"/>
      <c r="D18" s="71"/>
      <c r="E18" s="71"/>
      <c r="F18" s="71"/>
      <c r="G18" s="71"/>
      <c r="H18" s="68"/>
    </row>
    <row r="19" spans="1:8" x14ac:dyDescent="0.25">
      <c r="A19" s="68"/>
      <c r="B19" s="72" t="s">
        <v>219</v>
      </c>
      <c r="C19" s="71"/>
      <c r="D19" s="71"/>
      <c r="E19" s="71"/>
      <c r="F19" s="71"/>
      <c r="G19" s="71"/>
      <c r="H19" s="68"/>
    </row>
    <row r="20" spans="1:8" x14ac:dyDescent="0.25">
      <c r="A20" s="68"/>
      <c r="B20" s="71" t="s">
        <v>220</v>
      </c>
      <c r="C20" s="73" t="s">
        <v>221</v>
      </c>
      <c r="D20" s="71"/>
      <c r="E20" s="71"/>
      <c r="F20" s="71"/>
      <c r="G20" s="71"/>
      <c r="H20" s="68"/>
    </row>
    <row r="21" spans="1:8" x14ac:dyDescent="0.25">
      <c r="A21" s="68"/>
      <c r="B21" s="71" t="s">
        <v>222</v>
      </c>
      <c r="C21" s="73" t="s">
        <v>223</v>
      </c>
      <c r="D21" s="71"/>
      <c r="E21" s="71"/>
      <c r="F21" s="71"/>
      <c r="G21" s="71"/>
      <c r="H21" s="68"/>
    </row>
    <row r="22" spans="1:8" x14ac:dyDescent="0.25">
      <c r="A22" s="68"/>
      <c r="B22" s="71" t="s">
        <v>224</v>
      </c>
      <c r="C22" s="73" t="s">
        <v>221</v>
      </c>
      <c r="D22" s="71"/>
      <c r="E22" s="71"/>
      <c r="F22" s="71"/>
      <c r="G22" s="71"/>
      <c r="H22" s="68"/>
    </row>
    <row r="23" spans="1:8" x14ac:dyDescent="0.25">
      <c r="A23" s="68"/>
      <c r="B23" s="71" t="s">
        <v>225</v>
      </c>
      <c r="C23" s="73" t="s">
        <v>226</v>
      </c>
      <c r="D23" s="71"/>
      <c r="E23" s="71"/>
      <c r="F23" s="71"/>
      <c r="G23" s="71"/>
      <c r="H23" s="68"/>
    </row>
    <row r="24" spans="1:8" x14ac:dyDescent="0.25">
      <c r="A24" s="68"/>
      <c r="B24" s="77"/>
      <c r="C24" s="77"/>
      <c r="D24" s="77"/>
      <c r="E24" s="78"/>
      <c r="F24" s="78"/>
      <c r="G24" s="78"/>
      <c r="H24" s="68"/>
    </row>
    <row r="25" spans="1:8" x14ac:dyDescent="0.25">
      <c r="A25" s="68"/>
      <c r="B25" s="77"/>
      <c r="C25" s="79" t="s">
        <v>227</v>
      </c>
      <c r="D25" s="79"/>
      <c r="E25" s="78"/>
      <c r="F25" s="78"/>
      <c r="G25" s="78"/>
      <c r="H25" s="68"/>
    </row>
    <row r="26" spans="1:8" x14ac:dyDescent="0.25">
      <c r="A26" s="68"/>
      <c r="B26" s="77"/>
      <c r="C26" s="77"/>
      <c r="D26" s="77"/>
      <c r="E26" s="78"/>
      <c r="F26" s="78"/>
      <c r="G26" s="78"/>
      <c r="H26" s="68"/>
    </row>
    <row r="27" spans="1:8" x14ac:dyDescent="0.25">
      <c r="D27" s="80" t="s">
        <v>228</v>
      </c>
    </row>
    <row r="28" spans="1:8" x14ac:dyDescent="0.25">
      <c r="C28" s="198" t="s">
        <v>229</v>
      </c>
      <c r="D28" s="81" t="s">
        <v>230</v>
      </c>
    </row>
    <row r="29" spans="1:8" x14ac:dyDescent="0.25">
      <c r="C29" s="199" t="s">
        <v>231</v>
      </c>
      <c r="D29" s="81" t="s">
        <v>232</v>
      </c>
    </row>
    <row r="30" spans="1:8" x14ac:dyDescent="0.25">
      <c r="C30" s="200" t="s">
        <v>233</v>
      </c>
      <c r="D30" s="81" t="s">
        <v>234</v>
      </c>
    </row>
    <row r="31" spans="1:8" x14ac:dyDescent="0.25">
      <c r="C31" s="201" t="s">
        <v>235</v>
      </c>
      <c r="D31" s="81" t="s">
        <v>236</v>
      </c>
    </row>
    <row r="32" spans="1:8" x14ac:dyDescent="0.25">
      <c r="C32" s="202" t="s">
        <v>237</v>
      </c>
      <c r="D32" s="81" t="s">
        <v>238</v>
      </c>
    </row>
    <row r="33" spans="3:4" x14ac:dyDescent="0.25">
      <c r="C33" s="203" t="s">
        <v>239</v>
      </c>
      <c r="D33" s="81" t="s">
        <v>240</v>
      </c>
    </row>
    <row r="34" spans="3:4" x14ac:dyDescent="0.25">
      <c r="C34" s="204" t="s">
        <v>241</v>
      </c>
      <c r="D34" s="81" t="s">
        <v>242</v>
      </c>
    </row>
    <row r="35" spans="3:4" x14ac:dyDescent="0.25">
      <c r="C35" s="205" t="s">
        <v>243</v>
      </c>
      <c r="D35" s="81" t="s">
        <v>244</v>
      </c>
    </row>
    <row r="36" spans="3:4" x14ac:dyDescent="0.25">
      <c r="C36" s="206" t="s">
        <v>245</v>
      </c>
      <c r="D36" s="81" t="s">
        <v>246</v>
      </c>
    </row>
    <row r="37" spans="3:4" x14ac:dyDescent="0.25">
      <c r="C37" s="207" t="s">
        <v>247</v>
      </c>
    </row>
    <row r="38" spans="3:4" x14ac:dyDescent="0.25">
      <c r="C38" s="208" t="s">
        <v>248</v>
      </c>
    </row>
  </sheetData>
  <dataConsolidate/>
  <mergeCells count="1">
    <mergeCell ref="C1:F1"/>
  </mergeCells>
  <dataValidations count="1">
    <dataValidation type="list" errorStyle="information" allowBlank="1" showInputMessage="1" showErrorMessage="1" error="The data you entered is not in the pick list" prompt="What is the status of this spreadsheet ?" sqref="D8" xr:uid="{00000000-0002-0000-0100-000000000000}">
      <formula1>"draft1, draft2, draft3, final"</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rgb="FF9BBB59"/>
  </sheetPr>
  <dimension ref="A2:D33"/>
  <sheetViews>
    <sheetView topLeftCell="A8" workbookViewId="0">
      <selection activeCell="B25" sqref="B25"/>
    </sheetView>
  </sheetViews>
  <sheetFormatPr defaultRowHeight="15.75" x14ac:dyDescent="0.25"/>
  <cols>
    <col min="1" max="1" width="3.85546875" style="82" customWidth="1"/>
    <col min="2" max="2" width="8.7109375" style="84" bestFit="1" customWidth="1"/>
    <col min="3" max="3" width="22.42578125" style="84" customWidth="1"/>
    <col min="4" max="4" width="64.140625" style="84" customWidth="1"/>
  </cols>
  <sheetData>
    <row r="2" spans="1:4" ht="31.5" x14ac:dyDescent="0.25">
      <c r="B2" s="83" t="s">
        <v>249</v>
      </c>
      <c r="D2" s="85"/>
    </row>
    <row r="3" spans="1:4" ht="26.25" x14ac:dyDescent="0.25">
      <c r="A3" s="86"/>
      <c r="B3" s="87" t="s">
        <v>250</v>
      </c>
      <c r="C3" s="87"/>
      <c r="D3" s="87"/>
    </row>
    <row r="4" spans="1:4" ht="15" x14ac:dyDescent="0.25">
      <c r="A4" s="87"/>
      <c r="B4" s="87"/>
      <c r="C4" s="87"/>
      <c r="D4" s="87"/>
    </row>
    <row r="5" spans="1:4" ht="26.25" x14ac:dyDescent="0.25">
      <c r="A5" s="86"/>
      <c r="B5" s="88" t="s">
        <v>251</v>
      </c>
      <c r="C5" s="89"/>
      <c r="D5" s="89"/>
    </row>
    <row r="6" spans="1:4" x14ac:dyDescent="0.25">
      <c r="B6" s="90" t="s">
        <v>252</v>
      </c>
      <c r="C6" s="90" t="s">
        <v>253</v>
      </c>
      <c r="D6" s="90" t="s">
        <v>254</v>
      </c>
    </row>
    <row r="7" spans="1:4" x14ac:dyDescent="0.25">
      <c r="B7" s="90" t="s">
        <v>255</v>
      </c>
      <c r="C7" s="90" t="s">
        <v>256</v>
      </c>
      <c r="D7" s="90" t="s">
        <v>257</v>
      </c>
    </row>
    <row r="8" spans="1:4" x14ac:dyDescent="0.25">
      <c r="B8" s="90"/>
      <c r="C8" s="90"/>
      <c r="D8" s="90"/>
    </row>
    <row r="9" spans="1:4" x14ac:dyDescent="0.25">
      <c r="B9" s="90"/>
      <c r="C9" s="90"/>
      <c r="D9" s="90"/>
    </row>
    <row r="10" spans="1:4" x14ac:dyDescent="0.25">
      <c r="B10" s="90"/>
      <c r="C10" s="90"/>
      <c r="D10" s="90"/>
    </row>
    <row r="11" spans="1:4" x14ac:dyDescent="0.25">
      <c r="B11" s="90"/>
      <c r="C11" s="90"/>
      <c r="D11" s="90"/>
    </row>
    <row r="12" spans="1:4" x14ac:dyDescent="0.25">
      <c r="B12" s="90"/>
      <c r="C12" s="90"/>
      <c r="D12" s="90"/>
    </row>
    <row r="13" spans="1:4" ht="26.25" x14ac:dyDescent="0.25">
      <c r="A13" s="86"/>
      <c r="B13" s="87"/>
      <c r="C13" s="87"/>
      <c r="D13" s="87"/>
    </row>
    <row r="14" spans="1:4" ht="26.25" x14ac:dyDescent="0.25">
      <c r="A14" s="86"/>
      <c r="B14" s="91" t="s">
        <v>258</v>
      </c>
      <c r="C14" s="92"/>
      <c r="D14" s="92"/>
    </row>
    <row r="15" spans="1:4" ht="25.5" x14ac:dyDescent="0.25">
      <c r="B15" s="93" t="s">
        <v>45</v>
      </c>
      <c r="C15" s="93" t="s">
        <v>259</v>
      </c>
      <c r="D15" s="93" t="s">
        <v>260</v>
      </c>
    </row>
    <row r="16" spans="1:4" x14ac:dyDescent="0.25">
      <c r="B16" s="93" t="s">
        <v>57</v>
      </c>
      <c r="C16" s="93" t="s">
        <v>261</v>
      </c>
      <c r="D16" s="93" t="s">
        <v>262</v>
      </c>
    </row>
    <row r="17" spans="1:4" x14ac:dyDescent="0.25">
      <c r="B17" s="93" t="s">
        <v>33</v>
      </c>
      <c r="C17" s="93" t="s">
        <v>263</v>
      </c>
      <c r="D17" s="93" t="s">
        <v>264</v>
      </c>
    </row>
    <row r="18" spans="1:4" x14ac:dyDescent="0.25">
      <c r="B18" s="93" t="s">
        <v>27</v>
      </c>
      <c r="C18" s="93" t="s">
        <v>265</v>
      </c>
      <c r="D18" s="93" t="s">
        <v>266</v>
      </c>
    </row>
    <row r="19" spans="1:4" ht="25.5" x14ac:dyDescent="0.25">
      <c r="B19" s="93" t="s">
        <v>36</v>
      </c>
      <c r="C19" s="93" t="s">
        <v>267</v>
      </c>
      <c r="D19" s="93" t="s">
        <v>268</v>
      </c>
    </row>
    <row r="20" spans="1:4" ht="26.25" x14ac:dyDescent="0.25">
      <c r="A20" s="86"/>
      <c r="B20" s="87"/>
      <c r="C20" s="87"/>
      <c r="D20" s="87"/>
    </row>
    <row r="21" spans="1:4" ht="26.25" x14ac:dyDescent="0.25">
      <c r="A21" s="86"/>
      <c r="B21" s="94" t="s">
        <v>269</v>
      </c>
      <c r="C21" s="95"/>
      <c r="D21" s="95"/>
    </row>
    <row r="22" spans="1:4" ht="25.5" x14ac:dyDescent="0.25">
      <c r="B22" s="96" t="s">
        <v>53</v>
      </c>
      <c r="C22" s="96" t="s">
        <v>270</v>
      </c>
      <c r="D22" s="96" t="s">
        <v>271</v>
      </c>
    </row>
    <row r="23" spans="1:4" x14ac:dyDescent="0.25">
      <c r="B23" s="96" t="s">
        <v>272</v>
      </c>
      <c r="C23" s="96" t="s">
        <v>273</v>
      </c>
      <c r="D23" s="96" t="s">
        <v>274</v>
      </c>
    </row>
    <row r="24" spans="1:4" x14ac:dyDescent="0.25">
      <c r="B24" s="96" t="s">
        <v>23</v>
      </c>
      <c r="C24" s="96" t="s">
        <v>275</v>
      </c>
      <c r="D24" s="96" t="s">
        <v>276</v>
      </c>
    </row>
    <row r="25" spans="1:4" x14ac:dyDescent="0.25">
      <c r="B25" s="96" t="s">
        <v>277</v>
      </c>
      <c r="C25" s="97" t="s">
        <v>278</v>
      </c>
      <c r="D25" s="96" t="s">
        <v>279</v>
      </c>
    </row>
    <row r="26" spans="1:4" ht="25.5" x14ac:dyDescent="0.25">
      <c r="B26" s="97" t="s">
        <v>280</v>
      </c>
      <c r="C26" s="97" t="s">
        <v>281</v>
      </c>
      <c r="D26" s="96" t="s">
        <v>282</v>
      </c>
    </row>
    <row r="27" spans="1:4" x14ac:dyDescent="0.25">
      <c r="B27" s="97" t="s">
        <v>283</v>
      </c>
      <c r="C27" s="97" t="s">
        <v>284</v>
      </c>
      <c r="D27" s="96" t="s">
        <v>285</v>
      </c>
    </row>
    <row r="28" spans="1:4" x14ac:dyDescent="0.25">
      <c r="B28" s="97" t="s">
        <v>50</v>
      </c>
      <c r="C28" s="97" t="s">
        <v>286</v>
      </c>
      <c r="D28" s="96" t="s">
        <v>287</v>
      </c>
    </row>
    <row r="29" spans="1:4" ht="26.25" x14ac:dyDescent="0.25">
      <c r="A29" s="86"/>
      <c r="B29" s="87"/>
      <c r="C29" s="87"/>
      <c r="D29" s="87"/>
    </row>
    <row r="30" spans="1:4" ht="26.25" x14ac:dyDescent="0.25">
      <c r="A30" s="86"/>
      <c r="B30" s="98" t="s">
        <v>288</v>
      </c>
      <c r="C30" s="99"/>
      <c r="D30" s="99"/>
    </row>
    <row r="31" spans="1:4" ht="25.5" x14ac:dyDescent="0.25">
      <c r="B31" s="100" t="s">
        <v>122</v>
      </c>
      <c r="C31" s="100" t="s">
        <v>289</v>
      </c>
      <c r="D31" s="100" t="s">
        <v>290</v>
      </c>
    </row>
    <row r="32" spans="1:4" x14ac:dyDescent="0.25">
      <c r="B32" s="100" t="s">
        <v>291</v>
      </c>
      <c r="C32" s="100" t="s">
        <v>292</v>
      </c>
      <c r="D32" s="100" t="s">
        <v>293</v>
      </c>
    </row>
    <row r="33" spans="2:4" ht="25.5" x14ac:dyDescent="0.25">
      <c r="B33" s="100" t="s">
        <v>294</v>
      </c>
      <c r="C33" s="100" t="s">
        <v>292</v>
      </c>
      <c r="D33" s="100" t="s">
        <v>295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BBB59"/>
  </sheetPr>
  <dimension ref="A1:G86"/>
  <sheetViews>
    <sheetView workbookViewId="0">
      <selection activeCell="B3" sqref="B3"/>
    </sheetView>
  </sheetViews>
  <sheetFormatPr defaultRowHeight="15" x14ac:dyDescent="0.25"/>
  <cols>
    <col min="1" max="1" width="32.85546875" customWidth="1"/>
    <col min="2" max="2" width="42.5703125" style="1" customWidth="1"/>
    <col min="3" max="3" width="66.7109375" bestFit="1" customWidth="1"/>
    <col min="4" max="4" width="38.85546875" bestFit="1" customWidth="1"/>
    <col min="5" max="5" width="17.5703125" customWidth="1"/>
    <col min="6" max="6" width="18.42578125" customWidth="1"/>
  </cols>
  <sheetData>
    <row r="1" spans="1:7" s="42" customFormat="1" ht="21" x14ac:dyDescent="0.35">
      <c r="A1" s="45" t="s">
        <v>296</v>
      </c>
      <c r="C1" s="32" t="s">
        <v>297</v>
      </c>
      <c r="G1" s="43"/>
    </row>
    <row r="2" spans="1:7" s="55" customFormat="1" ht="21" x14ac:dyDescent="0.35">
      <c r="A2" s="54"/>
      <c r="C2" s="56"/>
      <c r="G2" s="57"/>
    </row>
    <row r="3" spans="1:7" s="55" customFormat="1" ht="96" x14ac:dyDescent="0.35">
      <c r="A3" s="58" t="s">
        <v>298</v>
      </c>
      <c r="C3" s="56"/>
      <c r="G3" s="57"/>
    </row>
    <row r="4" spans="1:7" x14ac:dyDescent="0.25">
      <c r="B4" s="2"/>
      <c r="C4" s="3"/>
      <c r="D4" s="3"/>
      <c r="E4" s="1"/>
      <c r="G4" s="14"/>
    </row>
    <row r="5" spans="1:7" s="44" customFormat="1" ht="18.75" x14ac:dyDescent="0.3">
      <c r="A5" s="46" t="s">
        <v>299</v>
      </c>
      <c r="B5" s="46" t="s">
        <v>300</v>
      </c>
      <c r="C5" s="47" t="s">
        <v>301</v>
      </c>
      <c r="D5" s="47" t="s">
        <v>302</v>
      </c>
      <c r="E5" s="48" t="s">
        <v>303</v>
      </c>
      <c r="F5" s="49" t="s">
        <v>304</v>
      </c>
    </row>
    <row r="6" spans="1:7" ht="60" x14ac:dyDescent="0.25">
      <c r="A6" s="60" t="s">
        <v>305</v>
      </c>
      <c r="B6" s="60" t="s">
        <v>306</v>
      </c>
      <c r="C6" s="60" t="s">
        <v>307</v>
      </c>
      <c r="D6" s="60" t="s">
        <v>308</v>
      </c>
      <c r="E6" s="63" t="s">
        <v>309</v>
      </c>
      <c r="F6" s="63" t="s">
        <v>310</v>
      </c>
    </row>
    <row r="7" spans="1:7" x14ac:dyDescent="0.25">
      <c r="A7" s="59" t="s">
        <v>311</v>
      </c>
      <c r="B7" s="59" t="s">
        <v>312</v>
      </c>
      <c r="C7" s="61" t="s">
        <v>313</v>
      </c>
      <c r="D7" s="61"/>
      <c r="E7" s="62"/>
      <c r="F7" s="64"/>
    </row>
    <row r="8" spans="1:7" x14ac:dyDescent="0.25">
      <c r="A8" s="50" t="s">
        <v>311</v>
      </c>
      <c r="B8" s="50" t="s">
        <v>314</v>
      </c>
      <c r="C8" s="51" t="s">
        <v>315</v>
      </c>
      <c r="D8" s="51"/>
      <c r="E8" s="52"/>
      <c r="F8" s="53"/>
    </row>
    <row r="9" spans="1:7" ht="30" x14ac:dyDescent="0.25">
      <c r="A9" s="50" t="s">
        <v>311</v>
      </c>
      <c r="B9" s="50" t="s">
        <v>316</v>
      </c>
      <c r="C9" s="50" t="s">
        <v>317</v>
      </c>
      <c r="D9" s="51"/>
      <c r="E9" s="52"/>
      <c r="F9" s="53"/>
    </row>
    <row r="10" spans="1:7" x14ac:dyDescent="0.25">
      <c r="A10" s="50" t="s">
        <v>311</v>
      </c>
      <c r="B10" s="50" t="s">
        <v>318</v>
      </c>
      <c r="C10" s="51" t="s">
        <v>319</v>
      </c>
      <c r="D10" s="51"/>
      <c r="E10" s="52"/>
      <c r="F10" s="53"/>
    </row>
    <row r="11" spans="1:7" x14ac:dyDescent="0.25">
      <c r="A11" s="50" t="s">
        <v>311</v>
      </c>
      <c r="B11" s="50" t="s">
        <v>320</v>
      </c>
      <c r="C11" s="51" t="s">
        <v>321</v>
      </c>
      <c r="D11" s="51"/>
      <c r="E11" s="52"/>
      <c r="F11" s="53"/>
    </row>
    <row r="12" spans="1:7" x14ac:dyDescent="0.25">
      <c r="A12" s="50" t="s">
        <v>311</v>
      </c>
      <c r="B12" s="50" t="s">
        <v>322</v>
      </c>
      <c r="C12" s="51" t="s">
        <v>323</v>
      </c>
      <c r="D12" s="51"/>
      <c r="E12" s="52"/>
      <c r="F12" s="53"/>
    </row>
    <row r="13" spans="1:7" x14ac:dyDescent="0.25">
      <c r="A13" s="50" t="s">
        <v>311</v>
      </c>
      <c r="B13" s="50" t="s">
        <v>324</v>
      </c>
      <c r="C13" s="51" t="s">
        <v>325</v>
      </c>
      <c r="D13" s="51"/>
      <c r="E13" s="52"/>
      <c r="F13" s="53"/>
    </row>
    <row r="14" spans="1:7" x14ac:dyDescent="0.25">
      <c r="A14" s="50" t="s">
        <v>311</v>
      </c>
      <c r="B14" s="50" t="s">
        <v>326</v>
      </c>
      <c r="C14" s="51" t="s">
        <v>327</v>
      </c>
      <c r="D14" s="51"/>
      <c r="E14" s="52"/>
      <c r="F14" s="53"/>
    </row>
    <row r="15" spans="1:7" ht="30" x14ac:dyDescent="0.25">
      <c r="A15" s="50" t="s">
        <v>311</v>
      </c>
      <c r="B15" s="50" t="s">
        <v>328</v>
      </c>
      <c r="C15" s="50" t="s">
        <v>329</v>
      </c>
      <c r="D15" s="51"/>
      <c r="E15" s="52"/>
      <c r="F15" s="53"/>
    </row>
    <row r="16" spans="1:7" x14ac:dyDescent="0.25">
      <c r="A16" s="50" t="s">
        <v>311</v>
      </c>
      <c r="B16" s="50" t="s">
        <v>330</v>
      </c>
      <c r="C16" s="51" t="s">
        <v>331</v>
      </c>
      <c r="D16" s="51"/>
      <c r="E16" s="52"/>
      <c r="F16" s="53"/>
    </row>
    <row r="17" spans="1:6" x14ac:dyDescent="0.25">
      <c r="A17" s="50" t="s">
        <v>311</v>
      </c>
      <c r="B17" s="50" t="s">
        <v>332</v>
      </c>
      <c r="C17" s="51" t="s">
        <v>331</v>
      </c>
      <c r="D17" s="51"/>
      <c r="E17" s="52"/>
      <c r="F17" s="53"/>
    </row>
    <row r="18" spans="1:6" x14ac:dyDescent="0.25">
      <c r="A18" s="50" t="s">
        <v>311</v>
      </c>
      <c r="B18" s="50" t="s">
        <v>333</v>
      </c>
      <c r="C18" s="51" t="s">
        <v>331</v>
      </c>
      <c r="D18" s="51"/>
      <c r="E18" s="52"/>
      <c r="F18" s="53"/>
    </row>
    <row r="19" spans="1:6" ht="30" x14ac:dyDescent="0.25">
      <c r="A19" s="50" t="s">
        <v>334</v>
      </c>
      <c r="B19" s="50" t="s">
        <v>335</v>
      </c>
      <c r="C19" s="51" t="s">
        <v>336</v>
      </c>
      <c r="D19" s="51"/>
      <c r="E19" s="52"/>
      <c r="F19" s="53"/>
    </row>
    <row r="20" spans="1:6" ht="30" x14ac:dyDescent="0.25">
      <c r="A20" s="50" t="s">
        <v>334</v>
      </c>
      <c r="B20" s="50" t="s">
        <v>337</v>
      </c>
      <c r="C20" s="50" t="s">
        <v>338</v>
      </c>
      <c r="D20" s="51"/>
      <c r="E20" s="52"/>
      <c r="F20" s="53"/>
    </row>
    <row r="21" spans="1:6" ht="30" x14ac:dyDescent="0.25">
      <c r="A21" s="50" t="s">
        <v>339</v>
      </c>
      <c r="B21" s="50" t="s">
        <v>340</v>
      </c>
      <c r="C21" s="50" t="s">
        <v>341</v>
      </c>
      <c r="D21" s="51"/>
      <c r="E21" s="52"/>
      <c r="F21" s="53"/>
    </row>
    <row r="22" spans="1:6" ht="30" x14ac:dyDescent="0.25">
      <c r="A22" s="50" t="s">
        <v>342</v>
      </c>
      <c r="B22" s="50" t="s">
        <v>343</v>
      </c>
      <c r="C22" s="50" t="s">
        <v>344</v>
      </c>
      <c r="D22" s="51"/>
      <c r="E22" s="52"/>
      <c r="F22" s="53"/>
    </row>
    <row r="23" spans="1:6" ht="30" x14ac:dyDescent="0.25">
      <c r="A23" s="50" t="s">
        <v>345</v>
      </c>
      <c r="B23" s="50" t="s">
        <v>346</v>
      </c>
      <c r="C23" s="50" t="s">
        <v>347</v>
      </c>
      <c r="D23" s="51"/>
      <c r="E23" s="52"/>
      <c r="F23" s="53"/>
    </row>
    <row r="24" spans="1:6" ht="30" x14ac:dyDescent="0.25">
      <c r="A24" s="50" t="s">
        <v>348</v>
      </c>
      <c r="B24" s="50" t="s">
        <v>349</v>
      </c>
      <c r="C24" s="50" t="s">
        <v>350</v>
      </c>
      <c r="D24" s="51"/>
      <c r="E24" s="52"/>
      <c r="F24" s="53"/>
    </row>
    <row r="25" spans="1:6" x14ac:dyDescent="0.25">
      <c r="A25" s="50" t="s">
        <v>267</v>
      </c>
      <c r="B25" s="50" t="s">
        <v>351</v>
      </c>
      <c r="C25" s="51" t="s">
        <v>352</v>
      </c>
      <c r="D25" s="51"/>
      <c r="E25" s="52"/>
      <c r="F25" s="53"/>
    </row>
    <row r="26" spans="1:6" x14ac:dyDescent="0.25">
      <c r="A26" s="50" t="s">
        <v>263</v>
      </c>
      <c r="B26" s="50" t="s">
        <v>13</v>
      </c>
      <c r="C26" s="51" t="s">
        <v>353</v>
      </c>
      <c r="D26" s="51"/>
      <c r="E26" s="52"/>
      <c r="F26" s="53"/>
    </row>
    <row r="27" spans="1:6" ht="30" x14ac:dyDescent="0.25">
      <c r="A27" s="50" t="s">
        <v>354</v>
      </c>
      <c r="B27" s="50" t="s">
        <v>355</v>
      </c>
      <c r="C27" s="50" t="s">
        <v>356</v>
      </c>
      <c r="D27" s="51"/>
      <c r="E27" s="52"/>
      <c r="F27" s="53"/>
    </row>
    <row r="28" spans="1:6" x14ac:dyDescent="0.25">
      <c r="A28" s="50" t="s">
        <v>357</v>
      </c>
      <c r="B28" s="50" t="s">
        <v>358</v>
      </c>
      <c r="C28" s="51" t="s">
        <v>359</v>
      </c>
      <c r="D28" s="51"/>
      <c r="E28" s="52"/>
      <c r="F28" s="53"/>
    </row>
    <row r="29" spans="1:6" x14ac:dyDescent="0.25">
      <c r="A29" s="50" t="s">
        <v>311</v>
      </c>
      <c r="B29" s="50" t="s">
        <v>360</v>
      </c>
      <c r="C29" s="51" t="s">
        <v>361</v>
      </c>
      <c r="D29" s="51"/>
      <c r="E29" s="52"/>
      <c r="F29" s="53"/>
    </row>
    <row r="30" spans="1:6" x14ac:dyDescent="0.25">
      <c r="A30" s="50" t="s">
        <v>362</v>
      </c>
      <c r="B30" s="50" t="s">
        <v>363</v>
      </c>
      <c r="C30" s="51" t="s">
        <v>364</v>
      </c>
      <c r="D30" s="51"/>
      <c r="E30" s="52"/>
      <c r="F30" s="53"/>
    </row>
    <row r="31" spans="1:6" x14ac:dyDescent="0.25">
      <c r="A31" s="50" t="s">
        <v>263</v>
      </c>
      <c r="B31" s="50" t="s">
        <v>365</v>
      </c>
      <c r="C31" s="51" t="s">
        <v>366</v>
      </c>
      <c r="D31" s="51"/>
      <c r="E31" s="52"/>
      <c r="F31" s="53"/>
    </row>
    <row r="32" spans="1:6" x14ac:dyDescent="0.25">
      <c r="A32" s="50" t="s">
        <v>263</v>
      </c>
      <c r="B32" s="50" t="s">
        <v>367</v>
      </c>
      <c r="C32" s="51" t="s">
        <v>368</v>
      </c>
      <c r="D32" s="51"/>
      <c r="E32" s="52"/>
      <c r="F32" s="53"/>
    </row>
    <row r="33" spans="1:6" x14ac:dyDescent="0.25">
      <c r="A33" s="50" t="s">
        <v>311</v>
      </c>
      <c r="B33" s="50" t="s">
        <v>369</v>
      </c>
      <c r="C33" s="51" t="s">
        <v>370</v>
      </c>
      <c r="D33" s="51"/>
      <c r="E33" s="52"/>
      <c r="F33" s="53"/>
    </row>
    <row r="34" spans="1:6" x14ac:dyDescent="0.25">
      <c r="B34" s="2"/>
      <c r="C34" s="3"/>
      <c r="D34" s="3"/>
      <c r="E34" s="1"/>
    </row>
    <row r="35" spans="1:6" x14ac:dyDescent="0.25">
      <c r="B35" s="2"/>
      <c r="C35" s="3"/>
      <c r="D35" s="3"/>
      <c r="E35" s="1"/>
    </row>
    <row r="36" spans="1:6" x14ac:dyDescent="0.25">
      <c r="B36" s="2"/>
      <c r="C36" s="3"/>
      <c r="D36" s="3"/>
      <c r="E36" s="1"/>
    </row>
    <row r="37" spans="1:6" x14ac:dyDescent="0.25">
      <c r="B37" s="2"/>
      <c r="C37" s="3"/>
      <c r="D37" s="3"/>
      <c r="E37" s="1"/>
    </row>
    <row r="38" spans="1:6" x14ac:dyDescent="0.25">
      <c r="B38" s="2"/>
      <c r="C38" s="3"/>
      <c r="D38" s="3"/>
      <c r="E38" s="1"/>
    </row>
    <row r="39" spans="1:6" x14ac:dyDescent="0.25">
      <c r="B39" s="2"/>
      <c r="C39" s="3"/>
      <c r="D39" s="3"/>
      <c r="E39" s="1"/>
    </row>
    <row r="40" spans="1:6" x14ac:dyDescent="0.25">
      <c r="B40" s="2"/>
      <c r="C40" s="3"/>
      <c r="D40" s="3"/>
      <c r="E40" s="1"/>
    </row>
    <row r="41" spans="1:6" x14ac:dyDescent="0.25">
      <c r="B41" s="2"/>
      <c r="C41" s="3"/>
      <c r="D41" s="3"/>
      <c r="E41" s="1"/>
    </row>
    <row r="42" spans="1:6" x14ac:dyDescent="0.25">
      <c r="B42" s="2"/>
      <c r="C42" s="3"/>
      <c r="D42" s="3"/>
      <c r="E42" s="1"/>
    </row>
    <row r="43" spans="1:6" x14ac:dyDescent="0.25">
      <c r="B43" s="2"/>
      <c r="C43" s="3"/>
      <c r="D43" s="3"/>
      <c r="E43" s="1"/>
    </row>
    <row r="44" spans="1:6" x14ac:dyDescent="0.25">
      <c r="B44" s="2"/>
      <c r="C44" s="3"/>
      <c r="D44" s="3"/>
      <c r="E44" s="1"/>
    </row>
    <row r="45" spans="1:6" x14ac:dyDescent="0.25">
      <c r="B45" s="2"/>
      <c r="C45" s="3"/>
      <c r="D45" s="3"/>
      <c r="E45" s="1"/>
    </row>
    <row r="46" spans="1:6" x14ac:dyDescent="0.25">
      <c r="B46" s="2"/>
      <c r="C46" s="3"/>
      <c r="D46" s="3"/>
      <c r="E46" s="1"/>
    </row>
    <row r="47" spans="1:6" x14ac:dyDescent="0.25">
      <c r="B47" s="2"/>
      <c r="C47" s="3"/>
      <c r="D47" s="3"/>
      <c r="E47" s="1"/>
    </row>
    <row r="48" spans="1:6" x14ac:dyDescent="0.25">
      <c r="B48" s="2"/>
      <c r="C48" s="3"/>
      <c r="D48" s="3"/>
      <c r="E48" s="1"/>
    </row>
    <row r="49" spans="2:5" x14ac:dyDescent="0.25">
      <c r="B49" s="2"/>
      <c r="C49" s="3"/>
      <c r="D49" s="3"/>
      <c r="E49" s="1"/>
    </row>
    <row r="50" spans="2:5" x14ac:dyDescent="0.25">
      <c r="B50" s="2"/>
      <c r="C50" s="3"/>
      <c r="D50" s="3"/>
      <c r="E50" s="1"/>
    </row>
    <row r="51" spans="2:5" x14ac:dyDescent="0.25">
      <c r="B51" s="2"/>
      <c r="C51" s="3"/>
      <c r="D51" s="3"/>
      <c r="E51" s="1"/>
    </row>
    <row r="52" spans="2:5" x14ac:dyDescent="0.25">
      <c r="B52" s="2"/>
      <c r="C52" s="3"/>
      <c r="D52" s="3"/>
      <c r="E52" s="1"/>
    </row>
    <row r="53" spans="2:5" x14ac:dyDescent="0.25">
      <c r="B53" s="2"/>
      <c r="C53" s="3"/>
      <c r="D53" s="3"/>
      <c r="E53" s="1"/>
    </row>
    <row r="54" spans="2:5" x14ac:dyDescent="0.25">
      <c r="B54" s="2"/>
      <c r="C54" s="3"/>
      <c r="D54" s="3"/>
      <c r="E54" s="1"/>
    </row>
    <row r="55" spans="2:5" x14ac:dyDescent="0.25">
      <c r="B55" s="2"/>
      <c r="C55" s="3"/>
      <c r="D55" s="3"/>
      <c r="E55" s="1"/>
    </row>
    <row r="56" spans="2:5" x14ac:dyDescent="0.25">
      <c r="B56" s="2"/>
      <c r="C56" s="3"/>
      <c r="D56" s="3"/>
      <c r="E56" s="1"/>
    </row>
    <row r="57" spans="2:5" x14ac:dyDescent="0.25">
      <c r="B57" s="2"/>
      <c r="C57" s="3"/>
      <c r="D57" s="3"/>
      <c r="E57" s="1"/>
    </row>
    <row r="58" spans="2:5" x14ac:dyDescent="0.25">
      <c r="B58" s="2"/>
      <c r="C58" s="3"/>
      <c r="D58" s="3"/>
      <c r="E58" s="1"/>
    </row>
    <row r="59" spans="2:5" x14ac:dyDescent="0.25">
      <c r="B59" s="2"/>
      <c r="C59" s="3"/>
      <c r="D59" s="3"/>
      <c r="E59" s="1"/>
    </row>
    <row r="60" spans="2:5" x14ac:dyDescent="0.25">
      <c r="B60" s="2"/>
      <c r="C60" s="3"/>
      <c r="D60" s="3"/>
      <c r="E60" s="1"/>
    </row>
    <row r="61" spans="2:5" x14ac:dyDescent="0.25">
      <c r="B61" s="2"/>
      <c r="C61" s="3"/>
      <c r="D61" s="3"/>
      <c r="E61" s="1"/>
    </row>
    <row r="62" spans="2:5" x14ac:dyDescent="0.25">
      <c r="B62" s="2"/>
      <c r="C62" s="3"/>
      <c r="D62" s="3"/>
      <c r="E62" s="1"/>
    </row>
    <row r="63" spans="2:5" x14ac:dyDescent="0.25">
      <c r="B63" s="2"/>
      <c r="C63" s="3"/>
      <c r="D63" s="3"/>
      <c r="E63" s="1"/>
    </row>
    <row r="64" spans="2:5" x14ac:dyDescent="0.25">
      <c r="B64" s="2"/>
      <c r="C64" s="3"/>
      <c r="D64" s="3"/>
      <c r="E64" s="1"/>
    </row>
    <row r="65" spans="2:5" x14ac:dyDescent="0.25">
      <c r="B65" s="2"/>
      <c r="C65" s="3"/>
      <c r="D65" s="3"/>
      <c r="E65" s="1"/>
    </row>
    <row r="66" spans="2:5" x14ac:dyDescent="0.25">
      <c r="B66" s="2"/>
      <c r="C66" s="3"/>
      <c r="D66" s="3"/>
      <c r="E66" s="1"/>
    </row>
    <row r="67" spans="2:5" x14ac:dyDescent="0.25">
      <c r="B67" s="2"/>
      <c r="C67" s="3"/>
      <c r="D67" s="3"/>
      <c r="E67" s="1"/>
    </row>
    <row r="68" spans="2:5" x14ac:dyDescent="0.25">
      <c r="B68" s="2"/>
      <c r="C68" s="3"/>
      <c r="D68" s="3"/>
      <c r="E68" s="1"/>
    </row>
    <row r="69" spans="2:5" x14ac:dyDescent="0.25">
      <c r="B69" s="2"/>
      <c r="C69" s="3"/>
      <c r="D69" s="3"/>
      <c r="E69" s="1"/>
    </row>
    <row r="70" spans="2:5" x14ac:dyDescent="0.25">
      <c r="B70" s="2"/>
      <c r="C70" s="3"/>
      <c r="D70" s="3"/>
      <c r="E70" s="1"/>
    </row>
    <row r="71" spans="2:5" x14ac:dyDescent="0.25">
      <c r="B71" s="2"/>
      <c r="C71" s="3"/>
      <c r="D71" s="3"/>
      <c r="E71" s="1"/>
    </row>
    <row r="72" spans="2:5" x14ac:dyDescent="0.25">
      <c r="B72" s="2"/>
      <c r="C72" s="3"/>
      <c r="D72" s="3"/>
      <c r="E72" s="1"/>
    </row>
    <row r="73" spans="2:5" x14ac:dyDescent="0.25">
      <c r="B73" s="2"/>
      <c r="C73" s="3"/>
      <c r="D73" s="3"/>
      <c r="E73" s="1"/>
    </row>
    <row r="74" spans="2:5" x14ac:dyDescent="0.25">
      <c r="B74" s="2"/>
      <c r="C74" s="3"/>
      <c r="D74" s="3"/>
      <c r="E74" s="1"/>
    </row>
    <row r="75" spans="2:5" x14ac:dyDescent="0.25">
      <c r="B75" s="2"/>
      <c r="C75" s="3"/>
      <c r="D75" s="3"/>
      <c r="E75" s="1"/>
    </row>
    <row r="76" spans="2:5" x14ac:dyDescent="0.25">
      <c r="B76" s="2"/>
      <c r="C76" s="3"/>
      <c r="D76" s="3"/>
      <c r="E76" s="1"/>
    </row>
    <row r="77" spans="2:5" x14ac:dyDescent="0.25">
      <c r="B77" s="2"/>
      <c r="C77" s="3"/>
      <c r="D77" s="3"/>
      <c r="E77" s="1"/>
    </row>
    <row r="78" spans="2:5" x14ac:dyDescent="0.25">
      <c r="B78" s="2"/>
      <c r="C78" s="3"/>
      <c r="D78" s="3"/>
      <c r="E78" s="1"/>
    </row>
    <row r="79" spans="2:5" x14ac:dyDescent="0.25">
      <c r="B79" s="2"/>
      <c r="C79" s="3"/>
      <c r="D79" s="3"/>
      <c r="E79" s="1"/>
    </row>
    <row r="80" spans="2:5" x14ac:dyDescent="0.25">
      <c r="B80" s="2"/>
      <c r="C80" s="3"/>
      <c r="D80" s="3"/>
      <c r="E80" s="1"/>
    </row>
    <row r="81" spans="2:5" x14ac:dyDescent="0.25">
      <c r="B81" s="2"/>
      <c r="C81" s="3"/>
      <c r="D81" s="3"/>
      <c r="E81" s="1"/>
    </row>
    <row r="82" spans="2:5" x14ac:dyDescent="0.25">
      <c r="B82" s="2"/>
      <c r="C82" s="3"/>
      <c r="D82" s="3"/>
      <c r="E82" s="1"/>
    </row>
    <row r="83" spans="2:5" x14ac:dyDescent="0.25">
      <c r="B83" s="2"/>
      <c r="C83" s="3"/>
      <c r="D83" s="3"/>
      <c r="E83" s="1"/>
    </row>
    <row r="84" spans="2:5" x14ac:dyDescent="0.25">
      <c r="B84" s="2"/>
      <c r="C84" s="3"/>
      <c r="D84" s="3"/>
      <c r="E84" s="1"/>
    </row>
    <row r="85" spans="2:5" x14ac:dyDescent="0.25">
      <c r="B85" s="2"/>
      <c r="C85" s="3"/>
      <c r="D85" s="3"/>
      <c r="E85" s="1"/>
    </row>
    <row r="86" spans="2:5" x14ac:dyDescent="0.25">
      <c r="B86" s="2"/>
      <c r="C86" s="3"/>
      <c r="D86" s="3"/>
      <c r="E86" s="1"/>
    </row>
  </sheetData>
  <autoFilter ref="A5:F5" xr:uid="{00000000-0009-0000-0000-000003000000}"/>
  <sortState xmlns:xlrd2="http://schemas.microsoft.com/office/spreadsheetml/2017/richdata2" ref="A6:F25">
    <sortCondition ref="A7"/>
  </sortState>
  <dataValidations count="1">
    <dataValidation type="list" allowBlank="1" showInputMessage="1" showErrorMessage="1" sqref="A8:A33" xr:uid="{00000000-0002-0000-0300-000000000000}">
      <formula1>"Transparency, Consistency, Completeness, Comparability, Accuracy"</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0">
    <tabColor rgb="FF9BBB59"/>
  </sheetPr>
  <dimension ref="A1:D3"/>
  <sheetViews>
    <sheetView workbookViewId="0">
      <selection activeCell="D17" sqref="D17"/>
    </sheetView>
  </sheetViews>
  <sheetFormatPr defaultRowHeight="15" x14ac:dyDescent="0.25"/>
  <cols>
    <col min="1" max="1" width="8.85546875" customWidth="1"/>
    <col min="2" max="2" width="11.42578125" customWidth="1"/>
    <col min="3" max="3" width="18.140625" customWidth="1"/>
    <col min="4" max="4" width="87.5703125" customWidth="1"/>
  </cols>
  <sheetData>
    <row r="1" spans="1:4" x14ac:dyDescent="0.25">
      <c r="A1" s="101" t="s">
        <v>371</v>
      </c>
      <c r="B1" s="101" t="s">
        <v>205</v>
      </c>
      <c r="C1" s="101" t="s">
        <v>372</v>
      </c>
      <c r="D1" s="101" t="s">
        <v>373</v>
      </c>
    </row>
    <row r="2" spans="1:4" x14ac:dyDescent="0.25">
      <c r="A2" s="25">
        <v>1</v>
      </c>
      <c r="B2" t="s">
        <v>374</v>
      </c>
      <c r="C2" t="s">
        <v>375</v>
      </c>
      <c r="D2" s="1" t="s">
        <v>376</v>
      </c>
    </row>
    <row r="3" spans="1:4" x14ac:dyDescent="0.25">
      <c r="A3" t="s">
        <v>377</v>
      </c>
      <c r="B3" t="s">
        <v>378</v>
      </c>
      <c r="C3" t="s">
        <v>375</v>
      </c>
      <c r="D3" t="s">
        <v>379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BBB59"/>
  </sheetPr>
  <dimension ref="A1:I29"/>
  <sheetViews>
    <sheetView workbookViewId="0"/>
  </sheetViews>
  <sheetFormatPr defaultRowHeight="15" x14ac:dyDescent="0.25"/>
  <cols>
    <col min="2" max="2" width="23.85546875" customWidth="1"/>
    <col min="3" max="3" width="142" customWidth="1"/>
    <col min="4" max="6" width="20.7109375" customWidth="1"/>
    <col min="7" max="7" width="38.140625" customWidth="1"/>
    <col min="8" max="8" width="29" customWidth="1"/>
    <col min="9" max="9" width="36.140625" customWidth="1"/>
  </cols>
  <sheetData>
    <row r="1" spans="1:9" ht="30.75" thickBot="1" x14ac:dyDescent="0.3">
      <c r="A1" s="177" t="s">
        <v>380</v>
      </c>
      <c r="B1" s="177" t="s">
        <v>381</v>
      </c>
      <c r="C1" s="177" t="s">
        <v>373</v>
      </c>
      <c r="D1" s="177" t="s">
        <v>382</v>
      </c>
      <c r="E1" s="177" t="s">
        <v>383</v>
      </c>
      <c r="F1" s="177" t="s">
        <v>384</v>
      </c>
      <c r="G1" s="177" t="s">
        <v>385</v>
      </c>
      <c r="H1" s="177" t="s">
        <v>386</v>
      </c>
      <c r="I1" s="177" t="s">
        <v>387</v>
      </c>
    </row>
    <row r="2" spans="1:9" ht="22.5" customHeight="1" thickTop="1" thickBot="1" x14ac:dyDescent="0.3">
      <c r="B2" s="246" t="s">
        <v>388</v>
      </c>
      <c r="C2" s="246"/>
      <c r="D2" s="246"/>
      <c r="E2" s="246"/>
      <c r="F2" s="246"/>
      <c r="G2" s="246"/>
      <c r="H2" s="246"/>
      <c r="I2" s="246"/>
    </row>
    <row r="3" spans="1:9" ht="24" customHeight="1" x14ac:dyDescent="0.35">
      <c r="A3" s="178"/>
      <c r="B3" s="179" t="s">
        <v>389</v>
      </c>
      <c r="C3" s="178"/>
      <c r="D3" s="178"/>
      <c r="E3" s="178"/>
      <c r="F3" s="178"/>
      <c r="G3" s="178"/>
      <c r="H3" s="178"/>
      <c r="I3" s="178"/>
    </row>
    <row r="4" spans="1:9" ht="105" x14ac:dyDescent="0.25">
      <c r="B4" s="180" t="s">
        <v>390</v>
      </c>
      <c r="C4" s="181" t="s">
        <v>391</v>
      </c>
      <c r="D4" s="1" t="s">
        <v>392</v>
      </c>
      <c r="E4" s="1" t="s">
        <v>393</v>
      </c>
      <c r="F4" s="1" t="s">
        <v>394</v>
      </c>
      <c r="G4" s="1" t="s">
        <v>395</v>
      </c>
      <c r="H4" t="s">
        <v>303</v>
      </c>
    </row>
    <row r="5" spans="1:9" ht="75" x14ac:dyDescent="0.25">
      <c r="B5" s="180" t="s">
        <v>390</v>
      </c>
      <c r="C5" s="181" t="s">
        <v>396</v>
      </c>
      <c r="D5" s="1" t="s">
        <v>397</v>
      </c>
      <c r="E5" s="1" t="s">
        <v>398</v>
      </c>
      <c r="F5" s="1" t="s">
        <v>399</v>
      </c>
      <c r="H5" t="s">
        <v>400</v>
      </c>
    </row>
    <row r="6" spans="1:9" ht="128.25" x14ac:dyDescent="0.25">
      <c r="B6" s="180" t="s">
        <v>401</v>
      </c>
      <c r="C6" s="181" t="s">
        <v>402</v>
      </c>
      <c r="D6" s="1" t="s">
        <v>403</v>
      </c>
      <c r="E6" s="1" t="s">
        <v>404</v>
      </c>
      <c r="F6" s="1" t="s">
        <v>399</v>
      </c>
      <c r="G6" s="1" t="s">
        <v>405</v>
      </c>
      <c r="H6" t="s">
        <v>406</v>
      </c>
    </row>
    <row r="7" spans="1:9" ht="77.25" x14ac:dyDescent="0.25">
      <c r="B7" s="180" t="s">
        <v>401</v>
      </c>
      <c r="C7" s="181" t="s">
        <v>407</v>
      </c>
      <c r="D7" s="1" t="s">
        <v>408</v>
      </c>
      <c r="E7" s="1" t="s">
        <v>409</v>
      </c>
      <c r="F7" s="1" t="s">
        <v>410</v>
      </c>
      <c r="G7" s="1" t="s">
        <v>411</v>
      </c>
      <c r="H7" t="s">
        <v>400</v>
      </c>
    </row>
    <row r="8" spans="1:9" ht="64.5" x14ac:dyDescent="0.25">
      <c r="B8" s="180" t="s">
        <v>401</v>
      </c>
      <c r="C8" s="181" t="s">
        <v>412</v>
      </c>
      <c r="D8" s="1" t="s">
        <v>413</v>
      </c>
      <c r="E8" s="1" t="s">
        <v>263</v>
      </c>
      <c r="F8" s="1" t="s">
        <v>399</v>
      </c>
      <c r="H8" t="s">
        <v>400</v>
      </c>
    </row>
    <row r="9" spans="1:9" ht="30" x14ac:dyDescent="0.25">
      <c r="B9" s="180" t="s">
        <v>401</v>
      </c>
      <c r="C9" s="181" t="s">
        <v>414</v>
      </c>
      <c r="D9" s="1" t="s">
        <v>415</v>
      </c>
      <c r="E9" s="1" t="s">
        <v>416</v>
      </c>
      <c r="F9" s="1" t="s">
        <v>399</v>
      </c>
      <c r="H9" t="s">
        <v>406</v>
      </c>
    </row>
    <row r="10" spans="1:9" ht="39" x14ac:dyDescent="0.25">
      <c r="B10" s="180" t="s">
        <v>401</v>
      </c>
      <c r="C10" s="181" t="s">
        <v>417</v>
      </c>
      <c r="D10" s="1" t="s">
        <v>418</v>
      </c>
      <c r="E10" s="1" t="s">
        <v>416</v>
      </c>
      <c r="F10" s="1" t="s">
        <v>399</v>
      </c>
      <c r="H10" t="s">
        <v>400</v>
      </c>
    </row>
    <row r="11" spans="1:9" ht="51.75" x14ac:dyDescent="0.25">
      <c r="B11" s="180" t="s">
        <v>401</v>
      </c>
      <c r="C11" s="181" t="s">
        <v>419</v>
      </c>
      <c r="D11" s="1" t="s">
        <v>420</v>
      </c>
      <c r="E11" s="1" t="s">
        <v>263</v>
      </c>
      <c r="F11" s="1" t="s">
        <v>399</v>
      </c>
      <c r="H11" t="s">
        <v>406</v>
      </c>
    </row>
    <row r="12" spans="1:9" ht="77.25" x14ac:dyDescent="0.25">
      <c r="B12" s="180" t="s">
        <v>401</v>
      </c>
      <c r="C12" s="181" t="s">
        <v>421</v>
      </c>
      <c r="D12" s="1" t="s">
        <v>422</v>
      </c>
      <c r="E12" s="1" t="s">
        <v>263</v>
      </c>
      <c r="F12" s="1" t="s">
        <v>399</v>
      </c>
      <c r="G12" s="1" t="s">
        <v>423</v>
      </c>
      <c r="H12" t="s">
        <v>400</v>
      </c>
    </row>
    <row r="13" spans="1:9" ht="39" x14ac:dyDescent="0.25">
      <c r="B13" s="180" t="s">
        <v>401</v>
      </c>
      <c r="C13" s="181" t="s">
        <v>424</v>
      </c>
      <c r="D13" s="1" t="s">
        <v>425</v>
      </c>
      <c r="E13" s="1" t="s">
        <v>426</v>
      </c>
      <c r="F13" s="1" t="s">
        <v>399</v>
      </c>
      <c r="G13" s="1" t="s">
        <v>427</v>
      </c>
      <c r="H13" t="s">
        <v>303</v>
      </c>
    </row>
    <row r="14" spans="1:9" ht="75" x14ac:dyDescent="0.25">
      <c r="B14" s="180" t="s">
        <v>401</v>
      </c>
      <c r="C14" s="181" t="s">
        <v>428</v>
      </c>
      <c r="D14" s="1" t="s">
        <v>429</v>
      </c>
      <c r="E14" s="1" t="s">
        <v>263</v>
      </c>
      <c r="F14" s="1" t="s">
        <v>399</v>
      </c>
      <c r="G14" s="1" t="s">
        <v>430</v>
      </c>
      <c r="H14" t="s">
        <v>406</v>
      </c>
    </row>
    <row r="15" spans="1:9" ht="51.75" x14ac:dyDescent="0.25">
      <c r="B15" s="180" t="s">
        <v>401</v>
      </c>
      <c r="C15" s="181" t="s">
        <v>431</v>
      </c>
      <c r="D15" s="1" t="s">
        <v>432</v>
      </c>
      <c r="E15" s="1" t="s">
        <v>433</v>
      </c>
      <c r="F15" s="1" t="s">
        <v>394</v>
      </c>
      <c r="G15" s="1" t="s">
        <v>434</v>
      </c>
      <c r="H15" t="s">
        <v>406</v>
      </c>
    </row>
    <row r="16" spans="1:9" ht="128.25" x14ac:dyDescent="0.25">
      <c r="B16" s="180" t="s">
        <v>401</v>
      </c>
      <c r="C16" s="181" t="s">
        <v>435</v>
      </c>
      <c r="D16" s="1" t="s">
        <v>436</v>
      </c>
      <c r="E16" s="1" t="s">
        <v>437</v>
      </c>
      <c r="F16" s="1" t="s">
        <v>410</v>
      </c>
      <c r="G16" s="1" t="s">
        <v>438</v>
      </c>
      <c r="H16" t="s">
        <v>303</v>
      </c>
    </row>
    <row r="17" spans="2:8" ht="30" x14ac:dyDescent="0.25">
      <c r="B17" s="180" t="s">
        <v>401</v>
      </c>
      <c r="C17" s="181" t="s">
        <v>439</v>
      </c>
      <c r="D17" s="1" t="s">
        <v>440</v>
      </c>
      <c r="E17" s="1" t="s">
        <v>441</v>
      </c>
      <c r="F17" s="1" t="s">
        <v>399</v>
      </c>
      <c r="G17" s="1" t="s">
        <v>442</v>
      </c>
      <c r="H17" t="s">
        <v>303</v>
      </c>
    </row>
    <row r="18" spans="2:8" ht="51" customHeight="1" x14ac:dyDescent="0.25">
      <c r="B18" s="180" t="s">
        <v>401</v>
      </c>
      <c r="C18" s="181" t="s">
        <v>443</v>
      </c>
      <c r="D18" s="1" t="s">
        <v>444</v>
      </c>
      <c r="E18" s="1" t="s">
        <v>445</v>
      </c>
      <c r="F18" s="1" t="s">
        <v>410</v>
      </c>
      <c r="H18" t="s">
        <v>406</v>
      </c>
    </row>
    <row r="19" spans="2:8" ht="51" customHeight="1" x14ac:dyDescent="0.25">
      <c r="B19" s="180" t="s">
        <v>401</v>
      </c>
      <c r="C19" s="181" t="s">
        <v>446</v>
      </c>
      <c r="D19" s="1" t="s">
        <v>447</v>
      </c>
      <c r="E19" s="1" t="s">
        <v>263</v>
      </c>
      <c r="F19" s="1" t="s">
        <v>399</v>
      </c>
      <c r="G19" s="1" t="s">
        <v>448</v>
      </c>
      <c r="H19" t="s">
        <v>400</v>
      </c>
    </row>
    <row r="20" spans="2:8" ht="76.5" customHeight="1" x14ac:dyDescent="0.25">
      <c r="B20" s="180" t="s">
        <v>401</v>
      </c>
      <c r="C20" s="181" t="s">
        <v>449</v>
      </c>
      <c r="D20" s="1" t="s">
        <v>450</v>
      </c>
      <c r="E20" s="1" t="s">
        <v>451</v>
      </c>
      <c r="F20" s="1" t="s">
        <v>394</v>
      </c>
      <c r="G20" s="1" t="s">
        <v>452</v>
      </c>
      <c r="H20" t="s">
        <v>400</v>
      </c>
    </row>
    <row r="21" spans="2:8" ht="77.25" x14ac:dyDescent="0.25">
      <c r="B21" s="180" t="s">
        <v>453</v>
      </c>
      <c r="C21" s="181" t="s">
        <v>454</v>
      </c>
      <c r="D21" s="1" t="s">
        <v>455</v>
      </c>
      <c r="E21" s="1" t="s">
        <v>456</v>
      </c>
      <c r="F21" s="1"/>
      <c r="G21" s="1" t="s">
        <v>457</v>
      </c>
      <c r="H21" t="s">
        <v>458</v>
      </c>
    </row>
    <row r="22" spans="2:8" ht="195" x14ac:dyDescent="0.25">
      <c r="B22" s="180" t="s">
        <v>453</v>
      </c>
      <c r="C22" s="181" t="s">
        <v>459</v>
      </c>
      <c r="D22" s="1" t="s">
        <v>460</v>
      </c>
      <c r="E22" s="1" t="s">
        <v>263</v>
      </c>
      <c r="F22" s="1" t="s">
        <v>410</v>
      </c>
      <c r="G22" s="1" t="s">
        <v>461</v>
      </c>
      <c r="H22" t="s">
        <v>303</v>
      </c>
    </row>
    <row r="23" spans="2:8" ht="64.5" x14ac:dyDescent="0.25">
      <c r="B23" s="180" t="s">
        <v>453</v>
      </c>
      <c r="C23" s="181" t="s">
        <v>462</v>
      </c>
      <c r="D23" s="1" t="s">
        <v>463</v>
      </c>
      <c r="E23" s="1" t="s">
        <v>263</v>
      </c>
      <c r="F23" s="1" t="s">
        <v>399</v>
      </c>
      <c r="H23" t="s">
        <v>400</v>
      </c>
    </row>
    <row r="24" spans="2:8" ht="77.25" x14ac:dyDescent="0.25">
      <c r="B24" s="180" t="s">
        <v>453</v>
      </c>
      <c r="C24" s="181" t="s">
        <v>464</v>
      </c>
      <c r="D24" s="1" t="s">
        <v>465</v>
      </c>
      <c r="E24" s="1" t="s">
        <v>263</v>
      </c>
      <c r="F24" s="1" t="s">
        <v>399</v>
      </c>
      <c r="G24" s="1" t="s">
        <v>466</v>
      </c>
      <c r="H24" t="s">
        <v>303</v>
      </c>
    </row>
    <row r="25" spans="2:8" ht="212.25" customHeight="1" x14ac:dyDescent="0.25">
      <c r="B25" s="180" t="s">
        <v>453</v>
      </c>
      <c r="C25" s="181" t="s">
        <v>467</v>
      </c>
      <c r="D25" s="1" t="s">
        <v>468</v>
      </c>
      <c r="E25" s="1" t="s">
        <v>469</v>
      </c>
      <c r="F25" s="1" t="s">
        <v>410</v>
      </c>
      <c r="G25" s="1" t="s">
        <v>470</v>
      </c>
      <c r="H25" t="s">
        <v>303</v>
      </c>
    </row>
    <row r="26" spans="2:8" ht="102.75" x14ac:dyDescent="0.25">
      <c r="B26" s="180" t="s">
        <v>453</v>
      </c>
      <c r="C26" s="181" t="s">
        <v>471</v>
      </c>
      <c r="D26" s="1" t="s">
        <v>472</v>
      </c>
      <c r="E26" s="1" t="s">
        <v>473</v>
      </c>
      <c r="F26" s="1" t="s">
        <v>399</v>
      </c>
      <c r="G26" s="1" t="s">
        <v>474</v>
      </c>
      <c r="H26" t="s">
        <v>406</v>
      </c>
    </row>
    <row r="27" spans="2:8" ht="30" x14ac:dyDescent="0.25">
      <c r="B27" s="180" t="s">
        <v>453</v>
      </c>
      <c r="C27" s="181" t="s">
        <v>475</v>
      </c>
      <c r="D27" s="1" t="s">
        <v>476</v>
      </c>
      <c r="E27" s="1" t="s">
        <v>263</v>
      </c>
      <c r="F27" s="1" t="s">
        <v>399</v>
      </c>
      <c r="H27" t="s">
        <v>400</v>
      </c>
    </row>
    <row r="28" spans="2:8" ht="75" x14ac:dyDescent="0.25">
      <c r="B28" s="180" t="s">
        <v>453</v>
      </c>
      <c r="C28" s="181" t="s">
        <v>477</v>
      </c>
      <c r="D28" s="1" t="s">
        <v>478</v>
      </c>
      <c r="E28" s="1" t="s">
        <v>451</v>
      </c>
      <c r="F28" s="1" t="s">
        <v>394</v>
      </c>
      <c r="G28" s="1" t="s">
        <v>452</v>
      </c>
      <c r="H28" t="s">
        <v>400</v>
      </c>
    </row>
    <row r="29" spans="2:8" x14ac:dyDescent="0.25">
      <c r="B29" s="182"/>
      <c r="F29" s="1"/>
    </row>
  </sheetData>
  <mergeCells count="1">
    <mergeCell ref="B2:I2"/>
  </mergeCells>
  <dataValidations count="1">
    <dataValidation type="list" allowBlank="1" showInputMessage="1" showErrorMessage="1" sqref="H4:H29 I4:I28" xr:uid="{00000000-0002-0000-0500-000000000000}">
      <formula1>Status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'G:\My Drive\Consulting\2018Projects\GIZ BUR Review\Review\[BUR3-ReviewChecklist-v1_LS.xlsx]Sheet1'!#REF!</xm:f>
          </x14:formula1>
          <xm:sqref>F3:F29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
    <tabColor theme="9" tint="-0.249977111117893"/>
  </sheetPr>
  <dimension ref="A1:F16"/>
  <sheetViews>
    <sheetView workbookViewId="0">
      <selection activeCell="F7" sqref="F7"/>
    </sheetView>
  </sheetViews>
  <sheetFormatPr defaultRowHeight="15" x14ac:dyDescent="0.25"/>
  <cols>
    <col min="1" max="1" width="12" customWidth="1"/>
    <col min="3" max="3" width="24.7109375" customWidth="1"/>
  </cols>
  <sheetData>
    <row r="1" spans="1:6" s="6" customFormat="1" ht="21" x14ac:dyDescent="0.35">
      <c r="A1" s="6" t="s">
        <v>479</v>
      </c>
      <c r="D1" s="28" t="s">
        <v>480</v>
      </c>
    </row>
    <row r="3" spans="1:6" s="22" customFormat="1" x14ac:dyDescent="0.25">
      <c r="A3" s="102" t="s">
        <v>481</v>
      </c>
    </row>
    <row r="4" spans="1:6" x14ac:dyDescent="0.25">
      <c r="A4" s="7" t="s">
        <v>482</v>
      </c>
      <c r="B4" s="7" t="s">
        <v>481</v>
      </c>
      <c r="C4" s="7" t="s">
        <v>483</v>
      </c>
      <c r="E4" t="s">
        <v>484</v>
      </c>
      <c r="F4" t="s">
        <v>485</v>
      </c>
    </row>
    <row r="5" spans="1:6" x14ac:dyDescent="0.25">
      <c r="A5" t="s">
        <v>486</v>
      </c>
      <c r="B5">
        <v>21</v>
      </c>
      <c r="C5" t="s">
        <v>487</v>
      </c>
      <c r="E5">
        <v>21</v>
      </c>
      <c r="F5">
        <v>23</v>
      </c>
    </row>
    <row r="6" spans="1:6" x14ac:dyDescent="0.25">
      <c r="A6" t="s">
        <v>488</v>
      </c>
      <c r="B6">
        <v>310</v>
      </c>
      <c r="C6" t="s">
        <v>487</v>
      </c>
      <c r="E6">
        <v>310</v>
      </c>
      <c r="F6">
        <v>296</v>
      </c>
    </row>
    <row r="7" spans="1:6" x14ac:dyDescent="0.25">
      <c r="A7" s="23" t="s">
        <v>489</v>
      </c>
      <c r="B7" s="23">
        <v>6500</v>
      </c>
      <c r="C7" t="s">
        <v>487</v>
      </c>
      <c r="E7">
        <v>6500</v>
      </c>
      <c r="F7">
        <v>5700</v>
      </c>
    </row>
    <row r="8" spans="1:6" x14ac:dyDescent="0.25">
      <c r="A8" s="23" t="s">
        <v>490</v>
      </c>
      <c r="B8" s="23">
        <v>9200</v>
      </c>
      <c r="C8" t="s">
        <v>487</v>
      </c>
      <c r="E8">
        <v>9200</v>
      </c>
      <c r="F8">
        <v>11900</v>
      </c>
    </row>
    <row r="9" spans="1:6" x14ac:dyDescent="0.25">
      <c r="A9" s="23" t="s">
        <v>491</v>
      </c>
      <c r="B9" s="23">
        <v>11700</v>
      </c>
      <c r="C9" t="s">
        <v>487</v>
      </c>
      <c r="E9">
        <v>11700</v>
      </c>
      <c r="F9">
        <v>12000</v>
      </c>
    </row>
    <row r="10" spans="1:6" x14ac:dyDescent="0.25">
      <c r="A10" s="23" t="s">
        <v>492</v>
      </c>
      <c r="B10" s="23">
        <v>650</v>
      </c>
      <c r="C10" t="s">
        <v>487</v>
      </c>
      <c r="E10">
        <v>650</v>
      </c>
      <c r="F10">
        <v>550</v>
      </c>
    </row>
    <row r="11" spans="1:6" x14ac:dyDescent="0.25">
      <c r="A11" s="23" t="s">
        <v>493</v>
      </c>
      <c r="B11" s="23">
        <v>2800</v>
      </c>
      <c r="C11" t="s">
        <v>487</v>
      </c>
      <c r="E11">
        <v>2800</v>
      </c>
      <c r="F11">
        <v>3400</v>
      </c>
    </row>
    <row r="12" spans="1:6" x14ac:dyDescent="0.25">
      <c r="A12" s="23" t="s">
        <v>494</v>
      </c>
      <c r="B12" s="23">
        <v>1300</v>
      </c>
      <c r="C12" t="s">
        <v>487</v>
      </c>
      <c r="E12">
        <v>1300</v>
      </c>
      <c r="F12">
        <v>1300</v>
      </c>
    </row>
    <row r="13" spans="1:6" x14ac:dyDescent="0.25">
      <c r="A13" s="23" t="s">
        <v>495</v>
      </c>
      <c r="B13" s="23">
        <v>3800</v>
      </c>
      <c r="C13" t="s">
        <v>487</v>
      </c>
      <c r="E13">
        <v>3800</v>
      </c>
      <c r="F13">
        <v>4300</v>
      </c>
    </row>
    <row r="14" spans="1:6" x14ac:dyDescent="0.25">
      <c r="A14" s="23" t="s">
        <v>496</v>
      </c>
      <c r="B14" s="23">
        <v>2900</v>
      </c>
      <c r="C14" t="s">
        <v>487</v>
      </c>
      <c r="E14">
        <v>2900</v>
      </c>
      <c r="F14">
        <v>3500</v>
      </c>
    </row>
    <row r="15" spans="1:6" x14ac:dyDescent="0.25">
      <c r="A15" s="23" t="s">
        <v>497</v>
      </c>
      <c r="B15" s="23">
        <v>890</v>
      </c>
      <c r="C15" t="s">
        <v>487</v>
      </c>
      <c r="E15">
        <v>890</v>
      </c>
      <c r="F15">
        <v>890</v>
      </c>
    </row>
    <row r="16" spans="1:6" x14ac:dyDescent="0.25">
      <c r="A16" s="23" t="s">
        <v>498</v>
      </c>
      <c r="B16" s="23">
        <v>140</v>
      </c>
      <c r="C16" t="s">
        <v>487</v>
      </c>
      <c r="E16">
        <v>140</v>
      </c>
      <c r="F16">
        <v>120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7"/>
  </sheetPr>
  <dimension ref="A1:M46"/>
  <sheetViews>
    <sheetView workbookViewId="0">
      <selection activeCell="G1" sqref="G1:H1"/>
    </sheetView>
  </sheetViews>
  <sheetFormatPr defaultRowHeight="15" x14ac:dyDescent="0.25"/>
  <cols>
    <col min="1" max="1" width="4" customWidth="1"/>
    <col min="2" max="2" width="21.7109375" customWidth="1"/>
    <col min="3" max="3" width="7.28515625" customWidth="1"/>
    <col min="4" max="5" width="7" customWidth="1"/>
    <col min="6" max="6" width="6.85546875" customWidth="1"/>
    <col min="7" max="7" width="7.140625" customWidth="1"/>
    <col min="8" max="8" width="6.5703125" customWidth="1"/>
    <col min="9" max="9" width="8.140625" customWidth="1"/>
    <col min="10" max="10" width="7.140625" customWidth="1"/>
    <col min="11" max="11" width="7.7109375" customWidth="1"/>
    <col min="12" max="12" width="7.28515625" customWidth="1"/>
    <col min="13" max="13" width="24.28515625" customWidth="1"/>
  </cols>
  <sheetData>
    <row r="1" spans="1:13" x14ac:dyDescent="0.25">
      <c r="A1" s="248" t="s">
        <v>499</v>
      </c>
      <c r="B1" s="248"/>
      <c r="C1" s="248" t="s">
        <v>500</v>
      </c>
      <c r="D1" s="248"/>
      <c r="E1" s="248" t="s">
        <v>501</v>
      </c>
      <c r="F1" s="248"/>
      <c r="G1" s="248" t="s">
        <v>502</v>
      </c>
      <c r="H1" s="248"/>
      <c r="I1" s="248" t="s">
        <v>503</v>
      </c>
      <c r="J1" s="248"/>
      <c r="K1" s="248" t="s">
        <v>504</v>
      </c>
      <c r="L1" s="248"/>
      <c r="M1" s="247" t="s">
        <v>203</v>
      </c>
    </row>
    <row r="2" spans="1:13" x14ac:dyDescent="0.25">
      <c r="A2" s="248"/>
      <c r="B2" s="248"/>
      <c r="C2" s="237" t="s">
        <v>505</v>
      </c>
      <c r="D2" s="237" t="s">
        <v>506</v>
      </c>
      <c r="E2" s="237" t="s">
        <v>505</v>
      </c>
      <c r="F2" s="237" t="s">
        <v>506</v>
      </c>
      <c r="G2" s="237" t="s">
        <v>505</v>
      </c>
      <c r="H2" s="237" t="s">
        <v>506</v>
      </c>
      <c r="I2" s="237" t="s">
        <v>505</v>
      </c>
      <c r="J2" s="237" t="s">
        <v>506</v>
      </c>
      <c r="K2" s="237" t="s">
        <v>505</v>
      </c>
      <c r="L2" s="237" t="s">
        <v>506</v>
      </c>
      <c r="M2" s="247"/>
    </row>
    <row r="3" spans="1:13" x14ac:dyDescent="0.25">
      <c r="A3" s="210" t="s">
        <v>507</v>
      </c>
      <c r="B3" s="211" t="s">
        <v>508</v>
      </c>
      <c r="C3" s="212"/>
      <c r="D3" s="212"/>
      <c r="E3" s="212"/>
      <c r="F3" s="212"/>
      <c r="G3" s="212"/>
      <c r="H3" s="212"/>
      <c r="I3" s="212"/>
      <c r="J3" s="212"/>
      <c r="K3" s="212"/>
      <c r="L3" s="212"/>
      <c r="M3" s="212"/>
    </row>
    <row r="4" spans="1:13" x14ac:dyDescent="0.25">
      <c r="A4" s="213">
        <v>1</v>
      </c>
      <c r="B4" s="214" t="s">
        <v>509</v>
      </c>
      <c r="C4" s="213" t="s">
        <v>510</v>
      </c>
      <c r="D4" s="213" t="s">
        <v>511</v>
      </c>
      <c r="E4" s="213" t="s">
        <v>512</v>
      </c>
      <c r="F4" s="213"/>
      <c r="G4" s="213" t="s">
        <v>512</v>
      </c>
      <c r="H4" s="213"/>
      <c r="I4" s="213" t="s">
        <v>512</v>
      </c>
      <c r="J4" s="213"/>
      <c r="K4" s="213" t="s">
        <v>512</v>
      </c>
      <c r="L4" s="213"/>
      <c r="M4" s="213"/>
    </row>
    <row r="5" spans="1:13" ht="25.5" x14ac:dyDescent="0.25">
      <c r="A5" s="213">
        <v>2</v>
      </c>
      <c r="B5" s="214" t="s">
        <v>513</v>
      </c>
      <c r="C5" s="213" t="s">
        <v>514</v>
      </c>
      <c r="D5" s="213" t="s">
        <v>511</v>
      </c>
      <c r="E5" s="213" t="s">
        <v>512</v>
      </c>
      <c r="F5" s="213"/>
      <c r="G5" s="213" t="s">
        <v>512</v>
      </c>
      <c r="H5" s="213"/>
      <c r="I5" s="213" t="s">
        <v>512</v>
      </c>
      <c r="J5" s="213"/>
      <c r="K5" s="213" t="s">
        <v>512</v>
      </c>
      <c r="L5" s="213"/>
      <c r="M5" s="213" t="s">
        <v>515</v>
      </c>
    </row>
    <row r="6" spans="1:13" x14ac:dyDescent="0.25">
      <c r="A6" s="213">
        <v>3</v>
      </c>
      <c r="B6" s="214" t="s">
        <v>516</v>
      </c>
      <c r="C6" s="213" t="s">
        <v>510</v>
      </c>
      <c r="D6" s="213" t="s">
        <v>511</v>
      </c>
      <c r="E6" s="213" t="s">
        <v>512</v>
      </c>
      <c r="F6" s="213"/>
      <c r="G6" s="213" t="s">
        <v>512</v>
      </c>
      <c r="H6" s="213"/>
      <c r="I6" s="213" t="s">
        <v>512</v>
      </c>
      <c r="J6" s="213"/>
      <c r="K6" s="213" t="s">
        <v>512</v>
      </c>
      <c r="L6" s="213"/>
      <c r="M6" s="213"/>
    </row>
    <row r="7" spans="1:13" ht="25.5" x14ac:dyDescent="0.25">
      <c r="A7" s="213">
        <v>4</v>
      </c>
      <c r="B7" s="214" t="s">
        <v>517</v>
      </c>
      <c r="C7" s="213" t="s">
        <v>518</v>
      </c>
      <c r="D7" s="213"/>
      <c r="E7" s="213" t="s">
        <v>512</v>
      </c>
      <c r="F7" s="213"/>
      <c r="G7" s="213" t="s">
        <v>512</v>
      </c>
      <c r="H7" s="213"/>
      <c r="I7" s="213" t="s">
        <v>512</v>
      </c>
      <c r="J7" s="213"/>
      <c r="K7" s="213" t="s">
        <v>512</v>
      </c>
      <c r="L7" s="213"/>
      <c r="M7" s="213"/>
    </row>
    <row r="8" spans="1:13" x14ac:dyDescent="0.25">
      <c r="A8" s="210" t="s">
        <v>519</v>
      </c>
      <c r="B8" s="211" t="s">
        <v>520</v>
      </c>
      <c r="C8" s="212"/>
      <c r="D8" s="212"/>
      <c r="E8" s="212"/>
      <c r="F8" s="212"/>
      <c r="G8" s="212"/>
      <c r="H8" s="212"/>
      <c r="I8" s="212"/>
      <c r="J8" s="212"/>
      <c r="K8" s="212"/>
      <c r="L8" s="212"/>
      <c r="M8" s="212"/>
    </row>
    <row r="9" spans="1:13" ht="25.5" x14ac:dyDescent="0.25">
      <c r="A9" s="213">
        <v>1</v>
      </c>
      <c r="B9" s="214" t="s">
        <v>521</v>
      </c>
      <c r="C9" s="213" t="s">
        <v>522</v>
      </c>
      <c r="D9" s="213" t="s">
        <v>523</v>
      </c>
      <c r="E9" s="213" t="s">
        <v>522</v>
      </c>
      <c r="F9" s="213" t="s">
        <v>523</v>
      </c>
      <c r="G9" s="213"/>
      <c r="H9" s="213"/>
      <c r="I9" s="213"/>
      <c r="J9" s="213"/>
      <c r="K9" s="213"/>
      <c r="L9" s="213"/>
      <c r="M9" s="213" t="s">
        <v>524</v>
      </c>
    </row>
    <row r="10" spans="1:13" ht="25.5" x14ac:dyDescent="0.25">
      <c r="A10" s="213">
        <v>2</v>
      </c>
      <c r="B10" s="214" t="s">
        <v>525</v>
      </c>
      <c r="C10" s="213" t="s">
        <v>512</v>
      </c>
      <c r="D10" s="213"/>
      <c r="E10" s="213" t="s">
        <v>512</v>
      </c>
      <c r="F10" s="213"/>
      <c r="G10" s="213" t="s">
        <v>522</v>
      </c>
      <c r="H10" s="213" t="s">
        <v>523</v>
      </c>
      <c r="I10" s="213" t="s">
        <v>512</v>
      </c>
      <c r="J10" s="213"/>
      <c r="K10" s="213" t="s">
        <v>512</v>
      </c>
      <c r="L10" s="213"/>
      <c r="M10" s="213" t="s">
        <v>526</v>
      </c>
    </row>
    <row r="11" spans="1:13" x14ac:dyDescent="0.25">
      <c r="A11" s="213">
        <v>3</v>
      </c>
      <c r="B11" s="214" t="s">
        <v>527</v>
      </c>
      <c r="C11" s="213" t="s">
        <v>512</v>
      </c>
      <c r="D11" s="213"/>
      <c r="E11" s="213" t="s">
        <v>512</v>
      </c>
      <c r="F11" s="213"/>
      <c r="G11" s="213" t="s">
        <v>512</v>
      </c>
      <c r="H11" s="213"/>
      <c r="I11" s="213" t="s">
        <v>512</v>
      </c>
      <c r="J11" s="213"/>
      <c r="K11" s="213" t="s">
        <v>512</v>
      </c>
      <c r="L11" s="213"/>
      <c r="M11" s="213"/>
    </row>
    <row r="12" spans="1:13" ht="25.5" x14ac:dyDescent="0.25">
      <c r="A12" s="213">
        <v>4</v>
      </c>
      <c r="B12" s="214" t="s">
        <v>528</v>
      </c>
      <c r="C12" s="213" t="s">
        <v>512</v>
      </c>
      <c r="D12" s="213"/>
      <c r="E12" s="213" t="s">
        <v>512</v>
      </c>
      <c r="F12" s="213"/>
      <c r="G12" s="213" t="s">
        <v>512</v>
      </c>
      <c r="H12" s="213"/>
      <c r="I12" s="213" t="s">
        <v>512</v>
      </c>
      <c r="J12" s="213"/>
      <c r="K12" s="213" t="s">
        <v>512</v>
      </c>
      <c r="L12" s="213"/>
      <c r="M12" s="213"/>
    </row>
    <row r="13" spans="1:13" x14ac:dyDescent="0.25">
      <c r="A13" s="213">
        <v>5</v>
      </c>
      <c r="B13" s="214" t="s">
        <v>529</v>
      </c>
      <c r="C13" s="213" t="s">
        <v>510</v>
      </c>
      <c r="D13" s="213" t="s">
        <v>523</v>
      </c>
      <c r="E13" s="213" t="s">
        <v>518</v>
      </c>
      <c r="F13" s="213"/>
      <c r="G13" s="213" t="s">
        <v>518</v>
      </c>
      <c r="H13" s="213"/>
      <c r="I13" s="213" t="s">
        <v>512</v>
      </c>
      <c r="J13" s="213"/>
      <c r="K13" s="213" t="s">
        <v>512</v>
      </c>
      <c r="L13" s="213"/>
      <c r="M13" s="213"/>
    </row>
    <row r="14" spans="1:13" ht="25.5" x14ac:dyDescent="0.25">
      <c r="A14" s="213">
        <v>6</v>
      </c>
      <c r="B14" s="214" t="s">
        <v>530</v>
      </c>
      <c r="C14" s="213" t="s">
        <v>514</v>
      </c>
      <c r="D14" s="213" t="s">
        <v>523</v>
      </c>
      <c r="E14" s="213" t="s">
        <v>518</v>
      </c>
      <c r="F14" s="213"/>
      <c r="G14" s="213" t="s">
        <v>518</v>
      </c>
      <c r="H14" s="213"/>
      <c r="I14" s="213" t="s">
        <v>512</v>
      </c>
      <c r="J14" s="213"/>
      <c r="K14" s="213" t="s">
        <v>512</v>
      </c>
      <c r="L14" s="213"/>
      <c r="M14" s="213" t="s">
        <v>531</v>
      </c>
    </row>
    <row r="15" spans="1:13" x14ac:dyDescent="0.25">
      <c r="A15" s="213">
        <v>7</v>
      </c>
      <c r="B15" s="214" t="s">
        <v>532</v>
      </c>
      <c r="C15" s="213" t="s">
        <v>512</v>
      </c>
      <c r="D15" s="213"/>
      <c r="E15" s="213" t="s">
        <v>518</v>
      </c>
      <c r="F15" s="213"/>
      <c r="G15" s="213" t="s">
        <v>518</v>
      </c>
      <c r="H15" s="213"/>
      <c r="I15" s="213" t="s">
        <v>512</v>
      </c>
      <c r="J15" s="213"/>
      <c r="K15" s="213" t="s">
        <v>512</v>
      </c>
      <c r="L15" s="213"/>
      <c r="M15" s="213"/>
    </row>
    <row r="16" spans="1:13" ht="25.5" x14ac:dyDescent="0.25">
      <c r="A16" s="213">
        <v>8</v>
      </c>
      <c r="B16" s="214" t="s">
        <v>533</v>
      </c>
      <c r="C16" s="213" t="s">
        <v>510</v>
      </c>
      <c r="D16" s="213" t="s">
        <v>511</v>
      </c>
      <c r="E16" s="213" t="s">
        <v>518</v>
      </c>
      <c r="F16" s="213"/>
      <c r="G16" s="213" t="s">
        <v>518</v>
      </c>
      <c r="H16" s="213"/>
      <c r="I16" s="213" t="s">
        <v>512</v>
      </c>
      <c r="J16" s="213"/>
      <c r="K16" s="213" t="s">
        <v>512</v>
      </c>
      <c r="L16" s="213"/>
      <c r="M16" s="213"/>
    </row>
    <row r="17" spans="1:13" ht="25.5" x14ac:dyDescent="0.25">
      <c r="A17" s="213">
        <v>9</v>
      </c>
      <c r="B17" s="214" t="s">
        <v>534</v>
      </c>
      <c r="C17" s="213"/>
      <c r="D17" s="213"/>
      <c r="E17" s="213" t="s">
        <v>518</v>
      </c>
      <c r="F17" s="213"/>
      <c r="G17" s="213" t="s">
        <v>518</v>
      </c>
      <c r="H17" s="213"/>
      <c r="I17" s="213" t="s">
        <v>512</v>
      </c>
      <c r="J17" s="213"/>
      <c r="K17" s="213" t="s">
        <v>512</v>
      </c>
      <c r="L17" s="213"/>
      <c r="M17" s="213"/>
    </row>
    <row r="18" spans="1:13" x14ac:dyDescent="0.25">
      <c r="A18" s="210" t="s">
        <v>535</v>
      </c>
      <c r="B18" s="211" t="s">
        <v>536</v>
      </c>
      <c r="C18" s="212"/>
      <c r="D18" s="212"/>
      <c r="E18" s="212"/>
      <c r="F18" s="212"/>
      <c r="G18" s="212"/>
      <c r="H18" s="212"/>
      <c r="I18" s="212"/>
      <c r="J18" s="212"/>
      <c r="K18" s="212"/>
      <c r="L18" s="212"/>
      <c r="M18" s="212"/>
    </row>
    <row r="19" spans="1:13" ht="25.5" x14ac:dyDescent="0.25">
      <c r="A19" s="213">
        <v>1</v>
      </c>
      <c r="B19" s="214" t="s">
        <v>537</v>
      </c>
      <c r="C19" s="213" t="s">
        <v>538</v>
      </c>
      <c r="D19" s="213" t="s">
        <v>539</v>
      </c>
      <c r="E19" s="213" t="s">
        <v>518</v>
      </c>
      <c r="F19" s="213"/>
      <c r="G19" s="213" t="s">
        <v>518</v>
      </c>
      <c r="H19" s="213"/>
      <c r="I19" s="213" t="s">
        <v>512</v>
      </c>
      <c r="J19" s="213"/>
      <c r="K19" s="213" t="s">
        <v>512</v>
      </c>
      <c r="L19" s="213"/>
      <c r="M19" s="213" t="s">
        <v>540</v>
      </c>
    </row>
    <row r="20" spans="1:13" ht="25.5" x14ac:dyDescent="0.25">
      <c r="A20" s="213">
        <v>2</v>
      </c>
      <c r="B20" s="214" t="s">
        <v>541</v>
      </c>
      <c r="C20" s="213" t="s">
        <v>542</v>
      </c>
      <c r="D20" s="213" t="s">
        <v>539</v>
      </c>
      <c r="E20" s="213" t="s">
        <v>542</v>
      </c>
      <c r="F20" s="213" t="s">
        <v>539</v>
      </c>
      <c r="G20" s="213" t="s">
        <v>518</v>
      </c>
      <c r="H20" s="213"/>
      <c r="I20" s="213" t="s">
        <v>512</v>
      </c>
      <c r="J20" s="213"/>
      <c r="K20" s="213" t="s">
        <v>512</v>
      </c>
      <c r="L20" s="213"/>
      <c r="M20" s="213" t="s">
        <v>543</v>
      </c>
    </row>
    <row r="21" spans="1:13" ht="25.5" x14ac:dyDescent="0.25">
      <c r="A21" s="213">
        <v>3</v>
      </c>
      <c r="B21" s="214" t="s">
        <v>544</v>
      </c>
      <c r="C21" s="213" t="s">
        <v>510</v>
      </c>
      <c r="D21" s="213" t="s">
        <v>511</v>
      </c>
      <c r="E21" s="213" t="s">
        <v>518</v>
      </c>
      <c r="F21" s="213"/>
      <c r="G21" s="213" t="s">
        <v>518</v>
      </c>
      <c r="H21" s="213"/>
      <c r="I21" s="213" t="s">
        <v>512</v>
      </c>
      <c r="J21" s="213"/>
      <c r="K21" s="213" t="s">
        <v>522</v>
      </c>
      <c r="L21" s="213" t="s">
        <v>523</v>
      </c>
      <c r="M21" s="213" t="s">
        <v>545</v>
      </c>
    </row>
    <row r="22" spans="1:13" x14ac:dyDescent="0.25">
      <c r="A22" s="213">
        <v>4</v>
      </c>
      <c r="B22" s="214" t="s">
        <v>546</v>
      </c>
      <c r="C22" s="213" t="s">
        <v>512</v>
      </c>
      <c r="D22" s="213"/>
      <c r="E22" s="213" t="s">
        <v>518</v>
      </c>
      <c r="F22" s="213"/>
      <c r="G22" s="213" t="s">
        <v>518</v>
      </c>
      <c r="H22" s="213"/>
      <c r="I22" s="213" t="s">
        <v>512</v>
      </c>
      <c r="J22" s="213"/>
      <c r="K22" s="213" t="s">
        <v>512</v>
      </c>
      <c r="L22" s="213"/>
      <c r="M22" s="213"/>
    </row>
    <row r="23" spans="1:13" x14ac:dyDescent="0.25">
      <c r="A23" s="213">
        <v>5</v>
      </c>
      <c r="B23" s="214" t="s">
        <v>547</v>
      </c>
      <c r="C23" s="213" t="s">
        <v>510</v>
      </c>
      <c r="D23" s="213" t="s">
        <v>511</v>
      </c>
      <c r="E23" s="213" t="s">
        <v>518</v>
      </c>
      <c r="F23" s="213"/>
      <c r="G23" s="213" t="s">
        <v>518</v>
      </c>
      <c r="H23" s="213"/>
      <c r="I23" s="213" t="s">
        <v>512</v>
      </c>
      <c r="J23" s="213"/>
      <c r="K23" s="213" t="s">
        <v>512</v>
      </c>
      <c r="L23" s="213"/>
      <c r="M23" s="213"/>
    </row>
    <row r="24" spans="1:13" x14ac:dyDescent="0.25">
      <c r="A24" s="213">
        <v>6</v>
      </c>
      <c r="B24" s="214" t="s">
        <v>548</v>
      </c>
      <c r="C24" s="213" t="s">
        <v>510</v>
      </c>
      <c r="D24" s="213" t="s">
        <v>511</v>
      </c>
      <c r="E24" s="213" t="s">
        <v>518</v>
      </c>
      <c r="F24" s="213"/>
      <c r="G24" s="213" t="s">
        <v>518</v>
      </c>
      <c r="H24" s="213"/>
      <c r="I24" s="213" t="s">
        <v>512</v>
      </c>
      <c r="J24" s="213"/>
      <c r="K24" s="213" t="s">
        <v>512</v>
      </c>
      <c r="L24" s="213"/>
      <c r="M24" s="213"/>
    </row>
    <row r="25" spans="1:13" ht="25.5" x14ac:dyDescent="0.25">
      <c r="A25" s="212" t="s">
        <v>549</v>
      </c>
      <c r="B25" s="211" t="s">
        <v>550</v>
      </c>
      <c r="C25" s="212"/>
      <c r="D25" s="212"/>
      <c r="E25" s="212"/>
      <c r="F25" s="212"/>
      <c r="G25" s="212"/>
      <c r="H25" s="212"/>
      <c r="I25" s="212"/>
      <c r="J25" s="212"/>
      <c r="K25" s="212"/>
      <c r="L25" s="212"/>
      <c r="M25" s="212"/>
    </row>
    <row r="26" spans="1:13" x14ac:dyDescent="0.25">
      <c r="A26" s="213">
        <v>1</v>
      </c>
      <c r="B26" s="214" t="s">
        <v>551</v>
      </c>
      <c r="C26" s="213" t="s">
        <v>510</v>
      </c>
      <c r="D26" s="213" t="s">
        <v>511</v>
      </c>
      <c r="E26" s="213" t="s">
        <v>518</v>
      </c>
      <c r="F26" s="213"/>
      <c r="G26" s="213" t="s">
        <v>518</v>
      </c>
      <c r="H26" s="213"/>
      <c r="I26" s="213" t="s">
        <v>512</v>
      </c>
      <c r="J26" s="213"/>
      <c r="K26" s="213" t="s">
        <v>512</v>
      </c>
      <c r="L26" s="213"/>
      <c r="M26" s="213"/>
    </row>
    <row r="27" spans="1:13" x14ac:dyDescent="0.25">
      <c r="A27" s="213">
        <v>2</v>
      </c>
      <c r="B27" s="214" t="s">
        <v>552</v>
      </c>
      <c r="C27" s="213" t="s">
        <v>510</v>
      </c>
      <c r="D27" s="213" t="s">
        <v>511</v>
      </c>
      <c r="E27" s="213" t="s">
        <v>518</v>
      </c>
      <c r="F27" s="213"/>
      <c r="G27" s="213" t="s">
        <v>518</v>
      </c>
      <c r="H27" s="213"/>
      <c r="I27" s="213" t="s">
        <v>512</v>
      </c>
      <c r="J27" s="213"/>
      <c r="K27" s="213" t="s">
        <v>512</v>
      </c>
      <c r="L27" s="213"/>
      <c r="M27" s="213"/>
    </row>
    <row r="28" spans="1:13" x14ac:dyDescent="0.25">
      <c r="A28" s="213">
        <v>3</v>
      </c>
      <c r="B28" s="214" t="s">
        <v>553</v>
      </c>
      <c r="C28" s="213" t="s">
        <v>518</v>
      </c>
      <c r="D28" s="213"/>
      <c r="E28" s="213" t="s">
        <v>518</v>
      </c>
      <c r="F28" s="213"/>
      <c r="G28" s="213" t="s">
        <v>518</v>
      </c>
      <c r="H28" s="213"/>
      <c r="I28" s="213" t="s">
        <v>512</v>
      </c>
      <c r="J28" s="213"/>
      <c r="K28" s="213" t="s">
        <v>512</v>
      </c>
      <c r="L28" s="213"/>
      <c r="M28" s="213"/>
    </row>
    <row r="29" spans="1:13" x14ac:dyDescent="0.25">
      <c r="A29" s="212" t="s">
        <v>554</v>
      </c>
      <c r="B29" s="211" t="s">
        <v>555</v>
      </c>
      <c r="C29" s="212"/>
      <c r="D29" s="212"/>
      <c r="E29" s="212"/>
      <c r="F29" s="212"/>
      <c r="G29" s="212"/>
      <c r="H29" s="212"/>
      <c r="I29" s="212"/>
      <c r="J29" s="212"/>
      <c r="K29" s="212"/>
      <c r="L29" s="212"/>
      <c r="M29" s="212"/>
    </row>
    <row r="30" spans="1:13" ht="25.5" x14ac:dyDescent="0.25">
      <c r="A30" s="213">
        <v>1</v>
      </c>
      <c r="B30" s="214" t="s">
        <v>556</v>
      </c>
      <c r="C30" s="213" t="s">
        <v>518</v>
      </c>
      <c r="D30" s="213"/>
      <c r="E30" s="213" t="s">
        <v>518</v>
      </c>
      <c r="F30" s="213"/>
      <c r="G30" s="213" t="s">
        <v>518</v>
      </c>
      <c r="H30" s="213"/>
      <c r="I30" s="213" t="s">
        <v>512</v>
      </c>
      <c r="J30" s="213"/>
      <c r="K30" s="213" t="s">
        <v>512</v>
      </c>
      <c r="L30" s="213"/>
      <c r="M30" s="213"/>
    </row>
    <row r="31" spans="1:13" x14ac:dyDescent="0.25">
      <c r="A31" s="213">
        <v>2</v>
      </c>
      <c r="B31" s="214" t="s">
        <v>557</v>
      </c>
      <c r="C31" s="213" t="s">
        <v>518</v>
      </c>
      <c r="D31" s="213"/>
      <c r="E31" s="213" t="s">
        <v>518</v>
      </c>
      <c r="F31" s="213"/>
      <c r="G31" s="213" t="s">
        <v>518</v>
      </c>
      <c r="H31" s="213"/>
      <c r="I31" s="213" t="s">
        <v>512</v>
      </c>
      <c r="J31" s="213"/>
      <c r="K31" s="213" t="s">
        <v>512</v>
      </c>
      <c r="L31" s="213"/>
      <c r="M31" s="213"/>
    </row>
    <row r="32" spans="1:13" x14ac:dyDescent="0.25">
      <c r="A32" s="213">
        <v>3</v>
      </c>
      <c r="B32" s="214" t="s">
        <v>558</v>
      </c>
      <c r="C32" s="213" t="s">
        <v>518</v>
      </c>
      <c r="D32" s="213"/>
      <c r="E32" s="213" t="s">
        <v>518</v>
      </c>
      <c r="F32" s="213"/>
      <c r="G32" s="213" t="s">
        <v>518</v>
      </c>
      <c r="H32" s="213"/>
      <c r="I32" s="213" t="s">
        <v>512</v>
      </c>
      <c r="J32" s="213"/>
      <c r="K32" s="213" t="s">
        <v>512</v>
      </c>
      <c r="L32" s="213"/>
      <c r="M32" s="213"/>
    </row>
    <row r="33" spans="1:13" x14ac:dyDescent="0.25">
      <c r="A33" s="213">
        <v>4</v>
      </c>
      <c r="B33" s="214" t="s">
        <v>559</v>
      </c>
      <c r="C33" s="213" t="s">
        <v>518</v>
      </c>
      <c r="D33" s="213"/>
      <c r="E33" s="213" t="s">
        <v>518</v>
      </c>
      <c r="F33" s="213"/>
      <c r="G33" s="213" t="s">
        <v>518</v>
      </c>
      <c r="H33" s="213"/>
      <c r="I33" s="213" t="s">
        <v>512</v>
      </c>
      <c r="J33" s="213"/>
      <c r="K33" s="213" t="s">
        <v>512</v>
      </c>
      <c r="L33" s="213"/>
      <c r="M33" s="213"/>
    </row>
    <row r="34" spans="1:13" ht="25.5" x14ac:dyDescent="0.25">
      <c r="A34" s="212" t="s">
        <v>560</v>
      </c>
      <c r="B34" s="211" t="s">
        <v>561</v>
      </c>
      <c r="C34" s="212"/>
      <c r="D34" s="212"/>
      <c r="E34" s="212"/>
      <c r="F34" s="212"/>
      <c r="G34" s="212"/>
      <c r="H34" s="212"/>
      <c r="I34" s="212"/>
      <c r="J34" s="212"/>
      <c r="K34" s="212"/>
      <c r="L34" s="212"/>
      <c r="M34" s="212"/>
    </row>
    <row r="35" spans="1:13" ht="25.5" x14ac:dyDescent="0.25">
      <c r="A35" s="213">
        <v>1</v>
      </c>
      <c r="B35" s="214" t="s">
        <v>562</v>
      </c>
      <c r="C35" s="213" t="s">
        <v>512</v>
      </c>
      <c r="D35" s="213"/>
      <c r="E35" s="213" t="s">
        <v>512</v>
      </c>
      <c r="F35" s="213"/>
      <c r="G35" s="213" t="s">
        <v>512</v>
      </c>
      <c r="H35" s="213"/>
      <c r="I35" s="213" t="s">
        <v>510</v>
      </c>
      <c r="J35" s="213" t="s">
        <v>511</v>
      </c>
      <c r="K35" s="213" t="s">
        <v>518</v>
      </c>
      <c r="L35" s="213"/>
      <c r="M35" s="213"/>
    </row>
    <row r="36" spans="1:13" x14ac:dyDescent="0.25">
      <c r="A36" s="213">
        <v>2</v>
      </c>
      <c r="B36" s="214" t="s">
        <v>563</v>
      </c>
      <c r="C36" s="213" t="s">
        <v>512</v>
      </c>
      <c r="D36" s="213"/>
      <c r="E36" s="213" t="s">
        <v>512</v>
      </c>
      <c r="F36" s="213"/>
      <c r="G36" s="213" t="s">
        <v>512</v>
      </c>
      <c r="H36" s="213"/>
      <c r="I36" s="213" t="s">
        <v>510</v>
      </c>
      <c r="J36" s="213" t="s">
        <v>511</v>
      </c>
      <c r="K36" s="213" t="s">
        <v>518</v>
      </c>
      <c r="L36" s="213"/>
      <c r="M36" s="213"/>
    </row>
    <row r="37" spans="1:13" x14ac:dyDescent="0.25">
      <c r="A37" s="213">
        <v>3</v>
      </c>
      <c r="B37" s="214" t="s">
        <v>564</v>
      </c>
      <c r="C37" s="213" t="s">
        <v>512</v>
      </c>
      <c r="D37" s="213"/>
      <c r="E37" s="213" t="s">
        <v>512</v>
      </c>
      <c r="F37" s="213"/>
      <c r="G37" s="213" t="s">
        <v>512</v>
      </c>
      <c r="H37" s="213"/>
      <c r="I37" s="213" t="s">
        <v>510</v>
      </c>
      <c r="J37" s="213" t="s">
        <v>511</v>
      </c>
      <c r="K37" s="213" t="s">
        <v>518</v>
      </c>
      <c r="L37" s="213"/>
      <c r="M37" s="213"/>
    </row>
    <row r="38" spans="1:13" x14ac:dyDescent="0.25">
      <c r="A38" s="213">
        <v>4</v>
      </c>
      <c r="B38" s="214" t="s">
        <v>565</v>
      </c>
      <c r="C38" s="213" t="s">
        <v>512</v>
      </c>
      <c r="D38" s="213"/>
      <c r="E38" s="213" t="s">
        <v>512</v>
      </c>
      <c r="F38" s="213"/>
      <c r="G38" s="213" t="s">
        <v>512</v>
      </c>
      <c r="H38" s="213"/>
      <c r="I38" s="213" t="s">
        <v>510</v>
      </c>
      <c r="J38" s="213" t="s">
        <v>511</v>
      </c>
      <c r="K38" s="213" t="s">
        <v>518</v>
      </c>
      <c r="L38" s="213"/>
      <c r="M38" s="213"/>
    </row>
    <row r="39" spans="1:13" x14ac:dyDescent="0.25">
      <c r="A39" s="213">
        <v>5</v>
      </c>
      <c r="B39" s="214" t="s">
        <v>566</v>
      </c>
      <c r="C39" s="213" t="s">
        <v>512</v>
      </c>
      <c r="D39" s="213"/>
      <c r="E39" s="213" t="s">
        <v>512</v>
      </c>
      <c r="F39" s="213"/>
      <c r="G39" s="213" t="s">
        <v>512</v>
      </c>
      <c r="H39" s="213"/>
      <c r="I39" s="213" t="s">
        <v>518</v>
      </c>
      <c r="J39" s="213"/>
      <c r="K39" s="213" t="s">
        <v>518</v>
      </c>
      <c r="L39" s="213"/>
      <c r="M39" s="213"/>
    </row>
    <row r="40" spans="1:13" ht="25.5" x14ac:dyDescent="0.25">
      <c r="A40" s="210" t="s">
        <v>567</v>
      </c>
      <c r="B40" s="211" t="s">
        <v>568</v>
      </c>
      <c r="C40" s="212"/>
      <c r="D40" s="212"/>
      <c r="E40" s="212"/>
      <c r="F40" s="212"/>
      <c r="G40" s="212"/>
      <c r="H40" s="212"/>
      <c r="I40" s="212"/>
      <c r="J40" s="212"/>
      <c r="K40" s="212"/>
      <c r="L40" s="212"/>
      <c r="M40" s="212"/>
    </row>
    <row r="41" spans="1:13" x14ac:dyDescent="0.25">
      <c r="A41" s="213">
        <v>1</v>
      </c>
      <c r="B41" s="214" t="s">
        <v>569</v>
      </c>
      <c r="C41" s="213" t="s">
        <v>518</v>
      </c>
      <c r="D41" s="213"/>
      <c r="E41" s="213" t="s">
        <v>518</v>
      </c>
      <c r="F41" s="213"/>
      <c r="G41" s="213" t="s">
        <v>518</v>
      </c>
      <c r="H41" s="213"/>
      <c r="I41" s="213" t="s">
        <v>512</v>
      </c>
      <c r="J41" s="213"/>
      <c r="K41" s="213" t="s">
        <v>512</v>
      </c>
      <c r="L41" s="213"/>
      <c r="M41" s="213"/>
    </row>
    <row r="42" spans="1:13" ht="25.5" x14ac:dyDescent="0.25">
      <c r="A42" s="213">
        <v>2</v>
      </c>
      <c r="B42" s="214" t="s">
        <v>570</v>
      </c>
      <c r="C42" s="213" t="s">
        <v>518</v>
      </c>
      <c r="D42" s="213"/>
      <c r="E42" s="213" t="s">
        <v>571</v>
      </c>
      <c r="F42" s="213"/>
      <c r="G42" s="213" t="s">
        <v>571</v>
      </c>
      <c r="H42" s="213"/>
      <c r="I42" s="213" t="s">
        <v>518</v>
      </c>
      <c r="J42" s="213"/>
      <c r="K42" s="213" t="s">
        <v>518</v>
      </c>
      <c r="L42" s="213"/>
      <c r="M42" s="213"/>
    </row>
    <row r="43" spans="1:13" x14ac:dyDescent="0.25">
      <c r="A43" s="213">
        <v>3</v>
      </c>
      <c r="B43" s="214" t="s">
        <v>572</v>
      </c>
      <c r="C43" s="213" t="s">
        <v>512</v>
      </c>
      <c r="D43" s="213"/>
      <c r="E43" s="213" t="s">
        <v>518</v>
      </c>
      <c r="F43" s="213"/>
      <c r="G43" s="213" t="s">
        <v>518</v>
      </c>
      <c r="H43" s="213"/>
      <c r="I43" s="213" t="s">
        <v>512</v>
      </c>
      <c r="J43" s="213"/>
      <c r="K43" s="213" t="s">
        <v>512</v>
      </c>
      <c r="L43" s="213"/>
      <c r="M43" s="213"/>
    </row>
    <row r="44" spans="1:13" x14ac:dyDescent="0.25">
      <c r="A44" s="212" t="s">
        <v>573</v>
      </c>
      <c r="B44" s="211" t="s">
        <v>574</v>
      </c>
      <c r="C44" s="212"/>
      <c r="D44" s="212"/>
      <c r="E44" s="212"/>
      <c r="F44" s="212"/>
      <c r="G44" s="212"/>
      <c r="H44" s="212"/>
      <c r="I44" s="212"/>
      <c r="J44" s="212"/>
      <c r="K44" s="212"/>
      <c r="L44" s="212"/>
      <c r="M44" s="212"/>
    </row>
    <row r="45" spans="1:13" x14ac:dyDescent="0.25">
      <c r="A45" s="213">
        <v>1</v>
      </c>
      <c r="B45" s="214" t="s">
        <v>575</v>
      </c>
      <c r="C45" s="213" t="s">
        <v>571</v>
      </c>
      <c r="D45" s="213"/>
      <c r="E45" s="213" t="s">
        <v>571</v>
      </c>
      <c r="F45" s="213"/>
      <c r="G45" s="213" t="s">
        <v>571</v>
      </c>
      <c r="H45" s="213"/>
      <c r="I45" s="213" t="s">
        <v>518</v>
      </c>
      <c r="J45" s="213"/>
      <c r="K45" s="213" t="s">
        <v>518</v>
      </c>
      <c r="L45" s="213"/>
      <c r="M45" s="213"/>
    </row>
    <row r="46" spans="1:13" ht="25.5" x14ac:dyDescent="0.25">
      <c r="A46" s="213">
        <v>2</v>
      </c>
      <c r="B46" s="214" t="s">
        <v>576</v>
      </c>
      <c r="C46" s="213" t="s">
        <v>571</v>
      </c>
      <c r="D46" s="213"/>
      <c r="E46" s="213" t="s">
        <v>571</v>
      </c>
      <c r="F46" s="213"/>
      <c r="G46" s="213" t="s">
        <v>571</v>
      </c>
      <c r="H46" s="213"/>
      <c r="I46" s="213" t="s">
        <v>518</v>
      </c>
      <c r="J46" s="213"/>
      <c r="K46" s="213" t="s">
        <v>518</v>
      </c>
      <c r="L46" s="213"/>
      <c r="M46" s="213"/>
    </row>
  </sheetData>
  <mergeCells count="7">
    <mergeCell ref="M1:M2"/>
    <mergeCell ref="A1:B2"/>
    <mergeCell ref="C1:D1"/>
    <mergeCell ref="E1:F1"/>
    <mergeCell ref="G1:H1"/>
    <mergeCell ref="K1:L1"/>
    <mergeCell ref="I1:J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7"/>
  </sheetPr>
  <dimension ref="A1:C24"/>
  <sheetViews>
    <sheetView workbookViewId="0">
      <selection activeCell="J30" sqref="J30"/>
    </sheetView>
  </sheetViews>
  <sheetFormatPr defaultRowHeight="15" x14ac:dyDescent="0.25"/>
  <cols>
    <col min="1" max="1" width="23.5703125" customWidth="1"/>
    <col min="2" max="2" width="29.42578125" customWidth="1"/>
    <col min="3" max="3" width="32.42578125" customWidth="1"/>
  </cols>
  <sheetData>
    <row r="1" spans="1:3" x14ac:dyDescent="0.25">
      <c r="A1" s="215" t="s">
        <v>577</v>
      </c>
      <c r="B1" s="216" t="s">
        <v>578</v>
      </c>
      <c r="C1" s="216" t="s">
        <v>214</v>
      </c>
    </row>
    <row r="2" spans="1:3" x14ac:dyDescent="0.25">
      <c r="A2" s="252" t="s">
        <v>509</v>
      </c>
      <c r="B2" s="238" t="s">
        <v>579</v>
      </c>
      <c r="C2" s="217" t="s">
        <v>580</v>
      </c>
    </row>
    <row r="3" spans="1:3" x14ac:dyDescent="0.25">
      <c r="A3" s="252"/>
      <c r="B3" s="238" t="s">
        <v>581</v>
      </c>
      <c r="C3" s="217" t="s">
        <v>582</v>
      </c>
    </row>
    <row r="4" spans="1:3" x14ac:dyDescent="0.25">
      <c r="A4" s="238" t="s">
        <v>513</v>
      </c>
      <c r="B4" s="238" t="s">
        <v>583</v>
      </c>
      <c r="C4" s="217" t="s">
        <v>580</v>
      </c>
    </row>
    <row r="5" spans="1:3" ht="25.5" x14ac:dyDescent="0.25">
      <c r="A5" s="238" t="s">
        <v>516</v>
      </c>
      <c r="B5" s="238" t="s">
        <v>516</v>
      </c>
      <c r="C5" s="217" t="s">
        <v>584</v>
      </c>
    </row>
    <row r="6" spans="1:3" ht="25.5" x14ac:dyDescent="0.25">
      <c r="A6" s="238" t="s">
        <v>521</v>
      </c>
      <c r="B6" s="238" t="s">
        <v>585</v>
      </c>
      <c r="C6" s="217" t="s">
        <v>586</v>
      </c>
    </row>
    <row r="7" spans="1:3" x14ac:dyDescent="0.25">
      <c r="A7" s="252" t="s">
        <v>525</v>
      </c>
      <c r="B7" s="252" t="s">
        <v>587</v>
      </c>
      <c r="C7" s="217" t="s">
        <v>586</v>
      </c>
    </row>
    <row r="8" spans="1:3" ht="25.5" x14ac:dyDescent="0.25">
      <c r="A8" s="252"/>
      <c r="B8" s="252"/>
      <c r="C8" s="217" t="s">
        <v>588</v>
      </c>
    </row>
    <row r="9" spans="1:3" ht="26.25" thickBot="1" x14ac:dyDescent="0.3">
      <c r="A9" s="238" t="s">
        <v>529</v>
      </c>
      <c r="B9" s="238" t="s">
        <v>589</v>
      </c>
      <c r="C9" s="220" t="s">
        <v>590</v>
      </c>
    </row>
    <row r="10" spans="1:3" ht="26.25" thickBot="1" x14ac:dyDescent="0.3">
      <c r="A10" s="238" t="s">
        <v>530</v>
      </c>
      <c r="B10" s="238" t="s">
        <v>591</v>
      </c>
      <c r="C10" s="220" t="s">
        <v>590</v>
      </c>
    </row>
    <row r="11" spans="1:3" ht="15.75" thickBot="1" x14ac:dyDescent="0.3">
      <c r="A11" s="238" t="s">
        <v>592</v>
      </c>
      <c r="B11" s="238" t="s">
        <v>593</v>
      </c>
      <c r="C11" s="220" t="s">
        <v>594</v>
      </c>
    </row>
    <row r="12" spans="1:3" ht="25.5" x14ac:dyDescent="0.25">
      <c r="A12" s="238" t="s">
        <v>537</v>
      </c>
      <c r="B12" s="238" t="s">
        <v>595</v>
      </c>
      <c r="C12" s="217" t="s">
        <v>596</v>
      </c>
    </row>
    <row r="13" spans="1:3" ht="25.5" x14ac:dyDescent="0.25">
      <c r="A13" s="238" t="s">
        <v>597</v>
      </c>
      <c r="B13" s="238" t="s">
        <v>595</v>
      </c>
      <c r="C13" s="217" t="s">
        <v>598</v>
      </c>
    </row>
    <row r="14" spans="1:3" x14ac:dyDescent="0.25">
      <c r="A14" s="238" t="s">
        <v>544</v>
      </c>
      <c r="B14" s="238" t="s">
        <v>595</v>
      </c>
      <c r="C14" s="217" t="s">
        <v>599</v>
      </c>
    </row>
    <row r="15" spans="1:3" x14ac:dyDescent="0.25">
      <c r="A15" s="238" t="s">
        <v>547</v>
      </c>
      <c r="B15" s="238" t="s">
        <v>595</v>
      </c>
      <c r="C15" s="217" t="s">
        <v>600</v>
      </c>
    </row>
    <row r="16" spans="1:3" x14ac:dyDescent="0.25">
      <c r="A16" s="238" t="s">
        <v>551</v>
      </c>
      <c r="B16" s="238" t="s">
        <v>601</v>
      </c>
      <c r="C16" s="217" t="s">
        <v>602</v>
      </c>
    </row>
    <row r="17" spans="1:3" x14ac:dyDescent="0.25">
      <c r="A17" s="238" t="s">
        <v>552</v>
      </c>
      <c r="B17" s="238" t="s">
        <v>603</v>
      </c>
      <c r="C17" s="217" t="s">
        <v>602</v>
      </c>
    </row>
    <row r="18" spans="1:3" ht="25.5" x14ac:dyDescent="0.25">
      <c r="A18" s="249" t="s">
        <v>562</v>
      </c>
      <c r="B18" s="238" t="s">
        <v>604</v>
      </c>
      <c r="C18" s="221" t="s">
        <v>605</v>
      </c>
    </row>
    <row r="19" spans="1:3" ht="25.5" x14ac:dyDescent="0.25">
      <c r="A19" s="250"/>
      <c r="B19" s="238" t="s">
        <v>606</v>
      </c>
      <c r="C19" s="221" t="s">
        <v>607</v>
      </c>
    </row>
    <row r="20" spans="1:3" ht="25.5" x14ac:dyDescent="0.25">
      <c r="A20" s="250"/>
      <c r="B20" s="238" t="s">
        <v>608</v>
      </c>
      <c r="C20" s="221" t="s">
        <v>609</v>
      </c>
    </row>
    <row r="21" spans="1:3" x14ac:dyDescent="0.25">
      <c r="A21" s="251"/>
      <c r="B21" s="238" t="s">
        <v>610</v>
      </c>
      <c r="C21" s="221" t="s">
        <v>611</v>
      </c>
    </row>
    <row r="22" spans="1:3" ht="15" customHeight="1" x14ac:dyDescent="0.25">
      <c r="A22" s="238" t="s">
        <v>563</v>
      </c>
      <c r="B22" s="222" t="s">
        <v>612</v>
      </c>
      <c r="C22" s="221" t="s">
        <v>613</v>
      </c>
    </row>
    <row r="23" spans="1:3" x14ac:dyDescent="0.25">
      <c r="A23" s="238" t="s">
        <v>564</v>
      </c>
      <c r="B23" s="222" t="s">
        <v>614</v>
      </c>
      <c r="C23" s="221" t="s">
        <v>613</v>
      </c>
    </row>
    <row r="24" spans="1:3" x14ac:dyDescent="0.25">
      <c r="A24" s="238" t="s">
        <v>565</v>
      </c>
      <c r="B24" s="238"/>
      <c r="C24" s="221" t="s">
        <v>613</v>
      </c>
    </row>
  </sheetData>
  <mergeCells count="4">
    <mergeCell ref="A18:A21"/>
    <mergeCell ref="A2:A3"/>
    <mergeCell ref="A7:A8"/>
    <mergeCell ref="B7:B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7"/>
    <pageSetUpPr fitToPage="1"/>
  </sheetPr>
  <dimension ref="A1:L79"/>
  <sheetViews>
    <sheetView workbookViewId="0">
      <pane ySplit="3" topLeftCell="A45" activePane="bottomLeft" state="frozen"/>
      <selection pane="bottomLeft" activeCell="O63" sqref="O63"/>
    </sheetView>
  </sheetViews>
  <sheetFormatPr defaultRowHeight="15" x14ac:dyDescent="0.25"/>
  <cols>
    <col min="1" max="1" width="20" customWidth="1"/>
    <col min="2" max="2" width="11.28515625" customWidth="1"/>
    <col min="3" max="3" width="9" customWidth="1"/>
    <col min="4" max="4" width="8" customWidth="1"/>
    <col min="5" max="5" width="10" customWidth="1"/>
    <col min="6" max="6" width="9.7109375" customWidth="1"/>
    <col min="7" max="7" width="7.7109375" customWidth="1"/>
    <col min="8" max="8" width="8.140625" customWidth="1"/>
    <col min="9" max="9" width="8.7109375" customWidth="1"/>
    <col min="10" max="10" width="10" customWidth="1"/>
    <col min="11" max="11" width="7.85546875" customWidth="1"/>
    <col min="12" max="12" width="11" customWidth="1"/>
  </cols>
  <sheetData>
    <row r="1" spans="1:12" x14ac:dyDescent="0.25">
      <c r="A1" s="186" t="s">
        <v>615</v>
      </c>
      <c r="B1" s="187"/>
      <c r="C1" s="187"/>
      <c r="D1" s="187"/>
      <c r="E1" s="187"/>
      <c r="F1" s="187"/>
      <c r="G1" s="187"/>
      <c r="H1" s="187"/>
      <c r="I1" s="187"/>
      <c r="J1" s="187"/>
      <c r="K1" s="187"/>
      <c r="L1" s="187"/>
    </row>
    <row r="2" spans="1:12" ht="15" customHeight="1" x14ac:dyDescent="0.25">
      <c r="A2" s="253" t="s">
        <v>616</v>
      </c>
      <c r="B2" s="255" t="s">
        <v>617</v>
      </c>
      <c r="C2" s="256"/>
      <c r="D2" s="256"/>
      <c r="E2" s="256" t="s">
        <v>618</v>
      </c>
      <c r="F2" s="256"/>
      <c r="G2" s="256"/>
      <c r="H2" s="257"/>
      <c r="I2" s="224"/>
      <c r="J2" s="223"/>
      <c r="K2" s="255"/>
      <c r="L2" s="256" t="s">
        <v>619</v>
      </c>
    </row>
    <row r="3" spans="1:12" x14ac:dyDescent="0.25">
      <c r="A3" s="254"/>
      <c r="B3" s="223" t="s">
        <v>620</v>
      </c>
      <c r="C3" s="223" t="s">
        <v>621</v>
      </c>
      <c r="D3" s="223" t="s">
        <v>622</v>
      </c>
      <c r="E3" s="223" t="s">
        <v>503</v>
      </c>
      <c r="F3" s="223" t="s">
        <v>504</v>
      </c>
      <c r="G3" s="223" t="s">
        <v>623</v>
      </c>
      <c r="H3" s="223" t="s">
        <v>624</v>
      </c>
      <c r="I3" s="223" t="s">
        <v>625</v>
      </c>
      <c r="J3" s="223" t="s">
        <v>626</v>
      </c>
      <c r="K3" s="223" t="s">
        <v>627</v>
      </c>
      <c r="L3" s="223" t="s">
        <v>628</v>
      </c>
    </row>
    <row r="4" spans="1:12" x14ac:dyDescent="0.25">
      <c r="A4" s="225" t="s">
        <v>629</v>
      </c>
      <c r="B4" s="229">
        <f>+B5+B15+B34+B42+B47+B53+B62+B76</f>
        <v>36298.703933281016</v>
      </c>
      <c r="C4" s="229">
        <f t="shared" ref="C4:G4" si="0">+C5+C15+C34+C42+C47+C53+C62+C76</f>
        <v>8.1111133180517729</v>
      </c>
      <c r="D4" s="229">
        <f t="shared" si="0"/>
        <v>0.9437259314873524</v>
      </c>
      <c r="E4" s="229">
        <f t="shared" si="0"/>
        <v>4034.8543141378</v>
      </c>
      <c r="F4" s="229">
        <f t="shared" si="0"/>
        <v>2453.3576885060675</v>
      </c>
      <c r="G4" s="229">
        <f t="shared" si="0"/>
        <v>0</v>
      </c>
      <c r="H4" s="229">
        <v>0</v>
      </c>
      <c r="I4" s="229">
        <v>0</v>
      </c>
      <c r="J4" s="229">
        <v>0</v>
      </c>
      <c r="K4" s="229">
        <v>0</v>
      </c>
      <c r="L4" s="229">
        <f>+B4+(C4*CH4GWP)+(D4*N2OGWP)+E4+F4</f>
        <v>43249.804354365056</v>
      </c>
    </row>
    <row r="5" spans="1:12" x14ac:dyDescent="0.25">
      <c r="A5" s="226" t="s">
        <v>630</v>
      </c>
      <c r="B5" s="230">
        <f>+B6+B7+B8</f>
        <v>6462.0556479787492</v>
      </c>
      <c r="C5" s="230">
        <v>0</v>
      </c>
      <c r="D5" s="230">
        <v>0</v>
      </c>
      <c r="E5" s="230">
        <v>0</v>
      </c>
      <c r="F5" s="230">
        <v>0</v>
      </c>
      <c r="G5" s="230">
        <v>0</v>
      </c>
      <c r="H5" s="230">
        <v>0</v>
      </c>
      <c r="I5" s="230">
        <v>0</v>
      </c>
      <c r="J5" s="230">
        <v>0</v>
      </c>
      <c r="K5" s="230">
        <v>0</v>
      </c>
      <c r="L5" s="230">
        <f>+B5+(C5*CH4GWP)+(D5*N2OGWP)+E5+F5</f>
        <v>6462.0556479787492</v>
      </c>
    </row>
    <row r="6" spans="1:12" x14ac:dyDescent="0.25">
      <c r="A6" s="190" t="s">
        <v>631</v>
      </c>
      <c r="B6" s="231">
        <f>+'IPPU Summary'!W61</f>
        <v>5295.8739638517654</v>
      </c>
      <c r="C6" s="232"/>
      <c r="D6" s="232"/>
      <c r="E6" s="232"/>
      <c r="F6" s="232"/>
      <c r="G6" s="232"/>
      <c r="H6" s="231" t="s">
        <v>518</v>
      </c>
      <c r="I6" s="231" t="s">
        <v>518</v>
      </c>
      <c r="J6" s="231" t="s">
        <v>518</v>
      </c>
      <c r="K6" s="231" t="s">
        <v>518</v>
      </c>
      <c r="L6" s="231">
        <f>+B6+(C6*CH4GWP)+(D6*N2OGWP)+E6+F6</f>
        <v>5295.8739638517654</v>
      </c>
    </row>
    <row r="7" spans="1:12" x14ac:dyDescent="0.25">
      <c r="A7" s="190" t="s">
        <v>632</v>
      </c>
      <c r="B7" s="231">
        <f>+'IPPU Summary'!W62</f>
        <v>1045.2890791883435</v>
      </c>
      <c r="C7" s="232"/>
      <c r="D7" s="232"/>
      <c r="E7" s="232"/>
      <c r="F7" s="232"/>
      <c r="G7" s="232"/>
      <c r="H7" s="231" t="s">
        <v>518</v>
      </c>
      <c r="I7" s="231" t="s">
        <v>518</v>
      </c>
      <c r="J7" s="231" t="s">
        <v>518</v>
      </c>
      <c r="K7" s="231" t="s">
        <v>518</v>
      </c>
      <c r="L7" s="231">
        <f>+B7+(C7*CH4GWP)+(D7*N2OGWP)+E7+F7</f>
        <v>1045.2890791883435</v>
      </c>
    </row>
    <row r="8" spans="1:12" x14ac:dyDescent="0.25">
      <c r="A8" s="190" t="s">
        <v>633</v>
      </c>
      <c r="B8" s="231">
        <f>+'IPPU Summary'!W63</f>
        <v>120.89260493864002</v>
      </c>
      <c r="C8" s="232"/>
      <c r="D8" s="232"/>
      <c r="E8" s="232"/>
      <c r="F8" s="232"/>
      <c r="G8" s="232"/>
      <c r="H8" s="231" t="s">
        <v>518</v>
      </c>
      <c r="I8" s="231" t="s">
        <v>518</v>
      </c>
      <c r="J8" s="231" t="s">
        <v>518</v>
      </c>
      <c r="K8" s="231" t="s">
        <v>518</v>
      </c>
      <c r="L8" s="231">
        <f>+B8+(C8*CH4GWP)+(D8*N2OGWP)+E8+F8</f>
        <v>120.89260493864002</v>
      </c>
    </row>
    <row r="9" spans="1:12" x14ac:dyDescent="0.25">
      <c r="A9" s="190" t="s">
        <v>634</v>
      </c>
      <c r="B9" s="231" t="s">
        <v>518</v>
      </c>
      <c r="C9" s="231" t="s">
        <v>518</v>
      </c>
      <c r="D9" s="231" t="s">
        <v>518</v>
      </c>
      <c r="E9" s="231" t="s">
        <v>518</v>
      </c>
      <c r="F9" s="231" t="s">
        <v>518</v>
      </c>
      <c r="G9" s="231" t="s">
        <v>518</v>
      </c>
      <c r="H9" s="231" t="s">
        <v>518</v>
      </c>
      <c r="I9" s="231" t="s">
        <v>518</v>
      </c>
      <c r="J9" s="231" t="s">
        <v>518</v>
      </c>
      <c r="K9" s="231" t="s">
        <v>518</v>
      </c>
      <c r="L9" s="231" t="s">
        <v>518</v>
      </c>
    </row>
    <row r="10" spans="1:12" x14ac:dyDescent="0.25">
      <c r="A10" s="188" t="s">
        <v>635</v>
      </c>
      <c r="B10" s="233" t="s">
        <v>518</v>
      </c>
      <c r="C10" s="234"/>
      <c r="D10" s="234"/>
      <c r="E10" s="234"/>
      <c r="F10" s="234"/>
      <c r="G10" s="234"/>
      <c r="H10" s="231" t="s">
        <v>518</v>
      </c>
      <c r="I10" s="231" t="s">
        <v>518</v>
      </c>
      <c r="J10" s="231" t="s">
        <v>518</v>
      </c>
      <c r="K10" s="231" t="s">
        <v>518</v>
      </c>
      <c r="L10" s="231" t="s">
        <v>518</v>
      </c>
    </row>
    <row r="11" spans="1:12" x14ac:dyDescent="0.25">
      <c r="A11" s="188" t="s">
        <v>636</v>
      </c>
      <c r="B11" s="233" t="s">
        <v>518</v>
      </c>
      <c r="C11" s="234"/>
      <c r="D11" s="234"/>
      <c r="E11" s="234"/>
      <c r="F11" s="234"/>
      <c r="G11" s="234"/>
      <c r="H11" s="231" t="s">
        <v>518</v>
      </c>
      <c r="I11" s="231" t="s">
        <v>518</v>
      </c>
      <c r="J11" s="231" t="s">
        <v>518</v>
      </c>
      <c r="K11" s="231" t="s">
        <v>518</v>
      </c>
      <c r="L11" s="231" t="s">
        <v>518</v>
      </c>
    </row>
    <row r="12" spans="1:12" x14ac:dyDescent="0.25">
      <c r="A12" s="188" t="s">
        <v>637</v>
      </c>
      <c r="B12" s="233" t="s">
        <v>518</v>
      </c>
      <c r="C12" s="234"/>
      <c r="D12" s="234"/>
      <c r="E12" s="234"/>
      <c r="F12" s="234"/>
      <c r="G12" s="234"/>
      <c r="H12" s="231" t="s">
        <v>518</v>
      </c>
      <c r="I12" s="231" t="s">
        <v>518</v>
      </c>
      <c r="J12" s="231" t="s">
        <v>518</v>
      </c>
      <c r="K12" s="231" t="s">
        <v>518</v>
      </c>
      <c r="L12" s="231" t="s">
        <v>518</v>
      </c>
    </row>
    <row r="13" spans="1:12" x14ac:dyDescent="0.25">
      <c r="A13" s="188" t="s">
        <v>638</v>
      </c>
      <c r="B13" s="233" t="s">
        <v>518</v>
      </c>
      <c r="C13" s="234"/>
      <c r="D13" s="234"/>
      <c r="E13" s="234"/>
      <c r="F13" s="234"/>
      <c r="G13" s="234"/>
      <c r="H13" s="231" t="s">
        <v>518</v>
      </c>
      <c r="I13" s="231" t="s">
        <v>518</v>
      </c>
      <c r="J13" s="231" t="s">
        <v>518</v>
      </c>
      <c r="K13" s="231" t="s">
        <v>518</v>
      </c>
      <c r="L13" s="231" t="s">
        <v>518</v>
      </c>
    </row>
    <row r="14" spans="1:12" x14ac:dyDescent="0.25">
      <c r="A14" s="190" t="s">
        <v>639</v>
      </c>
      <c r="B14" s="232"/>
      <c r="C14" s="232"/>
      <c r="D14" s="232"/>
      <c r="E14" s="232"/>
      <c r="F14" s="232"/>
      <c r="G14" s="232"/>
      <c r="H14" s="231" t="s">
        <v>518</v>
      </c>
      <c r="I14" s="231" t="s">
        <v>518</v>
      </c>
      <c r="J14" s="231" t="s">
        <v>518</v>
      </c>
      <c r="K14" s="231" t="s">
        <v>518</v>
      </c>
      <c r="L14" s="231" t="s">
        <v>518</v>
      </c>
    </row>
    <row r="15" spans="1:12" x14ac:dyDescent="0.25">
      <c r="A15" s="226" t="s">
        <v>640</v>
      </c>
      <c r="B15" s="230">
        <f>+'2B Summary'!W18</f>
        <v>523.86041380777033</v>
      </c>
      <c r="C15" s="230">
        <f>+'IPPU Summary'!W99/CH4GWP</f>
        <v>7.9649138060517721</v>
      </c>
      <c r="D15" s="230">
        <f>+'IPPU Summary'!W121/N2OGWP</f>
        <v>0.9437259314873524</v>
      </c>
      <c r="E15" s="230">
        <v>0</v>
      </c>
      <c r="F15" s="230">
        <v>0</v>
      </c>
      <c r="G15" s="230">
        <v>0</v>
      </c>
      <c r="H15" s="230">
        <v>0</v>
      </c>
      <c r="I15" s="230">
        <v>0</v>
      </c>
      <c r="J15" s="230">
        <v>0</v>
      </c>
      <c r="K15" s="230">
        <v>0</v>
      </c>
      <c r="L15" s="230">
        <f>+B15+(C15*CH4GWP)+(D15*N2OGWP)+E15+F15</f>
        <v>983.67864249593674</v>
      </c>
    </row>
    <row r="16" spans="1:12" x14ac:dyDescent="0.25">
      <c r="A16" s="190" t="s">
        <v>641</v>
      </c>
      <c r="B16" s="231" t="s">
        <v>535</v>
      </c>
      <c r="C16" s="231" t="s">
        <v>535</v>
      </c>
      <c r="D16" s="232"/>
      <c r="E16" s="232"/>
      <c r="F16" s="232"/>
      <c r="G16" s="232"/>
      <c r="H16" s="231" t="s">
        <v>518</v>
      </c>
      <c r="I16" s="231" t="s">
        <v>518</v>
      </c>
      <c r="J16" s="231" t="s">
        <v>518</v>
      </c>
      <c r="K16" s="231" t="s">
        <v>518</v>
      </c>
      <c r="L16" s="231" t="s">
        <v>535</v>
      </c>
    </row>
    <row r="17" spans="1:12" x14ac:dyDescent="0.25">
      <c r="A17" s="190" t="s">
        <v>642</v>
      </c>
      <c r="B17" s="232"/>
      <c r="C17" s="232"/>
      <c r="D17" s="231" t="s">
        <v>535</v>
      </c>
      <c r="E17" s="232"/>
      <c r="F17" s="232"/>
      <c r="G17" s="232"/>
      <c r="H17" s="231" t="s">
        <v>518</v>
      </c>
      <c r="I17" s="231" t="s">
        <v>518</v>
      </c>
      <c r="J17" s="231" t="s">
        <v>518</v>
      </c>
      <c r="K17" s="231" t="s">
        <v>518</v>
      </c>
      <c r="L17" s="231" t="s">
        <v>535</v>
      </c>
    </row>
    <row r="18" spans="1:12" x14ac:dyDescent="0.25">
      <c r="A18" s="190" t="s">
        <v>643</v>
      </c>
      <c r="B18" s="232"/>
      <c r="C18" s="232"/>
      <c r="D18" s="231" t="s">
        <v>518</v>
      </c>
      <c r="E18" s="232"/>
      <c r="F18" s="232"/>
      <c r="G18" s="232"/>
      <c r="H18" s="231" t="s">
        <v>518</v>
      </c>
      <c r="I18" s="231" t="s">
        <v>518</v>
      </c>
      <c r="J18" s="231" t="s">
        <v>518</v>
      </c>
      <c r="K18" s="231" t="s">
        <v>518</v>
      </c>
      <c r="L18" s="231" t="s">
        <v>518</v>
      </c>
    </row>
    <row r="19" spans="1:12" x14ac:dyDescent="0.25">
      <c r="A19" s="190" t="s">
        <v>644</v>
      </c>
      <c r="B19" s="232"/>
      <c r="C19" s="232"/>
      <c r="D19" s="231" t="s">
        <v>518</v>
      </c>
      <c r="E19" s="232"/>
      <c r="F19" s="232"/>
      <c r="G19" s="232"/>
      <c r="H19" s="231" t="s">
        <v>518</v>
      </c>
      <c r="I19" s="231" t="s">
        <v>518</v>
      </c>
      <c r="J19" s="231" t="s">
        <v>518</v>
      </c>
      <c r="K19" s="231" t="s">
        <v>518</v>
      </c>
      <c r="L19" s="231" t="s">
        <v>518</v>
      </c>
    </row>
    <row r="20" spans="1:12" x14ac:dyDescent="0.25">
      <c r="A20" s="190" t="s">
        <v>645</v>
      </c>
      <c r="B20" s="231" t="s">
        <v>535</v>
      </c>
      <c r="C20" s="231" t="s">
        <v>518</v>
      </c>
      <c r="D20" s="232"/>
      <c r="E20" s="232"/>
      <c r="F20" s="232"/>
      <c r="G20" s="232"/>
      <c r="H20" s="231" t="s">
        <v>518</v>
      </c>
      <c r="I20" s="231" t="s">
        <v>518</v>
      </c>
      <c r="J20" s="231" t="s">
        <v>518</v>
      </c>
      <c r="K20" s="231" t="s">
        <v>518</v>
      </c>
      <c r="L20" s="231" t="s">
        <v>535</v>
      </c>
    </row>
    <row r="21" spans="1:12" x14ac:dyDescent="0.25">
      <c r="A21" s="190" t="s">
        <v>646</v>
      </c>
      <c r="B21" s="231" t="s">
        <v>535</v>
      </c>
      <c r="C21" s="232"/>
      <c r="D21" s="232"/>
      <c r="E21" s="232"/>
      <c r="F21" s="232"/>
      <c r="G21" s="232"/>
      <c r="H21" s="231" t="s">
        <v>518</v>
      </c>
      <c r="I21" s="231" t="s">
        <v>518</v>
      </c>
      <c r="J21" s="231" t="s">
        <v>518</v>
      </c>
      <c r="K21" s="231" t="s">
        <v>518</v>
      </c>
      <c r="L21" s="231" t="s">
        <v>535</v>
      </c>
    </row>
    <row r="22" spans="1:12" x14ac:dyDescent="0.25">
      <c r="A22" s="190" t="s">
        <v>647</v>
      </c>
      <c r="B22" s="231" t="s">
        <v>518</v>
      </c>
      <c r="C22" s="232"/>
      <c r="D22" s="232"/>
      <c r="E22" s="232"/>
      <c r="F22" s="232"/>
      <c r="G22" s="232"/>
      <c r="H22" s="231" t="s">
        <v>518</v>
      </c>
      <c r="I22" s="231" t="s">
        <v>518</v>
      </c>
      <c r="J22" s="231" t="s">
        <v>518</v>
      </c>
      <c r="K22" s="231" t="s">
        <v>518</v>
      </c>
      <c r="L22" s="231" t="s">
        <v>518</v>
      </c>
    </row>
    <row r="23" spans="1:12" x14ac:dyDescent="0.25">
      <c r="A23" s="190" t="s">
        <v>648</v>
      </c>
      <c r="B23" s="231" t="s">
        <v>535</v>
      </c>
      <c r="C23" s="231" t="s">
        <v>535</v>
      </c>
      <c r="D23" s="231" t="s">
        <v>518</v>
      </c>
      <c r="E23" s="231" t="s">
        <v>518</v>
      </c>
      <c r="F23" s="231" t="s">
        <v>518</v>
      </c>
      <c r="G23" s="231" t="s">
        <v>518</v>
      </c>
      <c r="H23" s="231" t="s">
        <v>518</v>
      </c>
      <c r="I23" s="231" t="s">
        <v>518</v>
      </c>
      <c r="J23" s="231" t="s">
        <v>518</v>
      </c>
      <c r="K23" s="231" t="s">
        <v>518</v>
      </c>
      <c r="L23" s="231" t="s">
        <v>535</v>
      </c>
    </row>
    <row r="24" spans="1:12" x14ac:dyDescent="0.25">
      <c r="A24" s="188" t="s">
        <v>649</v>
      </c>
      <c r="B24" s="233" t="s">
        <v>512</v>
      </c>
      <c r="C24" s="233" t="s">
        <v>512</v>
      </c>
      <c r="D24" s="234"/>
      <c r="E24" s="234"/>
      <c r="F24" s="234"/>
      <c r="G24" s="234"/>
      <c r="H24" s="231" t="s">
        <v>512</v>
      </c>
      <c r="I24" s="231" t="s">
        <v>512</v>
      </c>
      <c r="J24" s="231" t="s">
        <v>512</v>
      </c>
      <c r="K24" s="231" t="s">
        <v>512</v>
      </c>
      <c r="L24" s="231" t="s">
        <v>512</v>
      </c>
    </row>
    <row r="25" spans="1:12" x14ac:dyDescent="0.25">
      <c r="A25" s="188" t="s">
        <v>650</v>
      </c>
      <c r="B25" s="233" t="s">
        <v>512</v>
      </c>
      <c r="C25" s="233" t="s">
        <v>512</v>
      </c>
      <c r="D25" s="234"/>
      <c r="E25" s="234"/>
      <c r="F25" s="234"/>
      <c r="G25" s="234"/>
      <c r="H25" s="231" t="s">
        <v>512</v>
      </c>
      <c r="I25" s="231" t="s">
        <v>512</v>
      </c>
      <c r="J25" s="231" t="s">
        <v>512</v>
      </c>
      <c r="K25" s="231" t="s">
        <v>512</v>
      </c>
      <c r="L25" s="231" t="s">
        <v>512</v>
      </c>
    </row>
    <row r="26" spans="1:12" x14ac:dyDescent="0.25">
      <c r="A26" s="188" t="s">
        <v>651</v>
      </c>
      <c r="B26" s="233" t="s">
        <v>512</v>
      </c>
      <c r="C26" s="233" t="s">
        <v>512</v>
      </c>
      <c r="D26" s="234"/>
      <c r="E26" s="234"/>
      <c r="F26" s="234"/>
      <c r="G26" s="234"/>
      <c r="H26" s="231" t="s">
        <v>512</v>
      </c>
      <c r="I26" s="231" t="s">
        <v>512</v>
      </c>
      <c r="J26" s="231" t="s">
        <v>512</v>
      </c>
      <c r="K26" s="231" t="s">
        <v>512</v>
      </c>
      <c r="L26" s="231" t="s">
        <v>512</v>
      </c>
    </row>
    <row r="27" spans="1:12" x14ac:dyDescent="0.25">
      <c r="A27" s="188" t="s">
        <v>652</v>
      </c>
      <c r="B27" s="233" t="s">
        <v>512</v>
      </c>
      <c r="C27" s="233" t="s">
        <v>512</v>
      </c>
      <c r="D27" s="234"/>
      <c r="E27" s="234"/>
      <c r="F27" s="234"/>
      <c r="G27" s="234"/>
      <c r="H27" s="231" t="s">
        <v>512</v>
      </c>
      <c r="I27" s="231" t="s">
        <v>512</v>
      </c>
      <c r="J27" s="231" t="s">
        <v>512</v>
      </c>
      <c r="K27" s="231" t="s">
        <v>512</v>
      </c>
      <c r="L27" s="231" t="s">
        <v>512</v>
      </c>
    </row>
    <row r="28" spans="1:12" x14ac:dyDescent="0.25">
      <c r="A28" s="188" t="s">
        <v>653</v>
      </c>
      <c r="B28" s="233" t="s">
        <v>512</v>
      </c>
      <c r="C28" s="233" t="s">
        <v>512</v>
      </c>
      <c r="D28" s="234"/>
      <c r="E28" s="234"/>
      <c r="F28" s="234"/>
      <c r="G28" s="234"/>
      <c r="H28" s="231" t="s">
        <v>512</v>
      </c>
      <c r="I28" s="231" t="s">
        <v>512</v>
      </c>
      <c r="J28" s="231" t="s">
        <v>512</v>
      </c>
      <c r="K28" s="231" t="s">
        <v>512</v>
      </c>
      <c r="L28" s="231" t="s">
        <v>512</v>
      </c>
    </row>
    <row r="29" spans="1:12" x14ac:dyDescent="0.25">
      <c r="A29" s="188" t="s">
        <v>654</v>
      </c>
      <c r="B29" s="233" t="s">
        <v>535</v>
      </c>
      <c r="C29" s="233" t="s">
        <v>535</v>
      </c>
      <c r="D29" s="234"/>
      <c r="E29" s="234"/>
      <c r="F29" s="234"/>
      <c r="G29" s="234"/>
      <c r="H29" s="231" t="s">
        <v>518</v>
      </c>
      <c r="I29" s="231" t="s">
        <v>518</v>
      </c>
      <c r="J29" s="231" t="s">
        <v>518</v>
      </c>
      <c r="K29" s="231" t="s">
        <v>518</v>
      </c>
      <c r="L29" s="233" t="s">
        <v>535</v>
      </c>
    </row>
    <row r="30" spans="1:12" x14ac:dyDescent="0.25">
      <c r="A30" s="190" t="s">
        <v>655</v>
      </c>
      <c r="B30" s="231" t="s">
        <v>518</v>
      </c>
      <c r="C30" s="231" t="s">
        <v>518</v>
      </c>
      <c r="D30" s="231" t="s">
        <v>518</v>
      </c>
      <c r="E30" s="231" t="s">
        <v>518</v>
      </c>
      <c r="F30" s="231" t="s">
        <v>518</v>
      </c>
      <c r="G30" s="231" t="s">
        <v>518</v>
      </c>
      <c r="H30" s="231" t="s">
        <v>518</v>
      </c>
      <c r="I30" s="231" t="s">
        <v>518</v>
      </c>
      <c r="J30" s="231" t="s">
        <v>518</v>
      </c>
      <c r="K30" s="231" t="s">
        <v>518</v>
      </c>
      <c r="L30" s="231" t="s">
        <v>518</v>
      </c>
    </row>
    <row r="31" spans="1:12" x14ac:dyDescent="0.25">
      <c r="A31" s="188" t="s">
        <v>656</v>
      </c>
      <c r="B31" s="234"/>
      <c r="C31" s="234"/>
      <c r="D31" s="234"/>
      <c r="E31" s="233" t="s">
        <v>518</v>
      </c>
      <c r="F31" s="234"/>
      <c r="G31" s="234"/>
      <c r="H31" s="231" t="s">
        <v>518</v>
      </c>
      <c r="I31" s="231" t="s">
        <v>518</v>
      </c>
      <c r="J31" s="231" t="s">
        <v>518</v>
      </c>
      <c r="K31" s="231" t="s">
        <v>518</v>
      </c>
      <c r="L31" s="233" t="s">
        <v>518</v>
      </c>
    </row>
    <row r="32" spans="1:12" x14ac:dyDescent="0.25">
      <c r="A32" s="188" t="s">
        <v>657</v>
      </c>
      <c r="B32" s="234"/>
      <c r="C32" s="234"/>
      <c r="D32" s="234"/>
      <c r="E32" s="234"/>
      <c r="F32" s="234"/>
      <c r="G32" s="234"/>
      <c r="H32" s="231" t="s">
        <v>518</v>
      </c>
      <c r="I32" s="231" t="s">
        <v>518</v>
      </c>
      <c r="J32" s="231" t="s">
        <v>518</v>
      </c>
      <c r="K32" s="231" t="s">
        <v>518</v>
      </c>
      <c r="L32" s="233">
        <f t="shared" ref="L32:L37" si="1">+B32+(C32*CH4GWP)+(D32*N2OGWP)+E32+F32</f>
        <v>0</v>
      </c>
    </row>
    <row r="33" spans="1:12" x14ac:dyDescent="0.25">
      <c r="A33" s="190" t="s">
        <v>658</v>
      </c>
      <c r="B33" s="232"/>
      <c r="C33" s="232"/>
      <c r="D33" s="232"/>
      <c r="E33" s="232"/>
      <c r="F33" s="232"/>
      <c r="G33" s="232"/>
      <c r="H33" s="231" t="s">
        <v>518</v>
      </c>
      <c r="I33" s="231" t="s">
        <v>518</v>
      </c>
      <c r="J33" s="231" t="s">
        <v>518</v>
      </c>
      <c r="K33" s="231" t="s">
        <v>518</v>
      </c>
      <c r="L33" s="231">
        <f t="shared" si="1"/>
        <v>0</v>
      </c>
    </row>
    <row r="34" spans="1:12" x14ac:dyDescent="0.25">
      <c r="A34" s="226" t="s">
        <v>659</v>
      </c>
      <c r="B34" s="230">
        <f>+SUM(B35:B37,B39:B41)</f>
        <v>29037.150045352562</v>
      </c>
      <c r="C34" s="230">
        <f>+C35+C36</f>
        <v>0.146199512</v>
      </c>
      <c r="D34" s="230">
        <v>0</v>
      </c>
      <c r="E34" s="230">
        <v>0</v>
      </c>
      <c r="F34" s="230">
        <f>+F37</f>
        <v>2453.3576885060675</v>
      </c>
      <c r="G34" s="230">
        <v>0</v>
      </c>
      <c r="H34" s="230">
        <v>0</v>
      </c>
      <c r="I34" s="230">
        <v>0</v>
      </c>
      <c r="J34" s="230">
        <v>0</v>
      </c>
      <c r="K34" s="230">
        <v>0</v>
      </c>
      <c r="L34" s="230">
        <f t="shared" si="1"/>
        <v>31493.577923610632</v>
      </c>
    </row>
    <row r="35" spans="1:12" x14ac:dyDescent="0.25">
      <c r="A35" s="190" t="s">
        <v>660</v>
      </c>
      <c r="B35" s="231">
        <f>+'2C Summary'!W16</f>
        <v>15074.336748610733</v>
      </c>
      <c r="C35" s="231">
        <f>+'IPPU Summary'!W111/CH4GWP</f>
        <v>0</v>
      </c>
      <c r="D35" s="232"/>
      <c r="E35" s="232"/>
      <c r="F35" s="232"/>
      <c r="G35" s="232"/>
      <c r="H35" s="231" t="s">
        <v>518</v>
      </c>
      <c r="I35" s="231" t="s">
        <v>518</v>
      </c>
      <c r="J35" s="231" t="s">
        <v>518</v>
      </c>
      <c r="K35" s="231" t="s">
        <v>518</v>
      </c>
      <c r="L35" s="231">
        <f t="shared" si="1"/>
        <v>15074.336748610733</v>
      </c>
    </row>
    <row r="36" spans="1:12" x14ac:dyDescent="0.25">
      <c r="A36" s="190" t="s">
        <v>661</v>
      </c>
      <c r="B36" s="231">
        <f>+'2C Summary'!W17</f>
        <v>12572.294614347698</v>
      </c>
      <c r="C36" s="231">
        <f>+'IPPU Summary'!W112/CH4GWP</f>
        <v>0.146199512</v>
      </c>
      <c r="D36" s="232"/>
      <c r="E36" s="232"/>
      <c r="F36" s="232"/>
      <c r="G36" s="232"/>
      <c r="H36" s="231" t="s">
        <v>518</v>
      </c>
      <c r="I36" s="231" t="s">
        <v>518</v>
      </c>
      <c r="J36" s="231" t="s">
        <v>518</v>
      </c>
      <c r="K36" s="231" t="s">
        <v>518</v>
      </c>
      <c r="L36" s="231">
        <f t="shared" si="1"/>
        <v>12575.364804099698</v>
      </c>
    </row>
    <row r="37" spans="1:12" x14ac:dyDescent="0.25">
      <c r="A37" s="190" t="s">
        <v>662</v>
      </c>
      <c r="B37" s="231">
        <f>+'2C Summary'!W18</f>
        <v>1322.4596915861214</v>
      </c>
      <c r="C37" s="232"/>
      <c r="D37" s="232"/>
      <c r="E37" s="232"/>
      <c r="F37" s="231">
        <f>+'IPPU Summary'!W138</f>
        <v>2453.3576885060675</v>
      </c>
      <c r="G37" s="232"/>
      <c r="H37" s="231" t="s">
        <v>518</v>
      </c>
      <c r="I37" s="231" t="s">
        <v>518</v>
      </c>
      <c r="J37" s="231" t="s">
        <v>518</v>
      </c>
      <c r="K37" s="231" t="s">
        <v>518</v>
      </c>
      <c r="L37" s="231">
        <f t="shared" si="1"/>
        <v>3775.8173800921886</v>
      </c>
    </row>
    <row r="38" spans="1:12" x14ac:dyDescent="0.25">
      <c r="A38" s="190" t="s">
        <v>663</v>
      </c>
      <c r="B38" s="231" t="s">
        <v>512</v>
      </c>
      <c r="C38" s="232"/>
      <c r="D38" s="232"/>
      <c r="E38" s="232"/>
      <c r="F38" s="232"/>
      <c r="G38" s="231" t="s">
        <v>512</v>
      </c>
      <c r="H38" s="231" t="s">
        <v>512</v>
      </c>
      <c r="I38" s="231" t="s">
        <v>512</v>
      </c>
      <c r="J38" s="231" t="s">
        <v>512</v>
      </c>
      <c r="K38" s="231" t="s">
        <v>512</v>
      </c>
      <c r="L38" s="231" t="s">
        <v>512</v>
      </c>
    </row>
    <row r="39" spans="1:12" x14ac:dyDescent="0.25">
      <c r="A39" s="190" t="s">
        <v>664</v>
      </c>
      <c r="B39" s="231">
        <f>+'2C Summary'!W20</f>
        <v>21.743045827186773</v>
      </c>
      <c r="C39" s="232"/>
      <c r="D39" s="232"/>
      <c r="E39" s="232"/>
      <c r="F39" s="232"/>
      <c r="G39" s="232"/>
      <c r="H39" s="231" t="s">
        <v>518</v>
      </c>
      <c r="I39" s="231" t="s">
        <v>518</v>
      </c>
      <c r="J39" s="231" t="s">
        <v>518</v>
      </c>
      <c r="K39" s="231" t="s">
        <v>518</v>
      </c>
      <c r="L39" s="231">
        <f t="shared" ref="L39:L47" si="2">+B39+(C39*CH4GWP)+(D39*N2OGWP)+E39+F39</f>
        <v>21.743045827186773</v>
      </c>
    </row>
    <row r="40" spans="1:12" x14ac:dyDescent="0.25">
      <c r="A40" s="190" t="s">
        <v>665</v>
      </c>
      <c r="B40" s="231">
        <f>+'2C Summary'!W21</f>
        <v>46.315944980820788</v>
      </c>
      <c r="C40" s="232"/>
      <c r="D40" s="232"/>
      <c r="E40" s="232"/>
      <c r="F40" s="232"/>
      <c r="G40" s="232"/>
      <c r="H40" s="231" t="s">
        <v>518</v>
      </c>
      <c r="I40" s="231" t="s">
        <v>518</v>
      </c>
      <c r="J40" s="231" t="s">
        <v>518</v>
      </c>
      <c r="K40" s="231" t="s">
        <v>518</v>
      </c>
      <c r="L40" s="231">
        <f t="shared" si="2"/>
        <v>46.315944980820788</v>
      </c>
    </row>
    <row r="41" spans="1:12" x14ac:dyDescent="0.25">
      <c r="A41" s="190" t="s">
        <v>666</v>
      </c>
      <c r="B41" s="231">
        <f>+'2C Summary'!W22</f>
        <v>0</v>
      </c>
      <c r="C41" s="232"/>
      <c r="D41" s="232"/>
      <c r="E41" s="232"/>
      <c r="F41" s="232"/>
      <c r="G41" s="232"/>
      <c r="H41" s="231" t="s">
        <v>518</v>
      </c>
      <c r="I41" s="231" t="s">
        <v>518</v>
      </c>
      <c r="J41" s="231" t="s">
        <v>518</v>
      </c>
      <c r="K41" s="231" t="s">
        <v>518</v>
      </c>
      <c r="L41" s="231">
        <f t="shared" si="2"/>
        <v>0</v>
      </c>
    </row>
    <row r="42" spans="1:12" x14ac:dyDescent="0.25">
      <c r="A42" s="226" t="s">
        <v>667</v>
      </c>
      <c r="B42" s="230">
        <f>+B43+B44</f>
        <v>275.63782614194014</v>
      </c>
      <c r="C42" s="230">
        <v>0</v>
      </c>
      <c r="D42" s="230">
        <v>0</v>
      </c>
      <c r="E42" s="230">
        <v>0</v>
      </c>
      <c r="F42" s="230">
        <v>0</v>
      </c>
      <c r="G42" s="230">
        <v>0</v>
      </c>
      <c r="H42" s="230">
        <v>0</v>
      </c>
      <c r="I42" s="230">
        <v>0</v>
      </c>
      <c r="J42" s="230">
        <v>0</v>
      </c>
      <c r="K42" s="230">
        <v>0</v>
      </c>
      <c r="L42" s="230">
        <f t="shared" si="2"/>
        <v>275.63782614194014</v>
      </c>
    </row>
    <row r="43" spans="1:12" x14ac:dyDescent="0.25">
      <c r="A43" s="190" t="s">
        <v>668</v>
      </c>
      <c r="B43" s="231">
        <f>+'2D Summary'!W5</f>
        <v>272.94134139337575</v>
      </c>
      <c r="C43" s="232"/>
      <c r="D43" s="232"/>
      <c r="E43" s="232"/>
      <c r="F43" s="232"/>
      <c r="G43" s="232"/>
      <c r="H43" s="231" t="s">
        <v>518</v>
      </c>
      <c r="I43" s="231" t="s">
        <v>518</v>
      </c>
      <c r="J43" s="231" t="s">
        <v>518</v>
      </c>
      <c r="K43" s="231" t="s">
        <v>518</v>
      </c>
      <c r="L43" s="231">
        <f t="shared" si="2"/>
        <v>272.94134139337575</v>
      </c>
    </row>
    <row r="44" spans="1:12" x14ac:dyDescent="0.25">
      <c r="A44" s="190" t="s">
        <v>669</v>
      </c>
      <c r="B44" s="231">
        <f>+'2D Summary'!W6</f>
        <v>2.6964847485643841</v>
      </c>
      <c r="C44" s="232"/>
      <c r="D44" s="232"/>
      <c r="E44" s="232"/>
      <c r="F44" s="232"/>
      <c r="G44" s="232"/>
      <c r="H44" s="231" t="s">
        <v>518</v>
      </c>
      <c r="I44" s="231" t="s">
        <v>518</v>
      </c>
      <c r="J44" s="231" t="s">
        <v>518</v>
      </c>
      <c r="K44" s="231" t="s">
        <v>518</v>
      </c>
      <c r="L44" s="231">
        <f t="shared" si="2"/>
        <v>2.6964847485643841</v>
      </c>
    </row>
    <row r="45" spans="1:12" x14ac:dyDescent="0.25">
      <c r="A45" s="190" t="s">
        <v>670</v>
      </c>
      <c r="B45" s="232"/>
      <c r="C45" s="232"/>
      <c r="D45" s="232"/>
      <c r="E45" s="232"/>
      <c r="F45" s="232"/>
      <c r="G45" s="232"/>
      <c r="H45" s="231" t="s">
        <v>518</v>
      </c>
      <c r="I45" s="231" t="s">
        <v>518</v>
      </c>
      <c r="J45" s="231" t="s">
        <v>518</v>
      </c>
      <c r="K45" s="231" t="s">
        <v>518</v>
      </c>
      <c r="L45" s="231">
        <f t="shared" si="2"/>
        <v>0</v>
      </c>
    </row>
    <row r="46" spans="1:12" x14ac:dyDescent="0.25">
      <c r="A46" s="190" t="s">
        <v>671</v>
      </c>
      <c r="B46" s="232"/>
      <c r="C46" s="232"/>
      <c r="D46" s="232"/>
      <c r="E46" s="232"/>
      <c r="F46" s="232"/>
      <c r="G46" s="232"/>
      <c r="H46" s="231" t="s">
        <v>518</v>
      </c>
      <c r="I46" s="231" t="s">
        <v>518</v>
      </c>
      <c r="J46" s="231" t="s">
        <v>518</v>
      </c>
      <c r="K46" s="231" t="s">
        <v>518</v>
      </c>
      <c r="L46" s="231">
        <f t="shared" si="2"/>
        <v>0</v>
      </c>
    </row>
    <row r="47" spans="1:12" x14ac:dyDescent="0.25">
      <c r="A47" s="226" t="s">
        <v>672</v>
      </c>
      <c r="B47" s="230">
        <v>0</v>
      </c>
      <c r="C47" s="230">
        <v>0</v>
      </c>
      <c r="D47" s="230">
        <v>0</v>
      </c>
      <c r="E47" s="230">
        <v>0</v>
      </c>
      <c r="F47" s="230">
        <v>0</v>
      </c>
      <c r="G47" s="230">
        <v>0</v>
      </c>
      <c r="H47" s="230">
        <v>0</v>
      </c>
      <c r="I47" s="230">
        <v>0</v>
      </c>
      <c r="J47" s="230">
        <v>0</v>
      </c>
      <c r="K47" s="230">
        <v>0</v>
      </c>
      <c r="L47" s="230">
        <f t="shared" si="2"/>
        <v>0</v>
      </c>
    </row>
    <row r="48" spans="1:12" x14ac:dyDescent="0.25">
      <c r="A48" s="190" t="s">
        <v>673</v>
      </c>
      <c r="B48" s="232"/>
      <c r="C48" s="232"/>
      <c r="D48" s="232"/>
      <c r="E48" s="231" t="s">
        <v>518</v>
      </c>
      <c r="F48" s="231" t="s">
        <v>518</v>
      </c>
      <c r="G48" s="231" t="s">
        <v>518</v>
      </c>
      <c r="H48" s="231" t="s">
        <v>518</v>
      </c>
      <c r="I48" s="231" t="s">
        <v>518</v>
      </c>
      <c r="J48" s="231" t="s">
        <v>518</v>
      </c>
      <c r="K48" s="231" t="s">
        <v>518</v>
      </c>
      <c r="L48" s="231" t="s">
        <v>518</v>
      </c>
    </row>
    <row r="49" spans="1:12" x14ac:dyDescent="0.25">
      <c r="A49" s="190" t="s">
        <v>674</v>
      </c>
      <c r="B49" s="232"/>
      <c r="C49" s="232"/>
      <c r="D49" s="232"/>
      <c r="E49" s="232"/>
      <c r="F49" s="231" t="s">
        <v>518</v>
      </c>
      <c r="G49" s="231" t="s">
        <v>518</v>
      </c>
      <c r="H49" s="231" t="s">
        <v>518</v>
      </c>
      <c r="I49" s="231" t="s">
        <v>518</v>
      </c>
      <c r="J49" s="231" t="s">
        <v>518</v>
      </c>
      <c r="K49" s="231" t="s">
        <v>518</v>
      </c>
      <c r="L49" s="231" t="s">
        <v>518</v>
      </c>
    </row>
    <row r="50" spans="1:12" x14ac:dyDescent="0.25">
      <c r="A50" s="190" t="s">
        <v>675</v>
      </c>
      <c r="B50" s="232"/>
      <c r="C50" s="232"/>
      <c r="D50" s="232"/>
      <c r="E50" s="232"/>
      <c r="F50" s="231" t="s">
        <v>518</v>
      </c>
      <c r="G50" s="232"/>
      <c r="H50" s="231" t="s">
        <v>518</v>
      </c>
      <c r="I50" s="231" t="s">
        <v>518</v>
      </c>
      <c r="J50" s="231" t="s">
        <v>518</v>
      </c>
      <c r="K50" s="231" t="s">
        <v>518</v>
      </c>
      <c r="L50" s="231" t="s">
        <v>518</v>
      </c>
    </row>
    <row r="51" spans="1:12" x14ac:dyDescent="0.25">
      <c r="A51" s="190" t="s">
        <v>676</v>
      </c>
      <c r="B51" s="232"/>
      <c r="C51" s="232"/>
      <c r="D51" s="232"/>
      <c r="E51" s="232"/>
      <c r="F51" s="231" t="s">
        <v>518</v>
      </c>
      <c r="G51" s="232"/>
      <c r="H51" s="231" t="s">
        <v>518</v>
      </c>
      <c r="I51" s="231" t="s">
        <v>518</v>
      </c>
      <c r="J51" s="231" t="s">
        <v>518</v>
      </c>
      <c r="K51" s="231" t="s">
        <v>518</v>
      </c>
      <c r="L51" s="231" t="s">
        <v>518</v>
      </c>
    </row>
    <row r="52" spans="1:12" x14ac:dyDescent="0.25">
      <c r="A52" s="190" t="s">
        <v>677</v>
      </c>
      <c r="B52" s="232"/>
      <c r="C52" s="232"/>
      <c r="D52" s="232"/>
      <c r="E52" s="232"/>
      <c r="F52" s="232"/>
      <c r="G52" s="232"/>
      <c r="H52" s="231" t="s">
        <v>518</v>
      </c>
      <c r="I52" s="231" t="s">
        <v>518</v>
      </c>
      <c r="J52" s="231" t="s">
        <v>518</v>
      </c>
      <c r="K52" s="231" t="s">
        <v>518</v>
      </c>
      <c r="L52" s="231" t="s">
        <v>518</v>
      </c>
    </row>
    <row r="53" spans="1:12" x14ac:dyDescent="0.25">
      <c r="A53" s="226" t="s">
        <v>678</v>
      </c>
      <c r="B53" s="230">
        <v>0</v>
      </c>
      <c r="C53" s="230">
        <v>0</v>
      </c>
      <c r="D53" s="230">
        <v>0</v>
      </c>
      <c r="E53" s="230">
        <f>+E54+E57+E58+E59</f>
        <v>4034.8543141378</v>
      </c>
      <c r="F53" s="230">
        <v>0</v>
      </c>
      <c r="G53" s="230">
        <v>0</v>
      </c>
      <c r="H53" s="230">
        <v>0</v>
      </c>
      <c r="I53" s="230">
        <v>0</v>
      </c>
      <c r="J53" s="230">
        <v>0</v>
      </c>
      <c r="K53" s="230">
        <v>0</v>
      </c>
      <c r="L53" s="230">
        <f>+B53+(C53*CH4GWP)+(D53*N2OGWP)+E53+F53</f>
        <v>4034.8543141378</v>
      </c>
    </row>
    <row r="54" spans="1:12" x14ac:dyDescent="0.25">
      <c r="A54" s="190" t="s">
        <v>679</v>
      </c>
      <c r="B54" s="231">
        <v>0</v>
      </c>
      <c r="C54" s="231">
        <v>0</v>
      </c>
      <c r="D54" s="231">
        <v>0</v>
      </c>
      <c r="E54" s="231">
        <f>+E55+E56</f>
        <v>3963.4610677467999</v>
      </c>
      <c r="F54" s="231" t="s">
        <v>518</v>
      </c>
      <c r="G54" s="231" t="s">
        <v>518</v>
      </c>
      <c r="H54" s="231" t="s">
        <v>518</v>
      </c>
      <c r="I54" s="231" t="s">
        <v>518</v>
      </c>
      <c r="J54" s="231" t="s">
        <v>518</v>
      </c>
      <c r="K54" s="231" t="s">
        <v>518</v>
      </c>
      <c r="L54" s="235">
        <f>+E54</f>
        <v>3963.4610677467999</v>
      </c>
    </row>
    <row r="55" spans="1:12" x14ac:dyDescent="0.25">
      <c r="A55" s="189" t="s">
        <v>680</v>
      </c>
      <c r="B55" s="236"/>
      <c r="C55" s="236"/>
      <c r="D55" s="236"/>
      <c r="E55" s="235">
        <f>+'2F Summary'!W6</f>
        <v>1919.7163500000001</v>
      </c>
      <c r="F55" s="236"/>
      <c r="G55" s="236"/>
      <c r="H55" s="231" t="s">
        <v>518</v>
      </c>
      <c r="I55" s="231" t="s">
        <v>518</v>
      </c>
      <c r="J55" s="231" t="s">
        <v>518</v>
      </c>
      <c r="K55" s="231" t="s">
        <v>518</v>
      </c>
      <c r="L55" s="235">
        <f>+E55</f>
        <v>1919.7163500000001</v>
      </c>
    </row>
    <row r="56" spans="1:12" x14ac:dyDescent="0.25">
      <c r="A56" s="189" t="s">
        <v>681</v>
      </c>
      <c r="B56" s="236"/>
      <c r="C56" s="236"/>
      <c r="D56" s="236"/>
      <c r="E56" s="235">
        <f>+'2F Summary'!W7</f>
        <v>2043.7447177468</v>
      </c>
      <c r="F56" s="236"/>
      <c r="G56" s="236"/>
      <c r="H56" s="231" t="s">
        <v>518</v>
      </c>
      <c r="I56" s="231" t="s">
        <v>518</v>
      </c>
      <c r="J56" s="231" t="s">
        <v>518</v>
      </c>
      <c r="K56" s="231" t="s">
        <v>518</v>
      </c>
      <c r="L56" s="235" t="s">
        <v>518</v>
      </c>
    </row>
    <row r="57" spans="1:12" x14ac:dyDescent="0.25">
      <c r="A57" s="190" t="s">
        <v>682</v>
      </c>
      <c r="B57" s="232"/>
      <c r="C57" s="232"/>
      <c r="D57" s="232"/>
      <c r="E57" s="231">
        <f>+'IPPU Summary'!W145</f>
        <v>2.1042043709999998</v>
      </c>
      <c r="F57" s="232"/>
      <c r="G57" s="232"/>
      <c r="H57" s="231" t="s">
        <v>518</v>
      </c>
      <c r="I57" s="231" t="s">
        <v>518</v>
      </c>
      <c r="J57" s="231" t="s">
        <v>518</v>
      </c>
      <c r="K57" s="231" t="s">
        <v>518</v>
      </c>
      <c r="L57" s="231">
        <f>+B57+(C57*CH4GWP)+(D57*N2OGWP)+E57+F57</f>
        <v>2.1042043709999998</v>
      </c>
    </row>
    <row r="58" spans="1:12" x14ac:dyDescent="0.25">
      <c r="A58" s="190" t="s">
        <v>683</v>
      </c>
      <c r="B58" s="232"/>
      <c r="C58" s="232"/>
      <c r="D58" s="232"/>
      <c r="E58" s="231">
        <f>+'IPPU Summary'!W146</f>
        <v>51.086919999999992</v>
      </c>
      <c r="F58" s="231" t="s">
        <v>518</v>
      </c>
      <c r="G58" s="232"/>
      <c r="H58" s="231" t="s">
        <v>518</v>
      </c>
      <c r="I58" s="231" t="s">
        <v>518</v>
      </c>
      <c r="J58" s="231" t="s">
        <v>518</v>
      </c>
      <c r="K58" s="231" t="s">
        <v>518</v>
      </c>
      <c r="L58" s="231">
        <f>+E58</f>
        <v>51.086919999999992</v>
      </c>
    </row>
    <row r="59" spans="1:12" x14ac:dyDescent="0.25">
      <c r="A59" s="190" t="s">
        <v>684</v>
      </c>
      <c r="B59" s="232"/>
      <c r="C59" s="232"/>
      <c r="D59" s="232"/>
      <c r="E59" s="231">
        <f>+'IPPU Summary'!W147</f>
        <v>18.202122020000004</v>
      </c>
      <c r="F59" s="232"/>
      <c r="G59" s="232"/>
      <c r="H59" s="231" t="s">
        <v>518</v>
      </c>
      <c r="I59" s="231" t="s">
        <v>518</v>
      </c>
      <c r="J59" s="231" t="s">
        <v>518</v>
      </c>
      <c r="K59" s="231" t="s">
        <v>518</v>
      </c>
      <c r="L59" s="231">
        <f>+B59+(C59*CH4GWP)+(D59*N2OGWP)+E59+F59</f>
        <v>18.202122020000004</v>
      </c>
    </row>
    <row r="60" spans="1:12" x14ac:dyDescent="0.25">
      <c r="A60" s="190" t="s">
        <v>685</v>
      </c>
      <c r="B60" s="232"/>
      <c r="C60" s="232"/>
      <c r="D60" s="232"/>
      <c r="E60" s="231" t="s">
        <v>518</v>
      </c>
      <c r="F60" s="231" t="s">
        <v>518</v>
      </c>
      <c r="G60" s="232"/>
      <c r="H60" s="231" t="s">
        <v>518</v>
      </c>
      <c r="I60" s="231" t="s">
        <v>518</v>
      </c>
      <c r="J60" s="231" t="s">
        <v>518</v>
      </c>
      <c r="K60" s="231" t="s">
        <v>518</v>
      </c>
      <c r="L60" s="231" t="s">
        <v>518</v>
      </c>
    </row>
    <row r="61" spans="1:12" x14ac:dyDescent="0.25">
      <c r="A61" s="190" t="s">
        <v>686</v>
      </c>
      <c r="B61" s="232"/>
      <c r="C61" s="232"/>
      <c r="D61" s="232"/>
      <c r="E61" s="231" t="s">
        <v>512</v>
      </c>
      <c r="F61" s="231" t="s">
        <v>512</v>
      </c>
      <c r="G61" s="232"/>
      <c r="H61" s="231" t="s">
        <v>512</v>
      </c>
      <c r="I61" s="231" t="s">
        <v>512</v>
      </c>
      <c r="J61" s="231" t="s">
        <v>512</v>
      </c>
      <c r="K61" s="231" t="s">
        <v>512</v>
      </c>
      <c r="L61" s="231" t="s">
        <v>512</v>
      </c>
    </row>
    <row r="62" spans="1:12" x14ac:dyDescent="0.25">
      <c r="A62" s="226" t="s">
        <v>687</v>
      </c>
      <c r="B62" s="230">
        <v>0</v>
      </c>
      <c r="C62" s="230">
        <v>0</v>
      </c>
      <c r="D62" s="230">
        <v>0</v>
      </c>
      <c r="E62" s="230">
        <v>0</v>
      </c>
      <c r="F62" s="230">
        <v>0</v>
      </c>
      <c r="G62" s="230">
        <v>0</v>
      </c>
      <c r="H62" s="230">
        <v>0</v>
      </c>
      <c r="I62" s="230">
        <v>0</v>
      </c>
      <c r="J62" s="230">
        <v>0</v>
      </c>
      <c r="K62" s="230">
        <v>0</v>
      </c>
      <c r="L62" s="230">
        <f>+B62+(C62*CH4GWP)+(D62*N2OGWP)+E62+F62</f>
        <v>0</v>
      </c>
    </row>
    <row r="63" spans="1:12" x14ac:dyDescent="0.25">
      <c r="A63" s="190" t="s">
        <v>688</v>
      </c>
      <c r="B63" s="231" t="s">
        <v>518</v>
      </c>
      <c r="C63" s="231" t="s">
        <v>518</v>
      </c>
      <c r="D63" s="231" t="s">
        <v>518</v>
      </c>
      <c r="E63" s="231" t="s">
        <v>518</v>
      </c>
      <c r="F63" s="231" t="s">
        <v>518</v>
      </c>
      <c r="G63" s="231" t="s">
        <v>518</v>
      </c>
      <c r="H63" s="231" t="s">
        <v>518</v>
      </c>
      <c r="I63" s="231" t="s">
        <v>518</v>
      </c>
      <c r="J63" s="231" t="s">
        <v>518</v>
      </c>
      <c r="K63" s="231" t="s">
        <v>518</v>
      </c>
      <c r="L63" s="231" t="s">
        <v>518</v>
      </c>
    </row>
    <row r="64" spans="1:12" x14ac:dyDescent="0.25">
      <c r="A64" s="188" t="s">
        <v>689</v>
      </c>
      <c r="B64" s="234"/>
      <c r="C64" s="234"/>
      <c r="D64" s="234"/>
      <c r="E64" s="234"/>
      <c r="F64" s="231" t="s">
        <v>518</v>
      </c>
      <c r="G64" s="231" t="s">
        <v>518</v>
      </c>
      <c r="H64" s="231" t="s">
        <v>518</v>
      </c>
      <c r="I64" s="231" t="s">
        <v>518</v>
      </c>
      <c r="J64" s="231" t="s">
        <v>518</v>
      </c>
      <c r="K64" s="231" t="s">
        <v>518</v>
      </c>
      <c r="L64" s="231" t="s">
        <v>518</v>
      </c>
    </row>
    <row r="65" spans="1:12" x14ac:dyDescent="0.25">
      <c r="A65" s="188" t="s">
        <v>690</v>
      </c>
      <c r="B65" s="234"/>
      <c r="C65" s="234"/>
      <c r="D65" s="234"/>
      <c r="E65" s="234"/>
      <c r="F65" s="231" t="s">
        <v>518</v>
      </c>
      <c r="G65" s="231" t="s">
        <v>518</v>
      </c>
      <c r="H65" s="231" t="s">
        <v>518</v>
      </c>
      <c r="I65" s="231" t="s">
        <v>518</v>
      </c>
      <c r="J65" s="231" t="s">
        <v>518</v>
      </c>
      <c r="K65" s="231" t="s">
        <v>518</v>
      </c>
      <c r="L65" s="231" t="s">
        <v>518</v>
      </c>
    </row>
    <row r="66" spans="1:12" x14ac:dyDescent="0.25">
      <c r="A66" s="188" t="s">
        <v>691</v>
      </c>
      <c r="B66" s="234"/>
      <c r="C66" s="234"/>
      <c r="D66" s="234"/>
      <c r="E66" s="234"/>
      <c r="F66" s="231" t="s">
        <v>518</v>
      </c>
      <c r="G66" s="231" t="s">
        <v>518</v>
      </c>
      <c r="H66" s="231" t="s">
        <v>518</v>
      </c>
      <c r="I66" s="231" t="s">
        <v>518</v>
      </c>
      <c r="J66" s="231" t="s">
        <v>518</v>
      </c>
      <c r="K66" s="231" t="s">
        <v>518</v>
      </c>
      <c r="L66" s="231" t="s">
        <v>518</v>
      </c>
    </row>
    <row r="67" spans="1:12" x14ac:dyDescent="0.25">
      <c r="A67" s="190" t="s">
        <v>692</v>
      </c>
      <c r="B67" s="231" t="s">
        <v>518</v>
      </c>
      <c r="C67" s="231" t="s">
        <v>518</v>
      </c>
      <c r="D67" s="231" t="s">
        <v>518</v>
      </c>
      <c r="E67" s="231" t="s">
        <v>518</v>
      </c>
      <c r="F67" s="231" t="s">
        <v>518</v>
      </c>
      <c r="G67" s="231" t="s">
        <v>518</v>
      </c>
      <c r="H67" s="231" t="s">
        <v>518</v>
      </c>
      <c r="I67" s="231" t="s">
        <v>518</v>
      </c>
      <c r="J67" s="231" t="s">
        <v>518</v>
      </c>
      <c r="K67" s="231" t="s">
        <v>518</v>
      </c>
      <c r="L67" s="231" t="s">
        <v>518</v>
      </c>
    </row>
    <row r="68" spans="1:12" x14ac:dyDescent="0.25">
      <c r="A68" s="188" t="s">
        <v>693</v>
      </c>
      <c r="B68" s="234"/>
      <c r="C68" s="234"/>
      <c r="D68" s="234"/>
      <c r="E68" s="234"/>
      <c r="F68" s="231" t="s">
        <v>518</v>
      </c>
      <c r="G68" s="231" t="s">
        <v>518</v>
      </c>
      <c r="H68" s="231" t="s">
        <v>518</v>
      </c>
      <c r="I68" s="231" t="s">
        <v>518</v>
      </c>
      <c r="J68" s="231" t="s">
        <v>518</v>
      </c>
      <c r="K68" s="231" t="s">
        <v>518</v>
      </c>
      <c r="L68" s="231" t="s">
        <v>518</v>
      </c>
    </row>
    <row r="69" spans="1:12" x14ac:dyDescent="0.25">
      <c r="A69" s="188" t="s">
        <v>694</v>
      </c>
      <c r="B69" s="234"/>
      <c r="C69" s="234"/>
      <c r="D69" s="234"/>
      <c r="E69" s="234"/>
      <c r="F69" s="231" t="s">
        <v>518</v>
      </c>
      <c r="G69" s="231" t="s">
        <v>518</v>
      </c>
      <c r="H69" s="231" t="s">
        <v>518</v>
      </c>
      <c r="I69" s="231" t="s">
        <v>518</v>
      </c>
      <c r="J69" s="231" t="s">
        <v>518</v>
      </c>
      <c r="K69" s="231" t="s">
        <v>518</v>
      </c>
      <c r="L69" s="231" t="s">
        <v>518</v>
      </c>
    </row>
    <row r="70" spans="1:12" x14ac:dyDescent="0.25">
      <c r="A70" s="188" t="s">
        <v>695</v>
      </c>
      <c r="B70" s="234"/>
      <c r="C70" s="234"/>
      <c r="D70" s="234"/>
      <c r="E70" s="234"/>
      <c r="F70" s="231" t="s">
        <v>518</v>
      </c>
      <c r="G70" s="231" t="s">
        <v>518</v>
      </c>
      <c r="H70" s="231" t="s">
        <v>518</v>
      </c>
      <c r="I70" s="231" t="s">
        <v>518</v>
      </c>
      <c r="J70" s="231" t="s">
        <v>518</v>
      </c>
      <c r="K70" s="231" t="s">
        <v>518</v>
      </c>
      <c r="L70" s="231" t="s">
        <v>518</v>
      </c>
    </row>
    <row r="71" spans="1:12" x14ac:dyDescent="0.25">
      <c r="A71" s="190" t="s">
        <v>696</v>
      </c>
      <c r="B71" s="231" t="s">
        <v>518</v>
      </c>
      <c r="C71" s="231" t="s">
        <v>518</v>
      </c>
      <c r="D71" s="231" t="s">
        <v>518</v>
      </c>
      <c r="E71" s="231" t="s">
        <v>518</v>
      </c>
      <c r="F71" s="231" t="s">
        <v>518</v>
      </c>
      <c r="G71" s="231" t="s">
        <v>518</v>
      </c>
      <c r="H71" s="231" t="s">
        <v>518</v>
      </c>
      <c r="I71" s="231" t="s">
        <v>518</v>
      </c>
      <c r="J71" s="231" t="s">
        <v>518</v>
      </c>
      <c r="K71" s="231" t="s">
        <v>518</v>
      </c>
      <c r="L71" s="231" t="s">
        <v>518</v>
      </c>
    </row>
    <row r="72" spans="1:12" x14ac:dyDescent="0.25">
      <c r="A72" s="188" t="s">
        <v>697</v>
      </c>
      <c r="B72" s="234"/>
      <c r="C72" s="234"/>
      <c r="D72" s="231" t="s">
        <v>518</v>
      </c>
      <c r="E72" s="234"/>
      <c r="F72" s="234"/>
      <c r="G72" s="234"/>
      <c r="H72" s="231" t="s">
        <v>518</v>
      </c>
      <c r="I72" s="231" t="s">
        <v>518</v>
      </c>
      <c r="J72" s="231" t="s">
        <v>518</v>
      </c>
      <c r="K72" s="231" t="s">
        <v>518</v>
      </c>
      <c r="L72" s="231" t="s">
        <v>518</v>
      </c>
    </row>
    <row r="73" spans="1:12" x14ac:dyDescent="0.25">
      <c r="A73" s="188" t="s">
        <v>698</v>
      </c>
      <c r="B73" s="234"/>
      <c r="C73" s="234"/>
      <c r="D73" s="231" t="s">
        <v>518</v>
      </c>
      <c r="E73" s="234"/>
      <c r="F73" s="234"/>
      <c r="G73" s="234"/>
      <c r="H73" s="231" t="s">
        <v>518</v>
      </c>
      <c r="I73" s="231" t="s">
        <v>518</v>
      </c>
      <c r="J73" s="231" t="s">
        <v>518</v>
      </c>
      <c r="K73" s="231" t="s">
        <v>518</v>
      </c>
      <c r="L73" s="231" t="s">
        <v>518</v>
      </c>
    </row>
    <row r="74" spans="1:12" x14ac:dyDescent="0.25">
      <c r="A74" s="188" t="s">
        <v>699</v>
      </c>
      <c r="B74" s="234"/>
      <c r="C74" s="234"/>
      <c r="D74" s="231" t="s">
        <v>518</v>
      </c>
      <c r="E74" s="234"/>
      <c r="F74" s="234"/>
      <c r="G74" s="234"/>
      <c r="H74" s="231" t="s">
        <v>518</v>
      </c>
      <c r="I74" s="231" t="s">
        <v>518</v>
      </c>
      <c r="J74" s="231" t="s">
        <v>518</v>
      </c>
      <c r="K74" s="231" t="s">
        <v>518</v>
      </c>
      <c r="L74" s="231" t="s">
        <v>518</v>
      </c>
    </row>
    <row r="75" spans="1:12" x14ac:dyDescent="0.25">
      <c r="A75" s="190" t="s">
        <v>700</v>
      </c>
      <c r="B75" s="232"/>
      <c r="C75" s="232"/>
      <c r="D75" s="232"/>
      <c r="E75" s="232"/>
      <c r="F75" s="232"/>
      <c r="G75" s="232"/>
      <c r="H75" s="231" t="s">
        <v>518</v>
      </c>
      <c r="I75" s="231" t="s">
        <v>518</v>
      </c>
      <c r="J75" s="231" t="s">
        <v>518</v>
      </c>
      <c r="K75" s="231" t="s">
        <v>518</v>
      </c>
      <c r="L75" s="231" t="s">
        <v>518</v>
      </c>
    </row>
    <row r="76" spans="1:12" x14ac:dyDescent="0.25">
      <c r="A76" s="226" t="s">
        <v>701</v>
      </c>
      <c r="B76" s="230">
        <v>0</v>
      </c>
      <c r="C76" s="230">
        <v>0</v>
      </c>
      <c r="D76" s="230">
        <v>0</v>
      </c>
      <c r="E76" s="230">
        <v>0</v>
      </c>
      <c r="F76" s="230">
        <v>0</v>
      </c>
      <c r="G76" s="230">
        <v>0</v>
      </c>
      <c r="H76" s="230">
        <v>0</v>
      </c>
      <c r="I76" s="230">
        <v>0</v>
      </c>
      <c r="J76" s="230">
        <v>0</v>
      </c>
      <c r="K76" s="230">
        <v>0</v>
      </c>
      <c r="L76" s="230">
        <f>+B76+(C76*CH4GWP)+(D76*N2OGWP)+E76+F76</f>
        <v>0</v>
      </c>
    </row>
    <row r="77" spans="1:12" x14ac:dyDescent="0.25">
      <c r="A77" s="190" t="s">
        <v>702</v>
      </c>
      <c r="B77" s="232"/>
      <c r="C77" s="232"/>
      <c r="D77" s="232"/>
      <c r="E77" s="232"/>
      <c r="F77" s="232"/>
      <c r="G77" s="232"/>
      <c r="H77" s="231" t="s">
        <v>518</v>
      </c>
      <c r="I77" s="231" t="s">
        <v>518</v>
      </c>
      <c r="J77" s="231" t="s">
        <v>518</v>
      </c>
      <c r="K77" s="231" t="s">
        <v>518</v>
      </c>
      <c r="L77" s="231">
        <f>+B77+(C77*CH4GWP)+(D77*N2OGWP)+E77+F77</f>
        <v>0</v>
      </c>
    </row>
    <row r="78" spans="1:12" x14ac:dyDescent="0.25">
      <c r="A78" s="190" t="s">
        <v>703</v>
      </c>
      <c r="B78" s="232"/>
      <c r="C78" s="232"/>
      <c r="D78" s="232"/>
      <c r="E78" s="232"/>
      <c r="F78" s="232"/>
      <c r="G78" s="232"/>
      <c r="H78" s="231" t="s">
        <v>518</v>
      </c>
      <c r="I78" s="231" t="s">
        <v>518</v>
      </c>
      <c r="J78" s="231" t="s">
        <v>518</v>
      </c>
      <c r="K78" s="231" t="s">
        <v>518</v>
      </c>
      <c r="L78" s="231">
        <f>+B78+(C78*CH4GWP)+(D78*N2OGWP)+E78+F78</f>
        <v>0</v>
      </c>
    </row>
    <row r="79" spans="1:12" x14ac:dyDescent="0.25">
      <c r="A79" s="190" t="s">
        <v>704</v>
      </c>
      <c r="B79" s="232"/>
      <c r="C79" s="232"/>
      <c r="D79" s="232"/>
      <c r="E79" s="232"/>
      <c r="F79" s="232"/>
      <c r="G79" s="232"/>
      <c r="H79" s="231" t="s">
        <v>518</v>
      </c>
      <c r="I79" s="231" t="s">
        <v>518</v>
      </c>
      <c r="J79" s="231" t="s">
        <v>518</v>
      </c>
      <c r="K79" s="231" t="s">
        <v>518</v>
      </c>
      <c r="L79" s="231">
        <f>+B79+(C79*CH4GWP)+(D79*N2OGWP)+E79+F79</f>
        <v>0</v>
      </c>
    </row>
  </sheetData>
  <mergeCells count="3">
    <mergeCell ref="A2:A3"/>
    <mergeCell ref="B2:H2"/>
    <mergeCell ref="K2:L2"/>
  </mergeCells>
  <pageMargins left="0.25" right="0.25" top="0.75" bottom="0.75" header="0.3" footer="0.3"/>
  <pageSetup paperSize="9" scale="6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7"/>
  </sheetPr>
  <dimension ref="A1:BF21"/>
  <sheetViews>
    <sheetView topLeftCell="AK1" workbookViewId="0">
      <selection activeCell="BC4" sqref="BC4:BF21"/>
    </sheetView>
  </sheetViews>
  <sheetFormatPr defaultRowHeight="15" x14ac:dyDescent="0.25"/>
  <cols>
    <col min="5" max="5" width="14.42578125" customWidth="1"/>
    <col min="6" max="6" width="10" customWidth="1"/>
    <col min="7" max="7" width="16.28515625" customWidth="1"/>
    <col min="8" max="8" width="12.42578125" customWidth="1"/>
    <col min="12" max="12" width="10.85546875" customWidth="1"/>
    <col min="13" max="13" width="11.42578125" customWidth="1"/>
    <col min="14" max="14" width="11.140625" customWidth="1"/>
    <col min="17" max="17" width="11.7109375" customWidth="1"/>
    <col min="18" max="19" width="10.7109375" customWidth="1"/>
    <col min="20" max="20" width="11.28515625" customWidth="1"/>
    <col min="23" max="23" width="10.140625" customWidth="1"/>
    <col min="26" max="26" width="10.5703125" customWidth="1"/>
    <col min="27" max="27" width="11.42578125" customWidth="1"/>
    <col min="28" max="28" width="10.85546875" customWidth="1"/>
    <col min="29" max="29" width="11.140625" customWidth="1"/>
    <col min="30" max="30" width="10.5703125" customWidth="1"/>
    <col min="33" max="33" width="11.28515625" customWidth="1"/>
    <col min="34" max="34" width="10.85546875" customWidth="1"/>
    <col min="35" max="35" width="10.7109375" customWidth="1"/>
    <col min="36" max="36" width="11.42578125" customWidth="1"/>
    <col min="40" max="40" width="10.140625" customWidth="1"/>
    <col min="41" max="41" width="11.5703125" customWidth="1"/>
    <col min="42" max="42" width="11.140625" customWidth="1"/>
    <col min="51" max="51" width="10.7109375" customWidth="1"/>
    <col min="52" max="52" width="11.85546875" customWidth="1"/>
    <col min="55" max="55" width="12.5703125" customWidth="1"/>
    <col min="56" max="56" width="10.7109375" customWidth="1"/>
    <col min="57" max="57" width="10.5703125" customWidth="1"/>
  </cols>
  <sheetData>
    <row r="1" spans="1:58" x14ac:dyDescent="0.25">
      <c r="K1" t="s">
        <v>705</v>
      </c>
      <c r="P1" t="s">
        <v>706</v>
      </c>
      <c r="V1" t="s">
        <v>707</v>
      </c>
      <c r="Y1" t="s">
        <v>708</v>
      </c>
      <c r="AF1" t="s">
        <v>709</v>
      </c>
      <c r="AM1" t="s">
        <v>710</v>
      </c>
      <c r="AT1" t="s">
        <v>711</v>
      </c>
      <c r="AX1" t="s">
        <v>712</v>
      </c>
      <c r="BB1" t="s">
        <v>713</v>
      </c>
    </row>
    <row r="2" spans="1:58" ht="60" customHeight="1" x14ac:dyDescent="0.25">
      <c r="A2" s="191"/>
      <c r="B2" s="239" t="str">
        <f>+'IPPU Summary'!C5</f>
        <v>Mineral industry</v>
      </c>
      <c r="C2" s="239" t="str">
        <f>+'IPPU Summary'!C11</f>
        <v>Chemical industry</v>
      </c>
      <c r="D2" s="239" t="str">
        <f>+'IPPU Summary'!C22</f>
        <v>Metal industry</v>
      </c>
      <c r="E2" s="239" t="str">
        <f>+'IPPU Summary'!C30</f>
        <v>Non-energy products from fuels and solvent use</v>
      </c>
      <c r="F2" s="239" t="str">
        <f>+'IPPU Summary'!C35</f>
        <v>Electronics industry</v>
      </c>
      <c r="G2" s="239" t="str">
        <f>+'IPPU Summary'!C41</f>
        <v>Product uses as substitutes for ozone depleting substances</v>
      </c>
      <c r="H2" s="239" t="str">
        <f>+'IPPU Summary'!C48</f>
        <v>Other product manufacture and use</v>
      </c>
      <c r="I2" s="192" t="s">
        <v>714</v>
      </c>
      <c r="K2" s="191"/>
      <c r="L2" s="194" t="s">
        <v>509</v>
      </c>
      <c r="M2" s="194" t="s">
        <v>513</v>
      </c>
      <c r="N2" s="194" t="s">
        <v>516</v>
      </c>
      <c r="P2" s="191"/>
      <c r="Q2" s="195" t="s">
        <v>509</v>
      </c>
      <c r="R2" s="195" t="s">
        <v>715</v>
      </c>
      <c r="S2" s="195" t="s">
        <v>716</v>
      </c>
      <c r="T2" s="195" t="s">
        <v>516</v>
      </c>
      <c r="V2" s="191"/>
      <c r="W2" s="195" t="s">
        <v>619</v>
      </c>
      <c r="Y2" s="191"/>
      <c r="Z2" s="196" t="str">
        <f>+'IPPU Summary'!C23</f>
        <v>Iron and Steel Production</v>
      </c>
      <c r="AA2" s="196" t="str">
        <f>+'IPPU Summary'!C24</f>
        <v>Ferroalloys Production</v>
      </c>
      <c r="AB2" s="196" t="str">
        <f>+'IPPU Summary'!C25</f>
        <v>Aluminium Production</v>
      </c>
      <c r="AC2" s="196" t="str">
        <f>+'IPPU Summary'!C27</f>
        <v>Lead Production</v>
      </c>
      <c r="AD2" s="196" t="str">
        <f>+'IPPU Summary'!C28</f>
        <v>Zinc Production</v>
      </c>
      <c r="AF2" s="191"/>
      <c r="AG2" s="196" t="s">
        <v>717</v>
      </c>
      <c r="AH2" s="196" t="s">
        <v>718</v>
      </c>
      <c r="AI2" s="196" t="s">
        <v>719</v>
      </c>
      <c r="AJ2" s="196" t="s">
        <v>720</v>
      </c>
      <c r="AK2" s="196" t="s">
        <v>574</v>
      </c>
      <c r="AM2" s="191"/>
      <c r="AN2" s="195" t="s">
        <v>721</v>
      </c>
      <c r="AO2" s="195" t="s">
        <v>722</v>
      </c>
      <c r="AP2" s="195" t="s">
        <v>723</v>
      </c>
      <c r="AQ2" s="195" t="s">
        <v>724</v>
      </c>
      <c r="AR2" s="195" t="s">
        <v>725</v>
      </c>
      <c r="AT2" s="191"/>
      <c r="AU2" s="195" t="s">
        <v>726</v>
      </c>
      <c r="AV2" s="195" t="s">
        <v>727</v>
      </c>
      <c r="AX2" s="191"/>
      <c r="AY2" s="192" t="s">
        <v>728</v>
      </c>
      <c r="AZ2" s="192" t="s">
        <v>729</v>
      </c>
      <c r="BB2" s="191"/>
      <c r="BC2" s="194" t="s">
        <v>562</v>
      </c>
      <c r="BD2" s="194" t="s">
        <v>563</v>
      </c>
      <c r="BE2" s="194" t="s">
        <v>564</v>
      </c>
      <c r="BF2" s="194" t="s">
        <v>565</v>
      </c>
    </row>
    <row r="3" spans="1:58" ht="17.25" customHeight="1" x14ac:dyDescent="0.25">
      <c r="A3" s="191"/>
      <c r="B3" s="258" t="s">
        <v>730</v>
      </c>
      <c r="C3" s="258"/>
      <c r="D3" s="258"/>
      <c r="E3" s="258"/>
      <c r="F3" s="258"/>
      <c r="G3" s="258"/>
      <c r="H3" s="258"/>
      <c r="I3" s="258"/>
      <c r="K3" s="191"/>
      <c r="L3" s="259" t="s">
        <v>730</v>
      </c>
      <c r="M3" s="259"/>
      <c r="N3" s="259"/>
      <c r="P3" s="191"/>
      <c r="Q3" s="259" t="s">
        <v>731</v>
      </c>
      <c r="R3" s="259"/>
      <c r="S3" s="259"/>
      <c r="T3" s="259"/>
      <c r="V3" s="191"/>
      <c r="W3" s="192" t="s">
        <v>730</v>
      </c>
      <c r="Y3" s="191"/>
      <c r="Z3" s="260" t="s">
        <v>732</v>
      </c>
      <c r="AA3" s="260"/>
      <c r="AB3" s="260"/>
      <c r="AC3" s="260"/>
      <c r="AD3" s="260"/>
      <c r="AF3" s="191"/>
      <c r="AG3" s="260" t="s">
        <v>731</v>
      </c>
      <c r="AH3" s="260"/>
      <c r="AI3" s="260"/>
      <c r="AJ3" s="260"/>
      <c r="AK3" s="260"/>
      <c r="AM3" s="191"/>
      <c r="AN3" s="259" t="s">
        <v>731</v>
      </c>
      <c r="AO3" s="259"/>
      <c r="AP3" s="259"/>
      <c r="AQ3" s="259"/>
      <c r="AR3" s="259"/>
      <c r="AT3" s="191"/>
      <c r="AU3" s="259" t="s">
        <v>731</v>
      </c>
      <c r="AV3" s="259"/>
      <c r="AX3" s="191"/>
      <c r="AY3" s="259" t="s">
        <v>733</v>
      </c>
      <c r="AZ3" s="259"/>
      <c r="BB3" s="191"/>
      <c r="BC3" s="259" t="s">
        <v>732</v>
      </c>
      <c r="BD3" s="259"/>
      <c r="BE3" s="259"/>
      <c r="BF3" s="259"/>
    </row>
    <row r="4" spans="1:58" x14ac:dyDescent="0.25">
      <c r="A4" s="240">
        <v>2000</v>
      </c>
      <c r="B4" s="227">
        <f>+'IPPU Summary'!$F$5</f>
        <v>4386.3393304800002</v>
      </c>
      <c r="C4" s="227">
        <f>+'IPPU Summary'!$F$11</f>
        <v>2773.5975926599999</v>
      </c>
      <c r="D4" s="227">
        <f>+'IPPU Summary'!$F$22</f>
        <v>26714.929834999999</v>
      </c>
      <c r="E4" s="227">
        <f>+'IPPU Summary'!$F$30</f>
        <v>195.91733333333332</v>
      </c>
      <c r="F4" s="185" t="s">
        <v>518</v>
      </c>
      <c r="G4" s="227">
        <f>+'IPPU Summary'!$F$41</f>
        <v>0</v>
      </c>
      <c r="H4" s="185" t="s">
        <v>518</v>
      </c>
      <c r="I4" s="228">
        <f>+'IPPU Summary'!$F$4</f>
        <v>34070.784091473332</v>
      </c>
      <c r="K4" s="240">
        <v>2000</v>
      </c>
      <c r="L4" s="228">
        <f>+'IPPU Summary'!$F$6</f>
        <v>3870.5888000000004</v>
      </c>
      <c r="M4" s="228">
        <f>+'IPPU Summary'!$F$7</f>
        <v>441.39115350000003</v>
      </c>
      <c r="N4" s="228">
        <f>+'IPPU Summary'!$F$8</f>
        <v>74.359376980000008</v>
      </c>
      <c r="P4" s="240">
        <v>2000</v>
      </c>
      <c r="Q4" s="193">
        <f>+'2A1 Cement Production'!$E$14</f>
        <v>9794000</v>
      </c>
      <c r="R4" s="193">
        <f>+'2A2 Lime Production'!$E$14</f>
        <v>532100</v>
      </c>
      <c r="S4" s="193">
        <f>+'2A2 Lime Production'!$E$15</f>
        <v>46270</v>
      </c>
      <c r="T4" s="193">
        <f>+'2A3 Glass Production'!$E$14</f>
        <v>561754</v>
      </c>
      <c r="V4" s="240">
        <v>2000</v>
      </c>
      <c r="W4" s="193">
        <f>+'IPPU Summary'!$F$11</f>
        <v>2773.5975926599999</v>
      </c>
      <c r="Y4" s="240">
        <v>2000</v>
      </c>
      <c r="Z4" s="228">
        <f>+'IPPU Summary'!$F$23</f>
        <v>16410.526914999999</v>
      </c>
      <c r="AA4" s="228">
        <f>+'IPPU Summary'!$F$24</f>
        <v>8082.4457200000015</v>
      </c>
      <c r="AB4" s="228">
        <f>+'IPPU Summary'!$F$25</f>
        <v>2074.4412000000002</v>
      </c>
      <c r="AC4" s="228">
        <f>+'IPPU Summary'!$F$27</f>
        <v>39.155999999999999</v>
      </c>
      <c r="AD4" s="228">
        <f>+'IPPU Summary'!$F$28</f>
        <v>108.36</v>
      </c>
      <c r="AF4" s="240">
        <v>2000</v>
      </c>
      <c r="AG4" s="193">
        <f>+'2C1 Iron and Steel Production'!$E$14</f>
        <v>4674511</v>
      </c>
      <c r="AH4" s="193">
        <f>+'2C1 Iron and Steel Production'!$E$15</f>
        <v>4549828</v>
      </c>
      <c r="AI4" s="193">
        <f>+'2C1 Iron and Steel Production'!$E$17</f>
        <v>4674511</v>
      </c>
      <c r="AJ4" s="193">
        <f>+'2C1 Iron and Steel Production'!$E$18</f>
        <v>1552553</v>
      </c>
      <c r="AK4" s="193">
        <f>+'2C1 Iron and Steel Production'!$E$21</f>
        <v>705872</v>
      </c>
      <c r="AM4" s="240">
        <v>2000</v>
      </c>
      <c r="AN4" s="193">
        <f>+'2C2 Ferroalloys Production'!$E$14</f>
        <v>2574000</v>
      </c>
      <c r="AO4" s="193">
        <f>+'2C2 Ferroalloys Production'!$E$15</f>
        <v>596873</v>
      </c>
      <c r="AP4" s="193">
        <f>+'2C2 Ferroalloys Production'!$E$16</f>
        <v>310400</v>
      </c>
      <c r="AQ4" s="193">
        <f>+'2C2 Ferroalloys Production'!$E$17</f>
        <v>108500</v>
      </c>
      <c r="AR4" s="193">
        <f>+'2C2 Ferroalloys Production'!$E$18</f>
        <v>40600</v>
      </c>
      <c r="AT4" s="240">
        <v>2000</v>
      </c>
      <c r="AU4" s="193">
        <f>+'2C5 Lead Production'!$E$14</f>
        <v>75300</v>
      </c>
      <c r="AV4" s="193">
        <f>+'2C6 Zinc Production'!$E$14</f>
        <v>63000</v>
      </c>
      <c r="AX4" s="240">
        <v>2000</v>
      </c>
      <c r="AY4" s="193">
        <f>+'2D1 Lubricant Use'!$E$14</f>
        <v>12851</v>
      </c>
      <c r="AZ4" s="193">
        <f>+'2D2 Paraffin Wax Use'!$E$14</f>
        <v>507</v>
      </c>
      <c r="BB4" s="240">
        <v>2000</v>
      </c>
      <c r="BC4" s="228">
        <f>+'IPPU Summary'!$F$42</f>
        <v>0</v>
      </c>
      <c r="BD4" s="228">
        <f>+'IPPU Summary'!$F$43</f>
        <v>0</v>
      </c>
      <c r="BE4" s="228">
        <f>+'IPPU Summary'!$F$44</f>
        <v>0</v>
      </c>
      <c r="BF4" s="228">
        <f>+'IPPU Summary'!$F$45</f>
        <v>0</v>
      </c>
    </row>
    <row r="5" spans="1:58" x14ac:dyDescent="0.25">
      <c r="A5" s="240">
        <v>2001</v>
      </c>
      <c r="B5" s="227">
        <f>+'IPPU Summary'!$G$5</f>
        <v>4303.6742912</v>
      </c>
      <c r="C5" s="227">
        <f>+'IPPU Summary'!$G$11</f>
        <v>2715.1124154199997</v>
      </c>
      <c r="D5" s="227">
        <f>+'IPPU Summary'!$G$22</f>
        <v>26812.662649999998</v>
      </c>
      <c r="E5" s="227">
        <f>+'IPPU Summary'!$G$30</f>
        <v>225.96933333333334</v>
      </c>
      <c r="F5" s="185" t="s">
        <v>518</v>
      </c>
      <c r="G5" s="227">
        <f>+'IPPU Summary'!$G$41</f>
        <v>0</v>
      </c>
      <c r="H5" s="185" t="s">
        <v>518</v>
      </c>
      <c r="I5" s="228">
        <f>+'IPPU Summary'!$G$4</f>
        <v>34057.418689953331</v>
      </c>
      <c r="K5" s="240">
        <v>2001</v>
      </c>
      <c r="L5" s="228">
        <f>+'IPPU Summary'!$G$6</f>
        <v>3783</v>
      </c>
      <c r="M5" s="228">
        <f>+'IPPU Summary'!$G$7</f>
        <v>436.28840000000002</v>
      </c>
      <c r="N5" s="228">
        <f>+'IPPU Summary'!$G$8</f>
        <v>84.385891200000003</v>
      </c>
      <c r="P5" s="240">
        <v>2001</v>
      </c>
      <c r="Q5" s="193">
        <f>+'2A1 Cement Production'!$F$14</f>
        <v>9700000</v>
      </c>
      <c r="R5" s="193">
        <f>+'2A2 Lime Production'!$F$14</f>
        <v>522910</v>
      </c>
      <c r="S5" s="193">
        <f>+'2A2 Lime Production'!$F$15</f>
        <v>45470</v>
      </c>
      <c r="T5" s="193">
        <f>+'2A3 Glass Production'!$F$14</f>
        <v>624156</v>
      </c>
      <c r="V5" s="240">
        <v>2001</v>
      </c>
      <c r="W5" s="193">
        <f>+'IPPU Summary'!$G$11</f>
        <v>2715.1124154199997</v>
      </c>
      <c r="Y5" s="240">
        <v>2001</v>
      </c>
      <c r="Z5" s="228">
        <f>+'IPPU Summary'!$G$23</f>
        <v>16410.537369999998</v>
      </c>
      <c r="AA5" s="228">
        <f>+'IPPU Summary'!$G$24</f>
        <v>8199.1991799999996</v>
      </c>
      <c r="AB5" s="228">
        <f>+'IPPU Summary'!$G$25</f>
        <v>2071.0700999999999</v>
      </c>
      <c r="AC5" s="228">
        <f>+'IPPU Summary'!$G$27</f>
        <v>26.936</v>
      </c>
      <c r="AD5" s="228">
        <f>+'IPPU Summary'!$G$28</f>
        <v>104.92</v>
      </c>
      <c r="AF5" s="240">
        <v>2001</v>
      </c>
      <c r="AG5" s="193">
        <f>+'2C1 Iron and Steel Production'!$F$14</f>
        <v>4849655</v>
      </c>
      <c r="AH5" s="193">
        <f>+'2C1 Iron and Steel Production'!$F$15</f>
        <v>4716954</v>
      </c>
      <c r="AI5" s="193">
        <f>+'2C1 Iron and Steel Production'!$F$17</f>
        <v>4849655</v>
      </c>
      <c r="AJ5" s="193">
        <f>+'2C1 Iron and Steel Production'!$F$18</f>
        <v>1220890</v>
      </c>
      <c r="AK5" s="193">
        <f>+'2C1 Iron and Steel Production'!$F$21</f>
        <v>706225</v>
      </c>
      <c r="AM5" s="240">
        <v>2001</v>
      </c>
      <c r="AN5" s="193">
        <f>+'2C2 Ferroalloys Production'!$F$14</f>
        <v>2141000</v>
      </c>
      <c r="AO5" s="193">
        <f>+'2C2 Ferroalloys Production'!$F$15</f>
        <v>523844</v>
      </c>
      <c r="AP5" s="193">
        <f>+'2C2 Ferroalloys Production'!$F$16</f>
        <v>259176</v>
      </c>
      <c r="AQ5" s="193">
        <f>+'2C2 Ferroalloys Production'!$F$17</f>
        <v>107600</v>
      </c>
      <c r="AR5" s="193">
        <f>+'2C2 Ferroalloys Production'!$F$18</f>
        <v>39400</v>
      </c>
      <c r="AT5" s="240">
        <v>2001</v>
      </c>
      <c r="AU5" s="193">
        <f>+'2C5 Lead Production'!$F$14</f>
        <v>51800</v>
      </c>
      <c r="AV5" s="193">
        <f>+'2C6 Zinc Production'!$F$14</f>
        <v>61000</v>
      </c>
      <c r="AX5" s="240">
        <v>2001</v>
      </c>
      <c r="AY5" s="193">
        <f>+'2D1 Lubricant Use'!$F$14</f>
        <v>15093</v>
      </c>
      <c r="AZ5" s="193">
        <f>+'2D2 Paraffin Wax Use'!$F$14</f>
        <v>314</v>
      </c>
      <c r="BB5" s="240">
        <v>2001</v>
      </c>
      <c r="BC5" s="228">
        <f>+'IPPU Summary'!$G$42</f>
        <v>0</v>
      </c>
      <c r="BD5" s="228">
        <f>+'IPPU Summary'!$G$43</f>
        <v>0</v>
      </c>
      <c r="BE5" s="228">
        <f>+'IPPU Summary'!$G$44</f>
        <v>0</v>
      </c>
      <c r="BF5" s="228">
        <f>+'IPPU Summary'!$G$45</f>
        <v>0</v>
      </c>
    </row>
    <row r="6" spans="1:58" x14ac:dyDescent="0.25">
      <c r="A6" s="240">
        <v>2002</v>
      </c>
      <c r="B6" s="227">
        <f>+'IPPU Summary'!$H$5</f>
        <v>4824.2529307219993</v>
      </c>
      <c r="C6" s="227">
        <f>+'IPPU Summary'!$H$11</f>
        <v>2743.9578261200004</v>
      </c>
      <c r="D6" s="227">
        <f>+'IPPU Summary'!$H$22</f>
        <v>28322.02362</v>
      </c>
      <c r="E6" s="227">
        <f>+'IPPU Summary'!$H$30</f>
        <v>250.316</v>
      </c>
      <c r="F6" s="185" t="s">
        <v>518</v>
      </c>
      <c r="G6" s="227">
        <f>+'IPPU Summary'!$H$41</f>
        <v>0</v>
      </c>
      <c r="H6" s="185" t="s">
        <v>518</v>
      </c>
      <c r="I6" s="228">
        <f>+'IPPU Summary'!$H$4</f>
        <v>36140.550376841995</v>
      </c>
      <c r="K6" s="240">
        <v>2002</v>
      </c>
      <c r="L6" s="228">
        <f>+'IPPU Summary'!$H$6</f>
        <v>4258.3527999999997</v>
      </c>
      <c r="M6" s="228">
        <f>+'IPPU Summary'!$H$7</f>
        <v>477.55462</v>
      </c>
      <c r="N6" s="228">
        <f>+'IPPU Summary'!$H$8</f>
        <v>88.345510721999986</v>
      </c>
      <c r="P6" s="240">
        <v>2002</v>
      </c>
      <c r="Q6" s="193">
        <f>+'2A1 Cement Production'!$G$14</f>
        <v>11218000</v>
      </c>
      <c r="R6" s="193">
        <f>+'2A2 Lime Production'!$G$14</f>
        <v>572369</v>
      </c>
      <c r="S6" s="193">
        <f>+'2A2 Lime Production'!$G$15</f>
        <v>49771</v>
      </c>
      <c r="T6" s="193">
        <f>+'2A3 Glass Production'!$G$14</f>
        <v>667110</v>
      </c>
      <c r="V6" s="240">
        <v>2002</v>
      </c>
      <c r="W6" s="193">
        <f>+'IPPU Summary'!$H$11</f>
        <v>2743.9578261200004</v>
      </c>
      <c r="Y6" s="240">
        <v>2002</v>
      </c>
      <c r="Z6" s="228">
        <f>+'IPPU Summary'!$H$23</f>
        <v>17176.103220000001</v>
      </c>
      <c r="AA6" s="228">
        <f>+'IPPU Summary'!$H$24</f>
        <v>8974.3143</v>
      </c>
      <c r="AB6" s="228">
        <f>+'IPPU Summary'!$H$25</f>
        <v>2035.8380999999999</v>
      </c>
      <c r="AC6" s="228">
        <f>+'IPPU Summary'!$H$27</f>
        <v>25.687999999999999</v>
      </c>
      <c r="AD6" s="228">
        <f>+'IPPU Summary'!$H$28</f>
        <v>110.08</v>
      </c>
      <c r="AF6" s="240">
        <v>2002</v>
      </c>
      <c r="AG6" s="193">
        <f>+'2C1 Iron and Steel Production'!$G$14</f>
        <v>5051936</v>
      </c>
      <c r="AH6" s="193">
        <f>+'2C1 Iron and Steel Production'!$G$15</f>
        <v>4888870</v>
      </c>
      <c r="AI6" s="193">
        <f>+'2C1 Iron and Steel Production'!$G$17</f>
        <v>5051936</v>
      </c>
      <c r="AJ6" s="193">
        <f>+'2C1 Iron and Steel Production'!$G$18</f>
        <v>1340976</v>
      </c>
      <c r="AK6" s="193">
        <f>+'2C1 Iron and Steel Production'!$G$21</f>
        <v>706578</v>
      </c>
      <c r="AM6" s="240">
        <v>2002</v>
      </c>
      <c r="AN6" s="193">
        <f>+'2C2 Ferroalloys Production'!$G$14</f>
        <v>2351000</v>
      </c>
      <c r="AO6" s="193">
        <f>+'2C2 Ferroalloys Production'!$G$15</f>
        <v>618954</v>
      </c>
      <c r="AP6" s="193">
        <f>+'2C2 Ferroalloys Production'!$G$16</f>
        <v>315802</v>
      </c>
      <c r="AQ6" s="193">
        <f>+'2C2 Ferroalloys Production'!$G$17</f>
        <v>141700</v>
      </c>
      <c r="AR6" s="193">
        <f>+'2C2 Ferroalloys Production'!$G$18</f>
        <v>42500</v>
      </c>
      <c r="AT6" s="240">
        <v>2002</v>
      </c>
      <c r="AU6" s="193">
        <f>+'2C5 Lead Production'!$G$14</f>
        <v>49400</v>
      </c>
      <c r="AV6" s="193">
        <f>+'2C6 Zinc Production'!$G$14</f>
        <v>64000</v>
      </c>
      <c r="AX6" s="240">
        <v>2002</v>
      </c>
      <c r="AY6" s="193">
        <f>+'2D1 Lubricant Use'!$G$14</f>
        <v>16561</v>
      </c>
      <c r="AZ6" s="193">
        <f>+'2D2 Paraffin Wax Use'!$G$14</f>
        <v>506</v>
      </c>
      <c r="BB6" s="240">
        <v>2002</v>
      </c>
      <c r="BC6" s="228">
        <f>+'IPPU Summary'!$H$42</f>
        <v>0</v>
      </c>
      <c r="BD6" s="228">
        <f>+'IPPU Summary'!$H$43</f>
        <v>0</v>
      </c>
      <c r="BE6" s="228">
        <f>+'IPPU Summary'!$H$44</f>
        <v>0</v>
      </c>
      <c r="BF6" s="228">
        <f>+'IPPU Summary'!$H$45</f>
        <v>0</v>
      </c>
    </row>
    <row r="7" spans="1:58" x14ac:dyDescent="0.25">
      <c r="A7" s="240">
        <v>2003</v>
      </c>
      <c r="B7" s="227">
        <f>+'IPPU Summary'!$I$5</f>
        <v>5095.6491567840003</v>
      </c>
      <c r="C7" s="227">
        <f>+'IPPU Summary'!$I$11</f>
        <v>2169.0740746400002</v>
      </c>
      <c r="D7" s="227">
        <f>+'IPPU Summary'!$I$22</f>
        <v>28093.210279999999</v>
      </c>
      <c r="E7" s="227">
        <f>+'IPPU Summary'!$I$30</f>
        <v>248.61466666666664</v>
      </c>
      <c r="F7" s="185" t="s">
        <v>518</v>
      </c>
      <c r="G7" s="227">
        <f>+'IPPU Summary'!$I$41</f>
        <v>0</v>
      </c>
      <c r="H7" s="185" t="s">
        <v>518</v>
      </c>
      <c r="I7" s="228">
        <f>+'IPPU Summary'!$I$4</f>
        <v>35606.54817809067</v>
      </c>
      <c r="K7" s="240">
        <v>2003</v>
      </c>
      <c r="L7" s="228">
        <f>+'IPPU Summary'!$I$6</f>
        <v>4514.5828000000001</v>
      </c>
      <c r="M7" s="228">
        <f>+'IPPU Summary'!$I$7</f>
        <v>489.73651999999998</v>
      </c>
      <c r="N7" s="228">
        <f>+'IPPU Summary'!$I$8</f>
        <v>91.329836783999994</v>
      </c>
      <c r="P7" s="240">
        <v>2003</v>
      </c>
      <c r="Q7" s="193">
        <f>+'2A1 Cement Production'!$H$14</f>
        <v>11893000</v>
      </c>
      <c r="R7" s="193">
        <f>+'2A2 Lime Production'!$H$14</f>
        <v>586969</v>
      </c>
      <c r="S7" s="193">
        <f>+'2A2 Lime Production'!$H$15</f>
        <v>51041</v>
      </c>
      <c r="T7" s="193">
        <f>+'2A3 Glass Production'!$H$14</f>
        <v>702008</v>
      </c>
      <c r="V7" s="240">
        <v>2003</v>
      </c>
      <c r="W7" s="193">
        <f>+'IPPU Summary'!$I$11</f>
        <v>2169.0740746400002</v>
      </c>
      <c r="Y7" s="240">
        <v>2003</v>
      </c>
      <c r="Z7" s="228">
        <f>+'IPPU Summary'!$I$23</f>
        <v>16786.444480000002</v>
      </c>
      <c r="AA7" s="228">
        <f>+'IPPU Summary'!$I$24</f>
        <v>9160.4660999999996</v>
      </c>
      <c r="AB7" s="228">
        <f>+'IPPU Summary'!$I$25</f>
        <v>2055.0317</v>
      </c>
      <c r="AC7" s="228">
        <f>+'IPPU Summary'!$I$27</f>
        <v>20.748000000000001</v>
      </c>
      <c r="AD7" s="228">
        <f>+'IPPU Summary'!$I$28</f>
        <v>70.52</v>
      </c>
      <c r="AF7" s="240">
        <v>2003</v>
      </c>
      <c r="AG7" s="193">
        <f>+'2C1 Iron and Steel Production'!$H$14</f>
        <v>5083168</v>
      </c>
      <c r="AH7" s="193">
        <f>+'2C1 Iron and Steel Production'!$H$15</f>
        <v>5353456</v>
      </c>
      <c r="AI7" s="193">
        <f>+'2C1 Iron and Steel Production'!$H$17</f>
        <v>4474699</v>
      </c>
      <c r="AJ7" s="193">
        <f>+'2C1 Iron and Steel Production'!$H$18</f>
        <v>1542008</v>
      </c>
      <c r="AK7" s="193">
        <f>+'2C1 Iron and Steel Production'!$H$21</f>
        <v>706931</v>
      </c>
      <c r="AM7" s="240">
        <v>2003</v>
      </c>
      <c r="AN7" s="193">
        <f>+'2C2 Ferroalloys Production'!$H$14</f>
        <v>2813000</v>
      </c>
      <c r="AO7" s="193">
        <f>+'2C2 Ferroalloys Production'!$H$15</f>
        <v>607362</v>
      </c>
      <c r="AP7" s="193">
        <f>+'2C2 Ferroalloys Production'!$H$16</f>
        <v>313152</v>
      </c>
      <c r="AQ7" s="193">
        <f>+'2C2 Ferroalloys Production'!$H$17</f>
        <v>135300</v>
      </c>
      <c r="AR7" s="193">
        <f>+'2C2 Ferroalloys Production'!$H$18</f>
        <v>48500</v>
      </c>
      <c r="AT7" s="240">
        <v>2003</v>
      </c>
      <c r="AU7" s="193">
        <f>+'2C5 Lead Production'!$H$14</f>
        <v>39900</v>
      </c>
      <c r="AV7" s="193">
        <f>+'2C6 Zinc Production'!$H$14</f>
        <v>41000</v>
      </c>
      <c r="AX7" s="240">
        <v>2003</v>
      </c>
      <c r="AY7" s="193">
        <f>+'2D1 Lubricant Use'!$H$14</f>
        <v>16430</v>
      </c>
      <c r="AZ7" s="193">
        <f>+'2D2 Paraffin Wax Use'!$H$14</f>
        <v>521</v>
      </c>
      <c r="BB7" s="240">
        <v>2003</v>
      </c>
      <c r="BC7" s="228">
        <f>+'IPPU Summary'!$I$42</f>
        <v>0</v>
      </c>
      <c r="BD7" s="228">
        <f>+'IPPU Summary'!$I$43</f>
        <v>0</v>
      </c>
      <c r="BE7" s="228">
        <f>+'IPPU Summary'!$I$44</f>
        <v>0</v>
      </c>
      <c r="BF7" s="228">
        <f>+'IPPU Summary'!$I$45</f>
        <v>0</v>
      </c>
    </row>
    <row r="8" spans="1:58" x14ac:dyDescent="0.25">
      <c r="A8" s="240">
        <v>2004</v>
      </c>
      <c r="B8" s="227">
        <f>+'IPPU Summary'!$J$5</f>
        <v>4993.2960821039997</v>
      </c>
      <c r="C8" s="227">
        <f>+'IPPU Summary'!$J$11</f>
        <v>2472.5599297600002</v>
      </c>
      <c r="D8" s="227">
        <f>+'IPPU Summary'!$J$22</f>
        <v>28071.739315000003</v>
      </c>
      <c r="E8" s="227">
        <f>+'IPPU Summary'!$J$30</f>
        <v>246.17999999999998</v>
      </c>
      <c r="F8" s="185" t="s">
        <v>518</v>
      </c>
      <c r="G8" s="227">
        <f>+'IPPU Summary'!$J$41</f>
        <v>0</v>
      </c>
      <c r="H8" s="185" t="s">
        <v>518</v>
      </c>
      <c r="I8" s="228">
        <f>+'IPPU Summary'!$J$4</f>
        <v>35783.775326864001</v>
      </c>
      <c r="K8" s="240">
        <v>2004</v>
      </c>
      <c r="L8" s="228">
        <f>+'IPPU Summary'!$J$6</f>
        <v>4390.0739999999996</v>
      </c>
      <c r="M8" s="228">
        <f>+'IPPU Summary'!$J$7</f>
        <v>507.32977999999997</v>
      </c>
      <c r="N8" s="228">
        <f>+'IPPU Summary'!$J$8</f>
        <v>95.892302104000024</v>
      </c>
      <c r="P8" s="240">
        <v>2004</v>
      </c>
      <c r="Q8" s="193">
        <f>+'2A1 Cement Production'!$I$14</f>
        <v>11565000</v>
      </c>
      <c r="R8" s="193">
        <f>+'2A2 Lime Production'!$I$14</f>
        <v>608056</v>
      </c>
      <c r="S8" s="193">
        <f>+'2A2 Lime Production'!$I$15</f>
        <v>52874</v>
      </c>
      <c r="T8" s="193">
        <f>+'2A3 Glass Production'!$I$14</f>
        <v>726644</v>
      </c>
      <c r="V8" s="240">
        <v>2004</v>
      </c>
      <c r="W8" s="193">
        <f>+'IPPU Summary'!$J$11</f>
        <v>2472.5599297600002</v>
      </c>
      <c r="Y8" s="240">
        <v>2004</v>
      </c>
      <c r="Z8" s="228">
        <f>+'IPPU Summary'!$J$23</f>
        <v>16425.253915000001</v>
      </c>
      <c r="AA8" s="228">
        <f>+'IPPU Summary'!$J$24</f>
        <v>9286.9134000000013</v>
      </c>
      <c r="AB8" s="228">
        <f>+'IPPU Summary'!$J$25</f>
        <v>2285.0319999999997</v>
      </c>
      <c r="AC8" s="228">
        <f>+'IPPU Summary'!$J$27</f>
        <v>19.5</v>
      </c>
      <c r="AD8" s="228">
        <f>+'IPPU Summary'!$J$28</f>
        <v>55.04</v>
      </c>
      <c r="AF8" s="240">
        <v>2004</v>
      </c>
      <c r="AG8" s="193">
        <f>+'2C1 Iron and Steel Production'!$I$14</f>
        <v>4949693</v>
      </c>
      <c r="AH8" s="193">
        <f>+'2C1 Iron and Steel Production'!$I$15</f>
        <v>5508488</v>
      </c>
      <c r="AI8" s="193">
        <f>+'2C1 Iron and Steel Production'!$I$17</f>
        <v>4224487</v>
      </c>
      <c r="AJ8" s="193">
        <f>+'2C1 Iron and Steel Production'!$I$18</f>
        <v>1632767</v>
      </c>
      <c r="AK8" s="193">
        <f>+'2C1 Iron and Steel Production'!$I$21</f>
        <v>733761</v>
      </c>
      <c r="AM8" s="240">
        <v>2004</v>
      </c>
      <c r="AN8" s="193">
        <f>+'2C2 Ferroalloys Production'!$I$14</f>
        <v>3032000</v>
      </c>
      <c r="AO8" s="193">
        <f>+'2C2 Ferroalloys Production'!$I$15</f>
        <v>611914</v>
      </c>
      <c r="AP8" s="193">
        <f>+'2C2 Ferroalloys Production'!$I$16</f>
        <v>373928</v>
      </c>
      <c r="AQ8" s="193">
        <f>+'2C2 Ferroalloys Production'!$I$17</f>
        <v>140600</v>
      </c>
      <c r="AR8" s="193">
        <f>+'2C2 Ferroalloys Production'!$I$18</f>
        <v>50500</v>
      </c>
      <c r="AT8" s="240">
        <v>2004</v>
      </c>
      <c r="AU8" s="193">
        <f>+'2C5 Lead Production'!$I$14</f>
        <v>37500</v>
      </c>
      <c r="AV8" s="193">
        <f>+'2C6 Zinc Production'!$I$14</f>
        <v>32000</v>
      </c>
      <c r="AX8" s="240">
        <v>2004</v>
      </c>
      <c r="AY8" s="193">
        <f>+'2D1 Lubricant Use'!$I$14</f>
        <v>16295</v>
      </c>
      <c r="AZ8" s="193">
        <f>+'2D2 Paraffin Wax Use'!$I$14</f>
        <v>490</v>
      </c>
      <c r="BB8" s="240">
        <v>2004</v>
      </c>
      <c r="BC8" s="228">
        <f>+'IPPU Summary'!$J$42</f>
        <v>0</v>
      </c>
      <c r="BD8" s="228">
        <f>+'IPPU Summary'!$J$43</f>
        <v>0</v>
      </c>
      <c r="BE8" s="228">
        <f>+'IPPU Summary'!$J$44</f>
        <v>0</v>
      </c>
      <c r="BF8" s="228">
        <f>+'IPPU Summary'!$J$45</f>
        <v>0</v>
      </c>
    </row>
    <row r="9" spans="1:58" x14ac:dyDescent="0.25">
      <c r="A9" s="240">
        <v>2005</v>
      </c>
      <c r="B9" s="227">
        <f>+'IPPU Summary'!$K$5</f>
        <v>5736.1220459819997</v>
      </c>
      <c r="C9" s="227">
        <f>+'IPPU Summary'!$K$11</f>
        <v>2973.63683412</v>
      </c>
      <c r="D9" s="227">
        <f>+'IPPU Summary'!$K$22</f>
        <v>29098.857960000005</v>
      </c>
      <c r="E9" s="227">
        <f>+'IPPU Summary'!$K$30</f>
        <v>467.85199999999998</v>
      </c>
      <c r="F9" s="185" t="s">
        <v>518</v>
      </c>
      <c r="G9" s="227">
        <f>+'IPPU Summary'!$K$41</f>
        <v>841.75</v>
      </c>
      <c r="H9" s="185" t="s">
        <v>518</v>
      </c>
      <c r="I9" s="228">
        <f>+'IPPU Summary'!$K$4</f>
        <v>39118.218840102003</v>
      </c>
      <c r="K9" s="240">
        <v>2005</v>
      </c>
      <c r="L9" s="228">
        <f>+'IPPU Summary'!$K$6</f>
        <v>5061.5136000000002</v>
      </c>
      <c r="M9" s="228">
        <f>+'IPPU Summary'!$K$7</f>
        <v>572.24579999999992</v>
      </c>
      <c r="N9" s="228">
        <f>+'IPPU Summary'!$K$8</f>
        <v>102.36264598200002</v>
      </c>
      <c r="P9" s="240">
        <v>2005</v>
      </c>
      <c r="Q9" s="193">
        <f>+'2A1 Cement Production'!$J$14</f>
        <v>13519000</v>
      </c>
      <c r="R9" s="193">
        <f>+'2A2 Lime Production'!$J$14</f>
        <v>685860</v>
      </c>
      <c r="S9" s="193">
        <f>+'2A2 Lime Production'!$J$15</f>
        <v>59640</v>
      </c>
      <c r="T9" s="193">
        <f>+'2A3 Glass Production'!$J$14</f>
        <v>775839</v>
      </c>
      <c r="V9" s="240">
        <v>2005</v>
      </c>
      <c r="W9" s="193">
        <f>+'IPPU Summary'!$K$11</f>
        <v>2973.63683412</v>
      </c>
      <c r="Y9" s="240">
        <v>2005</v>
      </c>
      <c r="Z9" s="228">
        <f>+'IPPU Summary'!$K$23</f>
        <v>17359.699860000001</v>
      </c>
      <c r="AA9" s="228">
        <f>+'IPPU Summary'!$K$24</f>
        <v>9388.0440000000017</v>
      </c>
      <c r="AB9" s="228">
        <f>+'IPPU Summary'!$K$25</f>
        <v>2274.1301000000003</v>
      </c>
      <c r="AC9" s="228">
        <f>+'IPPU Summary'!$K$27</f>
        <v>21.943999999999999</v>
      </c>
      <c r="AD9" s="228">
        <f>+'IPPU Summary'!$K$28</f>
        <v>55.04</v>
      </c>
      <c r="AF9" s="240">
        <v>2005</v>
      </c>
      <c r="AG9" s="193">
        <f>+'2C1 Iron and Steel Production'!$J$14</f>
        <v>5255831</v>
      </c>
      <c r="AH9" s="193">
        <f>+'2C1 Iron and Steel Production'!$J$15</f>
        <v>5089818</v>
      </c>
      <c r="AI9" s="193">
        <f>+'2C1 Iron and Steel Production'!$J$17</f>
        <v>4441904</v>
      </c>
      <c r="AJ9" s="193">
        <f>+'2C1 Iron and Steel Production'!$J$18</f>
        <v>1781108</v>
      </c>
      <c r="AK9" s="193">
        <f>+'2C1 Iron and Steel Production'!$J$21</f>
        <v>735378</v>
      </c>
      <c r="AM9" s="240">
        <v>2005</v>
      </c>
      <c r="AN9" s="193">
        <f>+'2C2 Ferroalloys Production'!$J$14</f>
        <v>2802000</v>
      </c>
      <c r="AO9" s="193">
        <f>+'2C2 Ferroalloys Production'!$J$15</f>
        <v>570574</v>
      </c>
      <c r="AP9" s="193">
        <f>+'2C2 Ferroalloys Production'!$J$16</f>
        <v>275324</v>
      </c>
      <c r="AQ9" s="193">
        <f>+'2C2 Ferroalloys Production'!$J$17</f>
        <v>127000</v>
      </c>
      <c r="AR9" s="193">
        <f>+'2C2 Ferroalloys Production'!$J$18</f>
        <v>53500</v>
      </c>
      <c r="AT9" s="240">
        <v>2005</v>
      </c>
      <c r="AU9" s="193">
        <f>+'2C5 Lead Production'!$J$14</f>
        <v>42200</v>
      </c>
      <c r="AV9" s="193">
        <f>+'2C6 Zinc Production'!$J$14</f>
        <v>32000</v>
      </c>
      <c r="AX9" s="240">
        <v>2005</v>
      </c>
      <c r="AY9" s="193">
        <f>+'2D1 Lubricant Use'!$J$14</f>
        <v>31549</v>
      </c>
      <c r="AZ9" s="193">
        <f>+'2D2 Paraffin Wax Use'!$J$14</f>
        <v>350</v>
      </c>
      <c r="BB9" s="240">
        <v>2005</v>
      </c>
      <c r="BC9" s="228">
        <f>+'IPPU Summary'!$K$42</f>
        <v>841.75</v>
      </c>
      <c r="BD9" s="228">
        <f>+'IPPU Summary'!$K$43</f>
        <v>0</v>
      </c>
      <c r="BE9" s="228">
        <f>+'IPPU Summary'!$K$44</f>
        <v>0</v>
      </c>
      <c r="BF9" s="228">
        <f>+'IPPU Summary'!$K$45</f>
        <v>0</v>
      </c>
    </row>
    <row r="10" spans="1:58" x14ac:dyDescent="0.25">
      <c r="A10" s="240">
        <v>2006</v>
      </c>
      <c r="B10" s="227">
        <f>+'IPPU Summary'!$L$5</f>
        <v>6131.7649185184</v>
      </c>
      <c r="C10" s="227">
        <f>+'IPPU Summary'!$L$11</f>
        <v>2746.81862946</v>
      </c>
      <c r="D10" s="227">
        <f>+'IPPU Summary'!$L$22</f>
        <v>29740.113375000004</v>
      </c>
      <c r="E10" s="227">
        <f>+'IPPU Summary'!$L$30</f>
        <v>509.15333333333331</v>
      </c>
      <c r="F10" s="185" t="s">
        <v>518</v>
      </c>
      <c r="G10" s="227">
        <f>+'IPPU Summary'!$L$41</f>
        <v>1045.3600000000001</v>
      </c>
      <c r="H10" s="185" t="s">
        <v>518</v>
      </c>
      <c r="I10" s="228">
        <f>+'IPPU Summary'!$L$4</f>
        <v>40173.210256311737</v>
      </c>
      <c r="K10" s="240">
        <v>2006</v>
      </c>
      <c r="L10" s="228">
        <f>+'IPPU Summary'!$L$6</f>
        <v>5399.81</v>
      </c>
      <c r="M10" s="228">
        <f>+'IPPU Summary'!$L$7</f>
        <v>630.18416000000002</v>
      </c>
      <c r="N10" s="228">
        <f>+'IPPU Summary'!$L$8</f>
        <v>101.7707585184</v>
      </c>
      <c r="P10" s="240">
        <v>2006</v>
      </c>
      <c r="Q10" s="193">
        <f>+'2A1 Cement Production'!$K$14</f>
        <v>14225000</v>
      </c>
      <c r="R10" s="193">
        <f>+'2A2 Lime Production'!$K$14</f>
        <v>755302</v>
      </c>
      <c r="S10" s="193">
        <f>+'2A2 Lime Production'!$K$15</f>
        <v>65678</v>
      </c>
      <c r="T10" s="193">
        <f>+'2A3 Glass Production'!$K$14</f>
        <v>808328</v>
      </c>
      <c r="V10" s="240">
        <v>2006</v>
      </c>
      <c r="W10" s="193">
        <f>+'IPPU Summary'!$L$11</f>
        <v>2746.81862946</v>
      </c>
      <c r="Y10" s="240">
        <v>2006</v>
      </c>
      <c r="Z10" s="228">
        <f>+'IPPU Summary'!$L$23</f>
        <v>17218.494115000001</v>
      </c>
      <c r="AA10" s="228">
        <f>+'IPPU Summary'!$L$24</f>
        <v>10068.29506</v>
      </c>
      <c r="AB10" s="228">
        <f>+'IPPU Summary'!$L$25</f>
        <v>2369.7282000000005</v>
      </c>
      <c r="AC10" s="228">
        <f>+'IPPU Summary'!$L$27</f>
        <v>25.116</v>
      </c>
      <c r="AD10" s="228">
        <f>+'IPPU Summary'!$L$28</f>
        <v>58.48</v>
      </c>
      <c r="AF10" s="240">
        <v>2006</v>
      </c>
      <c r="AG10" s="193">
        <f>+'2C1 Iron and Steel Production'!$K$14</f>
        <v>5173676</v>
      </c>
      <c r="AH10" s="193">
        <f>+'2C1 Iron and Steel Production'!$K$15</f>
        <v>5413204</v>
      </c>
      <c r="AI10" s="193">
        <f>+'2C1 Iron and Steel Production'!$K$17</f>
        <v>4435551</v>
      </c>
      <c r="AJ10" s="193">
        <f>+'2C1 Iron and Steel Production'!$K$18</f>
        <v>1753585</v>
      </c>
      <c r="AK10" s="193">
        <f>+'2C1 Iron and Steel Production'!$K$21</f>
        <v>739818</v>
      </c>
      <c r="AM10" s="240">
        <v>2006</v>
      </c>
      <c r="AN10" s="193">
        <f>+'2C2 Ferroalloys Production'!$K$14</f>
        <v>3030000</v>
      </c>
      <c r="AO10" s="193">
        <f>+'2C2 Ferroalloys Production'!$K$15</f>
        <v>656235</v>
      </c>
      <c r="AP10" s="193">
        <f>+'2C2 Ferroalloys Production'!$K$16</f>
        <v>277703</v>
      </c>
      <c r="AQ10" s="193">
        <f>+'2C2 Ferroalloys Production'!$K$17</f>
        <v>148900</v>
      </c>
      <c r="AR10" s="193">
        <f>+'2C2 Ferroalloys Production'!$K$18</f>
        <v>53300</v>
      </c>
      <c r="AT10" s="240">
        <v>2006</v>
      </c>
      <c r="AU10" s="193">
        <f>+'2C5 Lead Production'!$K$14</f>
        <v>48300</v>
      </c>
      <c r="AV10" s="193">
        <f>+'2C6 Zinc Production'!$K$14</f>
        <v>34000</v>
      </c>
      <c r="AX10" s="240">
        <v>2006</v>
      </c>
      <c r="AY10" s="193">
        <f>+'2D1 Lubricant Use'!$K$14</f>
        <v>34391</v>
      </c>
      <c r="AZ10" s="193">
        <f>+'2D2 Paraffin Wax Use'!$K$14</f>
        <v>324</v>
      </c>
      <c r="BB10" s="240">
        <v>2006</v>
      </c>
      <c r="BC10" s="228">
        <f>+'IPPU Summary'!$L$42</f>
        <v>1045.3600000000001</v>
      </c>
      <c r="BD10" s="228">
        <f>+'IPPU Summary'!$L$43</f>
        <v>0</v>
      </c>
      <c r="BE10" s="228">
        <f>+'IPPU Summary'!$L$44</f>
        <v>0</v>
      </c>
      <c r="BF10" s="228">
        <f>+'IPPU Summary'!$L$45</f>
        <v>0</v>
      </c>
    </row>
    <row r="11" spans="1:58" x14ac:dyDescent="0.25">
      <c r="A11" s="240">
        <v>2007</v>
      </c>
      <c r="B11" s="227">
        <f>+'IPPU Summary'!$M$5</f>
        <v>6063.9731606852001</v>
      </c>
      <c r="C11" s="227">
        <f>+'IPPU Summary'!$M$11</f>
        <v>1968.9813043600002</v>
      </c>
      <c r="D11" s="227">
        <f>+'IPPU Summary'!$M$22</f>
        <v>28892.095469999997</v>
      </c>
      <c r="E11" s="227">
        <f>+'IPPU Summary'!$M$30</f>
        <v>234.08</v>
      </c>
      <c r="F11" s="185" t="s">
        <v>518</v>
      </c>
      <c r="G11" s="227">
        <f>+'IPPU Summary'!$M$41</f>
        <v>1063.4000000000001</v>
      </c>
      <c r="H11" s="185" t="s">
        <v>518</v>
      </c>
      <c r="I11" s="228">
        <f>+'IPPU Summary'!$M$4</f>
        <v>38222.529935045204</v>
      </c>
      <c r="K11" s="240">
        <v>2007</v>
      </c>
      <c r="L11" s="228">
        <f>+'IPPU Summary'!$M$6</f>
        <v>5407.6724000000004</v>
      </c>
      <c r="M11" s="228">
        <f>+'IPPU Summary'!$M$7</f>
        <v>551.31326000000001</v>
      </c>
      <c r="N11" s="228">
        <f>+'IPPU Summary'!$M$8</f>
        <v>104.9875006852</v>
      </c>
      <c r="P11" s="240">
        <v>2007</v>
      </c>
      <c r="Q11" s="193">
        <f>+'2A1 Cement Production'!$L$14</f>
        <v>14647000</v>
      </c>
      <c r="R11" s="193">
        <f>+'2A2 Lime Production'!$L$14</f>
        <v>660772</v>
      </c>
      <c r="S11" s="193">
        <f>+'2A2 Lime Production'!$L$15</f>
        <v>57458</v>
      </c>
      <c r="T11" s="193">
        <f>+'2A3 Glass Production'!$L$14</f>
        <v>858382</v>
      </c>
      <c r="V11" s="240">
        <v>2007</v>
      </c>
      <c r="W11" s="193">
        <f>+'IPPU Summary'!$M$11</f>
        <v>1968.9813043600002</v>
      </c>
      <c r="Y11" s="240">
        <v>2007</v>
      </c>
      <c r="Z11" s="228">
        <f>+'IPPU Summary'!$M$23</f>
        <v>15147.096109999999</v>
      </c>
      <c r="AA11" s="228">
        <f>+'IPPU Summary'!$M$24</f>
        <v>11250.145560000001</v>
      </c>
      <c r="AB11" s="228">
        <f>+'IPPU Summary'!$M$25</f>
        <v>2419.7458000000001</v>
      </c>
      <c r="AC11" s="228">
        <f>+'IPPU Summary'!$M$27</f>
        <v>21.788</v>
      </c>
      <c r="AD11" s="228">
        <f>+'IPPU Summary'!$M$28</f>
        <v>53.32</v>
      </c>
      <c r="AF11" s="240">
        <v>2007</v>
      </c>
      <c r="AG11" s="193">
        <f>+'2C1 Iron and Steel Production'!$L$14</f>
        <v>4521461</v>
      </c>
      <c r="AH11" s="193">
        <f>+'2C1 Iron and Steel Production'!$L$15</f>
        <v>5473908</v>
      </c>
      <c r="AI11" s="193">
        <f>+'2C1 Iron and Steel Production'!$L$17</f>
        <v>3642520</v>
      </c>
      <c r="AJ11" s="193">
        <f>+'2C1 Iron and Steel Production'!$L$18</f>
        <v>1735914</v>
      </c>
      <c r="AK11" s="193">
        <f>+'2C1 Iron and Steel Production'!$L$21</f>
        <v>705428</v>
      </c>
      <c r="AM11" s="240">
        <v>2007</v>
      </c>
      <c r="AN11" s="193">
        <f>+'2C2 Ferroalloys Production'!$L$14</f>
        <v>3561000</v>
      </c>
      <c r="AO11" s="193">
        <f>+'2C2 Ferroalloys Production'!$L$15</f>
        <v>698654</v>
      </c>
      <c r="AP11" s="193">
        <f>+'2C2 Ferroalloys Production'!$L$16</f>
        <v>327794</v>
      </c>
      <c r="AQ11" s="193">
        <f>+'2C2 Ferroalloys Production'!$L$17</f>
        <v>139600</v>
      </c>
      <c r="AR11" s="193">
        <f>+'2C2 Ferroalloys Production'!$L$18</f>
        <v>50300</v>
      </c>
      <c r="AT11" s="240">
        <v>2007</v>
      </c>
      <c r="AU11" s="193">
        <f>+'2C5 Lead Production'!$L$14</f>
        <v>41900</v>
      </c>
      <c r="AV11" s="193">
        <f>+'2C6 Zinc Production'!$L$14</f>
        <v>31000</v>
      </c>
      <c r="AX11" s="240">
        <v>2007</v>
      </c>
      <c r="AY11" s="193">
        <f>+'2D1 Lubricant Use'!$L$14</f>
        <v>15819</v>
      </c>
      <c r="AZ11" s="193">
        <f>+'2D2 Paraffin Wax Use'!$L$14</f>
        <v>141</v>
      </c>
      <c r="BB11" s="240">
        <v>2007</v>
      </c>
      <c r="BC11" s="228">
        <f>+'IPPU Summary'!$M$42</f>
        <v>1063.4000000000001</v>
      </c>
      <c r="BD11" s="228">
        <f>+'IPPU Summary'!$M$43</f>
        <v>0</v>
      </c>
      <c r="BE11" s="228">
        <f>+'IPPU Summary'!$M$44</f>
        <v>0</v>
      </c>
      <c r="BF11" s="228">
        <f>+'IPPU Summary'!$M$45</f>
        <v>0</v>
      </c>
    </row>
    <row r="12" spans="1:58" x14ac:dyDescent="0.25">
      <c r="A12" s="240">
        <v>2008</v>
      </c>
      <c r="B12" s="227">
        <f>+'IPPU Summary'!$N$5</f>
        <v>6320.6815495520004</v>
      </c>
      <c r="C12" s="227">
        <f>+'IPPU Summary'!$N$11</f>
        <v>1226.37704562</v>
      </c>
      <c r="D12" s="227">
        <f>+'IPPU Summary'!$N$22</f>
        <v>27253.937945000001</v>
      </c>
      <c r="E12" s="227">
        <f>+'IPPU Summary'!$N$30</f>
        <v>221.07066666666665</v>
      </c>
      <c r="F12" s="185" t="s">
        <v>518</v>
      </c>
      <c r="G12" s="227">
        <f>+'IPPU Summary'!$N$41</f>
        <v>1025.95</v>
      </c>
      <c r="H12" s="185" t="s">
        <v>518</v>
      </c>
      <c r="I12" s="228">
        <f>+'IPPU Summary'!$N$4</f>
        <v>36048.017206838667</v>
      </c>
      <c r="K12" s="240">
        <v>2008</v>
      </c>
      <c r="L12" s="228">
        <f>+'IPPU Summary'!$N$6</f>
        <v>4988.5680000000002</v>
      </c>
      <c r="M12" s="228">
        <f>+'IPPU Summary'!$N$7</f>
        <v>1214.74</v>
      </c>
      <c r="N12" s="228">
        <f>+'IPPU Summary'!$N$8</f>
        <v>117.37354955200001</v>
      </c>
      <c r="P12" s="240">
        <v>2008</v>
      </c>
      <c r="Q12" s="193">
        <f>+'2A1 Cement Production'!$M$14</f>
        <v>14252000</v>
      </c>
      <c r="R12" s="193">
        <f>+'2A2 Lime Production'!$M$14</f>
        <v>1436000</v>
      </c>
      <c r="S12" s="193">
        <f>+'2A2 Lime Production'!$M$15</f>
        <v>142000</v>
      </c>
      <c r="T12" s="193">
        <f>+'2A3 Glass Production'!$M$14</f>
        <v>978488</v>
      </c>
      <c r="V12" s="240">
        <v>2008</v>
      </c>
      <c r="W12" s="193">
        <f>+'IPPU Summary'!$N$11</f>
        <v>1226.37704562</v>
      </c>
      <c r="Y12" s="240">
        <v>2008</v>
      </c>
      <c r="Z12" s="228">
        <f>+'IPPU Summary'!$N$23</f>
        <v>14152.034485</v>
      </c>
      <c r="AA12" s="228">
        <f>+'IPPU Summary'!$N$24</f>
        <v>11179.47366</v>
      </c>
      <c r="AB12" s="228">
        <f>+'IPPU Summary'!$N$25</f>
        <v>1848.4218000000001</v>
      </c>
      <c r="AC12" s="228">
        <f>+'IPPU Summary'!$N$27</f>
        <v>24.128</v>
      </c>
      <c r="AD12" s="228">
        <f>+'IPPU Summary'!$N$28</f>
        <v>49.88</v>
      </c>
      <c r="AF12" s="240">
        <v>2008</v>
      </c>
      <c r="AG12" s="193">
        <f>+'2C1 Iron and Steel Production'!$M$14</f>
        <v>4504275</v>
      </c>
      <c r="AH12" s="193">
        <f>+'2C1 Iron and Steel Production'!$M$15</f>
        <v>4581523</v>
      </c>
      <c r="AI12" s="193">
        <f>+'2C1 Iron and Steel Production'!$M$17</f>
        <v>3746786</v>
      </c>
      <c r="AJ12" s="193">
        <f>+'2C1 Iron and Steel Production'!$M$18</f>
        <v>1177925</v>
      </c>
      <c r="AK12" s="193">
        <f>+'2C1 Iron and Steel Production'!$M$21</f>
        <v>460746</v>
      </c>
      <c r="AM12" s="240">
        <v>2008</v>
      </c>
      <c r="AN12" s="193">
        <f>+'2C2 Ferroalloys Production'!$M$14</f>
        <v>3269000</v>
      </c>
      <c r="AO12" s="193">
        <f>+'2C2 Ferroalloys Production'!$M$15</f>
        <v>502631</v>
      </c>
      <c r="AP12" s="193">
        <f>+'2C2 Ferroalloys Production'!$M$16</f>
        <v>259014</v>
      </c>
      <c r="AQ12" s="193">
        <f>+'2C2 Ferroalloys Production'!$M$17</f>
        <v>134500</v>
      </c>
      <c r="AR12" s="193">
        <f>+'2C2 Ferroalloys Production'!$M$18</f>
        <v>51800</v>
      </c>
      <c r="AT12" s="240">
        <v>2008</v>
      </c>
      <c r="AU12" s="193">
        <f>+'2C5 Lead Production'!$M$14</f>
        <v>46400</v>
      </c>
      <c r="AV12" s="193">
        <f>+'2C6 Zinc Production'!$M$14</f>
        <v>29000</v>
      </c>
      <c r="AX12" s="240">
        <v>2008</v>
      </c>
      <c r="AY12" s="193">
        <f>+'2D1 Lubricant Use'!$M$14</f>
        <v>14891</v>
      </c>
      <c r="AZ12" s="193">
        <f>+'2D2 Paraffin Wax Use'!$M$14</f>
        <v>182</v>
      </c>
      <c r="BB12" s="240">
        <v>2008</v>
      </c>
      <c r="BC12" s="228">
        <f>+'IPPU Summary'!$N$42</f>
        <v>1025.95</v>
      </c>
      <c r="BD12" s="228">
        <f>+'IPPU Summary'!$N$43</f>
        <v>0</v>
      </c>
      <c r="BE12" s="228">
        <f>+'IPPU Summary'!$N$44</f>
        <v>0</v>
      </c>
      <c r="BF12" s="228">
        <f>+'IPPU Summary'!$N$45</f>
        <v>0</v>
      </c>
    </row>
    <row r="13" spans="1:58" x14ac:dyDescent="0.25">
      <c r="A13" s="240">
        <v>2009</v>
      </c>
      <c r="B13" s="227">
        <f>+'IPPU Summary'!$O$5</f>
        <v>6590.7750204223994</v>
      </c>
      <c r="C13" s="227">
        <f>+'IPPU Summary'!$O$11</f>
        <v>1068.23981712</v>
      </c>
      <c r="D13" s="227">
        <f>+'IPPU Summary'!$O$22</f>
        <v>25467.171760000001</v>
      </c>
      <c r="E13" s="227">
        <f>+'IPPU Summary'!$O$30</f>
        <v>233.75733333333332</v>
      </c>
      <c r="F13" s="185" t="s">
        <v>518</v>
      </c>
      <c r="G13" s="227">
        <f>+'IPPU Summary'!$O$41</f>
        <v>992.04</v>
      </c>
      <c r="H13" s="185" t="s">
        <v>518</v>
      </c>
      <c r="I13" s="228">
        <f>+'IPPU Summary'!$O$4</f>
        <v>34351.983930875736</v>
      </c>
      <c r="K13" s="240">
        <v>2009</v>
      </c>
      <c r="L13" s="228">
        <f>+'IPPU Summary'!$O$6</f>
        <v>5432.1279999999997</v>
      </c>
      <c r="M13" s="228">
        <f>+'IPPU Summary'!$O$7</f>
        <v>1048.8800000000001</v>
      </c>
      <c r="N13" s="228">
        <f>+'IPPU Summary'!$O$8</f>
        <v>109.76702042240001</v>
      </c>
      <c r="P13" s="240">
        <v>2009</v>
      </c>
      <c r="Q13" s="193">
        <f>+'2A1 Cement Production'!$N$14</f>
        <v>14860000</v>
      </c>
      <c r="R13" s="193">
        <f>+'2A2 Lime Production'!$N$14</f>
        <v>1264000</v>
      </c>
      <c r="S13" s="193">
        <f>+'2A2 Lime Production'!$N$15</f>
        <v>104000</v>
      </c>
      <c r="T13" s="193">
        <f>+'2A3 Glass Production'!$N$14</f>
        <v>993784</v>
      </c>
      <c r="V13" s="240">
        <v>2009</v>
      </c>
      <c r="W13" s="193">
        <f>+'IPPU Summary'!$O$11</f>
        <v>1068.23981712</v>
      </c>
      <c r="Y13" s="240">
        <v>2009</v>
      </c>
      <c r="Z13" s="228">
        <f>+'IPPU Summary'!$O$23</f>
        <v>12794.452040000002</v>
      </c>
      <c r="AA13" s="228">
        <f>+'IPPU Summary'!$O$24</f>
        <v>11192.699320000002</v>
      </c>
      <c r="AB13" s="228">
        <f>+'IPPU Summary'!$O$25</f>
        <v>1406.3284000000001</v>
      </c>
      <c r="AC13" s="228">
        <f>+'IPPU Summary'!$O$27</f>
        <v>25.532</v>
      </c>
      <c r="AD13" s="228">
        <f>+'IPPU Summary'!$O$28</f>
        <v>48.16</v>
      </c>
      <c r="AF13" s="240">
        <v>2009</v>
      </c>
      <c r="AG13" s="193">
        <f>+'2C1 Iron and Steel Production'!$N$14</f>
        <v>3953709</v>
      </c>
      <c r="AH13" s="193">
        <f>+'2C1 Iron and Steel Production'!$N$15</f>
        <v>4359556</v>
      </c>
      <c r="AI13" s="193">
        <f>+'2C1 Iron and Steel Production'!$N$17</f>
        <v>3184566</v>
      </c>
      <c r="AJ13" s="193">
        <f>+'2C1 Iron and Steel Production'!$N$18</f>
        <v>1339720</v>
      </c>
      <c r="AK13" s="193">
        <f>+'2C1 Iron and Steel Production'!$N$21</f>
        <v>429916</v>
      </c>
      <c r="AM13" s="240">
        <v>2009</v>
      </c>
      <c r="AN13" s="193">
        <f>+'2C2 Ferroalloys Production'!$N$14</f>
        <v>2346000</v>
      </c>
      <c r="AO13" s="193">
        <f>+'2C2 Ferroalloys Production'!$N$15</f>
        <v>274923</v>
      </c>
      <c r="AP13" s="193">
        <f>+'2C2 Ferroalloys Production'!$N$16</f>
        <v>117683</v>
      </c>
      <c r="AQ13" s="193">
        <f>+'2C2 Ferroalloys Production'!$N$17</f>
        <v>110400</v>
      </c>
      <c r="AR13" s="193">
        <f>+'2C2 Ferroalloys Production'!$N$18</f>
        <v>38600</v>
      </c>
      <c r="AT13" s="240">
        <v>2009</v>
      </c>
      <c r="AU13" s="193">
        <f>+'2C5 Lead Production'!$N$14</f>
        <v>49100</v>
      </c>
      <c r="AV13" s="193">
        <f>+'2C6 Zinc Production'!$N$14</f>
        <v>28000</v>
      </c>
      <c r="AX13" s="240">
        <v>2009</v>
      </c>
      <c r="AY13" s="193">
        <f>+'2D1 Lubricant Use'!$N$14</f>
        <v>15707</v>
      </c>
      <c r="AZ13" s="193">
        <f>+'2D2 Paraffin Wax Use'!$N$14</f>
        <v>231</v>
      </c>
      <c r="BB13" s="240">
        <v>2009</v>
      </c>
      <c r="BC13" s="228">
        <f>+'IPPU Summary'!$O$42</f>
        <v>992.04</v>
      </c>
      <c r="BD13" s="228">
        <f>+'IPPU Summary'!$O$43</f>
        <v>0</v>
      </c>
      <c r="BE13" s="228">
        <f>+'IPPU Summary'!$O$44</f>
        <v>0</v>
      </c>
      <c r="BF13" s="228">
        <f>+'IPPU Summary'!$O$45</f>
        <v>0</v>
      </c>
    </row>
    <row r="14" spans="1:58" x14ac:dyDescent="0.25">
      <c r="A14" s="240">
        <v>2010</v>
      </c>
      <c r="B14" s="227">
        <f>+'IPPU Summary'!$P$5</f>
        <v>5916.6986057876002</v>
      </c>
      <c r="C14" s="227">
        <f>+'IPPU Summary'!$P$11</f>
        <v>1021.2058874548001</v>
      </c>
      <c r="D14" s="227">
        <f>+'IPPU Summary'!$P$22</f>
        <v>27203.991429999998</v>
      </c>
      <c r="E14" s="227">
        <f>+'IPPU Summary'!$P$30</f>
        <v>233.87466666666666</v>
      </c>
      <c r="F14" s="185" t="s">
        <v>518</v>
      </c>
      <c r="G14" s="227">
        <f>+'IPPU Summary'!$P$41</f>
        <v>2065.8000000000002</v>
      </c>
      <c r="H14" s="185" t="s">
        <v>518</v>
      </c>
      <c r="I14" s="228">
        <f>+'IPPU Summary'!$P$4</f>
        <v>36441.570589909068</v>
      </c>
      <c r="K14" s="240">
        <v>2010</v>
      </c>
      <c r="L14" s="228">
        <f>+'IPPU Summary'!$P$6</f>
        <v>4818.9544000000005</v>
      </c>
      <c r="M14" s="228">
        <f>+'IPPU Summary'!$P$7</f>
        <v>993.86</v>
      </c>
      <c r="N14" s="228">
        <f>+'IPPU Summary'!$P$8</f>
        <v>103.88420578760002</v>
      </c>
      <c r="P14" s="240">
        <v>2010</v>
      </c>
      <c r="Q14" s="193">
        <f>+'2A1 Cement Production'!$O$14</f>
        <v>13458000</v>
      </c>
      <c r="R14" s="193">
        <f>+'2A2 Lime Production'!$O$14</f>
        <v>1179000</v>
      </c>
      <c r="S14" s="193">
        <f>+'2A2 Lime Production'!$O$15</f>
        <v>113000</v>
      </c>
      <c r="T14" s="193">
        <f>+'2A3 Glass Production'!$O$14</f>
        <v>1009043</v>
      </c>
      <c r="V14" s="240">
        <v>2010</v>
      </c>
      <c r="W14" s="193">
        <f>+'IPPU Summary'!$P$11</f>
        <v>1021.2058874548001</v>
      </c>
      <c r="Y14" s="240">
        <v>2010</v>
      </c>
      <c r="Z14" s="228">
        <f>+'IPPU Summary'!$P$23</f>
        <v>13861.709649999999</v>
      </c>
      <c r="AA14" s="228">
        <f>+'IPPU Summary'!$P$24</f>
        <v>11822.08778</v>
      </c>
      <c r="AB14" s="228">
        <f>+'IPPU Summary'!$P$25</f>
        <v>1431.962</v>
      </c>
      <c r="AC14" s="228">
        <f>+'IPPU Summary'!$P$27</f>
        <v>26.312000000000001</v>
      </c>
      <c r="AD14" s="228">
        <f>+'IPPU Summary'!$P$28</f>
        <v>61.92</v>
      </c>
      <c r="AF14" s="240">
        <v>2010</v>
      </c>
      <c r="AG14" s="193">
        <f>+'2C1 Iron and Steel Production'!$O$14</f>
        <v>4366727</v>
      </c>
      <c r="AH14" s="193">
        <f>+'2C1 Iron and Steel Production'!$O$15</f>
        <v>4235993</v>
      </c>
      <c r="AI14" s="193">
        <f>+'2C1 Iron and Steel Production'!$O$17</f>
        <v>3695327</v>
      </c>
      <c r="AJ14" s="193">
        <f>+'2C1 Iron and Steel Production'!$O$18</f>
        <v>1120452</v>
      </c>
      <c r="AK14" s="193">
        <f>+'2C1 Iron and Steel Production'!$O$21</f>
        <v>584452</v>
      </c>
      <c r="AM14" s="240">
        <v>2010</v>
      </c>
      <c r="AN14" s="193">
        <f>+'2C2 Ferroalloys Production'!$O$14</f>
        <v>3607000</v>
      </c>
      <c r="AO14" s="193">
        <f>+'2C2 Ferroalloys Production'!$O$15</f>
        <v>473000</v>
      </c>
      <c r="AP14" s="193">
        <f>+'2C2 Ferroalloys Production'!$O$16</f>
        <v>317000</v>
      </c>
      <c r="AQ14" s="193">
        <f>+'2C2 Ferroalloys Production'!$O$17</f>
        <v>127700</v>
      </c>
      <c r="AR14" s="193">
        <f>+'2C2 Ferroalloys Production'!$O$18</f>
        <v>46400</v>
      </c>
      <c r="AT14" s="240">
        <v>2010</v>
      </c>
      <c r="AU14" s="193">
        <f>+'2C5 Lead Production'!$O$14</f>
        <v>50600</v>
      </c>
      <c r="AV14" s="193">
        <f>+'2C6 Zinc Production'!$O$14</f>
        <v>36000</v>
      </c>
      <c r="AX14" s="240">
        <v>2010</v>
      </c>
      <c r="AY14" s="193">
        <f>+'2D1 Lubricant Use'!$O$14</f>
        <v>15715</v>
      </c>
      <c r="AZ14" s="193">
        <f>+'2D2 Paraffin Wax Use'!$O$14</f>
        <v>231</v>
      </c>
      <c r="BB14" s="240">
        <v>2010</v>
      </c>
      <c r="BC14" s="228">
        <f>+'IPPU Summary'!$P$42</f>
        <v>2065.8000000000002</v>
      </c>
      <c r="BD14" s="228">
        <f>+'IPPU Summary'!$P$43</f>
        <v>0</v>
      </c>
      <c r="BE14" s="228">
        <f>+'IPPU Summary'!$P$44</f>
        <v>0</v>
      </c>
      <c r="BF14" s="228">
        <f>+'IPPU Summary'!$P$45</f>
        <v>0</v>
      </c>
    </row>
    <row r="15" spans="1:58" x14ac:dyDescent="0.25">
      <c r="A15" s="240">
        <v>2011</v>
      </c>
      <c r="B15" s="227">
        <f>+'IPPU Summary'!$Q$5</f>
        <v>5719.84292</v>
      </c>
      <c r="C15" s="227">
        <f>+'IPPU Summary'!$Q$11</f>
        <v>1070.9225498000001</v>
      </c>
      <c r="D15" s="227">
        <f>+'IPPU Summary'!$Q$22</f>
        <v>30966.17239</v>
      </c>
      <c r="E15" s="227">
        <f>+'IPPU Summary'!$Q$30</f>
        <v>196.38666666666666</v>
      </c>
      <c r="F15" s="185" t="s">
        <v>518</v>
      </c>
      <c r="G15" s="227">
        <f>+'IPPU Summary'!$Q$41</f>
        <v>2274.3970304019999</v>
      </c>
      <c r="H15" s="185" t="s">
        <v>518</v>
      </c>
      <c r="I15" s="228">
        <f>+'IPPU Summary'!$Q$4</f>
        <v>40227.721556868666</v>
      </c>
      <c r="K15" s="240">
        <v>2011</v>
      </c>
      <c r="L15" s="228">
        <f>+'IPPU Summary'!$Q$6</f>
        <v>4432.8284000000003</v>
      </c>
      <c r="M15" s="228">
        <f>+'IPPU Summary'!$Q$7</f>
        <v>1180.96</v>
      </c>
      <c r="N15" s="228">
        <f>+'IPPU Summary'!$Q$8</f>
        <v>106.05452000000001</v>
      </c>
      <c r="P15" s="240">
        <v>2011</v>
      </c>
      <c r="Q15" s="193">
        <f>+'2A1 Cement Production'!$P$14</f>
        <v>12373000</v>
      </c>
      <c r="R15" s="193">
        <f>+'2A2 Lime Production'!$P$14</f>
        <v>1422000</v>
      </c>
      <c r="S15" s="193">
        <f>+'2A2 Lime Production'!$P$15</f>
        <v>118000</v>
      </c>
      <c r="T15" s="193">
        <f>+'2A3 Glass Production'!$P$14</f>
        <v>1019755</v>
      </c>
      <c r="V15" s="240">
        <v>2011</v>
      </c>
      <c r="W15" s="193">
        <f>+'IPPU Summary'!$Q$11</f>
        <v>1070.9225498000001</v>
      </c>
      <c r="Y15" s="240">
        <v>2011</v>
      </c>
      <c r="Z15" s="228">
        <f>+'IPPU Summary'!$Q$23</f>
        <v>14922.64853</v>
      </c>
      <c r="AA15" s="228">
        <f>+'IPPU Summary'!$Q$24</f>
        <v>12241.180260000001</v>
      </c>
      <c r="AB15" s="228">
        <f>+'IPPU Summary'!$Q$25</f>
        <v>3710.3844000000008</v>
      </c>
      <c r="AC15" s="228">
        <f>+'IPPU Summary'!$Q$27</f>
        <v>28.319200000000002</v>
      </c>
      <c r="AD15" s="228">
        <f>+'IPPU Summary'!$Q$28</f>
        <v>63.64</v>
      </c>
      <c r="AF15" s="240">
        <v>2011</v>
      </c>
      <c r="AG15" s="193">
        <f>+'2C1 Iron and Steel Production'!$P$14</f>
        <v>3991686</v>
      </c>
      <c r="AH15" s="193">
        <f>+'2C1 Iron and Steel Production'!$P$15</f>
        <v>3554803</v>
      </c>
      <c r="AI15" s="193">
        <f>+'2C1 Iron and Steel Production'!$P$17</f>
        <v>4603558</v>
      </c>
      <c r="AJ15" s="193">
        <f>+'2C1 Iron and Steel Production'!$P$18</f>
        <v>1414164</v>
      </c>
      <c r="AK15" s="193">
        <f>+'2C1 Iron and Steel Production'!$P$21</f>
        <v>570129</v>
      </c>
      <c r="AM15" s="240">
        <v>2011</v>
      </c>
      <c r="AN15" s="193">
        <f>+'2C2 Ferroalloys Production'!$P$14</f>
        <v>3422000</v>
      </c>
      <c r="AO15" s="193">
        <f>+'2C2 Ferroalloys Production'!$P$15</f>
        <v>714000</v>
      </c>
      <c r="AP15" s="193">
        <f>+'2C2 Ferroalloys Production'!$P$16</f>
        <v>350000</v>
      </c>
      <c r="AQ15" s="193">
        <f>+'2C2 Ferroalloys Production'!$P$17</f>
        <v>126200</v>
      </c>
      <c r="AR15" s="193">
        <f>+'2C2 Ferroalloys Production'!$P$18</f>
        <v>58800</v>
      </c>
      <c r="AT15" s="240">
        <v>2011</v>
      </c>
      <c r="AU15" s="193">
        <f>+'2C5 Lead Production'!$P$14</f>
        <v>54460</v>
      </c>
      <c r="AV15" s="193">
        <f>+'2C6 Zinc Production'!$P$14</f>
        <v>37000</v>
      </c>
      <c r="AX15" s="240">
        <v>2011</v>
      </c>
      <c r="AY15" s="193">
        <f>+'2D1 Lubricant Use'!$P$14</f>
        <v>13130</v>
      </c>
      <c r="AZ15" s="193">
        <f>+'2D2 Paraffin Wax Use'!$P$14</f>
        <v>260</v>
      </c>
      <c r="BB15" s="240">
        <v>2011</v>
      </c>
      <c r="BC15" s="228">
        <f>+'IPPU Summary'!$Q$42</f>
        <v>2232.500866332</v>
      </c>
      <c r="BD15" s="228">
        <f>+'IPPU Summary'!$Q$43</f>
        <v>3.7830966699999999</v>
      </c>
      <c r="BE15" s="228">
        <f>+'IPPU Summary'!$Q$44</f>
        <v>22.980200300000003</v>
      </c>
      <c r="BF15" s="228">
        <f>+'IPPU Summary'!$Q$45</f>
        <v>15.1328671</v>
      </c>
    </row>
    <row r="16" spans="1:58" x14ac:dyDescent="0.25">
      <c r="A16" s="240">
        <v>2012</v>
      </c>
      <c r="B16" s="227">
        <f>+'IPPU Summary'!$R$5</f>
        <v>5457.2451988416005</v>
      </c>
      <c r="C16" s="227">
        <f>+'IPPU Summary'!$R$11</f>
        <v>931.2860447999999</v>
      </c>
      <c r="D16" s="227">
        <f>+'IPPU Summary'!$R$22</f>
        <v>29784.9306</v>
      </c>
      <c r="E16" s="227">
        <f>+'IPPU Summary'!$R$30</f>
        <v>253.87691077219299</v>
      </c>
      <c r="F16" s="185" t="s">
        <v>518</v>
      </c>
      <c r="G16" s="227">
        <f>+'IPPU Summary'!$R$41</f>
        <v>2527.5876217245</v>
      </c>
      <c r="H16" s="185" t="s">
        <v>518</v>
      </c>
      <c r="I16" s="228">
        <f>+'IPPU Summary'!$R$4</f>
        <v>38954.926376138297</v>
      </c>
      <c r="K16" s="240">
        <v>2012</v>
      </c>
      <c r="L16" s="228">
        <f>+'IPPU Summary'!$R$6</f>
        <v>4414.4984000000004</v>
      </c>
      <c r="M16" s="228">
        <f>+'IPPU Summary'!$R$7</f>
        <v>928.84</v>
      </c>
      <c r="N16" s="228">
        <f>+'IPPU Summary'!$R$8</f>
        <v>113.90679884160002</v>
      </c>
      <c r="P16" s="240">
        <v>2012</v>
      </c>
      <c r="Q16" s="193">
        <f>+'2A1 Cement Production'!$Q$14</f>
        <v>12358000</v>
      </c>
      <c r="R16" s="193">
        <f>+'2A2 Lime Production'!$Q$14</f>
        <v>1113000</v>
      </c>
      <c r="S16" s="193">
        <f>+'2A2 Lime Production'!$Q$15</f>
        <v>97000</v>
      </c>
      <c r="T16" s="193">
        <f>+'2A3 Glass Production'!$Q$14</f>
        <v>1095264</v>
      </c>
      <c r="V16" s="240">
        <v>2012</v>
      </c>
      <c r="W16" s="193">
        <f>+'IPPU Summary'!$R$11</f>
        <v>931.2860447999999</v>
      </c>
      <c r="Y16" s="240">
        <v>2012</v>
      </c>
      <c r="Z16" s="228">
        <f>+'IPPU Summary'!$R$23</f>
        <v>15020.696860000002</v>
      </c>
      <c r="AA16" s="228">
        <f>+'IPPU Summary'!$R$24</f>
        <v>11627.24546</v>
      </c>
      <c r="AB16" s="228">
        <f>+'IPPU Summary'!$R$25</f>
        <v>3046.0540000000001</v>
      </c>
      <c r="AC16" s="228">
        <f>+'IPPU Summary'!$R$27</f>
        <v>27.294280000000004</v>
      </c>
      <c r="AD16" s="228">
        <f>+'IPPU Summary'!$R$28</f>
        <v>63.64</v>
      </c>
      <c r="AF16" s="240">
        <v>2012</v>
      </c>
      <c r="AG16" s="193">
        <f>+'2C1 Iron and Steel Production'!$Q$14</f>
        <v>3904276</v>
      </c>
      <c r="AH16" s="193">
        <f>+'2C1 Iron and Steel Production'!$Q$15</f>
        <v>3904276</v>
      </c>
      <c r="AI16" s="193">
        <f>+'2C1 Iron and Steel Production'!$Q$17</f>
        <v>4599015</v>
      </c>
      <c r="AJ16" s="193">
        <f>+'2C1 Iron and Steel Production'!$Q$18</f>
        <v>1493420</v>
      </c>
      <c r="AK16" s="193">
        <f>+'2C1 Iron and Steel Production'!$Q$21</f>
        <v>677891</v>
      </c>
      <c r="AM16" s="240">
        <v>2012</v>
      </c>
      <c r="AN16" s="193">
        <f>+'2C2 Ferroalloys Production'!$Q$14</f>
        <v>3063000</v>
      </c>
      <c r="AO16" s="193">
        <f>+'2C2 Ferroalloys Production'!$Q$15</f>
        <v>706000</v>
      </c>
      <c r="AP16" s="193">
        <f>+'2C2 Ferroalloys Production'!$Q$16</f>
        <v>177000</v>
      </c>
      <c r="AQ16" s="193">
        <f>+'2C2 Ferroalloys Production'!$Q$17</f>
        <v>83100</v>
      </c>
      <c r="AR16" s="193">
        <f>+'2C2 Ferroalloys Production'!$Q$18</f>
        <v>53000</v>
      </c>
      <c r="AT16" s="240">
        <v>2012</v>
      </c>
      <c r="AU16" s="193">
        <f>+'2C5 Lead Production'!$Q$14</f>
        <v>52489</v>
      </c>
      <c r="AV16" s="193">
        <f>+'2C6 Zinc Production'!$Q$14</f>
        <v>37000</v>
      </c>
      <c r="AX16" s="240">
        <v>2012</v>
      </c>
      <c r="AY16" s="193">
        <f>+'2D1 Lubricant Use'!$Q$14</f>
        <v>17085</v>
      </c>
      <c r="AZ16" s="193">
        <f>+'2D2 Paraffin Wax Use'!$Q$14</f>
        <v>224.78937083133872</v>
      </c>
      <c r="BB16" s="240">
        <v>2012</v>
      </c>
      <c r="BC16" s="228">
        <f>+'IPPU Summary'!$R$42</f>
        <v>2482.7810084104999</v>
      </c>
      <c r="BD16" s="228">
        <f>+'IPPU Summary'!$R$43</f>
        <v>3.4528660840000001</v>
      </c>
      <c r="BE16" s="228">
        <f>+'IPPU Summary'!$R$44</f>
        <v>25.331806229999998</v>
      </c>
      <c r="BF16" s="228">
        <f>+'IPPU Summary'!$R$45</f>
        <v>16.021940999999998</v>
      </c>
    </row>
    <row r="17" spans="1:58" x14ac:dyDescent="0.25">
      <c r="A17" s="240">
        <v>2013</v>
      </c>
      <c r="B17" s="227">
        <f>+'IPPU Summary'!$S$5</f>
        <v>5688.3723988416004</v>
      </c>
      <c r="C17" s="227">
        <f>+'IPPU Summary'!$S$11</f>
        <v>1152.1518874548001</v>
      </c>
      <c r="D17" s="227">
        <f>+'IPPU Summary'!$S$22</f>
        <v>31384.054412178357</v>
      </c>
      <c r="E17" s="227">
        <f>+'IPPU Summary'!$S$30</f>
        <v>271.70611536899781</v>
      </c>
      <c r="F17" s="185" t="s">
        <v>518</v>
      </c>
      <c r="G17" s="227">
        <f>+'IPPU Summary'!$S$41</f>
        <v>2852.5371444459997</v>
      </c>
      <c r="H17" s="185" t="s">
        <v>518</v>
      </c>
      <c r="I17" s="228">
        <f>+'IPPU Summary'!$S$4</f>
        <v>41348.821958289758</v>
      </c>
      <c r="K17" s="240">
        <v>2013</v>
      </c>
      <c r="L17" s="228">
        <f>+'IPPU Summary'!$S$6</f>
        <v>4659.2156000000004</v>
      </c>
      <c r="M17" s="228">
        <f>+'IPPU Summary'!$S$7</f>
        <v>915.25</v>
      </c>
      <c r="N17" s="228">
        <f>+'IPPU Summary'!$S$8</f>
        <v>113.90679884160002</v>
      </c>
      <c r="P17" s="240">
        <v>2013</v>
      </c>
      <c r="Q17" s="193">
        <f>+'2A1 Cement Production'!$R$14</f>
        <v>13037000</v>
      </c>
      <c r="R17" s="193">
        <f>+'2A2 Lime Production'!$R$14</f>
        <v>1091000</v>
      </c>
      <c r="S17" s="193">
        <f>+'2A2 Lime Production'!$R$15</f>
        <v>100000</v>
      </c>
      <c r="T17" s="193">
        <f>+'2A3 Glass Production'!$R$14</f>
        <v>1095264</v>
      </c>
      <c r="V17" s="240">
        <v>2013</v>
      </c>
      <c r="W17" s="193">
        <f>+'IPPU Summary'!$S$11</f>
        <v>1152.1518874548001</v>
      </c>
      <c r="Y17" s="240">
        <v>2013</v>
      </c>
      <c r="Z17" s="228">
        <f>+'IPPU Summary'!$S$23</f>
        <v>15582.114970055352</v>
      </c>
      <c r="AA17" s="228">
        <f>+'IPPU Summary'!$S$24</f>
        <v>11964.273079999999</v>
      </c>
      <c r="AB17" s="228">
        <f>+'IPPU Summary'!$S$25</f>
        <v>3764.2263621230068</v>
      </c>
      <c r="AC17" s="228">
        <f>+'IPPU Summary'!$S$27</f>
        <v>21.84</v>
      </c>
      <c r="AD17" s="228">
        <f>+'IPPU Summary'!$S$28</f>
        <v>51.6</v>
      </c>
      <c r="AF17" s="240">
        <v>2013</v>
      </c>
      <c r="AG17" s="193">
        <f>+'2C1 Iron and Steel Production'!$R$14</f>
        <v>4271948</v>
      </c>
      <c r="AH17" s="193">
        <f>+'2C1 Iron and Steel Production'!$R$15</f>
        <v>3292869.8165641585</v>
      </c>
      <c r="AI17" s="193">
        <f>+'2C1 Iron and Steel Production'!$R$17</f>
        <v>4927550</v>
      </c>
      <c r="AJ17" s="193">
        <f>+'2C1 Iron and Steel Production'!$R$18</f>
        <v>1295000</v>
      </c>
      <c r="AK17" s="193">
        <f>+'2C1 Iron and Steel Production'!$R$21</f>
        <v>590355.59055872692</v>
      </c>
      <c r="AM17" s="240">
        <v>2013</v>
      </c>
      <c r="AN17" s="193">
        <f>+'2C2 Ferroalloys Production'!$R$14</f>
        <v>3219000</v>
      </c>
      <c r="AO17" s="193">
        <f>+'2C2 Ferroalloys Production'!$R$15</f>
        <v>681000</v>
      </c>
      <c r="AP17" s="193">
        <f>+'2C2 Ferroalloys Production'!$R$16</f>
        <v>163000</v>
      </c>
      <c r="AQ17" s="193">
        <f>+'2C2 Ferroalloys Production'!$R$17</f>
        <v>78400</v>
      </c>
      <c r="AR17" s="193">
        <f>+'2C2 Ferroalloys Production'!$R$18</f>
        <v>34000</v>
      </c>
      <c r="AT17" s="240">
        <v>2013</v>
      </c>
      <c r="AU17" s="193">
        <f>+'2C5 Lead Production'!$R$14</f>
        <v>42000</v>
      </c>
      <c r="AV17" s="193">
        <f>+'2C6 Zinc Production'!$R$14</f>
        <v>30000</v>
      </c>
      <c r="AX17" s="240">
        <v>2013</v>
      </c>
      <c r="AY17" s="193">
        <f>+'2D1 Lubricant Use'!$R$14</f>
        <v>18309.950369042723</v>
      </c>
      <c r="AZ17" s="193">
        <f>+'2D2 Paraffin Wax Use'!$R$14</f>
        <v>215.46658793440054</v>
      </c>
      <c r="BB17" s="240">
        <v>2013</v>
      </c>
      <c r="BC17" s="228">
        <f>+'IPPU Summary'!$S$42</f>
        <v>2802.3997062409999</v>
      </c>
      <c r="BD17" s="228">
        <f>+'IPPU Summary'!$S$43</f>
        <v>2.0036058250000002</v>
      </c>
      <c r="BE17" s="228">
        <f>+'IPPU Summary'!$S$44</f>
        <v>30.53210928</v>
      </c>
      <c r="BF17" s="228">
        <f>+'IPPU Summary'!$S$45</f>
        <v>17.601723100000001</v>
      </c>
    </row>
    <row r="18" spans="1:58" x14ac:dyDescent="0.25">
      <c r="A18" s="240">
        <v>2014</v>
      </c>
      <c r="B18" s="227">
        <f>+'IPPU Summary'!$T$5</f>
        <v>5770.0734488416001</v>
      </c>
      <c r="C18" s="227">
        <f>+'IPPU Summary'!$T$11</f>
        <v>927.62527027089368</v>
      </c>
      <c r="D18" s="227">
        <f>+'IPPU Summary'!$T$22</f>
        <v>31842.291876701373</v>
      </c>
      <c r="E18" s="227">
        <f>+'IPPU Summary'!$T$30</f>
        <v>272.77838312986057</v>
      </c>
      <c r="F18" s="185" t="s">
        <v>518</v>
      </c>
      <c r="G18" s="227">
        <f>+'IPPU Summary'!$T$41</f>
        <v>3065.5941807110003</v>
      </c>
      <c r="H18" s="185" t="s">
        <v>518</v>
      </c>
      <c r="I18" s="228">
        <f>+'IPPU Summary'!$T$4</f>
        <v>41878.363159654727</v>
      </c>
      <c r="K18" s="240">
        <v>2014</v>
      </c>
      <c r="L18" s="228">
        <f>+'IPPU Summary'!$T$6</f>
        <v>4678.1851999999999</v>
      </c>
      <c r="M18" s="228">
        <f>+'IPPU Summary'!$T$7</f>
        <v>977.98145</v>
      </c>
      <c r="N18" s="228">
        <f>+'IPPU Summary'!$T$8</f>
        <v>113.90679884160002</v>
      </c>
      <c r="P18" s="240">
        <v>2014</v>
      </c>
      <c r="Q18" s="193">
        <f>+'2A1 Cement Production'!$S$14</f>
        <v>13099000</v>
      </c>
      <c r="R18" s="193">
        <f>+'2A2 Lime Production'!$S$14</f>
        <v>1111579</v>
      </c>
      <c r="S18" s="193">
        <f>+'2A2 Lime Production'!$S$15</f>
        <v>148760</v>
      </c>
      <c r="T18" s="193">
        <f>+'2A3 Glass Production'!$S$14</f>
        <v>1095264</v>
      </c>
      <c r="V18" s="240">
        <v>2014</v>
      </c>
      <c r="W18" s="193">
        <f>+'IPPU Summary'!$T$11</f>
        <v>927.62527027089368</v>
      </c>
      <c r="Y18" s="240">
        <v>2014</v>
      </c>
      <c r="Z18" s="228">
        <f>+'IPPU Summary'!$T$23</f>
        <v>14363.524995027368</v>
      </c>
      <c r="AA18" s="228">
        <f>+'IPPU Summary'!$T$24</f>
        <v>13897.388419999999</v>
      </c>
      <c r="AB18" s="228">
        <f>+'IPPU Summary'!$T$25</f>
        <v>3514.3438596859583</v>
      </c>
      <c r="AC18" s="228">
        <f>+'IPPU Summary'!$T$27</f>
        <v>22.07208198804468</v>
      </c>
      <c r="AD18" s="228">
        <f>+'IPPU Summary'!$T$28</f>
        <v>44.962519999999998</v>
      </c>
      <c r="AF18" s="240">
        <v>2014</v>
      </c>
      <c r="AG18" s="193">
        <f>+'2C1 Iron and Steel Production'!$S$14</f>
        <v>3622909</v>
      </c>
      <c r="AH18" s="193">
        <f>+'2C1 Iron and Steel Production'!$S$15</f>
        <v>2789291</v>
      </c>
      <c r="AI18" s="193">
        <f>+'2C1 Iron and Steel Production'!$S$17</f>
        <v>4401734</v>
      </c>
      <c r="AJ18" s="193">
        <f>+'2C1 Iron and Steel Production'!$S$18</f>
        <v>1611530</v>
      </c>
      <c r="AK18" s="193">
        <f>+'2C1 Iron and Steel Production'!$S$21</f>
        <v>585727.82471086818</v>
      </c>
      <c r="AM18" s="240">
        <v>2014</v>
      </c>
      <c r="AN18" s="193">
        <f>+'2C2 Ferroalloys Production'!$S$14</f>
        <v>3719000</v>
      </c>
      <c r="AO18" s="193">
        <f>+'2C2 Ferroalloys Production'!$S$15</f>
        <v>814263</v>
      </c>
      <c r="AP18" s="193">
        <f>+'2C2 Ferroalloys Production'!$S$16</f>
        <v>194737</v>
      </c>
      <c r="AQ18" s="193">
        <f>+'2C2 Ferroalloys Production'!$S$17</f>
        <v>87700</v>
      </c>
      <c r="AR18" s="193">
        <f>+'2C2 Ferroalloys Production'!$S$18</f>
        <v>47200</v>
      </c>
      <c r="AT18" s="240">
        <v>2014</v>
      </c>
      <c r="AU18" s="193">
        <f>+'2C5 Lead Production'!$S$14</f>
        <v>42446.311515470537</v>
      </c>
      <c r="AV18" s="193">
        <f>+'2C6 Zinc Production'!$S$14</f>
        <v>26141</v>
      </c>
      <c r="AX18" s="240">
        <v>2014</v>
      </c>
      <c r="AY18" s="193">
        <f>+'2D1 Lubricant Use'!$S$14</f>
        <v>18391.738837789151</v>
      </c>
      <c r="AZ18" s="193">
        <f>+'2D2 Paraffin Wax Use'!$S$14</f>
        <v>206.787284701342</v>
      </c>
      <c r="BB18" s="240">
        <v>2014</v>
      </c>
      <c r="BC18" s="228">
        <f>+'IPPU Summary'!$T$42</f>
        <v>3011.31930134</v>
      </c>
      <c r="BD18" s="228">
        <f>+'IPPU Summary'!$T$43</f>
        <v>1.7355986710000002</v>
      </c>
      <c r="BE18" s="228">
        <f>+'IPPU Summary'!$T$44</f>
        <v>35.923529300000006</v>
      </c>
      <c r="BF18" s="228">
        <f>+'IPPU Summary'!$T$45</f>
        <v>16.615751399999997</v>
      </c>
    </row>
    <row r="19" spans="1:58" x14ac:dyDescent="0.25">
      <c r="A19" s="240">
        <v>2015</v>
      </c>
      <c r="B19" s="227">
        <f>+'IPPU Summary'!$U$5</f>
        <v>6178.5199588415999</v>
      </c>
      <c r="C19" s="227">
        <f>+'IPPU Summary'!$U$11</f>
        <v>1001.5070286576954</v>
      </c>
      <c r="D19" s="227">
        <f>+'IPPU Summary'!$U$22</f>
        <v>30946.361913868881</v>
      </c>
      <c r="E19" s="227">
        <f>+'IPPU Summary'!$U$30</f>
        <v>273.78627273280614</v>
      </c>
      <c r="F19" s="185" t="s">
        <v>518</v>
      </c>
      <c r="G19" s="227">
        <f>+'IPPU Summary'!$U$41</f>
        <v>3482.1249274289999</v>
      </c>
      <c r="H19" s="185" t="s">
        <v>518</v>
      </c>
      <c r="I19" s="228">
        <f>+'IPPU Summary'!$U$4</f>
        <v>41882.300101529981</v>
      </c>
      <c r="K19" s="240">
        <v>2015</v>
      </c>
      <c r="L19" s="228">
        <f>+'IPPU Summary'!$U$6</f>
        <v>5204.8256000000001</v>
      </c>
      <c r="M19" s="228">
        <f>+'IPPU Summary'!$U$7</f>
        <v>859.78755999999998</v>
      </c>
      <c r="N19" s="228">
        <f>+'IPPU Summary'!$U$8</f>
        <v>113.90679884160002</v>
      </c>
      <c r="P19" s="240">
        <v>2015</v>
      </c>
      <c r="Q19" s="193">
        <f>+'2A1 Cement Production'!$T$14</f>
        <v>14522000</v>
      </c>
      <c r="R19" s="193">
        <f>+'2A2 Lime Production'!$T$14</f>
        <v>1026591</v>
      </c>
      <c r="S19" s="193">
        <f>+'2A2 Lime Production'!$T$15</f>
        <v>92623</v>
      </c>
      <c r="T19" s="193">
        <f>+'2A3 Glass Production'!$T$14</f>
        <v>1095264</v>
      </c>
      <c r="V19" s="240">
        <v>2015</v>
      </c>
      <c r="W19" s="193">
        <f>+'IPPU Summary'!$U$11</f>
        <v>1001.5070286576954</v>
      </c>
      <c r="Y19" s="240">
        <v>2015</v>
      </c>
      <c r="Z19" s="228">
        <f>+'IPPU Summary'!$U$23</f>
        <v>14093.548470927624</v>
      </c>
      <c r="AA19" s="228">
        <f>+'IPPU Summary'!$U$24</f>
        <v>13420.227720000001</v>
      </c>
      <c r="AB19" s="228">
        <f>+'IPPU Summary'!$U$25</f>
        <v>3364.5057229412555</v>
      </c>
      <c r="AC19" s="228">
        <f>+'IPPU Summary'!$U$27</f>
        <v>18.2</v>
      </c>
      <c r="AD19" s="228">
        <f>+'IPPU Summary'!$U$28</f>
        <v>49.88</v>
      </c>
      <c r="AF19" s="240">
        <v>2015</v>
      </c>
      <c r="AG19" s="193">
        <f>+'2C1 Iron and Steel Production'!$T$14</f>
        <v>3907513</v>
      </c>
      <c r="AH19" s="193">
        <f>+'2C1 Iron and Steel Production'!$T$15</f>
        <v>2490587</v>
      </c>
      <c r="AI19" s="193">
        <f>+'2C1 Iron and Steel Production'!$T$17</f>
        <v>4463759</v>
      </c>
      <c r="AJ19" s="193">
        <f>+'2C1 Iron and Steel Production'!$T$18</f>
        <v>1124971</v>
      </c>
      <c r="AK19" s="193">
        <f>+'2C1 Iron and Steel Production'!$T$21</f>
        <v>581398.83886704443</v>
      </c>
      <c r="AM19" s="240">
        <v>2015</v>
      </c>
      <c r="AN19" s="193">
        <f>+'2C2 Ferroalloys Production'!$T$14</f>
        <v>3685000</v>
      </c>
      <c r="AO19" s="193">
        <f>+'2C2 Ferroalloys Production'!$T$15</f>
        <v>492000</v>
      </c>
      <c r="AP19" s="193">
        <f>+'2C2 Ferroalloys Production'!$T$16</f>
        <v>123000</v>
      </c>
      <c r="AQ19" s="193">
        <f>+'2C2 Ferroalloys Production'!$T$17</f>
        <v>138000</v>
      </c>
      <c r="AR19" s="193">
        <f>+'2C2 Ferroalloys Production'!$T$18</f>
        <v>42600</v>
      </c>
      <c r="AT19" s="240">
        <v>2015</v>
      </c>
      <c r="AU19" s="193">
        <f>+'2C5 Lead Production'!$T$14</f>
        <v>35000</v>
      </c>
      <c r="AV19" s="193">
        <f>+'2C6 Zinc Production'!$T$14</f>
        <v>29000</v>
      </c>
      <c r="AX19" s="240">
        <v>2015</v>
      </c>
      <c r="AY19" s="193">
        <f>+'2D1 Lubricant Use'!$T$14</f>
        <v>18468.577529403639</v>
      </c>
      <c r="AZ19" s="193">
        <f>+'2D2 Paraffin Wax Use'!$T$14</f>
        <v>198.66833874223556</v>
      </c>
      <c r="BB19" s="240">
        <v>2015</v>
      </c>
      <c r="BC19" s="228">
        <f>+'IPPU Summary'!$U$42</f>
        <v>3419.7235398180001</v>
      </c>
      <c r="BD19" s="228">
        <f>+'IPPU Summary'!$U$43</f>
        <v>2.1042043709999998</v>
      </c>
      <c r="BE19" s="228">
        <f>+'IPPU Summary'!$U$44</f>
        <v>42.095061219999998</v>
      </c>
      <c r="BF19" s="228">
        <f>+'IPPU Summary'!$U$45</f>
        <v>18.202122020000004</v>
      </c>
    </row>
    <row r="20" spans="1:58" x14ac:dyDescent="0.25">
      <c r="A20" s="209">
        <v>2016</v>
      </c>
      <c r="B20" s="227">
        <f>+'IPPU Summary'!$V$5</f>
        <v>6396.8310951691174</v>
      </c>
      <c r="C20" s="227">
        <f>+'IPPU Summary'!$V$11</f>
        <v>968.88074659355482</v>
      </c>
      <c r="D20" s="227">
        <f>+'IPPU Summary'!$V$22</f>
        <v>31109.792156592415</v>
      </c>
      <c r="E20" s="227">
        <f>+'IPPU Summary'!$V$30</f>
        <v>274.73732782629685</v>
      </c>
      <c r="F20" s="185" t="s">
        <v>518</v>
      </c>
      <c r="G20" s="227">
        <f>+'IPPU Summary'!$V$41</f>
        <v>3735.440392645</v>
      </c>
      <c r="H20" s="185" t="s">
        <v>518</v>
      </c>
      <c r="I20" s="228">
        <f>+'IPPU Summary'!$V$4</f>
        <v>42485.681718826389</v>
      </c>
      <c r="K20" s="209">
        <v>2016</v>
      </c>
      <c r="L20" s="228">
        <f>+'IPPU Summary'!$V$6</f>
        <v>5255.2563310261185</v>
      </c>
      <c r="M20" s="228">
        <f>+'IPPU Summary'!$V$7</f>
        <v>1022.3607095203586</v>
      </c>
      <c r="N20" s="228">
        <f>+'IPPU Summary'!$V$8</f>
        <v>119.21405462264002</v>
      </c>
      <c r="P20" s="209">
        <v>2016</v>
      </c>
      <c r="Q20" s="193">
        <f>+'2A1 Cement Production'!$U$14</f>
        <v>14646756.775435112</v>
      </c>
      <c r="R20" s="193">
        <f>+'2A2 Lime Production'!$U$14</f>
        <v>1214530.2850112792</v>
      </c>
      <c r="S20" s="193">
        <f>+'2A2 Lime Production'!$U$15</f>
        <v>114910.30490917445</v>
      </c>
      <c r="T20" s="193">
        <f>+'2A3 Glass Production'!$U$14</f>
        <v>1146295.6000000001</v>
      </c>
      <c r="V20" s="209">
        <v>2016</v>
      </c>
      <c r="W20" s="193">
        <f>+'IPPU Summary'!$V$11</f>
        <v>968.88074659355482</v>
      </c>
      <c r="Y20" s="209">
        <v>2016</v>
      </c>
      <c r="Z20" s="228">
        <f>+'IPPU Summary'!$V$23</f>
        <v>14829.058053603329</v>
      </c>
      <c r="AA20" s="228">
        <f>+'IPPU Summary'!$V$24</f>
        <v>12462.615648911587</v>
      </c>
      <c r="AB20" s="228">
        <f>+'IPPU Summary'!$V$25</f>
        <v>3749.064630899753</v>
      </c>
      <c r="AC20" s="228">
        <f>+'IPPU Summary'!$V$27</f>
        <v>21.901802271619349</v>
      </c>
      <c r="AD20" s="228">
        <f>+'IPPU Summary'!$V$28</f>
        <v>47.152020906125856</v>
      </c>
      <c r="AF20" s="209">
        <v>2016</v>
      </c>
      <c r="AG20" s="193">
        <f>+'2C1 Iron and Steel Production'!$U$14</f>
        <v>3498862.4886730551</v>
      </c>
      <c r="AH20" s="193">
        <f>+'2C1 Iron and Steel Production'!$U$15</f>
        <v>3039701.9541935371</v>
      </c>
      <c r="AI20" s="193">
        <f>+'2C1 Iron and Steel Production'!$U$17</f>
        <v>4650922</v>
      </c>
      <c r="AJ20" s="193">
        <f>+'2C1 Iron and Steel Production'!$U$18</f>
        <v>1806066.904832748</v>
      </c>
      <c r="AK20" s="193">
        <f>+'2C1 Iron and Steel Production'!$U$21</f>
        <v>577332.38173408527</v>
      </c>
      <c r="AM20" s="209">
        <v>2016</v>
      </c>
      <c r="AN20" s="193">
        <f>+'2C2 Ferroalloys Production'!$U$14</f>
        <v>3334705.7</v>
      </c>
      <c r="AO20" s="193">
        <f>+'2C2 Ferroalloys Production'!$U$15</f>
        <v>684016.60000000009</v>
      </c>
      <c r="AP20" s="193">
        <f>+'2C2 Ferroalloys Production'!$U$16</f>
        <v>163139.26354372373</v>
      </c>
      <c r="AQ20" s="193">
        <f>+'2C2 Ferroalloys Production'!$U$17</f>
        <v>105948</v>
      </c>
      <c r="AR20" s="193">
        <f>+'2C2 Ferroalloys Production'!$U$18</f>
        <v>38251.659999999996</v>
      </c>
      <c r="AT20" s="209">
        <v>2016</v>
      </c>
      <c r="AU20" s="193">
        <f>+'2C5 Lead Production'!$U$14</f>
        <v>42118.850522344896</v>
      </c>
      <c r="AV20" s="193">
        <f>+'2C6 Zinc Production'!$U$14</f>
        <v>27413.965643096428</v>
      </c>
      <c r="AX20" s="209">
        <v>2016</v>
      </c>
      <c r="AY20" s="193">
        <f>+'2D1 Lubricant Use'!$U$14</f>
        <v>18541.048772293423</v>
      </c>
      <c r="AZ20" s="193">
        <f>+'2D2 Paraffin Wax Use'!$U$14</f>
        <v>191.04176131772806</v>
      </c>
      <c r="BB20" s="209">
        <v>2016</v>
      </c>
      <c r="BC20" s="228">
        <f>+'IPPU Summary'!$V$42</f>
        <v>3668.991196254</v>
      </c>
      <c r="BD20" s="228">
        <f>+'IPPU Summary'!$V$43</f>
        <v>2.1042043709999998</v>
      </c>
      <c r="BE20" s="228">
        <f>+'IPPU Summary'!$V$44</f>
        <v>46.142869999999995</v>
      </c>
      <c r="BF20" s="228">
        <f>+'IPPU Summary'!$V$45</f>
        <v>18.202122020000004</v>
      </c>
    </row>
    <row r="21" spans="1:58" x14ac:dyDescent="0.25">
      <c r="A21" s="209">
        <v>2017</v>
      </c>
      <c r="B21" s="227">
        <f>+'IPPU Summary'!$W$5</f>
        <v>6462.0556479787492</v>
      </c>
      <c r="C21" s="227">
        <f>+'IPPU Summary'!$W$11</f>
        <v>983.67864249593674</v>
      </c>
      <c r="D21" s="227">
        <f>+'IPPU Summary'!$W$22</f>
        <v>31493.577923610632</v>
      </c>
      <c r="E21" s="227">
        <f>+'IPPU Summary'!$W$30</f>
        <v>275.63782614194014</v>
      </c>
      <c r="F21" s="185" t="s">
        <v>518</v>
      </c>
      <c r="G21" s="227">
        <f>+'IPPU Summary'!$W$41</f>
        <v>4034.8543141378</v>
      </c>
      <c r="H21" s="185" t="s">
        <v>518</v>
      </c>
      <c r="I21" s="228">
        <f>+'IPPU Summary'!$W$4</f>
        <v>43249.804354365056</v>
      </c>
      <c r="K21" s="209">
        <v>2017</v>
      </c>
      <c r="L21" s="228">
        <f>+'IPPU Summary'!$W$6</f>
        <v>5295.8739638517654</v>
      </c>
      <c r="M21" s="228">
        <f>+'IPPU Summary'!$W$7</f>
        <v>1045.2890791883435</v>
      </c>
      <c r="N21" s="228">
        <f>+'IPPU Summary'!$W$8</f>
        <v>120.89260493864002</v>
      </c>
      <c r="P21" s="209">
        <v>2017</v>
      </c>
      <c r="Q21" s="193">
        <f>+'2A1 Cement Production'!$V$14</f>
        <v>14759960.880300349</v>
      </c>
      <c r="R21" s="193">
        <f>+'2A2 Lime Production'!$V$14</f>
        <v>1241397.357269184</v>
      </c>
      <c r="S21" s="193">
        <f>+'2A2 Lime Production'!$V$15</f>
        <v>117774.28993449018</v>
      </c>
      <c r="T21" s="193">
        <f>+'2A3 Glass Production'!$V$14</f>
        <v>1162435.6000000001</v>
      </c>
      <c r="V21" s="209">
        <v>2017</v>
      </c>
      <c r="W21" s="193">
        <f>+'IPPU Summary'!$W$11</f>
        <v>983.67864249593674</v>
      </c>
      <c r="Y21" s="209">
        <v>2017</v>
      </c>
      <c r="Z21" s="228">
        <f>+'IPPU Summary'!$W$23</f>
        <v>15074.336748610733</v>
      </c>
      <c r="AA21" s="228">
        <f>+'IPPU Summary'!$W$24</f>
        <v>12575.364804099698</v>
      </c>
      <c r="AB21" s="228">
        <f>+'IPPU Summary'!$W$25</f>
        <v>3775.8173800921886</v>
      </c>
      <c r="AC21" s="228">
        <f>+'IPPU Summary'!$W$27</f>
        <v>21.743045827186773</v>
      </c>
      <c r="AD21" s="228">
        <f>+'IPPU Summary'!$W$28</f>
        <v>46.315944980820788</v>
      </c>
      <c r="AF21" s="209">
        <v>2017</v>
      </c>
      <c r="AG21" s="193">
        <f>+'2C1 Iron and Steel Production'!$V$14</f>
        <v>3426152.5033293515</v>
      </c>
      <c r="AH21" s="193">
        <f>+'2C1 Iron and Steel Production'!$V$15</f>
        <v>2920513.5357598299</v>
      </c>
      <c r="AI21" s="193">
        <f>+'2C1 Iron and Steel Production'!$V$17</f>
        <v>4924688</v>
      </c>
      <c r="AJ21" s="193">
        <f>+'2C1 Iron and Steel Production'!$V$18</f>
        <v>1802354.3766781806</v>
      </c>
      <c r="AK21" s="193">
        <f>+'2C1 Iron and Steel Production'!$V$21</f>
        <v>573498.42396735691</v>
      </c>
      <c r="AM21" s="209">
        <v>2017</v>
      </c>
      <c r="AN21" s="193">
        <f>+'2C2 Ferroalloys Production'!$V$14</f>
        <v>3370941.2</v>
      </c>
      <c r="AO21" s="193">
        <f>+'2C2 Ferroalloys Production'!$V$15</f>
        <v>707122.60000000009</v>
      </c>
      <c r="AP21" s="193">
        <f>+'2C2 Ferroalloys Production'!$V$16</f>
        <v>155493.5440824645</v>
      </c>
      <c r="AQ21" s="193">
        <f>+'2C2 Ferroalloys Production'!$V$17</f>
        <v>104183</v>
      </c>
      <c r="AR21" s="193">
        <f>+'2C2 Ferroalloys Production'!$V$18</f>
        <v>35013.760000000002</v>
      </c>
      <c r="AT21" s="209">
        <v>2017</v>
      </c>
      <c r="AU21" s="193">
        <f>+'2C5 Lead Production'!$V$14</f>
        <v>41813.54966766687</v>
      </c>
      <c r="AV21" s="193">
        <f>+'2C6 Zinc Production'!$V$14</f>
        <v>26927.874988849297</v>
      </c>
      <c r="AX21" s="209">
        <v>2017</v>
      </c>
      <c r="AY21" s="193">
        <f>+'2D1 Lubricant Use'!$V$14</f>
        <v>18609.63691318471</v>
      </c>
      <c r="AZ21" s="193">
        <f>+'2D2 Paraffin Wax Use'!$V$14</f>
        <v>183.85123285666253</v>
      </c>
      <c r="BB21" s="209">
        <v>2017</v>
      </c>
      <c r="BC21" s="228">
        <f>+'IPPU Summary'!$W$42</f>
        <v>3963.4610677467999</v>
      </c>
      <c r="BD21" s="228">
        <f>+'IPPU Summary'!$W$43</f>
        <v>2.1042043709999998</v>
      </c>
      <c r="BE21" s="228">
        <f>+'IPPU Summary'!$W$44</f>
        <v>51.086919999999992</v>
      </c>
      <c r="BF21" s="228">
        <f>+'IPPU Summary'!$W$45</f>
        <v>18.202122020000004</v>
      </c>
    </row>
  </sheetData>
  <mergeCells count="9">
    <mergeCell ref="B3:I3"/>
    <mergeCell ref="L3:N3"/>
    <mergeCell ref="Q3:T3"/>
    <mergeCell ref="BC3:BF3"/>
    <mergeCell ref="Z3:AD3"/>
    <mergeCell ref="AG3:AK3"/>
    <mergeCell ref="AN3:AR3"/>
    <mergeCell ref="AU3:AV3"/>
    <mergeCell ref="AY3:AZ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theme="3"/>
  </sheetPr>
  <dimension ref="A1:AB449"/>
  <sheetViews>
    <sheetView workbookViewId="0">
      <pane xSplit="5" ySplit="3" topLeftCell="F4" activePane="bottomRight" state="frozen"/>
      <selection pane="topRight" activeCell="F1" sqref="F1"/>
      <selection pane="bottomLeft" activeCell="A4" sqref="A4"/>
      <selection pane="bottomRight" activeCell="AB4" sqref="AB4"/>
    </sheetView>
  </sheetViews>
  <sheetFormatPr defaultRowHeight="15" x14ac:dyDescent="0.25"/>
  <cols>
    <col min="1" max="1" width="34.140625" bestFit="1" customWidth="1"/>
    <col min="2" max="2" width="9.7109375" bestFit="1" customWidth="1"/>
    <col min="3" max="3" width="31.28515625" customWidth="1"/>
    <col min="5" max="5" width="9.85546875" customWidth="1"/>
    <col min="22" max="23" width="9.140625" customWidth="1"/>
  </cols>
  <sheetData>
    <row r="1" spans="1:28" s="6" customFormat="1" ht="21" x14ac:dyDescent="0.35">
      <c r="A1" s="6" t="s">
        <v>734</v>
      </c>
      <c r="C1" s="28" t="s">
        <v>735</v>
      </c>
    </row>
    <row r="2" spans="1:28" x14ac:dyDescent="0.25">
      <c r="H2" t="s">
        <v>28</v>
      </c>
      <c r="W2">
        <f>+W24/W4</f>
        <v>0.29076119515048182</v>
      </c>
    </row>
    <row r="3" spans="1:28"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7" t="s">
        <v>741</v>
      </c>
    </row>
    <row r="4" spans="1:28" s="103" customFormat="1" x14ac:dyDescent="0.25">
      <c r="A4" s="7" t="s">
        <v>742</v>
      </c>
      <c r="B4" s="105">
        <v>2</v>
      </c>
      <c r="C4" s="103" t="s">
        <v>743</v>
      </c>
      <c r="D4" s="7" t="s">
        <v>744</v>
      </c>
      <c r="E4" s="7" t="s">
        <v>745</v>
      </c>
      <c r="F4" s="116">
        <f>+F5+F11+F22+F30+F35+F41+F48+F53</f>
        <v>34070.784091473332</v>
      </c>
      <c r="G4" s="116">
        <f t="shared" ref="G4:R4" si="0">+G5+G11+G22+G30+G35+G41+G48+G53</f>
        <v>34057.418689953331</v>
      </c>
      <c r="H4" s="116">
        <f t="shared" si="0"/>
        <v>36140.550376841995</v>
      </c>
      <c r="I4" s="116">
        <f t="shared" si="0"/>
        <v>35606.54817809067</v>
      </c>
      <c r="J4" s="116">
        <f t="shared" si="0"/>
        <v>35783.775326864001</v>
      </c>
      <c r="K4" s="116">
        <f t="shared" si="0"/>
        <v>39118.218840102003</v>
      </c>
      <c r="L4" s="116">
        <f t="shared" si="0"/>
        <v>40173.210256311737</v>
      </c>
      <c r="M4" s="116">
        <f t="shared" si="0"/>
        <v>38222.529935045204</v>
      </c>
      <c r="N4" s="116">
        <f t="shared" si="0"/>
        <v>36048.017206838667</v>
      </c>
      <c r="O4" s="116">
        <f t="shared" si="0"/>
        <v>34351.983930875736</v>
      </c>
      <c r="P4" s="116">
        <f t="shared" si="0"/>
        <v>36441.570589909068</v>
      </c>
      <c r="Q4" s="116">
        <f t="shared" si="0"/>
        <v>40227.721556868666</v>
      </c>
      <c r="R4" s="116">
        <f t="shared" si="0"/>
        <v>38954.926376138297</v>
      </c>
      <c r="S4" s="116">
        <f t="shared" ref="S4:W4" si="1">+S5+S11+S22+S30+S35+S41+S48+S53</f>
        <v>41348.821958289758</v>
      </c>
      <c r="T4" s="116">
        <f t="shared" si="1"/>
        <v>41878.363159654727</v>
      </c>
      <c r="U4" s="116">
        <f>+U5+U11+U22+U30+U35+U41+U48+U53</f>
        <v>41882.300101529981</v>
      </c>
      <c r="V4" s="116">
        <f t="shared" si="1"/>
        <v>42485.681718826389</v>
      </c>
      <c r="W4" s="116">
        <f t="shared" si="1"/>
        <v>43249.804354365056</v>
      </c>
      <c r="X4" s="104"/>
      <c r="Z4" s="103">
        <f>W4-F4</f>
        <v>9179.020262891725</v>
      </c>
      <c r="AB4" s="103">
        <f>W4-W11-W23-W24-W25-W41</f>
        <v>6805.7524649287043</v>
      </c>
    </row>
    <row r="5" spans="1:28" s="103" customFormat="1" x14ac:dyDescent="0.25">
      <c r="A5" s="7" t="s">
        <v>742</v>
      </c>
      <c r="B5" s="7" t="s">
        <v>746</v>
      </c>
      <c r="C5" s="7" t="s">
        <v>508</v>
      </c>
      <c r="D5" s="7" t="s">
        <v>744</v>
      </c>
      <c r="E5" s="7" t="s">
        <v>745</v>
      </c>
      <c r="F5" s="218">
        <f>IF(ISBLANK('2A Summary'!F4),"",'2A Summary'!F4)</f>
        <v>4386.3393304800002</v>
      </c>
      <c r="G5" s="218">
        <f>IF(ISBLANK('2A Summary'!G4),"",'2A Summary'!G4)</f>
        <v>4303.6742912</v>
      </c>
      <c r="H5" s="218">
        <f>IF(ISBLANK('2A Summary'!H4),"",'2A Summary'!H4)</f>
        <v>4824.2529307219993</v>
      </c>
      <c r="I5" s="218">
        <f>IF(ISBLANK('2A Summary'!I4),"",'2A Summary'!I4)</f>
        <v>5095.6491567840003</v>
      </c>
      <c r="J5" s="218">
        <f>IF(ISBLANK('2A Summary'!J4),"",'2A Summary'!J4)</f>
        <v>4993.2960821039997</v>
      </c>
      <c r="K5" s="218">
        <f>IF(ISBLANK('2A Summary'!K4),"",'2A Summary'!K4)</f>
        <v>5736.1220459819997</v>
      </c>
      <c r="L5" s="218">
        <f>IF(ISBLANK('2A Summary'!L4),"",'2A Summary'!L4)</f>
        <v>6131.7649185184</v>
      </c>
      <c r="M5" s="218">
        <f>IF(ISBLANK('2A Summary'!M4),"",'2A Summary'!M4)</f>
        <v>6063.9731606852001</v>
      </c>
      <c r="N5" s="218">
        <f>IF(ISBLANK('2A Summary'!N4),"",'2A Summary'!N4)</f>
        <v>6320.6815495520004</v>
      </c>
      <c r="O5" s="218">
        <f>IF(ISBLANK('2A Summary'!O4),"",'2A Summary'!O4)</f>
        <v>6590.7750204223994</v>
      </c>
      <c r="P5" s="218">
        <f>IF(ISBLANK('2A Summary'!P4),"",'2A Summary'!P4)</f>
        <v>5916.6986057876002</v>
      </c>
      <c r="Q5" s="218">
        <f>IF(ISBLANK('2A Summary'!Q4),"",'2A Summary'!Q4)</f>
        <v>5719.84292</v>
      </c>
      <c r="R5" s="218">
        <f>IF(ISBLANK('2A Summary'!R4),"",'2A Summary'!R4)</f>
        <v>5457.2451988416005</v>
      </c>
      <c r="S5" s="218">
        <f>IF(ISBLANK('2A Summary'!S4),"",'2A Summary'!S4)</f>
        <v>5688.3723988416004</v>
      </c>
      <c r="T5" s="218">
        <f>IF(ISBLANK('2A Summary'!T4),"",'2A Summary'!T4)</f>
        <v>5770.0734488416001</v>
      </c>
      <c r="U5" s="218">
        <f>IF(ISBLANK('2A Summary'!U4),"",'2A Summary'!U4)</f>
        <v>6178.5199588415999</v>
      </c>
      <c r="V5" s="218">
        <f>IF(ISBLANK('2A Summary'!V4),"",'2A Summary'!V4)</f>
        <v>6396.8310951691174</v>
      </c>
      <c r="W5" s="218">
        <f>IF(ISBLANK('2A Summary'!W4),"",'2A Summary'!W4)</f>
        <v>6462.0556479787492</v>
      </c>
      <c r="X5" s="7"/>
      <c r="Y5" s="7"/>
      <c r="Z5" s="103">
        <f>W5-F5</f>
        <v>2075.716317498749</v>
      </c>
      <c r="AA5" s="7">
        <f>+Z5/U5</f>
        <v>0.33595688471125723</v>
      </c>
    </row>
    <row r="6" spans="1:28" s="104" customFormat="1" x14ac:dyDescent="0.25">
      <c r="A6" s="104" t="s">
        <v>742</v>
      </c>
      <c r="B6" s="104" t="s">
        <v>747</v>
      </c>
      <c r="C6" s="104" t="s">
        <v>748</v>
      </c>
      <c r="D6" s="104" t="s">
        <v>744</v>
      </c>
      <c r="E6" s="104" t="s">
        <v>745</v>
      </c>
      <c r="F6" s="199">
        <f>IF(ISBLANK('2A Summary'!F5),"",'2A Summary'!F5)</f>
        <v>3870.5888000000004</v>
      </c>
      <c r="G6" s="199">
        <f>IF(ISBLANK('2A Summary'!G5),"",'2A Summary'!G5)</f>
        <v>3783</v>
      </c>
      <c r="H6" s="199">
        <f>IF(ISBLANK('2A Summary'!H5),"",'2A Summary'!H5)</f>
        <v>4258.3527999999997</v>
      </c>
      <c r="I6" s="199">
        <f>IF(ISBLANK('2A Summary'!I5),"",'2A Summary'!I5)</f>
        <v>4514.5828000000001</v>
      </c>
      <c r="J6" s="199">
        <f>IF(ISBLANK('2A Summary'!J5),"",'2A Summary'!J5)</f>
        <v>4390.0739999999996</v>
      </c>
      <c r="K6" s="199">
        <f>IF(ISBLANK('2A Summary'!K5),"",'2A Summary'!K5)</f>
        <v>5061.5136000000002</v>
      </c>
      <c r="L6" s="199">
        <f>IF(ISBLANK('2A Summary'!L5),"",'2A Summary'!L5)</f>
        <v>5399.81</v>
      </c>
      <c r="M6" s="199">
        <f>IF(ISBLANK('2A Summary'!M5),"",'2A Summary'!M5)</f>
        <v>5407.6724000000004</v>
      </c>
      <c r="N6" s="199">
        <f>IF(ISBLANK('2A Summary'!N5),"",'2A Summary'!N5)</f>
        <v>4988.5680000000002</v>
      </c>
      <c r="O6" s="199">
        <f>IF(ISBLANK('2A Summary'!O5),"",'2A Summary'!O5)</f>
        <v>5432.1279999999997</v>
      </c>
      <c r="P6" s="199">
        <f>IF(ISBLANK('2A Summary'!P5),"",'2A Summary'!P5)</f>
        <v>4818.9544000000005</v>
      </c>
      <c r="Q6" s="199">
        <f>IF(ISBLANK('2A Summary'!Q5),"",'2A Summary'!Q5)</f>
        <v>4432.8284000000003</v>
      </c>
      <c r="R6" s="199">
        <f>IF(ISBLANK('2A Summary'!R5),"",'2A Summary'!R5)</f>
        <v>4414.4984000000004</v>
      </c>
      <c r="S6" s="199">
        <f>IF(ISBLANK('2A Summary'!S5),"",'2A Summary'!S5)</f>
        <v>4659.2156000000004</v>
      </c>
      <c r="T6" s="199">
        <f>IF(ISBLANK('2A Summary'!T5),"",'2A Summary'!T5)</f>
        <v>4678.1851999999999</v>
      </c>
      <c r="U6" s="199">
        <f>IF(ISBLANK('2A Summary'!U5),"",'2A Summary'!U5)</f>
        <v>5204.8256000000001</v>
      </c>
      <c r="V6" s="199">
        <f>IF(ISBLANK('2A Summary'!V5),"",'2A Summary'!V5)</f>
        <v>5255.2563310261185</v>
      </c>
      <c r="W6" s="199">
        <f>IF(ISBLANK('2A Summary'!W5),"",'2A Summary'!W5)</f>
        <v>5295.8739638517654</v>
      </c>
      <c r="Y6" s="7"/>
    </row>
    <row r="7" spans="1:28" s="104" customFormat="1" x14ac:dyDescent="0.25">
      <c r="A7" s="104" t="s">
        <v>742</v>
      </c>
      <c r="B7" s="104" t="s">
        <v>749</v>
      </c>
      <c r="C7" s="104" t="s">
        <v>750</v>
      </c>
      <c r="D7" s="104" t="s">
        <v>744</v>
      </c>
      <c r="E7" s="104" t="s">
        <v>745</v>
      </c>
      <c r="F7" s="199">
        <f>IF(ISBLANK('2A Summary'!F6),"",'2A Summary'!F6)</f>
        <v>441.39115350000003</v>
      </c>
      <c r="G7" s="199">
        <f>IF(ISBLANK('2A Summary'!G6),"",'2A Summary'!G6)</f>
        <v>436.28840000000002</v>
      </c>
      <c r="H7" s="199">
        <f>IF(ISBLANK('2A Summary'!H6),"",'2A Summary'!H6)</f>
        <v>477.55462</v>
      </c>
      <c r="I7" s="199">
        <f>IF(ISBLANK('2A Summary'!I6),"",'2A Summary'!I6)</f>
        <v>489.73651999999998</v>
      </c>
      <c r="J7" s="199">
        <f>IF(ISBLANK('2A Summary'!J6),"",'2A Summary'!J6)</f>
        <v>507.32977999999997</v>
      </c>
      <c r="K7" s="199">
        <f>IF(ISBLANK('2A Summary'!K6),"",'2A Summary'!K6)</f>
        <v>572.24579999999992</v>
      </c>
      <c r="L7" s="199">
        <f>IF(ISBLANK('2A Summary'!L6),"",'2A Summary'!L6)</f>
        <v>630.18416000000002</v>
      </c>
      <c r="M7" s="199">
        <f>IF(ISBLANK('2A Summary'!M6),"",'2A Summary'!M6)</f>
        <v>551.31326000000001</v>
      </c>
      <c r="N7" s="199">
        <f>IF(ISBLANK('2A Summary'!N6),"",'2A Summary'!N6)</f>
        <v>1214.74</v>
      </c>
      <c r="O7" s="199">
        <f>IF(ISBLANK('2A Summary'!O6),"",'2A Summary'!O6)</f>
        <v>1048.8800000000001</v>
      </c>
      <c r="P7" s="199">
        <f>IF(ISBLANK('2A Summary'!P6),"",'2A Summary'!P6)</f>
        <v>993.86</v>
      </c>
      <c r="Q7" s="199">
        <f>IF(ISBLANK('2A Summary'!Q6),"",'2A Summary'!Q6)</f>
        <v>1180.96</v>
      </c>
      <c r="R7" s="199">
        <f>IF(ISBLANK('2A Summary'!R6),"",'2A Summary'!R6)</f>
        <v>928.84</v>
      </c>
      <c r="S7" s="199">
        <f>IF(ISBLANK('2A Summary'!S6),"",'2A Summary'!S6)</f>
        <v>915.25</v>
      </c>
      <c r="T7" s="199">
        <f>IF(ISBLANK('2A Summary'!T6),"",'2A Summary'!T6)</f>
        <v>977.98145</v>
      </c>
      <c r="U7" s="199">
        <f>IF(ISBLANK('2A Summary'!U6),"",'2A Summary'!U6)</f>
        <v>859.78755999999998</v>
      </c>
      <c r="V7" s="199">
        <f>IF(ISBLANK('2A Summary'!V6),"",'2A Summary'!V6)</f>
        <v>1022.3607095203586</v>
      </c>
      <c r="W7" s="199">
        <f>IF(ISBLANK('2A Summary'!W6),"",'2A Summary'!W6)</f>
        <v>1045.2890791883435</v>
      </c>
    </row>
    <row r="8" spans="1:28" s="104" customFormat="1" x14ac:dyDescent="0.25">
      <c r="A8" s="104" t="s">
        <v>742</v>
      </c>
      <c r="B8" s="104" t="s">
        <v>751</v>
      </c>
      <c r="C8" s="104" t="s">
        <v>752</v>
      </c>
      <c r="D8" s="104" t="s">
        <v>744</v>
      </c>
      <c r="E8" s="104" t="s">
        <v>745</v>
      </c>
      <c r="F8" s="199">
        <f>IF(ISBLANK('2A Summary'!F7),"",'2A Summary'!F7)</f>
        <v>74.359376980000008</v>
      </c>
      <c r="G8" s="199">
        <f>IF(ISBLANK('2A Summary'!G7),"",'2A Summary'!G7)</f>
        <v>84.385891200000003</v>
      </c>
      <c r="H8" s="199">
        <f>IF(ISBLANK('2A Summary'!H7),"",'2A Summary'!H7)</f>
        <v>88.345510721999986</v>
      </c>
      <c r="I8" s="199">
        <f>IF(ISBLANK('2A Summary'!I7),"",'2A Summary'!I7)</f>
        <v>91.329836783999994</v>
      </c>
      <c r="J8" s="199">
        <f>IF(ISBLANK('2A Summary'!J7),"",'2A Summary'!J7)</f>
        <v>95.892302104000024</v>
      </c>
      <c r="K8" s="199">
        <f>IF(ISBLANK('2A Summary'!K7),"",'2A Summary'!K7)</f>
        <v>102.36264598200002</v>
      </c>
      <c r="L8" s="199">
        <f>IF(ISBLANK('2A Summary'!L7),"",'2A Summary'!L7)</f>
        <v>101.7707585184</v>
      </c>
      <c r="M8" s="199">
        <f>IF(ISBLANK('2A Summary'!M7),"",'2A Summary'!M7)</f>
        <v>104.9875006852</v>
      </c>
      <c r="N8" s="199">
        <f>IF(ISBLANK('2A Summary'!N7),"",'2A Summary'!N7)</f>
        <v>117.37354955200001</v>
      </c>
      <c r="O8" s="199">
        <f>IF(ISBLANK('2A Summary'!O7),"",'2A Summary'!O7)</f>
        <v>109.76702042240001</v>
      </c>
      <c r="P8" s="199">
        <f>IF(ISBLANK('2A Summary'!P7),"",'2A Summary'!P7)</f>
        <v>103.88420578760002</v>
      </c>
      <c r="Q8" s="199">
        <f>IF(ISBLANK('2A Summary'!Q7),"",'2A Summary'!Q7)</f>
        <v>106.05452000000001</v>
      </c>
      <c r="R8" s="199">
        <f>IF(ISBLANK('2A Summary'!R7),"",'2A Summary'!R7)</f>
        <v>113.90679884160002</v>
      </c>
      <c r="S8" s="199">
        <f>IF(ISBLANK('2A Summary'!S7),"",'2A Summary'!S7)</f>
        <v>113.90679884160002</v>
      </c>
      <c r="T8" s="199">
        <f>IF(ISBLANK('2A Summary'!T7),"",'2A Summary'!T7)</f>
        <v>113.90679884160002</v>
      </c>
      <c r="U8" s="199">
        <f>IF(ISBLANK('2A Summary'!U7),"",'2A Summary'!U7)</f>
        <v>113.90679884160002</v>
      </c>
      <c r="V8" s="199">
        <f>IF(ISBLANK('2A Summary'!V7),"",'2A Summary'!V7)</f>
        <v>119.21405462264002</v>
      </c>
      <c r="W8" s="199">
        <f>IF(ISBLANK('2A Summary'!W7),"",'2A Summary'!W7)</f>
        <v>120.89260493864002</v>
      </c>
    </row>
    <row r="9" spans="1:28" s="104" customFormat="1" x14ac:dyDescent="0.25">
      <c r="A9" s="104" t="s">
        <v>742</v>
      </c>
      <c r="B9" s="104" t="s">
        <v>753</v>
      </c>
      <c r="C9" s="104" t="s">
        <v>754</v>
      </c>
      <c r="D9" s="104" t="s">
        <v>744</v>
      </c>
      <c r="E9" s="104" t="s">
        <v>745</v>
      </c>
      <c r="F9" s="199">
        <f>IF(ISBLANK('2A Summary'!F8),"",'2A Summary'!F8)</f>
        <v>0</v>
      </c>
      <c r="G9" s="199">
        <f>IF(ISBLANK('2A Summary'!G8),"",'2A Summary'!G8)</f>
        <v>0</v>
      </c>
      <c r="H9" s="199">
        <f>IF(ISBLANK('2A Summary'!H8),"",'2A Summary'!H8)</f>
        <v>0</v>
      </c>
      <c r="I9" s="199">
        <f>IF(ISBLANK('2A Summary'!I8),"",'2A Summary'!I8)</f>
        <v>0</v>
      </c>
      <c r="J9" s="199">
        <f>IF(ISBLANK('2A Summary'!J8),"",'2A Summary'!J8)</f>
        <v>0</v>
      </c>
      <c r="K9" s="199">
        <f>IF(ISBLANK('2A Summary'!K8),"",'2A Summary'!K8)</f>
        <v>0</v>
      </c>
      <c r="L9" s="199">
        <f>IF(ISBLANK('2A Summary'!L8),"",'2A Summary'!L8)</f>
        <v>0</v>
      </c>
      <c r="M9" s="199">
        <f>IF(ISBLANK('2A Summary'!M8),"",'2A Summary'!M8)</f>
        <v>0</v>
      </c>
      <c r="N9" s="199">
        <f>IF(ISBLANK('2A Summary'!N8),"",'2A Summary'!N8)</f>
        <v>0</v>
      </c>
      <c r="O9" s="199">
        <f>IF(ISBLANK('2A Summary'!O8),"",'2A Summary'!O8)</f>
        <v>0</v>
      </c>
      <c r="P9" s="199">
        <f>IF(ISBLANK('2A Summary'!P8),"",'2A Summary'!P8)</f>
        <v>0</v>
      </c>
      <c r="Q9" s="199">
        <f>IF(ISBLANK('2A Summary'!Q8),"",'2A Summary'!Q8)</f>
        <v>0</v>
      </c>
      <c r="R9" s="199">
        <f>IF(ISBLANK('2A Summary'!R8),"",'2A Summary'!R8)</f>
        <v>0</v>
      </c>
      <c r="S9" s="199">
        <f>IF(ISBLANK('2A Summary'!S8),"",'2A Summary'!S8)</f>
        <v>0</v>
      </c>
      <c r="T9" s="199">
        <f>IF(ISBLANK('2A Summary'!T8),"",'2A Summary'!T8)</f>
        <v>0</v>
      </c>
      <c r="U9" s="199">
        <f>IF(ISBLANK('2A Summary'!U8),"",'2A Summary'!U8)</f>
        <v>0</v>
      </c>
      <c r="V9" s="199">
        <f>IF(ISBLANK('2A Summary'!V8),"",'2A Summary'!V8)</f>
        <v>0</v>
      </c>
      <c r="W9" s="199">
        <f>IF(ISBLANK('2A Summary'!W8),"",'2A Summary'!W8)</f>
        <v>0</v>
      </c>
    </row>
    <row r="10" spans="1:28" s="104" customFormat="1" x14ac:dyDescent="0.25">
      <c r="A10" s="104" t="s">
        <v>742</v>
      </c>
      <c r="B10" s="104" t="s">
        <v>755</v>
      </c>
      <c r="C10" s="104" t="s">
        <v>756</v>
      </c>
      <c r="D10" s="104" t="s">
        <v>744</v>
      </c>
      <c r="E10" s="104" t="s">
        <v>745</v>
      </c>
      <c r="F10" s="199" t="str">
        <f>IF(ISBLANK('2A Summary'!F9),"",'2A Summary'!F9)</f>
        <v/>
      </c>
      <c r="G10" s="199" t="str">
        <f>IF(ISBLANK('2A Summary'!G9),"",'2A Summary'!G9)</f>
        <v/>
      </c>
      <c r="H10" s="199" t="str">
        <f>IF(ISBLANK('2A Summary'!H9),"",'2A Summary'!H9)</f>
        <v/>
      </c>
      <c r="I10" s="199" t="str">
        <f>IF(ISBLANK('2A Summary'!I9),"",'2A Summary'!I9)</f>
        <v/>
      </c>
      <c r="J10" s="199" t="str">
        <f>IF(ISBLANK('2A Summary'!J9),"",'2A Summary'!J9)</f>
        <v/>
      </c>
      <c r="K10" s="199" t="str">
        <f>IF(ISBLANK('2A Summary'!K9),"",'2A Summary'!K9)</f>
        <v/>
      </c>
      <c r="L10" s="199" t="str">
        <f>IF(ISBLANK('2A Summary'!L9),"",'2A Summary'!L9)</f>
        <v/>
      </c>
      <c r="M10" s="199" t="str">
        <f>IF(ISBLANK('2A Summary'!M9),"",'2A Summary'!M9)</f>
        <v/>
      </c>
      <c r="N10" s="199" t="str">
        <f>IF(ISBLANK('2A Summary'!N9),"",'2A Summary'!N9)</f>
        <v/>
      </c>
      <c r="O10" s="199" t="str">
        <f>IF(ISBLANK('2A Summary'!O9),"",'2A Summary'!O9)</f>
        <v/>
      </c>
      <c r="P10" s="199" t="str">
        <f>IF(ISBLANK('2A Summary'!P9),"",'2A Summary'!P9)</f>
        <v/>
      </c>
      <c r="Q10" s="199" t="str">
        <f>IF(ISBLANK('2A Summary'!Q9),"",'2A Summary'!Q9)</f>
        <v/>
      </c>
      <c r="R10" s="199" t="str">
        <f>IF(ISBLANK('2A Summary'!R9),"",'2A Summary'!R9)</f>
        <v/>
      </c>
      <c r="S10" s="199" t="str">
        <f>IF(ISBLANK('2A Summary'!S9),"",'2A Summary'!S9)</f>
        <v/>
      </c>
      <c r="T10" s="199" t="str">
        <f>IF(ISBLANK('2A Summary'!T9),"",'2A Summary'!T9)</f>
        <v/>
      </c>
      <c r="U10" s="199" t="str">
        <f>IF(ISBLANK('2A Summary'!U9),"",'2A Summary'!U9)</f>
        <v/>
      </c>
      <c r="V10" s="199" t="str">
        <f>IF(ISBLANK('2A Summary'!V9),"",'2A Summary'!V9)</f>
        <v/>
      </c>
      <c r="W10" s="199" t="str">
        <f>IF(ISBLANK('2A Summary'!W9),"",'2A Summary'!W9)</f>
        <v/>
      </c>
    </row>
    <row r="11" spans="1:28" s="7" customFormat="1" x14ac:dyDescent="0.25">
      <c r="A11" s="7" t="s">
        <v>742</v>
      </c>
      <c r="B11" s="7" t="s">
        <v>757</v>
      </c>
      <c r="C11" s="7" t="s">
        <v>520</v>
      </c>
      <c r="D11" s="7" t="s">
        <v>744</v>
      </c>
      <c r="E11" s="7" t="s">
        <v>745</v>
      </c>
      <c r="F11" s="218">
        <f>IF(ISBLANK('2B Summary'!F5),"",'2B Summary'!F5)</f>
        <v>2773.5975926599999</v>
      </c>
      <c r="G11" s="218">
        <f>IF(ISBLANK('2B Summary'!G5),"",'2B Summary'!G5)</f>
        <v>2715.1124154199997</v>
      </c>
      <c r="H11" s="218">
        <f>IF(ISBLANK('2B Summary'!H5),"",'2B Summary'!H5)</f>
        <v>2743.9578261200004</v>
      </c>
      <c r="I11" s="218">
        <f>IF(ISBLANK('2B Summary'!I5),"",'2B Summary'!I5)</f>
        <v>2169.0740746400002</v>
      </c>
      <c r="J11" s="218">
        <f>IF(ISBLANK('2B Summary'!J5),"",'2B Summary'!J5)</f>
        <v>2472.5599297600002</v>
      </c>
      <c r="K11" s="218">
        <f>IF(ISBLANK('2B Summary'!K5),"",'2B Summary'!K5)</f>
        <v>2973.63683412</v>
      </c>
      <c r="L11" s="218">
        <f>IF(ISBLANK('2B Summary'!L5),"",'2B Summary'!L5)</f>
        <v>2746.81862946</v>
      </c>
      <c r="M11" s="218">
        <f>IF(ISBLANK('2B Summary'!M5),"",'2B Summary'!M5)</f>
        <v>1968.9813043600002</v>
      </c>
      <c r="N11" s="218">
        <f>IF(ISBLANK('2B Summary'!N5),"",'2B Summary'!N5)</f>
        <v>1226.37704562</v>
      </c>
      <c r="O11" s="218">
        <f>IF(ISBLANK('2B Summary'!O5),"",'2B Summary'!O5)</f>
        <v>1068.23981712</v>
      </c>
      <c r="P11" s="218">
        <f>IF(ISBLANK('2B Summary'!P5),"",'2B Summary'!P5)</f>
        <v>1021.2058874548001</v>
      </c>
      <c r="Q11" s="218">
        <f>IF(ISBLANK('2B Summary'!Q5),"",'2B Summary'!Q5)</f>
        <v>1070.9225498000001</v>
      </c>
      <c r="R11" s="218">
        <f>IF(ISBLANK('2B Summary'!R5),"",'2B Summary'!R5)</f>
        <v>931.2860447999999</v>
      </c>
      <c r="S11" s="218">
        <f>IF(ISBLANK('2B Summary'!S5),"",'2B Summary'!S5)</f>
        <v>1152.1518874548001</v>
      </c>
      <c r="T11" s="218">
        <f>IF(ISBLANK('2B Summary'!T5),"",'2B Summary'!T5)</f>
        <v>927.62527027089368</v>
      </c>
      <c r="U11" s="218">
        <f>IF(ISBLANK('2B Summary'!U5),"",'2B Summary'!U5)</f>
        <v>1001.5070286576954</v>
      </c>
      <c r="V11" s="218">
        <f>IF(ISBLANK('2B Summary'!V5),"",'2B Summary'!V5)</f>
        <v>968.88074659355482</v>
      </c>
      <c r="W11" s="218">
        <f>IF(ISBLANK('2B Summary'!W5),"",'2B Summary'!W5)</f>
        <v>983.67864249593674</v>
      </c>
      <c r="Z11" s="103">
        <f>W11-F11</f>
        <v>-1789.9189501640631</v>
      </c>
      <c r="AA11" s="7">
        <f>+Z11/U11</f>
        <v>-1.7872255500423837</v>
      </c>
    </row>
    <row r="12" spans="1:28" s="104" customFormat="1" x14ac:dyDescent="0.25">
      <c r="A12" s="104" t="s">
        <v>742</v>
      </c>
      <c r="B12" s="104" t="s">
        <v>758</v>
      </c>
      <c r="C12" s="104" t="s">
        <v>759</v>
      </c>
      <c r="D12" s="104" t="s">
        <v>744</v>
      </c>
      <c r="E12" s="104" t="s">
        <v>745</v>
      </c>
      <c r="F12" s="199">
        <f>IF(ISBLANK('2B Summary'!F6),"",'2B Summary'!F6)</f>
        <v>550.84</v>
      </c>
      <c r="G12" s="199">
        <f>IF(ISBLANK('2B Summary'!G6),"",'2B Summary'!G6)</f>
        <v>552.88499999999999</v>
      </c>
      <c r="H12" s="199">
        <f>IF(ISBLANK('2B Summary'!H6),"",'2B Summary'!H6)</f>
        <v>524.98599999999999</v>
      </c>
      <c r="I12" s="199">
        <f>IF(ISBLANK('2B Summary'!I6),"",'2B Summary'!I6)</f>
        <v>545.48500000000001</v>
      </c>
      <c r="J12" s="199">
        <f>IF(ISBLANK('2B Summary'!J6),"",'2B Summary'!J6)</f>
        <v>573.66300000000001</v>
      </c>
      <c r="K12" s="199">
        <f>IF(ISBLANK('2B Summary'!K6),"",'2B Summary'!K6)</f>
        <v>285.23599999999999</v>
      </c>
      <c r="L12" s="199">
        <f>IF(ISBLANK('2B Summary'!L6),"",'2B Summary'!L6)</f>
        <v>270.98500000000001</v>
      </c>
      <c r="M12" s="199">
        <f>IF(ISBLANK('2B Summary'!M6),"",'2B Summary'!M6)</f>
        <v>369.61200000000002</v>
      </c>
      <c r="N12" s="199">
        <f>IF(ISBLANK('2B Summary'!N6),"",'2B Summary'!N6)</f>
        <v>274.49700000000001</v>
      </c>
      <c r="O12" s="199">
        <f>IF(ISBLANK('2B Summary'!O6),"",'2B Summary'!O6)</f>
        <v>234.26499999999999</v>
      </c>
      <c r="P12" s="199">
        <f>IF(ISBLANK('2B Summary'!P6),"",'2B Summary'!P6)</f>
        <v>382.29700000000003</v>
      </c>
      <c r="Q12" s="199">
        <f>IF(ISBLANK('2B Summary'!Q6),"",'2B Summary'!Q6)</f>
        <v>453.79600000000005</v>
      </c>
      <c r="R12" s="199">
        <f>IF(ISBLANK('2B Summary'!R6),"",'2B Summary'!R6)</f>
        <v>281.803</v>
      </c>
      <c r="S12" s="199">
        <f>IF(ISBLANK('2B Summary'!S6),"",'2B Summary'!S6)</f>
        <v>249.74299999999999</v>
      </c>
      <c r="T12" s="199">
        <f>IF(ISBLANK('2B Summary'!T6),"",'2B Summary'!T6)</f>
        <v>255.40699999999998</v>
      </c>
      <c r="U12" s="199">
        <f>IF(ISBLANK('2B Summary'!U6),"",'2B Summary'!U6)</f>
        <v>360.00800000000004</v>
      </c>
      <c r="V12" s="199">
        <f>IF(ISBLANK('2B Summary'!V6),"",'2B Summary'!V6)</f>
        <v>385.34424999999999</v>
      </c>
      <c r="W12" s="199">
        <f>IF(ISBLANK('2B Summary'!W6),"",'2B Summary'!W6)</f>
        <v>408.61699999999996</v>
      </c>
    </row>
    <row r="13" spans="1:28" s="104" customFormat="1" x14ac:dyDescent="0.25">
      <c r="A13" s="104" t="s">
        <v>742</v>
      </c>
      <c r="B13" s="104" t="s">
        <v>760</v>
      </c>
      <c r="C13" s="104" t="s">
        <v>761</v>
      </c>
      <c r="D13" s="104" t="s">
        <v>744</v>
      </c>
      <c r="E13" s="104" t="s">
        <v>745</v>
      </c>
      <c r="F13" s="199">
        <f>IF(ISBLANK('2B Summary'!F7),"",'2B Summary'!F7)</f>
        <v>1644.519</v>
      </c>
      <c r="G13" s="199">
        <f>IF(ISBLANK('2B Summary'!G7),"",'2B Summary'!G7)</f>
        <v>1583.9195799999998</v>
      </c>
      <c r="H13" s="199">
        <f>IF(ISBLANK('2B Summary'!H7),"",'2B Summary'!H7)</f>
        <v>1579.3802500000002</v>
      </c>
      <c r="I13" s="199">
        <f>IF(ISBLANK('2B Summary'!I7),"",'2B Summary'!I7)</f>
        <v>980.55790000000013</v>
      </c>
      <c r="J13" s="199">
        <f>IF(ISBLANK('2B Summary'!J7),"",'2B Summary'!J7)</f>
        <v>1264.0001999999999</v>
      </c>
      <c r="K13" s="199">
        <f>IF(ISBLANK('2B Summary'!K7),"",'2B Summary'!K7)</f>
        <v>2065.096</v>
      </c>
      <c r="L13" s="199">
        <f>IF(ISBLANK('2B Summary'!L7),"",'2B Summary'!L7)</f>
        <v>2134.6289999999999</v>
      </c>
      <c r="M13" s="199">
        <f>IF(ISBLANK('2B Summary'!M7),"",'2B Summary'!M7)</f>
        <v>1252.2388000000001</v>
      </c>
      <c r="N13" s="199">
        <f>IF(ISBLANK('2B Summary'!N7),"",'2B Summary'!N7)</f>
        <v>554.60239999999999</v>
      </c>
      <c r="O13" s="199">
        <f>IF(ISBLANK('2B Summary'!O7),"",'2B Summary'!O7)</f>
        <v>536.11399999999992</v>
      </c>
      <c r="P13" s="199">
        <f>IF(ISBLANK('2B Summary'!P7),"",'2B Summary'!P7)</f>
        <v>340.89769999999999</v>
      </c>
      <c r="Q13" s="199">
        <f>IF(ISBLANK('2B Summary'!Q7),"",'2B Summary'!Q7)</f>
        <v>319.05509999999998</v>
      </c>
      <c r="R13" s="199">
        <f>IF(ISBLANK('2B Summary'!R7),"",'2B Summary'!R7)</f>
        <v>350.67509999999999</v>
      </c>
      <c r="S13" s="199">
        <f>IF(ISBLANK('2B Summary'!S7),"",'2B Summary'!S7)</f>
        <v>604.39769999999999</v>
      </c>
      <c r="T13" s="199">
        <f>IF(ISBLANK('2B Summary'!T7),"",'2B Summary'!T7)</f>
        <v>368.71400000000006</v>
      </c>
      <c r="U13" s="199">
        <f>IF(ISBLANK('2B Summary'!U7),"",'2B Summary'!U7)</f>
        <v>345.40200000000004</v>
      </c>
      <c r="V13" s="199">
        <f>IF(ISBLANK('2B Summary'!V7),"",'2B Summary'!V7)</f>
        <v>294.41503876107924</v>
      </c>
      <c r="W13" s="199">
        <f>IF(ISBLANK('2B Summary'!W7),"",'2B Summary'!W7)</f>
        <v>292.55503876107923</v>
      </c>
    </row>
    <row r="14" spans="1:28" s="104" customFormat="1" x14ac:dyDescent="0.25">
      <c r="A14" s="104" t="s">
        <v>742</v>
      </c>
      <c r="B14" s="104" t="s">
        <v>762</v>
      </c>
      <c r="C14" s="104" t="s">
        <v>763</v>
      </c>
      <c r="D14" s="104" t="s">
        <v>744</v>
      </c>
      <c r="E14" s="104" t="s">
        <v>745</v>
      </c>
      <c r="F14" s="199">
        <f>IF(ISBLANK('2B Summary'!F8),"",'2B Summary'!F8)</f>
        <v>0</v>
      </c>
      <c r="G14" s="199">
        <f>IF(ISBLANK('2B Summary'!G8),"",'2B Summary'!G8)</f>
        <v>0</v>
      </c>
      <c r="H14" s="199">
        <f>IF(ISBLANK('2B Summary'!H8),"",'2B Summary'!H8)</f>
        <v>0</v>
      </c>
      <c r="I14" s="199">
        <f>IF(ISBLANK('2B Summary'!I8),"",'2B Summary'!I8)</f>
        <v>0</v>
      </c>
      <c r="J14" s="199">
        <f>IF(ISBLANK('2B Summary'!J8),"",'2B Summary'!J8)</f>
        <v>0</v>
      </c>
      <c r="K14" s="199">
        <f>IF(ISBLANK('2B Summary'!K8),"",'2B Summary'!K8)</f>
        <v>0</v>
      </c>
      <c r="L14" s="199">
        <f>IF(ISBLANK('2B Summary'!L8),"",'2B Summary'!L8)</f>
        <v>0</v>
      </c>
      <c r="M14" s="199">
        <f>IF(ISBLANK('2B Summary'!M8),"",'2B Summary'!M8)</f>
        <v>0</v>
      </c>
      <c r="N14" s="199">
        <f>IF(ISBLANK('2B Summary'!N8),"",'2B Summary'!N8)</f>
        <v>0</v>
      </c>
      <c r="O14" s="199">
        <f>IF(ISBLANK('2B Summary'!O8),"",'2B Summary'!O8)</f>
        <v>0</v>
      </c>
      <c r="P14" s="199">
        <f>IF(ISBLANK('2B Summary'!P8),"",'2B Summary'!P8)</f>
        <v>0</v>
      </c>
      <c r="Q14" s="199">
        <f>IF(ISBLANK('2B Summary'!Q8),"",'2B Summary'!Q8)</f>
        <v>0</v>
      </c>
      <c r="R14" s="199">
        <f>IF(ISBLANK('2B Summary'!R8),"",'2B Summary'!R8)</f>
        <v>0</v>
      </c>
      <c r="S14" s="199">
        <f>IF(ISBLANK('2B Summary'!S8),"",'2B Summary'!S8)</f>
        <v>0</v>
      </c>
      <c r="T14" s="199">
        <f>IF(ISBLANK('2B Summary'!T8),"",'2B Summary'!T8)</f>
        <v>0</v>
      </c>
      <c r="U14" s="199">
        <f>IF(ISBLANK('2B Summary'!U8),"",'2B Summary'!U8)</f>
        <v>0</v>
      </c>
      <c r="V14" s="199">
        <f>IF(ISBLANK('2B Summary'!V8),"",'2B Summary'!V8)</f>
        <v>0</v>
      </c>
      <c r="W14" s="199">
        <f>IF(ISBLANK('2B Summary'!W8),"",'2B Summary'!W8)</f>
        <v>0</v>
      </c>
    </row>
    <row r="15" spans="1:28" s="104" customFormat="1" x14ac:dyDescent="0.25">
      <c r="A15" s="104" t="s">
        <v>742</v>
      </c>
      <c r="B15" s="104" t="s">
        <v>764</v>
      </c>
      <c r="C15" s="104" t="s">
        <v>765</v>
      </c>
      <c r="D15" s="104" t="s">
        <v>744</v>
      </c>
      <c r="E15" s="104" t="s">
        <v>745</v>
      </c>
      <c r="F15" s="199">
        <f>IF(ISBLANK('2B Summary'!F9),"",'2B Summary'!F9)</f>
        <v>0</v>
      </c>
      <c r="G15" s="199">
        <f>IF(ISBLANK('2B Summary'!G9),"",'2B Summary'!G9)</f>
        <v>0</v>
      </c>
      <c r="H15" s="199">
        <f>IF(ISBLANK('2B Summary'!H9),"",'2B Summary'!H9)</f>
        <v>0</v>
      </c>
      <c r="I15" s="199">
        <f>IF(ISBLANK('2B Summary'!I9),"",'2B Summary'!I9)</f>
        <v>0</v>
      </c>
      <c r="J15" s="199">
        <f>IF(ISBLANK('2B Summary'!J9),"",'2B Summary'!J9)</f>
        <v>0</v>
      </c>
      <c r="K15" s="199">
        <f>IF(ISBLANK('2B Summary'!K9),"",'2B Summary'!K9)</f>
        <v>0</v>
      </c>
      <c r="L15" s="199">
        <f>IF(ISBLANK('2B Summary'!L9),"",'2B Summary'!L9)</f>
        <v>0</v>
      </c>
      <c r="M15" s="199">
        <f>IF(ISBLANK('2B Summary'!M9),"",'2B Summary'!M9)</f>
        <v>0</v>
      </c>
      <c r="N15" s="199">
        <f>IF(ISBLANK('2B Summary'!N9),"",'2B Summary'!N9)</f>
        <v>0</v>
      </c>
      <c r="O15" s="199">
        <f>IF(ISBLANK('2B Summary'!O9),"",'2B Summary'!O9)</f>
        <v>0</v>
      </c>
      <c r="P15" s="199">
        <f>IF(ISBLANK('2B Summary'!P9),"",'2B Summary'!P9)</f>
        <v>0</v>
      </c>
      <c r="Q15" s="199">
        <f>IF(ISBLANK('2B Summary'!Q9),"",'2B Summary'!Q9)</f>
        <v>0</v>
      </c>
      <c r="R15" s="199">
        <f>IF(ISBLANK('2B Summary'!R9),"",'2B Summary'!R9)</f>
        <v>0</v>
      </c>
      <c r="S15" s="199">
        <f>IF(ISBLANK('2B Summary'!S9),"",'2B Summary'!S9)</f>
        <v>0</v>
      </c>
      <c r="T15" s="199">
        <f>IF(ISBLANK('2B Summary'!T9),"",'2B Summary'!T9)</f>
        <v>0</v>
      </c>
      <c r="U15" s="199">
        <f>IF(ISBLANK('2B Summary'!U9),"",'2B Summary'!U9)</f>
        <v>0</v>
      </c>
      <c r="V15" s="199">
        <f>IF(ISBLANK('2B Summary'!V9),"",'2B Summary'!V9)</f>
        <v>0</v>
      </c>
      <c r="W15" s="199">
        <f>IF(ISBLANK('2B Summary'!W9),"",'2B Summary'!W9)</f>
        <v>0</v>
      </c>
    </row>
    <row r="16" spans="1:28" s="104" customFormat="1" x14ac:dyDescent="0.25">
      <c r="A16" s="104" t="s">
        <v>742</v>
      </c>
      <c r="B16" s="104" t="s">
        <v>766</v>
      </c>
      <c r="C16" s="104" t="s">
        <v>767</v>
      </c>
      <c r="D16" s="104" t="s">
        <v>744</v>
      </c>
      <c r="E16" s="104" t="s">
        <v>745</v>
      </c>
      <c r="F16" s="199">
        <f>IF(ISBLANK('2B Summary'!F10),"",'2B Summary'!F10)</f>
        <v>1.9805300000000001</v>
      </c>
      <c r="G16" s="199">
        <f>IF(ISBLANK('2B Summary'!G10),"",'2B Summary'!G10)</f>
        <v>1.9816200000000002</v>
      </c>
      <c r="H16" s="199">
        <f>IF(ISBLANK('2B Summary'!H10),"",'2B Summary'!H10)</f>
        <v>4.4591900000000004</v>
      </c>
      <c r="I16" s="199">
        <f>IF(ISBLANK('2B Summary'!I10),"",'2B Summary'!I10)</f>
        <v>4.7360500000000005</v>
      </c>
      <c r="J16" s="199">
        <f>IF(ISBLANK('2B Summary'!J10),"",'2B Summary'!J10)</f>
        <v>4.1877800000000009</v>
      </c>
      <c r="K16" s="199">
        <f>IF(ISBLANK('2B Summary'!K10),"",'2B Summary'!K10)</f>
        <v>5.3257400000000006</v>
      </c>
      <c r="L16" s="199">
        <f>IF(ISBLANK('2B Summary'!L10),"",'2B Summary'!L10)</f>
        <v>4.9834800000000001</v>
      </c>
      <c r="M16" s="199">
        <f>IF(ISBLANK('2B Summary'!M10),"",'2B Summary'!M10)</f>
        <v>5.2865000000000002</v>
      </c>
      <c r="N16" s="199">
        <f>IF(ISBLANK('2B Summary'!N10),"",'2B Summary'!N10)</f>
        <v>5.3072100000000004</v>
      </c>
      <c r="O16" s="199">
        <f>IF(ISBLANK('2B Summary'!O10),"",'2B Summary'!O10)</f>
        <v>5.1938500000000003</v>
      </c>
      <c r="P16" s="199">
        <f>IF(ISBLANK('2B Summary'!P10),"",'2B Summary'!P10)</f>
        <v>5.1971200000000009</v>
      </c>
      <c r="Q16" s="199">
        <f>IF(ISBLANK('2B Summary'!Q10),"",'2B Summary'!Q10)</f>
        <v>5.1993</v>
      </c>
      <c r="R16" s="199">
        <f>IF(ISBLANK('2B Summary'!R10),"",'2B Summary'!R10)</f>
        <v>5.2014800000000001</v>
      </c>
      <c r="S16" s="199">
        <f>IF(ISBLANK('2B Summary'!S10),"",'2B Summary'!S10)</f>
        <v>5.1971200000000009</v>
      </c>
      <c r="T16" s="199">
        <f>IF(ISBLANK('2B Summary'!T10),"",'2B Summary'!T10)</f>
        <v>4.450524500000002</v>
      </c>
      <c r="U16" s="199">
        <f>IF(ISBLANK('2B Summary'!U10),"",'2B Summary'!U10)</f>
        <v>3.9892430400000007</v>
      </c>
      <c r="V16" s="199">
        <f>IF(ISBLANK('2B Summary'!V10),"",'2B Summary'!V10)</f>
        <v>3.4449166599999987</v>
      </c>
      <c r="W16" s="199">
        <f>IF(ISBLANK('2B Summary'!W10),"",'2B Summary'!W10)</f>
        <v>2.8175453600000009</v>
      </c>
    </row>
    <row r="17" spans="1:27" s="104" customFormat="1" x14ac:dyDescent="0.25">
      <c r="A17" s="104" t="s">
        <v>742</v>
      </c>
      <c r="B17" s="104" t="s">
        <v>768</v>
      </c>
      <c r="C17" s="104" t="s">
        <v>769</v>
      </c>
      <c r="D17" s="104" t="s">
        <v>744</v>
      </c>
      <c r="E17" s="104" t="s">
        <v>745</v>
      </c>
      <c r="F17" s="199">
        <f>IF(ISBLANK('2B Summary'!F11),"",'2B Summary'!F11)</f>
        <v>437.61700000000002</v>
      </c>
      <c r="G17" s="199">
        <f>IF(ISBLANK('2B Summary'!G11),"",'2B Summary'!G11)</f>
        <v>437.61700000000002</v>
      </c>
      <c r="H17" s="199">
        <f>IF(ISBLANK('2B Summary'!H11),"",'2B Summary'!H11)</f>
        <v>472.976</v>
      </c>
      <c r="I17" s="199">
        <f>IF(ISBLANK('2B Summary'!I11),"",'2B Summary'!I11)</f>
        <v>477.18200000000002</v>
      </c>
      <c r="J17" s="199">
        <f>IF(ISBLANK('2B Summary'!J11),"",'2B Summary'!J11)</f>
        <v>470.875</v>
      </c>
      <c r="K17" s="199">
        <f>IF(ISBLANK('2B Summary'!K11),"",'2B Summary'!K11)</f>
        <v>466.83199999999999</v>
      </c>
      <c r="L17" s="199">
        <f>IF(ISBLANK('2B Summary'!L11),"",'2B Summary'!L11)</f>
        <v>194.48699999999999</v>
      </c>
      <c r="M17" s="199">
        <f>IF(ISBLANK('2B Summary'!M11),"",'2B Summary'!M11)</f>
        <v>190.63399999999999</v>
      </c>
      <c r="N17" s="199">
        <f>IF(ISBLANK('2B Summary'!N11),"",'2B Summary'!N11)</f>
        <v>257.79599999999999</v>
      </c>
      <c r="O17" s="199">
        <f>IF(ISBLANK('2B Summary'!O11),"",'2B Summary'!O11)</f>
        <v>158.42699999999999</v>
      </c>
      <c r="P17" s="199">
        <f>IF(ISBLANK('2B Summary'!P11),"",'2B Summary'!P11)</f>
        <v>158.506</v>
      </c>
      <c r="Q17" s="199">
        <f>IF(ISBLANK('2B Summary'!Q11),"",'2B Summary'!Q11)</f>
        <v>158.58500000000001</v>
      </c>
      <c r="R17" s="199">
        <f>IF(ISBLANK('2B Summary'!R11),"",'2B Summary'!R11)</f>
        <v>158.66399999999999</v>
      </c>
      <c r="S17" s="199">
        <f>IF(ISBLANK('2B Summary'!S11),"",'2B Summary'!S11)</f>
        <v>158.506</v>
      </c>
      <c r="T17" s="199">
        <f>IF(ISBLANK('2B Summary'!T11),"",'2B Summary'!T11)</f>
        <v>167.48546225441859</v>
      </c>
      <c r="U17" s="199">
        <f>IF(ISBLANK('2B Summary'!U11),"",'2B Summary'!U11)</f>
        <v>161.97882244489372</v>
      </c>
      <c r="V17" s="199">
        <f>IF(ISBLANK('2B Summary'!V11),"",'2B Summary'!V11)</f>
        <v>156.97115258003473</v>
      </c>
      <c r="W17" s="199">
        <f>IF(ISBLANK('2B Summary'!W11),"",'2B Summary'!W11)</f>
        <v>152.39167085372586</v>
      </c>
    </row>
    <row r="18" spans="1:27" s="104" customFormat="1" x14ac:dyDescent="0.25">
      <c r="A18" s="104" t="s">
        <v>742</v>
      </c>
      <c r="B18" s="104" t="s">
        <v>770</v>
      </c>
      <c r="C18" s="104" t="s">
        <v>771</v>
      </c>
      <c r="D18" s="104" t="s">
        <v>744</v>
      </c>
      <c r="E18" s="104" t="s">
        <v>745</v>
      </c>
      <c r="F18" s="199">
        <f>IF(ISBLANK('2B Summary'!F12),"",'2B Summary'!F12)</f>
        <v>0</v>
      </c>
      <c r="G18" s="199">
        <f>IF(ISBLANK('2B Summary'!G12),"",'2B Summary'!G12)</f>
        <v>0</v>
      </c>
      <c r="H18" s="199">
        <f>IF(ISBLANK('2B Summary'!H12),"",'2B Summary'!H12)</f>
        <v>0</v>
      </c>
      <c r="I18" s="199">
        <f>IF(ISBLANK('2B Summary'!I12),"",'2B Summary'!I12)</f>
        <v>0</v>
      </c>
      <c r="J18" s="199">
        <f>IF(ISBLANK('2B Summary'!J12),"",'2B Summary'!J12)</f>
        <v>0</v>
      </c>
      <c r="K18" s="199">
        <f>IF(ISBLANK('2B Summary'!K12),"",'2B Summary'!K12)</f>
        <v>0</v>
      </c>
      <c r="L18" s="199">
        <f>IF(ISBLANK('2B Summary'!L12),"",'2B Summary'!L12)</f>
        <v>0</v>
      </c>
      <c r="M18" s="199">
        <f>IF(ISBLANK('2B Summary'!M12),"",'2B Summary'!M12)</f>
        <v>0</v>
      </c>
      <c r="N18" s="199">
        <f>IF(ISBLANK('2B Summary'!N12),"",'2B Summary'!N12)</f>
        <v>0</v>
      </c>
      <c r="O18" s="199">
        <f>IF(ISBLANK('2B Summary'!O12),"",'2B Summary'!O12)</f>
        <v>0</v>
      </c>
      <c r="P18" s="199">
        <f>IF(ISBLANK('2B Summary'!P12),"",'2B Summary'!P12)</f>
        <v>0</v>
      </c>
      <c r="Q18" s="199">
        <f>IF(ISBLANK('2B Summary'!Q12),"",'2B Summary'!Q12)</f>
        <v>0</v>
      </c>
      <c r="R18" s="199">
        <f>IF(ISBLANK('2B Summary'!R12),"",'2B Summary'!R12)</f>
        <v>0</v>
      </c>
      <c r="S18" s="199">
        <f>IF(ISBLANK('2B Summary'!S12),"",'2B Summary'!S12)</f>
        <v>0</v>
      </c>
      <c r="T18" s="199">
        <f>IF(ISBLANK('2B Summary'!T12),"",'2B Summary'!T12)</f>
        <v>0</v>
      </c>
      <c r="U18" s="199">
        <f>IF(ISBLANK('2B Summary'!U12),"",'2B Summary'!U12)</f>
        <v>0</v>
      </c>
      <c r="V18" s="199">
        <f>IF(ISBLANK('2B Summary'!V12),"",'2B Summary'!V12)</f>
        <v>0</v>
      </c>
      <c r="W18" s="199">
        <f>IF(ISBLANK('2B Summary'!W12),"",'2B Summary'!W12)</f>
        <v>0</v>
      </c>
    </row>
    <row r="19" spans="1:27" s="104" customFormat="1" x14ac:dyDescent="0.25">
      <c r="A19" s="104" t="s">
        <v>742</v>
      </c>
      <c r="B19" s="104" t="s">
        <v>772</v>
      </c>
      <c r="C19" s="104" t="s">
        <v>773</v>
      </c>
      <c r="D19" s="104" t="s">
        <v>744</v>
      </c>
      <c r="E19" s="104" t="s">
        <v>745</v>
      </c>
      <c r="F19" s="199">
        <f>IF(ISBLANK('2B Summary'!F13),"",'2B Summary'!F13)</f>
        <v>138.64106266000002</v>
      </c>
      <c r="G19" s="199">
        <f>IF(ISBLANK('2B Summary'!G13),"",'2B Summary'!G13)</f>
        <v>138.70921541999999</v>
      </c>
      <c r="H19" s="199">
        <f>IF(ISBLANK('2B Summary'!H13),"",'2B Summary'!H13)</f>
        <v>162.15638612000001</v>
      </c>
      <c r="I19" s="199">
        <f>IF(ISBLANK('2B Summary'!I13),"",'2B Summary'!I13)</f>
        <v>161.11312464</v>
      </c>
      <c r="J19" s="199">
        <f>IF(ISBLANK('2B Summary'!J13),"",'2B Summary'!J13)</f>
        <v>159.83394976</v>
      </c>
      <c r="K19" s="199">
        <f>IF(ISBLANK('2B Summary'!K13),"",'2B Summary'!K13)</f>
        <v>151.14709412000002</v>
      </c>
      <c r="L19" s="199">
        <f>IF(ISBLANK('2B Summary'!L13),"",'2B Summary'!L13)</f>
        <v>141.73414946000003</v>
      </c>
      <c r="M19" s="199">
        <f>IF(ISBLANK('2B Summary'!M13),"",'2B Summary'!M13)</f>
        <v>151.21000436000003</v>
      </c>
      <c r="N19" s="199">
        <f>IF(ISBLANK('2B Summary'!N13),"",'2B Summary'!N13)</f>
        <v>134.17443562</v>
      </c>
      <c r="O19" s="199">
        <f>IF(ISBLANK('2B Summary'!O13),"",'2B Summary'!O13)</f>
        <v>134.23996712000002</v>
      </c>
      <c r="P19" s="199">
        <f>IF(ISBLANK('2B Summary'!P13),"",'2B Summary'!P13)</f>
        <v>134.30806745480001</v>
      </c>
      <c r="Q19" s="199">
        <f>IF(ISBLANK('2B Summary'!Q13),"",'2B Summary'!Q13)</f>
        <v>134.28714980000001</v>
      </c>
      <c r="R19" s="199">
        <f>IF(ISBLANK('2B Summary'!R13),"",'2B Summary'!R13)</f>
        <v>134.94246480000001</v>
      </c>
      <c r="S19" s="199">
        <f>IF(ISBLANK('2B Summary'!S13),"",'2B Summary'!S13)</f>
        <v>134.30806745480001</v>
      </c>
      <c r="T19" s="199">
        <f>IF(ISBLANK('2B Summary'!T13),"",'2B Summary'!T13)</f>
        <v>131.56828351647511</v>
      </c>
      <c r="U19" s="199">
        <f>IF(ISBLANK('2B Summary'!U13),"",'2B Summary'!U13)</f>
        <v>130.1289631728016</v>
      </c>
      <c r="V19" s="199">
        <f>IF(ISBLANK('2B Summary'!V13),"",'2B Summary'!V13)</f>
        <v>128.70538859244084</v>
      </c>
      <c r="W19" s="199">
        <f>IF(ISBLANK('2B Summary'!W13),"",'2B Summary'!W13)</f>
        <v>127.29738752113171</v>
      </c>
    </row>
    <row r="20" spans="1:27" s="104" customFormat="1" x14ac:dyDescent="0.25">
      <c r="A20" s="104" t="s">
        <v>742</v>
      </c>
      <c r="B20" s="104" t="s">
        <v>774</v>
      </c>
      <c r="C20" s="104" t="s">
        <v>775</v>
      </c>
      <c r="D20" s="104" t="s">
        <v>744</v>
      </c>
      <c r="E20" s="104" t="s">
        <v>745</v>
      </c>
      <c r="F20" s="199">
        <f>IF(ISBLANK('2B Summary'!F14),"",'2B Summary'!F14)</f>
        <v>0</v>
      </c>
      <c r="G20" s="199">
        <f>IF(ISBLANK('2B Summary'!G14),"",'2B Summary'!G14)</f>
        <v>0</v>
      </c>
      <c r="H20" s="199">
        <f>IF(ISBLANK('2B Summary'!H14),"",'2B Summary'!H14)</f>
        <v>0</v>
      </c>
      <c r="I20" s="199">
        <f>IF(ISBLANK('2B Summary'!I14),"",'2B Summary'!I14)</f>
        <v>0</v>
      </c>
      <c r="J20" s="199">
        <f>IF(ISBLANK('2B Summary'!J14),"",'2B Summary'!J14)</f>
        <v>0</v>
      </c>
      <c r="K20" s="199">
        <f>IF(ISBLANK('2B Summary'!K14),"",'2B Summary'!K14)</f>
        <v>0</v>
      </c>
      <c r="L20" s="199">
        <f>IF(ISBLANK('2B Summary'!L14),"",'2B Summary'!L14)</f>
        <v>0</v>
      </c>
      <c r="M20" s="199">
        <f>IF(ISBLANK('2B Summary'!M14),"",'2B Summary'!M14)</f>
        <v>0</v>
      </c>
      <c r="N20" s="199">
        <f>IF(ISBLANK('2B Summary'!N14),"",'2B Summary'!N14)</f>
        <v>0</v>
      </c>
      <c r="O20" s="199">
        <f>IF(ISBLANK('2B Summary'!O14),"",'2B Summary'!O14)</f>
        <v>0</v>
      </c>
      <c r="P20" s="199">
        <f>IF(ISBLANK('2B Summary'!P14),"",'2B Summary'!P14)</f>
        <v>0</v>
      </c>
      <c r="Q20" s="199">
        <f>IF(ISBLANK('2B Summary'!Q14),"",'2B Summary'!Q14)</f>
        <v>0</v>
      </c>
      <c r="R20" s="199">
        <f>IF(ISBLANK('2B Summary'!R14),"",'2B Summary'!R14)</f>
        <v>0</v>
      </c>
      <c r="S20" s="199">
        <f>IF(ISBLANK('2B Summary'!S14),"",'2B Summary'!S14)</f>
        <v>0</v>
      </c>
      <c r="T20" s="199">
        <f>IF(ISBLANK('2B Summary'!T14),"",'2B Summary'!T14)</f>
        <v>0</v>
      </c>
      <c r="U20" s="199">
        <f>IF(ISBLANK('2B Summary'!U14),"",'2B Summary'!U14)</f>
        <v>0</v>
      </c>
      <c r="V20" s="199">
        <f>IF(ISBLANK('2B Summary'!V14),"",'2B Summary'!V14)</f>
        <v>0</v>
      </c>
      <c r="W20" s="199">
        <f>IF(ISBLANK('2B Summary'!W14),"",'2B Summary'!W14)</f>
        <v>0</v>
      </c>
    </row>
    <row r="21" spans="1:27" s="104" customFormat="1" x14ac:dyDescent="0.25">
      <c r="A21" s="104" t="s">
        <v>742</v>
      </c>
      <c r="B21" s="104" t="s">
        <v>776</v>
      </c>
      <c r="C21" s="104" t="s">
        <v>756</v>
      </c>
      <c r="D21" s="104" t="s">
        <v>744</v>
      </c>
      <c r="E21" s="104" t="s">
        <v>745</v>
      </c>
      <c r="F21" s="199">
        <f>IF(ISBLANK('2B Summary'!F15),"",'2B Summary'!F15)</f>
        <v>0</v>
      </c>
      <c r="G21" s="199">
        <f>IF(ISBLANK('2B Summary'!G15),"",'2B Summary'!G15)</f>
        <v>0</v>
      </c>
      <c r="H21" s="199">
        <f>IF(ISBLANK('2B Summary'!H15),"",'2B Summary'!H15)</f>
        <v>0</v>
      </c>
      <c r="I21" s="199">
        <f>IF(ISBLANK('2B Summary'!I15),"",'2B Summary'!I15)</f>
        <v>0</v>
      </c>
      <c r="J21" s="199">
        <f>IF(ISBLANK('2B Summary'!J15),"",'2B Summary'!J15)</f>
        <v>0</v>
      </c>
      <c r="K21" s="199">
        <f>IF(ISBLANK('2B Summary'!K15),"",'2B Summary'!K15)</f>
        <v>0</v>
      </c>
      <c r="L21" s="199">
        <f>IF(ISBLANK('2B Summary'!L15),"",'2B Summary'!L15)</f>
        <v>0</v>
      </c>
      <c r="M21" s="199">
        <f>IF(ISBLANK('2B Summary'!M15),"",'2B Summary'!M15)</f>
        <v>0</v>
      </c>
      <c r="N21" s="199">
        <f>IF(ISBLANK('2B Summary'!N15),"",'2B Summary'!N15)</f>
        <v>0</v>
      </c>
      <c r="O21" s="199">
        <f>IF(ISBLANK('2B Summary'!O15),"",'2B Summary'!O15)</f>
        <v>0</v>
      </c>
      <c r="P21" s="199">
        <f>IF(ISBLANK('2B Summary'!P15),"",'2B Summary'!P15)</f>
        <v>0</v>
      </c>
      <c r="Q21" s="199">
        <f>IF(ISBLANK('2B Summary'!Q15),"",'2B Summary'!Q15)</f>
        <v>0</v>
      </c>
      <c r="R21" s="199">
        <f>IF(ISBLANK('2B Summary'!R15),"",'2B Summary'!R15)</f>
        <v>0</v>
      </c>
      <c r="S21" s="199">
        <f>IF(ISBLANK('2B Summary'!S15),"",'2B Summary'!S15)</f>
        <v>0</v>
      </c>
      <c r="T21" s="199">
        <f>IF(ISBLANK('2B Summary'!T15),"",'2B Summary'!T15)</f>
        <v>0</v>
      </c>
      <c r="U21" s="199">
        <f>IF(ISBLANK('2B Summary'!U15),"",'2B Summary'!U15)</f>
        <v>0</v>
      </c>
      <c r="V21" s="199">
        <f>IF(ISBLANK('2B Summary'!V15),"",'2B Summary'!V15)</f>
        <v>0</v>
      </c>
      <c r="W21" s="199">
        <f>IF(ISBLANK('2B Summary'!W15),"",'2B Summary'!W15)</f>
        <v>0</v>
      </c>
    </row>
    <row r="22" spans="1:27" s="7" customFormat="1" x14ac:dyDescent="0.25">
      <c r="A22" s="7" t="s">
        <v>742</v>
      </c>
      <c r="B22" s="7" t="s">
        <v>777</v>
      </c>
      <c r="C22" s="7" t="s">
        <v>536</v>
      </c>
      <c r="D22" s="7" t="s">
        <v>744</v>
      </c>
      <c r="E22" s="7" t="s">
        <v>745</v>
      </c>
      <c r="F22" s="218">
        <f>IF(ISBLANK('2C Summary'!F5),"",'2C Summary'!F5)</f>
        <v>26714.929834999999</v>
      </c>
      <c r="G22" s="218">
        <f>IF(ISBLANK('2C Summary'!G5),"",'2C Summary'!G5)</f>
        <v>26812.662649999998</v>
      </c>
      <c r="H22" s="218">
        <f>IF(ISBLANK('2C Summary'!H5),"",'2C Summary'!H5)</f>
        <v>28322.02362</v>
      </c>
      <c r="I22" s="218">
        <f>IF(ISBLANK('2C Summary'!I5),"",'2C Summary'!I5)</f>
        <v>28093.210279999999</v>
      </c>
      <c r="J22" s="218">
        <f>IF(ISBLANK('2C Summary'!J5),"",'2C Summary'!J5)</f>
        <v>28071.739315000003</v>
      </c>
      <c r="K22" s="218">
        <f>IF(ISBLANK('2C Summary'!K5),"",'2C Summary'!K5)</f>
        <v>29098.857960000005</v>
      </c>
      <c r="L22" s="218">
        <f>IF(ISBLANK('2C Summary'!L5),"",'2C Summary'!L5)</f>
        <v>29740.113375000004</v>
      </c>
      <c r="M22" s="218">
        <f>IF(ISBLANK('2C Summary'!M5),"",'2C Summary'!M5)</f>
        <v>28892.095469999997</v>
      </c>
      <c r="N22" s="218">
        <f>IF(ISBLANK('2C Summary'!N5),"",'2C Summary'!N5)</f>
        <v>27253.937945000001</v>
      </c>
      <c r="O22" s="218">
        <f>IF(ISBLANK('2C Summary'!O5),"",'2C Summary'!O5)</f>
        <v>25467.171760000001</v>
      </c>
      <c r="P22" s="218">
        <f>IF(ISBLANK('2C Summary'!P5),"",'2C Summary'!P5)</f>
        <v>27203.991429999998</v>
      </c>
      <c r="Q22" s="218">
        <f>IF(ISBLANK('2C Summary'!Q5),"",'2C Summary'!Q5)</f>
        <v>30966.17239</v>
      </c>
      <c r="R22" s="218">
        <f>IF(ISBLANK('2C Summary'!R5),"",'2C Summary'!R5)</f>
        <v>29784.9306</v>
      </c>
      <c r="S22" s="218">
        <f>IF(ISBLANK('2C Summary'!S5),"",'2C Summary'!S5)</f>
        <v>31384.054412178357</v>
      </c>
      <c r="T22" s="218">
        <f>IF(ISBLANK('2C Summary'!T5),"",'2C Summary'!T5)</f>
        <v>31842.291876701373</v>
      </c>
      <c r="U22" s="218">
        <f>IF(ISBLANK('2C Summary'!U5),"",'2C Summary'!U5)</f>
        <v>30946.361913868881</v>
      </c>
      <c r="V22" s="218">
        <f>IF(ISBLANK('2C Summary'!V5),"",'2C Summary'!V5)</f>
        <v>31109.792156592415</v>
      </c>
      <c r="W22" s="218">
        <f>IF(ISBLANK('2C Summary'!W5),"",'2C Summary'!W5)</f>
        <v>31493.577923610632</v>
      </c>
      <c r="Z22" s="103">
        <f>W22-F22</f>
        <v>4778.6480886106328</v>
      </c>
      <c r="AA22" s="7">
        <f>+Z22/U22</f>
        <v>0.1544171202389073</v>
      </c>
    </row>
    <row r="23" spans="1:27" s="104" customFormat="1" x14ac:dyDescent="0.25">
      <c r="A23" s="104" t="s">
        <v>742</v>
      </c>
      <c r="B23" s="104" t="s">
        <v>778</v>
      </c>
      <c r="C23" s="104" t="s">
        <v>779</v>
      </c>
      <c r="D23" s="104" t="s">
        <v>744</v>
      </c>
      <c r="E23" s="104" t="s">
        <v>745</v>
      </c>
      <c r="F23" s="199">
        <f>IF(ISBLANK('2C Summary'!F6),"",'2C Summary'!F6)</f>
        <v>16410.526914999999</v>
      </c>
      <c r="G23" s="199">
        <f>IF(ISBLANK('2C Summary'!G6),"",'2C Summary'!G6)</f>
        <v>16410.537369999998</v>
      </c>
      <c r="H23" s="199">
        <f>IF(ISBLANK('2C Summary'!H6),"",'2C Summary'!H6)</f>
        <v>17176.103220000001</v>
      </c>
      <c r="I23" s="199">
        <f>IF(ISBLANK('2C Summary'!I6),"",'2C Summary'!I6)</f>
        <v>16786.444480000002</v>
      </c>
      <c r="J23" s="199">
        <f>IF(ISBLANK('2C Summary'!J6),"",'2C Summary'!J6)</f>
        <v>16425.253915000001</v>
      </c>
      <c r="K23" s="199">
        <f>IF(ISBLANK('2C Summary'!K6),"",'2C Summary'!K6)</f>
        <v>17359.699860000001</v>
      </c>
      <c r="L23" s="199">
        <f>IF(ISBLANK('2C Summary'!L6),"",'2C Summary'!L6)</f>
        <v>17218.494115000001</v>
      </c>
      <c r="M23" s="199">
        <f>IF(ISBLANK('2C Summary'!M6),"",'2C Summary'!M6)</f>
        <v>15147.096109999999</v>
      </c>
      <c r="N23" s="199">
        <f>IF(ISBLANK('2C Summary'!N6),"",'2C Summary'!N6)</f>
        <v>14152.034485</v>
      </c>
      <c r="O23" s="199">
        <f>IF(ISBLANK('2C Summary'!O6),"",'2C Summary'!O6)</f>
        <v>12794.452040000002</v>
      </c>
      <c r="P23" s="199">
        <f>IF(ISBLANK('2C Summary'!P6),"",'2C Summary'!P6)</f>
        <v>13861.709649999999</v>
      </c>
      <c r="Q23" s="199">
        <f>IF(ISBLANK('2C Summary'!Q6),"",'2C Summary'!Q6)</f>
        <v>14922.64853</v>
      </c>
      <c r="R23" s="199">
        <f>IF(ISBLANK('2C Summary'!R6),"",'2C Summary'!R6)</f>
        <v>15020.696860000002</v>
      </c>
      <c r="S23" s="199">
        <f>IF(ISBLANK('2C Summary'!S6),"",'2C Summary'!S6)</f>
        <v>15582.114970055352</v>
      </c>
      <c r="T23" s="199">
        <f>IF(ISBLANK('2C Summary'!T6),"",'2C Summary'!T6)</f>
        <v>14363.524995027368</v>
      </c>
      <c r="U23" s="199">
        <f>IF(ISBLANK('2C Summary'!U6),"",'2C Summary'!U6)</f>
        <v>14093.548470927624</v>
      </c>
      <c r="V23" s="199">
        <f>IF(ISBLANK('2C Summary'!V6),"",'2C Summary'!V6)</f>
        <v>14829.058053603329</v>
      </c>
      <c r="W23" s="199">
        <f>IF(ISBLANK('2C Summary'!W6),"",'2C Summary'!W6)</f>
        <v>15074.336748610733</v>
      </c>
    </row>
    <row r="24" spans="1:27" s="104" customFormat="1" x14ac:dyDescent="0.25">
      <c r="A24" s="104" t="s">
        <v>742</v>
      </c>
      <c r="B24" s="104" t="s">
        <v>780</v>
      </c>
      <c r="C24" s="104" t="s">
        <v>781</v>
      </c>
      <c r="D24" s="104" t="s">
        <v>744</v>
      </c>
      <c r="E24" s="104" t="s">
        <v>745</v>
      </c>
      <c r="F24" s="199">
        <f>IF(ISBLANK('2C Summary'!F7),"",'2C Summary'!F7)</f>
        <v>8082.4457200000015</v>
      </c>
      <c r="G24" s="199">
        <f>IF(ISBLANK('2C Summary'!G7),"",'2C Summary'!G7)</f>
        <v>8199.1991799999996</v>
      </c>
      <c r="H24" s="199">
        <f>IF(ISBLANK('2C Summary'!H7),"",'2C Summary'!H7)</f>
        <v>8974.3143</v>
      </c>
      <c r="I24" s="199">
        <f>IF(ISBLANK('2C Summary'!I7),"",'2C Summary'!I7)</f>
        <v>9160.4660999999996</v>
      </c>
      <c r="J24" s="199">
        <f>IF(ISBLANK('2C Summary'!J7),"",'2C Summary'!J7)</f>
        <v>9286.9134000000013</v>
      </c>
      <c r="K24" s="199">
        <f>IF(ISBLANK('2C Summary'!K7),"",'2C Summary'!K7)</f>
        <v>9388.0440000000017</v>
      </c>
      <c r="L24" s="199">
        <f>IF(ISBLANK('2C Summary'!L7),"",'2C Summary'!L7)</f>
        <v>10068.29506</v>
      </c>
      <c r="M24" s="199">
        <f>IF(ISBLANK('2C Summary'!M7),"",'2C Summary'!M7)</f>
        <v>11250.145560000001</v>
      </c>
      <c r="N24" s="199">
        <f>IF(ISBLANK('2C Summary'!N7),"",'2C Summary'!N7)</f>
        <v>11179.47366</v>
      </c>
      <c r="O24" s="199">
        <f>IF(ISBLANK('2C Summary'!O7),"",'2C Summary'!O7)</f>
        <v>11192.699320000002</v>
      </c>
      <c r="P24" s="199">
        <f>IF(ISBLANK('2C Summary'!P7),"",'2C Summary'!P7)</f>
        <v>11822.08778</v>
      </c>
      <c r="Q24" s="199">
        <f>IF(ISBLANK('2C Summary'!Q7),"",'2C Summary'!Q7)</f>
        <v>12241.180260000001</v>
      </c>
      <c r="R24" s="199">
        <f>IF(ISBLANK('2C Summary'!R7),"",'2C Summary'!R7)</f>
        <v>11627.24546</v>
      </c>
      <c r="S24" s="199">
        <f>IF(ISBLANK('2C Summary'!S7),"",'2C Summary'!S7)</f>
        <v>11964.273079999999</v>
      </c>
      <c r="T24" s="199">
        <f>IF(ISBLANK('2C Summary'!T7),"",'2C Summary'!T7)</f>
        <v>13897.388419999999</v>
      </c>
      <c r="U24" s="199">
        <f>IF(ISBLANK('2C Summary'!U7),"",'2C Summary'!U7)</f>
        <v>13420.227720000001</v>
      </c>
      <c r="V24" s="199">
        <f>IF(ISBLANK('2C Summary'!V7),"",'2C Summary'!V7)</f>
        <v>12462.615648911587</v>
      </c>
      <c r="W24" s="199">
        <f>IF(ISBLANK('2C Summary'!W7),"",'2C Summary'!W7)</f>
        <v>12575.364804099698</v>
      </c>
    </row>
    <row r="25" spans="1:27" s="104" customFormat="1" x14ac:dyDescent="0.25">
      <c r="A25" s="104" t="s">
        <v>742</v>
      </c>
      <c r="B25" s="104" t="s">
        <v>782</v>
      </c>
      <c r="C25" s="104" t="s">
        <v>783</v>
      </c>
      <c r="D25" s="104" t="s">
        <v>744</v>
      </c>
      <c r="E25" s="104" t="s">
        <v>745</v>
      </c>
      <c r="F25" s="199">
        <f>IF(ISBLANK('2C Summary'!F8),"",'2C Summary'!F8)</f>
        <v>2074.4412000000002</v>
      </c>
      <c r="G25" s="199">
        <f>IF(ISBLANK('2C Summary'!G8),"",'2C Summary'!G8)</f>
        <v>2071.0700999999999</v>
      </c>
      <c r="H25" s="199">
        <f>IF(ISBLANK('2C Summary'!H8),"",'2C Summary'!H8)</f>
        <v>2035.8380999999999</v>
      </c>
      <c r="I25" s="199">
        <f>IF(ISBLANK('2C Summary'!I8),"",'2C Summary'!I8)</f>
        <v>2055.0317</v>
      </c>
      <c r="J25" s="199">
        <f>IF(ISBLANK('2C Summary'!J8),"",'2C Summary'!J8)</f>
        <v>2285.0319999999997</v>
      </c>
      <c r="K25" s="199">
        <f>IF(ISBLANK('2C Summary'!K8),"",'2C Summary'!K8)</f>
        <v>2274.1301000000003</v>
      </c>
      <c r="L25" s="199">
        <f>IF(ISBLANK('2C Summary'!L8),"",'2C Summary'!L8)</f>
        <v>2369.7282000000005</v>
      </c>
      <c r="M25" s="199">
        <f>IF(ISBLANK('2C Summary'!M8),"",'2C Summary'!M8)</f>
        <v>2419.7458000000001</v>
      </c>
      <c r="N25" s="199">
        <f>IF(ISBLANK('2C Summary'!N8),"",'2C Summary'!N8)</f>
        <v>1848.4218000000001</v>
      </c>
      <c r="O25" s="199">
        <f>IF(ISBLANK('2C Summary'!O8),"",'2C Summary'!O8)</f>
        <v>1406.3284000000001</v>
      </c>
      <c r="P25" s="199">
        <f>IF(ISBLANK('2C Summary'!P8),"",'2C Summary'!P8)</f>
        <v>1431.962</v>
      </c>
      <c r="Q25" s="199">
        <f>IF(ISBLANK('2C Summary'!Q8),"",'2C Summary'!Q8)</f>
        <v>3710.3844000000008</v>
      </c>
      <c r="R25" s="199">
        <f>IF(ISBLANK('2C Summary'!R8),"",'2C Summary'!R8)</f>
        <v>3046.0540000000001</v>
      </c>
      <c r="S25" s="199">
        <f>IF(ISBLANK('2C Summary'!S8),"",'2C Summary'!S8)</f>
        <v>3764.2263621230068</v>
      </c>
      <c r="T25" s="199">
        <f>IF(ISBLANK('2C Summary'!T8),"",'2C Summary'!T8)</f>
        <v>3514.3438596859583</v>
      </c>
      <c r="U25" s="199">
        <f>IF(ISBLANK('2C Summary'!U8),"",'2C Summary'!U8)</f>
        <v>3364.5057229412555</v>
      </c>
      <c r="V25" s="199">
        <f>IF(ISBLANK('2C Summary'!V8),"",'2C Summary'!V8)</f>
        <v>3749.064630899753</v>
      </c>
      <c r="W25" s="199">
        <f>IF(ISBLANK('2C Summary'!W8),"",'2C Summary'!W8)</f>
        <v>3775.8173800921886</v>
      </c>
      <c r="Y25" s="7"/>
    </row>
    <row r="26" spans="1:27" s="104" customFormat="1" x14ac:dyDescent="0.25">
      <c r="A26" s="104" t="s">
        <v>742</v>
      </c>
      <c r="B26" s="104" t="s">
        <v>784</v>
      </c>
      <c r="C26" s="104" t="s">
        <v>785</v>
      </c>
      <c r="D26" s="104" t="s">
        <v>744</v>
      </c>
      <c r="E26" s="104" t="s">
        <v>745</v>
      </c>
      <c r="F26" s="199" t="str">
        <f>IF(ISBLANK('2C Summary'!F9),"",'2C Summary'!F9)</f>
        <v/>
      </c>
      <c r="G26" s="199" t="str">
        <f>IF(ISBLANK('2C Summary'!G9),"",'2C Summary'!G9)</f>
        <v/>
      </c>
      <c r="H26" s="199" t="str">
        <f>IF(ISBLANK('2C Summary'!H9),"",'2C Summary'!H9)</f>
        <v/>
      </c>
      <c r="I26" s="199" t="str">
        <f>IF(ISBLANK('2C Summary'!I9),"",'2C Summary'!I9)</f>
        <v/>
      </c>
      <c r="J26" s="199" t="str">
        <f>IF(ISBLANK('2C Summary'!J9),"",'2C Summary'!J9)</f>
        <v/>
      </c>
      <c r="K26" s="199" t="str">
        <f>IF(ISBLANK('2C Summary'!K9),"",'2C Summary'!K9)</f>
        <v/>
      </c>
      <c r="L26" s="199" t="str">
        <f>IF(ISBLANK('2C Summary'!L9),"",'2C Summary'!L9)</f>
        <v/>
      </c>
      <c r="M26" s="199" t="str">
        <f>IF(ISBLANK('2C Summary'!M9),"",'2C Summary'!M9)</f>
        <v/>
      </c>
      <c r="N26" s="199" t="str">
        <f>IF(ISBLANK('2C Summary'!N9),"",'2C Summary'!N9)</f>
        <v/>
      </c>
      <c r="O26" s="199" t="str">
        <f>IF(ISBLANK('2C Summary'!O9),"",'2C Summary'!O9)</f>
        <v/>
      </c>
      <c r="P26" s="199" t="str">
        <f>IF(ISBLANK('2C Summary'!P9),"",'2C Summary'!P9)</f>
        <v/>
      </c>
      <c r="Q26" s="199" t="str">
        <f>IF(ISBLANK('2C Summary'!Q9),"",'2C Summary'!Q9)</f>
        <v/>
      </c>
      <c r="R26" s="199" t="str">
        <f>IF(ISBLANK('2C Summary'!R9),"",'2C Summary'!R9)</f>
        <v/>
      </c>
      <c r="S26" s="199" t="str">
        <f>IF(ISBLANK('2C Summary'!S9),"",'2C Summary'!S9)</f>
        <v/>
      </c>
      <c r="T26" s="199" t="str">
        <f>IF(ISBLANK('2C Summary'!T9),"",'2C Summary'!T9)</f>
        <v/>
      </c>
      <c r="U26" s="199" t="str">
        <f>IF(ISBLANK('2C Summary'!U9),"",'2C Summary'!U9)</f>
        <v/>
      </c>
      <c r="V26" s="199" t="str">
        <f>IF(ISBLANK('2C Summary'!V9),"",'2C Summary'!V9)</f>
        <v/>
      </c>
      <c r="W26" s="199" t="str">
        <f>IF(ISBLANK('2C Summary'!W9),"",'2C Summary'!W9)</f>
        <v/>
      </c>
    </row>
    <row r="27" spans="1:27" s="104" customFormat="1" x14ac:dyDescent="0.25">
      <c r="A27" s="104" t="s">
        <v>742</v>
      </c>
      <c r="B27" s="104" t="s">
        <v>786</v>
      </c>
      <c r="C27" s="104" t="s">
        <v>787</v>
      </c>
      <c r="D27" s="104" t="s">
        <v>744</v>
      </c>
      <c r="E27" s="104" t="s">
        <v>745</v>
      </c>
      <c r="F27" s="199">
        <f>IF(ISBLANK('2C Summary'!F10),"",'2C Summary'!F10)</f>
        <v>39.155999999999999</v>
      </c>
      <c r="G27" s="199">
        <f>IF(ISBLANK('2C Summary'!G10),"",'2C Summary'!G10)</f>
        <v>26.936</v>
      </c>
      <c r="H27" s="199">
        <f>IF(ISBLANK('2C Summary'!H10),"",'2C Summary'!H10)</f>
        <v>25.687999999999999</v>
      </c>
      <c r="I27" s="199">
        <f>IF(ISBLANK('2C Summary'!I10),"",'2C Summary'!I10)</f>
        <v>20.748000000000001</v>
      </c>
      <c r="J27" s="199">
        <f>IF(ISBLANK('2C Summary'!J10),"",'2C Summary'!J10)</f>
        <v>19.5</v>
      </c>
      <c r="K27" s="199">
        <f>IF(ISBLANK('2C Summary'!K10),"",'2C Summary'!K10)</f>
        <v>21.943999999999999</v>
      </c>
      <c r="L27" s="199">
        <f>IF(ISBLANK('2C Summary'!L10),"",'2C Summary'!L10)</f>
        <v>25.116</v>
      </c>
      <c r="M27" s="199">
        <f>IF(ISBLANK('2C Summary'!M10),"",'2C Summary'!M10)</f>
        <v>21.788</v>
      </c>
      <c r="N27" s="199">
        <f>IF(ISBLANK('2C Summary'!N10),"",'2C Summary'!N10)</f>
        <v>24.128</v>
      </c>
      <c r="O27" s="199">
        <f>IF(ISBLANK('2C Summary'!O10),"",'2C Summary'!O10)</f>
        <v>25.532</v>
      </c>
      <c r="P27" s="199">
        <f>IF(ISBLANK('2C Summary'!P10),"",'2C Summary'!P10)</f>
        <v>26.312000000000001</v>
      </c>
      <c r="Q27" s="199">
        <f>IF(ISBLANK('2C Summary'!Q10),"",'2C Summary'!Q10)</f>
        <v>28.319200000000002</v>
      </c>
      <c r="R27" s="199">
        <f>IF(ISBLANK('2C Summary'!R10),"",'2C Summary'!R10)</f>
        <v>27.294280000000004</v>
      </c>
      <c r="S27" s="199">
        <f>IF(ISBLANK('2C Summary'!S10),"",'2C Summary'!S10)</f>
        <v>21.84</v>
      </c>
      <c r="T27" s="199">
        <f>IF(ISBLANK('2C Summary'!T10),"",'2C Summary'!T10)</f>
        <v>22.07208198804468</v>
      </c>
      <c r="U27" s="199">
        <f>IF(ISBLANK('2C Summary'!U10),"",'2C Summary'!U10)</f>
        <v>18.2</v>
      </c>
      <c r="V27" s="199">
        <f>IF(ISBLANK('2C Summary'!V10),"",'2C Summary'!V10)</f>
        <v>21.901802271619349</v>
      </c>
      <c r="W27" s="199">
        <f>IF(ISBLANK('2C Summary'!W10),"",'2C Summary'!W10)</f>
        <v>21.743045827186773</v>
      </c>
    </row>
    <row r="28" spans="1:27" s="104" customFormat="1" x14ac:dyDescent="0.25">
      <c r="A28" s="104" t="s">
        <v>742</v>
      </c>
      <c r="B28" s="104" t="s">
        <v>788</v>
      </c>
      <c r="C28" s="104" t="s">
        <v>789</v>
      </c>
      <c r="D28" s="104" t="s">
        <v>744</v>
      </c>
      <c r="E28" s="104" t="s">
        <v>745</v>
      </c>
      <c r="F28" s="199">
        <f>IF(ISBLANK('2C Summary'!F11),"",'2C Summary'!F11)</f>
        <v>108.36</v>
      </c>
      <c r="G28" s="199">
        <f>IF(ISBLANK('2C Summary'!G11),"",'2C Summary'!G11)</f>
        <v>104.92</v>
      </c>
      <c r="H28" s="199">
        <f>IF(ISBLANK('2C Summary'!H11),"",'2C Summary'!H11)</f>
        <v>110.08</v>
      </c>
      <c r="I28" s="199">
        <f>IF(ISBLANK('2C Summary'!I11),"",'2C Summary'!I11)</f>
        <v>70.52</v>
      </c>
      <c r="J28" s="199">
        <f>IF(ISBLANK('2C Summary'!J11),"",'2C Summary'!J11)</f>
        <v>55.04</v>
      </c>
      <c r="K28" s="199">
        <f>IF(ISBLANK('2C Summary'!K11),"",'2C Summary'!K11)</f>
        <v>55.04</v>
      </c>
      <c r="L28" s="199">
        <f>IF(ISBLANK('2C Summary'!L11),"",'2C Summary'!L11)</f>
        <v>58.48</v>
      </c>
      <c r="M28" s="199">
        <f>IF(ISBLANK('2C Summary'!M11),"",'2C Summary'!M11)</f>
        <v>53.32</v>
      </c>
      <c r="N28" s="199">
        <f>IF(ISBLANK('2C Summary'!N11),"",'2C Summary'!N11)</f>
        <v>49.88</v>
      </c>
      <c r="O28" s="199">
        <f>IF(ISBLANK('2C Summary'!O11),"",'2C Summary'!O11)</f>
        <v>48.16</v>
      </c>
      <c r="P28" s="199">
        <f>IF(ISBLANK('2C Summary'!P11),"",'2C Summary'!P11)</f>
        <v>61.92</v>
      </c>
      <c r="Q28" s="199">
        <f>IF(ISBLANK('2C Summary'!Q11),"",'2C Summary'!Q11)</f>
        <v>63.64</v>
      </c>
      <c r="R28" s="199">
        <f>IF(ISBLANK('2C Summary'!R11),"",'2C Summary'!R11)</f>
        <v>63.64</v>
      </c>
      <c r="S28" s="199">
        <f>IF(ISBLANK('2C Summary'!S11),"",'2C Summary'!S11)</f>
        <v>51.6</v>
      </c>
      <c r="T28" s="199">
        <f>IF(ISBLANK('2C Summary'!T11),"",'2C Summary'!T11)</f>
        <v>44.962519999999998</v>
      </c>
      <c r="U28" s="199">
        <f>IF(ISBLANK('2C Summary'!U11),"",'2C Summary'!U11)</f>
        <v>49.88</v>
      </c>
      <c r="V28" s="199">
        <f>IF(ISBLANK('2C Summary'!V11),"",'2C Summary'!V11)</f>
        <v>47.152020906125856</v>
      </c>
      <c r="W28" s="199">
        <f>IF(ISBLANK('2C Summary'!W11),"",'2C Summary'!W11)</f>
        <v>46.315944980820788</v>
      </c>
    </row>
    <row r="29" spans="1:27" s="104" customFormat="1" x14ac:dyDescent="0.25">
      <c r="A29" s="104" t="s">
        <v>742</v>
      </c>
      <c r="B29" s="104" t="s">
        <v>790</v>
      </c>
      <c r="C29" s="104" t="s">
        <v>756</v>
      </c>
      <c r="D29" s="104" t="s">
        <v>744</v>
      </c>
      <c r="E29" s="104" t="s">
        <v>745</v>
      </c>
      <c r="F29" s="199" t="str">
        <f>IF(ISBLANK('2C Summary'!F12),"",'2C Summary'!F12)</f>
        <v/>
      </c>
      <c r="G29" s="199" t="str">
        <f>IF(ISBLANK('2C Summary'!G12),"",'2C Summary'!G12)</f>
        <v/>
      </c>
      <c r="H29" s="199" t="str">
        <f>IF(ISBLANK('2C Summary'!H12),"",'2C Summary'!H12)</f>
        <v/>
      </c>
      <c r="I29" s="199" t="str">
        <f>IF(ISBLANK('2C Summary'!I12),"",'2C Summary'!I12)</f>
        <v/>
      </c>
      <c r="J29" s="199" t="str">
        <f>IF(ISBLANK('2C Summary'!J12),"",'2C Summary'!J12)</f>
        <v/>
      </c>
      <c r="K29" s="199" t="str">
        <f>IF(ISBLANK('2C Summary'!K12),"",'2C Summary'!K12)</f>
        <v/>
      </c>
      <c r="L29" s="199" t="str">
        <f>IF(ISBLANK('2C Summary'!L12),"",'2C Summary'!L12)</f>
        <v/>
      </c>
      <c r="M29" s="199" t="str">
        <f>IF(ISBLANK('2C Summary'!M12),"",'2C Summary'!M12)</f>
        <v/>
      </c>
      <c r="N29" s="199" t="str">
        <f>IF(ISBLANK('2C Summary'!N12),"",'2C Summary'!N12)</f>
        <v/>
      </c>
      <c r="O29" s="199" t="str">
        <f>IF(ISBLANK('2C Summary'!O12),"",'2C Summary'!O12)</f>
        <v/>
      </c>
      <c r="P29" s="199" t="str">
        <f>IF(ISBLANK('2C Summary'!P12),"",'2C Summary'!P12)</f>
        <v/>
      </c>
      <c r="Q29" s="199" t="str">
        <f>IF(ISBLANK('2C Summary'!Q12),"",'2C Summary'!Q12)</f>
        <v/>
      </c>
      <c r="R29" s="199" t="str">
        <f>IF(ISBLANK('2C Summary'!R12),"",'2C Summary'!R12)</f>
        <v/>
      </c>
      <c r="S29" s="199" t="str">
        <f>IF(ISBLANK('2C Summary'!S12),"",'2C Summary'!S12)</f>
        <v/>
      </c>
      <c r="T29" s="199" t="str">
        <f>IF(ISBLANK('2C Summary'!T12),"",'2C Summary'!T12)</f>
        <v/>
      </c>
      <c r="U29" s="199" t="str">
        <f>IF(ISBLANK('2C Summary'!U12),"",'2C Summary'!U12)</f>
        <v/>
      </c>
      <c r="V29" s="199" t="str">
        <f>IF(ISBLANK('2C Summary'!V12),"",'2C Summary'!V12)</f>
        <v/>
      </c>
      <c r="W29" s="199" t="str">
        <f>IF(ISBLANK('2C Summary'!W12),"",'2C Summary'!W12)</f>
        <v/>
      </c>
    </row>
    <row r="30" spans="1:27" s="7" customFormat="1" x14ac:dyDescent="0.25">
      <c r="A30" s="7" t="s">
        <v>742</v>
      </c>
      <c r="B30" s="7" t="s">
        <v>791</v>
      </c>
      <c r="C30" s="7" t="s">
        <v>792</v>
      </c>
      <c r="D30" s="7" t="s">
        <v>744</v>
      </c>
      <c r="E30" s="7" t="s">
        <v>745</v>
      </c>
      <c r="F30" s="218">
        <f>IF(ISBLANK('2D Summary'!F4),"",'2D Summary'!F4)</f>
        <v>195.91733333333332</v>
      </c>
      <c r="G30" s="218">
        <f>IF(ISBLANK('2D Summary'!G4),"",'2D Summary'!G4)</f>
        <v>225.96933333333334</v>
      </c>
      <c r="H30" s="218">
        <f>IF(ISBLANK('2D Summary'!H4),"",'2D Summary'!H4)</f>
        <v>250.316</v>
      </c>
      <c r="I30" s="218">
        <f>IF(ISBLANK('2D Summary'!I4),"",'2D Summary'!I4)</f>
        <v>248.61466666666664</v>
      </c>
      <c r="J30" s="218">
        <f>IF(ISBLANK('2D Summary'!J4),"",'2D Summary'!J4)</f>
        <v>246.17999999999998</v>
      </c>
      <c r="K30" s="218">
        <f>IF(ISBLANK('2D Summary'!K4),"",'2D Summary'!K4)</f>
        <v>467.85199999999998</v>
      </c>
      <c r="L30" s="218">
        <f>IF(ISBLANK('2D Summary'!L4),"",'2D Summary'!L4)</f>
        <v>509.15333333333331</v>
      </c>
      <c r="M30" s="218">
        <f>IF(ISBLANK('2D Summary'!M4),"",'2D Summary'!M4)</f>
        <v>234.08</v>
      </c>
      <c r="N30" s="218">
        <f>IF(ISBLANK('2D Summary'!N4),"",'2D Summary'!N4)</f>
        <v>221.07066666666665</v>
      </c>
      <c r="O30" s="218">
        <f>IF(ISBLANK('2D Summary'!O4),"",'2D Summary'!O4)</f>
        <v>233.75733333333332</v>
      </c>
      <c r="P30" s="218">
        <f>IF(ISBLANK('2D Summary'!P4),"",'2D Summary'!P4)</f>
        <v>233.87466666666666</v>
      </c>
      <c r="Q30" s="218">
        <f>IF(ISBLANK('2D Summary'!Q4),"",'2D Summary'!Q4)</f>
        <v>196.38666666666666</v>
      </c>
      <c r="R30" s="218">
        <f>IF(ISBLANK('2D Summary'!R4),"",'2D Summary'!R4)</f>
        <v>253.87691077219299</v>
      </c>
      <c r="S30" s="218">
        <f>IF(ISBLANK('2D Summary'!S4),"",'2D Summary'!S4)</f>
        <v>271.70611536899781</v>
      </c>
      <c r="T30" s="218">
        <f>IF(ISBLANK('2D Summary'!T4),"",'2D Summary'!T4)</f>
        <v>272.77838312986057</v>
      </c>
      <c r="U30" s="218">
        <f>IF(ISBLANK('2D Summary'!U4),"",'2D Summary'!U4)</f>
        <v>273.78627273280614</v>
      </c>
      <c r="V30" s="218">
        <f>IF(ISBLANK('2D Summary'!V4),"",'2D Summary'!V4)</f>
        <v>274.73732782629685</v>
      </c>
      <c r="W30" s="218">
        <f>IF(ISBLANK('2D Summary'!W4),"",'2D Summary'!W4)</f>
        <v>275.63782614194014</v>
      </c>
      <c r="Z30" s="103">
        <f>W30-F30</f>
        <v>79.720492808606821</v>
      </c>
      <c r="AA30" s="7">
        <f>+Z30/U30</f>
        <v>0.29117783011132831</v>
      </c>
    </row>
    <row r="31" spans="1:27" s="104" customFormat="1" x14ac:dyDescent="0.25">
      <c r="A31" s="104" t="s">
        <v>742</v>
      </c>
      <c r="B31" s="104" t="s">
        <v>793</v>
      </c>
      <c r="C31" s="104" t="s">
        <v>794</v>
      </c>
      <c r="D31" s="104" t="s">
        <v>744</v>
      </c>
      <c r="E31" s="104" t="s">
        <v>745</v>
      </c>
      <c r="F31" s="199">
        <f>IF(ISBLANK('2D Summary'!F5),"",'2D Summary'!F5)</f>
        <v>188.48133333333331</v>
      </c>
      <c r="G31" s="199">
        <f>IF(ISBLANK('2D Summary'!G5),"",'2D Summary'!G5)</f>
        <v>221.364</v>
      </c>
      <c r="H31" s="199">
        <f>IF(ISBLANK('2D Summary'!H5),"",'2D Summary'!H5)</f>
        <v>242.89466666666667</v>
      </c>
      <c r="I31" s="199">
        <f>IF(ISBLANK('2D Summary'!I5),"",'2D Summary'!I5)</f>
        <v>240.9733333333333</v>
      </c>
      <c r="J31" s="199">
        <f>IF(ISBLANK('2D Summary'!J5),"",'2D Summary'!J5)</f>
        <v>238.99333333333331</v>
      </c>
      <c r="K31" s="199">
        <f>IF(ISBLANK('2D Summary'!K5),"",'2D Summary'!K5)</f>
        <v>462.71866666666665</v>
      </c>
      <c r="L31" s="199">
        <f>IF(ISBLANK('2D Summary'!L5),"",'2D Summary'!L5)</f>
        <v>504.4013333333333</v>
      </c>
      <c r="M31" s="199">
        <f>IF(ISBLANK('2D Summary'!M5),"",'2D Summary'!M5)</f>
        <v>232.012</v>
      </c>
      <c r="N31" s="199">
        <f>IF(ISBLANK('2D Summary'!N5),"",'2D Summary'!N5)</f>
        <v>218.40133333333333</v>
      </c>
      <c r="O31" s="199">
        <f>IF(ISBLANK('2D Summary'!O5),"",'2D Summary'!O5)</f>
        <v>230.36933333333332</v>
      </c>
      <c r="P31" s="199">
        <f>IF(ISBLANK('2D Summary'!P5),"",'2D Summary'!P5)</f>
        <v>230.48666666666665</v>
      </c>
      <c r="Q31" s="199">
        <f>IF(ISBLANK('2D Summary'!Q5),"",'2D Summary'!Q5)</f>
        <v>192.57333333333332</v>
      </c>
      <c r="R31" s="199">
        <f>IF(ISBLANK('2D Summary'!R5),"",'2D Summary'!R5)</f>
        <v>250.58</v>
      </c>
      <c r="S31" s="199">
        <f>IF(ISBLANK('2D Summary'!S5),"",'2D Summary'!S5)</f>
        <v>268.54593874595992</v>
      </c>
      <c r="T31" s="199">
        <f>IF(ISBLANK('2D Summary'!T5),"",'2D Summary'!T5)</f>
        <v>269.74550295424086</v>
      </c>
      <c r="U31" s="199">
        <f>IF(ISBLANK('2D Summary'!U5),"",'2D Summary'!U5)</f>
        <v>270.87247043125336</v>
      </c>
      <c r="V31" s="199">
        <f>IF(ISBLANK('2D Summary'!V5),"",'2D Summary'!V5)</f>
        <v>271.93538199363684</v>
      </c>
      <c r="W31" s="199">
        <f>IF(ISBLANK('2D Summary'!W5),"",'2D Summary'!W5)</f>
        <v>272.94134139337575</v>
      </c>
    </row>
    <row r="32" spans="1:27" s="104" customFormat="1" x14ac:dyDescent="0.25">
      <c r="A32" s="104" t="s">
        <v>742</v>
      </c>
      <c r="B32" s="104" t="s">
        <v>795</v>
      </c>
      <c r="C32" s="104" t="s">
        <v>796</v>
      </c>
      <c r="D32" s="104" t="s">
        <v>744</v>
      </c>
      <c r="E32" s="104" t="s">
        <v>745</v>
      </c>
      <c r="F32" s="199">
        <f>IF(ISBLANK('2D Summary'!F6),"",'2D Summary'!F6)</f>
        <v>7.4359999999999999</v>
      </c>
      <c r="G32" s="199">
        <f>IF(ISBLANK('2D Summary'!G6),"",'2D Summary'!G6)</f>
        <v>4.6053333333333333</v>
      </c>
      <c r="H32" s="199">
        <f>IF(ISBLANK('2D Summary'!H6),"",'2D Summary'!H6)</f>
        <v>7.4213333333333331</v>
      </c>
      <c r="I32" s="199">
        <f>IF(ISBLANK('2D Summary'!I6),"",'2D Summary'!I6)</f>
        <v>7.6413333333333329</v>
      </c>
      <c r="J32" s="199">
        <f>IF(ISBLANK('2D Summary'!J6),"",'2D Summary'!J6)</f>
        <v>7.1866666666666656</v>
      </c>
      <c r="K32" s="199">
        <f>IF(ISBLANK('2D Summary'!K6),"",'2D Summary'!K6)</f>
        <v>5.1333333333333329</v>
      </c>
      <c r="L32" s="199">
        <f>IF(ISBLANK('2D Summary'!L6),"",'2D Summary'!L6)</f>
        <v>4.7519999999999998</v>
      </c>
      <c r="M32" s="199">
        <f>IF(ISBLANK('2D Summary'!M6),"",'2D Summary'!M6)</f>
        <v>2.0680000000000001</v>
      </c>
      <c r="N32" s="199">
        <f>IF(ISBLANK('2D Summary'!N6),"",'2D Summary'!N6)</f>
        <v>2.6693333333333329</v>
      </c>
      <c r="O32" s="199">
        <f>IF(ISBLANK('2D Summary'!O6),"",'2D Summary'!O6)</f>
        <v>3.3879999999999999</v>
      </c>
      <c r="P32" s="199">
        <f>IF(ISBLANK('2D Summary'!P6),"",'2D Summary'!P6)</f>
        <v>3.3879999999999999</v>
      </c>
      <c r="Q32" s="199">
        <f>IF(ISBLANK('2D Summary'!Q6),"",'2D Summary'!Q6)</f>
        <v>3.813333333333333</v>
      </c>
      <c r="R32" s="199">
        <f>IF(ISBLANK('2D Summary'!R6),"",'2D Summary'!R6)</f>
        <v>3.2969107721929678</v>
      </c>
      <c r="S32" s="199">
        <f>IF(ISBLANK('2D Summary'!S6),"",'2D Summary'!S6)</f>
        <v>3.1601766230378749</v>
      </c>
      <c r="T32" s="199">
        <f>IF(ISBLANK('2D Summary'!T6),"",'2D Summary'!T6)</f>
        <v>3.0328801756196833</v>
      </c>
      <c r="U32" s="199">
        <f>IF(ISBLANK('2D Summary'!U6),"",'2D Summary'!U6)</f>
        <v>2.9138023015527885</v>
      </c>
      <c r="V32" s="199">
        <f>IF(ISBLANK('2D Summary'!V6),"",'2D Summary'!V6)</f>
        <v>2.8019458326600115</v>
      </c>
      <c r="W32" s="199">
        <f>IF(ISBLANK('2D Summary'!W6),"",'2D Summary'!W6)</f>
        <v>2.6964847485643841</v>
      </c>
    </row>
    <row r="33" spans="1:27" s="104" customFormat="1" x14ac:dyDescent="0.25">
      <c r="A33" s="104" t="s">
        <v>742</v>
      </c>
      <c r="B33" s="104" t="s">
        <v>797</v>
      </c>
      <c r="C33" s="104" t="s">
        <v>798</v>
      </c>
      <c r="D33" s="104" t="s">
        <v>744</v>
      </c>
      <c r="E33" s="104" t="s">
        <v>745</v>
      </c>
      <c r="F33" s="199" t="str">
        <f>IF(ISBLANK('2D Summary'!F7),"",'2D Summary'!F7)</f>
        <v/>
      </c>
      <c r="G33" s="199" t="str">
        <f>IF(ISBLANK('2D Summary'!G7),"",'2D Summary'!G7)</f>
        <v/>
      </c>
      <c r="H33" s="199" t="str">
        <f>IF(ISBLANK('2D Summary'!H7),"",'2D Summary'!H7)</f>
        <v/>
      </c>
      <c r="I33" s="199" t="str">
        <f>IF(ISBLANK('2D Summary'!I7),"",'2D Summary'!I7)</f>
        <v/>
      </c>
      <c r="J33" s="199" t="str">
        <f>IF(ISBLANK('2D Summary'!J7),"",'2D Summary'!J7)</f>
        <v/>
      </c>
      <c r="K33" s="199" t="str">
        <f>IF(ISBLANK('2D Summary'!K7),"",'2D Summary'!K7)</f>
        <v/>
      </c>
      <c r="L33" s="199" t="str">
        <f>IF(ISBLANK('2D Summary'!L7),"",'2D Summary'!L7)</f>
        <v/>
      </c>
      <c r="M33" s="199" t="str">
        <f>IF(ISBLANK('2D Summary'!M7),"",'2D Summary'!M7)</f>
        <v/>
      </c>
      <c r="N33" s="199" t="str">
        <f>IF(ISBLANK('2D Summary'!N7),"",'2D Summary'!N7)</f>
        <v/>
      </c>
      <c r="O33" s="199" t="str">
        <f>IF(ISBLANK('2D Summary'!O7),"",'2D Summary'!O7)</f>
        <v/>
      </c>
      <c r="P33" s="199" t="str">
        <f>IF(ISBLANK('2D Summary'!P7),"",'2D Summary'!P7)</f>
        <v/>
      </c>
      <c r="Q33" s="199" t="str">
        <f>IF(ISBLANK('2D Summary'!Q7),"",'2D Summary'!Q7)</f>
        <v/>
      </c>
      <c r="R33" s="199" t="str">
        <f>IF(ISBLANK('2D Summary'!R7),"",'2D Summary'!R7)</f>
        <v/>
      </c>
      <c r="S33" s="199" t="str">
        <f>IF(ISBLANK('2D Summary'!S7),"",'2D Summary'!S7)</f>
        <v/>
      </c>
      <c r="T33" s="199" t="str">
        <f>IF(ISBLANK('2D Summary'!T7),"",'2D Summary'!T7)</f>
        <v/>
      </c>
      <c r="U33" s="199" t="str">
        <f>IF(ISBLANK('2D Summary'!U7),"",'2D Summary'!U7)</f>
        <v/>
      </c>
      <c r="V33" s="199" t="str">
        <f>IF(ISBLANK('2D Summary'!V7),"",'2D Summary'!V7)</f>
        <v/>
      </c>
      <c r="W33" s="199" t="str">
        <f>IF(ISBLANK('2D Summary'!W7),"",'2D Summary'!W7)</f>
        <v/>
      </c>
    </row>
    <row r="34" spans="1:27" s="104" customFormat="1" x14ac:dyDescent="0.25">
      <c r="A34" s="104" t="s">
        <v>742</v>
      </c>
      <c r="B34" s="104" t="s">
        <v>799</v>
      </c>
      <c r="C34" s="104" t="s">
        <v>756</v>
      </c>
      <c r="D34" s="104" t="s">
        <v>744</v>
      </c>
      <c r="E34" s="104" t="s">
        <v>745</v>
      </c>
      <c r="F34" s="199" t="str">
        <f>IF(ISBLANK('2D Summary'!F8),"",'2D Summary'!F8)</f>
        <v/>
      </c>
      <c r="G34" s="199" t="str">
        <f>IF(ISBLANK('2D Summary'!G8),"",'2D Summary'!G8)</f>
        <v/>
      </c>
      <c r="H34" s="199" t="str">
        <f>IF(ISBLANK('2D Summary'!H8),"",'2D Summary'!H8)</f>
        <v/>
      </c>
      <c r="I34" s="199" t="str">
        <f>IF(ISBLANK('2D Summary'!I8),"",'2D Summary'!I8)</f>
        <v/>
      </c>
      <c r="J34" s="199" t="str">
        <f>IF(ISBLANK('2D Summary'!J8),"",'2D Summary'!J8)</f>
        <v/>
      </c>
      <c r="K34" s="199" t="str">
        <f>IF(ISBLANK('2D Summary'!K8),"",'2D Summary'!K8)</f>
        <v/>
      </c>
      <c r="L34" s="199" t="str">
        <f>IF(ISBLANK('2D Summary'!L8),"",'2D Summary'!L8)</f>
        <v/>
      </c>
      <c r="M34" s="199" t="str">
        <f>IF(ISBLANK('2D Summary'!M8),"",'2D Summary'!M8)</f>
        <v/>
      </c>
      <c r="N34" s="199" t="str">
        <f>IF(ISBLANK('2D Summary'!N8),"",'2D Summary'!N8)</f>
        <v/>
      </c>
      <c r="O34" s="199" t="str">
        <f>IF(ISBLANK('2D Summary'!O8),"",'2D Summary'!O8)</f>
        <v/>
      </c>
      <c r="P34" s="199" t="str">
        <f>IF(ISBLANK('2D Summary'!P8),"",'2D Summary'!P8)</f>
        <v/>
      </c>
      <c r="Q34" s="199" t="str">
        <f>IF(ISBLANK('2D Summary'!Q8),"",'2D Summary'!Q8)</f>
        <v/>
      </c>
      <c r="R34" s="199" t="str">
        <f>IF(ISBLANK('2D Summary'!R8),"",'2D Summary'!R8)</f>
        <v/>
      </c>
      <c r="S34" s="199" t="str">
        <f>IF(ISBLANK('2D Summary'!S8),"",'2D Summary'!S8)</f>
        <v/>
      </c>
      <c r="T34" s="199" t="str">
        <f>IF(ISBLANK('2D Summary'!T8),"",'2D Summary'!T8)</f>
        <v/>
      </c>
      <c r="U34" s="199" t="str">
        <f>IF(ISBLANK('2D Summary'!U8),"",'2D Summary'!U8)</f>
        <v/>
      </c>
      <c r="V34" s="199" t="str">
        <f>IF(ISBLANK('2D Summary'!V8),"",'2D Summary'!V8)</f>
        <v/>
      </c>
      <c r="W34" s="199" t="str">
        <f>IF(ISBLANK('2D Summary'!W8),"",'2D Summary'!W8)</f>
        <v/>
      </c>
    </row>
    <row r="35" spans="1:27" s="7" customFormat="1" x14ac:dyDescent="0.25">
      <c r="A35" s="7" t="s">
        <v>742</v>
      </c>
      <c r="B35" s="106" t="s">
        <v>800</v>
      </c>
      <c r="C35" s="7" t="s">
        <v>555</v>
      </c>
      <c r="D35" s="7" t="s">
        <v>744</v>
      </c>
      <c r="E35" s="7" t="s">
        <v>745</v>
      </c>
      <c r="F35" s="218">
        <f>IF(ISBLANK('2E Summary'!F4),"",'2E Summary'!F4)</f>
        <v>0</v>
      </c>
      <c r="G35" s="218">
        <f>IF(ISBLANK('2E Summary'!G4),"",'2E Summary'!G4)</f>
        <v>0</v>
      </c>
      <c r="H35" s="218">
        <f>IF(ISBLANK('2E Summary'!H4),"",'2E Summary'!H4)</f>
        <v>0</v>
      </c>
      <c r="I35" s="218">
        <f>IF(ISBLANK('2E Summary'!I4),"",'2E Summary'!I4)</f>
        <v>0</v>
      </c>
      <c r="J35" s="218">
        <f>IF(ISBLANK('2E Summary'!J4),"",'2E Summary'!J4)</f>
        <v>0</v>
      </c>
      <c r="K35" s="218">
        <f>IF(ISBLANK('2E Summary'!K4),"",'2E Summary'!K4)</f>
        <v>0</v>
      </c>
      <c r="L35" s="218">
        <f>IF(ISBLANK('2E Summary'!L4),"",'2E Summary'!L4)</f>
        <v>0</v>
      </c>
      <c r="M35" s="218">
        <f>IF(ISBLANK('2E Summary'!M4),"",'2E Summary'!M4)</f>
        <v>0</v>
      </c>
      <c r="N35" s="218">
        <f>IF(ISBLANK('2E Summary'!N4),"",'2E Summary'!N4)</f>
        <v>0</v>
      </c>
      <c r="O35" s="218">
        <f>IF(ISBLANK('2E Summary'!O4),"",'2E Summary'!O4)</f>
        <v>0</v>
      </c>
      <c r="P35" s="218">
        <f>IF(ISBLANK('2E Summary'!P4),"",'2E Summary'!P4)</f>
        <v>0</v>
      </c>
      <c r="Q35" s="218">
        <f>IF(ISBLANK('2E Summary'!Q4),"",'2E Summary'!Q4)</f>
        <v>0</v>
      </c>
      <c r="R35" s="218">
        <f>IF(ISBLANK('2E Summary'!R4),"",'2E Summary'!R4)</f>
        <v>0</v>
      </c>
      <c r="S35" s="218">
        <f>IF(ISBLANK('2E Summary'!S4),"",'2E Summary'!S4)</f>
        <v>0</v>
      </c>
      <c r="T35" s="218">
        <f>IF(ISBLANK('2E Summary'!T4),"",'2E Summary'!T4)</f>
        <v>0</v>
      </c>
      <c r="U35" s="218">
        <f>IF(ISBLANK('2E Summary'!U4),"",'2E Summary'!U4)</f>
        <v>0</v>
      </c>
      <c r="V35" s="218">
        <f>IF(ISBLANK('2E Summary'!V4),"",'2E Summary'!V4)</f>
        <v>0</v>
      </c>
      <c r="W35" s="218">
        <f>IF(ISBLANK('2E Summary'!W4),"",'2E Summary'!W4)</f>
        <v>0</v>
      </c>
    </row>
    <row r="36" spans="1:27" s="104" customFormat="1" x14ac:dyDescent="0.25">
      <c r="A36" s="104" t="s">
        <v>742</v>
      </c>
      <c r="B36" s="107" t="s">
        <v>801</v>
      </c>
      <c r="C36" s="104" t="s">
        <v>802</v>
      </c>
      <c r="D36" s="104" t="s">
        <v>744</v>
      </c>
      <c r="E36" s="104" t="s">
        <v>745</v>
      </c>
      <c r="F36" s="199" t="str">
        <f>IF(ISBLANK('2E Summary'!F5),"",'2E Summary'!F5)</f>
        <v/>
      </c>
      <c r="G36" s="199" t="str">
        <f>IF(ISBLANK('2E Summary'!G5),"",'2E Summary'!G5)</f>
        <v/>
      </c>
      <c r="H36" s="199" t="str">
        <f>IF(ISBLANK('2E Summary'!H5),"",'2E Summary'!H5)</f>
        <v/>
      </c>
      <c r="I36" s="199" t="str">
        <f>IF(ISBLANK('2E Summary'!I5),"",'2E Summary'!I5)</f>
        <v/>
      </c>
      <c r="J36" s="199" t="str">
        <f>IF(ISBLANK('2E Summary'!J5),"",'2E Summary'!J5)</f>
        <v/>
      </c>
      <c r="K36" s="199" t="str">
        <f>IF(ISBLANK('2E Summary'!K5),"",'2E Summary'!K5)</f>
        <v/>
      </c>
      <c r="L36" s="199" t="str">
        <f>IF(ISBLANK('2E Summary'!L5),"",'2E Summary'!L5)</f>
        <v/>
      </c>
      <c r="M36" s="199" t="str">
        <f>IF(ISBLANK('2E Summary'!M5),"",'2E Summary'!M5)</f>
        <v/>
      </c>
      <c r="N36" s="199" t="str">
        <f>IF(ISBLANK('2E Summary'!N5),"",'2E Summary'!N5)</f>
        <v/>
      </c>
      <c r="O36" s="199" t="str">
        <f>IF(ISBLANK('2E Summary'!O5),"",'2E Summary'!O5)</f>
        <v/>
      </c>
      <c r="P36" s="199" t="str">
        <f>IF(ISBLANK('2E Summary'!P5),"",'2E Summary'!P5)</f>
        <v/>
      </c>
      <c r="Q36" s="199" t="str">
        <f>IF(ISBLANK('2E Summary'!Q5),"",'2E Summary'!Q5)</f>
        <v/>
      </c>
      <c r="R36" s="199" t="str">
        <f>IF(ISBLANK('2E Summary'!R5),"",'2E Summary'!R5)</f>
        <v/>
      </c>
      <c r="S36" s="199" t="str">
        <f>IF(ISBLANK('2E Summary'!S5),"",'2E Summary'!S5)</f>
        <v/>
      </c>
      <c r="T36" s="199" t="str">
        <f>IF(ISBLANK('2E Summary'!T5),"",'2E Summary'!T5)</f>
        <v/>
      </c>
      <c r="U36" s="199" t="str">
        <f>IF(ISBLANK('2E Summary'!U5),"",'2E Summary'!U5)</f>
        <v/>
      </c>
      <c r="V36" s="199" t="str">
        <f>IF(ISBLANK('2E Summary'!X5),"",'2E Summary'!X5)</f>
        <v/>
      </c>
      <c r="W36" s="199" t="str">
        <f>IF(ISBLANK('2E Summary'!Y5),"",'2E Summary'!Y5)</f>
        <v/>
      </c>
    </row>
    <row r="37" spans="1:27" s="104" customFormat="1" x14ac:dyDescent="0.25">
      <c r="A37" s="104" t="s">
        <v>742</v>
      </c>
      <c r="B37" s="107" t="s">
        <v>803</v>
      </c>
      <c r="C37" s="104" t="s">
        <v>804</v>
      </c>
      <c r="D37" s="104" t="s">
        <v>744</v>
      </c>
      <c r="E37" s="104" t="s">
        <v>745</v>
      </c>
      <c r="F37" s="199" t="str">
        <f>IF(ISBLANK('2E Summary'!F6),"",'2E Summary'!F6)</f>
        <v/>
      </c>
      <c r="G37" s="199" t="str">
        <f>IF(ISBLANK('2E Summary'!G6),"",'2E Summary'!G6)</f>
        <v/>
      </c>
      <c r="H37" s="199" t="str">
        <f>IF(ISBLANK('2E Summary'!H6),"",'2E Summary'!H6)</f>
        <v/>
      </c>
      <c r="I37" s="199" t="str">
        <f>IF(ISBLANK('2E Summary'!I6),"",'2E Summary'!I6)</f>
        <v/>
      </c>
      <c r="J37" s="199" t="str">
        <f>IF(ISBLANK('2E Summary'!J6),"",'2E Summary'!J6)</f>
        <v/>
      </c>
      <c r="K37" s="199" t="str">
        <f>IF(ISBLANK('2E Summary'!K6),"",'2E Summary'!K6)</f>
        <v/>
      </c>
      <c r="L37" s="199" t="str">
        <f>IF(ISBLANK('2E Summary'!L6),"",'2E Summary'!L6)</f>
        <v/>
      </c>
      <c r="M37" s="199" t="str">
        <f>IF(ISBLANK('2E Summary'!M6),"",'2E Summary'!M6)</f>
        <v/>
      </c>
      <c r="N37" s="199" t="str">
        <f>IF(ISBLANK('2E Summary'!N6),"",'2E Summary'!N6)</f>
        <v/>
      </c>
      <c r="O37" s="199" t="str">
        <f>IF(ISBLANK('2E Summary'!O6),"",'2E Summary'!O6)</f>
        <v/>
      </c>
      <c r="P37" s="199" t="str">
        <f>IF(ISBLANK('2E Summary'!P6),"",'2E Summary'!P6)</f>
        <v/>
      </c>
      <c r="Q37" s="199" t="str">
        <f>IF(ISBLANK('2E Summary'!Q6),"",'2E Summary'!Q6)</f>
        <v/>
      </c>
      <c r="R37" s="199" t="str">
        <f>IF(ISBLANK('2E Summary'!R6),"",'2E Summary'!R6)</f>
        <v/>
      </c>
      <c r="S37" s="199" t="str">
        <f>IF(ISBLANK('2E Summary'!S6),"",'2E Summary'!S6)</f>
        <v/>
      </c>
      <c r="T37" s="199" t="str">
        <f>IF(ISBLANK('2E Summary'!T6),"",'2E Summary'!T6)</f>
        <v/>
      </c>
      <c r="U37" s="199" t="str">
        <f>IF(ISBLANK('2E Summary'!U6),"",'2E Summary'!U6)</f>
        <v/>
      </c>
      <c r="V37" s="199" t="str">
        <f>IF(ISBLANK('2E Summary'!X6),"",'2E Summary'!X6)</f>
        <v/>
      </c>
      <c r="W37" s="199" t="str">
        <f>IF(ISBLANK('2E Summary'!Y6),"",'2E Summary'!Y6)</f>
        <v/>
      </c>
    </row>
    <row r="38" spans="1:27" s="104" customFormat="1" x14ac:dyDescent="0.25">
      <c r="A38" s="104" t="s">
        <v>742</v>
      </c>
      <c r="B38" s="107" t="s">
        <v>805</v>
      </c>
      <c r="C38" s="104" t="s">
        <v>558</v>
      </c>
      <c r="D38" s="104" t="s">
        <v>744</v>
      </c>
      <c r="E38" s="104" t="s">
        <v>745</v>
      </c>
      <c r="F38" s="199" t="str">
        <f>IF(ISBLANK('2E Summary'!F7),"",'2E Summary'!F7)</f>
        <v/>
      </c>
      <c r="G38" s="199" t="str">
        <f>IF(ISBLANK('2E Summary'!G7),"",'2E Summary'!G7)</f>
        <v/>
      </c>
      <c r="H38" s="199" t="str">
        <f>IF(ISBLANK('2E Summary'!H7),"",'2E Summary'!H7)</f>
        <v/>
      </c>
      <c r="I38" s="199" t="str">
        <f>IF(ISBLANK('2E Summary'!I7),"",'2E Summary'!I7)</f>
        <v/>
      </c>
      <c r="J38" s="199" t="str">
        <f>IF(ISBLANK('2E Summary'!J7),"",'2E Summary'!J7)</f>
        <v/>
      </c>
      <c r="K38" s="199" t="str">
        <f>IF(ISBLANK('2E Summary'!K7),"",'2E Summary'!K7)</f>
        <v/>
      </c>
      <c r="L38" s="199" t="str">
        <f>IF(ISBLANK('2E Summary'!L7),"",'2E Summary'!L7)</f>
        <v/>
      </c>
      <c r="M38" s="199" t="str">
        <f>IF(ISBLANK('2E Summary'!M7),"",'2E Summary'!M7)</f>
        <v/>
      </c>
      <c r="N38" s="199" t="str">
        <f>IF(ISBLANK('2E Summary'!N7),"",'2E Summary'!N7)</f>
        <v/>
      </c>
      <c r="O38" s="199" t="str">
        <f>IF(ISBLANK('2E Summary'!O7),"",'2E Summary'!O7)</f>
        <v/>
      </c>
      <c r="P38" s="199" t="str">
        <f>IF(ISBLANK('2E Summary'!P7),"",'2E Summary'!P7)</f>
        <v/>
      </c>
      <c r="Q38" s="199" t="str">
        <f>IF(ISBLANK('2E Summary'!Q7),"",'2E Summary'!Q7)</f>
        <v/>
      </c>
      <c r="R38" s="199" t="str">
        <f>IF(ISBLANK('2E Summary'!R7),"",'2E Summary'!R7)</f>
        <v/>
      </c>
      <c r="S38" s="199" t="str">
        <f>IF(ISBLANK('2E Summary'!S7),"",'2E Summary'!S7)</f>
        <v/>
      </c>
      <c r="T38" s="199" t="str">
        <f>IF(ISBLANK('2E Summary'!T7),"",'2E Summary'!T7)</f>
        <v/>
      </c>
      <c r="U38" s="199" t="str">
        <f>IF(ISBLANK('2E Summary'!U7),"",'2E Summary'!U7)</f>
        <v/>
      </c>
      <c r="V38" s="199" t="str">
        <f>IF(ISBLANK('2E Summary'!X7),"",'2E Summary'!X7)</f>
        <v/>
      </c>
      <c r="W38" s="199" t="str">
        <f>IF(ISBLANK('2E Summary'!Y7),"",'2E Summary'!Y7)</f>
        <v/>
      </c>
    </row>
    <row r="39" spans="1:27" s="104" customFormat="1" x14ac:dyDescent="0.25">
      <c r="A39" s="104" t="s">
        <v>742</v>
      </c>
      <c r="B39" s="107" t="s">
        <v>806</v>
      </c>
      <c r="C39" s="104" t="s">
        <v>807</v>
      </c>
      <c r="D39" s="104" t="s">
        <v>744</v>
      </c>
      <c r="E39" s="104" t="s">
        <v>745</v>
      </c>
      <c r="F39" s="199" t="str">
        <f>IF(ISBLANK('2E Summary'!F8),"",'2E Summary'!F8)</f>
        <v/>
      </c>
      <c r="G39" s="199" t="str">
        <f>IF(ISBLANK('2E Summary'!G8),"",'2E Summary'!G8)</f>
        <v/>
      </c>
      <c r="H39" s="199" t="str">
        <f>IF(ISBLANK('2E Summary'!H8),"",'2E Summary'!H8)</f>
        <v/>
      </c>
      <c r="I39" s="199" t="str">
        <f>IF(ISBLANK('2E Summary'!I8),"",'2E Summary'!I8)</f>
        <v/>
      </c>
      <c r="J39" s="199" t="str">
        <f>IF(ISBLANK('2E Summary'!J8),"",'2E Summary'!J8)</f>
        <v/>
      </c>
      <c r="K39" s="199" t="str">
        <f>IF(ISBLANK('2E Summary'!K8),"",'2E Summary'!K8)</f>
        <v/>
      </c>
      <c r="L39" s="199" t="str">
        <f>IF(ISBLANK('2E Summary'!L8),"",'2E Summary'!L8)</f>
        <v/>
      </c>
      <c r="M39" s="199" t="str">
        <f>IF(ISBLANK('2E Summary'!M8),"",'2E Summary'!M8)</f>
        <v/>
      </c>
      <c r="N39" s="199" t="str">
        <f>IF(ISBLANK('2E Summary'!N8),"",'2E Summary'!N8)</f>
        <v/>
      </c>
      <c r="O39" s="199" t="str">
        <f>IF(ISBLANK('2E Summary'!O8),"",'2E Summary'!O8)</f>
        <v/>
      </c>
      <c r="P39" s="199" t="str">
        <f>IF(ISBLANK('2E Summary'!P8),"",'2E Summary'!P8)</f>
        <v/>
      </c>
      <c r="Q39" s="199" t="str">
        <f>IF(ISBLANK('2E Summary'!Q8),"",'2E Summary'!Q8)</f>
        <v/>
      </c>
      <c r="R39" s="199" t="str">
        <f>IF(ISBLANK('2E Summary'!R8),"",'2E Summary'!R8)</f>
        <v/>
      </c>
      <c r="S39" s="199" t="str">
        <f>IF(ISBLANK('2E Summary'!S8),"",'2E Summary'!S8)</f>
        <v/>
      </c>
      <c r="T39" s="199" t="str">
        <f>IF(ISBLANK('2E Summary'!T8),"",'2E Summary'!T8)</f>
        <v/>
      </c>
      <c r="U39" s="199" t="str">
        <f>IF(ISBLANK('2E Summary'!U8),"",'2E Summary'!U8)</f>
        <v/>
      </c>
      <c r="V39" s="199" t="str">
        <f>IF(ISBLANK('2E Summary'!X8),"",'2E Summary'!X8)</f>
        <v/>
      </c>
      <c r="W39" s="199" t="str">
        <f>IF(ISBLANK('2E Summary'!Y8),"",'2E Summary'!Y8)</f>
        <v/>
      </c>
    </row>
    <row r="40" spans="1:27" s="104" customFormat="1" x14ac:dyDescent="0.25">
      <c r="A40" s="104" t="s">
        <v>742</v>
      </c>
      <c r="B40" s="107" t="s">
        <v>808</v>
      </c>
      <c r="C40" s="104" t="s">
        <v>756</v>
      </c>
      <c r="D40" s="104" t="s">
        <v>744</v>
      </c>
      <c r="E40" s="104" t="s">
        <v>745</v>
      </c>
      <c r="F40" s="199" t="str">
        <f>IF(ISBLANK('2E Summary'!F9),"",'2E Summary'!F9)</f>
        <v/>
      </c>
      <c r="G40" s="199" t="str">
        <f>IF(ISBLANK('2E Summary'!G9),"",'2E Summary'!G9)</f>
        <v/>
      </c>
      <c r="H40" s="199" t="str">
        <f>IF(ISBLANK('2E Summary'!H9),"",'2E Summary'!H9)</f>
        <v/>
      </c>
      <c r="I40" s="199" t="str">
        <f>IF(ISBLANK('2E Summary'!I9),"",'2E Summary'!I9)</f>
        <v/>
      </c>
      <c r="J40" s="199" t="str">
        <f>IF(ISBLANK('2E Summary'!J9),"",'2E Summary'!J9)</f>
        <v/>
      </c>
      <c r="K40" s="199" t="str">
        <f>IF(ISBLANK('2E Summary'!K9),"",'2E Summary'!K9)</f>
        <v/>
      </c>
      <c r="L40" s="199" t="str">
        <f>IF(ISBLANK('2E Summary'!L9),"",'2E Summary'!L9)</f>
        <v/>
      </c>
      <c r="M40" s="199" t="str">
        <f>IF(ISBLANK('2E Summary'!M9),"",'2E Summary'!M9)</f>
        <v/>
      </c>
      <c r="N40" s="199" t="str">
        <f>IF(ISBLANK('2E Summary'!N9),"",'2E Summary'!N9)</f>
        <v/>
      </c>
      <c r="O40" s="199" t="str">
        <f>IF(ISBLANK('2E Summary'!O9),"",'2E Summary'!O9)</f>
        <v/>
      </c>
      <c r="P40" s="199" t="str">
        <f>IF(ISBLANK('2E Summary'!P9),"",'2E Summary'!P9)</f>
        <v/>
      </c>
      <c r="Q40" s="199" t="str">
        <f>IF(ISBLANK('2E Summary'!Q9),"",'2E Summary'!Q9)</f>
        <v/>
      </c>
      <c r="R40" s="199" t="str">
        <f>IF(ISBLANK('2E Summary'!R9),"",'2E Summary'!R9)</f>
        <v/>
      </c>
      <c r="S40" s="199" t="str">
        <f>IF(ISBLANK('2E Summary'!S9),"",'2E Summary'!S9)</f>
        <v/>
      </c>
      <c r="T40" s="199" t="str">
        <f>IF(ISBLANK('2E Summary'!T9),"",'2E Summary'!T9)</f>
        <v/>
      </c>
      <c r="U40" s="199" t="str">
        <f>IF(ISBLANK('2E Summary'!U9),"",'2E Summary'!U9)</f>
        <v/>
      </c>
      <c r="V40" s="199" t="str">
        <f>IF(ISBLANK('2E Summary'!X9),"",'2E Summary'!X9)</f>
        <v/>
      </c>
      <c r="W40" s="199" t="str">
        <f>IF(ISBLANK('2E Summary'!Y9),"",'2E Summary'!Y9)</f>
        <v/>
      </c>
    </row>
    <row r="41" spans="1:27" s="7" customFormat="1" x14ac:dyDescent="0.25">
      <c r="A41" s="7" t="s">
        <v>742</v>
      </c>
      <c r="B41" s="7" t="s">
        <v>809</v>
      </c>
      <c r="C41" s="7" t="s">
        <v>810</v>
      </c>
      <c r="D41" s="7" t="s">
        <v>744</v>
      </c>
      <c r="E41" s="7" t="s">
        <v>745</v>
      </c>
      <c r="F41" s="218">
        <f>IF(ISBLANK('2F Summary'!F4),"",'2F Summary'!F4)</f>
        <v>0</v>
      </c>
      <c r="G41" s="218">
        <f>IF(ISBLANK('2F Summary'!G4),"",'2F Summary'!G4)</f>
        <v>0</v>
      </c>
      <c r="H41" s="218">
        <f>IF(ISBLANK('2F Summary'!H4),"",'2F Summary'!H4)</f>
        <v>0</v>
      </c>
      <c r="I41" s="218">
        <f>IF(ISBLANK('2F Summary'!I4),"",'2F Summary'!I4)</f>
        <v>0</v>
      </c>
      <c r="J41" s="218">
        <f>IF(ISBLANK('2F Summary'!J4),"",'2F Summary'!J4)</f>
        <v>0</v>
      </c>
      <c r="K41" s="218">
        <f>IF(ISBLANK('2F Summary'!K4),"",'2F Summary'!K4)</f>
        <v>841.75</v>
      </c>
      <c r="L41" s="218">
        <f>IF(ISBLANK('2F Summary'!L4),"",'2F Summary'!L4)</f>
        <v>1045.3600000000001</v>
      </c>
      <c r="M41" s="218">
        <f>IF(ISBLANK('2F Summary'!M4),"",'2F Summary'!M4)</f>
        <v>1063.4000000000001</v>
      </c>
      <c r="N41" s="218">
        <f>IF(ISBLANK('2F Summary'!N4),"",'2F Summary'!N4)</f>
        <v>1025.95</v>
      </c>
      <c r="O41" s="218">
        <f>IF(ISBLANK('2F Summary'!O4),"",'2F Summary'!O4)</f>
        <v>992.04</v>
      </c>
      <c r="P41" s="218">
        <f>IF(ISBLANK('2F Summary'!P4),"",'2F Summary'!P4)</f>
        <v>2065.8000000000002</v>
      </c>
      <c r="Q41" s="218">
        <f>IF(ISBLANK('2F Summary'!Q4),"",'2F Summary'!Q4)</f>
        <v>2274.3970304019999</v>
      </c>
      <c r="R41" s="218">
        <f>IF(ISBLANK('2F Summary'!R4),"",'2F Summary'!R4)</f>
        <v>2527.5876217245</v>
      </c>
      <c r="S41" s="218">
        <f>IF(ISBLANK('2F Summary'!S4),"",'2F Summary'!S4)</f>
        <v>2852.5371444459997</v>
      </c>
      <c r="T41" s="218">
        <f>IF(ISBLANK('2F Summary'!T4),"",'2F Summary'!T4)</f>
        <v>3065.5941807110003</v>
      </c>
      <c r="U41" s="218">
        <f>IF(ISBLANK('2F Summary'!U4),"",'2F Summary'!U4)</f>
        <v>3482.1249274289999</v>
      </c>
      <c r="V41" s="218">
        <f>IF(ISBLANK('2F Summary'!V4),"",'2F Summary'!V4)</f>
        <v>3735.440392645</v>
      </c>
      <c r="W41" s="218">
        <f>IF(ISBLANK('2F Summary'!W4),"",'2F Summary'!W4)</f>
        <v>4034.8543141378</v>
      </c>
      <c r="Z41" s="103">
        <f>W41-F41</f>
        <v>4034.8543141378</v>
      </c>
      <c r="AA41" s="7">
        <f>+Z41/U41</f>
        <v>1.1587333591494386</v>
      </c>
    </row>
    <row r="42" spans="1:27" s="104" customFormat="1" x14ac:dyDescent="0.25">
      <c r="A42" s="104" t="s">
        <v>742</v>
      </c>
      <c r="B42" s="104" t="s">
        <v>811</v>
      </c>
      <c r="C42" s="104" t="s">
        <v>812</v>
      </c>
      <c r="D42" s="104" t="s">
        <v>744</v>
      </c>
      <c r="E42" s="104" t="s">
        <v>745</v>
      </c>
      <c r="F42" s="199">
        <f>IF(ISBLANK('2F Summary'!F5),"",'2F Summary'!F5)</f>
        <v>0</v>
      </c>
      <c r="G42" s="199">
        <f>IF(ISBLANK('2F Summary'!G5),"",'2F Summary'!G5)</f>
        <v>0</v>
      </c>
      <c r="H42" s="199">
        <f>IF(ISBLANK('2F Summary'!H5),"",'2F Summary'!H5)</f>
        <v>0</v>
      </c>
      <c r="I42" s="199">
        <f>IF(ISBLANK('2F Summary'!I5),"",'2F Summary'!I5)</f>
        <v>0</v>
      </c>
      <c r="J42" s="199">
        <f>IF(ISBLANK('2F Summary'!J5),"",'2F Summary'!J5)</f>
        <v>0</v>
      </c>
      <c r="K42" s="199">
        <f>IF(ISBLANK('2F Summary'!K5),"",'2F Summary'!K5)</f>
        <v>841.75</v>
      </c>
      <c r="L42" s="199">
        <f>IF(ISBLANK('2F Summary'!L5),"",'2F Summary'!L5)</f>
        <v>1045.3600000000001</v>
      </c>
      <c r="M42" s="199">
        <f>IF(ISBLANK('2F Summary'!M5),"",'2F Summary'!M5)</f>
        <v>1063.4000000000001</v>
      </c>
      <c r="N42" s="199">
        <f>IF(ISBLANK('2F Summary'!N5),"",'2F Summary'!N5)</f>
        <v>1025.95</v>
      </c>
      <c r="O42" s="199">
        <f>IF(ISBLANK('2F Summary'!O5),"",'2F Summary'!O5)</f>
        <v>992.04</v>
      </c>
      <c r="P42" s="199">
        <f>IF(ISBLANK('2F Summary'!P5),"",'2F Summary'!P5)</f>
        <v>2065.8000000000002</v>
      </c>
      <c r="Q42" s="199">
        <f>IF(ISBLANK('2F Summary'!Q5),"",'2F Summary'!Q5)</f>
        <v>2232.500866332</v>
      </c>
      <c r="R42" s="199">
        <f>IF(ISBLANK('2F Summary'!R5),"",'2F Summary'!R5)</f>
        <v>2482.7810084104999</v>
      </c>
      <c r="S42" s="199">
        <f>IF(ISBLANK('2F Summary'!S5),"",'2F Summary'!S5)</f>
        <v>2802.3997062409999</v>
      </c>
      <c r="T42" s="199">
        <f>IF(ISBLANK('2F Summary'!T5),"",'2F Summary'!T5)</f>
        <v>3011.31930134</v>
      </c>
      <c r="U42" s="199">
        <f>IF(ISBLANK('2F Summary'!U5),"",'2F Summary'!U5)</f>
        <v>3419.7235398180001</v>
      </c>
      <c r="V42" s="199">
        <f>IF(ISBLANK('2F Summary'!V5),"",'2F Summary'!V5)</f>
        <v>3668.991196254</v>
      </c>
      <c r="W42" s="199">
        <f>IF(ISBLANK('2F Summary'!W5),"",'2F Summary'!W5)</f>
        <v>3963.4610677467999</v>
      </c>
    </row>
    <row r="43" spans="1:27" s="104" customFormat="1" x14ac:dyDescent="0.25">
      <c r="A43" s="104" t="s">
        <v>742</v>
      </c>
      <c r="B43" s="104" t="s">
        <v>813</v>
      </c>
      <c r="C43" s="104" t="s">
        <v>814</v>
      </c>
      <c r="D43" s="104" t="s">
        <v>744</v>
      </c>
      <c r="E43" s="104" t="s">
        <v>745</v>
      </c>
      <c r="F43" s="199">
        <f>IF(ISBLANK('2F Summary'!F8),"",'2F Summary'!F8)</f>
        <v>0</v>
      </c>
      <c r="G43" s="199">
        <f>IF(ISBLANK('2F Summary'!G8),"",'2F Summary'!G8)</f>
        <v>0</v>
      </c>
      <c r="H43" s="199">
        <f>IF(ISBLANK('2F Summary'!H8),"",'2F Summary'!H8)</f>
        <v>0</v>
      </c>
      <c r="I43" s="199">
        <f>IF(ISBLANK('2F Summary'!I8),"",'2F Summary'!I8)</f>
        <v>0</v>
      </c>
      <c r="J43" s="199">
        <f>IF(ISBLANK('2F Summary'!J8),"",'2F Summary'!J8)</f>
        <v>0</v>
      </c>
      <c r="K43" s="199">
        <f>IF(ISBLANK('2F Summary'!K8),"",'2F Summary'!K8)</f>
        <v>0</v>
      </c>
      <c r="L43" s="199">
        <f>IF(ISBLANK('2F Summary'!L8),"",'2F Summary'!L8)</f>
        <v>0</v>
      </c>
      <c r="M43" s="199">
        <f>IF(ISBLANK('2F Summary'!M8),"",'2F Summary'!M8)</f>
        <v>0</v>
      </c>
      <c r="N43" s="199">
        <f>IF(ISBLANK('2F Summary'!N8),"",'2F Summary'!N8)</f>
        <v>0</v>
      </c>
      <c r="O43" s="199">
        <f>IF(ISBLANK('2F Summary'!O8),"",'2F Summary'!O8)</f>
        <v>0</v>
      </c>
      <c r="P43" s="199">
        <f>IF(ISBLANK('2F Summary'!P8),"",'2F Summary'!P8)</f>
        <v>0</v>
      </c>
      <c r="Q43" s="199">
        <f>IF(ISBLANK('2F Summary'!Q8),"",'2F Summary'!Q8)</f>
        <v>3.7830966699999999</v>
      </c>
      <c r="R43" s="199">
        <f>IF(ISBLANK('2F Summary'!R8),"",'2F Summary'!R8)</f>
        <v>3.4528660840000001</v>
      </c>
      <c r="S43" s="199">
        <f>IF(ISBLANK('2F Summary'!S8),"",'2F Summary'!S8)</f>
        <v>2.0036058250000002</v>
      </c>
      <c r="T43" s="199">
        <f>IF(ISBLANK('2F Summary'!T8),"",'2F Summary'!T8)</f>
        <v>1.7355986710000002</v>
      </c>
      <c r="U43" s="199">
        <f>IF(ISBLANK('2F Summary'!U8),"",'2F Summary'!U8)</f>
        <v>2.1042043709999998</v>
      </c>
      <c r="V43" s="199">
        <f>IF(ISBLANK('2F Summary'!V8),"",'2F Summary'!V8)</f>
        <v>2.1042043709999998</v>
      </c>
      <c r="W43" s="199">
        <f>IF(ISBLANK('2F Summary'!W8),"",'2F Summary'!W8)</f>
        <v>2.1042043709999998</v>
      </c>
    </row>
    <row r="44" spans="1:27" s="104" customFormat="1" x14ac:dyDescent="0.25">
      <c r="A44" s="104" t="s">
        <v>742</v>
      </c>
      <c r="B44" s="104" t="s">
        <v>815</v>
      </c>
      <c r="C44" s="104" t="s">
        <v>816</v>
      </c>
      <c r="D44" s="104" t="s">
        <v>744</v>
      </c>
      <c r="E44" s="104" t="s">
        <v>745</v>
      </c>
      <c r="F44" s="199">
        <f>IF(ISBLANK('2F Summary'!F9),"",'2F Summary'!F9)</f>
        <v>0</v>
      </c>
      <c r="G44" s="199">
        <f>IF(ISBLANK('2F Summary'!G9),"",'2F Summary'!G9)</f>
        <v>0</v>
      </c>
      <c r="H44" s="199">
        <f>IF(ISBLANK('2F Summary'!H9),"",'2F Summary'!H9)</f>
        <v>0</v>
      </c>
      <c r="I44" s="199">
        <f>IF(ISBLANK('2F Summary'!I9),"",'2F Summary'!I9)</f>
        <v>0</v>
      </c>
      <c r="J44" s="199">
        <f>IF(ISBLANK('2F Summary'!J9),"",'2F Summary'!J9)</f>
        <v>0</v>
      </c>
      <c r="K44" s="199">
        <f>IF(ISBLANK('2F Summary'!K9),"",'2F Summary'!K9)</f>
        <v>0</v>
      </c>
      <c r="L44" s="199">
        <f>IF(ISBLANK('2F Summary'!L9),"",'2F Summary'!L9)</f>
        <v>0</v>
      </c>
      <c r="M44" s="199">
        <f>IF(ISBLANK('2F Summary'!M9),"",'2F Summary'!M9)</f>
        <v>0</v>
      </c>
      <c r="N44" s="199">
        <f>IF(ISBLANK('2F Summary'!N9),"",'2F Summary'!N9)</f>
        <v>0</v>
      </c>
      <c r="O44" s="199">
        <f>IF(ISBLANK('2F Summary'!O9),"",'2F Summary'!O9)</f>
        <v>0</v>
      </c>
      <c r="P44" s="199">
        <f>IF(ISBLANK('2F Summary'!P9),"",'2F Summary'!P9)</f>
        <v>0</v>
      </c>
      <c r="Q44" s="199">
        <f>IF(ISBLANK('2F Summary'!Q9),"",'2F Summary'!Q9)</f>
        <v>22.980200300000003</v>
      </c>
      <c r="R44" s="199">
        <f>IF(ISBLANK('2F Summary'!R9),"",'2F Summary'!R9)</f>
        <v>25.331806229999998</v>
      </c>
      <c r="S44" s="199">
        <f>IF(ISBLANK('2F Summary'!S9),"",'2F Summary'!S9)</f>
        <v>30.53210928</v>
      </c>
      <c r="T44" s="199">
        <f>IF(ISBLANK('2F Summary'!T9),"",'2F Summary'!T9)</f>
        <v>35.923529300000006</v>
      </c>
      <c r="U44" s="199">
        <f>IF(ISBLANK('2F Summary'!U9),"",'2F Summary'!U9)</f>
        <v>42.095061219999998</v>
      </c>
      <c r="V44" s="199">
        <f>IF(ISBLANK('2F Summary'!V9),"",'2F Summary'!V9)</f>
        <v>46.142869999999995</v>
      </c>
      <c r="W44" s="199">
        <f>IF(ISBLANK('2F Summary'!W9),"",'2F Summary'!W9)</f>
        <v>51.086919999999992</v>
      </c>
    </row>
    <row r="45" spans="1:27" s="104" customFormat="1" x14ac:dyDescent="0.25">
      <c r="A45" s="104" t="s">
        <v>742</v>
      </c>
      <c r="B45" s="104" t="s">
        <v>817</v>
      </c>
      <c r="C45" s="104" t="s">
        <v>565</v>
      </c>
      <c r="D45" s="104" t="s">
        <v>744</v>
      </c>
      <c r="E45" s="104" t="s">
        <v>745</v>
      </c>
      <c r="F45" s="199">
        <f>IF(ISBLANK('2F Summary'!F10),"",'2F Summary'!F10)</f>
        <v>0</v>
      </c>
      <c r="G45" s="199">
        <f>IF(ISBLANK('2F Summary'!G10),"",'2F Summary'!G10)</f>
        <v>0</v>
      </c>
      <c r="H45" s="199">
        <f>IF(ISBLANK('2F Summary'!H10),"",'2F Summary'!H10)</f>
        <v>0</v>
      </c>
      <c r="I45" s="199">
        <f>IF(ISBLANK('2F Summary'!I10),"",'2F Summary'!I10)</f>
        <v>0</v>
      </c>
      <c r="J45" s="199">
        <f>IF(ISBLANK('2F Summary'!J10),"",'2F Summary'!J10)</f>
        <v>0</v>
      </c>
      <c r="K45" s="199">
        <f>IF(ISBLANK('2F Summary'!K10),"",'2F Summary'!K10)</f>
        <v>0</v>
      </c>
      <c r="L45" s="199">
        <f>IF(ISBLANK('2F Summary'!L10),"",'2F Summary'!L10)</f>
        <v>0</v>
      </c>
      <c r="M45" s="199">
        <f>IF(ISBLANK('2F Summary'!M10),"",'2F Summary'!M10)</f>
        <v>0</v>
      </c>
      <c r="N45" s="199">
        <f>IF(ISBLANK('2F Summary'!N10),"",'2F Summary'!N10)</f>
        <v>0</v>
      </c>
      <c r="O45" s="199">
        <f>IF(ISBLANK('2F Summary'!O10),"",'2F Summary'!O10)</f>
        <v>0</v>
      </c>
      <c r="P45" s="199">
        <f>IF(ISBLANK('2F Summary'!P10),"",'2F Summary'!P10)</f>
        <v>0</v>
      </c>
      <c r="Q45" s="199">
        <f>IF(ISBLANK('2F Summary'!Q10),"",'2F Summary'!Q10)</f>
        <v>15.1328671</v>
      </c>
      <c r="R45" s="199">
        <f>IF(ISBLANK('2F Summary'!R10),"",'2F Summary'!R10)</f>
        <v>16.021940999999998</v>
      </c>
      <c r="S45" s="199">
        <f>IF(ISBLANK('2F Summary'!S10),"",'2F Summary'!S10)</f>
        <v>17.601723100000001</v>
      </c>
      <c r="T45" s="199">
        <f>IF(ISBLANK('2F Summary'!T10),"",'2F Summary'!T10)</f>
        <v>16.615751399999997</v>
      </c>
      <c r="U45" s="199">
        <f>IF(ISBLANK('2F Summary'!U10),"",'2F Summary'!U10)</f>
        <v>18.202122020000004</v>
      </c>
      <c r="V45" s="199">
        <f>IF(ISBLANK('2F Summary'!V10),"",'2F Summary'!V10)</f>
        <v>18.202122020000004</v>
      </c>
      <c r="W45" s="199">
        <f>IF(ISBLANK('2F Summary'!W10),"",'2F Summary'!W10)</f>
        <v>18.202122020000004</v>
      </c>
    </row>
    <row r="46" spans="1:27" s="104" customFormat="1" x14ac:dyDescent="0.25">
      <c r="A46" s="104" t="s">
        <v>742</v>
      </c>
      <c r="B46" s="104" t="s">
        <v>818</v>
      </c>
      <c r="C46" s="104" t="s">
        <v>566</v>
      </c>
      <c r="D46" s="104" t="s">
        <v>744</v>
      </c>
      <c r="E46" s="104" t="s">
        <v>745</v>
      </c>
      <c r="F46" s="199" t="str">
        <f>IF(ISBLANK('2F Summary'!F11),"",'2F Summary'!F11)</f>
        <v/>
      </c>
      <c r="G46" s="199" t="str">
        <f>IF(ISBLANK('2F Summary'!G11),"",'2F Summary'!G11)</f>
        <v/>
      </c>
      <c r="H46" s="199" t="str">
        <f>IF(ISBLANK('2F Summary'!H11),"",'2F Summary'!H11)</f>
        <v/>
      </c>
      <c r="I46" s="199" t="str">
        <f>IF(ISBLANK('2F Summary'!I11),"",'2F Summary'!I11)</f>
        <v/>
      </c>
      <c r="J46" s="199" t="str">
        <f>IF(ISBLANK('2F Summary'!J11),"",'2F Summary'!J11)</f>
        <v/>
      </c>
      <c r="K46" s="199" t="str">
        <f>IF(ISBLANK('2F Summary'!K11),"",'2F Summary'!K11)</f>
        <v/>
      </c>
      <c r="L46" s="199" t="str">
        <f>IF(ISBLANK('2F Summary'!L11),"",'2F Summary'!L11)</f>
        <v/>
      </c>
      <c r="M46" s="199" t="str">
        <f>IF(ISBLANK('2F Summary'!M11),"",'2F Summary'!M11)</f>
        <v/>
      </c>
      <c r="N46" s="199" t="str">
        <f>IF(ISBLANK('2F Summary'!N11),"",'2F Summary'!N11)</f>
        <v/>
      </c>
      <c r="O46" s="199" t="str">
        <f>IF(ISBLANK('2F Summary'!O11),"",'2F Summary'!O11)</f>
        <v/>
      </c>
      <c r="P46" s="199" t="str">
        <f>IF(ISBLANK('2F Summary'!P11),"",'2F Summary'!P11)</f>
        <v/>
      </c>
      <c r="Q46" s="199" t="str">
        <f>IF(ISBLANK('2F Summary'!Q11),"",'2F Summary'!Q11)</f>
        <v/>
      </c>
      <c r="R46" s="199" t="str">
        <f>IF(ISBLANK('2F Summary'!R11),"",'2F Summary'!R11)</f>
        <v/>
      </c>
      <c r="S46" s="199" t="str">
        <f>IF(ISBLANK('2F Summary'!S11),"",'2F Summary'!S11)</f>
        <v/>
      </c>
      <c r="T46" s="199" t="str">
        <f>IF(ISBLANK('2F Summary'!T11),"",'2F Summary'!T11)</f>
        <v/>
      </c>
      <c r="U46" s="199" t="str">
        <f>IF(ISBLANK('2F Summary'!U11),"",'2F Summary'!U11)</f>
        <v/>
      </c>
      <c r="V46" s="199" t="str">
        <f>IF(ISBLANK('2F Summary'!V11),"",'2F Summary'!V11)</f>
        <v/>
      </c>
      <c r="W46" s="199" t="str">
        <f>IF(ISBLANK('2F Summary'!W11),"",'2F Summary'!W11)</f>
        <v/>
      </c>
    </row>
    <row r="47" spans="1:27" s="104" customFormat="1" x14ac:dyDescent="0.25">
      <c r="A47" s="104" t="s">
        <v>742</v>
      </c>
      <c r="B47" s="104" t="s">
        <v>819</v>
      </c>
      <c r="C47" s="104" t="s">
        <v>820</v>
      </c>
      <c r="D47" s="104" t="s">
        <v>744</v>
      </c>
      <c r="E47" s="104" t="s">
        <v>745</v>
      </c>
      <c r="F47" s="199" t="str">
        <f>IF(ISBLANK('2F Summary'!F12),"",'2F Summary'!F12)</f>
        <v/>
      </c>
      <c r="G47" s="199" t="str">
        <f>IF(ISBLANK('2F Summary'!G12),"",'2F Summary'!G12)</f>
        <v/>
      </c>
      <c r="H47" s="199" t="str">
        <f>IF(ISBLANK('2F Summary'!H12),"",'2F Summary'!H12)</f>
        <v/>
      </c>
      <c r="I47" s="199" t="str">
        <f>IF(ISBLANK('2F Summary'!I12),"",'2F Summary'!I12)</f>
        <v/>
      </c>
      <c r="J47" s="199" t="str">
        <f>IF(ISBLANK('2F Summary'!J12),"",'2F Summary'!J12)</f>
        <v/>
      </c>
      <c r="K47" s="199" t="str">
        <f>IF(ISBLANK('2F Summary'!K12),"",'2F Summary'!K12)</f>
        <v/>
      </c>
      <c r="L47" s="199" t="str">
        <f>IF(ISBLANK('2F Summary'!L12),"",'2F Summary'!L12)</f>
        <v/>
      </c>
      <c r="M47" s="199" t="str">
        <f>IF(ISBLANK('2F Summary'!M12),"",'2F Summary'!M12)</f>
        <v/>
      </c>
      <c r="N47" s="199" t="str">
        <f>IF(ISBLANK('2F Summary'!N12),"",'2F Summary'!N12)</f>
        <v/>
      </c>
      <c r="O47" s="199" t="str">
        <f>IF(ISBLANK('2F Summary'!O12),"",'2F Summary'!O12)</f>
        <v/>
      </c>
      <c r="P47" s="199" t="str">
        <f>IF(ISBLANK('2F Summary'!P12),"",'2F Summary'!P12)</f>
        <v/>
      </c>
      <c r="Q47" s="199" t="str">
        <f>IF(ISBLANK('2F Summary'!Q12),"",'2F Summary'!Q12)</f>
        <v/>
      </c>
      <c r="R47" s="199" t="str">
        <f>IF(ISBLANK('2F Summary'!R12),"",'2F Summary'!R12)</f>
        <v/>
      </c>
      <c r="S47" s="199" t="str">
        <f>IF(ISBLANK('2F Summary'!S12),"",'2F Summary'!S12)</f>
        <v/>
      </c>
      <c r="T47" s="199" t="str">
        <f>IF(ISBLANK('2F Summary'!T12),"",'2F Summary'!T12)</f>
        <v/>
      </c>
      <c r="U47" s="199" t="str">
        <f>IF(ISBLANK('2F Summary'!U12),"",'2F Summary'!U12)</f>
        <v/>
      </c>
      <c r="V47" s="199" t="str">
        <f>IF(ISBLANK('2F Summary'!V12),"",'2F Summary'!V12)</f>
        <v/>
      </c>
      <c r="W47" s="199" t="str">
        <f>IF(ISBLANK('2F Summary'!W12),"",'2F Summary'!W12)</f>
        <v/>
      </c>
    </row>
    <row r="48" spans="1:27" s="7" customFormat="1" x14ac:dyDescent="0.25">
      <c r="A48" s="7" t="s">
        <v>742</v>
      </c>
      <c r="B48" s="7" t="s">
        <v>821</v>
      </c>
      <c r="C48" s="7" t="s">
        <v>568</v>
      </c>
      <c r="D48" s="7" t="s">
        <v>744</v>
      </c>
      <c r="E48" s="7" t="s">
        <v>745</v>
      </c>
      <c r="F48" s="218">
        <f>IF(ISBLANK('2G Summary'!F4),"",'2G Summary'!F4)</f>
        <v>0</v>
      </c>
      <c r="G48" s="218">
        <f>IF(ISBLANK('2G Summary'!G4),"",'2G Summary'!G4)</f>
        <v>0</v>
      </c>
      <c r="H48" s="218">
        <f>IF(ISBLANK('2G Summary'!H4),"",'2G Summary'!H4)</f>
        <v>0</v>
      </c>
      <c r="I48" s="218">
        <f>IF(ISBLANK('2G Summary'!I4),"",'2G Summary'!I4)</f>
        <v>0</v>
      </c>
      <c r="J48" s="218">
        <f>IF(ISBLANK('2G Summary'!J4),"",'2G Summary'!J4)</f>
        <v>0</v>
      </c>
      <c r="K48" s="218">
        <f>IF(ISBLANK('2G Summary'!K4),"",'2G Summary'!K4)</f>
        <v>0</v>
      </c>
      <c r="L48" s="218">
        <f>IF(ISBLANK('2G Summary'!L4),"",'2G Summary'!L4)</f>
        <v>0</v>
      </c>
      <c r="M48" s="218">
        <f>IF(ISBLANK('2G Summary'!M4),"",'2G Summary'!M4)</f>
        <v>0</v>
      </c>
      <c r="N48" s="218">
        <f>IF(ISBLANK('2G Summary'!N4),"",'2G Summary'!N4)</f>
        <v>0</v>
      </c>
      <c r="O48" s="218">
        <f>IF(ISBLANK('2G Summary'!O4),"",'2G Summary'!O4)</f>
        <v>0</v>
      </c>
      <c r="P48" s="218">
        <f>IF(ISBLANK('2G Summary'!P4),"",'2G Summary'!P4)</f>
        <v>0</v>
      </c>
      <c r="Q48" s="218">
        <f>IF(ISBLANK('2G Summary'!Q4),"",'2G Summary'!Q4)</f>
        <v>0</v>
      </c>
      <c r="R48" s="218">
        <f>IF(ISBLANK('2G Summary'!R4),"",'2G Summary'!R4)</f>
        <v>0</v>
      </c>
      <c r="S48" s="218">
        <f>IF(ISBLANK('2G Summary'!S4),"",'2G Summary'!S4)</f>
        <v>0</v>
      </c>
      <c r="T48" s="218">
        <f>IF(ISBLANK('2G Summary'!T4),"",'2G Summary'!T4)</f>
        <v>0</v>
      </c>
      <c r="U48" s="218">
        <f>IF(ISBLANK('2G Summary'!U4),"",'2G Summary'!U4)</f>
        <v>0</v>
      </c>
      <c r="V48" s="218">
        <f>IF(ISBLANK('2G Summary'!V4),"",'2G Summary'!V4)</f>
        <v>0</v>
      </c>
      <c r="W48" s="218">
        <f>IF(ISBLANK('2G Summary'!W4),"",'2G Summary'!W4)</f>
        <v>0</v>
      </c>
    </row>
    <row r="49" spans="1:24" s="104" customFormat="1" x14ac:dyDescent="0.25">
      <c r="A49" s="104" t="s">
        <v>742</v>
      </c>
      <c r="B49" s="104" t="s">
        <v>822</v>
      </c>
      <c r="C49" s="104" t="s">
        <v>823</v>
      </c>
      <c r="D49" s="104" t="s">
        <v>744</v>
      </c>
      <c r="E49" s="104" t="s">
        <v>745</v>
      </c>
      <c r="F49" s="199" t="str">
        <f>IF(ISBLANK('2G Summary'!F5),"",'2G Summary'!F5)</f>
        <v/>
      </c>
      <c r="G49" s="199" t="str">
        <f>IF(ISBLANK('2G Summary'!G5),"",'2G Summary'!G5)</f>
        <v/>
      </c>
      <c r="H49" s="199" t="str">
        <f>IF(ISBLANK('2G Summary'!H5),"",'2G Summary'!H5)</f>
        <v/>
      </c>
      <c r="I49" s="199" t="str">
        <f>IF(ISBLANK('2G Summary'!I5),"",'2G Summary'!I5)</f>
        <v/>
      </c>
      <c r="J49" s="199" t="str">
        <f>IF(ISBLANK('2G Summary'!J5),"",'2G Summary'!J5)</f>
        <v/>
      </c>
      <c r="K49" s="199" t="str">
        <f>IF(ISBLANK('2G Summary'!K5),"",'2G Summary'!K5)</f>
        <v/>
      </c>
      <c r="L49" s="199" t="str">
        <f>IF(ISBLANK('2G Summary'!L5),"",'2G Summary'!L5)</f>
        <v/>
      </c>
      <c r="M49" s="199" t="str">
        <f>IF(ISBLANK('2G Summary'!M5),"",'2G Summary'!M5)</f>
        <v/>
      </c>
      <c r="N49" s="199" t="str">
        <f>IF(ISBLANK('2G Summary'!N5),"",'2G Summary'!N5)</f>
        <v/>
      </c>
      <c r="O49" s="199" t="str">
        <f>IF(ISBLANK('2G Summary'!O5),"",'2G Summary'!O5)</f>
        <v/>
      </c>
      <c r="P49" s="199" t="str">
        <f>IF(ISBLANK('2G Summary'!P5),"",'2G Summary'!P5)</f>
        <v/>
      </c>
      <c r="Q49" s="199" t="str">
        <f>IF(ISBLANK('2G Summary'!Q5),"",'2G Summary'!Q5)</f>
        <v/>
      </c>
      <c r="R49" s="199" t="str">
        <f>IF(ISBLANK('2G Summary'!R5),"",'2G Summary'!R5)</f>
        <v/>
      </c>
      <c r="S49" s="199" t="str">
        <f>IF(ISBLANK('2G Summary'!S5),"",'2G Summary'!S5)</f>
        <v/>
      </c>
      <c r="T49" s="199" t="str">
        <f>IF(ISBLANK('2G Summary'!T5),"",'2G Summary'!T5)</f>
        <v/>
      </c>
      <c r="U49" s="199" t="str">
        <f>IF(ISBLANK('2G Summary'!U5),"",'2G Summary'!U5)</f>
        <v/>
      </c>
      <c r="V49" s="199" t="str">
        <f>IF(ISBLANK('2G Summary'!V5),"",'2G Summary'!V5)</f>
        <v/>
      </c>
      <c r="W49" s="199" t="str">
        <f>IF(ISBLANK('2G Summary'!W5),"",'2G Summary'!W5)</f>
        <v/>
      </c>
    </row>
    <row r="50" spans="1:24" s="104" customFormat="1" x14ac:dyDescent="0.25">
      <c r="A50" s="104" t="s">
        <v>742</v>
      </c>
      <c r="B50" s="104" t="s">
        <v>824</v>
      </c>
      <c r="C50" s="104" t="s">
        <v>825</v>
      </c>
      <c r="D50" s="104" t="s">
        <v>744</v>
      </c>
      <c r="E50" s="104" t="s">
        <v>745</v>
      </c>
      <c r="F50" s="199" t="str">
        <f>IF(ISBLANK('2G Summary'!F6),"",'2G Summary'!F6)</f>
        <v/>
      </c>
      <c r="G50" s="199" t="str">
        <f>IF(ISBLANK('2G Summary'!G6),"",'2G Summary'!G6)</f>
        <v/>
      </c>
      <c r="H50" s="199" t="str">
        <f>IF(ISBLANK('2G Summary'!H6),"",'2G Summary'!H6)</f>
        <v/>
      </c>
      <c r="I50" s="199" t="str">
        <f>IF(ISBLANK('2G Summary'!I6),"",'2G Summary'!I6)</f>
        <v/>
      </c>
      <c r="J50" s="199" t="str">
        <f>IF(ISBLANK('2G Summary'!J6),"",'2G Summary'!J6)</f>
        <v/>
      </c>
      <c r="K50" s="199" t="str">
        <f>IF(ISBLANK('2G Summary'!K6),"",'2G Summary'!K6)</f>
        <v/>
      </c>
      <c r="L50" s="199" t="str">
        <f>IF(ISBLANK('2G Summary'!L6),"",'2G Summary'!L6)</f>
        <v/>
      </c>
      <c r="M50" s="199" t="str">
        <f>IF(ISBLANK('2G Summary'!M6),"",'2G Summary'!M6)</f>
        <v/>
      </c>
      <c r="N50" s="199" t="str">
        <f>IF(ISBLANK('2G Summary'!N6),"",'2G Summary'!N6)</f>
        <v/>
      </c>
      <c r="O50" s="199" t="str">
        <f>IF(ISBLANK('2G Summary'!O6),"",'2G Summary'!O6)</f>
        <v/>
      </c>
      <c r="P50" s="199" t="str">
        <f>IF(ISBLANK('2G Summary'!P6),"",'2G Summary'!P6)</f>
        <v/>
      </c>
      <c r="Q50" s="199" t="str">
        <f>IF(ISBLANK('2G Summary'!Q6),"",'2G Summary'!Q6)</f>
        <v/>
      </c>
      <c r="R50" s="199" t="str">
        <f>IF(ISBLANK('2G Summary'!R6),"",'2G Summary'!R6)</f>
        <v/>
      </c>
      <c r="S50" s="199" t="str">
        <f>IF(ISBLANK('2G Summary'!S6),"",'2G Summary'!S6)</f>
        <v/>
      </c>
      <c r="T50" s="199" t="str">
        <f>IF(ISBLANK('2G Summary'!T6),"",'2G Summary'!T6)</f>
        <v/>
      </c>
      <c r="U50" s="199" t="str">
        <f>IF(ISBLANK('2G Summary'!U6),"",'2G Summary'!U6)</f>
        <v/>
      </c>
      <c r="V50" s="199" t="str">
        <f>IF(ISBLANK('2G Summary'!V6),"",'2G Summary'!V6)</f>
        <v/>
      </c>
      <c r="W50" s="199" t="str">
        <f>IF(ISBLANK('2G Summary'!W6),"",'2G Summary'!W6)</f>
        <v/>
      </c>
    </row>
    <row r="51" spans="1:24" s="104" customFormat="1" x14ac:dyDescent="0.25">
      <c r="A51" s="104" t="s">
        <v>742</v>
      </c>
      <c r="B51" s="104" t="s">
        <v>826</v>
      </c>
      <c r="C51" s="104" t="s">
        <v>827</v>
      </c>
      <c r="D51" s="104" t="s">
        <v>744</v>
      </c>
      <c r="E51" s="104" t="s">
        <v>745</v>
      </c>
      <c r="F51" s="199" t="str">
        <f>IF(ISBLANK('2G Summary'!F7),"",'2G Summary'!F7)</f>
        <v/>
      </c>
      <c r="G51" s="199" t="str">
        <f>IF(ISBLANK('2G Summary'!G7),"",'2G Summary'!G7)</f>
        <v/>
      </c>
      <c r="H51" s="199" t="str">
        <f>IF(ISBLANK('2G Summary'!H7),"",'2G Summary'!H7)</f>
        <v/>
      </c>
      <c r="I51" s="199" t="str">
        <f>IF(ISBLANK('2G Summary'!I7),"",'2G Summary'!I7)</f>
        <v/>
      </c>
      <c r="J51" s="199" t="str">
        <f>IF(ISBLANK('2G Summary'!J7),"",'2G Summary'!J7)</f>
        <v/>
      </c>
      <c r="K51" s="199" t="str">
        <f>IF(ISBLANK('2G Summary'!K7),"",'2G Summary'!K7)</f>
        <v/>
      </c>
      <c r="L51" s="199" t="str">
        <f>IF(ISBLANK('2G Summary'!L7),"",'2G Summary'!L7)</f>
        <v/>
      </c>
      <c r="M51" s="199" t="str">
        <f>IF(ISBLANK('2G Summary'!M7),"",'2G Summary'!M7)</f>
        <v/>
      </c>
      <c r="N51" s="199" t="str">
        <f>IF(ISBLANK('2G Summary'!N7),"",'2G Summary'!N7)</f>
        <v/>
      </c>
      <c r="O51" s="199" t="str">
        <f>IF(ISBLANK('2G Summary'!O7),"",'2G Summary'!O7)</f>
        <v/>
      </c>
      <c r="P51" s="199" t="str">
        <f>IF(ISBLANK('2G Summary'!P7),"",'2G Summary'!P7)</f>
        <v/>
      </c>
      <c r="Q51" s="199" t="str">
        <f>IF(ISBLANK('2G Summary'!Q7),"",'2G Summary'!Q7)</f>
        <v/>
      </c>
      <c r="R51" s="199" t="str">
        <f>IF(ISBLANK('2G Summary'!R7),"",'2G Summary'!R7)</f>
        <v/>
      </c>
      <c r="S51" s="199" t="str">
        <f>IF(ISBLANK('2G Summary'!S7),"",'2G Summary'!S7)</f>
        <v/>
      </c>
      <c r="T51" s="199" t="str">
        <f>IF(ISBLANK('2G Summary'!T7),"",'2G Summary'!T7)</f>
        <v/>
      </c>
      <c r="U51" s="199" t="str">
        <f>IF(ISBLANK('2G Summary'!U7),"",'2G Summary'!U7)</f>
        <v/>
      </c>
      <c r="V51" s="199" t="str">
        <f>IF(ISBLANK('2G Summary'!V7),"",'2G Summary'!V7)</f>
        <v/>
      </c>
      <c r="W51" s="199" t="str">
        <f>IF(ISBLANK('2G Summary'!W7),"",'2G Summary'!W7)</f>
        <v/>
      </c>
    </row>
    <row r="52" spans="1:24" s="104" customFormat="1" x14ac:dyDescent="0.25">
      <c r="A52" s="104" t="s">
        <v>742</v>
      </c>
      <c r="B52" s="104" t="s">
        <v>828</v>
      </c>
      <c r="C52" s="104" t="s">
        <v>756</v>
      </c>
      <c r="D52" s="104" t="s">
        <v>744</v>
      </c>
      <c r="E52" s="104" t="s">
        <v>745</v>
      </c>
      <c r="F52" s="199" t="str">
        <f>IF(ISBLANK('2G Summary'!F8),"",'2G Summary'!F8)</f>
        <v/>
      </c>
      <c r="G52" s="199" t="str">
        <f>IF(ISBLANK('2G Summary'!G8),"",'2G Summary'!G8)</f>
        <v/>
      </c>
      <c r="H52" s="199" t="str">
        <f>IF(ISBLANK('2G Summary'!H8),"",'2G Summary'!H8)</f>
        <v/>
      </c>
      <c r="I52" s="199" t="str">
        <f>IF(ISBLANK('2G Summary'!I8),"",'2G Summary'!I8)</f>
        <v/>
      </c>
      <c r="J52" s="199" t="str">
        <f>IF(ISBLANK('2G Summary'!J8),"",'2G Summary'!J8)</f>
        <v/>
      </c>
      <c r="K52" s="199" t="str">
        <f>IF(ISBLANK('2G Summary'!K8),"",'2G Summary'!K8)</f>
        <v/>
      </c>
      <c r="L52" s="199" t="str">
        <f>IF(ISBLANK('2G Summary'!L8),"",'2G Summary'!L8)</f>
        <v/>
      </c>
      <c r="M52" s="199" t="str">
        <f>IF(ISBLANK('2G Summary'!M8),"",'2G Summary'!M8)</f>
        <v/>
      </c>
      <c r="N52" s="199" t="str">
        <f>IF(ISBLANK('2G Summary'!N8),"",'2G Summary'!N8)</f>
        <v/>
      </c>
      <c r="O52" s="199" t="str">
        <f>IF(ISBLANK('2G Summary'!O8),"",'2G Summary'!O8)</f>
        <v/>
      </c>
      <c r="P52" s="199" t="str">
        <f>IF(ISBLANK('2G Summary'!P8),"",'2G Summary'!P8)</f>
        <v/>
      </c>
      <c r="Q52" s="199" t="str">
        <f>IF(ISBLANK('2G Summary'!Q8),"",'2G Summary'!Q8)</f>
        <v/>
      </c>
      <c r="R52" s="199" t="str">
        <f>IF(ISBLANK('2G Summary'!R8),"",'2G Summary'!R8)</f>
        <v/>
      </c>
      <c r="S52" s="199" t="str">
        <f>IF(ISBLANK('2G Summary'!S8),"",'2G Summary'!S8)</f>
        <v/>
      </c>
      <c r="T52" s="199" t="str">
        <f>IF(ISBLANK('2G Summary'!T8),"",'2G Summary'!T8)</f>
        <v/>
      </c>
      <c r="U52" s="199" t="str">
        <f>IF(ISBLANK('2G Summary'!U8),"",'2G Summary'!U8)</f>
        <v/>
      </c>
      <c r="V52" s="199" t="str">
        <f>IF(ISBLANK('2G Summary'!V8),"",'2G Summary'!V8)</f>
        <v/>
      </c>
      <c r="W52" s="199" t="str">
        <f>IF(ISBLANK('2G Summary'!W8),"",'2G Summary'!W8)</f>
        <v/>
      </c>
    </row>
    <row r="53" spans="1:24" s="7" customFormat="1" x14ac:dyDescent="0.25">
      <c r="A53" s="7" t="s">
        <v>742</v>
      </c>
      <c r="B53" s="7" t="s">
        <v>829</v>
      </c>
      <c r="C53" s="7" t="s">
        <v>574</v>
      </c>
      <c r="D53" s="7" t="s">
        <v>744</v>
      </c>
      <c r="E53" s="7" t="s">
        <v>745</v>
      </c>
      <c r="F53" s="218">
        <f>IF(ISBLANK('2H Summary'!F4),"",'2H Summary'!F4)</f>
        <v>0</v>
      </c>
      <c r="G53" s="218">
        <f>IF(ISBLANK('2H Summary'!G4),"",'2H Summary'!G4)</f>
        <v>0</v>
      </c>
      <c r="H53" s="218">
        <f>IF(ISBLANK('2H Summary'!H4),"",'2H Summary'!H4)</f>
        <v>0</v>
      </c>
      <c r="I53" s="218">
        <f>IF(ISBLANK('2H Summary'!I4),"",'2H Summary'!I4)</f>
        <v>0</v>
      </c>
      <c r="J53" s="218">
        <f>IF(ISBLANK('2H Summary'!J4),"",'2H Summary'!J4)</f>
        <v>0</v>
      </c>
      <c r="K53" s="218">
        <f>IF(ISBLANK('2H Summary'!K4),"",'2H Summary'!K4)</f>
        <v>0</v>
      </c>
      <c r="L53" s="218">
        <f>IF(ISBLANK('2H Summary'!L4),"",'2H Summary'!L4)</f>
        <v>0</v>
      </c>
      <c r="M53" s="218">
        <f>IF(ISBLANK('2H Summary'!M4),"",'2H Summary'!M4)</f>
        <v>0</v>
      </c>
      <c r="N53" s="218">
        <f>IF(ISBLANK('2H Summary'!N4),"",'2H Summary'!N4)</f>
        <v>0</v>
      </c>
      <c r="O53" s="218">
        <f>IF(ISBLANK('2H Summary'!O4),"",'2H Summary'!O4)</f>
        <v>0</v>
      </c>
      <c r="P53" s="218">
        <f>IF(ISBLANK('2H Summary'!P4),"",'2H Summary'!P4)</f>
        <v>0</v>
      </c>
      <c r="Q53" s="218">
        <f>IF(ISBLANK('2H Summary'!Q4),"",'2H Summary'!Q4)</f>
        <v>0</v>
      </c>
      <c r="R53" s="218">
        <f>IF(ISBLANK('2H Summary'!R4),"",'2H Summary'!R4)</f>
        <v>0</v>
      </c>
      <c r="S53" s="218">
        <f>IF(ISBLANK('2H Summary'!S4),"",'2H Summary'!S4)</f>
        <v>0</v>
      </c>
      <c r="T53" s="218">
        <f>IF(ISBLANK('2H Summary'!T4),"",'2H Summary'!T4)</f>
        <v>0</v>
      </c>
      <c r="U53" s="218">
        <f>IF(ISBLANK('2H Summary'!U4),"",'2H Summary'!U4)</f>
        <v>0</v>
      </c>
      <c r="V53" s="218">
        <f>IF(ISBLANK('2H Summary'!V4),"",'2H Summary'!V4)</f>
        <v>0</v>
      </c>
      <c r="W53" s="218">
        <f>IF(ISBLANK('2H Summary'!W4),"",'2H Summary'!W4)</f>
        <v>0</v>
      </c>
    </row>
    <row r="54" spans="1:24" s="104" customFormat="1" x14ac:dyDescent="0.25">
      <c r="A54" s="104" t="s">
        <v>742</v>
      </c>
      <c r="B54" s="104" t="s">
        <v>830</v>
      </c>
      <c r="C54" s="104" t="s">
        <v>831</v>
      </c>
      <c r="D54" s="104" t="s">
        <v>744</v>
      </c>
      <c r="E54" s="104" t="s">
        <v>745</v>
      </c>
      <c r="F54" s="199" t="str">
        <f>IF(ISBLANK('2H Summary'!F5),"",'2H Summary'!F5)</f>
        <v/>
      </c>
      <c r="G54" s="199" t="str">
        <f>IF(ISBLANK('2H Summary'!G5),"",'2H Summary'!G5)</f>
        <v/>
      </c>
      <c r="H54" s="199" t="str">
        <f>IF(ISBLANK('2H Summary'!H5),"",'2H Summary'!H5)</f>
        <v/>
      </c>
      <c r="I54" s="199" t="str">
        <f>IF(ISBLANK('2H Summary'!I5),"",'2H Summary'!I5)</f>
        <v/>
      </c>
      <c r="J54" s="199" t="str">
        <f>IF(ISBLANK('2H Summary'!J5),"",'2H Summary'!J5)</f>
        <v/>
      </c>
      <c r="K54" s="199" t="str">
        <f>IF(ISBLANK('2H Summary'!K5),"",'2H Summary'!K5)</f>
        <v/>
      </c>
      <c r="L54" s="199" t="str">
        <f>IF(ISBLANK('2H Summary'!L5),"",'2H Summary'!L5)</f>
        <v/>
      </c>
      <c r="M54" s="199" t="str">
        <f>IF(ISBLANK('2H Summary'!M5),"",'2H Summary'!M5)</f>
        <v/>
      </c>
      <c r="N54" s="199" t="str">
        <f>IF(ISBLANK('2H Summary'!N5),"",'2H Summary'!N5)</f>
        <v/>
      </c>
      <c r="O54" s="199" t="str">
        <f>IF(ISBLANK('2H Summary'!O5),"",'2H Summary'!O5)</f>
        <v/>
      </c>
      <c r="P54" s="199" t="str">
        <f>IF(ISBLANK('2H Summary'!P5),"",'2H Summary'!P5)</f>
        <v/>
      </c>
      <c r="Q54" s="199" t="str">
        <f>IF(ISBLANK('2H Summary'!Q5),"",'2H Summary'!Q5)</f>
        <v/>
      </c>
      <c r="R54" s="199" t="str">
        <f>IF(ISBLANK('2H Summary'!R5),"",'2H Summary'!R5)</f>
        <v/>
      </c>
      <c r="S54" s="199" t="str">
        <f>IF(ISBLANK('2H Summary'!S5),"",'2H Summary'!S5)</f>
        <v/>
      </c>
      <c r="T54" s="199" t="str">
        <f>IF(ISBLANK('2H Summary'!T5),"",'2H Summary'!T5)</f>
        <v/>
      </c>
      <c r="U54" s="199" t="str">
        <f>IF(ISBLANK('2H Summary'!U5),"",'2H Summary'!U5)</f>
        <v/>
      </c>
      <c r="V54" s="199" t="str">
        <f>IF(ISBLANK('2H Summary'!V5),"",'2H Summary'!V5)</f>
        <v/>
      </c>
      <c r="W54" s="199" t="str">
        <f>IF(ISBLANK('2H Summary'!W5),"",'2H Summary'!W5)</f>
        <v/>
      </c>
    </row>
    <row r="55" spans="1:24" s="104" customFormat="1" x14ac:dyDescent="0.25">
      <c r="A55" s="104" t="s">
        <v>742</v>
      </c>
      <c r="B55" s="104" t="s">
        <v>832</v>
      </c>
      <c r="C55" s="104" t="s">
        <v>833</v>
      </c>
      <c r="D55" s="104" t="s">
        <v>744</v>
      </c>
      <c r="E55" s="104" t="s">
        <v>745</v>
      </c>
      <c r="F55" s="199" t="str">
        <f>IF(ISBLANK('2H Summary'!F6),"",'2H Summary'!F6)</f>
        <v/>
      </c>
      <c r="G55" s="199" t="str">
        <f>IF(ISBLANK('2H Summary'!G6),"",'2H Summary'!G6)</f>
        <v/>
      </c>
      <c r="H55" s="199" t="str">
        <f>IF(ISBLANK('2H Summary'!H6),"",'2H Summary'!H6)</f>
        <v/>
      </c>
      <c r="I55" s="199" t="str">
        <f>IF(ISBLANK('2H Summary'!I6),"",'2H Summary'!I6)</f>
        <v/>
      </c>
      <c r="J55" s="199" t="str">
        <f>IF(ISBLANK('2H Summary'!J6),"",'2H Summary'!J6)</f>
        <v/>
      </c>
      <c r="K55" s="199" t="str">
        <f>IF(ISBLANK('2H Summary'!K6),"",'2H Summary'!K6)</f>
        <v/>
      </c>
      <c r="L55" s="199" t="str">
        <f>IF(ISBLANK('2H Summary'!L6),"",'2H Summary'!L6)</f>
        <v/>
      </c>
      <c r="M55" s="199" t="str">
        <f>IF(ISBLANK('2H Summary'!M6),"",'2H Summary'!M6)</f>
        <v/>
      </c>
      <c r="N55" s="199" t="str">
        <f>IF(ISBLANK('2H Summary'!N6),"",'2H Summary'!N6)</f>
        <v/>
      </c>
      <c r="O55" s="199" t="str">
        <f>IF(ISBLANK('2H Summary'!O6),"",'2H Summary'!O6)</f>
        <v/>
      </c>
      <c r="P55" s="199" t="str">
        <f>IF(ISBLANK('2H Summary'!P6),"",'2H Summary'!P6)</f>
        <v/>
      </c>
      <c r="Q55" s="199" t="str">
        <f>IF(ISBLANK('2H Summary'!Q6),"",'2H Summary'!Q6)</f>
        <v/>
      </c>
      <c r="R55" s="199" t="str">
        <f>IF(ISBLANK('2H Summary'!R6),"",'2H Summary'!R6)</f>
        <v/>
      </c>
      <c r="S55" s="199" t="str">
        <f>IF(ISBLANK('2H Summary'!S6),"",'2H Summary'!S6)</f>
        <v/>
      </c>
      <c r="T55" s="199" t="str">
        <f>IF(ISBLANK('2H Summary'!T6),"",'2H Summary'!T6)</f>
        <v/>
      </c>
      <c r="U55" s="199" t="str">
        <f>IF(ISBLANK('2H Summary'!U6),"",'2H Summary'!U6)</f>
        <v/>
      </c>
      <c r="V55" s="199" t="str">
        <f>IF(ISBLANK('2H Summary'!V6),"",'2H Summary'!V6)</f>
        <v/>
      </c>
      <c r="W55" s="199" t="str">
        <f>IF(ISBLANK('2H Summary'!W6),"",'2H Summary'!W6)</f>
        <v/>
      </c>
    </row>
    <row r="56" spans="1:24" s="104" customFormat="1" x14ac:dyDescent="0.25">
      <c r="A56" s="104" t="s">
        <v>742</v>
      </c>
      <c r="B56" s="104" t="s">
        <v>834</v>
      </c>
      <c r="C56" s="104" t="s">
        <v>756</v>
      </c>
      <c r="D56" s="104" t="s">
        <v>744</v>
      </c>
      <c r="E56" s="104" t="s">
        <v>745</v>
      </c>
      <c r="F56" s="199" t="str">
        <f>IF(ISBLANK('2H Summary'!F7),"",'2H Summary'!F7)</f>
        <v/>
      </c>
      <c r="G56" s="199" t="str">
        <f>IF(ISBLANK('2H Summary'!G7),"",'2H Summary'!G7)</f>
        <v/>
      </c>
      <c r="H56" s="199" t="str">
        <f>IF(ISBLANK('2H Summary'!H7),"",'2H Summary'!H7)</f>
        <v/>
      </c>
      <c r="I56" s="199" t="str">
        <f>IF(ISBLANK('2H Summary'!I7),"",'2H Summary'!I7)</f>
        <v/>
      </c>
      <c r="J56" s="199" t="str">
        <f>IF(ISBLANK('2H Summary'!J7),"",'2H Summary'!J7)</f>
        <v/>
      </c>
      <c r="K56" s="199" t="str">
        <f>IF(ISBLANK('2H Summary'!K7),"",'2H Summary'!K7)</f>
        <v/>
      </c>
      <c r="L56" s="199" t="str">
        <f>IF(ISBLANK('2H Summary'!L7),"",'2H Summary'!L7)</f>
        <v/>
      </c>
      <c r="M56" s="199" t="str">
        <f>IF(ISBLANK('2H Summary'!M7),"",'2H Summary'!M7)</f>
        <v/>
      </c>
      <c r="N56" s="199" t="str">
        <f>IF(ISBLANK('2H Summary'!N7),"",'2H Summary'!N7)</f>
        <v/>
      </c>
      <c r="O56" s="199" t="str">
        <f>IF(ISBLANK('2H Summary'!O7),"",'2H Summary'!O7)</f>
        <v/>
      </c>
      <c r="P56" s="199" t="str">
        <f>IF(ISBLANK('2H Summary'!P7),"",'2H Summary'!P7)</f>
        <v/>
      </c>
      <c r="Q56" s="199" t="str">
        <f>IF(ISBLANK('2H Summary'!Q7),"",'2H Summary'!Q7)</f>
        <v/>
      </c>
      <c r="R56" s="199" t="str">
        <f>IF(ISBLANK('2H Summary'!R7),"",'2H Summary'!R7)</f>
        <v/>
      </c>
      <c r="S56" s="199" t="str">
        <f>IF(ISBLANK('2H Summary'!S7),"",'2H Summary'!S7)</f>
        <v/>
      </c>
      <c r="T56" s="199" t="str">
        <f>IF(ISBLANK('2H Summary'!T7),"",'2H Summary'!T7)</f>
        <v/>
      </c>
      <c r="U56" s="199" t="str">
        <f>IF(ISBLANK('2H Summary'!U7),"",'2H Summary'!U7)</f>
        <v/>
      </c>
      <c r="V56" s="199" t="str">
        <f>IF(ISBLANK('2H Summary'!V7),"",'2H Summary'!V7)</f>
        <v/>
      </c>
      <c r="W56" s="199" t="str">
        <f>IF(ISBLANK('2H Summary'!W7),"",'2H Summary'!W7)</f>
        <v/>
      </c>
    </row>
    <row r="58" spans="1:24" s="22" customFormat="1" x14ac:dyDescent="0.25">
      <c r="A58" s="102" t="s">
        <v>835</v>
      </c>
    </row>
    <row r="59" spans="1:24" s="103" customFormat="1" x14ac:dyDescent="0.25">
      <c r="A59" s="7" t="s">
        <v>742</v>
      </c>
      <c r="B59" s="105">
        <v>2</v>
      </c>
      <c r="C59" s="103" t="s">
        <v>743</v>
      </c>
      <c r="D59" s="7" t="s">
        <v>836</v>
      </c>
      <c r="E59" s="7" t="s">
        <v>745</v>
      </c>
      <c r="F59" s="116">
        <f>+F60+F66+F77+F85</f>
        <v>31374.154828813334</v>
      </c>
      <c r="G59" s="116">
        <f t="shared" ref="G59:U59" si="2">+G60+G66+G77+G85</f>
        <v>31396.705954533332</v>
      </c>
      <c r="H59" s="116">
        <f t="shared" si="2"/>
        <v>33597.429480721999</v>
      </c>
      <c r="I59" s="116">
        <f t="shared" si="2"/>
        <v>33660.717333450666</v>
      </c>
      <c r="J59" s="116">
        <f t="shared" si="2"/>
        <v>33557.751097104003</v>
      </c>
      <c r="K59" s="116">
        <f t="shared" si="2"/>
        <v>35245.206985982004</v>
      </c>
      <c r="L59" s="116">
        <f t="shared" si="2"/>
        <v>35954.253066851743</v>
      </c>
      <c r="M59" s="116">
        <f t="shared" si="2"/>
        <v>34796.667290685204</v>
      </c>
      <c r="N59" s="116">
        <f t="shared" si="2"/>
        <v>33848.282451218671</v>
      </c>
      <c r="O59" s="116">
        <f t="shared" si="2"/>
        <v>32663.964283755733</v>
      </c>
      <c r="P59" s="116">
        <f t="shared" si="2"/>
        <v>33835.716350054267</v>
      </c>
      <c r="Q59" s="116">
        <f t="shared" si="2"/>
        <v>35139.002916666672</v>
      </c>
      <c r="R59" s="116">
        <f t="shared" si="2"/>
        <v>34030.320089613801</v>
      </c>
      <c r="S59" s="116">
        <f t="shared" si="2"/>
        <v>35370.769991865949</v>
      </c>
      <c r="T59" s="116">
        <f t="shared" si="2"/>
        <v>36088.07073637563</v>
      </c>
      <c r="U59" s="116">
        <f t="shared" si="2"/>
        <v>35777.588380137087</v>
      </c>
      <c r="V59" s="116">
        <f t="shared" ref="V59:W59" si="3">+V60+V66+V77+V85</f>
        <v>35941.713312793901</v>
      </c>
      <c r="W59" s="116">
        <f t="shared" si="3"/>
        <v>36298.703933281016</v>
      </c>
      <c r="X59" s="104"/>
    </row>
    <row r="60" spans="1:24" s="103" customFormat="1" x14ac:dyDescent="0.25">
      <c r="A60" s="7" t="s">
        <v>742</v>
      </c>
      <c r="B60" s="7" t="s">
        <v>746</v>
      </c>
      <c r="C60" s="7" t="s">
        <v>508</v>
      </c>
      <c r="D60" s="7" t="s">
        <v>836</v>
      </c>
      <c r="E60" s="7" t="s">
        <v>745</v>
      </c>
      <c r="F60" s="218">
        <f>+'2A Summary'!F4</f>
        <v>4386.3393304800002</v>
      </c>
      <c r="G60" s="218">
        <f>+'2A Summary'!G4</f>
        <v>4303.6742912</v>
      </c>
      <c r="H60" s="218">
        <f>+'2A Summary'!H4</f>
        <v>4824.2529307219993</v>
      </c>
      <c r="I60" s="218">
        <f>+'2A Summary'!I4</f>
        <v>5095.6491567840003</v>
      </c>
      <c r="J60" s="218">
        <f>+'2A Summary'!J4</f>
        <v>4993.2960821039997</v>
      </c>
      <c r="K60" s="218">
        <f>+'2A Summary'!K4</f>
        <v>5736.1220459819997</v>
      </c>
      <c r="L60" s="218">
        <f>+'2A Summary'!L4</f>
        <v>6131.7649185184</v>
      </c>
      <c r="M60" s="218">
        <f>+'2A Summary'!M4</f>
        <v>6063.9731606852001</v>
      </c>
      <c r="N60" s="218">
        <f>+'2A Summary'!N4</f>
        <v>6320.6815495520004</v>
      </c>
      <c r="O60" s="218">
        <f>+'2A Summary'!O4</f>
        <v>6590.7750204223994</v>
      </c>
      <c r="P60" s="218">
        <f>+'2A Summary'!P4</f>
        <v>5916.6986057876002</v>
      </c>
      <c r="Q60" s="218">
        <f>+'2A Summary'!Q4</f>
        <v>5719.84292</v>
      </c>
      <c r="R60" s="218">
        <f>+'2A Summary'!R4</f>
        <v>5457.2451988416005</v>
      </c>
      <c r="S60" s="218">
        <f>+'2A Summary'!S4</f>
        <v>5688.3723988416004</v>
      </c>
      <c r="T60" s="218">
        <f>+'2A Summary'!T4</f>
        <v>5770.0734488416001</v>
      </c>
      <c r="U60" s="218">
        <f>+'2A Summary'!U4</f>
        <v>6178.5199588415999</v>
      </c>
      <c r="V60" s="218">
        <f>+'2A Summary'!V4</f>
        <v>6396.8310951691174</v>
      </c>
      <c r="W60" s="218">
        <f>+'2A Summary'!W4</f>
        <v>6462.0556479787492</v>
      </c>
      <c r="X60" s="7"/>
    </row>
    <row r="61" spans="1:24" s="104" customFormat="1" x14ac:dyDescent="0.25">
      <c r="A61" s="104" t="s">
        <v>742</v>
      </c>
      <c r="B61" s="104" t="s">
        <v>747</v>
      </c>
      <c r="C61" s="104" t="s">
        <v>748</v>
      </c>
      <c r="D61" s="104" t="s">
        <v>836</v>
      </c>
      <c r="E61" s="104" t="s">
        <v>745</v>
      </c>
      <c r="F61" s="199">
        <f>+'2A Summary'!F5</f>
        <v>3870.5888000000004</v>
      </c>
      <c r="G61" s="199">
        <f>+'2A Summary'!G5</f>
        <v>3783</v>
      </c>
      <c r="H61" s="199">
        <f>+'2A Summary'!H5</f>
        <v>4258.3527999999997</v>
      </c>
      <c r="I61" s="199">
        <f>+'2A Summary'!I5</f>
        <v>4514.5828000000001</v>
      </c>
      <c r="J61" s="199">
        <f>+'2A Summary'!J5</f>
        <v>4390.0739999999996</v>
      </c>
      <c r="K61" s="199">
        <f>+'2A Summary'!K5</f>
        <v>5061.5136000000002</v>
      </c>
      <c r="L61" s="199">
        <f>+'2A Summary'!L5</f>
        <v>5399.81</v>
      </c>
      <c r="M61" s="199">
        <f>+'2A Summary'!M5</f>
        <v>5407.6724000000004</v>
      </c>
      <c r="N61" s="199">
        <f>+'2A Summary'!N5</f>
        <v>4988.5680000000002</v>
      </c>
      <c r="O61" s="199">
        <f>+'2A Summary'!O5</f>
        <v>5432.1279999999997</v>
      </c>
      <c r="P61" s="199">
        <f>+'2A Summary'!P5</f>
        <v>4818.9544000000005</v>
      </c>
      <c r="Q61" s="199">
        <f>+'2A Summary'!Q5</f>
        <v>4432.8284000000003</v>
      </c>
      <c r="R61" s="199">
        <f>+'2A Summary'!R5</f>
        <v>4414.4984000000004</v>
      </c>
      <c r="S61" s="199">
        <f>+'2A Summary'!S5</f>
        <v>4659.2156000000004</v>
      </c>
      <c r="T61" s="199">
        <f>+'2A Summary'!T5</f>
        <v>4678.1851999999999</v>
      </c>
      <c r="U61" s="199">
        <f>+'2A Summary'!U5</f>
        <v>5204.8256000000001</v>
      </c>
      <c r="V61" s="199">
        <f>+'2A Summary'!V5</f>
        <v>5255.2563310261185</v>
      </c>
      <c r="W61" s="199">
        <f>+'2A Summary'!W5</f>
        <v>5295.8739638517654</v>
      </c>
    </row>
    <row r="62" spans="1:24" s="104" customFormat="1" x14ac:dyDescent="0.25">
      <c r="A62" s="104" t="s">
        <v>742</v>
      </c>
      <c r="B62" s="104" t="s">
        <v>749</v>
      </c>
      <c r="C62" s="104" t="s">
        <v>750</v>
      </c>
      <c r="D62" s="104" t="s">
        <v>836</v>
      </c>
      <c r="E62" s="104" t="s">
        <v>745</v>
      </c>
      <c r="F62" s="199">
        <f>+'2A Summary'!F6</f>
        <v>441.39115350000003</v>
      </c>
      <c r="G62" s="199">
        <f>+'2A Summary'!G6</f>
        <v>436.28840000000002</v>
      </c>
      <c r="H62" s="199">
        <f>+'2A Summary'!H6</f>
        <v>477.55462</v>
      </c>
      <c r="I62" s="199">
        <f>+'2A Summary'!I6</f>
        <v>489.73651999999998</v>
      </c>
      <c r="J62" s="199">
        <f>+'2A Summary'!J6</f>
        <v>507.32977999999997</v>
      </c>
      <c r="K62" s="199">
        <f>+'2A Summary'!K6</f>
        <v>572.24579999999992</v>
      </c>
      <c r="L62" s="199">
        <f>+'2A Summary'!L6</f>
        <v>630.18416000000002</v>
      </c>
      <c r="M62" s="199">
        <f>+'2A Summary'!M6</f>
        <v>551.31326000000001</v>
      </c>
      <c r="N62" s="199">
        <f>+'2A Summary'!N6</f>
        <v>1214.74</v>
      </c>
      <c r="O62" s="199">
        <f>+'2A Summary'!O6</f>
        <v>1048.8800000000001</v>
      </c>
      <c r="P62" s="199">
        <f>+'2A Summary'!P6</f>
        <v>993.86</v>
      </c>
      <c r="Q62" s="199">
        <f>+'2A Summary'!Q6</f>
        <v>1180.96</v>
      </c>
      <c r="R62" s="199">
        <f>+'2A Summary'!R6</f>
        <v>928.84</v>
      </c>
      <c r="S62" s="199">
        <f>+'2A Summary'!S6</f>
        <v>915.25</v>
      </c>
      <c r="T62" s="199">
        <f>+'2A Summary'!T6</f>
        <v>977.98145</v>
      </c>
      <c r="U62" s="199">
        <f>+'2A Summary'!U6</f>
        <v>859.78755999999998</v>
      </c>
      <c r="V62" s="199">
        <f>+'2A Summary'!V6</f>
        <v>1022.3607095203586</v>
      </c>
      <c r="W62" s="199">
        <f>+'2A Summary'!W6</f>
        <v>1045.2890791883435</v>
      </c>
    </row>
    <row r="63" spans="1:24" s="104" customFormat="1" x14ac:dyDescent="0.25">
      <c r="A63" s="104" t="s">
        <v>742</v>
      </c>
      <c r="B63" s="104" t="s">
        <v>751</v>
      </c>
      <c r="C63" s="104" t="s">
        <v>752</v>
      </c>
      <c r="D63" s="104" t="s">
        <v>836</v>
      </c>
      <c r="E63" s="104" t="s">
        <v>745</v>
      </c>
      <c r="F63" s="199">
        <f>+'2A Summary'!F7</f>
        <v>74.359376980000008</v>
      </c>
      <c r="G63" s="199">
        <f>+'2A Summary'!G7</f>
        <v>84.385891200000003</v>
      </c>
      <c r="H63" s="199">
        <f>+'2A Summary'!H7</f>
        <v>88.345510721999986</v>
      </c>
      <c r="I63" s="199">
        <f>+'2A Summary'!I7</f>
        <v>91.329836783999994</v>
      </c>
      <c r="J63" s="199">
        <f>+'2A Summary'!J7</f>
        <v>95.892302104000024</v>
      </c>
      <c r="K63" s="199">
        <f>+'2A Summary'!K7</f>
        <v>102.36264598200002</v>
      </c>
      <c r="L63" s="199">
        <f>+'2A Summary'!L7</f>
        <v>101.7707585184</v>
      </c>
      <c r="M63" s="199">
        <f>+'2A Summary'!M7</f>
        <v>104.9875006852</v>
      </c>
      <c r="N63" s="199">
        <f>+'2A Summary'!N7</f>
        <v>117.37354955200001</v>
      </c>
      <c r="O63" s="199">
        <f>+'2A Summary'!O7</f>
        <v>109.76702042240001</v>
      </c>
      <c r="P63" s="199">
        <f>+'2A Summary'!P7</f>
        <v>103.88420578760002</v>
      </c>
      <c r="Q63" s="199">
        <f>+'2A Summary'!Q7</f>
        <v>106.05452000000001</v>
      </c>
      <c r="R63" s="199">
        <f>+'2A Summary'!R7</f>
        <v>113.90679884160002</v>
      </c>
      <c r="S63" s="199">
        <f>+'2A Summary'!S7</f>
        <v>113.90679884160002</v>
      </c>
      <c r="T63" s="199">
        <f>+'2A Summary'!T7</f>
        <v>113.90679884160002</v>
      </c>
      <c r="U63" s="199">
        <f>+'2A Summary'!U7</f>
        <v>113.90679884160002</v>
      </c>
      <c r="V63" s="199">
        <f>+'2A Summary'!V7</f>
        <v>119.21405462264002</v>
      </c>
      <c r="W63" s="199">
        <f>+'2A Summary'!W7</f>
        <v>120.89260493864002</v>
      </c>
    </row>
    <row r="64" spans="1:24" s="104" customFormat="1" x14ac:dyDescent="0.25">
      <c r="A64" s="104" t="s">
        <v>742</v>
      </c>
      <c r="B64" s="104" t="s">
        <v>753</v>
      </c>
      <c r="C64" s="104" t="s">
        <v>754</v>
      </c>
      <c r="D64" s="104" t="s">
        <v>836</v>
      </c>
      <c r="E64" s="104" t="s">
        <v>745</v>
      </c>
      <c r="F64" s="199">
        <f>+'2A Summary'!F8</f>
        <v>0</v>
      </c>
      <c r="G64" s="199">
        <f>+'2A Summary'!G8</f>
        <v>0</v>
      </c>
      <c r="H64" s="199">
        <f>+'2A Summary'!H8</f>
        <v>0</v>
      </c>
      <c r="I64" s="199">
        <f>+'2A Summary'!I8</f>
        <v>0</v>
      </c>
      <c r="J64" s="199">
        <f>+'2A Summary'!J8</f>
        <v>0</v>
      </c>
      <c r="K64" s="199">
        <f>+'2A Summary'!K8</f>
        <v>0</v>
      </c>
      <c r="L64" s="199">
        <f>+'2A Summary'!L8</f>
        <v>0</v>
      </c>
      <c r="M64" s="199">
        <f>+'2A Summary'!M8</f>
        <v>0</v>
      </c>
      <c r="N64" s="199">
        <f>+'2A Summary'!N8</f>
        <v>0</v>
      </c>
      <c r="O64" s="199">
        <f>+'2A Summary'!O8</f>
        <v>0</v>
      </c>
      <c r="P64" s="199">
        <f>+'2A Summary'!P8</f>
        <v>0</v>
      </c>
      <c r="Q64" s="199">
        <f>+'2A Summary'!Q8</f>
        <v>0</v>
      </c>
      <c r="R64" s="199">
        <f>+'2A Summary'!R8</f>
        <v>0</v>
      </c>
      <c r="S64" s="199">
        <f>+'2A Summary'!S8</f>
        <v>0</v>
      </c>
      <c r="T64" s="199">
        <f>+'2A Summary'!T8</f>
        <v>0</v>
      </c>
      <c r="U64" s="199">
        <f>+'2A Summary'!U8</f>
        <v>0</v>
      </c>
      <c r="V64" s="199">
        <f>+'2A Summary'!V8</f>
        <v>0</v>
      </c>
      <c r="W64" s="199">
        <f>+'2A Summary'!W8</f>
        <v>0</v>
      </c>
    </row>
    <row r="65" spans="1:23" s="104" customFormat="1" x14ac:dyDescent="0.25">
      <c r="A65" s="104" t="s">
        <v>742</v>
      </c>
      <c r="B65" s="104" t="s">
        <v>755</v>
      </c>
      <c r="C65" s="104" t="s">
        <v>756</v>
      </c>
      <c r="D65" s="104" t="s">
        <v>836</v>
      </c>
      <c r="E65" s="104" t="s">
        <v>745</v>
      </c>
      <c r="F65" s="199">
        <f>+'2A Summary'!F9</f>
        <v>0</v>
      </c>
      <c r="G65" s="199">
        <f>+'2A Summary'!G9</f>
        <v>0</v>
      </c>
      <c r="H65" s="199">
        <f>+'2A Summary'!H9</f>
        <v>0</v>
      </c>
      <c r="I65" s="199">
        <f>+'2A Summary'!I9</f>
        <v>0</v>
      </c>
      <c r="J65" s="199">
        <f>+'2A Summary'!J9</f>
        <v>0</v>
      </c>
      <c r="K65" s="199">
        <f>+'2A Summary'!K9</f>
        <v>0</v>
      </c>
      <c r="L65" s="199">
        <f>+'2A Summary'!L9</f>
        <v>0</v>
      </c>
      <c r="M65" s="199">
        <f>+'2A Summary'!M9</f>
        <v>0</v>
      </c>
      <c r="N65" s="199">
        <f>+'2A Summary'!N9</f>
        <v>0</v>
      </c>
      <c r="O65" s="199">
        <f>+'2A Summary'!O9</f>
        <v>0</v>
      </c>
      <c r="P65" s="199">
        <f>+'2A Summary'!P9</f>
        <v>0</v>
      </c>
      <c r="Q65" s="199">
        <f>+'2A Summary'!Q9</f>
        <v>0</v>
      </c>
      <c r="R65" s="199">
        <f>+'2A Summary'!R9</f>
        <v>0</v>
      </c>
      <c r="S65" s="199">
        <f>+'2A Summary'!S9</f>
        <v>0</v>
      </c>
      <c r="T65" s="199">
        <f>+'2A Summary'!T9</f>
        <v>0</v>
      </c>
      <c r="U65" s="199">
        <f>+'2A Summary'!U9</f>
        <v>0</v>
      </c>
      <c r="V65" s="199">
        <f>+'2A Summary'!V9</f>
        <v>0</v>
      </c>
      <c r="W65" s="199">
        <f>+'2A Summary'!W9</f>
        <v>0</v>
      </c>
    </row>
    <row r="66" spans="1:23" s="7" customFormat="1" x14ac:dyDescent="0.25">
      <c r="A66" s="7" t="s">
        <v>742</v>
      </c>
      <c r="B66" s="7" t="s">
        <v>757</v>
      </c>
      <c r="C66" s="7" t="s">
        <v>520</v>
      </c>
      <c r="D66" s="7" t="s">
        <v>836</v>
      </c>
      <c r="E66" s="7" t="s">
        <v>745</v>
      </c>
      <c r="F66" s="218">
        <f>+'2B Summary'!F18</f>
        <v>1063.4499499999999</v>
      </c>
      <c r="G66" s="218">
        <f>+'2B Summary'!G18</f>
        <v>1065.3121600000002</v>
      </c>
      <c r="H66" s="218">
        <f>+'2B Summary'!H18</f>
        <v>1102.0036299999999</v>
      </c>
      <c r="I66" s="218">
        <f>+'2B Summary'!I18</f>
        <v>1123.5067300000001</v>
      </c>
      <c r="J66" s="218">
        <f>+'2B Summary'!J18</f>
        <v>1140.1909000000001</v>
      </c>
      <c r="K66" s="218">
        <f>+'2B Summary'!K18</f>
        <v>818.00018</v>
      </c>
      <c r="L66" s="218">
        <f>+'2B Summary'!L18</f>
        <v>513.2115</v>
      </c>
      <c r="M66" s="218">
        <f>+'2B Summary'!M18</f>
        <v>581.38782000000003</v>
      </c>
      <c r="N66" s="218">
        <f>+'2B Summary'!N18</f>
        <v>604.34214999999995</v>
      </c>
      <c r="O66" s="218">
        <f>+'2B Summary'!O18</f>
        <v>483.76129000000003</v>
      </c>
      <c r="P66" s="218">
        <f>+'2B Summary'!P18</f>
        <v>622.89262760000008</v>
      </c>
      <c r="Q66" s="218">
        <f>+'2B Summary'!Q18</f>
        <v>671.58290000000011</v>
      </c>
      <c r="R66" s="218">
        <f>+'2B Summary'!R18</f>
        <v>516.53808000000004</v>
      </c>
      <c r="S66" s="218">
        <f>+'2B Summary'!S18</f>
        <v>474.96662760000004</v>
      </c>
      <c r="T66" s="218">
        <f>+'2B Summary'!T18</f>
        <v>489.42202738875653</v>
      </c>
      <c r="U66" s="218">
        <f>+'2B Summary'!U18</f>
        <v>568.99747763505832</v>
      </c>
      <c r="V66" s="218">
        <f>+'2B Summary'!V18</f>
        <v>599.51652860058846</v>
      </c>
      <c r="W66" s="218">
        <f>+'2B Summary'!W18</f>
        <v>523.86041380777033</v>
      </c>
    </row>
    <row r="67" spans="1:23" s="104" customFormat="1" x14ac:dyDescent="0.25">
      <c r="A67" s="104" t="s">
        <v>742</v>
      </c>
      <c r="B67" s="104" t="s">
        <v>758</v>
      </c>
      <c r="C67" s="104" t="s">
        <v>759</v>
      </c>
      <c r="D67" s="104" t="s">
        <v>836</v>
      </c>
      <c r="E67" s="104" t="s">
        <v>745</v>
      </c>
      <c r="F67" s="199">
        <f>+'2B Summary'!F19</f>
        <v>485.27800000000002</v>
      </c>
      <c r="G67" s="199">
        <f>+'2B Summary'!G19</f>
        <v>487.07100000000003</v>
      </c>
      <c r="H67" s="199">
        <f>+'2B Summary'!H19</f>
        <v>462.49</v>
      </c>
      <c r="I67" s="199">
        <f>+'2B Summary'!I19</f>
        <v>480.553</v>
      </c>
      <c r="J67" s="199">
        <f>+'2B Summary'!J19</f>
        <v>505.37099999999998</v>
      </c>
      <c r="K67" s="199">
        <f>+'2B Summary'!K19</f>
        <v>194.768</v>
      </c>
      <c r="L67" s="199">
        <f>+'2B Summary'!L19</f>
        <v>172.07499999999999</v>
      </c>
      <c r="M67" s="199">
        <f>+'2B Summary'!M19</f>
        <v>234.33</v>
      </c>
      <c r="N67" s="199">
        <f>+'2B Summary'!N19</f>
        <v>207.12899999999999</v>
      </c>
      <c r="O67" s="199">
        <f>+'2B Summary'!O19</f>
        <v>185.965</v>
      </c>
      <c r="P67" s="199">
        <f>+'2B Summary'!P19</f>
        <v>324.94600000000003</v>
      </c>
      <c r="Q67" s="199">
        <f>+'2B Summary'!Q19</f>
        <v>373.57600000000002</v>
      </c>
      <c r="R67" s="199">
        <f>+'2B Summary'!R19</f>
        <v>217.79499999999999</v>
      </c>
      <c r="S67" s="199">
        <f>+'2B Summary'!S19</f>
        <v>177.02</v>
      </c>
      <c r="T67" s="199">
        <f>+'2B Summary'!T19</f>
        <v>185.98099999999999</v>
      </c>
      <c r="U67" s="199">
        <f>+'2B Summary'!U19</f>
        <v>272.96300000000002</v>
      </c>
      <c r="V67" s="199">
        <f>+'2B Summary'!V19</f>
        <v>310.45693749999998</v>
      </c>
      <c r="W67" s="199">
        <f>+'2B Summary'!W19</f>
        <v>241.41499999999999</v>
      </c>
    </row>
    <row r="68" spans="1:23" s="104" customFormat="1" x14ac:dyDescent="0.25">
      <c r="A68" s="104" t="s">
        <v>742</v>
      </c>
      <c r="B68" s="104" t="s">
        <v>760</v>
      </c>
      <c r="C68" s="104" t="s">
        <v>761</v>
      </c>
      <c r="D68" s="104" t="s">
        <v>836</v>
      </c>
      <c r="E68" s="104" t="s">
        <v>745</v>
      </c>
      <c r="F68" s="199">
        <f>+'2B Summary'!F20</f>
        <v>0</v>
      </c>
      <c r="G68" s="199">
        <f>+'2B Summary'!G20</f>
        <v>0</v>
      </c>
      <c r="H68" s="199">
        <f>+'2B Summary'!H20</f>
        <v>0</v>
      </c>
      <c r="I68" s="199">
        <f>+'2B Summary'!I20</f>
        <v>0</v>
      </c>
      <c r="J68" s="199">
        <f>+'2B Summary'!J20</f>
        <v>0</v>
      </c>
      <c r="K68" s="199">
        <f>+'2B Summary'!K20</f>
        <v>0</v>
      </c>
      <c r="L68" s="199">
        <f>+'2B Summary'!L20</f>
        <v>0</v>
      </c>
      <c r="M68" s="199">
        <f>+'2B Summary'!M20</f>
        <v>0</v>
      </c>
      <c r="N68" s="199">
        <f>+'2B Summary'!N20</f>
        <v>0</v>
      </c>
      <c r="O68" s="199">
        <f>+'2B Summary'!O20</f>
        <v>0</v>
      </c>
      <c r="P68" s="199">
        <f>+'2B Summary'!P20</f>
        <v>0</v>
      </c>
      <c r="Q68" s="199">
        <f>+'2B Summary'!Q20</f>
        <v>0</v>
      </c>
      <c r="R68" s="199">
        <f>+'2B Summary'!R20</f>
        <v>0</v>
      </c>
      <c r="S68" s="199">
        <f>+'2B Summary'!S20</f>
        <v>0</v>
      </c>
      <c r="T68" s="199">
        <f>+'2B Summary'!T20</f>
        <v>0</v>
      </c>
      <c r="U68" s="199">
        <f>+'2B Summary'!U20</f>
        <v>0</v>
      </c>
      <c r="V68" s="199">
        <f>+'2B Summary'!V20</f>
        <v>0</v>
      </c>
      <c r="W68" s="199">
        <f>+'2B Summary'!W20</f>
        <v>0</v>
      </c>
    </row>
    <row r="69" spans="1:23" s="104" customFormat="1" x14ac:dyDescent="0.25">
      <c r="A69" s="104" t="s">
        <v>742</v>
      </c>
      <c r="B69" s="104" t="s">
        <v>762</v>
      </c>
      <c r="C69" s="104" t="s">
        <v>763</v>
      </c>
      <c r="D69" s="104" t="s">
        <v>836</v>
      </c>
      <c r="E69" s="104" t="s">
        <v>745</v>
      </c>
      <c r="F69" s="199">
        <f>+'2B Summary'!F21</f>
        <v>0</v>
      </c>
      <c r="G69" s="199">
        <f>+'2B Summary'!G21</f>
        <v>0</v>
      </c>
      <c r="H69" s="199">
        <f>+'2B Summary'!H21</f>
        <v>0</v>
      </c>
      <c r="I69" s="199">
        <f>+'2B Summary'!I21</f>
        <v>0</v>
      </c>
      <c r="J69" s="199">
        <f>+'2B Summary'!J21</f>
        <v>0</v>
      </c>
      <c r="K69" s="199">
        <f>+'2B Summary'!K21</f>
        <v>0</v>
      </c>
      <c r="L69" s="199">
        <f>+'2B Summary'!L21</f>
        <v>0</v>
      </c>
      <c r="M69" s="199">
        <f>+'2B Summary'!M21</f>
        <v>0</v>
      </c>
      <c r="N69" s="199">
        <f>+'2B Summary'!N21</f>
        <v>0</v>
      </c>
      <c r="O69" s="199">
        <f>+'2B Summary'!O21</f>
        <v>0</v>
      </c>
      <c r="P69" s="199">
        <f>+'2B Summary'!P21</f>
        <v>0</v>
      </c>
      <c r="Q69" s="199">
        <f>+'2B Summary'!Q21</f>
        <v>0</v>
      </c>
      <c r="R69" s="199">
        <f>+'2B Summary'!R21</f>
        <v>0</v>
      </c>
      <c r="S69" s="199">
        <f>+'2B Summary'!S21</f>
        <v>0</v>
      </c>
      <c r="T69" s="199">
        <f>+'2B Summary'!T21</f>
        <v>0</v>
      </c>
      <c r="U69" s="199">
        <f>+'2B Summary'!U21</f>
        <v>0</v>
      </c>
      <c r="V69" s="199">
        <f>+'2B Summary'!V21</f>
        <v>0</v>
      </c>
      <c r="W69" s="199">
        <f>+'2B Summary'!W21</f>
        <v>0</v>
      </c>
    </row>
    <row r="70" spans="1:23" s="104" customFormat="1" x14ac:dyDescent="0.25">
      <c r="A70" s="104" t="s">
        <v>742</v>
      </c>
      <c r="B70" s="104" t="s">
        <v>764</v>
      </c>
      <c r="C70" s="104" t="s">
        <v>765</v>
      </c>
      <c r="D70" s="104" t="s">
        <v>836</v>
      </c>
      <c r="E70" s="104" t="s">
        <v>745</v>
      </c>
      <c r="F70" s="199">
        <f>+'2B Summary'!F22</f>
        <v>0</v>
      </c>
      <c r="G70" s="199">
        <f>+'2B Summary'!G22</f>
        <v>0</v>
      </c>
      <c r="H70" s="199">
        <f>+'2B Summary'!H22</f>
        <v>0</v>
      </c>
      <c r="I70" s="199">
        <f>+'2B Summary'!I22</f>
        <v>0</v>
      </c>
      <c r="J70" s="199">
        <f>+'2B Summary'!J22</f>
        <v>0</v>
      </c>
      <c r="K70" s="199">
        <f>+'2B Summary'!K22</f>
        <v>0</v>
      </c>
      <c r="L70" s="199">
        <f>+'2B Summary'!L22</f>
        <v>0</v>
      </c>
      <c r="M70" s="199">
        <f>+'2B Summary'!M22</f>
        <v>0</v>
      </c>
      <c r="N70" s="199">
        <f>+'2B Summary'!N22</f>
        <v>0</v>
      </c>
      <c r="O70" s="199">
        <f>+'2B Summary'!O22</f>
        <v>0</v>
      </c>
      <c r="P70" s="199">
        <f>+'2B Summary'!P22</f>
        <v>0</v>
      </c>
      <c r="Q70" s="199">
        <f>+'2B Summary'!Q22</f>
        <v>0</v>
      </c>
      <c r="R70" s="199">
        <f>+'2B Summary'!R22</f>
        <v>0</v>
      </c>
      <c r="S70" s="199">
        <f>+'2B Summary'!S22</f>
        <v>0</v>
      </c>
      <c r="T70" s="199">
        <f>+'2B Summary'!T22</f>
        <v>0</v>
      </c>
      <c r="U70" s="199">
        <f>+'2B Summary'!U22</f>
        <v>0</v>
      </c>
      <c r="V70" s="199">
        <f>+'2B Summary'!V22</f>
        <v>0</v>
      </c>
      <c r="W70" s="199">
        <f>+'2B Summary'!W22</f>
        <v>0</v>
      </c>
    </row>
    <row r="71" spans="1:23" s="104" customFormat="1" x14ac:dyDescent="0.25">
      <c r="A71" s="104" t="s">
        <v>742</v>
      </c>
      <c r="B71" s="104" t="s">
        <v>766</v>
      </c>
      <c r="C71" s="104" t="s">
        <v>767</v>
      </c>
      <c r="D71" s="104" t="s">
        <v>836</v>
      </c>
      <c r="E71" s="104" t="s">
        <v>745</v>
      </c>
      <c r="F71" s="199">
        <f>+'2B Summary'!F23</f>
        <v>1.9805300000000001</v>
      </c>
      <c r="G71" s="199">
        <f>+'2B Summary'!G23</f>
        <v>1.9816200000000002</v>
      </c>
      <c r="H71" s="199">
        <f>+'2B Summary'!H23</f>
        <v>4.4591900000000004</v>
      </c>
      <c r="I71" s="199">
        <f>+'2B Summary'!I23</f>
        <v>4.7360500000000005</v>
      </c>
      <c r="J71" s="199">
        <f>+'2B Summary'!J23</f>
        <v>4.1877800000000009</v>
      </c>
      <c r="K71" s="199">
        <f>+'2B Summary'!K23</f>
        <v>5.3257400000000006</v>
      </c>
      <c r="L71" s="199">
        <f>+'2B Summary'!L23</f>
        <v>4.9834800000000001</v>
      </c>
      <c r="M71" s="199">
        <f>+'2B Summary'!M23</f>
        <v>5.2865000000000002</v>
      </c>
      <c r="N71" s="199">
        <f>+'2B Summary'!N23</f>
        <v>5.3072100000000004</v>
      </c>
      <c r="O71" s="199">
        <f>+'2B Summary'!O23</f>
        <v>5.1938500000000003</v>
      </c>
      <c r="P71" s="199">
        <f>+'2B Summary'!P23</f>
        <v>5.1971200000000009</v>
      </c>
      <c r="Q71" s="199">
        <f>+'2B Summary'!Q23</f>
        <v>5.1993</v>
      </c>
      <c r="R71" s="199">
        <f>+'2B Summary'!R23</f>
        <v>5.2014800000000001</v>
      </c>
      <c r="S71" s="199">
        <f>+'2B Summary'!S23</f>
        <v>5.1971200000000009</v>
      </c>
      <c r="T71" s="199">
        <f>+'2B Summary'!T23</f>
        <v>4.450524500000002</v>
      </c>
      <c r="U71" s="199">
        <f>+'2B Summary'!U23</f>
        <v>3.9892430400000007</v>
      </c>
      <c r="V71" s="199">
        <f>+'2B Summary'!V23</f>
        <v>3.4449166599999987</v>
      </c>
      <c r="W71" s="199">
        <f>+'2B Summary'!W23</f>
        <v>2.8175453600000009</v>
      </c>
    </row>
    <row r="72" spans="1:23" s="104" customFormat="1" x14ac:dyDescent="0.25">
      <c r="A72" s="104" t="s">
        <v>742</v>
      </c>
      <c r="B72" s="104" t="s">
        <v>768</v>
      </c>
      <c r="C72" s="104" t="s">
        <v>769</v>
      </c>
      <c r="D72" s="104" t="s">
        <v>836</v>
      </c>
      <c r="E72" s="104" t="s">
        <v>745</v>
      </c>
      <c r="F72" s="199">
        <f>+'2B Summary'!F24</f>
        <v>437.61700000000002</v>
      </c>
      <c r="G72" s="199">
        <f>+'2B Summary'!G24</f>
        <v>437.61700000000002</v>
      </c>
      <c r="H72" s="199">
        <f>+'2B Summary'!H24</f>
        <v>472.976</v>
      </c>
      <c r="I72" s="199">
        <f>+'2B Summary'!I24</f>
        <v>477.18200000000002</v>
      </c>
      <c r="J72" s="199">
        <f>+'2B Summary'!J24</f>
        <v>470.875</v>
      </c>
      <c r="K72" s="199">
        <f>+'2B Summary'!K24</f>
        <v>466.83199999999999</v>
      </c>
      <c r="L72" s="199">
        <f>+'2B Summary'!L24</f>
        <v>194.48699999999999</v>
      </c>
      <c r="M72" s="199">
        <f>+'2B Summary'!M24</f>
        <v>190.63399999999999</v>
      </c>
      <c r="N72" s="199">
        <f>+'2B Summary'!N24</f>
        <v>257.79599999999999</v>
      </c>
      <c r="O72" s="199">
        <f>+'2B Summary'!O24</f>
        <v>158.42699999999999</v>
      </c>
      <c r="P72" s="199">
        <f>+'2B Summary'!P24</f>
        <v>158.506</v>
      </c>
      <c r="Q72" s="199">
        <f>+'2B Summary'!Q24</f>
        <v>158.58500000000001</v>
      </c>
      <c r="R72" s="199">
        <f>+'2B Summary'!R24</f>
        <v>158.66399999999999</v>
      </c>
      <c r="S72" s="199">
        <f>+'2B Summary'!S24</f>
        <v>158.506</v>
      </c>
      <c r="T72" s="199">
        <f>+'2B Summary'!T24</f>
        <v>167.48546225441859</v>
      </c>
      <c r="U72" s="199">
        <f>+'2B Summary'!U24</f>
        <v>161.97882244489372</v>
      </c>
      <c r="V72" s="199">
        <f>+'2B Summary'!V24</f>
        <v>156.97115258003473</v>
      </c>
      <c r="W72" s="199">
        <f>+'2B Summary'!W24</f>
        <v>152.39167085372586</v>
      </c>
    </row>
    <row r="73" spans="1:23" s="104" customFormat="1" x14ac:dyDescent="0.25">
      <c r="A73" s="104" t="s">
        <v>742</v>
      </c>
      <c r="B73" s="104" t="s">
        <v>770</v>
      </c>
      <c r="C73" s="104" t="s">
        <v>771</v>
      </c>
      <c r="D73" s="104" t="s">
        <v>836</v>
      </c>
      <c r="E73" s="104" t="s">
        <v>745</v>
      </c>
      <c r="F73" s="199">
        <f>+'2B Summary'!F25</f>
        <v>0</v>
      </c>
      <c r="G73" s="199">
        <f>+'2B Summary'!G25</f>
        <v>0</v>
      </c>
      <c r="H73" s="199">
        <f>+'2B Summary'!H25</f>
        <v>0</v>
      </c>
      <c r="I73" s="199">
        <f>+'2B Summary'!I25</f>
        <v>0</v>
      </c>
      <c r="J73" s="199">
        <f>+'2B Summary'!J25</f>
        <v>0</v>
      </c>
      <c r="K73" s="199">
        <f>+'2B Summary'!K25</f>
        <v>0</v>
      </c>
      <c r="L73" s="199">
        <f>+'2B Summary'!L25</f>
        <v>0</v>
      </c>
      <c r="M73" s="199">
        <f>+'2B Summary'!M25</f>
        <v>0</v>
      </c>
      <c r="N73" s="199">
        <f>+'2B Summary'!N25</f>
        <v>0</v>
      </c>
      <c r="O73" s="199">
        <f>+'2B Summary'!O25</f>
        <v>0</v>
      </c>
      <c r="P73" s="199">
        <f>+'2B Summary'!P25</f>
        <v>0</v>
      </c>
      <c r="Q73" s="199">
        <f>+'2B Summary'!Q25</f>
        <v>0</v>
      </c>
      <c r="R73" s="199">
        <f>+'2B Summary'!R25</f>
        <v>0</v>
      </c>
      <c r="S73" s="199">
        <f>+'2B Summary'!S25</f>
        <v>0</v>
      </c>
      <c r="T73" s="199">
        <f>+'2B Summary'!T25</f>
        <v>0</v>
      </c>
      <c r="U73" s="199">
        <f>+'2B Summary'!U25</f>
        <v>0</v>
      </c>
      <c r="V73" s="199">
        <f>+'2B Summary'!V25</f>
        <v>0</v>
      </c>
      <c r="W73" s="199">
        <f>+'2B Summary'!W25</f>
        <v>0</v>
      </c>
    </row>
    <row r="74" spans="1:23" s="104" customFormat="1" x14ac:dyDescent="0.25">
      <c r="A74" s="104" t="s">
        <v>742</v>
      </c>
      <c r="B74" s="104" t="s">
        <v>772</v>
      </c>
      <c r="C74" s="104" t="s">
        <v>773</v>
      </c>
      <c r="D74" s="104" t="s">
        <v>836</v>
      </c>
      <c r="E74" s="104" t="s">
        <v>745</v>
      </c>
      <c r="F74" s="199">
        <f>+'2B Summary'!F26</f>
        <v>138.57442</v>
      </c>
      <c r="G74" s="199">
        <f>+'2B Summary'!G26</f>
        <v>138.64254</v>
      </c>
      <c r="H74" s="199">
        <f>+'2B Summary'!H26</f>
        <v>162.07844</v>
      </c>
      <c r="I74" s="199">
        <f>+'2B Summary'!I26</f>
        <v>161.03567999999999</v>
      </c>
      <c r="J74" s="199">
        <f>+'2B Summary'!J26</f>
        <v>159.75711999999999</v>
      </c>
      <c r="K74" s="199">
        <f>+'2B Summary'!K26</f>
        <v>151.07444000000001</v>
      </c>
      <c r="L74" s="199">
        <f>+'2B Summary'!L26</f>
        <v>141.66602000000003</v>
      </c>
      <c r="M74" s="199">
        <f>+'2B Summary'!M26</f>
        <v>151.13732000000002</v>
      </c>
      <c r="N74" s="199">
        <f>+'2B Summary'!N26</f>
        <v>134.10993999999999</v>
      </c>
      <c r="O74" s="199">
        <f>+'2B Summary'!O26</f>
        <v>134.17544000000001</v>
      </c>
      <c r="P74" s="199">
        <f>+'2B Summary'!P26</f>
        <v>134.24350760000002</v>
      </c>
      <c r="Q74" s="199">
        <f>+'2B Summary'!Q26</f>
        <v>134.2226</v>
      </c>
      <c r="R74" s="199">
        <f>+'2B Summary'!R26</f>
        <v>134.8776</v>
      </c>
      <c r="S74" s="199">
        <f>+'2B Summary'!S26</f>
        <v>134.24350760000002</v>
      </c>
      <c r="T74" s="199">
        <f>+'2B Summary'!T26</f>
        <v>131.50504063433797</v>
      </c>
      <c r="U74" s="199">
        <f>+'2B Summary'!U26</f>
        <v>130.0664121501645</v>
      </c>
      <c r="V74" s="199">
        <f>+'2B Summary'!V26</f>
        <v>128.6435218605537</v>
      </c>
      <c r="W74" s="199">
        <f>+'2B Summary'!W26</f>
        <v>127.2361975940445</v>
      </c>
    </row>
    <row r="75" spans="1:23" s="104" customFormat="1" x14ac:dyDescent="0.25">
      <c r="A75" s="104" t="s">
        <v>742</v>
      </c>
      <c r="B75" s="104" t="s">
        <v>774</v>
      </c>
      <c r="C75" s="104" t="s">
        <v>775</v>
      </c>
      <c r="D75" s="104" t="s">
        <v>836</v>
      </c>
      <c r="E75" s="104" t="s">
        <v>745</v>
      </c>
      <c r="F75" s="199">
        <f>+'2B Summary'!F27</f>
        <v>0</v>
      </c>
      <c r="G75" s="199">
        <f>+'2B Summary'!G27</f>
        <v>0</v>
      </c>
      <c r="H75" s="199">
        <f>+'2B Summary'!H27</f>
        <v>0</v>
      </c>
      <c r="I75" s="199">
        <f>+'2B Summary'!I27</f>
        <v>0</v>
      </c>
      <c r="J75" s="199">
        <f>+'2B Summary'!J27</f>
        <v>0</v>
      </c>
      <c r="K75" s="199">
        <f>+'2B Summary'!K27</f>
        <v>0</v>
      </c>
      <c r="L75" s="199">
        <f>+'2B Summary'!L27</f>
        <v>0</v>
      </c>
      <c r="M75" s="199">
        <f>+'2B Summary'!M27</f>
        <v>0</v>
      </c>
      <c r="N75" s="199">
        <f>+'2B Summary'!N27</f>
        <v>0</v>
      </c>
      <c r="O75" s="199">
        <f>+'2B Summary'!O27</f>
        <v>0</v>
      </c>
      <c r="P75" s="199">
        <f>+'2B Summary'!P27</f>
        <v>0</v>
      </c>
      <c r="Q75" s="199">
        <f>+'2B Summary'!Q27</f>
        <v>0</v>
      </c>
      <c r="R75" s="199">
        <f>+'2B Summary'!R27</f>
        <v>0</v>
      </c>
      <c r="S75" s="199">
        <f>+'2B Summary'!S27</f>
        <v>0</v>
      </c>
      <c r="T75" s="199">
        <f>+'2B Summary'!T27</f>
        <v>0</v>
      </c>
      <c r="U75" s="199">
        <f>+'2B Summary'!U27</f>
        <v>0</v>
      </c>
      <c r="V75" s="199">
        <f>+'2B Summary'!V27</f>
        <v>0</v>
      </c>
      <c r="W75" s="199">
        <f>+'2B Summary'!W27</f>
        <v>0</v>
      </c>
    </row>
    <row r="76" spans="1:23" s="104" customFormat="1" x14ac:dyDescent="0.25">
      <c r="A76" s="104" t="s">
        <v>742</v>
      </c>
      <c r="B76" s="104" t="s">
        <v>776</v>
      </c>
      <c r="C76" s="104" t="s">
        <v>756</v>
      </c>
      <c r="D76" s="104" t="s">
        <v>836</v>
      </c>
      <c r="E76" s="104" t="s">
        <v>745</v>
      </c>
      <c r="F76" s="199">
        <f>+'2B Summary'!F28</f>
        <v>0</v>
      </c>
      <c r="G76" s="199">
        <f>+'2B Summary'!G28</f>
        <v>0</v>
      </c>
      <c r="H76" s="199">
        <f>+'2B Summary'!H28</f>
        <v>0</v>
      </c>
      <c r="I76" s="199">
        <f>+'2B Summary'!I28</f>
        <v>0</v>
      </c>
      <c r="J76" s="199">
        <f>+'2B Summary'!J28</f>
        <v>0</v>
      </c>
      <c r="K76" s="199">
        <f>+'2B Summary'!K28</f>
        <v>0</v>
      </c>
      <c r="L76" s="199">
        <f>+'2B Summary'!L28</f>
        <v>0</v>
      </c>
      <c r="M76" s="199">
        <f>+'2B Summary'!M28</f>
        <v>0</v>
      </c>
      <c r="N76" s="199">
        <f>+'2B Summary'!N28</f>
        <v>0</v>
      </c>
      <c r="O76" s="199">
        <f>+'2B Summary'!O28</f>
        <v>0</v>
      </c>
      <c r="P76" s="199">
        <f>+'2B Summary'!P28</f>
        <v>0</v>
      </c>
      <c r="Q76" s="199">
        <f>+'2B Summary'!Q28</f>
        <v>0</v>
      </c>
      <c r="R76" s="199">
        <f>+'2B Summary'!R28</f>
        <v>0</v>
      </c>
      <c r="S76" s="199">
        <f>+'2B Summary'!S28</f>
        <v>0</v>
      </c>
      <c r="T76" s="199">
        <f>+'2B Summary'!T28</f>
        <v>0</v>
      </c>
      <c r="U76" s="199">
        <f>+'2B Summary'!U28</f>
        <v>0</v>
      </c>
      <c r="V76" s="199">
        <f>+'2B Summary'!V28</f>
        <v>0</v>
      </c>
      <c r="W76" s="199">
        <f>+'2B Summary'!W28</f>
        <v>0</v>
      </c>
    </row>
    <row r="77" spans="1:23" s="7" customFormat="1" x14ac:dyDescent="0.25">
      <c r="A77" s="7" t="s">
        <v>742</v>
      </c>
      <c r="B77" s="7" t="s">
        <v>777</v>
      </c>
      <c r="C77" s="7" t="s">
        <v>536</v>
      </c>
      <c r="D77" s="7" t="s">
        <v>836</v>
      </c>
      <c r="E77" s="7" t="s">
        <v>745</v>
      </c>
      <c r="F77" s="218">
        <f>+'2C Summary'!F15</f>
        <v>25728.448215</v>
      </c>
      <c r="G77" s="218">
        <f>+'2C Summary'!G15</f>
        <v>25801.750169999999</v>
      </c>
      <c r="H77" s="218">
        <f>+'2C Summary'!H15</f>
        <v>27420.856920000002</v>
      </c>
      <c r="I77" s="218">
        <f>+'2C Summary'!I15</f>
        <v>27192.946779999998</v>
      </c>
      <c r="J77" s="218">
        <f>+'2C Summary'!J15</f>
        <v>27178.084115000001</v>
      </c>
      <c r="K77" s="218">
        <f>+'2C Summary'!K15</f>
        <v>28223.232760000003</v>
      </c>
      <c r="L77" s="218">
        <f>+'2C Summary'!L15</f>
        <v>28800.123315000004</v>
      </c>
      <c r="M77" s="218">
        <f>+'2C Summary'!M15</f>
        <v>27917.226309999998</v>
      </c>
      <c r="N77" s="218">
        <f>+'2C Summary'!N15</f>
        <v>26702.188085000002</v>
      </c>
      <c r="O77" s="218">
        <f>+'2C Summary'!O15</f>
        <v>25355.67064</v>
      </c>
      <c r="P77" s="218">
        <f>+'2C Summary'!P15</f>
        <v>27062.25045</v>
      </c>
      <c r="Q77" s="218">
        <f>+'2C Summary'!Q15</f>
        <v>28551.190430000002</v>
      </c>
      <c r="R77" s="218">
        <f>+'2C Summary'!R15</f>
        <v>27802.659900000002</v>
      </c>
      <c r="S77" s="218">
        <f>+'2C Summary'!S15</f>
        <v>28935.724850055351</v>
      </c>
      <c r="T77" s="218">
        <f>+'2C Summary'!T15</f>
        <v>29555.796877015415</v>
      </c>
      <c r="U77" s="218">
        <f>+'2C Summary'!U15</f>
        <v>28756.284670927627</v>
      </c>
      <c r="V77" s="218">
        <f>+'2C Summary'!V15</f>
        <v>28670.628361197898</v>
      </c>
      <c r="W77" s="218">
        <f>+'2C Summary'!W15</f>
        <v>29037.150045352562</v>
      </c>
    </row>
    <row r="78" spans="1:23" s="104" customFormat="1" x14ac:dyDescent="0.25">
      <c r="A78" s="104" t="s">
        <v>742</v>
      </c>
      <c r="B78" s="104" t="s">
        <v>778</v>
      </c>
      <c r="C78" s="104" t="s">
        <v>779</v>
      </c>
      <c r="D78" s="104" t="s">
        <v>836</v>
      </c>
      <c r="E78" s="104" t="s">
        <v>745</v>
      </c>
      <c r="F78" s="199">
        <f>+'2C Summary'!F16</f>
        <v>16410.526914999999</v>
      </c>
      <c r="G78" s="199">
        <f>+'2C Summary'!G16</f>
        <v>16410.537369999998</v>
      </c>
      <c r="H78" s="199">
        <f>+'2C Summary'!H16</f>
        <v>17176.103220000001</v>
      </c>
      <c r="I78" s="199">
        <f>+'2C Summary'!I16</f>
        <v>16786.444480000002</v>
      </c>
      <c r="J78" s="199">
        <f>+'2C Summary'!J16</f>
        <v>16425.253915000001</v>
      </c>
      <c r="K78" s="199">
        <f>+'2C Summary'!K16</f>
        <v>17359.699860000001</v>
      </c>
      <c r="L78" s="199">
        <f>+'2C Summary'!L16</f>
        <v>17218.494115000001</v>
      </c>
      <c r="M78" s="199">
        <f>+'2C Summary'!M16</f>
        <v>15147.096109999999</v>
      </c>
      <c r="N78" s="199">
        <f>+'2C Summary'!N16</f>
        <v>14152.034485</v>
      </c>
      <c r="O78" s="199">
        <f>+'2C Summary'!O16</f>
        <v>12794.452040000002</v>
      </c>
      <c r="P78" s="199">
        <f>+'2C Summary'!P16</f>
        <v>13861.709649999999</v>
      </c>
      <c r="Q78" s="199">
        <f>+'2C Summary'!Q16</f>
        <v>14922.64853</v>
      </c>
      <c r="R78" s="199">
        <f>+'2C Summary'!R16</f>
        <v>15020.696860000002</v>
      </c>
      <c r="S78" s="199">
        <f>+'2C Summary'!S16</f>
        <v>15582.114970055352</v>
      </c>
      <c r="T78" s="199">
        <f>+'2C Summary'!T16</f>
        <v>14363.524995027368</v>
      </c>
      <c r="U78" s="199">
        <f>+'2C Summary'!U16</f>
        <v>14093.548470927624</v>
      </c>
      <c r="V78" s="199">
        <f>+'2C Summary'!V16</f>
        <v>14829.058053603329</v>
      </c>
      <c r="W78" s="199">
        <f>+'2C Summary'!W16</f>
        <v>15074.336748610733</v>
      </c>
    </row>
    <row r="79" spans="1:23" s="104" customFormat="1" x14ac:dyDescent="0.25">
      <c r="A79" s="104" t="s">
        <v>742</v>
      </c>
      <c r="B79" s="104" t="s">
        <v>780</v>
      </c>
      <c r="C79" s="104" t="s">
        <v>781</v>
      </c>
      <c r="D79" s="104" t="s">
        <v>836</v>
      </c>
      <c r="E79" s="104" t="s">
        <v>745</v>
      </c>
      <c r="F79" s="199">
        <f>+'2C Summary'!F17</f>
        <v>8079.1441000000013</v>
      </c>
      <c r="G79" s="199">
        <f>+'2C Summary'!G17</f>
        <v>8195.9467000000004</v>
      </c>
      <c r="H79" s="199">
        <f>+'2C Summary'!H17</f>
        <v>8970.2675999999992</v>
      </c>
      <c r="I79" s="199">
        <f>+'2C Summary'!I17</f>
        <v>9156.4025999999994</v>
      </c>
      <c r="J79" s="199">
        <f>+'2C Summary'!J17</f>
        <v>9282.6882000000005</v>
      </c>
      <c r="K79" s="199">
        <f>+'2C Summary'!K17</f>
        <v>9384.0288000000019</v>
      </c>
      <c r="L79" s="199">
        <f>+'2C Summary'!L17</f>
        <v>10063.825000000001</v>
      </c>
      <c r="M79" s="199">
        <f>+'2C Summary'!M17</f>
        <v>11245.946400000001</v>
      </c>
      <c r="N79" s="199">
        <f>+'2C Summary'!N17</f>
        <v>11175.343800000001</v>
      </c>
      <c r="O79" s="199">
        <f>+'2C Summary'!O17</f>
        <v>11189.408200000002</v>
      </c>
      <c r="P79" s="199">
        <f>+'2C Summary'!P17</f>
        <v>11818.236800000001</v>
      </c>
      <c r="Q79" s="199">
        <f>+'2C Summary'!Q17</f>
        <v>12237.0483</v>
      </c>
      <c r="R79" s="199">
        <f>+'2C Summary'!R17</f>
        <v>11624.16476</v>
      </c>
      <c r="S79" s="199">
        <f>+'2C Summary'!S17</f>
        <v>11961.76988</v>
      </c>
      <c r="T79" s="199">
        <f>+'2C Summary'!T17</f>
        <v>13894.35728</v>
      </c>
      <c r="U79" s="199">
        <f>+'2C Summary'!U17</f>
        <v>13416.256200000002</v>
      </c>
      <c r="V79" s="199">
        <f>+'2C Summary'!V17</f>
        <v>12459.426799079587</v>
      </c>
      <c r="W79" s="199">
        <f>+'2C Summary'!W17</f>
        <v>12572.294614347698</v>
      </c>
    </row>
    <row r="80" spans="1:23" s="104" customFormat="1" x14ac:dyDescent="0.25">
      <c r="A80" s="104" t="s">
        <v>742</v>
      </c>
      <c r="B80" s="104" t="s">
        <v>782</v>
      </c>
      <c r="C80" s="104" t="s">
        <v>783</v>
      </c>
      <c r="D80" s="104" t="s">
        <v>836</v>
      </c>
      <c r="E80" s="104" t="s">
        <v>745</v>
      </c>
      <c r="F80" s="199">
        <f>+'2C Summary'!F18</f>
        <v>1091.2612000000001</v>
      </c>
      <c r="G80" s="199">
        <f>+'2C Summary'!G18</f>
        <v>1063.4101000000001</v>
      </c>
      <c r="H80" s="199">
        <f>+'2C Summary'!H18</f>
        <v>1138.7181</v>
      </c>
      <c r="I80" s="199">
        <f>+'2C Summary'!I18</f>
        <v>1158.8317000000002</v>
      </c>
      <c r="J80" s="199">
        <f>+'2C Summary'!J18</f>
        <v>1395.6019999999999</v>
      </c>
      <c r="K80" s="199">
        <f>+'2C Summary'!K18</f>
        <v>1402.5201000000002</v>
      </c>
      <c r="L80" s="199">
        <f>+'2C Summary'!L18</f>
        <v>1434.2082</v>
      </c>
      <c r="M80" s="199">
        <f>+'2C Summary'!M18</f>
        <v>1449.0758000000001</v>
      </c>
      <c r="N80" s="199">
        <f>+'2C Summary'!N18</f>
        <v>1300.8018000000002</v>
      </c>
      <c r="O80" s="199">
        <f>+'2C Summary'!O18</f>
        <v>1298.1184000000001</v>
      </c>
      <c r="P80" s="199">
        <f>+'2C Summary'!P18</f>
        <v>1294.0719999999999</v>
      </c>
      <c r="Q80" s="199">
        <f>+'2C Summary'!Q18</f>
        <v>1299.5344000000002</v>
      </c>
      <c r="R80" s="199">
        <f>+'2C Summary'!R18</f>
        <v>1066.864</v>
      </c>
      <c r="S80" s="199">
        <f>+'2C Summary'!S18</f>
        <v>1318.4</v>
      </c>
      <c r="T80" s="199">
        <f>+'2C Summary'!T18</f>
        <v>1230.8800000000001</v>
      </c>
      <c r="U80" s="199">
        <f>+'2C Summary'!U18</f>
        <v>1178.4000000000001</v>
      </c>
      <c r="V80" s="199">
        <f>+'2C Summary'!V18</f>
        <v>1313.0896853372371</v>
      </c>
      <c r="W80" s="199">
        <f>+'2C Summary'!W18</f>
        <v>1322.4596915861214</v>
      </c>
    </row>
    <row r="81" spans="1:23" s="104" customFormat="1" x14ac:dyDescent="0.25">
      <c r="A81" s="104" t="s">
        <v>742</v>
      </c>
      <c r="B81" s="104" t="s">
        <v>784</v>
      </c>
      <c r="C81" s="104" t="s">
        <v>785</v>
      </c>
      <c r="D81" s="104" t="s">
        <v>836</v>
      </c>
      <c r="E81" s="104" t="s">
        <v>745</v>
      </c>
      <c r="F81" s="199">
        <f>+'2C Summary'!F19</f>
        <v>0</v>
      </c>
      <c r="G81" s="199">
        <f>+'2C Summary'!G19</f>
        <v>0</v>
      </c>
      <c r="H81" s="199">
        <f>+'2C Summary'!H19</f>
        <v>0</v>
      </c>
      <c r="I81" s="199">
        <f>+'2C Summary'!I19</f>
        <v>0</v>
      </c>
      <c r="J81" s="199">
        <f>+'2C Summary'!J19</f>
        <v>0</v>
      </c>
      <c r="K81" s="199">
        <f>+'2C Summary'!K19</f>
        <v>0</v>
      </c>
      <c r="L81" s="199">
        <f>+'2C Summary'!L19</f>
        <v>0</v>
      </c>
      <c r="M81" s="199">
        <f>+'2C Summary'!M19</f>
        <v>0</v>
      </c>
      <c r="N81" s="199">
        <f>+'2C Summary'!N19</f>
        <v>0</v>
      </c>
      <c r="O81" s="199">
        <f>+'2C Summary'!O19</f>
        <v>0</v>
      </c>
      <c r="P81" s="199">
        <f>+'2C Summary'!P19</f>
        <v>0</v>
      </c>
      <c r="Q81" s="199">
        <f>+'2C Summary'!Q19</f>
        <v>0</v>
      </c>
      <c r="R81" s="199">
        <f>+'2C Summary'!R19</f>
        <v>0</v>
      </c>
      <c r="S81" s="199">
        <f>+'2C Summary'!S19</f>
        <v>0</v>
      </c>
      <c r="T81" s="199">
        <f>+'2C Summary'!T19</f>
        <v>0</v>
      </c>
      <c r="U81" s="199">
        <f>+'2C Summary'!U19</f>
        <v>0</v>
      </c>
      <c r="V81" s="199">
        <f>+'2C Summary'!V19</f>
        <v>0</v>
      </c>
      <c r="W81" s="199">
        <f>+'2C Summary'!W19</f>
        <v>0</v>
      </c>
    </row>
    <row r="82" spans="1:23" s="104" customFormat="1" x14ac:dyDescent="0.25">
      <c r="A82" s="104" t="s">
        <v>742</v>
      </c>
      <c r="B82" s="104" t="s">
        <v>786</v>
      </c>
      <c r="C82" s="104" t="s">
        <v>787</v>
      </c>
      <c r="D82" s="104" t="s">
        <v>836</v>
      </c>
      <c r="E82" s="104" t="s">
        <v>745</v>
      </c>
      <c r="F82" s="199">
        <f>+'2C Summary'!F20</f>
        <v>39.155999999999999</v>
      </c>
      <c r="G82" s="199">
        <f>+'2C Summary'!G20</f>
        <v>26.936</v>
      </c>
      <c r="H82" s="199">
        <f>+'2C Summary'!H20</f>
        <v>25.687999999999999</v>
      </c>
      <c r="I82" s="199">
        <f>+'2C Summary'!I20</f>
        <v>20.748000000000001</v>
      </c>
      <c r="J82" s="199">
        <f>+'2C Summary'!J20</f>
        <v>19.5</v>
      </c>
      <c r="K82" s="199">
        <f>+'2C Summary'!K20</f>
        <v>21.943999999999999</v>
      </c>
      <c r="L82" s="199">
        <f>+'2C Summary'!L20</f>
        <v>25.116</v>
      </c>
      <c r="M82" s="199">
        <f>+'2C Summary'!M20</f>
        <v>21.788</v>
      </c>
      <c r="N82" s="199">
        <f>+'2C Summary'!N20</f>
        <v>24.128</v>
      </c>
      <c r="O82" s="199">
        <f>+'2C Summary'!O20</f>
        <v>25.532</v>
      </c>
      <c r="P82" s="199">
        <f>+'2C Summary'!P20</f>
        <v>26.312000000000001</v>
      </c>
      <c r="Q82" s="199">
        <f>+'2C Summary'!Q20</f>
        <v>28.319200000000002</v>
      </c>
      <c r="R82" s="199">
        <f>+'2C Summary'!R20</f>
        <v>27.294280000000004</v>
      </c>
      <c r="S82" s="199">
        <f>+'2C Summary'!S20</f>
        <v>21.84</v>
      </c>
      <c r="T82" s="199">
        <f>+'2C Summary'!T20</f>
        <v>22.07208198804468</v>
      </c>
      <c r="U82" s="199">
        <f>+'2C Summary'!U20</f>
        <v>18.2</v>
      </c>
      <c r="V82" s="199">
        <f>+'2C Summary'!V20</f>
        <v>21.901802271619349</v>
      </c>
      <c r="W82" s="199">
        <f>+'2C Summary'!W20</f>
        <v>21.743045827186773</v>
      </c>
    </row>
    <row r="83" spans="1:23" s="104" customFormat="1" x14ac:dyDescent="0.25">
      <c r="A83" s="104" t="s">
        <v>742</v>
      </c>
      <c r="B83" s="104" t="s">
        <v>788</v>
      </c>
      <c r="C83" s="104" t="s">
        <v>789</v>
      </c>
      <c r="D83" s="104" t="s">
        <v>836</v>
      </c>
      <c r="E83" s="104" t="s">
        <v>745</v>
      </c>
      <c r="F83" s="199">
        <f>+'2C Summary'!F21</f>
        <v>108.36</v>
      </c>
      <c r="G83" s="199">
        <f>+'2C Summary'!G21</f>
        <v>104.92</v>
      </c>
      <c r="H83" s="199">
        <f>+'2C Summary'!H21</f>
        <v>110.08</v>
      </c>
      <c r="I83" s="199">
        <f>+'2C Summary'!I21</f>
        <v>70.52</v>
      </c>
      <c r="J83" s="199">
        <f>+'2C Summary'!J21</f>
        <v>55.04</v>
      </c>
      <c r="K83" s="199">
        <f>+'2C Summary'!K21</f>
        <v>55.04</v>
      </c>
      <c r="L83" s="199">
        <f>+'2C Summary'!L21</f>
        <v>58.48</v>
      </c>
      <c r="M83" s="199">
        <f>+'2C Summary'!M21</f>
        <v>53.32</v>
      </c>
      <c r="N83" s="199">
        <f>+'2C Summary'!N21</f>
        <v>49.88</v>
      </c>
      <c r="O83" s="199">
        <f>+'2C Summary'!O21</f>
        <v>48.16</v>
      </c>
      <c r="P83" s="199">
        <f>+'2C Summary'!P21</f>
        <v>61.92</v>
      </c>
      <c r="Q83" s="199">
        <f>+'2C Summary'!Q21</f>
        <v>63.64</v>
      </c>
      <c r="R83" s="199">
        <f>+'2C Summary'!R21</f>
        <v>63.64</v>
      </c>
      <c r="S83" s="199">
        <f>+'2C Summary'!S21</f>
        <v>51.6</v>
      </c>
      <c r="T83" s="199">
        <f>+'2C Summary'!T21</f>
        <v>44.962519999999998</v>
      </c>
      <c r="U83" s="199">
        <f>+'2C Summary'!U21</f>
        <v>49.88</v>
      </c>
      <c r="V83" s="199">
        <f>+'2C Summary'!V21</f>
        <v>47.152020906125856</v>
      </c>
      <c r="W83" s="199">
        <f>+'2C Summary'!W21</f>
        <v>46.315944980820788</v>
      </c>
    </row>
    <row r="84" spans="1:23" s="104" customFormat="1" x14ac:dyDescent="0.25">
      <c r="A84" s="104" t="s">
        <v>742</v>
      </c>
      <c r="B84" s="104" t="s">
        <v>790</v>
      </c>
      <c r="C84" s="104" t="s">
        <v>756</v>
      </c>
      <c r="D84" s="104" t="s">
        <v>836</v>
      </c>
      <c r="E84" s="104" t="s">
        <v>745</v>
      </c>
      <c r="F84" s="199">
        <f>+'2C Summary'!F22</f>
        <v>0</v>
      </c>
      <c r="G84" s="199">
        <f>+'2C Summary'!G22</f>
        <v>0</v>
      </c>
      <c r="H84" s="199">
        <f>+'2C Summary'!H22</f>
        <v>0</v>
      </c>
      <c r="I84" s="199">
        <f>+'2C Summary'!I22</f>
        <v>0</v>
      </c>
      <c r="J84" s="199">
        <f>+'2C Summary'!J22</f>
        <v>0</v>
      </c>
      <c r="K84" s="199">
        <f>+'2C Summary'!K22</f>
        <v>0</v>
      </c>
      <c r="L84" s="199">
        <f>+'2C Summary'!L22</f>
        <v>0</v>
      </c>
      <c r="M84" s="199">
        <f>+'2C Summary'!M22</f>
        <v>0</v>
      </c>
      <c r="N84" s="199">
        <f>+'2C Summary'!N22</f>
        <v>0</v>
      </c>
      <c r="O84" s="199">
        <f>+'2C Summary'!O22</f>
        <v>0</v>
      </c>
      <c r="P84" s="199">
        <f>+'2C Summary'!P22</f>
        <v>0</v>
      </c>
      <c r="Q84" s="199">
        <f>+'2C Summary'!Q22</f>
        <v>0</v>
      </c>
      <c r="R84" s="199">
        <f>+'2C Summary'!R22</f>
        <v>0</v>
      </c>
      <c r="S84" s="199">
        <f>+'2C Summary'!S22</f>
        <v>0</v>
      </c>
      <c r="T84" s="199">
        <f>+'2C Summary'!T22</f>
        <v>0</v>
      </c>
      <c r="U84" s="199">
        <f>+'2C Summary'!U22</f>
        <v>0</v>
      </c>
      <c r="V84" s="199">
        <f>+'2C Summary'!V22</f>
        <v>0</v>
      </c>
      <c r="W84" s="199">
        <f>+'2C Summary'!W22</f>
        <v>0</v>
      </c>
    </row>
    <row r="85" spans="1:23" s="7" customFormat="1" x14ac:dyDescent="0.25">
      <c r="A85" s="7" t="s">
        <v>742</v>
      </c>
      <c r="B85" s="7" t="s">
        <v>791</v>
      </c>
      <c r="C85" s="7" t="s">
        <v>792</v>
      </c>
      <c r="D85" s="7" t="s">
        <v>836</v>
      </c>
      <c r="E85" s="7" t="s">
        <v>745</v>
      </c>
      <c r="F85" s="218">
        <f>+'2D Summary'!F4</f>
        <v>195.91733333333332</v>
      </c>
      <c r="G85" s="218">
        <f>+'2D Summary'!G4</f>
        <v>225.96933333333334</v>
      </c>
      <c r="H85" s="218">
        <f>+'2D Summary'!H4</f>
        <v>250.316</v>
      </c>
      <c r="I85" s="218">
        <f>+'2D Summary'!I4</f>
        <v>248.61466666666664</v>
      </c>
      <c r="J85" s="218">
        <f>+'2D Summary'!J4</f>
        <v>246.17999999999998</v>
      </c>
      <c r="K85" s="218">
        <f>+'2D Summary'!K4</f>
        <v>467.85199999999998</v>
      </c>
      <c r="L85" s="218">
        <f>+'2D Summary'!L4</f>
        <v>509.15333333333331</v>
      </c>
      <c r="M85" s="218">
        <f>+'2D Summary'!M4</f>
        <v>234.08</v>
      </c>
      <c r="N85" s="218">
        <f>+'2D Summary'!N4</f>
        <v>221.07066666666665</v>
      </c>
      <c r="O85" s="218">
        <f>+'2D Summary'!O4</f>
        <v>233.75733333333332</v>
      </c>
      <c r="P85" s="218">
        <f>+'2D Summary'!P4</f>
        <v>233.87466666666666</v>
      </c>
      <c r="Q85" s="218">
        <f>+'2D Summary'!Q4</f>
        <v>196.38666666666666</v>
      </c>
      <c r="R85" s="218">
        <f>+'2D Summary'!R4</f>
        <v>253.87691077219299</v>
      </c>
      <c r="S85" s="218">
        <f>+'2D Summary'!S4</f>
        <v>271.70611536899781</v>
      </c>
      <c r="T85" s="218">
        <f>+'2D Summary'!T4</f>
        <v>272.77838312986057</v>
      </c>
      <c r="U85" s="218">
        <f>+'2D Summary'!U4</f>
        <v>273.78627273280614</v>
      </c>
      <c r="V85" s="218">
        <f>+'2D Summary'!V4</f>
        <v>274.73732782629685</v>
      </c>
      <c r="W85" s="218">
        <f>+'2D Summary'!W4</f>
        <v>275.63782614194014</v>
      </c>
    </row>
    <row r="86" spans="1:23" s="104" customFormat="1" x14ac:dyDescent="0.25">
      <c r="A86" s="104" t="s">
        <v>742</v>
      </c>
      <c r="B86" s="104" t="s">
        <v>793</v>
      </c>
      <c r="C86" s="104" t="s">
        <v>794</v>
      </c>
      <c r="D86" s="104" t="s">
        <v>836</v>
      </c>
      <c r="E86" s="104" t="s">
        <v>745</v>
      </c>
      <c r="F86" s="199">
        <f>+'2D Summary'!F5</f>
        <v>188.48133333333331</v>
      </c>
      <c r="G86" s="199">
        <f>+'2D Summary'!G5</f>
        <v>221.364</v>
      </c>
      <c r="H86" s="199">
        <f>+'2D Summary'!H5</f>
        <v>242.89466666666667</v>
      </c>
      <c r="I86" s="199">
        <f>+'2D Summary'!I5</f>
        <v>240.9733333333333</v>
      </c>
      <c r="J86" s="199">
        <f>+'2D Summary'!J5</f>
        <v>238.99333333333331</v>
      </c>
      <c r="K86" s="199">
        <f>+'2D Summary'!K5</f>
        <v>462.71866666666665</v>
      </c>
      <c r="L86" s="199">
        <f>+'2D Summary'!L5</f>
        <v>504.4013333333333</v>
      </c>
      <c r="M86" s="199">
        <f>+'2D Summary'!M5</f>
        <v>232.012</v>
      </c>
      <c r="N86" s="199">
        <f>+'2D Summary'!N5</f>
        <v>218.40133333333333</v>
      </c>
      <c r="O86" s="199">
        <f>+'2D Summary'!O5</f>
        <v>230.36933333333332</v>
      </c>
      <c r="P86" s="199">
        <f>+'2D Summary'!P5</f>
        <v>230.48666666666665</v>
      </c>
      <c r="Q86" s="199">
        <f>+'2D Summary'!Q5</f>
        <v>192.57333333333332</v>
      </c>
      <c r="R86" s="199">
        <f>+'2D Summary'!R5</f>
        <v>250.58</v>
      </c>
      <c r="S86" s="199">
        <f>+'2D Summary'!S5</f>
        <v>268.54593874595992</v>
      </c>
      <c r="T86" s="199">
        <f>+'2D Summary'!T5</f>
        <v>269.74550295424086</v>
      </c>
      <c r="U86" s="199">
        <f>+'2D Summary'!U5</f>
        <v>270.87247043125336</v>
      </c>
      <c r="V86" s="199">
        <f>+'2D Summary'!V5</f>
        <v>271.93538199363684</v>
      </c>
      <c r="W86" s="199">
        <f>+'2D Summary'!W5</f>
        <v>272.94134139337575</v>
      </c>
    </row>
    <row r="87" spans="1:23" s="104" customFormat="1" x14ac:dyDescent="0.25">
      <c r="A87" s="104" t="s">
        <v>742</v>
      </c>
      <c r="B87" s="104" t="s">
        <v>795</v>
      </c>
      <c r="C87" s="104" t="s">
        <v>796</v>
      </c>
      <c r="D87" s="104" t="s">
        <v>836</v>
      </c>
      <c r="E87" s="104" t="s">
        <v>745</v>
      </c>
      <c r="F87" s="199">
        <f>+'2D Summary'!F6</f>
        <v>7.4359999999999999</v>
      </c>
      <c r="G87" s="199">
        <f>+'2D Summary'!G6</f>
        <v>4.6053333333333333</v>
      </c>
      <c r="H87" s="199">
        <f>+'2D Summary'!H6</f>
        <v>7.4213333333333331</v>
      </c>
      <c r="I87" s="199">
        <f>+'2D Summary'!I6</f>
        <v>7.6413333333333329</v>
      </c>
      <c r="J87" s="199">
        <f>+'2D Summary'!J6</f>
        <v>7.1866666666666656</v>
      </c>
      <c r="K87" s="199">
        <f>+'2D Summary'!K6</f>
        <v>5.1333333333333329</v>
      </c>
      <c r="L87" s="199">
        <f>+'2D Summary'!L6</f>
        <v>4.7519999999999998</v>
      </c>
      <c r="M87" s="199">
        <f>+'2D Summary'!M6</f>
        <v>2.0680000000000001</v>
      </c>
      <c r="N87" s="199">
        <f>+'2D Summary'!N6</f>
        <v>2.6693333333333329</v>
      </c>
      <c r="O87" s="199">
        <f>+'2D Summary'!O6</f>
        <v>3.3879999999999999</v>
      </c>
      <c r="P87" s="199">
        <f>+'2D Summary'!P6</f>
        <v>3.3879999999999999</v>
      </c>
      <c r="Q87" s="199">
        <f>+'2D Summary'!Q6</f>
        <v>3.813333333333333</v>
      </c>
      <c r="R87" s="199">
        <f>+'2D Summary'!R6</f>
        <v>3.2969107721929678</v>
      </c>
      <c r="S87" s="199">
        <f>+'2D Summary'!S6</f>
        <v>3.1601766230378749</v>
      </c>
      <c r="T87" s="199">
        <f>+'2D Summary'!T6</f>
        <v>3.0328801756196833</v>
      </c>
      <c r="U87" s="199">
        <f>+'2D Summary'!U6</f>
        <v>2.9138023015527885</v>
      </c>
      <c r="V87" s="199">
        <f>+'2D Summary'!V6</f>
        <v>2.8019458326600115</v>
      </c>
      <c r="W87" s="199">
        <f>+'2D Summary'!W6</f>
        <v>2.6964847485643841</v>
      </c>
    </row>
    <row r="88" spans="1:23" s="104" customFormat="1" x14ac:dyDescent="0.25">
      <c r="A88" s="104" t="s">
        <v>742</v>
      </c>
      <c r="B88" s="104" t="s">
        <v>797</v>
      </c>
      <c r="C88" s="104" t="s">
        <v>798</v>
      </c>
      <c r="D88" s="104" t="s">
        <v>836</v>
      </c>
      <c r="E88" s="104" t="s">
        <v>745</v>
      </c>
      <c r="F88" s="199">
        <f>+'2D Summary'!F7</f>
        <v>0</v>
      </c>
      <c r="G88" s="199">
        <f>+'2D Summary'!G7</f>
        <v>0</v>
      </c>
      <c r="H88" s="199">
        <f>+'2D Summary'!H7</f>
        <v>0</v>
      </c>
      <c r="I88" s="199">
        <f>+'2D Summary'!I7</f>
        <v>0</v>
      </c>
      <c r="J88" s="199">
        <f>+'2D Summary'!J7</f>
        <v>0</v>
      </c>
      <c r="K88" s="199">
        <f>+'2D Summary'!K7</f>
        <v>0</v>
      </c>
      <c r="L88" s="199">
        <f>+'2D Summary'!L7</f>
        <v>0</v>
      </c>
      <c r="M88" s="199">
        <f>+'2D Summary'!M7</f>
        <v>0</v>
      </c>
      <c r="N88" s="199">
        <f>+'2D Summary'!N7</f>
        <v>0</v>
      </c>
      <c r="O88" s="199">
        <f>+'2D Summary'!O7</f>
        <v>0</v>
      </c>
      <c r="P88" s="199">
        <f>+'2D Summary'!P7</f>
        <v>0</v>
      </c>
      <c r="Q88" s="199">
        <f>+'2D Summary'!Q7</f>
        <v>0</v>
      </c>
      <c r="R88" s="199">
        <f>+'2D Summary'!R7</f>
        <v>0</v>
      </c>
      <c r="S88" s="199">
        <f>+'2D Summary'!S7</f>
        <v>0</v>
      </c>
      <c r="T88" s="199">
        <f>+'2D Summary'!T7</f>
        <v>0</v>
      </c>
      <c r="U88" s="199">
        <f>+'2D Summary'!U7</f>
        <v>0</v>
      </c>
      <c r="V88" s="199">
        <f>+'2D Summary'!V7</f>
        <v>0</v>
      </c>
      <c r="W88" s="199">
        <f>+'2D Summary'!W7</f>
        <v>0</v>
      </c>
    </row>
    <row r="89" spans="1:23" s="104" customFormat="1" x14ac:dyDescent="0.25">
      <c r="A89" s="104" t="s">
        <v>742</v>
      </c>
      <c r="B89" s="104" t="s">
        <v>799</v>
      </c>
      <c r="C89" s="104" t="s">
        <v>756</v>
      </c>
      <c r="D89" s="104" t="s">
        <v>836</v>
      </c>
      <c r="E89" s="104" t="s">
        <v>745</v>
      </c>
      <c r="F89" s="199">
        <f>+'2D Summary'!F8</f>
        <v>0</v>
      </c>
      <c r="G89" s="199">
        <f>+'2D Summary'!G8</f>
        <v>0</v>
      </c>
      <c r="H89" s="199">
        <f>+'2D Summary'!H8</f>
        <v>0</v>
      </c>
      <c r="I89" s="199">
        <f>+'2D Summary'!I8</f>
        <v>0</v>
      </c>
      <c r="J89" s="199">
        <f>+'2D Summary'!J8</f>
        <v>0</v>
      </c>
      <c r="K89" s="199">
        <f>+'2D Summary'!K8</f>
        <v>0</v>
      </c>
      <c r="L89" s="199">
        <f>+'2D Summary'!L8</f>
        <v>0</v>
      </c>
      <c r="M89" s="199">
        <f>+'2D Summary'!M8</f>
        <v>0</v>
      </c>
      <c r="N89" s="199">
        <f>+'2D Summary'!N8</f>
        <v>0</v>
      </c>
      <c r="O89" s="199">
        <f>+'2D Summary'!O8</f>
        <v>0</v>
      </c>
      <c r="P89" s="199">
        <f>+'2D Summary'!P8</f>
        <v>0</v>
      </c>
      <c r="Q89" s="199">
        <f>+'2D Summary'!Q8</f>
        <v>0</v>
      </c>
      <c r="R89" s="199">
        <f>+'2D Summary'!R8</f>
        <v>0</v>
      </c>
      <c r="S89" s="199">
        <f>+'2D Summary'!S8</f>
        <v>0</v>
      </c>
      <c r="T89" s="199">
        <f>+'2D Summary'!T8</f>
        <v>0</v>
      </c>
      <c r="U89" s="199">
        <f>+'2D Summary'!U8</f>
        <v>0</v>
      </c>
      <c r="V89" s="199">
        <f>+'2D Summary'!V8</f>
        <v>0</v>
      </c>
      <c r="W89" s="199">
        <f>+'2D Summary'!W8</f>
        <v>0</v>
      </c>
    </row>
    <row r="90" spans="1:23" s="7" customFormat="1" x14ac:dyDescent="0.25">
      <c r="A90" s="7" t="s">
        <v>742</v>
      </c>
      <c r="B90" s="106" t="s">
        <v>800</v>
      </c>
      <c r="C90" s="7" t="s">
        <v>555</v>
      </c>
      <c r="D90" s="7" t="s">
        <v>836</v>
      </c>
      <c r="E90" s="7" t="s">
        <v>745</v>
      </c>
      <c r="F90" s="218">
        <f>+'2E Summary'!F4</f>
        <v>0</v>
      </c>
      <c r="G90" s="218">
        <f>+'2E Summary'!G4</f>
        <v>0</v>
      </c>
      <c r="H90" s="218">
        <f>+'2E Summary'!H4</f>
        <v>0</v>
      </c>
      <c r="I90" s="218">
        <f>+'2E Summary'!I4</f>
        <v>0</v>
      </c>
      <c r="J90" s="218">
        <f>+'2E Summary'!J4</f>
        <v>0</v>
      </c>
      <c r="K90" s="218">
        <f>+'2E Summary'!K4</f>
        <v>0</v>
      </c>
      <c r="L90" s="218">
        <f>+'2E Summary'!L4</f>
        <v>0</v>
      </c>
      <c r="M90" s="218">
        <f>+'2E Summary'!M4</f>
        <v>0</v>
      </c>
      <c r="N90" s="218">
        <f>+'2E Summary'!N4</f>
        <v>0</v>
      </c>
      <c r="O90" s="218">
        <f>+'2E Summary'!O4</f>
        <v>0</v>
      </c>
      <c r="P90" s="218">
        <f>+'2E Summary'!P4</f>
        <v>0</v>
      </c>
      <c r="Q90" s="218">
        <f>+'2E Summary'!Q4</f>
        <v>0</v>
      </c>
      <c r="R90" s="218">
        <f>+'2E Summary'!R4</f>
        <v>0</v>
      </c>
      <c r="S90" s="218">
        <f>+'2E Summary'!S4</f>
        <v>0</v>
      </c>
      <c r="T90" s="218">
        <f>+'2E Summary'!T4</f>
        <v>0</v>
      </c>
      <c r="U90" s="218">
        <f>+'2E Summary'!U4</f>
        <v>0</v>
      </c>
      <c r="V90" s="218">
        <f>+'2E Summary'!X4</f>
        <v>0</v>
      </c>
      <c r="W90" s="218">
        <f>+'2E Summary'!Y4</f>
        <v>0</v>
      </c>
    </row>
    <row r="91" spans="1:23" s="104" customFormat="1" x14ac:dyDescent="0.25">
      <c r="A91" s="104" t="s">
        <v>742</v>
      </c>
      <c r="B91" s="107" t="s">
        <v>801</v>
      </c>
      <c r="C91" s="104" t="s">
        <v>802</v>
      </c>
      <c r="D91" s="104" t="s">
        <v>836</v>
      </c>
      <c r="E91" s="104" t="s">
        <v>745</v>
      </c>
      <c r="F91" s="199">
        <f>+'2E Summary'!F5</f>
        <v>0</v>
      </c>
      <c r="G91" s="199">
        <f>+'2E Summary'!G5</f>
        <v>0</v>
      </c>
      <c r="H91" s="199">
        <f>+'2E Summary'!H5</f>
        <v>0</v>
      </c>
      <c r="I91" s="199">
        <f>+'2E Summary'!I5</f>
        <v>0</v>
      </c>
      <c r="J91" s="199">
        <f>+'2E Summary'!J5</f>
        <v>0</v>
      </c>
      <c r="K91" s="199">
        <f>+'2E Summary'!K5</f>
        <v>0</v>
      </c>
      <c r="L91" s="199">
        <f>+'2E Summary'!L5</f>
        <v>0</v>
      </c>
      <c r="M91" s="199">
        <f>+'2E Summary'!M5</f>
        <v>0</v>
      </c>
      <c r="N91" s="199">
        <f>+'2E Summary'!N5</f>
        <v>0</v>
      </c>
      <c r="O91" s="199">
        <f>+'2E Summary'!O5</f>
        <v>0</v>
      </c>
      <c r="P91" s="199">
        <f>+'2E Summary'!P5</f>
        <v>0</v>
      </c>
      <c r="Q91" s="199">
        <f>+'2E Summary'!Q5</f>
        <v>0</v>
      </c>
      <c r="R91" s="199">
        <f>+'2E Summary'!R5</f>
        <v>0</v>
      </c>
      <c r="S91" s="199">
        <f>+'2E Summary'!S5</f>
        <v>0</v>
      </c>
      <c r="T91" s="199">
        <f>+'2E Summary'!T5</f>
        <v>0</v>
      </c>
      <c r="U91" s="199">
        <f>+'2E Summary'!U5</f>
        <v>0</v>
      </c>
      <c r="V91" s="199">
        <f>+'2E Summary'!X5</f>
        <v>0</v>
      </c>
      <c r="W91" s="199">
        <f>+'2E Summary'!Y5</f>
        <v>0</v>
      </c>
    </row>
    <row r="92" spans="1:23" s="104" customFormat="1" x14ac:dyDescent="0.25">
      <c r="A92" s="104" t="s">
        <v>742</v>
      </c>
      <c r="B92" s="107" t="s">
        <v>803</v>
      </c>
      <c r="C92" s="104" t="s">
        <v>804</v>
      </c>
      <c r="D92" s="104" t="s">
        <v>836</v>
      </c>
      <c r="E92" s="104" t="s">
        <v>745</v>
      </c>
      <c r="F92" s="199">
        <f>+'2E Summary'!F6</f>
        <v>0</v>
      </c>
      <c r="G92" s="199">
        <f>+'2E Summary'!G6</f>
        <v>0</v>
      </c>
      <c r="H92" s="199">
        <f>+'2E Summary'!H6</f>
        <v>0</v>
      </c>
      <c r="I92" s="199">
        <f>+'2E Summary'!I6</f>
        <v>0</v>
      </c>
      <c r="J92" s="199">
        <f>+'2E Summary'!J6</f>
        <v>0</v>
      </c>
      <c r="K92" s="199">
        <f>+'2E Summary'!K6</f>
        <v>0</v>
      </c>
      <c r="L92" s="199">
        <f>+'2E Summary'!L6</f>
        <v>0</v>
      </c>
      <c r="M92" s="199">
        <f>+'2E Summary'!M6</f>
        <v>0</v>
      </c>
      <c r="N92" s="199">
        <f>+'2E Summary'!N6</f>
        <v>0</v>
      </c>
      <c r="O92" s="199">
        <f>+'2E Summary'!O6</f>
        <v>0</v>
      </c>
      <c r="P92" s="199">
        <f>+'2E Summary'!P6</f>
        <v>0</v>
      </c>
      <c r="Q92" s="199">
        <f>+'2E Summary'!Q6</f>
        <v>0</v>
      </c>
      <c r="R92" s="199">
        <f>+'2E Summary'!R6</f>
        <v>0</v>
      </c>
      <c r="S92" s="199">
        <f>+'2E Summary'!S6</f>
        <v>0</v>
      </c>
      <c r="T92" s="199">
        <f>+'2E Summary'!T6</f>
        <v>0</v>
      </c>
      <c r="U92" s="199">
        <f>+'2E Summary'!U6</f>
        <v>0</v>
      </c>
      <c r="V92" s="199">
        <f>+'2E Summary'!X6</f>
        <v>0</v>
      </c>
      <c r="W92" s="199">
        <f>+'2E Summary'!Y6</f>
        <v>0</v>
      </c>
    </row>
    <row r="93" spans="1:23" s="104" customFormat="1" x14ac:dyDescent="0.25">
      <c r="A93" s="104" t="s">
        <v>742</v>
      </c>
      <c r="B93" s="107" t="s">
        <v>805</v>
      </c>
      <c r="C93" s="104" t="s">
        <v>558</v>
      </c>
      <c r="D93" s="104" t="s">
        <v>836</v>
      </c>
      <c r="E93" s="104" t="s">
        <v>745</v>
      </c>
      <c r="F93" s="199">
        <f>+'2E Summary'!F7</f>
        <v>0</v>
      </c>
      <c r="G93" s="199">
        <f>+'2E Summary'!G7</f>
        <v>0</v>
      </c>
      <c r="H93" s="199">
        <f>+'2E Summary'!H7</f>
        <v>0</v>
      </c>
      <c r="I93" s="199">
        <f>+'2E Summary'!I7</f>
        <v>0</v>
      </c>
      <c r="J93" s="199">
        <f>+'2E Summary'!J7</f>
        <v>0</v>
      </c>
      <c r="K93" s="199">
        <f>+'2E Summary'!K7</f>
        <v>0</v>
      </c>
      <c r="L93" s="199">
        <f>+'2E Summary'!L7</f>
        <v>0</v>
      </c>
      <c r="M93" s="199">
        <f>+'2E Summary'!M7</f>
        <v>0</v>
      </c>
      <c r="N93" s="199">
        <f>+'2E Summary'!N7</f>
        <v>0</v>
      </c>
      <c r="O93" s="199">
        <f>+'2E Summary'!O7</f>
        <v>0</v>
      </c>
      <c r="P93" s="199">
        <f>+'2E Summary'!P7</f>
        <v>0</v>
      </c>
      <c r="Q93" s="199">
        <f>+'2E Summary'!Q7</f>
        <v>0</v>
      </c>
      <c r="R93" s="199">
        <f>+'2E Summary'!R7</f>
        <v>0</v>
      </c>
      <c r="S93" s="199">
        <f>+'2E Summary'!S7</f>
        <v>0</v>
      </c>
      <c r="T93" s="199">
        <f>+'2E Summary'!T7</f>
        <v>0</v>
      </c>
      <c r="U93" s="199">
        <f>+'2E Summary'!U7</f>
        <v>0</v>
      </c>
      <c r="V93" s="199">
        <f>+'2E Summary'!X7</f>
        <v>0</v>
      </c>
      <c r="W93" s="199">
        <f>+'2E Summary'!Y7</f>
        <v>0</v>
      </c>
    </row>
    <row r="94" spans="1:23" s="104" customFormat="1" x14ac:dyDescent="0.25">
      <c r="A94" s="104" t="s">
        <v>742</v>
      </c>
      <c r="B94" s="107" t="s">
        <v>806</v>
      </c>
      <c r="C94" s="104" t="s">
        <v>807</v>
      </c>
      <c r="D94" s="104" t="s">
        <v>836</v>
      </c>
      <c r="E94" s="104" t="s">
        <v>745</v>
      </c>
      <c r="F94" s="199">
        <f>+'2E Summary'!F8</f>
        <v>0</v>
      </c>
      <c r="G94" s="199">
        <f>+'2E Summary'!G8</f>
        <v>0</v>
      </c>
      <c r="H94" s="199">
        <f>+'2E Summary'!H8</f>
        <v>0</v>
      </c>
      <c r="I94" s="199">
        <f>+'2E Summary'!I8</f>
        <v>0</v>
      </c>
      <c r="J94" s="199">
        <f>+'2E Summary'!J8</f>
        <v>0</v>
      </c>
      <c r="K94" s="199">
        <f>+'2E Summary'!K8</f>
        <v>0</v>
      </c>
      <c r="L94" s="199">
        <f>+'2E Summary'!L8</f>
        <v>0</v>
      </c>
      <c r="M94" s="199">
        <f>+'2E Summary'!M8</f>
        <v>0</v>
      </c>
      <c r="N94" s="199">
        <f>+'2E Summary'!N8</f>
        <v>0</v>
      </c>
      <c r="O94" s="199">
        <f>+'2E Summary'!O8</f>
        <v>0</v>
      </c>
      <c r="P94" s="199">
        <f>+'2E Summary'!P8</f>
        <v>0</v>
      </c>
      <c r="Q94" s="199">
        <f>+'2E Summary'!Q8</f>
        <v>0</v>
      </c>
      <c r="R94" s="199">
        <f>+'2E Summary'!R8</f>
        <v>0</v>
      </c>
      <c r="S94" s="199">
        <f>+'2E Summary'!S8</f>
        <v>0</v>
      </c>
      <c r="T94" s="199">
        <f>+'2E Summary'!T8</f>
        <v>0</v>
      </c>
      <c r="U94" s="199">
        <f>+'2E Summary'!U8</f>
        <v>0</v>
      </c>
      <c r="V94" s="199">
        <f>+'2E Summary'!X8</f>
        <v>0</v>
      </c>
      <c r="W94" s="199">
        <f>+'2E Summary'!Y8</f>
        <v>0</v>
      </c>
    </row>
    <row r="95" spans="1:23" s="104" customFormat="1" x14ac:dyDescent="0.25">
      <c r="A95" s="104" t="s">
        <v>742</v>
      </c>
      <c r="B95" s="107" t="s">
        <v>808</v>
      </c>
      <c r="C95" s="104" t="s">
        <v>756</v>
      </c>
      <c r="D95" s="104" t="s">
        <v>836</v>
      </c>
      <c r="E95" s="104" t="s">
        <v>745</v>
      </c>
      <c r="F95" s="199">
        <f>+'2E Summary'!F9</f>
        <v>0</v>
      </c>
      <c r="G95" s="199">
        <f>+'2E Summary'!G9</f>
        <v>0</v>
      </c>
      <c r="H95" s="199">
        <f>+'2E Summary'!H9</f>
        <v>0</v>
      </c>
      <c r="I95" s="199">
        <f>+'2E Summary'!I9</f>
        <v>0</v>
      </c>
      <c r="J95" s="199">
        <f>+'2E Summary'!J9</f>
        <v>0</v>
      </c>
      <c r="K95" s="199">
        <f>+'2E Summary'!K9</f>
        <v>0</v>
      </c>
      <c r="L95" s="199">
        <f>+'2E Summary'!L9</f>
        <v>0</v>
      </c>
      <c r="M95" s="199">
        <f>+'2E Summary'!M9</f>
        <v>0</v>
      </c>
      <c r="N95" s="199">
        <f>+'2E Summary'!N9</f>
        <v>0</v>
      </c>
      <c r="O95" s="199">
        <f>+'2E Summary'!O9</f>
        <v>0</v>
      </c>
      <c r="P95" s="199">
        <f>+'2E Summary'!P9</f>
        <v>0</v>
      </c>
      <c r="Q95" s="199">
        <f>+'2E Summary'!Q9</f>
        <v>0</v>
      </c>
      <c r="R95" s="199">
        <f>+'2E Summary'!R9</f>
        <v>0</v>
      </c>
      <c r="S95" s="199">
        <f>+'2E Summary'!S9</f>
        <v>0</v>
      </c>
      <c r="T95" s="199">
        <f>+'2E Summary'!T9</f>
        <v>0</v>
      </c>
      <c r="U95" s="199">
        <f>+'2E Summary'!U9</f>
        <v>0</v>
      </c>
      <c r="V95" s="199">
        <f>+'2E Summary'!X9</f>
        <v>0</v>
      </c>
      <c r="W95" s="199">
        <f>+'2E Summary'!Y9</f>
        <v>0</v>
      </c>
    </row>
    <row r="96" spans="1:23" s="133" customFormat="1" x14ac:dyDescent="0.25"/>
    <row r="97" spans="1:24" s="22" customFormat="1" x14ac:dyDescent="0.25">
      <c r="A97" s="102" t="s">
        <v>837</v>
      </c>
    </row>
    <row r="98" spans="1:24" s="103" customFormat="1" x14ac:dyDescent="0.25">
      <c r="A98" s="7" t="s">
        <v>742</v>
      </c>
      <c r="B98" s="105">
        <v>2</v>
      </c>
      <c r="C98" s="103" t="s">
        <v>743</v>
      </c>
      <c r="D98" s="7" t="s">
        <v>486</v>
      </c>
      <c r="E98" s="7" t="s">
        <v>745</v>
      </c>
      <c r="F98" s="116">
        <f>+F99+F110</f>
        <v>68.930262659999997</v>
      </c>
      <c r="G98" s="116">
        <f t="shared" ref="G98:U98" si="4">+G99+G110</f>
        <v>69.133155419999994</v>
      </c>
      <c r="H98" s="116">
        <f t="shared" si="4"/>
        <v>66.620646120000004</v>
      </c>
      <c r="I98" s="116">
        <f t="shared" si="4"/>
        <v>69.072944640000003</v>
      </c>
      <c r="J98" s="116">
        <f t="shared" si="4"/>
        <v>72.594029759999998</v>
      </c>
      <c r="K98" s="116">
        <f t="shared" si="4"/>
        <v>94.555854119999978</v>
      </c>
      <c r="L98" s="116">
        <f t="shared" si="4"/>
        <v>103.44818945999999</v>
      </c>
      <c r="M98" s="116">
        <f t="shared" si="4"/>
        <v>139.55384436000003</v>
      </c>
      <c r="N98" s="116">
        <f t="shared" si="4"/>
        <v>71.562355620000005</v>
      </c>
      <c r="O98" s="116">
        <f t="shared" si="4"/>
        <v>51.655647119999998</v>
      </c>
      <c r="P98" s="116">
        <f t="shared" si="4"/>
        <v>61.266539854800001</v>
      </c>
      <c r="Q98" s="116">
        <f t="shared" si="4"/>
        <v>84.4165098</v>
      </c>
      <c r="R98" s="116">
        <f t="shared" si="4"/>
        <v>67.153564799999984</v>
      </c>
      <c r="S98" s="116">
        <f t="shared" si="4"/>
        <v>75.290759854800001</v>
      </c>
      <c r="T98" s="116">
        <f t="shared" si="4"/>
        <v>72.520382882137113</v>
      </c>
      <c r="U98" s="116">
        <f t="shared" si="4"/>
        <v>91.079071022637095</v>
      </c>
      <c r="V98" s="116">
        <f t="shared" ref="V98:W98" si="5">+V99+V110</f>
        <v>78.138029063887146</v>
      </c>
      <c r="W98" s="116">
        <f t="shared" si="5"/>
        <v>170.33337967908722</v>
      </c>
      <c r="X98" s="104"/>
    </row>
    <row r="99" spans="1:24" s="7" customFormat="1" x14ac:dyDescent="0.25">
      <c r="A99" s="7" t="s">
        <v>742</v>
      </c>
      <c r="B99" s="7" t="s">
        <v>757</v>
      </c>
      <c r="C99" s="7" t="s">
        <v>520</v>
      </c>
      <c r="D99" s="7" t="s">
        <v>486</v>
      </c>
      <c r="E99" s="7" t="s">
        <v>745</v>
      </c>
      <c r="F99" s="218">
        <f>+'2B Summary'!F43</f>
        <v>65.628642659999997</v>
      </c>
      <c r="G99" s="218">
        <f>+'2B Summary'!G43</f>
        <v>65.880675419999989</v>
      </c>
      <c r="H99" s="218">
        <f>+'2B Summary'!H43</f>
        <v>62.573946120000002</v>
      </c>
      <c r="I99" s="218">
        <f>+'2B Summary'!I43</f>
        <v>65.009444639999998</v>
      </c>
      <c r="J99" s="218">
        <f>+'2B Summary'!J43</f>
        <v>68.368829759999997</v>
      </c>
      <c r="K99" s="218">
        <f>+'2B Summary'!K43</f>
        <v>90.540654119999985</v>
      </c>
      <c r="L99" s="218">
        <f>+'2B Summary'!L43</f>
        <v>98.978129459999991</v>
      </c>
      <c r="M99" s="218">
        <f>+'2B Summary'!M43</f>
        <v>135.35468436000002</v>
      </c>
      <c r="N99" s="218">
        <f>+'2B Summary'!N43</f>
        <v>67.432495620000012</v>
      </c>
      <c r="O99" s="218">
        <f>+'2B Summary'!O43</f>
        <v>48.364527119999998</v>
      </c>
      <c r="P99" s="218">
        <f>+'2B Summary'!P43</f>
        <v>57.415559854800001</v>
      </c>
      <c r="Q99" s="218">
        <f>+'2B Summary'!Q43</f>
        <v>80.284549799999994</v>
      </c>
      <c r="R99" s="218">
        <f>+'2B Summary'!R43</f>
        <v>64.072864799999991</v>
      </c>
      <c r="S99" s="218">
        <f>+'2B Summary'!S43</f>
        <v>72.787559854799994</v>
      </c>
      <c r="T99" s="218">
        <f>+'2B Summary'!T43</f>
        <v>69.48924288213712</v>
      </c>
      <c r="U99" s="218">
        <f>+'2B Summary'!U43</f>
        <v>87.107551022637097</v>
      </c>
      <c r="V99" s="218">
        <f>+'2B Summary'!V43</f>
        <v>74.949179231887143</v>
      </c>
      <c r="W99" s="218">
        <f>+'2B Summary'!W43</f>
        <v>167.26318992708721</v>
      </c>
    </row>
    <row r="100" spans="1:24" s="104" customFormat="1" x14ac:dyDescent="0.25">
      <c r="A100" s="104" t="s">
        <v>742</v>
      </c>
      <c r="B100" s="104" t="s">
        <v>758</v>
      </c>
      <c r="C100" s="104" t="s">
        <v>759</v>
      </c>
      <c r="D100" s="104" t="s">
        <v>486</v>
      </c>
      <c r="E100" s="104" t="s">
        <v>745</v>
      </c>
      <c r="F100" s="199">
        <f>+'2B Summary'!F44</f>
        <v>65.561999999999998</v>
      </c>
      <c r="G100" s="199">
        <f>+'2B Summary'!G44</f>
        <v>65.813999999999993</v>
      </c>
      <c r="H100" s="199">
        <f>+'2B Summary'!H44</f>
        <v>62.496000000000002</v>
      </c>
      <c r="I100" s="199">
        <f>+'2B Summary'!I44</f>
        <v>64.932000000000002</v>
      </c>
      <c r="J100" s="199">
        <f>+'2B Summary'!J44</f>
        <v>68.292000000000002</v>
      </c>
      <c r="K100" s="199">
        <f>+'2B Summary'!K44</f>
        <v>90.467999999999989</v>
      </c>
      <c r="L100" s="199">
        <f>+'2B Summary'!L44</f>
        <v>98.91</v>
      </c>
      <c r="M100" s="199">
        <f>+'2B Summary'!M44</f>
        <v>135.28200000000001</v>
      </c>
      <c r="N100" s="199">
        <f>+'2B Summary'!N44</f>
        <v>67.368000000000009</v>
      </c>
      <c r="O100" s="199">
        <f>+'2B Summary'!O44</f>
        <v>48.3</v>
      </c>
      <c r="P100" s="199">
        <f>+'2B Summary'!P44</f>
        <v>57.350999999999999</v>
      </c>
      <c r="Q100" s="199">
        <f>+'2B Summary'!Q44</f>
        <v>80.22</v>
      </c>
      <c r="R100" s="199">
        <f>+'2B Summary'!R44</f>
        <v>64.007999999999996</v>
      </c>
      <c r="S100" s="199">
        <f>+'2B Summary'!S44</f>
        <v>72.722999999999999</v>
      </c>
      <c r="T100" s="199">
        <f>+'2B Summary'!T44</f>
        <v>69.426000000000002</v>
      </c>
      <c r="U100" s="199">
        <f>+'2B Summary'!U44</f>
        <v>87.044999999999987</v>
      </c>
      <c r="V100" s="199">
        <f>+'2B Summary'!V44</f>
        <v>74.887312500000007</v>
      </c>
      <c r="W100" s="199">
        <f>+'2B Summary'!W44</f>
        <v>167.202</v>
      </c>
    </row>
    <row r="101" spans="1:24" s="104" customFormat="1" x14ac:dyDescent="0.25">
      <c r="A101" s="104" t="s">
        <v>742</v>
      </c>
      <c r="B101" s="104" t="s">
        <v>760</v>
      </c>
      <c r="C101" s="104" t="s">
        <v>761</v>
      </c>
      <c r="D101" s="104" t="s">
        <v>486</v>
      </c>
      <c r="E101" s="104" t="s">
        <v>745</v>
      </c>
      <c r="F101" s="199">
        <f>+'2B Summary'!F45</f>
        <v>0</v>
      </c>
      <c r="G101" s="199">
        <f>+'2B Summary'!G45</f>
        <v>0</v>
      </c>
      <c r="H101" s="199">
        <f>+'2B Summary'!H45</f>
        <v>0</v>
      </c>
      <c r="I101" s="199">
        <f>+'2B Summary'!I45</f>
        <v>0</v>
      </c>
      <c r="J101" s="199">
        <f>+'2B Summary'!J45</f>
        <v>0</v>
      </c>
      <c r="K101" s="199">
        <f>+'2B Summary'!K45</f>
        <v>0</v>
      </c>
      <c r="L101" s="199">
        <f>+'2B Summary'!L45</f>
        <v>0</v>
      </c>
      <c r="M101" s="199">
        <f>+'2B Summary'!M45</f>
        <v>0</v>
      </c>
      <c r="N101" s="199">
        <f>+'2B Summary'!N45</f>
        <v>0</v>
      </c>
      <c r="O101" s="199">
        <f>+'2B Summary'!O45</f>
        <v>0</v>
      </c>
      <c r="P101" s="199">
        <f>+'2B Summary'!P45</f>
        <v>0</v>
      </c>
      <c r="Q101" s="199">
        <f>+'2B Summary'!Q45</f>
        <v>0</v>
      </c>
      <c r="R101" s="199">
        <f>+'2B Summary'!R45</f>
        <v>0</v>
      </c>
      <c r="S101" s="199">
        <f>+'2B Summary'!S45</f>
        <v>0</v>
      </c>
      <c r="T101" s="199">
        <f>+'2B Summary'!T45</f>
        <v>0</v>
      </c>
      <c r="U101" s="199">
        <f>+'2B Summary'!U45</f>
        <v>0</v>
      </c>
      <c r="V101" s="199">
        <f>+'2B Summary'!V45</f>
        <v>0</v>
      </c>
      <c r="W101" s="199">
        <f>+'2B Summary'!W45</f>
        <v>0</v>
      </c>
    </row>
    <row r="102" spans="1:24" s="104" customFormat="1" x14ac:dyDescent="0.25">
      <c r="A102" s="104" t="s">
        <v>742</v>
      </c>
      <c r="B102" s="104" t="s">
        <v>762</v>
      </c>
      <c r="C102" s="104" t="s">
        <v>763</v>
      </c>
      <c r="D102" s="104" t="s">
        <v>486</v>
      </c>
      <c r="E102" s="104" t="s">
        <v>745</v>
      </c>
      <c r="F102" s="199">
        <f>+'2B Summary'!F46</f>
        <v>0</v>
      </c>
      <c r="G102" s="199">
        <f>+'2B Summary'!G46</f>
        <v>0</v>
      </c>
      <c r="H102" s="199">
        <f>+'2B Summary'!H46</f>
        <v>0</v>
      </c>
      <c r="I102" s="199">
        <f>+'2B Summary'!I46</f>
        <v>0</v>
      </c>
      <c r="J102" s="199">
        <f>+'2B Summary'!J46</f>
        <v>0</v>
      </c>
      <c r="K102" s="199">
        <f>+'2B Summary'!K46</f>
        <v>0</v>
      </c>
      <c r="L102" s="199">
        <f>+'2B Summary'!L46</f>
        <v>0</v>
      </c>
      <c r="M102" s="199">
        <f>+'2B Summary'!M46</f>
        <v>0</v>
      </c>
      <c r="N102" s="199">
        <f>+'2B Summary'!N46</f>
        <v>0</v>
      </c>
      <c r="O102" s="199">
        <f>+'2B Summary'!O46</f>
        <v>0</v>
      </c>
      <c r="P102" s="199">
        <f>+'2B Summary'!P46</f>
        <v>0</v>
      </c>
      <c r="Q102" s="199">
        <f>+'2B Summary'!Q46</f>
        <v>0</v>
      </c>
      <c r="R102" s="199">
        <f>+'2B Summary'!R46</f>
        <v>0</v>
      </c>
      <c r="S102" s="199">
        <f>+'2B Summary'!S46</f>
        <v>0</v>
      </c>
      <c r="T102" s="199">
        <f>+'2B Summary'!T46</f>
        <v>0</v>
      </c>
      <c r="U102" s="199">
        <f>+'2B Summary'!U46</f>
        <v>0</v>
      </c>
      <c r="V102" s="199">
        <f>+'2B Summary'!V46</f>
        <v>0</v>
      </c>
      <c r="W102" s="199">
        <f>+'2B Summary'!W46</f>
        <v>0</v>
      </c>
    </row>
    <row r="103" spans="1:24" s="104" customFormat="1" x14ac:dyDescent="0.25">
      <c r="A103" s="104" t="s">
        <v>742</v>
      </c>
      <c r="B103" s="104" t="s">
        <v>764</v>
      </c>
      <c r="C103" s="104" t="s">
        <v>765</v>
      </c>
      <c r="D103" s="104" t="s">
        <v>486</v>
      </c>
      <c r="E103" s="104" t="s">
        <v>745</v>
      </c>
      <c r="F103" s="199">
        <f>+'2B Summary'!F47</f>
        <v>0</v>
      </c>
      <c r="G103" s="199">
        <f>+'2B Summary'!G47</f>
        <v>0</v>
      </c>
      <c r="H103" s="199">
        <f>+'2B Summary'!H47</f>
        <v>0</v>
      </c>
      <c r="I103" s="199">
        <f>+'2B Summary'!I47</f>
        <v>0</v>
      </c>
      <c r="J103" s="199">
        <f>+'2B Summary'!J47</f>
        <v>0</v>
      </c>
      <c r="K103" s="199">
        <f>+'2B Summary'!K47</f>
        <v>0</v>
      </c>
      <c r="L103" s="199">
        <f>+'2B Summary'!L47</f>
        <v>0</v>
      </c>
      <c r="M103" s="199">
        <f>+'2B Summary'!M47</f>
        <v>0</v>
      </c>
      <c r="N103" s="199">
        <f>+'2B Summary'!N47</f>
        <v>0</v>
      </c>
      <c r="O103" s="199">
        <f>+'2B Summary'!O47</f>
        <v>0</v>
      </c>
      <c r="P103" s="199">
        <f>+'2B Summary'!P47</f>
        <v>0</v>
      </c>
      <c r="Q103" s="199">
        <f>+'2B Summary'!Q47</f>
        <v>0</v>
      </c>
      <c r="R103" s="199">
        <f>+'2B Summary'!R47</f>
        <v>0</v>
      </c>
      <c r="S103" s="199">
        <f>+'2B Summary'!S47</f>
        <v>0</v>
      </c>
      <c r="T103" s="199">
        <f>+'2B Summary'!T47</f>
        <v>0</v>
      </c>
      <c r="U103" s="199">
        <f>+'2B Summary'!U47</f>
        <v>0</v>
      </c>
      <c r="V103" s="199">
        <f>+'2B Summary'!V47</f>
        <v>0</v>
      </c>
      <c r="W103" s="199">
        <f>+'2B Summary'!W47</f>
        <v>0</v>
      </c>
    </row>
    <row r="104" spans="1:24" s="104" customFormat="1" x14ac:dyDescent="0.25">
      <c r="A104" s="104" t="s">
        <v>742</v>
      </c>
      <c r="B104" s="104" t="s">
        <v>766</v>
      </c>
      <c r="C104" s="104" t="s">
        <v>767</v>
      </c>
      <c r="D104" s="104" t="s">
        <v>486</v>
      </c>
      <c r="E104" s="104" t="s">
        <v>745</v>
      </c>
      <c r="F104" s="199">
        <f>+'2B Summary'!F48</f>
        <v>0</v>
      </c>
      <c r="G104" s="199">
        <f>+'2B Summary'!G48</f>
        <v>0</v>
      </c>
      <c r="H104" s="199">
        <f>+'2B Summary'!H48</f>
        <v>0</v>
      </c>
      <c r="I104" s="199">
        <f>+'2B Summary'!I48</f>
        <v>0</v>
      </c>
      <c r="J104" s="199">
        <f>+'2B Summary'!J48</f>
        <v>0</v>
      </c>
      <c r="K104" s="199">
        <f>+'2B Summary'!K48</f>
        <v>0</v>
      </c>
      <c r="L104" s="199">
        <f>+'2B Summary'!L48</f>
        <v>0</v>
      </c>
      <c r="M104" s="199">
        <f>+'2B Summary'!M48</f>
        <v>0</v>
      </c>
      <c r="N104" s="199">
        <f>+'2B Summary'!N48</f>
        <v>0</v>
      </c>
      <c r="O104" s="199">
        <f>+'2B Summary'!O48</f>
        <v>0</v>
      </c>
      <c r="P104" s="199">
        <f>+'2B Summary'!P48</f>
        <v>0</v>
      </c>
      <c r="Q104" s="199">
        <f>+'2B Summary'!Q48</f>
        <v>0</v>
      </c>
      <c r="R104" s="199">
        <f>+'2B Summary'!R48</f>
        <v>0</v>
      </c>
      <c r="S104" s="199">
        <f>+'2B Summary'!S48</f>
        <v>0</v>
      </c>
      <c r="T104" s="199">
        <f>+'2B Summary'!T48</f>
        <v>0</v>
      </c>
      <c r="U104" s="199">
        <f>+'2B Summary'!U48</f>
        <v>0</v>
      </c>
      <c r="V104" s="199">
        <f>+'2B Summary'!V48</f>
        <v>0</v>
      </c>
      <c r="W104" s="199">
        <f>+'2B Summary'!W48</f>
        <v>0</v>
      </c>
    </row>
    <row r="105" spans="1:24" s="104" customFormat="1" x14ac:dyDescent="0.25">
      <c r="A105" s="104" t="s">
        <v>742</v>
      </c>
      <c r="B105" s="104" t="s">
        <v>768</v>
      </c>
      <c r="C105" s="104" t="s">
        <v>769</v>
      </c>
      <c r="D105" s="104" t="s">
        <v>486</v>
      </c>
      <c r="E105" s="104" t="s">
        <v>745</v>
      </c>
      <c r="F105" s="199">
        <f>+'2B Summary'!F49</f>
        <v>0</v>
      </c>
      <c r="G105" s="199">
        <f>+'2B Summary'!G49</f>
        <v>0</v>
      </c>
      <c r="H105" s="199">
        <f>+'2B Summary'!H49</f>
        <v>0</v>
      </c>
      <c r="I105" s="199">
        <f>+'2B Summary'!I49</f>
        <v>0</v>
      </c>
      <c r="J105" s="199">
        <f>+'2B Summary'!J49</f>
        <v>0</v>
      </c>
      <c r="K105" s="199">
        <f>+'2B Summary'!K49</f>
        <v>0</v>
      </c>
      <c r="L105" s="199">
        <f>+'2B Summary'!L49</f>
        <v>0</v>
      </c>
      <c r="M105" s="199">
        <f>+'2B Summary'!M49</f>
        <v>0</v>
      </c>
      <c r="N105" s="199">
        <f>+'2B Summary'!N49</f>
        <v>0</v>
      </c>
      <c r="O105" s="199">
        <f>+'2B Summary'!O49</f>
        <v>0</v>
      </c>
      <c r="P105" s="199">
        <f>+'2B Summary'!P49</f>
        <v>0</v>
      </c>
      <c r="Q105" s="199">
        <f>+'2B Summary'!Q49</f>
        <v>0</v>
      </c>
      <c r="R105" s="199">
        <f>+'2B Summary'!R49</f>
        <v>0</v>
      </c>
      <c r="S105" s="199">
        <f>+'2B Summary'!S49</f>
        <v>0</v>
      </c>
      <c r="T105" s="199">
        <f>+'2B Summary'!T49</f>
        <v>0</v>
      </c>
      <c r="U105" s="199">
        <f>+'2B Summary'!U49</f>
        <v>0</v>
      </c>
      <c r="V105" s="199">
        <f>+'2B Summary'!V49</f>
        <v>0</v>
      </c>
      <c r="W105" s="199">
        <f>+'2B Summary'!W49</f>
        <v>0</v>
      </c>
    </row>
    <row r="106" spans="1:24" s="104" customFormat="1" x14ac:dyDescent="0.25">
      <c r="A106" s="104" t="s">
        <v>742</v>
      </c>
      <c r="B106" s="104" t="s">
        <v>770</v>
      </c>
      <c r="C106" s="104" t="s">
        <v>771</v>
      </c>
      <c r="D106" s="104" t="s">
        <v>486</v>
      </c>
      <c r="E106" s="104" t="s">
        <v>745</v>
      </c>
      <c r="F106" s="199">
        <f>+'2B Summary'!F50</f>
        <v>0</v>
      </c>
      <c r="G106" s="199">
        <f>+'2B Summary'!G50</f>
        <v>0</v>
      </c>
      <c r="H106" s="199">
        <f>+'2B Summary'!H50</f>
        <v>0</v>
      </c>
      <c r="I106" s="199">
        <f>+'2B Summary'!I50</f>
        <v>0</v>
      </c>
      <c r="J106" s="199">
        <f>+'2B Summary'!J50</f>
        <v>0</v>
      </c>
      <c r="K106" s="199">
        <f>+'2B Summary'!K50</f>
        <v>0</v>
      </c>
      <c r="L106" s="199">
        <f>+'2B Summary'!L50</f>
        <v>0</v>
      </c>
      <c r="M106" s="199">
        <f>+'2B Summary'!M50</f>
        <v>0</v>
      </c>
      <c r="N106" s="199">
        <f>+'2B Summary'!N50</f>
        <v>0</v>
      </c>
      <c r="O106" s="199">
        <f>+'2B Summary'!O50</f>
        <v>0</v>
      </c>
      <c r="P106" s="199">
        <f>+'2B Summary'!P50</f>
        <v>0</v>
      </c>
      <c r="Q106" s="199">
        <f>+'2B Summary'!Q50</f>
        <v>0</v>
      </c>
      <c r="R106" s="199">
        <f>+'2B Summary'!R50</f>
        <v>0</v>
      </c>
      <c r="S106" s="199">
        <f>+'2B Summary'!S50</f>
        <v>0</v>
      </c>
      <c r="T106" s="199">
        <f>+'2B Summary'!T50</f>
        <v>0</v>
      </c>
      <c r="U106" s="199">
        <f>+'2B Summary'!U50</f>
        <v>0</v>
      </c>
      <c r="V106" s="199">
        <f>+'2B Summary'!V50</f>
        <v>0</v>
      </c>
      <c r="W106" s="199">
        <f>+'2B Summary'!W50</f>
        <v>0</v>
      </c>
    </row>
    <row r="107" spans="1:24" s="104" customFormat="1" x14ac:dyDescent="0.25">
      <c r="A107" s="104" t="s">
        <v>742</v>
      </c>
      <c r="B107" s="104" t="s">
        <v>772</v>
      </c>
      <c r="C107" s="104" t="s">
        <v>773</v>
      </c>
      <c r="D107" s="104" t="s">
        <v>486</v>
      </c>
      <c r="E107" s="104" t="s">
        <v>745</v>
      </c>
      <c r="F107" s="199">
        <f>+'2B Summary'!F51</f>
        <v>6.6642659999999992E-2</v>
      </c>
      <c r="G107" s="199">
        <f>+'2B Summary'!G51</f>
        <v>6.6675419999999999E-2</v>
      </c>
      <c r="H107" s="199">
        <f>+'2B Summary'!H51</f>
        <v>7.7946119999999994E-2</v>
      </c>
      <c r="I107" s="199">
        <f>+'2B Summary'!I51</f>
        <v>7.7444639999999995E-2</v>
      </c>
      <c r="J107" s="199">
        <f>+'2B Summary'!J51</f>
        <v>7.6829759999999997E-2</v>
      </c>
      <c r="K107" s="199">
        <f>+'2B Summary'!K51</f>
        <v>7.2654120000000003E-2</v>
      </c>
      <c r="L107" s="199">
        <f>+'2B Summary'!L51</f>
        <v>6.8129459999999989E-2</v>
      </c>
      <c r="M107" s="199">
        <f>+'2B Summary'!M51</f>
        <v>7.2684360000000003E-2</v>
      </c>
      <c r="N107" s="199">
        <f>+'2B Summary'!N51</f>
        <v>6.4495620000000004E-2</v>
      </c>
      <c r="O107" s="199">
        <f>+'2B Summary'!O51</f>
        <v>6.4527119999999993E-2</v>
      </c>
      <c r="P107" s="199">
        <f>+'2B Summary'!P51</f>
        <v>6.4559854799999997E-2</v>
      </c>
      <c r="Q107" s="199">
        <f>+'2B Summary'!Q51</f>
        <v>6.4549799999999991E-2</v>
      </c>
      <c r="R107" s="199">
        <f>+'2B Summary'!R51</f>
        <v>6.4864799999999986E-2</v>
      </c>
      <c r="S107" s="199">
        <f>+'2B Summary'!S51</f>
        <v>6.4559854799999997E-2</v>
      </c>
      <c r="T107" s="199">
        <f>+'2B Summary'!T51</f>
        <v>6.3242882137124368E-2</v>
      </c>
      <c r="U107" s="199">
        <f>+'2B Summary'!U51</f>
        <v>6.2551022637102008E-2</v>
      </c>
      <c r="V107" s="199">
        <f>+'2B Summary'!V51</f>
        <v>6.1866731887136504E-2</v>
      </c>
      <c r="W107" s="199">
        <f>+'2B Summary'!W51</f>
        <v>6.1189927087212229E-2</v>
      </c>
    </row>
    <row r="108" spans="1:24" s="104" customFormat="1" x14ac:dyDescent="0.25">
      <c r="A108" s="104" t="s">
        <v>742</v>
      </c>
      <c r="B108" s="104" t="s">
        <v>774</v>
      </c>
      <c r="C108" s="104" t="s">
        <v>775</v>
      </c>
      <c r="D108" s="104" t="s">
        <v>486</v>
      </c>
      <c r="E108" s="104" t="s">
        <v>745</v>
      </c>
      <c r="F108" s="199">
        <f>+'2B Summary'!F52</f>
        <v>0</v>
      </c>
      <c r="G108" s="199">
        <f>+'2B Summary'!G52</f>
        <v>0</v>
      </c>
      <c r="H108" s="199">
        <f>+'2B Summary'!H52</f>
        <v>0</v>
      </c>
      <c r="I108" s="199">
        <f>+'2B Summary'!I52</f>
        <v>0</v>
      </c>
      <c r="J108" s="199">
        <f>+'2B Summary'!J52</f>
        <v>0</v>
      </c>
      <c r="K108" s="199">
        <f>+'2B Summary'!K52</f>
        <v>0</v>
      </c>
      <c r="L108" s="199">
        <f>+'2B Summary'!L52</f>
        <v>0</v>
      </c>
      <c r="M108" s="199">
        <f>+'2B Summary'!M52</f>
        <v>0</v>
      </c>
      <c r="N108" s="199">
        <f>+'2B Summary'!N52</f>
        <v>0</v>
      </c>
      <c r="O108" s="199">
        <f>+'2B Summary'!O52</f>
        <v>0</v>
      </c>
      <c r="P108" s="199">
        <f>+'2B Summary'!P52</f>
        <v>0</v>
      </c>
      <c r="Q108" s="199">
        <f>+'2B Summary'!Q52</f>
        <v>0</v>
      </c>
      <c r="R108" s="199">
        <f>+'2B Summary'!R52</f>
        <v>0</v>
      </c>
      <c r="S108" s="199">
        <f>+'2B Summary'!S52</f>
        <v>0</v>
      </c>
      <c r="T108" s="199">
        <f>+'2B Summary'!T52</f>
        <v>0</v>
      </c>
      <c r="U108" s="199">
        <f>+'2B Summary'!U52</f>
        <v>0</v>
      </c>
      <c r="V108" s="199">
        <f>+'2B Summary'!V52</f>
        <v>0</v>
      </c>
      <c r="W108" s="199">
        <f>+'2B Summary'!W52</f>
        <v>0</v>
      </c>
    </row>
    <row r="109" spans="1:24" s="104" customFormat="1" x14ac:dyDescent="0.25">
      <c r="A109" s="104" t="s">
        <v>742</v>
      </c>
      <c r="B109" s="104" t="s">
        <v>776</v>
      </c>
      <c r="C109" s="104" t="s">
        <v>756</v>
      </c>
      <c r="D109" s="104" t="s">
        <v>486</v>
      </c>
      <c r="E109" s="104" t="s">
        <v>745</v>
      </c>
      <c r="F109" s="199">
        <f>+'2B Summary'!F53</f>
        <v>0</v>
      </c>
      <c r="G109" s="199">
        <f>+'2B Summary'!G53</f>
        <v>0</v>
      </c>
      <c r="H109" s="199">
        <f>+'2B Summary'!H53</f>
        <v>0</v>
      </c>
      <c r="I109" s="199">
        <f>+'2B Summary'!I53</f>
        <v>0</v>
      </c>
      <c r="J109" s="199">
        <f>+'2B Summary'!J53</f>
        <v>0</v>
      </c>
      <c r="K109" s="199">
        <f>+'2B Summary'!K53</f>
        <v>0</v>
      </c>
      <c r="L109" s="199">
        <f>+'2B Summary'!L53</f>
        <v>0</v>
      </c>
      <c r="M109" s="199">
        <f>+'2B Summary'!M53</f>
        <v>0</v>
      </c>
      <c r="N109" s="199">
        <f>+'2B Summary'!N53</f>
        <v>0</v>
      </c>
      <c r="O109" s="199">
        <f>+'2B Summary'!O53</f>
        <v>0</v>
      </c>
      <c r="P109" s="199">
        <f>+'2B Summary'!P53</f>
        <v>0</v>
      </c>
      <c r="Q109" s="199">
        <f>+'2B Summary'!Q53</f>
        <v>0</v>
      </c>
      <c r="R109" s="199">
        <f>+'2B Summary'!R53</f>
        <v>0</v>
      </c>
      <c r="S109" s="199">
        <f>+'2B Summary'!S53</f>
        <v>0</v>
      </c>
      <c r="T109" s="199">
        <f>+'2B Summary'!T53</f>
        <v>0</v>
      </c>
      <c r="U109" s="199">
        <f>+'2B Summary'!U53</f>
        <v>0</v>
      </c>
      <c r="V109" s="199">
        <f>+'2B Summary'!V53</f>
        <v>0</v>
      </c>
      <c r="W109" s="199">
        <f>+'2B Summary'!W53</f>
        <v>0</v>
      </c>
    </row>
    <row r="110" spans="1:24" s="7" customFormat="1" x14ac:dyDescent="0.25">
      <c r="A110" s="7" t="s">
        <v>742</v>
      </c>
      <c r="B110" s="7" t="s">
        <v>777</v>
      </c>
      <c r="C110" s="7" t="s">
        <v>536</v>
      </c>
      <c r="D110" s="7" t="s">
        <v>486</v>
      </c>
      <c r="E110" s="7" t="s">
        <v>745</v>
      </c>
      <c r="F110" s="218">
        <f>+'2C Summary'!F34</f>
        <v>3.3016199999999998</v>
      </c>
      <c r="G110" s="218">
        <f>+'2C Summary'!G34</f>
        <v>3.2524800000000003</v>
      </c>
      <c r="H110" s="218">
        <f>+'2C Summary'!H34</f>
        <v>4.0466999999999995</v>
      </c>
      <c r="I110" s="218">
        <f>+'2C Summary'!I34</f>
        <v>4.0635000000000003</v>
      </c>
      <c r="J110" s="218">
        <f>+'2C Summary'!J34</f>
        <v>4.2252000000000001</v>
      </c>
      <c r="K110" s="218">
        <f>+'2C Summary'!K34</f>
        <v>4.0151999999999992</v>
      </c>
      <c r="L110" s="218">
        <f>+'2C Summary'!L34</f>
        <v>4.4700600000000001</v>
      </c>
      <c r="M110" s="218">
        <f>+'2C Summary'!M34</f>
        <v>4.19916</v>
      </c>
      <c r="N110" s="218">
        <f>+'2C Summary'!N34</f>
        <v>4.1298599999999999</v>
      </c>
      <c r="O110" s="218">
        <f>+'2C Summary'!O34</f>
        <v>3.2911199999999998</v>
      </c>
      <c r="P110" s="218">
        <f>+'2C Summary'!P34</f>
        <v>3.8509800000000003</v>
      </c>
      <c r="Q110" s="218">
        <f>+'2C Summary'!Q34</f>
        <v>4.1319599999999994</v>
      </c>
      <c r="R110" s="218">
        <f>+'2C Summary'!R34</f>
        <v>3.0806999999999998</v>
      </c>
      <c r="S110" s="218">
        <f>+'2C Summary'!S34</f>
        <v>2.5032000000000001</v>
      </c>
      <c r="T110" s="218">
        <f>+'2C Summary'!T34</f>
        <v>3.0311399999999997</v>
      </c>
      <c r="U110" s="218">
        <f>+'2C Summary'!U34</f>
        <v>3.9715200000000004</v>
      </c>
      <c r="V110" s="218">
        <f>+'2C Summary'!V34</f>
        <v>3.1888498319999998</v>
      </c>
      <c r="W110" s="218">
        <f>+'2C Summary'!W34</f>
        <v>3.0701897520000001</v>
      </c>
    </row>
    <row r="111" spans="1:24" s="104" customFormat="1" x14ac:dyDescent="0.25">
      <c r="A111" s="104" t="s">
        <v>742</v>
      </c>
      <c r="B111" s="104" t="s">
        <v>778</v>
      </c>
      <c r="C111" s="104" t="s">
        <v>779</v>
      </c>
      <c r="D111" s="104" t="s">
        <v>486</v>
      </c>
      <c r="E111" s="104" t="s">
        <v>745</v>
      </c>
      <c r="F111" s="199">
        <f>+'2C Summary'!F35</f>
        <v>0</v>
      </c>
      <c r="G111" s="199">
        <f>+'2C Summary'!G35</f>
        <v>0</v>
      </c>
      <c r="H111" s="199">
        <f>+'2C Summary'!H35</f>
        <v>0</v>
      </c>
      <c r="I111" s="199">
        <f>+'2C Summary'!I35</f>
        <v>0</v>
      </c>
      <c r="J111" s="199">
        <f>+'2C Summary'!J35</f>
        <v>0</v>
      </c>
      <c r="K111" s="199">
        <f>+'2C Summary'!K35</f>
        <v>0</v>
      </c>
      <c r="L111" s="199">
        <f>+'2C Summary'!L35</f>
        <v>0</v>
      </c>
      <c r="M111" s="199">
        <f>+'2C Summary'!M35</f>
        <v>0</v>
      </c>
      <c r="N111" s="199">
        <f>+'2C Summary'!N35</f>
        <v>0</v>
      </c>
      <c r="O111" s="199">
        <f>+'2C Summary'!O35</f>
        <v>0</v>
      </c>
      <c r="P111" s="199">
        <f>+'2C Summary'!P35</f>
        <v>0</v>
      </c>
      <c r="Q111" s="199">
        <f>+'2C Summary'!Q35</f>
        <v>0</v>
      </c>
      <c r="R111" s="199">
        <f>+'2C Summary'!R35</f>
        <v>0</v>
      </c>
      <c r="S111" s="199">
        <f>+'2C Summary'!S35</f>
        <v>0</v>
      </c>
      <c r="T111" s="199">
        <f>+'2C Summary'!T35</f>
        <v>0</v>
      </c>
      <c r="U111" s="199">
        <f>+'2C Summary'!U35</f>
        <v>0</v>
      </c>
      <c r="V111" s="199">
        <f>+'2C Summary'!V35</f>
        <v>0</v>
      </c>
      <c r="W111" s="199">
        <f>+'2C Summary'!W35</f>
        <v>0</v>
      </c>
    </row>
    <row r="112" spans="1:24" s="104" customFormat="1" x14ac:dyDescent="0.25">
      <c r="A112" s="104" t="s">
        <v>742</v>
      </c>
      <c r="B112" s="104" t="s">
        <v>780</v>
      </c>
      <c r="C112" s="104" t="s">
        <v>781</v>
      </c>
      <c r="D112" s="104" t="s">
        <v>486</v>
      </c>
      <c r="E112" s="104" t="s">
        <v>745</v>
      </c>
      <c r="F112" s="199">
        <f>+'2C Summary'!F36</f>
        <v>3.3016199999999998</v>
      </c>
      <c r="G112" s="199">
        <f>+'2C Summary'!G36</f>
        <v>3.2524800000000003</v>
      </c>
      <c r="H112" s="199">
        <f>+'2C Summary'!H36</f>
        <v>4.0466999999999995</v>
      </c>
      <c r="I112" s="199">
        <f>+'2C Summary'!I36</f>
        <v>4.0635000000000003</v>
      </c>
      <c r="J112" s="199">
        <f>+'2C Summary'!J36</f>
        <v>4.2252000000000001</v>
      </c>
      <c r="K112" s="199">
        <f>+'2C Summary'!K36</f>
        <v>4.0151999999999992</v>
      </c>
      <c r="L112" s="199">
        <f>+'2C Summary'!L36</f>
        <v>4.4700600000000001</v>
      </c>
      <c r="M112" s="199">
        <f>+'2C Summary'!M36</f>
        <v>4.19916</v>
      </c>
      <c r="N112" s="199">
        <f>+'2C Summary'!N36</f>
        <v>4.1298599999999999</v>
      </c>
      <c r="O112" s="199">
        <f>+'2C Summary'!O36</f>
        <v>3.2911199999999998</v>
      </c>
      <c r="P112" s="199">
        <f>+'2C Summary'!P36</f>
        <v>3.8509800000000003</v>
      </c>
      <c r="Q112" s="199">
        <f>+'2C Summary'!Q36</f>
        <v>4.1319599999999994</v>
      </c>
      <c r="R112" s="199">
        <f>+'2C Summary'!R36</f>
        <v>3.0806999999999998</v>
      </c>
      <c r="S112" s="199">
        <f>+'2C Summary'!S36</f>
        <v>2.5032000000000001</v>
      </c>
      <c r="T112" s="199">
        <f>+'2C Summary'!T36</f>
        <v>3.0311399999999997</v>
      </c>
      <c r="U112" s="199">
        <f>+'2C Summary'!U36</f>
        <v>3.9715200000000004</v>
      </c>
      <c r="V112" s="199">
        <f>+'2C Summary'!V36</f>
        <v>3.1888498319999998</v>
      </c>
      <c r="W112" s="199">
        <f>+'2C Summary'!W36</f>
        <v>3.0701897520000001</v>
      </c>
    </row>
    <row r="113" spans="1:24" s="104" customFormat="1" x14ac:dyDescent="0.25">
      <c r="A113" s="104" t="s">
        <v>742</v>
      </c>
      <c r="B113" s="104" t="s">
        <v>782</v>
      </c>
      <c r="C113" s="104" t="s">
        <v>783</v>
      </c>
      <c r="D113" s="104" t="s">
        <v>486</v>
      </c>
      <c r="E113" s="104" t="s">
        <v>745</v>
      </c>
      <c r="F113" s="199">
        <f>+'2C Summary'!F37</f>
        <v>0</v>
      </c>
      <c r="G113" s="199">
        <f>+'2C Summary'!G37</f>
        <v>0</v>
      </c>
      <c r="H113" s="199">
        <f>+'2C Summary'!H37</f>
        <v>0</v>
      </c>
      <c r="I113" s="199">
        <f>+'2C Summary'!I37</f>
        <v>0</v>
      </c>
      <c r="J113" s="199">
        <f>+'2C Summary'!J37</f>
        <v>0</v>
      </c>
      <c r="K113" s="199">
        <f>+'2C Summary'!K37</f>
        <v>0</v>
      </c>
      <c r="L113" s="199">
        <f>+'2C Summary'!L37</f>
        <v>0</v>
      </c>
      <c r="M113" s="199">
        <f>+'2C Summary'!M37</f>
        <v>0</v>
      </c>
      <c r="N113" s="199">
        <f>+'2C Summary'!N37</f>
        <v>0</v>
      </c>
      <c r="O113" s="199">
        <f>+'2C Summary'!O37</f>
        <v>0</v>
      </c>
      <c r="P113" s="199">
        <f>+'2C Summary'!P37</f>
        <v>0</v>
      </c>
      <c r="Q113" s="199">
        <f>+'2C Summary'!Q37</f>
        <v>0</v>
      </c>
      <c r="R113" s="199">
        <f>+'2C Summary'!R37</f>
        <v>0</v>
      </c>
      <c r="S113" s="199">
        <f>+'2C Summary'!S37</f>
        <v>0</v>
      </c>
      <c r="T113" s="199">
        <f>+'2C Summary'!T37</f>
        <v>0</v>
      </c>
      <c r="U113" s="199">
        <f>+'2C Summary'!U37</f>
        <v>0</v>
      </c>
      <c r="V113" s="199">
        <f>+'2C Summary'!V37</f>
        <v>0</v>
      </c>
      <c r="W113" s="199">
        <f>+'2C Summary'!W37</f>
        <v>0</v>
      </c>
    </row>
    <row r="114" spans="1:24" s="104" customFormat="1" x14ac:dyDescent="0.25">
      <c r="A114" s="104" t="s">
        <v>742</v>
      </c>
      <c r="B114" s="104" t="s">
        <v>784</v>
      </c>
      <c r="C114" s="104" t="s">
        <v>785</v>
      </c>
      <c r="D114" s="104" t="s">
        <v>486</v>
      </c>
      <c r="E114" s="104" t="s">
        <v>745</v>
      </c>
      <c r="F114" s="199">
        <f>+'2C Summary'!F38</f>
        <v>0</v>
      </c>
      <c r="G114" s="199">
        <f>+'2C Summary'!G38</f>
        <v>0</v>
      </c>
      <c r="H114" s="199">
        <f>+'2C Summary'!H38</f>
        <v>0</v>
      </c>
      <c r="I114" s="199">
        <f>+'2C Summary'!I38</f>
        <v>0</v>
      </c>
      <c r="J114" s="199">
        <f>+'2C Summary'!J38</f>
        <v>0</v>
      </c>
      <c r="K114" s="199">
        <f>+'2C Summary'!K38</f>
        <v>0</v>
      </c>
      <c r="L114" s="199">
        <f>+'2C Summary'!L38</f>
        <v>0</v>
      </c>
      <c r="M114" s="199">
        <f>+'2C Summary'!M38</f>
        <v>0</v>
      </c>
      <c r="N114" s="199">
        <f>+'2C Summary'!N38</f>
        <v>0</v>
      </c>
      <c r="O114" s="199">
        <f>+'2C Summary'!O38</f>
        <v>0</v>
      </c>
      <c r="P114" s="199">
        <f>+'2C Summary'!P38</f>
        <v>0</v>
      </c>
      <c r="Q114" s="199">
        <f>+'2C Summary'!Q38</f>
        <v>0</v>
      </c>
      <c r="R114" s="199">
        <f>+'2C Summary'!R38</f>
        <v>0</v>
      </c>
      <c r="S114" s="199">
        <f>+'2C Summary'!S38</f>
        <v>0</v>
      </c>
      <c r="T114" s="199">
        <f>+'2C Summary'!T38</f>
        <v>0</v>
      </c>
      <c r="U114" s="199">
        <f>+'2C Summary'!U38</f>
        <v>0</v>
      </c>
      <c r="V114" s="199">
        <f>+'2C Summary'!V38</f>
        <v>0</v>
      </c>
      <c r="W114" s="199">
        <f>+'2C Summary'!W38</f>
        <v>0</v>
      </c>
    </row>
    <row r="115" spans="1:24" s="104" customFormat="1" x14ac:dyDescent="0.25">
      <c r="A115" s="104" t="s">
        <v>742</v>
      </c>
      <c r="B115" s="104" t="s">
        <v>786</v>
      </c>
      <c r="C115" s="104" t="s">
        <v>787</v>
      </c>
      <c r="D115" s="104" t="s">
        <v>486</v>
      </c>
      <c r="E115" s="104" t="s">
        <v>745</v>
      </c>
      <c r="F115" s="199">
        <f>+'2C Summary'!F39</f>
        <v>0</v>
      </c>
      <c r="G115" s="199">
        <f>+'2C Summary'!G39</f>
        <v>0</v>
      </c>
      <c r="H115" s="199">
        <f>+'2C Summary'!H39</f>
        <v>0</v>
      </c>
      <c r="I115" s="199">
        <f>+'2C Summary'!I39</f>
        <v>0</v>
      </c>
      <c r="J115" s="199">
        <f>+'2C Summary'!J39</f>
        <v>0</v>
      </c>
      <c r="K115" s="199">
        <f>+'2C Summary'!K39</f>
        <v>0</v>
      </c>
      <c r="L115" s="199">
        <f>+'2C Summary'!L39</f>
        <v>0</v>
      </c>
      <c r="M115" s="199">
        <f>+'2C Summary'!M39</f>
        <v>0</v>
      </c>
      <c r="N115" s="199">
        <f>+'2C Summary'!N39</f>
        <v>0</v>
      </c>
      <c r="O115" s="199">
        <f>+'2C Summary'!O39</f>
        <v>0</v>
      </c>
      <c r="P115" s="199">
        <f>+'2C Summary'!P39</f>
        <v>0</v>
      </c>
      <c r="Q115" s="199">
        <f>+'2C Summary'!Q39</f>
        <v>0</v>
      </c>
      <c r="R115" s="199">
        <f>+'2C Summary'!R39</f>
        <v>0</v>
      </c>
      <c r="S115" s="199">
        <f>+'2C Summary'!S39</f>
        <v>0</v>
      </c>
      <c r="T115" s="199">
        <f>+'2C Summary'!T39</f>
        <v>0</v>
      </c>
      <c r="U115" s="199">
        <f>+'2C Summary'!U39</f>
        <v>0</v>
      </c>
      <c r="V115" s="199">
        <f>+'2C Summary'!V39</f>
        <v>0</v>
      </c>
      <c r="W115" s="199">
        <f>+'2C Summary'!W39</f>
        <v>0</v>
      </c>
    </row>
    <row r="116" spans="1:24" s="104" customFormat="1" x14ac:dyDescent="0.25">
      <c r="A116" s="104" t="s">
        <v>742</v>
      </c>
      <c r="B116" s="104" t="s">
        <v>788</v>
      </c>
      <c r="C116" s="104" t="s">
        <v>789</v>
      </c>
      <c r="D116" s="104" t="s">
        <v>486</v>
      </c>
      <c r="E116" s="104" t="s">
        <v>745</v>
      </c>
      <c r="F116" s="199">
        <f>+'2C Summary'!F40</f>
        <v>0</v>
      </c>
      <c r="G116" s="199">
        <f>+'2C Summary'!G40</f>
        <v>0</v>
      </c>
      <c r="H116" s="199">
        <f>+'2C Summary'!H40</f>
        <v>0</v>
      </c>
      <c r="I116" s="199">
        <f>+'2C Summary'!I40</f>
        <v>0</v>
      </c>
      <c r="J116" s="199">
        <f>+'2C Summary'!J40</f>
        <v>0</v>
      </c>
      <c r="K116" s="199">
        <f>+'2C Summary'!K40</f>
        <v>0</v>
      </c>
      <c r="L116" s="199">
        <f>+'2C Summary'!L40</f>
        <v>0</v>
      </c>
      <c r="M116" s="199">
        <f>+'2C Summary'!M40</f>
        <v>0</v>
      </c>
      <c r="N116" s="199">
        <f>+'2C Summary'!N40</f>
        <v>0</v>
      </c>
      <c r="O116" s="199">
        <f>+'2C Summary'!O40</f>
        <v>0</v>
      </c>
      <c r="P116" s="199">
        <f>+'2C Summary'!P40</f>
        <v>0</v>
      </c>
      <c r="Q116" s="199">
        <f>+'2C Summary'!Q40</f>
        <v>0</v>
      </c>
      <c r="R116" s="199">
        <f>+'2C Summary'!R40</f>
        <v>0</v>
      </c>
      <c r="S116" s="199">
        <f>+'2C Summary'!S40</f>
        <v>0</v>
      </c>
      <c r="T116" s="199">
        <f>+'2C Summary'!T40</f>
        <v>0</v>
      </c>
      <c r="U116" s="199">
        <f>+'2C Summary'!U40</f>
        <v>0</v>
      </c>
      <c r="V116" s="199">
        <f>+'2C Summary'!V40</f>
        <v>0</v>
      </c>
      <c r="W116" s="199">
        <f>+'2C Summary'!W40</f>
        <v>0</v>
      </c>
    </row>
    <row r="117" spans="1:24" s="104" customFormat="1" x14ac:dyDescent="0.25">
      <c r="A117" s="104" t="s">
        <v>742</v>
      </c>
      <c r="B117" s="104" t="s">
        <v>790</v>
      </c>
      <c r="C117" s="104" t="s">
        <v>756</v>
      </c>
      <c r="D117" s="104" t="s">
        <v>486</v>
      </c>
      <c r="E117" s="104" t="s">
        <v>745</v>
      </c>
      <c r="F117" s="199">
        <f>+'2C Summary'!F41</f>
        <v>0</v>
      </c>
      <c r="G117" s="199">
        <f>+'2C Summary'!G41</f>
        <v>0</v>
      </c>
      <c r="H117" s="199">
        <f>+'2C Summary'!H41</f>
        <v>0</v>
      </c>
      <c r="I117" s="199">
        <f>+'2C Summary'!I41</f>
        <v>0</v>
      </c>
      <c r="J117" s="199">
        <f>+'2C Summary'!J41</f>
        <v>0</v>
      </c>
      <c r="K117" s="199">
        <f>+'2C Summary'!K41</f>
        <v>0</v>
      </c>
      <c r="L117" s="199">
        <f>+'2C Summary'!L41</f>
        <v>0</v>
      </c>
      <c r="M117" s="199">
        <f>+'2C Summary'!M41</f>
        <v>0</v>
      </c>
      <c r="N117" s="199">
        <f>+'2C Summary'!N41</f>
        <v>0</v>
      </c>
      <c r="O117" s="199">
        <f>+'2C Summary'!O41</f>
        <v>0</v>
      </c>
      <c r="P117" s="199">
        <f>+'2C Summary'!P41</f>
        <v>0</v>
      </c>
      <c r="Q117" s="199">
        <f>+'2C Summary'!Q41</f>
        <v>0</v>
      </c>
      <c r="R117" s="199">
        <f>+'2C Summary'!R41</f>
        <v>0</v>
      </c>
      <c r="S117" s="199">
        <f>+'2C Summary'!S41</f>
        <v>0</v>
      </c>
      <c r="T117" s="199">
        <f>+'2C Summary'!T41</f>
        <v>0</v>
      </c>
      <c r="U117" s="199">
        <f>+'2C Summary'!U41</f>
        <v>0</v>
      </c>
      <c r="V117" s="199">
        <f>+'2C Summary'!V41</f>
        <v>0</v>
      </c>
      <c r="W117" s="199">
        <f>+'2C Summary'!W41</f>
        <v>0</v>
      </c>
    </row>
    <row r="118" spans="1:24" s="133" customFormat="1" x14ac:dyDescent="0.25"/>
    <row r="119" spans="1:24" s="22" customFormat="1" x14ac:dyDescent="0.25">
      <c r="A119" s="102" t="s">
        <v>838</v>
      </c>
    </row>
    <row r="120" spans="1:24" s="103" customFormat="1" x14ac:dyDescent="0.25">
      <c r="A120" s="7" t="s">
        <v>742</v>
      </c>
      <c r="B120" s="105">
        <v>2</v>
      </c>
      <c r="C120" s="103" t="s">
        <v>743</v>
      </c>
      <c r="D120" s="7" t="s">
        <v>488</v>
      </c>
      <c r="E120" s="7" t="s">
        <v>745</v>
      </c>
      <c r="F120" s="116">
        <f>+F121</f>
        <v>1644.519</v>
      </c>
      <c r="G120" s="116">
        <f t="shared" ref="G120:W120" si="6">+G121</f>
        <v>1583.9195799999998</v>
      </c>
      <c r="H120" s="116">
        <f t="shared" si="6"/>
        <v>1579.3802500000002</v>
      </c>
      <c r="I120" s="116">
        <f t="shared" si="6"/>
        <v>980.55790000000013</v>
      </c>
      <c r="J120" s="116">
        <f t="shared" si="6"/>
        <v>1264.0001999999999</v>
      </c>
      <c r="K120" s="116">
        <f t="shared" si="6"/>
        <v>2065.096</v>
      </c>
      <c r="L120" s="116">
        <f t="shared" si="6"/>
        <v>2134.6289999999999</v>
      </c>
      <c r="M120" s="116">
        <f t="shared" si="6"/>
        <v>1252.2388000000001</v>
      </c>
      <c r="N120" s="116">
        <f t="shared" si="6"/>
        <v>554.60239999999999</v>
      </c>
      <c r="O120" s="116">
        <f t="shared" si="6"/>
        <v>536.11399999999992</v>
      </c>
      <c r="P120" s="116">
        <f t="shared" si="6"/>
        <v>340.89769999999999</v>
      </c>
      <c r="Q120" s="116">
        <f t="shared" si="6"/>
        <v>319.05509999999998</v>
      </c>
      <c r="R120" s="116">
        <f t="shared" si="6"/>
        <v>350.67509999999999</v>
      </c>
      <c r="S120" s="116">
        <f t="shared" si="6"/>
        <v>604.39769999999999</v>
      </c>
      <c r="T120" s="116">
        <f t="shared" si="6"/>
        <v>368.71400000000006</v>
      </c>
      <c r="U120" s="116">
        <f t="shared" si="6"/>
        <v>345.40200000000004</v>
      </c>
      <c r="V120" s="116">
        <f t="shared" si="6"/>
        <v>294.41503876107924</v>
      </c>
      <c r="W120" s="116">
        <f t="shared" si="6"/>
        <v>292.55503876107923</v>
      </c>
      <c r="X120" s="104"/>
    </row>
    <row r="121" spans="1:24" s="7" customFormat="1" x14ac:dyDescent="0.25">
      <c r="A121" s="7" t="s">
        <v>742</v>
      </c>
      <c r="B121" s="7" t="s">
        <v>757</v>
      </c>
      <c r="C121" s="7" t="s">
        <v>520</v>
      </c>
      <c r="D121" s="7" t="s">
        <v>488</v>
      </c>
      <c r="E121" s="7" t="s">
        <v>745</v>
      </c>
      <c r="F121" s="218">
        <f>+'2B Summary'!F68</f>
        <v>1644.519</v>
      </c>
      <c r="G121" s="218">
        <f>+'2B Summary'!G68</f>
        <v>1583.9195799999998</v>
      </c>
      <c r="H121" s="218">
        <f>+'2B Summary'!H68</f>
        <v>1579.3802500000002</v>
      </c>
      <c r="I121" s="218">
        <f>+'2B Summary'!I68</f>
        <v>980.55790000000013</v>
      </c>
      <c r="J121" s="218">
        <f>+'2B Summary'!J68</f>
        <v>1264.0001999999999</v>
      </c>
      <c r="K121" s="218">
        <f>+'2B Summary'!K68</f>
        <v>2065.096</v>
      </c>
      <c r="L121" s="218">
        <f>+'2B Summary'!L68</f>
        <v>2134.6289999999999</v>
      </c>
      <c r="M121" s="218">
        <f>+'2B Summary'!M68</f>
        <v>1252.2388000000001</v>
      </c>
      <c r="N121" s="218">
        <f>+'2B Summary'!N68</f>
        <v>554.60239999999999</v>
      </c>
      <c r="O121" s="218">
        <f>+'2B Summary'!O68</f>
        <v>536.11399999999992</v>
      </c>
      <c r="P121" s="218">
        <f>+'2B Summary'!P68</f>
        <v>340.89769999999999</v>
      </c>
      <c r="Q121" s="218">
        <f>+'2B Summary'!Q68</f>
        <v>319.05509999999998</v>
      </c>
      <c r="R121" s="218">
        <f>+'2B Summary'!R68</f>
        <v>350.67509999999999</v>
      </c>
      <c r="S121" s="218">
        <f>+'2B Summary'!S68</f>
        <v>604.39769999999999</v>
      </c>
      <c r="T121" s="218">
        <f>+'2B Summary'!T68</f>
        <v>368.71400000000006</v>
      </c>
      <c r="U121" s="218">
        <f>+'2B Summary'!U68</f>
        <v>345.40200000000004</v>
      </c>
      <c r="V121" s="218">
        <f>+'2B Summary'!V68</f>
        <v>294.41503876107924</v>
      </c>
      <c r="W121" s="218">
        <f>+'2B Summary'!W68</f>
        <v>292.55503876107923</v>
      </c>
    </row>
    <row r="122" spans="1:24" s="104" customFormat="1" x14ac:dyDescent="0.25">
      <c r="A122" s="104" t="s">
        <v>742</v>
      </c>
      <c r="B122" s="104" t="s">
        <v>758</v>
      </c>
      <c r="C122" s="104" t="s">
        <v>759</v>
      </c>
      <c r="D122" s="104" t="s">
        <v>488</v>
      </c>
      <c r="E122" s="104" t="s">
        <v>745</v>
      </c>
      <c r="F122" s="199">
        <f>+'2B Summary'!F69</f>
        <v>0</v>
      </c>
      <c r="G122" s="199">
        <f>+'2B Summary'!G69</f>
        <v>0</v>
      </c>
      <c r="H122" s="199">
        <f>+'2B Summary'!H69</f>
        <v>0</v>
      </c>
      <c r="I122" s="199">
        <f>+'2B Summary'!I69</f>
        <v>0</v>
      </c>
      <c r="J122" s="199">
        <f>+'2B Summary'!J69</f>
        <v>0</v>
      </c>
      <c r="K122" s="199">
        <f>+'2B Summary'!K69</f>
        <v>0</v>
      </c>
      <c r="L122" s="199">
        <f>+'2B Summary'!L69</f>
        <v>0</v>
      </c>
      <c r="M122" s="199">
        <f>+'2B Summary'!M69</f>
        <v>0</v>
      </c>
      <c r="N122" s="199">
        <f>+'2B Summary'!N69</f>
        <v>0</v>
      </c>
      <c r="O122" s="199">
        <f>+'2B Summary'!O69</f>
        <v>0</v>
      </c>
      <c r="P122" s="199">
        <f>+'2B Summary'!P69</f>
        <v>0</v>
      </c>
      <c r="Q122" s="199">
        <f>+'2B Summary'!Q69</f>
        <v>0</v>
      </c>
      <c r="R122" s="199">
        <f>+'2B Summary'!R69</f>
        <v>0</v>
      </c>
      <c r="S122" s="199">
        <f>+'2B Summary'!S69</f>
        <v>0</v>
      </c>
      <c r="T122" s="199">
        <f>+'2B Summary'!T69</f>
        <v>0</v>
      </c>
      <c r="U122" s="199">
        <f>+'2B Summary'!U69</f>
        <v>0</v>
      </c>
      <c r="V122" s="199">
        <f>+'2B Summary'!V69</f>
        <v>0</v>
      </c>
      <c r="W122" s="199">
        <f>+'2B Summary'!W69</f>
        <v>0</v>
      </c>
    </row>
    <row r="123" spans="1:24" s="104" customFormat="1" x14ac:dyDescent="0.25">
      <c r="A123" s="104" t="s">
        <v>742</v>
      </c>
      <c r="B123" s="104" t="s">
        <v>760</v>
      </c>
      <c r="C123" s="104" t="s">
        <v>761</v>
      </c>
      <c r="D123" s="104" t="s">
        <v>488</v>
      </c>
      <c r="E123" s="104" t="s">
        <v>745</v>
      </c>
      <c r="F123" s="199">
        <f>+'2B Summary'!F70</f>
        <v>1644.519</v>
      </c>
      <c r="G123" s="199">
        <f>+'2B Summary'!G70</f>
        <v>1583.9195799999998</v>
      </c>
      <c r="H123" s="199">
        <f>+'2B Summary'!H70</f>
        <v>1579.3802500000002</v>
      </c>
      <c r="I123" s="199">
        <f>+'2B Summary'!I70</f>
        <v>980.55790000000013</v>
      </c>
      <c r="J123" s="199">
        <f>+'2B Summary'!J70</f>
        <v>1264.0001999999999</v>
      </c>
      <c r="K123" s="199">
        <f>+'2B Summary'!K70</f>
        <v>2065.096</v>
      </c>
      <c r="L123" s="199">
        <f>+'2B Summary'!L70</f>
        <v>2134.6289999999999</v>
      </c>
      <c r="M123" s="199">
        <f>+'2B Summary'!M70</f>
        <v>1252.2388000000001</v>
      </c>
      <c r="N123" s="199">
        <f>+'2B Summary'!N70</f>
        <v>554.60239999999999</v>
      </c>
      <c r="O123" s="199">
        <f>+'2B Summary'!O70</f>
        <v>536.11399999999992</v>
      </c>
      <c r="P123" s="199">
        <f>+'2B Summary'!P70</f>
        <v>340.89769999999999</v>
      </c>
      <c r="Q123" s="199">
        <f>+'2B Summary'!Q70</f>
        <v>319.05509999999998</v>
      </c>
      <c r="R123" s="199">
        <f>+'2B Summary'!R70</f>
        <v>350.67509999999999</v>
      </c>
      <c r="S123" s="199">
        <f>+'2B Summary'!S70</f>
        <v>604.39769999999999</v>
      </c>
      <c r="T123" s="199">
        <f>+'2B Summary'!T70</f>
        <v>368.71400000000006</v>
      </c>
      <c r="U123" s="199">
        <f>+'2B Summary'!U70</f>
        <v>345.40200000000004</v>
      </c>
      <c r="V123" s="199">
        <f>+'2B Summary'!V70</f>
        <v>294.41503876107924</v>
      </c>
      <c r="W123" s="199">
        <f>+'2B Summary'!W70</f>
        <v>292.55503876107923</v>
      </c>
    </row>
    <row r="124" spans="1:24" s="104" customFormat="1" x14ac:dyDescent="0.25">
      <c r="A124" s="104" t="s">
        <v>742</v>
      </c>
      <c r="B124" s="104" t="s">
        <v>762</v>
      </c>
      <c r="C124" s="104" t="s">
        <v>763</v>
      </c>
      <c r="D124" s="104" t="s">
        <v>488</v>
      </c>
      <c r="E124" s="104" t="s">
        <v>745</v>
      </c>
      <c r="F124" s="199">
        <f>+'2B Summary'!F71</f>
        <v>0</v>
      </c>
      <c r="G124" s="199">
        <f>+'2B Summary'!G71</f>
        <v>0</v>
      </c>
      <c r="H124" s="199">
        <f>+'2B Summary'!H71</f>
        <v>0</v>
      </c>
      <c r="I124" s="199">
        <f>+'2B Summary'!I71</f>
        <v>0</v>
      </c>
      <c r="J124" s="199">
        <f>+'2B Summary'!J71</f>
        <v>0</v>
      </c>
      <c r="K124" s="199">
        <f>+'2B Summary'!K71</f>
        <v>0</v>
      </c>
      <c r="L124" s="199">
        <f>+'2B Summary'!L71</f>
        <v>0</v>
      </c>
      <c r="M124" s="199">
        <f>+'2B Summary'!M71</f>
        <v>0</v>
      </c>
      <c r="N124" s="199">
        <f>+'2B Summary'!N71</f>
        <v>0</v>
      </c>
      <c r="O124" s="199">
        <f>+'2B Summary'!O71</f>
        <v>0</v>
      </c>
      <c r="P124" s="199">
        <f>+'2B Summary'!P71</f>
        <v>0</v>
      </c>
      <c r="Q124" s="199">
        <f>+'2B Summary'!Q71</f>
        <v>0</v>
      </c>
      <c r="R124" s="199">
        <f>+'2B Summary'!R71</f>
        <v>0</v>
      </c>
      <c r="S124" s="199">
        <f>+'2B Summary'!S71</f>
        <v>0</v>
      </c>
      <c r="T124" s="199">
        <f>+'2B Summary'!T71</f>
        <v>0</v>
      </c>
      <c r="U124" s="199">
        <f>+'2B Summary'!U71</f>
        <v>0</v>
      </c>
      <c r="V124" s="199">
        <f>+'2B Summary'!V71</f>
        <v>0</v>
      </c>
      <c r="W124" s="199">
        <f>+'2B Summary'!W71</f>
        <v>0</v>
      </c>
    </row>
    <row r="125" spans="1:24" s="104" customFormat="1" x14ac:dyDescent="0.25">
      <c r="A125" s="104" t="s">
        <v>742</v>
      </c>
      <c r="B125" s="104" t="s">
        <v>764</v>
      </c>
      <c r="C125" s="104" t="s">
        <v>765</v>
      </c>
      <c r="D125" s="104" t="s">
        <v>488</v>
      </c>
      <c r="E125" s="104" t="s">
        <v>745</v>
      </c>
      <c r="F125" s="199">
        <f>+'2B Summary'!F72</f>
        <v>0</v>
      </c>
      <c r="G125" s="199">
        <f>+'2B Summary'!G72</f>
        <v>0</v>
      </c>
      <c r="H125" s="199">
        <f>+'2B Summary'!H72</f>
        <v>0</v>
      </c>
      <c r="I125" s="199">
        <f>+'2B Summary'!I72</f>
        <v>0</v>
      </c>
      <c r="J125" s="199">
        <f>+'2B Summary'!J72</f>
        <v>0</v>
      </c>
      <c r="K125" s="199">
        <f>+'2B Summary'!K72</f>
        <v>0</v>
      </c>
      <c r="L125" s="199">
        <f>+'2B Summary'!L72</f>
        <v>0</v>
      </c>
      <c r="M125" s="199">
        <f>+'2B Summary'!M72</f>
        <v>0</v>
      </c>
      <c r="N125" s="199">
        <f>+'2B Summary'!N72</f>
        <v>0</v>
      </c>
      <c r="O125" s="199">
        <f>+'2B Summary'!O72</f>
        <v>0</v>
      </c>
      <c r="P125" s="199">
        <f>+'2B Summary'!P72</f>
        <v>0</v>
      </c>
      <c r="Q125" s="199">
        <f>+'2B Summary'!Q72</f>
        <v>0</v>
      </c>
      <c r="R125" s="199">
        <f>+'2B Summary'!R72</f>
        <v>0</v>
      </c>
      <c r="S125" s="199">
        <f>+'2B Summary'!S72</f>
        <v>0</v>
      </c>
      <c r="T125" s="199">
        <f>+'2B Summary'!T72</f>
        <v>0</v>
      </c>
      <c r="U125" s="199">
        <f>+'2B Summary'!U72</f>
        <v>0</v>
      </c>
      <c r="V125" s="199">
        <f>+'2B Summary'!V72</f>
        <v>0</v>
      </c>
      <c r="W125" s="199">
        <f>+'2B Summary'!W72</f>
        <v>0</v>
      </c>
    </row>
    <row r="126" spans="1:24" s="104" customFormat="1" x14ac:dyDescent="0.25">
      <c r="A126" s="104" t="s">
        <v>742</v>
      </c>
      <c r="B126" s="104" t="s">
        <v>766</v>
      </c>
      <c r="C126" s="104" t="s">
        <v>767</v>
      </c>
      <c r="D126" s="104" t="s">
        <v>488</v>
      </c>
      <c r="E126" s="104" t="s">
        <v>745</v>
      </c>
      <c r="F126" s="199">
        <f>+'2B Summary'!F73</f>
        <v>0</v>
      </c>
      <c r="G126" s="199">
        <f>+'2B Summary'!G73</f>
        <v>0</v>
      </c>
      <c r="H126" s="199">
        <f>+'2B Summary'!H73</f>
        <v>0</v>
      </c>
      <c r="I126" s="199">
        <f>+'2B Summary'!I73</f>
        <v>0</v>
      </c>
      <c r="J126" s="199">
        <f>+'2B Summary'!J73</f>
        <v>0</v>
      </c>
      <c r="K126" s="199">
        <f>+'2B Summary'!K73</f>
        <v>0</v>
      </c>
      <c r="L126" s="199">
        <f>+'2B Summary'!L73</f>
        <v>0</v>
      </c>
      <c r="M126" s="199">
        <f>+'2B Summary'!M73</f>
        <v>0</v>
      </c>
      <c r="N126" s="199">
        <f>+'2B Summary'!N73</f>
        <v>0</v>
      </c>
      <c r="O126" s="199">
        <f>+'2B Summary'!O73</f>
        <v>0</v>
      </c>
      <c r="P126" s="199">
        <f>+'2B Summary'!P73</f>
        <v>0</v>
      </c>
      <c r="Q126" s="199">
        <f>+'2B Summary'!Q73</f>
        <v>0</v>
      </c>
      <c r="R126" s="199">
        <f>+'2B Summary'!R73</f>
        <v>0</v>
      </c>
      <c r="S126" s="199">
        <f>+'2B Summary'!S73</f>
        <v>0</v>
      </c>
      <c r="T126" s="199">
        <f>+'2B Summary'!T73</f>
        <v>0</v>
      </c>
      <c r="U126" s="199">
        <f>+'2B Summary'!U73</f>
        <v>0</v>
      </c>
      <c r="V126" s="199">
        <f>+'2B Summary'!V73</f>
        <v>0</v>
      </c>
      <c r="W126" s="199">
        <f>+'2B Summary'!W73</f>
        <v>0</v>
      </c>
    </row>
    <row r="127" spans="1:24" s="104" customFormat="1" x14ac:dyDescent="0.25">
      <c r="A127" s="104" t="s">
        <v>742</v>
      </c>
      <c r="B127" s="104" t="s">
        <v>768</v>
      </c>
      <c r="C127" s="104" t="s">
        <v>769</v>
      </c>
      <c r="D127" s="104" t="s">
        <v>488</v>
      </c>
      <c r="E127" s="104" t="s">
        <v>745</v>
      </c>
      <c r="F127" s="199">
        <f>+'2B Summary'!F74</f>
        <v>0</v>
      </c>
      <c r="G127" s="199">
        <f>+'2B Summary'!G74</f>
        <v>0</v>
      </c>
      <c r="H127" s="199">
        <f>+'2B Summary'!H74</f>
        <v>0</v>
      </c>
      <c r="I127" s="199">
        <f>+'2B Summary'!I74</f>
        <v>0</v>
      </c>
      <c r="J127" s="199">
        <f>+'2B Summary'!J74</f>
        <v>0</v>
      </c>
      <c r="K127" s="199">
        <f>+'2B Summary'!K74</f>
        <v>0</v>
      </c>
      <c r="L127" s="199">
        <f>+'2B Summary'!L74</f>
        <v>0</v>
      </c>
      <c r="M127" s="199">
        <f>+'2B Summary'!M74</f>
        <v>0</v>
      </c>
      <c r="N127" s="199">
        <f>+'2B Summary'!N74</f>
        <v>0</v>
      </c>
      <c r="O127" s="199">
        <f>+'2B Summary'!O74</f>
        <v>0</v>
      </c>
      <c r="P127" s="199">
        <f>+'2B Summary'!P74</f>
        <v>0</v>
      </c>
      <c r="Q127" s="199">
        <f>+'2B Summary'!Q74</f>
        <v>0</v>
      </c>
      <c r="R127" s="199">
        <f>+'2B Summary'!R74</f>
        <v>0</v>
      </c>
      <c r="S127" s="199">
        <f>+'2B Summary'!S74</f>
        <v>0</v>
      </c>
      <c r="T127" s="199">
        <f>+'2B Summary'!T74</f>
        <v>0</v>
      </c>
      <c r="U127" s="199">
        <f>+'2B Summary'!U74</f>
        <v>0</v>
      </c>
      <c r="V127" s="199">
        <f>+'2B Summary'!V74</f>
        <v>0</v>
      </c>
      <c r="W127" s="199">
        <f>+'2B Summary'!W74</f>
        <v>0</v>
      </c>
    </row>
    <row r="128" spans="1:24" s="104" customFormat="1" x14ac:dyDescent="0.25">
      <c r="A128" s="104" t="s">
        <v>742</v>
      </c>
      <c r="B128" s="104" t="s">
        <v>770</v>
      </c>
      <c r="C128" s="104" t="s">
        <v>771</v>
      </c>
      <c r="D128" s="104" t="s">
        <v>488</v>
      </c>
      <c r="E128" s="104" t="s">
        <v>745</v>
      </c>
      <c r="F128" s="199">
        <f>+'2B Summary'!F75</f>
        <v>0</v>
      </c>
      <c r="G128" s="199">
        <f>+'2B Summary'!G75</f>
        <v>0</v>
      </c>
      <c r="H128" s="199">
        <f>+'2B Summary'!H75</f>
        <v>0</v>
      </c>
      <c r="I128" s="199">
        <f>+'2B Summary'!I75</f>
        <v>0</v>
      </c>
      <c r="J128" s="199">
        <f>+'2B Summary'!J75</f>
        <v>0</v>
      </c>
      <c r="K128" s="199">
        <f>+'2B Summary'!K75</f>
        <v>0</v>
      </c>
      <c r="L128" s="199">
        <f>+'2B Summary'!L75</f>
        <v>0</v>
      </c>
      <c r="M128" s="199">
        <f>+'2B Summary'!M75</f>
        <v>0</v>
      </c>
      <c r="N128" s="199">
        <f>+'2B Summary'!N75</f>
        <v>0</v>
      </c>
      <c r="O128" s="199">
        <f>+'2B Summary'!O75</f>
        <v>0</v>
      </c>
      <c r="P128" s="199">
        <f>+'2B Summary'!P75</f>
        <v>0</v>
      </c>
      <c r="Q128" s="199">
        <f>+'2B Summary'!Q75</f>
        <v>0</v>
      </c>
      <c r="R128" s="199">
        <f>+'2B Summary'!R75</f>
        <v>0</v>
      </c>
      <c r="S128" s="199">
        <f>+'2B Summary'!S75</f>
        <v>0</v>
      </c>
      <c r="T128" s="199">
        <f>+'2B Summary'!T75</f>
        <v>0</v>
      </c>
      <c r="U128" s="199">
        <f>+'2B Summary'!U75</f>
        <v>0</v>
      </c>
      <c r="V128" s="199">
        <f>+'2B Summary'!V75</f>
        <v>0</v>
      </c>
      <c r="W128" s="199">
        <f>+'2B Summary'!W75</f>
        <v>0</v>
      </c>
    </row>
    <row r="129" spans="1:24" s="104" customFormat="1" x14ac:dyDescent="0.25">
      <c r="A129" s="104" t="s">
        <v>742</v>
      </c>
      <c r="B129" s="104" t="s">
        <v>772</v>
      </c>
      <c r="C129" s="104" t="s">
        <v>773</v>
      </c>
      <c r="D129" s="104" t="s">
        <v>488</v>
      </c>
      <c r="E129" s="104" t="s">
        <v>745</v>
      </c>
      <c r="F129" s="199">
        <f>+'2B Summary'!F76</f>
        <v>0</v>
      </c>
      <c r="G129" s="199">
        <f>+'2B Summary'!G76</f>
        <v>0</v>
      </c>
      <c r="H129" s="199">
        <f>+'2B Summary'!H76</f>
        <v>0</v>
      </c>
      <c r="I129" s="199">
        <f>+'2B Summary'!I76</f>
        <v>0</v>
      </c>
      <c r="J129" s="199">
        <f>+'2B Summary'!J76</f>
        <v>0</v>
      </c>
      <c r="K129" s="199">
        <f>+'2B Summary'!K76</f>
        <v>0</v>
      </c>
      <c r="L129" s="199">
        <f>+'2B Summary'!L76</f>
        <v>0</v>
      </c>
      <c r="M129" s="199">
        <f>+'2B Summary'!M76</f>
        <v>0</v>
      </c>
      <c r="N129" s="199">
        <f>+'2B Summary'!N76</f>
        <v>0</v>
      </c>
      <c r="O129" s="199">
        <f>+'2B Summary'!O76</f>
        <v>0</v>
      </c>
      <c r="P129" s="199">
        <f>+'2B Summary'!P76</f>
        <v>0</v>
      </c>
      <c r="Q129" s="199">
        <f>+'2B Summary'!Q76</f>
        <v>0</v>
      </c>
      <c r="R129" s="199">
        <f>+'2B Summary'!R76</f>
        <v>0</v>
      </c>
      <c r="S129" s="199">
        <f>+'2B Summary'!S76</f>
        <v>0</v>
      </c>
      <c r="T129" s="199">
        <f>+'2B Summary'!T76</f>
        <v>0</v>
      </c>
      <c r="U129" s="199">
        <f>+'2B Summary'!U76</f>
        <v>0</v>
      </c>
      <c r="V129" s="199">
        <f>+'2B Summary'!V76</f>
        <v>0</v>
      </c>
      <c r="W129" s="199">
        <f>+'2B Summary'!W76</f>
        <v>0</v>
      </c>
    </row>
    <row r="130" spans="1:24" s="104" customFormat="1" x14ac:dyDescent="0.25">
      <c r="A130" s="104" t="s">
        <v>742</v>
      </c>
      <c r="B130" s="104" t="s">
        <v>774</v>
      </c>
      <c r="C130" s="104" t="s">
        <v>775</v>
      </c>
      <c r="D130" s="104" t="s">
        <v>488</v>
      </c>
      <c r="E130" s="104" t="s">
        <v>745</v>
      </c>
      <c r="F130" s="199">
        <f>+'2B Summary'!F77</f>
        <v>0</v>
      </c>
      <c r="G130" s="199">
        <f>+'2B Summary'!G77</f>
        <v>0</v>
      </c>
      <c r="H130" s="199">
        <f>+'2B Summary'!H77</f>
        <v>0</v>
      </c>
      <c r="I130" s="199">
        <f>+'2B Summary'!I77</f>
        <v>0</v>
      </c>
      <c r="J130" s="199">
        <f>+'2B Summary'!J77</f>
        <v>0</v>
      </c>
      <c r="K130" s="199">
        <f>+'2B Summary'!K77</f>
        <v>0</v>
      </c>
      <c r="L130" s="199">
        <f>+'2B Summary'!L77</f>
        <v>0</v>
      </c>
      <c r="M130" s="199">
        <f>+'2B Summary'!M77</f>
        <v>0</v>
      </c>
      <c r="N130" s="199">
        <f>+'2B Summary'!N77</f>
        <v>0</v>
      </c>
      <c r="O130" s="199">
        <f>+'2B Summary'!O77</f>
        <v>0</v>
      </c>
      <c r="P130" s="199">
        <f>+'2B Summary'!P77</f>
        <v>0</v>
      </c>
      <c r="Q130" s="199">
        <f>+'2B Summary'!Q77</f>
        <v>0</v>
      </c>
      <c r="R130" s="199">
        <f>+'2B Summary'!R77</f>
        <v>0</v>
      </c>
      <c r="S130" s="199">
        <f>+'2B Summary'!S77</f>
        <v>0</v>
      </c>
      <c r="T130" s="199">
        <f>+'2B Summary'!T77</f>
        <v>0</v>
      </c>
      <c r="U130" s="199">
        <f>+'2B Summary'!U77</f>
        <v>0</v>
      </c>
      <c r="V130" s="199">
        <f>+'2B Summary'!V77</f>
        <v>0</v>
      </c>
      <c r="W130" s="199">
        <f>+'2B Summary'!W77</f>
        <v>0</v>
      </c>
    </row>
    <row r="131" spans="1:24" s="104" customFormat="1" x14ac:dyDescent="0.25">
      <c r="A131" s="104" t="s">
        <v>742</v>
      </c>
      <c r="B131" s="104" t="s">
        <v>776</v>
      </c>
      <c r="C131" s="104" t="s">
        <v>756</v>
      </c>
      <c r="D131" s="104" t="s">
        <v>488</v>
      </c>
      <c r="E131" s="104" t="s">
        <v>745</v>
      </c>
      <c r="F131" s="199">
        <f>+'2B Summary'!F78</f>
        <v>0</v>
      </c>
      <c r="G131" s="199">
        <f>+'2B Summary'!G78</f>
        <v>0</v>
      </c>
      <c r="H131" s="199">
        <f>+'2B Summary'!H78</f>
        <v>0</v>
      </c>
      <c r="I131" s="199">
        <f>+'2B Summary'!I78</f>
        <v>0</v>
      </c>
      <c r="J131" s="199">
        <f>+'2B Summary'!J78</f>
        <v>0</v>
      </c>
      <c r="K131" s="199">
        <f>+'2B Summary'!K78</f>
        <v>0</v>
      </c>
      <c r="L131" s="199">
        <f>+'2B Summary'!L78</f>
        <v>0</v>
      </c>
      <c r="M131" s="199">
        <f>+'2B Summary'!M78</f>
        <v>0</v>
      </c>
      <c r="N131" s="199">
        <f>+'2B Summary'!N78</f>
        <v>0</v>
      </c>
      <c r="O131" s="199">
        <f>+'2B Summary'!O78</f>
        <v>0</v>
      </c>
      <c r="P131" s="199">
        <f>+'2B Summary'!P78</f>
        <v>0</v>
      </c>
      <c r="Q131" s="199">
        <f>+'2B Summary'!Q78</f>
        <v>0</v>
      </c>
      <c r="R131" s="199">
        <f>+'2B Summary'!R78</f>
        <v>0</v>
      </c>
      <c r="S131" s="199">
        <f>+'2B Summary'!S78</f>
        <v>0</v>
      </c>
      <c r="T131" s="199">
        <f>+'2B Summary'!T78</f>
        <v>0</v>
      </c>
      <c r="U131" s="199">
        <f>+'2B Summary'!U78</f>
        <v>0</v>
      </c>
      <c r="V131" s="199">
        <f>+'2B Summary'!V78</f>
        <v>0</v>
      </c>
      <c r="W131" s="199">
        <f>+'2B Summary'!W78</f>
        <v>0</v>
      </c>
    </row>
    <row r="132" spans="1:24" s="133" customFormat="1" x14ac:dyDescent="0.25"/>
    <row r="133" spans="1:24" s="22" customFormat="1" x14ac:dyDescent="0.25">
      <c r="A133" s="102" t="s">
        <v>839</v>
      </c>
    </row>
    <row r="134" spans="1:24" s="103" customFormat="1" x14ac:dyDescent="0.25">
      <c r="A134" s="7" t="s">
        <v>742</v>
      </c>
      <c r="B134" s="105">
        <v>2</v>
      </c>
      <c r="C134" s="103" t="s">
        <v>743</v>
      </c>
      <c r="D134" s="7" t="s">
        <v>840</v>
      </c>
      <c r="E134" s="7" t="s">
        <v>745</v>
      </c>
      <c r="F134" s="116">
        <f>+F135+F143</f>
        <v>983.18000000000006</v>
      </c>
      <c r="G134" s="116">
        <f t="shared" ref="G134:U134" si="7">+G135+G143</f>
        <v>1007.66</v>
      </c>
      <c r="H134" s="116">
        <f t="shared" si="7"/>
        <v>897.11999999999989</v>
      </c>
      <c r="I134" s="116">
        <f t="shared" si="7"/>
        <v>896.19999999999993</v>
      </c>
      <c r="J134" s="116">
        <f t="shared" si="7"/>
        <v>889.43</v>
      </c>
      <c r="K134" s="116">
        <f t="shared" si="7"/>
        <v>1713.3600000000001</v>
      </c>
      <c r="L134" s="116">
        <f t="shared" si="7"/>
        <v>1980.8800000000003</v>
      </c>
      <c r="M134" s="116">
        <f t="shared" si="7"/>
        <v>2034.0700000000002</v>
      </c>
      <c r="N134" s="116">
        <f t="shared" si="7"/>
        <v>1573.5700000000002</v>
      </c>
      <c r="O134" s="116">
        <f t="shared" si="7"/>
        <v>1100.25</v>
      </c>
      <c r="P134" s="116">
        <f t="shared" si="7"/>
        <v>2203.69</v>
      </c>
      <c r="Q134" s="116">
        <f t="shared" si="7"/>
        <v>4685.2470304020007</v>
      </c>
      <c r="R134" s="116">
        <f t="shared" si="7"/>
        <v>4506.7776217245</v>
      </c>
      <c r="S134" s="116">
        <f t="shared" si="7"/>
        <v>5298.3635065690069</v>
      </c>
      <c r="T134" s="116">
        <f t="shared" si="7"/>
        <v>5349.0580403969579</v>
      </c>
      <c r="U134" s="116">
        <f t="shared" si="7"/>
        <v>5668.2306503702548</v>
      </c>
      <c r="V134" s="116">
        <f t="shared" ref="V134:W134" si="8">+V135+V143</f>
        <v>6171.4153382075165</v>
      </c>
      <c r="W134" s="116">
        <f t="shared" si="8"/>
        <v>6488.2120026438679</v>
      </c>
      <c r="X134" s="104"/>
    </row>
    <row r="135" spans="1:24" s="7" customFormat="1" x14ac:dyDescent="0.25">
      <c r="A135" s="7" t="s">
        <v>742</v>
      </c>
      <c r="B135" s="7" t="s">
        <v>777</v>
      </c>
      <c r="C135" s="7" t="s">
        <v>536</v>
      </c>
      <c r="D135" s="7" t="s">
        <v>841</v>
      </c>
      <c r="E135" s="7" t="s">
        <v>745</v>
      </c>
      <c r="F135" s="218">
        <f>+'2C Summary'!F62</f>
        <v>983.18000000000006</v>
      </c>
      <c r="G135" s="218">
        <f>+'2C Summary'!G62</f>
        <v>1007.66</v>
      </c>
      <c r="H135" s="218">
        <f>+'2C Summary'!H62</f>
        <v>897.11999999999989</v>
      </c>
      <c r="I135" s="218">
        <f>+'2C Summary'!I62</f>
        <v>896.19999999999993</v>
      </c>
      <c r="J135" s="218">
        <f>+'2C Summary'!J62</f>
        <v>889.43</v>
      </c>
      <c r="K135" s="218">
        <f>+'2C Summary'!K62</f>
        <v>871.61</v>
      </c>
      <c r="L135" s="218">
        <f>+'2C Summary'!L62</f>
        <v>935.52000000000021</v>
      </c>
      <c r="M135" s="218">
        <f>+'2C Summary'!M62</f>
        <v>970.67</v>
      </c>
      <c r="N135" s="218">
        <f>+'2C Summary'!N62</f>
        <v>547.62</v>
      </c>
      <c r="O135" s="218">
        <f>+'2C Summary'!O62</f>
        <v>108.21</v>
      </c>
      <c r="P135" s="218">
        <f>+'2C Summary'!P62</f>
        <v>137.89000000000001</v>
      </c>
      <c r="Q135" s="218">
        <f>+'2C Summary'!Q62</f>
        <v>2410.8500000000004</v>
      </c>
      <c r="R135" s="218">
        <f>+'2C Summary'!R62</f>
        <v>1979.19</v>
      </c>
      <c r="S135" s="218">
        <f>+'2C Summary'!S62</f>
        <v>2445.8263621230067</v>
      </c>
      <c r="T135" s="218">
        <f>+'2C Summary'!T62</f>
        <v>2283.4638596859581</v>
      </c>
      <c r="U135" s="218">
        <f>+'2C Summary'!U62</f>
        <v>2186.1057229412554</v>
      </c>
      <c r="V135" s="218">
        <f>+'2C Summary'!V62</f>
        <v>2435.974945562516</v>
      </c>
      <c r="W135" s="218">
        <f>+'2C Summary'!W62</f>
        <v>2453.3576885060675</v>
      </c>
    </row>
    <row r="136" spans="1:24" s="104" customFormat="1" x14ac:dyDescent="0.25">
      <c r="A136" s="104" t="s">
        <v>742</v>
      </c>
      <c r="B136" s="104" t="s">
        <v>778</v>
      </c>
      <c r="C136" s="104" t="s">
        <v>779</v>
      </c>
      <c r="D136" s="104" t="s">
        <v>841</v>
      </c>
      <c r="E136" s="104" t="s">
        <v>745</v>
      </c>
      <c r="F136" s="199">
        <f>+'2C Summary'!F63</f>
        <v>0</v>
      </c>
      <c r="G136" s="199">
        <f>+'2C Summary'!G63</f>
        <v>0</v>
      </c>
      <c r="H136" s="199">
        <f>+'2C Summary'!H63</f>
        <v>0</v>
      </c>
      <c r="I136" s="199">
        <f>+'2C Summary'!I63</f>
        <v>0</v>
      </c>
      <c r="J136" s="199">
        <f>+'2C Summary'!J63</f>
        <v>0</v>
      </c>
      <c r="K136" s="199">
        <f>+'2C Summary'!K63</f>
        <v>0</v>
      </c>
      <c r="L136" s="199">
        <f>+'2C Summary'!L63</f>
        <v>0</v>
      </c>
      <c r="M136" s="199">
        <f>+'2C Summary'!M63</f>
        <v>0</v>
      </c>
      <c r="N136" s="199">
        <f>+'2C Summary'!N63</f>
        <v>0</v>
      </c>
      <c r="O136" s="199">
        <f>+'2C Summary'!O63</f>
        <v>0</v>
      </c>
      <c r="P136" s="199">
        <f>+'2C Summary'!P63</f>
        <v>0</v>
      </c>
      <c r="Q136" s="199">
        <f>+'2C Summary'!Q63</f>
        <v>0</v>
      </c>
      <c r="R136" s="199">
        <f>+'2C Summary'!R63</f>
        <v>0</v>
      </c>
      <c r="S136" s="199">
        <f>+'2C Summary'!S63</f>
        <v>0</v>
      </c>
      <c r="T136" s="199">
        <f>+'2C Summary'!T63</f>
        <v>0</v>
      </c>
      <c r="U136" s="199">
        <f>+'2C Summary'!U63</f>
        <v>0</v>
      </c>
      <c r="V136" s="199">
        <f>+'2C Summary'!V63</f>
        <v>0</v>
      </c>
      <c r="W136" s="199">
        <f>+'2C Summary'!W63</f>
        <v>0</v>
      </c>
    </row>
    <row r="137" spans="1:24" s="104" customFormat="1" x14ac:dyDescent="0.25">
      <c r="A137" s="104" t="s">
        <v>742</v>
      </c>
      <c r="B137" s="104" t="s">
        <v>780</v>
      </c>
      <c r="C137" s="104" t="s">
        <v>781</v>
      </c>
      <c r="D137" s="104" t="s">
        <v>841</v>
      </c>
      <c r="E137" s="104" t="s">
        <v>745</v>
      </c>
      <c r="F137" s="199">
        <f>+'2C Summary'!F64</f>
        <v>0</v>
      </c>
      <c r="G137" s="199">
        <f>+'2C Summary'!G64</f>
        <v>0</v>
      </c>
      <c r="H137" s="199">
        <f>+'2C Summary'!H64</f>
        <v>0</v>
      </c>
      <c r="I137" s="199">
        <f>+'2C Summary'!I64</f>
        <v>0</v>
      </c>
      <c r="J137" s="199">
        <f>+'2C Summary'!J64</f>
        <v>0</v>
      </c>
      <c r="K137" s="199">
        <f>+'2C Summary'!K64</f>
        <v>0</v>
      </c>
      <c r="L137" s="199">
        <f>+'2C Summary'!L64</f>
        <v>0</v>
      </c>
      <c r="M137" s="199">
        <f>+'2C Summary'!M64</f>
        <v>0</v>
      </c>
      <c r="N137" s="199">
        <f>+'2C Summary'!N64</f>
        <v>0</v>
      </c>
      <c r="O137" s="199">
        <f>+'2C Summary'!O64</f>
        <v>0</v>
      </c>
      <c r="P137" s="199">
        <f>+'2C Summary'!P64</f>
        <v>0</v>
      </c>
      <c r="Q137" s="199">
        <f>+'2C Summary'!Q64</f>
        <v>0</v>
      </c>
      <c r="R137" s="199">
        <f>+'2C Summary'!R64</f>
        <v>0</v>
      </c>
      <c r="S137" s="199">
        <f>+'2C Summary'!S64</f>
        <v>0</v>
      </c>
      <c r="T137" s="199">
        <f>+'2C Summary'!T64</f>
        <v>0</v>
      </c>
      <c r="U137" s="199">
        <f>+'2C Summary'!U64</f>
        <v>0</v>
      </c>
      <c r="V137" s="199">
        <f>+'2C Summary'!V64</f>
        <v>0</v>
      </c>
      <c r="W137" s="199">
        <f>+'2C Summary'!W64</f>
        <v>0</v>
      </c>
    </row>
    <row r="138" spans="1:24" s="104" customFormat="1" x14ac:dyDescent="0.25">
      <c r="A138" s="104" t="s">
        <v>742</v>
      </c>
      <c r="B138" s="104" t="s">
        <v>782</v>
      </c>
      <c r="C138" s="104" t="s">
        <v>783</v>
      </c>
      <c r="D138" s="104" t="s">
        <v>841</v>
      </c>
      <c r="E138" s="104" t="s">
        <v>745</v>
      </c>
      <c r="F138" s="199">
        <f>+'2C Summary'!F65</f>
        <v>983.18000000000006</v>
      </c>
      <c r="G138" s="199">
        <f>+'2C Summary'!G65</f>
        <v>1007.66</v>
      </c>
      <c r="H138" s="199">
        <f>+'2C Summary'!H65</f>
        <v>897.11999999999989</v>
      </c>
      <c r="I138" s="199">
        <f>+'2C Summary'!I65</f>
        <v>896.19999999999993</v>
      </c>
      <c r="J138" s="199">
        <f>+'2C Summary'!J65</f>
        <v>889.43</v>
      </c>
      <c r="K138" s="199">
        <f>+'2C Summary'!K65</f>
        <v>871.61</v>
      </c>
      <c r="L138" s="199">
        <f>+'2C Summary'!L65</f>
        <v>935.52000000000021</v>
      </c>
      <c r="M138" s="199">
        <f>+'2C Summary'!M65</f>
        <v>970.67</v>
      </c>
      <c r="N138" s="199">
        <f>+'2C Summary'!N65</f>
        <v>547.62</v>
      </c>
      <c r="O138" s="199">
        <f>+'2C Summary'!O65</f>
        <v>108.21</v>
      </c>
      <c r="P138" s="199">
        <f>+'2C Summary'!P65</f>
        <v>137.89000000000001</v>
      </c>
      <c r="Q138" s="199">
        <f>+'2C Summary'!Q65</f>
        <v>2410.8500000000004</v>
      </c>
      <c r="R138" s="199">
        <f>+'2C Summary'!R65</f>
        <v>1979.19</v>
      </c>
      <c r="S138" s="199">
        <f>+'2C Summary'!S65</f>
        <v>2445.8263621230067</v>
      </c>
      <c r="T138" s="199">
        <f>+'2C Summary'!T65</f>
        <v>2283.4638596859581</v>
      </c>
      <c r="U138" s="199">
        <f>+'2C Summary'!U65</f>
        <v>2186.1057229412554</v>
      </c>
      <c r="V138" s="199">
        <f>+'2C Summary'!V65</f>
        <v>2435.974945562516</v>
      </c>
      <c r="W138" s="199">
        <f>+'2C Summary'!W65</f>
        <v>2453.3576885060675</v>
      </c>
    </row>
    <row r="139" spans="1:24" s="104" customFormat="1" x14ac:dyDescent="0.25">
      <c r="A139" s="104" t="s">
        <v>742</v>
      </c>
      <c r="B139" s="104" t="s">
        <v>784</v>
      </c>
      <c r="C139" s="104" t="s">
        <v>785</v>
      </c>
      <c r="D139" s="104" t="s">
        <v>841</v>
      </c>
      <c r="E139" s="104" t="s">
        <v>745</v>
      </c>
      <c r="F139" s="199">
        <f>+'2C Summary'!F66</f>
        <v>0</v>
      </c>
      <c r="G139" s="199">
        <f>+'2C Summary'!G66</f>
        <v>0</v>
      </c>
      <c r="H139" s="199">
        <f>+'2C Summary'!H66</f>
        <v>0</v>
      </c>
      <c r="I139" s="199">
        <f>+'2C Summary'!I66</f>
        <v>0</v>
      </c>
      <c r="J139" s="199">
        <f>+'2C Summary'!J66</f>
        <v>0</v>
      </c>
      <c r="K139" s="199">
        <f>+'2C Summary'!K66</f>
        <v>0</v>
      </c>
      <c r="L139" s="199">
        <f>+'2C Summary'!L66</f>
        <v>0</v>
      </c>
      <c r="M139" s="199">
        <f>+'2C Summary'!M66</f>
        <v>0</v>
      </c>
      <c r="N139" s="199">
        <f>+'2C Summary'!N66</f>
        <v>0</v>
      </c>
      <c r="O139" s="199">
        <f>+'2C Summary'!O66</f>
        <v>0</v>
      </c>
      <c r="P139" s="199">
        <f>+'2C Summary'!P66</f>
        <v>0</v>
      </c>
      <c r="Q139" s="199">
        <f>+'2C Summary'!Q66</f>
        <v>0</v>
      </c>
      <c r="R139" s="199">
        <f>+'2C Summary'!R66</f>
        <v>0</v>
      </c>
      <c r="S139" s="199">
        <f>+'2C Summary'!S66</f>
        <v>0</v>
      </c>
      <c r="T139" s="199">
        <f>+'2C Summary'!T66</f>
        <v>0</v>
      </c>
      <c r="U139" s="199">
        <f>+'2C Summary'!U66</f>
        <v>0</v>
      </c>
      <c r="V139" s="199">
        <f>+'2C Summary'!V66</f>
        <v>0</v>
      </c>
      <c r="W139" s="199">
        <f>+'2C Summary'!W66</f>
        <v>0</v>
      </c>
    </row>
    <row r="140" spans="1:24" s="104" customFormat="1" x14ac:dyDescent="0.25">
      <c r="A140" s="104" t="s">
        <v>742</v>
      </c>
      <c r="B140" s="104" t="s">
        <v>786</v>
      </c>
      <c r="C140" s="104" t="s">
        <v>787</v>
      </c>
      <c r="D140" s="104" t="s">
        <v>841</v>
      </c>
      <c r="E140" s="104" t="s">
        <v>745</v>
      </c>
      <c r="F140" s="199">
        <f>+'2C Summary'!F67</f>
        <v>0</v>
      </c>
      <c r="G140" s="199">
        <f>+'2C Summary'!G67</f>
        <v>0</v>
      </c>
      <c r="H140" s="199">
        <f>+'2C Summary'!H67</f>
        <v>0</v>
      </c>
      <c r="I140" s="199">
        <f>+'2C Summary'!I67</f>
        <v>0</v>
      </c>
      <c r="J140" s="199">
        <f>+'2C Summary'!J67</f>
        <v>0</v>
      </c>
      <c r="K140" s="199">
        <f>+'2C Summary'!K67</f>
        <v>0</v>
      </c>
      <c r="L140" s="199">
        <f>+'2C Summary'!L67</f>
        <v>0</v>
      </c>
      <c r="M140" s="199">
        <f>+'2C Summary'!M67</f>
        <v>0</v>
      </c>
      <c r="N140" s="199">
        <f>+'2C Summary'!N67</f>
        <v>0</v>
      </c>
      <c r="O140" s="199">
        <f>+'2C Summary'!O67</f>
        <v>0</v>
      </c>
      <c r="P140" s="199">
        <f>+'2C Summary'!P67</f>
        <v>0</v>
      </c>
      <c r="Q140" s="199">
        <f>+'2C Summary'!Q67</f>
        <v>0</v>
      </c>
      <c r="R140" s="199">
        <f>+'2C Summary'!R67</f>
        <v>0</v>
      </c>
      <c r="S140" s="199">
        <f>+'2C Summary'!S67</f>
        <v>0</v>
      </c>
      <c r="T140" s="199">
        <f>+'2C Summary'!T67</f>
        <v>0</v>
      </c>
      <c r="U140" s="199">
        <f>+'2C Summary'!U67</f>
        <v>0</v>
      </c>
      <c r="V140" s="199">
        <f>+'2C Summary'!V67</f>
        <v>0</v>
      </c>
      <c r="W140" s="199">
        <f>+'2C Summary'!W67</f>
        <v>0</v>
      </c>
    </row>
    <row r="141" spans="1:24" s="104" customFormat="1" x14ac:dyDescent="0.25">
      <c r="A141" s="104" t="s">
        <v>742</v>
      </c>
      <c r="B141" s="104" t="s">
        <v>788</v>
      </c>
      <c r="C141" s="104" t="s">
        <v>789</v>
      </c>
      <c r="D141" s="104" t="s">
        <v>841</v>
      </c>
      <c r="E141" s="104" t="s">
        <v>745</v>
      </c>
      <c r="F141" s="199">
        <f>+'2C Summary'!F68</f>
        <v>0</v>
      </c>
      <c r="G141" s="199">
        <f>+'2C Summary'!G68</f>
        <v>0</v>
      </c>
      <c r="H141" s="199">
        <f>+'2C Summary'!H68</f>
        <v>0</v>
      </c>
      <c r="I141" s="199">
        <f>+'2C Summary'!I68</f>
        <v>0</v>
      </c>
      <c r="J141" s="199">
        <f>+'2C Summary'!J68</f>
        <v>0</v>
      </c>
      <c r="K141" s="199">
        <f>+'2C Summary'!K68</f>
        <v>0</v>
      </c>
      <c r="L141" s="199">
        <f>+'2C Summary'!L68</f>
        <v>0</v>
      </c>
      <c r="M141" s="199">
        <f>+'2C Summary'!M68</f>
        <v>0</v>
      </c>
      <c r="N141" s="199">
        <f>+'2C Summary'!N68</f>
        <v>0</v>
      </c>
      <c r="O141" s="199">
        <f>+'2C Summary'!O68</f>
        <v>0</v>
      </c>
      <c r="P141" s="199">
        <f>+'2C Summary'!P68</f>
        <v>0</v>
      </c>
      <c r="Q141" s="199">
        <f>+'2C Summary'!Q68</f>
        <v>0</v>
      </c>
      <c r="R141" s="199">
        <f>+'2C Summary'!R68</f>
        <v>0</v>
      </c>
      <c r="S141" s="199">
        <f>+'2C Summary'!S68</f>
        <v>0</v>
      </c>
      <c r="T141" s="199">
        <f>+'2C Summary'!T68</f>
        <v>0</v>
      </c>
      <c r="U141" s="199">
        <f>+'2C Summary'!U68</f>
        <v>0</v>
      </c>
      <c r="V141" s="199">
        <f>+'2C Summary'!V68</f>
        <v>0</v>
      </c>
      <c r="W141" s="199">
        <f>+'2C Summary'!W68</f>
        <v>0</v>
      </c>
    </row>
    <row r="142" spans="1:24" s="104" customFormat="1" x14ac:dyDescent="0.25">
      <c r="A142" s="104" t="s">
        <v>742</v>
      </c>
      <c r="B142" s="104" t="s">
        <v>790</v>
      </c>
      <c r="C142" s="104" t="s">
        <v>756</v>
      </c>
      <c r="D142" s="104" t="s">
        <v>841</v>
      </c>
      <c r="E142" s="104" t="s">
        <v>745</v>
      </c>
      <c r="F142" s="199">
        <f>+'2C Summary'!F69</f>
        <v>0</v>
      </c>
      <c r="G142" s="199">
        <f>+'2C Summary'!G69</f>
        <v>0</v>
      </c>
      <c r="H142" s="199">
        <f>+'2C Summary'!H69</f>
        <v>0</v>
      </c>
      <c r="I142" s="199">
        <f>+'2C Summary'!I69</f>
        <v>0</v>
      </c>
      <c r="J142" s="199">
        <f>+'2C Summary'!J69</f>
        <v>0</v>
      </c>
      <c r="K142" s="199">
        <f>+'2C Summary'!K69</f>
        <v>0</v>
      </c>
      <c r="L142" s="199">
        <f>+'2C Summary'!L69</f>
        <v>0</v>
      </c>
      <c r="M142" s="199">
        <f>+'2C Summary'!M69</f>
        <v>0</v>
      </c>
      <c r="N142" s="199">
        <f>+'2C Summary'!N69</f>
        <v>0</v>
      </c>
      <c r="O142" s="199">
        <f>+'2C Summary'!O69</f>
        <v>0</v>
      </c>
      <c r="P142" s="199">
        <f>+'2C Summary'!P69</f>
        <v>0</v>
      </c>
      <c r="Q142" s="199">
        <f>+'2C Summary'!Q69</f>
        <v>0</v>
      </c>
      <c r="R142" s="199">
        <f>+'2C Summary'!R69</f>
        <v>0</v>
      </c>
      <c r="S142" s="199">
        <f>+'2C Summary'!S69</f>
        <v>0</v>
      </c>
      <c r="T142" s="199">
        <f>+'2C Summary'!T69</f>
        <v>0</v>
      </c>
      <c r="U142" s="199">
        <f>+'2C Summary'!U69</f>
        <v>0</v>
      </c>
      <c r="V142" s="199">
        <f>+'2C Summary'!V69</f>
        <v>0</v>
      </c>
      <c r="W142" s="199">
        <f>+'2C Summary'!W69</f>
        <v>0</v>
      </c>
    </row>
    <row r="143" spans="1:24" s="7" customFormat="1" x14ac:dyDescent="0.25">
      <c r="A143" s="7" t="s">
        <v>742</v>
      </c>
      <c r="B143" s="7" t="s">
        <v>809</v>
      </c>
      <c r="C143" s="7" t="s">
        <v>810</v>
      </c>
      <c r="D143" s="7" t="s">
        <v>842</v>
      </c>
      <c r="E143" s="7" t="s">
        <v>745</v>
      </c>
      <c r="F143" s="218">
        <f>+'2F Summary'!F4</f>
        <v>0</v>
      </c>
      <c r="G143" s="218">
        <f>+'2F Summary'!G4</f>
        <v>0</v>
      </c>
      <c r="H143" s="218">
        <f>+'2F Summary'!H4</f>
        <v>0</v>
      </c>
      <c r="I143" s="218">
        <f>+'2F Summary'!I4</f>
        <v>0</v>
      </c>
      <c r="J143" s="218">
        <f>+'2F Summary'!J4</f>
        <v>0</v>
      </c>
      <c r="K143" s="218">
        <f>+'2F Summary'!K4</f>
        <v>841.75</v>
      </c>
      <c r="L143" s="218">
        <f>+'2F Summary'!L4</f>
        <v>1045.3600000000001</v>
      </c>
      <c r="M143" s="218">
        <f>+'2F Summary'!M4</f>
        <v>1063.4000000000001</v>
      </c>
      <c r="N143" s="218">
        <f>+'2F Summary'!N4</f>
        <v>1025.95</v>
      </c>
      <c r="O143" s="218">
        <f>+'2F Summary'!O4</f>
        <v>992.04</v>
      </c>
      <c r="P143" s="218">
        <f>+'2F Summary'!P4</f>
        <v>2065.8000000000002</v>
      </c>
      <c r="Q143" s="218">
        <f>+'2F Summary'!Q4</f>
        <v>2274.3970304019999</v>
      </c>
      <c r="R143" s="218">
        <f>+'2F Summary'!R4</f>
        <v>2527.5876217245</v>
      </c>
      <c r="S143" s="218">
        <f>+'2F Summary'!S4</f>
        <v>2852.5371444459997</v>
      </c>
      <c r="T143" s="218">
        <f>+'2F Summary'!T4</f>
        <v>3065.5941807110003</v>
      </c>
      <c r="U143" s="218">
        <f>+'2F Summary'!U4</f>
        <v>3482.1249274289999</v>
      </c>
      <c r="V143" s="218">
        <f>+'2F Summary'!V4</f>
        <v>3735.440392645</v>
      </c>
      <c r="W143" s="218">
        <f>+'2F Summary'!W4</f>
        <v>4034.8543141378</v>
      </c>
    </row>
    <row r="144" spans="1:24" s="104" customFormat="1" x14ac:dyDescent="0.25">
      <c r="A144" s="104" t="s">
        <v>742</v>
      </c>
      <c r="B144" s="104" t="s">
        <v>811</v>
      </c>
      <c r="C144" s="104" t="s">
        <v>812</v>
      </c>
      <c r="D144" s="104" t="s">
        <v>842</v>
      </c>
      <c r="E144" s="104" t="s">
        <v>745</v>
      </c>
      <c r="F144" s="199">
        <f>+'2F Summary'!F5</f>
        <v>0</v>
      </c>
      <c r="G144" s="199">
        <f>+'2F Summary'!G5</f>
        <v>0</v>
      </c>
      <c r="H144" s="199">
        <f>+'2F Summary'!H5</f>
        <v>0</v>
      </c>
      <c r="I144" s="199">
        <f>+'2F Summary'!I5</f>
        <v>0</v>
      </c>
      <c r="J144" s="199">
        <f>+'2F Summary'!J5</f>
        <v>0</v>
      </c>
      <c r="K144" s="199">
        <f>+'2F Summary'!K5</f>
        <v>841.75</v>
      </c>
      <c r="L144" s="199">
        <f>+'2F Summary'!L5</f>
        <v>1045.3600000000001</v>
      </c>
      <c r="M144" s="199">
        <f>+'2F Summary'!M5</f>
        <v>1063.4000000000001</v>
      </c>
      <c r="N144" s="199">
        <f>+'2F Summary'!N5</f>
        <v>1025.95</v>
      </c>
      <c r="O144" s="199">
        <f>+'2F Summary'!O5</f>
        <v>992.04</v>
      </c>
      <c r="P144" s="199">
        <f>+'2F Summary'!P5</f>
        <v>2065.8000000000002</v>
      </c>
      <c r="Q144" s="199">
        <f>+'2F Summary'!Q5</f>
        <v>2232.500866332</v>
      </c>
      <c r="R144" s="199">
        <f>+'2F Summary'!R5</f>
        <v>2482.7810084104999</v>
      </c>
      <c r="S144" s="199">
        <f>+'2F Summary'!S5</f>
        <v>2802.3997062409999</v>
      </c>
      <c r="T144" s="199">
        <f>+'2F Summary'!T5</f>
        <v>3011.31930134</v>
      </c>
      <c r="U144" s="199">
        <f>+'2F Summary'!U5</f>
        <v>3419.7235398180001</v>
      </c>
      <c r="V144" s="199">
        <f>+'2F Summary'!V5</f>
        <v>3668.991196254</v>
      </c>
      <c r="W144" s="199">
        <f>+'2F Summary'!W5</f>
        <v>3963.4610677467999</v>
      </c>
    </row>
    <row r="145" spans="1:24" s="104" customFormat="1" x14ac:dyDescent="0.25">
      <c r="A145" s="104" t="s">
        <v>742</v>
      </c>
      <c r="B145" s="104" t="s">
        <v>813</v>
      </c>
      <c r="C145" s="104" t="s">
        <v>814</v>
      </c>
      <c r="D145" s="104" t="s">
        <v>842</v>
      </c>
      <c r="E145" s="104" t="s">
        <v>745</v>
      </c>
      <c r="F145" s="199">
        <f>+'2F Summary'!F8</f>
        <v>0</v>
      </c>
      <c r="G145" s="199">
        <f>+'2F Summary'!G8</f>
        <v>0</v>
      </c>
      <c r="H145" s="199">
        <f>+'2F Summary'!H8</f>
        <v>0</v>
      </c>
      <c r="I145" s="199">
        <f>+'2F Summary'!I8</f>
        <v>0</v>
      </c>
      <c r="J145" s="199">
        <f>+'2F Summary'!J8</f>
        <v>0</v>
      </c>
      <c r="K145" s="199">
        <f>+'2F Summary'!K8</f>
        <v>0</v>
      </c>
      <c r="L145" s="199">
        <f>+'2F Summary'!L8</f>
        <v>0</v>
      </c>
      <c r="M145" s="199">
        <f>+'2F Summary'!M8</f>
        <v>0</v>
      </c>
      <c r="N145" s="199">
        <f>+'2F Summary'!N8</f>
        <v>0</v>
      </c>
      <c r="O145" s="199">
        <f>+'2F Summary'!O8</f>
        <v>0</v>
      </c>
      <c r="P145" s="199">
        <f>+'2F Summary'!P8</f>
        <v>0</v>
      </c>
      <c r="Q145" s="199">
        <f>+'2F Summary'!Q8</f>
        <v>3.7830966699999999</v>
      </c>
      <c r="R145" s="199">
        <f>+'2F Summary'!R8</f>
        <v>3.4528660840000001</v>
      </c>
      <c r="S145" s="199">
        <f>+'2F Summary'!S8</f>
        <v>2.0036058250000002</v>
      </c>
      <c r="T145" s="199">
        <f>+'2F Summary'!T8</f>
        <v>1.7355986710000002</v>
      </c>
      <c r="U145" s="199">
        <f>+'2F Summary'!U8</f>
        <v>2.1042043709999998</v>
      </c>
      <c r="V145" s="199">
        <f>+'2F Summary'!V8</f>
        <v>2.1042043709999998</v>
      </c>
      <c r="W145" s="199">
        <f>+'2F Summary'!W8</f>
        <v>2.1042043709999998</v>
      </c>
    </row>
    <row r="146" spans="1:24" s="104" customFormat="1" x14ac:dyDescent="0.25">
      <c r="A146" s="104" t="s">
        <v>742</v>
      </c>
      <c r="B146" s="104" t="s">
        <v>815</v>
      </c>
      <c r="C146" s="104" t="s">
        <v>816</v>
      </c>
      <c r="D146" s="104" t="s">
        <v>842</v>
      </c>
      <c r="E146" s="104" t="s">
        <v>745</v>
      </c>
      <c r="F146" s="199">
        <f>+'2F Summary'!F9</f>
        <v>0</v>
      </c>
      <c r="G146" s="199">
        <f>+'2F Summary'!G9</f>
        <v>0</v>
      </c>
      <c r="H146" s="199">
        <f>+'2F Summary'!H9</f>
        <v>0</v>
      </c>
      <c r="I146" s="199">
        <f>+'2F Summary'!I9</f>
        <v>0</v>
      </c>
      <c r="J146" s="199">
        <f>+'2F Summary'!J9</f>
        <v>0</v>
      </c>
      <c r="K146" s="199">
        <f>+'2F Summary'!K9</f>
        <v>0</v>
      </c>
      <c r="L146" s="199">
        <f>+'2F Summary'!L9</f>
        <v>0</v>
      </c>
      <c r="M146" s="199">
        <f>+'2F Summary'!M9</f>
        <v>0</v>
      </c>
      <c r="N146" s="199">
        <f>+'2F Summary'!N9</f>
        <v>0</v>
      </c>
      <c r="O146" s="199">
        <f>+'2F Summary'!O9</f>
        <v>0</v>
      </c>
      <c r="P146" s="199">
        <f>+'2F Summary'!P9</f>
        <v>0</v>
      </c>
      <c r="Q146" s="199">
        <f>+'2F Summary'!Q9</f>
        <v>22.980200300000003</v>
      </c>
      <c r="R146" s="199">
        <f>+'2F Summary'!R9</f>
        <v>25.331806229999998</v>
      </c>
      <c r="S146" s="199">
        <f>+'2F Summary'!S9</f>
        <v>30.53210928</v>
      </c>
      <c r="T146" s="199">
        <f>+'2F Summary'!T9</f>
        <v>35.923529300000006</v>
      </c>
      <c r="U146" s="199">
        <f>+'2F Summary'!U9</f>
        <v>42.095061219999998</v>
      </c>
      <c r="V146" s="199">
        <f>+'2F Summary'!V9</f>
        <v>46.142869999999995</v>
      </c>
      <c r="W146" s="199">
        <f>+'2F Summary'!W9</f>
        <v>51.086919999999992</v>
      </c>
    </row>
    <row r="147" spans="1:24" s="104" customFormat="1" x14ac:dyDescent="0.25">
      <c r="A147" s="104" t="s">
        <v>742</v>
      </c>
      <c r="B147" s="104" t="s">
        <v>817</v>
      </c>
      <c r="C147" s="104" t="s">
        <v>565</v>
      </c>
      <c r="D147" s="104" t="s">
        <v>842</v>
      </c>
      <c r="E147" s="104" t="s">
        <v>745</v>
      </c>
      <c r="F147" s="199">
        <f>+'2F Summary'!F10</f>
        <v>0</v>
      </c>
      <c r="G147" s="199">
        <f>+'2F Summary'!G10</f>
        <v>0</v>
      </c>
      <c r="H147" s="199">
        <f>+'2F Summary'!H10</f>
        <v>0</v>
      </c>
      <c r="I147" s="199">
        <f>+'2F Summary'!I10</f>
        <v>0</v>
      </c>
      <c r="J147" s="199">
        <f>+'2F Summary'!J10</f>
        <v>0</v>
      </c>
      <c r="K147" s="199">
        <f>+'2F Summary'!K10</f>
        <v>0</v>
      </c>
      <c r="L147" s="199">
        <f>+'2F Summary'!L10</f>
        <v>0</v>
      </c>
      <c r="M147" s="199">
        <f>+'2F Summary'!M10</f>
        <v>0</v>
      </c>
      <c r="N147" s="199">
        <f>+'2F Summary'!N10</f>
        <v>0</v>
      </c>
      <c r="O147" s="199">
        <f>+'2F Summary'!O10</f>
        <v>0</v>
      </c>
      <c r="P147" s="199">
        <f>+'2F Summary'!P10</f>
        <v>0</v>
      </c>
      <c r="Q147" s="199">
        <f>+'2F Summary'!Q10</f>
        <v>15.1328671</v>
      </c>
      <c r="R147" s="199">
        <f>+'2F Summary'!R10</f>
        <v>16.021940999999998</v>
      </c>
      <c r="S147" s="199">
        <f>+'2F Summary'!S10</f>
        <v>17.601723100000001</v>
      </c>
      <c r="T147" s="199">
        <f>+'2F Summary'!T10</f>
        <v>16.615751399999997</v>
      </c>
      <c r="U147" s="199">
        <f>+'2F Summary'!U10</f>
        <v>18.202122020000004</v>
      </c>
      <c r="V147" s="199">
        <f>+'2F Summary'!V10</f>
        <v>18.202122020000004</v>
      </c>
      <c r="W147" s="199">
        <f>+'2F Summary'!W10</f>
        <v>18.202122020000004</v>
      </c>
    </row>
    <row r="148" spans="1:24" s="104" customFormat="1" x14ac:dyDescent="0.25">
      <c r="A148" s="104" t="s">
        <v>742</v>
      </c>
      <c r="B148" s="104" t="s">
        <v>818</v>
      </c>
      <c r="C148" s="104" t="s">
        <v>566</v>
      </c>
      <c r="D148" s="104" t="s">
        <v>842</v>
      </c>
      <c r="E148" s="104" t="s">
        <v>745</v>
      </c>
      <c r="F148" s="199">
        <f>+'2F Summary'!F11</f>
        <v>0</v>
      </c>
      <c r="G148" s="199">
        <f>+'2F Summary'!G11</f>
        <v>0</v>
      </c>
      <c r="H148" s="199">
        <f>+'2F Summary'!H11</f>
        <v>0</v>
      </c>
      <c r="I148" s="199">
        <f>+'2F Summary'!I11</f>
        <v>0</v>
      </c>
      <c r="J148" s="199">
        <f>+'2F Summary'!J11</f>
        <v>0</v>
      </c>
      <c r="K148" s="199">
        <f>+'2F Summary'!K11</f>
        <v>0</v>
      </c>
      <c r="L148" s="199">
        <f>+'2F Summary'!L11</f>
        <v>0</v>
      </c>
      <c r="M148" s="199">
        <f>+'2F Summary'!M11</f>
        <v>0</v>
      </c>
      <c r="N148" s="199">
        <f>+'2F Summary'!N11</f>
        <v>0</v>
      </c>
      <c r="O148" s="199">
        <f>+'2F Summary'!O11</f>
        <v>0</v>
      </c>
      <c r="P148" s="199">
        <f>+'2F Summary'!P11</f>
        <v>0</v>
      </c>
      <c r="Q148" s="199">
        <f>+'2F Summary'!Q11</f>
        <v>0</v>
      </c>
      <c r="R148" s="199">
        <f>+'2F Summary'!R11</f>
        <v>0</v>
      </c>
      <c r="S148" s="199">
        <f>+'2F Summary'!S11</f>
        <v>0</v>
      </c>
      <c r="T148" s="199">
        <f>+'2F Summary'!T11</f>
        <v>0</v>
      </c>
      <c r="U148" s="199">
        <f>+'2F Summary'!U11</f>
        <v>0</v>
      </c>
      <c r="V148" s="199">
        <f>+'2F Summary'!V11</f>
        <v>0</v>
      </c>
      <c r="W148" s="199">
        <f>+'2F Summary'!W11</f>
        <v>0</v>
      </c>
    </row>
    <row r="149" spans="1:24" s="104" customFormat="1" x14ac:dyDescent="0.25">
      <c r="A149" s="104" t="s">
        <v>742</v>
      </c>
      <c r="B149" s="104" t="s">
        <v>819</v>
      </c>
      <c r="C149" s="104" t="s">
        <v>820</v>
      </c>
      <c r="D149" s="104" t="s">
        <v>842</v>
      </c>
      <c r="E149" s="104" t="s">
        <v>745</v>
      </c>
      <c r="F149" s="199">
        <f>+'2F Summary'!F12</f>
        <v>0</v>
      </c>
      <c r="G149" s="199">
        <f>+'2F Summary'!G12</f>
        <v>0</v>
      </c>
      <c r="H149" s="199">
        <f>+'2F Summary'!H12</f>
        <v>0</v>
      </c>
      <c r="I149" s="199">
        <f>+'2F Summary'!I12</f>
        <v>0</v>
      </c>
      <c r="J149" s="199">
        <f>+'2F Summary'!J12</f>
        <v>0</v>
      </c>
      <c r="K149" s="199">
        <f>+'2F Summary'!K12</f>
        <v>0</v>
      </c>
      <c r="L149" s="199">
        <f>+'2F Summary'!L12</f>
        <v>0</v>
      </c>
      <c r="M149" s="199">
        <f>+'2F Summary'!M12</f>
        <v>0</v>
      </c>
      <c r="N149" s="199">
        <f>+'2F Summary'!N12</f>
        <v>0</v>
      </c>
      <c r="O149" s="199">
        <f>+'2F Summary'!O12</f>
        <v>0</v>
      </c>
      <c r="P149" s="199">
        <f>+'2F Summary'!P12</f>
        <v>0</v>
      </c>
      <c r="Q149" s="199">
        <f>+'2F Summary'!Q12</f>
        <v>0</v>
      </c>
      <c r="R149" s="199">
        <f>+'2F Summary'!R12</f>
        <v>0</v>
      </c>
      <c r="S149" s="199">
        <f>+'2F Summary'!S12</f>
        <v>0</v>
      </c>
      <c r="T149" s="199">
        <f>+'2F Summary'!T12</f>
        <v>0</v>
      </c>
      <c r="U149" s="199">
        <f>+'2F Summary'!U12</f>
        <v>0</v>
      </c>
      <c r="V149" s="199">
        <f>+'2F Summary'!V12</f>
        <v>0</v>
      </c>
      <c r="W149" s="199">
        <f>+'2F Summary'!W12</f>
        <v>0</v>
      </c>
    </row>
    <row r="150" spans="1:24" s="133" customFormat="1" x14ac:dyDescent="0.25"/>
    <row r="151" spans="1:24" s="6" customFormat="1" ht="21" x14ac:dyDescent="0.35">
      <c r="A151" s="6" t="s">
        <v>346</v>
      </c>
      <c r="C151" s="32" t="s">
        <v>843</v>
      </c>
    </row>
    <row r="153" spans="1:24" s="22" customFormat="1" x14ac:dyDescent="0.25">
      <c r="A153" s="123" t="s">
        <v>844</v>
      </c>
    </row>
    <row r="154" spans="1:24" s="7" customFormat="1" x14ac:dyDescent="0.25">
      <c r="A154" s="10" t="s">
        <v>736</v>
      </c>
      <c r="B154" s="10" t="s">
        <v>737</v>
      </c>
      <c r="C154" s="10" t="s">
        <v>738</v>
      </c>
      <c r="D154" s="10" t="s">
        <v>739</v>
      </c>
      <c r="E154" s="10" t="s">
        <v>740</v>
      </c>
      <c r="F154" s="10">
        <v>2000</v>
      </c>
      <c r="G154" s="10">
        <v>2001</v>
      </c>
      <c r="H154" s="10">
        <v>2002</v>
      </c>
      <c r="I154" s="10">
        <v>2003</v>
      </c>
      <c r="J154" s="10">
        <v>2004</v>
      </c>
      <c r="K154" s="10">
        <v>2005</v>
      </c>
      <c r="L154" s="10">
        <v>2006</v>
      </c>
      <c r="M154" s="10">
        <v>2007</v>
      </c>
      <c r="N154" s="10">
        <v>2008</v>
      </c>
      <c r="O154" s="10">
        <v>2009</v>
      </c>
      <c r="P154" s="10">
        <v>2010</v>
      </c>
      <c r="Q154" s="10">
        <v>2011</v>
      </c>
      <c r="R154" s="10">
        <v>2012</v>
      </c>
      <c r="S154" s="10">
        <v>2013</v>
      </c>
      <c r="T154" s="10">
        <v>2014</v>
      </c>
      <c r="U154" s="10">
        <v>2015</v>
      </c>
      <c r="V154" s="10"/>
      <c r="W154" s="10"/>
      <c r="X154" s="10" t="s">
        <v>741</v>
      </c>
    </row>
    <row r="155" spans="1:24" x14ac:dyDescent="0.25">
      <c r="A155" s="10" t="s">
        <v>742</v>
      </c>
      <c r="B155" s="109">
        <v>2</v>
      </c>
      <c r="C155" s="110" t="s">
        <v>743</v>
      </c>
      <c r="D155" s="10" t="s">
        <v>744</v>
      </c>
      <c r="E155" s="10" t="s">
        <v>745</v>
      </c>
      <c r="F155" s="126">
        <v>34070.784091473332</v>
      </c>
      <c r="G155" s="126">
        <v>34057.418689953331</v>
      </c>
      <c r="H155" s="126">
        <v>36140.550376841995</v>
      </c>
      <c r="I155" s="126">
        <v>35606.54817809067</v>
      </c>
      <c r="J155" s="126">
        <v>35783.775326864001</v>
      </c>
      <c r="K155" s="126">
        <v>39118.218840102003</v>
      </c>
      <c r="L155" s="126">
        <v>40173.210256311737</v>
      </c>
      <c r="M155" s="126">
        <v>38222.529935045204</v>
      </c>
      <c r="N155" s="126">
        <v>36048.017206838667</v>
      </c>
      <c r="O155" s="126">
        <v>34351.983930875736</v>
      </c>
      <c r="P155" s="126">
        <v>36441.570589909068</v>
      </c>
      <c r="Q155" s="126">
        <v>40227.721556868666</v>
      </c>
      <c r="R155" s="126">
        <v>38954.926376138297</v>
      </c>
      <c r="S155" s="29">
        <v>41348.821958289758</v>
      </c>
      <c r="T155" s="29">
        <v>41878.363159654727</v>
      </c>
      <c r="U155" s="29">
        <v>41882.300101529981</v>
      </c>
      <c r="V155" s="29"/>
      <c r="W155" s="29"/>
      <c r="X155" s="111"/>
    </row>
    <row r="156" spans="1:24" x14ac:dyDescent="0.25">
      <c r="A156" s="10" t="s">
        <v>742</v>
      </c>
      <c r="B156" s="10" t="s">
        <v>746</v>
      </c>
      <c r="C156" s="10" t="s">
        <v>508</v>
      </c>
      <c r="D156" s="10" t="s">
        <v>744</v>
      </c>
      <c r="E156" s="10" t="s">
        <v>745</v>
      </c>
      <c r="F156" s="126">
        <v>4386.3393304800002</v>
      </c>
      <c r="G156" s="126">
        <v>4303.6742912</v>
      </c>
      <c r="H156" s="126">
        <v>4824.2529307219993</v>
      </c>
      <c r="I156" s="126">
        <v>5095.6491567840003</v>
      </c>
      <c r="J156" s="126">
        <v>4993.2960821039997</v>
      </c>
      <c r="K156" s="126">
        <v>5736.1220459819997</v>
      </c>
      <c r="L156" s="126">
        <v>6131.7649185184</v>
      </c>
      <c r="M156" s="126">
        <v>6063.9731606852001</v>
      </c>
      <c r="N156" s="126">
        <v>6320.6815495520004</v>
      </c>
      <c r="O156" s="126">
        <v>6590.7750204223994</v>
      </c>
      <c r="P156" s="126">
        <v>5916.6986057876002</v>
      </c>
      <c r="Q156" s="126">
        <v>5719.84292</v>
      </c>
      <c r="R156" s="126">
        <v>5457.2451988416005</v>
      </c>
      <c r="S156" s="29">
        <v>5688.3723988416004</v>
      </c>
      <c r="T156" s="29">
        <v>5770.0734488416001</v>
      </c>
      <c r="U156" s="29">
        <v>6178.5199588415999</v>
      </c>
      <c r="V156" s="29"/>
      <c r="W156" s="29"/>
    </row>
    <row r="157" spans="1:24" x14ac:dyDescent="0.25">
      <c r="A157" s="111" t="s">
        <v>742</v>
      </c>
      <c r="B157" s="111" t="s">
        <v>747</v>
      </c>
      <c r="C157" s="111" t="s">
        <v>748</v>
      </c>
      <c r="D157" s="111" t="s">
        <v>744</v>
      </c>
      <c r="E157" s="111" t="s">
        <v>745</v>
      </c>
      <c r="F157" s="29">
        <v>3870.5888000000004</v>
      </c>
      <c r="G157" s="29">
        <v>3783</v>
      </c>
      <c r="H157" s="29">
        <v>4258.3527999999997</v>
      </c>
      <c r="I157" s="29">
        <v>4514.5828000000001</v>
      </c>
      <c r="J157" s="29">
        <v>4390.0739999999996</v>
      </c>
      <c r="K157" s="29">
        <v>5061.5136000000002</v>
      </c>
      <c r="L157" s="29">
        <v>5399.81</v>
      </c>
      <c r="M157" s="29">
        <v>5407.6724000000004</v>
      </c>
      <c r="N157" s="29">
        <v>4988.5680000000002</v>
      </c>
      <c r="O157" s="29">
        <v>5432.1279999999997</v>
      </c>
      <c r="P157" s="29">
        <v>4818.9544000000005</v>
      </c>
      <c r="Q157" s="29">
        <v>4432.8284000000003</v>
      </c>
      <c r="R157" s="29">
        <v>4414.4984000000004</v>
      </c>
      <c r="S157" s="29">
        <v>4659.2156000000004</v>
      </c>
      <c r="T157" s="29">
        <v>4678.1851999999999</v>
      </c>
      <c r="U157" s="29">
        <v>5204.8256000000001</v>
      </c>
      <c r="V157" s="29"/>
      <c r="W157" s="29"/>
    </row>
    <row r="158" spans="1:24" x14ac:dyDescent="0.25">
      <c r="A158" s="111" t="s">
        <v>742</v>
      </c>
      <c r="B158" s="111" t="s">
        <v>749</v>
      </c>
      <c r="C158" s="111" t="s">
        <v>750</v>
      </c>
      <c r="D158" s="111" t="s">
        <v>744</v>
      </c>
      <c r="E158" s="111" t="s">
        <v>745</v>
      </c>
      <c r="F158" s="29">
        <v>441.39115350000003</v>
      </c>
      <c r="G158" s="29">
        <v>436.28840000000002</v>
      </c>
      <c r="H158" s="29">
        <v>477.55462</v>
      </c>
      <c r="I158" s="29">
        <v>489.73651999999998</v>
      </c>
      <c r="J158" s="29">
        <v>507.32977999999997</v>
      </c>
      <c r="K158" s="29">
        <v>572.24579999999992</v>
      </c>
      <c r="L158" s="29">
        <v>630.18416000000002</v>
      </c>
      <c r="M158" s="29">
        <v>551.31326000000001</v>
      </c>
      <c r="N158" s="29">
        <v>1214.74</v>
      </c>
      <c r="O158" s="29">
        <v>1048.8800000000001</v>
      </c>
      <c r="P158" s="29">
        <v>993.86</v>
      </c>
      <c r="Q158" s="29">
        <v>1180.96</v>
      </c>
      <c r="R158" s="29">
        <v>928.84</v>
      </c>
      <c r="S158" s="29">
        <v>915.25</v>
      </c>
      <c r="T158" s="29">
        <v>977.98145</v>
      </c>
      <c r="U158" s="29">
        <v>859.78755999999998</v>
      </c>
      <c r="V158" s="29"/>
      <c r="W158" s="29"/>
    </row>
    <row r="159" spans="1:24" x14ac:dyDescent="0.25">
      <c r="A159" s="111" t="s">
        <v>742</v>
      </c>
      <c r="B159" s="111" t="s">
        <v>751</v>
      </c>
      <c r="C159" s="111" t="s">
        <v>752</v>
      </c>
      <c r="D159" s="111" t="s">
        <v>744</v>
      </c>
      <c r="E159" s="111" t="s">
        <v>745</v>
      </c>
      <c r="F159" s="29">
        <v>74.359376980000008</v>
      </c>
      <c r="G159" s="29">
        <v>84.385891200000003</v>
      </c>
      <c r="H159" s="29">
        <v>88.345510721999986</v>
      </c>
      <c r="I159" s="29">
        <v>91.329836783999994</v>
      </c>
      <c r="J159" s="29">
        <v>95.892302104000024</v>
      </c>
      <c r="K159" s="29">
        <v>102.36264598200002</v>
      </c>
      <c r="L159" s="29">
        <v>101.7707585184</v>
      </c>
      <c r="M159" s="29">
        <v>104.9875006852</v>
      </c>
      <c r="N159" s="29">
        <v>117.37354955200001</v>
      </c>
      <c r="O159" s="29">
        <v>109.76702042240001</v>
      </c>
      <c r="P159" s="29">
        <v>103.88420578760002</v>
      </c>
      <c r="Q159" s="29">
        <v>106.05452000000001</v>
      </c>
      <c r="R159" s="29">
        <v>113.90679884160002</v>
      </c>
      <c r="S159" s="29">
        <v>113.90679884160002</v>
      </c>
      <c r="T159" s="29">
        <v>113.90679884160002</v>
      </c>
      <c r="U159" s="29">
        <v>113.90679884160002</v>
      </c>
      <c r="V159" s="29"/>
      <c r="W159" s="29"/>
    </row>
    <row r="160" spans="1:24" x14ac:dyDescent="0.25">
      <c r="A160" s="111" t="s">
        <v>742</v>
      </c>
      <c r="B160" s="111" t="s">
        <v>753</v>
      </c>
      <c r="C160" s="111" t="s">
        <v>754</v>
      </c>
      <c r="D160" s="111" t="s">
        <v>744</v>
      </c>
      <c r="E160" s="111" t="s">
        <v>745</v>
      </c>
      <c r="F160" s="29">
        <v>0</v>
      </c>
      <c r="G160" s="29">
        <v>0</v>
      </c>
      <c r="H160" s="29">
        <v>0</v>
      </c>
      <c r="I160" s="29">
        <v>0</v>
      </c>
      <c r="J160" s="29">
        <v>0</v>
      </c>
      <c r="K160" s="29">
        <v>0</v>
      </c>
      <c r="L160" s="29">
        <v>0</v>
      </c>
      <c r="M160" s="29">
        <v>0</v>
      </c>
      <c r="N160" s="29">
        <v>0</v>
      </c>
      <c r="O160" s="29">
        <v>0</v>
      </c>
      <c r="P160" s="29">
        <v>0</v>
      </c>
      <c r="Q160" s="29">
        <v>0</v>
      </c>
      <c r="R160" s="29">
        <v>0</v>
      </c>
      <c r="S160" s="29">
        <v>0</v>
      </c>
      <c r="T160" s="29">
        <v>0</v>
      </c>
      <c r="U160" s="29">
        <v>0</v>
      </c>
      <c r="V160" s="29"/>
      <c r="W160" s="29"/>
    </row>
    <row r="161" spans="1:23" x14ac:dyDescent="0.25">
      <c r="A161" s="111" t="s">
        <v>742</v>
      </c>
      <c r="B161" s="111" t="s">
        <v>755</v>
      </c>
      <c r="C161" s="111" t="s">
        <v>756</v>
      </c>
      <c r="D161" s="111" t="s">
        <v>744</v>
      </c>
      <c r="E161" s="111" t="s">
        <v>745</v>
      </c>
      <c r="F161" s="29" t="s">
        <v>845</v>
      </c>
      <c r="G161" s="29" t="s">
        <v>845</v>
      </c>
      <c r="H161" s="29" t="s">
        <v>845</v>
      </c>
      <c r="I161" s="29" t="s">
        <v>845</v>
      </c>
      <c r="J161" s="29" t="s">
        <v>845</v>
      </c>
      <c r="K161" s="29" t="s">
        <v>845</v>
      </c>
      <c r="L161" s="29" t="s">
        <v>845</v>
      </c>
      <c r="M161" s="29" t="s">
        <v>845</v>
      </c>
      <c r="N161" s="29" t="s">
        <v>845</v>
      </c>
      <c r="O161" s="29" t="s">
        <v>845</v>
      </c>
      <c r="P161" s="29" t="s">
        <v>845</v>
      </c>
      <c r="Q161" s="29" t="s">
        <v>845</v>
      </c>
      <c r="R161" s="29" t="s">
        <v>845</v>
      </c>
      <c r="S161" s="29" t="s">
        <v>845</v>
      </c>
      <c r="T161" s="29" t="s">
        <v>845</v>
      </c>
      <c r="U161" s="29" t="s">
        <v>845</v>
      </c>
      <c r="V161" s="29"/>
      <c r="W161" s="29"/>
    </row>
    <row r="162" spans="1:23" x14ac:dyDescent="0.25">
      <c r="A162" s="10" t="s">
        <v>742</v>
      </c>
      <c r="B162" s="10" t="s">
        <v>757</v>
      </c>
      <c r="C162" s="10" t="s">
        <v>520</v>
      </c>
      <c r="D162" s="10" t="s">
        <v>744</v>
      </c>
      <c r="E162" s="10" t="s">
        <v>745</v>
      </c>
      <c r="F162" s="126">
        <v>2773.5975926599999</v>
      </c>
      <c r="G162" s="126">
        <v>2715.1124154199997</v>
      </c>
      <c r="H162" s="126">
        <v>2743.9578261200004</v>
      </c>
      <c r="I162" s="126">
        <v>2169.0740746400002</v>
      </c>
      <c r="J162" s="126">
        <v>2472.5599297600002</v>
      </c>
      <c r="K162" s="126">
        <v>2973.63683412</v>
      </c>
      <c r="L162" s="126">
        <v>2746.81862946</v>
      </c>
      <c r="M162" s="126">
        <v>1968.9813043600002</v>
      </c>
      <c r="N162" s="126">
        <v>1226.37704562</v>
      </c>
      <c r="O162" s="126">
        <v>1068.23981712</v>
      </c>
      <c r="P162" s="126">
        <v>1021.2058874548001</v>
      </c>
      <c r="Q162" s="126">
        <v>1070.9225498000001</v>
      </c>
      <c r="R162" s="126">
        <v>931.2860447999999</v>
      </c>
      <c r="S162" s="29">
        <v>1152.1518874548001</v>
      </c>
      <c r="T162" s="29">
        <v>927.62527027089368</v>
      </c>
      <c r="U162" s="29">
        <v>1001.5070286576954</v>
      </c>
      <c r="V162" s="29"/>
      <c r="W162" s="29"/>
    </row>
    <row r="163" spans="1:23" x14ac:dyDescent="0.25">
      <c r="A163" s="111" t="s">
        <v>742</v>
      </c>
      <c r="B163" s="111" t="s">
        <v>758</v>
      </c>
      <c r="C163" s="111" t="s">
        <v>759</v>
      </c>
      <c r="D163" s="111" t="s">
        <v>744</v>
      </c>
      <c r="E163" s="111" t="s">
        <v>745</v>
      </c>
      <c r="F163" s="29">
        <v>550.84</v>
      </c>
      <c r="G163" s="29">
        <v>552.88499999999999</v>
      </c>
      <c r="H163" s="29">
        <v>524.98599999999999</v>
      </c>
      <c r="I163" s="29">
        <v>545.48500000000001</v>
      </c>
      <c r="J163" s="29">
        <v>573.66300000000001</v>
      </c>
      <c r="K163" s="29">
        <v>285.23599999999999</v>
      </c>
      <c r="L163" s="29">
        <v>270.98500000000001</v>
      </c>
      <c r="M163" s="29">
        <v>369.61200000000002</v>
      </c>
      <c r="N163" s="29">
        <v>274.49700000000001</v>
      </c>
      <c r="O163" s="29">
        <v>234.26499999999999</v>
      </c>
      <c r="P163" s="29">
        <v>382.29700000000003</v>
      </c>
      <c r="Q163" s="29">
        <v>453.79600000000005</v>
      </c>
      <c r="R163" s="29">
        <v>281.803</v>
      </c>
      <c r="S163" s="29">
        <v>249.74299999999999</v>
      </c>
      <c r="T163" s="29">
        <v>255.40699999999998</v>
      </c>
      <c r="U163" s="29">
        <v>360.00800000000004</v>
      </c>
      <c r="V163" s="29"/>
      <c r="W163" s="29"/>
    </row>
    <row r="164" spans="1:23" x14ac:dyDescent="0.25">
      <c r="A164" s="111" t="s">
        <v>742</v>
      </c>
      <c r="B164" s="111" t="s">
        <v>760</v>
      </c>
      <c r="C164" s="111" t="s">
        <v>761</v>
      </c>
      <c r="D164" s="111" t="s">
        <v>744</v>
      </c>
      <c r="E164" s="111" t="s">
        <v>745</v>
      </c>
      <c r="F164" s="29">
        <v>1644.519</v>
      </c>
      <c r="G164" s="29">
        <v>1583.9195799999998</v>
      </c>
      <c r="H164" s="29">
        <v>1579.3802500000002</v>
      </c>
      <c r="I164" s="29">
        <v>980.55790000000013</v>
      </c>
      <c r="J164" s="29">
        <v>1264.0001999999999</v>
      </c>
      <c r="K164" s="29">
        <v>2065.096</v>
      </c>
      <c r="L164" s="29">
        <v>2134.6289999999999</v>
      </c>
      <c r="M164" s="29">
        <v>1252.2388000000001</v>
      </c>
      <c r="N164" s="29">
        <v>554.60239999999999</v>
      </c>
      <c r="O164" s="29">
        <v>536.11399999999992</v>
      </c>
      <c r="P164" s="29">
        <v>340.89769999999999</v>
      </c>
      <c r="Q164" s="29">
        <v>319.05509999999998</v>
      </c>
      <c r="R164" s="29">
        <v>350.67509999999999</v>
      </c>
      <c r="S164" s="29">
        <v>604.39769999999999</v>
      </c>
      <c r="T164" s="29">
        <v>368.71400000000006</v>
      </c>
      <c r="U164" s="29">
        <v>345.40200000000004</v>
      </c>
      <c r="V164" s="29"/>
      <c r="W164" s="29"/>
    </row>
    <row r="165" spans="1:23" x14ac:dyDescent="0.25">
      <c r="A165" s="111" t="s">
        <v>742</v>
      </c>
      <c r="B165" s="111" t="s">
        <v>762</v>
      </c>
      <c r="C165" s="111" t="s">
        <v>763</v>
      </c>
      <c r="D165" s="111" t="s">
        <v>744</v>
      </c>
      <c r="E165" s="111" t="s">
        <v>745</v>
      </c>
      <c r="F165" s="29">
        <v>0</v>
      </c>
      <c r="G165" s="29">
        <v>0</v>
      </c>
      <c r="H165" s="29">
        <v>0</v>
      </c>
      <c r="I165" s="29">
        <v>0</v>
      </c>
      <c r="J165" s="29">
        <v>0</v>
      </c>
      <c r="K165" s="29">
        <v>0</v>
      </c>
      <c r="L165" s="29">
        <v>0</v>
      </c>
      <c r="M165" s="29">
        <v>0</v>
      </c>
      <c r="N165" s="29">
        <v>0</v>
      </c>
      <c r="O165" s="29">
        <v>0</v>
      </c>
      <c r="P165" s="29">
        <v>0</v>
      </c>
      <c r="Q165" s="29">
        <v>0</v>
      </c>
      <c r="R165" s="29">
        <v>0</v>
      </c>
      <c r="S165" s="29">
        <v>0</v>
      </c>
      <c r="T165" s="29">
        <v>0</v>
      </c>
      <c r="U165" s="29">
        <v>0</v>
      </c>
      <c r="V165" s="29"/>
      <c r="W165" s="29"/>
    </row>
    <row r="166" spans="1:23" x14ac:dyDescent="0.25">
      <c r="A166" s="111" t="s">
        <v>742</v>
      </c>
      <c r="B166" s="111" t="s">
        <v>764</v>
      </c>
      <c r="C166" s="111" t="s">
        <v>765</v>
      </c>
      <c r="D166" s="111" t="s">
        <v>744</v>
      </c>
      <c r="E166" s="111" t="s">
        <v>745</v>
      </c>
      <c r="F166" s="29">
        <v>0</v>
      </c>
      <c r="G166" s="29">
        <v>0</v>
      </c>
      <c r="H166" s="29">
        <v>0</v>
      </c>
      <c r="I166" s="29">
        <v>0</v>
      </c>
      <c r="J166" s="29">
        <v>0</v>
      </c>
      <c r="K166" s="29">
        <v>0</v>
      </c>
      <c r="L166" s="29">
        <v>0</v>
      </c>
      <c r="M166" s="29">
        <v>0</v>
      </c>
      <c r="N166" s="29">
        <v>0</v>
      </c>
      <c r="O166" s="29">
        <v>0</v>
      </c>
      <c r="P166" s="29">
        <v>0</v>
      </c>
      <c r="Q166" s="29">
        <v>0</v>
      </c>
      <c r="R166" s="29">
        <v>0</v>
      </c>
      <c r="S166" s="29">
        <v>0</v>
      </c>
      <c r="T166" s="29">
        <v>0</v>
      </c>
      <c r="U166" s="29">
        <v>0</v>
      </c>
      <c r="V166" s="29"/>
      <c r="W166" s="29"/>
    </row>
    <row r="167" spans="1:23" x14ac:dyDescent="0.25">
      <c r="A167" s="111" t="s">
        <v>742</v>
      </c>
      <c r="B167" s="111" t="s">
        <v>766</v>
      </c>
      <c r="C167" s="111" t="s">
        <v>767</v>
      </c>
      <c r="D167" s="111" t="s">
        <v>744</v>
      </c>
      <c r="E167" s="111" t="s">
        <v>745</v>
      </c>
      <c r="F167" s="29">
        <v>1.9805300000000001</v>
      </c>
      <c r="G167" s="29">
        <v>1.9816200000000002</v>
      </c>
      <c r="H167" s="29">
        <v>4.4591900000000004</v>
      </c>
      <c r="I167" s="29">
        <v>4.7360500000000005</v>
      </c>
      <c r="J167" s="29">
        <v>4.1877800000000009</v>
      </c>
      <c r="K167" s="29">
        <v>5.3257400000000006</v>
      </c>
      <c r="L167" s="29">
        <v>4.9834800000000001</v>
      </c>
      <c r="M167" s="29">
        <v>5.2865000000000002</v>
      </c>
      <c r="N167" s="29">
        <v>5.3072100000000004</v>
      </c>
      <c r="O167" s="29">
        <v>5.1938500000000003</v>
      </c>
      <c r="P167" s="29">
        <v>5.1971200000000009</v>
      </c>
      <c r="Q167" s="29">
        <v>5.1993</v>
      </c>
      <c r="R167" s="29">
        <v>5.2014800000000001</v>
      </c>
      <c r="S167" s="29">
        <v>5.1971200000000009</v>
      </c>
      <c r="T167" s="29">
        <v>4.450524500000002</v>
      </c>
      <c r="U167" s="29">
        <v>3.9892430400000007</v>
      </c>
      <c r="V167" s="29"/>
      <c r="W167" s="29"/>
    </row>
    <row r="168" spans="1:23" x14ac:dyDescent="0.25">
      <c r="A168" s="111" t="s">
        <v>742</v>
      </c>
      <c r="B168" s="111" t="s">
        <v>768</v>
      </c>
      <c r="C168" s="111" t="s">
        <v>769</v>
      </c>
      <c r="D168" s="111" t="s">
        <v>744</v>
      </c>
      <c r="E168" s="111" t="s">
        <v>745</v>
      </c>
      <c r="F168" s="29">
        <v>437.61700000000002</v>
      </c>
      <c r="G168" s="29">
        <v>437.61700000000002</v>
      </c>
      <c r="H168" s="29">
        <v>472.976</v>
      </c>
      <c r="I168" s="29">
        <v>477.18200000000002</v>
      </c>
      <c r="J168" s="29">
        <v>470.875</v>
      </c>
      <c r="K168" s="29">
        <v>466.83199999999999</v>
      </c>
      <c r="L168" s="29">
        <v>194.48699999999999</v>
      </c>
      <c r="M168" s="29">
        <v>190.63399999999999</v>
      </c>
      <c r="N168" s="29">
        <v>257.79599999999999</v>
      </c>
      <c r="O168" s="29">
        <v>158.42699999999999</v>
      </c>
      <c r="P168" s="29">
        <v>158.506</v>
      </c>
      <c r="Q168" s="29">
        <v>158.58500000000001</v>
      </c>
      <c r="R168" s="29">
        <v>158.66399999999999</v>
      </c>
      <c r="S168" s="29">
        <v>158.506</v>
      </c>
      <c r="T168" s="29">
        <v>167.48546225441859</v>
      </c>
      <c r="U168" s="29">
        <v>161.97882244489372</v>
      </c>
      <c r="V168" s="29"/>
      <c r="W168" s="29"/>
    </row>
    <row r="169" spans="1:23" x14ac:dyDescent="0.25">
      <c r="A169" s="111" t="s">
        <v>742</v>
      </c>
      <c r="B169" s="111" t="s">
        <v>770</v>
      </c>
      <c r="C169" s="111" t="s">
        <v>771</v>
      </c>
      <c r="D169" s="111" t="s">
        <v>744</v>
      </c>
      <c r="E169" s="111" t="s">
        <v>745</v>
      </c>
      <c r="F169" s="29">
        <v>0</v>
      </c>
      <c r="G169" s="29">
        <v>0</v>
      </c>
      <c r="H169" s="29">
        <v>0</v>
      </c>
      <c r="I169" s="29">
        <v>0</v>
      </c>
      <c r="J169" s="29">
        <v>0</v>
      </c>
      <c r="K169" s="29">
        <v>0</v>
      </c>
      <c r="L169" s="29">
        <v>0</v>
      </c>
      <c r="M169" s="29">
        <v>0</v>
      </c>
      <c r="N169" s="29">
        <v>0</v>
      </c>
      <c r="O169" s="29">
        <v>0</v>
      </c>
      <c r="P169" s="29">
        <v>0</v>
      </c>
      <c r="Q169" s="29">
        <v>0</v>
      </c>
      <c r="R169" s="29">
        <v>0</v>
      </c>
      <c r="S169" s="29">
        <v>0</v>
      </c>
      <c r="T169" s="29">
        <v>0</v>
      </c>
      <c r="U169" s="29">
        <v>0</v>
      </c>
      <c r="V169" s="29"/>
      <c r="W169" s="29"/>
    </row>
    <row r="170" spans="1:23" x14ac:dyDescent="0.25">
      <c r="A170" s="111" t="s">
        <v>742</v>
      </c>
      <c r="B170" s="111" t="s">
        <v>772</v>
      </c>
      <c r="C170" s="111" t="s">
        <v>773</v>
      </c>
      <c r="D170" s="111" t="s">
        <v>744</v>
      </c>
      <c r="E170" s="111" t="s">
        <v>745</v>
      </c>
      <c r="F170" s="29">
        <v>138.64106266000002</v>
      </c>
      <c r="G170" s="29">
        <v>138.70921541999999</v>
      </c>
      <c r="H170" s="29">
        <v>162.15638612000001</v>
      </c>
      <c r="I170" s="29">
        <v>161.11312464</v>
      </c>
      <c r="J170" s="29">
        <v>159.83394976</v>
      </c>
      <c r="K170" s="29">
        <v>151.14709412000002</v>
      </c>
      <c r="L170" s="29">
        <v>141.73414946000003</v>
      </c>
      <c r="M170" s="29">
        <v>151.21000436000003</v>
      </c>
      <c r="N170" s="29">
        <v>134.17443562</v>
      </c>
      <c r="O170" s="29">
        <v>134.23996712000002</v>
      </c>
      <c r="P170" s="29">
        <v>134.30806745480001</v>
      </c>
      <c r="Q170" s="29">
        <v>134.28714980000001</v>
      </c>
      <c r="R170" s="29">
        <v>134.94246480000001</v>
      </c>
      <c r="S170" s="29">
        <v>134.30806745480001</v>
      </c>
      <c r="T170" s="29">
        <v>131.56828351647511</v>
      </c>
      <c r="U170" s="29">
        <v>130.1289631728016</v>
      </c>
      <c r="V170" s="29"/>
      <c r="W170" s="29"/>
    </row>
    <row r="171" spans="1:23" x14ac:dyDescent="0.25">
      <c r="A171" s="111" t="s">
        <v>742</v>
      </c>
      <c r="B171" s="111" t="s">
        <v>774</v>
      </c>
      <c r="C171" s="111" t="s">
        <v>775</v>
      </c>
      <c r="D171" s="111" t="s">
        <v>744</v>
      </c>
      <c r="E171" s="111" t="s">
        <v>745</v>
      </c>
      <c r="F171" s="29">
        <v>0</v>
      </c>
      <c r="G171" s="29">
        <v>0</v>
      </c>
      <c r="H171" s="29">
        <v>0</v>
      </c>
      <c r="I171" s="29">
        <v>0</v>
      </c>
      <c r="J171" s="29">
        <v>0</v>
      </c>
      <c r="K171" s="29">
        <v>0</v>
      </c>
      <c r="L171" s="29">
        <v>0</v>
      </c>
      <c r="M171" s="29">
        <v>0</v>
      </c>
      <c r="N171" s="29">
        <v>0</v>
      </c>
      <c r="O171" s="29">
        <v>0</v>
      </c>
      <c r="P171" s="29">
        <v>0</v>
      </c>
      <c r="Q171" s="29">
        <v>0</v>
      </c>
      <c r="R171" s="29">
        <v>0</v>
      </c>
      <c r="S171" s="29">
        <v>0</v>
      </c>
      <c r="T171" s="29">
        <v>0</v>
      </c>
      <c r="U171" s="29">
        <v>0</v>
      </c>
      <c r="V171" s="29"/>
      <c r="W171" s="29"/>
    </row>
    <row r="172" spans="1:23" x14ac:dyDescent="0.25">
      <c r="A172" s="111" t="s">
        <v>742</v>
      </c>
      <c r="B172" s="111" t="s">
        <v>776</v>
      </c>
      <c r="C172" s="111" t="s">
        <v>756</v>
      </c>
      <c r="D172" s="111" t="s">
        <v>744</v>
      </c>
      <c r="E172" s="111" t="s">
        <v>745</v>
      </c>
      <c r="F172" s="29">
        <v>0</v>
      </c>
      <c r="G172" s="29">
        <v>0</v>
      </c>
      <c r="H172" s="29">
        <v>0</v>
      </c>
      <c r="I172" s="29">
        <v>0</v>
      </c>
      <c r="J172" s="29">
        <v>0</v>
      </c>
      <c r="K172" s="29">
        <v>0</v>
      </c>
      <c r="L172" s="29">
        <v>0</v>
      </c>
      <c r="M172" s="29">
        <v>0</v>
      </c>
      <c r="N172" s="29">
        <v>0</v>
      </c>
      <c r="O172" s="29">
        <v>0</v>
      </c>
      <c r="P172" s="29">
        <v>0</v>
      </c>
      <c r="Q172" s="29">
        <v>0</v>
      </c>
      <c r="R172" s="29">
        <v>0</v>
      </c>
      <c r="S172" s="29">
        <v>0</v>
      </c>
      <c r="T172" s="29">
        <v>0</v>
      </c>
      <c r="U172" s="29">
        <v>0</v>
      </c>
      <c r="V172" s="29"/>
      <c r="W172" s="29"/>
    </row>
    <row r="173" spans="1:23" x14ac:dyDescent="0.25">
      <c r="A173" s="10" t="s">
        <v>742</v>
      </c>
      <c r="B173" s="10" t="s">
        <v>777</v>
      </c>
      <c r="C173" s="10" t="s">
        <v>536</v>
      </c>
      <c r="D173" s="10" t="s">
        <v>744</v>
      </c>
      <c r="E173" s="10" t="s">
        <v>745</v>
      </c>
      <c r="F173" s="126">
        <v>26714.929834999999</v>
      </c>
      <c r="G173" s="126">
        <v>26812.662649999998</v>
      </c>
      <c r="H173" s="126">
        <v>28322.02362</v>
      </c>
      <c r="I173" s="126">
        <v>28093.210279999999</v>
      </c>
      <c r="J173" s="126">
        <v>28071.739315000003</v>
      </c>
      <c r="K173" s="126">
        <v>29098.857960000005</v>
      </c>
      <c r="L173" s="126">
        <v>29740.113375000004</v>
      </c>
      <c r="M173" s="126">
        <v>28892.095469999997</v>
      </c>
      <c r="N173" s="126">
        <v>27253.937945000001</v>
      </c>
      <c r="O173" s="126">
        <v>25467.171760000001</v>
      </c>
      <c r="P173" s="126">
        <v>27203.991429999998</v>
      </c>
      <c r="Q173" s="126">
        <v>30966.17239</v>
      </c>
      <c r="R173" s="126">
        <v>29784.9306</v>
      </c>
      <c r="S173" s="29">
        <v>31384.054412178357</v>
      </c>
      <c r="T173" s="29">
        <v>31842.291876701373</v>
      </c>
      <c r="U173" s="29">
        <v>30946.361913868881</v>
      </c>
      <c r="V173" s="29"/>
      <c r="W173" s="29"/>
    </row>
    <row r="174" spans="1:23" x14ac:dyDescent="0.25">
      <c r="A174" s="111" t="s">
        <v>742</v>
      </c>
      <c r="B174" s="111" t="s">
        <v>778</v>
      </c>
      <c r="C174" s="111" t="s">
        <v>779</v>
      </c>
      <c r="D174" s="111" t="s">
        <v>744</v>
      </c>
      <c r="E174" s="111" t="s">
        <v>745</v>
      </c>
      <c r="F174" s="29">
        <v>16410.526914999999</v>
      </c>
      <c r="G174" s="29">
        <v>16410.537369999998</v>
      </c>
      <c r="H174" s="29">
        <v>17176.103220000001</v>
      </c>
      <c r="I174" s="29">
        <v>16786.444480000002</v>
      </c>
      <c r="J174" s="29">
        <v>16425.253915000001</v>
      </c>
      <c r="K174" s="29">
        <v>17359.699860000001</v>
      </c>
      <c r="L174" s="29">
        <v>17218.494115000001</v>
      </c>
      <c r="M174" s="29">
        <v>15147.096109999999</v>
      </c>
      <c r="N174" s="29">
        <v>14152.034485</v>
      </c>
      <c r="O174" s="29">
        <v>12794.452040000002</v>
      </c>
      <c r="P174" s="29">
        <v>13861.709649999999</v>
      </c>
      <c r="Q174" s="29">
        <v>14922.64853</v>
      </c>
      <c r="R174" s="29">
        <v>15020.696860000002</v>
      </c>
      <c r="S174" s="29">
        <v>15582.114970055352</v>
      </c>
      <c r="T174" s="29">
        <v>14363.524995027368</v>
      </c>
      <c r="U174" s="29">
        <v>14093.548470927624</v>
      </c>
      <c r="V174" s="29"/>
      <c r="W174" s="29"/>
    </row>
    <row r="175" spans="1:23" x14ac:dyDescent="0.25">
      <c r="A175" s="111" t="s">
        <v>742</v>
      </c>
      <c r="B175" s="111" t="s">
        <v>780</v>
      </c>
      <c r="C175" s="111" t="s">
        <v>781</v>
      </c>
      <c r="D175" s="111" t="s">
        <v>744</v>
      </c>
      <c r="E175" s="111" t="s">
        <v>745</v>
      </c>
      <c r="F175" s="29">
        <v>8082.4457200000015</v>
      </c>
      <c r="G175" s="29">
        <v>8199.1991799999996</v>
      </c>
      <c r="H175" s="29">
        <v>8974.3143</v>
      </c>
      <c r="I175" s="29">
        <v>9160.4660999999996</v>
      </c>
      <c r="J175" s="29">
        <v>9286.9134000000013</v>
      </c>
      <c r="K175" s="29">
        <v>9388.0440000000017</v>
      </c>
      <c r="L175" s="29">
        <v>10068.29506</v>
      </c>
      <c r="M175" s="29">
        <v>11250.145560000001</v>
      </c>
      <c r="N175" s="29">
        <v>11179.47366</v>
      </c>
      <c r="O175" s="29">
        <v>11192.699320000002</v>
      </c>
      <c r="P175" s="29">
        <v>11822.08778</v>
      </c>
      <c r="Q175" s="29">
        <v>12241.180260000001</v>
      </c>
      <c r="R175" s="29">
        <v>11627.24546</v>
      </c>
      <c r="S175" s="29">
        <v>11964.273079999999</v>
      </c>
      <c r="T175" s="29">
        <v>13897.388419999999</v>
      </c>
      <c r="U175" s="29">
        <v>13420.227720000001</v>
      </c>
      <c r="V175" s="29"/>
      <c r="W175" s="29"/>
    </row>
    <row r="176" spans="1:23" x14ac:dyDescent="0.25">
      <c r="A176" s="111" t="s">
        <v>742</v>
      </c>
      <c r="B176" s="111" t="s">
        <v>782</v>
      </c>
      <c r="C176" s="111" t="s">
        <v>783</v>
      </c>
      <c r="D176" s="111" t="s">
        <v>744</v>
      </c>
      <c r="E176" s="111" t="s">
        <v>745</v>
      </c>
      <c r="F176" s="29">
        <v>2074.4412000000002</v>
      </c>
      <c r="G176" s="29">
        <v>2071.0700999999999</v>
      </c>
      <c r="H176" s="29">
        <v>2035.8380999999999</v>
      </c>
      <c r="I176" s="29">
        <v>2055.0317</v>
      </c>
      <c r="J176" s="29">
        <v>2285.0319999999997</v>
      </c>
      <c r="K176" s="29">
        <v>2274.1301000000003</v>
      </c>
      <c r="L176" s="29">
        <v>2369.7282000000005</v>
      </c>
      <c r="M176" s="29">
        <v>2419.7458000000001</v>
      </c>
      <c r="N176" s="29">
        <v>1848.4218000000001</v>
      </c>
      <c r="O176" s="29">
        <v>1406.3284000000001</v>
      </c>
      <c r="P176" s="29">
        <v>1431.962</v>
      </c>
      <c r="Q176" s="29">
        <v>3710.3844000000008</v>
      </c>
      <c r="R176" s="29">
        <v>3046.0540000000001</v>
      </c>
      <c r="S176" s="29">
        <v>3764.2263621230068</v>
      </c>
      <c r="T176" s="29">
        <v>3514.3438596859583</v>
      </c>
      <c r="U176" s="29">
        <v>3364.5057229412555</v>
      </c>
      <c r="V176" s="29"/>
      <c r="W176" s="29"/>
    </row>
    <row r="177" spans="1:23" x14ac:dyDescent="0.25">
      <c r="A177" s="111" t="s">
        <v>742</v>
      </c>
      <c r="B177" s="111" t="s">
        <v>784</v>
      </c>
      <c r="C177" s="111" t="s">
        <v>785</v>
      </c>
      <c r="D177" s="111" t="s">
        <v>744</v>
      </c>
      <c r="E177" s="111" t="s">
        <v>745</v>
      </c>
      <c r="F177" s="29" t="s">
        <v>845</v>
      </c>
      <c r="G177" s="29" t="s">
        <v>845</v>
      </c>
      <c r="H177" s="29" t="s">
        <v>845</v>
      </c>
      <c r="I177" s="29" t="s">
        <v>845</v>
      </c>
      <c r="J177" s="29" t="s">
        <v>845</v>
      </c>
      <c r="K177" s="29" t="s">
        <v>845</v>
      </c>
      <c r="L177" s="29" t="s">
        <v>845</v>
      </c>
      <c r="M177" s="29" t="s">
        <v>845</v>
      </c>
      <c r="N177" s="29" t="s">
        <v>845</v>
      </c>
      <c r="O177" s="29" t="s">
        <v>845</v>
      </c>
      <c r="P177" s="29" t="s">
        <v>845</v>
      </c>
      <c r="Q177" s="29" t="s">
        <v>845</v>
      </c>
      <c r="R177" s="29" t="s">
        <v>845</v>
      </c>
      <c r="S177" s="29" t="s">
        <v>845</v>
      </c>
      <c r="T177" s="29" t="s">
        <v>845</v>
      </c>
      <c r="U177" s="29" t="s">
        <v>845</v>
      </c>
      <c r="V177" s="29"/>
      <c r="W177" s="29"/>
    </row>
    <row r="178" spans="1:23" x14ac:dyDescent="0.25">
      <c r="A178" s="111" t="s">
        <v>742</v>
      </c>
      <c r="B178" s="111" t="s">
        <v>786</v>
      </c>
      <c r="C178" s="111" t="s">
        <v>787</v>
      </c>
      <c r="D178" s="111" t="s">
        <v>744</v>
      </c>
      <c r="E178" s="111" t="s">
        <v>745</v>
      </c>
      <c r="F178" s="29">
        <v>39.155999999999999</v>
      </c>
      <c r="G178" s="29">
        <v>26.936</v>
      </c>
      <c r="H178" s="29">
        <v>25.687999999999999</v>
      </c>
      <c r="I178" s="29">
        <v>20.748000000000001</v>
      </c>
      <c r="J178" s="29">
        <v>19.5</v>
      </c>
      <c r="K178" s="29">
        <v>21.943999999999999</v>
      </c>
      <c r="L178" s="29">
        <v>25.116</v>
      </c>
      <c r="M178" s="29">
        <v>21.788</v>
      </c>
      <c r="N178" s="29">
        <v>24.128</v>
      </c>
      <c r="O178" s="29">
        <v>25.532</v>
      </c>
      <c r="P178" s="29">
        <v>26.312000000000001</v>
      </c>
      <c r="Q178" s="29">
        <v>28.319200000000002</v>
      </c>
      <c r="R178" s="29">
        <v>27.294280000000004</v>
      </c>
      <c r="S178" s="29">
        <v>21.84</v>
      </c>
      <c r="T178" s="29">
        <v>22.07208198804468</v>
      </c>
      <c r="U178" s="29">
        <v>18.2</v>
      </c>
      <c r="V178" s="29"/>
      <c r="W178" s="29"/>
    </row>
    <row r="179" spans="1:23" x14ac:dyDescent="0.25">
      <c r="A179" s="111" t="s">
        <v>742</v>
      </c>
      <c r="B179" s="111" t="s">
        <v>788</v>
      </c>
      <c r="C179" s="111" t="s">
        <v>789</v>
      </c>
      <c r="D179" s="111" t="s">
        <v>744</v>
      </c>
      <c r="E179" s="111" t="s">
        <v>745</v>
      </c>
      <c r="F179" s="29">
        <v>108.36</v>
      </c>
      <c r="G179" s="29">
        <v>104.92</v>
      </c>
      <c r="H179" s="29">
        <v>110.08</v>
      </c>
      <c r="I179" s="29">
        <v>70.52</v>
      </c>
      <c r="J179" s="29">
        <v>55.04</v>
      </c>
      <c r="K179" s="29">
        <v>55.04</v>
      </c>
      <c r="L179" s="29">
        <v>58.48</v>
      </c>
      <c r="M179" s="29">
        <v>53.32</v>
      </c>
      <c r="N179" s="29">
        <v>49.88</v>
      </c>
      <c r="O179" s="29">
        <v>48.16</v>
      </c>
      <c r="P179" s="29">
        <v>61.92</v>
      </c>
      <c r="Q179" s="29">
        <v>63.64</v>
      </c>
      <c r="R179" s="29">
        <v>63.64</v>
      </c>
      <c r="S179" s="29">
        <v>51.6</v>
      </c>
      <c r="T179" s="29">
        <v>44.962519999999998</v>
      </c>
      <c r="U179" s="29">
        <v>49.88</v>
      </c>
      <c r="V179" s="29"/>
      <c r="W179" s="29"/>
    </row>
    <row r="180" spans="1:23" x14ac:dyDescent="0.25">
      <c r="A180" s="111" t="s">
        <v>742</v>
      </c>
      <c r="B180" s="111" t="s">
        <v>790</v>
      </c>
      <c r="C180" s="111" t="s">
        <v>756</v>
      </c>
      <c r="D180" s="111" t="s">
        <v>744</v>
      </c>
      <c r="E180" s="111" t="s">
        <v>745</v>
      </c>
      <c r="F180" s="29" t="s">
        <v>845</v>
      </c>
      <c r="G180" s="29" t="s">
        <v>845</v>
      </c>
      <c r="H180" s="29" t="s">
        <v>845</v>
      </c>
      <c r="I180" s="29" t="s">
        <v>845</v>
      </c>
      <c r="J180" s="29" t="s">
        <v>845</v>
      </c>
      <c r="K180" s="29" t="s">
        <v>845</v>
      </c>
      <c r="L180" s="29" t="s">
        <v>845</v>
      </c>
      <c r="M180" s="29" t="s">
        <v>845</v>
      </c>
      <c r="N180" s="29" t="s">
        <v>845</v>
      </c>
      <c r="O180" s="29" t="s">
        <v>845</v>
      </c>
      <c r="P180" s="29" t="s">
        <v>845</v>
      </c>
      <c r="Q180" s="29" t="s">
        <v>845</v>
      </c>
      <c r="R180" s="29" t="s">
        <v>845</v>
      </c>
      <c r="S180" s="29" t="s">
        <v>845</v>
      </c>
      <c r="T180" s="29" t="s">
        <v>845</v>
      </c>
      <c r="U180" s="29" t="s">
        <v>845</v>
      </c>
      <c r="V180" s="29"/>
      <c r="W180" s="29"/>
    </row>
    <row r="181" spans="1:23" x14ac:dyDescent="0.25">
      <c r="A181" s="10" t="s">
        <v>742</v>
      </c>
      <c r="B181" s="10" t="s">
        <v>791</v>
      </c>
      <c r="C181" s="10" t="s">
        <v>792</v>
      </c>
      <c r="D181" s="10" t="s">
        <v>744</v>
      </c>
      <c r="E181" s="10" t="s">
        <v>745</v>
      </c>
      <c r="F181" s="126">
        <v>195.91733333333332</v>
      </c>
      <c r="G181" s="126">
        <v>225.96933333333334</v>
      </c>
      <c r="H181" s="126">
        <v>250.316</v>
      </c>
      <c r="I181" s="126">
        <v>248.61466666666664</v>
      </c>
      <c r="J181" s="126">
        <v>246.17999999999998</v>
      </c>
      <c r="K181" s="126">
        <v>467.85199999999998</v>
      </c>
      <c r="L181" s="126">
        <v>509.15333333333331</v>
      </c>
      <c r="M181" s="126">
        <v>234.08</v>
      </c>
      <c r="N181" s="126">
        <v>221.07066666666665</v>
      </c>
      <c r="O181" s="126">
        <v>233.75733333333332</v>
      </c>
      <c r="P181" s="126">
        <v>233.87466666666666</v>
      </c>
      <c r="Q181" s="126">
        <v>196.38666666666666</v>
      </c>
      <c r="R181" s="126">
        <v>253.87691077219299</v>
      </c>
      <c r="S181" s="126">
        <v>271.70611536899781</v>
      </c>
      <c r="T181" s="29">
        <v>272.77838312986057</v>
      </c>
      <c r="U181" s="29">
        <v>273.78627273280614</v>
      </c>
      <c r="V181" s="29"/>
      <c r="W181" s="29"/>
    </row>
    <row r="182" spans="1:23" x14ac:dyDescent="0.25">
      <c r="A182" s="111" t="s">
        <v>742</v>
      </c>
      <c r="B182" s="111" t="s">
        <v>793</v>
      </c>
      <c r="C182" s="111" t="s">
        <v>794</v>
      </c>
      <c r="D182" s="111" t="s">
        <v>744</v>
      </c>
      <c r="E182" s="111" t="s">
        <v>745</v>
      </c>
      <c r="F182" s="29">
        <v>188.48133333333331</v>
      </c>
      <c r="G182" s="29">
        <v>221.364</v>
      </c>
      <c r="H182" s="29">
        <v>242.89466666666667</v>
      </c>
      <c r="I182" s="29">
        <v>240.9733333333333</v>
      </c>
      <c r="J182" s="29">
        <v>238.99333333333331</v>
      </c>
      <c r="K182" s="29">
        <v>462.71866666666665</v>
      </c>
      <c r="L182" s="29">
        <v>504.4013333333333</v>
      </c>
      <c r="M182" s="29">
        <v>232.012</v>
      </c>
      <c r="N182" s="29">
        <v>218.40133333333333</v>
      </c>
      <c r="O182" s="29">
        <v>230.36933333333332</v>
      </c>
      <c r="P182" s="29">
        <v>230.48666666666665</v>
      </c>
      <c r="Q182" s="29">
        <v>192.57333333333332</v>
      </c>
      <c r="R182" s="29">
        <v>250.58</v>
      </c>
      <c r="S182" s="29">
        <v>268.54593874595992</v>
      </c>
      <c r="T182" s="29">
        <v>269.74550295424086</v>
      </c>
      <c r="U182" s="29">
        <v>270.87247043125336</v>
      </c>
      <c r="V182" s="29"/>
      <c r="W182" s="29"/>
    </row>
    <row r="183" spans="1:23" x14ac:dyDescent="0.25">
      <c r="A183" s="111" t="s">
        <v>742</v>
      </c>
      <c r="B183" s="111" t="s">
        <v>795</v>
      </c>
      <c r="C183" s="111" t="s">
        <v>796</v>
      </c>
      <c r="D183" s="111" t="s">
        <v>744</v>
      </c>
      <c r="E183" s="111" t="s">
        <v>745</v>
      </c>
      <c r="F183" s="29">
        <v>7.4359999999999999</v>
      </c>
      <c r="G183" s="29">
        <v>4.6053333333333333</v>
      </c>
      <c r="H183" s="29">
        <v>7.4213333333333331</v>
      </c>
      <c r="I183" s="29">
        <v>7.6413333333333329</v>
      </c>
      <c r="J183" s="29">
        <v>7.1866666666666656</v>
      </c>
      <c r="K183" s="29">
        <v>5.1333333333333329</v>
      </c>
      <c r="L183" s="29">
        <v>4.7519999999999998</v>
      </c>
      <c r="M183" s="29">
        <v>2.0680000000000001</v>
      </c>
      <c r="N183" s="29">
        <v>2.6693333333333329</v>
      </c>
      <c r="O183" s="29">
        <v>3.3879999999999999</v>
      </c>
      <c r="P183" s="29">
        <v>3.3879999999999999</v>
      </c>
      <c r="Q183" s="29">
        <v>3.813333333333333</v>
      </c>
      <c r="R183" s="29">
        <v>3.2969107721929678</v>
      </c>
      <c r="S183" s="29">
        <v>3.1601766230378749</v>
      </c>
      <c r="T183" s="29">
        <v>3.0328801756196833</v>
      </c>
      <c r="U183" s="29">
        <v>2.9138023015527885</v>
      </c>
      <c r="V183" s="29"/>
      <c r="W183" s="29"/>
    </row>
    <row r="184" spans="1:23" x14ac:dyDescent="0.25">
      <c r="A184" s="111" t="s">
        <v>742</v>
      </c>
      <c r="B184" s="111" t="s">
        <v>797</v>
      </c>
      <c r="C184" s="111" t="s">
        <v>798</v>
      </c>
      <c r="D184" s="111" t="s">
        <v>744</v>
      </c>
      <c r="E184" s="111" t="s">
        <v>745</v>
      </c>
      <c r="F184" s="29" t="s">
        <v>845</v>
      </c>
      <c r="G184" s="29" t="s">
        <v>845</v>
      </c>
      <c r="H184" s="29" t="s">
        <v>845</v>
      </c>
      <c r="I184" s="29" t="s">
        <v>845</v>
      </c>
      <c r="J184" s="29" t="s">
        <v>845</v>
      </c>
      <c r="K184" s="29" t="s">
        <v>845</v>
      </c>
      <c r="L184" s="29" t="s">
        <v>845</v>
      </c>
      <c r="M184" s="29" t="s">
        <v>845</v>
      </c>
      <c r="N184" s="29" t="s">
        <v>845</v>
      </c>
      <c r="O184" s="29" t="s">
        <v>845</v>
      </c>
      <c r="P184" s="29" t="s">
        <v>845</v>
      </c>
      <c r="Q184" s="29" t="s">
        <v>845</v>
      </c>
      <c r="R184" s="29" t="s">
        <v>845</v>
      </c>
      <c r="S184" s="29" t="s">
        <v>845</v>
      </c>
      <c r="T184" s="29" t="s">
        <v>845</v>
      </c>
      <c r="U184" s="29" t="s">
        <v>845</v>
      </c>
      <c r="V184" s="29"/>
      <c r="W184" s="29"/>
    </row>
    <row r="185" spans="1:23" x14ac:dyDescent="0.25">
      <c r="A185" s="111" t="s">
        <v>742</v>
      </c>
      <c r="B185" s="111" t="s">
        <v>799</v>
      </c>
      <c r="C185" s="111" t="s">
        <v>756</v>
      </c>
      <c r="D185" s="111" t="s">
        <v>744</v>
      </c>
      <c r="E185" s="111" t="s">
        <v>745</v>
      </c>
      <c r="F185" s="29" t="s">
        <v>845</v>
      </c>
      <c r="G185" s="29" t="s">
        <v>845</v>
      </c>
      <c r="H185" s="29" t="s">
        <v>845</v>
      </c>
      <c r="I185" s="29" t="s">
        <v>845</v>
      </c>
      <c r="J185" s="29" t="s">
        <v>845</v>
      </c>
      <c r="K185" s="29" t="s">
        <v>845</v>
      </c>
      <c r="L185" s="29" t="s">
        <v>845</v>
      </c>
      <c r="M185" s="29" t="s">
        <v>845</v>
      </c>
      <c r="N185" s="29" t="s">
        <v>845</v>
      </c>
      <c r="O185" s="29" t="s">
        <v>845</v>
      </c>
      <c r="P185" s="29" t="s">
        <v>845</v>
      </c>
      <c r="Q185" s="29" t="s">
        <v>845</v>
      </c>
      <c r="R185" s="29" t="s">
        <v>845</v>
      </c>
      <c r="S185" s="29" t="s">
        <v>845</v>
      </c>
      <c r="T185" s="29" t="s">
        <v>845</v>
      </c>
      <c r="U185" s="29" t="s">
        <v>845</v>
      </c>
      <c r="V185" s="29"/>
      <c r="W185" s="29"/>
    </row>
    <row r="186" spans="1:23" x14ac:dyDescent="0.25">
      <c r="A186" s="10" t="s">
        <v>742</v>
      </c>
      <c r="B186" s="112" t="s">
        <v>800</v>
      </c>
      <c r="C186" s="10" t="s">
        <v>555</v>
      </c>
      <c r="D186" s="10" t="s">
        <v>744</v>
      </c>
      <c r="E186" s="10" t="s">
        <v>745</v>
      </c>
      <c r="F186" s="126">
        <v>0</v>
      </c>
      <c r="G186" s="126">
        <v>0</v>
      </c>
      <c r="H186" s="126">
        <v>0</v>
      </c>
      <c r="I186" s="126">
        <v>0</v>
      </c>
      <c r="J186" s="126">
        <v>0</v>
      </c>
      <c r="K186" s="126">
        <v>0</v>
      </c>
      <c r="L186" s="126">
        <v>0</v>
      </c>
      <c r="M186" s="126">
        <v>0</v>
      </c>
      <c r="N186" s="126">
        <v>0</v>
      </c>
      <c r="O186" s="126">
        <v>0</v>
      </c>
      <c r="P186" s="126">
        <v>0</v>
      </c>
      <c r="Q186" s="126">
        <v>0</v>
      </c>
      <c r="R186" s="126">
        <v>0</v>
      </c>
      <c r="S186" s="29">
        <v>0</v>
      </c>
      <c r="T186" s="29">
        <v>0</v>
      </c>
      <c r="U186" s="29">
        <v>0</v>
      </c>
      <c r="V186" s="29"/>
      <c r="W186" s="29"/>
    </row>
    <row r="187" spans="1:23" x14ac:dyDescent="0.25">
      <c r="A187" s="111" t="s">
        <v>742</v>
      </c>
      <c r="B187" s="113" t="s">
        <v>801</v>
      </c>
      <c r="C187" s="111" t="s">
        <v>802</v>
      </c>
      <c r="D187" s="111" t="s">
        <v>744</v>
      </c>
      <c r="E187" s="111" t="s">
        <v>745</v>
      </c>
      <c r="F187" s="29" t="s">
        <v>845</v>
      </c>
      <c r="G187" s="29" t="s">
        <v>845</v>
      </c>
      <c r="H187" s="29" t="s">
        <v>845</v>
      </c>
      <c r="I187" s="29" t="s">
        <v>845</v>
      </c>
      <c r="J187" s="29" t="s">
        <v>845</v>
      </c>
      <c r="K187" s="29" t="s">
        <v>845</v>
      </c>
      <c r="L187" s="29" t="s">
        <v>845</v>
      </c>
      <c r="M187" s="29" t="s">
        <v>845</v>
      </c>
      <c r="N187" s="29" t="s">
        <v>845</v>
      </c>
      <c r="O187" s="29" t="s">
        <v>845</v>
      </c>
      <c r="P187" s="29" t="s">
        <v>845</v>
      </c>
      <c r="Q187" s="29" t="s">
        <v>845</v>
      </c>
      <c r="R187" s="29" t="s">
        <v>845</v>
      </c>
      <c r="S187" s="29" t="s">
        <v>845</v>
      </c>
      <c r="T187" s="29" t="s">
        <v>845</v>
      </c>
      <c r="U187" s="29" t="s">
        <v>845</v>
      </c>
      <c r="V187" s="29"/>
      <c r="W187" s="29"/>
    </row>
    <row r="188" spans="1:23" x14ac:dyDescent="0.25">
      <c r="A188" s="111" t="s">
        <v>742</v>
      </c>
      <c r="B188" s="113" t="s">
        <v>803</v>
      </c>
      <c r="C188" s="111" t="s">
        <v>804</v>
      </c>
      <c r="D188" s="111" t="s">
        <v>744</v>
      </c>
      <c r="E188" s="111" t="s">
        <v>745</v>
      </c>
      <c r="F188" s="29" t="s">
        <v>845</v>
      </c>
      <c r="G188" s="29" t="s">
        <v>845</v>
      </c>
      <c r="H188" s="29" t="s">
        <v>845</v>
      </c>
      <c r="I188" s="29" t="s">
        <v>845</v>
      </c>
      <c r="J188" s="29" t="s">
        <v>845</v>
      </c>
      <c r="K188" s="29" t="s">
        <v>845</v>
      </c>
      <c r="L188" s="29" t="s">
        <v>845</v>
      </c>
      <c r="M188" s="29" t="s">
        <v>845</v>
      </c>
      <c r="N188" s="29" t="s">
        <v>845</v>
      </c>
      <c r="O188" s="29" t="s">
        <v>845</v>
      </c>
      <c r="P188" s="29" t="s">
        <v>845</v>
      </c>
      <c r="Q188" s="29" t="s">
        <v>845</v>
      </c>
      <c r="R188" s="29" t="s">
        <v>845</v>
      </c>
      <c r="S188" s="29" t="s">
        <v>845</v>
      </c>
      <c r="T188" s="29" t="s">
        <v>845</v>
      </c>
      <c r="U188" s="29" t="s">
        <v>845</v>
      </c>
      <c r="V188" s="29"/>
      <c r="W188" s="29"/>
    </row>
    <row r="189" spans="1:23" x14ac:dyDescent="0.25">
      <c r="A189" s="111" t="s">
        <v>742</v>
      </c>
      <c r="B189" s="113" t="s">
        <v>805</v>
      </c>
      <c r="C189" s="111" t="s">
        <v>558</v>
      </c>
      <c r="D189" s="111" t="s">
        <v>744</v>
      </c>
      <c r="E189" s="111" t="s">
        <v>745</v>
      </c>
      <c r="F189" s="29" t="s">
        <v>845</v>
      </c>
      <c r="G189" s="29" t="s">
        <v>845</v>
      </c>
      <c r="H189" s="29" t="s">
        <v>845</v>
      </c>
      <c r="I189" s="29" t="s">
        <v>845</v>
      </c>
      <c r="J189" s="29" t="s">
        <v>845</v>
      </c>
      <c r="K189" s="29" t="s">
        <v>845</v>
      </c>
      <c r="L189" s="29" t="s">
        <v>845</v>
      </c>
      <c r="M189" s="29" t="s">
        <v>845</v>
      </c>
      <c r="N189" s="29" t="s">
        <v>845</v>
      </c>
      <c r="O189" s="29" t="s">
        <v>845</v>
      </c>
      <c r="P189" s="29" t="s">
        <v>845</v>
      </c>
      <c r="Q189" s="29" t="s">
        <v>845</v>
      </c>
      <c r="R189" s="29" t="s">
        <v>845</v>
      </c>
      <c r="S189" s="29" t="s">
        <v>845</v>
      </c>
      <c r="T189" s="29" t="s">
        <v>845</v>
      </c>
      <c r="U189" s="29" t="s">
        <v>845</v>
      </c>
      <c r="V189" s="29"/>
      <c r="W189" s="29"/>
    </row>
    <row r="190" spans="1:23" x14ac:dyDescent="0.25">
      <c r="A190" s="111" t="s">
        <v>742</v>
      </c>
      <c r="B190" s="113" t="s">
        <v>806</v>
      </c>
      <c r="C190" s="111" t="s">
        <v>807</v>
      </c>
      <c r="D190" s="111" t="s">
        <v>744</v>
      </c>
      <c r="E190" s="111" t="s">
        <v>745</v>
      </c>
      <c r="F190" s="29" t="s">
        <v>845</v>
      </c>
      <c r="G190" s="29" t="s">
        <v>845</v>
      </c>
      <c r="H190" s="29" t="s">
        <v>845</v>
      </c>
      <c r="I190" s="29" t="s">
        <v>845</v>
      </c>
      <c r="J190" s="29" t="s">
        <v>845</v>
      </c>
      <c r="K190" s="29" t="s">
        <v>845</v>
      </c>
      <c r="L190" s="29" t="s">
        <v>845</v>
      </c>
      <c r="M190" s="29" t="s">
        <v>845</v>
      </c>
      <c r="N190" s="29" t="s">
        <v>845</v>
      </c>
      <c r="O190" s="29" t="s">
        <v>845</v>
      </c>
      <c r="P190" s="29" t="s">
        <v>845</v>
      </c>
      <c r="Q190" s="29" t="s">
        <v>845</v>
      </c>
      <c r="R190" s="29" t="s">
        <v>845</v>
      </c>
      <c r="S190" s="29" t="s">
        <v>845</v>
      </c>
      <c r="T190" s="29" t="s">
        <v>845</v>
      </c>
      <c r="U190" s="29" t="s">
        <v>845</v>
      </c>
      <c r="V190" s="29"/>
      <c r="W190" s="29"/>
    </row>
    <row r="191" spans="1:23" x14ac:dyDescent="0.25">
      <c r="A191" s="111" t="s">
        <v>742</v>
      </c>
      <c r="B191" s="113" t="s">
        <v>808</v>
      </c>
      <c r="C191" s="111" t="s">
        <v>756</v>
      </c>
      <c r="D191" s="111" t="s">
        <v>744</v>
      </c>
      <c r="E191" s="111" t="s">
        <v>745</v>
      </c>
      <c r="F191" s="29" t="s">
        <v>845</v>
      </c>
      <c r="G191" s="29" t="s">
        <v>845</v>
      </c>
      <c r="H191" s="29" t="s">
        <v>845</v>
      </c>
      <c r="I191" s="29" t="s">
        <v>845</v>
      </c>
      <c r="J191" s="29" t="s">
        <v>845</v>
      </c>
      <c r="K191" s="29" t="s">
        <v>845</v>
      </c>
      <c r="L191" s="29" t="s">
        <v>845</v>
      </c>
      <c r="M191" s="29" t="s">
        <v>845</v>
      </c>
      <c r="N191" s="29" t="s">
        <v>845</v>
      </c>
      <c r="O191" s="29" t="s">
        <v>845</v>
      </c>
      <c r="P191" s="29" t="s">
        <v>845</v>
      </c>
      <c r="Q191" s="29" t="s">
        <v>845</v>
      </c>
      <c r="R191" s="29" t="s">
        <v>845</v>
      </c>
      <c r="S191" s="29" t="s">
        <v>845</v>
      </c>
      <c r="T191" s="29" t="s">
        <v>845</v>
      </c>
      <c r="U191" s="29" t="s">
        <v>845</v>
      </c>
      <c r="V191" s="29"/>
      <c r="W191" s="29"/>
    </row>
    <row r="192" spans="1:23" x14ac:dyDescent="0.25">
      <c r="A192" s="10" t="s">
        <v>742</v>
      </c>
      <c r="B192" s="10" t="s">
        <v>809</v>
      </c>
      <c r="C192" s="10" t="s">
        <v>810</v>
      </c>
      <c r="D192" s="10" t="s">
        <v>744</v>
      </c>
      <c r="E192" s="10" t="s">
        <v>745</v>
      </c>
      <c r="F192" s="126">
        <v>0</v>
      </c>
      <c r="G192" s="126">
        <v>0</v>
      </c>
      <c r="H192" s="126">
        <v>0</v>
      </c>
      <c r="I192" s="126">
        <v>0</v>
      </c>
      <c r="J192" s="126">
        <v>0</v>
      </c>
      <c r="K192" s="126">
        <v>841.75</v>
      </c>
      <c r="L192" s="126">
        <v>1045.3600000000001</v>
      </c>
      <c r="M192" s="126">
        <v>1063.4000000000001</v>
      </c>
      <c r="N192" s="126">
        <v>1025.95</v>
      </c>
      <c r="O192" s="126">
        <v>992.04</v>
      </c>
      <c r="P192" s="126">
        <v>2065.8000000000002</v>
      </c>
      <c r="Q192" s="126">
        <v>2274.3970304019999</v>
      </c>
      <c r="R192" s="126">
        <v>2527.5876217245</v>
      </c>
      <c r="S192" s="29">
        <v>2852.5371444459997</v>
      </c>
      <c r="T192" s="29">
        <v>3065.5941807110003</v>
      </c>
      <c r="U192" s="29">
        <v>3482.1249274289999</v>
      </c>
      <c r="V192" s="29"/>
      <c r="W192" s="29"/>
    </row>
    <row r="193" spans="1:23" x14ac:dyDescent="0.25">
      <c r="A193" s="111" t="s">
        <v>742</v>
      </c>
      <c r="B193" s="111" t="s">
        <v>811</v>
      </c>
      <c r="C193" s="111" t="s">
        <v>812</v>
      </c>
      <c r="D193" s="111" t="s">
        <v>744</v>
      </c>
      <c r="E193" s="111" t="s">
        <v>745</v>
      </c>
      <c r="F193" s="29">
        <v>0</v>
      </c>
      <c r="G193" s="29">
        <v>0</v>
      </c>
      <c r="H193" s="29">
        <v>0</v>
      </c>
      <c r="I193" s="29">
        <v>0</v>
      </c>
      <c r="J193" s="29">
        <v>0</v>
      </c>
      <c r="K193" s="29">
        <v>841.75</v>
      </c>
      <c r="L193" s="29">
        <v>1045.3600000000001</v>
      </c>
      <c r="M193" s="29">
        <v>1063.4000000000001</v>
      </c>
      <c r="N193" s="29">
        <v>1025.95</v>
      </c>
      <c r="O193" s="29">
        <v>992.04</v>
      </c>
      <c r="P193" s="29">
        <v>2065.8000000000002</v>
      </c>
      <c r="Q193" s="29">
        <v>2232.500866332</v>
      </c>
      <c r="R193" s="29">
        <v>2482.7810084104999</v>
      </c>
      <c r="S193" s="29">
        <v>2802.3997062409999</v>
      </c>
      <c r="T193" s="29">
        <v>3011.31930134</v>
      </c>
      <c r="U193" s="29">
        <v>3419.7235398180001</v>
      </c>
      <c r="V193" s="29"/>
      <c r="W193" s="29"/>
    </row>
    <row r="194" spans="1:23" x14ac:dyDescent="0.25">
      <c r="A194" s="111" t="s">
        <v>742</v>
      </c>
      <c r="B194" s="111" t="s">
        <v>813</v>
      </c>
      <c r="C194" s="111" t="s">
        <v>814</v>
      </c>
      <c r="D194" s="111" t="s">
        <v>744</v>
      </c>
      <c r="E194" s="111" t="s">
        <v>745</v>
      </c>
      <c r="F194" s="29">
        <v>0</v>
      </c>
      <c r="G194" s="29">
        <v>0</v>
      </c>
      <c r="H194" s="29">
        <v>0</v>
      </c>
      <c r="I194" s="29">
        <v>0</v>
      </c>
      <c r="J194" s="29">
        <v>0</v>
      </c>
      <c r="K194" s="29">
        <v>0</v>
      </c>
      <c r="L194" s="29">
        <v>0</v>
      </c>
      <c r="M194" s="29">
        <v>0</v>
      </c>
      <c r="N194" s="29">
        <v>0</v>
      </c>
      <c r="O194" s="29">
        <v>0</v>
      </c>
      <c r="P194" s="29">
        <v>0</v>
      </c>
      <c r="Q194" s="29">
        <v>3.7830966699999999</v>
      </c>
      <c r="R194" s="29">
        <v>3.4528660840000001</v>
      </c>
      <c r="S194" s="29">
        <v>2.0036058250000002</v>
      </c>
      <c r="T194" s="29">
        <v>1.7355986710000002</v>
      </c>
      <c r="U194" s="29">
        <v>2.1042043709999998</v>
      </c>
      <c r="V194" s="29"/>
      <c r="W194" s="29"/>
    </row>
    <row r="195" spans="1:23" x14ac:dyDescent="0.25">
      <c r="A195" s="111" t="s">
        <v>742</v>
      </c>
      <c r="B195" s="111" t="s">
        <v>815</v>
      </c>
      <c r="C195" s="111" t="s">
        <v>816</v>
      </c>
      <c r="D195" s="111" t="s">
        <v>744</v>
      </c>
      <c r="E195" s="111" t="s">
        <v>745</v>
      </c>
      <c r="F195" s="29">
        <v>0</v>
      </c>
      <c r="G195" s="29">
        <v>0</v>
      </c>
      <c r="H195" s="29">
        <v>0</v>
      </c>
      <c r="I195" s="29">
        <v>0</v>
      </c>
      <c r="J195" s="29">
        <v>0</v>
      </c>
      <c r="K195" s="29">
        <v>0</v>
      </c>
      <c r="L195" s="29">
        <v>0</v>
      </c>
      <c r="M195" s="29">
        <v>0</v>
      </c>
      <c r="N195" s="29">
        <v>0</v>
      </c>
      <c r="O195" s="29">
        <v>0</v>
      </c>
      <c r="P195" s="29">
        <v>0</v>
      </c>
      <c r="Q195" s="29">
        <v>22.980200300000003</v>
      </c>
      <c r="R195" s="29">
        <v>25.331806229999998</v>
      </c>
      <c r="S195" s="29">
        <v>30.53210928</v>
      </c>
      <c r="T195" s="29">
        <v>35.923529300000006</v>
      </c>
      <c r="U195" s="29">
        <v>42.095061219999998</v>
      </c>
      <c r="V195" s="29"/>
      <c r="W195" s="29"/>
    </row>
    <row r="196" spans="1:23" x14ac:dyDescent="0.25">
      <c r="A196" s="111" t="s">
        <v>742</v>
      </c>
      <c r="B196" s="111" t="s">
        <v>817</v>
      </c>
      <c r="C196" s="111" t="s">
        <v>565</v>
      </c>
      <c r="D196" s="111" t="s">
        <v>744</v>
      </c>
      <c r="E196" s="111" t="s">
        <v>745</v>
      </c>
      <c r="F196" s="29">
        <v>0</v>
      </c>
      <c r="G196" s="29">
        <v>0</v>
      </c>
      <c r="H196" s="29">
        <v>0</v>
      </c>
      <c r="I196" s="29">
        <v>0</v>
      </c>
      <c r="J196" s="29">
        <v>0</v>
      </c>
      <c r="K196" s="29">
        <v>0</v>
      </c>
      <c r="L196" s="29">
        <v>0</v>
      </c>
      <c r="M196" s="29">
        <v>0</v>
      </c>
      <c r="N196" s="29">
        <v>0</v>
      </c>
      <c r="O196" s="29">
        <v>0</v>
      </c>
      <c r="P196" s="29">
        <v>0</v>
      </c>
      <c r="Q196" s="29">
        <v>15.1328671</v>
      </c>
      <c r="R196" s="29">
        <v>16.021940999999998</v>
      </c>
      <c r="S196" s="29">
        <v>17.601723100000001</v>
      </c>
      <c r="T196" s="29">
        <v>16.615751399999997</v>
      </c>
      <c r="U196" s="29">
        <v>18.202122020000004</v>
      </c>
      <c r="V196" s="29"/>
      <c r="W196" s="29"/>
    </row>
    <row r="197" spans="1:23" x14ac:dyDescent="0.25">
      <c r="A197" s="111" t="s">
        <v>742</v>
      </c>
      <c r="B197" s="111" t="s">
        <v>818</v>
      </c>
      <c r="C197" s="111" t="s">
        <v>566</v>
      </c>
      <c r="D197" s="111" t="s">
        <v>744</v>
      </c>
      <c r="E197" s="111" t="s">
        <v>745</v>
      </c>
      <c r="F197" s="29" t="s">
        <v>845</v>
      </c>
      <c r="G197" s="29" t="s">
        <v>845</v>
      </c>
      <c r="H197" s="29" t="s">
        <v>845</v>
      </c>
      <c r="I197" s="29" t="s">
        <v>845</v>
      </c>
      <c r="J197" s="29" t="s">
        <v>845</v>
      </c>
      <c r="K197" s="29" t="s">
        <v>845</v>
      </c>
      <c r="L197" s="29" t="s">
        <v>845</v>
      </c>
      <c r="M197" s="29" t="s">
        <v>845</v>
      </c>
      <c r="N197" s="29" t="s">
        <v>845</v>
      </c>
      <c r="O197" s="29" t="s">
        <v>845</v>
      </c>
      <c r="P197" s="29" t="s">
        <v>845</v>
      </c>
      <c r="Q197" s="29" t="s">
        <v>845</v>
      </c>
      <c r="R197" s="29" t="s">
        <v>845</v>
      </c>
      <c r="S197" s="29" t="s">
        <v>845</v>
      </c>
      <c r="T197" s="29" t="s">
        <v>845</v>
      </c>
      <c r="U197" s="29" t="s">
        <v>845</v>
      </c>
      <c r="V197" s="29"/>
      <c r="W197" s="29"/>
    </row>
    <row r="198" spans="1:23" x14ac:dyDescent="0.25">
      <c r="A198" s="111" t="s">
        <v>742</v>
      </c>
      <c r="B198" s="111" t="s">
        <v>819</v>
      </c>
      <c r="C198" s="111" t="s">
        <v>820</v>
      </c>
      <c r="D198" s="111" t="s">
        <v>744</v>
      </c>
      <c r="E198" s="111" t="s">
        <v>745</v>
      </c>
      <c r="F198" s="29" t="s">
        <v>845</v>
      </c>
      <c r="G198" s="29" t="s">
        <v>845</v>
      </c>
      <c r="H198" s="29" t="s">
        <v>845</v>
      </c>
      <c r="I198" s="29" t="s">
        <v>845</v>
      </c>
      <c r="J198" s="29" t="s">
        <v>845</v>
      </c>
      <c r="K198" s="29" t="s">
        <v>845</v>
      </c>
      <c r="L198" s="29" t="s">
        <v>845</v>
      </c>
      <c r="M198" s="29" t="s">
        <v>845</v>
      </c>
      <c r="N198" s="29" t="s">
        <v>845</v>
      </c>
      <c r="O198" s="29" t="s">
        <v>845</v>
      </c>
      <c r="P198" s="29" t="s">
        <v>845</v>
      </c>
      <c r="Q198" s="29" t="s">
        <v>845</v>
      </c>
      <c r="R198" s="29" t="s">
        <v>845</v>
      </c>
      <c r="S198" s="29" t="s">
        <v>845</v>
      </c>
      <c r="T198" s="29" t="s">
        <v>845</v>
      </c>
      <c r="U198" s="29" t="s">
        <v>845</v>
      </c>
      <c r="V198" s="29"/>
      <c r="W198" s="29"/>
    </row>
    <row r="199" spans="1:23" x14ac:dyDescent="0.25">
      <c r="A199" s="10" t="s">
        <v>742</v>
      </c>
      <c r="B199" s="10" t="s">
        <v>821</v>
      </c>
      <c r="C199" s="10" t="s">
        <v>568</v>
      </c>
      <c r="D199" s="10" t="s">
        <v>744</v>
      </c>
      <c r="E199" s="10" t="s">
        <v>745</v>
      </c>
      <c r="F199" s="126">
        <v>0</v>
      </c>
      <c r="G199" s="126">
        <v>0</v>
      </c>
      <c r="H199" s="126">
        <v>0</v>
      </c>
      <c r="I199" s="126">
        <v>0</v>
      </c>
      <c r="J199" s="126">
        <v>0</v>
      </c>
      <c r="K199" s="126">
        <v>0</v>
      </c>
      <c r="L199" s="126">
        <v>0</v>
      </c>
      <c r="M199" s="126">
        <v>0</v>
      </c>
      <c r="N199" s="126">
        <v>0</v>
      </c>
      <c r="O199" s="126">
        <v>0</v>
      </c>
      <c r="P199" s="126">
        <v>0</v>
      </c>
      <c r="Q199" s="126">
        <v>0</v>
      </c>
      <c r="R199" s="126">
        <v>0</v>
      </c>
      <c r="S199" s="29">
        <v>0</v>
      </c>
      <c r="T199" s="29">
        <v>0</v>
      </c>
      <c r="U199" s="29">
        <v>0</v>
      </c>
      <c r="V199" s="29"/>
      <c r="W199" s="29"/>
    </row>
    <row r="200" spans="1:23" x14ac:dyDescent="0.25">
      <c r="A200" s="111" t="s">
        <v>742</v>
      </c>
      <c r="B200" s="111" t="s">
        <v>822</v>
      </c>
      <c r="C200" s="111" t="s">
        <v>823</v>
      </c>
      <c r="D200" s="111" t="s">
        <v>744</v>
      </c>
      <c r="E200" s="111" t="s">
        <v>745</v>
      </c>
      <c r="F200" s="29" t="s">
        <v>845</v>
      </c>
      <c r="G200" s="29" t="s">
        <v>845</v>
      </c>
      <c r="H200" s="29" t="s">
        <v>845</v>
      </c>
      <c r="I200" s="29" t="s">
        <v>845</v>
      </c>
      <c r="J200" s="29" t="s">
        <v>845</v>
      </c>
      <c r="K200" s="29" t="s">
        <v>845</v>
      </c>
      <c r="L200" s="29" t="s">
        <v>845</v>
      </c>
      <c r="M200" s="29" t="s">
        <v>845</v>
      </c>
      <c r="N200" s="29" t="s">
        <v>845</v>
      </c>
      <c r="O200" s="29" t="s">
        <v>845</v>
      </c>
      <c r="P200" s="29" t="s">
        <v>845</v>
      </c>
      <c r="Q200" s="29" t="s">
        <v>845</v>
      </c>
      <c r="R200" s="29" t="s">
        <v>845</v>
      </c>
      <c r="S200" s="29" t="s">
        <v>845</v>
      </c>
      <c r="T200" s="29" t="s">
        <v>845</v>
      </c>
      <c r="U200" s="29" t="s">
        <v>845</v>
      </c>
      <c r="V200" s="29"/>
      <c r="W200" s="29"/>
    </row>
    <row r="201" spans="1:23" x14ac:dyDescent="0.25">
      <c r="A201" s="111" t="s">
        <v>742</v>
      </c>
      <c r="B201" s="111" t="s">
        <v>824</v>
      </c>
      <c r="C201" s="111" t="s">
        <v>825</v>
      </c>
      <c r="D201" s="111" t="s">
        <v>744</v>
      </c>
      <c r="E201" s="111" t="s">
        <v>745</v>
      </c>
      <c r="F201" s="29" t="s">
        <v>845</v>
      </c>
      <c r="G201" s="29" t="s">
        <v>845</v>
      </c>
      <c r="H201" s="29" t="s">
        <v>845</v>
      </c>
      <c r="I201" s="29" t="s">
        <v>845</v>
      </c>
      <c r="J201" s="29" t="s">
        <v>845</v>
      </c>
      <c r="K201" s="29" t="s">
        <v>845</v>
      </c>
      <c r="L201" s="29" t="s">
        <v>845</v>
      </c>
      <c r="M201" s="29" t="s">
        <v>845</v>
      </c>
      <c r="N201" s="29" t="s">
        <v>845</v>
      </c>
      <c r="O201" s="29" t="s">
        <v>845</v>
      </c>
      <c r="P201" s="29" t="s">
        <v>845</v>
      </c>
      <c r="Q201" s="29" t="s">
        <v>845</v>
      </c>
      <c r="R201" s="29" t="s">
        <v>845</v>
      </c>
      <c r="S201" s="29" t="s">
        <v>845</v>
      </c>
      <c r="T201" s="29" t="s">
        <v>845</v>
      </c>
      <c r="U201" s="29" t="s">
        <v>845</v>
      </c>
      <c r="V201" s="29"/>
      <c r="W201" s="29"/>
    </row>
    <row r="202" spans="1:23" x14ac:dyDescent="0.25">
      <c r="A202" s="111" t="s">
        <v>742</v>
      </c>
      <c r="B202" s="111" t="s">
        <v>826</v>
      </c>
      <c r="C202" s="111" t="s">
        <v>827</v>
      </c>
      <c r="D202" s="111" t="s">
        <v>744</v>
      </c>
      <c r="E202" s="111" t="s">
        <v>745</v>
      </c>
      <c r="F202" s="29" t="s">
        <v>845</v>
      </c>
      <c r="G202" s="29" t="s">
        <v>845</v>
      </c>
      <c r="H202" s="29" t="s">
        <v>845</v>
      </c>
      <c r="I202" s="29" t="s">
        <v>845</v>
      </c>
      <c r="J202" s="29" t="s">
        <v>845</v>
      </c>
      <c r="K202" s="29" t="s">
        <v>845</v>
      </c>
      <c r="L202" s="29" t="s">
        <v>845</v>
      </c>
      <c r="M202" s="29" t="s">
        <v>845</v>
      </c>
      <c r="N202" s="29" t="s">
        <v>845</v>
      </c>
      <c r="O202" s="29" t="s">
        <v>845</v>
      </c>
      <c r="P202" s="29" t="s">
        <v>845</v>
      </c>
      <c r="Q202" s="29" t="s">
        <v>845</v>
      </c>
      <c r="R202" s="29" t="s">
        <v>845</v>
      </c>
      <c r="S202" s="29" t="s">
        <v>845</v>
      </c>
      <c r="T202" s="29" t="s">
        <v>845</v>
      </c>
      <c r="U202" s="29" t="s">
        <v>845</v>
      </c>
      <c r="V202" s="29"/>
      <c r="W202" s="29"/>
    </row>
    <row r="203" spans="1:23" x14ac:dyDescent="0.25">
      <c r="A203" s="111" t="s">
        <v>742</v>
      </c>
      <c r="B203" s="111" t="s">
        <v>828</v>
      </c>
      <c r="C203" s="111" t="s">
        <v>756</v>
      </c>
      <c r="D203" s="111" t="s">
        <v>744</v>
      </c>
      <c r="E203" s="111" t="s">
        <v>745</v>
      </c>
      <c r="F203" s="29" t="s">
        <v>845</v>
      </c>
      <c r="G203" s="29" t="s">
        <v>845</v>
      </c>
      <c r="H203" s="29" t="s">
        <v>845</v>
      </c>
      <c r="I203" s="29" t="s">
        <v>845</v>
      </c>
      <c r="J203" s="29" t="s">
        <v>845</v>
      </c>
      <c r="K203" s="29" t="s">
        <v>845</v>
      </c>
      <c r="L203" s="29" t="s">
        <v>845</v>
      </c>
      <c r="M203" s="29" t="s">
        <v>845</v>
      </c>
      <c r="N203" s="29" t="s">
        <v>845</v>
      </c>
      <c r="O203" s="29" t="s">
        <v>845</v>
      </c>
      <c r="P203" s="29" t="s">
        <v>845</v>
      </c>
      <c r="Q203" s="29" t="s">
        <v>845</v>
      </c>
      <c r="R203" s="29" t="s">
        <v>845</v>
      </c>
      <c r="S203" s="29" t="s">
        <v>845</v>
      </c>
      <c r="T203" s="29" t="s">
        <v>845</v>
      </c>
      <c r="U203" s="29" t="s">
        <v>845</v>
      </c>
      <c r="V203" s="29"/>
      <c r="W203" s="29"/>
    </row>
    <row r="204" spans="1:23" x14ac:dyDescent="0.25">
      <c r="A204" s="10" t="s">
        <v>742</v>
      </c>
      <c r="B204" s="10" t="s">
        <v>829</v>
      </c>
      <c r="C204" s="10" t="s">
        <v>574</v>
      </c>
      <c r="D204" s="10" t="s">
        <v>744</v>
      </c>
      <c r="E204" s="10" t="s">
        <v>745</v>
      </c>
      <c r="F204" s="126">
        <v>0</v>
      </c>
      <c r="G204" s="126">
        <v>0</v>
      </c>
      <c r="H204" s="126">
        <v>0</v>
      </c>
      <c r="I204" s="126">
        <v>0</v>
      </c>
      <c r="J204" s="126">
        <v>0</v>
      </c>
      <c r="K204" s="126">
        <v>0</v>
      </c>
      <c r="L204" s="126">
        <v>0</v>
      </c>
      <c r="M204" s="126">
        <v>0</v>
      </c>
      <c r="N204" s="126">
        <v>0</v>
      </c>
      <c r="O204" s="126">
        <v>0</v>
      </c>
      <c r="P204" s="126">
        <v>0</v>
      </c>
      <c r="Q204" s="126">
        <v>0</v>
      </c>
      <c r="R204" s="126">
        <v>0</v>
      </c>
      <c r="S204" s="29">
        <v>0</v>
      </c>
      <c r="T204" s="29">
        <v>0</v>
      </c>
      <c r="U204" s="29">
        <v>0</v>
      </c>
      <c r="V204" s="29"/>
      <c r="W204" s="29"/>
    </row>
    <row r="205" spans="1:23" x14ac:dyDescent="0.25">
      <c r="A205" s="111" t="s">
        <v>742</v>
      </c>
      <c r="B205" s="111" t="s">
        <v>830</v>
      </c>
      <c r="C205" s="111" t="s">
        <v>831</v>
      </c>
      <c r="D205" s="111" t="s">
        <v>744</v>
      </c>
      <c r="E205" s="111" t="s">
        <v>745</v>
      </c>
      <c r="F205" s="29" t="s">
        <v>845</v>
      </c>
      <c r="G205" s="29" t="s">
        <v>845</v>
      </c>
      <c r="H205" s="29" t="s">
        <v>845</v>
      </c>
      <c r="I205" s="29" t="s">
        <v>845</v>
      </c>
      <c r="J205" s="29" t="s">
        <v>845</v>
      </c>
      <c r="K205" s="29" t="s">
        <v>845</v>
      </c>
      <c r="L205" s="29" t="s">
        <v>845</v>
      </c>
      <c r="M205" s="29" t="s">
        <v>845</v>
      </c>
      <c r="N205" s="29" t="s">
        <v>845</v>
      </c>
      <c r="O205" s="29" t="s">
        <v>845</v>
      </c>
      <c r="P205" s="29" t="s">
        <v>845</v>
      </c>
      <c r="Q205" s="29" t="s">
        <v>845</v>
      </c>
      <c r="R205" s="29" t="s">
        <v>845</v>
      </c>
      <c r="S205" s="29" t="s">
        <v>845</v>
      </c>
      <c r="T205" s="29" t="s">
        <v>845</v>
      </c>
      <c r="U205" s="29" t="s">
        <v>845</v>
      </c>
      <c r="V205" s="29"/>
      <c r="W205" s="29"/>
    </row>
    <row r="206" spans="1:23" x14ac:dyDescent="0.25">
      <c r="A206" s="111" t="s">
        <v>742</v>
      </c>
      <c r="B206" s="111" t="s">
        <v>832</v>
      </c>
      <c r="C206" s="111" t="s">
        <v>833</v>
      </c>
      <c r="D206" s="111" t="s">
        <v>744</v>
      </c>
      <c r="E206" s="111" t="s">
        <v>745</v>
      </c>
      <c r="F206" s="29" t="s">
        <v>845</v>
      </c>
      <c r="G206" s="29" t="s">
        <v>845</v>
      </c>
      <c r="H206" s="29" t="s">
        <v>845</v>
      </c>
      <c r="I206" s="29" t="s">
        <v>845</v>
      </c>
      <c r="J206" s="29" t="s">
        <v>845</v>
      </c>
      <c r="K206" s="29" t="s">
        <v>845</v>
      </c>
      <c r="L206" s="29" t="s">
        <v>845</v>
      </c>
      <c r="M206" s="29" t="s">
        <v>845</v>
      </c>
      <c r="N206" s="29" t="s">
        <v>845</v>
      </c>
      <c r="O206" s="29" t="s">
        <v>845</v>
      </c>
      <c r="P206" s="29" t="s">
        <v>845</v>
      </c>
      <c r="Q206" s="29" t="s">
        <v>845</v>
      </c>
      <c r="R206" s="29" t="s">
        <v>845</v>
      </c>
      <c r="S206" s="29" t="s">
        <v>845</v>
      </c>
      <c r="T206" s="29" t="s">
        <v>845</v>
      </c>
      <c r="U206" s="29" t="s">
        <v>845</v>
      </c>
      <c r="V206" s="29"/>
      <c r="W206" s="29"/>
    </row>
    <row r="207" spans="1:23" x14ac:dyDescent="0.25">
      <c r="A207" s="111" t="s">
        <v>742</v>
      </c>
      <c r="B207" s="111" t="s">
        <v>834</v>
      </c>
      <c r="C207" s="111" t="s">
        <v>756</v>
      </c>
      <c r="D207" s="111" t="s">
        <v>744</v>
      </c>
      <c r="E207" s="111" t="s">
        <v>745</v>
      </c>
      <c r="F207" s="29" t="s">
        <v>845</v>
      </c>
      <c r="G207" s="29" t="s">
        <v>845</v>
      </c>
      <c r="H207" s="29" t="s">
        <v>845</v>
      </c>
      <c r="I207" s="29" t="s">
        <v>845</v>
      </c>
      <c r="J207" s="29" t="s">
        <v>845</v>
      </c>
      <c r="K207" s="29" t="s">
        <v>845</v>
      </c>
      <c r="L207" s="29" t="s">
        <v>845</v>
      </c>
      <c r="M207" s="29" t="s">
        <v>845</v>
      </c>
      <c r="N207" s="29" t="s">
        <v>845</v>
      </c>
      <c r="O207" s="29" t="s">
        <v>845</v>
      </c>
      <c r="P207" s="29" t="s">
        <v>845</v>
      </c>
      <c r="Q207" s="29" t="s">
        <v>845</v>
      </c>
      <c r="R207" s="29" t="s">
        <v>845</v>
      </c>
      <c r="S207" s="29" t="s">
        <v>845</v>
      </c>
      <c r="T207" s="29" t="s">
        <v>845</v>
      </c>
      <c r="U207" s="29" t="s">
        <v>845</v>
      </c>
      <c r="V207" s="29"/>
      <c r="W207" s="29"/>
    </row>
    <row r="209" spans="1:24" x14ac:dyDescent="0.25">
      <c r="C209" s="10" t="s">
        <v>846</v>
      </c>
    </row>
    <row r="210" spans="1:24" x14ac:dyDescent="0.25">
      <c r="A210" s="10" t="s">
        <v>742</v>
      </c>
      <c r="B210" s="109">
        <v>2</v>
      </c>
      <c r="C210" s="110" t="s">
        <v>743</v>
      </c>
      <c r="D210" s="10" t="s">
        <v>836</v>
      </c>
      <c r="E210" s="10" t="s">
        <v>745</v>
      </c>
      <c r="F210" s="126">
        <v>31374.154828813334</v>
      </c>
      <c r="G210" s="126">
        <v>31396.705954533332</v>
      </c>
      <c r="H210" s="126">
        <v>33597.429480721999</v>
      </c>
      <c r="I210" s="126">
        <v>33660.717333450666</v>
      </c>
      <c r="J210" s="126">
        <v>33557.751097104003</v>
      </c>
      <c r="K210" s="126">
        <v>35245.206985982004</v>
      </c>
      <c r="L210" s="126">
        <v>35954.253066851743</v>
      </c>
      <c r="M210" s="126">
        <v>34796.667290685204</v>
      </c>
      <c r="N210" s="126">
        <v>33848.282451218671</v>
      </c>
      <c r="O210" s="126">
        <v>32663.964283755733</v>
      </c>
      <c r="P210" s="126">
        <v>33835.716350054267</v>
      </c>
      <c r="Q210" s="126">
        <v>35139.002916666672</v>
      </c>
      <c r="R210" s="126">
        <v>34030.320089613801</v>
      </c>
      <c r="S210" s="29">
        <v>35370.769991865949</v>
      </c>
      <c r="T210" s="29">
        <v>36088.07073637563</v>
      </c>
      <c r="U210" s="29">
        <v>35777.588380137087</v>
      </c>
      <c r="V210" s="29"/>
      <c r="W210" s="29"/>
      <c r="X210" s="111"/>
    </row>
    <row r="211" spans="1:24" x14ac:dyDescent="0.25">
      <c r="A211" s="10" t="s">
        <v>742</v>
      </c>
      <c r="B211" s="10" t="s">
        <v>746</v>
      </c>
      <c r="C211" s="10" t="s">
        <v>508</v>
      </c>
      <c r="D211" s="10" t="s">
        <v>836</v>
      </c>
      <c r="E211" s="10" t="s">
        <v>745</v>
      </c>
      <c r="F211" s="126">
        <v>4386.3393304800002</v>
      </c>
      <c r="G211" s="126">
        <v>4303.6742912</v>
      </c>
      <c r="H211" s="126">
        <v>4824.2529307219993</v>
      </c>
      <c r="I211" s="126">
        <v>5095.6491567840003</v>
      </c>
      <c r="J211" s="126">
        <v>4993.2960821039997</v>
      </c>
      <c r="K211" s="126">
        <v>5736.1220459819997</v>
      </c>
      <c r="L211" s="126">
        <v>6131.7649185184</v>
      </c>
      <c r="M211" s="126">
        <v>6063.9731606852001</v>
      </c>
      <c r="N211" s="126">
        <v>6320.6815495520004</v>
      </c>
      <c r="O211" s="126">
        <v>6590.7750204223994</v>
      </c>
      <c r="P211" s="126">
        <v>5916.6986057876002</v>
      </c>
      <c r="Q211" s="126">
        <v>5719.84292</v>
      </c>
      <c r="R211" s="126">
        <v>5457.2451988416005</v>
      </c>
      <c r="S211" s="29">
        <v>5688.3723988416004</v>
      </c>
      <c r="T211" s="29">
        <v>5770.0734488416001</v>
      </c>
      <c r="U211" s="29">
        <v>6178.5199588415999</v>
      </c>
      <c r="V211" s="29"/>
      <c r="W211" s="29"/>
    </row>
    <row r="212" spans="1:24" x14ac:dyDescent="0.25">
      <c r="A212" s="111" t="s">
        <v>742</v>
      </c>
      <c r="B212" s="111" t="s">
        <v>747</v>
      </c>
      <c r="C212" s="111" t="s">
        <v>748</v>
      </c>
      <c r="D212" s="111" t="s">
        <v>836</v>
      </c>
      <c r="E212" s="111" t="s">
        <v>745</v>
      </c>
      <c r="F212" s="29">
        <v>3870.5888000000004</v>
      </c>
      <c r="G212" s="29">
        <v>3783</v>
      </c>
      <c r="H212" s="29">
        <v>4258.3527999999997</v>
      </c>
      <c r="I212" s="29">
        <v>4514.5828000000001</v>
      </c>
      <c r="J212" s="29">
        <v>4390.0739999999996</v>
      </c>
      <c r="K212" s="29">
        <v>5061.5136000000002</v>
      </c>
      <c r="L212" s="29">
        <v>5399.81</v>
      </c>
      <c r="M212" s="29">
        <v>5407.6724000000004</v>
      </c>
      <c r="N212" s="29">
        <v>4988.5680000000002</v>
      </c>
      <c r="O212" s="29">
        <v>5432.1279999999997</v>
      </c>
      <c r="P212" s="29">
        <v>4818.9544000000005</v>
      </c>
      <c r="Q212" s="29">
        <v>4432.8284000000003</v>
      </c>
      <c r="R212" s="29">
        <v>4414.4984000000004</v>
      </c>
      <c r="S212" s="29">
        <v>4659.2156000000004</v>
      </c>
      <c r="T212" s="29">
        <v>4678.1851999999999</v>
      </c>
      <c r="U212" s="29">
        <v>5204.8256000000001</v>
      </c>
      <c r="V212" s="29"/>
      <c r="W212" s="29"/>
    </row>
    <row r="213" spans="1:24" x14ac:dyDescent="0.25">
      <c r="A213" s="111" t="s">
        <v>742</v>
      </c>
      <c r="B213" s="111" t="s">
        <v>749</v>
      </c>
      <c r="C213" s="111" t="s">
        <v>750</v>
      </c>
      <c r="D213" s="111" t="s">
        <v>836</v>
      </c>
      <c r="E213" s="111" t="s">
        <v>745</v>
      </c>
      <c r="F213" s="29">
        <v>441.39115350000003</v>
      </c>
      <c r="G213" s="29">
        <v>436.28840000000002</v>
      </c>
      <c r="H213" s="29">
        <v>477.55462</v>
      </c>
      <c r="I213" s="29">
        <v>489.73651999999998</v>
      </c>
      <c r="J213" s="29">
        <v>507.32977999999997</v>
      </c>
      <c r="K213" s="29">
        <v>572.24579999999992</v>
      </c>
      <c r="L213" s="29">
        <v>630.18416000000002</v>
      </c>
      <c r="M213" s="29">
        <v>551.31326000000001</v>
      </c>
      <c r="N213" s="29">
        <v>1214.74</v>
      </c>
      <c r="O213" s="29">
        <v>1048.8800000000001</v>
      </c>
      <c r="P213" s="29">
        <v>993.86</v>
      </c>
      <c r="Q213" s="29">
        <v>1180.96</v>
      </c>
      <c r="R213" s="29">
        <v>928.84</v>
      </c>
      <c r="S213" s="29">
        <v>915.25</v>
      </c>
      <c r="T213" s="29">
        <v>977.98145</v>
      </c>
      <c r="U213" s="29">
        <v>859.78755999999998</v>
      </c>
      <c r="V213" s="29"/>
      <c r="W213" s="29"/>
    </row>
    <row r="214" spans="1:24" x14ac:dyDescent="0.25">
      <c r="A214" s="111" t="s">
        <v>742</v>
      </c>
      <c r="B214" s="111" t="s">
        <v>751</v>
      </c>
      <c r="C214" s="111" t="s">
        <v>752</v>
      </c>
      <c r="D214" s="111" t="s">
        <v>836</v>
      </c>
      <c r="E214" s="111" t="s">
        <v>745</v>
      </c>
      <c r="F214" s="29">
        <v>74.359376980000008</v>
      </c>
      <c r="G214" s="29">
        <v>84.385891200000003</v>
      </c>
      <c r="H214" s="29">
        <v>88.345510721999986</v>
      </c>
      <c r="I214" s="29">
        <v>91.329836783999994</v>
      </c>
      <c r="J214" s="29">
        <v>95.892302104000024</v>
      </c>
      <c r="K214" s="29">
        <v>102.36264598200002</v>
      </c>
      <c r="L214" s="29">
        <v>101.7707585184</v>
      </c>
      <c r="M214" s="29">
        <v>104.9875006852</v>
      </c>
      <c r="N214" s="29">
        <v>117.37354955200001</v>
      </c>
      <c r="O214" s="29">
        <v>109.76702042240001</v>
      </c>
      <c r="P214" s="29">
        <v>103.88420578760002</v>
      </c>
      <c r="Q214" s="29">
        <v>106.05452000000001</v>
      </c>
      <c r="R214" s="29">
        <v>113.90679884160002</v>
      </c>
      <c r="S214" s="29">
        <v>113.90679884160002</v>
      </c>
      <c r="T214" s="29">
        <v>113.90679884160002</v>
      </c>
      <c r="U214" s="29">
        <v>113.90679884160002</v>
      </c>
      <c r="V214" s="29"/>
      <c r="W214" s="29"/>
    </row>
    <row r="215" spans="1:24" x14ac:dyDescent="0.25">
      <c r="A215" s="111" t="s">
        <v>742</v>
      </c>
      <c r="B215" s="111" t="s">
        <v>753</v>
      </c>
      <c r="C215" s="111" t="s">
        <v>754</v>
      </c>
      <c r="D215" s="111" t="s">
        <v>836</v>
      </c>
      <c r="E215" s="111" t="s">
        <v>745</v>
      </c>
      <c r="F215" s="29">
        <v>0</v>
      </c>
      <c r="G215" s="29">
        <v>0</v>
      </c>
      <c r="H215" s="29">
        <v>0</v>
      </c>
      <c r="I215" s="29">
        <v>0</v>
      </c>
      <c r="J215" s="29">
        <v>0</v>
      </c>
      <c r="K215" s="29">
        <v>0</v>
      </c>
      <c r="L215" s="29">
        <v>0</v>
      </c>
      <c r="M215" s="29">
        <v>0</v>
      </c>
      <c r="N215" s="29">
        <v>0</v>
      </c>
      <c r="O215" s="29">
        <v>0</v>
      </c>
      <c r="P215" s="29">
        <v>0</v>
      </c>
      <c r="Q215" s="29">
        <v>0</v>
      </c>
      <c r="R215" s="29">
        <v>0</v>
      </c>
      <c r="S215" s="29">
        <v>0</v>
      </c>
      <c r="T215" s="29">
        <v>0</v>
      </c>
      <c r="U215" s="29">
        <v>0</v>
      </c>
      <c r="V215" s="29"/>
      <c r="W215" s="29"/>
    </row>
    <row r="216" spans="1:24" x14ac:dyDescent="0.25">
      <c r="A216" s="111" t="s">
        <v>742</v>
      </c>
      <c r="B216" s="111" t="s">
        <v>755</v>
      </c>
      <c r="C216" s="111" t="s">
        <v>756</v>
      </c>
      <c r="D216" s="111" t="s">
        <v>836</v>
      </c>
      <c r="E216" s="111" t="s">
        <v>745</v>
      </c>
      <c r="F216" s="29">
        <v>0</v>
      </c>
      <c r="G216" s="29">
        <v>0</v>
      </c>
      <c r="H216" s="29">
        <v>0</v>
      </c>
      <c r="I216" s="29">
        <v>0</v>
      </c>
      <c r="J216" s="29">
        <v>0</v>
      </c>
      <c r="K216" s="29">
        <v>0</v>
      </c>
      <c r="L216" s="29">
        <v>0</v>
      </c>
      <c r="M216" s="29">
        <v>0</v>
      </c>
      <c r="N216" s="29">
        <v>0</v>
      </c>
      <c r="O216" s="29">
        <v>0</v>
      </c>
      <c r="P216" s="29">
        <v>0</v>
      </c>
      <c r="Q216" s="29">
        <v>0</v>
      </c>
      <c r="R216" s="29">
        <v>0</v>
      </c>
      <c r="S216" s="29">
        <v>0</v>
      </c>
      <c r="T216" s="29">
        <v>0</v>
      </c>
      <c r="U216" s="29">
        <v>0</v>
      </c>
      <c r="V216" s="29"/>
      <c r="W216" s="29"/>
    </row>
    <row r="217" spans="1:24" x14ac:dyDescent="0.25">
      <c r="A217" s="10" t="s">
        <v>742</v>
      </c>
      <c r="B217" s="10" t="s">
        <v>757</v>
      </c>
      <c r="C217" s="10" t="s">
        <v>520</v>
      </c>
      <c r="D217" s="10" t="s">
        <v>836</v>
      </c>
      <c r="E217" s="10" t="s">
        <v>745</v>
      </c>
      <c r="F217" s="126">
        <v>1063.4499499999999</v>
      </c>
      <c r="G217" s="126">
        <v>1065.3121600000002</v>
      </c>
      <c r="H217" s="126">
        <v>1102.0036299999999</v>
      </c>
      <c r="I217" s="126">
        <v>1123.5067300000001</v>
      </c>
      <c r="J217" s="126">
        <v>1140.1909000000001</v>
      </c>
      <c r="K217" s="126">
        <v>818.00018</v>
      </c>
      <c r="L217" s="126">
        <v>513.2115</v>
      </c>
      <c r="M217" s="126">
        <v>581.38782000000003</v>
      </c>
      <c r="N217" s="126">
        <v>604.34214999999995</v>
      </c>
      <c r="O217" s="126">
        <v>483.76129000000003</v>
      </c>
      <c r="P217" s="126">
        <v>622.89262760000008</v>
      </c>
      <c r="Q217" s="126">
        <v>671.58290000000011</v>
      </c>
      <c r="R217" s="126">
        <v>516.53808000000004</v>
      </c>
      <c r="S217" s="29">
        <v>474.96662760000004</v>
      </c>
      <c r="T217" s="29">
        <v>489.42202738875653</v>
      </c>
      <c r="U217" s="29">
        <v>568.99747763505832</v>
      </c>
      <c r="V217" s="29"/>
      <c r="W217" s="29"/>
    </row>
    <row r="218" spans="1:24" x14ac:dyDescent="0.25">
      <c r="A218" s="111" t="s">
        <v>742</v>
      </c>
      <c r="B218" s="111" t="s">
        <v>758</v>
      </c>
      <c r="C218" s="111" t="s">
        <v>759</v>
      </c>
      <c r="D218" s="111" t="s">
        <v>836</v>
      </c>
      <c r="E218" s="111" t="s">
        <v>745</v>
      </c>
      <c r="F218" s="29">
        <v>485.27800000000002</v>
      </c>
      <c r="G218" s="29">
        <v>487.07100000000003</v>
      </c>
      <c r="H218" s="29">
        <v>462.49</v>
      </c>
      <c r="I218" s="29">
        <v>480.553</v>
      </c>
      <c r="J218" s="29">
        <v>505.37099999999998</v>
      </c>
      <c r="K218" s="29">
        <v>194.768</v>
      </c>
      <c r="L218" s="29">
        <v>172.07499999999999</v>
      </c>
      <c r="M218" s="29">
        <v>234.33</v>
      </c>
      <c r="N218" s="29">
        <v>207.12899999999999</v>
      </c>
      <c r="O218" s="29">
        <v>185.965</v>
      </c>
      <c r="P218" s="29">
        <v>324.94600000000003</v>
      </c>
      <c r="Q218" s="29">
        <v>373.57600000000002</v>
      </c>
      <c r="R218" s="29">
        <v>217.79499999999999</v>
      </c>
      <c r="S218" s="29">
        <v>177.02</v>
      </c>
      <c r="T218" s="29">
        <v>185.98099999999999</v>
      </c>
      <c r="U218" s="29">
        <v>272.96300000000002</v>
      </c>
      <c r="V218" s="29"/>
      <c r="W218" s="29"/>
    </row>
    <row r="219" spans="1:24" x14ac:dyDescent="0.25">
      <c r="A219" s="111" t="s">
        <v>742</v>
      </c>
      <c r="B219" s="111" t="s">
        <v>760</v>
      </c>
      <c r="C219" s="111" t="s">
        <v>761</v>
      </c>
      <c r="D219" s="111" t="s">
        <v>836</v>
      </c>
      <c r="E219" s="111" t="s">
        <v>745</v>
      </c>
      <c r="F219" s="29">
        <v>0</v>
      </c>
      <c r="G219" s="29">
        <v>0</v>
      </c>
      <c r="H219" s="29">
        <v>0</v>
      </c>
      <c r="I219" s="29">
        <v>0</v>
      </c>
      <c r="J219" s="29">
        <v>0</v>
      </c>
      <c r="K219" s="29">
        <v>0</v>
      </c>
      <c r="L219" s="29">
        <v>0</v>
      </c>
      <c r="M219" s="29">
        <v>0</v>
      </c>
      <c r="N219" s="29">
        <v>0</v>
      </c>
      <c r="O219" s="29">
        <v>0</v>
      </c>
      <c r="P219" s="29">
        <v>0</v>
      </c>
      <c r="Q219" s="29">
        <v>0</v>
      </c>
      <c r="R219" s="29">
        <v>0</v>
      </c>
      <c r="S219" s="29">
        <v>0</v>
      </c>
      <c r="T219" s="29">
        <v>0</v>
      </c>
      <c r="U219" s="29">
        <v>0</v>
      </c>
      <c r="V219" s="29"/>
      <c r="W219" s="29"/>
    </row>
    <row r="220" spans="1:24" x14ac:dyDescent="0.25">
      <c r="A220" s="111" t="s">
        <v>742</v>
      </c>
      <c r="B220" s="111" t="s">
        <v>762</v>
      </c>
      <c r="C220" s="111" t="s">
        <v>763</v>
      </c>
      <c r="D220" s="111" t="s">
        <v>836</v>
      </c>
      <c r="E220" s="111" t="s">
        <v>745</v>
      </c>
      <c r="F220" s="29">
        <v>0</v>
      </c>
      <c r="G220" s="29">
        <v>0</v>
      </c>
      <c r="H220" s="29">
        <v>0</v>
      </c>
      <c r="I220" s="29">
        <v>0</v>
      </c>
      <c r="J220" s="29">
        <v>0</v>
      </c>
      <c r="K220" s="29">
        <v>0</v>
      </c>
      <c r="L220" s="29">
        <v>0</v>
      </c>
      <c r="M220" s="29">
        <v>0</v>
      </c>
      <c r="N220" s="29">
        <v>0</v>
      </c>
      <c r="O220" s="29">
        <v>0</v>
      </c>
      <c r="P220" s="29">
        <v>0</v>
      </c>
      <c r="Q220" s="29">
        <v>0</v>
      </c>
      <c r="R220" s="29">
        <v>0</v>
      </c>
      <c r="S220" s="29">
        <v>0</v>
      </c>
      <c r="T220" s="29">
        <v>0</v>
      </c>
      <c r="U220" s="29">
        <v>0</v>
      </c>
      <c r="V220" s="29"/>
      <c r="W220" s="29"/>
    </row>
    <row r="221" spans="1:24" x14ac:dyDescent="0.25">
      <c r="A221" s="111" t="s">
        <v>742</v>
      </c>
      <c r="B221" s="111" t="s">
        <v>764</v>
      </c>
      <c r="C221" s="111" t="s">
        <v>765</v>
      </c>
      <c r="D221" s="111" t="s">
        <v>836</v>
      </c>
      <c r="E221" s="111" t="s">
        <v>745</v>
      </c>
      <c r="F221" s="29">
        <v>0</v>
      </c>
      <c r="G221" s="29">
        <v>0</v>
      </c>
      <c r="H221" s="29">
        <v>0</v>
      </c>
      <c r="I221" s="29">
        <v>0</v>
      </c>
      <c r="J221" s="29">
        <v>0</v>
      </c>
      <c r="K221" s="29">
        <v>0</v>
      </c>
      <c r="L221" s="29">
        <v>0</v>
      </c>
      <c r="M221" s="29">
        <v>0</v>
      </c>
      <c r="N221" s="29">
        <v>0</v>
      </c>
      <c r="O221" s="29">
        <v>0</v>
      </c>
      <c r="P221" s="29">
        <v>0</v>
      </c>
      <c r="Q221" s="29">
        <v>0</v>
      </c>
      <c r="R221" s="29">
        <v>0</v>
      </c>
      <c r="S221" s="29">
        <v>0</v>
      </c>
      <c r="T221" s="29">
        <v>0</v>
      </c>
      <c r="U221" s="29">
        <v>0</v>
      </c>
      <c r="V221" s="29"/>
      <c r="W221" s="29"/>
    </row>
    <row r="222" spans="1:24" x14ac:dyDescent="0.25">
      <c r="A222" s="111" t="s">
        <v>742</v>
      </c>
      <c r="B222" s="111" t="s">
        <v>766</v>
      </c>
      <c r="C222" s="111" t="s">
        <v>767</v>
      </c>
      <c r="D222" s="111" t="s">
        <v>836</v>
      </c>
      <c r="E222" s="111" t="s">
        <v>745</v>
      </c>
      <c r="F222" s="29">
        <v>1.9805300000000001</v>
      </c>
      <c r="G222" s="29">
        <v>1.9816200000000002</v>
      </c>
      <c r="H222" s="29">
        <v>4.4591900000000004</v>
      </c>
      <c r="I222" s="29">
        <v>4.7360500000000005</v>
      </c>
      <c r="J222" s="29">
        <v>4.1877800000000009</v>
      </c>
      <c r="K222" s="29">
        <v>5.3257400000000006</v>
      </c>
      <c r="L222" s="29">
        <v>4.9834800000000001</v>
      </c>
      <c r="M222" s="29">
        <v>5.2865000000000002</v>
      </c>
      <c r="N222" s="29">
        <v>5.3072100000000004</v>
      </c>
      <c r="O222" s="29">
        <v>5.1938500000000003</v>
      </c>
      <c r="P222" s="29">
        <v>5.1971200000000009</v>
      </c>
      <c r="Q222" s="29">
        <v>5.1993</v>
      </c>
      <c r="R222" s="29">
        <v>5.2014800000000001</v>
      </c>
      <c r="S222" s="29">
        <v>5.1971200000000009</v>
      </c>
      <c r="T222" s="29">
        <v>4.450524500000002</v>
      </c>
      <c r="U222" s="29">
        <v>3.9892430400000007</v>
      </c>
      <c r="V222" s="29"/>
      <c r="W222" s="29"/>
    </row>
    <row r="223" spans="1:24" x14ac:dyDescent="0.25">
      <c r="A223" s="111" t="s">
        <v>742</v>
      </c>
      <c r="B223" s="111" t="s">
        <v>768</v>
      </c>
      <c r="C223" s="111" t="s">
        <v>769</v>
      </c>
      <c r="D223" s="111" t="s">
        <v>836</v>
      </c>
      <c r="E223" s="111" t="s">
        <v>745</v>
      </c>
      <c r="F223" s="29">
        <v>437.61700000000002</v>
      </c>
      <c r="G223" s="29">
        <v>437.61700000000002</v>
      </c>
      <c r="H223" s="29">
        <v>472.976</v>
      </c>
      <c r="I223" s="29">
        <v>477.18200000000002</v>
      </c>
      <c r="J223" s="29">
        <v>470.875</v>
      </c>
      <c r="K223" s="29">
        <v>466.83199999999999</v>
      </c>
      <c r="L223" s="29">
        <v>194.48699999999999</v>
      </c>
      <c r="M223" s="29">
        <v>190.63399999999999</v>
      </c>
      <c r="N223" s="29">
        <v>257.79599999999999</v>
      </c>
      <c r="O223" s="29">
        <v>158.42699999999999</v>
      </c>
      <c r="P223" s="29">
        <v>158.506</v>
      </c>
      <c r="Q223" s="29">
        <v>158.58500000000001</v>
      </c>
      <c r="R223" s="29">
        <v>158.66399999999999</v>
      </c>
      <c r="S223" s="29">
        <v>158.506</v>
      </c>
      <c r="T223" s="29">
        <v>167.48546225441859</v>
      </c>
      <c r="U223" s="29">
        <v>161.97882244489372</v>
      </c>
      <c r="V223" s="29"/>
      <c r="W223" s="29"/>
    </row>
    <row r="224" spans="1:24" x14ac:dyDescent="0.25">
      <c r="A224" s="111" t="s">
        <v>742</v>
      </c>
      <c r="B224" s="111" t="s">
        <v>770</v>
      </c>
      <c r="C224" s="111" t="s">
        <v>771</v>
      </c>
      <c r="D224" s="111" t="s">
        <v>836</v>
      </c>
      <c r="E224" s="111" t="s">
        <v>745</v>
      </c>
      <c r="F224" s="29">
        <v>0</v>
      </c>
      <c r="G224" s="29">
        <v>0</v>
      </c>
      <c r="H224" s="29">
        <v>0</v>
      </c>
      <c r="I224" s="29">
        <v>0</v>
      </c>
      <c r="J224" s="29">
        <v>0</v>
      </c>
      <c r="K224" s="29">
        <v>0</v>
      </c>
      <c r="L224" s="29">
        <v>0</v>
      </c>
      <c r="M224" s="29">
        <v>0</v>
      </c>
      <c r="N224" s="29">
        <v>0</v>
      </c>
      <c r="O224" s="29">
        <v>0</v>
      </c>
      <c r="P224" s="29">
        <v>0</v>
      </c>
      <c r="Q224" s="29">
        <v>0</v>
      </c>
      <c r="R224" s="29">
        <v>0</v>
      </c>
      <c r="S224" s="29">
        <v>0</v>
      </c>
      <c r="T224" s="29">
        <v>0</v>
      </c>
      <c r="U224" s="29">
        <v>0</v>
      </c>
      <c r="V224" s="29"/>
      <c r="W224" s="29"/>
    </row>
    <row r="225" spans="1:23" x14ac:dyDescent="0.25">
      <c r="A225" s="111" t="s">
        <v>742</v>
      </c>
      <c r="B225" s="111" t="s">
        <v>772</v>
      </c>
      <c r="C225" s="111" t="s">
        <v>773</v>
      </c>
      <c r="D225" s="111" t="s">
        <v>836</v>
      </c>
      <c r="E225" s="111" t="s">
        <v>745</v>
      </c>
      <c r="F225" s="29">
        <v>138.57442</v>
      </c>
      <c r="G225" s="29">
        <v>138.64254</v>
      </c>
      <c r="H225" s="29">
        <v>162.07844</v>
      </c>
      <c r="I225" s="29">
        <v>161.03567999999999</v>
      </c>
      <c r="J225" s="29">
        <v>159.75711999999999</v>
      </c>
      <c r="K225" s="29">
        <v>151.07444000000001</v>
      </c>
      <c r="L225" s="29">
        <v>141.66602000000003</v>
      </c>
      <c r="M225" s="29">
        <v>151.13732000000002</v>
      </c>
      <c r="N225" s="29">
        <v>134.10993999999999</v>
      </c>
      <c r="O225" s="29">
        <v>134.17544000000001</v>
      </c>
      <c r="P225" s="29">
        <v>134.24350760000002</v>
      </c>
      <c r="Q225" s="29">
        <v>134.2226</v>
      </c>
      <c r="R225" s="29">
        <v>134.8776</v>
      </c>
      <c r="S225" s="29">
        <v>134.24350760000002</v>
      </c>
      <c r="T225" s="29">
        <v>131.50504063433797</v>
      </c>
      <c r="U225" s="29">
        <v>130.0664121501645</v>
      </c>
      <c r="V225" s="29"/>
      <c r="W225" s="29"/>
    </row>
    <row r="226" spans="1:23" x14ac:dyDescent="0.25">
      <c r="A226" s="111" t="s">
        <v>742</v>
      </c>
      <c r="B226" s="111" t="s">
        <v>774</v>
      </c>
      <c r="C226" s="111" t="s">
        <v>775</v>
      </c>
      <c r="D226" s="111" t="s">
        <v>836</v>
      </c>
      <c r="E226" s="111" t="s">
        <v>745</v>
      </c>
      <c r="F226" s="29">
        <v>0</v>
      </c>
      <c r="G226" s="29">
        <v>0</v>
      </c>
      <c r="H226" s="29">
        <v>0</v>
      </c>
      <c r="I226" s="29">
        <v>0</v>
      </c>
      <c r="J226" s="29">
        <v>0</v>
      </c>
      <c r="K226" s="29">
        <v>0</v>
      </c>
      <c r="L226" s="29">
        <v>0</v>
      </c>
      <c r="M226" s="29">
        <v>0</v>
      </c>
      <c r="N226" s="29">
        <v>0</v>
      </c>
      <c r="O226" s="29">
        <v>0</v>
      </c>
      <c r="P226" s="29">
        <v>0</v>
      </c>
      <c r="Q226" s="29">
        <v>0</v>
      </c>
      <c r="R226" s="29">
        <v>0</v>
      </c>
      <c r="S226" s="29">
        <v>0</v>
      </c>
      <c r="T226" s="29">
        <v>0</v>
      </c>
      <c r="U226" s="29">
        <v>0</v>
      </c>
      <c r="V226" s="29"/>
      <c r="W226" s="29"/>
    </row>
    <row r="227" spans="1:23" x14ac:dyDescent="0.25">
      <c r="A227" s="111" t="s">
        <v>742</v>
      </c>
      <c r="B227" s="111" t="s">
        <v>776</v>
      </c>
      <c r="C227" s="111" t="s">
        <v>756</v>
      </c>
      <c r="D227" s="111" t="s">
        <v>836</v>
      </c>
      <c r="E227" s="111" t="s">
        <v>745</v>
      </c>
      <c r="F227" s="29">
        <v>0</v>
      </c>
      <c r="G227" s="29">
        <v>0</v>
      </c>
      <c r="H227" s="29">
        <v>0</v>
      </c>
      <c r="I227" s="29">
        <v>0</v>
      </c>
      <c r="J227" s="29">
        <v>0</v>
      </c>
      <c r="K227" s="29">
        <v>0</v>
      </c>
      <c r="L227" s="29">
        <v>0</v>
      </c>
      <c r="M227" s="29">
        <v>0</v>
      </c>
      <c r="N227" s="29">
        <v>0</v>
      </c>
      <c r="O227" s="29">
        <v>0</v>
      </c>
      <c r="P227" s="29">
        <v>0</v>
      </c>
      <c r="Q227" s="29">
        <v>0</v>
      </c>
      <c r="R227" s="29">
        <v>0</v>
      </c>
      <c r="S227" s="29">
        <v>0</v>
      </c>
      <c r="T227" s="29">
        <v>0</v>
      </c>
      <c r="U227" s="29">
        <v>0</v>
      </c>
      <c r="V227" s="29"/>
      <c r="W227" s="29"/>
    </row>
    <row r="228" spans="1:23" x14ac:dyDescent="0.25">
      <c r="A228" s="10" t="s">
        <v>742</v>
      </c>
      <c r="B228" s="10" t="s">
        <v>777</v>
      </c>
      <c r="C228" s="10" t="s">
        <v>536</v>
      </c>
      <c r="D228" s="10" t="s">
        <v>836</v>
      </c>
      <c r="E228" s="10" t="s">
        <v>745</v>
      </c>
      <c r="F228" s="126">
        <v>25728.448215</v>
      </c>
      <c r="G228" s="126">
        <v>25801.750169999999</v>
      </c>
      <c r="H228" s="126">
        <v>27420.856920000002</v>
      </c>
      <c r="I228" s="126">
        <v>27192.946779999998</v>
      </c>
      <c r="J228" s="126">
        <v>27178.084115000001</v>
      </c>
      <c r="K228" s="126">
        <v>28223.232760000003</v>
      </c>
      <c r="L228" s="126">
        <v>28800.123315000004</v>
      </c>
      <c r="M228" s="126">
        <v>27917.226309999998</v>
      </c>
      <c r="N228" s="126">
        <v>26702.188085000002</v>
      </c>
      <c r="O228" s="126">
        <v>25355.67064</v>
      </c>
      <c r="P228" s="126">
        <v>27062.25045</v>
      </c>
      <c r="Q228" s="126">
        <v>28551.190430000002</v>
      </c>
      <c r="R228" s="126">
        <v>27802.659900000002</v>
      </c>
      <c r="S228" s="29">
        <v>28935.724850055351</v>
      </c>
      <c r="T228" s="29">
        <v>29555.796877015415</v>
      </c>
      <c r="U228" s="29">
        <v>28756.284670927627</v>
      </c>
      <c r="V228" s="29"/>
      <c r="W228" s="29"/>
    </row>
    <row r="229" spans="1:23" x14ac:dyDescent="0.25">
      <c r="A229" s="111" t="s">
        <v>742</v>
      </c>
      <c r="B229" s="111" t="s">
        <v>778</v>
      </c>
      <c r="C229" s="111" t="s">
        <v>779</v>
      </c>
      <c r="D229" s="111" t="s">
        <v>836</v>
      </c>
      <c r="E229" s="111" t="s">
        <v>745</v>
      </c>
      <c r="F229" s="29">
        <v>16410.526914999999</v>
      </c>
      <c r="G229" s="29">
        <v>16410.537369999998</v>
      </c>
      <c r="H229" s="29">
        <v>17176.103220000001</v>
      </c>
      <c r="I229" s="29">
        <v>16786.444480000002</v>
      </c>
      <c r="J229" s="29">
        <v>16425.253915000001</v>
      </c>
      <c r="K229" s="29">
        <v>17359.699860000001</v>
      </c>
      <c r="L229" s="29">
        <v>17218.494115000001</v>
      </c>
      <c r="M229" s="29">
        <v>15147.096109999999</v>
      </c>
      <c r="N229" s="29">
        <v>14152.034485</v>
      </c>
      <c r="O229" s="29">
        <v>12794.452040000002</v>
      </c>
      <c r="P229" s="29">
        <v>13861.709649999999</v>
      </c>
      <c r="Q229" s="29">
        <v>14922.64853</v>
      </c>
      <c r="R229" s="29">
        <v>15020.696860000002</v>
      </c>
      <c r="S229" s="29">
        <v>15582.114970055352</v>
      </c>
      <c r="T229" s="29">
        <v>14363.524995027368</v>
      </c>
      <c r="U229" s="29">
        <v>14093.548470927624</v>
      </c>
      <c r="V229" s="29"/>
      <c r="W229" s="29"/>
    </row>
    <row r="230" spans="1:23" x14ac:dyDescent="0.25">
      <c r="A230" s="111" t="s">
        <v>742</v>
      </c>
      <c r="B230" s="111" t="s">
        <v>780</v>
      </c>
      <c r="C230" s="111" t="s">
        <v>781</v>
      </c>
      <c r="D230" s="111" t="s">
        <v>836</v>
      </c>
      <c r="E230" s="111" t="s">
        <v>745</v>
      </c>
      <c r="F230" s="29">
        <v>8079.1441000000013</v>
      </c>
      <c r="G230" s="29">
        <v>8195.9467000000004</v>
      </c>
      <c r="H230" s="29">
        <v>8970.2675999999992</v>
      </c>
      <c r="I230" s="29">
        <v>9156.4025999999994</v>
      </c>
      <c r="J230" s="29">
        <v>9282.6882000000005</v>
      </c>
      <c r="K230" s="29">
        <v>9384.0288000000019</v>
      </c>
      <c r="L230" s="29">
        <v>10063.825000000001</v>
      </c>
      <c r="M230" s="29">
        <v>11245.946400000001</v>
      </c>
      <c r="N230" s="29">
        <v>11175.343800000001</v>
      </c>
      <c r="O230" s="29">
        <v>11189.408200000002</v>
      </c>
      <c r="P230" s="29">
        <v>11818.236800000001</v>
      </c>
      <c r="Q230" s="29">
        <v>12237.0483</v>
      </c>
      <c r="R230" s="29">
        <v>11624.16476</v>
      </c>
      <c r="S230" s="29">
        <v>11961.76988</v>
      </c>
      <c r="T230" s="29">
        <v>13894.35728</v>
      </c>
      <c r="U230" s="29">
        <v>13416.256200000002</v>
      </c>
      <c r="V230" s="29"/>
      <c r="W230" s="29"/>
    </row>
    <row r="231" spans="1:23" x14ac:dyDescent="0.25">
      <c r="A231" s="111" t="s">
        <v>742</v>
      </c>
      <c r="B231" s="111" t="s">
        <v>782</v>
      </c>
      <c r="C231" s="111" t="s">
        <v>783</v>
      </c>
      <c r="D231" s="111" t="s">
        <v>836</v>
      </c>
      <c r="E231" s="111" t="s">
        <v>745</v>
      </c>
      <c r="F231" s="29">
        <v>1091.2612000000001</v>
      </c>
      <c r="G231" s="29">
        <v>1063.4101000000001</v>
      </c>
      <c r="H231" s="29">
        <v>1138.7181</v>
      </c>
      <c r="I231" s="29">
        <v>1158.8317000000002</v>
      </c>
      <c r="J231" s="29">
        <v>1395.6019999999999</v>
      </c>
      <c r="K231" s="29">
        <v>1402.5201000000002</v>
      </c>
      <c r="L231" s="29">
        <v>1434.2082</v>
      </c>
      <c r="M231" s="29">
        <v>1449.0758000000001</v>
      </c>
      <c r="N231" s="29">
        <v>1300.8018000000002</v>
      </c>
      <c r="O231" s="29">
        <v>1298.1184000000001</v>
      </c>
      <c r="P231" s="29">
        <v>1294.0719999999999</v>
      </c>
      <c r="Q231" s="29">
        <v>1299.5344000000002</v>
      </c>
      <c r="R231" s="29">
        <v>1066.864</v>
      </c>
      <c r="S231" s="29">
        <v>1318.4</v>
      </c>
      <c r="T231" s="29">
        <v>1230.8800000000001</v>
      </c>
      <c r="U231" s="29">
        <v>1178.4000000000001</v>
      </c>
      <c r="V231" s="29"/>
      <c r="W231" s="29"/>
    </row>
    <row r="232" spans="1:23" x14ac:dyDescent="0.25">
      <c r="A232" s="111" t="s">
        <v>742</v>
      </c>
      <c r="B232" s="111" t="s">
        <v>784</v>
      </c>
      <c r="C232" s="111" t="s">
        <v>785</v>
      </c>
      <c r="D232" s="111" t="s">
        <v>836</v>
      </c>
      <c r="E232" s="111" t="s">
        <v>745</v>
      </c>
      <c r="F232" s="29">
        <v>0</v>
      </c>
      <c r="G232" s="29">
        <v>0</v>
      </c>
      <c r="H232" s="29">
        <v>0</v>
      </c>
      <c r="I232" s="29">
        <v>0</v>
      </c>
      <c r="J232" s="29">
        <v>0</v>
      </c>
      <c r="K232" s="29">
        <v>0</v>
      </c>
      <c r="L232" s="29">
        <v>0</v>
      </c>
      <c r="M232" s="29">
        <v>0</v>
      </c>
      <c r="N232" s="29">
        <v>0</v>
      </c>
      <c r="O232" s="29">
        <v>0</v>
      </c>
      <c r="P232" s="29">
        <v>0</v>
      </c>
      <c r="Q232" s="29">
        <v>0</v>
      </c>
      <c r="R232" s="29">
        <v>0</v>
      </c>
      <c r="S232" s="29">
        <v>0</v>
      </c>
      <c r="T232" s="29">
        <v>0</v>
      </c>
      <c r="U232" s="29">
        <v>0</v>
      </c>
      <c r="V232" s="29"/>
      <c r="W232" s="29"/>
    </row>
    <row r="233" spans="1:23" x14ac:dyDescent="0.25">
      <c r="A233" s="111" t="s">
        <v>742</v>
      </c>
      <c r="B233" s="111" t="s">
        <v>786</v>
      </c>
      <c r="C233" s="111" t="s">
        <v>787</v>
      </c>
      <c r="D233" s="111" t="s">
        <v>836</v>
      </c>
      <c r="E233" s="111" t="s">
        <v>745</v>
      </c>
      <c r="F233" s="29">
        <v>39.155999999999999</v>
      </c>
      <c r="G233" s="29">
        <v>26.936</v>
      </c>
      <c r="H233" s="29">
        <v>25.687999999999999</v>
      </c>
      <c r="I233" s="29">
        <v>20.748000000000001</v>
      </c>
      <c r="J233" s="29">
        <v>19.5</v>
      </c>
      <c r="K233" s="29">
        <v>21.943999999999999</v>
      </c>
      <c r="L233" s="29">
        <v>25.116</v>
      </c>
      <c r="M233" s="29">
        <v>21.788</v>
      </c>
      <c r="N233" s="29">
        <v>24.128</v>
      </c>
      <c r="O233" s="29">
        <v>25.532</v>
      </c>
      <c r="P233" s="29">
        <v>26.312000000000001</v>
      </c>
      <c r="Q233" s="29">
        <v>28.319200000000002</v>
      </c>
      <c r="R233" s="29">
        <v>27.294280000000004</v>
      </c>
      <c r="S233" s="29">
        <v>21.84</v>
      </c>
      <c r="T233" s="29">
        <v>22.07208198804468</v>
      </c>
      <c r="U233" s="29">
        <v>18.2</v>
      </c>
      <c r="V233" s="29"/>
      <c r="W233" s="29"/>
    </row>
    <row r="234" spans="1:23" x14ac:dyDescent="0.25">
      <c r="A234" s="111" t="s">
        <v>742</v>
      </c>
      <c r="B234" s="111" t="s">
        <v>788</v>
      </c>
      <c r="C234" s="111" t="s">
        <v>789</v>
      </c>
      <c r="D234" s="111" t="s">
        <v>836</v>
      </c>
      <c r="E234" s="111" t="s">
        <v>745</v>
      </c>
      <c r="F234" s="29">
        <v>108.36</v>
      </c>
      <c r="G234" s="29">
        <v>104.92</v>
      </c>
      <c r="H234" s="29">
        <v>110.08</v>
      </c>
      <c r="I234" s="29">
        <v>70.52</v>
      </c>
      <c r="J234" s="29">
        <v>55.04</v>
      </c>
      <c r="K234" s="29">
        <v>55.04</v>
      </c>
      <c r="L234" s="29">
        <v>58.48</v>
      </c>
      <c r="M234" s="29">
        <v>53.32</v>
      </c>
      <c r="N234" s="29">
        <v>49.88</v>
      </c>
      <c r="O234" s="29">
        <v>48.16</v>
      </c>
      <c r="P234" s="29">
        <v>61.92</v>
      </c>
      <c r="Q234" s="29">
        <v>63.64</v>
      </c>
      <c r="R234" s="29">
        <v>63.64</v>
      </c>
      <c r="S234" s="29">
        <v>51.6</v>
      </c>
      <c r="T234" s="29">
        <v>44.962519999999998</v>
      </c>
      <c r="U234" s="29">
        <v>49.88</v>
      </c>
      <c r="V234" s="29"/>
      <c r="W234" s="29"/>
    </row>
    <row r="235" spans="1:23" x14ac:dyDescent="0.25">
      <c r="A235" s="111" t="s">
        <v>742</v>
      </c>
      <c r="B235" s="111" t="s">
        <v>790</v>
      </c>
      <c r="C235" s="111" t="s">
        <v>756</v>
      </c>
      <c r="D235" s="111" t="s">
        <v>836</v>
      </c>
      <c r="E235" s="111" t="s">
        <v>745</v>
      </c>
      <c r="F235" s="29">
        <v>0</v>
      </c>
      <c r="G235" s="29">
        <v>0</v>
      </c>
      <c r="H235" s="29">
        <v>0</v>
      </c>
      <c r="I235" s="29">
        <v>0</v>
      </c>
      <c r="J235" s="29">
        <v>0</v>
      </c>
      <c r="K235" s="29">
        <v>0</v>
      </c>
      <c r="L235" s="29">
        <v>0</v>
      </c>
      <c r="M235" s="29">
        <v>0</v>
      </c>
      <c r="N235" s="29">
        <v>0</v>
      </c>
      <c r="O235" s="29">
        <v>0</v>
      </c>
      <c r="P235" s="29">
        <v>0</v>
      </c>
      <c r="Q235" s="29">
        <v>0</v>
      </c>
      <c r="R235" s="29">
        <v>0</v>
      </c>
      <c r="S235" s="29">
        <v>0</v>
      </c>
      <c r="T235" s="29">
        <v>0</v>
      </c>
      <c r="U235" s="29">
        <v>0</v>
      </c>
      <c r="V235" s="29"/>
      <c r="W235" s="29"/>
    </row>
    <row r="236" spans="1:23" x14ac:dyDescent="0.25">
      <c r="A236" s="10" t="s">
        <v>742</v>
      </c>
      <c r="B236" s="10" t="s">
        <v>791</v>
      </c>
      <c r="C236" s="10" t="s">
        <v>792</v>
      </c>
      <c r="D236" s="10" t="s">
        <v>836</v>
      </c>
      <c r="E236" s="10" t="s">
        <v>745</v>
      </c>
      <c r="F236" s="126">
        <v>195.91733333333332</v>
      </c>
      <c r="G236" s="126">
        <v>225.96933333333334</v>
      </c>
      <c r="H236" s="126">
        <v>250.316</v>
      </c>
      <c r="I236" s="126">
        <v>248.61466666666664</v>
      </c>
      <c r="J236" s="126">
        <v>246.17999999999998</v>
      </c>
      <c r="K236" s="126">
        <v>467.85199999999998</v>
      </c>
      <c r="L236" s="126">
        <v>509.15333333333331</v>
      </c>
      <c r="M236" s="126">
        <v>234.08</v>
      </c>
      <c r="N236" s="126">
        <v>221.07066666666665</v>
      </c>
      <c r="O236" s="126">
        <v>233.75733333333332</v>
      </c>
      <c r="P236" s="126">
        <v>233.87466666666666</v>
      </c>
      <c r="Q236" s="126">
        <v>196.38666666666666</v>
      </c>
      <c r="R236" s="126">
        <v>253.87691077219299</v>
      </c>
      <c r="S236" s="126">
        <v>271.70611536899781</v>
      </c>
      <c r="T236" s="29">
        <v>272.77838312986057</v>
      </c>
      <c r="U236" s="29">
        <v>273.78627273280614</v>
      </c>
      <c r="V236" s="29"/>
      <c r="W236" s="29"/>
    </row>
    <row r="237" spans="1:23" x14ac:dyDescent="0.25">
      <c r="A237" s="111" t="s">
        <v>742</v>
      </c>
      <c r="B237" s="111" t="s">
        <v>793</v>
      </c>
      <c r="C237" s="111" t="s">
        <v>794</v>
      </c>
      <c r="D237" s="111" t="s">
        <v>836</v>
      </c>
      <c r="E237" s="111" t="s">
        <v>745</v>
      </c>
      <c r="F237" s="29">
        <v>188.48133333333331</v>
      </c>
      <c r="G237" s="29">
        <v>221.364</v>
      </c>
      <c r="H237" s="29">
        <v>242.89466666666667</v>
      </c>
      <c r="I237" s="29">
        <v>240.9733333333333</v>
      </c>
      <c r="J237" s="29">
        <v>238.99333333333331</v>
      </c>
      <c r="K237" s="29">
        <v>462.71866666666665</v>
      </c>
      <c r="L237" s="29">
        <v>504.4013333333333</v>
      </c>
      <c r="M237" s="29">
        <v>232.012</v>
      </c>
      <c r="N237" s="29">
        <v>218.40133333333333</v>
      </c>
      <c r="O237" s="29">
        <v>230.36933333333332</v>
      </c>
      <c r="P237" s="29">
        <v>230.48666666666665</v>
      </c>
      <c r="Q237" s="29">
        <v>192.57333333333332</v>
      </c>
      <c r="R237" s="29">
        <v>250.58</v>
      </c>
      <c r="S237" s="29">
        <v>268.54593874595992</v>
      </c>
      <c r="T237" s="29">
        <v>269.74550295424086</v>
      </c>
      <c r="U237" s="29">
        <v>270.87247043125336</v>
      </c>
      <c r="V237" s="29"/>
      <c r="W237" s="29"/>
    </row>
    <row r="238" spans="1:23" x14ac:dyDescent="0.25">
      <c r="A238" s="111" t="s">
        <v>742</v>
      </c>
      <c r="B238" s="111" t="s">
        <v>795</v>
      </c>
      <c r="C238" s="111" t="s">
        <v>796</v>
      </c>
      <c r="D238" s="111" t="s">
        <v>836</v>
      </c>
      <c r="E238" s="111" t="s">
        <v>745</v>
      </c>
      <c r="F238" s="29">
        <v>7.4359999999999999</v>
      </c>
      <c r="G238" s="29">
        <v>4.6053333333333333</v>
      </c>
      <c r="H238" s="29">
        <v>7.4213333333333331</v>
      </c>
      <c r="I238" s="29">
        <v>7.6413333333333329</v>
      </c>
      <c r="J238" s="29">
        <v>7.1866666666666656</v>
      </c>
      <c r="K238" s="29">
        <v>5.1333333333333329</v>
      </c>
      <c r="L238" s="29">
        <v>4.7519999999999998</v>
      </c>
      <c r="M238" s="29">
        <v>2.0680000000000001</v>
      </c>
      <c r="N238" s="29">
        <v>2.6693333333333329</v>
      </c>
      <c r="O238" s="29">
        <v>3.3879999999999999</v>
      </c>
      <c r="P238" s="29">
        <v>3.3879999999999999</v>
      </c>
      <c r="Q238" s="29">
        <v>3.813333333333333</v>
      </c>
      <c r="R238" s="29">
        <v>3.2969107721929678</v>
      </c>
      <c r="S238" s="29">
        <v>3.1601766230378749</v>
      </c>
      <c r="T238" s="29">
        <v>3.0328801756196833</v>
      </c>
      <c r="U238" s="29">
        <v>2.9138023015527885</v>
      </c>
      <c r="V238" s="29"/>
      <c r="W238" s="29"/>
    </row>
    <row r="239" spans="1:23" x14ac:dyDescent="0.25">
      <c r="A239" s="111" t="s">
        <v>742</v>
      </c>
      <c r="B239" s="111" t="s">
        <v>797</v>
      </c>
      <c r="C239" s="111" t="s">
        <v>798</v>
      </c>
      <c r="D239" s="111" t="s">
        <v>836</v>
      </c>
      <c r="E239" s="111" t="s">
        <v>745</v>
      </c>
      <c r="F239" s="29">
        <v>0</v>
      </c>
      <c r="G239" s="29">
        <v>0</v>
      </c>
      <c r="H239" s="29">
        <v>0</v>
      </c>
      <c r="I239" s="29">
        <v>0</v>
      </c>
      <c r="J239" s="29">
        <v>0</v>
      </c>
      <c r="K239" s="29">
        <v>0</v>
      </c>
      <c r="L239" s="29">
        <v>0</v>
      </c>
      <c r="M239" s="29">
        <v>0</v>
      </c>
      <c r="N239" s="29">
        <v>0</v>
      </c>
      <c r="O239" s="29">
        <v>0</v>
      </c>
      <c r="P239" s="29">
        <v>0</v>
      </c>
      <c r="Q239" s="29">
        <v>0</v>
      </c>
      <c r="R239" s="29">
        <v>0</v>
      </c>
      <c r="S239" s="29">
        <v>0</v>
      </c>
      <c r="T239" s="29">
        <v>0</v>
      </c>
      <c r="U239" s="29">
        <v>0</v>
      </c>
      <c r="V239" s="29"/>
      <c r="W239" s="29"/>
    </row>
    <row r="240" spans="1:23" x14ac:dyDescent="0.25">
      <c r="A240" s="111" t="s">
        <v>742</v>
      </c>
      <c r="B240" s="111" t="s">
        <v>799</v>
      </c>
      <c r="C240" s="111" t="s">
        <v>756</v>
      </c>
      <c r="D240" s="111" t="s">
        <v>836</v>
      </c>
      <c r="E240" s="111" t="s">
        <v>745</v>
      </c>
      <c r="F240" s="29">
        <v>0</v>
      </c>
      <c r="G240" s="29">
        <v>0</v>
      </c>
      <c r="H240" s="29">
        <v>0</v>
      </c>
      <c r="I240" s="29">
        <v>0</v>
      </c>
      <c r="J240" s="29">
        <v>0</v>
      </c>
      <c r="K240" s="29">
        <v>0</v>
      </c>
      <c r="L240" s="29">
        <v>0</v>
      </c>
      <c r="M240" s="29">
        <v>0</v>
      </c>
      <c r="N240" s="29">
        <v>0</v>
      </c>
      <c r="O240" s="29">
        <v>0</v>
      </c>
      <c r="P240" s="29">
        <v>0</v>
      </c>
      <c r="Q240" s="29">
        <v>0</v>
      </c>
      <c r="R240" s="29">
        <v>0</v>
      </c>
      <c r="S240" s="29">
        <v>0</v>
      </c>
      <c r="T240" s="29">
        <v>0</v>
      </c>
      <c r="U240" s="29">
        <v>0</v>
      </c>
      <c r="V240" s="29"/>
      <c r="W240" s="29"/>
    </row>
    <row r="241" spans="1:24" x14ac:dyDescent="0.25">
      <c r="A241" s="10" t="s">
        <v>742</v>
      </c>
      <c r="B241" s="112" t="s">
        <v>800</v>
      </c>
      <c r="C241" s="10" t="s">
        <v>555</v>
      </c>
      <c r="D241" s="10" t="s">
        <v>836</v>
      </c>
      <c r="E241" s="10" t="s">
        <v>745</v>
      </c>
      <c r="F241" s="126">
        <v>0</v>
      </c>
      <c r="G241" s="126">
        <v>0</v>
      </c>
      <c r="H241" s="126">
        <v>0</v>
      </c>
      <c r="I241" s="126">
        <v>0</v>
      </c>
      <c r="J241" s="126">
        <v>0</v>
      </c>
      <c r="K241" s="126">
        <v>0</v>
      </c>
      <c r="L241" s="126">
        <v>0</v>
      </c>
      <c r="M241" s="126">
        <v>0</v>
      </c>
      <c r="N241" s="126">
        <v>0</v>
      </c>
      <c r="O241" s="126">
        <v>0</v>
      </c>
      <c r="P241" s="126">
        <v>0</v>
      </c>
      <c r="Q241" s="126">
        <v>0</v>
      </c>
      <c r="R241" s="126">
        <v>0</v>
      </c>
      <c r="S241" s="29">
        <v>0</v>
      </c>
      <c r="T241" s="29">
        <v>0</v>
      </c>
      <c r="U241" s="29">
        <v>0</v>
      </c>
      <c r="V241" s="29"/>
      <c r="W241" s="29"/>
    </row>
    <row r="242" spans="1:24" x14ac:dyDescent="0.25">
      <c r="A242" s="111" t="s">
        <v>742</v>
      </c>
      <c r="B242" s="113" t="s">
        <v>801</v>
      </c>
      <c r="C242" s="111" t="s">
        <v>802</v>
      </c>
      <c r="D242" s="111" t="s">
        <v>836</v>
      </c>
      <c r="E242" s="111" t="s">
        <v>745</v>
      </c>
      <c r="F242" s="29">
        <v>0</v>
      </c>
      <c r="G242" s="29">
        <v>0</v>
      </c>
      <c r="H242" s="29">
        <v>0</v>
      </c>
      <c r="I242" s="29">
        <v>0</v>
      </c>
      <c r="J242" s="29">
        <v>0</v>
      </c>
      <c r="K242" s="29">
        <v>0</v>
      </c>
      <c r="L242" s="29">
        <v>0</v>
      </c>
      <c r="M242" s="29">
        <v>0</v>
      </c>
      <c r="N242" s="29">
        <v>0</v>
      </c>
      <c r="O242" s="29">
        <v>0</v>
      </c>
      <c r="P242" s="29">
        <v>0</v>
      </c>
      <c r="Q242" s="29">
        <v>0</v>
      </c>
      <c r="R242" s="29">
        <v>0</v>
      </c>
      <c r="S242" s="29">
        <v>0</v>
      </c>
      <c r="T242" s="29">
        <v>0</v>
      </c>
      <c r="U242" s="29">
        <v>0</v>
      </c>
      <c r="V242" s="29"/>
      <c r="W242" s="29"/>
    </row>
    <row r="243" spans="1:24" x14ac:dyDescent="0.25">
      <c r="A243" s="111" t="s">
        <v>742</v>
      </c>
      <c r="B243" s="113" t="s">
        <v>803</v>
      </c>
      <c r="C243" s="111" t="s">
        <v>804</v>
      </c>
      <c r="D243" s="111" t="s">
        <v>836</v>
      </c>
      <c r="E243" s="111" t="s">
        <v>745</v>
      </c>
      <c r="F243" s="29">
        <v>0</v>
      </c>
      <c r="G243" s="29">
        <v>0</v>
      </c>
      <c r="H243" s="29">
        <v>0</v>
      </c>
      <c r="I243" s="29">
        <v>0</v>
      </c>
      <c r="J243" s="29">
        <v>0</v>
      </c>
      <c r="K243" s="29">
        <v>0</v>
      </c>
      <c r="L243" s="29">
        <v>0</v>
      </c>
      <c r="M243" s="29">
        <v>0</v>
      </c>
      <c r="N243" s="29">
        <v>0</v>
      </c>
      <c r="O243" s="29">
        <v>0</v>
      </c>
      <c r="P243" s="29">
        <v>0</v>
      </c>
      <c r="Q243" s="29">
        <v>0</v>
      </c>
      <c r="R243" s="29">
        <v>0</v>
      </c>
      <c r="S243" s="29">
        <v>0</v>
      </c>
      <c r="T243" s="29">
        <v>0</v>
      </c>
      <c r="U243" s="29">
        <v>0</v>
      </c>
      <c r="V243" s="29"/>
      <c r="W243" s="29"/>
    </row>
    <row r="244" spans="1:24" x14ac:dyDescent="0.25">
      <c r="A244" s="111" t="s">
        <v>742</v>
      </c>
      <c r="B244" s="113" t="s">
        <v>805</v>
      </c>
      <c r="C244" s="111" t="s">
        <v>558</v>
      </c>
      <c r="D244" s="111" t="s">
        <v>836</v>
      </c>
      <c r="E244" s="111" t="s">
        <v>745</v>
      </c>
      <c r="F244" s="29">
        <v>0</v>
      </c>
      <c r="G244" s="29">
        <v>0</v>
      </c>
      <c r="H244" s="29">
        <v>0</v>
      </c>
      <c r="I244" s="29">
        <v>0</v>
      </c>
      <c r="J244" s="29">
        <v>0</v>
      </c>
      <c r="K244" s="29">
        <v>0</v>
      </c>
      <c r="L244" s="29">
        <v>0</v>
      </c>
      <c r="M244" s="29">
        <v>0</v>
      </c>
      <c r="N244" s="29">
        <v>0</v>
      </c>
      <c r="O244" s="29">
        <v>0</v>
      </c>
      <c r="P244" s="29">
        <v>0</v>
      </c>
      <c r="Q244" s="29">
        <v>0</v>
      </c>
      <c r="R244" s="29">
        <v>0</v>
      </c>
      <c r="S244" s="29">
        <v>0</v>
      </c>
      <c r="T244" s="29">
        <v>0</v>
      </c>
      <c r="U244" s="29">
        <v>0</v>
      </c>
      <c r="V244" s="29"/>
      <c r="W244" s="29"/>
    </row>
    <row r="245" spans="1:24" x14ac:dyDescent="0.25">
      <c r="A245" s="111" t="s">
        <v>742</v>
      </c>
      <c r="B245" s="113" t="s">
        <v>806</v>
      </c>
      <c r="C245" s="111" t="s">
        <v>807</v>
      </c>
      <c r="D245" s="111" t="s">
        <v>836</v>
      </c>
      <c r="E245" s="111" t="s">
        <v>745</v>
      </c>
      <c r="F245" s="29">
        <v>0</v>
      </c>
      <c r="G245" s="29">
        <v>0</v>
      </c>
      <c r="H245" s="29">
        <v>0</v>
      </c>
      <c r="I245" s="29">
        <v>0</v>
      </c>
      <c r="J245" s="29">
        <v>0</v>
      </c>
      <c r="K245" s="29">
        <v>0</v>
      </c>
      <c r="L245" s="29">
        <v>0</v>
      </c>
      <c r="M245" s="29">
        <v>0</v>
      </c>
      <c r="N245" s="29">
        <v>0</v>
      </c>
      <c r="O245" s="29">
        <v>0</v>
      </c>
      <c r="P245" s="29">
        <v>0</v>
      </c>
      <c r="Q245" s="29">
        <v>0</v>
      </c>
      <c r="R245" s="29">
        <v>0</v>
      </c>
      <c r="S245" s="29">
        <v>0</v>
      </c>
      <c r="T245" s="29">
        <v>0</v>
      </c>
      <c r="U245" s="29">
        <v>0</v>
      </c>
      <c r="V245" s="29"/>
      <c r="W245" s="29"/>
    </row>
    <row r="246" spans="1:24" x14ac:dyDescent="0.25">
      <c r="A246" s="111" t="s">
        <v>742</v>
      </c>
      <c r="B246" s="113" t="s">
        <v>808</v>
      </c>
      <c r="C246" s="111" t="s">
        <v>756</v>
      </c>
      <c r="D246" s="111" t="s">
        <v>836</v>
      </c>
      <c r="E246" s="111" t="s">
        <v>745</v>
      </c>
      <c r="F246" s="29">
        <v>0</v>
      </c>
      <c r="G246" s="29">
        <v>0</v>
      </c>
      <c r="H246" s="29">
        <v>0</v>
      </c>
      <c r="I246" s="29">
        <v>0</v>
      </c>
      <c r="J246" s="29">
        <v>0</v>
      </c>
      <c r="K246" s="29">
        <v>0</v>
      </c>
      <c r="L246" s="29">
        <v>0</v>
      </c>
      <c r="M246" s="29">
        <v>0</v>
      </c>
      <c r="N246" s="29">
        <v>0</v>
      </c>
      <c r="O246" s="29">
        <v>0</v>
      </c>
      <c r="P246" s="29">
        <v>0</v>
      </c>
      <c r="Q246" s="29">
        <v>0</v>
      </c>
      <c r="R246" s="29">
        <v>0</v>
      </c>
      <c r="S246" s="29">
        <v>0</v>
      </c>
      <c r="T246" s="29">
        <v>0</v>
      </c>
      <c r="U246" s="29">
        <v>0</v>
      </c>
      <c r="V246" s="29"/>
      <c r="W246" s="29"/>
    </row>
    <row r="248" spans="1:24" x14ac:dyDescent="0.25">
      <c r="C248" s="10" t="s">
        <v>847</v>
      </c>
    </row>
    <row r="249" spans="1:24" s="103" customFormat="1" x14ac:dyDescent="0.25">
      <c r="A249" s="10" t="s">
        <v>742</v>
      </c>
      <c r="B249" s="109">
        <v>2</v>
      </c>
      <c r="C249" s="110" t="s">
        <v>743</v>
      </c>
      <c r="D249" s="10" t="s">
        <v>486</v>
      </c>
      <c r="E249" s="10" t="s">
        <v>745</v>
      </c>
      <c r="F249" s="126">
        <v>68.930262659999997</v>
      </c>
      <c r="G249" s="126">
        <v>69.133155419999994</v>
      </c>
      <c r="H249" s="126">
        <v>66.620646120000004</v>
      </c>
      <c r="I249" s="126">
        <v>69.072944640000003</v>
      </c>
      <c r="J249" s="126">
        <v>72.594029759999998</v>
      </c>
      <c r="K249" s="126">
        <v>94.555854119999978</v>
      </c>
      <c r="L249" s="126">
        <v>103.44818945999999</v>
      </c>
      <c r="M249" s="126">
        <v>139.55384436000003</v>
      </c>
      <c r="N249" s="126">
        <v>71.562355620000005</v>
      </c>
      <c r="O249" s="126">
        <v>51.655647119999998</v>
      </c>
      <c r="P249" s="126">
        <v>61.266539854800001</v>
      </c>
      <c r="Q249" s="126">
        <v>84.4165098</v>
      </c>
      <c r="R249" s="126">
        <v>67.153564799999984</v>
      </c>
      <c r="S249" s="126">
        <v>75.290759854800001</v>
      </c>
      <c r="T249" s="126">
        <v>72.520382882137113</v>
      </c>
      <c r="U249" s="126">
        <v>91.079071022637095</v>
      </c>
      <c r="V249" s="126"/>
      <c r="W249" s="126"/>
      <c r="X249" s="104"/>
    </row>
    <row r="250" spans="1:24" s="7" customFormat="1" x14ac:dyDescent="0.25">
      <c r="A250" s="10" t="s">
        <v>742</v>
      </c>
      <c r="B250" s="10" t="s">
        <v>757</v>
      </c>
      <c r="C250" s="10" t="s">
        <v>520</v>
      </c>
      <c r="D250" s="10" t="s">
        <v>486</v>
      </c>
      <c r="E250" s="10" t="s">
        <v>745</v>
      </c>
      <c r="F250" s="126">
        <v>65.628642659999997</v>
      </c>
      <c r="G250" s="126">
        <v>65.880675419999989</v>
      </c>
      <c r="H250" s="126">
        <v>62.573946120000002</v>
      </c>
      <c r="I250" s="126">
        <v>65.009444639999998</v>
      </c>
      <c r="J250" s="126">
        <v>68.368829759999997</v>
      </c>
      <c r="K250" s="126">
        <v>90.540654119999985</v>
      </c>
      <c r="L250" s="126">
        <v>98.978129459999991</v>
      </c>
      <c r="M250" s="126">
        <v>135.35468436000002</v>
      </c>
      <c r="N250" s="126">
        <v>67.432495620000012</v>
      </c>
      <c r="O250" s="126">
        <v>48.364527119999998</v>
      </c>
      <c r="P250" s="126">
        <v>57.415559854800001</v>
      </c>
      <c r="Q250" s="126">
        <v>80.284549799999994</v>
      </c>
      <c r="R250" s="126">
        <v>64.072864799999991</v>
      </c>
      <c r="S250" s="126">
        <v>72.787559854799994</v>
      </c>
      <c r="T250" s="126">
        <v>69.48924288213712</v>
      </c>
      <c r="U250" s="126">
        <v>87.107551022637097</v>
      </c>
      <c r="V250" s="126"/>
      <c r="W250" s="126"/>
    </row>
    <row r="251" spans="1:24" s="104" customFormat="1" x14ac:dyDescent="0.25">
      <c r="A251" s="111" t="s">
        <v>742</v>
      </c>
      <c r="B251" s="111" t="s">
        <v>758</v>
      </c>
      <c r="C251" s="111" t="s">
        <v>759</v>
      </c>
      <c r="D251" s="111" t="s">
        <v>486</v>
      </c>
      <c r="E251" s="111" t="s">
        <v>745</v>
      </c>
      <c r="F251" s="130">
        <v>65.561999999999998</v>
      </c>
      <c r="G251" s="130">
        <v>65.813999999999993</v>
      </c>
      <c r="H251" s="130">
        <v>62.496000000000002</v>
      </c>
      <c r="I251" s="130">
        <v>64.932000000000002</v>
      </c>
      <c r="J251" s="130">
        <v>68.292000000000002</v>
      </c>
      <c r="K251" s="130">
        <v>90.467999999999989</v>
      </c>
      <c r="L251" s="130">
        <v>98.91</v>
      </c>
      <c r="M251" s="130">
        <v>135.28200000000001</v>
      </c>
      <c r="N251" s="130">
        <v>67.368000000000009</v>
      </c>
      <c r="O251" s="130">
        <v>48.3</v>
      </c>
      <c r="P251" s="130">
        <v>57.350999999999999</v>
      </c>
      <c r="Q251" s="130">
        <v>80.22</v>
      </c>
      <c r="R251" s="130">
        <v>64.007999999999996</v>
      </c>
      <c r="S251" s="130">
        <v>72.722999999999999</v>
      </c>
      <c r="T251" s="130">
        <v>69.426000000000002</v>
      </c>
      <c r="U251" s="130">
        <v>87.044999999999987</v>
      </c>
      <c r="V251" s="130"/>
      <c r="W251" s="130"/>
    </row>
    <row r="252" spans="1:24" s="104" customFormat="1" x14ac:dyDescent="0.25">
      <c r="A252" s="111" t="s">
        <v>742</v>
      </c>
      <c r="B252" s="111" t="s">
        <v>760</v>
      </c>
      <c r="C252" s="111" t="s">
        <v>761</v>
      </c>
      <c r="D252" s="111" t="s">
        <v>486</v>
      </c>
      <c r="E252" s="111" t="s">
        <v>745</v>
      </c>
      <c r="F252" s="130">
        <v>0</v>
      </c>
      <c r="G252" s="130">
        <v>0</v>
      </c>
      <c r="H252" s="130">
        <v>0</v>
      </c>
      <c r="I252" s="130">
        <v>0</v>
      </c>
      <c r="J252" s="130">
        <v>0</v>
      </c>
      <c r="K252" s="130">
        <v>0</v>
      </c>
      <c r="L252" s="130">
        <v>0</v>
      </c>
      <c r="M252" s="130">
        <v>0</v>
      </c>
      <c r="N252" s="130">
        <v>0</v>
      </c>
      <c r="O252" s="130">
        <v>0</v>
      </c>
      <c r="P252" s="130">
        <v>0</v>
      </c>
      <c r="Q252" s="130">
        <v>0</v>
      </c>
      <c r="R252" s="130">
        <v>0</v>
      </c>
      <c r="S252" s="130">
        <v>0</v>
      </c>
      <c r="T252" s="130">
        <v>0</v>
      </c>
      <c r="U252" s="130">
        <v>0</v>
      </c>
      <c r="V252" s="130"/>
      <c r="W252" s="130"/>
    </row>
    <row r="253" spans="1:24" s="104" customFormat="1" x14ac:dyDescent="0.25">
      <c r="A253" s="111" t="s">
        <v>742</v>
      </c>
      <c r="B253" s="111" t="s">
        <v>762</v>
      </c>
      <c r="C253" s="111" t="s">
        <v>763</v>
      </c>
      <c r="D253" s="111" t="s">
        <v>486</v>
      </c>
      <c r="E253" s="111" t="s">
        <v>745</v>
      </c>
      <c r="F253" s="130">
        <v>0</v>
      </c>
      <c r="G253" s="130">
        <v>0</v>
      </c>
      <c r="H253" s="130">
        <v>0</v>
      </c>
      <c r="I253" s="130">
        <v>0</v>
      </c>
      <c r="J253" s="130">
        <v>0</v>
      </c>
      <c r="K253" s="130">
        <v>0</v>
      </c>
      <c r="L253" s="130">
        <v>0</v>
      </c>
      <c r="M253" s="130">
        <v>0</v>
      </c>
      <c r="N253" s="130">
        <v>0</v>
      </c>
      <c r="O253" s="130">
        <v>0</v>
      </c>
      <c r="P253" s="130">
        <v>0</v>
      </c>
      <c r="Q253" s="130">
        <v>0</v>
      </c>
      <c r="R253" s="130">
        <v>0</v>
      </c>
      <c r="S253" s="130">
        <v>0</v>
      </c>
      <c r="T253" s="130">
        <v>0</v>
      </c>
      <c r="U253" s="130">
        <v>0</v>
      </c>
      <c r="V253" s="130"/>
      <c r="W253" s="130"/>
    </row>
    <row r="254" spans="1:24" s="104" customFormat="1" x14ac:dyDescent="0.25">
      <c r="A254" s="111" t="s">
        <v>742</v>
      </c>
      <c r="B254" s="111" t="s">
        <v>764</v>
      </c>
      <c r="C254" s="111" t="s">
        <v>765</v>
      </c>
      <c r="D254" s="111" t="s">
        <v>486</v>
      </c>
      <c r="E254" s="111" t="s">
        <v>745</v>
      </c>
      <c r="F254" s="130">
        <v>0</v>
      </c>
      <c r="G254" s="130">
        <v>0</v>
      </c>
      <c r="H254" s="130">
        <v>0</v>
      </c>
      <c r="I254" s="130">
        <v>0</v>
      </c>
      <c r="J254" s="130">
        <v>0</v>
      </c>
      <c r="K254" s="130">
        <v>0</v>
      </c>
      <c r="L254" s="130">
        <v>0</v>
      </c>
      <c r="M254" s="130">
        <v>0</v>
      </c>
      <c r="N254" s="130">
        <v>0</v>
      </c>
      <c r="O254" s="130">
        <v>0</v>
      </c>
      <c r="P254" s="130">
        <v>0</v>
      </c>
      <c r="Q254" s="130">
        <v>0</v>
      </c>
      <c r="R254" s="130">
        <v>0</v>
      </c>
      <c r="S254" s="130">
        <v>0</v>
      </c>
      <c r="T254" s="130">
        <v>0</v>
      </c>
      <c r="U254" s="130">
        <v>0</v>
      </c>
      <c r="V254" s="130"/>
      <c r="W254" s="130"/>
    </row>
    <row r="255" spans="1:24" s="104" customFormat="1" x14ac:dyDescent="0.25">
      <c r="A255" s="111" t="s">
        <v>742</v>
      </c>
      <c r="B255" s="111" t="s">
        <v>766</v>
      </c>
      <c r="C255" s="111" t="s">
        <v>767</v>
      </c>
      <c r="D255" s="111" t="s">
        <v>486</v>
      </c>
      <c r="E255" s="111" t="s">
        <v>745</v>
      </c>
      <c r="F255" s="130">
        <v>0</v>
      </c>
      <c r="G255" s="130">
        <v>0</v>
      </c>
      <c r="H255" s="130">
        <v>0</v>
      </c>
      <c r="I255" s="130">
        <v>0</v>
      </c>
      <c r="J255" s="130">
        <v>0</v>
      </c>
      <c r="K255" s="130">
        <v>0</v>
      </c>
      <c r="L255" s="130">
        <v>0</v>
      </c>
      <c r="M255" s="130">
        <v>0</v>
      </c>
      <c r="N255" s="130">
        <v>0</v>
      </c>
      <c r="O255" s="130">
        <v>0</v>
      </c>
      <c r="P255" s="130">
        <v>0</v>
      </c>
      <c r="Q255" s="130">
        <v>0</v>
      </c>
      <c r="R255" s="130">
        <v>0</v>
      </c>
      <c r="S255" s="130">
        <v>0</v>
      </c>
      <c r="T255" s="130">
        <v>0</v>
      </c>
      <c r="U255" s="130">
        <v>0</v>
      </c>
      <c r="V255" s="130"/>
      <c r="W255" s="130"/>
    </row>
    <row r="256" spans="1:24" s="104" customFormat="1" x14ac:dyDescent="0.25">
      <c r="A256" s="111" t="s">
        <v>742</v>
      </c>
      <c r="B256" s="111" t="s">
        <v>768</v>
      </c>
      <c r="C256" s="111" t="s">
        <v>769</v>
      </c>
      <c r="D256" s="111" t="s">
        <v>486</v>
      </c>
      <c r="E256" s="111" t="s">
        <v>745</v>
      </c>
      <c r="F256" s="130">
        <v>0</v>
      </c>
      <c r="G256" s="130">
        <v>0</v>
      </c>
      <c r="H256" s="130">
        <v>0</v>
      </c>
      <c r="I256" s="130">
        <v>0</v>
      </c>
      <c r="J256" s="130">
        <v>0</v>
      </c>
      <c r="K256" s="130">
        <v>0</v>
      </c>
      <c r="L256" s="130">
        <v>0</v>
      </c>
      <c r="M256" s="130">
        <v>0</v>
      </c>
      <c r="N256" s="130">
        <v>0</v>
      </c>
      <c r="O256" s="130">
        <v>0</v>
      </c>
      <c r="P256" s="130">
        <v>0</v>
      </c>
      <c r="Q256" s="130">
        <v>0</v>
      </c>
      <c r="R256" s="130">
        <v>0</v>
      </c>
      <c r="S256" s="130">
        <v>0</v>
      </c>
      <c r="T256" s="130">
        <v>0</v>
      </c>
      <c r="U256" s="130">
        <v>0</v>
      </c>
      <c r="V256" s="130"/>
      <c r="W256" s="130"/>
    </row>
    <row r="257" spans="1:24" s="104" customFormat="1" x14ac:dyDescent="0.25">
      <c r="A257" s="111" t="s">
        <v>742</v>
      </c>
      <c r="B257" s="111" t="s">
        <v>770</v>
      </c>
      <c r="C257" s="111" t="s">
        <v>771</v>
      </c>
      <c r="D257" s="111" t="s">
        <v>486</v>
      </c>
      <c r="E257" s="111" t="s">
        <v>745</v>
      </c>
      <c r="F257" s="130">
        <v>0</v>
      </c>
      <c r="G257" s="130">
        <v>0</v>
      </c>
      <c r="H257" s="130">
        <v>0</v>
      </c>
      <c r="I257" s="130">
        <v>0</v>
      </c>
      <c r="J257" s="130">
        <v>0</v>
      </c>
      <c r="K257" s="130">
        <v>0</v>
      </c>
      <c r="L257" s="130">
        <v>0</v>
      </c>
      <c r="M257" s="130">
        <v>0</v>
      </c>
      <c r="N257" s="130">
        <v>0</v>
      </c>
      <c r="O257" s="130">
        <v>0</v>
      </c>
      <c r="P257" s="130">
        <v>0</v>
      </c>
      <c r="Q257" s="130">
        <v>0</v>
      </c>
      <c r="R257" s="130">
        <v>0</v>
      </c>
      <c r="S257" s="130">
        <v>0</v>
      </c>
      <c r="T257" s="130">
        <v>0</v>
      </c>
      <c r="U257" s="130">
        <v>0</v>
      </c>
      <c r="V257" s="130"/>
      <c r="W257" s="130"/>
    </row>
    <row r="258" spans="1:24" s="104" customFormat="1" x14ac:dyDescent="0.25">
      <c r="A258" s="111" t="s">
        <v>742</v>
      </c>
      <c r="B258" s="111" t="s">
        <v>772</v>
      </c>
      <c r="C258" s="111" t="s">
        <v>773</v>
      </c>
      <c r="D258" s="111" t="s">
        <v>486</v>
      </c>
      <c r="E258" s="111" t="s">
        <v>745</v>
      </c>
      <c r="F258" s="130">
        <v>6.6642659999999992E-2</v>
      </c>
      <c r="G258" s="130">
        <v>6.6675419999999999E-2</v>
      </c>
      <c r="H258" s="130">
        <v>7.7946119999999994E-2</v>
      </c>
      <c r="I258" s="130">
        <v>7.7444639999999995E-2</v>
      </c>
      <c r="J258" s="130">
        <v>7.6829759999999997E-2</v>
      </c>
      <c r="K258" s="130">
        <v>7.2654120000000003E-2</v>
      </c>
      <c r="L258" s="130">
        <v>6.8129459999999989E-2</v>
      </c>
      <c r="M258" s="130">
        <v>7.2684360000000003E-2</v>
      </c>
      <c r="N258" s="130">
        <v>6.4495620000000004E-2</v>
      </c>
      <c r="O258" s="130">
        <v>6.4527119999999993E-2</v>
      </c>
      <c r="P258" s="130">
        <v>6.4559854799999997E-2</v>
      </c>
      <c r="Q258" s="130">
        <v>6.4549799999999991E-2</v>
      </c>
      <c r="R258" s="130">
        <v>6.4864799999999986E-2</v>
      </c>
      <c r="S258" s="130">
        <v>6.4559854799999997E-2</v>
      </c>
      <c r="T258" s="130">
        <v>6.3242882137124368E-2</v>
      </c>
      <c r="U258" s="130">
        <v>6.2551022637102008E-2</v>
      </c>
      <c r="V258" s="130"/>
      <c r="W258" s="130"/>
    </row>
    <row r="259" spans="1:24" s="104" customFormat="1" x14ac:dyDescent="0.25">
      <c r="A259" s="111" t="s">
        <v>742</v>
      </c>
      <c r="B259" s="111" t="s">
        <v>774</v>
      </c>
      <c r="C259" s="111" t="s">
        <v>775</v>
      </c>
      <c r="D259" s="111" t="s">
        <v>486</v>
      </c>
      <c r="E259" s="111" t="s">
        <v>745</v>
      </c>
      <c r="F259" s="130">
        <v>0</v>
      </c>
      <c r="G259" s="130">
        <v>0</v>
      </c>
      <c r="H259" s="130">
        <v>0</v>
      </c>
      <c r="I259" s="130">
        <v>0</v>
      </c>
      <c r="J259" s="130">
        <v>0</v>
      </c>
      <c r="K259" s="130">
        <v>0</v>
      </c>
      <c r="L259" s="130">
        <v>0</v>
      </c>
      <c r="M259" s="130">
        <v>0</v>
      </c>
      <c r="N259" s="130">
        <v>0</v>
      </c>
      <c r="O259" s="130">
        <v>0</v>
      </c>
      <c r="P259" s="130">
        <v>0</v>
      </c>
      <c r="Q259" s="130">
        <v>0</v>
      </c>
      <c r="R259" s="130">
        <v>0</v>
      </c>
      <c r="S259" s="130">
        <v>0</v>
      </c>
      <c r="T259" s="130">
        <v>0</v>
      </c>
      <c r="U259" s="130">
        <v>0</v>
      </c>
      <c r="V259" s="130"/>
      <c r="W259" s="130"/>
    </row>
    <row r="260" spans="1:24" s="104" customFormat="1" x14ac:dyDescent="0.25">
      <c r="A260" s="111" t="s">
        <v>742</v>
      </c>
      <c r="B260" s="111" t="s">
        <v>776</v>
      </c>
      <c r="C260" s="111" t="s">
        <v>756</v>
      </c>
      <c r="D260" s="111" t="s">
        <v>486</v>
      </c>
      <c r="E260" s="111" t="s">
        <v>745</v>
      </c>
      <c r="F260" s="130">
        <v>0</v>
      </c>
      <c r="G260" s="130">
        <v>0</v>
      </c>
      <c r="H260" s="130">
        <v>0</v>
      </c>
      <c r="I260" s="130">
        <v>0</v>
      </c>
      <c r="J260" s="130">
        <v>0</v>
      </c>
      <c r="K260" s="130">
        <v>0</v>
      </c>
      <c r="L260" s="130">
        <v>0</v>
      </c>
      <c r="M260" s="130">
        <v>0</v>
      </c>
      <c r="N260" s="130">
        <v>0</v>
      </c>
      <c r="O260" s="130">
        <v>0</v>
      </c>
      <c r="P260" s="130">
        <v>0</v>
      </c>
      <c r="Q260" s="130">
        <v>0</v>
      </c>
      <c r="R260" s="130">
        <v>0</v>
      </c>
      <c r="S260" s="130">
        <v>0</v>
      </c>
      <c r="T260" s="130">
        <v>0</v>
      </c>
      <c r="U260" s="130">
        <v>0</v>
      </c>
      <c r="V260" s="130"/>
      <c r="W260" s="130"/>
    </row>
    <row r="261" spans="1:24" s="7" customFormat="1" x14ac:dyDescent="0.25">
      <c r="A261" s="10" t="s">
        <v>742</v>
      </c>
      <c r="B261" s="10" t="s">
        <v>777</v>
      </c>
      <c r="C261" s="10" t="s">
        <v>536</v>
      </c>
      <c r="D261" s="10" t="s">
        <v>486</v>
      </c>
      <c r="E261" s="10" t="s">
        <v>745</v>
      </c>
      <c r="F261" s="126">
        <v>3.3016199999999998</v>
      </c>
      <c r="G261" s="126">
        <v>3.2524800000000003</v>
      </c>
      <c r="H261" s="126">
        <v>4.0466999999999995</v>
      </c>
      <c r="I261" s="126">
        <v>4.0635000000000003</v>
      </c>
      <c r="J261" s="126">
        <v>4.2252000000000001</v>
      </c>
      <c r="K261" s="126">
        <v>4.0151999999999992</v>
      </c>
      <c r="L261" s="126">
        <v>4.4700600000000001</v>
      </c>
      <c r="M261" s="126">
        <v>4.19916</v>
      </c>
      <c r="N261" s="126">
        <v>4.1298599999999999</v>
      </c>
      <c r="O261" s="126">
        <v>3.2911199999999998</v>
      </c>
      <c r="P261" s="126">
        <v>3.8509800000000003</v>
      </c>
      <c r="Q261" s="126">
        <v>4.1319599999999994</v>
      </c>
      <c r="R261" s="126">
        <v>3.0806999999999998</v>
      </c>
      <c r="S261" s="126">
        <v>2.5032000000000001</v>
      </c>
      <c r="T261" s="126">
        <v>3.0311399999999997</v>
      </c>
      <c r="U261" s="126">
        <v>3.9715200000000004</v>
      </c>
      <c r="V261" s="126"/>
      <c r="W261" s="126"/>
    </row>
    <row r="262" spans="1:24" s="104" customFormat="1" x14ac:dyDescent="0.25">
      <c r="A262" s="111" t="s">
        <v>742</v>
      </c>
      <c r="B262" s="111" t="s">
        <v>778</v>
      </c>
      <c r="C262" s="111" t="s">
        <v>779</v>
      </c>
      <c r="D262" s="111" t="s">
        <v>486</v>
      </c>
      <c r="E262" s="111" t="s">
        <v>745</v>
      </c>
      <c r="F262" s="130">
        <v>0</v>
      </c>
      <c r="G262" s="130">
        <v>0</v>
      </c>
      <c r="H262" s="130">
        <v>0</v>
      </c>
      <c r="I262" s="130">
        <v>0</v>
      </c>
      <c r="J262" s="130">
        <v>0</v>
      </c>
      <c r="K262" s="130">
        <v>0</v>
      </c>
      <c r="L262" s="130">
        <v>0</v>
      </c>
      <c r="M262" s="130">
        <v>0</v>
      </c>
      <c r="N262" s="130">
        <v>0</v>
      </c>
      <c r="O262" s="130">
        <v>0</v>
      </c>
      <c r="P262" s="130">
        <v>0</v>
      </c>
      <c r="Q262" s="130">
        <v>0</v>
      </c>
      <c r="R262" s="130">
        <v>0</v>
      </c>
      <c r="S262" s="130">
        <v>0</v>
      </c>
      <c r="T262" s="130">
        <v>0</v>
      </c>
      <c r="U262" s="130">
        <v>0</v>
      </c>
      <c r="V262" s="130"/>
      <c r="W262" s="130"/>
    </row>
    <row r="263" spans="1:24" s="104" customFormat="1" x14ac:dyDescent="0.25">
      <c r="A263" s="111" t="s">
        <v>742</v>
      </c>
      <c r="B263" s="111" t="s">
        <v>780</v>
      </c>
      <c r="C263" s="111" t="s">
        <v>781</v>
      </c>
      <c r="D263" s="111" t="s">
        <v>486</v>
      </c>
      <c r="E263" s="111" t="s">
        <v>745</v>
      </c>
      <c r="F263" s="130">
        <v>3.3016199999999998</v>
      </c>
      <c r="G263" s="130">
        <v>3.2524800000000003</v>
      </c>
      <c r="H263" s="130">
        <v>4.0466999999999995</v>
      </c>
      <c r="I263" s="130">
        <v>4.0635000000000003</v>
      </c>
      <c r="J263" s="130">
        <v>4.2252000000000001</v>
      </c>
      <c r="K263" s="130">
        <v>4.0151999999999992</v>
      </c>
      <c r="L263" s="130">
        <v>4.4700600000000001</v>
      </c>
      <c r="M263" s="130">
        <v>4.19916</v>
      </c>
      <c r="N263" s="130">
        <v>4.1298599999999999</v>
      </c>
      <c r="O263" s="130">
        <v>3.2911199999999998</v>
      </c>
      <c r="P263" s="130">
        <v>3.8509800000000003</v>
      </c>
      <c r="Q263" s="130">
        <v>4.1319599999999994</v>
      </c>
      <c r="R263" s="130">
        <v>3.0806999999999998</v>
      </c>
      <c r="S263" s="130">
        <v>2.5032000000000001</v>
      </c>
      <c r="T263" s="130">
        <v>3.0311399999999997</v>
      </c>
      <c r="U263" s="130">
        <v>3.9715200000000004</v>
      </c>
      <c r="V263" s="130"/>
      <c r="W263" s="130"/>
    </row>
    <row r="264" spans="1:24" s="104" customFormat="1" x14ac:dyDescent="0.25">
      <c r="A264" s="111" t="s">
        <v>742</v>
      </c>
      <c r="B264" s="111" t="s">
        <v>782</v>
      </c>
      <c r="C264" s="111" t="s">
        <v>783</v>
      </c>
      <c r="D264" s="111" t="s">
        <v>486</v>
      </c>
      <c r="E264" s="111" t="s">
        <v>745</v>
      </c>
      <c r="F264" s="130">
        <v>0</v>
      </c>
      <c r="G264" s="130">
        <v>0</v>
      </c>
      <c r="H264" s="130">
        <v>0</v>
      </c>
      <c r="I264" s="130">
        <v>0</v>
      </c>
      <c r="J264" s="130">
        <v>0</v>
      </c>
      <c r="K264" s="130">
        <v>0</v>
      </c>
      <c r="L264" s="130">
        <v>0</v>
      </c>
      <c r="M264" s="130">
        <v>0</v>
      </c>
      <c r="N264" s="130">
        <v>0</v>
      </c>
      <c r="O264" s="130">
        <v>0</v>
      </c>
      <c r="P264" s="130">
        <v>0</v>
      </c>
      <c r="Q264" s="130">
        <v>0</v>
      </c>
      <c r="R264" s="130">
        <v>0</v>
      </c>
      <c r="S264" s="130">
        <v>0</v>
      </c>
      <c r="T264" s="130">
        <v>0</v>
      </c>
      <c r="U264" s="130">
        <v>0</v>
      </c>
      <c r="V264" s="130"/>
      <c r="W264" s="130"/>
    </row>
    <row r="265" spans="1:24" s="104" customFormat="1" x14ac:dyDescent="0.25">
      <c r="A265" s="111" t="s">
        <v>742</v>
      </c>
      <c r="B265" s="111" t="s">
        <v>784</v>
      </c>
      <c r="C265" s="111" t="s">
        <v>785</v>
      </c>
      <c r="D265" s="111" t="s">
        <v>486</v>
      </c>
      <c r="E265" s="111" t="s">
        <v>745</v>
      </c>
      <c r="F265" s="130">
        <v>0</v>
      </c>
      <c r="G265" s="130">
        <v>0</v>
      </c>
      <c r="H265" s="130">
        <v>0</v>
      </c>
      <c r="I265" s="130">
        <v>0</v>
      </c>
      <c r="J265" s="130">
        <v>0</v>
      </c>
      <c r="K265" s="130">
        <v>0</v>
      </c>
      <c r="L265" s="130">
        <v>0</v>
      </c>
      <c r="M265" s="130">
        <v>0</v>
      </c>
      <c r="N265" s="130">
        <v>0</v>
      </c>
      <c r="O265" s="130">
        <v>0</v>
      </c>
      <c r="P265" s="130">
        <v>0</v>
      </c>
      <c r="Q265" s="130">
        <v>0</v>
      </c>
      <c r="R265" s="130">
        <v>0</v>
      </c>
      <c r="S265" s="130">
        <v>0</v>
      </c>
      <c r="T265" s="130">
        <v>0</v>
      </c>
      <c r="U265" s="130">
        <v>0</v>
      </c>
      <c r="V265" s="130"/>
      <c r="W265" s="130"/>
    </row>
    <row r="266" spans="1:24" s="104" customFormat="1" x14ac:dyDescent="0.25">
      <c r="A266" s="111" t="s">
        <v>742</v>
      </c>
      <c r="B266" s="111" t="s">
        <v>786</v>
      </c>
      <c r="C266" s="111" t="s">
        <v>787</v>
      </c>
      <c r="D266" s="111" t="s">
        <v>486</v>
      </c>
      <c r="E266" s="111" t="s">
        <v>745</v>
      </c>
      <c r="F266" s="130">
        <v>0</v>
      </c>
      <c r="G266" s="130">
        <v>0</v>
      </c>
      <c r="H266" s="130">
        <v>0</v>
      </c>
      <c r="I266" s="130">
        <v>0</v>
      </c>
      <c r="J266" s="130">
        <v>0</v>
      </c>
      <c r="K266" s="130">
        <v>0</v>
      </c>
      <c r="L266" s="130">
        <v>0</v>
      </c>
      <c r="M266" s="130">
        <v>0</v>
      </c>
      <c r="N266" s="130">
        <v>0</v>
      </c>
      <c r="O266" s="130">
        <v>0</v>
      </c>
      <c r="P266" s="130">
        <v>0</v>
      </c>
      <c r="Q266" s="130">
        <v>0</v>
      </c>
      <c r="R266" s="130">
        <v>0</v>
      </c>
      <c r="S266" s="130">
        <v>0</v>
      </c>
      <c r="T266" s="130">
        <v>0</v>
      </c>
      <c r="U266" s="130">
        <v>0</v>
      </c>
      <c r="V266" s="130"/>
      <c r="W266" s="130"/>
    </row>
    <row r="267" spans="1:24" s="104" customFormat="1" x14ac:dyDescent="0.25">
      <c r="A267" s="111" t="s">
        <v>742</v>
      </c>
      <c r="B267" s="111" t="s">
        <v>788</v>
      </c>
      <c r="C267" s="111" t="s">
        <v>789</v>
      </c>
      <c r="D267" s="111" t="s">
        <v>486</v>
      </c>
      <c r="E267" s="111" t="s">
        <v>745</v>
      </c>
      <c r="F267" s="130">
        <v>0</v>
      </c>
      <c r="G267" s="130">
        <v>0</v>
      </c>
      <c r="H267" s="130">
        <v>0</v>
      </c>
      <c r="I267" s="130">
        <v>0</v>
      </c>
      <c r="J267" s="130">
        <v>0</v>
      </c>
      <c r="K267" s="130">
        <v>0</v>
      </c>
      <c r="L267" s="130">
        <v>0</v>
      </c>
      <c r="M267" s="130">
        <v>0</v>
      </c>
      <c r="N267" s="130">
        <v>0</v>
      </c>
      <c r="O267" s="130">
        <v>0</v>
      </c>
      <c r="P267" s="130">
        <v>0</v>
      </c>
      <c r="Q267" s="130">
        <v>0</v>
      </c>
      <c r="R267" s="130">
        <v>0</v>
      </c>
      <c r="S267" s="130">
        <v>0</v>
      </c>
      <c r="T267" s="130">
        <v>0</v>
      </c>
      <c r="U267" s="130">
        <v>0</v>
      </c>
      <c r="V267" s="130"/>
      <c r="W267" s="130"/>
    </row>
    <row r="268" spans="1:24" s="104" customFormat="1" x14ac:dyDescent="0.25">
      <c r="A268" s="111" t="s">
        <v>742</v>
      </c>
      <c r="B268" s="111" t="s">
        <v>790</v>
      </c>
      <c r="C268" s="111" t="s">
        <v>756</v>
      </c>
      <c r="D268" s="111" t="s">
        <v>486</v>
      </c>
      <c r="E268" s="111" t="s">
        <v>745</v>
      </c>
      <c r="F268" s="130">
        <v>0</v>
      </c>
      <c r="G268" s="130">
        <v>0</v>
      </c>
      <c r="H268" s="130">
        <v>0</v>
      </c>
      <c r="I268" s="130">
        <v>0</v>
      </c>
      <c r="J268" s="130">
        <v>0</v>
      </c>
      <c r="K268" s="130">
        <v>0</v>
      </c>
      <c r="L268" s="130">
        <v>0</v>
      </c>
      <c r="M268" s="130">
        <v>0</v>
      </c>
      <c r="N268" s="130">
        <v>0</v>
      </c>
      <c r="O268" s="130">
        <v>0</v>
      </c>
      <c r="P268" s="130">
        <v>0</v>
      </c>
      <c r="Q268" s="130">
        <v>0</v>
      </c>
      <c r="R268" s="130">
        <v>0</v>
      </c>
      <c r="S268" s="130">
        <v>0</v>
      </c>
      <c r="T268" s="130">
        <v>0</v>
      </c>
      <c r="U268" s="130">
        <v>0</v>
      </c>
      <c r="V268" s="130"/>
      <c r="W268" s="130"/>
    </row>
    <row r="269" spans="1:24" s="133" customFormat="1" x14ac:dyDescent="0.25"/>
    <row r="270" spans="1:24" s="133" customFormat="1" x14ac:dyDescent="0.25">
      <c r="C270" s="110" t="s">
        <v>848</v>
      </c>
    </row>
    <row r="271" spans="1:24" s="103" customFormat="1" x14ac:dyDescent="0.25">
      <c r="A271" s="10" t="s">
        <v>742</v>
      </c>
      <c r="B271" s="109">
        <v>2</v>
      </c>
      <c r="C271" s="110" t="s">
        <v>849</v>
      </c>
      <c r="D271" s="10" t="s">
        <v>488</v>
      </c>
      <c r="E271" s="10" t="s">
        <v>745</v>
      </c>
      <c r="F271" s="126">
        <v>1644.519</v>
      </c>
      <c r="G271" s="126">
        <v>1583.9195799999998</v>
      </c>
      <c r="H271" s="126">
        <v>1579.3802500000002</v>
      </c>
      <c r="I271" s="126">
        <v>980.55790000000013</v>
      </c>
      <c r="J271" s="126">
        <v>1264.0001999999999</v>
      </c>
      <c r="K271" s="126">
        <v>2065.096</v>
      </c>
      <c r="L271" s="126">
        <v>2134.6289999999999</v>
      </c>
      <c r="M271" s="126">
        <v>1252.2388000000001</v>
      </c>
      <c r="N271" s="126">
        <v>554.60239999999999</v>
      </c>
      <c r="O271" s="126">
        <v>536.11399999999992</v>
      </c>
      <c r="P271" s="126">
        <v>340.89769999999999</v>
      </c>
      <c r="Q271" s="126">
        <v>319.05509999999998</v>
      </c>
      <c r="R271" s="126">
        <v>350.67509999999999</v>
      </c>
      <c r="S271" s="126">
        <v>604.39769999999999</v>
      </c>
      <c r="T271" s="126">
        <v>368.71400000000006</v>
      </c>
      <c r="U271" s="126">
        <v>345.40200000000004</v>
      </c>
      <c r="V271" s="126"/>
      <c r="W271" s="126"/>
      <c r="X271" s="104"/>
    </row>
    <row r="272" spans="1:24" s="7" customFormat="1" x14ac:dyDescent="0.25">
      <c r="A272" s="10" t="s">
        <v>742</v>
      </c>
      <c r="B272" s="10" t="s">
        <v>757</v>
      </c>
      <c r="C272" s="10" t="s">
        <v>520</v>
      </c>
      <c r="D272" s="10" t="s">
        <v>488</v>
      </c>
      <c r="E272" s="10" t="s">
        <v>745</v>
      </c>
      <c r="F272" s="126">
        <v>1644.519</v>
      </c>
      <c r="G272" s="126">
        <v>1583.9195799999998</v>
      </c>
      <c r="H272" s="126">
        <v>1579.3802500000002</v>
      </c>
      <c r="I272" s="126">
        <v>980.55790000000013</v>
      </c>
      <c r="J272" s="126">
        <v>1264.0001999999999</v>
      </c>
      <c r="K272" s="126">
        <v>2065.096</v>
      </c>
      <c r="L272" s="126">
        <v>2134.6289999999999</v>
      </c>
      <c r="M272" s="126">
        <v>1252.2388000000001</v>
      </c>
      <c r="N272" s="126">
        <v>554.60239999999999</v>
      </c>
      <c r="O272" s="126">
        <v>536.11399999999992</v>
      </c>
      <c r="P272" s="126">
        <v>340.89769999999999</v>
      </c>
      <c r="Q272" s="126">
        <v>319.05509999999998</v>
      </c>
      <c r="R272" s="126">
        <v>350.67509999999999</v>
      </c>
      <c r="S272" s="126">
        <v>604.39769999999999</v>
      </c>
      <c r="T272" s="126">
        <v>368.71400000000006</v>
      </c>
      <c r="U272" s="126">
        <v>345.40200000000004</v>
      </c>
      <c r="V272" s="126"/>
      <c r="W272" s="126"/>
    </row>
    <row r="273" spans="1:24" s="104" customFormat="1" x14ac:dyDescent="0.25">
      <c r="A273" s="111" t="s">
        <v>742</v>
      </c>
      <c r="B273" s="111" t="s">
        <v>758</v>
      </c>
      <c r="C273" s="111" t="s">
        <v>759</v>
      </c>
      <c r="D273" s="111" t="s">
        <v>488</v>
      </c>
      <c r="E273" s="111" t="s">
        <v>745</v>
      </c>
      <c r="F273" s="130">
        <v>0</v>
      </c>
      <c r="G273" s="130">
        <v>0</v>
      </c>
      <c r="H273" s="130">
        <v>0</v>
      </c>
      <c r="I273" s="130">
        <v>0</v>
      </c>
      <c r="J273" s="130">
        <v>0</v>
      </c>
      <c r="K273" s="130">
        <v>0</v>
      </c>
      <c r="L273" s="130">
        <v>0</v>
      </c>
      <c r="M273" s="130">
        <v>0</v>
      </c>
      <c r="N273" s="130">
        <v>0</v>
      </c>
      <c r="O273" s="130">
        <v>0</v>
      </c>
      <c r="P273" s="130">
        <v>0</v>
      </c>
      <c r="Q273" s="130">
        <v>0</v>
      </c>
      <c r="R273" s="130">
        <v>0</v>
      </c>
      <c r="S273" s="130">
        <v>0</v>
      </c>
      <c r="T273" s="130">
        <v>0</v>
      </c>
      <c r="U273" s="130">
        <v>0</v>
      </c>
      <c r="V273" s="130"/>
      <c r="W273" s="130"/>
    </row>
    <row r="274" spans="1:24" s="104" customFormat="1" x14ac:dyDescent="0.25">
      <c r="A274" s="111" t="s">
        <v>742</v>
      </c>
      <c r="B274" s="111" t="s">
        <v>760</v>
      </c>
      <c r="C274" s="111" t="s">
        <v>761</v>
      </c>
      <c r="D274" s="111" t="s">
        <v>488</v>
      </c>
      <c r="E274" s="111" t="s">
        <v>745</v>
      </c>
      <c r="F274" s="130">
        <v>1644.519</v>
      </c>
      <c r="G274" s="130">
        <v>1583.9195799999998</v>
      </c>
      <c r="H274" s="130">
        <v>1579.3802500000002</v>
      </c>
      <c r="I274" s="130">
        <v>980.55790000000013</v>
      </c>
      <c r="J274" s="130">
        <v>1264.0001999999999</v>
      </c>
      <c r="K274" s="130">
        <v>2065.096</v>
      </c>
      <c r="L274" s="130">
        <v>2134.6289999999999</v>
      </c>
      <c r="M274" s="130">
        <v>1252.2388000000001</v>
      </c>
      <c r="N274" s="130">
        <v>554.60239999999999</v>
      </c>
      <c r="O274" s="130">
        <v>536.11399999999992</v>
      </c>
      <c r="P274" s="130">
        <v>340.89769999999999</v>
      </c>
      <c r="Q274" s="130">
        <v>319.05509999999998</v>
      </c>
      <c r="R274" s="130">
        <v>350.67509999999999</v>
      </c>
      <c r="S274" s="130">
        <v>604.39769999999999</v>
      </c>
      <c r="T274" s="130">
        <v>368.71400000000006</v>
      </c>
      <c r="U274" s="130">
        <v>345.40200000000004</v>
      </c>
      <c r="V274" s="130"/>
      <c r="W274" s="130"/>
    </row>
    <row r="275" spans="1:24" s="104" customFormat="1" x14ac:dyDescent="0.25">
      <c r="A275" s="111" t="s">
        <v>742</v>
      </c>
      <c r="B275" s="111" t="s">
        <v>762</v>
      </c>
      <c r="C275" s="111" t="s">
        <v>763</v>
      </c>
      <c r="D275" s="111" t="s">
        <v>488</v>
      </c>
      <c r="E275" s="111" t="s">
        <v>745</v>
      </c>
      <c r="F275" s="130">
        <v>0</v>
      </c>
      <c r="G275" s="130">
        <v>0</v>
      </c>
      <c r="H275" s="130">
        <v>0</v>
      </c>
      <c r="I275" s="130">
        <v>0</v>
      </c>
      <c r="J275" s="130">
        <v>0</v>
      </c>
      <c r="K275" s="130">
        <v>0</v>
      </c>
      <c r="L275" s="130">
        <v>0</v>
      </c>
      <c r="M275" s="130">
        <v>0</v>
      </c>
      <c r="N275" s="130">
        <v>0</v>
      </c>
      <c r="O275" s="130">
        <v>0</v>
      </c>
      <c r="P275" s="130">
        <v>0</v>
      </c>
      <c r="Q275" s="130">
        <v>0</v>
      </c>
      <c r="R275" s="130">
        <v>0</v>
      </c>
      <c r="S275" s="130">
        <v>0</v>
      </c>
      <c r="T275" s="130">
        <v>0</v>
      </c>
      <c r="U275" s="130">
        <v>0</v>
      </c>
      <c r="V275" s="130"/>
      <c r="W275" s="130"/>
    </row>
    <row r="276" spans="1:24" s="104" customFormat="1" x14ac:dyDescent="0.25">
      <c r="A276" s="111" t="s">
        <v>742</v>
      </c>
      <c r="B276" s="111" t="s">
        <v>764</v>
      </c>
      <c r="C276" s="111" t="s">
        <v>765</v>
      </c>
      <c r="D276" s="111" t="s">
        <v>488</v>
      </c>
      <c r="E276" s="111" t="s">
        <v>745</v>
      </c>
      <c r="F276" s="130">
        <v>0</v>
      </c>
      <c r="G276" s="130">
        <v>0</v>
      </c>
      <c r="H276" s="130">
        <v>0</v>
      </c>
      <c r="I276" s="130">
        <v>0</v>
      </c>
      <c r="J276" s="130">
        <v>0</v>
      </c>
      <c r="K276" s="130">
        <v>0</v>
      </c>
      <c r="L276" s="130">
        <v>0</v>
      </c>
      <c r="M276" s="130">
        <v>0</v>
      </c>
      <c r="N276" s="130">
        <v>0</v>
      </c>
      <c r="O276" s="130">
        <v>0</v>
      </c>
      <c r="P276" s="130">
        <v>0</v>
      </c>
      <c r="Q276" s="130">
        <v>0</v>
      </c>
      <c r="R276" s="130">
        <v>0</v>
      </c>
      <c r="S276" s="130">
        <v>0</v>
      </c>
      <c r="T276" s="130">
        <v>0</v>
      </c>
      <c r="U276" s="130">
        <v>0</v>
      </c>
      <c r="V276" s="130"/>
      <c r="W276" s="130"/>
    </row>
    <row r="277" spans="1:24" s="104" customFormat="1" x14ac:dyDescent="0.25">
      <c r="A277" s="111" t="s">
        <v>742</v>
      </c>
      <c r="B277" s="111" t="s">
        <v>766</v>
      </c>
      <c r="C277" s="111" t="s">
        <v>767</v>
      </c>
      <c r="D277" s="111" t="s">
        <v>488</v>
      </c>
      <c r="E277" s="111" t="s">
        <v>745</v>
      </c>
      <c r="F277" s="130">
        <v>0</v>
      </c>
      <c r="G277" s="130">
        <v>0</v>
      </c>
      <c r="H277" s="130">
        <v>0</v>
      </c>
      <c r="I277" s="130">
        <v>0</v>
      </c>
      <c r="J277" s="130">
        <v>0</v>
      </c>
      <c r="K277" s="130">
        <v>0</v>
      </c>
      <c r="L277" s="130">
        <v>0</v>
      </c>
      <c r="M277" s="130">
        <v>0</v>
      </c>
      <c r="N277" s="130">
        <v>0</v>
      </c>
      <c r="O277" s="130">
        <v>0</v>
      </c>
      <c r="P277" s="130">
        <v>0</v>
      </c>
      <c r="Q277" s="130">
        <v>0</v>
      </c>
      <c r="R277" s="130">
        <v>0</v>
      </c>
      <c r="S277" s="130">
        <v>0</v>
      </c>
      <c r="T277" s="130">
        <v>0</v>
      </c>
      <c r="U277" s="130">
        <v>0</v>
      </c>
      <c r="V277" s="130"/>
      <c r="W277" s="130"/>
    </row>
    <row r="278" spans="1:24" s="104" customFormat="1" x14ac:dyDescent="0.25">
      <c r="A278" s="111" t="s">
        <v>742</v>
      </c>
      <c r="B278" s="111" t="s">
        <v>768</v>
      </c>
      <c r="C278" s="111" t="s">
        <v>769</v>
      </c>
      <c r="D278" s="111" t="s">
        <v>488</v>
      </c>
      <c r="E278" s="111" t="s">
        <v>745</v>
      </c>
      <c r="F278" s="130">
        <v>0</v>
      </c>
      <c r="G278" s="130">
        <v>0</v>
      </c>
      <c r="H278" s="130">
        <v>0</v>
      </c>
      <c r="I278" s="130">
        <v>0</v>
      </c>
      <c r="J278" s="130">
        <v>0</v>
      </c>
      <c r="K278" s="130">
        <v>0</v>
      </c>
      <c r="L278" s="130">
        <v>0</v>
      </c>
      <c r="M278" s="130">
        <v>0</v>
      </c>
      <c r="N278" s="130">
        <v>0</v>
      </c>
      <c r="O278" s="130">
        <v>0</v>
      </c>
      <c r="P278" s="130">
        <v>0</v>
      </c>
      <c r="Q278" s="130">
        <v>0</v>
      </c>
      <c r="R278" s="130">
        <v>0</v>
      </c>
      <c r="S278" s="130">
        <v>0</v>
      </c>
      <c r="T278" s="130">
        <v>0</v>
      </c>
      <c r="U278" s="130">
        <v>0</v>
      </c>
      <c r="V278" s="130"/>
      <c r="W278" s="130"/>
    </row>
    <row r="279" spans="1:24" s="104" customFormat="1" x14ac:dyDescent="0.25">
      <c r="A279" s="111" t="s">
        <v>742</v>
      </c>
      <c r="B279" s="111" t="s">
        <v>770</v>
      </c>
      <c r="C279" s="111" t="s">
        <v>771</v>
      </c>
      <c r="D279" s="111" t="s">
        <v>488</v>
      </c>
      <c r="E279" s="111" t="s">
        <v>745</v>
      </c>
      <c r="F279" s="130">
        <v>0</v>
      </c>
      <c r="G279" s="130">
        <v>0</v>
      </c>
      <c r="H279" s="130">
        <v>0</v>
      </c>
      <c r="I279" s="130">
        <v>0</v>
      </c>
      <c r="J279" s="130">
        <v>0</v>
      </c>
      <c r="K279" s="130">
        <v>0</v>
      </c>
      <c r="L279" s="130">
        <v>0</v>
      </c>
      <c r="M279" s="130">
        <v>0</v>
      </c>
      <c r="N279" s="130">
        <v>0</v>
      </c>
      <c r="O279" s="130">
        <v>0</v>
      </c>
      <c r="P279" s="130">
        <v>0</v>
      </c>
      <c r="Q279" s="130">
        <v>0</v>
      </c>
      <c r="R279" s="130">
        <v>0</v>
      </c>
      <c r="S279" s="130">
        <v>0</v>
      </c>
      <c r="T279" s="130">
        <v>0</v>
      </c>
      <c r="U279" s="130">
        <v>0</v>
      </c>
      <c r="V279" s="130"/>
      <c r="W279" s="130"/>
    </row>
    <row r="280" spans="1:24" s="104" customFormat="1" x14ac:dyDescent="0.25">
      <c r="A280" s="111" t="s">
        <v>742</v>
      </c>
      <c r="B280" s="111" t="s">
        <v>772</v>
      </c>
      <c r="C280" s="111" t="s">
        <v>773</v>
      </c>
      <c r="D280" s="111" t="s">
        <v>488</v>
      </c>
      <c r="E280" s="111" t="s">
        <v>745</v>
      </c>
      <c r="F280" s="130">
        <v>0</v>
      </c>
      <c r="G280" s="130">
        <v>0</v>
      </c>
      <c r="H280" s="130">
        <v>0</v>
      </c>
      <c r="I280" s="130">
        <v>0</v>
      </c>
      <c r="J280" s="130">
        <v>0</v>
      </c>
      <c r="K280" s="130">
        <v>0</v>
      </c>
      <c r="L280" s="130">
        <v>0</v>
      </c>
      <c r="M280" s="130">
        <v>0</v>
      </c>
      <c r="N280" s="130">
        <v>0</v>
      </c>
      <c r="O280" s="130">
        <v>0</v>
      </c>
      <c r="P280" s="130">
        <v>0</v>
      </c>
      <c r="Q280" s="130">
        <v>0</v>
      </c>
      <c r="R280" s="130">
        <v>0</v>
      </c>
      <c r="S280" s="130">
        <v>0</v>
      </c>
      <c r="T280" s="130">
        <v>0</v>
      </c>
      <c r="U280" s="130">
        <v>0</v>
      </c>
      <c r="V280" s="130"/>
      <c r="W280" s="130"/>
    </row>
    <row r="281" spans="1:24" s="104" customFormat="1" x14ac:dyDescent="0.25">
      <c r="A281" s="111" t="s">
        <v>742</v>
      </c>
      <c r="B281" s="111" t="s">
        <v>774</v>
      </c>
      <c r="C281" s="111" t="s">
        <v>775</v>
      </c>
      <c r="D281" s="111" t="s">
        <v>488</v>
      </c>
      <c r="E281" s="111" t="s">
        <v>745</v>
      </c>
      <c r="F281" s="130">
        <v>0</v>
      </c>
      <c r="G281" s="130">
        <v>0</v>
      </c>
      <c r="H281" s="130">
        <v>0</v>
      </c>
      <c r="I281" s="130">
        <v>0</v>
      </c>
      <c r="J281" s="130">
        <v>0</v>
      </c>
      <c r="K281" s="130">
        <v>0</v>
      </c>
      <c r="L281" s="130">
        <v>0</v>
      </c>
      <c r="M281" s="130">
        <v>0</v>
      </c>
      <c r="N281" s="130">
        <v>0</v>
      </c>
      <c r="O281" s="130">
        <v>0</v>
      </c>
      <c r="P281" s="130">
        <v>0</v>
      </c>
      <c r="Q281" s="130">
        <v>0</v>
      </c>
      <c r="R281" s="130">
        <v>0</v>
      </c>
      <c r="S281" s="130">
        <v>0</v>
      </c>
      <c r="T281" s="130">
        <v>0</v>
      </c>
      <c r="U281" s="130">
        <v>0</v>
      </c>
      <c r="V281" s="130"/>
      <c r="W281" s="130"/>
    </row>
    <row r="282" spans="1:24" s="104" customFormat="1" x14ac:dyDescent="0.25">
      <c r="A282" s="111" t="s">
        <v>742</v>
      </c>
      <c r="B282" s="111" t="s">
        <v>776</v>
      </c>
      <c r="C282" s="111" t="s">
        <v>756</v>
      </c>
      <c r="D282" s="111" t="s">
        <v>488</v>
      </c>
      <c r="E282" s="111" t="s">
        <v>745</v>
      </c>
      <c r="F282" s="130">
        <v>0</v>
      </c>
      <c r="G282" s="130">
        <v>0</v>
      </c>
      <c r="H282" s="130">
        <v>0</v>
      </c>
      <c r="I282" s="130">
        <v>0</v>
      </c>
      <c r="J282" s="130">
        <v>0</v>
      </c>
      <c r="K282" s="130">
        <v>0</v>
      </c>
      <c r="L282" s="130">
        <v>0</v>
      </c>
      <c r="M282" s="130">
        <v>0</v>
      </c>
      <c r="N282" s="130">
        <v>0</v>
      </c>
      <c r="O282" s="130">
        <v>0</v>
      </c>
      <c r="P282" s="130">
        <v>0</v>
      </c>
      <c r="Q282" s="130">
        <v>0</v>
      </c>
      <c r="R282" s="130">
        <v>0</v>
      </c>
      <c r="S282" s="130">
        <v>0</v>
      </c>
      <c r="T282" s="130">
        <v>0</v>
      </c>
      <c r="U282" s="130">
        <v>0</v>
      </c>
      <c r="V282" s="130"/>
      <c r="W282" s="130"/>
    </row>
    <row r="283" spans="1:24" s="133" customFormat="1" x14ac:dyDescent="0.25"/>
    <row r="284" spans="1:24" s="133" customFormat="1" x14ac:dyDescent="0.25">
      <c r="C284" s="110" t="s">
        <v>850</v>
      </c>
    </row>
    <row r="285" spans="1:24" s="103" customFormat="1" x14ac:dyDescent="0.25">
      <c r="A285" s="10" t="s">
        <v>742</v>
      </c>
      <c r="B285" s="109">
        <v>2</v>
      </c>
      <c r="C285" s="110" t="s">
        <v>851</v>
      </c>
      <c r="D285" s="10" t="s">
        <v>840</v>
      </c>
      <c r="E285" s="10" t="s">
        <v>745</v>
      </c>
      <c r="F285" s="126">
        <v>983.18000000000006</v>
      </c>
      <c r="G285" s="126">
        <v>1007.66</v>
      </c>
      <c r="H285" s="126">
        <v>897.11999999999989</v>
      </c>
      <c r="I285" s="126">
        <v>896.19999999999993</v>
      </c>
      <c r="J285" s="126">
        <v>889.43</v>
      </c>
      <c r="K285" s="126">
        <v>1713.3600000000001</v>
      </c>
      <c r="L285" s="126">
        <v>1980.8800000000003</v>
      </c>
      <c r="M285" s="126">
        <v>2034.0700000000002</v>
      </c>
      <c r="N285" s="126">
        <v>1573.5700000000002</v>
      </c>
      <c r="O285" s="126">
        <v>1100.25</v>
      </c>
      <c r="P285" s="126">
        <v>2203.69</v>
      </c>
      <c r="Q285" s="126">
        <v>4685.2470304020007</v>
      </c>
      <c r="R285" s="126">
        <v>4506.7776217245</v>
      </c>
      <c r="S285" s="126">
        <v>5298.3635065690069</v>
      </c>
      <c r="T285" s="126">
        <v>5349.0580403969579</v>
      </c>
      <c r="U285" s="126">
        <v>5668.2306503702548</v>
      </c>
      <c r="V285" s="126"/>
      <c r="W285" s="126"/>
      <c r="X285" s="104"/>
    </row>
    <row r="286" spans="1:24" s="7" customFormat="1" x14ac:dyDescent="0.25">
      <c r="A286" s="10" t="s">
        <v>742</v>
      </c>
      <c r="B286" s="10" t="s">
        <v>777</v>
      </c>
      <c r="C286" s="10" t="s">
        <v>536</v>
      </c>
      <c r="D286" s="10" t="s">
        <v>841</v>
      </c>
      <c r="E286" s="10" t="s">
        <v>745</v>
      </c>
      <c r="F286" s="126">
        <v>983.18000000000006</v>
      </c>
      <c r="G286" s="126">
        <v>1007.66</v>
      </c>
      <c r="H286" s="126">
        <v>897.11999999999989</v>
      </c>
      <c r="I286" s="126">
        <v>896.19999999999993</v>
      </c>
      <c r="J286" s="126">
        <v>889.43</v>
      </c>
      <c r="K286" s="126">
        <v>871.61</v>
      </c>
      <c r="L286" s="126">
        <v>935.52000000000021</v>
      </c>
      <c r="M286" s="126">
        <v>970.67</v>
      </c>
      <c r="N286" s="126">
        <v>547.62</v>
      </c>
      <c r="O286" s="126">
        <v>108.21</v>
      </c>
      <c r="P286" s="126">
        <v>137.89000000000001</v>
      </c>
      <c r="Q286" s="126">
        <v>2410.8500000000004</v>
      </c>
      <c r="R286" s="126">
        <v>1979.19</v>
      </c>
      <c r="S286" s="126">
        <v>2445.8263621230067</v>
      </c>
      <c r="T286" s="126">
        <v>2283.4638596859581</v>
      </c>
      <c r="U286" s="126">
        <v>2186.1057229412554</v>
      </c>
      <c r="V286" s="126"/>
      <c r="W286" s="126"/>
    </row>
    <row r="287" spans="1:24" s="104" customFormat="1" x14ac:dyDescent="0.25">
      <c r="A287" s="111" t="s">
        <v>742</v>
      </c>
      <c r="B287" s="111" t="s">
        <v>778</v>
      </c>
      <c r="C287" s="111" t="s">
        <v>779</v>
      </c>
      <c r="D287" s="111" t="s">
        <v>841</v>
      </c>
      <c r="E287" s="111" t="s">
        <v>745</v>
      </c>
      <c r="F287" s="130">
        <v>0</v>
      </c>
      <c r="G287" s="130">
        <v>0</v>
      </c>
      <c r="H287" s="130">
        <v>0</v>
      </c>
      <c r="I287" s="130">
        <v>0</v>
      </c>
      <c r="J287" s="130">
        <v>0</v>
      </c>
      <c r="K287" s="130">
        <v>0</v>
      </c>
      <c r="L287" s="130">
        <v>0</v>
      </c>
      <c r="M287" s="130">
        <v>0</v>
      </c>
      <c r="N287" s="130">
        <v>0</v>
      </c>
      <c r="O287" s="130">
        <v>0</v>
      </c>
      <c r="P287" s="130">
        <v>0</v>
      </c>
      <c r="Q287" s="130">
        <v>0</v>
      </c>
      <c r="R287" s="130">
        <v>0</v>
      </c>
      <c r="S287" s="130">
        <v>0</v>
      </c>
      <c r="T287" s="130">
        <v>0</v>
      </c>
      <c r="U287" s="130">
        <v>0</v>
      </c>
      <c r="V287" s="130"/>
      <c r="W287" s="130"/>
    </row>
    <row r="288" spans="1:24" s="104" customFormat="1" x14ac:dyDescent="0.25">
      <c r="A288" s="111" t="s">
        <v>742</v>
      </c>
      <c r="B288" s="111" t="s">
        <v>780</v>
      </c>
      <c r="C288" s="111" t="s">
        <v>781</v>
      </c>
      <c r="D288" s="111" t="s">
        <v>841</v>
      </c>
      <c r="E288" s="111" t="s">
        <v>745</v>
      </c>
      <c r="F288" s="130">
        <v>0</v>
      </c>
      <c r="G288" s="130">
        <v>0</v>
      </c>
      <c r="H288" s="130">
        <v>0</v>
      </c>
      <c r="I288" s="130">
        <v>0</v>
      </c>
      <c r="J288" s="130">
        <v>0</v>
      </c>
      <c r="K288" s="130">
        <v>0</v>
      </c>
      <c r="L288" s="130">
        <v>0</v>
      </c>
      <c r="M288" s="130">
        <v>0</v>
      </c>
      <c r="N288" s="130">
        <v>0</v>
      </c>
      <c r="O288" s="130">
        <v>0</v>
      </c>
      <c r="P288" s="130">
        <v>0</v>
      </c>
      <c r="Q288" s="130">
        <v>0</v>
      </c>
      <c r="R288" s="130">
        <v>0</v>
      </c>
      <c r="S288" s="130">
        <v>0</v>
      </c>
      <c r="T288" s="130">
        <v>0</v>
      </c>
      <c r="U288" s="130">
        <v>0</v>
      </c>
      <c r="V288" s="130"/>
      <c r="W288" s="130"/>
    </row>
    <row r="289" spans="1:23" s="104" customFormat="1" x14ac:dyDescent="0.25">
      <c r="A289" s="111" t="s">
        <v>742</v>
      </c>
      <c r="B289" s="111" t="s">
        <v>782</v>
      </c>
      <c r="C289" s="111" t="s">
        <v>783</v>
      </c>
      <c r="D289" s="111" t="s">
        <v>841</v>
      </c>
      <c r="E289" s="111" t="s">
        <v>745</v>
      </c>
      <c r="F289" s="130">
        <v>983.18000000000006</v>
      </c>
      <c r="G289" s="130">
        <v>1007.66</v>
      </c>
      <c r="H289" s="130">
        <v>897.11999999999989</v>
      </c>
      <c r="I289" s="130">
        <v>896.19999999999993</v>
      </c>
      <c r="J289" s="130">
        <v>889.43</v>
      </c>
      <c r="K289" s="130">
        <v>871.61</v>
      </c>
      <c r="L289" s="130">
        <v>935.52000000000021</v>
      </c>
      <c r="M289" s="130">
        <v>970.67</v>
      </c>
      <c r="N289" s="130">
        <v>547.62</v>
      </c>
      <c r="O289" s="130">
        <v>108.21</v>
      </c>
      <c r="P289" s="130">
        <v>137.89000000000001</v>
      </c>
      <c r="Q289" s="130">
        <v>2410.8500000000004</v>
      </c>
      <c r="R289" s="130">
        <v>1979.19</v>
      </c>
      <c r="S289" s="130">
        <v>2445.8263621230067</v>
      </c>
      <c r="T289" s="130">
        <v>2283.4638596859581</v>
      </c>
      <c r="U289" s="130">
        <v>2186.1057229412554</v>
      </c>
      <c r="V289" s="130"/>
      <c r="W289" s="130"/>
    </row>
    <row r="290" spans="1:23" s="104" customFormat="1" x14ac:dyDescent="0.25">
      <c r="A290" s="111" t="s">
        <v>742</v>
      </c>
      <c r="B290" s="111" t="s">
        <v>784</v>
      </c>
      <c r="C290" s="111" t="s">
        <v>785</v>
      </c>
      <c r="D290" s="111" t="s">
        <v>841</v>
      </c>
      <c r="E290" s="111" t="s">
        <v>745</v>
      </c>
      <c r="F290" s="130">
        <v>0</v>
      </c>
      <c r="G290" s="130">
        <v>0</v>
      </c>
      <c r="H290" s="130">
        <v>0</v>
      </c>
      <c r="I290" s="130">
        <v>0</v>
      </c>
      <c r="J290" s="130">
        <v>0</v>
      </c>
      <c r="K290" s="130">
        <v>0</v>
      </c>
      <c r="L290" s="130">
        <v>0</v>
      </c>
      <c r="M290" s="130">
        <v>0</v>
      </c>
      <c r="N290" s="130">
        <v>0</v>
      </c>
      <c r="O290" s="130">
        <v>0</v>
      </c>
      <c r="P290" s="130">
        <v>0</v>
      </c>
      <c r="Q290" s="130">
        <v>0</v>
      </c>
      <c r="R290" s="130">
        <v>0</v>
      </c>
      <c r="S290" s="130">
        <v>0</v>
      </c>
      <c r="T290" s="130">
        <v>0</v>
      </c>
      <c r="U290" s="130">
        <v>0</v>
      </c>
      <c r="V290" s="130"/>
      <c r="W290" s="130"/>
    </row>
    <row r="291" spans="1:23" s="104" customFormat="1" x14ac:dyDescent="0.25">
      <c r="A291" s="111" t="s">
        <v>742</v>
      </c>
      <c r="B291" s="111" t="s">
        <v>786</v>
      </c>
      <c r="C291" s="111" t="s">
        <v>787</v>
      </c>
      <c r="D291" s="111" t="s">
        <v>841</v>
      </c>
      <c r="E291" s="111" t="s">
        <v>745</v>
      </c>
      <c r="F291" s="130">
        <v>0</v>
      </c>
      <c r="G291" s="130">
        <v>0</v>
      </c>
      <c r="H291" s="130">
        <v>0</v>
      </c>
      <c r="I291" s="130">
        <v>0</v>
      </c>
      <c r="J291" s="130">
        <v>0</v>
      </c>
      <c r="K291" s="130">
        <v>0</v>
      </c>
      <c r="L291" s="130">
        <v>0</v>
      </c>
      <c r="M291" s="130">
        <v>0</v>
      </c>
      <c r="N291" s="130">
        <v>0</v>
      </c>
      <c r="O291" s="130">
        <v>0</v>
      </c>
      <c r="P291" s="130">
        <v>0</v>
      </c>
      <c r="Q291" s="130">
        <v>0</v>
      </c>
      <c r="R291" s="130">
        <v>0</v>
      </c>
      <c r="S291" s="130">
        <v>0</v>
      </c>
      <c r="T291" s="130">
        <v>0</v>
      </c>
      <c r="U291" s="130">
        <v>0</v>
      </c>
      <c r="V291" s="130"/>
      <c r="W291" s="130"/>
    </row>
    <row r="292" spans="1:23" s="104" customFormat="1" x14ac:dyDescent="0.25">
      <c r="A292" s="111" t="s">
        <v>742</v>
      </c>
      <c r="B292" s="111" t="s">
        <v>788</v>
      </c>
      <c r="C292" s="111" t="s">
        <v>789</v>
      </c>
      <c r="D292" s="111" t="s">
        <v>841</v>
      </c>
      <c r="E292" s="111" t="s">
        <v>745</v>
      </c>
      <c r="F292" s="130">
        <v>0</v>
      </c>
      <c r="G292" s="130">
        <v>0</v>
      </c>
      <c r="H292" s="130">
        <v>0</v>
      </c>
      <c r="I292" s="130">
        <v>0</v>
      </c>
      <c r="J292" s="130">
        <v>0</v>
      </c>
      <c r="K292" s="130">
        <v>0</v>
      </c>
      <c r="L292" s="130">
        <v>0</v>
      </c>
      <c r="M292" s="130">
        <v>0</v>
      </c>
      <c r="N292" s="130">
        <v>0</v>
      </c>
      <c r="O292" s="130">
        <v>0</v>
      </c>
      <c r="P292" s="130">
        <v>0</v>
      </c>
      <c r="Q292" s="130">
        <v>0</v>
      </c>
      <c r="R292" s="130">
        <v>0</v>
      </c>
      <c r="S292" s="130">
        <v>0</v>
      </c>
      <c r="T292" s="130">
        <v>0</v>
      </c>
      <c r="U292" s="130">
        <v>0</v>
      </c>
      <c r="V292" s="130"/>
      <c r="W292" s="130"/>
    </row>
    <row r="293" spans="1:23" s="104" customFormat="1" x14ac:dyDescent="0.25">
      <c r="A293" s="111" t="s">
        <v>742</v>
      </c>
      <c r="B293" s="111" t="s">
        <v>790</v>
      </c>
      <c r="C293" s="111" t="s">
        <v>756</v>
      </c>
      <c r="D293" s="111" t="s">
        <v>841</v>
      </c>
      <c r="E293" s="111" t="s">
        <v>745</v>
      </c>
      <c r="F293" s="130">
        <v>0</v>
      </c>
      <c r="G293" s="130">
        <v>0</v>
      </c>
      <c r="H293" s="130">
        <v>0</v>
      </c>
      <c r="I293" s="130">
        <v>0</v>
      </c>
      <c r="J293" s="130">
        <v>0</v>
      </c>
      <c r="K293" s="130">
        <v>0</v>
      </c>
      <c r="L293" s="130">
        <v>0</v>
      </c>
      <c r="M293" s="130">
        <v>0</v>
      </c>
      <c r="N293" s="130">
        <v>0</v>
      </c>
      <c r="O293" s="130">
        <v>0</v>
      </c>
      <c r="P293" s="130">
        <v>0</v>
      </c>
      <c r="Q293" s="130">
        <v>0</v>
      </c>
      <c r="R293" s="130">
        <v>0</v>
      </c>
      <c r="S293" s="130">
        <v>0</v>
      </c>
      <c r="T293" s="130">
        <v>0</v>
      </c>
      <c r="U293" s="130">
        <v>0</v>
      </c>
      <c r="V293" s="130"/>
      <c r="W293" s="130"/>
    </row>
    <row r="294" spans="1:23" s="7" customFormat="1" x14ac:dyDescent="0.25">
      <c r="A294" s="10" t="s">
        <v>742</v>
      </c>
      <c r="B294" s="10" t="s">
        <v>809</v>
      </c>
      <c r="C294" s="10" t="s">
        <v>810</v>
      </c>
      <c r="D294" s="10" t="s">
        <v>842</v>
      </c>
      <c r="E294" s="10" t="s">
        <v>745</v>
      </c>
      <c r="F294" s="126">
        <v>0</v>
      </c>
      <c r="G294" s="126">
        <v>0</v>
      </c>
      <c r="H294" s="126">
        <v>0</v>
      </c>
      <c r="I294" s="126">
        <v>0</v>
      </c>
      <c r="J294" s="126">
        <v>0</v>
      </c>
      <c r="K294" s="126">
        <v>841.75</v>
      </c>
      <c r="L294" s="126">
        <v>1045.3600000000001</v>
      </c>
      <c r="M294" s="126">
        <v>1063.4000000000001</v>
      </c>
      <c r="N294" s="126">
        <v>1025.95</v>
      </c>
      <c r="O294" s="126">
        <v>992.04</v>
      </c>
      <c r="P294" s="126">
        <v>2065.8000000000002</v>
      </c>
      <c r="Q294" s="126">
        <v>2274.3970304019999</v>
      </c>
      <c r="R294" s="126">
        <v>2527.5876217245</v>
      </c>
      <c r="S294" s="126">
        <v>2852.5371444459997</v>
      </c>
      <c r="T294" s="126">
        <v>3065.5941807110003</v>
      </c>
      <c r="U294" s="126">
        <v>3482.1249274289999</v>
      </c>
      <c r="V294" s="126"/>
      <c r="W294" s="126"/>
    </row>
    <row r="295" spans="1:23" s="104" customFormat="1" x14ac:dyDescent="0.25">
      <c r="A295" s="111" t="s">
        <v>742</v>
      </c>
      <c r="B295" s="111" t="s">
        <v>811</v>
      </c>
      <c r="C295" s="111" t="s">
        <v>812</v>
      </c>
      <c r="D295" s="111" t="s">
        <v>842</v>
      </c>
      <c r="E295" s="111" t="s">
        <v>745</v>
      </c>
      <c r="F295" s="130">
        <v>0</v>
      </c>
      <c r="G295" s="130">
        <v>0</v>
      </c>
      <c r="H295" s="130">
        <v>0</v>
      </c>
      <c r="I295" s="130">
        <v>0</v>
      </c>
      <c r="J295" s="130">
        <v>0</v>
      </c>
      <c r="K295" s="130">
        <v>841.75</v>
      </c>
      <c r="L295" s="130">
        <v>1045.3600000000001</v>
      </c>
      <c r="M295" s="130">
        <v>1063.4000000000001</v>
      </c>
      <c r="N295" s="130">
        <v>1025.95</v>
      </c>
      <c r="O295" s="130">
        <v>992.04</v>
      </c>
      <c r="P295" s="130">
        <v>2065.8000000000002</v>
      </c>
      <c r="Q295" s="130">
        <v>2232.500866332</v>
      </c>
      <c r="R295" s="130">
        <v>2482.7810084104999</v>
      </c>
      <c r="S295" s="130">
        <v>2802.3997062409999</v>
      </c>
      <c r="T295" s="130">
        <v>3011.31930134</v>
      </c>
      <c r="U295" s="130">
        <v>3419.7235398180001</v>
      </c>
      <c r="V295" s="130"/>
      <c r="W295" s="130"/>
    </row>
    <row r="296" spans="1:23" s="104" customFormat="1" x14ac:dyDescent="0.25">
      <c r="A296" s="111" t="s">
        <v>742</v>
      </c>
      <c r="B296" s="111" t="s">
        <v>813</v>
      </c>
      <c r="C296" s="111" t="s">
        <v>814</v>
      </c>
      <c r="D296" s="111" t="s">
        <v>842</v>
      </c>
      <c r="E296" s="111" t="s">
        <v>745</v>
      </c>
      <c r="F296" s="130">
        <v>0</v>
      </c>
      <c r="G296" s="130">
        <v>0</v>
      </c>
      <c r="H296" s="130">
        <v>0</v>
      </c>
      <c r="I296" s="130">
        <v>0</v>
      </c>
      <c r="J296" s="130">
        <v>0</v>
      </c>
      <c r="K296" s="130">
        <v>0</v>
      </c>
      <c r="L296" s="130">
        <v>0</v>
      </c>
      <c r="M296" s="130">
        <v>0</v>
      </c>
      <c r="N296" s="130">
        <v>0</v>
      </c>
      <c r="O296" s="130">
        <v>0</v>
      </c>
      <c r="P296" s="130">
        <v>0</v>
      </c>
      <c r="Q296" s="130">
        <v>3.7830966699999999</v>
      </c>
      <c r="R296" s="130">
        <v>3.4528660840000001</v>
      </c>
      <c r="S296" s="130">
        <v>2.0036058250000002</v>
      </c>
      <c r="T296" s="130">
        <v>1.7355986710000002</v>
      </c>
      <c r="U296" s="130">
        <v>2.1042043709999998</v>
      </c>
      <c r="V296" s="130"/>
      <c r="W296" s="130"/>
    </row>
    <row r="297" spans="1:23" s="104" customFormat="1" x14ac:dyDescent="0.25">
      <c r="A297" s="111" t="s">
        <v>742</v>
      </c>
      <c r="B297" s="111" t="s">
        <v>815</v>
      </c>
      <c r="C297" s="111" t="s">
        <v>816</v>
      </c>
      <c r="D297" s="111" t="s">
        <v>842</v>
      </c>
      <c r="E297" s="111" t="s">
        <v>745</v>
      </c>
      <c r="F297" s="130">
        <v>0</v>
      </c>
      <c r="G297" s="130">
        <v>0</v>
      </c>
      <c r="H297" s="130">
        <v>0</v>
      </c>
      <c r="I297" s="130">
        <v>0</v>
      </c>
      <c r="J297" s="130">
        <v>0</v>
      </c>
      <c r="K297" s="130">
        <v>0</v>
      </c>
      <c r="L297" s="130">
        <v>0</v>
      </c>
      <c r="M297" s="130">
        <v>0</v>
      </c>
      <c r="N297" s="130">
        <v>0</v>
      </c>
      <c r="O297" s="130">
        <v>0</v>
      </c>
      <c r="P297" s="130">
        <v>0</v>
      </c>
      <c r="Q297" s="130">
        <v>22.980200300000003</v>
      </c>
      <c r="R297" s="130">
        <v>25.331806229999998</v>
      </c>
      <c r="S297" s="130">
        <v>30.53210928</v>
      </c>
      <c r="T297" s="130">
        <v>35.923529300000006</v>
      </c>
      <c r="U297" s="130">
        <v>42.095061219999998</v>
      </c>
      <c r="V297" s="130"/>
      <c r="W297" s="130"/>
    </row>
    <row r="298" spans="1:23" s="104" customFormat="1" x14ac:dyDescent="0.25">
      <c r="A298" s="111" t="s">
        <v>742</v>
      </c>
      <c r="B298" s="111" t="s">
        <v>817</v>
      </c>
      <c r="C298" s="111" t="s">
        <v>565</v>
      </c>
      <c r="D298" s="111" t="s">
        <v>842</v>
      </c>
      <c r="E298" s="111" t="s">
        <v>745</v>
      </c>
      <c r="F298" s="130">
        <v>0</v>
      </c>
      <c r="G298" s="130">
        <v>0</v>
      </c>
      <c r="H298" s="130">
        <v>0</v>
      </c>
      <c r="I298" s="130">
        <v>0</v>
      </c>
      <c r="J298" s="130">
        <v>0</v>
      </c>
      <c r="K298" s="130">
        <v>0</v>
      </c>
      <c r="L298" s="130">
        <v>0</v>
      </c>
      <c r="M298" s="130">
        <v>0</v>
      </c>
      <c r="N298" s="130">
        <v>0</v>
      </c>
      <c r="O298" s="130">
        <v>0</v>
      </c>
      <c r="P298" s="130">
        <v>0</v>
      </c>
      <c r="Q298" s="130">
        <v>15.1328671</v>
      </c>
      <c r="R298" s="130">
        <v>16.021940999999998</v>
      </c>
      <c r="S298" s="130">
        <v>17.601723100000001</v>
      </c>
      <c r="T298" s="130">
        <v>16.615751399999997</v>
      </c>
      <c r="U298" s="130">
        <v>18.202122020000004</v>
      </c>
      <c r="V298" s="130"/>
      <c r="W298" s="130"/>
    </row>
    <row r="299" spans="1:23" s="104" customFormat="1" x14ac:dyDescent="0.25">
      <c r="A299" s="111" t="s">
        <v>742</v>
      </c>
      <c r="B299" s="111" t="s">
        <v>818</v>
      </c>
      <c r="C299" s="111" t="s">
        <v>566</v>
      </c>
      <c r="D299" s="111" t="s">
        <v>842</v>
      </c>
      <c r="E299" s="111" t="s">
        <v>745</v>
      </c>
      <c r="F299" s="130">
        <v>0</v>
      </c>
      <c r="G299" s="130">
        <v>0</v>
      </c>
      <c r="H299" s="130">
        <v>0</v>
      </c>
      <c r="I299" s="130">
        <v>0</v>
      </c>
      <c r="J299" s="130">
        <v>0</v>
      </c>
      <c r="K299" s="130">
        <v>0</v>
      </c>
      <c r="L299" s="130">
        <v>0</v>
      </c>
      <c r="M299" s="130">
        <v>0</v>
      </c>
      <c r="N299" s="130">
        <v>0</v>
      </c>
      <c r="O299" s="130">
        <v>0</v>
      </c>
      <c r="P299" s="130">
        <v>0</v>
      </c>
      <c r="Q299" s="130">
        <v>0</v>
      </c>
      <c r="R299" s="130">
        <v>0</v>
      </c>
      <c r="S299" s="130">
        <v>0</v>
      </c>
      <c r="T299" s="130">
        <v>0</v>
      </c>
      <c r="U299" s="130">
        <v>0</v>
      </c>
      <c r="V299" s="130"/>
      <c r="W299" s="130"/>
    </row>
    <row r="300" spans="1:23" s="104" customFormat="1" x14ac:dyDescent="0.25">
      <c r="A300" s="111" t="s">
        <v>742</v>
      </c>
      <c r="B300" s="111" t="s">
        <v>819</v>
      </c>
      <c r="C300" s="111" t="s">
        <v>820</v>
      </c>
      <c r="D300" s="111" t="s">
        <v>842</v>
      </c>
      <c r="E300" s="111" t="s">
        <v>745</v>
      </c>
      <c r="F300" s="130">
        <v>0</v>
      </c>
      <c r="G300" s="130">
        <v>0</v>
      </c>
      <c r="H300" s="130">
        <v>0</v>
      </c>
      <c r="I300" s="130">
        <v>0</v>
      </c>
      <c r="J300" s="130">
        <v>0</v>
      </c>
      <c r="K300" s="130">
        <v>0</v>
      </c>
      <c r="L300" s="130">
        <v>0</v>
      </c>
      <c r="M300" s="130">
        <v>0</v>
      </c>
      <c r="N300" s="130">
        <v>0</v>
      </c>
      <c r="O300" s="130">
        <v>0</v>
      </c>
      <c r="P300" s="130">
        <v>0</v>
      </c>
      <c r="Q300" s="130">
        <v>0</v>
      </c>
      <c r="R300" s="130">
        <v>0</v>
      </c>
      <c r="S300" s="130">
        <v>0</v>
      </c>
      <c r="T300" s="130">
        <v>0</v>
      </c>
      <c r="U300" s="130">
        <v>0</v>
      </c>
      <c r="V300" s="130"/>
      <c r="W300" s="130"/>
    </row>
    <row r="301" spans="1:23" s="133" customFormat="1" x14ac:dyDescent="0.25"/>
    <row r="302" spans="1:23" s="22" customFormat="1" x14ac:dyDescent="0.25">
      <c r="A302" s="123" t="s">
        <v>346</v>
      </c>
      <c r="D302" s="8" t="s">
        <v>852</v>
      </c>
    </row>
    <row r="303" spans="1:23" s="7" customFormat="1" x14ac:dyDescent="0.25">
      <c r="A303" s="10" t="s">
        <v>736</v>
      </c>
      <c r="B303" s="10" t="s">
        <v>737</v>
      </c>
      <c r="C303" s="10" t="s">
        <v>738</v>
      </c>
      <c r="D303" s="10" t="s">
        <v>739</v>
      </c>
      <c r="E303" s="10" t="s">
        <v>740</v>
      </c>
      <c r="F303" s="10">
        <v>2000</v>
      </c>
      <c r="G303" s="10">
        <v>2001</v>
      </c>
      <c r="H303" s="10">
        <v>2002</v>
      </c>
      <c r="I303" s="10">
        <v>2003</v>
      </c>
      <c r="J303" s="10">
        <v>2004</v>
      </c>
      <c r="K303" s="10">
        <v>2005</v>
      </c>
      <c r="L303" s="10">
        <v>2006</v>
      </c>
      <c r="M303" s="10">
        <v>2007</v>
      </c>
      <c r="N303" s="10">
        <v>2008</v>
      </c>
      <c r="O303" s="10">
        <v>2009</v>
      </c>
      <c r="P303" s="10">
        <v>2010</v>
      </c>
      <c r="Q303" s="10">
        <v>2011</v>
      </c>
      <c r="R303" s="10">
        <v>2012</v>
      </c>
      <c r="S303" s="10">
        <v>2013</v>
      </c>
      <c r="T303" s="10">
        <v>2014</v>
      </c>
      <c r="U303" s="10"/>
      <c r="V303" s="10"/>
      <c r="W303" s="10"/>
    </row>
    <row r="304" spans="1:23" x14ac:dyDescent="0.25">
      <c r="A304" s="10" t="s">
        <v>742</v>
      </c>
      <c r="B304" s="109">
        <v>2</v>
      </c>
      <c r="C304" s="110" t="s">
        <v>743</v>
      </c>
      <c r="D304" s="10" t="s">
        <v>744</v>
      </c>
      <c r="E304" s="10" t="s">
        <v>745</v>
      </c>
      <c r="F304" s="66">
        <f>IFERROR(((F4/F155)-1),"CHECK")</f>
        <v>0</v>
      </c>
      <c r="G304" s="66">
        <f t="shared" ref="G304:T304" si="9">IFERROR(((G4/G155)-1),"CHECK")</f>
        <v>0</v>
      </c>
      <c r="H304" s="66">
        <f t="shared" si="9"/>
        <v>0</v>
      </c>
      <c r="I304" s="66">
        <f t="shared" si="9"/>
        <v>0</v>
      </c>
      <c r="J304" s="66">
        <f t="shared" si="9"/>
        <v>0</v>
      </c>
      <c r="K304" s="66">
        <f t="shared" si="9"/>
        <v>0</v>
      </c>
      <c r="L304" s="66">
        <f t="shared" si="9"/>
        <v>0</v>
      </c>
      <c r="M304" s="66">
        <f t="shared" si="9"/>
        <v>0</v>
      </c>
      <c r="N304" s="66">
        <f t="shared" si="9"/>
        <v>0</v>
      </c>
      <c r="O304" s="66">
        <f t="shared" si="9"/>
        <v>0</v>
      </c>
      <c r="P304" s="66">
        <f t="shared" si="9"/>
        <v>0</v>
      </c>
      <c r="Q304" s="66">
        <f t="shared" si="9"/>
        <v>0</v>
      </c>
      <c r="R304" s="66">
        <f t="shared" si="9"/>
        <v>0</v>
      </c>
      <c r="S304" s="66">
        <f t="shared" si="9"/>
        <v>0</v>
      </c>
      <c r="T304" s="66">
        <f t="shared" si="9"/>
        <v>0</v>
      </c>
      <c r="U304" s="66">
        <f>IFERROR(((U4/U155)-1),"CHECK")</f>
        <v>0</v>
      </c>
      <c r="V304" s="11"/>
      <c r="W304" s="11"/>
    </row>
    <row r="305" spans="1:23" x14ac:dyDescent="0.25">
      <c r="A305" s="10" t="s">
        <v>742</v>
      </c>
      <c r="B305" s="10" t="s">
        <v>746</v>
      </c>
      <c r="C305" s="10" t="s">
        <v>508</v>
      </c>
      <c r="D305" s="10" t="s">
        <v>744</v>
      </c>
      <c r="E305" s="10" t="s">
        <v>745</v>
      </c>
      <c r="F305" s="66">
        <f t="shared" ref="F305:T356" si="10">IFERROR(((F5/F156)-1),"CHECK")</f>
        <v>0</v>
      </c>
      <c r="G305" s="66">
        <f t="shared" si="10"/>
        <v>0</v>
      </c>
      <c r="H305" s="66">
        <f t="shared" si="10"/>
        <v>0</v>
      </c>
      <c r="I305" s="66">
        <f t="shared" si="10"/>
        <v>0</v>
      </c>
      <c r="J305" s="66">
        <f t="shared" si="10"/>
        <v>0</v>
      </c>
      <c r="K305" s="66">
        <f t="shared" si="10"/>
        <v>0</v>
      </c>
      <c r="L305" s="66">
        <f t="shared" si="10"/>
        <v>0</v>
      </c>
      <c r="M305" s="66">
        <f t="shared" si="10"/>
        <v>0</v>
      </c>
      <c r="N305" s="66">
        <f t="shared" si="10"/>
        <v>0</v>
      </c>
      <c r="O305" s="66">
        <f t="shared" si="10"/>
        <v>0</v>
      </c>
      <c r="P305" s="66">
        <f t="shared" si="10"/>
        <v>0</v>
      </c>
      <c r="Q305" s="66">
        <f t="shared" si="10"/>
        <v>0</v>
      </c>
      <c r="R305" s="66">
        <f t="shared" si="10"/>
        <v>0</v>
      </c>
      <c r="S305" s="66">
        <f t="shared" si="10"/>
        <v>0</v>
      </c>
      <c r="T305" s="66">
        <f t="shared" si="10"/>
        <v>0</v>
      </c>
      <c r="U305" s="66">
        <f t="shared" ref="U305:U356" si="11">IFERROR(((U5/U156)-1),"CHECK")</f>
        <v>0</v>
      </c>
      <c r="V305" s="11"/>
      <c r="W305" s="11"/>
    </row>
    <row r="306" spans="1:23" x14ac:dyDescent="0.25">
      <c r="A306" s="111" t="s">
        <v>742</v>
      </c>
      <c r="B306" s="111" t="s">
        <v>747</v>
      </c>
      <c r="C306" s="111" t="s">
        <v>748</v>
      </c>
      <c r="D306" s="111" t="s">
        <v>744</v>
      </c>
      <c r="E306" s="111" t="s">
        <v>745</v>
      </c>
      <c r="F306" s="66">
        <f t="shared" si="10"/>
        <v>0</v>
      </c>
      <c r="G306" s="66">
        <f t="shared" si="10"/>
        <v>0</v>
      </c>
      <c r="H306" s="66">
        <f t="shared" si="10"/>
        <v>0</v>
      </c>
      <c r="I306" s="66">
        <f t="shared" si="10"/>
        <v>0</v>
      </c>
      <c r="J306" s="66">
        <f t="shared" si="10"/>
        <v>0</v>
      </c>
      <c r="K306" s="66">
        <f t="shared" si="10"/>
        <v>0</v>
      </c>
      <c r="L306" s="66">
        <f t="shared" si="10"/>
        <v>0</v>
      </c>
      <c r="M306" s="66">
        <f t="shared" si="10"/>
        <v>0</v>
      </c>
      <c r="N306" s="66">
        <f t="shared" si="10"/>
        <v>0</v>
      </c>
      <c r="O306" s="66">
        <f t="shared" si="10"/>
        <v>0</v>
      </c>
      <c r="P306" s="66">
        <f t="shared" si="10"/>
        <v>0</v>
      </c>
      <c r="Q306" s="66">
        <f t="shared" si="10"/>
        <v>0</v>
      </c>
      <c r="R306" s="66">
        <f t="shared" si="10"/>
        <v>0</v>
      </c>
      <c r="S306" s="66">
        <f t="shared" si="10"/>
        <v>0</v>
      </c>
      <c r="T306" s="66">
        <f t="shared" si="10"/>
        <v>0</v>
      </c>
      <c r="U306" s="66">
        <f t="shared" si="11"/>
        <v>0</v>
      </c>
      <c r="V306" s="66"/>
      <c r="W306" s="66"/>
    </row>
    <row r="307" spans="1:23" x14ac:dyDescent="0.25">
      <c r="A307" s="111" t="s">
        <v>742</v>
      </c>
      <c r="B307" s="111" t="s">
        <v>749</v>
      </c>
      <c r="C307" s="111" t="s">
        <v>750</v>
      </c>
      <c r="D307" s="111" t="s">
        <v>744</v>
      </c>
      <c r="E307" s="111" t="s">
        <v>745</v>
      </c>
      <c r="F307" s="66">
        <f t="shared" si="10"/>
        <v>0</v>
      </c>
      <c r="G307" s="66">
        <f t="shared" si="10"/>
        <v>0</v>
      </c>
      <c r="H307" s="66">
        <f t="shared" si="10"/>
        <v>0</v>
      </c>
      <c r="I307" s="66">
        <f t="shared" si="10"/>
        <v>0</v>
      </c>
      <c r="J307" s="66">
        <f t="shared" si="10"/>
        <v>0</v>
      </c>
      <c r="K307" s="66">
        <f t="shared" si="10"/>
        <v>0</v>
      </c>
      <c r="L307" s="66">
        <f t="shared" si="10"/>
        <v>0</v>
      </c>
      <c r="M307" s="66">
        <f t="shared" si="10"/>
        <v>0</v>
      </c>
      <c r="N307" s="66">
        <f t="shared" si="10"/>
        <v>0</v>
      </c>
      <c r="O307" s="66">
        <f t="shared" si="10"/>
        <v>0</v>
      </c>
      <c r="P307" s="66">
        <f t="shared" si="10"/>
        <v>0</v>
      </c>
      <c r="Q307" s="66">
        <f t="shared" si="10"/>
        <v>0</v>
      </c>
      <c r="R307" s="66">
        <f t="shared" si="10"/>
        <v>0</v>
      </c>
      <c r="S307" s="66">
        <f t="shared" si="10"/>
        <v>0</v>
      </c>
      <c r="T307" s="66">
        <f t="shared" si="10"/>
        <v>0</v>
      </c>
      <c r="U307" s="66">
        <f t="shared" si="11"/>
        <v>0</v>
      </c>
      <c r="V307" s="66"/>
      <c r="W307" s="66"/>
    </row>
    <row r="308" spans="1:23" x14ac:dyDescent="0.25">
      <c r="A308" s="111" t="s">
        <v>742</v>
      </c>
      <c r="B308" s="111" t="s">
        <v>751</v>
      </c>
      <c r="C308" s="111" t="s">
        <v>752</v>
      </c>
      <c r="D308" s="111" t="s">
        <v>744</v>
      </c>
      <c r="E308" s="111" t="s">
        <v>745</v>
      </c>
      <c r="F308" s="66">
        <f t="shared" si="10"/>
        <v>0</v>
      </c>
      <c r="G308" s="66">
        <f t="shared" si="10"/>
        <v>0</v>
      </c>
      <c r="H308" s="66">
        <f t="shared" si="10"/>
        <v>0</v>
      </c>
      <c r="I308" s="66">
        <f t="shared" si="10"/>
        <v>0</v>
      </c>
      <c r="J308" s="66">
        <f t="shared" si="10"/>
        <v>0</v>
      </c>
      <c r="K308" s="66">
        <f t="shared" si="10"/>
        <v>0</v>
      </c>
      <c r="L308" s="66">
        <f t="shared" si="10"/>
        <v>0</v>
      </c>
      <c r="M308" s="66">
        <f t="shared" si="10"/>
        <v>0</v>
      </c>
      <c r="N308" s="66">
        <f t="shared" si="10"/>
        <v>0</v>
      </c>
      <c r="O308" s="66">
        <f t="shared" si="10"/>
        <v>0</v>
      </c>
      <c r="P308" s="66">
        <f t="shared" si="10"/>
        <v>0</v>
      </c>
      <c r="Q308" s="66">
        <f t="shared" si="10"/>
        <v>0</v>
      </c>
      <c r="R308" s="66">
        <f t="shared" si="10"/>
        <v>0</v>
      </c>
      <c r="S308" s="66">
        <f t="shared" si="10"/>
        <v>0</v>
      </c>
      <c r="T308" s="66">
        <f t="shared" si="10"/>
        <v>0</v>
      </c>
      <c r="U308" s="66">
        <f t="shared" si="11"/>
        <v>0</v>
      </c>
      <c r="V308" s="66"/>
      <c r="W308" s="66"/>
    </row>
    <row r="309" spans="1:23" x14ac:dyDescent="0.25">
      <c r="A309" s="111" t="s">
        <v>742</v>
      </c>
      <c r="B309" s="111" t="s">
        <v>753</v>
      </c>
      <c r="C309" s="111" t="s">
        <v>754</v>
      </c>
      <c r="D309" s="111" t="s">
        <v>744</v>
      </c>
      <c r="E309" s="111" t="s">
        <v>745</v>
      </c>
      <c r="F309" s="66" t="str">
        <f t="shared" si="10"/>
        <v>CHECK</v>
      </c>
      <c r="G309" s="66" t="str">
        <f t="shared" si="10"/>
        <v>CHECK</v>
      </c>
      <c r="H309" s="66" t="str">
        <f t="shared" si="10"/>
        <v>CHECK</v>
      </c>
      <c r="I309" s="66" t="str">
        <f t="shared" si="10"/>
        <v>CHECK</v>
      </c>
      <c r="J309" s="66" t="str">
        <f t="shared" si="10"/>
        <v>CHECK</v>
      </c>
      <c r="K309" s="66" t="str">
        <f t="shared" si="10"/>
        <v>CHECK</v>
      </c>
      <c r="L309" s="66" t="str">
        <f t="shared" si="10"/>
        <v>CHECK</v>
      </c>
      <c r="M309" s="66" t="str">
        <f t="shared" si="10"/>
        <v>CHECK</v>
      </c>
      <c r="N309" s="66" t="str">
        <f t="shared" si="10"/>
        <v>CHECK</v>
      </c>
      <c r="O309" s="66" t="str">
        <f t="shared" si="10"/>
        <v>CHECK</v>
      </c>
      <c r="P309" s="66" t="str">
        <f t="shared" si="10"/>
        <v>CHECK</v>
      </c>
      <c r="Q309" s="66" t="str">
        <f t="shared" si="10"/>
        <v>CHECK</v>
      </c>
      <c r="R309" s="66" t="str">
        <f t="shared" si="10"/>
        <v>CHECK</v>
      </c>
      <c r="S309" s="66" t="str">
        <f t="shared" si="10"/>
        <v>CHECK</v>
      </c>
      <c r="T309" s="66" t="str">
        <f t="shared" si="10"/>
        <v>CHECK</v>
      </c>
      <c r="U309" s="66" t="str">
        <f t="shared" si="11"/>
        <v>CHECK</v>
      </c>
      <c r="V309" s="66"/>
      <c r="W309" s="66"/>
    </row>
    <row r="310" spans="1:23" x14ac:dyDescent="0.25">
      <c r="A310" s="111" t="s">
        <v>742</v>
      </c>
      <c r="B310" s="111" t="s">
        <v>755</v>
      </c>
      <c r="C310" s="111" t="s">
        <v>756</v>
      </c>
      <c r="D310" s="111" t="s">
        <v>744</v>
      </c>
      <c r="E310" s="111" t="s">
        <v>745</v>
      </c>
      <c r="F310" s="66" t="str">
        <f t="shared" si="10"/>
        <v>CHECK</v>
      </c>
      <c r="G310" s="66" t="str">
        <f t="shared" si="10"/>
        <v>CHECK</v>
      </c>
      <c r="H310" s="66" t="str">
        <f t="shared" si="10"/>
        <v>CHECK</v>
      </c>
      <c r="I310" s="66" t="str">
        <f t="shared" si="10"/>
        <v>CHECK</v>
      </c>
      <c r="J310" s="66" t="str">
        <f t="shared" si="10"/>
        <v>CHECK</v>
      </c>
      <c r="K310" s="66" t="str">
        <f t="shared" si="10"/>
        <v>CHECK</v>
      </c>
      <c r="L310" s="66" t="str">
        <f t="shared" si="10"/>
        <v>CHECK</v>
      </c>
      <c r="M310" s="66" t="str">
        <f t="shared" si="10"/>
        <v>CHECK</v>
      </c>
      <c r="N310" s="66" t="str">
        <f t="shared" si="10"/>
        <v>CHECK</v>
      </c>
      <c r="O310" s="66" t="str">
        <f t="shared" si="10"/>
        <v>CHECK</v>
      </c>
      <c r="P310" s="66" t="str">
        <f t="shared" si="10"/>
        <v>CHECK</v>
      </c>
      <c r="Q310" s="66" t="str">
        <f t="shared" si="10"/>
        <v>CHECK</v>
      </c>
      <c r="R310" s="66" t="str">
        <f t="shared" si="10"/>
        <v>CHECK</v>
      </c>
      <c r="S310" s="66" t="str">
        <f t="shared" si="10"/>
        <v>CHECK</v>
      </c>
      <c r="T310" s="66" t="str">
        <f t="shared" si="10"/>
        <v>CHECK</v>
      </c>
      <c r="U310" s="66" t="str">
        <f t="shared" si="11"/>
        <v>CHECK</v>
      </c>
      <c r="V310" s="66"/>
      <c r="W310" s="66"/>
    </row>
    <row r="311" spans="1:23" x14ac:dyDescent="0.25">
      <c r="A311" s="10" t="s">
        <v>742</v>
      </c>
      <c r="B311" s="10" t="s">
        <v>757</v>
      </c>
      <c r="C311" s="10" t="s">
        <v>520</v>
      </c>
      <c r="D311" s="10" t="s">
        <v>744</v>
      </c>
      <c r="E311" s="10" t="s">
        <v>745</v>
      </c>
      <c r="F311" s="66">
        <f t="shared" si="10"/>
        <v>0</v>
      </c>
      <c r="G311" s="66">
        <f t="shared" si="10"/>
        <v>0</v>
      </c>
      <c r="H311" s="66">
        <f t="shared" si="10"/>
        <v>0</v>
      </c>
      <c r="I311" s="66">
        <f t="shared" si="10"/>
        <v>0</v>
      </c>
      <c r="J311" s="66">
        <f t="shared" si="10"/>
        <v>0</v>
      </c>
      <c r="K311" s="66">
        <f t="shared" si="10"/>
        <v>0</v>
      </c>
      <c r="L311" s="66">
        <f t="shared" si="10"/>
        <v>0</v>
      </c>
      <c r="M311" s="66">
        <f t="shared" si="10"/>
        <v>0</v>
      </c>
      <c r="N311" s="66">
        <f t="shared" si="10"/>
        <v>0</v>
      </c>
      <c r="O311" s="66">
        <f t="shared" si="10"/>
        <v>0</v>
      </c>
      <c r="P311" s="66">
        <f t="shared" si="10"/>
        <v>0</v>
      </c>
      <c r="Q311" s="66">
        <f t="shared" si="10"/>
        <v>0</v>
      </c>
      <c r="R311" s="66">
        <f t="shared" si="10"/>
        <v>0</v>
      </c>
      <c r="S311" s="66">
        <f t="shared" si="10"/>
        <v>0</v>
      </c>
      <c r="T311" s="66">
        <f t="shared" si="10"/>
        <v>0</v>
      </c>
      <c r="U311" s="66">
        <f t="shared" si="11"/>
        <v>0</v>
      </c>
      <c r="V311" s="66"/>
      <c r="W311" s="66"/>
    </row>
    <row r="312" spans="1:23" x14ac:dyDescent="0.25">
      <c r="A312" s="111" t="s">
        <v>742</v>
      </c>
      <c r="B312" s="111" t="s">
        <v>758</v>
      </c>
      <c r="C312" s="111" t="s">
        <v>759</v>
      </c>
      <c r="D312" s="111" t="s">
        <v>744</v>
      </c>
      <c r="E312" s="111" t="s">
        <v>745</v>
      </c>
      <c r="F312" s="66">
        <f t="shared" si="10"/>
        <v>0</v>
      </c>
      <c r="G312" s="66">
        <f t="shared" si="10"/>
        <v>0</v>
      </c>
      <c r="H312" s="66">
        <f t="shared" si="10"/>
        <v>0</v>
      </c>
      <c r="I312" s="66">
        <f t="shared" si="10"/>
        <v>0</v>
      </c>
      <c r="J312" s="66">
        <f t="shared" si="10"/>
        <v>0</v>
      </c>
      <c r="K312" s="66">
        <f t="shared" si="10"/>
        <v>0</v>
      </c>
      <c r="L312" s="66">
        <f t="shared" si="10"/>
        <v>0</v>
      </c>
      <c r="M312" s="66">
        <f t="shared" si="10"/>
        <v>0</v>
      </c>
      <c r="N312" s="66">
        <f t="shared" si="10"/>
        <v>0</v>
      </c>
      <c r="O312" s="66">
        <f t="shared" si="10"/>
        <v>0</v>
      </c>
      <c r="P312" s="66">
        <f t="shared" si="10"/>
        <v>0</v>
      </c>
      <c r="Q312" s="66">
        <f t="shared" si="10"/>
        <v>0</v>
      </c>
      <c r="R312" s="66">
        <f t="shared" si="10"/>
        <v>0</v>
      </c>
      <c r="S312" s="66">
        <f t="shared" si="10"/>
        <v>0</v>
      </c>
      <c r="T312" s="66">
        <f t="shared" si="10"/>
        <v>0</v>
      </c>
      <c r="U312" s="66">
        <f t="shared" si="11"/>
        <v>0</v>
      </c>
      <c r="V312" s="66"/>
      <c r="W312" s="66"/>
    </row>
    <row r="313" spans="1:23" x14ac:dyDescent="0.25">
      <c r="A313" s="111" t="s">
        <v>742</v>
      </c>
      <c r="B313" s="111" t="s">
        <v>760</v>
      </c>
      <c r="C313" s="111" t="s">
        <v>761</v>
      </c>
      <c r="D313" s="111" t="s">
        <v>744</v>
      </c>
      <c r="E313" s="111" t="s">
        <v>745</v>
      </c>
      <c r="F313" s="66">
        <f t="shared" si="10"/>
        <v>0</v>
      </c>
      <c r="G313" s="66">
        <f t="shared" si="10"/>
        <v>0</v>
      </c>
      <c r="H313" s="66">
        <f t="shared" si="10"/>
        <v>0</v>
      </c>
      <c r="I313" s="66">
        <f t="shared" si="10"/>
        <v>0</v>
      </c>
      <c r="J313" s="66">
        <f t="shared" si="10"/>
        <v>0</v>
      </c>
      <c r="K313" s="66">
        <f t="shared" si="10"/>
        <v>0</v>
      </c>
      <c r="L313" s="66">
        <f t="shared" si="10"/>
        <v>0</v>
      </c>
      <c r="M313" s="66">
        <f t="shared" si="10"/>
        <v>0</v>
      </c>
      <c r="N313" s="66">
        <f t="shared" si="10"/>
        <v>0</v>
      </c>
      <c r="O313" s="66">
        <f t="shared" si="10"/>
        <v>0</v>
      </c>
      <c r="P313" s="66">
        <f t="shared" si="10"/>
        <v>0</v>
      </c>
      <c r="Q313" s="66">
        <f t="shared" si="10"/>
        <v>0</v>
      </c>
      <c r="R313" s="66">
        <f t="shared" si="10"/>
        <v>0</v>
      </c>
      <c r="S313" s="66">
        <f t="shared" si="10"/>
        <v>0</v>
      </c>
      <c r="T313" s="66">
        <f t="shared" si="10"/>
        <v>0</v>
      </c>
      <c r="U313" s="66">
        <f t="shared" si="11"/>
        <v>0</v>
      </c>
      <c r="V313" s="66"/>
      <c r="W313" s="66"/>
    </row>
    <row r="314" spans="1:23" x14ac:dyDescent="0.25">
      <c r="A314" s="111" t="s">
        <v>742</v>
      </c>
      <c r="B314" s="111" t="s">
        <v>762</v>
      </c>
      <c r="C314" s="111" t="s">
        <v>763</v>
      </c>
      <c r="D314" s="111" t="s">
        <v>744</v>
      </c>
      <c r="E314" s="111" t="s">
        <v>745</v>
      </c>
      <c r="F314" s="66" t="str">
        <f t="shared" si="10"/>
        <v>CHECK</v>
      </c>
      <c r="G314" s="66" t="str">
        <f t="shared" si="10"/>
        <v>CHECK</v>
      </c>
      <c r="H314" s="66" t="str">
        <f t="shared" si="10"/>
        <v>CHECK</v>
      </c>
      <c r="I314" s="66" t="str">
        <f t="shared" si="10"/>
        <v>CHECK</v>
      </c>
      <c r="J314" s="66" t="str">
        <f t="shared" si="10"/>
        <v>CHECK</v>
      </c>
      <c r="K314" s="66" t="str">
        <f t="shared" si="10"/>
        <v>CHECK</v>
      </c>
      <c r="L314" s="66" t="str">
        <f t="shared" si="10"/>
        <v>CHECK</v>
      </c>
      <c r="M314" s="66" t="str">
        <f t="shared" si="10"/>
        <v>CHECK</v>
      </c>
      <c r="N314" s="66" t="str">
        <f t="shared" si="10"/>
        <v>CHECK</v>
      </c>
      <c r="O314" s="66" t="str">
        <f t="shared" si="10"/>
        <v>CHECK</v>
      </c>
      <c r="P314" s="66" t="str">
        <f t="shared" si="10"/>
        <v>CHECK</v>
      </c>
      <c r="Q314" s="66" t="str">
        <f t="shared" si="10"/>
        <v>CHECK</v>
      </c>
      <c r="R314" s="66" t="str">
        <f t="shared" si="10"/>
        <v>CHECK</v>
      </c>
      <c r="S314" s="66" t="str">
        <f t="shared" si="10"/>
        <v>CHECK</v>
      </c>
      <c r="T314" s="66" t="str">
        <f t="shared" si="10"/>
        <v>CHECK</v>
      </c>
      <c r="U314" s="66" t="str">
        <f t="shared" si="11"/>
        <v>CHECK</v>
      </c>
      <c r="V314" s="66"/>
      <c r="W314" s="66"/>
    </row>
    <row r="315" spans="1:23" x14ac:dyDescent="0.25">
      <c r="A315" s="111" t="s">
        <v>742</v>
      </c>
      <c r="B315" s="111" t="s">
        <v>764</v>
      </c>
      <c r="C315" s="111" t="s">
        <v>765</v>
      </c>
      <c r="D315" s="111" t="s">
        <v>744</v>
      </c>
      <c r="E315" s="111" t="s">
        <v>745</v>
      </c>
      <c r="F315" s="66" t="str">
        <f t="shared" si="10"/>
        <v>CHECK</v>
      </c>
      <c r="G315" s="66" t="str">
        <f t="shared" si="10"/>
        <v>CHECK</v>
      </c>
      <c r="H315" s="66" t="str">
        <f t="shared" si="10"/>
        <v>CHECK</v>
      </c>
      <c r="I315" s="66" t="str">
        <f t="shared" si="10"/>
        <v>CHECK</v>
      </c>
      <c r="J315" s="66" t="str">
        <f t="shared" si="10"/>
        <v>CHECK</v>
      </c>
      <c r="K315" s="66" t="str">
        <f t="shared" si="10"/>
        <v>CHECK</v>
      </c>
      <c r="L315" s="66" t="str">
        <f t="shared" si="10"/>
        <v>CHECK</v>
      </c>
      <c r="M315" s="66" t="str">
        <f t="shared" si="10"/>
        <v>CHECK</v>
      </c>
      <c r="N315" s="66" t="str">
        <f t="shared" si="10"/>
        <v>CHECK</v>
      </c>
      <c r="O315" s="66" t="str">
        <f t="shared" si="10"/>
        <v>CHECK</v>
      </c>
      <c r="P315" s="66" t="str">
        <f t="shared" si="10"/>
        <v>CHECK</v>
      </c>
      <c r="Q315" s="66" t="str">
        <f t="shared" si="10"/>
        <v>CHECK</v>
      </c>
      <c r="R315" s="66" t="str">
        <f t="shared" si="10"/>
        <v>CHECK</v>
      </c>
      <c r="S315" s="66" t="str">
        <f t="shared" si="10"/>
        <v>CHECK</v>
      </c>
      <c r="T315" s="66" t="str">
        <f t="shared" si="10"/>
        <v>CHECK</v>
      </c>
      <c r="U315" s="66" t="str">
        <f t="shared" si="11"/>
        <v>CHECK</v>
      </c>
      <c r="V315" s="66"/>
      <c r="W315" s="66"/>
    </row>
    <row r="316" spans="1:23" x14ac:dyDescent="0.25">
      <c r="A316" s="111" t="s">
        <v>742</v>
      </c>
      <c r="B316" s="111" t="s">
        <v>766</v>
      </c>
      <c r="C316" s="111" t="s">
        <v>767</v>
      </c>
      <c r="D316" s="111" t="s">
        <v>744</v>
      </c>
      <c r="E316" s="111" t="s">
        <v>745</v>
      </c>
      <c r="F316" s="66">
        <f t="shared" si="10"/>
        <v>0</v>
      </c>
      <c r="G316" s="66">
        <f t="shared" si="10"/>
        <v>0</v>
      </c>
      <c r="H316" s="66">
        <f t="shared" si="10"/>
        <v>0</v>
      </c>
      <c r="I316" s="66">
        <f t="shared" si="10"/>
        <v>0</v>
      </c>
      <c r="J316" s="66">
        <f t="shared" si="10"/>
        <v>0</v>
      </c>
      <c r="K316" s="66">
        <f t="shared" si="10"/>
        <v>0</v>
      </c>
      <c r="L316" s="66">
        <f t="shared" si="10"/>
        <v>0</v>
      </c>
      <c r="M316" s="66">
        <f t="shared" si="10"/>
        <v>0</v>
      </c>
      <c r="N316" s="66">
        <f t="shared" si="10"/>
        <v>0</v>
      </c>
      <c r="O316" s="66">
        <f t="shared" si="10"/>
        <v>0</v>
      </c>
      <c r="P316" s="66">
        <f t="shared" si="10"/>
        <v>0</v>
      </c>
      <c r="Q316" s="66">
        <f t="shared" si="10"/>
        <v>0</v>
      </c>
      <c r="R316" s="66">
        <f t="shared" si="10"/>
        <v>0</v>
      </c>
      <c r="S316" s="66">
        <f t="shared" si="10"/>
        <v>0</v>
      </c>
      <c r="T316" s="66">
        <f t="shared" si="10"/>
        <v>0</v>
      </c>
      <c r="U316" s="66">
        <f t="shared" si="11"/>
        <v>0</v>
      </c>
      <c r="V316" s="66"/>
      <c r="W316" s="66"/>
    </row>
    <row r="317" spans="1:23" x14ac:dyDescent="0.25">
      <c r="A317" s="111" t="s">
        <v>742</v>
      </c>
      <c r="B317" s="111" t="s">
        <v>768</v>
      </c>
      <c r="C317" s="111" t="s">
        <v>769</v>
      </c>
      <c r="D317" s="111" t="s">
        <v>744</v>
      </c>
      <c r="E317" s="111" t="s">
        <v>745</v>
      </c>
      <c r="F317" s="66">
        <f t="shared" si="10"/>
        <v>0</v>
      </c>
      <c r="G317" s="66">
        <f t="shared" si="10"/>
        <v>0</v>
      </c>
      <c r="H317" s="66">
        <f t="shared" si="10"/>
        <v>0</v>
      </c>
      <c r="I317" s="66">
        <f t="shared" si="10"/>
        <v>0</v>
      </c>
      <c r="J317" s="66">
        <f t="shared" si="10"/>
        <v>0</v>
      </c>
      <c r="K317" s="66">
        <f t="shared" si="10"/>
        <v>0</v>
      </c>
      <c r="L317" s="66">
        <f t="shared" si="10"/>
        <v>0</v>
      </c>
      <c r="M317" s="66">
        <f t="shared" si="10"/>
        <v>0</v>
      </c>
      <c r="N317" s="66">
        <f t="shared" si="10"/>
        <v>0</v>
      </c>
      <c r="O317" s="66">
        <f t="shared" si="10"/>
        <v>0</v>
      </c>
      <c r="P317" s="66">
        <f t="shared" si="10"/>
        <v>0</v>
      </c>
      <c r="Q317" s="66">
        <f t="shared" si="10"/>
        <v>0</v>
      </c>
      <c r="R317" s="66">
        <f t="shared" si="10"/>
        <v>0</v>
      </c>
      <c r="S317" s="66">
        <f t="shared" si="10"/>
        <v>0</v>
      </c>
      <c r="T317" s="66">
        <f t="shared" si="10"/>
        <v>0</v>
      </c>
      <c r="U317" s="66">
        <f t="shared" si="11"/>
        <v>0</v>
      </c>
      <c r="V317" s="66"/>
      <c r="W317" s="66"/>
    </row>
    <row r="318" spans="1:23" x14ac:dyDescent="0.25">
      <c r="A318" s="111" t="s">
        <v>742</v>
      </c>
      <c r="B318" s="111" t="s">
        <v>770</v>
      </c>
      <c r="C318" s="111" t="s">
        <v>771</v>
      </c>
      <c r="D318" s="111" t="s">
        <v>744</v>
      </c>
      <c r="E318" s="111" t="s">
        <v>745</v>
      </c>
      <c r="F318" s="66" t="str">
        <f t="shared" si="10"/>
        <v>CHECK</v>
      </c>
      <c r="G318" s="66" t="str">
        <f t="shared" si="10"/>
        <v>CHECK</v>
      </c>
      <c r="H318" s="66" t="str">
        <f t="shared" si="10"/>
        <v>CHECK</v>
      </c>
      <c r="I318" s="66" t="str">
        <f t="shared" si="10"/>
        <v>CHECK</v>
      </c>
      <c r="J318" s="66" t="str">
        <f t="shared" si="10"/>
        <v>CHECK</v>
      </c>
      <c r="K318" s="66" t="str">
        <f t="shared" si="10"/>
        <v>CHECK</v>
      </c>
      <c r="L318" s="66" t="str">
        <f t="shared" si="10"/>
        <v>CHECK</v>
      </c>
      <c r="M318" s="66" t="str">
        <f t="shared" si="10"/>
        <v>CHECK</v>
      </c>
      <c r="N318" s="66" t="str">
        <f t="shared" si="10"/>
        <v>CHECK</v>
      </c>
      <c r="O318" s="66" t="str">
        <f t="shared" si="10"/>
        <v>CHECK</v>
      </c>
      <c r="P318" s="66" t="str">
        <f t="shared" si="10"/>
        <v>CHECK</v>
      </c>
      <c r="Q318" s="66" t="str">
        <f t="shared" si="10"/>
        <v>CHECK</v>
      </c>
      <c r="R318" s="66" t="str">
        <f t="shared" si="10"/>
        <v>CHECK</v>
      </c>
      <c r="S318" s="66" t="str">
        <f t="shared" si="10"/>
        <v>CHECK</v>
      </c>
      <c r="T318" s="66" t="str">
        <f t="shared" si="10"/>
        <v>CHECK</v>
      </c>
      <c r="U318" s="66" t="str">
        <f t="shared" si="11"/>
        <v>CHECK</v>
      </c>
      <c r="V318" s="66"/>
      <c r="W318" s="66"/>
    </row>
    <row r="319" spans="1:23" x14ac:dyDescent="0.25">
      <c r="A319" s="111" t="s">
        <v>742</v>
      </c>
      <c r="B319" s="111" t="s">
        <v>772</v>
      </c>
      <c r="C319" s="111" t="s">
        <v>773</v>
      </c>
      <c r="D319" s="111" t="s">
        <v>744</v>
      </c>
      <c r="E319" s="111" t="s">
        <v>745</v>
      </c>
      <c r="F319" s="66">
        <f t="shared" si="10"/>
        <v>0</v>
      </c>
      <c r="G319" s="66">
        <f t="shared" si="10"/>
        <v>0</v>
      </c>
      <c r="H319" s="66">
        <f t="shared" si="10"/>
        <v>0</v>
      </c>
      <c r="I319" s="66">
        <f t="shared" si="10"/>
        <v>0</v>
      </c>
      <c r="J319" s="66">
        <f t="shared" si="10"/>
        <v>0</v>
      </c>
      <c r="K319" s="66">
        <f t="shared" si="10"/>
        <v>0</v>
      </c>
      <c r="L319" s="66">
        <f t="shared" si="10"/>
        <v>0</v>
      </c>
      <c r="M319" s="66">
        <f t="shared" si="10"/>
        <v>0</v>
      </c>
      <c r="N319" s="66">
        <f t="shared" ref="G319:T334" si="12">IFERROR(((N19/N170)-1),"CHECK")</f>
        <v>0</v>
      </c>
      <c r="O319" s="66">
        <f t="shared" si="12"/>
        <v>0</v>
      </c>
      <c r="P319" s="66">
        <f t="shared" si="12"/>
        <v>0</v>
      </c>
      <c r="Q319" s="66">
        <f t="shared" si="12"/>
        <v>0</v>
      </c>
      <c r="R319" s="66">
        <f t="shared" si="12"/>
        <v>0</v>
      </c>
      <c r="S319" s="66">
        <f t="shared" si="12"/>
        <v>0</v>
      </c>
      <c r="T319" s="66">
        <f t="shared" si="12"/>
        <v>0</v>
      </c>
      <c r="U319" s="66">
        <f t="shared" si="11"/>
        <v>0</v>
      </c>
      <c r="V319" s="66"/>
      <c r="W319" s="66"/>
    </row>
    <row r="320" spans="1:23" x14ac:dyDescent="0.25">
      <c r="A320" s="111" t="s">
        <v>742</v>
      </c>
      <c r="B320" s="111" t="s">
        <v>774</v>
      </c>
      <c r="C320" s="111" t="s">
        <v>775</v>
      </c>
      <c r="D320" s="111" t="s">
        <v>744</v>
      </c>
      <c r="E320" s="111" t="s">
        <v>745</v>
      </c>
      <c r="F320" s="66" t="str">
        <f t="shared" si="10"/>
        <v>CHECK</v>
      </c>
      <c r="G320" s="66" t="str">
        <f t="shared" si="12"/>
        <v>CHECK</v>
      </c>
      <c r="H320" s="66" t="str">
        <f t="shared" si="12"/>
        <v>CHECK</v>
      </c>
      <c r="I320" s="66" t="str">
        <f t="shared" si="12"/>
        <v>CHECK</v>
      </c>
      <c r="J320" s="66" t="str">
        <f t="shared" si="12"/>
        <v>CHECK</v>
      </c>
      <c r="K320" s="66" t="str">
        <f t="shared" si="12"/>
        <v>CHECK</v>
      </c>
      <c r="L320" s="66" t="str">
        <f t="shared" si="12"/>
        <v>CHECK</v>
      </c>
      <c r="M320" s="66" t="str">
        <f t="shared" si="12"/>
        <v>CHECK</v>
      </c>
      <c r="N320" s="66" t="str">
        <f t="shared" si="12"/>
        <v>CHECK</v>
      </c>
      <c r="O320" s="66" t="str">
        <f t="shared" si="12"/>
        <v>CHECK</v>
      </c>
      <c r="P320" s="66" t="str">
        <f t="shared" si="12"/>
        <v>CHECK</v>
      </c>
      <c r="Q320" s="66" t="str">
        <f t="shared" si="12"/>
        <v>CHECK</v>
      </c>
      <c r="R320" s="66" t="str">
        <f t="shared" si="12"/>
        <v>CHECK</v>
      </c>
      <c r="S320" s="66" t="str">
        <f t="shared" si="12"/>
        <v>CHECK</v>
      </c>
      <c r="T320" s="66" t="str">
        <f t="shared" si="12"/>
        <v>CHECK</v>
      </c>
      <c r="U320" s="66" t="str">
        <f t="shared" si="11"/>
        <v>CHECK</v>
      </c>
      <c r="V320" s="66"/>
      <c r="W320" s="66"/>
    </row>
    <row r="321" spans="1:23" x14ac:dyDescent="0.25">
      <c r="A321" s="111" t="s">
        <v>742</v>
      </c>
      <c r="B321" s="111" t="s">
        <v>776</v>
      </c>
      <c r="C321" s="111" t="s">
        <v>756</v>
      </c>
      <c r="D321" s="111" t="s">
        <v>744</v>
      </c>
      <c r="E321" s="111" t="s">
        <v>745</v>
      </c>
      <c r="F321" s="66" t="str">
        <f t="shared" si="10"/>
        <v>CHECK</v>
      </c>
      <c r="G321" s="66" t="str">
        <f t="shared" si="12"/>
        <v>CHECK</v>
      </c>
      <c r="H321" s="66" t="str">
        <f t="shared" si="12"/>
        <v>CHECK</v>
      </c>
      <c r="I321" s="66" t="str">
        <f t="shared" si="12"/>
        <v>CHECK</v>
      </c>
      <c r="J321" s="66" t="str">
        <f t="shared" si="12"/>
        <v>CHECK</v>
      </c>
      <c r="K321" s="66" t="str">
        <f t="shared" si="12"/>
        <v>CHECK</v>
      </c>
      <c r="L321" s="66" t="str">
        <f t="shared" si="12"/>
        <v>CHECK</v>
      </c>
      <c r="M321" s="66" t="str">
        <f t="shared" si="12"/>
        <v>CHECK</v>
      </c>
      <c r="N321" s="66" t="str">
        <f t="shared" si="12"/>
        <v>CHECK</v>
      </c>
      <c r="O321" s="66" t="str">
        <f t="shared" si="12"/>
        <v>CHECK</v>
      </c>
      <c r="P321" s="66" t="str">
        <f t="shared" si="12"/>
        <v>CHECK</v>
      </c>
      <c r="Q321" s="66" t="str">
        <f t="shared" si="12"/>
        <v>CHECK</v>
      </c>
      <c r="R321" s="66" t="str">
        <f t="shared" si="12"/>
        <v>CHECK</v>
      </c>
      <c r="S321" s="66" t="str">
        <f t="shared" si="12"/>
        <v>CHECK</v>
      </c>
      <c r="T321" s="66" t="str">
        <f t="shared" si="12"/>
        <v>CHECK</v>
      </c>
      <c r="U321" s="66" t="str">
        <f t="shared" si="11"/>
        <v>CHECK</v>
      </c>
      <c r="V321" s="66"/>
      <c r="W321" s="66"/>
    </row>
    <row r="322" spans="1:23" x14ac:dyDescent="0.25">
      <c r="A322" s="10" t="s">
        <v>742</v>
      </c>
      <c r="B322" s="10" t="s">
        <v>777</v>
      </c>
      <c r="C322" s="10" t="s">
        <v>536</v>
      </c>
      <c r="D322" s="10" t="s">
        <v>744</v>
      </c>
      <c r="E322" s="10" t="s">
        <v>745</v>
      </c>
      <c r="F322" s="66">
        <f t="shared" si="10"/>
        <v>0</v>
      </c>
      <c r="G322" s="66">
        <f t="shared" si="12"/>
        <v>0</v>
      </c>
      <c r="H322" s="66">
        <f t="shared" si="12"/>
        <v>0</v>
      </c>
      <c r="I322" s="66">
        <f t="shared" si="12"/>
        <v>0</v>
      </c>
      <c r="J322" s="66">
        <f t="shared" si="12"/>
        <v>0</v>
      </c>
      <c r="K322" s="66">
        <f t="shared" si="12"/>
        <v>0</v>
      </c>
      <c r="L322" s="66">
        <f t="shared" si="12"/>
        <v>0</v>
      </c>
      <c r="M322" s="66">
        <f t="shared" si="12"/>
        <v>0</v>
      </c>
      <c r="N322" s="66">
        <f t="shared" si="12"/>
        <v>0</v>
      </c>
      <c r="O322" s="66">
        <f t="shared" si="12"/>
        <v>0</v>
      </c>
      <c r="P322" s="66">
        <f t="shared" si="12"/>
        <v>0</v>
      </c>
      <c r="Q322" s="66">
        <f t="shared" si="12"/>
        <v>0</v>
      </c>
      <c r="R322" s="66">
        <f t="shared" si="12"/>
        <v>0</v>
      </c>
      <c r="S322" s="66">
        <f t="shared" si="12"/>
        <v>0</v>
      </c>
      <c r="T322" s="66">
        <f t="shared" si="12"/>
        <v>0</v>
      </c>
      <c r="U322" s="66">
        <f t="shared" si="11"/>
        <v>0</v>
      </c>
      <c r="V322" s="66"/>
      <c r="W322" s="66"/>
    </row>
    <row r="323" spans="1:23" x14ac:dyDescent="0.25">
      <c r="A323" s="111" t="s">
        <v>742</v>
      </c>
      <c r="B323" s="111" t="s">
        <v>778</v>
      </c>
      <c r="C323" s="111" t="s">
        <v>779</v>
      </c>
      <c r="D323" s="111" t="s">
        <v>744</v>
      </c>
      <c r="E323" s="111" t="s">
        <v>745</v>
      </c>
      <c r="F323" s="66">
        <f t="shared" si="10"/>
        <v>0</v>
      </c>
      <c r="G323" s="66">
        <f t="shared" si="12"/>
        <v>0</v>
      </c>
      <c r="H323" s="66">
        <f t="shared" si="12"/>
        <v>0</v>
      </c>
      <c r="I323" s="66">
        <f t="shared" si="12"/>
        <v>0</v>
      </c>
      <c r="J323" s="66">
        <f t="shared" si="12"/>
        <v>0</v>
      </c>
      <c r="K323" s="66">
        <f t="shared" si="12"/>
        <v>0</v>
      </c>
      <c r="L323" s="66">
        <f t="shared" si="12"/>
        <v>0</v>
      </c>
      <c r="M323" s="66">
        <f t="shared" si="12"/>
        <v>0</v>
      </c>
      <c r="N323" s="66">
        <f t="shared" si="12"/>
        <v>0</v>
      </c>
      <c r="O323" s="66">
        <f t="shared" si="12"/>
        <v>0</v>
      </c>
      <c r="P323" s="66">
        <f t="shared" si="12"/>
        <v>0</v>
      </c>
      <c r="Q323" s="66">
        <f t="shared" si="12"/>
        <v>0</v>
      </c>
      <c r="R323" s="66">
        <f t="shared" si="12"/>
        <v>0</v>
      </c>
      <c r="S323" s="66">
        <f t="shared" si="12"/>
        <v>0</v>
      </c>
      <c r="T323" s="66">
        <f t="shared" si="12"/>
        <v>0</v>
      </c>
      <c r="U323" s="66">
        <f t="shared" si="11"/>
        <v>0</v>
      </c>
      <c r="V323" s="66"/>
      <c r="W323" s="66"/>
    </row>
    <row r="324" spans="1:23" x14ac:dyDescent="0.25">
      <c r="A324" s="111" t="s">
        <v>742</v>
      </c>
      <c r="B324" s="111" t="s">
        <v>780</v>
      </c>
      <c r="C324" s="111" t="s">
        <v>781</v>
      </c>
      <c r="D324" s="111" t="s">
        <v>744</v>
      </c>
      <c r="E324" s="111" t="s">
        <v>745</v>
      </c>
      <c r="F324" s="66">
        <f t="shared" si="10"/>
        <v>0</v>
      </c>
      <c r="G324" s="66">
        <f t="shared" si="12"/>
        <v>0</v>
      </c>
      <c r="H324" s="66">
        <f t="shared" si="12"/>
        <v>0</v>
      </c>
      <c r="I324" s="66">
        <f t="shared" si="12"/>
        <v>0</v>
      </c>
      <c r="J324" s="66">
        <f t="shared" si="12"/>
        <v>0</v>
      </c>
      <c r="K324" s="66">
        <f t="shared" si="12"/>
        <v>0</v>
      </c>
      <c r="L324" s="66">
        <f t="shared" si="12"/>
        <v>0</v>
      </c>
      <c r="M324" s="66">
        <f t="shared" si="12"/>
        <v>0</v>
      </c>
      <c r="N324" s="66">
        <f t="shared" si="12"/>
        <v>0</v>
      </c>
      <c r="O324" s="66">
        <f t="shared" si="12"/>
        <v>0</v>
      </c>
      <c r="P324" s="66">
        <f t="shared" si="12"/>
        <v>0</v>
      </c>
      <c r="Q324" s="66">
        <f t="shared" si="12"/>
        <v>0</v>
      </c>
      <c r="R324" s="66">
        <f t="shared" si="12"/>
        <v>0</v>
      </c>
      <c r="S324" s="66">
        <f t="shared" si="12"/>
        <v>0</v>
      </c>
      <c r="T324" s="66">
        <f t="shared" si="12"/>
        <v>0</v>
      </c>
      <c r="U324" s="66">
        <f t="shared" si="11"/>
        <v>0</v>
      </c>
      <c r="V324" s="66"/>
      <c r="W324" s="66"/>
    </row>
    <row r="325" spans="1:23" x14ac:dyDescent="0.25">
      <c r="A325" s="111" t="s">
        <v>742</v>
      </c>
      <c r="B325" s="111" t="s">
        <v>782</v>
      </c>
      <c r="C325" s="111" t="s">
        <v>783</v>
      </c>
      <c r="D325" s="111" t="s">
        <v>744</v>
      </c>
      <c r="E325" s="111" t="s">
        <v>745</v>
      </c>
      <c r="F325" s="66">
        <f t="shared" si="10"/>
        <v>0</v>
      </c>
      <c r="G325" s="66">
        <f t="shared" si="12"/>
        <v>0</v>
      </c>
      <c r="H325" s="66">
        <f t="shared" si="12"/>
        <v>0</v>
      </c>
      <c r="I325" s="66">
        <f t="shared" si="12"/>
        <v>0</v>
      </c>
      <c r="J325" s="66">
        <f t="shared" si="12"/>
        <v>0</v>
      </c>
      <c r="K325" s="66">
        <f t="shared" si="12"/>
        <v>0</v>
      </c>
      <c r="L325" s="66">
        <f t="shared" si="12"/>
        <v>0</v>
      </c>
      <c r="M325" s="66">
        <f t="shared" si="12"/>
        <v>0</v>
      </c>
      <c r="N325" s="66">
        <f t="shared" si="12"/>
        <v>0</v>
      </c>
      <c r="O325" s="66">
        <f t="shared" si="12"/>
        <v>0</v>
      </c>
      <c r="P325" s="66">
        <f t="shared" si="12"/>
        <v>0</v>
      </c>
      <c r="Q325" s="66">
        <f t="shared" si="12"/>
        <v>0</v>
      </c>
      <c r="R325" s="66">
        <f t="shared" si="12"/>
        <v>0</v>
      </c>
      <c r="S325" s="66">
        <f t="shared" si="12"/>
        <v>0</v>
      </c>
      <c r="T325" s="66">
        <f t="shared" si="12"/>
        <v>0</v>
      </c>
      <c r="U325" s="66">
        <f t="shared" si="11"/>
        <v>0</v>
      </c>
      <c r="V325" s="66"/>
      <c r="W325" s="66"/>
    </row>
    <row r="326" spans="1:23" x14ac:dyDescent="0.25">
      <c r="A326" s="111" t="s">
        <v>742</v>
      </c>
      <c r="B326" s="111" t="s">
        <v>784</v>
      </c>
      <c r="C326" s="111" t="s">
        <v>785</v>
      </c>
      <c r="D326" s="111" t="s">
        <v>744</v>
      </c>
      <c r="E326" s="111" t="s">
        <v>745</v>
      </c>
      <c r="F326" s="66" t="str">
        <f t="shared" si="10"/>
        <v>CHECK</v>
      </c>
      <c r="G326" s="66" t="str">
        <f t="shared" si="12"/>
        <v>CHECK</v>
      </c>
      <c r="H326" s="66" t="str">
        <f t="shared" si="12"/>
        <v>CHECK</v>
      </c>
      <c r="I326" s="66" t="str">
        <f t="shared" si="12"/>
        <v>CHECK</v>
      </c>
      <c r="J326" s="66" t="str">
        <f t="shared" si="12"/>
        <v>CHECK</v>
      </c>
      <c r="K326" s="66" t="str">
        <f t="shared" si="12"/>
        <v>CHECK</v>
      </c>
      <c r="L326" s="66" t="str">
        <f t="shared" si="12"/>
        <v>CHECK</v>
      </c>
      <c r="M326" s="66" t="str">
        <f t="shared" si="12"/>
        <v>CHECK</v>
      </c>
      <c r="N326" s="66" t="str">
        <f t="shared" si="12"/>
        <v>CHECK</v>
      </c>
      <c r="O326" s="66" t="str">
        <f t="shared" si="12"/>
        <v>CHECK</v>
      </c>
      <c r="P326" s="66" t="str">
        <f t="shared" si="12"/>
        <v>CHECK</v>
      </c>
      <c r="Q326" s="66" t="str">
        <f t="shared" si="12"/>
        <v>CHECK</v>
      </c>
      <c r="R326" s="66" t="str">
        <f t="shared" si="12"/>
        <v>CHECK</v>
      </c>
      <c r="S326" s="66" t="str">
        <f t="shared" si="12"/>
        <v>CHECK</v>
      </c>
      <c r="T326" s="66" t="str">
        <f t="shared" si="12"/>
        <v>CHECK</v>
      </c>
      <c r="U326" s="66" t="str">
        <f t="shared" si="11"/>
        <v>CHECK</v>
      </c>
      <c r="V326" s="66"/>
      <c r="W326" s="66"/>
    </row>
    <row r="327" spans="1:23" x14ac:dyDescent="0.25">
      <c r="A327" s="111" t="s">
        <v>742</v>
      </c>
      <c r="B327" s="111" t="s">
        <v>786</v>
      </c>
      <c r="C327" s="111" t="s">
        <v>787</v>
      </c>
      <c r="D327" s="111" t="s">
        <v>744</v>
      </c>
      <c r="E327" s="111" t="s">
        <v>745</v>
      </c>
      <c r="F327" s="66">
        <f t="shared" si="10"/>
        <v>0</v>
      </c>
      <c r="G327" s="66">
        <f t="shared" si="12"/>
        <v>0</v>
      </c>
      <c r="H327" s="66">
        <f t="shared" si="12"/>
        <v>0</v>
      </c>
      <c r="I327" s="66">
        <f t="shared" si="12"/>
        <v>0</v>
      </c>
      <c r="J327" s="66">
        <f t="shared" si="12"/>
        <v>0</v>
      </c>
      <c r="K327" s="66">
        <f t="shared" si="12"/>
        <v>0</v>
      </c>
      <c r="L327" s="66">
        <f t="shared" si="12"/>
        <v>0</v>
      </c>
      <c r="M327" s="66">
        <f t="shared" si="12"/>
        <v>0</v>
      </c>
      <c r="N327" s="66">
        <f t="shared" si="12"/>
        <v>0</v>
      </c>
      <c r="O327" s="66">
        <f t="shared" si="12"/>
        <v>0</v>
      </c>
      <c r="P327" s="66">
        <f t="shared" si="12"/>
        <v>0</v>
      </c>
      <c r="Q327" s="66">
        <f t="shared" si="12"/>
        <v>0</v>
      </c>
      <c r="R327" s="66">
        <f t="shared" si="12"/>
        <v>0</v>
      </c>
      <c r="S327" s="66">
        <f t="shared" si="12"/>
        <v>0</v>
      </c>
      <c r="T327" s="66">
        <f t="shared" si="12"/>
        <v>0</v>
      </c>
      <c r="U327" s="66">
        <f t="shared" si="11"/>
        <v>0</v>
      </c>
      <c r="V327" s="66"/>
      <c r="W327" s="66"/>
    </row>
    <row r="328" spans="1:23" x14ac:dyDescent="0.25">
      <c r="A328" s="111" t="s">
        <v>742</v>
      </c>
      <c r="B328" s="111" t="s">
        <v>788</v>
      </c>
      <c r="C328" s="111" t="s">
        <v>789</v>
      </c>
      <c r="D328" s="111" t="s">
        <v>744</v>
      </c>
      <c r="E328" s="111" t="s">
        <v>745</v>
      </c>
      <c r="F328" s="66">
        <f t="shared" si="10"/>
        <v>0</v>
      </c>
      <c r="G328" s="66">
        <f t="shared" si="12"/>
        <v>0</v>
      </c>
      <c r="H328" s="66">
        <f t="shared" si="12"/>
        <v>0</v>
      </c>
      <c r="I328" s="66">
        <f t="shared" si="12"/>
        <v>0</v>
      </c>
      <c r="J328" s="66">
        <f t="shared" si="12"/>
        <v>0</v>
      </c>
      <c r="K328" s="66">
        <f t="shared" si="12"/>
        <v>0</v>
      </c>
      <c r="L328" s="66">
        <f t="shared" si="12"/>
        <v>0</v>
      </c>
      <c r="M328" s="66">
        <f t="shared" si="12"/>
        <v>0</v>
      </c>
      <c r="N328" s="66">
        <f t="shared" si="12"/>
        <v>0</v>
      </c>
      <c r="O328" s="66">
        <f t="shared" si="12"/>
        <v>0</v>
      </c>
      <c r="P328" s="66">
        <f t="shared" si="12"/>
        <v>0</v>
      </c>
      <c r="Q328" s="66">
        <f t="shared" si="12"/>
        <v>0</v>
      </c>
      <c r="R328" s="66">
        <f t="shared" si="12"/>
        <v>0</v>
      </c>
      <c r="S328" s="66">
        <f t="shared" si="12"/>
        <v>0</v>
      </c>
      <c r="T328" s="66">
        <f t="shared" si="12"/>
        <v>0</v>
      </c>
      <c r="U328" s="66">
        <f t="shared" si="11"/>
        <v>0</v>
      </c>
      <c r="V328" s="66"/>
      <c r="W328" s="66"/>
    </row>
    <row r="329" spans="1:23" x14ac:dyDescent="0.25">
      <c r="A329" s="111" t="s">
        <v>742</v>
      </c>
      <c r="B329" s="111" t="s">
        <v>790</v>
      </c>
      <c r="C329" s="111" t="s">
        <v>756</v>
      </c>
      <c r="D329" s="111" t="s">
        <v>744</v>
      </c>
      <c r="E329" s="111" t="s">
        <v>745</v>
      </c>
      <c r="F329" s="66" t="str">
        <f t="shared" si="10"/>
        <v>CHECK</v>
      </c>
      <c r="G329" s="66" t="str">
        <f t="shared" si="12"/>
        <v>CHECK</v>
      </c>
      <c r="H329" s="66" t="str">
        <f t="shared" si="12"/>
        <v>CHECK</v>
      </c>
      <c r="I329" s="66" t="str">
        <f t="shared" si="12"/>
        <v>CHECK</v>
      </c>
      <c r="J329" s="66" t="str">
        <f t="shared" si="12"/>
        <v>CHECK</v>
      </c>
      <c r="K329" s="66" t="str">
        <f t="shared" si="12"/>
        <v>CHECK</v>
      </c>
      <c r="L329" s="66" t="str">
        <f t="shared" si="12"/>
        <v>CHECK</v>
      </c>
      <c r="M329" s="66" t="str">
        <f t="shared" si="12"/>
        <v>CHECK</v>
      </c>
      <c r="N329" s="66" t="str">
        <f t="shared" si="12"/>
        <v>CHECK</v>
      </c>
      <c r="O329" s="66" t="str">
        <f t="shared" si="12"/>
        <v>CHECK</v>
      </c>
      <c r="P329" s="66" t="str">
        <f t="shared" si="12"/>
        <v>CHECK</v>
      </c>
      <c r="Q329" s="66" t="str">
        <f t="shared" si="12"/>
        <v>CHECK</v>
      </c>
      <c r="R329" s="66" t="str">
        <f t="shared" si="12"/>
        <v>CHECK</v>
      </c>
      <c r="S329" s="66" t="str">
        <f t="shared" si="12"/>
        <v>CHECK</v>
      </c>
      <c r="T329" s="66" t="str">
        <f t="shared" si="12"/>
        <v>CHECK</v>
      </c>
      <c r="U329" s="66" t="str">
        <f t="shared" si="11"/>
        <v>CHECK</v>
      </c>
      <c r="V329" s="66"/>
      <c r="W329" s="66"/>
    </row>
    <row r="330" spans="1:23" x14ac:dyDescent="0.25">
      <c r="A330" s="10" t="s">
        <v>742</v>
      </c>
      <c r="B330" s="10" t="s">
        <v>791</v>
      </c>
      <c r="C330" s="10" t="s">
        <v>792</v>
      </c>
      <c r="D330" s="10" t="s">
        <v>744</v>
      </c>
      <c r="E330" s="10" t="s">
        <v>745</v>
      </c>
      <c r="F330" s="66">
        <f t="shared" si="10"/>
        <v>0</v>
      </c>
      <c r="G330" s="66">
        <f t="shared" si="12"/>
        <v>0</v>
      </c>
      <c r="H330" s="66">
        <f t="shared" si="12"/>
        <v>0</v>
      </c>
      <c r="I330" s="66">
        <f t="shared" si="12"/>
        <v>0</v>
      </c>
      <c r="J330" s="66">
        <f t="shared" si="12"/>
        <v>0</v>
      </c>
      <c r="K330" s="66">
        <f t="shared" si="12"/>
        <v>0</v>
      </c>
      <c r="L330" s="66">
        <f t="shared" si="12"/>
        <v>0</v>
      </c>
      <c r="M330" s="66">
        <f t="shared" si="12"/>
        <v>0</v>
      </c>
      <c r="N330" s="66">
        <f t="shared" si="12"/>
        <v>0</v>
      </c>
      <c r="O330" s="66">
        <f t="shared" si="12"/>
        <v>0</v>
      </c>
      <c r="P330" s="66">
        <f t="shared" si="12"/>
        <v>0</v>
      </c>
      <c r="Q330" s="66">
        <f t="shared" si="12"/>
        <v>0</v>
      </c>
      <c r="R330" s="66">
        <f t="shared" si="12"/>
        <v>0</v>
      </c>
      <c r="S330" s="66">
        <f t="shared" si="12"/>
        <v>0</v>
      </c>
      <c r="T330" s="66">
        <f t="shared" si="12"/>
        <v>0</v>
      </c>
      <c r="U330" s="66">
        <f t="shared" si="11"/>
        <v>0</v>
      </c>
      <c r="V330" s="66"/>
      <c r="W330" s="66"/>
    </row>
    <row r="331" spans="1:23" x14ac:dyDescent="0.25">
      <c r="A331" s="111" t="s">
        <v>742</v>
      </c>
      <c r="B331" s="111" t="s">
        <v>793</v>
      </c>
      <c r="C331" s="111" t="s">
        <v>794</v>
      </c>
      <c r="D331" s="111" t="s">
        <v>744</v>
      </c>
      <c r="E331" s="111" t="s">
        <v>745</v>
      </c>
      <c r="F331" s="66">
        <f t="shared" si="10"/>
        <v>0</v>
      </c>
      <c r="G331" s="66">
        <f t="shared" si="12"/>
        <v>0</v>
      </c>
      <c r="H331" s="66">
        <f t="shared" si="12"/>
        <v>0</v>
      </c>
      <c r="I331" s="66">
        <f t="shared" si="12"/>
        <v>0</v>
      </c>
      <c r="J331" s="66">
        <f t="shared" si="12"/>
        <v>0</v>
      </c>
      <c r="K331" s="66">
        <f t="shared" si="12"/>
        <v>0</v>
      </c>
      <c r="L331" s="66">
        <f t="shared" si="12"/>
        <v>0</v>
      </c>
      <c r="M331" s="66">
        <f t="shared" si="12"/>
        <v>0</v>
      </c>
      <c r="N331" s="66">
        <f t="shared" si="12"/>
        <v>0</v>
      </c>
      <c r="O331" s="66">
        <f t="shared" si="12"/>
        <v>0</v>
      </c>
      <c r="P331" s="66">
        <f t="shared" si="12"/>
        <v>0</v>
      </c>
      <c r="Q331" s="66">
        <f t="shared" si="12"/>
        <v>0</v>
      </c>
      <c r="R331" s="66">
        <f t="shared" si="12"/>
        <v>0</v>
      </c>
      <c r="S331" s="66">
        <f t="shared" si="12"/>
        <v>0</v>
      </c>
      <c r="T331" s="66">
        <f t="shared" si="12"/>
        <v>0</v>
      </c>
      <c r="U331" s="66">
        <f t="shared" si="11"/>
        <v>0</v>
      </c>
      <c r="V331" s="66"/>
      <c r="W331" s="66"/>
    </row>
    <row r="332" spans="1:23" x14ac:dyDescent="0.25">
      <c r="A332" s="111" t="s">
        <v>742</v>
      </c>
      <c r="B332" s="111" t="s">
        <v>795</v>
      </c>
      <c r="C332" s="111" t="s">
        <v>796</v>
      </c>
      <c r="D332" s="111" t="s">
        <v>744</v>
      </c>
      <c r="E332" s="111" t="s">
        <v>745</v>
      </c>
      <c r="F332" s="66">
        <f t="shared" si="10"/>
        <v>0</v>
      </c>
      <c r="G332" s="66">
        <f t="shared" si="12"/>
        <v>0</v>
      </c>
      <c r="H332" s="66">
        <f t="shared" si="12"/>
        <v>0</v>
      </c>
      <c r="I332" s="66">
        <f t="shared" si="12"/>
        <v>0</v>
      </c>
      <c r="J332" s="66">
        <f t="shared" si="12"/>
        <v>0</v>
      </c>
      <c r="K332" s="66">
        <f t="shared" si="12"/>
        <v>0</v>
      </c>
      <c r="L332" s="66">
        <f t="shared" si="12"/>
        <v>0</v>
      </c>
      <c r="M332" s="66">
        <f t="shared" si="12"/>
        <v>0</v>
      </c>
      <c r="N332" s="66">
        <f t="shared" si="12"/>
        <v>0</v>
      </c>
      <c r="O332" s="66">
        <f t="shared" si="12"/>
        <v>0</v>
      </c>
      <c r="P332" s="66">
        <f t="shared" si="12"/>
        <v>0</v>
      </c>
      <c r="Q332" s="66">
        <f t="shared" si="12"/>
        <v>0</v>
      </c>
      <c r="R332" s="66">
        <f t="shared" si="12"/>
        <v>0</v>
      </c>
      <c r="S332" s="66">
        <f t="shared" si="12"/>
        <v>0</v>
      </c>
      <c r="T332" s="66">
        <f t="shared" si="12"/>
        <v>0</v>
      </c>
      <c r="U332" s="66">
        <f t="shared" si="11"/>
        <v>0</v>
      </c>
      <c r="V332" s="66"/>
      <c r="W332" s="66"/>
    </row>
    <row r="333" spans="1:23" x14ac:dyDescent="0.25">
      <c r="A333" s="111" t="s">
        <v>742</v>
      </c>
      <c r="B333" s="111" t="s">
        <v>797</v>
      </c>
      <c r="C333" s="111" t="s">
        <v>798</v>
      </c>
      <c r="D333" s="111" t="s">
        <v>744</v>
      </c>
      <c r="E333" s="111" t="s">
        <v>745</v>
      </c>
      <c r="F333" s="66" t="str">
        <f t="shared" si="10"/>
        <v>CHECK</v>
      </c>
      <c r="G333" s="66" t="str">
        <f t="shared" si="12"/>
        <v>CHECK</v>
      </c>
      <c r="H333" s="66" t="str">
        <f t="shared" si="12"/>
        <v>CHECK</v>
      </c>
      <c r="I333" s="66" t="str">
        <f t="shared" si="12"/>
        <v>CHECK</v>
      </c>
      <c r="J333" s="66" t="str">
        <f t="shared" si="12"/>
        <v>CHECK</v>
      </c>
      <c r="K333" s="66" t="str">
        <f t="shared" si="12"/>
        <v>CHECK</v>
      </c>
      <c r="L333" s="66" t="str">
        <f t="shared" si="12"/>
        <v>CHECK</v>
      </c>
      <c r="M333" s="66" t="str">
        <f t="shared" si="12"/>
        <v>CHECK</v>
      </c>
      <c r="N333" s="66" t="str">
        <f t="shared" si="12"/>
        <v>CHECK</v>
      </c>
      <c r="O333" s="66" t="str">
        <f t="shared" si="12"/>
        <v>CHECK</v>
      </c>
      <c r="P333" s="66" t="str">
        <f t="shared" si="12"/>
        <v>CHECK</v>
      </c>
      <c r="Q333" s="66" t="str">
        <f t="shared" si="12"/>
        <v>CHECK</v>
      </c>
      <c r="R333" s="66" t="str">
        <f t="shared" si="12"/>
        <v>CHECK</v>
      </c>
      <c r="S333" s="66" t="str">
        <f t="shared" si="12"/>
        <v>CHECK</v>
      </c>
      <c r="T333" s="66" t="str">
        <f t="shared" si="12"/>
        <v>CHECK</v>
      </c>
      <c r="U333" s="66" t="str">
        <f t="shared" si="11"/>
        <v>CHECK</v>
      </c>
      <c r="V333" s="66"/>
      <c r="W333" s="66"/>
    </row>
    <row r="334" spans="1:23" x14ac:dyDescent="0.25">
      <c r="A334" s="111" t="s">
        <v>742</v>
      </c>
      <c r="B334" s="111" t="s">
        <v>799</v>
      </c>
      <c r="C334" s="111" t="s">
        <v>756</v>
      </c>
      <c r="D334" s="111" t="s">
        <v>744</v>
      </c>
      <c r="E334" s="111" t="s">
        <v>745</v>
      </c>
      <c r="F334" s="66" t="str">
        <f t="shared" si="10"/>
        <v>CHECK</v>
      </c>
      <c r="G334" s="66" t="str">
        <f t="shared" si="12"/>
        <v>CHECK</v>
      </c>
      <c r="H334" s="66" t="str">
        <f t="shared" si="12"/>
        <v>CHECK</v>
      </c>
      <c r="I334" s="66" t="str">
        <f t="shared" si="12"/>
        <v>CHECK</v>
      </c>
      <c r="J334" s="66" t="str">
        <f t="shared" si="12"/>
        <v>CHECK</v>
      </c>
      <c r="K334" s="66" t="str">
        <f t="shared" si="12"/>
        <v>CHECK</v>
      </c>
      <c r="L334" s="66" t="str">
        <f t="shared" si="12"/>
        <v>CHECK</v>
      </c>
      <c r="M334" s="66" t="str">
        <f t="shared" si="12"/>
        <v>CHECK</v>
      </c>
      <c r="N334" s="66" t="str">
        <f t="shared" si="12"/>
        <v>CHECK</v>
      </c>
      <c r="O334" s="66" t="str">
        <f t="shared" si="12"/>
        <v>CHECK</v>
      </c>
      <c r="P334" s="66" t="str">
        <f t="shared" si="12"/>
        <v>CHECK</v>
      </c>
      <c r="Q334" s="66" t="str">
        <f t="shared" si="12"/>
        <v>CHECK</v>
      </c>
      <c r="R334" s="66" t="str">
        <f t="shared" si="12"/>
        <v>CHECK</v>
      </c>
      <c r="S334" s="66" t="str">
        <f t="shared" si="12"/>
        <v>CHECK</v>
      </c>
      <c r="T334" s="66" t="str">
        <f t="shared" si="12"/>
        <v>CHECK</v>
      </c>
      <c r="U334" s="66" t="str">
        <f t="shared" si="11"/>
        <v>CHECK</v>
      </c>
      <c r="V334" s="66"/>
      <c r="W334" s="66"/>
    </row>
    <row r="335" spans="1:23" x14ac:dyDescent="0.25">
      <c r="A335" s="10" t="s">
        <v>742</v>
      </c>
      <c r="B335" s="112" t="s">
        <v>800</v>
      </c>
      <c r="C335" s="10" t="s">
        <v>555</v>
      </c>
      <c r="D335" s="10" t="s">
        <v>744</v>
      </c>
      <c r="E335" s="10" t="s">
        <v>745</v>
      </c>
      <c r="F335" s="66" t="str">
        <f t="shared" si="10"/>
        <v>CHECK</v>
      </c>
      <c r="G335" s="66" t="str">
        <f t="shared" ref="G335:T350" si="13">IFERROR(((G35/G186)-1),"CHECK")</f>
        <v>CHECK</v>
      </c>
      <c r="H335" s="66" t="str">
        <f t="shared" si="13"/>
        <v>CHECK</v>
      </c>
      <c r="I335" s="66" t="str">
        <f t="shared" si="13"/>
        <v>CHECK</v>
      </c>
      <c r="J335" s="66" t="str">
        <f t="shared" si="13"/>
        <v>CHECK</v>
      </c>
      <c r="K335" s="66" t="str">
        <f t="shared" si="13"/>
        <v>CHECK</v>
      </c>
      <c r="L335" s="66" t="str">
        <f t="shared" si="13"/>
        <v>CHECK</v>
      </c>
      <c r="M335" s="66" t="str">
        <f t="shared" si="13"/>
        <v>CHECK</v>
      </c>
      <c r="N335" s="66" t="str">
        <f t="shared" si="13"/>
        <v>CHECK</v>
      </c>
      <c r="O335" s="66" t="str">
        <f t="shared" si="13"/>
        <v>CHECK</v>
      </c>
      <c r="P335" s="66" t="str">
        <f t="shared" si="13"/>
        <v>CHECK</v>
      </c>
      <c r="Q335" s="66" t="str">
        <f t="shared" si="13"/>
        <v>CHECK</v>
      </c>
      <c r="R335" s="66" t="str">
        <f t="shared" si="13"/>
        <v>CHECK</v>
      </c>
      <c r="S335" s="66" t="str">
        <f t="shared" si="13"/>
        <v>CHECK</v>
      </c>
      <c r="T335" s="66" t="str">
        <f t="shared" si="13"/>
        <v>CHECK</v>
      </c>
      <c r="U335" s="66" t="str">
        <f t="shared" si="11"/>
        <v>CHECK</v>
      </c>
      <c r="V335" s="66"/>
      <c r="W335" s="66"/>
    </row>
    <row r="336" spans="1:23" x14ac:dyDescent="0.25">
      <c r="A336" s="111" t="s">
        <v>742</v>
      </c>
      <c r="B336" s="113" t="s">
        <v>801</v>
      </c>
      <c r="C336" s="111" t="s">
        <v>802</v>
      </c>
      <c r="D336" s="111" t="s">
        <v>744</v>
      </c>
      <c r="E336" s="111" t="s">
        <v>745</v>
      </c>
      <c r="F336" s="66" t="str">
        <f t="shared" si="10"/>
        <v>CHECK</v>
      </c>
      <c r="G336" s="66" t="str">
        <f t="shared" si="13"/>
        <v>CHECK</v>
      </c>
      <c r="H336" s="66" t="str">
        <f t="shared" si="13"/>
        <v>CHECK</v>
      </c>
      <c r="I336" s="66" t="str">
        <f t="shared" si="13"/>
        <v>CHECK</v>
      </c>
      <c r="J336" s="66" t="str">
        <f t="shared" si="13"/>
        <v>CHECK</v>
      </c>
      <c r="K336" s="66" t="str">
        <f t="shared" si="13"/>
        <v>CHECK</v>
      </c>
      <c r="L336" s="66" t="str">
        <f t="shared" si="13"/>
        <v>CHECK</v>
      </c>
      <c r="M336" s="66" t="str">
        <f t="shared" si="13"/>
        <v>CHECK</v>
      </c>
      <c r="N336" s="66" t="str">
        <f t="shared" si="13"/>
        <v>CHECK</v>
      </c>
      <c r="O336" s="66" t="str">
        <f t="shared" si="13"/>
        <v>CHECK</v>
      </c>
      <c r="P336" s="66" t="str">
        <f t="shared" si="13"/>
        <v>CHECK</v>
      </c>
      <c r="Q336" s="66" t="str">
        <f t="shared" si="13"/>
        <v>CHECK</v>
      </c>
      <c r="R336" s="66" t="str">
        <f t="shared" si="13"/>
        <v>CHECK</v>
      </c>
      <c r="S336" s="66" t="str">
        <f t="shared" si="13"/>
        <v>CHECK</v>
      </c>
      <c r="T336" s="66" t="str">
        <f t="shared" si="13"/>
        <v>CHECK</v>
      </c>
      <c r="U336" s="66" t="str">
        <f t="shared" si="11"/>
        <v>CHECK</v>
      </c>
      <c r="V336" s="66"/>
      <c r="W336" s="66"/>
    </row>
    <row r="337" spans="1:23" x14ac:dyDescent="0.25">
      <c r="A337" s="111" t="s">
        <v>742</v>
      </c>
      <c r="B337" s="113" t="s">
        <v>803</v>
      </c>
      <c r="C337" s="111" t="s">
        <v>804</v>
      </c>
      <c r="D337" s="111" t="s">
        <v>744</v>
      </c>
      <c r="E337" s="111" t="s">
        <v>745</v>
      </c>
      <c r="F337" s="66" t="str">
        <f t="shared" si="10"/>
        <v>CHECK</v>
      </c>
      <c r="G337" s="66" t="str">
        <f t="shared" si="13"/>
        <v>CHECK</v>
      </c>
      <c r="H337" s="66" t="str">
        <f t="shared" si="13"/>
        <v>CHECK</v>
      </c>
      <c r="I337" s="66" t="str">
        <f t="shared" si="13"/>
        <v>CHECK</v>
      </c>
      <c r="J337" s="66" t="str">
        <f t="shared" si="13"/>
        <v>CHECK</v>
      </c>
      <c r="K337" s="66" t="str">
        <f t="shared" si="13"/>
        <v>CHECK</v>
      </c>
      <c r="L337" s="66" t="str">
        <f t="shared" si="13"/>
        <v>CHECK</v>
      </c>
      <c r="M337" s="66" t="str">
        <f t="shared" si="13"/>
        <v>CHECK</v>
      </c>
      <c r="N337" s="66" t="str">
        <f t="shared" si="13"/>
        <v>CHECK</v>
      </c>
      <c r="O337" s="66" t="str">
        <f t="shared" si="13"/>
        <v>CHECK</v>
      </c>
      <c r="P337" s="66" t="str">
        <f t="shared" si="13"/>
        <v>CHECK</v>
      </c>
      <c r="Q337" s="66" t="str">
        <f t="shared" si="13"/>
        <v>CHECK</v>
      </c>
      <c r="R337" s="66" t="str">
        <f t="shared" si="13"/>
        <v>CHECK</v>
      </c>
      <c r="S337" s="66" t="str">
        <f t="shared" si="13"/>
        <v>CHECK</v>
      </c>
      <c r="T337" s="66" t="str">
        <f t="shared" si="13"/>
        <v>CHECK</v>
      </c>
      <c r="U337" s="66" t="str">
        <f t="shared" si="11"/>
        <v>CHECK</v>
      </c>
      <c r="V337" s="66"/>
      <c r="W337" s="66"/>
    </row>
    <row r="338" spans="1:23" x14ac:dyDescent="0.25">
      <c r="A338" s="111" t="s">
        <v>742</v>
      </c>
      <c r="B338" s="113" t="s">
        <v>805</v>
      </c>
      <c r="C338" s="111" t="s">
        <v>558</v>
      </c>
      <c r="D338" s="111" t="s">
        <v>744</v>
      </c>
      <c r="E338" s="111" t="s">
        <v>745</v>
      </c>
      <c r="F338" s="66" t="str">
        <f t="shared" si="10"/>
        <v>CHECK</v>
      </c>
      <c r="G338" s="66" t="str">
        <f t="shared" si="13"/>
        <v>CHECK</v>
      </c>
      <c r="H338" s="66" t="str">
        <f t="shared" si="13"/>
        <v>CHECK</v>
      </c>
      <c r="I338" s="66" t="str">
        <f t="shared" si="13"/>
        <v>CHECK</v>
      </c>
      <c r="J338" s="66" t="str">
        <f t="shared" si="13"/>
        <v>CHECK</v>
      </c>
      <c r="K338" s="66" t="str">
        <f t="shared" si="13"/>
        <v>CHECK</v>
      </c>
      <c r="L338" s="66" t="str">
        <f t="shared" si="13"/>
        <v>CHECK</v>
      </c>
      <c r="M338" s="66" t="str">
        <f t="shared" si="13"/>
        <v>CHECK</v>
      </c>
      <c r="N338" s="66" t="str">
        <f t="shared" si="13"/>
        <v>CHECK</v>
      </c>
      <c r="O338" s="66" t="str">
        <f t="shared" si="13"/>
        <v>CHECK</v>
      </c>
      <c r="P338" s="66" t="str">
        <f t="shared" si="13"/>
        <v>CHECK</v>
      </c>
      <c r="Q338" s="66" t="str">
        <f t="shared" si="13"/>
        <v>CHECK</v>
      </c>
      <c r="R338" s="66" t="str">
        <f t="shared" si="13"/>
        <v>CHECK</v>
      </c>
      <c r="S338" s="66" t="str">
        <f t="shared" si="13"/>
        <v>CHECK</v>
      </c>
      <c r="T338" s="66" t="str">
        <f t="shared" si="13"/>
        <v>CHECK</v>
      </c>
      <c r="U338" s="66" t="str">
        <f t="shared" si="11"/>
        <v>CHECK</v>
      </c>
      <c r="V338" s="66"/>
      <c r="W338" s="66"/>
    </row>
    <row r="339" spans="1:23" x14ac:dyDescent="0.25">
      <c r="A339" s="111" t="s">
        <v>742</v>
      </c>
      <c r="B339" s="113" t="s">
        <v>806</v>
      </c>
      <c r="C339" s="111" t="s">
        <v>807</v>
      </c>
      <c r="D339" s="111" t="s">
        <v>744</v>
      </c>
      <c r="E339" s="111" t="s">
        <v>745</v>
      </c>
      <c r="F339" s="66" t="str">
        <f t="shared" si="10"/>
        <v>CHECK</v>
      </c>
      <c r="G339" s="66" t="str">
        <f t="shared" si="13"/>
        <v>CHECK</v>
      </c>
      <c r="H339" s="66" t="str">
        <f t="shared" si="13"/>
        <v>CHECK</v>
      </c>
      <c r="I339" s="66" t="str">
        <f t="shared" si="13"/>
        <v>CHECK</v>
      </c>
      <c r="J339" s="66" t="str">
        <f t="shared" si="13"/>
        <v>CHECK</v>
      </c>
      <c r="K339" s="66" t="str">
        <f t="shared" si="13"/>
        <v>CHECK</v>
      </c>
      <c r="L339" s="66" t="str">
        <f t="shared" si="13"/>
        <v>CHECK</v>
      </c>
      <c r="M339" s="66" t="str">
        <f t="shared" si="13"/>
        <v>CHECK</v>
      </c>
      <c r="N339" s="66" t="str">
        <f t="shared" si="13"/>
        <v>CHECK</v>
      </c>
      <c r="O339" s="66" t="str">
        <f t="shared" si="13"/>
        <v>CHECK</v>
      </c>
      <c r="P339" s="66" t="str">
        <f t="shared" si="13"/>
        <v>CHECK</v>
      </c>
      <c r="Q339" s="66" t="str">
        <f t="shared" si="13"/>
        <v>CHECK</v>
      </c>
      <c r="R339" s="66" t="str">
        <f t="shared" si="13"/>
        <v>CHECK</v>
      </c>
      <c r="S339" s="66" t="str">
        <f t="shared" si="13"/>
        <v>CHECK</v>
      </c>
      <c r="T339" s="66" t="str">
        <f t="shared" si="13"/>
        <v>CHECK</v>
      </c>
      <c r="U339" s="66" t="str">
        <f t="shared" si="11"/>
        <v>CHECK</v>
      </c>
      <c r="V339" s="66"/>
      <c r="W339" s="66"/>
    </row>
    <row r="340" spans="1:23" x14ac:dyDescent="0.25">
      <c r="A340" s="111" t="s">
        <v>742</v>
      </c>
      <c r="B340" s="113" t="s">
        <v>808</v>
      </c>
      <c r="C340" s="111" t="s">
        <v>756</v>
      </c>
      <c r="D340" s="111" t="s">
        <v>744</v>
      </c>
      <c r="E340" s="111" t="s">
        <v>745</v>
      </c>
      <c r="F340" s="66" t="str">
        <f t="shared" si="10"/>
        <v>CHECK</v>
      </c>
      <c r="G340" s="66" t="str">
        <f t="shared" si="13"/>
        <v>CHECK</v>
      </c>
      <c r="H340" s="66" t="str">
        <f t="shared" si="13"/>
        <v>CHECK</v>
      </c>
      <c r="I340" s="66" t="str">
        <f t="shared" si="13"/>
        <v>CHECK</v>
      </c>
      <c r="J340" s="66" t="str">
        <f t="shared" si="13"/>
        <v>CHECK</v>
      </c>
      <c r="K340" s="66" t="str">
        <f t="shared" si="13"/>
        <v>CHECK</v>
      </c>
      <c r="L340" s="66" t="str">
        <f t="shared" si="13"/>
        <v>CHECK</v>
      </c>
      <c r="M340" s="66" t="str">
        <f t="shared" si="13"/>
        <v>CHECK</v>
      </c>
      <c r="N340" s="66" t="str">
        <f t="shared" si="13"/>
        <v>CHECK</v>
      </c>
      <c r="O340" s="66" t="str">
        <f t="shared" si="13"/>
        <v>CHECK</v>
      </c>
      <c r="P340" s="66" t="str">
        <f t="shared" si="13"/>
        <v>CHECK</v>
      </c>
      <c r="Q340" s="66" t="str">
        <f t="shared" si="13"/>
        <v>CHECK</v>
      </c>
      <c r="R340" s="66" t="str">
        <f t="shared" si="13"/>
        <v>CHECK</v>
      </c>
      <c r="S340" s="66" t="str">
        <f t="shared" si="13"/>
        <v>CHECK</v>
      </c>
      <c r="T340" s="66" t="str">
        <f t="shared" si="13"/>
        <v>CHECK</v>
      </c>
      <c r="U340" s="66" t="str">
        <f t="shared" si="11"/>
        <v>CHECK</v>
      </c>
      <c r="V340" s="66"/>
      <c r="W340" s="66"/>
    </row>
    <row r="341" spans="1:23" x14ac:dyDescent="0.25">
      <c r="A341" s="10" t="s">
        <v>742</v>
      </c>
      <c r="B341" s="10" t="s">
        <v>809</v>
      </c>
      <c r="C341" s="10" t="s">
        <v>810</v>
      </c>
      <c r="D341" s="10" t="s">
        <v>744</v>
      </c>
      <c r="E341" s="10" t="s">
        <v>745</v>
      </c>
      <c r="F341" s="66" t="str">
        <f t="shared" si="10"/>
        <v>CHECK</v>
      </c>
      <c r="G341" s="66" t="str">
        <f t="shared" si="13"/>
        <v>CHECK</v>
      </c>
      <c r="H341" s="66" t="str">
        <f t="shared" si="13"/>
        <v>CHECK</v>
      </c>
      <c r="I341" s="66" t="str">
        <f t="shared" si="13"/>
        <v>CHECK</v>
      </c>
      <c r="J341" s="66" t="str">
        <f t="shared" si="13"/>
        <v>CHECK</v>
      </c>
      <c r="K341" s="66">
        <f t="shared" si="13"/>
        <v>0</v>
      </c>
      <c r="L341" s="66">
        <f t="shared" si="13"/>
        <v>0</v>
      </c>
      <c r="M341" s="66">
        <f t="shared" si="13"/>
        <v>0</v>
      </c>
      <c r="N341" s="66">
        <f t="shared" si="13"/>
        <v>0</v>
      </c>
      <c r="O341" s="66">
        <f t="shared" si="13"/>
        <v>0</v>
      </c>
      <c r="P341" s="66">
        <f t="shared" si="13"/>
        <v>0</v>
      </c>
      <c r="Q341" s="66">
        <f t="shared" si="13"/>
        <v>0</v>
      </c>
      <c r="R341" s="66">
        <f t="shared" si="13"/>
        <v>0</v>
      </c>
      <c r="S341" s="66">
        <f t="shared" si="13"/>
        <v>0</v>
      </c>
      <c r="T341" s="66">
        <f t="shared" si="13"/>
        <v>0</v>
      </c>
      <c r="U341" s="66">
        <f t="shared" si="11"/>
        <v>0</v>
      </c>
      <c r="V341" s="66"/>
      <c r="W341" s="66"/>
    </row>
    <row r="342" spans="1:23" x14ac:dyDescent="0.25">
      <c r="A342" s="111" t="s">
        <v>742</v>
      </c>
      <c r="B342" s="111" t="s">
        <v>811</v>
      </c>
      <c r="C342" s="111" t="s">
        <v>812</v>
      </c>
      <c r="D342" s="111" t="s">
        <v>744</v>
      </c>
      <c r="E342" s="111" t="s">
        <v>745</v>
      </c>
      <c r="F342" s="66" t="str">
        <f t="shared" si="10"/>
        <v>CHECK</v>
      </c>
      <c r="G342" s="66" t="str">
        <f t="shared" si="13"/>
        <v>CHECK</v>
      </c>
      <c r="H342" s="66" t="str">
        <f t="shared" si="13"/>
        <v>CHECK</v>
      </c>
      <c r="I342" s="66" t="str">
        <f t="shared" si="13"/>
        <v>CHECK</v>
      </c>
      <c r="J342" s="66" t="str">
        <f t="shared" si="13"/>
        <v>CHECK</v>
      </c>
      <c r="K342" s="66">
        <f t="shared" si="13"/>
        <v>0</v>
      </c>
      <c r="L342" s="66">
        <f t="shared" si="13"/>
        <v>0</v>
      </c>
      <c r="M342" s="66">
        <f t="shared" si="13"/>
        <v>0</v>
      </c>
      <c r="N342" s="66">
        <f t="shared" si="13"/>
        <v>0</v>
      </c>
      <c r="O342" s="66">
        <f t="shared" si="13"/>
        <v>0</v>
      </c>
      <c r="P342" s="66">
        <f t="shared" si="13"/>
        <v>0</v>
      </c>
      <c r="Q342" s="66">
        <f t="shared" si="13"/>
        <v>0</v>
      </c>
      <c r="R342" s="66">
        <f t="shared" si="13"/>
        <v>0</v>
      </c>
      <c r="S342" s="66">
        <f t="shared" si="13"/>
        <v>0</v>
      </c>
      <c r="T342" s="66">
        <f t="shared" si="13"/>
        <v>0</v>
      </c>
      <c r="U342" s="66">
        <f t="shared" si="11"/>
        <v>0</v>
      </c>
      <c r="V342" s="66"/>
      <c r="W342" s="66"/>
    </row>
    <row r="343" spans="1:23" x14ac:dyDescent="0.25">
      <c r="A343" s="111" t="s">
        <v>742</v>
      </c>
      <c r="B343" s="111" t="s">
        <v>813</v>
      </c>
      <c r="C343" s="111" t="s">
        <v>814</v>
      </c>
      <c r="D343" s="111" t="s">
        <v>744</v>
      </c>
      <c r="E343" s="111" t="s">
        <v>745</v>
      </c>
      <c r="F343" s="66" t="str">
        <f t="shared" si="10"/>
        <v>CHECK</v>
      </c>
      <c r="G343" s="66" t="str">
        <f t="shared" si="13"/>
        <v>CHECK</v>
      </c>
      <c r="H343" s="66" t="str">
        <f t="shared" si="13"/>
        <v>CHECK</v>
      </c>
      <c r="I343" s="66" t="str">
        <f t="shared" si="13"/>
        <v>CHECK</v>
      </c>
      <c r="J343" s="66" t="str">
        <f t="shared" si="13"/>
        <v>CHECK</v>
      </c>
      <c r="K343" s="66" t="str">
        <f t="shared" si="13"/>
        <v>CHECK</v>
      </c>
      <c r="L343" s="66" t="str">
        <f t="shared" si="13"/>
        <v>CHECK</v>
      </c>
      <c r="M343" s="66" t="str">
        <f t="shared" si="13"/>
        <v>CHECK</v>
      </c>
      <c r="N343" s="66" t="str">
        <f t="shared" si="13"/>
        <v>CHECK</v>
      </c>
      <c r="O343" s="66" t="str">
        <f t="shared" si="13"/>
        <v>CHECK</v>
      </c>
      <c r="P343" s="66" t="str">
        <f t="shared" si="13"/>
        <v>CHECK</v>
      </c>
      <c r="Q343" s="66">
        <f t="shared" si="13"/>
        <v>0</v>
      </c>
      <c r="R343" s="66">
        <f t="shared" si="13"/>
        <v>0</v>
      </c>
      <c r="S343" s="66">
        <f t="shared" si="13"/>
        <v>0</v>
      </c>
      <c r="T343" s="66">
        <f t="shared" si="13"/>
        <v>0</v>
      </c>
      <c r="U343" s="66">
        <f t="shared" si="11"/>
        <v>0</v>
      </c>
      <c r="V343" s="66"/>
      <c r="W343" s="66"/>
    </row>
    <row r="344" spans="1:23" x14ac:dyDescent="0.25">
      <c r="A344" s="111" t="s">
        <v>742</v>
      </c>
      <c r="B344" s="111" t="s">
        <v>815</v>
      </c>
      <c r="C344" s="111" t="s">
        <v>816</v>
      </c>
      <c r="D344" s="111" t="s">
        <v>744</v>
      </c>
      <c r="E344" s="111" t="s">
        <v>745</v>
      </c>
      <c r="F344" s="66" t="str">
        <f t="shared" si="10"/>
        <v>CHECK</v>
      </c>
      <c r="G344" s="66" t="str">
        <f t="shared" si="13"/>
        <v>CHECK</v>
      </c>
      <c r="H344" s="66" t="str">
        <f t="shared" si="13"/>
        <v>CHECK</v>
      </c>
      <c r="I344" s="66" t="str">
        <f t="shared" si="13"/>
        <v>CHECK</v>
      </c>
      <c r="J344" s="66" t="str">
        <f t="shared" si="13"/>
        <v>CHECK</v>
      </c>
      <c r="K344" s="66" t="str">
        <f t="shared" si="13"/>
        <v>CHECK</v>
      </c>
      <c r="L344" s="66" t="str">
        <f t="shared" si="13"/>
        <v>CHECK</v>
      </c>
      <c r="M344" s="66" t="str">
        <f t="shared" si="13"/>
        <v>CHECK</v>
      </c>
      <c r="N344" s="66" t="str">
        <f t="shared" si="13"/>
        <v>CHECK</v>
      </c>
      <c r="O344" s="66" t="str">
        <f t="shared" si="13"/>
        <v>CHECK</v>
      </c>
      <c r="P344" s="66" t="str">
        <f t="shared" si="13"/>
        <v>CHECK</v>
      </c>
      <c r="Q344" s="66">
        <f t="shared" si="13"/>
        <v>0</v>
      </c>
      <c r="R344" s="66">
        <f t="shared" si="13"/>
        <v>0</v>
      </c>
      <c r="S344" s="66">
        <f t="shared" si="13"/>
        <v>0</v>
      </c>
      <c r="T344" s="66">
        <f t="shared" si="13"/>
        <v>0</v>
      </c>
      <c r="U344" s="66">
        <f t="shared" si="11"/>
        <v>0</v>
      </c>
      <c r="V344" s="66"/>
      <c r="W344" s="66"/>
    </row>
    <row r="345" spans="1:23" x14ac:dyDescent="0.25">
      <c r="A345" s="111" t="s">
        <v>742</v>
      </c>
      <c r="B345" s="111" t="s">
        <v>817</v>
      </c>
      <c r="C345" s="111" t="s">
        <v>565</v>
      </c>
      <c r="D345" s="111" t="s">
        <v>744</v>
      </c>
      <c r="E345" s="111" t="s">
        <v>745</v>
      </c>
      <c r="F345" s="66" t="str">
        <f t="shared" si="10"/>
        <v>CHECK</v>
      </c>
      <c r="G345" s="66" t="str">
        <f t="shared" si="13"/>
        <v>CHECK</v>
      </c>
      <c r="H345" s="66" t="str">
        <f t="shared" si="13"/>
        <v>CHECK</v>
      </c>
      <c r="I345" s="66" t="str">
        <f t="shared" si="13"/>
        <v>CHECK</v>
      </c>
      <c r="J345" s="66" t="str">
        <f t="shared" si="13"/>
        <v>CHECK</v>
      </c>
      <c r="K345" s="66" t="str">
        <f t="shared" si="13"/>
        <v>CHECK</v>
      </c>
      <c r="L345" s="66" t="str">
        <f t="shared" si="13"/>
        <v>CHECK</v>
      </c>
      <c r="M345" s="66" t="str">
        <f t="shared" si="13"/>
        <v>CHECK</v>
      </c>
      <c r="N345" s="66" t="str">
        <f t="shared" si="13"/>
        <v>CHECK</v>
      </c>
      <c r="O345" s="66" t="str">
        <f t="shared" si="13"/>
        <v>CHECK</v>
      </c>
      <c r="P345" s="66" t="str">
        <f t="shared" si="13"/>
        <v>CHECK</v>
      </c>
      <c r="Q345" s="66">
        <f t="shared" si="13"/>
        <v>0</v>
      </c>
      <c r="R345" s="66">
        <f t="shared" si="13"/>
        <v>0</v>
      </c>
      <c r="S345" s="66">
        <f t="shared" si="13"/>
        <v>0</v>
      </c>
      <c r="T345" s="66">
        <f t="shared" si="13"/>
        <v>0</v>
      </c>
      <c r="U345" s="66">
        <f t="shared" si="11"/>
        <v>0</v>
      </c>
      <c r="V345" s="66"/>
      <c r="W345" s="66"/>
    </row>
    <row r="346" spans="1:23" x14ac:dyDescent="0.25">
      <c r="A346" s="111" t="s">
        <v>742</v>
      </c>
      <c r="B346" s="111" t="s">
        <v>818</v>
      </c>
      <c r="C346" s="111" t="s">
        <v>566</v>
      </c>
      <c r="D346" s="111" t="s">
        <v>744</v>
      </c>
      <c r="E346" s="111" t="s">
        <v>745</v>
      </c>
      <c r="F346" s="66" t="str">
        <f t="shared" si="10"/>
        <v>CHECK</v>
      </c>
      <c r="G346" s="66" t="str">
        <f t="shared" si="13"/>
        <v>CHECK</v>
      </c>
      <c r="H346" s="66" t="str">
        <f t="shared" si="13"/>
        <v>CHECK</v>
      </c>
      <c r="I346" s="66" t="str">
        <f t="shared" si="13"/>
        <v>CHECK</v>
      </c>
      <c r="J346" s="66" t="str">
        <f t="shared" si="13"/>
        <v>CHECK</v>
      </c>
      <c r="K346" s="66" t="str">
        <f t="shared" si="13"/>
        <v>CHECK</v>
      </c>
      <c r="L346" s="66" t="str">
        <f t="shared" si="13"/>
        <v>CHECK</v>
      </c>
      <c r="M346" s="66" t="str">
        <f t="shared" si="13"/>
        <v>CHECK</v>
      </c>
      <c r="N346" s="66" t="str">
        <f t="shared" si="13"/>
        <v>CHECK</v>
      </c>
      <c r="O346" s="66" t="str">
        <f t="shared" si="13"/>
        <v>CHECK</v>
      </c>
      <c r="P346" s="66" t="str">
        <f t="shared" si="13"/>
        <v>CHECK</v>
      </c>
      <c r="Q346" s="66" t="str">
        <f t="shared" si="13"/>
        <v>CHECK</v>
      </c>
      <c r="R346" s="66" t="str">
        <f t="shared" si="13"/>
        <v>CHECK</v>
      </c>
      <c r="S346" s="66" t="str">
        <f t="shared" si="13"/>
        <v>CHECK</v>
      </c>
      <c r="T346" s="66" t="str">
        <f t="shared" si="13"/>
        <v>CHECK</v>
      </c>
      <c r="U346" s="66" t="str">
        <f t="shared" si="11"/>
        <v>CHECK</v>
      </c>
      <c r="V346" s="66"/>
      <c r="W346" s="66"/>
    </row>
    <row r="347" spans="1:23" x14ac:dyDescent="0.25">
      <c r="A347" s="111" t="s">
        <v>742</v>
      </c>
      <c r="B347" s="111" t="s">
        <v>819</v>
      </c>
      <c r="C347" s="111" t="s">
        <v>820</v>
      </c>
      <c r="D347" s="111" t="s">
        <v>744</v>
      </c>
      <c r="E347" s="111" t="s">
        <v>745</v>
      </c>
      <c r="F347" s="66" t="str">
        <f t="shared" si="10"/>
        <v>CHECK</v>
      </c>
      <c r="G347" s="66" t="str">
        <f t="shared" si="13"/>
        <v>CHECK</v>
      </c>
      <c r="H347" s="66" t="str">
        <f t="shared" si="13"/>
        <v>CHECK</v>
      </c>
      <c r="I347" s="66" t="str">
        <f t="shared" si="13"/>
        <v>CHECK</v>
      </c>
      <c r="J347" s="66" t="str">
        <f t="shared" si="13"/>
        <v>CHECK</v>
      </c>
      <c r="K347" s="66" t="str">
        <f t="shared" si="13"/>
        <v>CHECK</v>
      </c>
      <c r="L347" s="66" t="str">
        <f t="shared" si="13"/>
        <v>CHECK</v>
      </c>
      <c r="M347" s="66" t="str">
        <f t="shared" si="13"/>
        <v>CHECK</v>
      </c>
      <c r="N347" s="66" t="str">
        <f t="shared" si="13"/>
        <v>CHECK</v>
      </c>
      <c r="O347" s="66" t="str">
        <f t="shared" si="13"/>
        <v>CHECK</v>
      </c>
      <c r="P347" s="66" t="str">
        <f t="shared" si="13"/>
        <v>CHECK</v>
      </c>
      <c r="Q347" s="66" t="str">
        <f t="shared" si="13"/>
        <v>CHECK</v>
      </c>
      <c r="R347" s="66" t="str">
        <f t="shared" si="13"/>
        <v>CHECK</v>
      </c>
      <c r="S347" s="66" t="str">
        <f t="shared" si="13"/>
        <v>CHECK</v>
      </c>
      <c r="T347" s="66" t="str">
        <f t="shared" si="13"/>
        <v>CHECK</v>
      </c>
      <c r="U347" s="66" t="str">
        <f t="shared" si="11"/>
        <v>CHECK</v>
      </c>
      <c r="V347" s="66"/>
      <c r="W347" s="66"/>
    </row>
    <row r="348" spans="1:23" x14ac:dyDescent="0.25">
      <c r="A348" s="10" t="s">
        <v>742</v>
      </c>
      <c r="B348" s="10" t="s">
        <v>821</v>
      </c>
      <c r="C348" s="10" t="s">
        <v>568</v>
      </c>
      <c r="D348" s="10" t="s">
        <v>744</v>
      </c>
      <c r="E348" s="10" t="s">
        <v>745</v>
      </c>
      <c r="F348" s="66" t="str">
        <f t="shared" si="10"/>
        <v>CHECK</v>
      </c>
      <c r="G348" s="66" t="str">
        <f t="shared" si="13"/>
        <v>CHECK</v>
      </c>
      <c r="H348" s="66" t="str">
        <f t="shared" si="13"/>
        <v>CHECK</v>
      </c>
      <c r="I348" s="66" t="str">
        <f t="shared" si="13"/>
        <v>CHECK</v>
      </c>
      <c r="J348" s="66" t="str">
        <f t="shared" si="13"/>
        <v>CHECK</v>
      </c>
      <c r="K348" s="66" t="str">
        <f t="shared" si="13"/>
        <v>CHECK</v>
      </c>
      <c r="L348" s="66" t="str">
        <f t="shared" si="13"/>
        <v>CHECK</v>
      </c>
      <c r="M348" s="66" t="str">
        <f t="shared" si="13"/>
        <v>CHECK</v>
      </c>
      <c r="N348" s="66" t="str">
        <f t="shared" si="13"/>
        <v>CHECK</v>
      </c>
      <c r="O348" s="66" t="str">
        <f t="shared" si="13"/>
        <v>CHECK</v>
      </c>
      <c r="P348" s="66" t="str">
        <f t="shared" si="13"/>
        <v>CHECK</v>
      </c>
      <c r="Q348" s="66" t="str">
        <f t="shared" si="13"/>
        <v>CHECK</v>
      </c>
      <c r="R348" s="66" t="str">
        <f t="shared" si="13"/>
        <v>CHECK</v>
      </c>
      <c r="S348" s="66" t="str">
        <f t="shared" si="13"/>
        <v>CHECK</v>
      </c>
      <c r="T348" s="66" t="str">
        <f t="shared" si="13"/>
        <v>CHECK</v>
      </c>
      <c r="U348" s="66" t="str">
        <f t="shared" si="11"/>
        <v>CHECK</v>
      </c>
      <c r="V348" s="66"/>
      <c r="W348" s="66"/>
    </row>
    <row r="349" spans="1:23" x14ac:dyDescent="0.25">
      <c r="A349" s="111" t="s">
        <v>742</v>
      </c>
      <c r="B349" s="111" t="s">
        <v>822</v>
      </c>
      <c r="C349" s="111" t="s">
        <v>823</v>
      </c>
      <c r="D349" s="111" t="s">
        <v>744</v>
      </c>
      <c r="E349" s="111" t="s">
        <v>745</v>
      </c>
      <c r="F349" s="66" t="str">
        <f t="shared" si="10"/>
        <v>CHECK</v>
      </c>
      <c r="G349" s="66" t="str">
        <f t="shared" si="13"/>
        <v>CHECK</v>
      </c>
      <c r="H349" s="66" t="str">
        <f t="shared" si="13"/>
        <v>CHECK</v>
      </c>
      <c r="I349" s="66" t="str">
        <f t="shared" si="13"/>
        <v>CHECK</v>
      </c>
      <c r="J349" s="66" t="str">
        <f t="shared" si="13"/>
        <v>CHECK</v>
      </c>
      <c r="K349" s="66" t="str">
        <f t="shared" si="13"/>
        <v>CHECK</v>
      </c>
      <c r="L349" s="66" t="str">
        <f t="shared" si="13"/>
        <v>CHECK</v>
      </c>
      <c r="M349" s="66" t="str">
        <f t="shared" si="13"/>
        <v>CHECK</v>
      </c>
      <c r="N349" s="66" t="str">
        <f t="shared" si="13"/>
        <v>CHECK</v>
      </c>
      <c r="O349" s="66" t="str">
        <f t="shared" si="13"/>
        <v>CHECK</v>
      </c>
      <c r="P349" s="66" t="str">
        <f t="shared" si="13"/>
        <v>CHECK</v>
      </c>
      <c r="Q349" s="66" t="str">
        <f t="shared" si="13"/>
        <v>CHECK</v>
      </c>
      <c r="R349" s="66" t="str">
        <f t="shared" si="13"/>
        <v>CHECK</v>
      </c>
      <c r="S349" s="66" t="str">
        <f t="shared" si="13"/>
        <v>CHECK</v>
      </c>
      <c r="T349" s="66" t="str">
        <f t="shared" si="13"/>
        <v>CHECK</v>
      </c>
      <c r="U349" s="66" t="str">
        <f t="shared" si="11"/>
        <v>CHECK</v>
      </c>
      <c r="V349" s="66"/>
      <c r="W349" s="66"/>
    </row>
    <row r="350" spans="1:23" x14ac:dyDescent="0.25">
      <c r="A350" s="111" t="s">
        <v>742</v>
      </c>
      <c r="B350" s="111" t="s">
        <v>824</v>
      </c>
      <c r="C350" s="111" t="s">
        <v>825</v>
      </c>
      <c r="D350" s="111" t="s">
        <v>744</v>
      </c>
      <c r="E350" s="111" t="s">
        <v>745</v>
      </c>
      <c r="F350" s="66" t="str">
        <f t="shared" si="10"/>
        <v>CHECK</v>
      </c>
      <c r="G350" s="66" t="str">
        <f t="shared" si="13"/>
        <v>CHECK</v>
      </c>
      <c r="H350" s="66" t="str">
        <f t="shared" si="13"/>
        <v>CHECK</v>
      </c>
      <c r="I350" s="66" t="str">
        <f t="shared" si="13"/>
        <v>CHECK</v>
      </c>
      <c r="J350" s="66" t="str">
        <f t="shared" si="13"/>
        <v>CHECK</v>
      </c>
      <c r="K350" s="66" t="str">
        <f t="shared" si="13"/>
        <v>CHECK</v>
      </c>
      <c r="L350" s="66" t="str">
        <f t="shared" si="13"/>
        <v>CHECK</v>
      </c>
      <c r="M350" s="66" t="str">
        <f t="shared" si="13"/>
        <v>CHECK</v>
      </c>
      <c r="N350" s="66" t="str">
        <f t="shared" si="13"/>
        <v>CHECK</v>
      </c>
      <c r="O350" s="66" t="str">
        <f t="shared" si="13"/>
        <v>CHECK</v>
      </c>
      <c r="P350" s="66" t="str">
        <f t="shared" si="13"/>
        <v>CHECK</v>
      </c>
      <c r="Q350" s="66" t="str">
        <f t="shared" si="13"/>
        <v>CHECK</v>
      </c>
      <c r="R350" s="66" t="str">
        <f t="shared" si="13"/>
        <v>CHECK</v>
      </c>
      <c r="S350" s="66" t="str">
        <f t="shared" si="13"/>
        <v>CHECK</v>
      </c>
      <c r="T350" s="66" t="str">
        <f t="shared" si="13"/>
        <v>CHECK</v>
      </c>
      <c r="U350" s="66" t="str">
        <f t="shared" si="11"/>
        <v>CHECK</v>
      </c>
      <c r="V350" s="66"/>
      <c r="W350" s="66"/>
    </row>
    <row r="351" spans="1:23" x14ac:dyDescent="0.25">
      <c r="A351" s="111" t="s">
        <v>742</v>
      </c>
      <c r="B351" s="111" t="s">
        <v>826</v>
      </c>
      <c r="C351" s="111" t="s">
        <v>827</v>
      </c>
      <c r="D351" s="111" t="s">
        <v>744</v>
      </c>
      <c r="E351" s="111" t="s">
        <v>745</v>
      </c>
      <c r="F351" s="66" t="str">
        <f t="shared" si="10"/>
        <v>CHECK</v>
      </c>
      <c r="G351" s="66" t="str">
        <f t="shared" ref="G351:T356" si="14">IFERROR(((G51/G202)-1),"CHECK")</f>
        <v>CHECK</v>
      </c>
      <c r="H351" s="66" t="str">
        <f t="shared" si="14"/>
        <v>CHECK</v>
      </c>
      <c r="I351" s="66" t="str">
        <f t="shared" si="14"/>
        <v>CHECK</v>
      </c>
      <c r="J351" s="66" t="str">
        <f t="shared" si="14"/>
        <v>CHECK</v>
      </c>
      <c r="K351" s="66" t="str">
        <f t="shared" si="14"/>
        <v>CHECK</v>
      </c>
      <c r="L351" s="66" t="str">
        <f t="shared" si="14"/>
        <v>CHECK</v>
      </c>
      <c r="M351" s="66" t="str">
        <f t="shared" si="14"/>
        <v>CHECK</v>
      </c>
      <c r="N351" s="66" t="str">
        <f t="shared" si="14"/>
        <v>CHECK</v>
      </c>
      <c r="O351" s="66" t="str">
        <f t="shared" si="14"/>
        <v>CHECK</v>
      </c>
      <c r="P351" s="66" t="str">
        <f t="shared" si="14"/>
        <v>CHECK</v>
      </c>
      <c r="Q351" s="66" t="str">
        <f t="shared" si="14"/>
        <v>CHECK</v>
      </c>
      <c r="R351" s="66" t="str">
        <f t="shared" si="14"/>
        <v>CHECK</v>
      </c>
      <c r="S351" s="66" t="str">
        <f t="shared" si="14"/>
        <v>CHECK</v>
      </c>
      <c r="T351" s="66" t="str">
        <f t="shared" si="14"/>
        <v>CHECK</v>
      </c>
      <c r="U351" s="66" t="str">
        <f t="shared" si="11"/>
        <v>CHECK</v>
      </c>
      <c r="V351" s="66"/>
      <c r="W351" s="66"/>
    </row>
    <row r="352" spans="1:23" x14ac:dyDescent="0.25">
      <c r="A352" s="111" t="s">
        <v>742</v>
      </c>
      <c r="B352" s="111" t="s">
        <v>828</v>
      </c>
      <c r="C352" s="111" t="s">
        <v>756</v>
      </c>
      <c r="D352" s="111" t="s">
        <v>744</v>
      </c>
      <c r="E352" s="111" t="s">
        <v>745</v>
      </c>
      <c r="F352" s="66" t="str">
        <f t="shared" si="10"/>
        <v>CHECK</v>
      </c>
      <c r="G352" s="66" t="str">
        <f t="shared" si="14"/>
        <v>CHECK</v>
      </c>
      <c r="H352" s="66" t="str">
        <f t="shared" si="14"/>
        <v>CHECK</v>
      </c>
      <c r="I352" s="66" t="str">
        <f t="shared" si="14"/>
        <v>CHECK</v>
      </c>
      <c r="J352" s="66" t="str">
        <f t="shared" si="14"/>
        <v>CHECK</v>
      </c>
      <c r="K352" s="66" t="str">
        <f t="shared" si="14"/>
        <v>CHECK</v>
      </c>
      <c r="L352" s="66" t="str">
        <f t="shared" si="14"/>
        <v>CHECK</v>
      </c>
      <c r="M352" s="66" t="str">
        <f t="shared" si="14"/>
        <v>CHECK</v>
      </c>
      <c r="N352" s="66" t="str">
        <f t="shared" si="14"/>
        <v>CHECK</v>
      </c>
      <c r="O352" s="66" t="str">
        <f t="shared" si="14"/>
        <v>CHECK</v>
      </c>
      <c r="P352" s="66" t="str">
        <f t="shared" si="14"/>
        <v>CHECK</v>
      </c>
      <c r="Q352" s="66" t="str">
        <f t="shared" si="14"/>
        <v>CHECK</v>
      </c>
      <c r="R352" s="66" t="str">
        <f t="shared" si="14"/>
        <v>CHECK</v>
      </c>
      <c r="S352" s="66" t="str">
        <f t="shared" si="14"/>
        <v>CHECK</v>
      </c>
      <c r="T352" s="66" t="str">
        <f t="shared" si="14"/>
        <v>CHECK</v>
      </c>
      <c r="U352" s="66" t="str">
        <f t="shared" si="11"/>
        <v>CHECK</v>
      </c>
      <c r="V352" s="66"/>
      <c r="W352" s="66"/>
    </row>
    <row r="353" spans="1:23" x14ac:dyDescent="0.25">
      <c r="A353" s="10" t="s">
        <v>742</v>
      </c>
      <c r="B353" s="10" t="s">
        <v>829</v>
      </c>
      <c r="C353" s="10" t="s">
        <v>574</v>
      </c>
      <c r="D353" s="10" t="s">
        <v>744</v>
      </c>
      <c r="E353" s="10" t="s">
        <v>745</v>
      </c>
      <c r="F353" s="66" t="str">
        <f t="shared" si="10"/>
        <v>CHECK</v>
      </c>
      <c r="G353" s="66" t="str">
        <f t="shared" si="14"/>
        <v>CHECK</v>
      </c>
      <c r="H353" s="66" t="str">
        <f t="shared" si="14"/>
        <v>CHECK</v>
      </c>
      <c r="I353" s="66" t="str">
        <f t="shared" si="14"/>
        <v>CHECK</v>
      </c>
      <c r="J353" s="66" t="str">
        <f t="shared" si="14"/>
        <v>CHECK</v>
      </c>
      <c r="K353" s="66" t="str">
        <f t="shared" si="14"/>
        <v>CHECK</v>
      </c>
      <c r="L353" s="66" t="str">
        <f t="shared" si="14"/>
        <v>CHECK</v>
      </c>
      <c r="M353" s="66" t="str">
        <f t="shared" si="14"/>
        <v>CHECK</v>
      </c>
      <c r="N353" s="66" t="str">
        <f t="shared" si="14"/>
        <v>CHECK</v>
      </c>
      <c r="O353" s="66" t="str">
        <f t="shared" si="14"/>
        <v>CHECK</v>
      </c>
      <c r="P353" s="66" t="str">
        <f t="shared" si="14"/>
        <v>CHECK</v>
      </c>
      <c r="Q353" s="66" t="str">
        <f t="shared" si="14"/>
        <v>CHECK</v>
      </c>
      <c r="R353" s="66" t="str">
        <f t="shared" si="14"/>
        <v>CHECK</v>
      </c>
      <c r="S353" s="66" t="str">
        <f t="shared" si="14"/>
        <v>CHECK</v>
      </c>
      <c r="T353" s="66" t="str">
        <f t="shared" si="14"/>
        <v>CHECK</v>
      </c>
      <c r="U353" s="66" t="str">
        <f t="shared" si="11"/>
        <v>CHECK</v>
      </c>
      <c r="V353" s="66"/>
      <c r="W353" s="66"/>
    </row>
    <row r="354" spans="1:23" x14ac:dyDescent="0.25">
      <c r="A354" s="111" t="s">
        <v>742</v>
      </c>
      <c r="B354" s="111" t="s">
        <v>830</v>
      </c>
      <c r="C354" s="111" t="s">
        <v>831</v>
      </c>
      <c r="D354" s="111" t="s">
        <v>744</v>
      </c>
      <c r="E354" s="111" t="s">
        <v>745</v>
      </c>
      <c r="F354" s="66" t="str">
        <f t="shared" si="10"/>
        <v>CHECK</v>
      </c>
      <c r="G354" s="66" t="str">
        <f t="shared" si="14"/>
        <v>CHECK</v>
      </c>
      <c r="H354" s="66" t="str">
        <f t="shared" si="14"/>
        <v>CHECK</v>
      </c>
      <c r="I354" s="66" t="str">
        <f t="shared" si="14"/>
        <v>CHECK</v>
      </c>
      <c r="J354" s="66" t="str">
        <f t="shared" si="14"/>
        <v>CHECK</v>
      </c>
      <c r="K354" s="66" t="str">
        <f t="shared" si="14"/>
        <v>CHECK</v>
      </c>
      <c r="L354" s="66" t="str">
        <f t="shared" si="14"/>
        <v>CHECK</v>
      </c>
      <c r="M354" s="66" t="str">
        <f t="shared" si="14"/>
        <v>CHECK</v>
      </c>
      <c r="N354" s="66" t="str">
        <f t="shared" si="14"/>
        <v>CHECK</v>
      </c>
      <c r="O354" s="66" t="str">
        <f t="shared" si="14"/>
        <v>CHECK</v>
      </c>
      <c r="P354" s="66" t="str">
        <f t="shared" si="14"/>
        <v>CHECK</v>
      </c>
      <c r="Q354" s="66" t="str">
        <f t="shared" si="14"/>
        <v>CHECK</v>
      </c>
      <c r="R354" s="66" t="str">
        <f t="shared" si="14"/>
        <v>CHECK</v>
      </c>
      <c r="S354" s="66" t="str">
        <f t="shared" si="14"/>
        <v>CHECK</v>
      </c>
      <c r="T354" s="66" t="str">
        <f t="shared" si="14"/>
        <v>CHECK</v>
      </c>
      <c r="U354" s="66" t="str">
        <f t="shared" si="11"/>
        <v>CHECK</v>
      </c>
      <c r="V354" s="66"/>
      <c r="W354" s="66"/>
    </row>
    <row r="355" spans="1:23" x14ac:dyDescent="0.25">
      <c r="A355" s="111" t="s">
        <v>742</v>
      </c>
      <c r="B355" s="111" t="s">
        <v>832</v>
      </c>
      <c r="C355" s="111" t="s">
        <v>833</v>
      </c>
      <c r="D355" s="111" t="s">
        <v>744</v>
      </c>
      <c r="E355" s="111" t="s">
        <v>745</v>
      </c>
      <c r="F355" s="66" t="str">
        <f t="shared" si="10"/>
        <v>CHECK</v>
      </c>
      <c r="G355" s="66" t="str">
        <f t="shared" si="14"/>
        <v>CHECK</v>
      </c>
      <c r="H355" s="66" t="str">
        <f t="shared" si="14"/>
        <v>CHECK</v>
      </c>
      <c r="I355" s="66" t="str">
        <f t="shared" si="14"/>
        <v>CHECK</v>
      </c>
      <c r="J355" s="66" t="str">
        <f t="shared" si="14"/>
        <v>CHECK</v>
      </c>
      <c r="K355" s="66" t="str">
        <f t="shared" si="14"/>
        <v>CHECK</v>
      </c>
      <c r="L355" s="66" t="str">
        <f t="shared" si="14"/>
        <v>CHECK</v>
      </c>
      <c r="M355" s="66" t="str">
        <f t="shared" si="14"/>
        <v>CHECK</v>
      </c>
      <c r="N355" s="66" t="str">
        <f t="shared" si="14"/>
        <v>CHECK</v>
      </c>
      <c r="O355" s="66" t="str">
        <f t="shared" si="14"/>
        <v>CHECK</v>
      </c>
      <c r="P355" s="66" t="str">
        <f t="shared" si="14"/>
        <v>CHECK</v>
      </c>
      <c r="Q355" s="66" t="str">
        <f t="shared" si="14"/>
        <v>CHECK</v>
      </c>
      <c r="R355" s="66" t="str">
        <f t="shared" si="14"/>
        <v>CHECK</v>
      </c>
      <c r="S355" s="66" t="str">
        <f t="shared" si="14"/>
        <v>CHECK</v>
      </c>
      <c r="T355" s="66" t="str">
        <f t="shared" si="14"/>
        <v>CHECK</v>
      </c>
      <c r="U355" s="66" t="str">
        <f t="shared" si="11"/>
        <v>CHECK</v>
      </c>
      <c r="V355" s="66"/>
      <c r="W355" s="66"/>
    </row>
    <row r="356" spans="1:23" x14ac:dyDescent="0.25">
      <c r="A356" s="111" t="s">
        <v>742</v>
      </c>
      <c r="B356" s="111" t="s">
        <v>834</v>
      </c>
      <c r="C356" s="111" t="s">
        <v>756</v>
      </c>
      <c r="D356" s="111" t="s">
        <v>744</v>
      </c>
      <c r="E356" s="111" t="s">
        <v>745</v>
      </c>
      <c r="F356" s="66" t="str">
        <f t="shared" si="10"/>
        <v>CHECK</v>
      </c>
      <c r="G356" s="66" t="str">
        <f t="shared" si="14"/>
        <v>CHECK</v>
      </c>
      <c r="H356" s="66" t="str">
        <f t="shared" si="14"/>
        <v>CHECK</v>
      </c>
      <c r="I356" s="66" t="str">
        <f t="shared" si="14"/>
        <v>CHECK</v>
      </c>
      <c r="J356" s="66" t="str">
        <f t="shared" si="14"/>
        <v>CHECK</v>
      </c>
      <c r="K356" s="66" t="str">
        <f t="shared" si="14"/>
        <v>CHECK</v>
      </c>
      <c r="L356" s="66" t="str">
        <f t="shared" si="14"/>
        <v>CHECK</v>
      </c>
      <c r="M356" s="66" t="str">
        <f t="shared" si="14"/>
        <v>CHECK</v>
      </c>
      <c r="N356" s="66" t="str">
        <f t="shared" si="14"/>
        <v>CHECK</v>
      </c>
      <c r="O356" s="66" t="str">
        <f t="shared" si="14"/>
        <v>CHECK</v>
      </c>
      <c r="P356" s="66" t="str">
        <f t="shared" si="14"/>
        <v>CHECK</v>
      </c>
      <c r="Q356" s="66" t="str">
        <f t="shared" si="14"/>
        <v>CHECK</v>
      </c>
      <c r="R356" s="66" t="str">
        <f t="shared" si="14"/>
        <v>CHECK</v>
      </c>
      <c r="S356" s="66" t="str">
        <f t="shared" si="14"/>
        <v>CHECK</v>
      </c>
      <c r="T356" s="66" t="str">
        <f t="shared" si="14"/>
        <v>CHECK</v>
      </c>
      <c r="U356" s="66" t="str">
        <f t="shared" si="11"/>
        <v>CHECK</v>
      </c>
      <c r="V356" s="66"/>
      <c r="W356" s="66"/>
    </row>
    <row r="358" spans="1:23" x14ac:dyDescent="0.25">
      <c r="C358" s="10" t="s">
        <v>846</v>
      </c>
      <c r="F358" s="66"/>
      <c r="G358" s="66"/>
      <c r="H358" s="66"/>
      <c r="I358" s="66"/>
      <c r="J358" s="66"/>
      <c r="K358" s="66"/>
      <c r="L358" s="66"/>
      <c r="M358" s="66"/>
      <c r="N358" s="66"/>
      <c r="O358" s="66"/>
      <c r="P358" s="66"/>
      <c r="Q358" s="66"/>
      <c r="R358" s="66"/>
      <c r="S358" s="66"/>
      <c r="T358" s="66"/>
    </row>
    <row r="359" spans="1:23" x14ac:dyDescent="0.25">
      <c r="A359" s="10" t="s">
        <v>742</v>
      </c>
      <c r="B359" s="109">
        <v>2</v>
      </c>
      <c r="C359" s="110" t="s">
        <v>743</v>
      </c>
      <c r="D359" s="10" t="s">
        <v>836</v>
      </c>
      <c r="E359" s="10" t="s">
        <v>745</v>
      </c>
      <c r="F359" s="66">
        <f t="shared" ref="F359:U374" si="15">IFERROR(((F59/F210)-1),"CHECK")</f>
        <v>0</v>
      </c>
      <c r="G359" s="66">
        <f t="shared" si="15"/>
        <v>0</v>
      </c>
      <c r="H359" s="66">
        <f t="shared" si="15"/>
        <v>0</v>
      </c>
      <c r="I359" s="66">
        <f t="shared" si="15"/>
        <v>0</v>
      </c>
      <c r="J359" s="66">
        <f t="shared" si="15"/>
        <v>0</v>
      </c>
      <c r="K359" s="66">
        <f t="shared" si="15"/>
        <v>0</v>
      </c>
      <c r="L359" s="66">
        <f t="shared" si="15"/>
        <v>0</v>
      </c>
      <c r="M359" s="66">
        <f t="shared" si="15"/>
        <v>0</v>
      </c>
      <c r="N359" s="66">
        <f t="shared" si="15"/>
        <v>0</v>
      </c>
      <c r="O359" s="66">
        <f t="shared" si="15"/>
        <v>0</v>
      </c>
      <c r="P359" s="66">
        <f t="shared" si="15"/>
        <v>0</v>
      </c>
      <c r="Q359" s="66">
        <f t="shared" si="15"/>
        <v>0</v>
      </c>
      <c r="R359" s="66">
        <f t="shared" si="15"/>
        <v>0</v>
      </c>
      <c r="S359" s="66">
        <f t="shared" si="15"/>
        <v>0</v>
      </c>
      <c r="T359" s="66">
        <f t="shared" si="15"/>
        <v>0</v>
      </c>
      <c r="U359" s="66">
        <f t="shared" si="15"/>
        <v>0</v>
      </c>
    </row>
    <row r="360" spans="1:23" x14ac:dyDescent="0.25">
      <c r="A360" s="10" t="s">
        <v>742</v>
      </c>
      <c r="B360" s="10" t="s">
        <v>746</v>
      </c>
      <c r="C360" s="10" t="s">
        <v>508</v>
      </c>
      <c r="D360" s="10" t="s">
        <v>836</v>
      </c>
      <c r="E360" s="10" t="s">
        <v>745</v>
      </c>
      <c r="F360" s="66">
        <f t="shared" si="15"/>
        <v>0</v>
      </c>
      <c r="G360" s="66">
        <f t="shared" si="15"/>
        <v>0</v>
      </c>
      <c r="H360" s="66">
        <f t="shared" si="15"/>
        <v>0</v>
      </c>
      <c r="I360" s="66">
        <f t="shared" si="15"/>
        <v>0</v>
      </c>
      <c r="J360" s="66">
        <f t="shared" si="15"/>
        <v>0</v>
      </c>
      <c r="K360" s="66">
        <f t="shared" si="15"/>
        <v>0</v>
      </c>
      <c r="L360" s="66">
        <f t="shared" si="15"/>
        <v>0</v>
      </c>
      <c r="M360" s="66">
        <f t="shared" si="15"/>
        <v>0</v>
      </c>
      <c r="N360" s="66">
        <f t="shared" si="15"/>
        <v>0</v>
      </c>
      <c r="O360" s="66">
        <f t="shared" si="15"/>
        <v>0</v>
      </c>
      <c r="P360" s="66">
        <f t="shared" si="15"/>
        <v>0</v>
      </c>
      <c r="Q360" s="66">
        <f t="shared" si="15"/>
        <v>0</v>
      </c>
      <c r="R360" s="66">
        <f t="shared" si="15"/>
        <v>0</v>
      </c>
      <c r="S360" s="66">
        <f t="shared" si="15"/>
        <v>0</v>
      </c>
      <c r="T360" s="66">
        <f t="shared" si="15"/>
        <v>0</v>
      </c>
      <c r="U360" s="66">
        <f t="shared" si="15"/>
        <v>0</v>
      </c>
    </row>
    <row r="361" spans="1:23" x14ac:dyDescent="0.25">
      <c r="A361" s="111" t="s">
        <v>742</v>
      </c>
      <c r="B361" s="111" t="s">
        <v>747</v>
      </c>
      <c r="C361" s="111" t="s">
        <v>748</v>
      </c>
      <c r="D361" s="111" t="s">
        <v>836</v>
      </c>
      <c r="E361" s="111" t="s">
        <v>745</v>
      </c>
      <c r="F361" s="66">
        <f t="shared" si="15"/>
        <v>0</v>
      </c>
      <c r="G361" s="66">
        <f t="shared" si="15"/>
        <v>0</v>
      </c>
      <c r="H361" s="66">
        <f t="shared" si="15"/>
        <v>0</v>
      </c>
      <c r="I361" s="66">
        <f t="shared" si="15"/>
        <v>0</v>
      </c>
      <c r="J361" s="66">
        <f t="shared" si="15"/>
        <v>0</v>
      </c>
      <c r="K361" s="66">
        <f t="shared" si="15"/>
        <v>0</v>
      </c>
      <c r="L361" s="66">
        <f t="shared" si="15"/>
        <v>0</v>
      </c>
      <c r="M361" s="66">
        <f t="shared" si="15"/>
        <v>0</v>
      </c>
      <c r="N361" s="66">
        <f t="shared" si="15"/>
        <v>0</v>
      </c>
      <c r="O361" s="66">
        <f t="shared" si="15"/>
        <v>0</v>
      </c>
      <c r="P361" s="66">
        <f t="shared" si="15"/>
        <v>0</v>
      </c>
      <c r="Q361" s="66">
        <f t="shared" si="15"/>
        <v>0</v>
      </c>
      <c r="R361" s="66">
        <f t="shared" si="15"/>
        <v>0</v>
      </c>
      <c r="S361" s="66">
        <f t="shared" si="15"/>
        <v>0</v>
      </c>
      <c r="T361" s="66">
        <f t="shared" si="15"/>
        <v>0</v>
      </c>
      <c r="U361" s="66">
        <f t="shared" si="15"/>
        <v>0</v>
      </c>
    </row>
    <row r="362" spans="1:23" x14ac:dyDescent="0.25">
      <c r="A362" s="111" t="s">
        <v>742</v>
      </c>
      <c r="B362" s="111" t="s">
        <v>749</v>
      </c>
      <c r="C362" s="111" t="s">
        <v>750</v>
      </c>
      <c r="D362" s="111" t="s">
        <v>836</v>
      </c>
      <c r="E362" s="111" t="s">
        <v>745</v>
      </c>
      <c r="F362" s="66">
        <f t="shared" si="15"/>
        <v>0</v>
      </c>
      <c r="G362" s="66">
        <f t="shared" si="15"/>
        <v>0</v>
      </c>
      <c r="H362" s="66">
        <f t="shared" si="15"/>
        <v>0</v>
      </c>
      <c r="I362" s="66">
        <f t="shared" si="15"/>
        <v>0</v>
      </c>
      <c r="J362" s="66">
        <f t="shared" si="15"/>
        <v>0</v>
      </c>
      <c r="K362" s="66">
        <f t="shared" si="15"/>
        <v>0</v>
      </c>
      <c r="L362" s="66">
        <f t="shared" si="15"/>
        <v>0</v>
      </c>
      <c r="M362" s="66">
        <f t="shared" si="15"/>
        <v>0</v>
      </c>
      <c r="N362" s="66">
        <f t="shared" si="15"/>
        <v>0</v>
      </c>
      <c r="O362" s="66">
        <f t="shared" si="15"/>
        <v>0</v>
      </c>
      <c r="P362" s="66">
        <f t="shared" si="15"/>
        <v>0</v>
      </c>
      <c r="Q362" s="66">
        <f t="shared" si="15"/>
        <v>0</v>
      </c>
      <c r="R362" s="66">
        <f t="shared" si="15"/>
        <v>0</v>
      </c>
      <c r="S362" s="66">
        <f t="shared" si="15"/>
        <v>0</v>
      </c>
      <c r="T362" s="66">
        <f t="shared" si="15"/>
        <v>0</v>
      </c>
      <c r="U362" s="66">
        <f t="shared" si="15"/>
        <v>0</v>
      </c>
    </row>
    <row r="363" spans="1:23" x14ac:dyDescent="0.25">
      <c r="A363" s="111" t="s">
        <v>742</v>
      </c>
      <c r="B363" s="111" t="s">
        <v>751</v>
      </c>
      <c r="C363" s="111" t="s">
        <v>752</v>
      </c>
      <c r="D363" s="111" t="s">
        <v>836</v>
      </c>
      <c r="E363" s="111" t="s">
        <v>745</v>
      </c>
      <c r="F363" s="66">
        <f t="shared" si="15"/>
        <v>0</v>
      </c>
      <c r="G363" s="66">
        <f t="shared" si="15"/>
        <v>0</v>
      </c>
      <c r="H363" s="66">
        <f t="shared" si="15"/>
        <v>0</v>
      </c>
      <c r="I363" s="66">
        <f t="shared" si="15"/>
        <v>0</v>
      </c>
      <c r="J363" s="66">
        <f t="shared" si="15"/>
        <v>0</v>
      </c>
      <c r="K363" s="66">
        <f t="shared" si="15"/>
        <v>0</v>
      </c>
      <c r="L363" s="66">
        <f t="shared" si="15"/>
        <v>0</v>
      </c>
      <c r="M363" s="66">
        <f t="shared" si="15"/>
        <v>0</v>
      </c>
      <c r="N363" s="66">
        <f t="shared" si="15"/>
        <v>0</v>
      </c>
      <c r="O363" s="66">
        <f t="shared" si="15"/>
        <v>0</v>
      </c>
      <c r="P363" s="66">
        <f t="shared" si="15"/>
        <v>0</v>
      </c>
      <c r="Q363" s="66">
        <f t="shared" si="15"/>
        <v>0</v>
      </c>
      <c r="R363" s="66">
        <f t="shared" si="15"/>
        <v>0</v>
      </c>
      <c r="S363" s="66">
        <f t="shared" si="15"/>
        <v>0</v>
      </c>
      <c r="T363" s="66">
        <f t="shared" si="15"/>
        <v>0</v>
      </c>
      <c r="U363" s="66">
        <f t="shared" si="15"/>
        <v>0</v>
      </c>
    </row>
    <row r="364" spans="1:23" x14ac:dyDescent="0.25">
      <c r="A364" s="111" t="s">
        <v>742</v>
      </c>
      <c r="B364" s="111" t="s">
        <v>753</v>
      </c>
      <c r="C364" s="111" t="s">
        <v>754</v>
      </c>
      <c r="D364" s="111" t="s">
        <v>836</v>
      </c>
      <c r="E364" s="111" t="s">
        <v>745</v>
      </c>
      <c r="F364" s="66" t="str">
        <f t="shared" si="15"/>
        <v>CHECK</v>
      </c>
      <c r="G364" s="66" t="str">
        <f t="shared" si="15"/>
        <v>CHECK</v>
      </c>
      <c r="H364" s="66" t="str">
        <f t="shared" si="15"/>
        <v>CHECK</v>
      </c>
      <c r="I364" s="66" t="str">
        <f t="shared" si="15"/>
        <v>CHECK</v>
      </c>
      <c r="J364" s="66" t="str">
        <f t="shared" si="15"/>
        <v>CHECK</v>
      </c>
      <c r="K364" s="66" t="str">
        <f t="shared" si="15"/>
        <v>CHECK</v>
      </c>
      <c r="L364" s="66" t="str">
        <f t="shared" si="15"/>
        <v>CHECK</v>
      </c>
      <c r="M364" s="66" t="str">
        <f t="shared" si="15"/>
        <v>CHECK</v>
      </c>
      <c r="N364" s="66" t="str">
        <f t="shared" si="15"/>
        <v>CHECK</v>
      </c>
      <c r="O364" s="66" t="str">
        <f t="shared" si="15"/>
        <v>CHECK</v>
      </c>
      <c r="P364" s="66" t="str">
        <f t="shared" si="15"/>
        <v>CHECK</v>
      </c>
      <c r="Q364" s="66" t="str">
        <f t="shared" si="15"/>
        <v>CHECK</v>
      </c>
      <c r="R364" s="66" t="str">
        <f t="shared" si="15"/>
        <v>CHECK</v>
      </c>
      <c r="S364" s="66" t="str">
        <f t="shared" si="15"/>
        <v>CHECK</v>
      </c>
      <c r="T364" s="66" t="str">
        <f t="shared" si="15"/>
        <v>CHECK</v>
      </c>
      <c r="U364" s="66" t="str">
        <f t="shared" si="15"/>
        <v>CHECK</v>
      </c>
    </row>
    <row r="365" spans="1:23" x14ac:dyDescent="0.25">
      <c r="A365" s="111" t="s">
        <v>742</v>
      </c>
      <c r="B365" s="111" t="s">
        <v>755</v>
      </c>
      <c r="C365" s="111" t="s">
        <v>756</v>
      </c>
      <c r="D365" s="111" t="s">
        <v>836</v>
      </c>
      <c r="E365" s="111" t="s">
        <v>745</v>
      </c>
      <c r="F365" s="66" t="str">
        <f t="shared" si="15"/>
        <v>CHECK</v>
      </c>
      <c r="G365" s="66" t="str">
        <f t="shared" si="15"/>
        <v>CHECK</v>
      </c>
      <c r="H365" s="66" t="str">
        <f t="shared" si="15"/>
        <v>CHECK</v>
      </c>
      <c r="I365" s="66" t="str">
        <f t="shared" si="15"/>
        <v>CHECK</v>
      </c>
      <c r="J365" s="66" t="str">
        <f t="shared" si="15"/>
        <v>CHECK</v>
      </c>
      <c r="K365" s="66" t="str">
        <f t="shared" si="15"/>
        <v>CHECK</v>
      </c>
      <c r="L365" s="66" t="str">
        <f t="shared" si="15"/>
        <v>CHECK</v>
      </c>
      <c r="M365" s="66" t="str">
        <f t="shared" si="15"/>
        <v>CHECK</v>
      </c>
      <c r="N365" s="66" t="str">
        <f t="shared" si="15"/>
        <v>CHECK</v>
      </c>
      <c r="O365" s="66" t="str">
        <f t="shared" si="15"/>
        <v>CHECK</v>
      </c>
      <c r="P365" s="66" t="str">
        <f t="shared" si="15"/>
        <v>CHECK</v>
      </c>
      <c r="Q365" s="66" t="str">
        <f t="shared" si="15"/>
        <v>CHECK</v>
      </c>
      <c r="R365" s="66" t="str">
        <f t="shared" si="15"/>
        <v>CHECK</v>
      </c>
      <c r="S365" s="66" t="str">
        <f t="shared" si="15"/>
        <v>CHECK</v>
      </c>
      <c r="T365" s="66" t="str">
        <f t="shared" si="15"/>
        <v>CHECK</v>
      </c>
      <c r="U365" s="66" t="str">
        <f t="shared" si="15"/>
        <v>CHECK</v>
      </c>
    </row>
    <row r="366" spans="1:23" x14ac:dyDescent="0.25">
      <c r="A366" s="10" t="s">
        <v>742</v>
      </c>
      <c r="B366" s="10" t="s">
        <v>757</v>
      </c>
      <c r="C366" s="10" t="s">
        <v>520</v>
      </c>
      <c r="D366" s="10" t="s">
        <v>836</v>
      </c>
      <c r="E366" s="10" t="s">
        <v>745</v>
      </c>
      <c r="F366" s="66">
        <f t="shared" si="15"/>
        <v>0</v>
      </c>
      <c r="G366" s="66">
        <f t="shared" si="15"/>
        <v>0</v>
      </c>
      <c r="H366" s="66">
        <f t="shared" si="15"/>
        <v>0</v>
      </c>
      <c r="I366" s="66">
        <f t="shared" si="15"/>
        <v>0</v>
      </c>
      <c r="J366" s="66">
        <f t="shared" si="15"/>
        <v>0</v>
      </c>
      <c r="K366" s="66">
        <f t="shared" si="15"/>
        <v>0</v>
      </c>
      <c r="L366" s="66">
        <f t="shared" si="15"/>
        <v>0</v>
      </c>
      <c r="M366" s="66">
        <f t="shared" si="15"/>
        <v>0</v>
      </c>
      <c r="N366" s="66">
        <f t="shared" si="15"/>
        <v>0</v>
      </c>
      <c r="O366" s="66">
        <f t="shared" si="15"/>
        <v>0</v>
      </c>
      <c r="P366" s="66">
        <f t="shared" si="15"/>
        <v>0</v>
      </c>
      <c r="Q366" s="66">
        <f t="shared" si="15"/>
        <v>0</v>
      </c>
      <c r="R366" s="66">
        <f t="shared" si="15"/>
        <v>0</v>
      </c>
      <c r="S366" s="66">
        <f t="shared" si="15"/>
        <v>0</v>
      </c>
      <c r="T366" s="66">
        <f t="shared" si="15"/>
        <v>0</v>
      </c>
      <c r="U366" s="66">
        <f t="shared" si="15"/>
        <v>0</v>
      </c>
    </row>
    <row r="367" spans="1:23" x14ac:dyDescent="0.25">
      <c r="A367" s="111" t="s">
        <v>742</v>
      </c>
      <c r="B367" s="111" t="s">
        <v>758</v>
      </c>
      <c r="C367" s="111" t="s">
        <v>759</v>
      </c>
      <c r="D367" s="111" t="s">
        <v>836</v>
      </c>
      <c r="E367" s="111" t="s">
        <v>745</v>
      </c>
      <c r="F367" s="66">
        <f t="shared" si="15"/>
        <v>0</v>
      </c>
      <c r="G367" s="66">
        <f t="shared" si="15"/>
        <v>0</v>
      </c>
      <c r="H367" s="66">
        <f t="shared" si="15"/>
        <v>0</v>
      </c>
      <c r="I367" s="66">
        <f t="shared" si="15"/>
        <v>0</v>
      </c>
      <c r="J367" s="66">
        <f t="shared" si="15"/>
        <v>0</v>
      </c>
      <c r="K367" s="66">
        <f t="shared" si="15"/>
        <v>0</v>
      </c>
      <c r="L367" s="66">
        <f t="shared" si="15"/>
        <v>0</v>
      </c>
      <c r="M367" s="66">
        <f t="shared" si="15"/>
        <v>0</v>
      </c>
      <c r="N367" s="66">
        <f t="shared" si="15"/>
        <v>0</v>
      </c>
      <c r="O367" s="66">
        <f t="shared" si="15"/>
        <v>0</v>
      </c>
      <c r="P367" s="66">
        <f t="shared" si="15"/>
        <v>0</v>
      </c>
      <c r="Q367" s="66">
        <f t="shared" si="15"/>
        <v>0</v>
      </c>
      <c r="R367" s="66">
        <f t="shared" si="15"/>
        <v>0</v>
      </c>
      <c r="S367" s="66">
        <f t="shared" si="15"/>
        <v>0</v>
      </c>
      <c r="T367" s="66">
        <f t="shared" si="15"/>
        <v>0</v>
      </c>
      <c r="U367" s="66">
        <f t="shared" si="15"/>
        <v>0</v>
      </c>
    </row>
    <row r="368" spans="1:23" x14ac:dyDescent="0.25">
      <c r="A368" s="111" t="s">
        <v>742</v>
      </c>
      <c r="B368" s="111" t="s">
        <v>760</v>
      </c>
      <c r="C368" s="111" t="s">
        <v>761</v>
      </c>
      <c r="D368" s="111" t="s">
        <v>836</v>
      </c>
      <c r="E368" s="111" t="s">
        <v>745</v>
      </c>
      <c r="F368" s="66" t="str">
        <f t="shared" si="15"/>
        <v>CHECK</v>
      </c>
      <c r="G368" s="66" t="str">
        <f t="shared" si="15"/>
        <v>CHECK</v>
      </c>
      <c r="H368" s="66" t="str">
        <f t="shared" si="15"/>
        <v>CHECK</v>
      </c>
      <c r="I368" s="66" t="str">
        <f t="shared" si="15"/>
        <v>CHECK</v>
      </c>
      <c r="J368" s="66" t="str">
        <f t="shared" si="15"/>
        <v>CHECK</v>
      </c>
      <c r="K368" s="66" t="str">
        <f t="shared" si="15"/>
        <v>CHECK</v>
      </c>
      <c r="L368" s="66" t="str">
        <f t="shared" si="15"/>
        <v>CHECK</v>
      </c>
      <c r="M368" s="66" t="str">
        <f t="shared" si="15"/>
        <v>CHECK</v>
      </c>
      <c r="N368" s="66" t="str">
        <f t="shared" si="15"/>
        <v>CHECK</v>
      </c>
      <c r="O368" s="66" t="str">
        <f t="shared" si="15"/>
        <v>CHECK</v>
      </c>
      <c r="P368" s="66" t="str">
        <f t="shared" si="15"/>
        <v>CHECK</v>
      </c>
      <c r="Q368" s="66" t="str">
        <f t="shared" si="15"/>
        <v>CHECK</v>
      </c>
      <c r="R368" s="66" t="str">
        <f t="shared" si="15"/>
        <v>CHECK</v>
      </c>
      <c r="S368" s="66" t="str">
        <f t="shared" si="15"/>
        <v>CHECK</v>
      </c>
      <c r="T368" s="66" t="str">
        <f t="shared" si="15"/>
        <v>CHECK</v>
      </c>
      <c r="U368" s="66" t="str">
        <f t="shared" si="15"/>
        <v>CHECK</v>
      </c>
    </row>
    <row r="369" spans="1:21" x14ac:dyDescent="0.25">
      <c r="A369" s="111" t="s">
        <v>742</v>
      </c>
      <c r="B369" s="111" t="s">
        <v>762</v>
      </c>
      <c r="C369" s="111" t="s">
        <v>763</v>
      </c>
      <c r="D369" s="111" t="s">
        <v>836</v>
      </c>
      <c r="E369" s="111" t="s">
        <v>745</v>
      </c>
      <c r="F369" s="66" t="str">
        <f t="shared" si="15"/>
        <v>CHECK</v>
      </c>
      <c r="G369" s="66" t="str">
        <f t="shared" si="15"/>
        <v>CHECK</v>
      </c>
      <c r="H369" s="66" t="str">
        <f t="shared" si="15"/>
        <v>CHECK</v>
      </c>
      <c r="I369" s="66" t="str">
        <f t="shared" si="15"/>
        <v>CHECK</v>
      </c>
      <c r="J369" s="66" t="str">
        <f t="shared" si="15"/>
        <v>CHECK</v>
      </c>
      <c r="K369" s="66" t="str">
        <f t="shared" si="15"/>
        <v>CHECK</v>
      </c>
      <c r="L369" s="66" t="str">
        <f t="shared" si="15"/>
        <v>CHECK</v>
      </c>
      <c r="M369" s="66" t="str">
        <f t="shared" si="15"/>
        <v>CHECK</v>
      </c>
      <c r="N369" s="66" t="str">
        <f t="shared" si="15"/>
        <v>CHECK</v>
      </c>
      <c r="O369" s="66" t="str">
        <f t="shared" si="15"/>
        <v>CHECK</v>
      </c>
      <c r="P369" s="66" t="str">
        <f t="shared" si="15"/>
        <v>CHECK</v>
      </c>
      <c r="Q369" s="66" t="str">
        <f t="shared" si="15"/>
        <v>CHECK</v>
      </c>
      <c r="R369" s="66" t="str">
        <f t="shared" si="15"/>
        <v>CHECK</v>
      </c>
      <c r="S369" s="66" t="str">
        <f t="shared" si="15"/>
        <v>CHECK</v>
      </c>
      <c r="T369" s="66" t="str">
        <f t="shared" si="15"/>
        <v>CHECK</v>
      </c>
      <c r="U369" s="66" t="str">
        <f t="shared" si="15"/>
        <v>CHECK</v>
      </c>
    </row>
    <row r="370" spans="1:21" x14ac:dyDescent="0.25">
      <c r="A370" s="111" t="s">
        <v>742</v>
      </c>
      <c r="B370" s="111" t="s">
        <v>764</v>
      </c>
      <c r="C370" s="111" t="s">
        <v>765</v>
      </c>
      <c r="D370" s="111" t="s">
        <v>836</v>
      </c>
      <c r="E370" s="111" t="s">
        <v>745</v>
      </c>
      <c r="F370" s="66" t="str">
        <f t="shared" si="15"/>
        <v>CHECK</v>
      </c>
      <c r="G370" s="66" t="str">
        <f t="shared" si="15"/>
        <v>CHECK</v>
      </c>
      <c r="H370" s="66" t="str">
        <f t="shared" si="15"/>
        <v>CHECK</v>
      </c>
      <c r="I370" s="66" t="str">
        <f t="shared" si="15"/>
        <v>CHECK</v>
      </c>
      <c r="J370" s="66" t="str">
        <f t="shared" si="15"/>
        <v>CHECK</v>
      </c>
      <c r="K370" s="66" t="str">
        <f t="shared" si="15"/>
        <v>CHECK</v>
      </c>
      <c r="L370" s="66" t="str">
        <f t="shared" si="15"/>
        <v>CHECK</v>
      </c>
      <c r="M370" s="66" t="str">
        <f t="shared" si="15"/>
        <v>CHECK</v>
      </c>
      <c r="N370" s="66" t="str">
        <f t="shared" si="15"/>
        <v>CHECK</v>
      </c>
      <c r="O370" s="66" t="str">
        <f t="shared" si="15"/>
        <v>CHECK</v>
      </c>
      <c r="P370" s="66" t="str">
        <f t="shared" si="15"/>
        <v>CHECK</v>
      </c>
      <c r="Q370" s="66" t="str">
        <f t="shared" si="15"/>
        <v>CHECK</v>
      </c>
      <c r="R370" s="66" t="str">
        <f t="shared" si="15"/>
        <v>CHECK</v>
      </c>
      <c r="S370" s="66" t="str">
        <f t="shared" si="15"/>
        <v>CHECK</v>
      </c>
      <c r="T370" s="66" t="str">
        <f t="shared" si="15"/>
        <v>CHECK</v>
      </c>
      <c r="U370" s="66" t="str">
        <f t="shared" si="15"/>
        <v>CHECK</v>
      </c>
    </row>
    <row r="371" spans="1:21" x14ac:dyDescent="0.25">
      <c r="A371" s="111" t="s">
        <v>742</v>
      </c>
      <c r="B371" s="111" t="s">
        <v>766</v>
      </c>
      <c r="C371" s="111" t="s">
        <v>767</v>
      </c>
      <c r="D371" s="111" t="s">
        <v>836</v>
      </c>
      <c r="E371" s="111" t="s">
        <v>745</v>
      </c>
      <c r="F371" s="66">
        <f t="shared" si="15"/>
        <v>0</v>
      </c>
      <c r="G371" s="66">
        <f t="shared" si="15"/>
        <v>0</v>
      </c>
      <c r="H371" s="66">
        <f t="shared" si="15"/>
        <v>0</v>
      </c>
      <c r="I371" s="66">
        <f t="shared" si="15"/>
        <v>0</v>
      </c>
      <c r="J371" s="66">
        <f t="shared" si="15"/>
        <v>0</v>
      </c>
      <c r="K371" s="66">
        <f t="shared" si="15"/>
        <v>0</v>
      </c>
      <c r="L371" s="66">
        <f t="shared" si="15"/>
        <v>0</v>
      </c>
      <c r="M371" s="66">
        <f t="shared" si="15"/>
        <v>0</v>
      </c>
      <c r="N371" s="66">
        <f t="shared" si="15"/>
        <v>0</v>
      </c>
      <c r="O371" s="66">
        <f t="shared" si="15"/>
        <v>0</v>
      </c>
      <c r="P371" s="66">
        <f t="shared" si="15"/>
        <v>0</v>
      </c>
      <c r="Q371" s="66">
        <f t="shared" si="15"/>
        <v>0</v>
      </c>
      <c r="R371" s="66">
        <f t="shared" si="15"/>
        <v>0</v>
      </c>
      <c r="S371" s="66">
        <f t="shared" si="15"/>
        <v>0</v>
      </c>
      <c r="T371" s="66">
        <f t="shared" si="15"/>
        <v>0</v>
      </c>
      <c r="U371" s="66">
        <f t="shared" si="15"/>
        <v>0</v>
      </c>
    </row>
    <row r="372" spans="1:21" x14ac:dyDescent="0.25">
      <c r="A372" s="111" t="s">
        <v>742</v>
      </c>
      <c r="B372" s="111" t="s">
        <v>768</v>
      </c>
      <c r="C372" s="111" t="s">
        <v>769</v>
      </c>
      <c r="D372" s="111" t="s">
        <v>836</v>
      </c>
      <c r="E372" s="111" t="s">
        <v>745</v>
      </c>
      <c r="F372" s="66">
        <f t="shared" si="15"/>
        <v>0</v>
      </c>
      <c r="G372" s="66">
        <f t="shared" si="15"/>
        <v>0</v>
      </c>
      <c r="H372" s="66">
        <f t="shared" si="15"/>
        <v>0</v>
      </c>
      <c r="I372" s="66">
        <f t="shared" si="15"/>
        <v>0</v>
      </c>
      <c r="J372" s="66">
        <f t="shared" si="15"/>
        <v>0</v>
      </c>
      <c r="K372" s="66">
        <f t="shared" si="15"/>
        <v>0</v>
      </c>
      <c r="L372" s="66">
        <f t="shared" si="15"/>
        <v>0</v>
      </c>
      <c r="M372" s="66">
        <f t="shared" si="15"/>
        <v>0</v>
      </c>
      <c r="N372" s="66">
        <f t="shared" si="15"/>
        <v>0</v>
      </c>
      <c r="O372" s="66">
        <f t="shared" si="15"/>
        <v>0</v>
      </c>
      <c r="P372" s="66">
        <f t="shared" si="15"/>
        <v>0</v>
      </c>
      <c r="Q372" s="66">
        <f t="shared" si="15"/>
        <v>0</v>
      </c>
      <c r="R372" s="66">
        <f t="shared" si="15"/>
        <v>0</v>
      </c>
      <c r="S372" s="66">
        <f t="shared" si="15"/>
        <v>0</v>
      </c>
      <c r="T372" s="66">
        <f t="shared" si="15"/>
        <v>0</v>
      </c>
      <c r="U372" s="66">
        <f t="shared" si="15"/>
        <v>0</v>
      </c>
    </row>
    <row r="373" spans="1:21" x14ac:dyDescent="0.25">
      <c r="A373" s="111" t="s">
        <v>742</v>
      </c>
      <c r="B373" s="111" t="s">
        <v>770</v>
      </c>
      <c r="C373" s="111" t="s">
        <v>771</v>
      </c>
      <c r="D373" s="111" t="s">
        <v>836</v>
      </c>
      <c r="E373" s="111" t="s">
        <v>745</v>
      </c>
      <c r="F373" s="66" t="str">
        <f t="shared" si="15"/>
        <v>CHECK</v>
      </c>
      <c r="G373" s="66" t="str">
        <f t="shared" si="15"/>
        <v>CHECK</v>
      </c>
      <c r="H373" s="66" t="str">
        <f t="shared" si="15"/>
        <v>CHECK</v>
      </c>
      <c r="I373" s="66" t="str">
        <f t="shared" si="15"/>
        <v>CHECK</v>
      </c>
      <c r="J373" s="66" t="str">
        <f t="shared" si="15"/>
        <v>CHECK</v>
      </c>
      <c r="K373" s="66" t="str">
        <f t="shared" si="15"/>
        <v>CHECK</v>
      </c>
      <c r="L373" s="66" t="str">
        <f t="shared" si="15"/>
        <v>CHECK</v>
      </c>
      <c r="M373" s="66" t="str">
        <f t="shared" si="15"/>
        <v>CHECK</v>
      </c>
      <c r="N373" s="66" t="str">
        <f t="shared" si="15"/>
        <v>CHECK</v>
      </c>
      <c r="O373" s="66" t="str">
        <f t="shared" si="15"/>
        <v>CHECK</v>
      </c>
      <c r="P373" s="66" t="str">
        <f t="shared" si="15"/>
        <v>CHECK</v>
      </c>
      <c r="Q373" s="66" t="str">
        <f t="shared" si="15"/>
        <v>CHECK</v>
      </c>
      <c r="R373" s="66" t="str">
        <f t="shared" si="15"/>
        <v>CHECK</v>
      </c>
      <c r="S373" s="66" t="str">
        <f t="shared" si="15"/>
        <v>CHECK</v>
      </c>
      <c r="T373" s="66" t="str">
        <f t="shared" si="15"/>
        <v>CHECK</v>
      </c>
      <c r="U373" s="66" t="str">
        <f t="shared" si="15"/>
        <v>CHECK</v>
      </c>
    </row>
    <row r="374" spans="1:21" x14ac:dyDescent="0.25">
      <c r="A374" s="111" t="s">
        <v>742</v>
      </c>
      <c r="B374" s="111" t="s">
        <v>772</v>
      </c>
      <c r="C374" s="111" t="s">
        <v>773</v>
      </c>
      <c r="D374" s="111" t="s">
        <v>836</v>
      </c>
      <c r="E374" s="111" t="s">
        <v>745</v>
      </c>
      <c r="F374" s="66">
        <f t="shared" si="15"/>
        <v>0</v>
      </c>
      <c r="G374" s="66">
        <f t="shared" si="15"/>
        <v>0</v>
      </c>
      <c r="H374" s="66">
        <f t="shared" si="15"/>
        <v>0</v>
      </c>
      <c r="I374" s="66">
        <f t="shared" si="15"/>
        <v>0</v>
      </c>
      <c r="J374" s="66">
        <f t="shared" si="15"/>
        <v>0</v>
      </c>
      <c r="K374" s="66">
        <f t="shared" si="15"/>
        <v>0</v>
      </c>
      <c r="L374" s="66">
        <f t="shared" si="15"/>
        <v>0</v>
      </c>
      <c r="M374" s="66">
        <f t="shared" si="15"/>
        <v>0</v>
      </c>
      <c r="N374" s="66">
        <f t="shared" si="15"/>
        <v>0</v>
      </c>
      <c r="O374" s="66">
        <f t="shared" si="15"/>
        <v>0</v>
      </c>
      <c r="P374" s="66">
        <f t="shared" si="15"/>
        <v>0</v>
      </c>
      <c r="Q374" s="66">
        <f t="shared" si="15"/>
        <v>0</v>
      </c>
      <c r="R374" s="66">
        <f t="shared" si="15"/>
        <v>0</v>
      </c>
      <c r="S374" s="66">
        <f t="shared" si="15"/>
        <v>0</v>
      </c>
      <c r="T374" s="66">
        <f t="shared" si="15"/>
        <v>0</v>
      </c>
      <c r="U374" s="66">
        <f t="shared" ref="U374:U395" si="16">IFERROR(((U74/U225)-1),"CHECK")</f>
        <v>0</v>
      </c>
    </row>
    <row r="375" spans="1:21" x14ac:dyDescent="0.25">
      <c r="A375" s="111" t="s">
        <v>742</v>
      </c>
      <c r="B375" s="111" t="s">
        <v>774</v>
      </c>
      <c r="C375" s="111" t="s">
        <v>775</v>
      </c>
      <c r="D375" s="111" t="s">
        <v>836</v>
      </c>
      <c r="E375" s="111" t="s">
        <v>745</v>
      </c>
      <c r="F375" s="66" t="str">
        <f t="shared" ref="F375:T390" si="17">IFERROR(((F75/F226)-1),"CHECK")</f>
        <v>CHECK</v>
      </c>
      <c r="G375" s="66" t="str">
        <f t="shared" si="17"/>
        <v>CHECK</v>
      </c>
      <c r="H375" s="66" t="str">
        <f t="shared" si="17"/>
        <v>CHECK</v>
      </c>
      <c r="I375" s="66" t="str">
        <f t="shared" si="17"/>
        <v>CHECK</v>
      </c>
      <c r="J375" s="66" t="str">
        <f t="shared" si="17"/>
        <v>CHECK</v>
      </c>
      <c r="K375" s="66" t="str">
        <f t="shared" si="17"/>
        <v>CHECK</v>
      </c>
      <c r="L375" s="66" t="str">
        <f t="shared" si="17"/>
        <v>CHECK</v>
      </c>
      <c r="M375" s="66" t="str">
        <f t="shared" si="17"/>
        <v>CHECK</v>
      </c>
      <c r="N375" s="66" t="str">
        <f t="shared" si="17"/>
        <v>CHECK</v>
      </c>
      <c r="O375" s="66" t="str">
        <f t="shared" si="17"/>
        <v>CHECK</v>
      </c>
      <c r="P375" s="66" t="str">
        <f t="shared" si="17"/>
        <v>CHECK</v>
      </c>
      <c r="Q375" s="66" t="str">
        <f t="shared" si="17"/>
        <v>CHECK</v>
      </c>
      <c r="R375" s="66" t="str">
        <f t="shared" si="17"/>
        <v>CHECK</v>
      </c>
      <c r="S375" s="66" t="str">
        <f t="shared" si="17"/>
        <v>CHECK</v>
      </c>
      <c r="T375" s="66" t="str">
        <f t="shared" si="17"/>
        <v>CHECK</v>
      </c>
      <c r="U375" s="66" t="str">
        <f t="shared" si="16"/>
        <v>CHECK</v>
      </c>
    </row>
    <row r="376" spans="1:21" x14ac:dyDescent="0.25">
      <c r="A376" s="111" t="s">
        <v>742</v>
      </c>
      <c r="B376" s="111" t="s">
        <v>776</v>
      </c>
      <c r="C376" s="111" t="s">
        <v>756</v>
      </c>
      <c r="D376" s="111" t="s">
        <v>836</v>
      </c>
      <c r="E376" s="111" t="s">
        <v>745</v>
      </c>
      <c r="F376" s="66" t="str">
        <f t="shared" si="17"/>
        <v>CHECK</v>
      </c>
      <c r="G376" s="66" t="str">
        <f t="shared" si="17"/>
        <v>CHECK</v>
      </c>
      <c r="H376" s="66" t="str">
        <f t="shared" si="17"/>
        <v>CHECK</v>
      </c>
      <c r="I376" s="66" t="str">
        <f t="shared" si="17"/>
        <v>CHECK</v>
      </c>
      <c r="J376" s="66" t="str">
        <f t="shared" si="17"/>
        <v>CHECK</v>
      </c>
      <c r="K376" s="66" t="str">
        <f t="shared" si="17"/>
        <v>CHECK</v>
      </c>
      <c r="L376" s="66" t="str">
        <f t="shared" si="17"/>
        <v>CHECK</v>
      </c>
      <c r="M376" s="66" t="str">
        <f t="shared" si="17"/>
        <v>CHECK</v>
      </c>
      <c r="N376" s="66" t="str">
        <f t="shared" si="17"/>
        <v>CHECK</v>
      </c>
      <c r="O376" s="66" t="str">
        <f t="shared" si="17"/>
        <v>CHECK</v>
      </c>
      <c r="P376" s="66" t="str">
        <f t="shared" si="17"/>
        <v>CHECK</v>
      </c>
      <c r="Q376" s="66" t="str">
        <f t="shared" si="17"/>
        <v>CHECK</v>
      </c>
      <c r="R376" s="66" t="str">
        <f t="shared" si="17"/>
        <v>CHECK</v>
      </c>
      <c r="S376" s="66" t="str">
        <f t="shared" si="17"/>
        <v>CHECK</v>
      </c>
      <c r="T376" s="66" t="str">
        <f t="shared" si="17"/>
        <v>CHECK</v>
      </c>
      <c r="U376" s="66" t="str">
        <f t="shared" si="16"/>
        <v>CHECK</v>
      </c>
    </row>
    <row r="377" spans="1:21" x14ac:dyDescent="0.25">
      <c r="A377" s="10" t="s">
        <v>742</v>
      </c>
      <c r="B377" s="10" t="s">
        <v>777</v>
      </c>
      <c r="C377" s="10" t="s">
        <v>536</v>
      </c>
      <c r="D377" s="10" t="s">
        <v>836</v>
      </c>
      <c r="E377" s="10" t="s">
        <v>745</v>
      </c>
      <c r="F377" s="66">
        <f t="shared" si="17"/>
        <v>0</v>
      </c>
      <c r="G377" s="66">
        <f t="shared" si="17"/>
        <v>0</v>
      </c>
      <c r="H377" s="66">
        <f t="shared" si="17"/>
        <v>0</v>
      </c>
      <c r="I377" s="66">
        <f t="shared" si="17"/>
        <v>0</v>
      </c>
      <c r="J377" s="66">
        <f t="shared" si="17"/>
        <v>0</v>
      </c>
      <c r="K377" s="66">
        <f t="shared" si="17"/>
        <v>0</v>
      </c>
      <c r="L377" s="66">
        <f t="shared" si="17"/>
        <v>0</v>
      </c>
      <c r="M377" s="66">
        <f t="shared" si="17"/>
        <v>0</v>
      </c>
      <c r="N377" s="66">
        <f t="shared" si="17"/>
        <v>0</v>
      </c>
      <c r="O377" s="66">
        <f t="shared" si="17"/>
        <v>0</v>
      </c>
      <c r="P377" s="66">
        <f t="shared" si="17"/>
        <v>0</v>
      </c>
      <c r="Q377" s="66">
        <f t="shared" si="17"/>
        <v>0</v>
      </c>
      <c r="R377" s="66">
        <f t="shared" si="17"/>
        <v>0</v>
      </c>
      <c r="S377" s="66">
        <f t="shared" si="17"/>
        <v>0</v>
      </c>
      <c r="T377" s="66">
        <f t="shared" si="17"/>
        <v>0</v>
      </c>
      <c r="U377" s="66">
        <f t="shared" si="16"/>
        <v>0</v>
      </c>
    </row>
    <row r="378" spans="1:21" x14ac:dyDescent="0.25">
      <c r="A378" s="111" t="s">
        <v>742</v>
      </c>
      <c r="B378" s="111" t="s">
        <v>778</v>
      </c>
      <c r="C378" s="111" t="s">
        <v>779</v>
      </c>
      <c r="D378" s="111" t="s">
        <v>836</v>
      </c>
      <c r="E378" s="111" t="s">
        <v>745</v>
      </c>
      <c r="F378" s="66">
        <f t="shared" si="17"/>
        <v>0</v>
      </c>
      <c r="G378" s="66">
        <f t="shared" si="17"/>
        <v>0</v>
      </c>
      <c r="H378" s="66">
        <f t="shared" si="17"/>
        <v>0</v>
      </c>
      <c r="I378" s="66">
        <f t="shared" si="17"/>
        <v>0</v>
      </c>
      <c r="J378" s="66">
        <f t="shared" si="17"/>
        <v>0</v>
      </c>
      <c r="K378" s="66">
        <f t="shared" si="17"/>
        <v>0</v>
      </c>
      <c r="L378" s="66">
        <f t="shared" si="17"/>
        <v>0</v>
      </c>
      <c r="M378" s="66">
        <f t="shared" si="17"/>
        <v>0</v>
      </c>
      <c r="N378" s="66">
        <f t="shared" si="17"/>
        <v>0</v>
      </c>
      <c r="O378" s="66">
        <f t="shared" si="17"/>
        <v>0</v>
      </c>
      <c r="P378" s="66">
        <f t="shared" si="17"/>
        <v>0</v>
      </c>
      <c r="Q378" s="66">
        <f t="shared" si="17"/>
        <v>0</v>
      </c>
      <c r="R378" s="66">
        <f t="shared" si="17"/>
        <v>0</v>
      </c>
      <c r="S378" s="66">
        <f t="shared" si="17"/>
        <v>0</v>
      </c>
      <c r="T378" s="66">
        <f t="shared" si="17"/>
        <v>0</v>
      </c>
      <c r="U378" s="66">
        <f t="shared" si="16"/>
        <v>0</v>
      </c>
    </row>
    <row r="379" spans="1:21" x14ac:dyDescent="0.25">
      <c r="A379" s="111" t="s">
        <v>742</v>
      </c>
      <c r="B379" s="111" t="s">
        <v>780</v>
      </c>
      <c r="C379" s="111" t="s">
        <v>781</v>
      </c>
      <c r="D379" s="111" t="s">
        <v>836</v>
      </c>
      <c r="E379" s="111" t="s">
        <v>745</v>
      </c>
      <c r="F379" s="66">
        <f t="shared" si="17"/>
        <v>0</v>
      </c>
      <c r="G379" s="66">
        <f t="shared" si="17"/>
        <v>0</v>
      </c>
      <c r="H379" s="66">
        <f t="shared" si="17"/>
        <v>0</v>
      </c>
      <c r="I379" s="66">
        <f t="shared" si="17"/>
        <v>0</v>
      </c>
      <c r="J379" s="66">
        <f t="shared" si="17"/>
        <v>0</v>
      </c>
      <c r="K379" s="66">
        <f t="shared" si="17"/>
        <v>0</v>
      </c>
      <c r="L379" s="66">
        <f t="shared" si="17"/>
        <v>0</v>
      </c>
      <c r="M379" s="66">
        <f t="shared" si="17"/>
        <v>0</v>
      </c>
      <c r="N379" s="66">
        <f t="shared" si="17"/>
        <v>0</v>
      </c>
      <c r="O379" s="66">
        <f t="shared" si="17"/>
        <v>0</v>
      </c>
      <c r="P379" s="66">
        <f t="shared" si="17"/>
        <v>0</v>
      </c>
      <c r="Q379" s="66">
        <f t="shared" si="17"/>
        <v>0</v>
      </c>
      <c r="R379" s="66">
        <f t="shared" si="17"/>
        <v>0</v>
      </c>
      <c r="S379" s="66">
        <f t="shared" si="17"/>
        <v>0</v>
      </c>
      <c r="T379" s="66">
        <f t="shared" si="17"/>
        <v>0</v>
      </c>
      <c r="U379" s="66">
        <f t="shared" si="16"/>
        <v>0</v>
      </c>
    </row>
    <row r="380" spans="1:21" x14ac:dyDescent="0.25">
      <c r="A380" s="111" t="s">
        <v>742</v>
      </c>
      <c r="B380" s="111" t="s">
        <v>782</v>
      </c>
      <c r="C380" s="111" t="s">
        <v>783</v>
      </c>
      <c r="D380" s="111" t="s">
        <v>836</v>
      </c>
      <c r="E380" s="111" t="s">
        <v>745</v>
      </c>
      <c r="F380" s="66">
        <f t="shared" si="17"/>
        <v>0</v>
      </c>
      <c r="G380" s="66">
        <f t="shared" si="17"/>
        <v>0</v>
      </c>
      <c r="H380" s="66">
        <f t="shared" si="17"/>
        <v>0</v>
      </c>
      <c r="I380" s="66">
        <f t="shared" si="17"/>
        <v>0</v>
      </c>
      <c r="J380" s="66">
        <f t="shared" si="17"/>
        <v>0</v>
      </c>
      <c r="K380" s="66">
        <f t="shared" si="17"/>
        <v>0</v>
      </c>
      <c r="L380" s="66">
        <f t="shared" si="17"/>
        <v>0</v>
      </c>
      <c r="M380" s="66">
        <f t="shared" si="17"/>
        <v>0</v>
      </c>
      <c r="N380" s="66">
        <f t="shared" si="17"/>
        <v>0</v>
      </c>
      <c r="O380" s="66">
        <f t="shared" si="17"/>
        <v>0</v>
      </c>
      <c r="P380" s="66">
        <f t="shared" si="17"/>
        <v>0</v>
      </c>
      <c r="Q380" s="66">
        <f t="shared" si="17"/>
        <v>0</v>
      </c>
      <c r="R380" s="66">
        <f t="shared" si="17"/>
        <v>0</v>
      </c>
      <c r="S380" s="66">
        <f t="shared" si="17"/>
        <v>0</v>
      </c>
      <c r="T380" s="66">
        <f t="shared" si="17"/>
        <v>0</v>
      </c>
      <c r="U380" s="66">
        <f t="shared" si="16"/>
        <v>0</v>
      </c>
    </row>
    <row r="381" spans="1:21" x14ac:dyDescent="0.25">
      <c r="A381" s="111" t="s">
        <v>742</v>
      </c>
      <c r="B381" s="111" t="s">
        <v>784</v>
      </c>
      <c r="C381" s="111" t="s">
        <v>785</v>
      </c>
      <c r="D381" s="111" t="s">
        <v>836</v>
      </c>
      <c r="E381" s="111" t="s">
        <v>745</v>
      </c>
      <c r="F381" s="66" t="str">
        <f t="shared" si="17"/>
        <v>CHECK</v>
      </c>
      <c r="G381" s="66" t="str">
        <f t="shared" si="17"/>
        <v>CHECK</v>
      </c>
      <c r="H381" s="66" t="str">
        <f t="shared" si="17"/>
        <v>CHECK</v>
      </c>
      <c r="I381" s="66" t="str">
        <f t="shared" si="17"/>
        <v>CHECK</v>
      </c>
      <c r="J381" s="66" t="str">
        <f t="shared" si="17"/>
        <v>CHECK</v>
      </c>
      <c r="K381" s="66" t="str">
        <f t="shared" si="17"/>
        <v>CHECK</v>
      </c>
      <c r="L381" s="66" t="str">
        <f t="shared" si="17"/>
        <v>CHECK</v>
      </c>
      <c r="M381" s="66" t="str">
        <f t="shared" si="17"/>
        <v>CHECK</v>
      </c>
      <c r="N381" s="66" t="str">
        <f t="shared" si="17"/>
        <v>CHECK</v>
      </c>
      <c r="O381" s="66" t="str">
        <f t="shared" si="17"/>
        <v>CHECK</v>
      </c>
      <c r="P381" s="66" t="str">
        <f t="shared" si="17"/>
        <v>CHECK</v>
      </c>
      <c r="Q381" s="66" t="str">
        <f t="shared" si="17"/>
        <v>CHECK</v>
      </c>
      <c r="R381" s="66" t="str">
        <f t="shared" si="17"/>
        <v>CHECK</v>
      </c>
      <c r="S381" s="66" t="str">
        <f t="shared" si="17"/>
        <v>CHECK</v>
      </c>
      <c r="T381" s="66" t="str">
        <f t="shared" si="17"/>
        <v>CHECK</v>
      </c>
      <c r="U381" s="66" t="str">
        <f t="shared" si="16"/>
        <v>CHECK</v>
      </c>
    </row>
    <row r="382" spans="1:21" x14ac:dyDescent="0.25">
      <c r="A382" s="111" t="s">
        <v>742</v>
      </c>
      <c r="B382" s="111" t="s">
        <v>786</v>
      </c>
      <c r="C382" s="111" t="s">
        <v>787</v>
      </c>
      <c r="D382" s="111" t="s">
        <v>836</v>
      </c>
      <c r="E382" s="111" t="s">
        <v>745</v>
      </c>
      <c r="F382" s="66">
        <f t="shared" si="17"/>
        <v>0</v>
      </c>
      <c r="G382" s="66">
        <f t="shared" si="17"/>
        <v>0</v>
      </c>
      <c r="H382" s="66">
        <f t="shared" si="17"/>
        <v>0</v>
      </c>
      <c r="I382" s="66">
        <f t="shared" si="17"/>
        <v>0</v>
      </c>
      <c r="J382" s="66">
        <f t="shared" si="17"/>
        <v>0</v>
      </c>
      <c r="K382" s="66">
        <f t="shared" si="17"/>
        <v>0</v>
      </c>
      <c r="L382" s="66">
        <f t="shared" si="17"/>
        <v>0</v>
      </c>
      <c r="M382" s="66">
        <f t="shared" si="17"/>
        <v>0</v>
      </c>
      <c r="N382" s="66">
        <f t="shared" si="17"/>
        <v>0</v>
      </c>
      <c r="O382" s="66">
        <f t="shared" si="17"/>
        <v>0</v>
      </c>
      <c r="P382" s="66">
        <f t="shared" si="17"/>
        <v>0</v>
      </c>
      <c r="Q382" s="66">
        <f t="shared" si="17"/>
        <v>0</v>
      </c>
      <c r="R382" s="66">
        <f t="shared" si="17"/>
        <v>0</v>
      </c>
      <c r="S382" s="66">
        <f t="shared" si="17"/>
        <v>0</v>
      </c>
      <c r="T382" s="66">
        <f t="shared" si="17"/>
        <v>0</v>
      </c>
      <c r="U382" s="66">
        <f t="shared" si="16"/>
        <v>0</v>
      </c>
    </row>
    <row r="383" spans="1:21" x14ac:dyDescent="0.25">
      <c r="A383" s="111" t="s">
        <v>742</v>
      </c>
      <c r="B383" s="111" t="s">
        <v>788</v>
      </c>
      <c r="C383" s="111" t="s">
        <v>789</v>
      </c>
      <c r="D383" s="111" t="s">
        <v>836</v>
      </c>
      <c r="E383" s="111" t="s">
        <v>745</v>
      </c>
      <c r="F383" s="66">
        <f t="shared" si="17"/>
        <v>0</v>
      </c>
      <c r="G383" s="66">
        <f t="shared" si="17"/>
        <v>0</v>
      </c>
      <c r="H383" s="66">
        <f t="shared" si="17"/>
        <v>0</v>
      </c>
      <c r="I383" s="66">
        <f t="shared" si="17"/>
        <v>0</v>
      </c>
      <c r="J383" s="66">
        <f t="shared" si="17"/>
        <v>0</v>
      </c>
      <c r="K383" s="66">
        <f t="shared" si="17"/>
        <v>0</v>
      </c>
      <c r="L383" s="66">
        <f t="shared" si="17"/>
        <v>0</v>
      </c>
      <c r="M383" s="66">
        <f t="shared" si="17"/>
        <v>0</v>
      </c>
      <c r="N383" s="66">
        <f t="shared" si="17"/>
        <v>0</v>
      </c>
      <c r="O383" s="66">
        <f t="shared" si="17"/>
        <v>0</v>
      </c>
      <c r="P383" s="66">
        <f t="shared" si="17"/>
        <v>0</v>
      </c>
      <c r="Q383" s="66">
        <f t="shared" si="17"/>
        <v>0</v>
      </c>
      <c r="R383" s="66">
        <f t="shared" si="17"/>
        <v>0</v>
      </c>
      <c r="S383" s="66">
        <f t="shared" si="17"/>
        <v>0</v>
      </c>
      <c r="T383" s="66">
        <f t="shared" si="17"/>
        <v>0</v>
      </c>
      <c r="U383" s="66">
        <f t="shared" si="16"/>
        <v>0</v>
      </c>
    </row>
    <row r="384" spans="1:21" x14ac:dyDescent="0.25">
      <c r="A384" s="111" t="s">
        <v>742</v>
      </c>
      <c r="B384" s="111" t="s">
        <v>790</v>
      </c>
      <c r="C384" s="111" t="s">
        <v>756</v>
      </c>
      <c r="D384" s="111" t="s">
        <v>836</v>
      </c>
      <c r="E384" s="111" t="s">
        <v>745</v>
      </c>
      <c r="F384" s="66" t="str">
        <f t="shared" si="17"/>
        <v>CHECK</v>
      </c>
      <c r="G384" s="66" t="str">
        <f t="shared" si="17"/>
        <v>CHECK</v>
      </c>
      <c r="H384" s="66" t="str">
        <f t="shared" si="17"/>
        <v>CHECK</v>
      </c>
      <c r="I384" s="66" t="str">
        <f t="shared" si="17"/>
        <v>CHECK</v>
      </c>
      <c r="J384" s="66" t="str">
        <f t="shared" si="17"/>
        <v>CHECK</v>
      </c>
      <c r="K384" s="66" t="str">
        <f t="shared" si="17"/>
        <v>CHECK</v>
      </c>
      <c r="L384" s="66" t="str">
        <f t="shared" si="17"/>
        <v>CHECK</v>
      </c>
      <c r="M384" s="66" t="str">
        <f t="shared" si="17"/>
        <v>CHECK</v>
      </c>
      <c r="N384" s="66" t="str">
        <f t="shared" si="17"/>
        <v>CHECK</v>
      </c>
      <c r="O384" s="66" t="str">
        <f t="shared" si="17"/>
        <v>CHECK</v>
      </c>
      <c r="P384" s="66" t="str">
        <f t="shared" si="17"/>
        <v>CHECK</v>
      </c>
      <c r="Q384" s="66" t="str">
        <f t="shared" si="17"/>
        <v>CHECK</v>
      </c>
      <c r="R384" s="66" t="str">
        <f t="shared" si="17"/>
        <v>CHECK</v>
      </c>
      <c r="S384" s="66" t="str">
        <f t="shared" si="17"/>
        <v>CHECK</v>
      </c>
      <c r="T384" s="66" t="str">
        <f t="shared" si="17"/>
        <v>CHECK</v>
      </c>
      <c r="U384" s="66" t="str">
        <f t="shared" si="16"/>
        <v>CHECK</v>
      </c>
    </row>
    <row r="385" spans="1:21" x14ac:dyDescent="0.25">
      <c r="A385" s="10" t="s">
        <v>742</v>
      </c>
      <c r="B385" s="10" t="s">
        <v>791</v>
      </c>
      <c r="C385" s="10" t="s">
        <v>792</v>
      </c>
      <c r="D385" s="10" t="s">
        <v>836</v>
      </c>
      <c r="E385" s="10" t="s">
        <v>745</v>
      </c>
      <c r="F385" s="66">
        <f t="shared" si="17"/>
        <v>0</v>
      </c>
      <c r="G385" s="66">
        <f t="shared" si="17"/>
        <v>0</v>
      </c>
      <c r="H385" s="66">
        <f t="shared" si="17"/>
        <v>0</v>
      </c>
      <c r="I385" s="66">
        <f t="shared" si="17"/>
        <v>0</v>
      </c>
      <c r="J385" s="66">
        <f t="shared" si="17"/>
        <v>0</v>
      </c>
      <c r="K385" s="66">
        <f t="shared" si="17"/>
        <v>0</v>
      </c>
      <c r="L385" s="66">
        <f t="shared" si="17"/>
        <v>0</v>
      </c>
      <c r="M385" s="66">
        <f t="shared" si="17"/>
        <v>0</v>
      </c>
      <c r="N385" s="66">
        <f t="shared" si="17"/>
        <v>0</v>
      </c>
      <c r="O385" s="66">
        <f t="shared" si="17"/>
        <v>0</v>
      </c>
      <c r="P385" s="66">
        <f t="shared" si="17"/>
        <v>0</v>
      </c>
      <c r="Q385" s="66">
        <f t="shared" si="17"/>
        <v>0</v>
      </c>
      <c r="R385" s="66">
        <f t="shared" si="17"/>
        <v>0</v>
      </c>
      <c r="S385" s="66">
        <f t="shared" si="17"/>
        <v>0</v>
      </c>
      <c r="T385" s="66">
        <f t="shared" si="17"/>
        <v>0</v>
      </c>
      <c r="U385" s="66">
        <f t="shared" si="16"/>
        <v>0</v>
      </c>
    </row>
    <row r="386" spans="1:21" x14ac:dyDescent="0.25">
      <c r="A386" s="111" t="s">
        <v>742</v>
      </c>
      <c r="B386" s="111" t="s">
        <v>793</v>
      </c>
      <c r="C386" s="111" t="s">
        <v>794</v>
      </c>
      <c r="D386" s="111" t="s">
        <v>836</v>
      </c>
      <c r="E386" s="111" t="s">
        <v>745</v>
      </c>
      <c r="F386" s="66">
        <f t="shared" si="17"/>
        <v>0</v>
      </c>
      <c r="G386" s="66">
        <f t="shared" si="17"/>
        <v>0</v>
      </c>
      <c r="H386" s="66">
        <f t="shared" si="17"/>
        <v>0</v>
      </c>
      <c r="I386" s="66">
        <f t="shared" si="17"/>
        <v>0</v>
      </c>
      <c r="J386" s="66">
        <f t="shared" si="17"/>
        <v>0</v>
      </c>
      <c r="K386" s="66">
        <f t="shared" si="17"/>
        <v>0</v>
      </c>
      <c r="L386" s="66">
        <f t="shared" si="17"/>
        <v>0</v>
      </c>
      <c r="M386" s="66">
        <f t="shared" si="17"/>
        <v>0</v>
      </c>
      <c r="N386" s="66">
        <f t="shared" si="17"/>
        <v>0</v>
      </c>
      <c r="O386" s="66">
        <f t="shared" si="17"/>
        <v>0</v>
      </c>
      <c r="P386" s="66">
        <f t="shared" si="17"/>
        <v>0</v>
      </c>
      <c r="Q386" s="66">
        <f t="shared" si="17"/>
        <v>0</v>
      </c>
      <c r="R386" s="66">
        <f t="shared" si="17"/>
        <v>0</v>
      </c>
      <c r="S386" s="66">
        <f t="shared" si="17"/>
        <v>0</v>
      </c>
      <c r="T386" s="66">
        <f t="shared" si="17"/>
        <v>0</v>
      </c>
      <c r="U386" s="66">
        <f t="shared" si="16"/>
        <v>0</v>
      </c>
    </row>
    <row r="387" spans="1:21" x14ac:dyDescent="0.25">
      <c r="A387" s="111" t="s">
        <v>742</v>
      </c>
      <c r="B387" s="111" t="s">
        <v>795</v>
      </c>
      <c r="C387" s="111" t="s">
        <v>796</v>
      </c>
      <c r="D387" s="111" t="s">
        <v>836</v>
      </c>
      <c r="E387" s="111" t="s">
        <v>745</v>
      </c>
      <c r="F387" s="66">
        <f t="shared" si="17"/>
        <v>0</v>
      </c>
      <c r="G387" s="66">
        <f t="shared" si="17"/>
        <v>0</v>
      </c>
      <c r="H387" s="66">
        <f t="shared" si="17"/>
        <v>0</v>
      </c>
      <c r="I387" s="66">
        <f t="shared" si="17"/>
        <v>0</v>
      </c>
      <c r="J387" s="66">
        <f t="shared" si="17"/>
        <v>0</v>
      </c>
      <c r="K387" s="66">
        <f t="shared" si="17"/>
        <v>0</v>
      </c>
      <c r="L387" s="66">
        <f t="shared" si="17"/>
        <v>0</v>
      </c>
      <c r="M387" s="66">
        <f t="shared" si="17"/>
        <v>0</v>
      </c>
      <c r="N387" s="66">
        <f t="shared" si="17"/>
        <v>0</v>
      </c>
      <c r="O387" s="66">
        <f t="shared" si="17"/>
        <v>0</v>
      </c>
      <c r="P387" s="66">
        <f t="shared" si="17"/>
        <v>0</v>
      </c>
      <c r="Q387" s="66">
        <f t="shared" si="17"/>
        <v>0</v>
      </c>
      <c r="R387" s="66">
        <f t="shared" si="17"/>
        <v>0</v>
      </c>
      <c r="S387" s="66">
        <f t="shared" si="17"/>
        <v>0</v>
      </c>
      <c r="T387" s="66">
        <f t="shared" si="17"/>
        <v>0</v>
      </c>
      <c r="U387" s="66">
        <f t="shared" si="16"/>
        <v>0</v>
      </c>
    </row>
    <row r="388" spans="1:21" x14ac:dyDescent="0.25">
      <c r="A388" s="111" t="s">
        <v>742</v>
      </c>
      <c r="B388" s="111" t="s">
        <v>797</v>
      </c>
      <c r="C388" s="111" t="s">
        <v>798</v>
      </c>
      <c r="D388" s="111" t="s">
        <v>836</v>
      </c>
      <c r="E388" s="111" t="s">
        <v>745</v>
      </c>
      <c r="F388" s="66" t="str">
        <f t="shared" si="17"/>
        <v>CHECK</v>
      </c>
      <c r="G388" s="66" t="str">
        <f t="shared" si="17"/>
        <v>CHECK</v>
      </c>
      <c r="H388" s="66" t="str">
        <f t="shared" si="17"/>
        <v>CHECK</v>
      </c>
      <c r="I388" s="66" t="str">
        <f t="shared" si="17"/>
        <v>CHECK</v>
      </c>
      <c r="J388" s="66" t="str">
        <f t="shared" si="17"/>
        <v>CHECK</v>
      </c>
      <c r="K388" s="66" t="str">
        <f t="shared" si="17"/>
        <v>CHECK</v>
      </c>
      <c r="L388" s="66" t="str">
        <f t="shared" si="17"/>
        <v>CHECK</v>
      </c>
      <c r="M388" s="66" t="str">
        <f t="shared" si="17"/>
        <v>CHECK</v>
      </c>
      <c r="N388" s="66" t="str">
        <f t="shared" si="17"/>
        <v>CHECK</v>
      </c>
      <c r="O388" s="66" t="str">
        <f t="shared" si="17"/>
        <v>CHECK</v>
      </c>
      <c r="P388" s="66" t="str">
        <f t="shared" si="17"/>
        <v>CHECK</v>
      </c>
      <c r="Q388" s="66" t="str">
        <f t="shared" si="17"/>
        <v>CHECK</v>
      </c>
      <c r="R388" s="66" t="str">
        <f t="shared" si="17"/>
        <v>CHECK</v>
      </c>
      <c r="S388" s="66" t="str">
        <f t="shared" si="17"/>
        <v>CHECK</v>
      </c>
      <c r="T388" s="66" t="str">
        <f t="shared" si="17"/>
        <v>CHECK</v>
      </c>
      <c r="U388" s="66" t="str">
        <f t="shared" si="16"/>
        <v>CHECK</v>
      </c>
    </row>
    <row r="389" spans="1:21" x14ac:dyDescent="0.25">
      <c r="A389" s="111" t="s">
        <v>742</v>
      </c>
      <c r="B389" s="111" t="s">
        <v>799</v>
      </c>
      <c r="C389" s="111" t="s">
        <v>756</v>
      </c>
      <c r="D389" s="111" t="s">
        <v>836</v>
      </c>
      <c r="E389" s="111" t="s">
        <v>745</v>
      </c>
      <c r="F389" s="66" t="str">
        <f t="shared" si="17"/>
        <v>CHECK</v>
      </c>
      <c r="G389" s="66" t="str">
        <f t="shared" si="17"/>
        <v>CHECK</v>
      </c>
      <c r="H389" s="66" t="str">
        <f t="shared" si="17"/>
        <v>CHECK</v>
      </c>
      <c r="I389" s="66" t="str">
        <f t="shared" si="17"/>
        <v>CHECK</v>
      </c>
      <c r="J389" s="66" t="str">
        <f t="shared" si="17"/>
        <v>CHECK</v>
      </c>
      <c r="K389" s="66" t="str">
        <f t="shared" si="17"/>
        <v>CHECK</v>
      </c>
      <c r="L389" s="66" t="str">
        <f t="shared" si="17"/>
        <v>CHECK</v>
      </c>
      <c r="M389" s="66" t="str">
        <f t="shared" si="17"/>
        <v>CHECK</v>
      </c>
      <c r="N389" s="66" t="str">
        <f t="shared" si="17"/>
        <v>CHECK</v>
      </c>
      <c r="O389" s="66" t="str">
        <f t="shared" si="17"/>
        <v>CHECK</v>
      </c>
      <c r="P389" s="66" t="str">
        <f t="shared" si="17"/>
        <v>CHECK</v>
      </c>
      <c r="Q389" s="66" t="str">
        <f t="shared" si="17"/>
        <v>CHECK</v>
      </c>
      <c r="R389" s="66" t="str">
        <f t="shared" si="17"/>
        <v>CHECK</v>
      </c>
      <c r="S389" s="66" t="str">
        <f t="shared" si="17"/>
        <v>CHECK</v>
      </c>
      <c r="T389" s="66" t="str">
        <f t="shared" si="17"/>
        <v>CHECK</v>
      </c>
      <c r="U389" s="66" t="str">
        <f t="shared" si="16"/>
        <v>CHECK</v>
      </c>
    </row>
    <row r="390" spans="1:21" x14ac:dyDescent="0.25">
      <c r="A390" s="10" t="s">
        <v>742</v>
      </c>
      <c r="B390" s="112" t="s">
        <v>800</v>
      </c>
      <c r="C390" s="10" t="s">
        <v>555</v>
      </c>
      <c r="D390" s="10" t="s">
        <v>836</v>
      </c>
      <c r="E390" s="10" t="s">
        <v>745</v>
      </c>
      <c r="F390" s="66" t="str">
        <f t="shared" si="17"/>
        <v>CHECK</v>
      </c>
      <c r="G390" s="66" t="str">
        <f t="shared" si="17"/>
        <v>CHECK</v>
      </c>
      <c r="H390" s="66" t="str">
        <f t="shared" si="17"/>
        <v>CHECK</v>
      </c>
      <c r="I390" s="66" t="str">
        <f t="shared" si="17"/>
        <v>CHECK</v>
      </c>
      <c r="J390" s="66" t="str">
        <f t="shared" si="17"/>
        <v>CHECK</v>
      </c>
      <c r="K390" s="66" t="str">
        <f t="shared" si="17"/>
        <v>CHECK</v>
      </c>
      <c r="L390" s="66" t="str">
        <f t="shared" si="17"/>
        <v>CHECK</v>
      </c>
      <c r="M390" s="66" t="str">
        <f t="shared" si="17"/>
        <v>CHECK</v>
      </c>
      <c r="N390" s="66" t="str">
        <f t="shared" si="17"/>
        <v>CHECK</v>
      </c>
      <c r="O390" s="66" t="str">
        <f t="shared" si="17"/>
        <v>CHECK</v>
      </c>
      <c r="P390" s="66" t="str">
        <f t="shared" si="17"/>
        <v>CHECK</v>
      </c>
      <c r="Q390" s="66" t="str">
        <f t="shared" si="17"/>
        <v>CHECK</v>
      </c>
      <c r="R390" s="66" t="str">
        <f t="shared" si="17"/>
        <v>CHECK</v>
      </c>
      <c r="S390" s="66" t="str">
        <f t="shared" si="17"/>
        <v>CHECK</v>
      </c>
      <c r="T390" s="66" t="str">
        <f t="shared" si="17"/>
        <v>CHECK</v>
      </c>
      <c r="U390" s="66" t="str">
        <f t="shared" si="16"/>
        <v>CHECK</v>
      </c>
    </row>
    <row r="391" spans="1:21" x14ac:dyDescent="0.25">
      <c r="A391" s="111" t="s">
        <v>742</v>
      </c>
      <c r="B391" s="113" t="s">
        <v>801</v>
      </c>
      <c r="C391" s="111" t="s">
        <v>802</v>
      </c>
      <c r="D391" s="111" t="s">
        <v>836</v>
      </c>
      <c r="E391" s="111" t="s">
        <v>745</v>
      </c>
      <c r="F391" s="66" t="str">
        <f t="shared" ref="F391:T395" si="18">IFERROR(((F91/F242)-1),"CHECK")</f>
        <v>CHECK</v>
      </c>
      <c r="G391" s="66" t="str">
        <f t="shared" si="18"/>
        <v>CHECK</v>
      </c>
      <c r="H391" s="66" t="str">
        <f t="shared" si="18"/>
        <v>CHECK</v>
      </c>
      <c r="I391" s="66" t="str">
        <f t="shared" si="18"/>
        <v>CHECK</v>
      </c>
      <c r="J391" s="66" t="str">
        <f t="shared" si="18"/>
        <v>CHECK</v>
      </c>
      <c r="K391" s="66" t="str">
        <f t="shared" si="18"/>
        <v>CHECK</v>
      </c>
      <c r="L391" s="66" t="str">
        <f t="shared" si="18"/>
        <v>CHECK</v>
      </c>
      <c r="M391" s="66" t="str">
        <f t="shared" si="18"/>
        <v>CHECK</v>
      </c>
      <c r="N391" s="66" t="str">
        <f t="shared" si="18"/>
        <v>CHECK</v>
      </c>
      <c r="O391" s="66" t="str">
        <f t="shared" si="18"/>
        <v>CHECK</v>
      </c>
      <c r="P391" s="66" t="str">
        <f t="shared" si="18"/>
        <v>CHECK</v>
      </c>
      <c r="Q391" s="66" t="str">
        <f t="shared" si="18"/>
        <v>CHECK</v>
      </c>
      <c r="R391" s="66" t="str">
        <f t="shared" si="18"/>
        <v>CHECK</v>
      </c>
      <c r="S391" s="66" t="str">
        <f t="shared" si="18"/>
        <v>CHECK</v>
      </c>
      <c r="T391" s="66" t="str">
        <f t="shared" si="18"/>
        <v>CHECK</v>
      </c>
      <c r="U391" s="66" t="str">
        <f t="shared" si="16"/>
        <v>CHECK</v>
      </c>
    </row>
    <row r="392" spans="1:21" x14ac:dyDescent="0.25">
      <c r="A392" s="111" t="s">
        <v>742</v>
      </c>
      <c r="B392" s="113" t="s">
        <v>803</v>
      </c>
      <c r="C392" s="111" t="s">
        <v>804</v>
      </c>
      <c r="D392" s="111" t="s">
        <v>836</v>
      </c>
      <c r="E392" s="111" t="s">
        <v>745</v>
      </c>
      <c r="F392" s="66" t="str">
        <f t="shared" si="18"/>
        <v>CHECK</v>
      </c>
      <c r="G392" s="66" t="str">
        <f t="shared" si="18"/>
        <v>CHECK</v>
      </c>
      <c r="H392" s="66" t="str">
        <f t="shared" si="18"/>
        <v>CHECK</v>
      </c>
      <c r="I392" s="66" t="str">
        <f t="shared" si="18"/>
        <v>CHECK</v>
      </c>
      <c r="J392" s="66" t="str">
        <f t="shared" si="18"/>
        <v>CHECK</v>
      </c>
      <c r="K392" s="66" t="str">
        <f t="shared" si="18"/>
        <v>CHECK</v>
      </c>
      <c r="L392" s="66" t="str">
        <f t="shared" si="18"/>
        <v>CHECK</v>
      </c>
      <c r="M392" s="66" t="str">
        <f t="shared" si="18"/>
        <v>CHECK</v>
      </c>
      <c r="N392" s="66" t="str">
        <f t="shared" si="18"/>
        <v>CHECK</v>
      </c>
      <c r="O392" s="66" t="str">
        <f t="shared" si="18"/>
        <v>CHECK</v>
      </c>
      <c r="P392" s="66" t="str">
        <f t="shared" si="18"/>
        <v>CHECK</v>
      </c>
      <c r="Q392" s="66" t="str">
        <f t="shared" si="18"/>
        <v>CHECK</v>
      </c>
      <c r="R392" s="66" t="str">
        <f t="shared" si="18"/>
        <v>CHECK</v>
      </c>
      <c r="S392" s="66" t="str">
        <f t="shared" si="18"/>
        <v>CHECK</v>
      </c>
      <c r="T392" s="66" t="str">
        <f t="shared" si="18"/>
        <v>CHECK</v>
      </c>
      <c r="U392" s="66" t="str">
        <f t="shared" si="16"/>
        <v>CHECK</v>
      </c>
    </row>
    <row r="393" spans="1:21" x14ac:dyDescent="0.25">
      <c r="A393" s="111" t="s">
        <v>742</v>
      </c>
      <c r="B393" s="113" t="s">
        <v>805</v>
      </c>
      <c r="C393" s="111" t="s">
        <v>558</v>
      </c>
      <c r="D393" s="111" t="s">
        <v>836</v>
      </c>
      <c r="E393" s="111" t="s">
        <v>745</v>
      </c>
      <c r="F393" s="66" t="str">
        <f t="shared" si="18"/>
        <v>CHECK</v>
      </c>
      <c r="G393" s="66" t="str">
        <f t="shared" si="18"/>
        <v>CHECK</v>
      </c>
      <c r="H393" s="66" t="str">
        <f t="shared" si="18"/>
        <v>CHECK</v>
      </c>
      <c r="I393" s="66" t="str">
        <f t="shared" si="18"/>
        <v>CHECK</v>
      </c>
      <c r="J393" s="66" t="str">
        <f t="shared" si="18"/>
        <v>CHECK</v>
      </c>
      <c r="K393" s="66" t="str">
        <f t="shared" si="18"/>
        <v>CHECK</v>
      </c>
      <c r="L393" s="66" t="str">
        <f t="shared" si="18"/>
        <v>CHECK</v>
      </c>
      <c r="M393" s="66" t="str">
        <f t="shared" si="18"/>
        <v>CHECK</v>
      </c>
      <c r="N393" s="66" t="str">
        <f t="shared" si="18"/>
        <v>CHECK</v>
      </c>
      <c r="O393" s="66" t="str">
        <f t="shared" si="18"/>
        <v>CHECK</v>
      </c>
      <c r="P393" s="66" t="str">
        <f t="shared" si="18"/>
        <v>CHECK</v>
      </c>
      <c r="Q393" s="66" t="str">
        <f t="shared" si="18"/>
        <v>CHECK</v>
      </c>
      <c r="R393" s="66" t="str">
        <f t="shared" si="18"/>
        <v>CHECK</v>
      </c>
      <c r="S393" s="66" t="str">
        <f t="shared" si="18"/>
        <v>CHECK</v>
      </c>
      <c r="T393" s="66" t="str">
        <f t="shared" si="18"/>
        <v>CHECK</v>
      </c>
      <c r="U393" s="66" t="str">
        <f t="shared" si="16"/>
        <v>CHECK</v>
      </c>
    </row>
    <row r="394" spans="1:21" x14ac:dyDescent="0.25">
      <c r="A394" s="111" t="s">
        <v>742</v>
      </c>
      <c r="B394" s="113" t="s">
        <v>806</v>
      </c>
      <c r="C394" s="111" t="s">
        <v>807</v>
      </c>
      <c r="D394" s="111" t="s">
        <v>836</v>
      </c>
      <c r="E394" s="111" t="s">
        <v>745</v>
      </c>
      <c r="F394" s="66" t="str">
        <f t="shared" si="18"/>
        <v>CHECK</v>
      </c>
      <c r="G394" s="66" t="str">
        <f t="shared" si="18"/>
        <v>CHECK</v>
      </c>
      <c r="H394" s="66" t="str">
        <f t="shared" si="18"/>
        <v>CHECK</v>
      </c>
      <c r="I394" s="66" t="str">
        <f t="shared" si="18"/>
        <v>CHECK</v>
      </c>
      <c r="J394" s="66" t="str">
        <f t="shared" si="18"/>
        <v>CHECK</v>
      </c>
      <c r="K394" s="66" t="str">
        <f t="shared" si="18"/>
        <v>CHECK</v>
      </c>
      <c r="L394" s="66" t="str">
        <f t="shared" si="18"/>
        <v>CHECK</v>
      </c>
      <c r="M394" s="66" t="str">
        <f t="shared" si="18"/>
        <v>CHECK</v>
      </c>
      <c r="N394" s="66" t="str">
        <f t="shared" si="18"/>
        <v>CHECK</v>
      </c>
      <c r="O394" s="66" t="str">
        <f t="shared" si="18"/>
        <v>CHECK</v>
      </c>
      <c r="P394" s="66" t="str">
        <f t="shared" si="18"/>
        <v>CHECK</v>
      </c>
      <c r="Q394" s="66" t="str">
        <f t="shared" si="18"/>
        <v>CHECK</v>
      </c>
      <c r="R394" s="66" t="str">
        <f t="shared" si="18"/>
        <v>CHECK</v>
      </c>
      <c r="S394" s="66" t="str">
        <f t="shared" si="18"/>
        <v>CHECK</v>
      </c>
      <c r="T394" s="66" t="str">
        <f t="shared" si="18"/>
        <v>CHECK</v>
      </c>
      <c r="U394" s="66" t="str">
        <f t="shared" si="16"/>
        <v>CHECK</v>
      </c>
    </row>
    <row r="395" spans="1:21" x14ac:dyDescent="0.25">
      <c r="A395" s="111" t="s">
        <v>742</v>
      </c>
      <c r="B395" s="113" t="s">
        <v>808</v>
      </c>
      <c r="C395" s="111" t="s">
        <v>756</v>
      </c>
      <c r="D395" s="111" t="s">
        <v>836</v>
      </c>
      <c r="E395" s="111" t="s">
        <v>745</v>
      </c>
      <c r="F395" s="66" t="str">
        <f t="shared" si="18"/>
        <v>CHECK</v>
      </c>
      <c r="G395" s="66" t="str">
        <f t="shared" si="18"/>
        <v>CHECK</v>
      </c>
      <c r="H395" s="66" t="str">
        <f t="shared" si="18"/>
        <v>CHECK</v>
      </c>
      <c r="I395" s="66" t="str">
        <f t="shared" si="18"/>
        <v>CHECK</v>
      </c>
      <c r="J395" s="66" t="str">
        <f t="shared" si="18"/>
        <v>CHECK</v>
      </c>
      <c r="K395" s="66" t="str">
        <f t="shared" si="18"/>
        <v>CHECK</v>
      </c>
      <c r="L395" s="66" t="str">
        <f t="shared" si="18"/>
        <v>CHECK</v>
      </c>
      <c r="M395" s="66" t="str">
        <f t="shared" si="18"/>
        <v>CHECK</v>
      </c>
      <c r="N395" s="66" t="str">
        <f t="shared" si="18"/>
        <v>CHECK</v>
      </c>
      <c r="O395" s="66" t="str">
        <f t="shared" si="18"/>
        <v>CHECK</v>
      </c>
      <c r="P395" s="66" t="str">
        <f t="shared" si="18"/>
        <v>CHECK</v>
      </c>
      <c r="Q395" s="66" t="str">
        <f t="shared" si="18"/>
        <v>CHECK</v>
      </c>
      <c r="R395" s="66" t="str">
        <f t="shared" si="18"/>
        <v>CHECK</v>
      </c>
      <c r="S395" s="66" t="str">
        <f t="shared" si="18"/>
        <v>CHECK</v>
      </c>
      <c r="T395" s="66" t="str">
        <f t="shared" si="18"/>
        <v>CHECK</v>
      </c>
      <c r="U395" s="66" t="str">
        <f t="shared" si="16"/>
        <v>CHECK</v>
      </c>
    </row>
    <row r="396" spans="1:21" x14ac:dyDescent="0.25">
      <c r="F396" s="66"/>
      <c r="G396" s="66"/>
      <c r="H396" s="66"/>
      <c r="I396" s="66"/>
      <c r="J396" s="66"/>
      <c r="K396" s="66"/>
      <c r="L396" s="66"/>
      <c r="M396" s="66"/>
      <c r="N396" s="66"/>
      <c r="O396" s="66"/>
      <c r="P396" s="66"/>
      <c r="Q396" s="66"/>
      <c r="R396" s="66"/>
      <c r="S396" s="66"/>
      <c r="T396" s="66"/>
    </row>
    <row r="397" spans="1:21" x14ac:dyDescent="0.25">
      <c r="C397" s="10" t="s">
        <v>847</v>
      </c>
      <c r="F397" s="66"/>
      <c r="G397" s="66"/>
      <c r="H397" s="66"/>
      <c r="I397" s="66"/>
      <c r="J397" s="66"/>
      <c r="K397" s="66"/>
      <c r="L397" s="66"/>
      <c r="M397" s="66"/>
      <c r="N397" s="66"/>
      <c r="O397" s="66"/>
      <c r="P397" s="66"/>
      <c r="Q397" s="66"/>
      <c r="R397" s="66"/>
      <c r="S397" s="66"/>
      <c r="T397" s="66"/>
    </row>
    <row r="398" spans="1:21" x14ac:dyDescent="0.25">
      <c r="A398" s="10" t="s">
        <v>742</v>
      </c>
      <c r="B398" s="109">
        <v>2</v>
      </c>
      <c r="C398" s="110" t="s">
        <v>743</v>
      </c>
      <c r="D398" s="10" t="s">
        <v>486</v>
      </c>
      <c r="E398" s="10" t="s">
        <v>745</v>
      </c>
      <c r="F398" s="66">
        <f t="shared" ref="F398:U413" si="19">IFERROR(((F98/F249)-1),"CHECK")</f>
        <v>0</v>
      </c>
      <c r="G398" s="66">
        <f t="shared" si="19"/>
        <v>0</v>
      </c>
      <c r="H398" s="66">
        <f t="shared" si="19"/>
        <v>0</v>
      </c>
      <c r="I398" s="66">
        <f t="shared" si="19"/>
        <v>0</v>
      </c>
      <c r="J398" s="66">
        <f t="shared" si="19"/>
        <v>0</v>
      </c>
      <c r="K398" s="66">
        <f t="shared" si="19"/>
        <v>0</v>
      </c>
      <c r="L398" s="66">
        <f t="shared" si="19"/>
        <v>0</v>
      </c>
      <c r="M398" s="66">
        <f t="shared" si="19"/>
        <v>0</v>
      </c>
      <c r="N398" s="66">
        <f t="shared" si="19"/>
        <v>0</v>
      </c>
      <c r="O398" s="66">
        <f t="shared" si="19"/>
        <v>0</v>
      </c>
      <c r="P398" s="66">
        <f t="shared" si="19"/>
        <v>0</v>
      </c>
      <c r="Q398" s="66">
        <f t="shared" si="19"/>
        <v>0</v>
      </c>
      <c r="R398" s="66">
        <f t="shared" si="19"/>
        <v>0</v>
      </c>
      <c r="S398" s="66">
        <f t="shared" si="19"/>
        <v>0</v>
      </c>
      <c r="T398" s="66">
        <f t="shared" si="19"/>
        <v>0</v>
      </c>
      <c r="U398" s="66">
        <f t="shared" si="19"/>
        <v>0</v>
      </c>
    </row>
    <row r="399" spans="1:21" x14ac:dyDescent="0.25">
      <c r="A399" s="10" t="s">
        <v>742</v>
      </c>
      <c r="B399" s="10" t="s">
        <v>757</v>
      </c>
      <c r="C399" s="10" t="s">
        <v>520</v>
      </c>
      <c r="D399" s="10" t="s">
        <v>486</v>
      </c>
      <c r="E399" s="10" t="s">
        <v>745</v>
      </c>
      <c r="F399" s="66">
        <f t="shared" si="19"/>
        <v>0</v>
      </c>
      <c r="G399" s="66">
        <f t="shared" si="19"/>
        <v>0</v>
      </c>
      <c r="H399" s="66">
        <f t="shared" si="19"/>
        <v>0</v>
      </c>
      <c r="I399" s="66">
        <f t="shared" si="19"/>
        <v>0</v>
      </c>
      <c r="J399" s="66">
        <f t="shared" si="19"/>
        <v>0</v>
      </c>
      <c r="K399" s="66">
        <f t="shared" si="19"/>
        <v>0</v>
      </c>
      <c r="L399" s="66">
        <f t="shared" si="19"/>
        <v>0</v>
      </c>
      <c r="M399" s="66">
        <f t="shared" si="19"/>
        <v>0</v>
      </c>
      <c r="N399" s="66">
        <f t="shared" si="19"/>
        <v>0</v>
      </c>
      <c r="O399" s="66">
        <f t="shared" si="19"/>
        <v>0</v>
      </c>
      <c r="P399" s="66">
        <f t="shared" si="19"/>
        <v>0</v>
      </c>
      <c r="Q399" s="66">
        <f t="shared" si="19"/>
        <v>0</v>
      </c>
      <c r="R399" s="66">
        <f t="shared" si="19"/>
        <v>0</v>
      </c>
      <c r="S399" s="66">
        <f t="shared" si="19"/>
        <v>0</v>
      </c>
      <c r="T399" s="66">
        <f t="shared" si="19"/>
        <v>0</v>
      </c>
      <c r="U399" s="66">
        <f t="shared" si="19"/>
        <v>0</v>
      </c>
    </row>
    <row r="400" spans="1:21" x14ac:dyDescent="0.25">
      <c r="A400" s="111" t="s">
        <v>742</v>
      </c>
      <c r="B400" s="111" t="s">
        <v>758</v>
      </c>
      <c r="C400" s="111" t="s">
        <v>759</v>
      </c>
      <c r="D400" s="111" t="s">
        <v>486</v>
      </c>
      <c r="E400" s="111" t="s">
        <v>745</v>
      </c>
      <c r="F400" s="66">
        <f t="shared" si="19"/>
        <v>0</v>
      </c>
      <c r="G400" s="66">
        <f t="shared" si="19"/>
        <v>0</v>
      </c>
      <c r="H400" s="66">
        <f t="shared" si="19"/>
        <v>0</v>
      </c>
      <c r="I400" s="66">
        <f t="shared" si="19"/>
        <v>0</v>
      </c>
      <c r="J400" s="66">
        <f t="shared" si="19"/>
        <v>0</v>
      </c>
      <c r="K400" s="66">
        <f t="shared" si="19"/>
        <v>0</v>
      </c>
      <c r="L400" s="66">
        <f t="shared" si="19"/>
        <v>0</v>
      </c>
      <c r="M400" s="66">
        <f t="shared" si="19"/>
        <v>0</v>
      </c>
      <c r="N400" s="66">
        <f t="shared" si="19"/>
        <v>0</v>
      </c>
      <c r="O400" s="66">
        <f t="shared" si="19"/>
        <v>0</v>
      </c>
      <c r="P400" s="66">
        <f t="shared" si="19"/>
        <v>0</v>
      </c>
      <c r="Q400" s="66">
        <f t="shared" si="19"/>
        <v>0</v>
      </c>
      <c r="R400" s="66">
        <f t="shared" si="19"/>
        <v>0</v>
      </c>
      <c r="S400" s="66">
        <f t="shared" si="19"/>
        <v>0</v>
      </c>
      <c r="T400" s="66">
        <f t="shared" si="19"/>
        <v>0</v>
      </c>
      <c r="U400" s="66">
        <f t="shared" si="19"/>
        <v>0</v>
      </c>
    </row>
    <row r="401" spans="1:21" x14ac:dyDescent="0.25">
      <c r="A401" s="111" t="s">
        <v>742</v>
      </c>
      <c r="B401" s="111" t="s">
        <v>760</v>
      </c>
      <c r="C401" s="111" t="s">
        <v>761</v>
      </c>
      <c r="D401" s="111" t="s">
        <v>486</v>
      </c>
      <c r="E401" s="111" t="s">
        <v>745</v>
      </c>
      <c r="F401" s="66" t="str">
        <f t="shared" si="19"/>
        <v>CHECK</v>
      </c>
      <c r="G401" s="66" t="str">
        <f t="shared" si="19"/>
        <v>CHECK</v>
      </c>
      <c r="H401" s="66" t="str">
        <f t="shared" si="19"/>
        <v>CHECK</v>
      </c>
      <c r="I401" s="66" t="str">
        <f t="shared" si="19"/>
        <v>CHECK</v>
      </c>
      <c r="J401" s="66" t="str">
        <f t="shared" si="19"/>
        <v>CHECK</v>
      </c>
      <c r="K401" s="66" t="str">
        <f t="shared" si="19"/>
        <v>CHECK</v>
      </c>
      <c r="L401" s="66" t="str">
        <f t="shared" si="19"/>
        <v>CHECK</v>
      </c>
      <c r="M401" s="66" t="str">
        <f t="shared" si="19"/>
        <v>CHECK</v>
      </c>
      <c r="N401" s="66" t="str">
        <f t="shared" si="19"/>
        <v>CHECK</v>
      </c>
      <c r="O401" s="66" t="str">
        <f t="shared" si="19"/>
        <v>CHECK</v>
      </c>
      <c r="P401" s="66" t="str">
        <f t="shared" si="19"/>
        <v>CHECK</v>
      </c>
      <c r="Q401" s="66" t="str">
        <f t="shared" si="19"/>
        <v>CHECK</v>
      </c>
      <c r="R401" s="66" t="str">
        <f t="shared" si="19"/>
        <v>CHECK</v>
      </c>
      <c r="S401" s="66" t="str">
        <f t="shared" si="19"/>
        <v>CHECK</v>
      </c>
      <c r="T401" s="66" t="str">
        <f t="shared" si="19"/>
        <v>CHECK</v>
      </c>
      <c r="U401" s="66" t="str">
        <f t="shared" si="19"/>
        <v>CHECK</v>
      </c>
    </row>
    <row r="402" spans="1:21" x14ac:dyDescent="0.25">
      <c r="A402" s="111" t="s">
        <v>742</v>
      </c>
      <c r="B402" s="111" t="s">
        <v>762</v>
      </c>
      <c r="C402" s="111" t="s">
        <v>763</v>
      </c>
      <c r="D402" s="111" t="s">
        <v>486</v>
      </c>
      <c r="E402" s="111" t="s">
        <v>745</v>
      </c>
      <c r="F402" s="66" t="str">
        <f t="shared" si="19"/>
        <v>CHECK</v>
      </c>
      <c r="G402" s="66" t="str">
        <f t="shared" si="19"/>
        <v>CHECK</v>
      </c>
      <c r="H402" s="66" t="str">
        <f t="shared" si="19"/>
        <v>CHECK</v>
      </c>
      <c r="I402" s="66" t="str">
        <f t="shared" si="19"/>
        <v>CHECK</v>
      </c>
      <c r="J402" s="66" t="str">
        <f t="shared" si="19"/>
        <v>CHECK</v>
      </c>
      <c r="K402" s="66" t="str">
        <f t="shared" si="19"/>
        <v>CHECK</v>
      </c>
      <c r="L402" s="66" t="str">
        <f t="shared" si="19"/>
        <v>CHECK</v>
      </c>
      <c r="M402" s="66" t="str">
        <f t="shared" si="19"/>
        <v>CHECK</v>
      </c>
      <c r="N402" s="66" t="str">
        <f t="shared" si="19"/>
        <v>CHECK</v>
      </c>
      <c r="O402" s="66" t="str">
        <f t="shared" si="19"/>
        <v>CHECK</v>
      </c>
      <c r="P402" s="66" t="str">
        <f t="shared" si="19"/>
        <v>CHECK</v>
      </c>
      <c r="Q402" s="66" t="str">
        <f t="shared" si="19"/>
        <v>CHECK</v>
      </c>
      <c r="R402" s="66" t="str">
        <f t="shared" si="19"/>
        <v>CHECK</v>
      </c>
      <c r="S402" s="66" t="str">
        <f t="shared" si="19"/>
        <v>CHECK</v>
      </c>
      <c r="T402" s="66" t="str">
        <f t="shared" si="19"/>
        <v>CHECK</v>
      </c>
      <c r="U402" s="66" t="str">
        <f t="shared" si="19"/>
        <v>CHECK</v>
      </c>
    </row>
    <row r="403" spans="1:21" x14ac:dyDescent="0.25">
      <c r="A403" s="111" t="s">
        <v>742</v>
      </c>
      <c r="B403" s="111" t="s">
        <v>764</v>
      </c>
      <c r="C403" s="111" t="s">
        <v>765</v>
      </c>
      <c r="D403" s="111" t="s">
        <v>486</v>
      </c>
      <c r="E403" s="111" t="s">
        <v>745</v>
      </c>
      <c r="F403" s="66" t="str">
        <f t="shared" si="19"/>
        <v>CHECK</v>
      </c>
      <c r="G403" s="66" t="str">
        <f t="shared" si="19"/>
        <v>CHECK</v>
      </c>
      <c r="H403" s="66" t="str">
        <f t="shared" si="19"/>
        <v>CHECK</v>
      </c>
      <c r="I403" s="66" t="str">
        <f t="shared" si="19"/>
        <v>CHECK</v>
      </c>
      <c r="J403" s="66" t="str">
        <f t="shared" si="19"/>
        <v>CHECK</v>
      </c>
      <c r="K403" s="66" t="str">
        <f t="shared" si="19"/>
        <v>CHECK</v>
      </c>
      <c r="L403" s="66" t="str">
        <f t="shared" si="19"/>
        <v>CHECK</v>
      </c>
      <c r="M403" s="66" t="str">
        <f t="shared" si="19"/>
        <v>CHECK</v>
      </c>
      <c r="N403" s="66" t="str">
        <f t="shared" si="19"/>
        <v>CHECK</v>
      </c>
      <c r="O403" s="66" t="str">
        <f t="shared" si="19"/>
        <v>CHECK</v>
      </c>
      <c r="P403" s="66" t="str">
        <f t="shared" si="19"/>
        <v>CHECK</v>
      </c>
      <c r="Q403" s="66" t="str">
        <f t="shared" si="19"/>
        <v>CHECK</v>
      </c>
      <c r="R403" s="66" t="str">
        <f t="shared" si="19"/>
        <v>CHECK</v>
      </c>
      <c r="S403" s="66" t="str">
        <f t="shared" si="19"/>
        <v>CHECK</v>
      </c>
      <c r="T403" s="66" t="str">
        <f t="shared" si="19"/>
        <v>CHECK</v>
      </c>
      <c r="U403" s="66" t="str">
        <f t="shared" si="19"/>
        <v>CHECK</v>
      </c>
    </row>
    <row r="404" spans="1:21" x14ac:dyDescent="0.25">
      <c r="A404" s="111" t="s">
        <v>742</v>
      </c>
      <c r="B404" s="111" t="s">
        <v>766</v>
      </c>
      <c r="C404" s="111" t="s">
        <v>767</v>
      </c>
      <c r="D404" s="111" t="s">
        <v>486</v>
      </c>
      <c r="E404" s="111" t="s">
        <v>745</v>
      </c>
      <c r="F404" s="66" t="str">
        <f t="shared" si="19"/>
        <v>CHECK</v>
      </c>
      <c r="G404" s="66" t="str">
        <f t="shared" si="19"/>
        <v>CHECK</v>
      </c>
      <c r="H404" s="66" t="str">
        <f t="shared" si="19"/>
        <v>CHECK</v>
      </c>
      <c r="I404" s="66" t="str">
        <f t="shared" si="19"/>
        <v>CHECK</v>
      </c>
      <c r="J404" s="66" t="str">
        <f t="shared" si="19"/>
        <v>CHECK</v>
      </c>
      <c r="K404" s="66" t="str">
        <f t="shared" si="19"/>
        <v>CHECK</v>
      </c>
      <c r="L404" s="66" t="str">
        <f t="shared" si="19"/>
        <v>CHECK</v>
      </c>
      <c r="M404" s="66" t="str">
        <f t="shared" si="19"/>
        <v>CHECK</v>
      </c>
      <c r="N404" s="66" t="str">
        <f t="shared" si="19"/>
        <v>CHECK</v>
      </c>
      <c r="O404" s="66" t="str">
        <f t="shared" si="19"/>
        <v>CHECK</v>
      </c>
      <c r="P404" s="66" t="str">
        <f t="shared" si="19"/>
        <v>CHECK</v>
      </c>
      <c r="Q404" s="66" t="str">
        <f t="shared" si="19"/>
        <v>CHECK</v>
      </c>
      <c r="R404" s="66" t="str">
        <f t="shared" si="19"/>
        <v>CHECK</v>
      </c>
      <c r="S404" s="66" t="str">
        <f t="shared" si="19"/>
        <v>CHECK</v>
      </c>
      <c r="T404" s="66" t="str">
        <f t="shared" si="19"/>
        <v>CHECK</v>
      </c>
      <c r="U404" s="66" t="str">
        <f t="shared" si="19"/>
        <v>CHECK</v>
      </c>
    </row>
    <row r="405" spans="1:21" x14ac:dyDescent="0.25">
      <c r="A405" s="111" t="s">
        <v>742</v>
      </c>
      <c r="B405" s="111" t="s">
        <v>768</v>
      </c>
      <c r="C405" s="111" t="s">
        <v>769</v>
      </c>
      <c r="D405" s="111" t="s">
        <v>486</v>
      </c>
      <c r="E405" s="111" t="s">
        <v>745</v>
      </c>
      <c r="F405" s="66" t="str">
        <f t="shared" si="19"/>
        <v>CHECK</v>
      </c>
      <c r="G405" s="66" t="str">
        <f t="shared" si="19"/>
        <v>CHECK</v>
      </c>
      <c r="H405" s="66" t="str">
        <f t="shared" si="19"/>
        <v>CHECK</v>
      </c>
      <c r="I405" s="66" t="str">
        <f t="shared" si="19"/>
        <v>CHECK</v>
      </c>
      <c r="J405" s="66" t="str">
        <f t="shared" si="19"/>
        <v>CHECK</v>
      </c>
      <c r="K405" s="66" t="str">
        <f t="shared" si="19"/>
        <v>CHECK</v>
      </c>
      <c r="L405" s="66" t="str">
        <f t="shared" si="19"/>
        <v>CHECK</v>
      </c>
      <c r="M405" s="66" t="str">
        <f t="shared" si="19"/>
        <v>CHECK</v>
      </c>
      <c r="N405" s="66" t="str">
        <f t="shared" si="19"/>
        <v>CHECK</v>
      </c>
      <c r="O405" s="66" t="str">
        <f t="shared" si="19"/>
        <v>CHECK</v>
      </c>
      <c r="P405" s="66" t="str">
        <f t="shared" si="19"/>
        <v>CHECK</v>
      </c>
      <c r="Q405" s="66" t="str">
        <f t="shared" si="19"/>
        <v>CHECK</v>
      </c>
      <c r="R405" s="66" t="str">
        <f t="shared" si="19"/>
        <v>CHECK</v>
      </c>
      <c r="S405" s="66" t="str">
        <f t="shared" si="19"/>
        <v>CHECK</v>
      </c>
      <c r="T405" s="66" t="str">
        <f t="shared" si="19"/>
        <v>CHECK</v>
      </c>
      <c r="U405" s="66" t="str">
        <f t="shared" si="19"/>
        <v>CHECK</v>
      </c>
    </row>
    <row r="406" spans="1:21" x14ac:dyDescent="0.25">
      <c r="A406" s="111" t="s">
        <v>742</v>
      </c>
      <c r="B406" s="111" t="s">
        <v>770</v>
      </c>
      <c r="C406" s="111" t="s">
        <v>771</v>
      </c>
      <c r="D406" s="111" t="s">
        <v>486</v>
      </c>
      <c r="E406" s="111" t="s">
        <v>745</v>
      </c>
      <c r="F406" s="66" t="str">
        <f t="shared" si="19"/>
        <v>CHECK</v>
      </c>
      <c r="G406" s="66" t="str">
        <f t="shared" si="19"/>
        <v>CHECK</v>
      </c>
      <c r="H406" s="66" t="str">
        <f t="shared" si="19"/>
        <v>CHECK</v>
      </c>
      <c r="I406" s="66" t="str">
        <f t="shared" si="19"/>
        <v>CHECK</v>
      </c>
      <c r="J406" s="66" t="str">
        <f t="shared" si="19"/>
        <v>CHECK</v>
      </c>
      <c r="K406" s="66" t="str">
        <f t="shared" si="19"/>
        <v>CHECK</v>
      </c>
      <c r="L406" s="66" t="str">
        <f t="shared" si="19"/>
        <v>CHECK</v>
      </c>
      <c r="M406" s="66" t="str">
        <f t="shared" si="19"/>
        <v>CHECK</v>
      </c>
      <c r="N406" s="66" t="str">
        <f t="shared" si="19"/>
        <v>CHECK</v>
      </c>
      <c r="O406" s="66" t="str">
        <f t="shared" si="19"/>
        <v>CHECK</v>
      </c>
      <c r="P406" s="66" t="str">
        <f t="shared" si="19"/>
        <v>CHECK</v>
      </c>
      <c r="Q406" s="66" t="str">
        <f t="shared" si="19"/>
        <v>CHECK</v>
      </c>
      <c r="R406" s="66" t="str">
        <f t="shared" si="19"/>
        <v>CHECK</v>
      </c>
      <c r="S406" s="66" t="str">
        <f t="shared" si="19"/>
        <v>CHECK</v>
      </c>
      <c r="T406" s="66" t="str">
        <f t="shared" si="19"/>
        <v>CHECK</v>
      </c>
      <c r="U406" s="66" t="str">
        <f t="shared" si="19"/>
        <v>CHECK</v>
      </c>
    </row>
    <row r="407" spans="1:21" x14ac:dyDescent="0.25">
      <c r="A407" s="111" t="s">
        <v>742</v>
      </c>
      <c r="B407" s="111" t="s">
        <v>772</v>
      </c>
      <c r="C407" s="111" t="s">
        <v>773</v>
      </c>
      <c r="D407" s="111" t="s">
        <v>486</v>
      </c>
      <c r="E407" s="111" t="s">
        <v>745</v>
      </c>
      <c r="F407" s="66">
        <f t="shared" si="19"/>
        <v>0</v>
      </c>
      <c r="G407" s="66">
        <f t="shared" si="19"/>
        <v>0</v>
      </c>
      <c r="H407" s="66">
        <f t="shared" si="19"/>
        <v>0</v>
      </c>
      <c r="I407" s="66">
        <f t="shared" si="19"/>
        <v>0</v>
      </c>
      <c r="J407" s="66">
        <f t="shared" si="19"/>
        <v>0</v>
      </c>
      <c r="K407" s="66">
        <f t="shared" si="19"/>
        <v>0</v>
      </c>
      <c r="L407" s="66">
        <f t="shared" si="19"/>
        <v>0</v>
      </c>
      <c r="M407" s="66">
        <f t="shared" si="19"/>
        <v>0</v>
      </c>
      <c r="N407" s="66">
        <f t="shared" si="19"/>
        <v>0</v>
      </c>
      <c r="O407" s="66">
        <f t="shared" si="19"/>
        <v>0</v>
      </c>
      <c r="P407" s="66">
        <f t="shared" si="19"/>
        <v>0</v>
      </c>
      <c r="Q407" s="66">
        <f t="shared" si="19"/>
        <v>0</v>
      </c>
      <c r="R407" s="66">
        <f t="shared" si="19"/>
        <v>0</v>
      </c>
      <c r="S407" s="66">
        <f t="shared" si="19"/>
        <v>0</v>
      </c>
      <c r="T407" s="66">
        <f t="shared" si="19"/>
        <v>0</v>
      </c>
      <c r="U407" s="66">
        <f t="shared" si="19"/>
        <v>0</v>
      </c>
    </row>
    <row r="408" spans="1:21" x14ac:dyDescent="0.25">
      <c r="A408" s="111" t="s">
        <v>742</v>
      </c>
      <c r="B408" s="111" t="s">
        <v>774</v>
      </c>
      <c r="C408" s="111" t="s">
        <v>775</v>
      </c>
      <c r="D408" s="111" t="s">
        <v>486</v>
      </c>
      <c r="E408" s="111" t="s">
        <v>745</v>
      </c>
      <c r="F408" s="66" t="str">
        <f t="shared" si="19"/>
        <v>CHECK</v>
      </c>
      <c r="G408" s="66" t="str">
        <f t="shared" si="19"/>
        <v>CHECK</v>
      </c>
      <c r="H408" s="66" t="str">
        <f t="shared" si="19"/>
        <v>CHECK</v>
      </c>
      <c r="I408" s="66" t="str">
        <f t="shared" si="19"/>
        <v>CHECK</v>
      </c>
      <c r="J408" s="66" t="str">
        <f t="shared" si="19"/>
        <v>CHECK</v>
      </c>
      <c r="K408" s="66" t="str">
        <f t="shared" si="19"/>
        <v>CHECK</v>
      </c>
      <c r="L408" s="66" t="str">
        <f t="shared" si="19"/>
        <v>CHECK</v>
      </c>
      <c r="M408" s="66" t="str">
        <f t="shared" si="19"/>
        <v>CHECK</v>
      </c>
      <c r="N408" s="66" t="str">
        <f t="shared" si="19"/>
        <v>CHECK</v>
      </c>
      <c r="O408" s="66" t="str">
        <f t="shared" si="19"/>
        <v>CHECK</v>
      </c>
      <c r="P408" s="66" t="str">
        <f t="shared" si="19"/>
        <v>CHECK</v>
      </c>
      <c r="Q408" s="66" t="str">
        <f t="shared" si="19"/>
        <v>CHECK</v>
      </c>
      <c r="R408" s="66" t="str">
        <f t="shared" si="19"/>
        <v>CHECK</v>
      </c>
      <c r="S408" s="66" t="str">
        <f t="shared" si="19"/>
        <v>CHECK</v>
      </c>
      <c r="T408" s="66" t="str">
        <f t="shared" si="19"/>
        <v>CHECK</v>
      </c>
      <c r="U408" s="66" t="str">
        <f t="shared" si="19"/>
        <v>CHECK</v>
      </c>
    </row>
    <row r="409" spans="1:21" x14ac:dyDescent="0.25">
      <c r="A409" s="111" t="s">
        <v>742</v>
      </c>
      <c r="B409" s="111" t="s">
        <v>776</v>
      </c>
      <c r="C409" s="111" t="s">
        <v>756</v>
      </c>
      <c r="D409" s="111" t="s">
        <v>486</v>
      </c>
      <c r="E409" s="111" t="s">
        <v>745</v>
      </c>
      <c r="F409" s="66" t="str">
        <f t="shared" si="19"/>
        <v>CHECK</v>
      </c>
      <c r="G409" s="66" t="str">
        <f t="shared" si="19"/>
        <v>CHECK</v>
      </c>
      <c r="H409" s="66" t="str">
        <f t="shared" si="19"/>
        <v>CHECK</v>
      </c>
      <c r="I409" s="66" t="str">
        <f t="shared" si="19"/>
        <v>CHECK</v>
      </c>
      <c r="J409" s="66" t="str">
        <f t="shared" si="19"/>
        <v>CHECK</v>
      </c>
      <c r="K409" s="66" t="str">
        <f t="shared" si="19"/>
        <v>CHECK</v>
      </c>
      <c r="L409" s="66" t="str">
        <f t="shared" si="19"/>
        <v>CHECK</v>
      </c>
      <c r="M409" s="66" t="str">
        <f t="shared" si="19"/>
        <v>CHECK</v>
      </c>
      <c r="N409" s="66" t="str">
        <f t="shared" si="19"/>
        <v>CHECK</v>
      </c>
      <c r="O409" s="66" t="str">
        <f t="shared" si="19"/>
        <v>CHECK</v>
      </c>
      <c r="P409" s="66" t="str">
        <f t="shared" si="19"/>
        <v>CHECK</v>
      </c>
      <c r="Q409" s="66" t="str">
        <f t="shared" si="19"/>
        <v>CHECK</v>
      </c>
      <c r="R409" s="66" t="str">
        <f t="shared" si="19"/>
        <v>CHECK</v>
      </c>
      <c r="S409" s="66" t="str">
        <f t="shared" si="19"/>
        <v>CHECK</v>
      </c>
      <c r="T409" s="66" t="str">
        <f t="shared" si="19"/>
        <v>CHECK</v>
      </c>
      <c r="U409" s="66" t="str">
        <f t="shared" si="19"/>
        <v>CHECK</v>
      </c>
    </row>
    <row r="410" spans="1:21" x14ac:dyDescent="0.25">
      <c r="A410" s="10" t="s">
        <v>742</v>
      </c>
      <c r="B410" s="10" t="s">
        <v>777</v>
      </c>
      <c r="C410" s="10" t="s">
        <v>536</v>
      </c>
      <c r="D410" s="10" t="s">
        <v>486</v>
      </c>
      <c r="E410" s="10" t="s">
        <v>745</v>
      </c>
      <c r="F410" s="66">
        <f t="shared" si="19"/>
        <v>0</v>
      </c>
      <c r="G410" s="66">
        <f t="shared" si="19"/>
        <v>0</v>
      </c>
      <c r="H410" s="66">
        <f t="shared" si="19"/>
        <v>0</v>
      </c>
      <c r="I410" s="66">
        <f t="shared" si="19"/>
        <v>0</v>
      </c>
      <c r="J410" s="66">
        <f t="shared" si="19"/>
        <v>0</v>
      </c>
      <c r="K410" s="66">
        <f t="shared" si="19"/>
        <v>0</v>
      </c>
      <c r="L410" s="66">
        <f t="shared" si="19"/>
        <v>0</v>
      </c>
      <c r="M410" s="66">
        <f t="shared" si="19"/>
        <v>0</v>
      </c>
      <c r="N410" s="66">
        <f t="shared" si="19"/>
        <v>0</v>
      </c>
      <c r="O410" s="66">
        <f t="shared" si="19"/>
        <v>0</v>
      </c>
      <c r="P410" s="66">
        <f t="shared" si="19"/>
        <v>0</v>
      </c>
      <c r="Q410" s="66">
        <f t="shared" si="19"/>
        <v>0</v>
      </c>
      <c r="R410" s="66">
        <f t="shared" si="19"/>
        <v>0</v>
      </c>
      <c r="S410" s="66">
        <f t="shared" si="19"/>
        <v>0</v>
      </c>
      <c r="T410" s="66">
        <f t="shared" si="19"/>
        <v>0</v>
      </c>
      <c r="U410" s="66">
        <f t="shared" si="19"/>
        <v>0</v>
      </c>
    </row>
    <row r="411" spans="1:21" x14ac:dyDescent="0.25">
      <c r="A411" s="111" t="s">
        <v>742</v>
      </c>
      <c r="B411" s="111" t="s">
        <v>778</v>
      </c>
      <c r="C411" s="111" t="s">
        <v>779</v>
      </c>
      <c r="D411" s="111" t="s">
        <v>486</v>
      </c>
      <c r="E411" s="111" t="s">
        <v>745</v>
      </c>
      <c r="F411" s="66" t="str">
        <f t="shared" si="19"/>
        <v>CHECK</v>
      </c>
      <c r="G411" s="66" t="str">
        <f t="shared" si="19"/>
        <v>CHECK</v>
      </c>
      <c r="H411" s="66" t="str">
        <f t="shared" si="19"/>
        <v>CHECK</v>
      </c>
      <c r="I411" s="66" t="str">
        <f t="shared" si="19"/>
        <v>CHECK</v>
      </c>
      <c r="J411" s="66" t="str">
        <f t="shared" si="19"/>
        <v>CHECK</v>
      </c>
      <c r="K411" s="66" t="str">
        <f t="shared" si="19"/>
        <v>CHECK</v>
      </c>
      <c r="L411" s="66" t="str">
        <f t="shared" si="19"/>
        <v>CHECK</v>
      </c>
      <c r="M411" s="66" t="str">
        <f t="shared" si="19"/>
        <v>CHECK</v>
      </c>
      <c r="N411" s="66" t="str">
        <f t="shared" si="19"/>
        <v>CHECK</v>
      </c>
      <c r="O411" s="66" t="str">
        <f t="shared" si="19"/>
        <v>CHECK</v>
      </c>
      <c r="P411" s="66" t="str">
        <f t="shared" si="19"/>
        <v>CHECK</v>
      </c>
      <c r="Q411" s="66" t="str">
        <f t="shared" si="19"/>
        <v>CHECK</v>
      </c>
      <c r="R411" s="66" t="str">
        <f t="shared" si="19"/>
        <v>CHECK</v>
      </c>
      <c r="S411" s="66" t="str">
        <f t="shared" si="19"/>
        <v>CHECK</v>
      </c>
      <c r="T411" s="66" t="str">
        <f t="shared" si="19"/>
        <v>CHECK</v>
      </c>
      <c r="U411" s="66" t="str">
        <f t="shared" si="19"/>
        <v>CHECK</v>
      </c>
    </row>
    <row r="412" spans="1:21" x14ac:dyDescent="0.25">
      <c r="A412" s="111" t="s">
        <v>742</v>
      </c>
      <c r="B412" s="111" t="s">
        <v>780</v>
      </c>
      <c r="C412" s="111" t="s">
        <v>781</v>
      </c>
      <c r="D412" s="111" t="s">
        <v>486</v>
      </c>
      <c r="E412" s="111" t="s">
        <v>745</v>
      </c>
      <c r="F412" s="66">
        <f t="shared" si="19"/>
        <v>0</v>
      </c>
      <c r="G412" s="66">
        <f t="shared" si="19"/>
        <v>0</v>
      </c>
      <c r="H412" s="66">
        <f t="shared" si="19"/>
        <v>0</v>
      </c>
      <c r="I412" s="66">
        <f t="shared" si="19"/>
        <v>0</v>
      </c>
      <c r="J412" s="66">
        <f t="shared" si="19"/>
        <v>0</v>
      </c>
      <c r="K412" s="66">
        <f t="shared" si="19"/>
        <v>0</v>
      </c>
      <c r="L412" s="66">
        <f t="shared" si="19"/>
        <v>0</v>
      </c>
      <c r="M412" s="66">
        <f t="shared" si="19"/>
        <v>0</v>
      </c>
      <c r="N412" s="66">
        <f t="shared" si="19"/>
        <v>0</v>
      </c>
      <c r="O412" s="66">
        <f t="shared" si="19"/>
        <v>0</v>
      </c>
      <c r="P412" s="66">
        <f t="shared" si="19"/>
        <v>0</v>
      </c>
      <c r="Q412" s="66">
        <f t="shared" si="19"/>
        <v>0</v>
      </c>
      <c r="R412" s="66">
        <f t="shared" si="19"/>
        <v>0</v>
      </c>
      <c r="S412" s="66">
        <f t="shared" si="19"/>
        <v>0</v>
      </c>
      <c r="T412" s="66">
        <f t="shared" si="19"/>
        <v>0</v>
      </c>
      <c r="U412" s="66">
        <f t="shared" si="19"/>
        <v>0</v>
      </c>
    </row>
    <row r="413" spans="1:21" x14ac:dyDescent="0.25">
      <c r="A413" s="111" t="s">
        <v>742</v>
      </c>
      <c r="B413" s="111" t="s">
        <v>782</v>
      </c>
      <c r="C413" s="111" t="s">
        <v>783</v>
      </c>
      <c r="D413" s="111" t="s">
        <v>486</v>
      </c>
      <c r="E413" s="111" t="s">
        <v>745</v>
      </c>
      <c r="F413" s="66" t="str">
        <f t="shared" si="19"/>
        <v>CHECK</v>
      </c>
      <c r="G413" s="66" t="str">
        <f t="shared" si="19"/>
        <v>CHECK</v>
      </c>
      <c r="H413" s="66" t="str">
        <f t="shared" si="19"/>
        <v>CHECK</v>
      </c>
      <c r="I413" s="66" t="str">
        <f t="shared" si="19"/>
        <v>CHECK</v>
      </c>
      <c r="J413" s="66" t="str">
        <f t="shared" si="19"/>
        <v>CHECK</v>
      </c>
      <c r="K413" s="66" t="str">
        <f t="shared" si="19"/>
        <v>CHECK</v>
      </c>
      <c r="L413" s="66" t="str">
        <f t="shared" si="19"/>
        <v>CHECK</v>
      </c>
      <c r="M413" s="66" t="str">
        <f t="shared" si="19"/>
        <v>CHECK</v>
      </c>
      <c r="N413" s="66" t="str">
        <f t="shared" si="19"/>
        <v>CHECK</v>
      </c>
      <c r="O413" s="66" t="str">
        <f t="shared" si="19"/>
        <v>CHECK</v>
      </c>
      <c r="P413" s="66" t="str">
        <f t="shared" si="19"/>
        <v>CHECK</v>
      </c>
      <c r="Q413" s="66" t="str">
        <f t="shared" si="19"/>
        <v>CHECK</v>
      </c>
      <c r="R413" s="66" t="str">
        <f t="shared" si="19"/>
        <v>CHECK</v>
      </c>
      <c r="S413" s="66" t="str">
        <f t="shared" si="19"/>
        <v>CHECK</v>
      </c>
      <c r="T413" s="66" t="str">
        <f t="shared" si="19"/>
        <v>CHECK</v>
      </c>
      <c r="U413" s="66" t="str">
        <f t="shared" ref="U413:U417" si="20">IFERROR(((U113/U264)-1),"CHECK")</f>
        <v>CHECK</v>
      </c>
    </row>
    <row r="414" spans="1:21" x14ac:dyDescent="0.25">
      <c r="A414" s="111" t="s">
        <v>742</v>
      </c>
      <c r="B414" s="111" t="s">
        <v>784</v>
      </c>
      <c r="C414" s="111" t="s">
        <v>785</v>
      </c>
      <c r="D414" s="111" t="s">
        <v>486</v>
      </c>
      <c r="E414" s="111" t="s">
        <v>745</v>
      </c>
      <c r="F414" s="66" t="str">
        <f t="shared" ref="F414:T417" si="21">IFERROR(((F114/F265)-1),"CHECK")</f>
        <v>CHECK</v>
      </c>
      <c r="G414" s="66" t="str">
        <f t="shared" si="21"/>
        <v>CHECK</v>
      </c>
      <c r="H414" s="66" t="str">
        <f t="shared" si="21"/>
        <v>CHECK</v>
      </c>
      <c r="I414" s="66" t="str">
        <f t="shared" si="21"/>
        <v>CHECK</v>
      </c>
      <c r="J414" s="66" t="str">
        <f t="shared" si="21"/>
        <v>CHECK</v>
      </c>
      <c r="K414" s="66" t="str">
        <f t="shared" si="21"/>
        <v>CHECK</v>
      </c>
      <c r="L414" s="66" t="str">
        <f t="shared" si="21"/>
        <v>CHECK</v>
      </c>
      <c r="M414" s="66" t="str">
        <f t="shared" si="21"/>
        <v>CHECK</v>
      </c>
      <c r="N414" s="66" t="str">
        <f t="shared" si="21"/>
        <v>CHECK</v>
      </c>
      <c r="O414" s="66" t="str">
        <f t="shared" si="21"/>
        <v>CHECK</v>
      </c>
      <c r="P414" s="66" t="str">
        <f t="shared" si="21"/>
        <v>CHECK</v>
      </c>
      <c r="Q414" s="66" t="str">
        <f t="shared" si="21"/>
        <v>CHECK</v>
      </c>
      <c r="R414" s="66" t="str">
        <f t="shared" si="21"/>
        <v>CHECK</v>
      </c>
      <c r="S414" s="66" t="str">
        <f t="shared" si="21"/>
        <v>CHECK</v>
      </c>
      <c r="T414" s="66" t="str">
        <f t="shared" si="21"/>
        <v>CHECK</v>
      </c>
      <c r="U414" s="66" t="str">
        <f t="shared" si="20"/>
        <v>CHECK</v>
      </c>
    </row>
    <row r="415" spans="1:21" x14ac:dyDescent="0.25">
      <c r="A415" s="111" t="s">
        <v>742</v>
      </c>
      <c r="B415" s="111" t="s">
        <v>786</v>
      </c>
      <c r="C415" s="111" t="s">
        <v>787</v>
      </c>
      <c r="D415" s="111" t="s">
        <v>486</v>
      </c>
      <c r="E415" s="111" t="s">
        <v>745</v>
      </c>
      <c r="F415" s="66" t="str">
        <f t="shared" si="21"/>
        <v>CHECK</v>
      </c>
      <c r="G415" s="66" t="str">
        <f t="shared" si="21"/>
        <v>CHECK</v>
      </c>
      <c r="H415" s="66" t="str">
        <f t="shared" si="21"/>
        <v>CHECK</v>
      </c>
      <c r="I415" s="66" t="str">
        <f t="shared" si="21"/>
        <v>CHECK</v>
      </c>
      <c r="J415" s="66" t="str">
        <f t="shared" si="21"/>
        <v>CHECK</v>
      </c>
      <c r="K415" s="66" t="str">
        <f t="shared" si="21"/>
        <v>CHECK</v>
      </c>
      <c r="L415" s="66" t="str">
        <f t="shared" si="21"/>
        <v>CHECK</v>
      </c>
      <c r="M415" s="66" t="str">
        <f t="shared" si="21"/>
        <v>CHECK</v>
      </c>
      <c r="N415" s="66" t="str">
        <f t="shared" si="21"/>
        <v>CHECK</v>
      </c>
      <c r="O415" s="66" t="str">
        <f t="shared" si="21"/>
        <v>CHECK</v>
      </c>
      <c r="P415" s="66" t="str">
        <f t="shared" si="21"/>
        <v>CHECK</v>
      </c>
      <c r="Q415" s="66" t="str">
        <f t="shared" si="21"/>
        <v>CHECK</v>
      </c>
      <c r="R415" s="66" t="str">
        <f t="shared" si="21"/>
        <v>CHECK</v>
      </c>
      <c r="S415" s="66" t="str">
        <f t="shared" si="21"/>
        <v>CHECK</v>
      </c>
      <c r="T415" s="66" t="str">
        <f t="shared" si="21"/>
        <v>CHECK</v>
      </c>
      <c r="U415" s="66" t="str">
        <f t="shared" si="20"/>
        <v>CHECK</v>
      </c>
    </row>
    <row r="416" spans="1:21" x14ac:dyDescent="0.25">
      <c r="A416" s="111" t="s">
        <v>742</v>
      </c>
      <c r="B416" s="111" t="s">
        <v>788</v>
      </c>
      <c r="C416" s="111" t="s">
        <v>789</v>
      </c>
      <c r="D416" s="111" t="s">
        <v>486</v>
      </c>
      <c r="E416" s="111" t="s">
        <v>745</v>
      </c>
      <c r="F416" s="66" t="str">
        <f t="shared" si="21"/>
        <v>CHECK</v>
      </c>
      <c r="G416" s="66" t="str">
        <f t="shared" si="21"/>
        <v>CHECK</v>
      </c>
      <c r="H416" s="66" t="str">
        <f t="shared" si="21"/>
        <v>CHECK</v>
      </c>
      <c r="I416" s="66" t="str">
        <f t="shared" si="21"/>
        <v>CHECK</v>
      </c>
      <c r="J416" s="66" t="str">
        <f t="shared" si="21"/>
        <v>CHECK</v>
      </c>
      <c r="K416" s="66" t="str">
        <f t="shared" si="21"/>
        <v>CHECK</v>
      </c>
      <c r="L416" s="66" t="str">
        <f t="shared" si="21"/>
        <v>CHECK</v>
      </c>
      <c r="M416" s="66" t="str">
        <f t="shared" si="21"/>
        <v>CHECK</v>
      </c>
      <c r="N416" s="66" t="str">
        <f t="shared" si="21"/>
        <v>CHECK</v>
      </c>
      <c r="O416" s="66" t="str">
        <f t="shared" si="21"/>
        <v>CHECK</v>
      </c>
      <c r="P416" s="66" t="str">
        <f t="shared" si="21"/>
        <v>CHECK</v>
      </c>
      <c r="Q416" s="66" t="str">
        <f t="shared" si="21"/>
        <v>CHECK</v>
      </c>
      <c r="R416" s="66" t="str">
        <f t="shared" si="21"/>
        <v>CHECK</v>
      </c>
      <c r="S416" s="66" t="str">
        <f t="shared" si="21"/>
        <v>CHECK</v>
      </c>
      <c r="T416" s="66" t="str">
        <f t="shared" si="21"/>
        <v>CHECK</v>
      </c>
      <c r="U416" s="66" t="str">
        <f t="shared" si="20"/>
        <v>CHECK</v>
      </c>
    </row>
    <row r="417" spans="1:21" x14ac:dyDescent="0.25">
      <c r="A417" s="111" t="s">
        <v>742</v>
      </c>
      <c r="B417" s="111" t="s">
        <v>790</v>
      </c>
      <c r="C417" s="111" t="s">
        <v>756</v>
      </c>
      <c r="D417" s="111" t="s">
        <v>486</v>
      </c>
      <c r="E417" s="111" t="s">
        <v>745</v>
      </c>
      <c r="F417" s="66" t="str">
        <f t="shared" si="21"/>
        <v>CHECK</v>
      </c>
      <c r="G417" s="66" t="str">
        <f t="shared" si="21"/>
        <v>CHECK</v>
      </c>
      <c r="H417" s="66" t="str">
        <f t="shared" si="21"/>
        <v>CHECK</v>
      </c>
      <c r="I417" s="66" t="str">
        <f t="shared" si="21"/>
        <v>CHECK</v>
      </c>
      <c r="J417" s="66" t="str">
        <f t="shared" si="21"/>
        <v>CHECK</v>
      </c>
      <c r="K417" s="66" t="str">
        <f t="shared" si="21"/>
        <v>CHECK</v>
      </c>
      <c r="L417" s="66" t="str">
        <f t="shared" si="21"/>
        <v>CHECK</v>
      </c>
      <c r="M417" s="66" t="str">
        <f t="shared" si="21"/>
        <v>CHECK</v>
      </c>
      <c r="N417" s="66" t="str">
        <f t="shared" si="21"/>
        <v>CHECK</v>
      </c>
      <c r="O417" s="66" t="str">
        <f t="shared" si="21"/>
        <v>CHECK</v>
      </c>
      <c r="P417" s="66" t="str">
        <f t="shared" si="21"/>
        <v>CHECK</v>
      </c>
      <c r="Q417" s="66" t="str">
        <f t="shared" si="21"/>
        <v>CHECK</v>
      </c>
      <c r="R417" s="66" t="str">
        <f t="shared" si="21"/>
        <v>CHECK</v>
      </c>
      <c r="S417" s="66" t="str">
        <f t="shared" si="21"/>
        <v>CHECK</v>
      </c>
      <c r="T417" s="66" t="str">
        <f t="shared" si="21"/>
        <v>CHECK</v>
      </c>
      <c r="U417" s="66" t="str">
        <f t="shared" si="20"/>
        <v>CHECK</v>
      </c>
    </row>
    <row r="418" spans="1:21" x14ac:dyDescent="0.25">
      <c r="A418" s="133"/>
      <c r="B418" s="133"/>
      <c r="C418" s="133"/>
      <c r="D418" s="133"/>
      <c r="E418" s="133"/>
      <c r="F418" s="66"/>
      <c r="G418" s="66"/>
      <c r="H418" s="66"/>
      <c r="I418" s="66"/>
      <c r="J418" s="66"/>
      <c r="K418" s="66"/>
      <c r="L418" s="66"/>
      <c r="M418" s="66"/>
      <c r="N418" s="66"/>
      <c r="O418" s="66"/>
      <c r="P418" s="66"/>
      <c r="Q418" s="66"/>
      <c r="R418" s="66"/>
      <c r="S418" s="66"/>
      <c r="T418" s="66"/>
    </row>
    <row r="419" spans="1:21" x14ac:dyDescent="0.25">
      <c r="A419" s="133"/>
      <c r="B419" s="133"/>
      <c r="C419" s="110" t="s">
        <v>848</v>
      </c>
      <c r="D419" s="133"/>
      <c r="E419" s="133"/>
      <c r="F419" s="66"/>
      <c r="G419" s="66"/>
      <c r="H419" s="66"/>
      <c r="I419" s="66"/>
      <c r="J419" s="66"/>
      <c r="K419" s="66"/>
      <c r="L419" s="66"/>
      <c r="M419" s="66"/>
      <c r="N419" s="66"/>
      <c r="O419" s="66"/>
      <c r="P419" s="66"/>
      <c r="Q419" s="66"/>
      <c r="R419" s="66"/>
      <c r="S419" s="66"/>
      <c r="T419" s="66"/>
    </row>
    <row r="420" spans="1:21" x14ac:dyDescent="0.25">
      <c r="A420" s="10" t="s">
        <v>742</v>
      </c>
      <c r="B420" s="109">
        <v>2</v>
      </c>
      <c r="C420" s="110" t="s">
        <v>849</v>
      </c>
      <c r="D420" s="10" t="s">
        <v>488</v>
      </c>
      <c r="E420" s="10" t="s">
        <v>745</v>
      </c>
      <c r="F420" s="66">
        <f t="shared" ref="F420:U431" si="22">IFERROR(((F120/F271)-1),"CHECK")</f>
        <v>0</v>
      </c>
      <c r="G420" s="66">
        <f t="shared" si="22"/>
        <v>0</v>
      </c>
      <c r="H420" s="66">
        <f t="shared" si="22"/>
        <v>0</v>
      </c>
      <c r="I420" s="66">
        <f t="shared" si="22"/>
        <v>0</v>
      </c>
      <c r="J420" s="66">
        <f t="shared" si="22"/>
        <v>0</v>
      </c>
      <c r="K420" s="66">
        <f t="shared" si="22"/>
        <v>0</v>
      </c>
      <c r="L420" s="66">
        <f t="shared" si="22"/>
        <v>0</v>
      </c>
      <c r="M420" s="66">
        <f t="shared" si="22"/>
        <v>0</v>
      </c>
      <c r="N420" s="66">
        <f t="shared" si="22"/>
        <v>0</v>
      </c>
      <c r="O420" s="66">
        <f t="shared" si="22"/>
        <v>0</v>
      </c>
      <c r="P420" s="66">
        <f t="shared" si="22"/>
        <v>0</v>
      </c>
      <c r="Q420" s="66">
        <f t="shared" si="22"/>
        <v>0</v>
      </c>
      <c r="R420" s="66">
        <f t="shared" si="22"/>
        <v>0</v>
      </c>
      <c r="S420" s="66">
        <f t="shared" si="22"/>
        <v>0</v>
      </c>
      <c r="T420" s="66">
        <f t="shared" si="22"/>
        <v>0</v>
      </c>
      <c r="U420" s="66">
        <f t="shared" si="22"/>
        <v>0</v>
      </c>
    </row>
    <row r="421" spans="1:21" x14ac:dyDescent="0.25">
      <c r="A421" s="10" t="s">
        <v>742</v>
      </c>
      <c r="B421" s="10" t="s">
        <v>757</v>
      </c>
      <c r="C421" s="10" t="s">
        <v>520</v>
      </c>
      <c r="D421" s="10" t="s">
        <v>488</v>
      </c>
      <c r="E421" s="10" t="s">
        <v>745</v>
      </c>
      <c r="F421" s="66">
        <f t="shared" si="22"/>
        <v>0</v>
      </c>
      <c r="G421" s="66">
        <f t="shared" si="22"/>
        <v>0</v>
      </c>
      <c r="H421" s="66">
        <f t="shared" si="22"/>
        <v>0</v>
      </c>
      <c r="I421" s="66">
        <f t="shared" si="22"/>
        <v>0</v>
      </c>
      <c r="J421" s="66">
        <f t="shared" si="22"/>
        <v>0</v>
      </c>
      <c r="K421" s="66">
        <f t="shared" si="22"/>
        <v>0</v>
      </c>
      <c r="L421" s="66">
        <f t="shared" si="22"/>
        <v>0</v>
      </c>
      <c r="M421" s="66">
        <f t="shared" si="22"/>
        <v>0</v>
      </c>
      <c r="N421" s="66">
        <f t="shared" si="22"/>
        <v>0</v>
      </c>
      <c r="O421" s="66">
        <f t="shared" si="22"/>
        <v>0</v>
      </c>
      <c r="P421" s="66">
        <f t="shared" si="22"/>
        <v>0</v>
      </c>
      <c r="Q421" s="66">
        <f t="shared" si="22"/>
        <v>0</v>
      </c>
      <c r="R421" s="66">
        <f t="shared" si="22"/>
        <v>0</v>
      </c>
      <c r="S421" s="66">
        <f t="shared" si="22"/>
        <v>0</v>
      </c>
      <c r="T421" s="66">
        <f t="shared" si="22"/>
        <v>0</v>
      </c>
      <c r="U421" s="66">
        <f t="shared" si="22"/>
        <v>0</v>
      </c>
    </row>
    <row r="422" spans="1:21" x14ac:dyDescent="0.25">
      <c r="A422" s="111" t="s">
        <v>742</v>
      </c>
      <c r="B422" s="111" t="s">
        <v>758</v>
      </c>
      <c r="C422" s="111" t="s">
        <v>759</v>
      </c>
      <c r="D422" s="111" t="s">
        <v>488</v>
      </c>
      <c r="E422" s="111" t="s">
        <v>745</v>
      </c>
      <c r="F422" s="66" t="str">
        <f t="shared" si="22"/>
        <v>CHECK</v>
      </c>
      <c r="G422" s="66" t="str">
        <f t="shared" si="22"/>
        <v>CHECK</v>
      </c>
      <c r="H422" s="66" t="str">
        <f t="shared" si="22"/>
        <v>CHECK</v>
      </c>
      <c r="I422" s="66" t="str">
        <f t="shared" si="22"/>
        <v>CHECK</v>
      </c>
      <c r="J422" s="66" t="str">
        <f t="shared" si="22"/>
        <v>CHECK</v>
      </c>
      <c r="K422" s="66" t="str">
        <f t="shared" si="22"/>
        <v>CHECK</v>
      </c>
      <c r="L422" s="66" t="str">
        <f t="shared" si="22"/>
        <v>CHECK</v>
      </c>
      <c r="M422" s="66" t="str">
        <f t="shared" si="22"/>
        <v>CHECK</v>
      </c>
      <c r="N422" s="66" t="str">
        <f t="shared" si="22"/>
        <v>CHECK</v>
      </c>
      <c r="O422" s="66" t="str">
        <f t="shared" si="22"/>
        <v>CHECK</v>
      </c>
      <c r="P422" s="66" t="str">
        <f t="shared" si="22"/>
        <v>CHECK</v>
      </c>
      <c r="Q422" s="66" t="str">
        <f t="shared" si="22"/>
        <v>CHECK</v>
      </c>
      <c r="R422" s="66" t="str">
        <f t="shared" si="22"/>
        <v>CHECK</v>
      </c>
      <c r="S422" s="66" t="str">
        <f t="shared" si="22"/>
        <v>CHECK</v>
      </c>
      <c r="T422" s="66" t="str">
        <f t="shared" si="22"/>
        <v>CHECK</v>
      </c>
      <c r="U422" s="66" t="str">
        <f t="shared" si="22"/>
        <v>CHECK</v>
      </c>
    </row>
    <row r="423" spans="1:21" x14ac:dyDescent="0.25">
      <c r="A423" s="111" t="s">
        <v>742</v>
      </c>
      <c r="B423" s="111" t="s">
        <v>760</v>
      </c>
      <c r="C423" s="111" t="s">
        <v>761</v>
      </c>
      <c r="D423" s="111" t="s">
        <v>488</v>
      </c>
      <c r="E423" s="111" t="s">
        <v>745</v>
      </c>
      <c r="F423" s="66">
        <f t="shared" si="22"/>
        <v>0</v>
      </c>
      <c r="G423" s="66">
        <f t="shared" si="22"/>
        <v>0</v>
      </c>
      <c r="H423" s="66">
        <f t="shared" si="22"/>
        <v>0</v>
      </c>
      <c r="I423" s="66">
        <f t="shared" si="22"/>
        <v>0</v>
      </c>
      <c r="J423" s="66">
        <f t="shared" si="22"/>
        <v>0</v>
      </c>
      <c r="K423" s="66">
        <f t="shared" si="22"/>
        <v>0</v>
      </c>
      <c r="L423" s="66">
        <f t="shared" si="22"/>
        <v>0</v>
      </c>
      <c r="M423" s="66">
        <f t="shared" si="22"/>
        <v>0</v>
      </c>
      <c r="N423" s="66">
        <f t="shared" si="22"/>
        <v>0</v>
      </c>
      <c r="O423" s="66">
        <f t="shared" si="22"/>
        <v>0</v>
      </c>
      <c r="P423" s="66">
        <f t="shared" si="22"/>
        <v>0</v>
      </c>
      <c r="Q423" s="66">
        <f t="shared" si="22"/>
        <v>0</v>
      </c>
      <c r="R423" s="66">
        <f t="shared" si="22"/>
        <v>0</v>
      </c>
      <c r="S423" s="66">
        <f t="shared" si="22"/>
        <v>0</v>
      </c>
      <c r="T423" s="66">
        <f t="shared" si="22"/>
        <v>0</v>
      </c>
      <c r="U423" s="66">
        <f t="shared" si="22"/>
        <v>0</v>
      </c>
    </row>
    <row r="424" spans="1:21" x14ac:dyDescent="0.25">
      <c r="A424" s="111" t="s">
        <v>742</v>
      </c>
      <c r="B424" s="111" t="s">
        <v>762</v>
      </c>
      <c r="C424" s="111" t="s">
        <v>763</v>
      </c>
      <c r="D424" s="111" t="s">
        <v>488</v>
      </c>
      <c r="E424" s="111" t="s">
        <v>745</v>
      </c>
      <c r="F424" s="66" t="str">
        <f t="shared" si="22"/>
        <v>CHECK</v>
      </c>
      <c r="G424" s="66" t="str">
        <f t="shared" si="22"/>
        <v>CHECK</v>
      </c>
      <c r="H424" s="66" t="str">
        <f t="shared" si="22"/>
        <v>CHECK</v>
      </c>
      <c r="I424" s="66" t="str">
        <f t="shared" si="22"/>
        <v>CHECK</v>
      </c>
      <c r="J424" s="66" t="str">
        <f t="shared" si="22"/>
        <v>CHECK</v>
      </c>
      <c r="K424" s="66" t="str">
        <f t="shared" si="22"/>
        <v>CHECK</v>
      </c>
      <c r="L424" s="66" t="str">
        <f t="shared" si="22"/>
        <v>CHECK</v>
      </c>
      <c r="M424" s="66" t="str">
        <f t="shared" si="22"/>
        <v>CHECK</v>
      </c>
      <c r="N424" s="66" t="str">
        <f t="shared" si="22"/>
        <v>CHECK</v>
      </c>
      <c r="O424" s="66" t="str">
        <f t="shared" si="22"/>
        <v>CHECK</v>
      </c>
      <c r="P424" s="66" t="str">
        <f t="shared" si="22"/>
        <v>CHECK</v>
      </c>
      <c r="Q424" s="66" t="str">
        <f t="shared" si="22"/>
        <v>CHECK</v>
      </c>
      <c r="R424" s="66" t="str">
        <f t="shared" si="22"/>
        <v>CHECK</v>
      </c>
      <c r="S424" s="66" t="str">
        <f t="shared" si="22"/>
        <v>CHECK</v>
      </c>
      <c r="T424" s="66" t="str">
        <f t="shared" si="22"/>
        <v>CHECK</v>
      </c>
      <c r="U424" s="66" t="str">
        <f t="shared" si="22"/>
        <v>CHECK</v>
      </c>
    </row>
    <row r="425" spans="1:21" x14ac:dyDescent="0.25">
      <c r="A425" s="111" t="s">
        <v>742</v>
      </c>
      <c r="B425" s="111" t="s">
        <v>764</v>
      </c>
      <c r="C425" s="111" t="s">
        <v>765</v>
      </c>
      <c r="D425" s="111" t="s">
        <v>488</v>
      </c>
      <c r="E425" s="111" t="s">
        <v>745</v>
      </c>
      <c r="F425" s="66" t="str">
        <f t="shared" si="22"/>
        <v>CHECK</v>
      </c>
      <c r="G425" s="66" t="str">
        <f t="shared" si="22"/>
        <v>CHECK</v>
      </c>
      <c r="H425" s="66" t="str">
        <f t="shared" si="22"/>
        <v>CHECK</v>
      </c>
      <c r="I425" s="66" t="str">
        <f t="shared" si="22"/>
        <v>CHECK</v>
      </c>
      <c r="J425" s="66" t="str">
        <f t="shared" si="22"/>
        <v>CHECK</v>
      </c>
      <c r="K425" s="66" t="str">
        <f t="shared" si="22"/>
        <v>CHECK</v>
      </c>
      <c r="L425" s="66" t="str">
        <f t="shared" si="22"/>
        <v>CHECK</v>
      </c>
      <c r="M425" s="66" t="str">
        <f t="shared" si="22"/>
        <v>CHECK</v>
      </c>
      <c r="N425" s="66" t="str">
        <f t="shared" si="22"/>
        <v>CHECK</v>
      </c>
      <c r="O425" s="66" t="str">
        <f t="shared" si="22"/>
        <v>CHECK</v>
      </c>
      <c r="P425" s="66" t="str">
        <f t="shared" si="22"/>
        <v>CHECK</v>
      </c>
      <c r="Q425" s="66" t="str">
        <f t="shared" si="22"/>
        <v>CHECK</v>
      </c>
      <c r="R425" s="66" t="str">
        <f t="shared" si="22"/>
        <v>CHECK</v>
      </c>
      <c r="S425" s="66" t="str">
        <f t="shared" si="22"/>
        <v>CHECK</v>
      </c>
      <c r="T425" s="66" t="str">
        <f t="shared" si="22"/>
        <v>CHECK</v>
      </c>
      <c r="U425" s="66" t="str">
        <f t="shared" si="22"/>
        <v>CHECK</v>
      </c>
    </row>
    <row r="426" spans="1:21" x14ac:dyDescent="0.25">
      <c r="A426" s="111" t="s">
        <v>742</v>
      </c>
      <c r="B426" s="111" t="s">
        <v>766</v>
      </c>
      <c r="C426" s="111" t="s">
        <v>767</v>
      </c>
      <c r="D426" s="111" t="s">
        <v>488</v>
      </c>
      <c r="E426" s="111" t="s">
        <v>745</v>
      </c>
      <c r="F426" s="66" t="str">
        <f t="shared" si="22"/>
        <v>CHECK</v>
      </c>
      <c r="G426" s="66" t="str">
        <f t="shared" si="22"/>
        <v>CHECK</v>
      </c>
      <c r="H426" s="66" t="str">
        <f t="shared" si="22"/>
        <v>CHECK</v>
      </c>
      <c r="I426" s="66" t="str">
        <f t="shared" si="22"/>
        <v>CHECK</v>
      </c>
      <c r="J426" s="66" t="str">
        <f t="shared" si="22"/>
        <v>CHECK</v>
      </c>
      <c r="K426" s="66" t="str">
        <f t="shared" si="22"/>
        <v>CHECK</v>
      </c>
      <c r="L426" s="66" t="str">
        <f t="shared" si="22"/>
        <v>CHECK</v>
      </c>
      <c r="M426" s="66" t="str">
        <f t="shared" si="22"/>
        <v>CHECK</v>
      </c>
      <c r="N426" s="66" t="str">
        <f t="shared" si="22"/>
        <v>CHECK</v>
      </c>
      <c r="O426" s="66" t="str">
        <f t="shared" si="22"/>
        <v>CHECK</v>
      </c>
      <c r="P426" s="66" t="str">
        <f t="shared" si="22"/>
        <v>CHECK</v>
      </c>
      <c r="Q426" s="66" t="str">
        <f t="shared" si="22"/>
        <v>CHECK</v>
      </c>
      <c r="R426" s="66" t="str">
        <f t="shared" si="22"/>
        <v>CHECK</v>
      </c>
      <c r="S426" s="66" t="str">
        <f t="shared" si="22"/>
        <v>CHECK</v>
      </c>
      <c r="T426" s="66" t="str">
        <f t="shared" si="22"/>
        <v>CHECK</v>
      </c>
      <c r="U426" s="66" t="str">
        <f t="shared" si="22"/>
        <v>CHECK</v>
      </c>
    </row>
    <row r="427" spans="1:21" x14ac:dyDescent="0.25">
      <c r="A427" s="111" t="s">
        <v>742</v>
      </c>
      <c r="B427" s="111" t="s">
        <v>768</v>
      </c>
      <c r="C427" s="111" t="s">
        <v>769</v>
      </c>
      <c r="D427" s="111" t="s">
        <v>488</v>
      </c>
      <c r="E427" s="111" t="s">
        <v>745</v>
      </c>
      <c r="F427" s="66" t="str">
        <f t="shared" si="22"/>
        <v>CHECK</v>
      </c>
      <c r="G427" s="66" t="str">
        <f t="shared" si="22"/>
        <v>CHECK</v>
      </c>
      <c r="H427" s="66" t="str">
        <f t="shared" si="22"/>
        <v>CHECK</v>
      </c>
      <c r="I427" s="66" t="str">
        <f t="shared" si="22"/>
        <v>CHECK</v>
      </c>
      <c r="J427" s="66" t="str">
        <f t="shared" si="22"/>
        <v>CHECK</v>
      </c>
      <c r="K427" s="66" t="str">
        <f t="shared" si="22"/>
        <v>CHECK</v>
      </c>
      <c r="L427" s="66" t="str">
        <f t="shared" si="22"/>
        <v>CHECK</v>
      </c>
      <c r="M427" s="66" t="str">
        <f t="shared" si="22"/>
        <v>CHECK</v>
      </c>
      <c r="N427" s="66" t="str">
        <f t="shared" si="22"/>
        <v>CHECK</v>
      </c>
      <c r="O427" s="66" t="str">
        <f t="shared" si="22"/>
        <v>CHECK</v>
      </c>
      <c r="P427" s="66" t="str">
        <f t="shared" si="22"/>
        <v>CHECK</v>
      </c>
      <c r="Q427" s="66" t="str">
        <f t="shared" si="22"/>
        <v>CHECK</v>
      </c>
      <c r="R427" s="66" t="str">
        <f t="shared" si="22"/>
        <v>CHECK</v>
      </c>
      <c r="S427" s="66" t="str">
        <f t="shared" si="22"/>
        <v>CHECK</v>
      </c>
      <c r="T427" s="66" t="str">
        <f t="shared" si="22"/>
        <v>CHECK</v>
      </c>
      <c r="U427" s="66" t="str">
        <f t="shared" si="22"/>
        <v>CHECK</v>
      </c>
    </row>
    <row r="428" spans="1:21" x14ac:dyDescent="0.25">
      <c r="A428" s="111" t="s">
        <v>742</v>
      </c>
      <c r="B428" s="111" t="s">
        <v>770</v>
      </c>
      <c r="C428" s="111" t="s">
        <v>771</v>
      </c>
      <c r="D428" s="111" t="s">
        <v>488</v>
      </c>
      <c r="E428" s="111" t="s">
        <v>745</v>
      </c>
      <c r="F428" s="66" t="str">
        <f t="shared" si="22"/>
        <v>CHECK</v>
      </c>
      <c r="G428" s="66" t="str">
        <f t="shared" si="22"/>
        <v>CHECK</v>
      </c>
      <c r="H428" s="66" t="str">
        <f t="shared" si="22"/>
        <v>CHECK</v>
      </c>
      <c r="I428" s="66" t="str">
        <f t="shared" si="22"/>
        <v>CHECK</v>
      </c>
      <c r="J428" s="66" t="str">
        <f t="shared" si="22"/>
        <v>CHECK</v>
      </c>
      <c r="K428" s="66" t="str">
        <f t="shared" si="22"/>
        <v>CHECK</v>
      </c>
      <c r="L428" s="66" t="str">
        <f t="shared" si="22"/>
        <v>CHECK</v>
      </c>
      <c r="M428" s="66" t="str">
        <f t="shared" si="22"/>
        <v>CHECK</v>
      </c>
      <c r="N428" s="66" t="str">
        <f t="shared" si="22"/>
        <v>CHECK</v>
      </c>
      <c r="O428" s="66" t="str">
        <f t="shared" si="22"/>
        <v>CHECK</v>
      </c>
      <c r="P428" s="66" t="str">
        <f t="shared" si="22"/>
        <v>CHECK</v>
      </c>
      <c r="Q428" s="66" t="str">
        <f t="shared" si="22"/>
        <v>CHECK</v>
      </c>
      <c r="R428" s="66" t="str">
        <f t="shared" si="22"/>
        <v>CHECK</v>
      </c>
      <c r="S428" s="66" t="str">
        <f t="shared" si="22"/>
        <v>CHECK</v>
      </c>
      <c r="T428" s="66" t="str">
        <f t="shared" si="22"/>
        <v>CHECK</v>
      </c>
      <c r="U428" s="66" t="str">
        <f t="shared" si="22"/>
        <v>CHECK</v>
      </c>
    </row>
    <row r="429" spans="1:21" x14ac:dyDescent="0.25">
      <c r="A429" s="111" t="s">
        <v>742</v>
      </c>
      <c r="B429" s="111" t="s">
        <v>772</v>
      </c>
      <c r="C429" s="111" t="s">
        <v>773</v>
      </c>
      <c r="D429" s="111" t="s">
        <v>488</v>
      </c>
      <c r="E429" s="111" t="s">
        <v>745</v>
      </c>
      <c r="F429" s="66" t="str">
        <f t="shared" si="22"/>
        <v>CHECK</v>
      </c>
      <c r="G429" s="66" t="str">
        <f t="shared" si="22"/>
        <v>CHECK</v>
      </c>
      <c r="H429" s="66" t="str">
        <f t="shared" si="22"/>
        <v>CHECK</v>
      </c>
      <c r="I429" s="66" t="str">
        <f t="shared" si="22"/>
        <v>CHECK</v>
      </c>
      <c r="J429" s="66" t="str">
        <f t="shared" si="22"/>
        <v>CHECK</v>
      </c>
      <c r="K429" s="66" t="str">
        <f t="shared" si="22"/>
        <v>CHECK</v>
      </c>
      <c r="L429" s="66" t="str">
        <f t="shared" si="22"/>
        <v>CHECK</v>
      </c>
      <c r="M429" s="66" t="str">
        <f t="shared" si="22"/>
        <v>CHECK</v>
      </c>
      <c r="N429" s="66" t="str">
        <f t="shared" si="22"/>
        <v>CHECK</v>
      </c>
      <c r="O429" s="66" t="str">
        <f t="shared" si="22"/>
        <v>CHECK</v>
      </c>
      <c r="P429" s="66" t="str">
        <f t="shared" si="22"/>
        <v>CHECK</v>
      </c>
      <c r="Q429" s="66" t="str">
        <f t="shared" si="22"/>
        <v>CHECK</v>
      </c>
      <c r="R429" s="66" t="str">
        <f t="shared" si="22"/>
        <v>CHECK</v>
      </c>
      <c r="S429" s="66" t="str">
        <f t="shared" si="22"/>
        <v>CHECK</v>
      </c>
      <c r="T429" s="66" t="str">
        <f t="shared" si="22"/>
        <v>CHECK</v>
      </c>
      <c r="U429" s="66" t="str">
        <f t="shared" si="22"/>
        <v>CHECK</v>
      </c>
    </row>
    <row r="430" spans="1:21" x14ac:dyDescent="0.25">
      <c r="A430" s="111" t="s">
        <v>742</v>
      </c>
      <c r="B430" s="111" t="s">
        <v>774</v>
      </c>
      <c r="C430" s="111" t="s">
        <v>775</v>
      </c>
      <c r="D430" s="111" t="s">
        <v>488</v>
      </c>
      <c r="E430" s="111" t="s">
        <v>745</v>
      </c>
      <c r="F430" s="66" t="str">
        <f t="shared" si="22"/>
        <v>CHECK</v>
      </c>
      <c r="G430" s="66" t="str">
        <f t="shared" si="22"/>
        <v>CHECK</v>
      </c>
      <c r="H430" s="66" t="str">
        <f t="shared" si="22"/>
        <v>CHECK</v>
      </c>
      <c r="I430" s="66" t="str">
        <f t="shared" si="22"/>
        <v>CHECK</v>
      </c>
      <c r="J430" s="66" t="str">
        <f t="shared" si="22"/>
        <v>CHECK</v>
      </c>
      <c r="K430" s="66" t="str">
        <f t="shared" si="22"/>
        <v>CHECK</v>
      </c>
      <c r="L430" s="66" t="str">
        <f t="shared" si="22"/>
        <v>CHECK</v>
      </c>
      <c r="M430" s="66" t="str">
        <f t="shared" si="22"/>
        <v>CHECK</v>
      </c>
      <c r="N430" s="66" t="str">
        <f t="shared" si="22"/>
        <v>CHECK</v>
      </c>
      <c r="O430" s="66" t="str">
        <f t="shared" si="22"/>
        <v>CHECK</v>
      </c>
      <c r="P430" s="66" t="str">
        <f t="shared" si="22"/>
        <v>CHECK</v>
      </c>
      <c r="Q430" s="66" t="str">
        <f t="shared" si="22"/>
        <v>CHECK</v>
      </c>
      <c r="R430" s="66" t="str">
        <f t="shared" si="22"/>
        <v>CHECK</v>
      </c>
      <c r="S430" s="66" t="str">
        <f t="shared" si="22"/>
        <v>CHECK</v>
      </c>
      <c r="T430" s="66" t="str">
        <f t="shared" si="22"/>
        <v>CHECK</v>
      </c>
      <c r="U430" s="66" t="str">
        <f t="shared" si="22"/>
        <v>CHECK</v>
      </c>
    </row>
    <row r="431" spans="1:21" x14ac:dyDescent="0.25">
      <c r="A431" s="111" t="s">
        <v>742</v>
      </c>
      <c r="B431" s="111" t="s">
        <v>776</v>
      </c>
      <c r="C431" s="111" t="s">
        <v>756</v>
      </c>
      <c r="D431" s="111" t="s">
        <v>488</v>
      </c>
      <c r="E431" s="111" t="s">
        <v>745</v>
      </c>
      <c r="F431" s="66" t="str">
        <f t="shared" si="22"/>
        <v>CHECK</v>
      </c>
      <c r="G431" s="66" t="str">
        <f t="shared" si="22"/>
        <v>CHECK</v>
      </c>
      <c r="H431" s="66" t="str">
        <f t="shared" si="22"/>
        <v>CHECK</v>
      </c>
      <c r="I431" s="66" t="str">
        <f t="shared" si="22"/>
        <v>CHECK</v>
      </c>
      <c r="J431" s="66" t="str">
        <f t="shared" si="22"/>
        <v>CHECK</v>
      </c>
      <c r="K431" s="66" t="str">
        <f t="shared" si="22"/>
        <v>CHECK</v>
      </c>
      <c r="L431" s="66" t="str">
        <f t="shared" si="22"/>
        <v>CHECK</v>
      </c>
      <c r="M431" s="66" t="str">
        <f t="shared" si="22"/>
        <v>CHECK</v>
      </c>
      <c r="N431" s="66" t="str">
        <f t="shared" si="22"/>
        <v>CHECK</v>
      </c>
      <c r="O431" s="66" t="str">
        <f t="shared" si="22"/>
        <v>CHECK</v>
      </c>
      <c r="P431" s="66" t="str">
        <f t="shared" si="22"/>
        <v>CHECK</v>
      </c>
      <c r="Q431" s="66" t="str">
        <f t="shared" si="22"/>
        <v>CHECK</v>
      </c>
      <c r="R431" s="66" t="str">
        <f t="shared" si="22"/>
        <v>CHECK</v>
      </c>
      <c r="S431" s="66" t="str">
        <f t="shared" si="22"/>
        <v>CHECK</v>
      </c>
      <c r="T431" s="66" t="str">
        <f t="shared" si="22"/>
        <v>CHECK</v>
      </c>
      <c r="U431" s="66" t="str">
        <f t="shared" si="22"/>
        <v>CHECK</v>
      </c>
    </row>
    <row r="432" spans="1:21" x14ac:dyDescent="0.25">
      <c r="A432" s="133"/>
      <c r="B432" s="133"/>
      <c r="C432" s="133"/>
      <c r="D432" s="133"/>
      <c r="E432" s="133"/>
    </row>
    <row r="433" spans="1:21" x14ac:dyDescent="0.25">
      <c r="A433" s="133"/>
      <c r="B433" s="133"/>
      <c r="C433" s="110" t="s">
        <v>850</v>
      </c>
      <c r="D433" s="133"/>
      <c r="E433" s="133"/>
      <c r="F433" s="66"/>
      <c r="G433" s="66"/>
      <c r="H433" s="66"/>
      <c r="I433" s="66"/>
      <c r="J433" s="66"/>
      <c r="K433" s="66"/>
      <c r="L433" s="66"/>
      <c r="M433" s="66"/>
      <c r="N433" s="66"/>
      <c r="O433" s="66"/>
      <c r="P433" s="66"/>
      <c r="Q433" s="66"/>
      <c r="R433" s="66"/>
      <c r="S433" s="66"/>
      <c r="T433" s="66"/>
    </row>
    <row r="434" spans="1:21" x14ac:dyDescent="0.25">
      <c r="A434" s="10" t="s">
        <v>742</v>
      </c>
      <c r="B434" s="109">
        <v>2</v>
      </c>
      <c r="C434" s="110" t="s">
        <v>851</v>
      </c>
      <c r="D434" s="10" t="s">
        <v>840</v>
      </c>
      <c r="E434" s="10" t="s">
        <v>745</v>
      </c>
      <c r="F434" s="66">
        <f t="shared" ref="F434:U449" si="23">IFERROR(((F134/F285)-1),"CHECK")</f>
        <v>0</v>
      </c>
      <c r="G434" s="66">
        <f t="shared" si="23"/>
        <v>0</v>
      </c>
      <c r="H434" s="66">
        <f t="shared" si="23"/>
        <v>0</v>
      </c>
      <c r="I434" s="66">
        <f t="shared" si="23"/>
        <v>0</v>
      </c>
      <c r="J434" s="66">
        <f t="shared" si="23"/>
        <v>0</v>
      </c>
      <c r="K434" s="66">
        <f t="shared" si="23"/>
        <v>0</v>
      </c>
      <c r="L434" s="66">
        <f t="shared" si="23"/>
        <v>0</v>
      </c>
      <c r="M434" s="66">
        <f t="shared" si="23"/>
        <v>0</v>
      </c>
      <c r="N434" s="66">
        <f t="shared" si="23"/>
        <v>0</v>
      </c>
      <c r="O434" s="66">
        <f t="shared" si="23"/>
        <v>0</v>
      </c>
      <c r="P434" s="66">
        <f t="shared" si="23"/>
        <v>0</v>
      </c>
      <c r="Q434" s="66">
        <f t="shared" si="23"/>
        <v>0</v>
      </c>
      <c r="R434" s="66">
        <f t="shared" si="23"/>
        <v>0</v>
      </c>
      <c r="S434" s="66">
        <f t="shared" si="23"/>
        <v>0</v>
      </c>
      <c r="T434" s="66">
        <f t="shared" si="23"/>
        <v>0</v>
      </c>
      <c r="U434" s="66">
        <f t="shared" si="23"/>
        <v>0</v>
      </c>
    </row>
    <row r="435" spans="1:21" x14ac:dyDescent="0.25">
      <c r="A435" s="10" t="s">
        <v>742</v>
      </c>
      <c r="B435" s="10" t="s">
        <v>777</v>
      </c>
      <c r="C435" s="10" t="s">
        <v>536</v>
      </c>
      <c r="D435" s="10" t="s">
        <v>841</v>
      </c>
      <c r="E435" s="10" t="s">
        <v>745</v>
      </c>
      <c r="F435" s="66">
        <f t="shared" si="23"/>
        <v>0</v>
      </c>
      <c r="G435" s="66">
        <f t="shared" si="23"/>
        <v>0</v>
      </c>
      <c r="H435" s="66">
        <f t="shared" si="23"/>
        <v>0</v>
      </c>
      <c r="I435" s="66">
        <f t="shared" si="23"/>
        <v>0</v>
      </c>
      <c r="J435" s="66">
        <f t="shared" si="23"/>
        <v>0</v>
      </c>
      <c r="K435" s="66">
        <f t="shared" si="23"/>
        <v>0</v>
      </c>
      <c r="L435" s="66">
        <f t="shared" si="23"/>
        <v>0</v>
      </c>
      <c r="M435" s="66">
        <f t="shared" si="23"/>
        <v>0</v>
      </c>
      <c r="N435" s="66">
        <f t="shared" si="23"/>
        <v>0</v>
      </c>
      <c r="O435" s="66">
        <f t="shared" si="23"/>
        <v>0</v>
      </c>
      <c r="P435" s="66">
        <f t="shared" si="23"/>
        <v>0</v>
      </c>
      <c r="Q435" s="66">
        <f t="shared" si="23"/>
        <v>0</v>
      </c>
      <c r="R435" s="66">
        <f t="shared" si="23"/>
        <v>0</v>
      </c>
      <c r="S435" s="66">
        <f t="shared" si="23"/>
        <v>0</v>
      </c>
      <c r="T435" s="66">
        <f t="shared" si="23"/>
        <v>0</v>
      </c>
      <c r="U435" s="66">
        <f t="shared" si="23"/>
        <v>0</v>
      </c>
    </row>
    <row r="436" spans="1:21" x14ac:dyDescent="0.25">
      <c r="A436" s="111" t="s">
        <v>742</v>
      </c>
      <c r="B436" s="111" t="s">
        <v>778</v>
      </c>
      <c r="C436" s="111" t="s">
        <v>779</v>
      </c>
      <c r="D436" s="111" t="s">
        <v>841</v>
      </c>
      <c r="E436" s="111" t="s">
        <v>745</v>
      </c>
      <c r="F436" s="66" t="str">
        <f t="shared" si="23"/>
        <v>CHECK</v>
      </c>
      <c r="G436" s="66" t="str">
        <f t="shared" si="23"/>
        <v>CHECK</v>
      </c>
      <c r="H436" s="66" t="str">
        <f t="shared" si="23"/>
        <v>CHECK</v>
      </c>
      <c r="I436" s="66" t="str">
        <f t="shared" si="23"/>
        <v>CHECK</v>
      </c>
      <c r="J436" s="66" t="str">
        <f t="shared" si="23"/>
        <v>CHECK</v>
      </c>
      <c r="K436" s="66" t="str">
        <f t="shared" si="23"/>
        <v>CHECK</v>
      </c>
      <c r="L436" s="66" t="str">
        <f t="shared" si="23"/>
        <v>CHECK</v>
      </c>
      <c r="M436" s="66" t="str">
        <f t="shared" si="23"/>
        <v>CHECK</v>
      </c>
      <c r="N436" s="66" t="str">
        <f t="shared" si="23"/>
        <v>CHECK</v>
      </c>
      <c r="O436" s="66" t="str">
        <f t="shared" si="23"/>
        <v>CHECK</v>
      </c>
      <c r="P436" s="66" t="str">
        <f t="shared" si="23"/>
        <v>CHECK</v>
      </c>
      <c r="Q436" s="66" t="str">
        <f t="shared" si="23"/>
        <v>CHECK</v>
      </c>
      <c r="R436" s="66" t="str">
        <f t="shared" si="23"/>
        <v>CHECK</v>
      </c>
      <c r="S436" s="66" t="str">
        <f t="shared" si="23"/>
        <v>CHECK</v>
      </c>
      <c r="T436" s="66" t="str">
        <f t="shared" si="23"/>
        <v>CHECK</v>
      </c>
      <c r="U436" s="66" t="str">
        <f t="shared" si="23"/>
        <v>CHECK</v>
      </c>
    </row>
    <row r="437" spans="1:21" x14ac:dyDescent="0.25">
      <c r="A437" s="111" t="s">
        <v>742</v>
      </c>
      <c r="B437" s="111" t="s">
        <v>780</v>
      </c>
      <c r="C437" s="111" t="s">
        <v>781</v>
      </c>
      <c r="D437" s="111" t="s">
        <v>841</v>
      </c>
      <c r="E437" s="111" t="s">
        <v>745</v>
      </c>
      <c r="F437" s="66" t="str">
        <f t="shared" si="23"/>
        <v>CHECK</v>
      </c>
      <c r="G437" s="66" t="str">
        <f t="shared" si="23"/>
        <v>CHECK</v>
      </c>
      <c r="H437" s="66" t="str">
        <f t="shared" si="23"/>
        <v>CHECK</v>
      </c>
      <c r="I437" s="66" t="str">
        <f t="shared" si="23"/>
        <v>CHECK</v>
      </c>
      <c r="J437" s="66" t="str">
        <f t="shared" si="23"/>
        <v>CHECK</v>
      </c>
      <c r="K437" s="66" t="str">
        <f t="shared" si="23"/>
        <v>CHECK</v>
      </c>
      <c r="L437" s="66" t="str">
        <f t="shared" si="23"/>
        <v>CHECK</v>
      </c>
      <c r="M437" s="66" t="str">
        <f t="shared" si="23"/>
        <v>CHECK</v>
      </c>
      <c r="N437" s="66" t="str">
        <f t="shared" si="23"/>
        <v>CHECK</v>
      </c>
      <c r="O437" s="66" t="str">
        <f t="shared" si="23"/>
        <v>CHECK</v>
      </c>
      <c r="P437" s="66" t="str">
        <f t="shared" si="23"/>
        <v>CHECK</v>
      </c>
      <c r="Q437" s="66" t="str">
        <f t="shared" si="23"/>
        <v>CHECK</v>
      </c>
      <c r="R437" s="66" t="str">
        <f t="shared" si="23"/>
        <v>CHECK</v>
      </c>
      <c r="S437" s="66" t="str">
        <f t="shared" si="23"/>
        <v>CHECK</v>
      </c>
      <c r="T437" s="66" t="str">
        <f t="shared" si="23"/>
        <v>CHECK</v>
      </c>
      <c r="U437" s="66" t="str">
        <f t="shared" si="23"/>
        <v>CHECK</v>
      </c>
    </row>
    <row r="438" spans="1:21" x14ac:dyDescent="0.25">
      <c r="A438" s="111" t="s">
        <v>742</v>
      </c>
      <c r="B438" s="111" t="s">
        <v>782</v>
      </c>
      <c r="C438" s="111" t="s">
        <v>783</v>
      </c>
      <c r="D438" s="111" t="s">
        <v>841</v>
      </c>
      <c r="E438" s="111" t="s">
        <v>745</v>
      </c>
      <c r="F438" s="66">
        <f t="shared" si="23"/>
        <v>0</v>
      </c>
      <c r="G438" s="66">
        <f t="shared" si="23"/>
        <v>0</v>
      </c>
      <c r="H438" s="66">
        <f t="shared" si="23"/>
        <v>0</v>
      </c>
      <c r="I438" s="66">
        <f t="shared" si="23"/>
        <v>0</v>
      </c>
      <c r="J438" s="66">
        <f t="shared" si="23"/>
        <v>0</v>
      </c>
      <c r="K438" s="66">
        <f t="shared" si="23"/>
        <v>0</v>
      </c>
      <c r="L438" s="66">
        <f t="shared" si="23"/>
        <v>0</v>
      </c>
      <c r="M438" s="66">
        <f t="shared" si="23"/>
        <v>0</v>
      </c>
      <c r="N438" s="66">
        <f t="shared" si="23"/>
        <v>0</v>
      </c>
      <c r="O438" s="66">
        <f t="shared" si="23"/>
        <v>0</v>
      </c>
      <c r="P438" s="66">
        <f t="shared" si="23"/>
        <v>0</v>
      </c>
      <c r="Q438" s="66">
        <f t="shared" si="23"/>
        <v>0</v>
      </c>
      <c r="R438" s="66">
        <f t="shared" si="23"/>
        <v>0</v>
      </c>
      <c r="S438" s="66">
        <f t="shared" si="23"/>
        <v>0</v>
      </c>
      <c r="T438" s="66">
        <f t="shared" si="23"/>
        <v>0</v>
      </c>
      <c r="U438" s="66">
        <f t="shared" si="23"/>
        <v>0</v>
      </c>
    </row>
    <row r="439" spans="1:21" x14ac:dyDescent="0.25">
      <c r="A439" s="111" t="s">
        <v>742</v>
      </c>
      <c r="B439" s="111" t="s">
        <v>784</v>
      </c>
      <c r="C439" s="111" t="s">
        <v>785</v>
      </c>
      <c r="D439" s="111" t="s">
        <v>841</v>
      </c>
      <c r="E439" s="111" t="s">
        <v>745</v>
      </c>
      <c r="F439" s="66" t="str">
        <f t="shared" si="23"/>
        <v>CHECK</v>
      </c>
      <c r="G439" s="66" t="str">
        <f t="shared" si="23"/>
        <v>CHECK</v>
      </c>
      <c r="H439" s="66" t="str">
        <f t="shared" si="23"/>
        <v>CHECK</v>
      </c>
      <c r="I439" s="66" t="str">
        <f t="shared" si="23"/>
        <v>CHECK</v>
      </c>
      <c r="J439" s="66" t="str">
        <f t="shared" si="23"/>
        <v>CHECK</v>
      </c>
      <c r="K439" s="66" t="str">
        <f t="shared" si="23"/>
        <v>CHECK</v>
      </c>
      <c r="L439" s="66" t="str">
        <f t="shared" si="23"/>
        <v>CHECK</v>
      </c>
      <c r="M439" s="66" t="str">
        <f t="shared" si="23"/>
        <v>CHECK</v>
      </c>
      <c r="N439" s="66" t="str">
        <f t="shared" si="23"/>
        <v>CHECK</v>
      </c>
      <c r="O439" s="66" t="str">
        <f t="shared" si="23"/>
        <v>CHECK</v>
      </c>
      <c r="P439" s="66" t="str">
        <f t="shared" si="23"/>
        <v>CHECK</v>
      </c>
      <c r="Q439" s="66" t="str">
        <f t="shared" si="23"/>
        <v>CHECK</v>
      </c>
      <c r="R439" s="66" t="str">
        <f t="shared" si="23"/>
        <v>CHECK</v>
      </c>
      <c r="S439" s="66" t="str">
        <f t="shared" si="23"/>
        <v>CHECK</v>
      </c>
      <c r="T439" s="66" t="str">
        <f t="shared" si="23"/>
        <v>CHECK</v>
      </c>
      <c r="U439" s="66" t="str">
        <f t="shared" si="23"/>
        <v>CHECK</v>
      </c>
    </row>
    <row r="440" spans="1:21" x14ac:dyDescent="0.25">
      <c r="A440" s="111" t="s">
        <v>742</v>
      </c>
      <c r="B440" s="111" t="s">
        <v>786</v>
      </c>
      <c r="C440" s="111" t="s">
        <v>787</v>
      </c>
      <c r="D440" s="111" t="s">
        <v>841</v>
      </c>
      <c r="E440" s="111" t="s">
        <v>745</v>
      </c>
      <c r="F440" s="66" t="str">
        <f t="shared" si="23"/>
        <v>CHECK</v>
      </c>
      <c r="G440" s="66" t="str">
        <f t="shared" si="23"/>
        <v>CHECK</v>
      </c>
      <c r="H440" s="66" t="str">
        <f t="shared" si="23"/>
        <v>CHECK</v>
      </c>
      <c r="I440" s="66" t="str">
        <f t="shared" si="23"/>
        <v>CHECK</v>
      </c>
      <c r="J440" s="66" t="str">
        <f t="shared" si="23"/>
        <v>CHECK</v>
      </c>
      <c r="K440" s="66" t="str">
        <f t="shared" si="23"/>
        <v>CHECK</v>
      </c>
      <c r="L440" s="66" t="str">
        <f t="shared" si="23"/>
        <v>CHECK</v>
      </c>
      <c r="M440" s="66" t="str">
        <f t="shared" si="23"/>
        <v>CHECK</v>
      </c>
      <c r="N440" s="66" t="str">
        <f t="shared" si="23"/>
        <v>CHECK</v>
      </c>
      <c r="O440" s="66" t="str">
        <f t="shared" si="23"/>
        <v>CHECK</v>
      </c>
      <c r="P440" s="66" t="str">
        <f t="shared" si="23"/>
        <v>CHECK</v>
      </c>
      <c r="Q440" s="66" t="str">
        <f t="shared" si="23"/>
        <v>CHECK</v>
      </c>
      <c r="R440" s="66" t="str">
        <f t="shared" si="23"/>
        <v>CHECK</v>
      </c>
      <c r="S440" s="66" t="str">
        <f t="shared" si="23"/>
        <v>CHECK</v>
      </c>
      <c r="T440" s="66" t="str">
        <f t="shared" si="23"/>
        <v>CHECK</v>
      </c>
      <c r="U440" s="66" t="str">
        <f t="shared" si="23"/>
        <v>CHECK</v>
      </c>
    </row>
    <row r="441" spans="1:21" x14ac:dyDescent="0.25">
      <c r="A441" s="111" t="s">
        <v>742</v>
      </c>
      <c r="B441" s="111" t="s">
        <v>788</v>
      </c>
      <c r="C441" s="111" t="s">
        <v>789</v>
      </c>
      <c r="D441" s="111" t="s">
        <v>841</v>
      </c>
      <c r="E441" s="111" t="s">
        <v>745</v>
      </c>
      <c r="F441" s="66" t="str">
        <f t="shared" si="23"/>
        <v>CHECK</v>
      </c>
      <c r="G441" s="66" t="str">
        <f t="shared" si="23"/>
        <v>CHECK</v>
      </c>
      <c r="H441" s="66" t="str">
        <f t="shared" si="23"/>
        <v>CHECK</v>
      </c>
      <c r="I441" s="66" t="str">
        <f t="shared" si="23"/>
        <v>CHECK</v>
      </c>
      <c r="J441" s="66" t="str">
        <f t="shared" si="23"/>
        <v>CHECK</v>
      </c>
      <c r="K441" s="66" t="str">
        <f t="shared" si="23"/>
        <v>CHECK</v>
      </c>
      <c r="L441" s="66" t="str">
        <f t="shared" si="23"/>
        <v>CHECK</v>
      </c>
      <c r="M441" s="66" t="str">
        <f t="shared" si="23"/>
        <v>CHECK</v>
      </c>
      <c r="N441" s="66" t="str">
        <f t="shared" si="23"/>
        <v>CHECK</v>
      </c>
      <c r="O441" s="66" t="str">
        <f t="shared" si="23"/>
        <v>CHECK</v>
      </c>
      <c r="P441" s="66" t="str">
        <f t="shared" si="23"/>
        <v>CHECK</v>
      </c>
      <c r="Q441" s="66" t="str">
        <f t="shared" si="23"/>
        <v>CHECK</v>
      </c>
      <c r="R441" s="66" t="str">
        <f t="shared" si="23"/>
        <v>CHECK</v>
      </c>
      <c r="S441" s="66" t="str">
        <f t="shared" si="23"/>
        <v>CHECK</v>
      </c>
      <c r="T441" s="66" t="str">
        <f t="shared" si="23"/>
        <v>CHECK</v>
      </c>
      <c r="U441" s="66" t="str">
        <f t="shared" si="23"/>
        <v>CHECK</v>
      </c>
    </row>
    <row r="442" spans="1:21" x14ac:dyDescent="0.25">
      <c r="A442" s="111" t="s">
        <v>742</v>
      </c>
      <c r="B442" s="111" t="s">
        <v>790</v>
      </c>
      <c r="C442" s="111" t="s">
        <v>756</v>
      </c>
      <c r="D442" s="111" t="s">
        <v>841</v>
      </c>
      <c r="E442" s="111" t="s">
        <v>745</v>
      </c>
      <c r="F442" s="66" t="str">
        <f t="shared" si="23"/>
        <v>CHECK</v>
      </c>
      <c r="G442" s="66" t="str">
        <f t="shared" si="23"/>
        <v>CHECK</v>
      </c>
      <c r="H442" s="66" t="str">
        <f t="shared" si="23"/>
        <v>CHECK</v>
      </c>
      <c r="I442" s="66" t="str">
        <f t="shared" si="23"/>
        <v>CHECK</v>
      </c>
      <c r="J442" s="66" t="str">
        <f t="shared" si="23"/>
        <v>CHECK</v>
      </c>
      <c r="K442" s="66" t="str">
        <f t="shared" si="23"/>
        <v>CHECK</v>
      </c>
      <c r="L442" s="66" t="str">
        <f t="shared" si="23"/>
        <v>CHECK</v>
      </c>
      <c r="M442" s="66" t="str">
        <f t="shared" si="23"/>
        <v>CHECK</v>
      </c>
      <c r="N442" s="66" t="str">
        <f t="shared" si="23"/>
        <v>CHECK</v>
      </c>
      <c r="O442" s="66" t="str">
        <f t="shared" si="23"/>
        <v>CHECK</v>
      </c>
      <c r="P442" s="66" t="str">
        <f t="shared" si="23"/>
        <v>CHECK</v>
      </c>
      <c r="Q442" s="66" t="str">
        <f t="shared" si="23"/>
        <v>CHECK</v>
      </c>
      <c r="R442" s="66" t="str">
        <f t="shared" si="23"/>
        <v>CHECK</v>
      </c>
      <c r="S442" s="66" t="str">
        <f t="shared" si="23"/>
        <v>CHECK</v>
      </c>
      <c r="T442" s="66" t="str">
        <f t="shared" si="23"/>
        <v>CHECK</v>
      </c>
      <c r="U442" s="66" t="str">
        <f t="shared" si="23"/>
        <v>CHECK</v>
      </c>
    </row>
    <row r="443" spans="1:21" x14ac:dyDescent="0.25">
      <c r="A443" s="10" t="s">
        <v>742</v>
      </c>
      <c r="B443" s="10" t="s">
        <v>809</v>
      </c>
      <c r="C443" s="10" t="s">
        <v>810</v>
      </c>
      <c r="D443" s="10" t="s">
        <v>842</v>
      </c>
      <c r="E443" s="10" t="s">
        <v>745</v>
      </c>
      <c r="F443" s="66" t="str">
        <f t="shared" si="23"/>
        <v>CHECK</v>
      </c>
      <c r="G443" s="66" t="str">
        <f t="shared" si="23"/>
        <v>CHECK</v>
      </c>
      <c r="H443" s="66" t="str">
        <f t="shared" si="23"/>
        <v>CHECK</v>
      </c>
      <c r="I443" s="66" t="str">
        <f t="shared" si="23"/>
        <v>CHECK</v>
      </c>
      <c r="J443" s="66" t="str">
        <f t="shared" si="23"/>
        <v>CHECK</v>
      </c>
      <c r="K443" s="66">
        <f t="shared" si="23"/>
        <v>0</v>
      </c>
      <c r="L443" s="66">
        <f t="shared" si="23"/>
        <v>0</v>
      </c>
      <c r="M443" s="66">
        <f t="shared" si="23"/>
        <v>0</v>
      </c>
      <c r="N443" s="66">
        <f t="shared" si="23"/>
        <v>0</v>
      </c>
      <c r="O443" s="66">
        <f t="shared" si="23"/>
        <v>0</v>
      </c>
      <c r="P443" s="66">
        <f t="shared" si="23"/>
        <v>0</v>
      </c>
      <c r="Q443" s="66">
        <f t="shared" si="23"/>
        <v>0</v>
      </c>
      <c r="R443" s="66">
        <f t="shared" si="23"/>
        <v>0</v>
      </c>
      <c r="S443" s="66">
        <f t="shared" si="23"/>
        <v>0</v>
      </c>
      <c r="T443" s="66">
        <f t="shared" si="23"/>
        <v>0</v>
      </c>
      <c r="U443" s="66">
        <f t="shared" si="23"/>
        <v>0</v>
      </c>
    </row>
    <row r="444" spans="1:21" x14ac:dyDescent="0.25">
      <c r="A444" s="111" t="s">
        <v>742</v>
      </c>
      <c r="B444" s="111" t="s">
        <v>811</v>
      </c>
      <c r="C444" s="111" t="s">
        <v>812</v>
      </c>
      <c r="D444" s="111" t="s">
        <v>842</v>
      </c>
      <c r="E444" s="111" t="s">
        <v>745</v>
      </c>
      <c r="F444" s="66" t="str">
        <f t="shared" si="23"/>
        <v>CHECK</v>
      </c>
      <c r="G444" s="66" t="str">
        <f t="shared" si="23"/>
        <v>CHECK</v>
      </c>
      <c r="H444" s="66" t="str">
        <f t="shared" si="23"/>
        <v>CHECK</v>
      </c>
      <c r="I444" s="66" t="str">
        <f t="shared" si="23"/>
        <v>CHECK</v>
      </c>
      <c r="J444" s="66" t="str">
        <f t="shared" si="23"/>
        <v>CHECK</v>
      </c>
      <c r="K444" s="66">
        <f t="shared" si="23"/>
        <v>0</v>
      </c>
      <c r="L444" s="66">
        <f t="shared" si="23"/>
        <v>0</v>
      </c>
      <c r="M444" s="66">
        <f t="shared" si="23"/>
        <v>0</v>
      </c>
      <c r="N444" s="66">
        <f t="shared" si="23"/>
        <v>0</v>
      </c>
      <c r="O444" s="66">
        <f t="shared" si="23"/>
        <v>0</v>
      </c>
      <c r="P444" s="66">
        <f t="shared" si="23"/>
        <v>0</v>
      </c>
      <c r="Q444" s="66">
        <f t="shared" si="23"/>
        <v>0</v>
      </c>
      <c r="R444" s="66">
        <f t="shared" si="23"/>
        <v>0</v>
      </c>
      <c r="S444" s="66">
        <f t="shared" si="23"/>
        <v>0</v>
      </c>
      <c r="T444" s="66">
        <f t="shared" si="23"/>
        <v>0</v>
      </c>
      <c r="U444" s="66">
        <f t="shared" si="23"/>
        <v>0</v>
      </c>
    </row>
    <row r="445" spans="1:21" x14ac:dyDescent="0.25">
      <c r="A445" s="111" t="s">
        <v>742</v>
      </c>
      <c r="B445" s="111" t="s">
        <v>813</v>
      </c>
      <c r="C445" s="111" t="s">
        <v>814</v>
      </c>
      <c r="D445" s="111" t="s">
        <v>842</v>
      </c>
      <c r="E445" s="111" t="s">
        <v>745</v>
      </c>
      <c r="F445" s="66" t="str">
        <f t="shared" si="23"/>
        <v>CHECK</v>
      </c>
      <c r="G445" s="66" t="str">
        <f t="shared" si="23"/>
        <v>CHECK</v>
      </c>
      <c r="H445" s="66" t="str">
        <f t="shared" si="23"/>
        <v>CHECK</v>
      </c>
      <c r="I445" s="66" t="str">
        <f t="shared" si="23"/>
        <v>CHECK</v>
      </c>
      <c r="J445" s="66" t="str">
        <f t="shared" si="23"/>
        <v>CHECK</v>
      </c>
      <c r="K445" s="66" t="str">
        <f t="shared" si="23"/>
        <v>CHECK</v>
      </c>
      <c r="L445" s="66" t="str">
        <f t="shared" si="23"/>
        <v>CHECK</v>
      </c>
      <c r="M445" s="66" t="str">
        <f t="shared" si="23"/>
        <v>CHECK</v>
      </c>
      <c r="N445" s="66" t="str">
        <f t="shared" si="23"/>
        <v>CHECK</v>
      </c>
      <c r="O445" s="66" t="str">
        <f t="shared" si="23"/>
        <v>CHECK</v>
      </c>
      <c r="P445" s="66" t="str">
        <f t="shared" si="23"/>
        <v>CHECK</v>
      </c>
      <c r="Q445" s="66">
        <f t="shared" si="23"/>
        <v>0</v>
      </c>
      <c r="R445" s="66">
        <f t="shared" si="23"/>
        <v>0</v>
      </c>
      <c r="S445" s="66">
        <f t="shared" si="23"/>
        <v>0</v>
      </c>
      <c r="T445" s="66">
        <f t="shared" si="23"/>
        <v>0</v>
      </c>
      <c r="U445" s="66">
        <f t="shared" si="23"/>
        <v>0</v>
      </c>
    </row>
    <row r="446" spans="1:21" x14ac:dyDescent="0.25">
      <c r="A446" s="111" t="s">
        <v>742</v>
      </c>
      <c r="B446" s="111" t="s">
        <v>815</v>
      </c>
      <c r="C446" s="111" t="s">
        <v>816</v>
      </c>
      <c r="D446" s="111" t="s">
        <v>842</v>
      </c>
      <c r="E446" s="111" t="s">
        <v>745</v>
      </c>
      <c r="F446" s="66" t="str">
        <f t="shared" si="23"/>
        <v>CHECK</v>
      </c>
      <c r="G446" s="66" t="str">
        <f t="shared" si="23"/>
        <v>CHECK</v>
      </c>
      <c r="H446" s="66" t="str">
        <f t="shared" si="23"/>
        <v>CHECK</v>
      </c>
      <c r="I446" s="66" t="str">
        <f t="shared" si="23"/>
        <v>CHECK</v>
      </c>
      <c r="J446" s="66" t="str">
        <f t="shared" si="23"/>
        <v>CHECK</v>
      </c>
      <c r="K446" s="66" t="str">
        <f t="shared" si="23"/>
        <v>CHECK</v>
      </c>
      <c r="L446" s="66" t="str">
        <f t="shared" si="23"/>
        <v>CHECK</v>
      </c>
      <c r="M446" s="66" t="str">
        <f t="shared" si="23"/>
        <v>CHECK</v>
      </c>
      <c r="N446" s="66" t="str">
        <f t="shared" si="23"/>
        <v>CHECK</v>
      </c>
      <c r="O446" s="66" t="str">
        <f t="shared" si="23"/>
        <v>CHECK</v>
      </c>
      <c r="P446" s="66" t="str">
        <f t="shared" si="23"/>
        <v>CHECK</v>
      </c>
      <c r="Q446" s="66">
        <f t="shared" si="23"/>
        <v>0</v>
      </c>
      <c r="R446" s="66">
        <f t="shared" si="23"/>
        <v>0</v>
      </c>
      <c r="S446" s="66">
        <f t="shared" si="23"/>
        <v>0</v>
      </c>
      <c r="T446" s="66">
        <f t="shared" si="23"/>
        <v>0</v>
      </c>
      <c r="U446" s="66">
        <f t="shared" si="23"/>
        <v>0</v>
      </c>
    </row>
    <row r="447" spans="1:21" x14ac:dyDescent="0.25">
      <c r="A447" s="111" t="s">
        <v>742</v>
      </c>
      <c r="B447" s="111" t="s">
        <v>817</v>
      </c>
      <c r="C447" s="111" t="s">
        <v>565</v>
      </c>
      <c r="D447" s="111" t="s">
        <v>842</v>
      </c>
      <c r="E447" s="111" t="s">
        <v>745</v>
      </c>
      <c r="F447" s="66" t="str">
        <f t="shared" si="23"/>
        <v>CHECK</v>
      </c>
      <c r="G447" s="66" t="str">
        <f t="shared" si="23"/>
        <v>CHECK</v>
      </c>
      <c r="H447" s="66" t="str">
        <f t="shared" si="23"/>
        <v>CHECK</v>
      </c>
      <c r="I447" s="66" t="str">
        <f t="shared" si="23"/>
        <v>CHECK</v>
      </c>
      <c r="J447" s="66" t="str">
        <f t="shared" si="23"/>
        <v>CHECK</v>
      </c>
      <c r="K447" s="66" t="str">
        <f t="shared" si="23"/>
        <v>CHECK</v>
      </c>
      <c r="L447" s="66" t="str">
        <f t="shared" si="23"/>
        <v>CHECK</v>
      </c>
      <c r="M447" s="66" t="str">
        <f t="shared" si="23"/>
        <v>CHECK</v>
      </c>
      <c r="N447" s="66" t="str">
        <f t="shared" si="23"/>
        <v>CHECK</v>
      </c>
      <c r="O447" s="66" t="str">
        <f t="shared" si="23"/>
        <v>CHECK</v>
      </c>
      <c r="P447" s="66" t="str">
        <f t="shared" si="23"/>
        <v>CHECK</v>
      </c>
      <c r="Q447" s="66">
        <f t="shared" si="23"/>
        <v>0</v>
      </c>
      <c r="R447" s="66">
        <f t="shared" si="23"/>
        <v>0</v>
      </c>
      <c r="S447" s="66">
        <f t="shared" si="23"/>
        <v>0</v>
      </c>
      <c r="T447" s="66">
        <f t="shared" si="23"/>
        <v>0</v>
      </c>
      <c r="U447" s="66">
        <f t="shared" si="23"/>
        <v>0</v>
      </c>
    </row>
    <row r="448" spans="1:21" x14ac:dyDescent="0.25">
      <c r="A448" s="111" t="s">
        <v>742</v>
      </c>
      <c r="B448" s="111" t="s">
        <v>818</v>
      </c>
      <c r="C448" s="111" t="s">
        <v>566</v>
      </c>
      <c r="D448" s="111" t="s">
        <v>842</v>
      </c>
      <c r="E448" s="111" t="s">
        <v>745</v>
      </c>
      <c r="F448" s="66" t="str">
        <f t="shared" si="23"/>
        <v>CHECK</v>
      </c>
      <c r="G448" s="66" t="str">
        <f t="shared" si="23"/>
        <v>CHECK</v>
      </c>
      <c r="H448" s="66" t="str">
        <f t="shared" si="23"/>
        <v>CHECK</v>
      </c>
      <c r="I448" s="66" t="str">
        <f t="shared" si="23"/>
        <v>CHECK</v>
      </c>
      <c r="J448" s="66" t="str">
        <f t="shared" si="23"/>
        <v>CHECK</v>
      </c>
      <c r="K448" s="66" t="str">
        <f t="shared" si="23"/>
        <v>CHECK</v>
      </c>
      <c r="L448" s="66" t="str">
        <f t="shared" si="23"/>
        <v>CHECK</v>
      </c>
      <c r="M448" s="66" t="str">
        <f t="shared" si="23"/>
        <v>CHECK</v>
      </c>
      <c r="N448" s="66" t="str">
        <f t="shared" si="23"/>
        <v>CHECK</v>
      </c>
      <c r="O448" s="66" t="str">
        <f t="shared" si="23"/>
        <v>CHECK</v>
      </c>
      <c r="P448" s="66" t="str">
        <f t="shared" si="23"/>
        <v>CHECK</v>
      </c>
      <c r="Q448" s="66" t="str">
        <f t="shared" si="23"/>
        <v>CHECK</v>
      </c>
      <c r="R448" s="66" t="str">
        <f t="shared" si="23"/>
        <v>CHECK</v>
      </c>
      <c r="S448" s="66" t="str">
        <f t="shared" si="23"/>
        <v>CHECK</v>
      </c>
      <c r="T448" s="66" t="str">
        <f t="shared" si="23"/>
        <v>CHECK</v>
      </c>
      <c r="U448" s="66" t="str">
        <f t="shared" si="23"/>
        <v>CHECK</v>
      </c>
    </row>
    <row r="449" spans="1:21" x14ac:dyDescent="0.25">
      <c r="A449" s="111" t="s">
        <v>742</v>
      </c>
      <c r="B449" s="111" t="s">
        <v>819</v>
      </c>
      <c r="C449" s="111" t="s">
        <v>820</v>
      </c>
      <c r="D449" s="111" t="s">
        <v>842</v>
      </c>
      <c r="E449" s="111" t="s">
        <v>745</v>
      </c>
      <c r="F449" s="66" t="str">
        <f t="shared" si="23"/>
        <v>CHECK</v>
      </c>
      <c r="G449" s="66" t="str">
        <f t="shared" si="23"/>
        <v>CHECK</v>
      </c>
      <c r="H449" s="66" t="str">
        <f t="shared" si="23"/>
        <v>CHECK</v>
      </c>
      <c r="I449" s="66" t="str">
        <f t="shared" si="23"/>
        <v>CHECK</v>
      </c>
      <c r="J449" s="66" t="str">
        <f t="shared" si="23"/>
        <v>CHECK</v>
      </c>
      <c r="K449" s="66" t="str">
        <f t="shared" si="23"/>
        <v>CHECK</v>
      </c>
      <c r="L449" s="66" t="str">
        <f t="shared" si="23"/>
        <v>CHECK</v>
      </c>
      <c r="M449" s="66" t="str">
        <f t="shared" si="23"/>
        <v>CHECK</v>
      </c>
      <c r="N449" s="66" t="str">
        <f t="shared" si="23"/>
        <v>CHECK</v>
      </c>
      <c r="O449" s="66" t="str">
        <f t="shared" si="23"/>
        <v>CHECK</v>
      </c>
      <c r="P449" s="66" t="str">
        <f t="shared" si="23"/>
        <v>CHECK</v>
      </c>
      <c r="Q449" s="66" t="str">
        <f t="shared" si="23"/>
        <v>CHECK</v>
      </c>
      <c r="R449" s="66" t="str">
        <f t="shared" si="23"/>
        <v>CHECK</v>
      </c>
      <c r="S449" s="66" t="str">
        <f t="shared" si="23"/>
        <v>CHECK</v>
      </c>
      <c r="T449" s="66" t="str">
        <f t="shared" si="23"/>
        <v>CHECK</v>
      </c>
      <c r="U449" s="66" t="str">
        <f t="shared" ref="U449" si="24">IFERROR(((U149/U300)-1),"CHECK")</f>
        <v>CHECK</v>
      </c>
    </row>
  </sheetData>
  <conditionalFormatting sqref="V306:W356">
    <cfRule type="colorScale" priority="28">
      <colorScale>
        <cfvo type="min"/>
        <cfvo type="num" val="0"/>
        <cfvo type="max"/>
        <color theme="3" tint="0.79998168889431442"/>
        <color theme="0"/>
        <color rgb="FFEE9CA4"/>
      </colorScale>
    </cfRule>
    <cfRule type="colorScale" priority="29">
      <colorScale>
        <cfvo type="min"/>
        <cfvo type="num" val="0"/>
        <cfvo type="max"/>
        <color theme="3" tint="0.79998168889431442"/>
        <color theme="0"/>
        <color rgb="FFEE9CA4"/>
      </colorScale>
    </cfRule>
    <cfRule type="colorScale" priority="30">
      <colorScale>
        <cfvo type="min"/>
        <cfvo type="num" val="0"/>
        <cfvo type="max"/>
        <color theme="3" tint="0.59999389629810485"/>
        <color theme="0"/>
        <color rgb="FFEE9CA4"/>
      </colorScale>
    </cfRule>
  </conditionalFormatting>
  <conditionalFormatting sqref="F304:U356">
    <cfRule type="colorScale" priority="25">
      <colorScale>
        <cfvo type="min"/>
        <cfvo type="num" val="0"/>
        <cfvo type="max"/>
        <color theme="3" tint="0.79998168889431442"/>
        <color theme="0"/>
        <color rgb="FFEE9CA4"/>
      </colorScale>
    </cfRule>
    <cfRule type="colorScale" priority="26">
      <colorScale>
        <cfvo type="min"/>
        <cfvo type="num" val="0"/>
        <cfvo type="max"/>
        <color theme="3" tint="0.79998168889431442"/>
        <color theme="0"/>
        <color rgb="FFEE9CA4"/>
      </colorScale>
    </cfRule>
    <cfRule type="colorScale" priority="27">
      <colorScale>
        <cfvo type="min"/>
        <cfvo type="num" val="0"/>
        <cfvo type="max"/>
        <color theme="3" tint="0.59999389629810485"/>
        <color theme="0"/>
        <color rgb="FFEE9CA4"/>
      </colorScale>
    </cfRule>
  </conditionalFormatting>
  <conditionalFormatting sqref="F358:T358 F396:T397">
    <cfRule type="colorScale" priority="22">
      <colorScale>
        <cfvo type="min"/>
        <cfvo type="num" val="0"/>
        <cfvo type="max"/>
        <color theme="3" tint="0.79998168889431442"/>
        <color theme="0"/>
        <color rgb="FFEE9CA4"/>
      </colorScale>
    </cfRule>
    <cfRule type="colorScale" priority="23">
      <colorScale>
        <cfvo type="min"/>
        <cfvo type="num" val="0"/>
        <cfvo type="max"/>
        <color theme="3" tint="0.79998168889431442"/>
        <color theme="0"/>
        <color rgb="FFEE9CA4"/>
      </colorScale>
    </cfRule>
    <cfRule type="colorScale" priority="24">
      <colorScale>
        <cfvo type="min"/>
        <cfvo type="num" val="0"/>
        <cfvo type="max"/>
        <color theme="3" tint="0.59999389629810485"/>
        <color theme="0"/>
        <color rgb="FFEE9CA4"/>
      </colorScale>
    </cfRule>
  </conditionalFormatting>
  <conditionalFormatting sqref="F418:T419">
    <cfRule type="colorScale" priority="19">
      <colorScale>
        <cfvo type="min"/>
        <cfvo type="num" val="0"/>
        <cfvo type="max"/>
        <color theme="3" tint="0.79998168889431442"/>
        <color theme="0"/>
        <color rgb="FFEE9CA4"/>
      </colorScale>
    </cfRule>
    <cfRule type="colorScale" priority="20">
      <colorScale>
        <cfvo type="min"/>
        <cfvo type="num" val="0"/>
        <cfvo type="max"/>
        <color theme="3" tint="0.79998168889431442"/>
        <color theme="0"/>
        <color rgb="FFEE9CA4"/>
      </colorScale>
    </cfRule>
    <cfRule type="colorScale" priority="21">
      <colorScale>
        <cfvo type="min"/>
        <cfvo type="num" val="0"/>
        <cfvo type="max"/>
        <color theme="3" tint="0.59999389629810485"/>
        <color theme="0"/>
        <color rgb="FFEE9CA4"/>
      </colorScale>
    </cfRule>
  </conditionalFormatting>
  <conditionalFormatting sqref="F433:T433">
    <cfRule type="colorScale" priority="16">
      <colorScale>
        <cfvo type="min"/>
        <cfvo type="num" val="0"/>
        <cfvo type="max"/>
        <color theme="3" tint="0.79998168889431442"/>
        <color theme="0"/>
        <color rgb="FFEE9CA4"/>
      </colorScale>
    </cfRule>
    <cfRule type="colorScale" priority="17">
      <colorScale>
        <cfvo type="min"/>
        <cfvo type="num" val="0"/>
        <cfvo type="max"/>
        <color theme="3" tint="0.79998168889431442"/>
        <color theme="0"/>
        <color rgb="FFEE9CA4"/>
      </colorScale>
    </cfRule>
    <cfRule type="colorScale" priority="18">
      <colorScale>
        <cfvo type="min"/>
        <cfvo type="num" val="0"/>
        <cfvo type="max"/>
        <color theme="3" tint="0.59999389629810485"/>
        <color theme="0"/>
        <color rgb="FFEE9CA4"/>
      </colorScale>
    </cfRule>
  </conditionalFormatting>
  <conditionalFormatting sqref="F359:U395">
    <cfRule type="colorScale" priority="10">
      <colorScale>
        <cfvo type="min"/>
        <cfvo type="num" val="0"/>
        <cfvo type="max"/>
        <color theme="3" tint="0.79998168889431442"/>
        <color theme="0"/>
        <color rgb="FFEE9CA4"/>
      </colorScale>
    </cfRule>
    <cfRule type="colorScale" priority="11">
      <colorScale>
        <cfvo type="min"/>
        <cfvo type="num" val="0"/>
        <cfvo type="max"/>
        <color theme="3" tint="0.79998168889431442"/>
        <color theme="0"/>
        <color rgb="FFEE9CA4"/>
      </colorScale>
    </cfRule>
    <cfRule type="colorScale" priority="12">
      <colorScale>
        <cfvo type="min"/>
        <cfvo type="num" val="0"/>
        <cfvo type="max"/>
        <color theme="3" tint="0.59999389629810485"/>
        <color theme="0"/>
        <color rgb="FFEE9CA4"/>
      </colorScale>
    </cfRule>
  </conditionalFormatting>
  <conditionalFormatting sqref="F398:U417">
    <cfRule type="colorScale" priority="7">
      <colorScale>
        <cfvo type="min"/>
        <cfvo type="num" val="0"/>
        <cfvo type="max"/>
        <color theme="3" tint="0.79998168889431442"/>
        <color theme="0"/>
        <color rgb="FFEE9CA4"/>
      </colorScale>
    </cfRule>
    <cfRule type="colorScale" priority="8">
      <colorScale>
        <cfvo type="min"/>
        <cfvo type="num" val="0"/>
        <cfvo type="max"/>
        <color theme="3" tint="0.79998168889431442"/>
        <color theme="0"/>
        <color rgb="FFEE9CA4"/>
      </colorScale>
    </cfRule>
    <cfRule type="colorScale" priority="9">
      <colorScale>
        <cfvo type="min"/>
        <cfvo type="num" val="0"/>
        <cfvo type="max"/>
        <color theme="3" tint="0.59999389629810485"/>
        <color theme="0"/>
        <color rgb="FFEE9CA4"/>
      </colorScale>
    </cfRule>
  </conditionalFormatting>
  <conditionalFormatting sqref="F420:U431">
    <cfRule type="colorScale" priority="4">
      <colorScale>
        <cfvo type="min"/>
        <cfvo type="num" val="0"/>
        <cfvo type="max"/>
        <color theme="3" tint="0.79998168889431442"/>
        <color theme="0"/>
        <color rgb="FFEE9CA4"/>
      </colorScale>
    </cfRule>
    <cfRule type="colorScale" priority="5">
      <colorScale>
        <cfvo type="min"/>
        <cfvo type="num" val="0"/>
        <cfvo type="max"/>
        <color theme="3" tint="0.79998168889431442"/>
        <color theme="0"/>
        <color rgb="FFEE9CA4"/>
      </colorScale>
    </cfRule>
    <cfRule type="colorScale" priority="6">
      <colorScale>
        <cfvo type="min"/>
        <cfvo type="num" val="0"/>
        <cfvo type="max"/>
        <color theme="3" tint="0.59999389629810485"/>
        <color theme="0"/>
        <color rgb="FFEE9CA4"/>
      </colorScale>
    </cfRule>
  </conditionalFormatting>
  <conditionalFormatting sqref="F434:U449">
    <cfRule type="colorScale" priority="1">
      <colorScale>
        <cfvo type="min"/>
        <cfvo type="num" val="0"/>
        <cfvo type="max"/>
        <color theme="3" tint="0.79998168889431442"/>
        <color theme="0"/>
        <color rgb="FFEE9CA4"/>
      </colorScale>
    </cfRule>
    <cfRule type="colorScale" priority="2">
      <colorScale>
        <cfvo type="min"/>
        <cfvo type="num" val="0"/>
        <cfvo type="max"/>
        <color theme="3" tint="0.79998168889431442"/>
        <color theme="0"/>
        <color rgb="FFEE9CA4"/>
      </colorScale>
    </cfRule>
    <cfRule type="colorScale" priority="3">
      <colorScale>
        <cfvo type="min"/>
        <cfvo type="num" val="0"/>
        <cfvo type="max"/>
        <color theme="3" tint="0.59999389629810485"/>
        <color theme="0"/>
        <color rgb="FFEE9CA4"/>
      </colorScale>
    </cfRule>
  </conditionalFormatting>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0B00-000009000000}">
          <x14:colorSeries rgb="FF376092"/>
          <x14:colorNegative rgb="FFD00000"/>
          <x14:colorAxis rgb="FF000000"/>
          <x14:colorMarkers rgb="FFD00000"/>
          <x14:colorFirst rgb="FFD00000"/>
          <x14:colorLast rgb="FFD00000"/>
          <x14:colorHigh rgb="FFD00000"/>
          <x14:colorLow rgb="FFD00000"/>
          <x14:sparklines>
            <x14:sparkline>
              <xm:f>'IPPU Summary'!F285:U285</xm:f>
              <xm:sqref>X285</xm:sqref>
            </x14:sparkline>
            <x14:sparkline>
              <xm:f>'IPPU Summary'!F286:U286</xm:f>
              <xm:sqref>X286</xm:sqref>
            </x14:sparkline>
            <x14:sparkline>
              <xm:f>'IPPU Summary'!F287:U287</xm:f>
              <xm:sqref>X287</xm:sqref>
            </x14:sparkline>
            <x14:sparkline>
              <xm:f>'IPPU Summary'!F288:U288</xm:f>
              <xm:sqref>X288</xm:sqref>
            </x14:sparkline>
            <x14:sparkline>
              <xm:f>'IPPU Summary'!F289:U289</xm:f>
              <xm:sqref>X289</xm:sqref>
            </x14:sparkline>
            <x14:sparkline>
              <xm:f>'IPPU Summary'!F290:U290</xm:f>
              <xm:sqref>X290</xm:sqref>
            </x14:sparkline>
            <x14:sparkline>
              <xm:f>'IPPU Summary'!F291:U291</xm:f>
              <xm:sqref>X291</xm:sqref>
            </x14:sparkline>
            <x14:sparkline>
              <xm:f>'IPPU Summary'!F292:U292</xm:f>
              <xm:sqref>X292</xm:sqref>
            </x14:sparkline>
            <x14:sparkline>
              <xm:f>'IPPU Summary'!F293:U293</xm:f>
              <xm:sqref>X293</xm:sqref>
            </x14:sparkline>
            <x14:sparkline>
              <xm:f>'IPPU Summary'!F294:U294</xm:f>
              <xm:sqref>X294</xm:sqref>
            </x14:sparkline>
            <x14:sparkline>
              <xm:f>'IPPU Summary'!F295:U295</xm:f>
              <xm:sqref>X295</xm:sqref>
            </x14:sparkline>
            <x14:sparkline>
              <xm:f>'IPPU Summary'!F296:U296</xm:f>
              <xm:sqref>X296</xm:sqref>
            </x14:sparkline>
            <x14:sparkline>
              <xm:f>'IPPU Summary'!F297:U297</xm:f>
              <xm:sqref>X297</xm:sqref>
            </x14:sparkline>
            <x14:sparkline>
              <xm:f>'IPPU Summary'!F298:U298</xm:f>
              <xm:sqref>X298</xm:sqref>
            </x14:sparkline>
            <x14:sparkline>
              <xm:f>'IPPU Summary'!F299:U299</xm:f>
              <xm:sqref>X299</xm:sqref>
            </x14:sparkline>
            <x14:sparkline>
              <xm:f>'IPPU Summary'!F300:U300</xm:f>
              <xm:sqref>X300</xm:sqref>
            </x14:sparkline>
            <x14:sparkline>
              <xm:f>'IPPU Summary'!F301:U301</xm:f>
              <xm:sqref>X301</xm:sqref>
            </x14:sparkline>
          </x14:sparklines>
        </x14:sparklineGroup>
        <x14:sparklineGroup manualMax="0" manualMin="0" displayEmptyCellsAs="gap" xr2:uid="{00000000-0003-0000-0B00-000008000000}">
          <x14:colorSeries rgb="FF376092"/>
          <x14:colorNegative rgb="FFD00000"/>
          <x14:colorAxis rgb="FF000000"/>
          <x14:colorMarkers rgb="FFD00000"/>
          <x14:colorFirst rgb="FFD00000"/>
          <x14:colorLast rgb="FFD00000"/>
          <x14:colorHigh rgb="FFD00000"/>
          <x14:colorLow rgb="FFD00000"/>
          <x14:sparklines>
            <x14:sparkline>
              <xm:f>'IPPU Summary'!F271:U271</xm:f>
              <xm:sqref>X271</xm:sqref>
            </x14:sparkline>
            <x14:sparkline>
              <xm:f>'IPPU Summary'!F272:U272</xm:f>
              <xm:sqref>X272</xm:sqref>
            </x14:sparkline>
            <x14:sparkline>
              <xm:f>'IPPU Summary'!F273:U273</xm:f>
              <xm:sqref>X273</xm:sqref>
            </x14:sparkline>
            <x14:sparkline>
              <xm:f>'IPPU Summary'!F274:U274</xm:f>
              <xm:sqref>X274</xm:sqref>
            </x14:sparkline>
            <x14:sparkline>
              <xm:f>'IPPU Summary'!F275:U275</xm:f>
              <xm:sqref>X275</xm:sqref>
            </x14:sparkline>
            <x14:sparkline>
              <xm:f>'IPPU Summary'!F276:U276</xm:f>
              <xm:sqref>X276</xm:sqref>
            </x14:sparkline>
            <x14:sparkline>
              <xm:f>'IPPU Summary'!F277:U277</xm:f>
              <xm:sqref>X277</xm:sqref>
            </x14:sparkline>
            <x14:sparkline>
              <xm:f>'IPPU Summary'!F278:U278</xm:f>
              <xm:sqref>X278</xm:sqref>
            </x14:sparkline>
            <x14:sparkline>
              <xm:f>'IPPU Summary'!F279:U279</xm:f>
              <xm:sqref>X279</xm:sqref>
            </x14:sparkline>
            <x14:sparkline>
              <xm:f>'IPPU Summary'!F280:U280</xm:f>
              <xm:sqref>X280</xm:sqref>
            </x14:sparkline>
            <x14:sparkline>
              <xm:f>'IPPU Summary'!F281:U281</xm:f>
              <xm:sqref>X281</xm:sqref>
            </x14:sparkline>
            <x14:sparkline>
              <xm:f>'IPPU Summary'!F282:U282</xm:f>
              <xm:sqref>X282</xm:sqref>
            </x14:sparkline>
            <x14:sparkline>
              <xm:f>'IPPU Summary'!F283:U283</xm:f>
              <xm:sqref>X283</xm:sqref>
            </x14:sparkline>
            <x14:sparkline>
              <xm:f>'IPPU Summary'!F284:U284</xm:f>
              <xm:sqref>X284</xm:sqref>
            </x14:sparkline>
          </x14:sparklines>
        </x14:sparklineGroup>
        <x14:sparklineGroup manualMax="0" manualMin="0" displayEmptyCellsAs="gap" xr2:uid="{00000000-0003-0000-0B00-000007000000}">
          <x14:colorSeries rgb="FF376092"/>
          <x14:colorNegative rgb="FFD00000"/>
          <x14:colorAxis rgb="FF000000"/>
          <x14:colorMarkers rgb="FFD00000"/>
          <x14:colorFirst rgb="FFD00000"/>
          <x14:colorLast rgb="FFD00000"/>
          <x14:colorHigh rgb="FFD00000"/>
          <x14:colorLow rgb="FFD00000"/>
          <x14:sparklines>
            <x14:sparkline>
              <xm:f>'IPPU Summary'!F120:W120</xm:f>
              <xm:sqref>X120</xm:sqref>
            </x14:sparkline>
            <x14:sparkline>
              <xm:f>'IPPU Summary'!F121:W121</xm:f>
              <xm:sqref>X121</xm:sqref>
            </x14:sparkline>
            <x14:sparkline>
              <xm:f>'IPPU Summary'!F122:W122</xm:f>
              <xm:sqref>X122</xm:sqref>
            </x14:sparkline>
            <x14:sparkline>
              <xm:f>'IPPU Summary'!F123:W123</xm:f>
              <xm:sqref>X123</xm:sqref>
            </x14:sparkline>
            <x14:sparkline>
              <xm:f>'IPPU Summary'!F124:W124</xm:f>
              <xm:sqref>X124</xm:sqref>
            </x14:sparkline>
            <x14:sparkline>
              <xm:f>'IPPU Summary'!F125:W125</xm:f>
              <xm:sqref>X125</xm:sqref>
            </x14:sparkline>
            <x14:sparkline>
              <xm:f>'IPPU Summary'!F126:W126</xm:f>
              <xm:sqref>X126</xm:sqref>
            </x14:sparkline>
            <x14:sparkline>
              <xm:f>'IPPU Summary'!F127:W127</xm:f>
              <xm:sqref>X127</xm:sqref>
            </x14:sparkline>
            <x14:sparkline>
              <xm:f>'IPPU Summary'!F128:W128</xm:f>
              <xm:sqref>X128</xm:sqref>
            </x14:sparkline>
            <x14:sparkline>
              <xm:f>'IPPU Summary'!F129:W129</xm:f>
              <xm:sqref>X129</xm:sqref>
            </x14:sparkline>
            <x14:sparkline>
              <xm:f>'IPPU Summary'!F130:W130</xm:f>
              <xm:sqref>X130</xm:sqref>
            </x14:sparkline>
            <x14:sparkline>
              <xm:f>'IPPU Summary'!F131:W131</xm:f>
              <xm:sqref>X131</xm:sqref>
            </x14:sparkline>
          </x14:sparklines>
        </x14:sparklineGroup>
        <x14:sparklineGroup manualMax="0" manualMin="0" displayEmptyCellsAs="gap" xr2:uid="{00000000-0003-0000-0B00-000006000000}">
          <x14:colorSeries rgb="FF376092"/>
          <x14:colorNegative rgb="FFD00000"/>
          <x14:colorAxis rgb="FF000000"/>
          <x14:colorMarkers rgb="FFD00000"/>
          <x14:colorFirst rgb="FFD00000"/>
          <x14:colorLast rgb="FFD00000"/>
          <x14:colorHigh rgb="FFD00000"/>
          <x14:colorLow rgb="FFD00000"/>
          <x14:sparklines>
            <x14:sparkline>
              <xm:f>'IPPU Summary'!F210:U210</xm:f>
              <xm:sqref>X210</xm:sqref>
            </x14:sparkline>
          </x14:sparklines>
        </x14:sparklineGroup>
        <x14:sparklineGroup manualMax="0" manualMin="0" displayEmptyCellsAs="gap" xr2:uid="{00000000-0003-0000-0B00-000005000000}">
          <x14:colorSeries rgb="FF376092"/>
          <x14:colorNegative rgb="FFD00000"/>
          <x14:colorAxis rgb="FF000000"/>
          <x14:colorMarkers rgb="FFD00000"/>
          <x14:colorFirst rgb="FFD00000"/>
          <x14:colorLast rgb="FFD00000"/>
          <x14:colorHigh rgb="FFD00000"/>
          <x14:colorLow rgb="FFD00000"/>
          <x14:sparklines>
            <x14:sparkline>
              <xm:f>'IPPU Summary'!F155:U155</xm:f>
              <xm:sqref>X155</xm:sqref>
            </x14:sparkline>
          </x14:sparklines>
        </x14:sparklineGroup>
        <x14:sparklineGroup manualMax="0" manualMin="0" displayEmptyCellsAs="gap" xr2:uid="{00000000-0003-0000-0B00-000004000000}">
          <x14:colorSeries rgb="FF376092"/>
          <x14:colorNegative rgb="FFD00000"/>
          <x14:colorAxis rgb="FF000000"/>
          <x14:colorMarkers rgb="FFD00000"/>
          <x14:colorFirst rgb="FFD00000"/>
          <x14:colorLast rgb="FFD00000"/>
          <x14:colorHigh rgb="FFD00000"/>
          <x14:colorLow rgb="FFD00000"/>
          <x14:sparklines>
            <x14:sparkline>
              <xm:f>'IPPU Summary'!F4:W4</xm:f>
              <xm:sqref>X4</xm:sqref>
            </x14:sparkline>
            <x14:sparkline>
              <xm:f>'IPPU Summary'!F5:W5</xm:f>
              <xm:sqref>X5</xm:sqref>
            </x14:sparkline>
            <x14:sparkline>
              <xm:f>'IPPU Summary'!F6:W6</xm:f>
              <xm:sqref>X6</xm:sqref>
            </x14:sparkline>
            <x14:sparkline>
              <xm:f>'IPPU Summary'!F7:W7</xm:f>
              <xm:sqref>X7</xm:sqref>
            </x14:sparkline>
            <x14:sparkline>
              <xm:f>'IPPU Summary'!F8:W8</xm:f>
              <xm:sqref>X8</xm:sqref>
            </x14:sparkline>
            <x14:sparkline>
              <xm:f>'IPPU Summary'!F9:W9</xm:f>
              <xm:sqref>X9</xm:sqref>
            </x14:sparkline>
            <x14:sparkline>
              <xm:f>'IPPU Summary'!F10:W10</xm:f>
              <xm:sqref>X10</xm:sqref>
            </x14:sparkline>
            <x14:sparkline>
              <xm:f>'IPPU Summary'!F11:W11</xm:f>
              <xm:sqref>X11</xm:sqref>
            </x14:sparkline>
            <x14:sparkline>
              <xm:f>'IPPU Summary'!F12:W12</xm:f>
              <xm:sqref>X12</xm:sqref>
            </x14:sparkline>
            <x14:sparkline>
              <xm:f>'IPPU Summary'!F13:W13</xm:f>
              <xm:sqref>X13</xm:sqref>
            </x14:sparkline>
            <x14:sparkline>
              <xm:f>'IPPU Summary'!F14:W14</xm:f>
              <xm:sqref>X14</xm:sqref>
            </x14:sparkline>
            <x14:sparkline>
              <xm:f>'IPPU Summary'!F15:W15</xm:f>
              <xm:sqref>X15</xm:sqref>
            </x14:sparkline>
            <x14:sparkline>
              <xm:f>'IPPU Summary'!F16:W16</xm:f>
              <xm:sqref>X16</xm:sqref>
            </x14:sparkline>
            <x14:sparkline>
              <xm:f>'IPPU Summary'!F17:W17</xm:f>
              <xm:sqref>X17</xm:sqref>
            </x14:sparkline>
            <x14:sparkline>
              <xm:f>'IPPU Summary'!F18:W18</xm:f>
              <xm:sqref>X18</xm:sqref>
            </x14:sparkline>
            <x14:sparkline>
              <xm:f>'IPPU Summary'!F19:W19</xm:f>
              <xm:sqref>X19</xm:sqref>
            </x14:sparkline>
            <x14:sparkline>
              <xm:f>'IPPU Summary'!F20:W20</xm:f>
              <xm:sqref>X20</xm:sqref>
            </x14:sparkline>
            <x14:sparkline>
              <xm:f>'IPPU Summary'!F21:W21</xm:f>
              <xm:sqref>X21</xm:sqref>
            </x14:sparkline>
            <x14:sparkline>
              <xm:f>'IPPU Summary'!F22:W22</xm:f>
              <xm:sqref>X22</xm:sqref>
            </x14:sparkline>
            <x14:sparkline>
              <xm:f>'IPPU Summary'!F23:W23</xm:f>
              <xm:sqref>X23</xm:sqref>
            </x14:sparkline>
            <x14:sparkline>
              <xm:f>'IPPU Summary'!F24:W24</xm:f>
              <xm:sqref>X24</xm:sqref>
            </x14:sparkline>
            <x14:sparkline>
              <xm:f>'IPPU Summary'!F25:W25</xm:f>
              <xm:sqref>X25</xm:sqref>
            </x14:sparkline>
            <x14:sparkline>
              <xm:f>'IPPU Summary'!F26:W26</xm:f>
              <xm:sqref>X26</xm:sqref>
            </x14:sparkline>
            <x14:sparkline>
              <xm:f>'IPPU Summary'!F27:W27</xm:f>
              <xm:sqref>X27</xm:sqref>
            </x14:sparkline>
            <x14:sparkline>
              <xm:f>'IPPU Summary'!F28:W28</xm:f>
              <xm:sqref>X28</xm:sqref>
            </x14:sparkline>
            <x14:sparkline>
              <xm:f>'IPPU Summary'!F29:W29</xm:f>
              <xm:sqref>X29</xm:sqref>
            </x14:sparkline>
            <x14:sparkline>
              <xm:f>'IPPU Summary'!F30:W30</xm:f>
              <xm:sqref>X30</xm:sqref>
            </x14:sparkline>
            <x14:sparkline>
              <xm:f>'IPPU Summary'!F31:W31</xm:f>
              <xm:sqref>X31</xm:sqref>
            </x14:sparkline>
            <x14:sparkline>
              <xm:f>'IPPU Summary'!F32:W32</xm:f>
              <xm:sqref>X32</xm:sqref>
            </x14:sparkline>
            <x14:sparkline>
              <xm:f>'IPPU Summary'!F33:W33</xm:f>
              <xm:sqref>X33</xm:sqref>
            </x14:sparkline>
            <x14:sparkline>
              <xm:f>'IPPU Summary'!F34:W34</xm:f>
              <xm:sqref>X34</xm:sqref>
            </x14:sparkline>
            <x14:sparkline>
              <xm:f>'IPPU Summary'!F35:W35</xm:f>
              <xm:sqref>X35</xm:sqref>
            </x14:sparkline>
            <x14:sparkline>
              <xm:f>'IPPU Summary'!F36:W36</xm:f>
              <xm:sqref>X36</xm:sqref>
            </x14:sparkline>
            <x14:sparkline>
              <xm:f>'IPPU Summary'!F37:W37</xm:f>
              <xm:sqref>X37</xm:sqref>
            </x14:sparkline>
            <x14:sparkline>
              <xm:f>'IPPU Summary'!F38:W38</xm:f>
              <xm:sqref>X38</xm:sqref>
            </x14:sparkline>
            <x14:sparkline>
              <xm:f>'IPPU Summary'!F39:W39</xm:f>
              <xm:sqref>X39</xm:sqref>
            </x14:sparkline>
            <x14:sparkline>
              <xm:f>'IPPU Summary'!F40:W40</xm:f>
              <xm:sqref>X40</xm:sqref>
            </x14:sparkline>
            <x14:sparkline>
              <xm:f>'IPPU Summary'!F41:W41</xm:f>
              <xm:sqref>X41</xm:sqref>
            </x14:sparkline>
            <x14:sparkline>
              <xm:f>'IPPU Summary'!F42:W42</xm:f>
              <xm:sqref>X42</xm:sqref>
            </x14:sparkline>
            <x14:sparkline>
              <xm:f>'IPPU Summary'!F43:W43</xm:f>
              <xm:sqref>X43</xm:sqref>
            </x14:sparkline>
            <x14:sparkline>
              <xm:f>'IPPU Summary'!F44:W44</xm:f>
              <xm:sqref>X44</xm:sqref>
            </x14:sparkline>
            <x14:sparkline>
              <xm:f>'IPPU Summary'!F45:W45</xm:f>
              <xm:sqref>X45</xm:sqref>
            </x14:sparkline>
            <x14:sparkline>
              <xm:f>'IPPU Summary'!F46:W46</xm:f>
              <xm:sqref>X46</xm:sqref>
            </x14:sparkline>
            <x14:sparkline>
              <xm:f>'IPPU Summary'!F47:W47</xm:f>
              <xm:sqref>X47</xm:sqref>
            </x14:sparkline>
            <x14:sparkline>
              <xm:f>'IPPU Summary'!F48:W48</xm:f>
              <xm:sqref>X48</xm:sqref>
            </x14:sparkline>
            <x14:sparkline>
              <xm:f>'IPPU Summary'!F49:W49</xm:f>
              <xm:sqref>X49</xm:sqref>
            </x14:sparkline>
            <x14:sparkline>
              <xm:f>'IPPU Summary'!F50:W50</xm:f>
              <xm:sqref>X50</xm:sqref>
            </x14:sparkline>
            <x14:sparkline>
              <xm:f>'IPPU Summary'!F51:W51</xm:f>
              <xm:sqref>X51</xm:sqref>
            </x14:sparkline>
            <x14:sparkline>
              <xm:f>'IPPU Summary'!F52:W52</xm:f>
              <xm:sqref>X52</xm:sqref>
            </x14:sparkline>
            <x14:sparkline>
              <xm:f>'IPPU Summary'!F53:W53</xm:f>
              <xm:sqref>X53</xm:sqref>
            </x14:sparkline>
            <x14:sparkline>
              <xm:f>'IPPU Summary'!F54:W54</xm:f>
              <xm:sqref>X54</xm:sqref>
            </x14:sparkline>
            <x14:sparkline>
              <xm:f>'IPPU Summary'!F55:W55</xm:f>
              <xm:sqref>X55</xm:sqref>
            </x14:sparkline>
            <x14:sparkline>
              <xm:f>'IPPU Summary'!F56:W56</xm:f>
              <xm:sqref>X56</xm:sqref>
            </x14:sparkline>
          </x14:sparklines>
        </x14:sparklineGroup>
        <x14:sparklineGroup manualMax="0" manualMin="0" displayEmptyCellsAs="gap" xr2:uid="{00000000-0003-0000-0B00-000003000000}">
          <x14:colorSeries rgb="FF376092"/>
          <x14:colorNegative rgb="FFD00000"/>
          <x14:colorAxis rgb="FF000000"/>
          <x14:colorMarkers rgb="FFD00000"/>
          <x14:colorFirst rgb="FFD00000"/>
          <x14:colorLast rgb="FFD00000"/>
          <x14:colorHigh rgb="FFD00000"/>
          <x14:colorLow rgb="FFD00000"/>
          <x14:sparklines>
            <x14:sparkline>
              <xm:f>'IPPU Summary'!F59:W59</xm:f>
              <xm:sqref>X59</xm:sqref>
            </x14:sparkline>
            <x14:sparkline>
              <xm:f>'IPPU Summary'!F60:W60</xm:f>
              <xm:sqref>X60</xm:sqref>
            </x14:sparkline>
            <x14:sparkline>
              <xm:f>'IPPU Summary'!F61:W61</xm:f>
              <xm:sqref>X61</xm:sqref>
            </x14:sparkline>
            <x14:sparkline>
              <xm:f>'IPPU Summary'!F62:W62</xm:f>
              <xm:sqref>X62</xm:sqref>
            </x14:sparkline>
            <x14:sparkline>
              <xm:f>'IPPU Summary'!F63:W63</xm:f>
              <xm:sqref>X63</xm:sqref>
            </x14:sparkline>
            <x14:sparkline>
              <xm:f>'IPPU Summary'!F64:W64</xm:f>
              <xm:sqref>X64</xm:sqref>
            </x14:sparkline>
            <x14:sparkline>
              <xm:f>'IPPU Summary'!F65:W65</xm:f>
              <xm:sqref>X65</xm:sqref>
            </x14:sparkline>
            <x14:sparkline>
              <xm:f>'IPPU Summary'!F66:W66</xm:f>
              <xm:sqref>X66</xm:sqref>
            </x14:sparkline>
            <x14:sparkline>
              <xm:f>'IPPU Summary'!F67:W67</xm:f>
              <xm:sqref>X67</xm:sqref>
            </x14:sparkline>
            <x14:sparkline>
              <xm:f>'IPPU Summary'!F68:W68</xm:f>
              <xm:sqref>X68</xm:sqref>
            </x14:sparkline>
            <x14:sparkline>
              <xm:f>'IPPU Summary'!F69:W69</xm:f>
              <xm:sqref>X69</xm:sqref>
            </x14:sparkline>
            <x14:sparkline>
              <xm:f>'IPPU Summary'!F70:W70</xm:f>
              <xm:sqref>X70</xm:sqref>
            </x14:sparkline>
            <x14:sparkline>
              <xm:f>'IPPU Summary'!F71:W71</xm:f>
              <xm:sqref>X71</xm:sqref>
            </x14:sparkline>
            <x14:sparkline>
              <xm:f>'IPPU Summary'!F72:W72</xm:f>
              <xm:sqref>X72</xm:sqref>
            </x14:sparkline>
            <x14:sparkline>
              <xm:f>'IPPU Summary'!F73:W73</xm:f>
              <xm:sqref>X73</xm:sqref>
            </x14:sparkline>
            <x14:sparkline>
              <xm:f>'IPPU Summary'!F74:W74</xm:f>
              <xm:sqref>X74</xm:sqref>
            </x14:sparkline>
            <x14:sparkline>
              <xm:f>'IPPU Summary'!F75:W75</xm:f>
              <xm:sqref>X75</xm:sqref>
            </x14:sparkline>
            <x14:sparkline>
              <xm:f>'IPPU Summary'!F76:W76</xm:f>
              <xm:sqref>X76</xm:sqref>
            </x14:sparkline>
            <x14:sparkline>
              <xm:f>'IPPU Summary'!F77:W77</xm:f>
              <xm:sqref>X77</xm:sqref>
            </x14:sparkline>
            <x14:sparkline>
              <xm:f>'IPPU Summary'!F78:W78</xm:f>
              <xm:sqref>X78</xm:sqref>
            </x14:sparkline>
            <x14:sparkline>
              <xm:f>'IPPU Summary'!F79:W79</xm:f>
              <xm:sqref>X79</xm:sqref>
            </x14:sparkline>
            <x14:sparkline>
              <xm:f>'IPPU Summary'!F80:W80</xm:f>
              <xm:sqref>X80</xm:sqref>
            </x14:sparkline>
            <x14:sparkline>
              <xm:f>'IPPU Summary'!F81:W81</xm:f>
              <xm:sqref>X81</xm:sqref>
            </x14:sparkline>
            <x14:sparkline>
              <xm:f>'IPPU Summary'!F82:W82</xm:f>
              <xm:sqref>X82</xm:sqref>
            </x14:sparkline>
            <x14:sparkline>
              <xm:f>'IPPU Summary'!F83:W83</xm:f>
              <xm:sqref>X83</xm:sqref>
            </x14:sparkline>
            <x14:sparkline>
              <xm:f>'IPPU Summary'!F84:W84</xm:f>
              <xm:sqref>X84</xm:sqref>
            </x14:sparkline>
            <x14:sparkline>
              <xm:f>'IPPU Summary'!F85:W85</xm:f>
              <xm:sqref>X85</xm:sqref>
            </x14:sparkline>
            <x14:sparkline>
              <xm:f>'IPPU Summary'!F86:W86</xm:f>
              <xm:sqref>X86</xm:sqref>
            </x14:sparkline>
            <x14:sparkline>
              <xm:f>'IPPU Summary'!F87:W87</xm:f>
              <xm:sqref>X87</xm:sqref>
            </x14:sparkline>
            <x14:sparkline>
              <xm:f>'IPPU Summary'!F88:W88</xm:f>
              <xm:sqref>X88</xm:sqref>
            </x14:sparkline>
            <x14:sparkline>
              <xm:f>'IPPU Summary'!F89:W89</xm:f>
              <xm:sqref>X89</xm:sqref>
            </x14:sparkline>
            <x14:sparkline>
              <xm:f>'IPPU Summary'!F90:W90</xm:f>
              <xm:sqref>X90</xm:sqref>
            </x14:sparkline>
            <x14:sparkline>
              <xm:f>'IPPU Summary'!F91:W91</xm:f>
              <xm:sqref>X91</xm:sqref>
            </x14:sparkline>
            <x14:sparkline>
              <xm:f>'IPPU Summary'!F92:W92</xm:f>
              <xm:sqref>X92</xm:sqref>
            </x14:sparkline>
            <x14:sparkline>
              <xm:f>'IPPU Summary'!F93:W93</xm:f>
              <xm:sqref>X93</xm:sqref>
            </x14:sparkline>
            <x14:sparkline>
              <xm:f>'IPPU Summary'!F94:W94</xm:f>
              <xm:sqref>X94</xm:sqref>
            </x14:sparkline>
            <x14:sparkline>
              <xm:f>'IPPU Summary'!F95:W95</xm:f>
              <xm:sqref>X95</xm:sqref>
            </x14:sparkline>
          </x14:sparklines>
        </x14:sparklineGroup>
        <x14:sparklineGroup manualMax="0" manualMin="0" displayEmptyCellsAs="gap" xr2:uid="{00000000-0003-0000-0B00-000002000000}">
          <x14:colorSeries rgb="FF376092"/>
          <x14:colorNegative rgb="FFD00000"/>
          <x14:colorAxis rgb="FF000000"/>
          <x14:colorMarkers rgb="FFD00000"/>
          <x14:colorFirst rgb="FFD00000"/>
          <x14:colorLast rgb="FFD00000"/>
          <x14:colorHigh rgb="FFD00000"/>
          <x14:colorLow rgb="FFD00000"/>
          <x14:sparklines>
            <x14:sparkline>
              <xm:f>'IPPU Summary'!F98:W98</xm:f>
              <xm:sqref>X98</xm:sqref>
            </x14:sparkline>
            <x14:sparkline>
              <xm:f>'IPPU Summary'!F99:W99</xm:f>
              <xm:sqref>X99</xm:sqref>
            </x14:sparkline>
            <x14:sparkline>
              <xm:f>'IPPU Summary'!F100:W100</xm:f>
              <xm:sqref>X100</xm:sqref>
            </x14:sparkline>
            <x14:sparkline>
              <xm:f>'IPPU Summary'!F101:W101</xm:f>
              <xm:sqref>X101</xm:sqref>
            </x14:sparkline>
            <x14:sparkline>
              <xm:f>'IPPU Summary'!F102:W102</xm:f>
              <xm:sqref>X102</xm:sqref>
            </x14:sparkline>
            <x14:sparkline>
              <xm:f>'IPPU Summary'!F103:W103</xm:f>
              <xm:sqref>X103</xm:sqref>
            </x14:sparkline>
            <x14:sparkline>
              <xm:f>'IPPU Summary'!F104:W104</xm:f>
              <xm:sqref>X104</xm:sqref>
            </x14:sparkline>
            <x14:sparkline>
              <xm:f>'IPPU Summary'!F105:W105</xm:f>
              <xm:sqref>X105</xm:sqref>
            </x14:sparkline>
            <x14:sparkline>
              <xm:f>'IPPU Summary'!F106:W106</xm:f>
              <xm:sqref>X106</xm:sqref>
            </x14:sparkline>
            <x14:sparkline>
              <xm:f>'IPPU Summary'!F107:W107</xm:f>
              <xm:sqref>X107</xm:sqref>
            </x14:sparkline>
            <x14:sparkline>
              <xm:f>'IPPU Summary'!F108:W108</xm:f>
              <xm:sqref>X108</xm:sqref>
            </x14:sparkline>
            <x14:sparkline>
              <xm:f>'IPPU Summary'!F109:W109</xm:f>
              <xm:sqref>X109</xm:sqref>
            </x14:sparkline>
            <x14:sparkline>
              <xm:f>'IPPU Summary'!F110:W110</xm:f>
              <xm:sqref>X110</xm:sqref>
            </x14:sparkline>
            <x14:sparkline>
              <xm:f>'IPPU Summary'!F111:W111</xm:f>
              <xm:sqref>X111</xm:sqref>
            </x14:sparkline>
            <x14:sparkline>
              <xm:f>'IPPU Summary'!F112:W112</xm:f>
              <xm:sqref>X112</xm:sqref>
            </x14:sparkline>
            <x14:sparkline>
              <xm:f>'IPPU Summary'!F113:W113</xm:f>
              <xm:sqref>X113</xm:sqref>
            </x14:sparkline>
            <x14:sparkline>
              <xm:f>'IPPU Summary'!F114:W114</xm:f>
              <xm:sqref>X114</xm:sqref>
            </x14:sparkline>
            <x14:sparkline>
              <xm:f>'IPPU Summary'!F115:W115</xm:f>
              <xm:sqref>X115</xm:sqref>
            </x14:sparkline>
            <x14:sparkline>
              <xm:f>'IPPU Summary'!F116:W116</xm:f>
              <xm:sqref>X116</xm:sqref>
            </x14:sparkline>
            <x14:sparkline>
              <xm:f>'IPPU Summary'!F117:W117</xm:f>
              <xm:sqref>X117</xm:sqref>
            </x14:sparkline>
          </x14:sparklines>
        </x14:sparklineGroup>
        <x14:sparklineGroup manualMax="0" manualMin="0" displayEmptyCellsAs="gap" xr2:uid="{00000000-0003-0000-0B00-000001000000}">
          <x14:colorSeries rgb="FF376092"/>
          <x14:colorNegative rgb="FFD00000"/>
          <x14:colorAxis rgb="FF000000"/>
          <x14:colorMarkers rgb="FFD00000"/>
          <x14:colorFirst rgb="FFD00000"/>
          <x14:colorLast rgb="FFD00000"/>
          <x14:colorHigh rgb="FFD00000"/>
          <x14:colorLow rgb="FFD00000"/>
          <x14:sparklines>
            <x14:sparkline>
              <xm:f>'IPPU Summary'!F249:U249</xm:f>
              <xm:sqref>X249</xm:sqref>
            </x14:sparkline>
            <x14:sparkline>
              <xm:f>'IPPU Summary'!F250:U250</xm:f>
              <xm:sqref>X250</xm:sqref>
            </x14:sparkline>
            <x14:sparkline>
              <xm:f>'IPPU Summary'!F251:U251</xm:f>
              <xm:sqref>X251</xm:sqref>
            </x14:sparkline>
            <x14:sparkline>
              <xm:f>'IPPU Summary'!F252:U252</xm:f>
              <xm:sqref>X252</xm:sqref>
            </x14:sparkline>
            <x14:sparkline>
              <xm:f>'IPPU Summary'!F253:U253</xm:f>
              <xm:sqref>X253</xm:sqref>
            </x14:sparkline>
            <x14:sparkline>
              <xm:f>'IPPU Summary'!F254:U254</xm:f>
              <xm:sqref>X254</xm:sqref>
            </x14:sparkline>
            <x14:sparkline>
              <xm:f>'IPPU Summary'!F255:U255</xm:f>
              <xm:sqref>X255</xm:sqref>
            </x14:sparkline>
            <x14:sparkline>
              <xm:f>'IPPU Summary'!F256:U256</xm:f>
              <xm:sqref>X256</xm:sqref>
            </x14:sparkline>
            <x14:sparkline>
              <xm:f>'IPPU Summary'!F257:U257</xm:f>
              <xm:sqref>X257</xm:sqref>
            </x14:sparkline>
            <x14:sparkline>
              <xm:f>'IPPU Summary'!F258:U258</xm:f>
              <xm:sqref>X258</xm:sqref>
            </x14:sparkline>
            <x14:sparkline>
              <xm:f>'IPPU Summary'!F259:U259</xm:f>
              <xm:sqref>X259</xm:sqref>
            </x14:sparkline>
            <x14:sparkline>
              <xm:f>'IPPU Summary'!F260:U260</xm:f>
              <xm:sqref>X260</xm:sqref>
            </x14:sparkline>
            <x14:sparkline>
              <xm:f>'IPPU Summary'!F261:U261</xm:f>
              <xm:sqref>X261</xm:sqref>
            </x14:sparkline>
            <x14:sparkline>
              <xm:f>'IPPU Summary'!F262:U262</xm:f>
              <xm:sqref>X262</xm:sqref>
            </x14:sparkline>
            <x14:sparkline>
              <xm:f>'IPPU Summary'!F263:U263</xm:f>
              <xm:sqref>X263</xm:sqref>
            </x14:sparkline>
            <x14:sparkline>
              <xm:f>'IPPU Summary'!F264:U264</xm:f>
              <xm:sqref>X264</xm:sqref>
            </x14:sparkline>
            <x14:sparkline>
              <xm:f>'IPPU Summary'!F265:U265</xm:f>
              <xm:sqref>X265</xm:sqref>
            </x14:sparkline>
            <x14:sparkline>
              <xm:f>'IPPU Summary'!F266:U266</xm:f>
              <xm:sqref>X266</xm:sqref>
            </x14:sparkline>
            <x14:sparkline>
              <xm:f>'IPPU Summary'!F267:U267</xm:f>
              <xm:sqref>X267</xm:sqref>
            </x14:sparkline>
            <x14:sparkline>
              <xm:f>'IPPU Summary'!F268:U268</xm:f>
              <xm:sqref>X268</xm:sqref>
            </x14:sparkline>
            <x14:sparkline>
              <xm:f>'IPPU Summary'!F269:U269</xm:f>
              <xm:sqref>X269</xm:sqref>
            </x14:sparkline>
            <x14:sparkline>
              <xm:f>'IPPU Summary'!F270:U270</xm:f>
              <xm:sqref>X270</xm:sqref>
            </x14:sparkline>
          </x14:sparklines>
        </x14:sparklineGroup>
        <x14:sparklineGroup manualMax="0" manualMin="0" displayEmptyCellsAs="gap" xr2:uid="{00000000-0003-0000-0B00-000000000000}">
          <x14:colorSeries rgb="FF376092"/>
          <x14:colorNegative rgb="FFD00000"/>
          <x14:colorAxis rgb="FF000000"/>
          <x14:colorMarkers rgb="FFD00000"/>
          <x14:colorFirst rgb="FFD00000"/>
          <x14:colorLast rgb="FFD00000"/>
          <x14:colorHigh rgb="FFD00000"/>
          <x14:colorLow rgb="FFD00000"/>
          <x14:sparklines>
            <x14:sparkline>
              <xm:f>'IPPU Summary'!F134:W134</xm:f>
              <xm:sqref>X134</xm:sqref>
            </x14:sparkline>
            <x14:sparkline>
              <xm:f>'IPPU Summary'!F135:W135</xm:f>
              <xm:sqref>X135</xm:sqref>
            </x14:sparkline>
            <x14:sparkline>
              <xm:f>'IPPU Summary'!F136:W136</xm:f>
              <xm:sqref>X136</xm:sqref>
            </x14:sparkline>
            <x14:sparkline>
              <xm:f>'IPPU Summary'!F137:W137</xm:f>
              <xm:sqref>X137</xm:sqref>
            </x14:sparkline>
            <x14:sparkline>
              <xm:f>'IPPU Summary'!F138:W138</xm:f>
              <xm:sqref>X138</xm:sqref>
            </x14:sparkline>
            <x14:sparkline>
              <xm:f>'IPPU Summary'!F139:W139</xm:f>
              <xm:sqref>X139</xm:sqref>
            </x14:sparkline>
            <x14:sparkline>
              <xm:f>'IPPU Summary'!F140:W140</xm:f>
              <xm:sqref>X140</xm:sqref>
            </x14:sparkline>
            <x14:sparkline>
              <xm:f>'IPPU Summary'!F141:W141</xm:f>
              <xm:sqref>X141</xm:sqref>
            </x14:sparkline>
            <x14:sparkline>
              <xm:f>'IPPU Summary'!F142:W142</xm:f>
              <xm:sqref>X142</xm:sqref>
            </x14:sparkline>
            <x14:sparkline>
              <xm:f>'IPPU Summary'!F143:W143</xm:f>
              <xm:sqref>X143</xm:sqref>
            </x14:sparkline>
            <x14:sparkline>
              <xm:f>'IPPU Summary'!F144:W144</xm:f>
              <xm:sqref>X144</xm:sqref>
            </x14:sparkline>
            <x14:sparkline>
              <xm:f>'IPPU Summary'!F145:W145</xm:f>
              <xm:sqref>X145</xm:sqref>
            </x14:sparkline>
            <x14:sparkline>
              <xm:f>'IPPU Summary'!F146:W146</xm:f>
              <xm:sqref>X146</xm:sqref>
            </x14:sparkline>
            <x14:sparkline>
              <xm:f>'IPPU Summary'!F147:W147</xm:f>
              <xm:sqref>X147</xm:sqref>
            </x14:sparkline>
            <x14:sparkline>
              <xm:f>'IPPU Summary'!F148:W148</xm:f>
              <xm:sqref>X148</xm:sqref>
            </x14:sparkline>
            <x14:sparkline>
              <xm:f>'IPPU Summary'!F149:W149</xm:f>
              <xm:sqref>X149</xm:sqref>
            </x14:sparkline>
          </x14:sparklines>
        </x14:sparklineGroup>
      </x14:sparklineGroup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rgb="FF00B0F0"/>
  </sheetPr>
  <dimension ref="A1:AC29"/>
  <sheetViews>
    <sheetView topLeftCell="B2" workbookViewId="0">
      <pane xSplit="3" ySplit="2" topLeftCell="E4" activePane="bottomRight" state="frozen"/>
      <selection pane="topRight" activeCell="E2" sqref="E2"/>
      <selection pane="bottomLeft" activeCell="B4" sqref="B4"/>
      <selection pane="bottomRight" activeCell="F15" sqref="F15:U19"/>
    </sheetView>
  </sheetViews>
  <sheetFormatPr defaultRowHeight="15" x14ac:dyDescent="0.25"/>
  <cols>
    <col min="1" max="1" width="34.140625" bestFit="1" customWidth="1"/>
    <col min="2" max="2" width="13.28515625" customWidth="1"/>
    <col min="3" max="3" width="31.28515625" bestFit="1" customWidth="1"/>
    <col min="5" max="5" width="10.7109375" customWidth="1"/>
  </cols>
  <sheetData>
    <row r="1" spans="1:29" s="6" customFormat="1" ht="21" x14ac:dyDescent="0.35">
      <c r="A1" s="6" t="s">
        <v>734</v>
      </c>
      <c r="C1" s="28" t="s">
        <v>735</v>
      </c>
    </row>
    <row r="2" spans="1:29" x14ac:dyDescent="0.25">
      <c r="W2">
        <f>+W5/W4</f>
        <v>0.8195339459059362</v>
      </c>
    </row>
    <row r="3" spans="1:29"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9" s="103" customFormat="1" x14ac:dyDescent="0.25">
      <c r="A4" s="7" t="s">
        <v>742</v>
      </c>
      <c r="B4" s="103" t="s">
        <v>746</v>
      </c>
      <c r="C4" s="103" t="s">
        <v>853</v>
      </c>
      <c r="D4" s="7" t="s">
        <v>836</v>
      </c>
      <c r="E4" s="7" t="s">
        <v>745</v>
      </c>
      <c r="F4" s="116">
        <f>+SUM(F5:F9)</f>
        <v>4386.3393304800002</v>
      </c>
      <c r="G4" s="116">
        <f t="shared" ref="G4:W4" si="0">+SUM(G5:G9)</f>
        <v>4303.6742912</v>
      </c>
      <c r="H4" s="116">
        <f t="shared" si="0"/>
        <v>4824.2529307219993</v>
      </c>
      <c r="I4" s="116">
        <f t="shared" si="0"/>
        <v>5095.6491567840003</v>
      </c>
      <c r="J4" s="116">
        <f t="shared" si="0"/>
        <v>4993.2960821039997</v>
      </c>
      <c r="K4" s="116">
        <f t="shared" si="0"/>
        <v>5736.1220459819997</v>
      </c>
      <c r="L4" s="116">
        <f t="shared" si="0"/>
        <v>6131.7649185184</v>
      </c>
      <c r="M4" s="116">
        <f t="shared" si="0"/>
        <v>6063.9731606852001</v>
      </c>
      <c r="N4" s="116">
        <f t="shared" si="0"/>
        <v>6320.6815495520004</v>
      </c>
      <c r="O4" s="116">
        <f t="shared" si="0"/>
        <v>6590.7750204223994</v>
      </c>
      <c r="P4" s="116">
        <f t="shared" si="0"/>
        <v>5916.6986057876002</v>
      </c>
      <c r="Q4" s="116">
        <f t="shared" si="0"/>
        <v>5719.84292</v>
      </c>
      <c r="R4" s="116">
        <f t="shared" si="0"/>
        <v>5457.2451988416005</v>
      </c>
      <c r="S4" s="116">
        <f t="shared" si="0"/>
        <v>5688.3723988416004</v>
      </c>
      <c r="T4" s="116">
        <f>+SUM(T5:T9)</f>
        <v>5770.0734488416001</v>
      </c>
      <c r="U4" s="116">
        <f t="shared" si="0"/>
        <v>6178.5199588415999</v>
      </c>
      <c r="V4" s="116">
        <f>+SUM(V5:V9)</f>
        <v>6396.8310951691174</v>
      </c>
      <c r="W4" s="116">
        <f t="shared" si="0"/>
        <v>6462.0556479787492</v>
      </c>
      <c r="X4"/>
      <c r="Z4" s="103">
        <f>+W4-F4</f>
        <v>2075.716317498749</v>
      </c>
      <c r="AA4" s="103">
        <f>+Z4/F4</f>
        <v>0.47322292260311788</v>
      </c>
      <c r="AB4" s="103">
        <f>+W4-R4</f>
        <v>1004.8104491371487</v>
      </c>
      <c r="AC4" s="103">
        <f>+AB4/R4</f>
        <v>0.18412411620251881</v>
      </c>
    </row>
    <row r="5" spans="1:29" x14ac:dyDescent="0.25">
      <c r="A5" t="s">
        <v>742</v>
      </c>
      <c r="B5" t="s">
        <v>747</v>
      </c>
      <c r="C5" t="s">
        <v>748</v>
      </c>
      <c r="D5" t="s">
        <v>836</v>
      </c>
      <c r="E5" t="s">
        <v>745</v>
      </c>
      <c r="F5" s="119">
        <f>'2A1 Cement Production'!E$30</f>
        <v>3870.5888000000004</v>
      </c>
      <c r="G5" s="119">
        <f>'2A1 Cement Production'!F$30</f>
        <v>3783</v>
      </c>
      <c r="H5" s="119">
        <f>'2A1 Cement Production'!G$30</f>
        <v>4258.3527999999997</v>
      </c>
      <c r="I5" s="119">
        <f>'2A1 Cement Production'!H$30</f>
        <v>4514.5828000000001</v>
      </c>
      <c r="J5" s="119">
        <f>'2A1 Cement Production'!I$30</f>
        <v>4390.0739999999996</v>
      </c>
      <c r="K5" s="119">
        <f>'2A1 Cement Production'!J$30</f>
        <v>5061.5136000000002</v>
      </c>
      <c r="L5" s="119">
        <f>'2A1 Cement Production'!K$30</f>
        <v>5399.81</v>
      </c>
      <c r="M5" s="119">
        <f>'2A1 Cement Production'!L$30</f>
        <v>5407.6724000000004</v>
      </c>
      <c r="N5" s="119">
        <f>'2A1 Cement Production'!M$30</f>
        <v>4988.5680000000002</v>
      </c>
      <c r="O5" s="119">
        <f>'2A1 Cement Production'!N$30</f>
        <v>5432.1279999999997</v>
      </c>
      <c r="P5" s="119">
        <f>'2A1 Cement Production'!O$30</f>
        <v>4818.9544000000005</v>
      </c>
      <c r="Q5" s="119">
        <f>'2A1 Cement Production'!P$30</f>
        <v>4432.8284000000003</v>
      </c>
      <c r="R5" s="119">
        <f>'2A1 Cement Production'!Q$30</f>
        <v>4414.4984000000004</v>
      </c>
      <c r="S5" s="119">
        <f>'2A1 Cement Production'!R$30</f>
        <v>4659.2156000000004</v>
      </c>
      <c r="T5" s="119">
        <f>'2A1 Cement Production'!S$30</f>
        <v>4678.1851999999999</v>
      </c>
      <c r="U5" s="119">
        <f>'2A1 Cement Production'!T$30</f>
        <v>5204.8256000000001</v>
      </c>
      <c r="V5" s="119">
        <f>'2A1 Cement Production'!U$30</f>
        <v>5255.2563310261185</v>
      </c>
      <c r="W5" s="119">
        <f>'2A1 Cement Production'!V$30</f>
        <v>5295.8739638517654</v>
      </c>
      <c r="Z5" s="103">
        <f t="shared" ref="Z5:Z7" si="1">+W5-F5</f>
        <v>1425.285163851765</v>
      </c>
      <c r="AA5" s="103">
        <f t="shared" ref="AA5:AA7" si="2">+Z5/F5</f>
        <v>0.36823471505207805</v>
      </c>
      <c r="AB5" s="103">
        <f t="shared" ref="AB5:AB7" si="3">+W5-U5</f>
        <v>91.048363851765316</v>
      </c>
      <c r="AC5" s="103">
        <f t="shared" ref="AC5:AC7" si="4">+AB5/U5</f>
        <v>1.7493067174386267E-2</v>
      </c>
    </row>
    <row r="6" spans="1:29" x14ac:dyDescent="0.25">
      <c r="A6" t="s">
        <v>742</v>
      </c>
      <c r="B6" t="s">
        <v>749</v>
      </c>
      <c r="C6" t="s">
        <v>750</v>
      </c>
      <c r="D6" t="s">
        <v>836</v>
      </c>
      <c r="E6" t="s">
        <v>745</v>
      </c>
      <c r="F6" s="119">
        <f>'2A2 Lime Production'!E$29</f>
        <v>441.39115350000003</v>
      </c>
      <c r="G6" s="119">
        <f>'2A2 Lime Production'!F$29</f>
        <v>436.28840000000002</v>
      </c>
      <c r="H6" s="119">
        <f>'2A2 Lime Production'!G$29</f>
        <v>477.55462</v>
      </c>
      <c r="I6" s="119">
        <f>'2A2 Lime Production'!H$29</f>
        <v>489.73651999999998</v>
      </c>
      <c r="J6" s="119">
        <f>'2A2 Lime Production'!I$29</f>
        <v>507.32977999999997</v>
      </c>
      <c r="K6" s="119">
        <f>'2A2 Lime Production'!J$29</f>
        <v>572.24579999999992</v>
      </c>
      <c r="L6" s="119">
        <f>'2A2 Lime Production'!K$29</f>
        <v>630.18416000000002</v>
      </c>
      <c r="M6" s="119">
        <f>'2A2 Lime Production'!L$29</f>
        <v>551.31326000000001</v>
      </c>
      <c r="N6" s="119">
        <f>'2A2 Lime Production'!M$29</f>
        <v>1214.74</v>
      </c>
      <c r="O6" s="119">
        <f>'2A2 Lime Production'!N$29</f>
        <v>1048.8800000000001</v>
      </c>
      <c r="P6" s="119">
        <f>'2A2 Lime Production'!O$29</f>
        <v>993.86</v>
      </c>
      <c r="Q6" s="119">
        <f>'2A2 Lime Production'!P$29</f>
        <v>1180.96</v>
      </c>
      <c r="R6" s="119">
        <f>'2A2 Lime Production'!Q$29</f>
        <v>928.84</v>
      </c>
      <c r="S6" s="119">
        <f>'2A2 Lime Production'!R$29</f>
        <v>915.25</v>
      </c>
      <c r="T6" s="119">
        <f>'2A2 Lime Production'!S$29</f>
        <v>977.98145</v>
      </c>
      <c r="U6" s="119">
        <f>'2A2 Lime Production'!T$29</f>
        <v>859.78755999999998</v>
      </c>
      <c r="V6" s="119">
        <f>'2A2 Lime Production'!U$29</f>
        <v>1022.3607095203586</v>
      </c>
      <c r="W6" s="119">
        <f>'2A2 Lime Production'!V$29</f>
        <v>1045.2890791883435</v>
      </c>
      <c r="Z6" s="103">
        <f t="shared" si="1"/>
        <v>603.89792568834355</v>
      </c>
      <c r="AA6" s="103">
        <f t="shared" si="2"/>
        <v>1.3681695269598182</v>
      </c>
      <c r="AB6" s="103">
        <f t="shared" si="3"/>
        <v>185.50151918834354</v>
      </c>
      <c r="AC6" s="103">
        <f t="shared" si="4"/>
        <v>0.2157527368601885</v>
      </c>
    </row>
    <row r="7" spans="1:29" x14ac:dyDescent="0.25">
      <c r="A7" t="s">
        <v>742</v>
      </c>
      <c r="B7" t="s">
        <v>751</v>
      </c>
      <c r="C7" t="s">
        <v>752</v>
      </c>
      <c r="D7" t="s">
        <v>836</v>
      </c>
      <c r="E7" t="s">
        <v>745</v>
      </c>
      <c r="F7" s="119">
        <f>'2A3 Glass Production'!E$25</f>
        <v>74.359376980000008</v>
      </c>
      <c r="G7" s="119">
        <f>'2A3 Glass Production'!F$25</f>
        <v>84.385891200000003</v>
      </c>
      <c r="H7" s="119">
        <f>'2A3 Glass Production'!G$25</f>
        <v>88.345510721999986</v>
      </c>
      <c r="I7" s="119">
        <f>'2A3 Glass Production'!H$25</f>
        <v>91.329836783999994</v>
      </c>
      <c r="J7" s="119">
        <f>'2A3 Glass Production'!I$25</f>
        <v>95.892302104000024</v>
      </c>
      <c r="K7" s="119">
        <f>'2A3 Glass Production'!J$25</f>
        <v>102.36264598200002</v>
      </c>
      <c r="L7" s="119">
        <f>'2A3 Glass Production'!K$25</f>
        <v>101.7707585184</v>
      </c>
      <c r="M7" s="119">
        <f>'2A3 Glass Production'!L$25</f>
        <v>104.9875006852</v>
      </c>
      <c r="N7" s="119">
        <f>'2A3 Glass Production'!M$25</f>
        <v>117.37354955200001</v>
      </c>
      <c r="O7" s="119">
        <f>'2A3 Glass Production'!N$25</f>
        <v>109.76702042240001</v>
      </c>
      <c r="P7" s="119">
        <f>'2A3 Glass Production'!O$25</f>
        <v>103.88420578760002</v>
      </c>
      <c r="Q7" s="119">
        <f>'2A3 Glass Production'!P$25</f>
        <v>106.05452000000001</v>
      </c>
      <c r="R7" s="119">
        <f>'2A3 Glass Production'!Q$25</f>
        <v>113.90679884160002</v>
      </c>
      <c r="S7" s="119">
        <f>'2A3 Glass Production'!R$25</f>
        <v>113.90679884160002</v>
      </c>
      <c r="T7" s="119">
        <f>'2A3 Glass Production'!S$25</f>
        <v>113.90679884160002</v>
      </c>
      <c r="U7" s="119">
        <f>'2A3 Glass Production'!T$25</f>
        <v>113.90679884160002</v>
      </c>
      <c r="V7" s="119">
        <f>'2A3 Glass Production'!U$25</f>
        <v>119.21405462264002</v>
      </c>
      <c r="W7" s="119">
        <f>'2A3 Glass Production'!V$25</f>
        <v>120.89260493864002</v>
      </c>
      <c r="Z7" s="103">
        <f t="shared" si="1"/>
        <v>46.533227958640012</v>
      </c>
      <c r="AA7" s="103">
        <f t="shared" si="2"/>
        <v>0.62578829797290758</v>
      </c>
      <c r="AB7" s="103">
        <f t="shared" si="3"/>
        <v>6.9858060970399976</v>
      </c>
      <c r="AC7" s="103">
        <f t="shared" si="4"/>
        <v>6.1329140736845145E-2</v>
      </c>
    </row>
    <row r="8" spans="1:29" x14ac:dyDescent="0.25">
      <c r="A8" t="s">
        <v>742</v>
      </c>
      <c r="B8" t="s">
        <v>753</v>
      </c>
      <c r="C8" t="s">
        <v>754</v>
      </c>
      <c r="D8" t="s">
        <v>836</v>
      </c>
      <c r="E8" t="s">
        <v>745</v>
      </c>
      <c r="F8" s="119">
        <f>'2A4 OPUC'!E$32</f>
        <v>0</v>
      </c>
      <c r="G8" s="119">
        <f>'2A4 OPUC'!F$32</f>
        <v>0</v>
      </c>
      <c r="H8" s="119">
        <f>'2A4 OPUC'!G$32</f>
        <v>0</v>
      </c>
      <c r="I8" s="119">
        <f>'2A4 OPUC'!H$32</f>
        <v>0</v>
      </c>
      <c r="J8" s="119">
        <f>'2A4 OPUC'!I$32</f>
        <v>0</v>
      </c>
      <c r="K8" s="119">
        <f>'2A4 OPUC'!J$32</f>
        <v>0</v>
      </c>
      <c r="L8" s="119">
        <f>'2A4 OPUC'!K$32</f>
        <v>0</v>
      </c>
      <c r="M8" s="119">
        <f>'2A4 OPUC'!L$32</f>
        <v>0</v>
      </c>
      <c r="N8" s="119">
        <f>'2A4 OPUC'!M$32</f>
        <v>0</v>
      </c>
      <c r="O8" s="119">
        <f>'2A4 OPUC'!N$32</f>
        <v>0</v>
      </c>
      <c r="P8" s="119">
        <f>'2A4 OPUC'!O$32</f>
        <v>0</v>
      </c>
      <c r="Q8" s="119">
        <f>'2A4 OPUC'!P$32</f>
        <v>0</v>
      </c>
      <c r="R8" s="119">
        <f>'2A4 OPUC'!Q$32</f>
        <v>0</v>
      </c>
      <c r="S8" s="119">
        <f>'2A4 OPUC'!R$32</f>
        <v>0</v>
      </c>
      <c r="T8" s="119">
        <f>'2A4 OPUC'!S$32</f>
        <v>0</v>
      </c>
      <c r="U8" s="119">
        <f>'2A4 OPUC'!U$32</f>
        <v>0</v>
      </c>
      <c r="V8" s="119">
        <f>'2A4 OPUC'!V$32</f>
        <v>0</v>
      </c>
      <c r="W8" s="119">
        <f>'2A4 OPUC'!W$32</f>
        <v>0</v>
      </c>
      <c r="Z8" s="103"/>
      <c r="AA8" s="103"/>
      <c r="AB8" s="103"/>
      <c r="AC8" s="103"/>
    </row>
    <row r="9" spans="1:29" x14ac:dyDescent="0.25">
      <c r="A9" t="s">
        <v>742</v>
      </c>
      <c r="B9" t="s">
        <v>755</v>
      </c>
      <c r="C9" t="s">
        <v>756</v>
      </c>
      <c r="D9" t="s">
        <v>836</v>
      </c>
      <c r="E9" t="s">
        <v>745</v>
      </c>
      <c r="F9" s="119"/>
      <c r="G9" s="119"/>
      <c r="H9" s="119"/>
      <c r="I9" s="119"/>
      <c r="J9" s="119"/>
      <c r="K9" s="119"/>
      <c r="L9" s="119"/>
      <c r="M9" s="119"/>
      <c r="N9" s="119"/>
      <c r="O9" s="119"/>
      <c r="P9" s="119"/>
      <c r="Q9" s="119"/>
      <c r="R9" s="119"/>
      <c r="S9" s="119"/>
      <c r="T9" s="119"/>
      <c r="U9" s="119"/>
      <c r="V9" s="119"/>
      <c r="W9" s="119"/>
      <c r="Z9" s="103"/>
      <c r="AA9" s="103"/>
      <c r="AB9" s="103"/>
      <c r="AC9" s="103"/>
    </row>
    <row r="11" spans="1:29" s="6" customFormat="1" ht="21" x14ac:dyDescent="0.35">
      <c r="A11" s="6" t="s">
        <v>346</v>
      </c>
      <c r="C11" s="32" t="s">
        <v>843</v>
      </c>
    </row>
    <row r="13" spans="1:29" s="22" customFormat="1" x14ac:dyDescent="0.25">
      <c r="A13" s="123" t="s">
        <v>844</v>
      </c>
    </row>
    <row r="14" spans="1:29" s="7" customFormat="1" x14ac:dyDescent="0.25">
      <c r="A14" s="110" t="s">
        <v>736</v>
      </c>
      <c r="B14" s="110" t="s">
        <v>737</v>
      </c>
      <c r="C14" s="110" t="s">
        <v>738</v>
      </c>
      <c r="D14" s="110" t="s">
        <v>739</v>
      </c>
      <c r="E14" s="110" t="s">
        <v>740</v>
      </c>
      <c r="F14" s="110">
        <v>2000</v>
      </c>
      <c r="G14" s="110">
        <v>2001</v>
      </c>
      <c r="H14" s="110">
        <v>2002</v>
      </c>
      <c r="I14" s="110">
        <v>2003</v>
      </c>
      <c r="J14" s="110">
        <v>2004</v>
      </c>
      <c r="K14" s="110">
        <v>2005</v>
      </c>
      <c r="L14" s="110">
        <v>2006</v>
      </c>
      <c r="M14" s="110">
        <v>2007</v>
      </c>
      <c r="N14" s="110">
        <v>2008</v>
      </c>
      <c r="O14" s="110">
        <v>2009</v>
      </c>
      <c r="P14" s="110">
        <v>2010</v>
      </c>
      <c r="Q14" s="110">
        <v>2011</v>
      </c>
      <c r="R14" s="110">
        <v>2012</v>
      </c>
      <c r="S14" s="110">
        <v>2013</v>
      </c>
      <c r="T14" s="110">
        <v>2014</v>
      </c>
      <c r="U14" s="110">
        <v>2015</v>
      </c>
      <c r="V14" s="110"/>
      <c r="W14" s="110"/>
      <c r="X14" s="10" t="s">
        <v>741</v>
      </c>
    </row>
    <row r="15" spans="1:29" s="7" customFormat="1" x14ac:dyDescent="0.25">
      <c r="A15" s="110" t="s">
        <v>742</v>
      </c>
      <c r="B15" s="110" t="s">
        <v>746</v>
      </c>
      <c r="C15" s="110" t="s">
        <v>853</v>
      </c>
      <c r="D15" s="110" t="s">
        <v>836</v>
      </c>
      <c r="E15" s="110" t="s">
        <v>745</v>
      </c>
      <c r="F15" s="29">
        <v>4386.3393304800002</v>
      </c>
      <c r="G15" s="29">
        <v>4303.6742912</v>
      </c>
      <c r="H15" s="29">
        <v>4824.2529307219993</v>
      </c>
      <c r="I15" s="29">
        <v>5095.6491567840003</v>
      </c>
      <c r="J15" s="29">
        <v>4993.2960821039997</v>
      </c>
      <c r="K15" s="29">
        <v>5736.1220459819997</v>
      </c>
      <c r="L15" s="29">
        <v>6131.7649185184</v>
      </c>
      <c r="M15" s="29">
        <v>6063.9731606852001</v>
      </c>
      <c r="N15" s="29">
        <v>6320.6815495520004</v>
      </c>
      <c r="O15" s="29">
        <v>6590.7750204223994</v>
      </c>
      <c r="P15" s="29">
        <v>5916.6986057876002</v>
      </c>
      <c r="Q15" s="29">
        <v>5719.84292</v>
      </c>
      <c r="R15" s="29">
        <v>5457.2451988416005</v>
      </c>
      <c r="S15" s="29">
        <v>5688.3723988416004</v>
      </c>
      <c r="T15" s="29">
        <v>5770.0734488416001</v>
      </c>
      <c r="U15" s="29">
        <v>6178.5199588415999</v>
      </c>
      <c r="V15" s="29"/>
      <c r="W15" s="29"/>
      <c r="X15"/>
    </row>
    <row r="16" spans="1:29" x14ac:dyDescent="0.25">
      <c r="A16" s="30" t="s">
        <v>742</v>
      </c>
      <c r="B16" s="30" t="s">
        <v>747</v>
      </c>
      <c r="C16" s="30" t="s">
        <v>748</v>
      </c>
      <c r="D16" s="30" t="s">
        <v>836</v>
      </c>
      <c r="E16" s="30" t="s">
        <v>745</v>
      </c>
      <c r="F16" s="29">
        <v>3870.5888000000004</v>
      </c>
      <c r="G16" s="29">
        <v>3783</v>
      </c>
      <c r="H16" s="29">
        <v>4258.3527999999997</v>
      </c>
      <c r="I16" s="29">
        <v>4514.5828000000001</v>
      </c>
      <c r="J16" s="29">
        <v>4390.0739999999996</v>
      </c>
      <c r="K16" s="29">
        <v>5061.5136000000002</v>
      </c>
      <c r="L16" s="29">
        <v>5399.81</v>
      </c>
      <c r="M16" s="29">
        <v>5407.6724000000004</v>
      </c>
      <c r="N16" s="29">
        <v>4988.5680000000002</v>
      </c>
      <c r="O16" s="29">
        <v>5432.1279999999997</v>
      </c>
      <c r="P16" s="29">
        <v>4818.9544000000005</v>
      </c>
      <c r="Q16" s="29">
        <v>4432.8284000000003</v>
      </c>
      <c r="R16" s="29">
        <v>4414.4984000000004</v>
      </c>
      <c r="S16" s="29">
        <v>4659.2156000000004</v>
      </c>
      <c r="T16" s="29">
        <v>4678.1851999999999</v>
      </c>
      <c r="U16" s="29">
        <v>5204.8256000000001</v>
      </c>
      <c r="V16" s="29"/>
      <c r="W16" s="29"/>
    </row>
    <row r="17" spans="1:23" x14ac:dyDescent="0.25">
      <c r="A17" s="30" t="s">
        <v>742</v>
      </c>
      <c r="B17" s="30" t="s">
        <v>749</v>
      </c>
      <c r="C17" s="30" t="s">
        <v>750</v>
      </c>
      <c r="D17" s="30" t="s">
        <v>836</v>
      </c>
      <c r="E17" s="30" t="s">
        <v>745</v>
      </c>
      <c r="F17" s="29">
        <v>441.39115350000003</v>
      </c>
      <c r="G17" s="29">
        <v>436.28840000000002</v>
      </c>
      <c r="H17" s="29">
        <v>477.55462</v>
      </c>
      <c r="I17" s="29">
        <v>489.73651999999998</v>
      </c>
      <c r="J17" s="29">
        <v>507.32977999999997</v>
      </c>
      <c r="K17" s="29">
        <v>572.24579999999992</v>
      </c>
      <c r="L17" s="29">
        <v>630.18416000000002</v>
      </c>
      <c r="M17" s="29">
        <v>551.31326000000001</v>
      </c>
      <c r="N17" s="29">
        <v>1214.74</v>
      </c>
      <c r="O17" s="29">
        <v>1048.8800000000001</v>
      </c>
      <c r="P17" s="29">
        <v>993.86</v>
      </c>
      <c r="Q17" s="29">
        <v>1180.96</v>
      </c>
      <c r="R17" s="29">
        <v>928.84</v>
      </c>
      <c r="S17" s="29">
        <v>915.25</v>
      </c>
      <c r="T17" s="29">
        <v>977.98145</v>
      </c>
      <c r="U17" s="29">
        <v>859.78755999999998</v>
      </c>
      <c r="V17" s="29"/>
      <c r="W17" s="29"/>
    </row>
    <row r="18" spans="1:23" x14ac:dyDescent="0.25">
      <c r="A18" s="30" t="s">
        <v>742</v>
      </c>
      <c r="B18" s="30" t="s">
        <v>751</v>
      </c>
      <c r="C18" s="30" t="s">
        <v>752</v>
      </c>
      <c r="D18" s="30" t="s">
        <v>836</v>
      </c>
      <c r="E18" s="30" t="s">
        <v>745</v>
      </c>
      <c r="F18" s="29">
        <v>74.359376980000008</v>
      </c>
      <c r="G18" s="29">
        <v>84.385891200000003</v>
      </c>
      <c r="H18" s="29">
        <v>88.345510721999986</v>
      </c>
      <c r="I18" s="29">
        <v>91.329836783999994</v>
      </c>
      <c r="J18" s="29">
        <v>95.892302104000024</v>
      </c>
      <c r="K18" s="29">
        <v>102.36264598200002</v>
      </c>
      <c r="L18" s="29">
        <v>101.7707585184</v>
      </c>
      <c r="M18" s="29">
        <v>104.9875006852</v>
      </c>
      <c r="N18" s="29">
        <v>117.37354955200001</v>
      </c>
      <c r="O18" s="29">
        <v>109.76702042240001</v>
      </c>
      <c r="P18" s="29">
        <v>103.88420578760002</v>
      </c>
      <c r="Q18" s="29">
        <v>106.05452000000001</v>
      </c>
      <c r="R18" s="29">
        <v>113.90679884160002</v>
      </c>
      <c r="S18" s="29">
        <v>113.90679884160002</v>
      </c>
      <c r="T18" s="29">
        <v>113.90679884160002</v>
      </c>
      <c r="U18" s="29">
        <v>113.90679884160002</v>
      </c>
      <c r="V18" s="29"/>
      <c r="W18" s="29"/>
    </row>
    <row r="19" spans="1:23" x14ac:dyDescent="0.25">
      <c r="A19" s="30" t="s">
        <v>742</v>
      </c>
      <c r="B19" s="30" t="s">
        <v>753</v>
      </c>
      <c r="C19" s="30" t="s">
        <v>754</v>
      </c>
      <c r="D19" s="30" t="s">
        <v>836</v>
      </c>
      <c r="E19" s="30" t="s">
        <v>745</v>
      </c>
      <c r="F19" s="29">
        <v>0</v>
      </c>
      <c r="G19" s="29">
        <v>0</v>
      </c>
      <c r="H19" s="29">
        <v>0</v>
      </c>
      <c r="I19" s="29">
        <v>0</v>
      </c>
      <c r="J19" s="29">
        <v>0</v>
      </c>
      <c r="K19" s="29">
        <v>0</v>
      </c>
      <c r="L19" s="29">
        <v>0</v>
      </c>
      <c r="M19" s="29">
        <v>0</v>
      </c>
      <c r="N19" s="29">
        <v>0</v>
      </c>
      <c r="O19" s="29">
        <v>0</v>
      </c>
      <c r="P19" s="29">
        <v>0</v>
      </c>
      <c r="Q19" s="29">
        <v>0</v>
      </c>
      <c r="R19" s="29">
        <v>0</v>
      </c>
      <c r="S19" s="29">
        <v>0</v>
      </c>
      <c r="T19" s="29">
        <v>0</v>
      </c>
      <c r="U19" s="29">
        <v>0</v>
      </c>
      <c r="V19" s="29"/>
      <c r="W19" s="29"/>
    </row>
    <row r="20" spans="1:23" x14ac:dyDescent="0.25">
      <c r="A20" s="30" t="s">
        <v>742</v>
      </c>
      <c r="B20" s="30" t="s">
        <v>755</v>
      </c>
      <c r="C20" s="30" t="s">
        <v>756</v>
      </c>
      <c r="D20" s="30" t="s">
        <v>836</v>
      </c>
      <c r="E20" s="30" t="s">
        <v>745</v>
      </c>
      <c r="F20" s="29"/>
      <c r="G20" s="29"/>
      <c r="H20" s="29"/>
      <c r="I20" s="29"/>
      <c r="J20" s="29"/>
      <c r="K20" s="29"/>
      <c r="L20" s="29"/>
      <c r="M20" s="29"/>
      <c r="N20" s="29"/>
      <c r="O20" s="29"/>
      <c r="P20" s="29"/>
      <c r="Q20" s="29"/>
      <c r="R20" s="29"/>
      <c r="S20" s="29"/>
      <c r="T20" s="29"/>
      <c r="U20" s="29"/>
      <c r="V20" s="29"/>
      <c r="W20" s="29"/>
    </row>
    <row r="22" spans="1:23" s="23" customFormat="1" x14ac:dyDescent="0.25"/>
    <row r="23" spans="1:23" s="22" customFormat="1" x14ac:dyDescent="0.25">
      <c r="A23" s="123" t="s">
        <v>854</v>
      </c>
      <c r="D23" s="8" t="s">
        <v>852</v>
      </c>
    </row>
    <row r="24" spans="1:23" s="7" customFormat="1" x14ac:dyDescent="0.25">
      <c r="A24" s="110" t="s">
        <v>736</v>
      </c>
      <c r="B24" s="110" t="s">
        <v>737</v>
      </c>
      <c r="C24" s="110" t="s">
        <v>738</v>
      </c>
      <c r="D24" s="110" t="s">
        <v>739</v>
      </c>
      <c r="E24" s="110" t="s">
        <v>740</v>
      </c>
      <c r="F24" s="110">
        <v>2000</v>
      </c>
      <c r="G24" s="110">
        <v>2001</v>
      </c>
      <c r="H24" s="110">
        <v>2002</v>
      </c>
      <c r="I24" s="110">
        <v>2003</v>
      </c>
      <c r="J24" s="110">
        <v>2004</v>
      </c>
      <c r="K24" s="110">
        <v>2005</v>
      </c>
      <c r="L24" s="110">
        <v>2006</v>
      </c>
      <c r="M24" s="110">
        <v>2007</v>
      </c>
      <c r="N24" s="110">
        <v>2008</v>
      </c>
      <c r="O24" s="110">
        <v>2009</v>
      </c>
      <c r="P24" s="110">
        <v>2010</v>
      </c>
      <c r="Q24" s="110">
        <v>2011</v>
      </c>
      <c r="R24" s="110">
        <v>2012</v>
      </c>
      <c r="S24" s="110">
        <v>2013</v>
      </c>
      <c r="T24" s="110">
        <v>2014</v>
      </c>
      <c r="U24" s="110">
        <v>2015</v>
      </c>
      <c r="V24" s="110"/>
      <c r="W24" s="110"/>
    </row>
    <row r="25" spans="1:23" x14ac:dyDescent="0.25">
      <c r="A25" s="30" t="s">
        <v>742</v>
      </c>
      <c r="B25" s="30" t="s">
        <v>747</v>
      </c>
      <c r="C25" s="30" t="s">
        <v>748</v>
      </c>
      <c r="D25" s="30" t="s">
        <v>836</v>
      </c>
      <c r="E25" s="30" t="s">
        <v>745</v>
      </c>
      <c r="F25" s="66">
        <f t="shared" ref="F25:T25" si="5">IFERROR(((F5/F16)-1),"CHECK")</f>
        <v>0</v>
      </c>
      <c r="G25" s="66">
        <f t="shared" si="5"/>
        <v>0</v>
      </c>
      <c r="H25" s="66">
        <f t="shared" si="5"/>
        <v>0</v>
      </c>
      <c r="I25" s="66">
        <f t="shared" si="5"/>
        <v>0</v>
      </c>
      <c r="J25" s="66">
        <f t="shared" si="5"/>
        <v>0</v>
      </c>
      <c r="K25" s="66">
        <f t="shared" si="5"/>
        <v>0</v>
      </c>
      <c r="L25" s="66">
        <f t="shared" si="5"/>
        <v>0</v>
      </c>
      <c r="M25" s="66">
        <f t="shared" si="5"/>
        <v>0</v>
      </c>
      <c r="N25" s="66">
        <f t="shared" si="5"/>
        <v>0</v>
      </c>
      <c r="O25" s="66">
        <f t="shared" si="5"/>
        <v>0</v>
      </c>
      <c r="P25" s="66">
        <f t="shared" si="5"/>
        <v>0</v>
      </c>
      <c r="Q25" s="66">
        <f t="shared" si="5"/>
        <v>0</v>
      </c>
      <c r="R25" s="66">
        <f t="shared" si="5"/>
        <v>0</v>
      </c>
      <c r="S25" s="66">
        <f t="shared" si="5"/>
        <v>0</v>
      </c>
      <c r="T25" s="66">
        <f t="shared" si="5"/>
        <v>0</v>
      </c>
      <c r="U25" s="66">
        <f>IFERROR(((U5/U16)-1),"CHECK")</f>
        <v>0</v>
      </c>
      <c r="V25" s="66"/>
      <c r="W25" s="66"/>
    </row>
    <row r="26" spans="1:23" x14ac:dyDescent="0.25">
      <c r="A26" s="30" t="s">
        <v>742</v>
      </c>
      <c r="B26" s="30" t="s">
        <v>749</v>
      </c>
      <c r="C26" s="30" t="s">
        <v>750</v>
      </c>
      <c r="D26" s="30" t="s">
        <v>836</v>
      </c>
      <c r="E26" s="30" t="s">
        <v>745</v>
      </c>
      <c r="F26" s="66">
        <f t="shared" ref="F26:T26" si="6">IFERROR(((F6/F17)-1),"CHECK")</f>
        <v>0</v>
      </c>
      <c r="G26" s="66">
        <f t="shared" si="6"/>
        <v>0</v>
      </c>
      <c r="H26" s="66">
        <f t="shared" si="6"/>
        <v>0</v>
      </c>
      <c r="I26" s="66">
        <f t="shared" si="6"/>
        <v>0</v>
      </c>
      <c r="J26" s="66">
        <f t="shared" si="6"/>
        <v>0</v>
      </c>
      <c r="K26" s="66">
        <f t="shared" si="6"/>
        <v>0</v>
      </c>
      <c r="L26" s="66">
        <f t="shared" si="6"/>
        <v>0</v>
      </c>
      <c r="M26" s="66">
        <f t="shared" si="6"/>
        <v>0</v>
      </c>
      <c r="N26" s="66">
        <f t="shared" si="6"/>
        <v>0</v>
      </c>
      <c r="O26" s="66">
        <f t="shared" si="6"/>
        <v>0</v>
      </c>
      <c r="P26" s="66">
        <f t="shared" si="6"/>
        <v>0</v>
      </c>
      <c r="Q26" s="66">
        <f t="shared" si="6"/>
        <v>0</v>
      </c>
      <c r="R26" s="66">
        <f t="shared" si="6"/>
        <v>0</v>
      </c>
      <c r="S26" s="66">
        <f t="shared" si="6"/>
        <v>0</v>
      </c>
      <c r="T26" s="66">
        <f t="shared" si="6"/>
        <v>0</v>
      </c>
      <c r="U26" s="66">
        <f>IFERROR(((U6/U17)-1),"CHECK")</f>
        <v>0</v>
      </c>
      <c r="V26" s="66"/>
      <c r="W26" s="66"/>
    </row>
    <row r="27" spans="1:23" x14ac:dyDescent="0.25">
      <c r="A27" s="30" t="s">
        <v>742</v>
      </c>
      <c r="B27" s="30" t="s">
        <v>751</v>
      </c>
      <c r="C27" s="30" t="s">
        <v>752</v>
      </c>
      <c r="D27" s="30" t="s">
        <v>836</v>
      </c>
      <c r="E27" s="30" t="s">
        <v>745</v>
      </c>
      <c r="F27" s="66">
        <f t="shared" ref="F27:T27" si="7">IFERROR(((F7/F18)-1),"CHECK")</f>
        <v>0</v>
      </c>
      <c r="G27" s="66">
        <f t="shared" si="7"/>
        <v>0</v>
      </c>
      <c r="H27" s="66">
        <f t="shared" si="7"/>
        <v>0</v>
      </c>
      <c r="I27" s="66">
        <f t="shared" si="7"/>
        <v>0</v>
      </c>
      <c r="J27" s="66">
        <f t="shared" si="7"/>
        <v>0</v>
      </c>
      <c r="K27" s="66">
        <f t="shared" si="7"/>
        <v>0</v>
      </c>
      <c r="L27" s="66">
        <f t="shared" si="7"/>
        <v>0</v>
      </c>
      <c r="M27" s="66">
        <f t="shared" si="7"/>
        <v>0</v>
      </c>
      <c r="N27" s="66">
        <f t="shared" si="7"/>
        <v>0</v>
      </c>
      <c r="O27" s="66">
        <f t="shared" si="7"/>
        <v>0</v>
      </c>
      <c r="P27" s="66">
        <f t="shared" si="7"/>
        <v>0</v>
      </c>
      <c r="Q27" s="66">
        <f t="shared" si="7"/>
        <v>0</v>
      </c>
      <c r="R27" s="66">
        <f t="shared" si="7"/>
        <v>0</v>
      </c>
      <c r="S27" s="66">
        <f t="shared" si="7"/>
        <v>0</v>
      </c>
      <c r="T27" s="66">
        <f t="shared" si="7"/>
        <v>0</v>
      </c>
      <c r="U27" s="66">
        <f>IFERROR(((U7/U18)-1),"CHECK")</f>
        <v>0</v>
      </c>
      <c r="V27" s="66"/>
      <c r="W27" s="66"/>
    </row>
    <row r="28" spans="1:23" x14ac:dyDescent="0.25">
      <c r="A28" s="30" t="s">
        <v>742</v>
      </c>
      <c r="B28" s="30" t="s">
        <v>753</v>
      </c>
      <c r="C28" s="30" t="s">
        <v>754</v>
      </c>
      <c r="D28" s="30" t="s">
        <v>836</v>
      </c>
      <c r="E28" s="30" t="s">
        <v>745</v>
      </c>
      <c r="F28" s="66" t="str">
        <f t="shared" ref="F28:T28" si="8">IFERROR(((F8/F19)-1),"CHECK")</f>
        <v>CHECK</v>
      </c>
      <c r="G28" s="66" t="str">
        <f t="shared" si="8"/>
        <v>CHECK</v>
      </c>
      <c r="H28" s="66" t="str">
        <f t="shared" si="8"/>
        <v>CHECK</v>
      </c>
      <c r="I28" s="66" t="str">
        <f t="shared" si="8"/>
        <v>CHECK</v>
      </c>
      <c r="J28" s="66" t="str">
        <f t="shared" si="8"/>
        <v>CHECK</v>
      </c>
      <c r="K28" s="66" t="str">
        <f t="shared" si="8"/>
        <v>CHECK</v>
      </c>
      <c r="L28" s="66" t="str">
        <f t="shared" si="8"/>
        <v>CHECK</v>
      </c>
      <c r="M28" s="66" t="str">
        <f t="shared" si="8"/>
        <v>CHECK</v>
      </c>
      <c r="N28" s="66" t="str">
        <f t="shared" si="8"/>
        <v>CHECK</v>
      </c>
      <c r="O28" s="66" t="str">
        <f t="shared" si="8"/>
        <v>CHECK</v>
      </c>
      <c r="P28" s="66" t="str">
        <f t="shared" si="8"/>
        <v>CHECK</v>
      </c>
      <c r="Q28" s="66" t="str">
        <f t="shared" si="8"/>
        <v>CHECK</v>
      </c>
      <c r="R28" s="66" t="str">
        <f t="shared" si="8"/>
        <v>CHECK</v>
      </c>
      <c r="S28" s="66" t="str">
        <f t="shared" si="8"/>
        <v>CHECK</v>
      </c>
      <c r="T28" s="66" t="str">
        <f t="shared" si="8"/>
        <v>CHECK</v>
      </c>
      <c r="U28" s="66" t="str">
        <f>IFERROR(((U8/U19)-1),"CHECK")</f>
        <v>CHECK</v>
      </c>
      <c r="V28" s="66"/>
      <c r="W28" s="66"/>
    </row>
    <row r="29" spans="1:23" x14ac:dyDescent="0.25">
      <c r="A29" s="30" t="s">
        <v>742</v>
      </c>
      <c r="B29" s="30" t="s">
        <v>755</v>
      </c>
      <c r="C29" s="30" t="s">
        <v>756</v>
      </c>
      <c r="D29" s="30" t="s">
        <v>836</v>
      </c>
      <c r="E29" s="30" t="s">
        <v>745</v>
      </c>
      <c r="F29" s="66" t="str">
        <f t="shared" ref="F29:T29" si="9">IFERROR(((F9/F20)-1),"CHECK")</f>
        <v>CHECK</v>
      </c>
      <c r="G29" s="66" t="str">
        <f t="shared" si="9"/>
        <v>CHECK</v>
      </c>
      <c r="H29" s="66" t="str">
        <f t="shared" si="9"/>
        <v>CHECK</v>
      </c>
      <c r="I29" s="66" t="str">
        <f t="shared" si="9"/>
        <v>CHECK</v>
      </c>
      <c r="J29" s="66" t="str">
        <f t="shared" si="9"/>
        <v>CHECK</v>
      </c>
      <c r="K29" s="66" t="str">
        <f t="shared" si="9"/>
        <v>CHECK</v>
      </c>
      <c r="L29" s="66" t="str">
        <f t="shared" si="9"/>
        <v>CHECK</v>
      </c>
      <c r="M29" s="66" t="str">
        <f t="shared" si="9"/>
        <v>CHECK</v>
      </c>
      <c r="N29" s="66" t="str">
        <f t="shared" si="9"/>
        <v>CHECK</v>
      </c>
      <c r="O29" s="66" t="str">
        <f t="shared" si="9"/>
        <v>CHECK</v>
      </c>
      <c r="P29" s="66" t="str">
        <f t="shared" si="9"/>
        <v>CHECK</v>
      </c>
      <c r="Q29" s="66" t="str">
        <f t="shared" si="9"/>
        <v>CHECK</v>
      </c>
      <c r="R29" s="66" t="str">
        <f t="shared" si="9"/>
        <v>CHECK</v>
      </c>
      <c r="S29" s="66" t="str">
        <f t="shared" si="9"/>
        <v>CHECK</v>
      </c>
      <c r="T29" s="66" t="str">
        <f t="shared" si="9"/>
        <v>CHECK</v>
      </c>
      <c r="U29" s="66" t="str">
        <f>IFERROR(((U9/U20)-1),"CHECK")</f>
        <v>CHECK</v>
      </c>
      <c r="V29" s="66"/>
      <c r="W29" s="66"/>
    </row>
  </sheetData>
  <conditionalFormatting sqref="F25:W29">
    <cfRule type="colorScale" priority="10">
      <colorScale>
        <cfvo type="min"/>
        <cfvo type="num" val="0"/>
        <cfvo type="max"/>
        <color theme="3" tint="0.79998168889431442"/>
        <color theme="0"/>
        <color rgb="FFEE9CA4"/>
      </colorScale>
    </cfRule>
    <cfRule type="colorScale" priority="1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0D00-00000B000000}">
          <x14:colorSeries rgb="FF376092"/>
          <x14:colorNegative rgb="FFD00000"/>
          <x14:colorAxis rgb="FF000000"/>
          <x14:colorMarkers rgb="FFD00000"/>
          <x14:colorFirst rgb="FFD00000"/>
          <x14:colorLast rgb="FFD00000"/>
          <x14:colorHigh rgb="FFD00000"/>
          <x14:colorLow rgb="FFD00000"/>
          <x14:sparklines>
            <x14:sparkline>
              <xm:f>'2A Summary'!F15:W15</xm:f>
              <xm:sqref>X15</xm:sqref>
            </x14:sparkline>
            <x14:sparkline>
              <xm:f>'2A Summary'!F16:W16</xm:f>
              <xm:sqref>X16</xm:sqref>
            </x14:sparkline>
            <x14:sparkline>
              <xm:f>'2A Summary'!F17:W17</xm:f>
              <xm:sqref>X17</xm:sqref>
            </x14:sparkline>
            <x14:sparkline>
              <xm:f>'2A Summary'!F18:W18</xm:f>
              <xm:sqref>X18</xm:sqref>
            </x14:sparkline>
            <x14:sparkline>
              <xm:f>'2A Summary'!F19:W19</xm:f>
              <xm:sqref>X19</xm:sqref>
            </x14:sparkline>
            <x14:sparkline>
              <xm:f>'2A Summary'!F20:W20</xm:f>
              <xm:sqref>X20</xm:sqref>
            </x14:sparkline>
          </x14:sparklines>
        </x14:sparklineGroup>
        <x14:sparklineGroup manualMax="0" manualMin="0" displayEmptyCellsAs="gap" xr2:uid="{00000000-0003-0000-0D00-00000A000000}">
          <x14:colorSeries rgb="FF376092"/>
          <x14:colorNegative rgb="FFD00000"/>
          <x14:colorAxis rgb="FF000000"/>
          <x14:colorMarkers rgb="FFD00000"/>
          <x14:colorFirst rgb="FFD00000"/>
          <x14:colorLast rgb="FFD00000"/>
          <x14:colorHigh rgb="FFD00000"/>
          <x14:colorLow rgb="FFD00000"/>
          <x14:sparklines>
            <x14:sparkline>
              <xm:f>'2A Summary'!F4:W4</xm:f>
              <xm:sqref>X4</xm:sqref>
            </x14:sparkline>
            <x14:sparkline>
              <xm:f>'2A Summary'!F5:W5</xm:f>
              <xm:sqref>X5</xm:sqref>
            </x14:sparkline>
            <x14:sparkline>
              <xm:f>'2A Summary'!F6:W6</xm:f>
              <xm:sqref>X6</xm:sqref>
            </x14:sparkline>
            <x14:sparkline>
              <xm:f>'2A Summary'!F7:W7</xm:f>
              <xm:sqref>X7</xm:sqref>
            </x14:sparkline>
            <x14:sparkline>
              <xm:f>'2A Summary'!F8:W8</xm:f>
              <xm:sqref>X8</xm:sqref>
            </x14:sparkline>
            <x14:sparkline>
              <xm:f>'2A Summary'!F9:W9</xm:f>
              <xm:sqref>X9</xm:sqref>
            </x14:sparkline>
          </x14:sparklines>
        </x14:sparklineGroup>
      </x14:sparklineGroup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theme="3" tint="0.79998168889431442"/>
  </sheetPr>
  <dimension ref="A1:Y109"/>
  <sheetViews>
    <sheetView topLeftCell="A11" workbookViewId="0">
      <selection activeCell="E29" sqref="E29"/>
    </sheetView>
  </sheetViews>
  <sheetFormatPr defaultRowHeight="15" x14ac:dyDescent="0.25"/>
  <cols>
    <col min="1" max="1" width="24.85546875" bestFit="1" customWidth="1"/>
    <col min="2" max="2" width="53.5703125" customWidth="1"/>
    <col min="3" max="32" width="10.42578125" customWidth="1"/>
    <col min="33" max="93" width="53.7109375" bestFit="1" customWidth="1"/>
    <col min="94" max="108" width="16.5703125" bestFit="1" customWidth="1"/>
  </cols>
  <sheetData>
    <row r="1" spans="1:25" x14ac:dyDescent="0.25">
      <c r="A1" s="15" t="s">
        <v>855</v>
      </c>
      <c r="B1" s="4" t="str">
        <f ca="1">MID(CELL("filename",A1),FIND("]",CELL("filename",A1))+1,256)</f>
        <v>2A1 Cement Production</v>
      </c>
      <c r="C1" s="261" t="s">
        <v>856</v>
      </c>
      <c r="D1" s="262"/>
      <c r="E1" s="262"/>
      <c r="F1" s="262"/>
      <c r="G1" s="262"/>
      <c r="H1" s="262"/>
      <c r="I1" s="262"/>
      <c r="J1" s="263"/>
      <c r="K1" s="14"/>
    </row>
    <row r="2" spans="1:25" x14ac:dyDescent="0.25">
      <c r="A2" s="15" t="s">
        <v>736</v>
      </c>
      <c r="B2" s="33" t="s">
        <v>857</v>
      </c>
      <c r="C2" s="37"/>
      <c r="D2" s="36"/>
      <c r="E2" s="17"/>
      <c r="F2" s="17"/>
      <c r="G2" s="17"/>
      <c r="H2" s="17"/>
      <c r="I2" s="17"/>
      <c r="J2" s="18"/>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863</v>
      </c>
      <c r="C7" s="16"/>
      <c r="D7" s="17"/>
      <c r="E7" s="17"/>
      <c r="F7" s="17"/>
      <c r="G7" s="17"/>
      <c r="H7" s="17"/>
      <c r="I7" s="17"/>
      <c r="J7" s="18"/>
    </row>
    <row r="8" spans="1:25" x14ac:dyDescent="0.25">
      <c r="A8" s="15" t="s">
        <v>199</v>
      </c>
      <c r="B8" s="31"/>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c r="X13" s="14"/>
    </row>
    <row r="14" spans="1:25" x14ac:dyDescent="0.25">
      <c r="A14" t="s">
        <v>29</v>
      </c>
      <c r="B14" t="s">
        <v>869</v>
      </c>
      <c r="C14" t="s">
        <v>836</v>
      </c>
      <c r="D14" t="s">
        <v>870</v>
      </c>
      <c r="E14" s="114">
        <v>9794000</v>
      </c>
      <c r="F14" s="114">
        <v>9700000</v>
      </c>
      <c r="G14" s="114">
        <v>11218000</v>
      </c>
      <c r="H14" s="114">
        <v>11893000</v>
      </c>
      <c r="I14" s="114">
        <v>11565000</v>
      </c>
      <c r="J14" s="114">
        <v>13519000</v>
      </c>
      <c r="K14" s="114">
        <v>14225000</v>
      </c>
      <c r="L14" s="114">
        <v>14647000</v>
      </c>
      <c r="M14" s="114">
        <v>14252000</v>
      </c>
      <c r="N14" s="114">
        <v>14860000</v>
      </c>
      <c r="O14" s="114">
        <v>13458000</v>
      </c>
      <c r="P14" s="114">
        <v>12373000</v>
      </c>
      <c r="Q14" s="114">
        <v>12358000</v>
      </c>
      <c r="R14" s="114">
        <v>13037000</v>
      </c>
      <c r="S14" s="114">
        <v>13099000</v>
      </c>
      <c r="T14" s="114">
        <v>14522000</v>
      </c>
      <c r="U14" s="114">
        <f>10^7*17^0.1347</f>
        <v>14646756.775435112</v>
      </c>
      <c r="V14" s="114">
        <f>10^7*18^0.1347</f>
        <v>14759960.880300349</v>
      </c>
      <c r="Y14" t="s">
        <v>34</v>
      </c>
    </row>
    <row r="15" spans="1:25" x14ac:dyDescent="0.25">
      <c r="A15" t="s">
        <v>29</v>
      </c>
      <c r="B15" t="s">
        <v>871</v>
      </c>
      <c r="C15" t="s">
        <v>836</v>
      </c>
      <c r="D15" t="s">
        <v>872</v>
      </c>
      <c r="E15" s="114">
        <v>0.76</v>
      </c>
      <c r="F15" s="114">
        <v>0.75</v>
      </c>
      <c r="G15" s="114">
        <v>0.73</v>
      </c>
      <c r="H15" s="114">
        <v>0.73</v>
      </c>
      <c r="I15" s="114">
        <v>0.73</v>
      </c>
      <c r="J15" s="114">
        <v>0.72</v>
      </c>
      <c r="K15" s="114">
        <v>0.73</v>
      </c>
      <c r="L15" s="114">
        <v>0.71</v>
      </c>
      <c r="M15" s="114">
        <v>0.7</v>
      </c>
      <c r="N15" s="114">
        <v>0.71</v>
      </c>
      <c r="O15" s="114">
        <v>0.69</v>
      </c>
      <c r="P15" s="114">
        <v>0.69</v>
      </c>
      <c r="Q15" s="114">
        <v>0.69</v>
      </c>
      <c r="R15" s="131">
        <v>0.69</v>
      </c>
      <c r="S15" s="131">
        <v>0.69</v>
      </c>
      <c r="T15" s="131">
        <v>0.69</v>
      </c>
      <c r="U15" s="131">
        <v>0.69</v>
      </c>
      <c r="V15" s="131">
        <v>0.69</v>
      </c>
      <c r="Y15" t="s">
        <v>37</v>
      </c>
    </row>
    <row r="16" spans="1:25" x14ac:dyDescent="0.25">
      <c r="A16" t="s">
        <v>29</v>
      </c>
      <c r="B16" t="s">
        <v>873</v>
      </c>
      <c r="C16" t="s">
        <v>836</v>
      </c>
      <c r="D16" t="s">
        <v>870</v>
      </c>
      <c r="E16" s="117">
        <f t="shared" ref="E16:V16" si="0">E14*E15</f>
        <v>7443440</v>
      </c>
      <c r="F16" s="117">
        <f t="shared" si="0"/>
        <v>7275000</v>
      </c>
      <c r="G16" s="117">
        <f t="shared" si="0"/>
        <v>8189140</v>
      </c>
      <c r="H16" s="117">
        <f t="shared" si="0"/>
        <v>8681890</v>
      </c>
      <c r="I16" s="117">
        <f t="shared" si="0"/>
        <v>8442450</v>
      </c>
      <c r="J16" s="117">
        <f t="shared" si="0"/>
        <v>9733680</v>
      </c>
      <c r="K16" s="117">
        <f t="shared" si="0"/>
        <v>10384250</v>
      </c>
      <c r="L16" s="117">
        <f t="shared" si="0"/>
        <v>10399370</v>
      </c>
      <c r="M16" s="117">
        <f t="shared" si="0"/>
        <v>9976400</v>
      </c>
      <c r="N16" s="117">
        <f t="shared" si="0"/>
        <v>10550600</v>
      </c>
      <c r="O16" s="117">
        <f t="shared" si="0"/>
        <v>9286020</v>
      </c>
      <c r="P16" s="117">
        <f t="shared" si="0"/>
        <v>8537370</v>
      </c>
      <c r="Q16" s="117">
        <f t="shared" si="0"/>
        <v>8527020</v>
      </c>
      <c r="R16" s="117">
        <f t="shared" si="0"/>
        <v>8995530</v>
      </c>
      <c r="S16" s="117">
        <f t="shared" si="0"/>
        <v>9038310</v>
      </c>
      <c r="T16" s="117">
        <f t="shared" si="0"/>
        <v>10020180</v>
      </c>
      <c r="U16" s="117">
        <f t="shared" si="0"/>
        <v>10106262.175050227</v>
      </c>
      <c r="V16" s="117">
        <f t="shared" si="0"/>
        <v>10184373.007407241</v>
      </c>
    </row>
    <row r="17" spans="1:25" x14ac:dyDescent="0.25">
      <c r="A17" t="s">
        <v>29</v>
      </c>
      <c r="B17" t="s">
        <v>874</v>
      </c>
      <c r="C17" t="s">
        <v>836</v>
      </c>
      <c r="D17" t="s">
        <v>870</v>
      </c>
      <c r="E17" s="114"/>
      <c r="F17" s="114"/>
      <c r="G17" s="114"/>
      <c r="H17" s="114"/>
      <c r="I17" s="114"/>
      <c r="J17" s="114"/>
      <c r="K17" s="114"/>
      <c r="L17" s="114"/>
      <c r="M17" s="114">
        <v>383000</v>
      </c>
      <c r="N17" s="114">
        <v>104200</v>
      </c>
      <c r="O17" s="114">
        <v>18800</v>
      </c>
      <c r="P17" s="114">
        <v>12700</v>
      </c>
      <c r="Q17" s="114">
        <v>37600</v>
      </c>
      <c r="R17" s="114">
        <v>35500</v>
      </c>
      <c r="S17" s="114">
        <v>41800</v>
      </c>
      <c r="T17" s="114">
        <v>10900</v>
      </c>
      <c r="U17" s="114"/>
      <c r="V17" s="114"/>
      <c r="Y17" t="s">
        <v>39</v>
      </c>
    </row>
    <row r="18" spans="1:25" x14ac:dyDescent="0.25">
      <c r="A18" t="s">
        <v>29</v>
      </c>
      <c r="B18" t="s">
        <v>875</v>
      </c>
      <c r="C18" t="s">
        <v>836</v>
      </c>
      <c r="D18" t="s">
        <v>870</v>
      </c>
      <c r="E18" s="114"/>
      <c r="F18" s="114"/>
      <c r="G18" s="114"/>
      <c r="H18" s="114"/>
      <c r="I18" s="114"/>
      <c r="J18" s="114"/>
      <c r="K18" s="114"/>
      <c r="L18" s="114"/>
      <c r="M18" s="114"/>
      <c r="N18" s="114"/>
      <c r="O18" s="114"/>
      <c r="P18" s="114"/>
      <c r="Q18" s="114"/>
      <c r="R18" s="114"/>
      <c r="S18" s="114"/>
      <c r="T18" s="114"/>
      <c r="U18" s="114"/>
      <c r="V18" s="114"/>
    </row>
    <row r="19" spans="1:25" x14ac:dyDescent="0.25">
      <c r="A19" t="s">
        <v>29</v>
      </c>
      <c r="B19" t="s">
        <v>876</v>
      </c>
      <c r="C19" t="s">
        <v>836</v>
      </c>
      <c r="D19" t="s">
        <v>870</v>
      </c>
      <c r="E19" s="117">
        <f t="shared" ref="E19:V19" si="1">E16-E17+E18</f>
        <v>7443440</v>
      </c>
      <c r="F19" s="117">
        <f t="shared" si="1"/>
        <v>7275000</v>
      </c>
      <c r="G19" s="117">
        <f t="shared" si="1"/>
        <v>8189140</v>
      </c>
      <c r="H19" s="117">
        <f t="shared" si="1"/>
        <v>8681890</v>
      </c>
      <c r="I19" s="117">
        <f t="shared" si="1"/>
        <v>8442450</v>
      </c>
      <c r="J19" s="117">
        <f t="shared" si="1"/>
        <v>9733680</v>
      </c>
      <c r="K19" s="117">
        <f t="shared" si="1"/>
        <v>10384250</v>
      </c>
      <c r="L19" s="117">
        <f t="shared" si="1"/>
        <v>10399370</v>
      </c>
      <c r="M19" s="117">
        <f t="shared" si="1"/>
        <v>9593400</v>
      </c>
      <c r="N19" s="117">
        <f t="shared" si="1"/>
        <v>10446400</v>
      </c>
      <c r="O19" s="117">
        <f t="shared" si="1"/>
        <v>9267220</v>
      </c>
      <c r="P19" s="117">
        <f t="shared" si="1"/>
        <v>8524670</v>
      </c>
      <c r="Q19" s="117">
        <f t="shared" si="1"/>
        <v>8489420</v>
      </c>
      <c r="R19" s="117">
        <f t="shared" si="1"/>
        <v>8960030</v>
      </c>
      <c r="S19" s="117">
        <f t="shared" si="1"/>
        <v>8996510</v>
      </c>
      <c r="T19" s="117">
        <f t="shared" si="1"/>
        <v>10009280</v>
      </c>
      <c r="U19" s="117">
        <f t="shared" si="1"/>
        <v>10106262.175050227</v>
      </c>
      <c r="V19" s="117">
        <f t="shared" si="1"/>
        <v>10184373.007407241</v>
      </c>
    </row>
    <row r="22" spans="1:25" s="5" customFormat="1" ht="21" x14ac:dyDescent="0.35">
      <c r="B22" s="6" t="s">
        <v>877</v>
      </c>
      <c r="E22" s="5" t="s">
        <v>878</v>
      </c>
    </row>
    <row r="24" spans="1:25" x14ac:dyDescent="0.25">
      <c r="A24" t="s">
        <v>29</v>
      </c>
      <c r="B24" t="s">
        <v>879</v>
      </c>
      <c r="C24" t="s">
        <v>836</v>
      </c>
      <c r="D24" t="s">
        <v>880</v>
      </c>
      <c r="E24" s="205">
        <v>0.52</v>
      </c>
      <c r="F24" s="205">
        <v>0.52</v>
      </c>
      <c r="G24" s="205">
        <v>0.52</v>
      </c>
      <c r="H24" s="205">
        <v>0.52</v>
      </c>
      <c r="I24" s="205">
        <v>0.52</v>
      </c>
      <c r="J24" s="205">
        <v>0.52</v>
      </c>
      <c r="K24" s="205">
        <v>0.52</v>
      </c>
      <c r="L24" s="205">
        <v>0.52</v>
      </c>
      <c r="M24" s="205">
        <v>0.52</v>
      </c>
      <c r="N24" s="205">
        <v>0.52</v>
      </c>
      <c r="O24" s="205">
        <v>0.52</v>
      </c>
      <c r="P24" s="205">
        <v>0.52</v>
      </c>
      <c r="Q24" s="205">
        <v>0.52</v>
      </c>
      <c r="R24" s="205">
        <v>0.52</v>
      </c>
      <c r="S24" s="205">
        <v>0.52</v>
      </c>
      <c r="T24" s="205">
        <v>0.52</v>
      </c>
      <c r="U24" s="205">
        <v>0.52</v>
      </c>
      <c r="V24" s="205">
        <v>0.52</v>
      </c>
      <c r="Y24" t="s">
        <v>41</v>
      </c>
    </row>
    <row r="25" spans="1:25" x14ac:dyDescent="0.25">
      <c r="B25" s="14"/>
    </row>
    <row r="27" spans="1:25" s="5" customFormat="1" ht="21" x14ac:dyDescent="0.35">
      <c r="B27" s="6" t="s">
        <v>619</v>
      </c>
      <c r="E27" s="5" t="s">
        <v>881</v>
      </c>
    </row>
    <row r="29" spans="1:25" x14ac:dyDescent="0.25">
      <c r="A29" t="s">
        <v>29</v>
      </c>
      <c r="B29" t="s">
        <v>882</v>
      </c>
      <c r="C29" t="s">
        <v>836</v>
      </c>
      <c r="D29" t="s">
        <v>883</v>
      </c>
      <c r="E29" s="117">
        <f>E19*E24</f>
        <v>3870588.8000000003</v>
      </c>
      <c r="F29" s="117">
        <f t="shared" ref="F29:V29" si="2">F19*F24</f>
        <v>3783000</v>
      </c>
      <c r="G29" s="117">
        <f t="shared" si="2"/>
        <v>4258352.8</v>
      </c>
      <c r="H29" s="117">
        <f t="shared" si="2"/>
        <v>4514582.8</v>
      </c>
      <c r="I29" s="117">
        <f t="shared" si="2"/>
        <v>4390074</v>
      </c>
      <c r="J29" s="117">
        <f t="shared" si="2"/>
        <v>5061513.6000000006</v>
      </c>
      <c r="K29" s="117">
        <f t="shared" si="2"/>
        <v>5399810</v>
      </c>
      <c r="L29" s="117">
        <f t="shared" si="2"/>
        <v>5407672.4000000004</v>
      </c>
      <c r="M29" s="117">
        <f t="shared" si="2"/>
        <v>4988568</v>
      </c>
      <c r="N29" s="117">
        <f t="shared" si="2"/>
        <v>5432128</v>
      </c>
      <c r="O29" s="117">
        <f t="shared" si="2"/>
        <v>4818954.4000000004</v>
      </c>
      <c r="P29" s="117">
        <f t="shared" si="2"/>
        <v>4432828.4000000004</v>
      </c>
      <c r="Q29" s="117">
        <f t="shared" si="2"/>
        <v>4414498.4000000004</v>
      </c>
      <c r="R29" s="117">
        <f t="shared" si="2"/>
        <v>4659215.6000000006</v>
      </c>
      <c r="S29" s="117">
        <f t="shared" si="2"/>
        <v>4678185.2</v>
      </c>
      <c r="T29" s="117">
        <f t="shared" si="2"/>
        <v>5204825.6000000006</v>
      </c>
      <c r="U29" s="117">
        <f t="shared" si="2"/>
        <v>5255256.3310261182</v>
      </c>
      <c r="V29" s="117">
        <f t="shared" si="2"/>
        <v>5295873.9638517657</v>
      </c>
    </row>
    <row r="30" spans="1:25" x14ac:dyDescent="0.25">
      <c r="A30" s="7" t="s">
        <v>29</v>
      </c>
      <c r="B30" s="7" t="s">
        <v>882</v>
      </c>
      <c r="C30" s="7" t="s">
        <v>836</v>
      </c>
      <c r="D30" s="7" t="s">
        <v>884</v>
      </c>
      <c r="E30" s="122">
        <f t="shared" ref="E30:Q30" si="3">+E29/1000</f>
        <v>3870.5888000000004</v>
      </c>
      <c r="F30" s="122">
        <f t="shared" si="3"/>
        <v>3783</v>
      </c>
      <c r="G30" s="122">
        <f t="shared" si="3"/>
        <v>4258.3527999999997</v>
      </c>
      <c r="H30" s="122">
        <f t="shared" si="3"/>
        <v>4514.5828000000001</v>
      </c>
      <c r="I30" s="122">
        <f t="shared" si="3"/>
        <v>4390.0739999999996</v>
      </c>
      <c r="J30" s="122">
        <f t="shared" si="3"/>
        <v>5061.5136000000002</v>
      </c>
      <c r="K30" s="122">
        <f t="shared" si="3"/>
        <v>5399.81</v>
      </c>
      <c r="L30" s="122">
        <f t="shared" si="3"/>
        <v>5407.6724000000004</v>
      </c>
      <c r="M30" s="122">
        <f t="shared" si="3"/>
        <v>4988.5680000000002</v>
      </c>
      <c r="N30" s="122">
        <f t="shared" si="3"/>
        <v>5432.1279999999997</v>
      </c>
      <c r="O30" s="122">
        <f t="shared" si="3"/>
        <v>4818.9544000000005</v>
      </c>
      <c r="P30" s="122">
        <f t="shared" si="3"/>
        <v>4432.8284000000003</v>
      </c>
      <c r="Q30" s="122">
        <f t="shared" si="3"/>
        <v>4414.4984000000004</v>
      </c>
      <c r="R30" s="122">
        <f>+R29/1000</f>
        <v>4659.2156000000004</v>
      </c>
      <c r="S30" s="122">
        <f>+S29/1000</f>
        <v>4678.1851999999999</v>
      </c>
      <c r="T30" s="122">
        <f>+T29/1000</f>
        <v>5204.8256000000001</v>
      </c>
      <c r="U30" s="122">
        <f>+U29/1000</f>
        <v>5255.2563310261185</v>
      </c>
      <c r="V30" s="122">
        <f>+V29/1000</f>
        <v>5295.8739638517654</v>
      </c>
      <c r="Y30" t="s">
        <v>43</v>
      </c>
    </row>
    <row r="34" spans="1:8" s="5" customFormat="1" ht="21" x14ac:dyDescent="0.35">
      <c r="B34" s="6" t="s">
        <v>885</v>
      </c>
      <c r="E34" s="5" t="s">
        <v>886</v>
      </c>
    </row>
    <row r="36" spans="1:8" x14ac:dyDescent="0.25">
      <c r="A36" s="27"/>
      <c r="B36" s="26"/>
      <c r="C36" s="26"/>
      <c r="D36" s="26"/>
      <c r="E36" s="26"/>
      <c r="F36" s="26"/>
      <c r="G36" s="26"/>
      <c r="H36" s="26"/>
    </row>
    <row r="57" spans="1:24" ht="21" x14ac:dyDescent="0.35">
      <c r="A57" s="5"/>
      <c r="B57" s="6" t="s">
        <v>346</v>
      </c>
      <c r="C57" s="5"/>
      <c r="D57" s="5"/>
      <c r="E57" s="5" t="s">
        <v>887</v>
      </c>
      <c r="F57" s="5"/>
      <c r="G57" s="5"/>
      <c r="H57" s="5"/>
      <c r="I57" s="5"/>
      <c r="J57" s="5"/>
      <c r="K57" s="5"/>
      <c r="L57" s="5"/>
      <c r="M57" s="5"/>
      <c r="N57" s="5"/>
      <c r="O57" s="5"/>
      <c r="P57" s="5"/>
      <c r="Q57" s="5"/>
      <c r="R57" s="5"/>
      <c r="S57" s="5"/>
      <c r="T57" s="5"/>
      <c r="U57" s="5"/>
      <c r="V57" s="5"/>
      <c r="W57" s="5"/>
      <c r="X57" s="5"/>
    </row>
    <row r="58" spans="1:24" ht="18.75" x14ac:dyDescent="0.3">
      <c r="A58" s="12" t="s">
        <v>844</v>
      </c>
      <c r="E58" t="s">
        <v>888</v>
      </c>
    </row>
    <row r="59" spans="1:24" s="8" customFormat="1" ht="12.75" x14ac:dyDescent="0.2">
      <c r="B59" s="9" t="s">
        <v>865</v>
      </c>
    </row>
    <row r="61" spans="1:24" x14ac:dyDescent="0.25">
      <c r="A61" s="10" t="s">
        <v>867</v>
      </c>
      <c r="B61" s="10" t="s">
        <v>868</v>
      </c>
      <c r="C61" s="10" t="s">
        <v>482</v>
      </c>
      <c r="D61" s="10" t="s">
        <v>740</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v>2015</v>
      </c>
      <c r="U61" s="10">
        <v>2016</v>
      </c>
      <c r="V61" s="10"/>
    </row>
    <row r="62" spans="1:24" x14ac:dyDescent="0.25">
      <c r="A62" s="11" t="s">
        <v>29</v>
      </c>
      <c r="B62" s="11" t="s">
        <v>869</v>
      </c>
      <c r="C62" s="11"/>
      <c r="D62" s="11" t="s">
        <v>870</v>
      </c>
      <c r="E62" s="29">
        <v>9794000</v>
      </c>
      <c r="F62" s="29">
        <v>9700000</v>
      </c>
      <c r="G62" s="29">
        <v>11218000</v>
      </c>
      <c r="H62" s="29">
        <v>11893000</v>
      </c>
      <c r="I62" s="29">
        <v>11565000</v>
      </c>
      <c r="J62" s="29">
        <v>13519000</v>
      </c>
      <c r="K62" s="29">
        <v>14225000</v>
      </c>
      <c r="L62" s="29">
        <v>14647000</v>
      </c>
      <c r="M62" s="29">
        <v>14252000</v>
      </c>
      <c r="N62" s="29">
        <v>14860000</v>
      </c>
      <c r="O62" s="29">
        <v>13458000</v>
      </c>
      <c r="P62" s="29">
        <v>12373000</v>
      </c>
      <c r="Q62" s="29">
        <v>12358000</v>
      </c>
      <c r="R62" s="29">
        <v>13037000</v>
      </c>
      <c r="S62" s="29">
        <v>13099000</v>
      </c>
      <c r="T62" s="29">
        <v>14522000</v>
      </c>
      <c r="U62" s="4"/>
      <c r="V62" s="4"/>
    </row>
    <row r="63" spans="1:24" x14ac:dyDescent="0.25">
      <c r="A63" s="11" t="s">
        <v>29</v>
      </c>
      <c r="B63" s="11" t="s">
        <v>871</v>
      </c>
      <c r="C63" s="11"/>
      <c r="D63" s="11" t="s">
        <v>872</v>
      </c>
      <c r="E63" s="29">
        <v>0.76</v>
      </c>
      <c r="F63" s="29">
        <v>0.75</v>
      </c>
      <c r="G63" s="29">
        <v>0.73</v>
      </c>
      <c r="H63" s="29">
        <v>0.73</v>
      </c>
      <c r="I63" s="29">
        <v>0.73</v>
      </c>
      <c r="J63" s="29">
        <v>0.72</v>
      </c>
      <c r="K63" s="29">
        <v>0.73</v>
      </c>
      <c r="L63" s="29">
        <v>0.71</v>
      </c>
      <c r="M63" s="29">
        <v>0.7</v>
      </c>
      <c r="N63" s="29">
        <v>0.71</v>
      </c>
      <c r="O63" s="29">
        <v>0.69</v>
      </c>
      <c r="P63" s="29">
        <v>0.69</v>
      </c>
      <c r="Q63" s="29">
        <v>0.69</v>
      </c>
      <c r="R63" s="29">
        <v>0.69</v>
      </c>
      <c r="S63" s="29">
        <v>0.69</v>
      </c>
      <c r="T63" s="29">
        <v>0.69</v>
      </c>
      <c r="U63" s="4"/>
      <c r="V63" s="4"/>
    </row>
    <row r="64" spans="1:24" x14ac:dyDescent="0.25">
      <c r="A64" s="11" t="s">
        <v>29</v>
      </c>
      <c r="B64" s="11" t="s">
        <v>873</v>
      </c>
      <c r="C64" s="11"/>
      <c r="D64" s="11" t="s">
        <v>870</v>
      </c>
      <c r="E64" s="29">
        <v>7443440</v>
      </c>
      <c r="F64" s="29">
        <v>7275000</v>
      </c>
      <c r="G64" s="29">
        <v>8189140</v>
      </c>
      <c r="H64" s="29">
        <v>8681890</v>
      </c>
      <c r="I64" s="29">
        <v>8442450</v>
      </c>
      <c r="J64" s="29">
        <v>9733680</v>
      </c>
      <c r="K64" s="29">
        <v>10384250</v>
      </c>
      <c r="L64" s="29">
        <v>10399370</v>
      </c>
      <c r="M64" s="29">
        <v>9976400</v>
      </c>
      <c r="N64" s="29">
        <v>10550600</v>
      </c>
      <c r="O64" s="29">
        <v>9286020</v>
      </c>
      <c r="P64" s="29">
        <v>8537370</v>
      </c>
      <c r="Q64" s="29">
        <v>8527020</v>
      </c>
      <c r="R64" s="29">
        <v>8995530</v>
      </c>
      <c r="S64" s="29">
        <v>9038310</v>
      </c>
      <c r="T64" s="29">
        <v>10020180</v>
      </c>
      <c r="U64" s="4"/>
      <c r="V64" s="4"/>
    </row>
    <row r="65" spans="1:22" x14ac:dyDescent="0.25">
      <c r="A65" s="11" t="s">
        <v>29</v>
      </c>
      <c r="B65" s="11" t="s">
        <v>874</v>
      </c>
      <c r="C65" s="11"/>
      <c r="D65" s="11" t="s">
        <v>870</v>
      </c>
      <c r="E65" s="29"/>
      <c r="F65" s="29"/>
      <c r="G65" s="29"/>
      <c r="H65" s="29"/>
      <c r="I65" s="29"/>
      <c r="J65" s="29"/>
      <c r="K65" s="29"/>
      <c r="L65" s="29"/>
      <c r="M65" s="29">
        <v>383000</v>
      </c>
      <c r="N65" s="29">
        <v>104200</v>
      </c>
      <c r="O65" s="29">
        <v>18800</v>
      </c>
      <c r="P65" s="29">
        <v>12700</v>
      </c>
      <c r="Q65" s="29">
        <v>37600</v>
      </c>
      <c r="R65" s="29">
        <v>35500</v>
      </c>
      <c r="S65" s="29">
        <v>41800</v>
      </c>
      <c r="T65" s="29">
        <v>10900</v>
      </c>
      <c r="U65" s="4"/>
      <c r="V65" s="4"/>
    </row>
    <row r="66" spans="1:22" x14ac:dyDescent="0.25">
      <c r="A66" s="11" t="s">
        <v>29</v>
      </c>
      <c r="B66" s="11" t="s">
        <v>875</v>
      </c>
      <c r="C66" s="11"/>
      <c r="D66" s="11" t="s">
        <v>870</v>
      </c>
      <c r="E66" s="29"/>
      <c r="F66" s="29"/>
      <c r="G66" s="29"/>
      <c r="H66" s="29"/>
      <c r="I66" s="29"/>
      <c r="J66" s="29"/>
      <c r="K66" s="29"/>
      <c r="L66" s="29"/>
      <c r="M66" s="29"/>
      <c r="N66" s="29"/>
      <c r="O66" s="29"/>
      <c r="P66" s="29"/>
      <c r="Q66" s="29"/>
      <c r="R66" s="29"/>
      <c r="S66" s="29"/>
      <c r="T66" s="29"/>
      <c r="U66" s="4"/>
      <c r="V66" s="4"/>
    </row>
    <row r="67" spans="1:22" x14ac:dyDescent="0.25">
      <c r="A67" s="11" t="s">
        <v>29</v>
      </c>
      <c r="B67" s="11" t="s">
        <v>876</v>
      </c>
      <c r="C67" s="11"/>
      <c r="D67" s="11" t="s">
        <v>870</v>
      </c>
      <c r="E67" s="29">
        <v>7443440</v>
      </c>
      <c r="F67" s="29">
        <v>7275000</v>
      </c>
      <c r="G67" s="29">
        <v>8189140</v>
      </c>
      <c r="H67" s="29">
        <v>8681890</v>
      </c>
      <c r="I67" s="29">
        <v>8442450</v>
      </c>
      <c r="J67" s="29">
        <v>9733680</v>
      </c>
      <c r="K67" s="29">
        <v>10384250</v>
      </c>
      <c r="L67" s="29">
        <v>10399370</v>
      </c>
      <c r="M67" s="29">
        <v>9593400</v>
      </c>
      <c r="N67" s="29">
        <v>10446400</v>
      </c>
      <c r="O67" s="29">
        <v>9267220</v>
      </c>
      <c r="P67" s="29">
        <v>8524670</v>
      </c>
      <c r="Q67" s="29">
        <v>8489420</v>
      </c>
      <c r="R67" s="29">
        <v>8960030</v>
      </c>
      <c r="S67" s="29">
        <v>8996510</v>
      </c>
      <c r="T67" s="29">
        <v>10009280</v>
      </c>
      <c r="U67" s="4"/>
      <c r="V67" s="4"/>
    </row>
    <row r="68" spans="1:22" x14ac:dyDescent="0.25">
      <c r="E68" s="11"/>
      <c r="F68" s="11"/>
      <c r="G68" s="11"/>
      <c r="H68" s="11"/>
      <c r="I68" s="11"/>
      <c r="J68" s="11"/>
      <c r="K68" s="11"/>
      <c r="L68" s="11"/>
      <c r="M68" s="11"/>
      <c r="N68" s="11"/>
      <c r="O68" s="11"/>
      <c r="P68" s="11"/>
      <c r="Q68" s="11"/>
      <c r="R68" s="11"/>
      <c r="S68" s="11"/>
      <c r="T68" s="11"/>
    </row>
    <row r="69" spans="1:22" x14ac:dyDescent="0.25">
      <c r="E69" s="11"/>
      <c r="F69" s="11"/>
      <c r="G69" s="11"/>
      <c r="H69" s="11"/>
      <c r="I69" s="11"/>
      <c r="J69" s="11"/>
      <c r="K69" s="11"/>
      <c r="L69" s="11"/>
      <c r="M69" s="11"/>
      <c r="N69" s="11"/>
      <c r="O69" s="11"/>
      <c r="P69" s="11"/>
      <c r="Q69" s="11"/>
      <c r="R69" s="11"/>
      <c r="S69" s="11"/>
      <c r="T69" s="11"/>
    </row>
    <row r="70" spans="1:22" s="8" customFormat="1" ht="12.75" x14ac:dyDescent="0.2">
      <c r="B70" s="9" t="s">
        <v>877</v>
      </c>
      <c r="E70" s="197"/>
      <c r="F70" s="197"/>
      <c r="G70" s="197"/>
      <c r="H70" s="197"/>
      <c r="I70" s="197"/>
      <c r="J70" s="197"/>
      <c r="K70" s="197"/>
      <c r="L70" s="197"/>
      <c r="M70" s="197"/>
      <c r="N70" s="197"/>
      <c r="O70" s="197"/>
      <c r="P70" s="197"/>
      <c r="Q70" s="197"/>
      <c r="R70" s="197"/>
      <c r="S70" s="197"/>
      <c r="T70" s="197"/>
    </row>
    <row r="71" spans="1:22" x14ac:dyDescent="0.25">
      <c r="E71" s="11"/>
      <c r="F71" s="11"/>
      <c r="G71" s="11"/>
      <c r="H71" s="11"/>
      <c r="I71" s="11"/>
      <c r="J71" s="11"/>
      <c r="K71" s="11"/>
      <c r="L71" s="11"/>
      <c r="M71" s="11"/>
      <c r="N71" s="11"/>
      <c r="O71" s="11"/>
      <c r="P71" s="11"/>
      <c r="Q71" s="11"/>
      <c r="R71" s="11"/>
      <c r="S71" s="11"/>
      <c r="T71" s="11"/>
    </row>
    <row r="72" spans="1:22" x14ac:dyDescent="0.25">
      <c r="A72" s="11" t="s">
        <v>29</v>
      </c>
      <c r="B72" s="11"/>
      <c r="C72" s="11" t="s">
        <v>836</v>
      </c>
      <c r="D72" s="11" t="s">
        <v>880</v>
      </c>
      <c r="E72" s="29">
        <v>0.52</v>
      </c>
      <c r="F72" s="29">
        <v>0.52</v>
      </c>
      <c r="G72" s="29">
        <v>0.52</v>
      </c>
      <c r="H72" s="29">
        <v>0.52</v>
      </c>
      <c r="I72" s="29">
        <v>0.52</v>
      </c>
      <c r="J72" s="29">
        <v>0.52</v>
      </c>
      <c r="K72" s="29">
        <v>0.52</v>
      </c>
      <c r="L72" s="29">
        <v>0.52</v>
      </c>
      <c r="M72" s="29">
        <v>0.52</v>
      </c>
      <c r="N72" s="29">
        <v>0.52</v>
      </c>
      <c r="O72" s="29">
        <v>0.52</v>
      </c>
      <c r="P72" s="29">
        <v>0.52</v>
      </c>
      <c r="Q72" s="29">
        <v>0.52</v>
      </c>
      <c r="R72" s="29">
        <v>0.52</v>
      </c>
      <c r="S72" s="29">
        <v>0.52</v>
      </c>
      <c r="T72" s="29">
        <v>0.52</v>
      </c>
      <c r="U72" s="4"/>
      <c r="V72" s="4"/>
    </row>
    <row r="73" spans="1:22" x14ac:dyDescent="0.25">
      <c r="E73" s="11"/>
      <c r="F73" s="11"/>
      <c r="G73" s="11"/>
      <c r="H73" s="11"/>
      <c r="I73" s="11"/>
      <c r="J73" s="11"/>
      <c r="K73" s="11"/>
      <c r="L73" s="11"/>
      <c r="M73" s="11"/>
      <c r="N73" s="11"/>
      <c r="O73" s="11"/>
      <c r="P73" s="11"/>
      <c r="Q73" s="11"/>
      <c r="R73" s="11"/>
      <c r="S73" s="11"/>
      <c r="T73" s="11"/>
    </row>
    <row r="74" spans="1:22" x14ac:dyDescent="0.25">
      <c r="E74" s="11"/>
      <c r="F74" s="11"/>
      <c r="G74" s="11"/>
      <c r="H74" s="11"/>
      <c r="I74" s="11"/>
      <c r="J74" s="11"/>
      <c r="K74" s="11"/>
      <c r="L74" s="11"/>
      <c r="M74" s="11"/>
      <c r="N74" s="11"/>
      <c r="O74" s="11"/>
      <c r="P74" s="11"/>
      <c r="Q74" s="11"/>
      <c r="R74" s="11"/>
      <c r="S74" s="11"/>
      <c r="T74" s="11"/>
    </row>
    <row r="75" spans="1:22" s="8" customFormat="1" ht="12.75" x14ac:dyDescent="0.2">
      <c r="B75" s="9" t="s">
        <v>619</v>
      </c>
      <c r="E75" s="197" t="s">
        <v>881</v>
      </c>
      <c r="F75" s="197"/>
      <c r="G75" s="197"/>
      <c r="H75" s="197"/>
      <c r="I75" s="197"/>
      <c r="J75" s="197"/>
      <c r="K75" s="197"/>
      <c r="L75" s="197"/>
      <c r="M75" s="197"/>
      <c r="N75" s="197"/>
      <c r="O75" s="197"/>
      <c r="P75" s="197"/>
      <c r="Q75" s="197"/>
      <c r="R75" s="197"/>
      <c r="S75" s="197"/>
      <c r="T75" s="197"/>
    </row>
    <row r="76" spans="1:22" x14ac:dyDescent="0.25">
      <c r="E76" s="11"/>
      <c r="F76" s="11"/>
      <c r="G76" s="11"/>
      <c r="H76" s="11"/>
      <c r="I76" s="11"/>
      <c r="J76" s="11"/>
      <c r="K76" s="11"/>
      <c r="L76" s="11"/>
      <c r="M76" s="11"/>
      <c r="N76" s="11"/>
      <c r="O76" s="11"/>
      <c r="P76" s="11"/>
      <c r="Q76" s="11"/>
      <c r="R76" s="11"/>
      <c r="S76" s="11"/>
      <c r="T76" s="11"/>
    </row>
    <row r="77" spans="1:22" x14ac:dyDescent="0.25">
      <c r="A77" s="11" t="s">
        <v>29</v>
      </c>
      <c r="B77" s="11"/>
      <c r="C77" s="11" t="s">
        <v>836</v>
      </c>
      <c r="D77" s="11" t="s">
        <v>883</v>
      </c>
      <c r="E77" s="29">
        <v>3870588.8000000003</v>
      </c>
      <c r="F77" s="29">
        <v>3783000</v>
      </c>
      <c r="G77" s="29">
        <v>4258352.8</v>
      </c>
      <c r="H77" s="29">
        <v>4514582.8</v>
      </c>
      <c r="I77" s="29">
        <v>4390074</v>
      </c>
      <c r="J77" s="29">
        <v>5061513.6000000006</v>
      </c>
      <c r="K77" s="29">
        <v>5399810</v>
      </c>
      <c r="L77" s="29">
        <v>5407672.4000000004</v>
      </c>
      <c r="M77" s="29">
        <v>4988568</v>
      </c>
      <c r="N77" s="29">
        <v>5432128</v>
      </c>
      <c r="O77" s="29">
        <v>4818954.4000000004</v>
      </c>
      <c r="P77" s="29">
        <v>4432828.4000000004</v>
      </c>
      <c r="Q77" s="29">
        <v>4414498.4000000004</v>
      </c>
      <c r="R77" s="29">
        <v>4659215.6000000006</v>
      </c>
      <c r="S77" s="29">
        <v>4678185.2</v>
      </c>
      <c r="T77" s="29">
        <v>5204825.6000000006</v>
      </c>
      <c r="U77" s="4"/>
      <c r="V77" s="4"/>
    </row>
    <row r="78" spans="1:22" x14ac:dyDescent="0.25">
      <c r="A78" s="11" t="s">
        <v>29</v>
      </c>
      <c r="B78" s="11"/>
      <c r="C78" s="11" t="s">
        <v>836</v>
      </c>
      <c r="D78" s="11" t="s">
        <v>884</v>
      </c>
      <c r="E78" s="29">
        <v>3870.5888000000004</v>
      </c>
      <c r="F78" s="29">
        <v>3783</v>
      </c>
      <c r="G78" s="29">
        <v>4258.3527999999997</v>
      </c>
      <c r="H78" s="29">
        <v>4514.5828000000001</v>
      </c>
      <c r="I78" s="29">
        <v>4390.0739999999996</v>
      </c>
      <c r="J78" s="29">
        <v>5061.5136000000002</v>
      </c>
      <c r="K78" s="29">
        <v>5399.81</v>
      </c>
      <c r="L78" s="29">
        <v>5407.6724000000004</v>
      </c>
      <c r="M78" s="29">
        <v>4988.5680000000002</v>
      </c>
      <c r="N78" s="29">
        <v>5432.1279999999997</v>
      </c>
      <c r="O78" s="29">
        <v>4818.9544000000005</v>
      </c>
      <c r="P78" s="29">
        <v>4432.8284000000003</v>
      </c>
      <c r="Q78" s="29">
        <v>4414.4984000000004</v>
      </c>
      <c r="R78" s="29">
        <v>4659.2156000000004</v>
      </c>
      <c r="S78" s="29">
        <v>4678.1851999999999</v>
      </c>
      <c r="T78" s="29">
        <v>5204.8256000000001</v>
      </c>
      <c r="U78" s="4"/>
      <c r="V78" s="4"/>
    </row>
    <row r="79" spans="1:22" x14ac:dyDescent="0.25">
      <c r="B79" s="14"/>
    </row>
    <row r="80" spans="1:22" ht="18.75" x14ac:dyDescent="0.3">
      <c r="A80" s="13" t="s">
        <v>346</v>
      </c>
    </row>
    <row r="81" spans="1:22" s="22" customFormat="1" x14ac:dyDescent="0.25">
      <c r="A81" s="8"/>
      <c r="B81" s="9" t="s">
        <v>865</v>
      </c>
      <c r="C81" s="8"/>
      <c r="D81" s="8" t="s">
        <v>852</v>
      </c>
      <c r="E81" s="8"/>
      <c r="F81" s="8"/>
      <c r="G81" s="8"/>
      <c r="H81" s="8"/>
      <c r="I81" s="8"/>
      <c r="J81" s="8"/>
      <c r="K81" s="8"/>
      <c r="L81" s="8"/>
      <c r="M81" s="8"/>
      <c r="N81" s="8"/>
      <c r="O81" s="8"/>
      <c r="P81" s="8"/>
      <c r="Q81" s="8"/>
      <c r="R81" s="8"/>
      <c r="S81" s="8"/>
      <c r="T81" s="8"/>
      <c r="U81" s="8"/>
      <c r="V81" s="8"/>
    </row>
    <row r="83" spans="1:22" x14ac:dyDescent="0.25">
      <c r="A83" s="10" t="s">
        <v>867</v>
      </c>
      <c r="B83" s="10" t="s">
        <v>868</v>
      </c>
      <c r="C83" s="10" t="s">
        <v>482</v>
      </c>
      <c r="D83" s="10" t="s">
        <v>740</v>
      </c>
      <c r="E83" s="10">
        <v>2000</v>
      </c>
      <c r="F83" s="10">
        <v>2001</v>
      </c>
      <c r="G83" s="10">
        <v>2002</v>
      </c>
      <c r="H83" s="10">
        <v>2003</v>
      </c>
      <c r="I83" s="10">
        <v>2004</v>
      </c>
      <c r="J83" s="10">
        <v>2005</v>
      </c>
      <c r="K83" s="10">
        <v>2006</v>
      </c>
      <c r="L83" s="10">
        <v>2007</v>
      </c>
      <c r="M83" s="10">
        <v>2008</v>
      </c>
      <c r="N83" s="10">
        <v>2009</v>
      </c>
      <c r="O83" s="10">
        <v>2010</v>
      </c>
      <c r="P83" s="10">
        <v>2011</v>
      </c>
      <c r="Q83" s="10">
        <v>2012</v>
      </c>
      <c r="R83" s="10">
        <v>2013</v>
      </c>
      <c r="S83" s="10">
        <v>2014</v>
      </c>
      <c r="T83" s="10">
        <v>2015</v>
      </c>
      <c r="U83" s="10">
        <v>2016</v>
      </c>
      <c r="V83" s="10"/>
    </row>
    <row r="84" spans="1:22" x14ac:dyDescent="0.25">
      <c r="A84" s="11" t="s">
        <v>29</v>
      </c>
      <c r="B84" s="11" t="s">
        <v>869</v>
      </c>
      <c r="C84" s="11"/>
      <c r="D84" s="11" t="s">
        <v>870</v>
      </c>
      <c r="E84" s="24">
        <f>IFERROR(((E14/E62)-1), "CHECK")</f>
        <v>0</v>
      </c>
      <c r="F84" s="24">
        <f t="shared" ref="F84:U89" si="4">IFERROR(((F14/F62)-1), "CHECK")</f>
        <v>0</v>
      </c>
      <c r="G84" s="24">
        <f t="shared" si="4"/>
        <v>0</v>
      </c>
      <c r="H84" s="24">
        <f t="shared" si="4"/>
        <v>0</v>
      </c>
      <c r="I84" s="24">
        <f t="shared" si="4"/>
        <v>0</v>
      </c>
      <c r="J84" s="24">
        <f t="shared" si="4"/>
        <v>0</v>
      </c>
      <c r="K84" s="24">
        <f t="shared" si="4"/>
        <v>0</v>
      </c>
      <c r="L84" s="24">
        <f t="shared" si="4"/>
        <v>0</v>
      </c>
      <c r="M84" s="24">
        <f t="shared" si="4"/>
        <v>0</v>
      </c>
      <c r="N84" s="24">
        <f t="shared" si="4"/>
        <v>0</v>
      </c>
      <c r="O84" s="24">
        <f t="shared" si="4"/>
        <v>0</v>
      </c>
      <c r="P84" s="24">
        <f t="shared" si="4"/>
        <v>0</v>
      </c>
      <c r="Q84" s="24">
        <f t="shared" si="4"/>
        <v>0</v>
      </c>
      <c r="R84" s="24">
        <f t="shared" si="4"/>
        <v>0</v>
      </c>
      <c r="S84" s="24">
        <f t="shared" si="4"/>
        <v>0</v>
      </c>
      <c r="T84" s="24">
        <f t="shared" si="4"/>
        <v>0</v>
      </c>
      <c r="U84" s="24" t="str">
        <f t="shared" si="4"/>
        <v>CHECK</v>
      </c>
      <c r="V84" s="24"/>
    </row>
    <row r="85" spans="1:22" x14ac:dyDescent="0.25">
      <c r="A85" s="11" t="s">
        <v>29</v>
      </c>
      <c r="B85" s="11" t="s">
        <v>871</v>
      </c>
      <c r="C85" s="11"/>
      <c r="D85" s="11" t="s">
        <v>872</v>
      </c>
      <c r="E85" s="24">
        <f t="shared" ref="E85:T89" si="5">IFERROR(((E15/E63)-1), "CHECK")</f>
        <v>0</v>
      </c>
      <c r="F85" s="24">
        <f t="shared" si="5"/>
        <v>0</v>
      </c>
      <c r="G85" s="24">
        <f t="shared" si="5"/>
        <v>0</v>
      </c>
      <c r="H85" s="24">
        <f t="shared" si="5"/>
        <v>0</v>
      </c>
      <c r="I85" s="24">
        <f t="shared" si="5"/>
        <v>0</v>
      </c>
      <c r="J85" s="24">
        <f t="shared" si="5"/>
        <v>0</v>
      </c>
      <c r="K85" s="24">
        <f t="shared" si="5"/>
        <v>0</v>
      </c>
      <c r="L85" s="24">
        <f t="shared" si="5"/>
        <v>0</v>
      </c>
      <c r="M85" s="24">
        <f t="shared" si="5"/>
        <v>0</v>
      </c>
      <c r="N85" s="24">
        <f t="shared" si="5"/>
        <v>0</v>
      </c>
      <c r="O85" s="24">
        <f t="shared" si="5"/>
        <v>0</v>
      </c>
      <c r="P85" s="24">
        <f t="shared" si="5"/>
        <v>0</v>
      </c>
      <c r="Q85" s="24">
        <f t="shared" si="5"/>
        <v>0</v>
      </c>
      <c r="R85" s="24">
        <f t="shared" si="5"/>
        <v>0</v>
      </c>
      <c r="S85" s="24">
        <f t="shared" si="5"/>
        <v>0</v>
      </c>
      <c r="T85" s="24">
        <f t="shared" si="5"/>
        <v>0</v>
      </c>
      <c r="U85" s="24" t="str">
        <f t="shared" si="4"/>
        <v>CHECK</v>
      </c>
      <c r="V85" s="24"/>
    </row>
    <row r="86" spans="1:22" x14ac:dyDescent="0.25">
      <c r="A86" s="11" t="s">
        <v>29</v>
      </c>
      <c r="B86" s="11" t="s">
        <v>873</v>
      </c>
      <c r="C86" s="11"/>
      <c r="D86" s="11" t="s">
        <v>870</v>
      </c>
      <c r="E86" s="24">
        <f t="shared" si="5"/>
        <v>0</v>
      </c>
      <c r="F86" s="24">
        <f t="shared" si="4"/>
        <v>0</v>
      </c>
      <c r="G86" s="24">
        <f t="shared" si="4"/>
        <v>0</v>
      </c>
      <c r="H86" s="24">
        <f t="shared" si="4"/>
        <v>0</v>
      </c>
      <c r="I86" s="24">
        <f t="shared" si="4"/>
        <v>0</v>
      </c>
      <c r="J86" s="24">
        <f t="shared" si="4"/>
        <v>0</v>
      </c>
      <c r="K86" s="24">
        <f t="shared" si="4"/>
        <v>0</v>
      </c>
      <c r="L86" s="24">
        <f t="shared" si="4"/>
        <v>0</v>
      </c>
      <c r="M86" s="24">
        <f t="shared" si="4"/>
        <v>0</v>
      </c>
      <c r="N86" s="24">
        <f t="shared" si="4"/>
        <v>0</v>
      </c>
      <c r="O86" s="24">
        <f t="shared" si="4"/>
        <v>0</v>
      </c>
      <c r="P86" s="24">
        <f t="shared" si="4"/>
        <v>0</v>
      </c>
      <c r="Q86" s="24">
        <f t="shared" si="4"/>
        <v>0</v>
      </c>
      <c r="R86" s="24">
        <f t="shared" si="4"/>
        <v>0</v>
      </c>
      <c r="S86" s="24">
        <f t="shared" si="4"/>
        <v>0</v>
      </c>
      <c r="T86" s="24">
        <f t="shared" si="4"/>
        <v>0</v>
      </c>
      <c r="U86" s="24" t="str">
        <f t="shared" si="4"/>
        <v>CHECK</v>
      </c>
      <c r="V86" s="24"/>
    </row>
    <row r="87" spans="1:22" x14ac:dyDescent="0.25">
      <c r="A87" s="11" t="s">
        <v>29</v>
      </c>
      <c r="B87" s="11" t="s">
        <v>874</v>
      </c>
      <c r="C87" s="11"/>
      <c r="D87" s="11" t="s">
        <v>870</v>
      </c>
      <c r="E87" s="24" t="str">
        <f t="shared" si="5"/>
        <v>CHECK</v>
      </c>
      <c r="F87" s="24" t="str">
        <f t="shared" si="4"/>
        <v>CHECK</v>
      </c>
      <c r="G87" s="24" t="str">
        <f t="shared" si="4"/>
        <v>CHECK</v>
      </c>
      <c r="H87" s="24" t="str">
        <f t="shared" si="4"/>
        <v>CHECK</v>
      </c>
      <c r="I87" s="24" t="str">
        <f t="shared" si="4"/>
        <v>CHECK</v>
      </c>
      <c r="J87" s="24" t="str">
        <f t="shared" si="4"/>
        <v>CHECK</v>
      </c>
      <c r="K87" s="24" t="str">
        <f t="shared" si="4"/>
        <v>CHECK</v>
      </c>
      <c r="L87" s="24" t="str">
        <f t="shared" si="4"/>
        <v>CHECK</v>
      </c>
      <c r="M87" s="24">
        <f t="shared" si="4"/>
        <v>0</v>
      </c>
      <c r="N87" s="24">
        <f t="shared" si="4"/>
        <v>0</v>
      </c>
      <c r="O87" s="24">
        <f t="shared" si="4"/>
        <v>0</v>
      </c>
      <c r="P87" s="24">
        <f t="shared" si="4"/>
        <v>0</v>
      </c>
      <c r="Q87" s="24">
        <f t="shared" si="4"/>
        <v>0</v>
      </c>
      <c r="R87" s="24">
        <f t="shared" si="4"/>
        <v>0</v>
      </c>
      <c r="S87" s="24">
        <f t="shared" si="4"/>
        <v>0</v>
      </c>
      <c r="T87" s="24">
        <f t="shared" si="4"/>
        <v>0</v>
      </c>
      <c r="U87" s="24" t="str">
        <f t="shared" si="4"/>
        <v>CHECK</v>
      </c>
      <c r="V87" s="24"/>
    </row>
    <row r="88" spans="1:22" x14ac:dyDescent="0.25">
      <c r="A88" s="11" t="s">
        <v>29</v>
      </c>
      <c r="B88" s="11" t="s">
        <v>875</v>
      </c>
      <c r="C88" s="11"/>
      <c r="D88" s="11" t="s">
        <v>870</v>
      </c>
      <c r="E88" s="24" t="str">
        <f t="shared" si="5"/>
        <v>CHECK</v>
      </c>
      <c r="F88" s="24" t="str">
        <f t="shared" si="4"/>
        <v>CHECK</v>
      </c>
      <c r="G88" s="24" t="str">
        <f t="shared" si="4"/>
        <v>CHECK</v>
      </c>
      <c r="H88" s="24" t="str">
        <f t="shared" si="4"/>
        <v>CHECK</v>
      </c>
      <c r="I88" s="24" t="str">
        <f t="shared" si="4"/>
        <v>CHECK</v>
      </c>
      <c r="J88" s="24" t="str">
        <f t="shared" si="4"/>
        <v>CHECK</v>
      </c>
      <c r="K88" s="24" t="str">
        <f t="shared" si="4"/>
        <v>CHECK</v>
      </c>
      <c r="L88" s="24" t="str">
        <f t="shared" si="4"/>
        <v>CHECK</v>
      </c>
      <c r="M88" s="24" t="str">
        <f t="shared" si="4"/>
        <v>CHECK</v>
      </c>
      <c r="N88" s="24" t="str">
        <f t="shared" si="4"/>
        <v>CHECK</v>
      </c>
      <c r="O88" s="24" t="str">
        <f t="shared" si="4"/>
        <v>CHECK</v>
      </c>
      <c r="P88" s="24" t="str">
        <f t="shared" si="4"/>
        <v>CHECK</v>
      </c>
      <c r="Q88" s="24" t="str">
        <f t="shared" si="4"/>
        <v>CHECK</v>
      </c>
      <c r="R88" s="24" t="str">
        <f t="shared" si="4"/>
        <v>CHECK</v>
      </c>
      <c r="S88" s="24" t="str">
        <f t="shared" si="4"/>
        <v>CHECK</v>
      </c>
      <c r="T88" s="24" t="str">
        <f t="shared" si="4"/>
        <v>CHECK</v>
      </c>
      <c r="U88" s="24" t="str">
        <f t="shared" si="4"/>
        <v>CHECK</v>
      </c>
      <c r="V88" s="24"/>
    </row>
    <row r="89" spans="1:22" x14ac:dyDescent="0.25">
      <c r="A89" s="11" t="s">
        <v>29</v>
      </c>
      <c r="B89" s="11" t="s">
        <v>876</v>
      </c>
      <c r="C89" s="11"/>
      <c r="D89" s="11" t="s">
        <v>870</v>
      </c>
      <c r="E89" s="24">
        <f t="shared" si="5"/>
        <v>0</v>
      </c>
      <c r="F89" s="24">
        <f t="shared" si="4"/>
        <v>0</v>
      </c>
      <c r="G89" s="24">
        <f t="shared" si="4"/>
        <v>0</v>
      </c>
      <c r="H89" s="24">
        <f t="shared" si="4"/>
        <v>0</v>
      </c>
      <c r="I89" s="24">
        <f t="shared" si="4"/>
        <v>0</v>
      </c>
      <c r="J89" s="24">
        <f t="shared" si="4"/>
        <v>0</v>
      </c>
      <c r="K89" s="24">
        <f t="shared" si="4"/>
        <v>0</v>
      </c>
      <c r="L89" s="24">
        <f t="shared" si="4"/>
        <v>0</v>
      </c>
      <c r="M89" s="24">
        <f t="shared" si="4"/>
        <v>0</v>
      </c>
      <c r="N89" s="24">
        <f t="shared" si="4"/>
        <v>0</v>
      </c>
      <c r="O89" s="24">
        <f t="shared" si="4"/>
        <v>0</v>
      </c>
      <c r="P89" s="24">
        <f t="shared" si="4"/>
        <v>0</v>
      </c>
      <c r="Q89" s="24">
        <f t="shared" si="4"/>
        <v>0</v>
      </c>
      <c r="R89" s="24">
        <f t="shared" si="4"/>
        <v>0</v>
      </c>
      <c r="S89" s="24">
        <f t="shared" si="4"/>
        <v>0</v>
      </c>
      <c r="T89" s="24">
        <f t="shared" si="4"/>
        <v>0</v>
      </c>
      <c r="U89" s="24" t="str">
        <f t="shared" si="4"/>
        <v>CHECK</v>
      </c>
      <c r="V89" s="24"/>
    </row>
    <row r="92" spans="1:22" x14ac:dyDescent="0.25">
      <c r="A92" s="8"/>
      <c r="B92" s="9" t="s">
        <v>877</v>
      </c>
      <c r="C92" s="8"/>
      <c r="D92" s="8"/>
      <c r="E92" s="8"/>
      <c r="F92" s="8"/>
      <c r="G92" s="8"/>
      <c r="H92" s="8"/>
      <c r="I92" s="8"/>
      <c r="J92" s="8"/>
      <c r="K92" s="8"/>
      <c r="L92" s="8"/>
      <c r="M92" s="8"/>
      <c r="N92" s="8"/>
      <c r="O92" s="8"/>
      <c r="P92" s="8"/>
      <c r="Q92" s="8"/>
      <c r="R92" s="8"/>
      <c r="S92" s="8"/>
      <c r="T92" s="8"/>
      <c r="U92" s="8"/>
      <c r="V92" s="8"/>
    </row>
    <row r="94" spans="1:22" x14ac:dyDescent="0.25">
      <c r="A94" s="11" t="s">
        <v>29</v>
      </c>
      <c r="B94" s="11"/>
      <c r="C94" s="11" t="s">
        <v>836</v>
      </c>
      <c r="D94" s="11" t="s">
        <v>880</v>
      </c>
      <c r="E94" s="24">
        <f t="shared" ref="E94:U94" si="6">IFERROR(((E24/E72)-1), "CHECK")</f>
        <v>0</v>
      </c>
      <c r="F94" s="24">
        <f t="shared" si="6"/>
        <v>0</v>
      </c>
      <c r="G94" s="24">
        <f t="shared" si="6"/>
        <v>0</v>
      </c>
      <c r="H94" s="24">
        <f t="shared" si="6"/>
        <v>0</v>
      </c>
      <c r="I94" s="24">
        <f t="shared" si="6"/>
        <v>0</v>
      </c>
      <c r="J94" s="24">
        <f t="shared" si="6"/>
        <v>0</v>
      </c>
      <c r="K94" s="24">
        <f t="shared" si="6"/>
        <v>0</v>
      </c>
      <c r="L94" s="24">
        <f t="shared" si="6"/>
        <v>0</v>
      </c>
      <c r="M94" s="24">
        <f t="shared" si="6"/>
        <v>0</v>
      </c>
      <c r="N94" s="24">
        <f t="shared" si="6"/>
        <v>0</v>
      </c>
      <c r="O94" s="24">
        <f t="shared" si="6"/>
        <v>0</v>
      </c>
      <c r="P94" s="24">
        <f t="shared" si="6"/>
        <v>0</v>
      </c>
      <c r="Q94" s="24">
        <f t="shared" si="6"/>
        <v>0</v>
      </c>
      <c r="R94" s="24">
        <f t="shared" si="6"/>
        <v>0</v>
      </c>
      <c r="S94" s="24">
        <f t="shared" si="6"/>
        <v>0</v>
      </c>
      <c r="T94" s="24">
        <f t="shared" si="6"/>
        <v>0</v>
      </c>
      <c r="U94" s="24" t="str">
        <f t="shared" si="6"/>
        <v>CHECK</v>
      </c>
      <c r="V94" s="24"/>
    </row>
    <row r="97" spans="1:22" x14ac:dyDescent="0.25">
      <c r="A97" s="8"/>
      <c r="B97" s="9" t="s">
        <v>619</v>
      </c>
      <c r="C97" s="8"/>
      <c r="D97" s="8"/>
      <c r="E97" s="8"/>
      <c r="F97" s="8"/>
      <c r="G97" s="8"/>
      <c r="H97" s="8"/>
      <c r="I97" s="8"/>
      <c r="J97" s="8"/>
      <c r="K97" s="8"/>
      <c r="L97" s="8"/>
      <c r="M97" s="8"/>
      <c r="N97" s="8"/>
      <c r="O97" s="8"/>
      <c r="P97" s="8"/>
      <c r="Q97" s="8"/>
      <c r="R97" s="8"/>
      <c r="S97" s="8"/>
      <c r="T97" s="8"/>
      <c r="U97" s="8"/>
      <c r="V97" s="8"/>
    </row>
    <row r="99" spans="1:22" x14ac:dyDescent="0.25">
      <c r="A99" s="11" t="s">
        <v>29</v>
      </c>
      <c r="B99" s="11"/>
      <c r="C99" s="11" t="s">
        <v>836</v>
      </c>
      <c r="D99" s="11" t="s">
        <v>883</v>
      </c>
      <c r="E99" s="24">
        <f t="shared" ref="E99:U99" si="7">IFERROR(((E29/E77)-1), "CHECK")</f>
        <v>0</v>
      </c>
      <c r="F99" s="24">
        <f t="shared" si="7"/>
        <v>0</v>
      </c>
      <c r="G99" s="24">
        <f t="shared" si="7"/>
        <v>0</v>
      </c>
      <c r="H99" s="24">
        <f t="shared" si="7"/>
        <v>0</v>
      </c>
      <c r="I99" s="24">
        <f t="shared" si="7"/>
        <v>0</v>
      </c>
      <c r="J99" s="24">
        <f t="shared" si="7"/>
        <v>0</v>
      </c>
      <c r="K99" s="24">
        <f t="shared" si="7"/>
        <v>0</v>
      </c>
      <c r="L99" s="24">
        <f t="shared" si="7"/>
        <v>0</v>
      </c>
      <c r="M99" s="24">
        <f t="shared" si="7"/>
        <v>0</v>
      </c>
      <c r="N99" s="24">
        <f t="shared" si="7"/>
        <v>0</v>
      </c>
      <c r="O99" s="24">
        <f t="shared" si="7"/>
        <v>0</v>
      </c>
      <c r="P99" s="24">
        <f t="shared" si="7"/>
        <v>0</v>
      </c>
      <c r="Q99" s="24">
        <f t="shared" si="7"/>
        <v>0</v>
      </c>
      <c r="R99" s="24">
        <f t="shared" si="7"/>
        <v>0</v>
      </c>
      <c r="S99" s="24">
        <f t="shared" si="7"/>
        <v>0</v>
      </c>
      <c r="T99" s="24">
        <f t="shared" si="7"/>
        <v>0</v>
      </c>
      <c r="U99" s="24" t="str">
        <f t="shared" si="7"/>
        <v>CHECK</v>
      </c>
      <c r="V99" s="24"/>
    </row>
    <row r="100" spans="1:22" x14ac:dyDescent="0.25">
      <c r="A100" s="11" t="s">
        <v>29</v>
      </c>
      <c r="B100" s="11"/>
      <c r="C100" s="11" t="s">
        <v>836</v>
      </c>
      <c r="D100" s="11" t="s">
        <v>884</v>
      </c>
      <c r="E100" s="24">
        <f t="shared" ref="E100:U100" si="8">IFERROR(((E30/E78)-1), "CHECK")</f>
        <v>0</v>
      </c>
      <c r="F100" s="24">
        <f t="shared" si="8"/>
        <v>0</v>
      </c>
      <c r="G100" s="24">
        <f t="shared" si="8"/>
        <v>0</v>
      </c>
      <c r="H100" s="24">
        <f t="shared" si="8"/>
        <v>0</v>
      </c>
      <c r="I100" s="24">
        <f t="shared" si="8"/>
        <v>0</v>
      </c>
      <c r="J100" s="24">
        <f t="shared" si="8"/>
        <v>0</v>
      </c>
      <c r="K100" s="24">
        <f t="shared" si="8"/>
        <v>0</v>
      </c>
      <c r="L100" s="24">
        <f t="shared" si="8"/>
        <v>0</v>
      </c>
      <c r="M100" s="24">
        <f t="shared" si="8"/>
        <v>0</v>
      </c>
      <c r="N100" s="24">
        <f t="shared" si="8"/>
        <v>0</v>
      </c>
      <c r="O100" s="24">
        <f t="shared" si="8"/>
        <v>0</v>
      </c>
      <c r="P100" s="24">
        <f t="shared" si="8"/>
        <v>0</v>
      </c>
      <c r="Q100" s="24">
        <f t="shared" si="8"/>
        <v>0</v>
      </c>
      <c r="R100" s="24">
        <f t="shared" si="8"/>
        <v>0</v>
      </c>
      <c r="S100" s="24">
        <f t="shared" si="8"/>
        <v>0</v>
      </c>
      <c r="T100" s="24">
        <f t="shared" si="8"/>
        <v>0</v>
      </c>
      <c r="U100" s="24" t="str">
        <f t="shared" si="8"/>
        <v>CHECK</v>
      </c>
      <c r="V100" s="24"/>
    </row>
    <row r="102" spans="1:22" x14ac:dyDescent="0.25">
      <c r="B102" s="14"/>
    </row>
    <row r="103" spans="1:22" x14ac:dyDescent="0.25">
      <c r="B103" s="14"/>
    </row>
    <row r="104" spans="1:22" x14ac:dyDescent="0.25">
      <c r="B104" s="14"/>
    </row>
    <row r="105" spans="1:22" x14ac:dyDescent="0.25">
      <c r="B105" s="14"/>
    </row>
    <row r="106" spans="1:22" x14ac:dyDescent="0.25">
      <c r="B106" s="14"/>
    </row>
    <row r="107" spans="1:22" x14ac:dyDescent="0.25">
      <c r="B107" s="14"/>
    </row>
    <row r="108" spans="1:22" x14ac:dyDescent="0.25">
      <c r="B108" s="14"/>
    </row>
    <row r="109" spans="1:22" x14ac:dyDescent="0.25">
      <c r="B109" s="14"/>
    </row>
  </sheetData>
  <mergeCells count="1">
    <mergeCell ref="C1:J1"/>
  </mergeCells>
  <conditionalFormatting sqref="E84:V89 E94:V94 E99:V100">
    <cfRule type="colorScale" priority="1">
      <colorScale>
        <cfvo type="min"/>
        <cfvo type="num" val="0"/>
        <cfvo type="max"/>
        <color theme="3" tint="0.59999389629810485"/>
        <color theme="0"/>
        <color rgb="FFEE9CA4"/>
      </colorScale>
    </cfRule>
  </conditionalFormatting>
  <conditionalFormatting sqref="K2">
    <cfRule type="expression" dxfId="37" priority="2">
      <formula>(UPPER(LEFT(SUBSTITUTE($Z2,"#",""),5))="FIXCH")</formula>
    </cfRule>
    <cfRule type="expression" dxfId="36" priority="3">
      <formula>(UPPER(SUBSTITUTE($Z2,"#",""))="OK")</formula>
    </cfRule>
  </conditionalFormatting>
  <dataValidations count="1">
    <dataValidation type="list" allowBlank="1" showInputMessage="1" showErrorMessage="1" sqref="B8" xr:uid="{00000000-0002-0000-0F00-000000000000}">
      <formula1>"Draft - not checked, Undergoing QA/QC, Checked, Final"</formula1>
    </dataValidation>
  </dataValidations>
  <pageMargins left="0.7" right="0.7" top="0.75" bottom="0.75" header="0.3" footer="0.3"/>
  <pageSetup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0F00-00000E000000}">
          <x14:colorSeries rgb="FF376092"/>
          <x14:colorNegative rgb="FFD00000"/>
          <x14:colorAxis rgb="FF000000"/>
          <x14:colorMarkers rgb="FFD00000"/>
          <x14:colorFirst rgb="FFD00000"/>
          <x14:colorLast rgb="FFD00000"/>
          <x14:colorHigh rgb="FFD00000"/>
          <x14:colorLow rgb="FFD00000"/>
          <x14:sparklines>
            <x14:sparkline>
              <xm:f>'2A1 Cement Production'!E14:V14</xm:f>
              <xm:sqref>W14</xm:sqref>
            </x14:sparkline>
            <x14:sparkline>
              <xm:f>'2A1 Cement Production'!E15:V15</xm:f>
              <xm:sqref>W15</xm:sqref>
            </x14:sparkline>
            <x14:sparkline>
              <xm:f>'2A1 Cement Production'!E16:V16</xm:f>
              <xm:sqref>W16</xm:sqref>
            </x14:sparkline>
            <x14:sparkline>
              <xm:f>'2A1 Cement Production'!E17:V17</xm:f>
              <xm:sqref>W17</xm:sqref>
            </x14:sparkline>
            <x14:sparkline>
              <xm:f>'2A1 Cement Production'!E18:V18</xm:f>
              <xm:sqref>W18</xm:sqref>
            </x14:sparkline>
            <x14:sparkline>
              <xm:f>'2A1 Cement Production'!E19:V19</xm:f>
              <xm:sqref>W19</xm:sqref>
            </x14:sparkline>
          </x14:sparklines>
        </x14:sparklineGroup>
        <x14:sparklineGroup manualMax="0" manualMin="0" displayEmptyCellsAs="gap" xr2:uid="{00000000-0003-0000-0F00-00000D000000}">
          <x14:colorSeries rgb="FF376092"/>
          <x14:colorNegative rgb="FFD00000"/>
          <x14:colorAxis rgb="FF000000"/>
          <x14:colorMarkers rgb="FFD00000"/>
          <x14:colorFirst rgb="FFD00000"/>
          <x14:colorLast rgb="FFD00000"/>
          <x14:colorHigh rgb="FFD00000"/>
          <x14:colorLow rgb="FFD00000"/>
          <x14:sparklines>
            <x14:sparkline>
              <xm:f>'2A1 Cement Production'!E24:V24</xm:f>
              <xm:sqref>W24</xm:sqref>
            </x14:sparkline>
          </x14:sparklines>
        </x14:sparklineGroup>
        <x14:sparklineGroup manualMax="0" manualMin="0" displayEmptyCellsAs="gap" xr2:uid="{00000000-0003-0000-0F00-00000C000000}">
          <x14:colorSeries rgb="FF376092"/>
          <x14:colorNegative rgb="FFD00000"/>
          <x14:colorAxis rgb="FF000000"/>
          <x14:colorMarkers rgb="FFD00000"/>
          <x14:colorFirst rgb="FFD00000"/>
          <x14:colorLast rgb="FFD00000"/>
          <x14:colorHigh rgb="FFD00000"/>
          <x14:colorLow rgb="FFD00000"/>
          <x14:sparklines>
            <x14:sparkline>
              <xm:f>'2A1 Cement Production'!E29:V29</xm:f>
              <xm:sqref>W29</xm:sqref>
            </x14:sparkline>
            <x14:sparkline>
              <xm:f>'2A1 Cement Production'!E30:V30</xm:f>
              <xm:sqref>W30</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theme="3" tint="0.79998168889431442"/>
  </sheetPr>
  <dimension ref="A1:Y101"/>
  <sheetViews>
    <sheetView topLeftCell="A11" workbookViewId="0">
      <selection activeCell="E25" sqref="E25"/>
    </sheetView>
  </sheetViews>
  <sheetFormatPr defaultRowHeight="15" x14ac:dyDescent="0.25"/>
  <cols>
    <col min="1" max="1" width="24.85546875" bestFit="1" customWidth="1"/>
    <col min="2" max="2" width="53.5703125" customWidth="1"/>
    <col min="3" max="32" width="10.42578125" customWidth="1"/>
    <col min="33" max="93" width="53.7109375" bestFit="1" customWidth="1"/>
    <col min="94" max="108" width="16.5703125" bestFit="1" customWidth="1"/>
  </cols>
  <sheetData>
    <row r="1" spans="1:25" x14ac:dyDescent="0.25">
      <c r="A1" s="15" t="s">
        <v>855</v>
      </c>
      <c r="B1" s="4" t="str">
        <f ca="1">MID(CELL("filename",A1),FIND("]",CELL("filename",A1))+1,256)</f>
        <v>2A2 Lime Production</v>
      </c>
      <c r="C1" s="261" t="s">
        <v>856</v>
      </c>
      <c r="D1" s="262"/>
      <c r="E1" s="262"/>
      <c r="F1" s="262"/>
      <c r="G1" s="262"/>
      <c r="H1" s="262"/>
      <c r="I1" s="262"/>
      <c r="J1" s="263"/>
      <c r="K1" s="14"/>
    </row>
    <row r="2" spans="1:25" ht="49.5" customHeight="1" x14ac:dyDescent="0.25">
      <c r="A2" s="15" t="s">
        <v>736</v>
      </c>
      <c r="B2" s="33" t="s">
        <v>857</v>
      </c>
      <c r="C2" s="264" t="s">
        <v>889</v>
      </c>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863</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2" spans="1:25" x14ac:dyDescent="0.25">
      <c r="M12" t="s">
        <v>49</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47</v>
      </c>
      <c r="B14" t="s">
        <v>891</v>
      </c>
      <c r="D14" t="s">
        <v>892</v>
      </c>
      <c r="E14" s="114">
        <v>532100</v>
      </c>
      <c r="F14" s="114">
        <v>522910</v>
      </c>
      <c r="G14" s="114">
        <v>572369</v>
      </c>
      <c r="H14" s="114">
        <v>586969</v>
      </c>
      <c r="I14" s="114">
        <v>608056</v>
      </c>
      <c r="J14" s="114">
        <v>685860</v>
      </c>
      <c r="K14" s="114">
        <v>755302</v>
      </c>
      <c r="L14" s="114">
        <v>660772</v>
      </c>
      <c r="M14" s="114">
        <v>1436000</v>
      </c>
      <c r="N14" s="114">
        <v>1264000</v>
      </c>
      <c r="O14" s="114">
        <v>1179000</v>
      </c>
      <c r="P14" s="114">
        <v>1422000</v>
      </c>
      <c r="Q14" s="114">
        <v>1113000</v>
      </c>
      <c r="R14" s="114">
        <v>1091000</v>
      </c>
      <c r="S14" s="114">
        <v>1111579</v>
      </c>
      <c r="T14" s="114">
        <v>1026591</v>
      </c>
      <c r="U14" s="183">
        <f>410575*17^0.3828</f>
        <v>1214530.2850112792</v>
      </c>
      <c r="V14" s="183">
        <f>410575*18^0.3828</f>
        <v>1241397.357269184</v>
      </c>
      <c r="Y14" t="s">
        <v>55</v>
      </c>
    </row>
    <row r="15" spans="1:25" x14ac:dyDescent="0.25">
      <c r="A15" t="s">
        <v>47</v>
      </c>
      <c r="B15" t="s">
        <v>893</v>
      </c>
      <c r="D15" t="s">
        <v>892</v>
      </c>
      <c r="E15" s="114">
        <v>46270</v>
      </c>
      <c r="F15" s="114">
        <v>45470</v>
      </c>
      <c r="G15" s="114">
        <v>49771</v>
      </c>
      <c r="H15" s="114">
        <v>51041</v>
      </c>
      <c r="I15" s="114">
        <v>52874</v>
      </c>
      <c r="J15" s="114">
        <v>59640</v>
      </c>
      <c r="K15" s="114">
        <v>65678</v>
      </c>
      <c r="L15" s="114">
        <v>57458</v>
      </c>
      <c r="M15" s="114">
        <v>142000</v>
      </c>
      <c r="N15" s="114">
        <v>104000</v>
      </c>
      <c r="O15" s="114">
        <v>113000</v>
      </c>
      <c r="P15" s="114">
        <v>118000</v>
      </c>
      <c r="Q15" s="114">
        <v>97000</v>
      </c>
      <c r="R15" s="114">
        <v>100000</v>
      </c>
      <c r="S15" s="114">
        <v>148760</v>
      </c>
      <c r="T15" s="114">
        <v>92623</v>
      </c>
      <c r="U15" s="183">
        <f>33916*17^0.4307</f>
        <v>114910.30490917445</v>
      </c>
      <c r="V15" s="183">
        <f>33916*18^0.4307</f>
        <v>117774.28993449018</v>
      </c>
      <c r="Y15" t="s">
        <v>55</v>
      </c>
    </row>
    <row r="16" spans="1:25" x14ac:dyDescent="0.25">
      <c r="E16" s="23"/>
      <c r="F16" s="23"/>
      <c r="G16" s="23"/>
      <c r="H16" s="23"/>
      <c r="I16" s="23"/>
      <c r="J16" s="23"/>
      <c r="K16" s="23"/>
      <c r="L16" s="23"/>
      <c r="M16" s="23"/>
      <c r="N16" s="23"/>
      <c r="O16" s="23"/>
      <c r="P16" s="23"/>
      <c r="Q16" s="23"/>
      <c r="R16" s="23"/>
      <c r="S16" s="23"/>
      <c r="T16" s="23"/>
      <c r="U16" s="23"/>
      <c r="V16" s="23"/>
    </row>
    <row r="17" spans="1:25" s="5" customFormat="1" ht="21" x14ac:dyDescent="0.35">
      <c r="B17" s="6" t="s">
        <v>877</v>
      </c>
      <c r="E17" s="5" t="s">
        <v>878</v>
      </c>
    </row>
    <row r="18" spans="1:25" x14ac:dyDescent="0.25">
      <c r="Y18" t="s">
        <v>58</v>
      </c>
    </row>
    <row r="19" spans="1:25" x14ac:dyDescent="0.25">
      <c r="A19" t="s">
        <v>47</v>
      </c>
      <c r="B19" t="s">
        <v>894</v>
      </c>
      <c r="C19" t="s">
        <v>836</v>
      </c>
      <c r="D19" t="s">
        <v>880</v>
      </c>
      <c r="E19" s="205">
        <v>0.75</v>
      </c>
      <c r="F19" s="205">
        <v>0.75</v>
      </c>
      <c r="G19" s="205">
        <v>0.75</v>
      </c>
      <c r="H19" s="205">
        <v>0.75</v>
      </c>
      <c r="I19" s="205">
        <v>0.75</v>
      </c>
      <c r="J19" s="205">
        <v>0.75</v>
      </c>
      <c r="K19" s="205">
        <v>0.75</v>
      </c>
      <c r="L19" s="205">
        <v>0.75</v>
      </c>
      <c r="M19" s="205">
        <v>0.75</v>
      </c>
      <c r="N19" s="205">
        <v>0.75</v>
      </c>
      <c r="O19" s="205">
        <v>0.75</v>
      </c>
      <c r="P19" s="205">
        <v>0.75</v>
      </c>
      <c r="Q19" s="205">
        <v>0.75</v>
      </c>
      <c r="R19" s="205">
        <v>0.75</v>
      </c>
      <c r="S19" s="205">
        <v>0.75</v>
      </c>
      <c r="T19" s="205">
        <v>0.75</v>
      </c>
      <c r="U19" s="205">
        <v>0.75</v>
      </c>
      <c r="V19" s="205">
        <v>0.75</v>
      </c>
      <c r="Y19" t="s">
        <v>60</v>
      </c>
    </row>
    <row r="20" spans="1:25" x14ac:dyDescent="0.25">
      <c r="A20" t="s">
        <v>47</v>
      </c>
      <c r="B20" t="s">
        <v>895</v>
      </c>
      <c r="C20" t="s">
        <v>836</v>
      </c>
      <c r="D20" t="s">
        <v>896</v>
      </c>
      <c r="E20" s="205">
        <v>1.02</v>
      </c>
      <c r="F20" s="205">
        <v>1.02</v>
      </c>
      <c r="G20" s="205">
        <v>1.02</v>
      </c>
      <c r="H20" s="205">
        <v>1.02</v>
      </c>
      <c r="I20" s="205">
        <v>1.02</v>
      </c>
      <c r="J20" s="205">
        <v>1.02</v>
      </c>
      <c r="K20" s="205">
        <v>1.02</v>
      </c>
      <c r="L20" s="205">
        <v>1.02</v>
      </c>
      <c r="M20" s="205">
        <v>1.02</v>
      </c>
      <c r="N20" s="205">
        <v>1.02</v>
      </c>
      <c r="O20" s="205">
        <v>1.02</v>
      </c>
      <c r="P20" s="205">
        <v>1.02</v>
      </c>
      <c r="Q20" s="205">
        <v>1.02</v>
      </c>
      <c r="R20" s="205">
        <v>1.02</v>
      </c>
      <c r="S20" s="205">
        <v>1.02</v>
      </c>
      <c r="T20" s="205">
        <v>1.02</v>
      </c>
      <c r="U20" s="205">
        <v>1.02</v>
      </c>
      <c r="V20" s="205">
        <v>1.02</v>
      </c>
      <c r="Y20" t="s">
        <v>63</v>
      </c>
    </row>
    <row r="21" spans="1:25" x14ac:dyDescent="0.25">
      <c r="A21" t="s">
        <v>47</v>
      </c>
      <c r="B21" t="s">
        <v>897</v>
      </c>
      <c r="C21" t="s">
        <v>836</v>
      </c>
      <c r="D21" t="s">
        <v>896</v>
      </c>
      <c r="E21" s="205">
        <v>0.97</v>
      </c>
      <c r="F21" s="205">
        <v>0.97</v>
      </c>
      <c r="G21" s="205">
        <v>0.97</v>
      </c>
      <c r="H21" s="205">
        <v>0.97</v>
      </c>
      <c r="I21" s="205">
        <v>0.97</v>
      </c>
      <c r="J21" s="205">
        <v>0.97</v>
      </c>
      <c r="K21" s="205">
        <v>0.97</v>
      </c>
      <c r="L21" s="205">
        <v>0.97</v>
      </c>
      <c r="M21" s="205">
        <v>0.97</v>
      </c>
      <c r="N21" s="205">
        <v>0.97</v>
      </c>
      <c r="O21" s="205">
        <v>0.97</v>
      </c>
      <c r="P21" s="205">
        <v>0.97</v>
      </c>
      <c r="Q21" s="205">
        <v>0.97</v>
      </c>
      <c r="R21" s="205">
        <v>0.97</v>
      </c>
      <c r="S21" s="205">
        <v>0.97</v>
      </c>
      <c r="T21" s="205">
        <v>0.97</v>
      </c>
      <c r="U21" s="205">
        <v>0.97</v>
      </c>
      <c r="V21" s="205">
        <v>0.97</v>
      </c>
      <c r="Y21" t="s">
        <v>65</v>
      </c>
    </row>
    <row r="23" spans="1:25" s="5" customFormat="1" ht="21" x14ac:dyDescent="0.35">
      <c r="B23" s="6" t="s">
        <v>619</v>
      </c>
      <c r="E23" s="5" t="s">
        <v>881</v>
      </c>
    </row>
    <row r="25" spans="1:25" x14ac:dyDescent="0.25">
      <c r="A25" t="s">
        <v>47</v>
      </c>
      <c r="B25" t="s">
        <v>898</v>
      </c>
      <c r="C25" t="s">
        <v>836</v>
      </c>
      <c r="D25" t="s">
        <v>883</v>
      </c>
      <c r="E25" s="117">
        <f>E14*E19*E20</f>
        <v>407056.5</v>
      </c>
      <c r="F25" s="117">
        <f t="shared" ref="F25:T25" si="0">F14*F19</f>
        <v>392182.5</v>
      </c>
      <c r="G25" s="117">
        <f t="shared" si="0"/>
        <v>429276.75</v>
      </c>
      <c r="H25" s="117">
        <f t="shared" si="0"/>
        <v>440226.75</v>
      </c>
      <c r="I25" s="117">
        <f t="shared" si="0"/>
        <v>456042</v>
      </c>
      <c r="J25" s="117">
        <f t="shared" si="0"/>
        <v>514395</v>
      </c>
      <c r="K25" s="117">
        <f t="shared" si="0"/>
        <v>566476.5</v>
      </c>
      <c r="L25" s="117">
        <f t="shared" si="0"/>
        <v>495579</v>
      </c>
      <c r="M25" s="117">
        <f t="shared" si="0"/>
        <v>1077000</v>
      </c>
      <c r="N25" s="117">
        <f t="shared" si="0"/>
        <v>948000</v>
      </c>
      <c r="O25" s="117">
        <f t="shared" si="0"/>
        <v>884250</v>
      </c>
      <c r="P25" s="117">
        <f t="shared" si="0"/>
        <v>1066500</v>
      </c>
      <c r="Q25" s="117">
        <f t="shared" si="0"/>
        <v>834750</v>
      </c>
      <c r="R25" s="117">
        <f t="shared" si="0"/>
        <v>818250</v>
      </c>
      <c r="S25" s="117">
        <f t="shared" si="0"/>
        <v>833684.25</v>
      </c>
      <c r="T25" s="117">
        <f t="shared" si="0"/>
        <v>769943.25</v>
      </c>
      <c r="U25" s="117">
        <f t="shared" ref="U25:V25" si="1">U14*U19</f>
        <v>910897.71375845931</v>
      </c>
      <c r="V25" s="117">
        <f t="shared" si="1"/>
        <v>931048.01795188803</v>
      </c>
    </row>
    <row r="26" spans="1:25" x14ac:dyDescent="0.25">
      <c r="A26" t="s">
        <v>47</v>
      </c>
      <c r="B26" t="s">
        <v>899</v>
      </c>
      <c r="C26" t="s">
        <v>836</v>
      </c>
      <c r="D26" t="s">
        <v>883</v>
      </c>
      <c r="E26" s="117">
        <f>E15*E19*E20*E21</f>
        <v>34334.6535</v>
      </c>
      <c r="F26" s="117">
        <f t="shared" ref="F26:T26" si="2">F15*F21</f>
        <v>44105.9</v>
      </c>
      <c r="G26" s="117">
        <f t="shared" si="2"/>
        <v>48277.869999999995</v>
      </c>
      <c r="H26" s="117">
        <f t="shared" si="2"/>
        <v>49509.77</v>
      </c>
      <c r="I26" s="117">
        <f t="shared" si="2"/>
        <v>51287.78</v>
      </c>
      <c r="J26" s="117">
        <f t="shared" si="2"/>
        <v>57850.799999999996</v>
      </c>
      <c r="K26" s="117">
        <f t="shared" si="2"/>
        <v>63707.659999999996</v>
      </c>
      <c r="L26" s="117">
        <f t="shared" si="2"/>
        <v>55734.26</v>
      </c>
      <c r="M26" s="117">
        <f t="shared" si="2"/>
        <v>137740</v>
      </c>
      <c r="N26" s="117">
        <f t="shared" si="2"/>
        <v>100880</v>
      </c>
      <c r="O26" s="117">
        <f t="shared" si="2"/>
        <v>109610</v>
      </c>
      <c r="P26" s="117">
        <f t="shared" si="2"/>
        <v>114460</v>
      </c>
      <c r="Q26" s="117">
        <f t="shared" si="2"/>
        <v>94090</v>
      </c>
      <c r="R26" s="117">
        <f t="shared" si="2"/>
        <v>97000</v>
      </c>
      <c r="S26" s="117">
        <f t="shared" si="2"/>
        <v>144297.19999999998</v>
      </c>
      <c r="T26" s="117">
        <f t="shared" si="2"/>
        <v>89844.31</v>
      </c>
      <c r="U26" s="117">
        <f t="shared" ref="U26:V26" si="3">U15*U21</f>
        <v>111462.9957618992</v>
      </c>
      <c r="V26" s="117">
        <f t="shared" si="3"/>
        <v>114241.06123645547</v>
      </c>
    </row>
    <row r="27" spans="1:25" x14ac:dyDescent="0.25">
      <c r="A27" t="s">
        <v>47</v>
      </c>
      <c r="B27" t="s">
        <v>898</v>
      </c>
      <c r="C27" t="s">
        <v>836</v>
      </c>
      <c r="D27" t="s">
        <v>884</v>
      </c>
      <c r="E27" s="117">
        <f>E25/1000</f>
        <v>407.05650000000003</v>
      </c>
      <c r="F27" s="117">
        <f t="shared" ref="F27:S27" si="4">F25/1000</f>
        <v>392.1825</v>
      </c>
      <c r="G27" s="117">
        <f t="shared" si="4"/>
        <v>429.27674999999999</v>
      </c>
      <c r="H27" s="117">
        <f t="shared" si="4"/>
        <v>440.22674999999998</v>
      </c>
      <c r="I27" s="117">
        <f t="shared" si="4"/>
        <v>456.04199999999997</v>
      </c>
      <c r="J27" s="117">
        <f t="shared" si="4"/>
        <v>514.39499999999998</v>
      </c>
      <c r="K27" s="117">
        <f t="shared" si="4"/>
        <v>566.47649999999999</v>
      </c>
      <c r="L27" s="117">
        <f t="shared" si="4"/>
        <v>495.57900000000001</v>
      </c>
      <c r="M27" s="117">
        <f t="shared" si="4"/>
        <v>1077</v>
      </c>
      <c r="N27" s="117">
        <f t="shared" si="4"/>
        <v>948</v>
      </c>
      <c r="O27" s="117">
        <f t="shared" si="4"/>
        <v>884.25</v>
      </c>
      <c r="P27" s="117">
        <f t="shared" si="4"/>
        <v>1066.5</v>
      </c>
      <c r="Q27" s="117">
        <f t="shared" si="4"/>
        <v>834.75</v>
      </c>
      <c r="R27" s="117">
        <f t="shared" si="4"/>
        <v>818.25</v>
      </c>
      <c r="S27" s="117">
        <f t="shared" si="4"/>
        <v>833.68425000000002</v>
      </c>
      <c r="T27" s="117">
        <f t="shared" ref="T27:V28" si="5">T25/1000</f>
        <v>769.94325000000003</v>
      </c>
      <c r="U27" s="117">
        <f t="shared" si="5"/>
        <v>910.8977137584593</v>
      </c>
      <c r="V27" s="117">
        <f t="shared" si="5"/>
        <v>931.04801795188803</v>
      </c>
    </row>
    <row r="28" spans="1:25" x14ac:dyDescent="0.25">
      <c r="A28" t="s">
        <v>47</v>
      </c>
      <c r="B28" t="s">
        <v>899</v>
      </c>
      <c r="C28" t="s">
        <v>836</v>
      </c>
      <c r="D28" t="s">
        <v>884</v>
      </c>
      <c r="E28" s="117">
        <f>E26/1000</f>
        <v>34.334653500000002</v>
      </c>
      <c r="F28" s="117">
        <f t="shared" ref="F28:S28" si="6">F26/1000</f>
        <v>44.105899999999998</v>
      </c>
      <c r="G28" s="117">
        <f t="shared" si="6"/>
        <v>48.277869999999993</v>
      </c>
      <c r="H28" s="117">
        <f t="shared" si="6"/>
        <v>49.509769999999996</v>
      </c>
      <c r="I28" s="117">
        <f t="shared" si="6"/>
        <v>51.287779999999998</v>
      </c>
      <c r="J28" s="117">
        <f t="shared" si="6"/>
        <v>57.850799999999992</v>
      </c>
      <c r="K28" s="117">
        <f t="shared" si="6"/>
        <v>63.707659999999997</v>
      </c>
      <c r="L28" s="117">
        <f t="shared" si="6"/>
        <v>55.734259999999999</v>
      </c>
      <c r="M28" s="117">
        <f t="shared" si="6"/>
        <v>137.74</v>
      </c>
      <c r="N28" s="117">
        <f t="shared" si="6"/>
        <v>100.88</v>
      </c>
      <c r="O28" s="117">
        <f t="shared" si="6"/>
        <v>109.61</v>
      </c>
      <c r="P28" s="117">
        <f t="shared" si="6"/>
        <v>114.46</v>
      </c>
      <c r="Q28" s="117">
        <f t="shared" si="6"/>
        <v>94.09</v>
      </c>
      <c r="R28" s="117">
        <f t="shared" si="6"/>
        <v>97</v>
      </c>
      <c r="S28" s="117">
        <f t="shared" si="6"/>
        <v>144.29719999999998</v>
      </c>
      <c r="T28" s="117">
        <f t="shared" si="5"/>
        <v>89.844309999999993</v>
      </c>
      <c r="U28" s="117">
        <f t="shared" si="5"/>
        <v>111.46299576189921</v>
      </c>
      <c r="V28" s="117">
        <f t="shared" si="5"/>
        <v>114.24106123645547</v>
      </c>
    </row>
    <row r="29" spans="1:25" x14ac:dyDescent="0.25">
      <c r="A29" s="7" t="s">
        <v>47</v>
      </c>
      <c r="B29" s="7" t="s">
        <v>882</v>
      </c>
      <c r="C29" s="7" t="s">
        <v>836</v>
      </c>
      <c r="D29" s="7" t="s">
        <v>884</v>
      </c>
      <c r="E29" s="116">
        <f>E27+E28</f>
        <v>441.39115350000003</v>
      </c>
      <c r="F29" s="116">
        <f t="shared" ref="F29:S29" si="7">F27+F28</f>
        <v>436.28840000000002</v>
      </c>
      <c r="G29" s="116">
        <f t="shared" si="7"/>
        <v>477.55462</v>
      </c>
      <c r="H29" s="116">
        <f t="shared" si="7"/>
        <v>489.73651999999998</v>
      </c>
      <c r="I29" s="116">
        <f t="shared" si="7"/>
        <v>507.32977999999997</v>
      </c>
      <c r="J29" s="116">
        <f t="shared" si="7"/>
        <v>572.24579999999992</v>
      </c>
      <c r="K29" s="116">
        <f t="shared" si="7"/>
        <v>630.18416000000002</v>
      </c>
      <c r="L29" s="116">
        <f t="shared" si="7"/>
        <v>551.31326000000001</v>
      </c>
      <c r="M29" s="116">
        <f t="shared" si="7"/>
        <v>1214.74</v>
      </c>
      <c r="N29" s="116">
        <f t="shared" si="7"/>
        <v>1048.8800000000001</v>
      </c>
      <c r="O29" s="116">
        <f t="shared" si="7"/>
        <v>993.86</v>
      </c>
      <c r="P29" s="116">
        <f t="shared" si="7"/>
        <v>1180.96</v>
      </c>
      <c r="Q29" s="116">
        <f t="shared" si="7"/>
        <v>928.84</v>
      </c>
      <c r="R29" s="116">
        <f t="shared" si="7"/>
        <v>915.25</v>
      </c>
      <c r="S29" s="116">
        <f t="shared" si="7"/>
        <v>977.98145</v>
      </c>
      <c r="T29" s="116">
        <f>T27+T28</f>
        <v>859.78755999999998</v>
      </c>
      <c r="U29" s="116">
        <f>U27+U28</f>
        <v>1022.3607095203586</v>
      </c>
      <c r="V29" s="116">
        <f>V27+V28</f>
        <v>1045.2890791883435</v>
      </c>
    </row>
    <row r="31" spans="1:25" s="5" customFormat="1" ht="21" x14ac:dyDescent="0.35">
      <c r="B31" s="6" t="s">
        <v>885</v>
      </c>
      <c r="E31" s="5" t="s">
        <v>886</v>
      </c>
      <c r="M31" s="5" t="s">
        <v>900</v>
      </c>
    </row>
    <row r="33" spans="1:8" x14ac:dyDescent="0.25">
      <c r="A33" s="27"/>
      <c r="B33" s="26"/>
      <c r="C33" s="26"/>
      <c r="D33" s="26"/>
      <c r="E33" s="26"/>
      <c r="F33" s="26"/>
      <c r="G33" s="26"/>
      <c r="H33" s="26"/>
    </row>
    <row r="54" spans="1:24" ht="21" x14ac:dyDescent="0.35">
      <c r="A54" s="5"/>
      <c r="B54" s="6" t="s">
        <v>346</v>
      </c>
      <c r="C54" s="5"/>
      <c r="D54" s="5"/>
      <c r="E54" s="5" t="s">
        <v>887</v>
      </c>
      <c r="F54" s="5"/>
      <c r="G54" s="5"/>
      <c r="H54" s="5"/>
      <c r="I54" s="5"/>
      <c r="J54" s="5"/>
      <c r="K54" s="5"/>
      <c r="L54" s="5"/>
      <c r="M54" s="5"/>
      <c r="N54" s="5"/>
      <c r="O54" s="5"/>
      <c r="P54" s="5"/>
      <c r="Q54" s="5"/>
      <c r="R54" s="5"/>
      <c r="S54" s="5"/>
      <c r="T54" s="5"/>
      <c r="U54" s="5"/>
      <c r="V54" s="5"/>
      <c r="W54" s="5"/>
      <c r="X54" s="5"/>
    </row>
    <row r="55" spans="1:24" ht="18.75" x14ac:dyDescent="0.3">
      <c r="A55" s="12" t="s">
        <v>844</v>
      </c>
      <c r="E55" t="s">
        <v>888</v>
      </c>
    </row>
    <row r="56" spans="1:24" s="8" customFormat="1" ht="12.75" x14ac:dyDescent="0.2">
      <c r="B56" s="9" t="s">
        <v>865</v>
      </c>
    </row>
    <row r="58" spans="1:24" x14ac:dyDescent="0.25">
      <c r="A58" s="10" t="s">
        <v>867</v>
      </c>
      <c r="B58" s="10" t="s">
        <v>868</v>
      </c>
      <c r="C58" s="10" t="s">
        <v>482</v>
      </c>
      <c r="D58" s="10" t="s">
        <v>740</v>
      </c>
      <c r="E58" s="10">
        <v>2000</v>
      </c>
      <c r="F58" s="10">
        <v>2001</v>
      </c>
      <c r="G58" s="10">
        <v>2002</v>
      </c>
      <c r="H58" s="10">
        <v>2003</v>
      </c>
      <c r="I58" s="10">
        <v>2004</v>
      </c>
      <c r="J58" s="10">
        <v>2005</v>
      </c>
      <c r="K58" s="10">
        <v>2006</v>
      </c>
      <c r="L58" s="10">
        <v>2007</v>
      </c>
      <c r="M58" s="10">
        <v>2008</v>
      </c>
      <c r="N58" s="10">
        <v>2009</v>
      </c>
      <c r="O58" s="10">
        <v>2010</v>
      </c>
      <c r="P58" s="10">
        <v>2011</v>
      </c>
      <c r="Q58" s="10">
        <v>2012</v>
      </c>
      <c r="R58" s="10">
        <v>2013</v>
      </c>
      <c r="S58" s="10">
        <v>2014</v>
      </c>
      <c r="T58" s="10">
        <v>2015</v>
      </c>
      <c r="U58" s="10"/>
      <c r="V58" s="10"/>
    </row>
    <row r="59" spans="1:24" x14ac:dyDescent="0.25">
      <c r="A59" s="11" t="s">
        <v>47</v>
      </c>
      <c r="B59" s="11" t="s">
        <v>891</v>
      </c>
      <c r="C59" s="11"/>
      <c r="D59" s="11" t="s">
        <v>892</v>
      </c>
      <c r="E59" s="29">
        <v>532100</v>
      </c>
      <c r="F59" s="29">
        <v>522910</v>
      </c>
      <c r="G59" s="29">
        <v>572369</v>
      </c>
      <c r="H59" s="29">
        <v>586969</v>
      </c>
      <c r="I59" s="29">
        <v>608056</v>
      </c>
      <c r="J59" s="29">
        <v>685860</v>
      </c>
      <c r="K59" s="29">
        <v>755302</v>
      </c>
      <c r="L59" s="29">
        <v>660772</v>
      </c>
      <c r="M59" s="29">
        <v>1436000</v>
      </c>
      <c r="N59" s="29">
        <v>1264000</v>
      </c>
      <c r="O59" s="29">
        <v>1179000</v>
      </c>
      <c r="P59" s="29">
        <v>1422000</v>
      </c>
      <c r="Q59" s="29">
        <v>1113000</v>
      </c>
      <c r="R59" s="29">
        <v>1091000</v>
      </c>
      <c r="S59" s="29">
        <v>1111579</v>
      </c>
      <c r="T59" s="29">
        <v>1026591</v>
      </c>
      <c r="U59" s="4"/>
      <c r="V59" s="4"/>
    </row>
    <row r="60" spans="1:24" x14ac:dyDescent="0.25">
      <c r="A60" s="11" t="s">
        <v>47</v>
      </c>
      <c r="B60" s="11" t="s">
        <v>893</v>
      </c>
      <c r="C60" s="11"/>
      <c r="D60" s="11" t="s">
        <v>892</v>
      </c>
      <c r="E60" s="29">
        <v>46270</v>
      </c>
      <c r="F60" s="29">
        <v>45470</v>
      </c>
      <c r="G60" s="29">
        <v>49771</v>
      </c>
      <c r="H60" s="29">
        <v>51041</v>
      </c>
      <c r="I60" s="29">
        <v>52874</v>
      </c>
      <c r="J60" s="29">
        <v>59640</v>
      </c>
      <c r="K60" s="29">
        <v>65678</v>
      </c>
      <c r="L60" s="29">
        <v>57458</v>
      </c>
      <c r="M60" s="29">
        <v>142000</v>
      </c>
      <c r="N60" s="29">
        <v>104000</v>
      </c>
      <c r="O60" s="29">
        <v>113000</v>
      </c>
      <c r="P60" s="29">
        <v>118000</v>
      </c>
      <c r="Q60" s="29">
        <v>97000</v>
      </c>
      <c r="R60" s="29">
        <v>100000</v>
      </c>
      <c r="S60" s="29">
        <v>148760</v>
      </c>
      <c r="T60" s="29">
        <v>92623</v>
      </c>
      <c r="U60" s="4"/>
      <c r="V60" s="4"/>
    </row>
    <row r="61" spans="1:24" x14ac:dyDescent="0.25">
      <c r="E61" s="11"/>
      <c r="F61" s="11"/>
      <c r="G61" s="11"/>
      <c r="H61" s="11"/>
      <c r="I61" s="11"/>
      <c r="J61" s="11"/>
      <c r="K61" s="11"/>
      <c r="L61" s="11"/>
      <c r="M61" s="11"/>
      <c r="N61" s="11"/>
      <c r="O61" s="11"/>
      <c r="P61" s="11"/>
      <c r="Q61" s="11"/>
      <c r="R61" s="11"/>
      <c r="S61" s="11"/>
      <c r="T61" s="11"/>
    </row>
    <row r="62" spans="1:24" s="8" customFormat="1" ht="12.75" x14ac:dyDescent="0.2">
      <c r="B62" s="9" t="s">
        <v>877</v>
      </c>
      <c r="E62" s="197" t="s">
        <v>878</v>
      </c>
      <c r="F62" s="197"/>
      <c r="G62" s="197"/>
      <c r="H62" s="197"/>
      <c r="I62" s="197"/>
      <c r="J62" s="197"/>
      <c r="K62" s="197"/>
      <c r="L62" s="197"/>
      <c r="M62" s="197"/>
      <c r="N62" s="197"/>
      <c r="O62" s="197"/>
      <c r="P62" s="197"/>
      <c r="Q62" s="197"/>
      <c r="R62" s="197"/>
      <c r="S62" s="197"/>
      <c r="T62" s="197"/>
    </row>
    <row r="63" spans="1:24" x14ac:dyDescent="0.25">
      <c r="E63" s="11"/>
      <c r="F63" s="11"/>
      <c r="G63" s="11"/>
      <c r="H63" s="11"/>
      <c r="I63" s="11"/>
      <c r="J63" s="11"/>
      <c r="K63" s="11"/>
      <c r="L63" s="11"/>
      <c r="M63" s="11"/>
      <c r="N63" s="11"/>
      <c r="O63" s="11"/>
      <c r="P63" s="11"/>
      <c r="Q63" s="11"/>
      <c r="R63" s="11"/>
      <c r="S63" s="11"/>
      <c r="T63" s="11"/>
    </row>
    <row r="64" spans="1:24" x14ac:dyDescent="0.25">
      <c r="A64" s="11" t="s">
        <v>47</v>
      </c>
      <c r="B64" s="11" t="s">
        <v>894</v>
      </c>
      <c r="C64" s="11" t="s">
        <v>836</v>
      </c>
      <c r="D64" s="11" t="s">
        <v>880</v>
      </c>
      <c r="E64" s="29">
        <v>0.75</v>
      </c>
      <c r="F64" s="29">
        <v>0.75</v>
      </c>
      <c r="G64" s="29">
        <v>0.75</v>
      </c>
      <c r="H64" s="29">
        <v>0.75</v>
      </c>
      <c r="I64" s="29">
        <v>0.75</v>
      </c>
      <c r="J64" s="29">
        <v>0.75</v>
      </c>
      <c r="K64" s="29">
        <v>0.75</v>
      </c>
      <c r="L64" s="29">
        <v>0.75</v>
      </c>
      <c r="M64" s="29">
        <v>0.75</v>
      </c>
      <c r="N64" s="29">
        <v>0.75</v>
      </c>
      <c r="O64" s="29">
        <v>0.75</v>
      </c>
      <c r="P64" s="29">
        <v>0.75</v>
      </c>
      <c r="Q64" s="29">
        <v>0.75</v>
      </c>
      <c r="R64" s="29">
        <v>0.75</v>
      </c>
      <c r="S64" s="29">
        <v>0.75</v>
      </c>
      <c r="T64" s="29">
        <v>0.75</v>
      </c>
      <c r="U64" s="4"/>
      <c r="V64" s="4"/>
    </row>
    <row r="65" spans="1:22" x14ac:dyDescent="0.25">
      <c r="A65" s="11" t="s">
        <v>47</v>
      </c>
      <c r="B65" s="11" t="s">
        <v>895</v>
      </c>
      <c r="C65" s="11" t="s">
        <v>836</v>
      </c>
      <c r="D65" s="11" t="s">
        <v>896</v>
      </c>
      <c r="E65" s="29">
        <v>1.02</v>
      </c>
      <c r="F65" s="29">
        <v>1.02</v>
      </c>
      <c r="G65" s="29">
        <v>1.02</v>
      </c>
      <c r="H65" s="29">
        <v>1.02</v>
      </c>
      <c r="I65" s="29">
        <v>1.02</v>
      </c>
      <c r="J65" s="29">
        <v>1.02</v>
      </c>
      <c r="K65" s="29">
        <v>1.02</v>
      </c>
      <c r="L65" s="29">
        <v>1.02</v>
      </c>
      <c r="M65" s="29">
        <v>1.02</v>
      </c>
      <c r="N65" s="29">
        <v>1.02</v>
      </c>
      <c r="O65" s="29">
        <v>1.02</v>
      </c>
      <c r="P65" s="29">
        <v>1.02</v>
      </c>
      <c r="Q65" s="29">
        <v>1.02</v>
      </c>
      <c r="R65" s="29">
        <v>1.02</v>
      </c>
      <c r="S65" s="29">
        <v>1.02</v>
      </c>
      <c r="T65" s="29">
        <v>1.02</v>
      </c>
      <c r="U65" s="4"/>
      <c r="V65" s="4"/>
    </row>
    <row r="66" spans="1:22" x14ac:dyDescent="0.25">
      <c r="A66" s="11" t="s">
        <v>47</v>
      </c>
      <c r="B66" s="11" t="s">
        <v>897</v>
      </c>
      <c r="C66" s="11" t="s">
        <v>836</v>
      </c>
      <c r="D66" s="11" t="s">
        <v>896</v>
      </c>
      <c r="E66" s="29">
        <v>0.97</v>
      </c>
      <c r="F66" s="29">
        <v>0.97</v>
      </c>
      <c r="G66" s="29">
        <v>0.97</v>
      </c>
      <c r="H66" s="29">
        <v>0.97</v>
      </c>
      <c r="I66" s="29">
        <v>0.97</v>
      </c>
      <c r="J66" s="29">
        <v>0.97</v>
      </c>
      <c r="K66" s="29">
        <v>0.97</v>
      </c>
      <c r="L66" s="29">
        <v>0.97</v>
      </c>
      <c r="M66" s="29">
        <v>0.97</v>
      </c>
      <c r="N66" s="29">
        <v>0.97</v>
      </c>
      <c r="O66" s="29">
        <v>0.97</v>
      </c>
      <c r="P66" s="29">
        <v>0.97</v>
      </c>
      <c r="Q66" s="29">
        <v>0.97</v>
      </c>
      <c r="R66" s="29">
        <v>0.97</v>
      </c>
      <c r="S66" s="29">
        <v>0.97</v>
      </c>
      <c r="T66" s="29">
        <v>0.97</v>
      </c>
      <c r="U66" s="4"/>
      <c r="V66" s="4"/>
    </row>
    <row r="67" spans="1:22" x14ac:dyDescent="0.25">
      <c r="E67" s="11"/>
      <c r="F67" s="11"/>
      <c r="G67" s="11"/>
      <c r="H67" s="11"/>
      <c r="I67" s="11"/>
      <c r="J67" s="11"/>
      <c r="K67" s="11"/>
      <c r="L67" s="11"/>
      <c r="M67" s="11"/>
      <c r="N67" s="11"/>
      <c r="O67" s="11"/>
      <c r="P67" s="11"/>
      <c r="Q67" s="11"/>
      <c r="R67" s="11"/>
      <c r="S67" s="11"/>
      <c r="T67" s="11"/>
    </row>
    <row r="68" spans="1:22" s="8" customFormat="1" ht="12.75" x14ac:dyDescent="0.2">
      <c r="B68" s="9" t="s">
        <v>619</v>
      </c>
      <c r="E68" s="197" t="s">
        <v>881</v>
      </c>
      <c r="F68" s="197"/>
      <c r="G68" s="197"/>
      <c r="H68" s="197"/>
      <c r="I68" s="197"/>
      <c r="J68" s="197"/>
      <c r="K68" s="197"/>
      <c r="L68" s="197"/>
      <c r="M68" s="197"/>
      <c r="N68" s="197"/>
      <c r="O68" s="197"/>
      <c r="P68" s="197"/>
      <c r="Q68" s="197"/>
      <c r="R68" s="197"/>
      <c r="S68" s="197"/>
      <c r="T68" s="197"/>
    </row>
    <row r="69" spans="1:22" x14ac:dyDescent="0.25">
      <c r="E69" s="11"/>
      <c r="F69" s="11"/>
      <c r="G69" s="11"/>
      <c r="H69" s="11"/>
      <c r="I69" s="11"/>
      <c r="J69" s="11"/>
      <c r="K69" s="11"/>
      <c r="L69" s="11"/>
      <c r="M69" s="11"/>
      <c r="N69" s="11"/>
      <c r="O69" s="11"/>
      <c r="P69" s="11"/>
      <c r="Q69" s="11"/>
      <c r="R69" s="11"/>
      <c r="S69" s="11"/>
      <c r="T69" s="11"/>
    </row>
    <row r="70" spans="1:22" x14ac:dyDescent="0.25">
      <c r="A70" s="11" t="s">
        <v>47</v>
      </c>
      <c r="B70" s="11" t="s">
        <v>898</v>
      </c>
      <c r="C70" s="11" t="s">
        <v>836</v>
      </c>
      <c r="D70" s="11" t="s">
        <v>883</v>
      </c>
      <c r="E70" s="29">
        <v>407056.5</v>
      </c>
      <c r="F70" s="29">
        <v>392182.5</v>
      </c>
      <c r="G70" s="29">
        <v>429276.75</v>
      </c>
      <c r="H70" s="29">
        <v>440226.75</v>
      </c>
      <c r="I70" s="29">
        <v>456042</v>
      </c>
      <c r="J70" s="29">
        <v>514395</v>
      </c>
      <c r="K70" s="29">
        <v>566476.5</v>
      </c>
      <c r="L70" s="29">
        <v>495579</v>
      </c>
      <c r="M70" s="29">
        <v>1077000</v>
      </c>
      <c r="N70" s="29">
        <v>948000</v>
      </c>
      <c r="O70" s="29">
        <v>884250</v>
      </c>
      <c r="P70" s="29">
        <v>1066500</v>
      </c>
      <c r="Q70" s="29">
        <v>834750</v>
      </c>
      <c r="R70" s="29">
        <v>818250</v>
      </c>
      <c r="S70" s="29">
        <v>833684.25</v>
      </c>
      <c r="T70" s="29">
        <v>769943.25</v>
      </c>
      <c r="U70" s="4"/>
      <c r="V70" s="4"/>
    </row>
    <row r="71" spans="1:22" x14ac:dyDescent="0.25">
      <c r="A71" s="11" t="s">
        <v>47</v>
      </c>
      <c r="B71" s="11" t="s">
        <v>899</v>
      </c>
      <c r="C71" s="11" t="s">
        <v>836</v>
      </c>
      <c r="D71" s="11" t="s">
        <v>883</v>
      </c>
      <c r="E71" s="29">
        <v>34334.6535</v>
      </c>
      <c r="F71" s="29">
        <v>44105.9</v>
      </c>
      <c r="G71" s="29">
        <v>48277.869999999995</v>
      </c>
      <c r="H71" s="29">
        <v>49509.77</v>
      </c>
      <c r="I71" s="29">
        <v>51287.78</v>
      </c>
      <c r="J71" s="29">
        <v>57850.799999999996</v>
      </c>
      <c r="K71" s="29">
        <v>63707.659999999996</v>
      </c>
      <c r="L71" s="29">
        <v>55734.26</v>
      </c>
      <c r="M71" s="29">
        <v>137740</v>
      </c>
      <c r="N71" s="29">
        <v>100880</v>
      </c>
      <c r="O71" s="29">
        <v>109610</v>
      </c>
      <c r="P71" s="29">
        <v>114460</v>
      </c>
      <c r="Q71" s="29">
        <v>94090</v>
      </c>
      <c r="R71" s="29">
        <v>97000</v>
      </c>
      <c r="S71" s="29">
        <v>144297.19999999998</v>
      </c>
      <c r="T71" s="29">
        <v>89844.31</v>
      </c>
      <c r="U71" s="4"/>
      <c r="V71" s="4"/>
    </row>
    <row r="72" spans="1:22" x14ac:dyDescent="0.25">
      <c r="A72" s="11" t="s">
        <v>47</v>
      </c>
      <c r="B72" s="11" t="s">
        <v>898</v>
      </c>
      <c r="C72" s="11" t="s">
        <v>836</v>
      </c>
      <c r="D72" s="11" t="s">
        <v>884</v>
      </c>
      <c r="E72" s="29">
        <v>407.05650000000003</v>
      </c>
      <c r="F72" s="29">
        <v>392.1825</v>
      </c>
      <c r="G72" s="29">
        <v>429.27674999999999</v>
      </c>
      <c r="H72" s="29">
        <v>440.22674999999998</v>
      </c>
      <c r="I72" s="29">
        <v>456.04199999999997</v>
      </c>
      <c r="J72" s="29">
        <v>514.39499999999998</v>
      </c>
      <c r="K72" s="29">
        <v>566.47649999999999</v>
      </c>
      <c r="L72" s="29">
        <v>495.57900000000001</v>
      </c>
      <c r="M72" s="29">
        <v>1077</v>
      </c>
      <c r="N72" s="29">
        <v>948</v>
      </c>
      <c r="O72" s="29">
        <v>884.25</v>
      </c>
      <c r="P72" s="29">
        <v>1066.5</v>
      </c>
      <c r="Q72" s="29">
        <v>834.75</v>
      </c>
      <c r="R72" s="29">
        <v>818.25</v>
      </c>
      <c r="S72" s="29">
        <v>833.68425000000002</v>
      </c>
      <c r="T72" s="29">
        <v>769.94325000000003</v>
      </c>
      <c r="U72" s="4"/>
      <c r="V72" s="4"/>
    </row>
    <row r="73" spans="1:22" x14ac:dyDescent="0.25">
      <c r="A73" s="11" t="s">
        <v>47</v>
      </c>
      <c r="B73" s="11" t="s">
        <v>899</v>
      </c>
      <c r="C73" s="11" t="s">
        <v>836</v>
      </c>
      <c r="D73" s="11" t="s">
        <v>884</v>
      </c>
      <c r="E73" s="29">
        <v>34.334653500000002</v>
      </c>
      <c r="F73" s="29">
        <v>44.105899999999998</v>
      </c>
      <c r="G73" s="29">
        <v>48.277869999999993</v>
      </c>
      <c r="H73" s="29">
        <v>49.509769999999996</v>
      </c>
      <c r="I73" s="29">
        <v>51.287779999999998</v>
      </c>
      <c r="J73" s="29">
        <v>57.850799999999992</v>
      </c>
      <c r="K73" s="29">
        <v>63.707659999999997</v>
      </c>
      <c r="L73" s="29">
        <v>55.734259999999999</v>
      </c>
      <c r="M73" s="29">
        <v>137.74</v>
      </c>
      <c r="N73" s="29">
        <v>100.88</v>
      </c>
      <c r="O73" s="29">
        <v>109.61</v>
      </c>
      <c r="P73" s="29">
        <v>114.46</v>
      </c>
      <c r="Q73" s="29">
        <v>94.09</v>
      </c>
      <c r="R73" s="29">
        <v>97</v>
      </c>
      <c r="S73" s="29">
        <v>144.29719999999998</v>
      </c>
      <c r="T73" s="29">
        <v>89.844309999999993</v>
      </c>
      <c r="U73" s="4"/>
      <c r="V73" s="4"/>
    </row>
    <row r="74" spans="1:22" x14ac:dyDescent="0.25">
      <c r="A74" s="11" t="s">
        <v>47</v>
      </c>
      <c r="B74" s="11" t="s">
        <v>882</v>
      </c>
      <c r="C74" s="11" t="s">
        <v>836</v>
      </c>
      <c r="D74" s="11" t="s">
        <v>884</v>
      </c>
      <c r="E74" s="29">
        <v>441.39115350000003</v>
      </c>
      <c r="F74" s="29">
        <v>436.28840000000002</v>
      </c>
      <c r="G74" s="29">
        <v>477.55462</v>
      </c>
      <c r="H74" s="29">
        <v>489.73651999999998</v>
      </c>
      <c r="I74" s="29">
        <v>507.32977999999997</v>
      </c>
      <c r="J74" s="29">
        <v>572.24579999999992</v>
      </c>
      <c r="K74" s="29">
        <v>630.18416000000002</v>
      </c>
      <c r="L74" s="29">
        <v>551.31326000000001</v>
      </c>
      <c r="M74" s="29">
        <v>1214.74</v>
      </c>
      <c r="N74" s="29">
        <v>1048.8800000000001</v>
      </c>
      <c r="O74" s="29">
        <v>993.86</v>
      </c>
      <c r="P74" s="29">
        <v>1180.96</v>
      </c>
      <c r="Q74" s="29">
        <v>928.84</v>
      </c>
      <c r="R74" s="29">
        <v>915.25</v>
      </c>
      <c r="S74" s="29">
        <v>977.98145</v>
      </c>
      <c r="T74" s="29">
        <v>859.78755999999998</v>
      </c>
      <c r="U74" s="4"/>
      <c r="V74" s="4"/>
    </row>
    <row r="75" spans="1:22" x14ac:dyDescent="0.25">
      <c r="A75" s="11"/>
      <c r="B75" s="11"/>
      <c r="C75" s="11"/>
      <c r="D75" s="11"/>
      <c r="E75" s="23"/>
      <c r="F75" s="23"/>
      <c r="G75" s="23"/>
      <c r="H75" s="23"/>
      <c r="I75" s="23"/>
      <c r="J75" s="23"/>
      <c r="K75" s="23"/>
      <c r="L75" s="23"/>
      <c r="M75" s="23"/>
      <c r="N75" s="23"/>
      <c r="O75" s="23"/>
      <c r="P75" s="23"/>
      <c r="Q75" s="23"/>
      <c r="R75" s="23"/>
      <c r="S75" s="23"/>
      <c r="T75" s="23"/>
      <c r="U75" s="23"/>
      <c r="V75" s="23"/>
    </row>
    <row r="76" spans="1:22" x14ac:dyDescent="0.25">
      <c r="B76" s="14"/>
    </row>
    <row r="77" spans="1:22" ht="18.75" x14ac:dyDescent="0.3">
      <c r="A77" s="13" t="s">
        <v>346</v>
      </c>
    </row>
    <row r="78" spans="1:22" s="22" customFormat="1" x14ac:dyDescent="0.25">
      <c r="A78" s="8"/>
      <c r="B78" s="9" t="s">
        <v>865</v>
      </c>
      <c r="C78" s="8"/>
      <c r="D78" s="8" t="s">
        <v>852</v>
      </c>
      <c r="E78" s="8"/>
      <c r="F78" s="8"/>
      <c r="G78" s="8"/>
      <c r="H78" s="8"/>
      <c r="I78" s="8"/>
      <c r="J78" s="8"/>
      <c r="K78" s="8"/>
      <c r="L78" s="8"/>
      <c r="M78" s="8"/>
      <c r="N78" s="8"/>
      <c r="O78" s="8"/>
      <c r="P78" s="8"/>
      <c r="Q78" s="8"/>
      <c r="R78" s="8"/>
      <c r="S78" s="8"/>
      <c r="T78" s="8"/>
      <c r="U78" s="8"/>
      <c r="V78" s="8"/>
    </row>
    <row r="80" spans="1:22" x14ac:dyDescent="0.25">
      <c r="A80" s="10" t="s">
        <v>867</v>
      </c>
      <c r="B80" s="10" t="s">
        <v>868</v>
      </c>
      <c r="C80" s="10" t="s">
        <v>482</v>
      </c>
      <c r="D80" s="10" t="s">
        <v>740</v>
      </c>
      <c r="E80" s="10">
        <v>2000</v>
      </c>
      <c r="F80" s="10">
        <v>2001</v>
      </c>
      <c r="G80" s="10">
        <v>2002</v>
      </c>
      <c r="H80" s="10">
        <v>2003</v>
      </c>
      <c r="I80" s="10">
        <v>2004</v>
      </c>
      <c r="J80" s="10">
        <v>2005</v>
      </c>
      <c r="K80" s="10">
        <v>2006</v>
      </c>
      <c r="L80" s="10">
        <v>2007</v>
      </c>
      <c r="M80" s="10">
        <v>2008</v>
      </c>
      <c r="N80" s="10">
        <v>2009</v>
      </c>
      <c r="O80" s="10">
        <v>2010</v>
      </c>
      <c r="P80" s="10">
        <v>2011</v>
      </c>
      <c r="Q80" s="10">
        <v>2012</v>
      </c>
      <c r="R80" s="10">
        <v>2013</v>
      </c>
      <c r="S80" s="10">
        <v>2014</v>
      </c>
      <c r="T80" s="10">
        <v>2015</v>
      </c>
      <c r="U80" s="10"/>
      <c r="V80" s="10"/>
    </row>
    <row r="81" spans="1:22" x14ac:dyDescent="0.25">
      <c r="A81" s="11" t="s">
        <v>47</v>
      </c>
      <c r="B81" s="11" t="s">
        <v>891</v>
      </c>
      <c r="C81" s="11"/>
      <c r="D81" s="11" t="s">
        <v>892</v>
      </c>
      <c r="E81" s="41">
        <f t="shared" ref="E81:T81" si="8">IFERROR(((E14/E59)-1),"CHECK")</f>
        <v>0</v>
      </c>
      <c r="F81" s="41">
        <f t="shared" si="8"/>
        <v>0</v>
      </c>
      <c r="G81" s="41">
        <f t="shared" si="8"/>
        <v>0</v>
      </c>
      <c r="H81" s="41">
        <f t="shared" si="8"/>
        <v>0</v>
      </c>
      <c r="I81" s="41">
        <f t="shared" si="8"/>
        <v>0</v>
      </c>
      <c r="J81" s="41">
        <f t="shared" si="8"/>
        <v>0</v>
      </c>
      <c r="K81" s="41">
        <f t="shared" si="8"/>
        <v>0</v>
      </c>
      <c r="L81" s="41">
        <f t="shared" si="8"/>
        <v>0</v>
      </c>
      <c r="M81" s="41">
        <f t="shared" si="8"/>
        <v>0</v>
      </c>
      <c r="N81" s="41">
        <f t="shared" si="8"/>
        <v>0</v>
      </c>
      <c r="O81" s="41">
        <f t="shared" si="8"/>
        <v>0</v>
      </c>
      <c r="P81" s="41">
        <f t="shared" si="8"/>
        <v>0</v>
      </c>
      <c r="Q81" s="41">
        <f t="shared" si="8"/>
        <v>0</v>
      </c>
      <c r="R81" s="41">
        <f t="shared" si="8"/>
        <v>0</v>
      </c>
      <c r="S81" s="41">
        <f t="shared" si="8"/>
        <v>0</v>
      </c>
      <c r="T81" s="41">
        <f t="shared" si="8"/>
        <v>0</v>
      </c>
      <c r="U81" s="41"/>
      <c r="V81" s="41"/>
    </row>
    <row r="82" spans="1:22" x14ac:dyDescent="0.25">
      <c r="A82" s="11" t="s">
        <v>47</v>
      </c>
      <c r="B82" s="11" t="s">
        <v>893</v>
      </c>
      <c r="C82" s="11"/>
      <c r="D82" s="11" t="s">
        <v>892</v>
      </c>
      <c r="E82" s="41">
        <f t="shared" ref="E82:T82" si="9">IFERROR(((E15/E60)-1),"CHECK")</f>
        <v>0</v>
      </c>
      <c r="F82" s="41">
        <f t="shared" si="9"/>
        <v>0</v>
      </c>
      <c r="G82" s="41">
        <f t="shared" si="9"/>
        <v>0</v>
      </c>
      <c r="H82" s="41">
        <f t="shared" si="9"/>
        <v>0</v>
      </c>
      <c r="I82" s="41">
        <f t="shared" si="9"/>
        <v>0</v>
      </c>
      <c r="J82" s="41">
        <f t="shared" si="9"/>
        <v>0</v>
      </c>
      <c r="K82" s="41">
        <f t="shared" si="9"/>
        <v>0</v>
      </c>
      <c r="L82" s="41">
        <f t="shared" si="9"/>
        <v>0</v>
      </c>
      <c r="M82" s="41">
        <f t="shared" si="9"/>
        <v>0</v>
      </c>
      <c r="N82" s="41">
        <f t="shared" si="9"/>
        <v>0</v>
      </c>
      <c r="O82" s="41">
        <f t="shared" si="9"/>
        <v>0</v>
      </c>
      <c r="P82" s="41">
        <f t="shared" si="9"/>
        <v>0</v>
      </c>
      <c r="Q82" s="41">
        <f t="shared" si="9"/>
        <v>0</v>
      </c>
      <c r="R82" s="41">
        <f t="shared" si="9"/>
        <v>0</v>
      </c>
      <c r="S82" s="41">
        <f t="shared" si="9"/>
        <v>0</v>
      </c>
      <c r="T82" s="41">
        <f t="shared" si="9"/>
        <v>0</v>
      </c>
      <c r="U82" s="41"/>
      <c r="V82" s="41"/>
    </row>
    <row r="83" spans="1:22" x14ac:dyDescent="0.25">
      <c r="A83" s="11"/>
      <c r="B83" s="11"/>
      <c r="C83" s="11"/>
      <c r="D83" s="11"/>
      <c r="E83" s="24"/>
      <c r="F83" s="24"/>
      <c r="G83" s="24"/>
      <c r="H83" s="24"/>
      <c r="I83" s="24"/>
      <c r="J83" s="24"/>
      <c r="K83" s="24"/>
      <c r="L83" s="24"/>
      <c r="M83" s="24"/>
      <c r="N83" s="24"/>
      <c r="O83" s="24"/>
      <c r="P83" s="24"/>
      <c r="Q83" s="24"/>
      <c r="R83" s="24"/>
      <c r="S83" s="24"/>
      <c r="T83" s="24"/>
      <c r="U83" s="24"/>
      <c r="V83" s="24"/>
    </row>
    <row r="84" spans="1:22" x14ac:dyDescent="0.25">
      <c r="A84" s="8"/>
      <c r="B84" s="9" t="s">
        <v>877</v>
      </c>
      <c r="C84" s="8"/>
      <c r="D84" s="8"/>
      <c r="E84" s="8"/>
      <c r="F84" s="8"/>
      <c r="G84" s="8"/>
      <c r="H84" s="8"/>
      <c r="I84" s="8"/>
      <c r="J84" s="8"/>
      <c r="K84" s="8"/>
      <c r="L84" s="8"/>
      <c r="M84" s="8"/>
      <c r="N84" s="8"/>
      <c r="O84" s="8"/>
      <c r="P84" s="8"/>
      <c r="Q84" s="8"/>
      <c r="R84" s="8"/>
      <c r="S84" s="8"/>
      <c r="T84" s="8"/>
      <c r="U84" s="8"/>
      <c r="V84" s="8"/>
    </row>
    <row r="86" spans="1:22" x14ac:dyDescent="0.25">
      <c r="A86" s="11" t="s">
        <v>47</v>
      </c>
      <c r="B86" s="11" t="s">
        <v>894</v>
      </c>
      <c r="C86" s="11" t="s">
        <v>836</v>
      </c>
      <c r="D86" s="11" t="s">
        <v>880</v>
      </c>
      <c r="E86" s="41">
        <f t="shared" ref="E86:S86" si="10">IFERROR(((E19/E64)-1),"CHECK")</f>
        <v>0</v>
      </c>
      <c r="F86" s="41">
        <f t="shared" si="10"/>
        <v>0</v>
      </c>
      <c r="G86" s="41">
        <f t="shared" si="10"/>
        <v>0</v>
      </c>
      <c r="H86" s="41">
        <f t="shared" si="10"/>
        <v>0</v>
      </c>
      <c r="I86" s="41">
        <f t="shared" si="10"/>
        <v>0</v>
      </c>
      <c r="J86" s="41">
        <f t="shared" si="10"/>
        <v>0</v>
      </c>
      <c r="K86" s="41">
        <f t="shared" si="10"/>
        <v>0</v>
      </c>
      <c r="L86" s="41">
        <f t="shared" si="10"/>
        <v>0</v>
      </c>
      <c r="M86" s="41">
        <f t="shared" si="10"/>
        <v>0</v>
      </c>
      <c r="N86" s="41">
        <f t="shared" si="10"/>
        <v>0</v>
      </c>
      <c r="O86" s="41">
        <f t="shared" si="10"/>
        <v>0</v>
      </c>
      <c r="P86" s="41">
        <f t="shared" si="10"/>
        <v>0</v>
      </c>
      <c r="Q86" s="41">
        <f t="shared" si="10"/>
        <v>0</v>
      </c>
      <c r="R86" s="41">
        <f t="shared" si="10"/>
        <v>0</v>
      </c>
      <c r="S86" s="41">
        <f t="shared" si="10"/>
        <v>0</v>
      </c>
      <c r="T86" s="41">
        <f>IFERROR(((T19/T64)-1),"CHECK")</f>
        <v>0</v>
      </c>
      <c r="U86" s="41"/>
      <c r="V86" s="41"/>
    </row>
    <row r="87" spans="1:22" x14ac:dyDescent="0.25">
      <c r="A87" s="11" t="s">
        <v>47</v>
      </c>
      <c r="B87" s="11" t="s">
        <v>901</v>
      </c>
      <c r="C87" s="11" t="s">
        <v>836</v>
      </c>
      <c r="D87" s="11" t="s">
        <v>880</v>
      </c>
      <c r="E87" s="41">
        <f t="shared" ref="E87:S87" si="11">IFERROR(((E21/E66)-1),"CHECK")</f>
        <v>0</v>
      </c>
      <c r="F87" s="41">
        <f t="shared" si="11"/>
        <v>0</v>
      </c>
      <c r="G87" s="41">
        <f t="shared" si="11"/>
        <v>0</v>
      </c>
      <c r="H87" s="41">
        <f t="shared" si="11"/>
        <v>0</v>
      </c>
      <c r="I87" s="41">
        <f t="shared" si="11"/>
        <v>0</v>
      </c>
      <c r="J87" s="41">
        <f t="shared" si="11"/>
        <v>0</v>
      </c>
      <c r="K87" s="41">
        <f t="shared" si="11"/>
        <v>0</v>
      </c>
      <c r="L87" s="41">
        <f t="shared" si="11"/>
        <v>0</v>
      </c>
      <c r="M87" s="41">
        <f t="shared" si="11"/>
        <v>0</v>
      </c>
      <c r="N87" s="41">
        <f t="shared" si="11"/>
        <v>0</v>
      </c>
      <c r="O87" s="41">
        <f t="shared" si="11"/>
        <v>0</v>
      </c>
      <c r="P87" s="41">
        <f t="shared" si="11"/>
        <v>0</v>
      </c>
      <c r="Q87" s="41">
        <f t="shared" si="11"/>
        <v>0</v>
      </c>
      <c r="R87" s="41">
        <f t="shared" si="11"/>
        <v>0</v>
      </c>
      <c r="S87" s="41">
        <f t="shared" si="11"/>
        <v>0</v>
      </c>
      <c r="T87" s="41">
        <f>IFERROR(((T21/T66)-1),"CHECK")</f>
        <v>0</v>
      </c>
      <c r="U87" s="41"/>
      <c r="V87" s="41"/>
    </row>
    <row r="89" spans="1:22" x14ac:dyDescent="0.25">
      <c r="A89" s="8"/>
      <c r="B89" s="9" t="s">
        <v>619</v>
      </c>
      <c r="C89" s="8"/>
      <c r="D89" s="8"/>
      <c r="E89" s="8"/>
      <c r="F89" s="8"/>
      <c r="G89" s="8"/>
      <c r="H89" s="8"/>
      <c r="I89" s="8"/>
      <c r="J89" s="8"/>
      <c r="K89" s="8"/>
      <c r="L89" s="8"/>
      <c r="M89" s="8"/>
      <c r="N89" s="8"/>
      <c r="O89" s="8"/>
      <c r="P89" s="8"/>
      <c r="Q89" s="8"/>
      <c r="R89" s="8"/>
      <c r="S89" s="8"/>
      <c r="T89" s="8"/>
      <c r="U89" s="8"/>
      <c r="V89" s="8"/>
    </row>
    <row r="91" spans="1:22" x14ac:dyDescent="0.25">
      <c r="A91" s="11" t="s">
        <v>47</v>
      </c>
      <c r="B91" s="11" t="s">
        <v>898</v>
      </c>
      <c r="C91" s="11" t="s">
        <v>836</v>
      </c>
      <c r="D91" s="11" t="s">
        <v>883</v>
      </c>
      <c r="E91" s="41">
        <f t="shared" ref="E91:S91" si="12">IFERROR(((E25/E70)-1),"CHECK")</f>
        <v>0</v>
      </c>
      <c r="F91" s="41">
        <f t="shared" si="12"/>
        <v>0</v>
      </c>
      <c r="G91" s="41">
        <f t="shared" si="12"/>
        <v>0</v>
      </c>
      <c r="H91" s="41">
        <f t="shared" si="12"/>
        <v>0</v>
      </c>
      <c r="I91" s="41">
        <f t="shared" si="12"/>
        <v>0</v>
      </c>
      <c r="J91" s="41">
        <f t="shared" si="12"/>
        <v>0</v>
      </c>
      <c r="K91" s="41">
        <f t="shared" si="12"/>
        <v>0</v>
      </c>
      <c r="L91" s="41">
        <f t="shared" si="12"/>
        <v>0</v>
      </c>
      <c r="M91" s="41">
        <f t="shared" si="12"/>
        <v>0</v>
      </c>
      <c r="N91" s="41">
        <f t="shared" si="12"/>
        <v>0</v>
      </c>
      <c r="O91" s="41">
        <f t="shared" si="12"/>
        <v>0</v>
      </c>
      <c r="P91" s="41">
        <f t="shared" si="12"/>
        <v>0</v>
      </c>
      <c r="Q91" s="41">
        <f t="shared" si="12"/>
        <v>0</v>
      </c>
      <c r="R91" s="41">
        <f t="shared" si="12"/>
        <v>0</v>
      </c>
      <c r="S91" s="41">
        <f t="shared" si="12"/>
        <v>0</v>
      </c>
      <c r="T91" s="41">
        <f>IFERROR(((T25/T70)-1),"CHECK")</f>
        <v>0</v>
      </c>
      <c r="U91" s="41"/>
      <c r="V91" s="41"/>
    </row>
    <row r="92" spans="1:22" x14ac:dyDescent="0.25">
      <c r="A92" s="11" t="s">
        <v>47</v>
      </c>
      <c r="B92" s="11" t="s">
        <v>899</v>
      </c>
      <c r="C92" s="11" t="s">
        <v>836</v>
      </c>
      <c r="D92" s="11" t="s">
        <v>883</v>
      </c>
      <c r="E92" s="41">
        <f t="shared" ref="E92:S92" si="13">IFERROR(((E26/E71)-1),"CHECK")</f>
        <v>0</v>
      </c>
      <c r="F92" s="41">
        <f t="shared" si="13"/>
        <v>0</v>
      </c>
      <c r="G92" s="41">
        <f t="shared" si="13"/>
        <v>0</v>
      </c>
      <c r="H92" s="41">
        <f t="shared" si="13"/>
        <v>0</v>
      </c>
      <c r="I92" s="41">
        <f t="shared" si="13"/>
        <v>0</v>
      </c>
      <c r="J92" s="41">
        <f t="shared" si="13"/>
        <v>0</v>
      </c>
      <c r="K92" s="41">
        <f t="shared" si="13"/>
        <v>0</v>
      </c>
      <c r="L92" s="41">
        <f t="shared" si="13"/>
        <v>0</v>
      </c>
      <c r="M92" s="41">
        <f t="shared" si="13"/>
        <v>0</v>
      </c>
      <c r="N92" s="41">
        <f t="shared" si="13"/>
        <v>0</v>
      </c>
      <c r="O92" s="41">
        <f t="shared" si="13"/>
        <v>0</v>
      </c>
      <c r="P92" s="41">
        <f t="shared" si="13"/>
        <v>0</v>
      </c>
      <c r="Q92" s="41">
        <f t="shared" si="13"/>
        <v>0</v>
      </c>
      <c r="R92" s="41">
        <f t="shared" si="13"/>
        <v>0</v>
      </c>
      <c r="S92" s="41">
        <f t="shared" si="13"/>
        <v>0</v>
      </c>
      <c r="T92" s="41">
        <f>IFERROR(((T26/T71)-1),"CHECK")</f>
        <v>0</v>
      </c>
      <c r="U92" s="41"/>
      <c r="V92" s="41"/>
    </row>
    <row r="93" spans="1:22" x14ac:dyDescent="0.25">
      <c r="A93" s="11" t="s">
        <v>47</v>
      </c>
      <c r="B93" s="11" t="s">
        <v>898</v>
      </c>
      <c r="C93" s="11" t="s">
        <v>836</v>
      </c>
      <c r="D93" s="11" t="s">
        <v>884</v>
      </c>
      <c r="E93" s="41">
        <f t="shared" ref="E93:S93" si="14">IFERROR(((E27/E72)-1),"CHECK")</f>
        <v>0</v>
      </c>
      <c r="F93" s="41">
        <f t="shared" si="14"/>
        <v>0</v>
      </c>
      <c r="G93" s="41">
        <f t="shared" si="14"/>
        <v>0</v>
      </c>
      <c r="H93" s="41">
        <f t="shared" si="14"/>
        <v>0</v>
      </c>
      <c r="I93" s="41">
        <f t="shared" si="14"/>
        <v>0</v>
      </c>
      <c r="J93" s="41">
        <f t="shared" si="14"/>
        <v>0</v>
      </c>
      <c r="K93" s="41">
        <f t="shared" si="14"/>
        <v>0</v>
      </c>
      <c r="L93" s="41">
        <f t="shared" si="14"/>
        <v>0</v>
      </c>
      <c r="M93" s="41">
        <f t="shared" si="14"/>
        <v>0</v>
      </c>
      <c r="N93" s="41">
        <f t="shared" si="14"/>
        <v>0</v>
      </c>
      <c r="O93" s="41">
        <f t="shared" si="14"/>
        <v>0</v>
      </c>
      <c r="P93" s="41">
        <f t="shared" si="14"/>
        <v>0</v>
      </c>
      <c r="Q93" s="41">
        <f t="shared" si="14"/>
        <v>0</v>
      </c>
      <c r="R93" s="41">
        <f t="shared" si="14"/>
        <v>0</v>
      </c>
      <c r="S93" s="41">
        <f t="shared" si="14"/>
        <v>0</v>
      </c>
      <c r="T93" s="41">
        <f>IFERROR(((T27/T72)-1),"CHECK")</f>
        <v>0</v>
      </c>
      <c r="U93" s="41"/>
      <c r="V93" s="41"/>
    </row>
    <row r="94" spans="1:22" x14ac:dyDescent="0.25">
      <c r="A94" s="11" t="s">
        <v>47</v>
      </c>
      <c r="B94" s="11" t="s">
        <v>899</v>
      </c>
      <c r="C94" s="11" t="s">
        <v>836</v>
      </c>
      <c r="D94" s="11" t="s">
        <v>884</v>
      </c>
      <c r="E94" s="41">
        <f t="shared" ref="E94:S94" si="15">IFERROR(((E28/E73)-1),"CHECK")</f>
        <v>0</v>
      </c>
      <c r="F94" s="41">
        <f t="shared" si="15"/>
        <v>0</v>
      </c>
      <c r="G94" s="41">
        <f t="shared" si="15"/>
        <v>0</v>
      </c>
      <c r="H94" s="41">
        <f t="shared" si="15"/>
        <v>0</v>
      </c>
      <c r="I94" s="41">
        <f t="shared" si="15"/>
        <v>0</v>
      </c>
      <c r="J94" s="41">
        <f t="shared" si="15"/>
        <v>0</v>
      </c>
      <c r="K94" s="41">
        <f t="shared" si="15"/>
        <v>0</v>
      </c>
      <c r="L94" s="41">
        <f t="shared" si="15"/>
        <v>0</v>
      </c>
      <c r="M94" s="41">
        <f t="shared" si="15"/>
        <v>0</v>
      </c>
      <c r="N94" s="41">
        <f t="shared" si="15"/>
        <v>0</v>
      </c>
      <c r="O94" s="41">
        <f t="shared" si="15"/>
        <v>0</v>
      </c>
      <c r="P94" s="41">
        <f t="shared" si="15"/>
        <v>0</v>
      </c>
      <c r="Q94" s="41">
        <f t="shared" si="15"/>
        <v>0</v>
      </c>
      <c r="R94" s="41">
        <f t="shared" si="15"/>
        <v>0</v>
      </c>
      <c r="S94" s="41">
        <f t="shared" si="15"/>
        <v>0</v>
      </c>
      <c r="T94" s="41">
        <f>IFERROR(((T28/T73)-1),"CHECK")</f>
        <v>0</v>
      </c>
      <c r="U94" s="41"/>
      <c r="V94" s="41"/>
    </row>
    <row r="95" spans="1:22" x14ac:dyDescent="0.25">
      <c r="A95" s="11" t="s">
        <v>47</v>
      </c>
      <c r="B95" s="11" t="s">
        <v>882</v>
      </c>
      <c r="C95" s="11" t="s">
        <v>836</v>
      </c>
      <c r="D95" s="11" t="s">
        <v>884</v>
      </c>
      <c r="E95" s="41">
        <f t="shared" ref="E95:S95" si="16">IFERROR(((E29/E74)-1),"CHECK")</f>
        <v>0</v>
      </c>
      <c r="F95" s="41">
        <f t="shared" si="16"/>
        <v>0</v>
      </c>
      <c r="G95" s="41">
        <f t="shared" si="16"/>
        <v>0</v>
      </c>
      <c r="H95" s="41">
        <f t="shared" si="16"/>
        <v>0</v>
      </c>
      <c r="I95" s="41">
        <f t="shared" si="16"/>
        <v>0</v>
      </c>
      <c r="J95" s="41">
        <f t="shared" si="16"/>
        <v>0</v>
      </c>
      <c r="K95" s="41">
        <f t="shared" si="16"/>
        <v>0</v>
      </c>
      <c r="L95" s="41">
        <f t="shared" si="16"/>
        <v>0</v>
      </c>
      <c r="M95" s="41">
        <f t="shared" si="16"/>
        <v>0</v>
      </c>
      <c r="N95" s="41">
        <f t="shared" si="16"/>
        <v>0</v>
      </c>
      <c r="O95" s="41">
        <f t="shared" si="16"/>
        <v>0</v>
      </c>
      <c r="P95" s="41">
        <f t="shared" si="16"/>
        <v>0</v>
      </c>
      <c r="Q95" s="41">
        <f t="shared" si="16"/>
        <v>0</v>
      </c>
      <c r="R95" s="41">
        <f t="shared" si="16"/>
        <v>0</v>
      </c>
      <c r="S95" s="41">
        <f t="shared" si="16"/>
        <v>0</v>
      </c>
      <c r="T95" s="41">
        <f>IFERROR(((T29/T74)-1),"CHECK")</f>
        <v>0</v>
      </c>
      <c r="U95" s="41"/>
      <c r="V95" s="41"/>
    </row>
    <row r="96" spans="1:22" x14ac:dyDescent="0.25">
      <c r="B96" s="14"/>
    </row>
    <row r="97" spans="2:2" x14ac:dyDescent="0.25">
      <c r="B97" s="14"/>
    </row>
    <row r="98" spans="2:2" x14ac:dyDescent="0.25">
      <c r="B98" s="14"/>
    </row>
    <row r="99" spans="2:2" x14ac:dyDescent="0.25">
      <c r="B99" s="14"/>
    </row>
    <row r="100" spans="2:2" x14ac:dyDescent="0.25">
      <c r="B100" s="14"/>
    </row>
    <row r="101" spans="2:2" x14ac:dyDescent="0.25">
      <c r="B101" s="14"/>
    </row>
  </sheetData>
  <mergeCells count="2">
    <mergeCell ref="C1:J1"/>
    <mergeCell ref="C2:J2"/>
  </mergeCells>
  <conditionalFormatting sqref="K2">
    <cfRule type="expression" dxfId="35" priority="4">
      <formula>(UPPER(LEFT(SUBSTITUTE($Z2,"#",""),5))="FIXCH")</formula>
    </cfRule>
    <cfRule type="expression" dxfId="34" priority="5">
      <formula>(UPPER(SUBSTITUTE($Z2,"#",""))="OK")</formula>
    </cfRule>
  </conditionalFormatting>
  <conditionalFormatting sqref="E86:S87 E81:S82 E91:S95">
    <cfRule type="colorScale" priority="8">
      <colorScale>
        <cfvo type="min"/>
        <cfvo type="num" val="0"/>
        <cfvo type="max"/>
        <color theme="3" tint="0.59999389629810485"/>
        <color theme="0"/>
        <color rgb="FFEE9CA4"/>
      </colorScale>
    </cfRule>
  </conditionalFormatting>
  <conditionalFormatting sqref="T86:V87 T81:V82 T91:V9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0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000-000011000000}">
          <x14:colorSeries rgb="FF376092"/>
          <x14:colorNegative rgb="FFD00000"/>
          <x14:colorAxis rgb="FF000000"/>
          <x14:colorMarkers rgb="FFD00000"/>
          <x14:colorFirst rgb="FFD00000"/>
          <x14:colorLast rgb="FFD00000"/>
          <x14:colorHigh rgb="FFD00000"/>
          <x14:colorLow rgb="FFD00000"/>
          <x14:sparklines>
            <x14:sparkline>
              <xm:f>'2A2 Lime Production'!E25:V25</xm:f>
              <xm:sqref>W25</xm:sqref>
            </x14:sparkline>
            <x14:sparkline>
              <xm:f>'2A2 Lime Production'!E26:V26</xm:f>
              <xm:sqref>W26</xm:sqref>
            </x14:sparkline>
            <x14:sparkline>
              <xm:f>'2A2 Lime Production'!E27:V27</xm:f>
              <xm:sqref>W27</xm:sqref>
            </x14:sparkline>
            <x14:sparkline>
              <xm:f>'2A2 Lime Production'!E28:V28</xm:f>
              <xm:sqref>W28</xm:sqref>
            </x14:sparkline>
            <x14:sparkline>
              <xm:f>'2A2 Lime Production'!E29:V29</xm:f>
              <xm:sqref>W29</xm:sqref>
            </x14:sparkline>
          </x14:sparklines>
        </x14:sparklineGroup>
        <x14:sparklineGroup manualMax="0" manualMin="0" displayEmptyCellsAs="gap" xr2:uid="{00000000-0003-0000-1000-000010000000}">
          <x14:colorSeries rgb="FF376092"/>
          <x14:colorNegative rgb="FFD00000"/>
          <x14:colorAxis rgb="FF000000"/>
          <x14:colorMarkers rgb="FFD00000"/>
          <x14:colorFirst rgb="FFD00000"/>
          <x14:colorLast rgb="FFD00000"/>
          <x14:colorHigh rgb="FFD00000"/>
          <x14:colorLow rgb="FFD00000"/>
          <x14:sparklines>
            <x14:sparkline>
              <xm:f>'2A2 Lime Production'!E14:V14</xm:f>
              <xm:sqref>W14</xm:sqref>
            </x14:sparkline>
            <x14:sparkline>
              <xm:f>'2A2 Lime Production'!E15:V15</xm:f>
              <xm:sqref>W15</xm:sqref>
            </x14:sparkline>
          </x14:sparklines>
        </x14:sparklineGroup>
        <x14:sparklineGroup manualMax="0" manualMin="0" displayEmptyCellsAs="gap" xr2:uid="{00000000-0003-0000-1000-00000F000000}">
          <x14:colorSeries rgb="FF376092"/>
          <x14:colorNegative rgb="FFD00000"/>
          <x14:colorAxis rgb="FF000000"/>
          <x14:colorMarkers rgb="FFD00000"/>
          <x14:colorFirst rgb="FFD00000"/>
          <x14:colorLast rgb="FFD00000"/>
          <x14:colorHigh rgb="FFD00000"/>
          <x14:colorLow rgb="FFD00000"/>
          <x14:sparklines>
            <x14:sparkline>
              <xm:f>'2A2 Lime Production'!E19:V19</xm:f>
              <xm:sqref>W19</xm:sqref>
            </x14:sparkline>
            <x14:sparkline>
              <xm:f>'2A2 Lime Production'!E20:V20</xm:f>
              <xm:sqref>W20</xm:sqref>
            </x14:sparkline>
            <x14:sparkline>
              <xm:f>'2A2 Lime Production'!E21:V21</xm:f>
              <xm:sqref>W21</xm:sqref>
            </x14:sparkline>
          </x14:sparklines>
        </x14:sparklineGroup>
      </x14:sparklineGroup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3" tint="0.79998168889431442"/>
  </sheetPr>
  <dimension ref="A1:Y94"/>
  <sheetViews>
    <sheetView workbookViewId="0">
      <selection activeCell="B8" sqref="B8"/>
    </sheetView>
  </sheetViews>
  <sheetFormatPr defaultRowHeight="15" x14ac:dyDescent="0.25"/>
  <cols>
    <col min="1" max="1" width="24.85546875" bestFit="1" customWidth="1"/>
    <col min="2" max="2" width="53.5703125" customWidth="1"/>
    <col min="3" max="32" width="10.42578125" customWidth="1"/>
    <col min="33" max="93" width="53.7109375" bestFit="1" customWidth="1"/>
    <col min="94" max="108" width="16.5703125" bestFit="1" customWidth="1"/>
  </cols>
  <sheetData>
    <row r="1" spans="1:25" x14ac:dyDescent="0.25">
      <c r="A1" s="15" t="s">
        <v>855</v>
      </c>
      <c r="B1" s="4" t="str">
        <f ca="1">MID(CELL("filename",A1),FIND("]",CELL("filename",A1))+1,256)</f>
        <v>2A3 Glass Production</v>
      </c>
      <c r="C1" s="261" t="s">
        <v>856</v>
      </c>
      <c r="D1" s="262"/>
      <c r="E1" s="262"/>
      <c r="F1" s="262"/>
      <c r="G1" s="262"/>
      <c r="H1" s="262"/>
      <c r="I1" s="262"/>
      <c r="J1" s="263"/>
      <c r="K1" s="14"/>
    </row>
    <row r="2" spans="1:25" x14ac:dyDescent="0.25">
      <c r="A2" s="15" t="s">
        <v>736</v>
      </c>
      <c r="B2" s="33" t="s">
        <v>857</v>
      </c>
      <c r="C2" s="37"/>
      <c r="D2" s="36"/>
      <c r="E2" s="17"/>
      <c r="F2" s="17"/>
      <c r="G2" s="17"/>
      <c r="H2" s="17"/>
      <c r="I2" s="17"/>
      <c r="J2" s="18"/>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863</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66</v>
      </c>
      <c r="B14" t="s">
        <v>902</v>
      </c>
      <c r="D14" t="s">
        <v>870</v>
      </c>
      <c r="E14" s="114">
        <v>561754</v>
      </c>
      <c r="F14" s="114">
        <v>624156</v>
      </c>
      <c r="G14" s="114">
        <v>667110</v>
      </c>
      <c r="H14" s="114">
        <v>702008</v>
      </c>
      <c r="I14" s="114">
        <v>726644</v>
      </c>
      <c r="J14" s="114">
        <v>775839</v>
      </c>
      <c r="K14" s="114">
        <v>808328</v>
      </c>
      <c r="L14" s="114">
        <v>858382</v>
      </c>
      <c r="M14" s="114">
        <v>978488</v>
      </c>
      <c r="N14" s="114">
        <v>993784</v>
      </c>
      <c r="O14" s="114">
        <v>1009043</v>
      </c>
      <c r="P14" s="114">
        <v>1019755</v>
      </c>
      <c r="Q14" s="114">
        <v>1095264</v>
      </c>
      <c r="R14" s="131">
        <v>1095264</v>
      </c>
      <c r="S14" s="131">
        <v>1095264</v>
      </c>
      <c r="T14" s="131">
        <v>1095264</v>
      </c>
      <c r="U14" s="198">
        <f>-1249.6*17^2+59876*17+489538</f>
        <v>1146295.6000000001</v>
      </c>
      <c r="V14" s="198">
        <f>-1249.6*18^2+59876*18+489538</f>
        <v>1162435.6000000001</v>
      </c>
      <c r="Y14" t="s">
        <v>67</v>
      </c>
    </row>
    <row r="15" spans="1:25" x14ac:dyDescent="0.25">
      <c r="A15" t="s">
        <v>66</v>
      </c>
      <c r="B15" t="s">
        <v>903</v>
      </c>
      <c r="D15" t="s">
        <v>872</v>
      </c>
      <c r="E15" s="114">
        <v>0.33815000000000001</v>
      </c>
      <c r="F15" s="114">
        <v>0.32400000000000001</v>
      </c>
      <c r="G15" s="114">
        <v>0.33784900000000001</v>
      </c>
      <c r="H15" s="114">
        <v>0.34950999999999999</v>
      </c>
      <c r="I15" s="114">
        <v>0.34016999999999997</v>
      </c>
      <c r="J15" s="114">
        <v>0.34031</v>
      </c>
      <c r="K15" s="114">
        <v>0.37048599999999998</v>
      </c>
      <c r="L15" s="114">
        <v>0.388457</v>
      </c>
      <c r="M15" s="114">
        <v>0.40022999999999997</v>
      </c>
      <c r="N15" s="114">
        <v>0.44773200000000002</v>
      </c>
      <c r="O15" s="114">
        <v>0.485234</v>
      </c>
      <c r="P15" s="114">
        <v>0.48</v>
      </c>
      <c r="Q15" s="114">
        <v>0.48000300000000001</v>
      </c>
      <c r="R15" s="131">
        <v>0.48000300000000001</v>
      </c>
      <c r="S15" s="131">
        <v>0.48000300000000001</v>
      </c>
      <c r="T15" s="131">
        <v>0.48000300000000001</v>
      </c>
      <c r="U15" s="131">
        <v>0.48000300000000001</v>
      </c>
      <c r="V15" s="131">
        <v>0.48000300000000001</v>
      </c>
      <c r="Y15" t="s">
        <v>68</v>
      </c>
    </row>
    <row r="17" spans="1:25" s="5" customFormat="1" ht="21" x14ac:dyDescent="0.35">
      <c r="B17" s="6" t="s">
        <v>877</v>
      </c>
      <c r="E17" s="5" t="s">
        <v>878</v>
      </c>
    </row>
    <row r="19" spans="1:25" x14ac:dyDescent="0.25">
      <c r="A19" t="s">
        <v>66</v>
      </c>
      <c r="B19" t="s">
        <v>904</v>
      </c>
      <c r="C19" t="s">
        <v>836</v>
      </c>
      <c r="D19" t="s">
        <v>880</v>
      </c>
      <c r="E19" s="205">
        <v>0.2</v>
      </c>
      <c r="F19" s="205">
        <v>0.2</v>
      </c>
      <c r="G19" s="205">
        <v>0.2</v>
      </c>
      <c r="H19" s="205">
        <v>0.2</v>
      </c>
      <c r="I19" s="205">
        <v>0.2</v>
      </c>
      <c r="J19" s="205">
        <v>0.2</v>
      </c>
      <c r="K19" s="205">
        <v>0.2</v>
      </c>
      <c r="L19" s="205">
        <v>0.2</v>
      </c>
      <c r="M19" s="205">
        <v>0.2</v>
      </c>
      <c r="N19" s="205">
        <v>0.2</v>
      </c>
      <c r="O19" s="205">
        <v>0.2</v>
      </c>
      <c r="P19" s="205">
        <v>0.2</v>
      </c>
      <c r="Q19" s="205">
        <v>0.2</v>
      </c>
      <c r="R19" s="205">
        <v>0.2</v>
      </c>
      <c r="S19" s="205">
        <v>0.2</v>
      </c>
      <c r="T19" s="205">
        <v>0.2</v>
      </c>
      <c r="U19" s="205">
        <v>0.2</v>
      </c>
      <c r="V19" s="205">
        <v>0.2</v>
      </c>
      <c r="Y19" t="s">
        <v>69</v>
      </c>
    </row>
    <row r="20" spans="1:25" x14ac:dyDescent="0.25">
      <c r="B20" s="14"/>
    </row>
    <row r="22" spans="1:25" s="5" customFormat="1" ht="21" x14ac:dyDescent="0.35">
      <c r="B22" s="6" t="s">
        <v>619</v>
      </c>
      <c r="E22" s="5" t="s">
        <v>881</v>
      </c>
    </row>
    <row r="24" spans="1:25" x14ac:dyDescent="0.25">
      <c r="A24" t="s">
        <v>66</v>
      </c>
      <c r="B24" t="s">
        <v>882</v>
      </c>
      <c r="C24" t="s">
        <v>836</v>
      </c>
      <c r="D24" t="s">
        <v>883</v>
      </c>
      <c r="E24" s="117">
        <f t="shared" ref="E24:S24" si="0">E14*E19*(1-E15)</f>
        <v>74359.376980000001</v>
      </c>
      <c r="F24" s="117">
        <f t="shared" si="0"/>
        <v>84385.891199999998</v>
      </c>
      <c r="G24" s="117">
        <f t="shared" si="0"/>
        <v>88345.510721999992</v>
      </c>
      <c r="H24" s="117">
        <f t="shared" si="0"/>
        <v>91329.836783999999</v>
      </c>
      <c r="I24" s="117">
        <f t="shared" si="0"/>
        <v>95892.302104000017</v>
      </c>
      <c r="J24" s="117">
        <f t="shared" si="0"/>
        <v>102362.64598200002</v>
      </c>
      <c r="K24" s="117">
        <f t="shared" si="0"/>
        <v>101770.75851840001</v>
      </c>
      <c r="L24" s="117">
        <f t="shared" si="0"/>
        <v>104987.50068520001</v>
      </c>
      <c r="M24" s="117">
        <f t="shared" si="0"/>
        <v>117373.54955200001</v>
      </c>
      <c r="N24" s="117">
        <f t="shared" si="0"/>
        <v>109767.0204224</v>
      </c>
      <c r="O24" s="117">
        <f t="shared" si="0"/>
        <v>103884.20578760002</v>
      </c>
      <c r="P24" s="117">
        <f t="shared" si="0"/>
        <v>106054.52</v>
      </c>
      <c r="Q24" s="117">
        <f t="shared" si="0"/>
        <v>113906.79884160002</v>
      </c>
      <c r="R24" s="117">
        <f t="shared" si="0"/>
        <v>113906.79884160002</v>
      </c>
      <c r="S24" s="117">
        <f t="shared" si="0"/>
        <v>113906.79884160002</v>
      </c>
      <c r="T24" s="117">
        <f>T14*T19*(1-T15)</f>
        <v>113906.79884160002</v>
      </c>
      <c r="U24" s="117">
        <f>U14*U19*(1-U15)</f>
        <v>119214.05462264002</v>
      </c>
      <c r="V24" s="117">
        <f>V14*V19*(1-V15)</f>
        <v>120892.60493864003</v>
      </c>
    </row>
    <row r="25" spans="1:25" x14ac:dyDescent="0.25">
      <c r="A25" s="7" t="s">
        <v>66</v>
      </c>
      <c r="B25" s="7" t="s">
        <v>882</v>
      </c>
      <c r="C25" s="7" t="s">
        <v>836</v>
      </c>
      <c r="D25" s="7" t="s">
        <v>884</v>
      </c>
      <c r="E25" s="116">
        <f>E24/1000</f>
        <v>74.359376980000008</v>
      </c>
      <c r="F25" s="116">
        <f t="shared" ref="F25:T25" si="1">F24/1000</f>
        <v>84.385891200000003</v>
      </c>
      <c r="G25" s="116">
        <f t="shared" si="1"/>
        <v>88.345510721999986</v>
      </c>
      <c r="H25" s="116">
        <f t="shared" si="1"/>
        <v>91.329836783999994</v>
      </c>
      <c r="I25" s="116">
        <f t="shared" si="1"/>
        <v>95.892302104000024</v>
      </c>
      <c r="J25" s="116">
        <f t="shared" si="1"/>
        <v>102.36264598200002</v>
      </c>
      <c r="K25" s="116">
        <f t="shared" si="1"/>
        <v>101.7707585184</v>
      </c>
      <c r="L25" s="116">
        <f t="shared" si="1"/>
        <v>104.9875006852</v>
      </c>
      <c r="M25" s="116">
        <f t="shared" si="1"/>
        <v>117.37354955200001</v>
      </c>
      <c r="N25" s="116">
        <f t="shared" si="1"/>
        <v>109.76702042240001</v>
      </c>
      <c r="O25" s="116">
        <f t="shared" si="1"/>
        <v>103.88420578760002</v>
      </c>
      <c r="P25" s="116">
        <f t="shared" si="1"/>
        <v>106.05452000000001</v>
      </c>
      <c r="Q25" s="116">
        <f t="shared" si="1"/>
        <v>113.90679884160002</v>
      </c>
      <c r="R25" s="116">
        <f t="shared" si="1"/>
        <v>113.90679884160002</v>
      </c>
      <c r="S25" s="116">
        <f t="shared" si="1"/>
        <v>113.90679884160002</v>
      </c>
      <c r="T25" s="116">
        <f t="shared" si="1"/>
        <v>113.90679884160002</v>
      </c>
      <c r="U25" s="116">
        <f t="shared" ref="U25:V25" si="2">U24/1000</f>
        <v>119.21405462264002</v>
      </c>
      <c r="V25" s="116">
        <f t="shared" si="2"/>
        <v>120.89260493864002</v>
      </c>
    </row>
    <row r="29" spans="1:25" s="5" customFormat="1" ht="21" x14ac:dyDescent="0.35">
      <c r="B29" s="6" t="s">
        <v>885</v>
      </c>
      <c r="E29" s="5" t="s">
        <v>886</v>
      </c>
    </row>
    <row r="31" spans="1:25" x14ac:dyDescent="0.25">
      <c r="A31" s="27"/>
      <c r="B31" s="26"/>
      <c r="C31" s="26"/>
      <c r="D31" s="26"/>
      <c r="E31" s="26"/>
      <c r="F31" s="26"/>
      <c r="G31" s="26"/>
      <c r="H31" s="26"/>
    </row>
    <row r="52" spans="1:24" ht="21" x14ac:dyDescent="0.35">
      <c r="A52" s="5"/>
      <c r="B52" s="6" t="s">
        <v>346</v>
      </c>
      <c r="C52" s="5"/>
      <c r="D52" s="5"/>
      <c r="E52" s="5" t="s">
        <v>887</v>
      </c>
      <c r="F52" s="5"/>
      <c r="G52" s="5"/>
      <c r="H52" s="5"/>
      <c r="I52" s="5"/>
      <c r="J52" s="5"/>
      <c r="K52" s="5"/>
      <c r="L52" s="5"/>
      <c r="M52" s="5"/>
      <c r="N52" s="5"/>
      <c r="O52" s="5"/>
      <c r="P52" s="5"/>
      <c r="Q52" s="5"/>
      <c r="R52" s="5"/>
      <c r="S52" s="5"/>
      <c r="T52" s="5"/>
      <c r="U52" s="5"/>
      <c r="V52" s="5"/>
      <c r="W52" s="5"/>
      <c r="X52" s="5"/>
    </row>
    <row r="53" spans="1:24" ht="18.75" x14ac:dyDescent="0.3">
      <c r="A53" s="12" t="s">
        <v>844</v>
      </c>
      <c r="E53" t="s">
        <v>888</v>
      </c>
    </row>
    <row r="54" spans="1:24" s="8" customFormat="1" ht="12.75" x14ac:dyDescent="0.2">
      <c r="B54" s="9" t="s">
        <v>865</v>
      </c>
    </row>
    <row r="56" spans="1:24" x14ac:dyDescent="0.25">
      <c r="A56" s="10" t="s">
        <v>867</v>
      </c>
      <c r="B56" s="10" t="s">
        <v>868</v>
      </c>
      <c r="C56" s="10" t="s">
        <v>482</v>
      </c>
      <c r="D56" s="10" t="s">
        <v>740</v>
      </c>
      <c r="E56" s="10">
        <v>2000</v>
      </c>
      <c r="F56" s="10">
        <v>2001</v>
      </c>
      <c r="G56" s="10">
        <v>2002</v>
      </c>
      <c r="H56" s="10">
        <v>2003</v>
      </c>
      <c r="I56" s="10">
        <v>2004</v>
      </c>
      <c r="J56" s="10">
        <v>2005</v>
      </c>
      <c r="K56" s="10">
        <v>2006</v>
      </c>
      <c r="L56" s="10">
        <v>2007</v>
      </c>
      <c r="M56" s="10">
        <v>2008</v>
      </c>
      <c r="N56" s="10">
        <v>2009</v>
      </c>
      <c r="O56" s="10">
        <v>2010</v>
      </c>
      <c r="P56" s="10">
        <v>2011</v>
      </c>
      <c r="Q56" s="10">
        <v>2012</v>
      </c>
      <c r="R56" s="10">
        <v>2013</v>
      </c>
      <c r="S56" s="10">
        <v>2014</v>
      </c>
      <c r="T56" s="10">
        <v>2015</v>
      </c>
      <c r="U56" s="10"/>
      <c r="V56" s="10"/>
    </row>
    <row r="57" spans="1:24" x14ac:dyDescent="0.25">
      <c r="A57" s="11" t="s">
        <v>66</v>
      </c>
      <c r="B57" s="11" t="s">
        <v>902</v>
      </c>
      <c r="C57" s="11"/>
      <c r="D57" s="11" t="s">
        <v>870</v>
      </c>
      <c r="E57" s="29">
        <v>561754</v>
      </c>
      <c r="F57" s="29">
        <v>624156</v>
      </c>
      <c r="G57" s="29">
        <v>667110</v>
      </c>
      <c r="H57" s="29">
        <v>702008</v>
      </c>
      <c r="I57" s="29">
        <v>726644</v>
      </c>
      <c r="J57" s="29">
        <v>775839</v>
      </c>
      <c r="K57" s="29">
        <v>808328</v>
      </c>
      <c r="L57" s="29">
        <v>858382</v>
      </c>
      <c r="M57" s="29">
        <v>978488</v>
      </c>
      <c r="N57" s="29">
        <v>993784</v>
      </c>
      <c r="O57" s="29">
        <v>1009043</v>
      </c>
      <c r="P57" s="29">
        <v>1019755</v>
      </c>
      <c r="Q57" s="29">
        <v>1095264</v>
      </c>
      <c r="R57" s="29">
        <v>1095264</v>
      </c>
      <c r="S57" s="29">
        <v>1095264</v>
      </c>
      <c r="T57" s="29">
        <v>1095264</v>
      </c>
      <c r="U57" s="4"/>
      <c r="V57" s="4"/>
    </row>
    <row r="58" spans="1:24" x14ac:dyDescent="0.25">
      <c r="A58" s="11" t="s">
        <v>66</v>
      </c>
      <c r="B58" s="11" t="s">
        <v>903</v>
      </c>
      <c r="C58" s="11"/>
      <c r="D58" s="11" t="s">
        <v>872</v>
      </c>
      <c r="E58" s="29">
        <v>0.33815000000000001</v>
      </c>
      <c r="F58" s="29">
        <v>0.32400000000000001</v>
      </c>
      <c r="G58" s="29">
        <v>0.33784900000000001</v>
      </c>
      <c r="H58" s="29">
        <v>0.34950999999999999</v>
      </c>
      <c r="I58" s="29">
        <v>0.34016999999999997</v>
      </c>
      <c r="J58" s="29">
        <v>0.34031</v>
      </c>
      <c r="K58" s="29">
        <v>0.37048599999999998</v>
      </c>
      <c r="L58" s="29">
        <v>0.388457</v>
      </c>
      <c r="M58" s="29">
        <v>0.40022999999999997</v>
      </c>
      <c r="N58" s="29">
        <v>0.44773200000000002</v>
      </c>
      <c r="O58" s="29">
        <v>0.485234</v>
      </c>
      <c r="P58" s="29">
        <v>0.48</v>
      </c>
      <c r="Q58" s="29">
        <v>0.48000300000000001</v>
      </c>
      <c r="R58" s="29">
        <v>0.48000300000000001</v>
      </c>
      <c r="S58" s="29">
        <v>0.48000300000000001</v>
      </c>
      <c r="T58" s="29">
        <v>0.48000300000000001</v>
      </c>
      <c r="U58" s="4"/>
      <c r="V58" s="4"/>
    </row>
    <row r="59" spans="1:24" x14ac:dyDescent="0.25">
      <c r="E59" s="11"/>
      <c r="F59" s="11"/>
      <c r="G59" s="11"/>
      <c r="H59" s="11"/>
      <c r="I59" s="11"/>
      <c r="J59" s="11"/>
      <c r="K59" s="11"/>
      <c r="L59" s="11"/>
      <c r="M59" s="11"/>
      <c r="N59" s="11"/>
      <c r="O59" s="11"/>
      <c r="P59" s="11"/>
      <c r="Q59" s="11"/>
      <c r="R59" s="11"/>
      <c r="S59" s="11"/>
      <c r="T59" s="11"/>
    </row>
    <row r="60" spans="1:24" s="8" customFormat="1" ht="12.75" x14ac:dyDescent="0.2">
      <c r="B60" s="9" t="s">
        <v>877</v>
      </c>
      <c r="E60" s="197"/>
      <c r="F60" s="197"/>
      <c r="G60" s="197"/>
      <c r="H60" s="197"/>
      <c r="I60" s="197"/>
      <c r="J60" s="197"/>
      <c r="K60" s="197"/>
      <c r="L60" s="197"/>
      <c r="M60" s="197"/>
      <c r="N60" s="197"/>
      <c r="O60" s="197"/>
      <c r="P60" s="197"/>
      <c r="Q60" s="197"/>
      <c r="R60" s="197"/>
      <c r="S60" s="197"/>
      <c r="T60" s="197"/>
    </row>
    <row r="61" spans="1:24" x14ac:dyDescent="0.25">
      <c r="E61" s="11"/>
      <c r="F61" s="11"/>
      <c r="G61" s="11"/>
      <c r="H61" s="11"/>
      <c r="I61" s="11"/>
      <c r="J61" s="11"/>
      <c r="K61" s="11"/>
      <c r="L61" s="11"/>
      <c r="M61" s="11"/>
      <c r="N61" s="11"/>
      <c r="O61" s="11"/>
      <c r="P61" s="11"/>
      <c r="Q61" s="11"/>
      <c r="R61" s="11"/>
      <c r="S61" s="11"/>
      <c r="T61" s="11"/>
    </row>
    <row r="62" spans="1:24" x14ac:dyDescent="0.25">
      <c r="A62" s="11" t="s">
        <v>66</v>
      </c>
      <c r="B62" s="11" t="s">
        <v>904</v>
      </c>
      <c r="C62" s="11" t="s">
        <v>836</v>
      </c>
      <c r="D62" s="11" t="s">
        <v>880</v>
      </c>
      <c r="E62" s="29">
        <v>0.2</v>
      </c>
      <c r="F62" s="29">
        <v>0.2</v>
      </c>
      <c r="G62" s="29">
        <v>0.2</v>
      </c>
      <c r="H62" s="29">
        <v>0.2</v>
      </c>
      <c r="I62" s="29">
        <v>0.2</v>
      </c>
      <c r="J62" s="29">
        <v>0.2</v>
      </c>
      <c r="K62" s="29">
        <v>0.2</v>
      </c>
      <c r="L62" s="29">
        <v>0.2</v>
      </c>
      <c r="M62" s="29">
        <v>0.2</v>
      </c>
      <c r="N62" s="29">
        <v>0.2</v>
      </c>
      <c r="O62" s="29">
        <v>0.2</v>
      </c>
      <c r="P62" s="29">
        <v>0.2</v>
      </c>
      <c r="Q62" s="29">
        <v>0.2</v>
      </c>
      <c r="R62" s="29">
        <v>0.2</v>
      </c>
      <c r="S62" s="29">
        <v>0.2</v>
      </c>
      <c r="T62" s="29">
        <v>0.2</v>
      </c>
      <c r="U62" s="4"/>
      <c r="V62" s="4"/>
    </row>
    <row r="63" spans="1:24" x14ac:dyDescent="0.25">
      <c r="E63" s="11"/>
      <c r="F63" s="11"/>
      <c r="G63" s="11"/>
      <c r="H63" s="11"/>
      <c r="I63" s="11"/>
      <c r="J63" s="11"/>
      <c r="K63" s="11"/>
      <c r="L63" s="11"/>
      <c r="M63" s="11"/>
      <c r="N63" s="11"/>
      <c r="O63" s="11"/>
      <c r="P63" s="11"/>
      <c r="Q63" s="11"/>
      <c r="R63" s="11"/>
      <c r="S63" s="11"/>
      <c r="T63" s="11"/>
    </row>
    <row r="64" spans="1:24" x14ac:dyDescent="0.25">
      <c r="E64" s="11"/>
      <c r="F64" s="11"/>
      <c r="G64" s="11"/>
      <c r="H64" s="11"/>
      <c r="I64" s="11"/>
      <c r="J64" s="11"/>
      <c r="K64" s="11"/>
      <c r="L64" s="11"/>
      <c r="M64" s="11"/>
      <c r="N64" s="11"/>
      <c r="O64" s="11"/>
      <c r="P64" s="11"/>
      <c r="Q64" s="11"/>
      <c r="R64" s="11"/>
      <c r="S64" s="11"/>
      <c r="T64" s="11"/>
    </row>
    <row r="65" spans="1:22" s="8" customFormat="1" ht="12.75" x14ac:dyDescent="0.2">
      <c r="B65" s="9" t="s">
        <v>619</v>
      </c>
      <c r="E65" s="197"/>
      <c r="F65" s="197"/>
      <c r="G65" s="197"/>
      <c r="H65" s="197"/>
      <c r="I65" s="197"/>
      <c r="J65" s="197"/>
      <c r="K65" s="197"/>
      <c r="L65" s="197"/>
      <c r="M65" s="197"/>
      <c r="N65" s="197"/>
      <c r="O65" s="197"/>
      <c r="P65" s="197"/>
      <c r="Q65" s="197"/>
      <c r="R65" s="197"/>
      <c r="S65" s="197"/>
      <c r="T65" s="197"/>
    </row>
    <row r="66" spans="1:22" x14ac:dyDescent="0.25">
      <c r="E66" s="11"/>
      <c r="F66" s="11"/>
      <c r="G66" s="11"/>
      <c r="H66" s="11"/>
      <c r="I66" s="11"/>
      <c r="J66" s="11"/>
      <c r="K66" s="11"/>
      <c r="L66" s="11"/>
      <c r="M66" s="11"/>
      <c r="N66" s="11"/>
      <c r="O66" s="11"/>
      <c r="P66" s="11"/>
      <c r="Q66" s="11"/>
      <c r="R66" s="11"/>
      <c r="S66" s="11"/>
      <c r="T66" s="11"/>
    </row>
    <row r="67" spans="1:22" x14ac:dyDescent="0.25">
      <c r="A67" s="11" t="s">
        <v>66</v>
      </c>
      <c r="B67" s="11" t="s">
        <v>882</v>
      </c>
      <c r="C67" s="11" t="s">
        <v>836</v>
      </c>
      <c r="D67" s="11" t="s">
        <v>883</v>
      </c>
      <c r="E67" s="29">
        <v>74359.376980000001</v>
      </c>
      <c r="F67" s="29">
        <v>84385.891199999998</v>
      </c>
      <c r="G67" s="29">
        <v>88345.510721999992</v>
      </c>
      <c r="H67" s="29">
        <v>91329.836783999999</v>
      </c>
      <c r="I67" s="29">
        <v>95892.302104000017</v>
      </c>
      <c r="J67" s="29">
        <v>102362.64598200002</v>
      </c>
      <c r="K67" s="29">
        <v>101770.75851840001</v>
      </c>
      <c r="L67" s="29">
        <v>104987.50068520001</v>
      </c>
      <c r="M67" s="29">
        <v>117373.54955200001</v>
      </c>
      <c r="N67" s="29">
        <v>109767.0204224</v>
      </c>
      <c r="O67" s="29">
        <v>103884.20578760002</v>
      </c>
      <c r="P67" s="29">
        <v>106054.52</v>
      </c>
      <c r="Q67" s="29">
        <v>113906.79884160002</v>
      </c>
      <c r="R67" s="29">
        <v>113906.79884160002</v>
      </c>
      <c r="S67" s="29">
        <v>113906.79884160002</v>
      </c>
      <c r="T67" s="29">
        <v>113906.79884160002</v>
      </c>
      <c r="U67" s="4"/>
      <c r="V67" s="4"/>
    </row>
    <row r="68" spans="1:22" x14ac:dyDescent="0.25">
      <c r="A68" s="11" t="s">
        <v>66</v>
      </c>
      <c r="B68" s="11" t="s">
        <v>882</v>
      </c>
      <c r="C68" s="11" t="s">
        <v>836</v>
      </c>
      <c r="D68" s="11" t="s">
        <v>884</v>
      </c>
      <c r="E68" s="29">
        <v>74.359376980000008</v>
      </c>
      <c r="F68" s="29">
        <v>84.385891200000003</v>
      </c>
      <c r="G68" s="29">
        <v>88.345510721999986</v>
      </c>
      <c r="H68" s="29">
        <v>91.329836783999994</v>
      </c>
      <c r="I68" s="29">
        <v>95.892302104000024</v>
      </c>
      <c r="J68" s="29">
        <v>102.36264598200002</v>
      </c>
      <c r="K68" s="29">
        <v>101.7707585184</v>
      </c>
      <c r="L68" s="29">
        <v>104.9875006852</v>
      </c>
      <c r="M68" s="29">
        <v>117.37354955200001</v>
      </c>
      <c r="N68" s="29">
        <v>109.76702042240001</v>
      </c>
      <c r="O68" s="29">
        <v>103.88420578760002</v>
      </c>
      <c r="P68" s="29">
        <v>106.05452000000001</v>
      </c>
      <c r="Q68" s="29">
        <v>113.90679884160002</v>
      </c>
      <c r="R68" s="29">
        <v>113.90679884160002</v>
      </c>
      <c r="S68" s="29">
        <v>113.90679884160002</v>
      </c>
      <c r="T68" s="29">
        <v>113.90679884160002</v>
      </c>
      <c r="U68" s="4"/>
      <c r="V68" s="4"/>
    </row>
    <row r="69" spans="1:22" x14ac:dyDescent="0.25">
      <c r="B69" s="14"/>
    </row>
    <row r="70" spans="1:22" ht="18.75" x14ac:dyDescent="0.3">
      <c r="A70" s="13" t="s">
        <v>346</v>
      </c>
    </row>
    <row r="71" spans="1:22" s="22" customFormat="1" x14ac:dyDescent="0.25">
      <c r="A71" s="8"/>
      <c r="B71" s="9" t="s">
        <v>865</v>
      </c>
      <c r="C71" s="8"/>
      <c r="D71" s="8" t="s">
        <v>852</v>
      </c>
      <c r="E71" s="8"/>
      <c r="F71" s="8"/>
      <c r="G71" s="8"/>
      <c r="H71" s="8"/>
      <c r="I71" s="8"/>
      <c r="J71" s="8"/>
      <c r="K71" s="8"/>
      <c r="L71" s="8"/>
      <c r="M71" s="8"/>
      <c r="N71" s="8"/>
      <c r="O71" s="8"/>
      <c r="P71" s="8"/>
      <c r="Q71" s="8"/>
      <c r="R71" s="8"/>
      <c r="S71" s="8"/>
      <c r="T71" s="8"/>
      <c r="U71" s="8"/>
      <c r="V71" s="8"/>
    </row>
    <row r="73" spans="1:22" x14ac:dyDescent="0.25">
      <c r="A73" s="10" t="s">
        <v>867</v>
      </c>
      <c r="B73" s="10" t="s">
        <v>868</v>
      </c>
      <c r="C73" s="10" t="s">
        <v>482</v>
      </c>
      <c r="D73" s="10" t="s">
        <v>740</v>
      </c>
      <c r="E73" s="10">
        <v>2000</v>
      </c>
      <c r="F73" s="10">
        <v>2001</v>
      </c>
      <c r="G73" s="10">
        <v>2002</v>
      </c>
      <c r="H73" s="10">
        <v>2003</v>
      </c>
      <c r="I73" s="10">
        <v>2004</v>
      </c>
      <c r="J73" s="10">
        <v>2005</v>
      </c>
      <c r="K73" s="10">
        <v>2006</v>
      </c>
      <c r="L73" s="10">
        <v>2007</v>
      </c>
      <c r="M73" s="10">
        <v>2008</v>
      </c>
      <c r="N73" s="10">
        <v>2009</v>
      </c>
      <c r="O73" s="10">
        <v>2010</v>
      </c>
      <c r="P73" s="10">
        <v>2011</v>
      </c>
      <c r="Q73" s="10">
        <v>2012</v>
      </c>
      <c r="R73" s="10">
        <v>2013</v>
      </c>
      <c r="S73" s="10">
        <v>2014</v>
      </c>
      <c r="T73" s="10">
        <v>2015</v>
      </c>
      <c r="U73" s="10"/>
      <c r="V73" s="10"/>
    </row>
    <row r="74" spans="1:22" x14ac:dyDescent="0.25">
      <c r="A74" s="11" t="s">
        <v>66</v>
      </c>
      <c r="B74" s="11" t="s">
        <v>902</v>
      </c>
      <c r="C74" s="11"/>
      <c r="D74" s="11" t="s">
        <v>870</v>
      </c>
      <c r="E74" s="24">
        <f t="shared" ref="E74:S74" si="3">IFERROR(((E14/E57)-1), "CHECK")</f>
        <v>0</v>
      </c>
      <c r="F74" s="24">
        <f t="shared" si="3"/>
        <v>0</v>
      </c>
      <c r="G74" s="24">
        <f t="shared" si="3"/>
        <v>0</v>
      </c>
      <c r="H74" s="24">
        <f t="shared" si="3"/>
        <v>0</v>
      </c>
      <c r="I74" s="24">
        <f t="shared" si="3"/>
        <v>0</v>
      </c>
      <c r="J74" s="24">
        <f t="shared" si="3"/>
        <v>0</v>
      </c>
      <c r="K74" s="24">
        <f t="shared" si="3"/>
        <v>0</v>
      </c>
      <c r="L74" s="24">
        <f t="shared" si="3"/>
        <v>0</v>
      </c>
      <c r="M74" s="24">
        <f t="shared" si="3"/>
        <v>0</v>
      </c>
      <c r="N74" s="24">
        <f t="shared" si="3"/>
        <v>0</v>
      </c>
      <c r="O74" s="24">
        <f t="shared" si="3"/>
        <v>0</v>
      </c>
      <c r="P74" s="24">
        <f t="shared" si="3"/>
        <v>0</v>
      </c>
      <c r="Q74" s="24">
        <f t="shared" si="3"/>
        <v>0</v>
      </c>
      <c r="R74" s="24">
        <f t="shared" si="3"/>
        <v>0</v>
      </c>
      <c r="S74" s="24">
        <f t="shared" si="3"/>
        <v>0</v>
      </c>
      <c r="T74" s="24">
        <f t="shared" ref="T74" si="4">IFERROR(((T14/T57)-1), "CHECK")</f>
        <v>0</v>
      </c>
      <c r="U74" s="24"/>
      <c r="V74" s="24"/>
    </row>
    <row r="75" spans="1:22" x14ac:dyDescent="0.25">
      <c r="A75" s="11" t="s">
        <v>66</v>
      </c>
      <c r="B75" s="11" t="s">
        <v>903</v>
      </c>
      <c r="C75" s="11"/>
      <c r="D75" s="11" t="s">
        <v>872</v>
      </c>
      <c r="E75" s="24">
        <f t="shared" ref="E75:S75" si="5">IFERROR(((E15/E58)-1), "CHECK")</f>
        <v>0</v>
      </c>
      <c r="F75" s="24">
        <f t="shared" si="5"/>
        <v>0</v>
      </c>
      <c r="G75" s="24">
        <f t="shared" si="5"/>
        <v>0</v>
      </c>
      <c r="H75" s="24">
        <f t="shared" si="5"/>
        <v>0</v>
      </c>
      <c r="I75" s="24">
        <f t="shared" si="5"/>
        <v>0</v>
      </c>
      <c r="J75" s="24">
        <f t="shared" si="5"/>
        <v>0</v>
      </c>
      <c r="K75" s="24">
        <f t="shared" si="5"/>
        <v>0</v>
      </c>
      <c r="L75" s="24">
        <f t="shared" si="5"/>
        <v>0</v>
      </c>
      <c r="M75" s="24">
        <f t="shared" si="5"/>
        <v>0</v>
      </c>
      <c r="N75" s="24">
        <f t="shared" si="5"/>
        <v>0</v>
      </c>
      <c r="O75" s="24">
        <f t="shared" si="5"/>
        <v>0</v>
      </c>
      <c r="P75" s="24">
        <f t="shared" si="5"/>
        <v>0</v>
      </c>
      <c r="Q75" s="24">
        <f t="shared" si="5"/>
        <v>0</v>
      </c>
      <c r="R75" s="24">
        <f t="shared" si="5"/>
        <v>0</v>
      </c>
      <c r="S75" s="24">
        <f t="shared" si="5"/>
        <v>0</v>
      </c>
      <c r="T75" s="24">
        <f t="shared" ref="T75" si="6">IFERROR(((T15/T58)-1), "CHECK")</f>
        <v>0</v>
      </c>
      <c r="U75" s="24"/>
      <c r="V75" s="24"/>
    </row>
    <row r="76" spans="1:22" x14ac:dyDescent="0.25">
      <c r="A76" s="11"/>
      <c r="B76" s="11"/>
      <c r="C76" s="11"/>
      <c r="D76" s="11"/>
      <c r="E76" s="24"/>
      <c r="F76" s="24"/>
      <c r="G76" s="24"/>
      <c r="H76" s="24"/>
      <c r="I76" s="24"/>
      <c r="J76" s="24"/>
      <c r="K76" s="24"/>
      <c r="L76" s="24"/>
      <c r="M76" s="24"/>
      <c r="N76" s="24"/>
      <c r="O76" s="24"/>
      <c r="P76" s="24"/>
      <c r="Q76" s="24"/>
      <c r="R76" s="24"/>
      <c r="S76" s="24"/>
      <c r="T76" s="24"/>
      <c r="U76" s="24"/>
      <c r="V76" s="24"/>
    </row>
    <row r="77" spans="1:22" x14ac:dyDescent="0.25">
      <c r="A77" s="8"/>
      <c r="B77" s="9" t="s">
        <v>877</v>
      </c>
      <c r="C77" s="8"/>
      <c r="D77" s="8"/>
      <c r="E77" s="8"/>
      <c r="F77" s="8"/>
      <c r="G77" s="8"/>
      <c r="H77" s="8"/>
      <c r="I77" s="8"/>
      <c r="J77" s="8"/>
      <c r="K77" s="8"/>
      <c r="L77" s="8"/>
      <c r="M77" s="8"/>
      <c r="N77" s="8"/>
      <c r="O77" s="8"/>
      <c r="P77" s="8"/>
      <c r="Q77" s="8"/>
      <c r="R77" s="8"/>
      <c r="S77" s="8"/>
      <c r="T77" s="8"/>
      <c r="U77" s="8"/>
      <c r="V77" s="8"/>
    </row>
    <row r="79" spans="1:22" x14ac:dyDescent="0.25">
      <c r="A79" s="11" t="s">
        <v>66</v>
      </c>
      <c r="B79" s="11" t="s">
        <v>904</v>
      </c>
      <c r="C79" s="11" t="s">
        <v>836</v>
      </c>
      <c r="D79" s="11" t="s">
        <v>880</v>
      </c>
      <c r="E79" s="24">
        <f t="shared" ref="E79:S79" si="7">IFERROR(((E19/E62)-1), "CHECK")</f>
        <v>0</v>
      </c>
      <c r="F79" s="24">
        <f t="shared" si="7"/>
        <v>0</v>
      </c>
      <c r="G79" s="24">
        <f t="shared" si="7"/>
        <v>0</v>
      </c>
      <c r="H79" s="24">
        <f t="shared" si="7"/>
        <v>0</v>
      </c>
      <c r="I79" s="24">
        <f t="shared" si="7"/>
        <v>0</v>
      </c>
      <c r="J79" s="24">
        <f t="shared" si="7"/>
        <v>0</v>
      </c>
      <c r="K79" s="24">
        <f t="shared" si="7"/>
        <v>0</v>
      </c>
      <c r="L79" s="24">
        <f t="shared" si="7"/>
        <v>0</v>
      </c>
      <c r="M79" s="24">
        <f t="shared" si="7"/>
        <v>0</v>
      </c>
      <c r="N79" s="24">
        <f t="shared" si="7"/>
        <v>0</v>
      </c>
      <c r="O79" s="24">
        <f t="shared" si="7"/>
        <v>0</v>
      </c>
      <c r="P79" s="24">
        <f t="shared" si="7"/>
        <v>0</v>
      </c>
      <c r="Q79" s="24">
        <f t="shared" si="7"/>
        <v>0</v>
      </c>
      <c r="R79" s="24">
        <f t="shared" si="7"/>
        <v>0</v>
      </c>
      <c r="S79" s="24">
        <f t="shared" si="7"/>
        <v>0</v>
      </c>
      <c r="T79" s="24">
        <f t="shared" ref="T79" si="8">IFERROR(((T19/T62)-1), "CHECK")</f>
        <v>0</v>
      </c>
      <c r="U79" s="24"/>
      <c r="V79" s="24"/>
    </row>
    <row r="82" spans="1:22" x14ac:dyDescent="0.25">
      <c r="A82" s="8"/>
      <c r="B82" s="9" t="s">
        <v>619</v>
      </c>
      <c r="C82" s="8"/>
      <c r="D82" s="8"/>
      <c r="E82" s="8"/>
      <c r="F82" s="8"/>
      <c r="G82" s="8"/>
      <c r="H82" s="8"/>
      <c r="I82" s="8"/>
      <c r="J82" s="8"/>
      <c r="K82" s="8"/>
      <c r="L82" s="8"/>
      <c r="M82" s="8"/>
      <c r="N82" s="8"/>
      <c r="O82" s="8"/>
      <c r="P82" s="8"/>
      <c r="Q82" s="8"/>
      <c r="R82" s="8"/>
      <c r="S82" s="8"/>
      <c r="T82" s="8"/>
      <c r="U82" s="8"/>
      <c r="V82" s="8"/>
    </row>
    <row r="84" spans="1:22" x14ac:dyDescent="0.25">
      <c r="A84" s="11" t="s">
        <v>66</v>
      </c>
      <c r="B84" s="11" t="s">
        <v>882</v>
      </c>
      <c r="C84" s="11" t="s">
        <v>836</v>
      </c>
      <c r="D84" s="11" t="s">
        <v>883</v>
      </c>
      <c r="E84" s="24">
        <f>IFERROR(((E24/E67)-1),"CHECK")</f>
        <v>0</v>
      </c>
      <c r="F84" s="24">
        <f t="shared" ref="F84:S84" si="9">IFERROR(((F24/F67)-1),"CHECK")</f>
        <v>0</v>
      </c>
      <c r="G84" s="24">
        <f t="shared" si="9"/>
        <v>0</v>
      </c>
      <c r="H84" s="24">
        <f t="shared" si="9"/>
        <v>0</v>
      </c>
      <c r="I84" s="24">
        <f t="shared" si="9"/>
        <v>0</v>
      </c>
      <c r="J84" s="24">
        <f t="shared" si="9"/>
        <v>0</v>
      </c>
      <c r="K84" s="24">
        <f t="shared" si="9"/>
        <v>0</v>
      </c>
      <c r="L84" s="24">
        <f t="shared" si="9"/>
        <v>0</v>
      </c>
      <c r="M84" s="24">
        <f t="shared" si="9"/>
        <v>0</v>
      </c>
      <c r="N84" s="24">
        <f t="shared" si="9"/>
        <v>0</v>
      </c>
      <c r="O84" s="24">
        <f t="shared" si="9"/>
        <v>0</v>
      </c>
      <c r="P84" s="24">
        <f t="shared" si="9"/>
        <v>0</v>
      </c>
      <c r="Q84" s="24">
        <f t="shared" si="9"/>
        <v>0</v>
      </c>
      <c r="R84" s="24">
        <f t="shared" si="9"/>
        <v>0</v>
      </c>
      <c r="S84" s="24">
        <f t="shared" si="9"/>
        <v>0</v>
      </c>
      <c r="T84" s="24">
        <f t="shared" ref="T84" si="10">IFERROR(((T24/T67)-1),"CHECK")</f>
        <v>0</v>
      </c>
      <c r="U84" s="24"/>
      <c r="V84" s="24"/>
    </row>
    <row r="85" spans="1:22" x14ac:dyDescent="0.25">
      <c r="A85" s="11" t="s">
        <v>66</v>
      </c>
      <c r="B85" s="11" t="s">
        <v>882</v>
      </c>
      <c r="C85" s="11" t="s">
        <v>836</v>
      </c>
      <c r="D85" s="11" t="s">
        <v>884</v>
      </c>
      <c r="E85" s="24">
        <f>IFERROR(((E25/E68)-1),"CHECK")</f>
        <v>0</v>
      </c>
      <c r="F85" s="24">
        <f t="shared" ref="F85:S85" si="11">IFERROR(((F25/F68)-1),"CHECK")</f>
        <v>0</v>
      </c>
      <c r="G85" s="24">
        <f t="shared" si="11"/>
        <v>0</v>
      </c>
      <c r="H85" s="24">
        <f t="shared" si="11"/>
        <v>0</v>
      </c>
      <c r="I85" s="24">
        <f t="shared" si="11"/>
        <v>0</v>
      </c>
      <c r="J85" s="24">
        <f t="shared" si="11"/>
        <v>0</v>
      </c>
      <c r="K85" s="24">
        <f t="shared" si="11"/>
        <v>0</v>
      </c>
      <c r="L85" s="24">
        <f t="shared" si="11"/>
        <v>0</v>
      </c>
      <c r="M85" s="24">
        <f t="shared" si="11"/>
        <v>0</v>
      </c>
      <c r="N85" s="24">
        <f t="shared" si="11"/>
        <v>0</v>
      </c>
      <c r="O85" s="24">
        <f t="shared" si="11"/>
        <v>0</v>
      </c>
      <c r="P85" s="24">
        <f t="shared" si="11"/>
        <v>0</v>
      </c>
      <c r="Q85" s="24">
        <f t="shared" si="11"/>
        <v>0</v>
      </c>
      <c r="R85" s="24">
        <f t="shared" si="11"/>
        <v>0</v>
      </c>
      <c r="S85" s="24">
        <f t="shared" si="11"/>
        <v>0</v>
      </c>
      <c r="T85" s="24">
        <f t="shared" ref="T85" si="12">IFERROR(((T25/T68)-1),"CHECK")</f>
        <v>0</v>
      </c>
      <c r="U85" s="24"/>
      <c r="V85" s="24"/>
    </row>
    <row r="87" spans="1:22" x14ac:dyDescent="0.25">
      <c r="B87" s="14"/>
    </row>
    <row r="88" spans="1:22" x14ac:dyDescent="0.25">
      <c r="B88" s="14"/>
    </row>
    <row r="89" spans="1:22" x14ac:dyDescent="0.25">
      <c r="B89" s="14"/>
    </row>
    <row r="90" spans="1:22" x14ac:dyDescent="0.25">
      <c r="B90" s="14"/>
    </row>
    <row r="91" spans="1:22" x14ac:dyDescent="0.25">
      <c r="B91" s="14"/>
    </row>
    <row r="92" spans="1:22" x14ac:dyDescent="0.25">
      <c r="B92" s="14"/>
    </row>
    <row r="93" spans="1:22" x14ac:dyDescent="0.25">
      <c r="B93" s="14"/>
    </row>
    <row r="94" spans="1:22" x14ac:dyDescent="0.25">
      <c r="B94" s="14"/>
    </row>
  </sheetData>
  <mergeCells count="1">
    <mergeCell ref="C1:J1"/>
  </mergeCells>
  <conditionalFormatting sqref="K2">
    <cfRule type="expression" dxfId="33" priority="2">
      <formula>(UPPER(LEFT(SUBSTITUTE($Z2,"#",""),5))="FIXCH")</formula>
    </cfRule>
    <cfRule type="expression" dxfId="32" priority="3">
      <formula>(UPPER(SUBSTITUTE($Z2,"#",""))="OK")</formula>
    </cfRule>
  </conditionalFormatting>
  <conditionalFormatting sqref="E74:V75 E79:V79 E84:V8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1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100-000014000000}">
          <x14:colorSeries rgb="FF376092"/>
          <x14:colorNegative rgb="FFD00000"/>
          <x14:colorAxis rgb="FF000000"/>
          <x14:colorMarkers rgb="FFD00000"/>
          <x14:colorFirst rgb="FFD00000"/>
          <x14:colorLast rgb="FFD00000"/>
          <x14:colorHigh rgb="FFD00000"/>
          <x14:colorLow rgb="FFD00000"/>
          <x14:sparklines>
            <x14:sparkline>
              <xm:f>'2A3 Glass Production'!E24:V24</xm:f>
              <xm:sqref>W24</xm:sqref>
            </x14:sparkline>
            <x14:sparkline>
              <xm:f>'2A3 Glass Production'!E25:V25</xm:f>
              <xm:sqref>W25</xm:sqref>
            </x14:sparkline>
          </x14:sparklines>
        </x14:sparklineGroup>
        <x14:sparklineGroup manualMax="0" manualMin="0" displayEmptyCellsAs="gap" xr2:uid="{00000000-0003-0000-1100-000013000000}">
          <x14:colorSeries rgb="FF376092"/>
          <x14:colorNegative rgb="FFD00000"/>
          <x14:colorAxis rgb="FF000000"/>
          <x14:colorMarkers rgb="FFD00000"/>
          <x14:colorFirst rgb="FFD00000"/>
          <x14:colorLast rgb="FFD00000"/>
          <x14:colorHigh rgb="FFD00000"/>
          <x14:colorLow rgb="FFD00000"/>
          <x14:sparklines>
            <x14:sparkline>
              <xm:f>'2A3 Glass Production'!E19:V19</xm:f>
              <xm:sqref>W19</xm:sqref>
            </x14:sparkline>
          </x14:sparklines>
        </x14:sparklineGroup>
        <x14:sparklineGroup manualMax="0" manualMin="0" displayEmptyCellsAs="gap" xr2:uid="{00000000-0003-0000-1100-000012000000}">
          <x14:colorSeries rgb="FF376092"/>
          <x14:colorNegative rgb="FFD00000"/>
          <x14:colorAxis rgb="FF000000"/>
          <x14:colorMarkers rgb="FFD00000"/>
          <x14:colorFirst rgb="FFD00000"/>
          <x14:colorLast rgb="FFD00000"/>
          <x14:colorHigh rgb="FFD00000"/>
          <x14:colorLow rgb="FFD00000"/>
          <x14:sparklines>
            <x14:sparkline>
              <xm:f>'2A3 Glass Production'!E14:V14</xm:f>
              <xm:sqref>W14</xm:sqref>
            </x14:sparkline>
            <x14:sparkline>
              <xm:f>'2A3 Glass Production'!E15:V15</xm:f>
              <xm:sqref>W15</xm:sqref>
            </x14:sparkline>
          </x14:sparklines>
        </x14:sparklineGroup>
      </x14:sparklineGroup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tabColor theme="3" tint="0.79998168889431442"/>
  </sheetPr>
  <dimension ref="A1:AD110"/>
  <sheetViews>
    <sheetView workbookViewId="0">
      <selection activeCell="E76" sqref="E76"/>
    </sheetView>
  </sheetViews>
  <sheetFormatPr defaultRowHeight="15" x14ac:dyDescent="0.25"/>
  <cols>
    <col min="1" max="1" width="40.42578125" bestFit="1" customWidth="1"/>
    <col min="2" max="2" width="53.5703125" customWidth="1"/>
    <col min="3" max="3" width="10.5703125" customWidth="1"/>
    <col min="4" max="4" width="13.28515625" customWidth="1"/>
    <col min="5" max="5" width="13.85546875" customWidth="1"/>
    <col min="6" max="6" width="11.5703125" customWidth="1"/>
    <col min="7" max="7" width="11" customWidth="1"/>
    <col min="8" max="8" width="10.5703125" customWidth="1"/>
    <col min="9" max="9" width="10.7109375" customWidth="1"/>
    <col min="10" max="10" width="10.140625" customWidth="1"/>
    <col min="11" max="30" width="10.42578125" customWidth="1"/>
    <col min="31" max="91" width="53.7109375" bestFit="1" customWidth="1"/>
    <col min="92" max="106" width="16.5703125" bestFit="1" customWidth="1"/>
  </cols>
  <sheetData>
    <row r="1" spans="1:30" ht="24.75" customHeight="1" x14ac:dyDescent="0.25">
      <c r="A1" s="15" t="s">
        <v>855</v>
      </c>
      <c r="B1" s="4" t="str">
        <f ca="1">MID(CELL("filename",A1),FIND("]",CELL("filename",A1))+1,256)</f>
        <v>2A4 OPUC</v>
      </c>
      <c r="C1" s="267" t="s">
        <v>856</v>
      </c>
      <c r="D1" s="268"/>
      <c r="E1" s="39"/>
      <c r="F1" s="39"/>
      <c r="G1" s="39"/>
      <c r="H1" s="39"/>
      <c r="I1" s="39"/>
      <c r="J1" s="39"/>
      <c r="K1" s="39"/>
      <c r="L1" s="39"/>
      <c r="M1" s="39"/>
      <c r="N1" s="39"/>
      <c r="O1" s="40"/>
    </row>
    <row r="2" spans="1:30" ht="78" customHeight="1" x14ac:dyDescent="0.25">
      <c r="A2" s="15" t="s">
        <v>736</v>
      </c>
      <c r="B2" s="33" t="s">
        <v>857</v>
      </c>
      <c r="C2" s="264" t="s">
        <v>905</v>
      </c>
      <c r="D2" s="265"/>
      <c r="E2" s="265"/>
      <c r="F2" s="265"/>
      <c r="G2" s="265"/>
      <c r="H2" s="265"/>
      <c r="I2" s="265"/>
      <c r="J2" s="265"/>
      <c r="K2" s="265"/>
      <c r="L2" s="265"/>
      <c r="M2" s="265"/>
      <c r="N2" s="265"/>
      <c r="O2" s="266"/>
      <c r="Q2" s="38"/>
      <c r="R2" s="38"/>
      <c r="S2" s="38"/>
      <c r="T2" s="38"/>
      <c r="U2" s="38"/>
      <c r="V2" s="38"/>
      <c r="W2" s="38"/>
      <c r="X2" s="38"/>
      <c r="Y2" s="38"/>
      <c r="Z2" s="38"/>
      <c r="AA2" s="38"/>
      <c r="AB2" s="38"/>
      <c r="AC2" s="38"/>
      <c r="AD2" s="38"/>
    </row>
    <row r="3" spans="1:30" ht="15" customHeight="1" x14ac:dyDescent="0.25">
      <c r="A3" s="15" t="s">
        <v>858</v>
      </c>
      <c r="B3" s="33" t="s">
        <v>906</v>
      </c>
      <c r="C3" s="269"/>
      <c r="D3" s="270"/>
      <c r="E3" s="270"/>
      <c r="F3" s="270"/>
      <c r="G3" s="270"/>
      <c r="H3" s="270"/>
      <c r="I3" s="270"/>
      <c r="J3" s="270"/>
      <c r="K3" s="270"/>
      <c r="L3" s="270"/>
      <c r="M3" s="270"/>
      <c r="N3" s="270"/>
      <c r="O3" s="271"/>
      <c r="Q3" s="38"/>
      <c r="R3" s="38"/>
      <c r="S3" s="38"/>
      <c r="T3" s="38"/>
      <c r="U3" s="38"/>
      <c r="V3" s="38"/>
      <c r="W3" s="38"/>
      <c r="X3" s="38"/>
      <c r="Y3" s="38"/>
      <c r="Z3" s="38"/>
      <c r="AA3" s="38"/>
      <c r="AB3" s="38"/>
      <c r="AC3" s="38"/>
      <c r="AD3" s="38"/>
    </row>
    <row r="4" spans="1:30" ht="15" customHeight="1" x14ac:dyDescent="0.25">
      <c r="A4" s="15" t="s">
        <v>860</v>
      </c>
      <c r="B4" s="33" t="s">
        <v>836</v>
      </c>
      <c r="C4" s="269"/>
      <c r="D4" s="270"/>
      <c r="E4" s="270"/>
      <c r="F4" s="270"/>
      <c r="G4" s="270"/>
      <c r="H4" s="270"/>
      <c r="I4" s="270"/>
      <c r="J4" s="270"/>
      <c r="K4" s="270"/>
      <c r="L4" s="270"/>
      <c r="M4" s="270"/>
      <c r="N4" s="270"/>
      <c r="O4" s="271"/>
      <c r="Q4" s="38"/>
      <c r="R4" s="38"/>
      <c r="S4" s="38"/>
      <c r="T4" s="38"/>
      <c r="U4" s="38"/>
      <c r="V4" s="38"/>
      <c r="W4" s="38"/>
      <c r="X4" s="38"/>
      <c r="Y4" s="38"/>
      <c r="Z4" s="38"/>
      <c r="AA4" s="38"/>
      <c r="AB4" s="38"/>
      <c r="AC4" s="38"/>
      <c r="AD4" s="38"/>
    </row>
    <row r="5" spans="1:30" ht="13.5" customHeight="1" x14ac:dyDescent="0.25">
      <c r="A5" s="15" t="s">
        <v>861</v>
      </c>
      <c r="B5" s="33"/>
      <c r="C5" s="269"/>
      <c r="D5" s="270"/>
      <c r="E5" s="270"/>
      <c r="F5" s="270"/>
      <c r="G5" s="270"/>
      <c r="H5" s="270"/>
      <c r="I5" s="270"/>
      <c r="J5" s="270"/>
      <c r="K5" s="270"/>
      <c r="L5" s="270"/>
      <c r="M5" s="270"/>
      <c r="N5" s="270"/>
      <c r="O5" s="271"/>
      <c r="Q5" s="38"/>
      <c r="R5" s="38"/>
      <c r="S5" s="38"/>
      <c r="T5" s="38"/>
      <c r="U5" s="38"/>
      <c r="V5" s="38"/>
      <c r="W5" s="38"/>
      <c r="X5" s="38"/>
      <c r="Y5" s="38"/>
      <c r="Z5" s="38"/>
      <c r="AA5" s="38"/>
      <c r="AB5" s="38"/>
      <c r="AC5" s="38"/>
      <c r="AD5" s="38"/>
    </row>
    <row r="6" spans="1:30" ht="15" customHeight="1" x14ac:dyDescent="0.25">
      <c r="A6" s="34"/>
      <c r="B6" s="35"/>
      <c r="C6" s="269"/>
      <c r="D6" s="270"/>
      <c r="E6" s="270"/>
      <c r="F6" s="270"/>
      <c r="G6" s="270"/>
      <c r="H6" s="270"/>
      <c r="I6" s="270"/>
      <c r="J6" s="270"/>
      <c r="K6" s="270"/>
      <c r="L6" s="270"/>
      <c r="M6" s="270"/>
      <c r="N6" s="270"/>
      <c r="O6" s="271"/>
      <c r="Q6" s="38"/>
      <c r="R6" s="38"/>
      <c r="S6" s="38"/>
      <c r="T6" s="38"/>
      <c r="U6" s="38"/>
      <c r="V6" s="38"/>
      <c r="W6" s="38"/>
      <c r="X6" s="38"/>
      <c r="Y6" s="38"/>
      <c r="Z6" s="38"/>
      <c r="AA6" s="38"/>
      <c r="AB6" s="38"/>
      <c r="AC6" s="38"/>
      <c r="AD6" s="38"/>
    </row>
    <row r="7" spans="1:30" ht="15" customHeight="1" x14ac:dyDescent="0.25">
      <c r="A7" s="15" t="s">
        <v>862</v>
      </c>
      <c r="B7" s="33" t="s">
        <v>907</v>
      </c>
      <c r="C7" s="269"/>
      <c r="D7" s="270"/>
      <c r="E7" s="270"/>
      <c r="F7" s="270"/>
      <c r="G7" s="270"/>
      <c r="H7" s="270"/>
      <c r="I7" s="270"/>
      <c r="J7" s="270"/>
      <c r="K7" s="270"/>
      <c r="L7" s="270"/>
      <c r="M7" s="270"/>
      <c r="N7" s="270"/>
      <c r="O7" s="271"/>
      <c r="Q7" s="38"/>
      <c r="R7" s="38"/>
      <c r="S7" s="38"/>
      <c r="T7" s="38"/>
      <c r="U7" s="38"/>
      <c r="V7" s="38"/>
      <c r="W7" s="38"/>
      <c r="X7" s="38"/>
      <c r="Y7" s="38"/>
      <c r="Z7" s="38"/>
      <c r="AA7" s="38"/>
      <c r="AB7" s="38"/>
      <c r="AC7" s="38"/>
      <c r="AD7" s="38"/>
    </row>
    <row r="8" spans="1:30" ht="15" customHeight="1" x14ac:dyDescent="0.25">
      <c r="A8" s="15" t="s">
        <v>199</v>
      </c>
      <c r="B8" s="31" t="s">
        <v>890</v>
      </c>
      <c r="C8" s="269"/>
      <c r="D8" s="270"/>
      <c r="E8" s="270"/>
      <c r="F8" s="270"/>
      <c r="G8" s="270"/>
      <c r="H8" s="270"/>
      <c r="I8" s="270"/>
      <c r="J8" s="270"/>
      <c r="K8" s="270"/>
      <c r="L8" s="270"/>
      <c r="M8" s="270"/>
      <c r="N8" s="270"/>
      <c r="O8" s="271"/>
      <c r="Q8" s="38"/>
      <c r="R8" s="38"/>
      <c r="S8" s="38"/>
      <c r="T8" s="38"/>
      <c r="U8" s="38"/>
      <c r="V8" s="38"/>
      <c r="W8" s="38"/>
      <c r="X8" s="38"/>
      <c r="Y8" s="38"/>
      <c r="Z8" s="38"/>
      <c r="AA8" s="38"/>
      <c r="AB8" s="38"/>
      <c r="AC8" s="38"/>
      <c r="AD8" s="38"/>
    </row>
    <row r="9" spans="1:30" ht="15" customHeight="1" x14ac:dyDescent="0.25">
      <c r="A9" s="15" t="s">
        <v>864</v>
      </c>
      <c r="B9" s="33"/>
      <c r="C9" s="272"/>
      <c r="D9" s="273"/>
      <c r="E9" s="273"/>
      <c r="F9" s="273"/>
      <c r="G9" s="273"/>
      <c r="H9" s="273"/>
      <c r="I9" s="273"/>
      <c r="J9" s="273"/>
      <c r="K9" s="273"/>
      <c r="L9" s="273"/>
      <c r="M9" s="273"/>
      <c r="N9" s="273"/>
      <c r="O9" s="274"/>
      <c r="Q9" s="38"/>
      <c r="R9" s="38"/>
      <c r="S9" s="38"/>
      <c r="T9" s="38"/>
      <c r="U9" s="38"/>
      <c r="V9" s="38"/>
      <c r="W9" s="38"/>
      <c r="X9" s="38"/>
      <c r="Y9" s="38"/>
      <c r="Z9" s="38"/>
      <c r="AA9" s="38"/>
      <c r="AB9" s="38"/>
      <c r="AC9" s="38"/>
      <c r="AD9" s="38"/>
    </row>
    <row r="11" spans="1:30" s="5" customFormat="1" ht="21" x14ac:dyDescent="0.35">
      <c r="B11" s="6" t="s">
        <v>865</v>
      </c>
      <c r="E11" s="5" t="s">
        <v>866</v>
      </c>
    </row>
    <row r="13" spans="1:30"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115" t="s">
        <v>741</v>
      </c>
    </row>
    <row r="14" spans="1:30" x14ac:dyDescent="0.25">
      <c r="A14" t="s">
        <v>908</v>
      </c>
      <c r="B14" t="s">
        <v>909</v>
      </c>
      <c r="D14" t="s">
        <v>870</v>
      </c>
      <c r="E14" s="114"/>
      <c r="F14" s="114"/>
      <c r="G14" s="114"/>
      <c r="H14" s="114"/>
      <c r="I14" s="114"/>
      <c r="J14" s="114"/>
      <c r="K14" s="114"/>
      <c r="L14" s="114"/>
      <c r="M14" s="114"/>
      <c r="N14" s="114"/>
      <c r="O14" s="114"/>
      <c r="P14" s="114"/>
      <c r="Q14" s="114"/>
      <c r="R14" s="114"/>
      <c r="S14" s="114"/>
      <c r="T14" s="114"/>
    </row>
    <row r="15" spans="1:30" x14ac:dyDescent="0.25">
      <c r="A15" t="s">
        <v>908</v>
      </c>
      <c r="B15" t="s">
        <v>910</v>
      </c>
      <c r="D15" t="s">
        <v>870</v>
      </c>
      <c r="E15" s="114"/>
      <c r="F15" s="114"/>
      <c r="G15" s="114"/>
      <c r="H15" s="114"/>
      <c r="I15" s="114"/>
      <c r="J15" s="114"/>
      <c r="K15" s="114"/>
      <c r="L15" s="114"/>
      <c r="M15" s="114"/>
      <c r="N15" s="114"/>
      <c r="O15" s="114"/>
      <c r="P15" s="114"/>
      <c r="Q15" s="114"/>
      <c r="R15" s="114"/>
      <c r="S15" s="114"/>
      <c r="T15" s="114"/>
    </row>
    <row r="16" spans="1:30" x14ac:dyDescent="0.25">
      <c r="A16" t="s">
        <v>908</v>
      </c>
      <c r="B16" t="s">
        <v>911</v>
      </c>
      <c r="D16" t="s">
        <v>870</v>
      </c>
      <c r="E16" s="114"/>
      <c r="F16" s="114"/>
      <c r="G16" s="114"/>
      <c r="H16" s="114"/>
      <c r="I16" s="114"/>
      <c r="J16" s="114"/>
      <c r="K16" s="114"/>
      <c r="L16" s="114"/>
      <c r="M16" s="114"/>
      <c r="N16" s="114"/>
      <c r="O16" s="114"/>
      <c r="P16" s="114"/>
      <c r="Q16" s="114"/>
      <c r="R16" s="114"/>
      <c r="S16" s="114"/>
      <c r="T16" s="114"/>
    </row>
    <row r="17" spans="1:20" x14ac:dyDescent="0.25">
      <c r="A17" t="s">
        <v>908</v>
      </c>
      <c r="B17" t="s">
        <v>574</v>
      </c>
      <c r="D17" t="s">
        <v>870</v>
      </c>
      <c r="E17" s="114"/>
      <c r="F17" s="114"/>
      <c r="G17" s="114"/>
      <c r="H17" s="114"/>
      <c r="I17" s="114"/>
      <c r="J17" s="114"/>
      <c r="K17" s="114"/>
      <c r="L17" s="114"/>
      <c r="M17" s="114"/>
      <c r="N17" s="114"/>
      <c r="O17" s="114"/>
      <c r="P17" s="114"/>
      <c r="Q17" s="114"/>
      <c r="R17" s="114"/>
      <c r="S17" s="114"/>
      <c r="T17" s="114"/>
    </row>
    <row r="19" spans="1:20" s="5" customFormat="1" ht="21" x14ac:dyDescent="0.35">
      <c r="B19" s="6" t="s">
        <v>877</v>
      </c>
      <c r="E19" s="5" t="s">
        <v>878</v>
      </c>
    </row>
    <row r="21" spans="1:20" x14ac:dyDescent="0.25">
      <c r="A21" t="s">
        <v>912</v>
      </c>
      <c r="B21" t="s">
        <v>913</v>
      </c>
      <c r="C21" t="s">
        <v>836</v>
      </c>
      <c r="D21" t="s">
        <v>880</v>
      </c>
      <c r="E21" s="205"/>
      <c r="F21" s="205"/>
      <c r="G21" s="205"/>
      <c r="H21" s="205"/>
      <c r="I21" s="205"/>
      <c r="J21" s="205"/>
      <c r="K21" s="205"/>
      <c r="L21" s="205"/>
      <c r="M21" s="205"/>
      <c r="N21" s="205"/>
      <c r="O21" s="205"/>
      <c r="P21" s="205"/>
      <c r="Q21" s="205"/>
      <c r="R21" s="205"/>
      <c r="S21" s="205"/>
      <c r="T21" s="205"/>
    </row>
    <row r="22" spans="1:20" x14ac:dyDescent="0.25">
      <c r="A22" t="s">
        <v>914</v>
      </c>
      <c r="B22" t="s">
        <v>913</v>
      </c>
      <c r="C22" t="s">
        <v>836</v>
      </c>
      <c r="D22" t="s">
        <v>880</v>
      </c>
      <c r="E22" s="205"/>
      <c r="F22" s="205"/>
      <c r="G22" s="205"/>
      <c r="H22" s="205"/>
      <c r="I22" s="205"/>
      <c r="J22" s="205"/>
      <c r="K22" s="205"/>
      <c r="L22" s="205"/>
      <c r="M22" s="205"/>
      <c r="N22" s="205"/>
      <c r="O22" s="205"/>
      <c r="P22" s="205"/>
      <c r="Q22" s="205"/>
      <c r="R22" s="205"/>
      <c r="S22" s="205"/>
      <c r="T22" s="205"/>
    </row>
    <row r="23" spans="1:20" x14ac:dyDescent="0.25">
      <c r="A23" t="s">
        <v>915</v>
      </c>
      <c r="B23" t="s">
        <v>913</v>
      </c>
      <c r="C23" t="s">
        <v>836</v>
      </c>
      <c r="D23" t="s">
        <v>880</v>
      </c>
      <c r="E23" s="205"/>
      <c r="F23" s="205"/>
      <c r="G23" s="205"/>
      <c r="H23" s="205"/>
      <c r="I23" s="205"/>
      <c r="J23" s="205"/>
      <c r="K23" s="205"/>
      <c r="L23" s="205"/>
      <c r="M23" s="205"/>
      <c r="N23" s="205"/>
      <c r="O23" s="205"/>
      <c r="P23" s="205"/>
      <c r="Q23" s="205"/>
      <c r="R23" s="205"/>
      <c r="S23" s="205"/>
      <c r="T23" s="205"/>
    </row>
    <row r="24" spans="1:20" x14ac:dyDescent="0.25">
      <c r="A24" t="s">
        <v>916</v>
      </c>
      <c r="B24" t="s">
        <v>913</v>
      </c>
      <c r="C24" t="s">
        <v>836</v>
      </c>
      <c r="D24" t="s">
        <v>880</v>
      </c>
      <c r="E24" s="205"/>
      <c r="F24" s="205"/>
      <c r="G24" s="205"/>
      <c r="H24" s="205"/>
      <c r="I24" s="205"/>
      <c r="J24" s="205"/>
      <c r="K24" s="205"/>
      <c r="L24" s="205"/>
      <c r="M24" s="205"/>
      <c r="N24" s="205"/>
      <c r="O24" s="205"/>
      <c r="P24" s="205"/>
      <c r="Q24" s="205"/>
      <c r="R24" s="205"/>
      <c r="S24" s="205"/>
      <c r="T24" s="205"/>
    </row>
    <row r="26" spans="1:20" s="5" customFormat="1" ht="21" x14ac:dyDescent="0.35">
      <c r="B26" s="6" t="s">
        <v>619</v>
      </c>
      <c r="E26" s="5" t="s">
        <v>881</v>
      </c>
    </row>
    <row r="28" spans="1:20" x14ac:dyDescent="0.25">
      <c r="A28" t="s">
        <v>908</v>
      </c>
      <c r="B28" t="s">
        <v>917</v>
      </c>
      <c r="C28" t="s">
        <v>836</v>
      </c>
      <c r="D28" t="s">
        <v>918</v>
      </c>
      <c r="E28" s="117">
        <f t="shared" ref="E28:S28" si="0">(E14*E21)/1000</f>
        <v>0</v>
      </c>
      <c r="F28" s="117">
        <f t="shared" si="0"/>
        <v>0</v>
      </c>
      <c r="G28" s="117">
        <f t="shared" si="0"/>
        <v>0</v>
      </c>
      <c r="H28" s="117">
        <f t="shared" si="0"/>
        <v>0</v>
      </c>
      <c r="I28" s="117">
        <f t="shared" si="0"/>
        <v>0</v>
      </c>
      <c r="J28" s="117">
        <f t="shared" si="0"/>
        <v>0</v>
      </c>
      <c r="K28" s="117">
        <f t="shared" si="0"/>
        <v>0</v>
      </c>
      <c r="L28" s="117">
        <f t="shared" si="0"/>
        <v>0</v>
      </c>
      <c r="M28" s="117">
        <f t="shared" si="0"/>
        <v>0</v>
      </c>
      <c r="N28" s="117">
        <f t="shared" si="0"/>
        <v>0</v>
      </c>
      <c r="O28" s="117">
        <f t="shared" si="0"/>
        <v>0</v>
      </c>
      <c r="P28" s="117">
        <f t="shared" si="0"/>
        <v>0</v>
      </c>
      <c r="Q28" s="117">
        <f t="shared" si="0"/>
        <v>0</v>
      </c>
      <c r="R28" s="117">
        <f t="shared" si="0"/>
        <v>0</v>
      </c>
      <c r="S28" s="117">
        <f t="shared" si="0"/>
        <v>0</v>
      </c>
      <c r="T28" s="117"/>
    </row>
    <row r="29" spans="1:20" x14ac:dyDescent="0.25">
      <c r="A29" t="s">
        <v>908</v>
      </c>
      <c r="B29" t="s">
        <v>919</v>
      </c>
      <c r="C29" t="s">
        <v>836</v>
      </c>
      <c r="D29" t="s">
        <v>918</v>
      </c>
      <c r="E29" s="117">
        <f>(E15*E22)/1000</f>
        <v>0</v>
      </c>
      <c r="F29" s="117">
        <f t="shared" ref="F29:S29" si="1">F28/1000</f>
        <v>0</v>
      </c>
      <c r="G29" s="117">
        <f t="shared" si="1"/>
        <v>0</v>
      </c>
      <c r="H29" s="117">
        <f t="shared" si="1"/>
        <v>0</v>
      </c>
      <c r="I29" s="117">
        <f t="shared" si="1"/>
        <v>0</v>
      </c>
      <c r="J29" s="117">
        <f t="shared" si="1"/>
        <v>0</v>
      </c>
      <c r="K29" s="117">
        <f t="shared" si="1"/>
        <v>0</v>
      </c>
      <c r="L29" s="117">
        <f t="shared" si="1"/>
        <v>0</v>
      </c>
      <c r="M29" s="117">
        <f t="shared" si="1"/>
        <v>0</v>
      </c>
      <c r="N29" s="117">
        <f t="shared" si="1"/>
        <v>0</v>
      </c>
      <c r="O29" s="117">
        <f t="shared" si="1"/>
        <v>0</v>
      </c>
      <c r="P29" s="117">
        <f t="shared" si="1"/>
        <v>0</v>
      </c>
      <c r="Q29" s="117">
        <f t="shared" si="1"/>
        <v>0</v>
      </c>
      <c r="R29" s="117">
        <f t="shared" si="1"/>
        <v>0</v>
      </c>
      <c r="S29" s="117">
        <f t="shared" si="1"/>
        <v>0</v>
      </c>
      <c r="T29" s="117"/>
    </row>
    <row r="30" spans="1:20" x14ac:dyDescent="0.25">
      <c r="A30" t="s">
        <v>908</v>
      </c>
      <c r="B30" t="s">
        <v>920</v>
      </c>
      <c r="C30" t="s">
        <v>836</v>
      </c>
      <c r="D30" t="s">
        <v>918</v>
      </c>
      <c r="E30" s="117">
        <f>(E16*E23)/1000</f>
        <v>0</v>
      </c>
      <c r="F30" s="117">
        <f t="shared" ref="F30:S30" si="2">(F16*F23)/1000</f>
        <v>0</v>
      </c>
      <c r="G30" s="117">
        <f t="shared" si="2"/>
        <v>0</v>
      </c>
      <c r="H30" s="117">
        <f t="shared" si="2"/>
        <v>0</v>
      </c>
      <c r="I30" s="117">
        <f t="shared" si="2"/>
        <v>0</v>
      </c>
      <c r="J30" s="117">
        <f t="shared" si="2"/>
        <v>0</v>
      </c>
      <c r="K30" s="117">
        <f t="shared" si="2"/>
        <v>0</v>
      </c>
      <c r="L30" s="117">
        <f t="shared" si="2"/>
        <v>0</v>
      </c>
      <c r="M30" s="117">
        <f t="shared" si="2"/>
        <v>0</v>
      </c>
      <c r="N30" s="117">
        <f t="shared" si="2"/>
        <v>0</v>
      </c>
      <c r="O30" s="117">
        <f t="shared" si="2"/>
        <v>0</v>
      </c>
      <c r="P30" s="117">
        <f t="shared" si="2"/>
        <v>0</v>
      </c>
      <c r="Q30" s="117">
        <f t="shared" si="2"/>
        <v>0</v>
      </c>
      <c r="R30" s="117">
        <f t="shared" si="2"/>
        <v>0</v>
      </c>
      <c r="S30" s="117">
        <f t="shared" si="2"/>
        <v>0</v>
      </c>
      <c r="T30" s="117"/>
    </row>
    <row r="31" spans="1:20" x14ac:dyDescent="0.25">
      <c r="A31" t="s">
        <v>908</v>
      </c>
      <c r="B31" t="s">
        <v>921</v>
      </c>
      <c r="C31" t="s">
        <v>836</v>
      </c>
      <c r="D31" t="s">
        <v>918</v>
      </c>
      <c r="E31" s="117">
        <f>(E17*E24)/1000</f>
        <v>0</v>
      </c>
      <c r="F31" s="117">
        <f t="shared" ref="F31:S31" si="3">(F17*F24)/1000</f>
        <v>0</v>
      </c>
      <c r="G31" s="117">
        <f t="shared" si="3"/>
        <v>0</v>
      </c>
      <c r="H31" s="117">
        <f t="shared" si="3"/>
        <v>0</v>
      </c>
      <c r="I31" s="117">
        <f t="shared" si="3"/>
        <v>0</v>
      </c>
      <c r="J31" s="117">
        <f t="shared" si="3"/>
        <v>0</v>
      </c>
      <c r="K31" s="117">
        <f t="shared" si="3"/>
        <v>0</v>
      </c>
      <c r="L31" s="117">
        <f t="shared" si="3"/>
        <v>0</v>
      </c>
      <c r="M31" s="117">
        <f t="shared" si="3"/>
        <v>0</v>
      </c>
      <c r="N31" s="117">
        <f t="shared" si="3"/>
        <v>0</v>
      </c>
      <c r="O31" s="117">
        <f t="shared" si="3"/>
        <v>0</v>
      </c>
      <c r="P31" s="117">
        <f t="shared" si="3"/>
        <v>0</v>
      </c>
      <c r="Q31" s="117">
        <f t="shared" si="3"/>
        <v>0</v>
      </c>
      <c r="R31" s="117">
        <f t="shared" si="3"/>
        <v>0</v>
      </c>
      <c r="S31" s="117">
        <f t="shared" si="3"/>
        <v>0</v>
      </c>
      <c r="T31" s="117"/>
    </row>
    <row r="32" spans="1:20" x14ac:dyDescent="0.25">
      <c r="A32" s="7" t="s">
        <v>908</v>
      </c>
      <c r="B32" s="7" t="s">
        <v>922</v>
      </c>
      <c r="C32" s="7" t="s">
        <v>836</v>
      </c>
      <c r="D32" s="7" t="s">
        <v>918</v>
      </c>
      <c r="E32" s="116">
        <f>SUM(E28:E31)</f>
        <v>0</v>
      </c>
      <c r="F32" s="116">
        <f t="shared" ref="F32:S32" si="4">SUM(F28:F31)</f>
        <v>0</v>
      </c>
      <c r="G32" s="116">
        <f t="shared" si="4"/>
        <v>0</v>
      </c>
      <c r="H32" s="116">
        <f t="shared" si="4"/>
        <v>0</v>
      </c>
      <c r="I32" s="116">
        <f t="shared" si="4"/>
        <v>0</v>
      </c>
      <c r="J32" s="116">
        <f t="shared" si="4"/>
        <v>0</v>
      </c>
      <c r="K32" s="116">
        <f t="shared" si="4"/>
        <v>0</v>
      </c>
      <c r="L32" s="116">
        <f t="shared" si="4"/>
        <v>0</v>
      </c>
      <c r="M32" s="116">
        <f t="shared" si="4"/>
        <v>0</v>
      </c>
      <c r="N32" s="116">
        <f t="shared" si="4"/>
        <v>0</v>
      </c>
      <c r="O32" s="116">
        <f t="shared" si="4"/>
        <v>0</v>
      </c>
      <c r="P32" s="116">
        <f t="shared" si="4"/>
        <v>0</v>
      </c>
      <c r="Q32" s="116">
        <f t="shared" si="4"/>
        <v>0</v>
      </c>
      <c r="R32" s="116">
        <f t="shared" si="4"/>
        <v>0</v>
      </c>
      <c r="S32" s="116">
        <f t="shared" si="4"/>
        <v>0</v>
      </c>
      <c r="T32" s="116"/>
    </row>
    <row r="34" spans="1:8" s="5" customFormat="1" ht="21" x14ac:dyDescent="0.35">
      <c r="B34" s="6" t="s">
        <v>885</v>
      </c>
      <c r="E34" s="5" t="s">
        <v>886</v>
      </c>
    </row>
    <row r="36" spans="1:8" x14ac:dyDescent="0.25">
      <c r="A36" s="27"/>
      <c r="B36" s="26"/>
      <c r="C36" s="26"/>
      <c r="D36" s="26"/>
      <c r="E36" s="26"/>
      <c r="F36" s="26"/>
      <c r="G36" s="26"/>
      <c r="H36" s="26"/>
    </row>
    <row r="57" spans="1:22" ht="21" x14ac:dyDescent="0.35">
      <c r="A57" s="5"/>
      <c r="B57" s="6" t="s">
        <v>346</v>
      </c>
      <c r="C57" s="5"/>
      <c r="D57" s="5"/>
      <c r="E57" s="5" t="s">
        <v>887</v>
      </c>
      <c r="F57" s="5"/>
      <c r="G57" s="5"/>
      <c r="H57" s="5"/>
      <c r="I57" s="5"/>
      <c r="J57" s="5"/>
      <c r="K57" s="5"/>
      <c r="L57" s="5"/>
      <c r="M57" s="5"/>
      <c r="N57" s="5"/>
      <c r="O57" s="5"/>
      <c r="P57" s="5"/>
      <c r="Q57" s="5"/>
      <c r="R57" s="5"/>
      <c r="S57" s="5"/>
      <c r="T57" s="5"/>
      <c r="U57" s="5"/>
      <c r="V57" s="5"/>
    </row>
    <row r="58" spans="1:22" ht="18.75" x14ac:dyDescent="0.3">
      <c r="A58" s="12" t="s">
        <v>844</v>
      </c>
      <c r="E58" t="s">
        <v>888</v>
      </c>
    </row>
    <row r="59" spans="1:22" s="8" customFormat="1" ht="12.75" x14ac:dyDescent="0.2">
      <c r="B59" s="9" t="s">
        <v>865</v>
      </c>
    </row>
    <row r="61" spans="1:22" x14ac:dyDescent="0.25">
      <c r="A61" s="10" t="s">
        <v>867</v>
      </c>
      <c r="B61" s="10" t="s">
        <v>868</v>
      </c>
      <c r="C61" s="10" t="s">
        <v>482</v>
      </c>
      <c r="D61" s="10" t="s">
        <v>740</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row>
    <row r="62" spans="1:22" x14ac:dyDescent="0.25">
      <c r="A62" s="11" t="s">
        <v>908</v>
      </c>
      <c r="B62" s="11" t="s">
        <v>909</v>
      </c>
      <c r="C62" s="11"/>
      <c r="D62" s="11" t="s">
        <v>870</v>
      </c>
      <c r="E62" s="4"/>
      <c r="F62" s="4"/>
      <c r="G62" s="4"/>
      <c r="H62" s="4"/>
      <c r="I62" s="4"/>
      <c r="J62" s="4"/>
      <c r="K62" s="4"/>
      <c r="L62" s="4"/>
      <c r="M62" s="4"/>
      <c r="N62" s="4"/>
      <c r="O62" s="4"/>
      <c r="P62" s="4"/>
      <c r="Q62" s="4"/>
      <c r="R62" s="4"/>
      <c r="S62" s="4"/>
      <c r="T62" s="4"/>
    </row>
    <row r="63" spans="1:22" x14ac:dyDescent="0.25">
      <c r="A63" s="11" t="s">
        <v>908</v>
      </c>
      <c r="B63" s="11" t="s">
        <v>910</v>
      </c>
      <c r="C63" s="11"/>
      <c r="D63" s="11" t="s">
        <v>870</v>
      </c>
      <c r="E63" s="4"/>
      <c r="F63" s="4"/>
      <c r="G63" s="4"/>
      <c r="H63" s="4"/>
      <c r="I63" s="4"/>
      <c r="J63" s="4"/>
      <c r="K63" s="4"/>
      <c r="L63" s="4"/>
      <c r="M63" s="4"/>
      <c r="N63" s="4"/>
      <c r="O63" s="4"/>
      <c r="P63" s="4"/>
      <c r="Q63" s="4"/>
      <c r="R63" s="4"/>
      <c r="S63" s="4"/>
      <c r="T63" s="4"/>
    </row>
    <row r="64" spans="1:22" x14ac:dyDescent="0.25">
      <c r="A64" s="11" t="s">
        <v>908</v>
      </c>
      <c r="B64" s="11" t="s">
        <v>911</v>
      </c>
      <c r="C64" s="11"/>
      <c r="D64" s="11" t="s">
        <v>870</v>
      </c>
      <c r="E64" s="4"/>
      <c r="F64" s="4"/>
      <c r="G64" s="4"/>
      <c r="H64" s="4"/>
      <c r="I64" s="4"/>
      <c r="J64" s="4"/>
      <c r="K64" s="4"/>
      <c r="L64" s="4"/>
      <c r="M64" s="4"/>
      <c r="N64" s="4"/>
      <c r="O64" s="4"/>
      <c r="P64" s="4"/>
      <c r="Q64" s="4"/>
      <c r="R64" s="4"/>
      <c r="S64" s="4"/>
      <c r="T64" s="4"/>
    </row>
    <row r="65" spans="1:20" x14ac:dyDescent="0.25">
      <c r="A65" s="11" t="s">
        <v>908</v>
      </c>
      <c r="B65" s="11" t="s">
        <v>574</v>
      </c>
      <c r="C65" s="11"/>
      <c r="D65" s="11" t="s">
        <v>870</v>
      </c>
      <c r="E65" s="4"/>
      <c r="F65" s="4"/>
      <c r="G65" s="4"/>
      <c r="H65" s="4"/>
      <c r="I65" s="4"/>
      <c r="J65" s="4"/>
      <c r="K65" s="4"/>
      <c r="L65" s="4"/>
      <c r="M65" s="4"/>
      <c r="N65" s="4"/>
      <c r="O65" s="4"/>
      <c r="P65" s="4"/>
      <c r="Q65" s="4"/>
      <c r="R65" s="4"/>
      <c r="S65" s="4"/>
      <c r="T65" s="4"/>
    </row>
    <row r="67" spans="1:20" s="8" customFormat="1" ht="12.75" x14ac:dyDescent="0.2">
      <c r="B67" s="9" t="s">
        <v>877</v>
      </c>
    </row>
    <row r="69" spans="1:20" x14ac:dyDescent="0.25">
      <c r="A69" s="11" t="s">
        <v>912</v>
      </c>
      <c r="B69" s="11" t="s">
        <v>913</v>
      </c>
      <c r="C69" s="11" t="s">
        <v>836</v>
      </c>
      <c r="D69" s="11" t="s">
        <v>880</v>
      </c>
      <c r="E69" s="4"/>
      <c r="F69" s="4"/>
      <c r="G69" s="4"/>
      <c r="H69" s="4"/>
      <c r="I69" s="4"/>
      <c r="J69" s="4"/>
      <c r="K69" s="4"/>
      <c r="L69" s="4"/>
      <c r="M69" s="4"/>
      <c r="N69" s="4"/>
      <c r="O69" s="4"/>
      <c r="P69" s="4"/>
      <c r="Q69" s="4"/>
      <c r="R69" s="4"/>
      <c r="S69" s="4"/>
      <c r="T69" s="4"/>
    </row>
    <row r="70" spans="1:20" x14ac:dyDescent="0.25">
      <c r="A70" s="11" t="s">
        <v>914</v>
      </c>
      <c r="B70" s="11" t="s">
        <v>913</v>
      </c>
      <c r="C70" s="11" t="s">
        <v>836</v>
      </c>
      <c r="D70" s="11" t="s">
        <v>880</v>
      </c>
      <c r="E70" s="4"/>
      <c r="F70" s="4"/>
      <c r="G70" s="4"/>
      <c r="H70" s="4"/>
      <c r="I70" s="4"/>
      <c r="J70" s="4"/>
      <c r="K70" s="4"/>
      <c r="L70" s="4"/>
      <c r="M70" s="4"/>
      <c r="N70" s="4"/>
      <c r="O70" s="4"/>
      <c r="P70" s="4"/>
      <c r="Q70" s="4"/>
      <c r="R70" s="4"/>
      <c r="S70" s="4"/>
      <c r="T70" s="4"/>
    </row>
    <row r="71" spans="1:20" x14ac:dyDescent="0.25">
      <c r="A71" s="11" t="s">
        <v>915</v>
      </c>
      <c r="B71" s="11" t="s">
        <v>913</v>
      </c>
      <c r="C71" s="11" t="s">
        <v>836</v>
      </c>
      <c r="D71" s="11" t="s">
        <v>880</v>
      </c>
      <c r="E71" s="4"/>
      <c r="F71" s="4"/>
      <c r="G71" s="4"/>
      <c r="H71" s="4"/>
      <c r="I71" s="4"/>
      <c r="J71" s="4"/>
      <c r="K71" s="4"/>
      <c r="L71" s="4"/>
      <c r="M71" s="4"/>
      <c r="N71" s="4"/>
      <c r="O71" s="4"/>
      <c r="P71" s="4"/>
      <c r="Q71" s="4"/>
      <c r="R71" s="4"/>
      <c r="S71" s="4"/>
      <c r="T71" s="4"/>
    </row>
    <row r="72" spans="1:20" x14ac:dyDescent="0.25">
      <c r="A72" s="11" t="s">
        <v>916</v>
      </c>
      <c r="B72" s="11" t="s">
        <v>913</v>
      </c>
      <c r="C72" s="11" t="s">
        <v>836</v>
      </c>
      <c r="D72" s="11" t="s">
        <v>880</v>
      </c>
      <c r="E72" s="4"/>
      <c r="F72" s="4"/>
      <c r="G72" s="4"/>
      <c r="H72" s="4"/>
      <c r="I72" s="4"/>
      <c r="J72" s="4"/>
      <c r="K72" s="4"/>
      <c r="L72" s="4"/>
      <c r="M72" s="4"/>
      <c r="N72" s="4"/>
      <c r="O72" s="4"/>
      <c r="P72" s="4"/>
      <c r="Q72" s="4"/>
      <c r="R72" s="4"/>
      <c r="S72" s="4"/>
      <c r="T72" s="4"/>
    </row>
    <row r="74" spans="1:20" s="8" customFormat="1" ht="12.75" x14ac:dyDescent="0.2">
      <c r="B74" s="9" t="s">
        <v>619</v>
      </c>
    </row>
    <row r="76" spans="1:20" x14ac:dyDescent="0.25">
      <c r="A76" s="11" t="s">
        <v>908</v>
      </c>
      <c r="B76" s="11" t="s">
        <v>917</v>
      </c>
      <c r="C76" s="11" t="s">
        <v>836</v>
      </c>
      <c r="D76" s="11" t="s">
        <v>918</v>
      </c>
      <c r="E76" s="4"/>
      <c r="F76" s="4"/>
      <c r="G76" s="4"/>
      <c r="H76" s="4"/>
      <c r="I76" s="4"/>
      <c r="J76" s="4"/>
      <c r="K76" s="4"/>
      <c r="L76" s="4"/>
      <c r="M76" s="4"/>
      <c r="N76" s="4"/>
      <c r="O76" s="4"/>
      <c r="P76" s="4"/>
      <c r="Q76" s="4"/>
      <c r="R76" s="4"/>
      <c r="S76" s="4"/>
      <c r="T76" s="4"/>
    </row>
    <row r="77" spans="1:20" x14ac:dyDescent="0.25">
      <c r="A77" s="11" t="s">
        <v>908</v>
      </c>
      <c r="B77" s="11" t="s">
        <v>919</v>
      </c>
      <c r="C77" s="11" t="s">
        <v>836</v>
      </c>
      <c r="D77" s="11" t="s">
        <v>918</v>
      </c>
      <c r="E77" s="4"/>
      <c r="F77" s="4"/>
      <c r="G77" s="4"/>
      <c r="H77" s="4"/>
      <c r="I77" s="4"/>
      <c r="J77" s="4"/>
      <c r="K77" s="4"/>
      <c r="L77" s="4"/>
      <c r="M77" s="4"/>
      <c r="N77" s="4"/>
      <c r="O77" s="4"/>
      <c r="P77" s="4"/>
      <c r="Q77" s="4"/>
      <c r="R77" s="4"/>
      <c r="S77" s="4"/>
      <c r="T77" s="4"/>
    </row>
    <row r="78" spans="1:20" x14ac:dyDescent="0.25">
      <c r="A78" s="11" t="s">
        <v>908</v>
      </c>
      <c r="B78" s="11" t="s">
        <v>920</v>
      </c>
      <c r="C78" s="11" t="s">
        <v>836</v>
      </c>
      <c r="D78" s="11" t="s">
        <v>918</v>
      </c>
      <c r="E78" s="4"/>
      <c r="F78" s="4"/>
      <c r="G78" s="4"/>
      <c r="H78" s="4"/>
      <c r="I78" s="4"/>
      <c r="J78" s="4"/>
      <c r="K78" s="4"/>
      <c r="L78" s="4"/>
      <c r="M78" s="4"/>
      <c r="N78" s="4"/>
      <c r="O78" s="4"/>
      <c r="P78" s="4"/>
      <c r="Q78" s="4"/>
      <c r="R78" s="4"/>
      <c r="S78" s="4"/>
      <c r="T78" s="4"/>
    </row>
    <row r="79" spans="1:20" x14ac:dyDescent="0.25">
      <c r="A79" s="11" t="s">
        <v>908</v>
      </c>
      <c r="B79" s="11" t="s">
        <v>921</v>
      </c>
      <c r="C79" s="11" t="s">
        <v>836</v>
      </c>
      <c r="D79" s="11" t="s">
        <v>918</v>
      </c>
      <c r="E79" s="4"/>
      <c r="F79" s="4"/>
      <c r="G79" s="4"/>
      <c r="H79" s="4"/>
      <c r="I79" s="4"/>
      <c r="J79" s="4"/>
      <c r="K79" s="4"/>
      <c r="L79" s="4"/>
      <c r="M79" s="4"/>
      <c r="N79" s="4"/>
      <c r="O79" s="4"/>
      <c r="P79" s="4"/>
      <c r="Q79" s="4"/>
      <c r="R79" s="4"/>
      <c r="S79" s="4"/>
      <c r="T79" s="4"/>
    </row>
    <row r="81" spans="1:20" ht="18.75" x14ac:dyDescent="0.3">
      <c r="A81" s="13" t="s">
        <v>346</v>
      </c>
    </row>
    <row r="82" spans="1:20" s="22" customFormat="1" x14ac:dyDescent="0.25">
      <c r="A82" s="8"/>
      <c r="B82" s="9" t="s">
        <v>865</v>
      </c>
      <c r="C82" s="8"/>
      <c r="D82" s="8" t="s">
        <v>852</v>
      </c>
      <c r="E82" s="8"/>
      <c r="F82" s="8"/>
      <c r="G82" s="8"/>
      <c r="H82" s="8"/>
      <c r="I82" s="8"/>
      <c r="J82" s="8"/>
      <c r="K82" s="8"/>
      <c r="L82" s="8"/>
      <c r="M82" s="8"/>
      <c r="N82" s="8"/>
      <c r="O82" s="8"/>
      <c r="P82" s="8"/>
      <c r="Q82" s="8"/>
      <c r="R82" s="8"/>
      <c r="S82" s="8"/>
      <c r="T82" s="8"/>
    </row>
    <row r="84" spans="1:20" x14ac:dyDescent="0.25">
      <c r="A84" s="10" t="s">
        <v>867</v>
      </c>
      <c r="B84" s="10" t="s">
        <v>868</v>
      </c>
      <c r="C84" s="10" t="s">
        <v>482</v>
      </c>
      <c r="D84" s="10" t="s">
        <v>740</v>
      </c>
      <c r="E84" s="10">
        <v>2000</v>
      </c>
      <c r="F84" s="10">
        <v>2001</v>
      </c>
      <c r="G84" s="10">
        <v>2002</v>
      </c>
      <c r="H84" s="10">
        <v>2003</v>
      </c>
      <c r="I84" s="10">
        <v>2004</v>
      </c>
      <c r="J84" s="10">
        <v>2005</v>
      </c>
      <c r="K84" s="10">
        <v>2006</v>
      </c>
      <c r="L84" s="10">
        <v>2007</v>
      </c>
      <c r="M84" s="10">
        <v>2008</v>
      </c>
      <c r="N84" s="10">
        <v>2009</v>
      </c>
      <c r="O84" s="10">
        <v>2010</v>
      </c>
      <c r="P84" s="10">
        <v>2011</v>
      </c>
      <c r="Q84" s="10">
        <v>2012</v>
      </c>
      <c r="R84" s="10">
        <v>2013</v>
      </c>
      <c r="S84" s="10">
        <v>2014</v>
      </c>
      <c r="T84" s="10"/>
    </row>
    <row r="85" spans="1:20" x14ac:dyDescent="0.25">
      <c r="A85" s="11" t="s">
        <v>908</v>
      </c>
      <c r="B85" s="11" t="s">
        <v>909</v>
      </c>
      <c r="C85" s="11"/>
      <c r="D85" s="11" t="s">
        <v>870</v>
      </c>
      <c r="E85" s="24" t="str">
        <f>IFERROR(((E14/E62)-1), "CHECK")</f>
        <v>CHECK</v>
      </c>
      <c r="F85" s="24" t="str">
        <f t="shared" ref="F85:S85" si="5">IFERROR(((F14/F62)-1), "CHECK")</f>
        <v>CHECK</v>
      </c>
      <c r="G85" s="24" t="str">
        <f t="shared" si="5"/>
        <v>CHECK</v>
      </c>
      <c r="H85" s="24" t="str">
        <f t="shared" si="5"/>
        <v>CHECK</v>
      </c>
      <c r="I85" s="24" t="str">
        <f t="shared" si="5"/>
        <v>CHECK</v>
      </c>
      <c r="J85" s="24" t="str">
        <f t="shared" si="5"/>
        <v>CHECK</v>
      </c>
      <c r="K85" s="24" t="str">
        <f t="shared" si="5"/>
        <v>CHECK</v>
      </c>
      <c r="L85" s="24" t="str">
        <f t="shared" si="5"/>
        <v>CHECK</v>
      </c>
      <c r="M85" s="24" t="str">
        <f t="shared" si="5"/>
        <v>CHECK</v>
      </c>
      <c r="N85" s="24" t="str">
        <f t="shared" si="5"/>
        <v>CHECK</v>
      </c>
      <c r="O85" s="24" t="str">
        <f t="shared" si="5"/>
        <v>CHECK</v>
      </c>
      <c r="P85" s="24" t="str">
        <f t="shared" si="5"/>
        <v>CHECK</v>
      </c>
      <c r="Q85" s="24" t="str">
        <f t="shared" si="5"/>
        <v>CHECK</v>
      </c>
      <c r="R85" s="24" t="str">
        <f t="shared" si="5"/>
        <v>CHECK</v>
      </c>
      <c r="S85" s="24" t="str">
        <f t="shared" si="5"/>
        <v>CHECK</v>
      </c>
      <c r="T85" s="24"/>
    </row>
    <row r="86" spans="1:20" x14ac:dyDescent="0.25">
      <c r="A86" s="11" t="s">
        <v>908</v>
      </c>
      <c r="B86" s="11" t="s">
        <v>910</v>
      </c>
      <c r="C86" s="11"/>
      <c r="D86" s="11" t="s">
        <v>870</v>
      </c>
      <c r="E86" s="24" t="str">
        <f t="shared" ref="E86:S88" si="6">IFERROR(((E15/E63)-1), "CHECK")</f>
        <v>CHECK</v>
      </c>
      <c r="F86" s="24" t="str">
        <f t="shared" si="6"/>
        <v>CHECK</v>
      </c>
      <c r="G86" s="24" t="str">
        <f t="shared" si="6"/>
        <v>CHECK</v>
      </c>
      <c r="H86" s="24" t="str">
        <f t="shared" si="6"/>
        <v>CHECK</v>
      </c>
      <c r="I86" s="24" t="str">
        <f t="shared" si="6"/>
        <v>CHECK</v>
      </c>
      <c r="J86" s="24" t="str">
        <f t="shared" si="6"/>
        <v>CHECK</v>
      </c>
      <c r="K86" s="24" t="str">
        <f t="shared" si="6"/>
        <v>CHECK</v>
      </c>
      <c r="L86" s="24" t="str">
        <f t="shared" si="6"/>
        <v>CHECK</v>
      </c>
      <c r="M86" s="24" t="str">
        <f t="shared" si="6"/>
        <v>CHECK</v>
      </c>
      <c r="N86" s="24" t="str">
        <f t="shared" si="6"/>
        <v>CHECK</v>
      </c>
      <c r="O86" s="24" t="str">
        <f t="shared" si="6"/>
        <v>CHECK</v>
      </c>
      <c r="P86" s="24" t="str">
        <f t="shared" si="6"/>
        <v>CHECK</v>
      </c>
      <c r="Q86" s="24" t="str">
        <f t="shared" si="6"/>
        <v>CHECK</v>
      </c>
      <c r="R86" s="24" t="str">
        <f t="shared" si="6"/>
        <v>CHECK</v>
      </c>
      <c r="S86" s="24" t="str">
        <f t="shared" si="6"/>
        <v>CHECK</v>
      </c>
      <c r="T86" s="24"/>
    </row>
    <row r="87" spans="1:20" x14ac:dyDescent="0.25">
      <c r="A87" s="11" t="s">
        <v>908</v>
      </c>
      <c r="B87" s="11" t="s">
        <v>911</v>
      </c>
      <c r="C87" s="11"/>
      <c r="D87" s="11" t="s">
        <v>870</v>
      </c>
      <c r="E87" s="24" t="str">
        <f t="shared" si="6"/>
        <v>CHECK</v>
      </c>
      <c r="F87" s="24" t="str">
        <f t="shared" si="6"/>
        <v>CHECK</v>
      </c>
      <c r="G87" s="24" t="str">
        <f t="shared" si="6"/>
        <v>CHECK</v>
      </c>
      <c r="H87" s="24" t="str">
        <f t="shared" si="6"/>
        <v>CHECK</v>
      </c>
      <c r="I87" s="24" t="str">
        <f t="shared" si="6"/>
        <v>CHECK</v>
      </c>
      <c r="J87" s="24" t="str">
        <f t="shared" si="6"/>
        <v>CHECK</v>
      </c>
      <c r="K87" s="24" t="str">
        <f t="shared" si="6"/>
        <v>CHECK</v>
      </c>
      <c r="L87" s="24" t="str">
        <f t="shared" si="6"/>
        <v>CHECK</v>
      </c>
      <c r="M87" s="24" t="str">
        <f t="shared" si="6"/>
        <v>CHECK</v>
      </c>
      <c r="N87" s="24" t="str">
        <f t="shared" si="6"/>
        <v>CHECK</v>
      </c>
      <c r="O87" s="24" t="str">
        <f t="shared" si="6"/>
        <v>CHECK</v>
      </c>
      <c r="P87" s="24" t="str">
        <f t="shared" si="6"/>
        <v>CHECK</v>
      </c>
      <c r="Q87" s="24" t="str">
        <f t="shared" si="6"/>
        <v>CHECK</v>
      </c>
      <c r="R87" s="24" t="str">
        <f t="shared" si="6"/>
        <v>CHECK</v>
      </c>
      <c r="S87" s="24" t="str">
        <f t="shared" si="6"/>
        <v>CHECK</v>
      </c>
      <c r="T87" s="24"/>
    </row>
    <row r="88" spans="1:20" x14ac:dyDescent="0.25">
      <c r="A88" s="11" t="s">
        <v>908</v>
      </c>
      <c r="B88" s="11" t="s">
        <v>574</v>
      </c>
      <c r="C88" s="11"/>
      <c r="D88" s="11" t="s">
        <v>870</v>
      </c>
      <c r="E88" s="24" t="str">
        <f t="shared" si="6"/>
        <v>CHECK</v>
      </c>
      <c r="F88" s="24" t="str">
        <f t="shared" si="6"/>
        <v>CHECK</v>
      </c>
      <c r="G88" s="24" t="str">
        <f t="shared" si="6"/>
        <v>CHECK</v>
      </c>
      <c r="H88" s="24" t="str">
        <f t="shared" si="6"/>
        <v>CHECK</v>
      </c>
      <c r="I88" s="24" t="str">
        <f t="shared" si="6"/>
        <v>CHECK</v>
      </c>
      <c r="J88" s="24" t="str">
        <f t="shared" si="6"/>
        <v>CHECK</v>
      </c>
      <c r="K88" s="24" t="str">
        <f t="shared" si="6"/>
        <v>CHECK</v>
      </c>
      <c r="L88" s="24" t="str">
        <f t="shared" si="6"/>
        <v>CHECK</v>
      </c>
      <c r="M88" s="24" t="str">
        <f t="shared" si="6"/>
        <v>CHECK</v>
      </c>
      <c r="N88" s="24" t="str">
        <f t="shared" si="6"/>
        <v>CHECK</v>
      </c>
      <c r="O88" s="24" t="str">
        <f t="shared" si="6"/>
        <v>CHECK</v>
      </c>
      <c r="P88" s="24" t="str">
        <f t="shared" si="6"/>
        <v>CHECK</v>
      </c>
      <c r="Q88" s="24" t="str">
        <f t="shared" si="6"/>
        <v>CHECK</v>
      </c>
      <c r="R88" s="24" t="str">
        <f t="shared" si="6"/>
        <v>CHECK</v>
      </c>
      <c r="S88" s="24" t="str">
        <f t="shared" si="6"/>
        <v>CHECK</v>
      </c>
      <c r="T88" s="24"/>
    </row>
    <row r="91" spans="1:20" x14ac:dyDescent="0.25">
      <c r="A91" s="8"/>
      <c r="B91" s="9" t="s">
        <v>877</v>
      </c>
      <c r="C91" s="8"/>
      <c r="D91" s="8"/>
      <c r="E91" s="8"/>
      <c r="F91" s="8"/>
      <c r="G91" s="8"/>
      <c r="H91" s="8"/>
      <c r="I91" s="8"/>
      <c r="J91" s="8"/>
      <c r="K91" s="8"/>
      <c r="L91" s="8"/>
      <c r="M91" s="8"/>
      <c r="N91" s="8"/>
      <c r="O91" s="8"/>
      <c r="P91" s="8"/>
      <c r="Q91" s="8"/>
      <c r="R91" s="8"/>
      <c r="S91" s="8"/>
      <c r="T91" s="8"/>
    </row>
    <row r="93" spans="1:20" x14ac:dyDescent="0.25">
      <c r="A93" s="11" t="s">
        <v>912</v>
      </c>
      <c r="B93" s="11" t="s">
        <v>913</v>
      </c>
      <c r="C93" s="11" t="s">
        <v>836</v>
      </c>
      <c r="D93" s="11" t="s">
        <v>880</v>
      </c>
      <c r="E93" s="24" t="str">
        <f>IFERROR(((E21/E69)-1),"CHECK")</f>
        <v>CHECK</v>
      </c>
      <c r="F93" s="24" t="str">
        <f t="shared" ref="F93:S93" si="7">IFERROR(((F21/F69)-1),"CHECK")</f>
        <v>CHECK</v>
      </c>
      <c r="G93" s="24" t="str">
        <f t="shared" si="7"/>
        <v>CHECK</v>
      </c>
      <c r="H93" s="24" t="str">
        <f t="shared" si="7"/>
        <v>CHECK</v>
      </c>
      <c r="I93" s="24" t="str">
        <f t="shared" si="7"/>
        <v>CHECK</v>
      </c>
      <c r="J93" s="24" t="str">
        <f t="shared" si="7"/>
        <v>CHECK</v>
      </c>
      <c r="K93" s="24" t="str">
        <f t="shared" si="7"/>
        <v>CHECK</v>
      </c>
      <c r="L93" s="24" t="str">
        <f t="shared" si="7"/>
        <v>CHECK</v>
      </c>
      <c r="M93" s="24" t="str">
        <f t="shared" si="7"/>
        <v>CHECK</v>
      </c>
      <c r="N93" s="24" t="str">
        <f t="shared" si="7"/>
        <v>CHECK</v>
      </c>
      <c r="O93" s="24" t="str">
        <f t="shared" si="7"/>
        <v>CHECK</v>
      </c>
      <c r="P93" s="24" t="str">
        <f t="shared" si="7"/>
        <v>CHECK</v>
      </c>
      <c r="Q93" s="24" t="str">
        <f t="shared" si="7"/>
        <v>CHECK</v>
      </c>
      <c r="R93" s="24" t="str">
        <f t="shared" si="7"/>
        <v>CHECK</v>
      </c>
      <c r="S93" s="24" t="str">
        <f t="shared" si="7"/>
        <v>CHECK</v>
      </c>
      <c r="T93" s="24"/>
    </row>
    <row r="94" spans="1:20" x14ac:dyDescent="0.25">
      <c r="A94" s="11" t="s">
        <v>914</v>
      </c>
      <c r="B94" s="11" t="s">
        <v>913</v>
      </c>
      <c r="C94" s="11" t="s">
        <v>836</v>
      </c>
      <c r="D94" s="11" t="s">
        <v>880</v>
      </c>
      <c r="E94" s="24" t="str">
        <f t="shared" ref="E94:S96" si="8">IFERROR(((E22/E70)-1),"CHECK")</f>
        <v>CHECK</v>
      </c>
      <c r="F94" s="24" t="str">
        <f t="shared" si="8"/>
        <v>CHECK</v>
      </c>
      <c r="G94" s="24" t="str">
        <f t="shared" si="8"/>
        <v>CHECK</v>
      </c>
      <c r="H94" s="24" t="str">
        <f t="shared" si="8"/>
        <v>CHECK</v>
      </c>
      <c r="I94" s="24" t="str">
        <f t="shared" si="8"/>
        <v>CHECK</v>
      </c>
      <c r="J94" s="24" t="str">
        <f t="shared" si="8"/>
        <v>CHECK</v>
      </c>
      <c r="K94" s="24" t="str">
        <f t="shared" si="8"/>
        <v>CHECK</v>
      </c>
      <c r="L94" s="24" t="str">
        <f t="shared" si="8"/>
        <v>CHECK</v>
      </c>
      <c r="M94" s="24" t="str">
        <f t="shared" si="8"/>
        <v>CHECK</v>
      </c>
      <c r="N94" s="24" t="str">
        <f t="shared" si="8"/>
        <v>CHECK</v>
      </c>
      <c r="O94" s="24" t="str">
        <f t="shared" si="8"/>
        <v>CHECK</v>
      </c>
      <c r="P94" s="24" t="str">
        <f t="shared" si="8"/>
        <v>CHECK</v>
      </c>
      <c r="Q94" s="24" t="str">
        <f t="shared" si="8"/>
        <v>CHECK</v>
      </c>
      <c r="R94" s="24" t="str">
        <f t="shared" si="8"/>
        <v>CHECK</v>
      </c>
      <c r="S94" s="24" t="str">
        <f t="shared" si="8"/>
        <v>CHECK</v>
      </c>
      <c r="T94" s="24"/>
    </row>
    <row r="95" spans="1:20" x14ac:dyDescent="0.25">
      <c r="A95" s="11" t="s">
        <v>915</v>
      </c>
      <c r="B95" s="11" t="s">
        <v>913</v>
      </c>
      <c r="C95" s="11" t="s">
        <v>836</v>
      </c>
      <c r="D95" s="11" t="s">
        <v>880</v>
      </c>
      <c r="E95" s="24" t="str">
        <f t="shared" si="8"/>
        <v>CHECK</v>
      </c>
      <c r="F95" s="24" t="str">
        <f t="shared" si="8"/>
        <v>CHECK</v>
      </c>
      <c r="G95" s="24" t="str">
        <f t="shared" si="8"/>
        <v>CHECK</v>
      </c>
      <c r="H95" s="24" t="str">
        <f t="shared" si="8"/>
        <v>CHECK</v>
      </c>
      <c r="I95" s="24" t="str">
        <f t="shared" si="8"/>
        <v>CHECK</v>
      </c>
      <c r="J95" s="24" t="str">
        <f t="shared" si="8"/>
        <v>CHECK</v>
      </c>
      <c r="K95" s="24" t="str">
        <f t="shared" si="8"/>
        <v>CHECK</v>
      </c>
      <c r="L95" s="24" t="str">
        <f t="shared" si="8"/>
        <v>CHECK</v>
      </c>
      <c r="M95" s="24" t="str">
        <f t="shared" si="8"/>
        <v>CHECK</v>
      </c>
      <c r="N95" s="24" t="str">
        <f t="shared" si="8"/>
        <v>CHECK</v>
      </c>
      <c r="O95" s="24" t="str">
        <f t="shared" si="8"/>
        <v>CHECK</v>
      </c>
      <c r="P95" s="24" t="str">
        <f t="shared" si="8"/>
        <v>CHECK</v>
      </c>
      <c r="Q95" s="24" t="str">
        <f t="shared" si="8"/>
        <v>CHECK</v>
      </c>
      <c r="R95" s="24" t="str">
        <f t="shared" si="8"/>
        <v>CHECK</v>
      </c>
      <c r="S95" s="24" t="str">
        <f t="shared" si="8"/>
        <v>CHECK</v>
      </c>
      <c r="T95" s="24"/>
    </row>
    <row r="96" spans="1:20" x14ac:dyDescent="0.25">
      <c r="A96" s="11" t="s">
        <v>916</v>
      </c>
      <c r="B96" s="11" t="s">
        <v>913</v>
      </c>
      <c r="C96" s="11" t="s">
        <v>836</v>
      </c>
      <c r="D96" s="11" t="s">
        <v>880</v>
      </c>
      <c r="E96" s="24" t="str">
        <f t="shared" si="8"/>
        <v>CHECK</v>
      </c>
      <c r="F96" s="24" t="str">
        <f t="shared" si="8"/>
        <v>CHECK</v>
      </c>
      <c r="G96" s="24" t="str">
        <f t="shared" si="8"/>
        <v>CHECK</v>
      </c>
      <c r="H96" s="24" t="str">
        <f t="shared" si="8"/>
        <v>CHECK</v>
      </c>
      <c r="I96" s="24" t="str">
        <f t="shared" si="8"/>
        <v>CHECK</v>
      </c>
      <c r="J96" s="24" t="str">
        <f t="shared" si="8"/>
        <v>CHECK</v>
      </c>
      <c r="K96" s="24" t="str">
        <f t="shared" si="8"/>
        <v>CHECK</v>
      </c>
      <c r="L96" s="24" t="str">
        <f t="shared" si="8"/>
        <v>CHECK</v>
      </c>
      <c r="M96" s="24" t="str">
        <f t="shared" si="8"/>
        <v>CHECK</v>
      </c>
      <c r="N96" s="24" t="str">
        <f t="shared" si="8"/>
        <v>CHECK</v>
      </c>
      <c r="O96" s="24" t="str">
        <f t="shared" si="8"/>
        <v>CHECK</v>
      </c>
      <c r="P96" s="24" t="str">
        <f t="shared" si="8"/>
        <v>CHECK</v>
      </c>
      <c r="Q96" s="24" t="str">
        <f t="shared" si="8"/>
        <v>CHECK</v>
      </c>
      <c r="R96" s="24" t="str">
        <f t="shared" si="8"/>
        <v>CHECK</v>
      </c>
      <c r="S96" s="24" t="str">
        <f t="shared" si="8"/>
        <v>CHECK</v>
      </c>
      <c r="T96" s="24"/>
    </row>
    <row r="98" spans="1:20" x14ac:dyDescent="0.25">
      <c r="A98" s="8"/>
      <c r="B98" s="9" t="s">
        <v>619</v>
      </c>
      <c r="C98" s="8"/>
      <c r="D98" s="8"/>
      <c r="E98" s="8"/>
      <c r="F98" s="8"/>
      <c r="G98" s="8"/>
      <c r="H98" s="8"/>
      <c r="I98" s="8"/>
      <c r="J98" s="8"/>
      <c r="K98" s="8"/>
      <c r="L98" s="8"/>
      <c r="M98" s="8"/>
      <c r="N98" s="8"/>
      <c r="O98" s="8"/>
      <c r="P98" s="8"/>
      <c r="Q98" s="8"/>
      <c r="R98" s="8"/>
      <c r="S98" s="8"/>
      <c r="T98" s="8"/>
    </row>
    <row r="100" spans="1:20" x14ac:dyDescent="0.25">
      <c r="A100" s="11" t="s">
        <v>908</v>
      </c>
      <c r="B100" s="11" t="s">
        <v>917</v>
      </c>
      <c r="C100" s="11" t="s">
        <v>836</v>
      </c>
      <c r="D100" s="11" t="s">
        <v>918</v>
      </c>
      <c r="E100" s="24" t="str">
        <f>IFERROR(((E28/E76)-1),"CHECK")</f>
        <v>CHECK</v>
      </c>
      <c r="F100" s="24" t="str">
        <f t="shared" ref="F100:S100" si="9">IFERROR(((F28/F76)-1),"CHECK")</f>
        <v>CHECK</v>
      </c>
      <c r="G100" s="24" t="str">
        <f t="shared" si="9"/>
        <v>CHECK</v>
      </c>
      <c r="H100" s="24" t="str">
        <f t="shared" si="9"/>
        <v>CHECK</v>
      </c>
      <c r="I100" s="24" t="str">
        <f t="shared" si="9"/>
        <v>CHECK</v>
      </c>
      <c r="J100" s="24" t="str">
        <f t="shared" si="9"/>
        <v>CHECK</v>
      </c>
      <c r="K100" s="24" t="str">
        <f t="shared" si="9"/>
        <v>CHECK</v>
      </c>
      <c r="L100" s="24" t="str">
        <f t="shared" si="9"/>
        <v>CHECK</v>
      </c>
      <c r="M100" s="24" t="str">
        <f t="shared" si="9"/>
        <v>CHECK</v>
      </c>
      <c r="N100" s="24" t="str">
        <f t="shared" si="9"/>
        <v>CHECK</v>
      </c>
      <c r="O100" s="24" t="str">
        <f t="shared" si="9"/>
        <v>CHECK</v>
      </c>
      <c r="P100" s="24" t="str">
        <f t="shared" si="9"/>
        <v>CHECK</v>
      </c>
      <c r="Q100" s="24" t="str">
        <f t="shared" si="9"/>
        <v>CHECK</v>
      </c>
      <c r="R100" s="24" t="str">
        <f t="shared" si="9"/>
        <v>CHECK</v>
      </c>
      <c r="S100" s="24" t="str">
        <f t="shared" si="9"/>
        <v>CHECK</v>
      </c>
      <c r="T100" s="24"/>
    </row>
    <row r="101" spans="1:20" x14ac:dyDescent="0.25">
      <c r="A101" s="11" t="s">
        <v>908</v>
      </c>
      <c r="B101" s="11" t="s">
        <v>919</v>
      </c>
      <c r="C101" s="11" t="s">
        <v>836</v>
      </c>
      <c r="D101" s="11" t="s">
        <v>918</v>
      </c>
      <c r="E101" s="24" t="str">
        <f t="shared" ref="E101:S103" si="10">IFERROR(((E29/E77)-1),"CHECK")</f>
        <v>CHECK</v>
      </c>
      <c r="F101" s="24" t="str">
        <f t="shared" si="10"/>
        <v>CHECK</v>
      </c>
      <c r="G101" s="24" t="str">
        <f t="shared" si="10"/>
        <v>CHECK</v>
      </c>
      <c r="H101" s="24" t="str">
        <f t="shared" si="10"/>
        <v>CHECK</v>
      </c>
      <c r="I101" s="24" t="str">
        <f t="shared" si="10"/>
        <v>CHECK</v>
      </c>
      <c r="J101" s="24" t="str">
        <f t="shared" si="10"/>
        <v>CHECK</v>
      </c>
      <c r="K101" s="24" t="str">
        <f t="shared" si="10"/>
        <v>CHECK</v>
      </c>
      <c r="L101" s="24" t="str">
        <f t="shared" si="10"/>
        <v>CHECK</v>
      </c>
      <c r="M101" s="24" t="str">
        <f t="shared" si="10"/>
        <v>CHECK</v>
      </c>
      <c r="N101" s="24" t="str">
        <f t="shared" si="10"/>
        <v>CHECK</v>
      </c>
      <c r="O101" s="24" t="str">
        <f t="shared" si="10"/>
        <v>CHECK</v>
      </c>
      <c r="P101" s="24" t="str">
        <f t="shared" si="10"/>
        <v>CHECK</v>
      </c>
      <c r="Q101" s="24" t="str">
        <f t="shared" si="10"/>
        <v>CHECK</v>
      </c>
      <c r="R101" s="24" t="str">
        <f t="shared" si="10"/>
        <v>CHECK</v>
      </c>
      <c r="S101" s="24" t="str">
        <f t="shared" si="10"/>
        <v>CHECK</v>
      </c>
      <c r="T101" s="24"/>
    </row>
    <row r="102" spans="1:20" x14ac:dyDescent="0.25">
      <c r="A102" s="11" t="s">
        <v>908</v>
      </c>
      <c r="B102" s="11" t="s">
        <v>920</v>
      </c>
      <c r="C102" s="11" t="s">
        <v>836</v>
      </c>
      <c r="D102" s="11" t="s">
        <v>918</v>
      </c>
      <c r="E102" s="24" t="str">
        <f t="shared" si="10"/>
        <v>CHECK</v>
      </c>
      <c r="F102" s="24" t="str">
        <f t="shared" si="10"/>
        <v>CHECK</v>
      </c>
      <c r="G102" s="24" t="str">
        <f t="shared" si="10"/>
        <v>CHECK</v>
      </c>
      <c r="H102" s="24" t="str">
        <f t="shared" si="10"/>
        <v>CHECK</v>
      </c>
      <c r="I102" s="24" t="str">
        <f t="shared" si="10"/>
        <v>CHECK</v>
      </c>
      <c r="J102" s="24" t="str">
        <f t="shared" si="10"/>
        <v>CHECK</v>
      </c>
      <c r="K102" s="24" t="str">
        <f t="shared" si="10"/>
        <v>CHECK</v>
      </c>
      <c r="L102" s="24" t="str">
        <f t="shared" si="10"/>
        <v>CHECK</v>
      </c>
      <c r="M102" s="24" t="str">
        <f t="shared" si="10"/>
        <v>CHECK</v>
      </c>
      <c r="N102" s="24" t="str">
        <f t="shared" si="10"/>
        <v>CHECK</v>
      </c>
      <c r="O102" s="24" t="str">
        <f t="shared" si="10"/>
        <v>CHECK</v>
      </c>
      <c r="P102" s="24" t="str">
        <f t="shared" si="10"/>
        <v>CHECK</v>
      </c>
      <c r="Q102" s="24" t="str">
        <f t="shared" si="10"/>
        <v>CHECK</v>
      </c>
      <c r="R102" s="24" t="str">
        <f t="shared" si="10"/>
        <v>CHECK</v>
      </c>
      <c r="S102" s="24" t="str">
        <f t="shared" si="10"/>
        <v>CHECK</v>
      </c>
      <c r="T102" s="24"/>
    </row>
    <row r="103" spans="1:20" x14ac:dyDescent="0.25">
      <c r="A103" s="11" t="s">
        <v>908</v>
      </c>
      <c r="B103" s="11" t="s">
        <v>921</v>
      </c>
      <c r="C103" s="11" t="s">
        <v>836</v>
      </c>
      <c r="D103" s="11" t="s">
        <v>918</v>
      </c>
      <c r="E103" s="24" t="str">
        <f t="shared" si="10"/>
        <v>CHECK</v>
      </c>
      <c r="F103" s="24" t="str">
        <f t="shared" si="10"/>
        <v>CHECK</v>
      </c>
      <c r="G103" s="24" t="str">
        <f t="shared" si="10"/>
        <v>CHECK</v>
      </c>
      <c r="H103" s="24" t="str">
        <f t="shared" si="10"/>
        <v>CHECK</v>
      </c>
      <c r="I103" s="24" t="str">
        <f t="shared" si="10"/>
        <v>CHECK</v>
      </c>
      <c r="J103" s="24" t="str">
        <f t="shared" si="10"/>
        <v>CHECK</v>
      </c>
      <c r="K103" s="24" t="str">
        <f t="shared" si="10"/>
        <v>CHECK</v>
      </c>
      <c r="L103" s="24" t="str">
        <f t="shared" si="10"/>
        <v>CHECK</v>
      </c>
      <c r="M103" s="24" t="str">
        <f t="shared" si="10"/>
        <v>CHECK</v>
      </c>
      <c r="N103" s="24" t="str">
        <f t="shared" si="10"/>
        <v>CHECK</v>
      </c>
      <c r="O103" s="24" t="str">
        <f t="shared" si="10"/>
        <v>CHECK</v>
      </c>
      <c r="P103" s="24" t="str">
        <f t="shared" si="10"/>
        <v>CHECK</v>
      </c>
      <c r="Q103" s="24" t="str">
        <f t="shared" si="10"/>
        <v>CHECK</v>
      </c>
      <c r="R103" s="24" t="str">
        <f t="shared" si="10"/>
        <v>CHECK</v>
      </c>
      <c r="S103" s="24" t="str">
        <f t="shared" si="10"/>
        <v>CHECK</v>
      </c>
      <c r="T103" s="24"/>
    </row>
    <row r="104" spans="1:20" x14ac:dyDescent="0.25">
      <c r="B104" s="14"/>
    </row>
    <row r="105" spans="1:20" x14ac:dyDescent="0.25">
      <c r="B105" s="14"/>
    </row>
    <row r="106" spans="1:20" x14ac:dyDescent="0.25">
      <c r="B106" s="14"/>
    </row>
    <row r="107" spans="1:20" x14ac:dyDescent="0.25">
      <c r="B107" s="14"/>
    </row>
    <row r="108" spans="1:20" x14ac:dyDescent="0.25">
      <c r="B108" s="14"/>
    </row>
    <row r="109" spans="1:20" x14ac:dyDescent="0.25">
      <c r="B109" s="14"/>
    </row>
    <row r="110" spans="1:20" x14ac:dyDescent="0.25">
      <c r="B110" s="14"/>
    </row>
  </sheetData>
  <mergeCells count="2">
    <mergeCell ref="C1:D1"/>
    <mergeCell ref="C2:O9"/>
  </mergeCells>
  <conditionalFormatting sqref="E85:T88 E100:T103">
    <cfRule type="colorScale" priority="3">
      <colorScale>
        <cfvo type="min"/>
        <cfvo type="num" val="0"/>
        <cfvo type="max"/>
        <color theme="3" tint="0.59999389629810485"/>
        <color theme="0"/>
        <color rgb="FFEE9CA4"/>
      </colorScale>
    </cfRule>
  </conditionalFormatting>
  <conditionalFormatting sqref="E93:T96">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2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200-000019000000}">
          <x14:colorSeries rgb="FF376092"/>
          <x14:colorNegative rgb="FFD00000"/>
          <x14:colorAxis rgb="FF000000"/>
          <x14:colorMarkers rgb="FFD00000"/>
          <x14:colorFirst rgb="FFD00000"/>
          <x14:colorLast rgb="FFD00000"/>
          <x14:colorHigh rgb="FFD00000"/>
          <x14:colorLow rgb="FFD00000"/>
          <x14:sparklines>
            <x14:sparkline>
              <xm:f>'2A4 OPUC'!E33:S33</xm:f>
              <xm:sqref>U33</xm:sqref>
            </x14:sparkline>
          </x14:sparklines>
        </x14:sparklineGroup>
        <x14:sparklineGroup manualMax="0" manualMin="0" displayEmptyCellsAs="gap" xr2:uid="{00000000-0003-0000-1200-000018000000}">
          <x14:colorSeries rgb="FF376092"/>
          <x14:colorNegative rgb="FFD00000"/>
          <x14:colorAxis rgb="FF000000"/>
          <x14:colorMarkers rgb="FFD00000"/>
          <x14:colorFirst rgb="FFD00000"/>
          <x14:colorLast rgb="FFD00000"/>
          <x14:colorHigh rgb="FFD00000"/>
          <x14:colorLow rgb="FFD00000"/>
          <x14:sparklines>
            <x14:sparkline>
              <xm:f>'2A4 OPUC'!E28:T28</xm:f>
              <xm:sqref>U28</xm:sqref>
            </x14:sparkline>
            <x14:sparkline>
              <xm:f>'2A4 OPUC'!E29:T29</xm:f>
              <xm:sqref>U29</xm:sqref>
            </x14:sparkline>
            <x14:sparkline>
              <xm:f>'2A4 OPUC'!E30:T30</xm:f>
              <xm:sqref>U30</xm:sqref>
            </x14:sparkline>
            <x14:sparkline>
              <xm:f>'2A4 OPUC'!E31:T31</xm:f>
              <xm:sqref>U31</xm:sqref>
            </x14:sparkline>
            <x14:sparkline>
              <xm:f>'2A4 OPUC'!E32:T32</xm:f>
              <xm:sqref>U32</xm:sqref>
            </x14:sparkline>
          </x14:sparklines>
        </x14:sparklineGroup>
        <x14:sparklineGroup manualMax="0" manualMin="0" displayEmptyCellsAs="gap" xr2:uid="{00000000-0003-0000-1200-000017000000}">
          <x14:colorSeries rgb="FF376092"/>
          <x14:colorNegative rgb="FFD00000"/>
          <x14:colorAxis rgb="FF000000"/>
          <x14:colorMarkers rgb="FFD00000"/>
          <x14:colorFirst rgb="FFD00000"/>
          <x14:colorLast rgb="FFD00000"/>
          <x14:colorHigh rgb="FFD00000"/>
          <x14:colorLow rgb="FFD00000"/>
          <x14:sparklines>
            <x14:sparkline>
              <xm:f>'2A4 OPUC'!E25:S25</xm:f>
              <xm:sqref>U25</xm:sqref>
            </x14:sparkline>
          </x14:sparklines>
        </x14:sparklineGroup>
        <x14:sparklineGroup manualMax="0" manualMin="0" displayEmptyCellsAs="gap" xr2:uid="{00000000-0003-0000-1200-000016000000}">
          <x14:colorSeries rgb="FF376092"/>
          <x14:colorNegative rgb="FFD00000"/>
          <x14:colorAxis rgb="FF000000"/>
          <x14:colorMarkers rgb="FFD00000"/>
          <x14:colorFirst rgb="FFD00000"/>
          <x14:colorLast rgb="FFD00000"/>
          <x14:colorHigh rgb="FFD00000"/>
          <x14:colorLow rgb="FFD00000"/>
          <x14:sparklines>
            <x14:sparkline>
              <xm:f>'2A4 OPUC'!E21:T21</xm:f>
              <xm:sqref>U21</xm:sqref>
            </x14:sparkline>
            <x14:sparkline>
              <xm:f>'2A4 OPUC'!E22:T22</xm:f>
              <xm:sqref>U22</xm:sqref>
            </x14:sparkline>
            <x14:sparkline>
              <xm:f>'2A4 OPUC'!E23:T23</xm:f>
              <xm:sqref>U23</xm:sqref>
            </x14:sparkline>
            <x14:sparkline>
              <xm:f>'2A4 OPUC'!E24:T24</xm:f>
              <xm:sqref>U24</xm:sqref>
            </x14:sparkline>
          </x14:sparklines>
        </x14:sparklineGroup>
        <x14:sparklineGroup manualMax="0" manualMin="0" displayEmptyCellsAs="gap" xr2:uid="{00000000-0003-0000-1200-000015000000}">
          <x14:colorSeries rgb="FF376092"/>
          <x14:colorNegative rgb="FFD00000"/>
          <x14:colorAxis rgb="FF000000"/>
          <x14:colorMarkers rgb="FFD00000"/>
          <x14:colorFirst rgb="FFD00000"/>
          <x14:colorLast rgb="FFD00000"/>
          <x14:colorHigh rgb="FFD00000"/>
          <x14:colorLow rgb="FFD00000"/>
          <x14:sparklines>
            <x14:sparkline>
              <xm:f>'2A4 OPUC'!E14:T14</xm:f>
              <xm:sqref>U14</xm:sqref>
            </x14:sparkline>
            <x14:sparkline>
              <xm:f>'2A4 OPUC'!E15:T15</xm:f>
              <xm:sqref>U15</xm:sqref>
            </x14:sparkline>
            <x14:sparkline>
              <xm:f>'2A4 OPUC'!E16:T16</xm:f>
              <xm:sqref>U16</xm:sqref>
            </x14:sparkline>
            <x14:sparkline>
              <xm:f>'2A4 OPUC'!E17:T17</xm:f>
              <xm:sqref>U17</xm:sqref>
            </x14:sparkline>
          </x14:sparklines>
        </x14:sparklineGroup>
      </x14:sparklineGroup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tabColor rgb="FF00B0F0"/>
  </sheetPr>
  <dimension ref="A1:AC234"/>
  <sheetViews>
    <sheetView topLeftCell="B1" workbookViewId="0">
      <pane xSplit="4" ySplit="3" topLeftCell="F219" activePane="bottomRight" state="frozen"/>
      <selection pane="topRight" activeCell="F1" sqref="F1"/>
      <selection pane="bottomLeft" activeCell="B4" sqref="B4"/>
      <selection pane="bottomRight" activeCell="W44" sqref="W44"/>
    </sheetView>
  </sheetViews>
  <sheetFormatPr defaultRowHeight="15" x14ac:dyDescent="0.25"/>
  <cols>
    <col min="1" max="1" width="34.140625" bestFit="1" customWidth="1"/>
    <col min="2" max="2" width="13.28515625" customWidth="1"/>
    <col min="3" max="3" width="47" customWidth="1"/>
    <col min="5" max="5" width="10.7109375" customWidth="1"/>
  </cols>
  <sheetData>
    <row r="1" spans="1:29" s="6" customFormat="1" ht="21" x14ac:dyDescent="0.35">
      <c r="A1" s="6" t="s">
        <v>734</v>
      </c>
      <c r="C1" s="28" t="s">
        <v>735</v>
      </c>
    </row>
    <row r="3" spans="1:29"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9" s="132" customFormat="1" x14ac:dyDescent="0.25">
      <c r="C4" s="132" t="s">
        <v>882</v>
      </c>
    </row>
    <row r="5" spans="1:29" s="103" customFormat="1" x14ac:dyDescent="0.25">
      <c r="A5" s="7" t="s">
        <v>742</v>
      </c>
      <c r="B5" s="103" t="s">
        <v>757</v>
      </c>
      <c r="C5" s="103" t="s">
        <v>923</v>
      </c>
      <c r="D5" s="7" t="s">
        <v>744</v>
      </c>
      <c r="E5" s="7" t="s">
        <v>745</v>
      </c>
      <c r="F5" s="116">
        <f t="shared" ref="F5:F15" si="0">+F18+F43+F68</f>
        <v>2773.5975926599999</v>
      </c>
      <c r="G5" s="116">
        <f t="shared" ref="G5:W5" si="1">+G18+G43+G68</f>
        <v>2715.1124154199997</v>
      </c>
      <c r="H5" s="116">
        <f t="shared" si="1"/>
        <v>2743.9578261200004</v>
      </c>
      <c r="I5" s="116">
        <f t="shared" si="1"/>
        <v>2169.0740746400002</v>
      </c>
      <c r="J5" s="116">
        <f t="shared" si="1"/>
        <v>2472.5599297600002</v>
      </c>
      <c r="K5" s="116">
        <f t="shared" si="1"/>
        <v>2973.63683412</v>
      </c>
      <c r="L5" s="116">
        <f t="shared" si="1"/>
        <v>2746.81862946</v>
      </c>
      <c r="M5" s="116">
        <f t="shared" si="1"/>
        <v>1968.9813043600002</v>
      </c>
      <c r="N5" s="116">
        <f t="shared" si="1"/>
        <v>1226.37704562</v>
      </c>
      <c r="O5" s="116">
        <f t="shared" si="1"/>
        <v>1068.23981712</v>
      </c>
      <c r="P5" s="116">
        <f t="shared" si="1"/>
        <v>1021.2058874548001</v>
      </c>
      <c r="Q5" s="116">
        <f t="shared" si="1"/>
        <v>1070.9225498000001</v>
      </c>
      <c r="R5" s="116">
        <f t="shared" si="1"/>
        <v>931.2860447999999</v>
      </c>
      <c r="S5" s="116">
        <f t="shared" si="1"/>
        <v>1152.1518874548001</v>
      </c>
      <c r="T5" s="116">
        <f t="shared" si="1"/>
        <v>927.62527027089368</v>
      </c>
      <c r="U5" s="116">
        <f t="shared" si="1"/>
        <v>1001.5070286576954</v>
      </c>
      <c r="V5" s="116">
        <f t="shared" si="1"/>
        <v>968.88074659355482</v>
      </c>
      <c r="W5" s="116">
        <f t="shared" si="1"/>
        <v>983.67864249593674</v>
      </c>
      <c r="X5"/>
      <c r="Z5" s="103">
        <f>+W5-F5</f>
        <v>-1789.9189501640631</v>
      </c>
      <c r="AA5" s="103">
        <f>+Z5/F5</f>
        <v>-0.64534197567119078</v>
      </c>
      <c r="AB5" s="103">
        <f>+W5-U5</f>
        <v>-17.828386161758658</v>
      </c>
      <c r="AC5" s="103">
        <f>+AB5/U5</f>
        <v>-1.7801558702642131E-2</v>
      </c>
    </row>
    <row r="6" spans="1:29" x14ac:dyDescent="0.25">
      <c r="A6" t="s">
        <v>742</v>
      </c>
      <c r="B6" t="s">
        <v>758</v>
      </c>
      <c r="C6" t="s">
        <v>759</v>
      </c>
      <c r="D6" t="s">
        <v>744</v>
      </c>
      <c r="E6" t="s">
        <v>745</v>
      </c>
      <c r="F6" s="117">
        <f t="shared" si="0"/>
        <v>550.84</v>
      </c>
      <c r="G6" s="117">
        <f t="shared" ref="G6:U6" si="2">+G19+G44+G69</f>
        <v>552.88499999999999</v>
      </c>
      <c r="H6" s="117">
        <f t="shared" si="2"/>
        <v>524.98599999999999</v>
      </c>
      <c r="I6" s="117">
        <f t="shared" si="2"/>
        <v>545.48500000000001</v>
      </c>
      <c r="J6" s="117">
        <f t="shared" si="2"/>
        <v>573.66300000000001</v>
      </c>
      <c r="K6" s="117">
        <f t="shared" si="2"/>
        <v>285.23599999999999</v>
      </c>
      <c r="L6" s="117">
        <f t="shared" si="2"/>
        <v>270.98500000000001</v>
      </c>
      <c r="M6" s="117">
        <f t="shared" si="2"/>
        <v>369.61200000000002</v>
      </c>
      <c r="N6" s="117">
        <f t="shared" si="2"/>
        <v>274.49700000000001</v>
      </c>
      <c r="O6" s="117">
        <f t="shared" si="2"/>
        <v>234.26499999999999</v>
      </c>
      <c r="P6" s="117">
        <f t="shared" si="2"/>
        <v>382.29700000000003</v>
      </c>
      <c r="Q6" s="117">
        <f t="shared" si="2"/>
        <v>453.79600000000005</v>
      </c>
      <c r="R6" s="117">
        <f t="shared" si="2"/>
        <v>281.803</v>
      </c>
      <c r="S6" s="117">
        <f t="shared" si="2"/>
        <v>249.74299999999999</v>
      </c>
      <c r="T6" s="117">
        <f t="shared" si="2"/>
        <v>255.40699999999998</v>
      </c>
      <c r="U6" s="117">
        <f t="shared" si="2"/>
        <v>360.00800000000004</v>
      </c>
      <c r="V6" s="117">
        <f t="shared" ref="V6:W6" si="3">+V19+V44+V69</f>
        <v>385.34424999999999</v>
      </c>
      <c r="W6" s="117">
        <f t="shared" si="3"/>
        <v>408.61699999999996</v>
      </c>
      <c r="Z6" s="103">
        <f t="shared" ref="Z6:Z15" si="4">+W6-F6</f>
        <v>-142.22300000000007</v>
      </c>
      <c r="AA6" s="103">
        <f t="shared" ref="AA6:AA15" si="5">+Z6/F6</f>
        <v>-0.25819294168905682</v>
      </c>
      <c r="AB6" s="103">
        <f t="shared" ref="AB6:AB15" si="6">+W6-U6</f>
        <v>48.608999999999924</v>
      </c>
      <c r="AC6" s="103">
        <f t="shared" ref="AC6:AC15" si="7">+AB6/U6</f>
        <v>0.13502199951112176</v>
      </c>
    </row>
    <row r="7" spans="1:29" x14ac:dyDescent="0.25">
      <c r="A7" t="s">
        <v>742</v>
      </c>
      <c r="B7" t="s">
        <v>760</v>
      </c>
      <c r="C7" t="s">
        <v>761</v>
      </c>
      <c r="D7" t="s">
        <v>744</v>
      </c>
      <c r="E7" t="s">
        <v>745</v>
      </c>
      <c r="F7" s="117">
        <f t="shared" si="0"/>
        <v>1644.519</v>
      </c>
      <c r="G7" s="117">
        <f t="shared" ref="G7:U7" si="8">+G20+G45+G70</f>
        <v>1583.9195799999998</v>
      </c>
      <c r="H7" s="117">
        <f t="shared" si="8"/>
        <v>1579.3802500000002</v>
      </c>
      <c r="I7" s="117">
        <f t="shared" si="8"/>
        <v>980.55790000000013</v>
      </c>
      <c r="J7" s="117">
        <f t="shared" si="8"/>
        <v>1264.0001999999999</v>
      </c>
      <c r="K7" s="117">
        <f t="shared" si="8"/>
        <v>2065.096</v>
      </c>
      <c r="L7" s="117">
        <f t="shared" si="8"/>
        <v>2134.6289999999999</v>
      </c>
      <c r="M7" s="117">
        <f t="shared" si="8"/>
        <v>1252.2388000000001</v>
      </c>
      <c r="N7" s="117">
        <f t="shared" si="8"/>
        <v>554.60239999999999</v>
      </c>
      <c r="O7" s="117">
        <f t="shared" si="8"/>
        <v>536.11399999999992</v>
      </c>
      <c r="P7" s="117">
        <f t="shared" si="8"/>
        <v>340.89769999999999</v>
      </c>
      <c r="Q7" s="117">
        <f t="shared" si="8"/>
        <v>319.05509999999998</v>
      </c>
      <c r="R7" s="117">
        <f t="shared" si="8"/>
        <v>350.67509999999999</v>
      </c>
      <c r="S7" s="117">
        <f t="shared" si="8"/>
        <v>604.39769999999999</v>
      </c>
      <c r="T7" s="117">
        <f t="shared" si="8"/>
        <v>368.71400000000006</v>
      </c>
      <c r="U7" s="117">
        <f t="shared" si="8"/>
        <v>345.40200000000004</v>
      </c>
      <c r="V7" s="117">
        <f t="shared" ref="V7:W7" si="9">+V20+V45+V70</f>
        <v>294.41503876107924</v>
      </c>
      <c r="W7" s="117">
        <f t="shared" si="9"/>
        <v>292.55503876107923</v>
      </c>
      <c r="Z7" s="103">
        <f t="shared" si="4"/>
        <v>-1351.9639612389208</v>
      </c>
      <c r="AA7" s="103">
        <f t="shared" si="5"/>
        <v>-0.82210297432800761</v>
      </c>
      <c r="AB7" s="103">
        <f t="shared" si="6"/>
        <v>-52.846961238920812</v>
      </c>
      <c r="AC7" s="103">
        <f t="shared" si="7"/>
        <v>-0.15300131799735034</v>
      </c>
    </row>
    <row r="8" spans="1:29" x14ac:dyDescent="0.25">
      <c r="A8" t="s">
        <v>742</v>
      </c>
      <c r="B8" t="s">
        <v>762</v>
      </c>
      <c r="C8" t="s">
        <v>763</v>
      </c>
      <c r="D8" t="s">
        <v>744</v>
      </c>
      <c r="E8" t="s">
        <v>745</v>
      </c>
      <c r="F8" s="117">
        <f t="shared" si="0"/>
        <v>0</v>
      </c>
      <c r="G8" s="117">
        <f t="shared" ref="G8:U8" si="10">+G21+G46+G71</f>
        <v>0</v>
      </c>
      <c r="H8" s="117">
        <f t="shared" si="10"/>
        <v>0</v>
      </c>
      <c r="I8" s="117">
        <f t="shared" si="10"/>
        <v>0</v>
      </c>
      <c r="J8" s="117">
        <f t="shared" si="10"/>
        <v>0</v>
      </c>
      <c r="K8" s="117">
        <f t="shared" si="10"/>
        <v>0</v>
      </c>
      <c r="L8" s="117">
        <f t="shared" si="10"/>
        <v>0</v>
      </c>
      <c r="M8" s="117">
        <f t="shared" si="10"/>
        <v>0</v>
      </c>
      <c r="N8" s="117">
        <f t="shared" si="10"/>
        <v>0</v>
      </c>
      <c r="O8" s="117">
        <f t="shared" si="10"/>
        <v>0</v>
      </c>
      <c r="P8" s="117">
        <f t="shared" si="10"/>
        <v>0</v>
      </c>
      <c r="Q8" s="117">
        <f t="shared" si="10"/>
        <v>0</v>
      </c>
      <c r="R8" s="117">
        <f t="shared" si="10"/>
        <v>0</v>
      </c>
      <c r="S8" s="117">
        <f t="shared" si="10"/>
        <v>0</v>
      </c>
      <c r="T8" s="117">
        <f t="shared" si="10"/>
        <v>0</v>
      </c>
      <c r="U8" s="117">
        <f t="shared" si="10"/>
        <v>0</v>
      </c>
      <c r="V8" s="117">
        <f t="shared" ref="V8:W8" si="11">+V21+V46+V71</f>
        <v>0</v>
      </c>
      <c r="W8" s="117">
        <f t="shared" si="11"/>
        <v>0</v>
      </c>
      <c r="Z8" s="103">
        <f t="shared" si="4"/>
        <v>0</v>
      </c>
      <c r="AA8" s="103" t="e">
        <f t="shared" si="5"/>
        <v>#DIV/0!</v>
      </c>
      <c r="AB8" s="103">
        <f t="shared" si="6"/>
        <v>0</v>
      </c>
      <c r="AC8" s="103" t="e">
        <f t="shared" si="7"/>
        <v>#DIV/0!</v>
      </c>
    </row>
    <row r="9" spans="1:29" x14ac:dyDescent="0.25">
      <c r="A9" t="s">
        <v>742</v>
      </c>
      <c r="B9" t="s">
        <v>764</v>
      </c>
      <c r="C9" t="s">
        <v>765</v>
      </c>
      <c r="D9" t="s">
        <v>744</v>
      </c>
      <c r="E9" t="s">
        <v>745</v>
      </c>
      <c r="F9" s="117">
        <f t="shared" si="0"/>
        <v>0</v>
      </c>
      <c r="G9" s="117">
        <f t="shared" ref="G9:U9" si="12">+G22+G47+G72</f>
        <v>0</v>
      </c>
      <c r="H9" s="117">
        <f t="shared" si="12"/>
        <v>0</v>
      </c>
      <c r="I9" s="117">
        <f t="shared" si="12"/>
        <v>0</v>
      </c>
      <c r="J9" s="117">
        <f t="shared" si="12"/>
        <v>0</v>
      </c>
      <c r="K9" s="117">
        <f t="shared" si="12"/>
        <v>0</v>
      </c>
      <c r="L9" s="117">
        <f t="shared" si="12"/>
        <v>0</v>
      </c>
      <c r="M9" s="117">
        <f t="shared" si="12"/>
        <v>0</v>
      </c>
      <c r="N9" s="117">
        <f t="shared" si="12"/>
        <v>0</v>
      </c>
      <c r="O9" s="117">
        <f t="shared" si="12"/>
        <v>0</v>
      </c>
      <c r="P9" s="117">
        <f t="shared" si="12"/>
        <v>0</v>
      </c>
      <c r="Q9" s="117">
        <f t="shared" si="12"/>
        <v>0</v>
      </c>
      <c r="R9" s="117">
        <f t="shared" si="12"/>
        <v>0</v>
      </c>
      <c r="S9" s="117">
        <f t="shared" si="12"/>
        <v>0</v>
      </c>
      <c r="T9" s="117">
        <f t="shared" si="12"/>
        <v>0</v>
      </c>
      <c r="U9" s="117">
        <f t="shared" si="12"/>
        <v>0</v>
      </c>
      <c r="V9" s="117">
        <f t="shared" ref="V9:W9" si="13">+V22+V47+V72</f>
        <v>0</v>
      </c>
      <c r="W9" s="117">
        <f t="shared" si="13"/>
        <v>0</v>
      </c>
      <c r="Z9" s="103">
        <f t="shared" si="4"/>
        <v>0</v>
      </c>
      <c r="AA9" s="103" t="e">
        <f t="shared" si="5"/>
        <v>#DIV/0!</v>
      </c>
      <c r="AB9" s="103">
        <f t="shared" si="6"/>
        <v>0</v>
      </c>
      <c r="AC9" s="103" t="e">
        <f t="shared" si="7"/>
        <v>#DIV/0!</v>
      </c>
    </row>
    <row r="10" spans="1:29" x14ac:dyDescent="0.25">
      <c r="A10" t="s">
        <v>742</v>
      </c>
      <c r="B10" t="s">
        <v>766</v>
      </c>
      <c r="C10" t="s">
        <v>767</v>
      </c>
      <c r="D10" t="s">
        <v>744</v>
      </c>
      <c r="E10" t="s">
        <v>745</v>
      </c>
      <c r="F10" s="117">
        <f t="shared" si="0"/>
        <v>1.9805300000000001</v>
      </c>
      <c r="G10" s="117">
        <f t="shared" ref="G10:U10" si="14">+G23+G48+G73</f>
        <v>1.9816200000000002</v>
      </c>
      <c r="H10" s="117">
        <f t="shared" si="14"/>
        <v>4.4591900000000004</v>
      </c>
      <c r="I10" s="117">
        <f t="shared" si="14"/>
        <v>4.7360500000000005</v>
      </c>
      <c r="J10" s="117">
        <f t="shared" si="14"/>
        <v>4.1877800000000009</v>
      </c>
      <c r="K10" s="117">
        <f t="shared" si="14"/>
        <v>5.3257400000000006</v>
      </c>
      <c r="L10" s="117">
        <f t="shared" si="14"/>
        <v>4.9834800000000001</v>
      </c>
      <c r="M10" s="117">
        <f t="shared" si="14"/>
        <v>5.2865000000000002</v>
      </c>
      <c r="N10" s="117">
        <f t="shared" si="14"/>
        <v>5.3072100000000004</v>
      </c>
      <c r="O10" s="117">
        <f t="shared" si="14"/>
        <v>5.1938500000000003</v>
      </c>
      <c r="P10" s="117">
        <f t="shared" si="14"/>
        <v>5.1971200000000009</v>
      </c>
      <c r="Q10" s="117">
        <f t="shared" si="14"/>
        <v>5.1993</v>
      </c>
      <c r="R10" s="117">
        <f t="shared" si="14"/>
        <v>5.2014800000000001</v>
      </c>
      <c r="S10" s="117">
        <f t="shared" si="14"/>
        <v>5.1971200000000009</v>
      </c>
      <c r="T10" s="117">
        <f t="shared" si="14"/>
        <v>4.450524500000002</v>
      </c>
      <c r="U10" s="117">
        <f t="shared" si="14"/>
        <v>3.9892430400000007</v>
      </c>
      <c r="V10" s="117">
        <f t="shared" ref="V10:W10" si="15">+V23+V48+V73</f>
        <v>3.4449166599999987</v>
      </c>
      <c r="W10" s="117">
        <f t="shared" si="15"/>
        <v>2.8175453600000009</v>
      </c>
      <c r="Z10" s="103">
        <f t="shared" si="4"/>
        <v>0.83701536000000076</v>
      </c>
      <c r="AA10" s="103">
        <f t="shared" si="5"/>
        <v>0.42262190423775492</v>
      </c>
      <c r="AB10" s="103">
        <f t="shared" si="6"/>
        <v>-1.1716976799999999</v>
      </c>
      <c r="AC10" s="103">
        <f t="shared" si="7"/>
        <v>-0.29371428821243228</v>
      </c>
    </row>
    <row r="11" spans="1:29" x14ac:dyDescent="0.25">
      <c r="A11" t="s">
        <v>742</v>
      </c>
      <c r="B11" t="s">
        <v>768</v>
      </c>
      <c r="C11" t="s">
        <v>769</v>
      </c>
      <c r="D11" t="s">
        <v>744</v>
      </c>
      <c r="E11" t="s">
        <v>745</v>
      </c>
      <c r="F11" s="117">
        <f t="shared" si="0"/>
        <v>437.61700000000002</v>
      </c>
      <c r="G11" s="117">
        <f t="shared" ref="G11:U11" si="16">+G24+G49+G74</f>
        <v>437.61700000000002</v>
      </c>
      <c r="H11" s="117">
        <f t="shared" si="16"/>
        <v>472.976</v>
      </c>
      <c r="I11" s="117">
        <f t="shared" si="16"/>
        <v>477.18200000000002</v>
      </c>
      <c r="J11" s="117">
        <f t="shared" si="16"/>
        <v>470.875</v>
      </c>
      <c r="K11" s="117">
        <f t="shared" si="16"/>
        <v>466.83199999999999</v>
      </c>
      <c r="L11" s="117">
        <f t="shared" si="16"/>
        <v>194.48699999999999</v>
      </c>
      <c r="M11" s="117">
        <f t="shared" si="16"/>
        <v>190.63399999999999</v>
      </c>
      <c r="N11" s="117">
        <f t="shared" si="16"/>
        <v>257.79599999999999</v>
      </c>
      <c r="O11" s="117">
        <f t="shared" si="16"/>
        <v>158.42699999999999</v>
      </c>
      <c r="P11" s="117">
        <f t="shared" si="16"/>
        <v>158.506</v>
      </c>
      <c r="Q11" s="117">
        <f t="shared" si="16"/>
        <v>158.58500000000001</v>
      </c>
      <c r="R11" s="117">
        <f t="shared" si="16"/>
        <v>158.66399999999999</v>
      </c>
      <c r="S11" s="117">
        <f t="shared" si="16"/>
        <v>158.506</v>
      </c>
      <c r="T11" s="117">
        <f t="shared" si="16"/>
        <v>167.48546225441859</v>
      </c>
      <c r="U11" s="117">
        <f t="shared" si="16"/>
        <v>161.97882244489372</v>
      </c>
      <c r="V11" s="117">
        <f t="shared" ref="V11:W11" si="17">+V24+V49+V74</f>
        <v>156.97115258003473</v>
      </c>
      <c r="W11" s="117">
        <f t="shared" si="17"/>
        <v>152.39167085372586</v>
      </c>
      <c r="Z11" s="103">
        <f t="shared" si="4"/>
        <v>-285.22532914627413</v>
      </c>
      <c r="AA11" s="103">
        <f t="shared" si="5"/>
        <v>-0.65176930774232744</v>
      </c>
      <c r="AB11" s="103">
        <f t="shared" si="6"/>
        <v>-9.5871515911678671</v>
      </c>
      <c r="AC11" s="103">
        <f t="shared" si="7"/>
        <v>-5.918768544220946E-2</v>
      </c>
    </row>
    <row r="12" spans="1:29" x14ac:dyDescent="0.25">
      <c r="A12" t="s">
        <v>742</v>
      </c>
      <c r="B12" t="s">
        <v>770</v>
      </c>
      <c r="C12" t="s">
        <v>771</v>
      </c>
      <c r="D12" t="s">
        <v>744</v>
      </c>
      <c r="E12" t="s">
        <v>745</v>
      </c>
      <c r="F12" s="117">
        <f t="shared" si="0"/>
        <v>0</v>
      </c>
      <c r="G12" s="117">
        <f t="shared" ref="G12:U12" si="18">+G25+G50+G75</f>
        <v>0</v>
      </c>
      <c r="H12" s="117">
        <f t="shared" si="18"/>
        <v>0</v>
      </c>
      <c r="I12" s="117">
        <f t="shared" si="18"/>
        <v>0</v>
      </c>
      <c r="J12" s="117">
        <f t="shared" si="18"/>
        <v>0</v>
      </c>
      <c r="K12" s="117">
        <f t="shared" si="18"/>
        <v>0</v>
      </c>
      <c r="L12" s="117">
        <f t="shared" si="18"/>
        <v>0</v>
      </c>
      <c r="M12" s="117">
        <f t="shared" si="18"/>
        <v>0</v>
      </c>
      <c r="N12" s="117">
        <f t="shared" si="18"/>
        <v>0</v>
      </c>
      <c r="O12" s="117">
        <f t="shared" si="18"/>
        <v>0</v>
      </c>
      <c r="P12" s="117">
        <f t="shared" si="18"/>
        <v>0</v>
      </c>
      <c r="Q12" s="117">
        <f t="shared" si="18"/>
        <v>0</v>
      </c>
      <c r="R12" s="117">
        <f t="shared" si="18"/>
        <v>0</v>
      </c>
      <c r="S12" s="117">
        <f t="shared" si="18"/>
        <v>0</v>
      </c>
      <c r="T12" s="117">
        <f t="shared" si="18"/>
        <v>0</v>
      </c>
      <c r="U12" s="117">
        <f t="shared" si="18"/>
        <v>0</v>
      </c>
      <c r="V12" s="117">
        <f t="shared" ref="V12:W12" si="19">+V25+V50+V75</f>
        <v>0</v>
      </c>
      <c r="W12" s="117">
        <f t="shared" si="19"/>
        <v>0</v>
      </c>
      <c r="Z12" s="103">
        <f t="shared" si="4"/>
        <v>0</v>
      </c>
      <c r="AA12" s="103" t="e">
        <f t="shared" si="5"/>
        <v>#DIV/0!</v>
      </c>
      <c r="AB12" s="103">
        <f t="shared" si="6"/>
        <v>0</v>
      </c>
      <c r="AC12" s="103" t="e">
        <f t="shared" si="7"/>
        <v>#DIV/0!</v>
      </c>
    </row>
    <row r="13" spans="1:29" x14ac:dyDescent="0.25">
      <c r="A13" t="s">
        <v>742</v>
      </c>
      <c r="B13" t="s">
        <v>772</v>
      </c>
      <c r="C13" t="s">
        <v>773</v>
      </c>
      <c r="D13" t="s">
        <v>744</v>
      </c>
      <c r="E13" t="s">
        <v>745</v>
      </c>
      <c r="F13" s="117">
        <f t="shared" si="0"/>
        <v>138.64106266000002</v>
      </c>
      <c r="G13" s="117">
        <f t="shared" ref="G13:U13" si="20">+G26+G51+G76</f>
        <v>138.70921541999999</v>
      </c>
      <c r="H13" s="117">
        <f t="shared" si="20"/>
        <v>162.15638612000001</v>
      </c>
      <c r="I13" s="117">
        <f t="shared" si="20"/>
        <v>161.11312464</v>
      </c>
      <c r="J13" s="117">
        <f t="shared" si="20"/>
        <v>159.83394976</v>
      </c>
      <c r="K13" s="117">
        <f t="shared" si="20"/>
        <v>151.14709412000002</v>
      </c>
      <c r="L13" s="117">
        <f t="shared" si="20"/>
        <v>141.73414946000003</v>
      </c>
      <c r="M13" s="117">
        <f t="shared" si="20"/>
        <v>151.21000436000003</v>
      </c>
      <c r="N13" s="117">
        <f t="shared" si="20"/>
        <v>134.17443562</v>
      </c>
      <c r="O13" s="117">
        <f t="shared" si="20"/>
        <v>134.23996712000002</v>
      </c>
      <c r="P13" s="117">
        <f t="shared" si="20"/>
        <v>134.30806745480001</v>
      </c>
      <c r="Q13" s="117">
        <f t="shared" si="20"/>
        <v>134.28714980000001</v>
      </c>
      <c r="R13" s="117">
        <f t="shared" si="20"/>
        <v>134.94246480000001</v>
      </c>
      <c r="S13" s="117">
        <f t="shared" si="20"/>
        <v>134.30806745480001</v>
      </c>
      <c r="T13" s="117">
        <f t="shared" si="20"/>
        <v>131.56828351647511</v>
      </c>
      <c r="U13" s="117">
        <f t="shared" si="20"/>
        <v>130.1289631728016</v>
      </c>
      <c r="V13" s="117">
        <f t="shared" ref="V13:W13" si="21">+V26+V51+V76</f>
        <v>128.70538859244084</v>
      </c>
      <c r="W13" s="117">
        <f t="shared" si="21"/>
        <v>127.29738752113171</v>
      </c>
      <c r="Z13" s="103">
        <f t="shared" si="4"/>
        <v>-11.343675138868306</v>
      </c>
      <c r="AA13" s="103">
        <f t="shared" si="5"/>
        <v>-8.1820457238468092E-2</v>
      </c>
      <c r="AB13" s="103">
        <f t="shared" si="6"/>
        <v>-2.831575651669894</v>
      </c>
      <c r="AC13" s="103">
        <f t="shared" si="7"/>
        <v>-2.1759764948789853E-2</v>
      </c>
    </row>
    <row r="14" spans="1:29" x14ac:dyDescent="0.25">
      <c r="A14" t="s">
        <v>742</v>
      </c>
      <c r="B14" t="s">
        <v>774</v>
      </c>
      <c r="C14" t="s">
        <v>775</v>
      </c>
      <c r="D14" t="s">
        <v>744</v>
      </c>
      <c r="E14" t="s">
        <v>745</v>
      </c>
      <c r="F14" s="117">
        <f t="shared" si="0"/>
        <v>0</v>
      </c>
      <c r="G14" s="117">
        <f t="shared" ref="G14:U14" si="22">+G27+G52+G77</f>
        <v>0</v>
      </c>
      <c r="H14" s="117">
        <f t="shared" si="22"/>
        <v>0</v>
      </c>
      <c r="I14" s="117">
        <f t="shared" si="22"/>
        <v>0</v>
      </c>
      <c r="J14" s="117">
        <f t="shared" si="22"/>
        <v>0</v>
      </c>
      <c r="K14" s="117">
        <f t="shared" si="22"/>
        <v>0</v>
      </c>
      <c r="L14" s="117">
        <f t="shared" si="22"/>
        <v>0</v>
      </c>
      <c r="M14" s="117">
        <f t="shared" si="22"/>
        <v>0</v>
      </c>
      <c r="N14" s="117">
        <f t="shared" si="22"/>
        <v>0</v>
      </c>
      <c r="O14" s="117">
        <f t="shared" si="22"/>
        <v>0</v>
      </c>
      <c r="P14" s="117">
        <f t="shared" si="22"/>
        <v>0</v>
      </c>
      <c r="Q14" s="117">
        <f t="shared" si="22"/>
        <v>0</v>
      </c>
      <c r="R14" s="117">
        <f t="shared" si="22"/>
        <v>0</v>
      </c>
      <c r="S14" s="117">
        <f t="shared" si="22"/>
        <v>0</v>
      </c>
      <c r="T14" s="117">
        <f t="shared" si="22"/>
        <v>0</v>
      </c>
      <c r="U14" s="117">
        <f t="shared" si="22"/>
        <v>0</v>
      </c>
      <c r="V14" s="117">
        <f t="shared" ref="V14:W14" si="23">+V27+V52+V77</f>
        <v>0</v>
      </c>
      <c r="W14" s="117">
        <f t="shared" si="23"/>
        <v>0</v>
      </c>
      <c r="Z14" s="103">
        <f t="shared" si="4"/>
        <v>0</v>
      </c>
      <c r="AA14" s="103" t="e">
        <f t="shared" si="5"/>
        <v>#DIV/0!</v>
      </c>
      <c r="AB14" s="103">
        <f t="shared" si="6"/>
        <v>0</v>
      </c>
      <c r="AC14" s="103" t="e">
        <f t="shared" si="7"/>
        <v>#DIV/0!</v>
      </c>
    </row>
    <row r="15" spans="1:29" x14ac:dyDescent="0.25">
      <c r="A15" t="s">
        <v>742</v>
      </c>
      <c r="B15" t="s">
        <v>776</v>
      </c>
      <c r="C15" t="s">
        <v>756</v>
      </c>
      <c r="D15" t="s">
        <v>744</v>
      </c>
      <c r="E15" t="s">
        <v>745</v>
      </c>
      <c r="F15" s="117">
        <f t="shared" si="0"/>
        <v>0</v>
      </c>
      <c r="G15" s="117">
        <f t="shared" ref="G15:U15" si="24">+G28+G53+G78</f>
        <v>0</v>
      </c>
      <c r="H15" s="117">
        <f t="shared" si="24"/>
        <v>0</v>
      </c>
      <c r="I15" s="117">
        <f t="shared" si="24"/>
        <v>0</v>
      </c>
      <c r="J15" s="117">
        <f t="shared" si="24"/>
        <v>0</v>
      </c>
      <c r="K15" s="117">
        <f t="shared" si="24"/>
        <v>0</v>
      </c>
      <c r="L15" s="117">
        <f t="shared" si="24"/>
        <v>0</v>
      </c>
      <c r="M15" s="117">
        <f t="shared" si="24"/>
        <v>0</v>
      </c>
      <c r="N15" s="117">
        <f t="shared" si="24"/>
        <v>0</v>
      </c>
      <c r="O15" s="117">
        <f t="shared" si="24"/>
        <v>0</v>
      </c>
      <c r="P15" s="117">
        <f t="shared" si="24"/>
        <v>0</v>
      </c>
      <c r="Q15" s="117">
        <f t="shared" si="24"/>
        <v>0</v>
      </c>
      <c r="R15" s="117">
        <f t="shared" si="24"/>
        <v>0</v>
      </c>
      <c r="S15" s="117">
        <f t="shared" si="24"/>
        <v>0</v>
      </c>
      <c r="T15" s="117">
        <f t="shared" si="24"/>
        <v>0</v>
      </c>
      <c r="U15" s="117">
        <f t="shared" si="24"/>
        <v>0</v>
      </c>
      <c r="V15" s="117">
        <f t="shared" ref="V15:W15" si="25">+V28+V53+V78</f>
        <v>0</v>
      </c>
      <c r="W15" s="117">
        <f t="shared" si="25"/>
        <v>0</v>
      </c>
      <c r="Z15" s="103">
        <f t="shared" si="4"/>
        <v>0</v>
      </c>
      <c r="AA15" s="103" t="e">
        <f t="shared" si="5"/>
        <v>#DIV/0!</v>
      </c>
      <c r="AB15" s="103">
        <f t="shared" si="6"/>
        <v>0</v>
      </c>
      <c r="AC15" s="103" t="e">
        <f t="shared" si="7"/>
        <v>#DIV/0!</v>
      </c>
    </row>
    <row r="17" spans="1:24" s="132" customFormat="1" x14ac:dyDescent="0.25">
      <c r="C17" s="132" t="s">
        <v>835</v>
      </c>
    </row>
    <row r="18" spans="1:24" s="103" customFormat="1" x14ac:dyDescent="0.25">
      <c r="A18" s="7" t="s">
        <v>742</v>
      </c>
      <c r="B18" s="103" t="s">
        <v>757</v>
      </c>
      <c r="C18" s="103" t="s">
        <v>923</v>
      </c>
      <c r="D18" s="7" t="s">
        <v>836</v>
      </c>
      <c r="E18" s="7" t="s">
        <v>745</v>
      </c>
      <c r="F18" s="116">
        <f>+SUM(F19:F28)</f>
        <v>1063.4499499999999</v>
      </c>
      <c r="G18" s="116">
        <f t="shared" ref="G18:W18" si="26">+SUM(G19:G28)</f>
        <v>1065.3121600000002</v>
      </c>
      <c r="H18" s="116">
        <f t="shared" si="26"/>
        <v>1102.0036299999999</v>
      </c>
      <c r="I18" s="116">
        <f t="shared" si="26"/>
        <v>1123.5067300000001</v>
      </c>
      <c r="J18" s="116">
        <f t="shared" si="26"/>
        <v>1140.1909000000001</v>
      </c>
      <c r="K18" s="116">
        <f t="shared" si="26"/>
        <v>818.00018</v>
      </c>
      <c r="L18" s="116">
        <f t="shared" si="26"/>
        <v>513.2115</v>
      </c>
      <c r="M18" s="116">
        <f t="shared" si="26"/>
        <v>581.38782000000003</v>
      </c>
      <c r="N18" s="116">
        <f t="shared" si="26"/>
        <v>604.34214999999995</v>
      </c>
      <c r="O18" s="116">
        <f t="shared" si="26"/>
        <v>483.76129000000003</v>
      </c>
      <c r="P18" s="116">
        <f t="shared" si="26"/>
        <v>622.89262760000008</v>
      </c>
      <c r="Q18" s="116">
        <f t="shared" si="26"/>
        <v>671.58290000000011</v>
      </c>
      <c r="R18" s="116">
        <f t="shared" si="26"/>
        <v>516.53808000000004</v>
      </c>
      <c r="S18" s="116">
        <f t="shared" si="26"/>
        <v>474.96662760000004</v>
      </c>
      <c r="T18" s="116">
        <f t="shared" si="26"/>
        <v>489.42202738875653</v>
      </c>
      <c r="U18" s="116">
        <f t="shared" si="26"/>
        <v>568.99747763505832</v>
      </c>
      <c r="V18" s="116">
        <f t="shared" si="26"/>
        <v>599.51652860058846</v>
      </c>
      <c r="W18" s="116">
        <f t="shared" si="26"/>
        <v>523.86041380777033</v>
      </c>
      <c r="X18"/>
    </row>
    <row r="19" spans="1:24" x14ac:dyDescent="0.25">
      <c r="A19" t="s">
        <v>742</v>
      </c>
      <c r="B19" t="s">
        <v>758</v>
      </c>
      <c r="C19" t="s">
        <v>759</v>
      </c>
      <c r="D19" t="s">
        <v>836</v>
      </c>
      <c r="E19" t="s">
        <v>745</v>
      </c>
      <c r="F19" s="119">
        <f>+'2B1 Ammonia Production'!E28</f>
        <v>485.27800000000002</v>
      </c>
      <c r="G19" s="119">
        <f>+'2B1 Ammonia Production'!F28</f>
        <v>487.07100000000003</v>
      </c>
      <c r="H19" s="119">
        <f>+'2B1 Ammonia Production'!G28</f>
        <v>462.49</v>
      </c>
      <c r="I19" s="119">
        <f>+'2B1 Ammonia Production'!H28</f>
        <v>480.553</v>
      </c>
      <c r="J19" s="119">
        <f>+'2B1 Ammonia Production'!I28</f>
        <v>505.37099999999998</v>
      </c>
      <c r="K19" s="119">
        <f>+'2B1 Ammonia Production'!J28</f>
        <v>194.768</v>
      </c>
      <c r="L19" s="119">
        <f>+'2B1 Ammonia Production'!K28</f>
        <v>172.07499999999999</v>
      </c>
      <c r="M19" s="119">
        <f>+'2B1 Ammonia Production'!L28</f>
        <v>234.33</v>
      </c>
      <c r="N19" s="119">
        <f>+'2B1 Ammonia Production'!M28</f>
        <v>207.12899999999999</v>
      </c>
      <c r="O19" s="119">
        <f>+'2B1 Ammonia Production'!N28</f>
        <v>185.965</v>
      </c>
      <c r="P19" s="119">
        <f>+'2B1 Ammonia Production'!O28</f>
        <v>324.94600000000003</v>
      </c>
      <c r="Q19" s="119">
        <f>+'2B1 Ammonia Production'!P28</f>
        <v>373.57600000000002</v>
      </c>
      <c r="R19" s="119">
        <f>+'2B1 Ammonia Production'!Q28</f>
        <v>217.79499999999999</v>
      </c>
      <c r="S19" s="119">
        <f>+'2B1 Ammonia Production'!R28</f>
        <v>177.02</v>
      </c>
      <c r="T19" s="119">
        <f>+'2B1 Ammonia Production'!S28</f>
        <v>185.98099999999999</v>
      </c>
      <c r="U19" s="119">
        <f>+'2B1 Ammonia Production'!T28</f>
        <v>272.96300000000002</v>
      </c>
      <c r="V19" s="119">
        <f>+'2B1 Ammonia Production'!U28</f>
        <v>310.45693749999998</v>
      </c>
      <c r="W19" s="119">
        <f>+'2B1 Ammonia Production'!V28</f>
        <v>241.41499999999999</v>
      </c>
    </row>
    <row r="20" spans="1:24" x14ac:dyDescent="0.25">
      <c r="A20" t="s">
        <v>742</v>
      </c>
      <c r="B20" t="s">
        <v>760</v>
      </c>
      <c r="C20" t="s">
        <v>761</v>
      </c>
      <c r="D20" t="s">
        <v>836</v>
      </c>
      <c r="E20" t="s">
        <v>745</v>
      </c>
      <c r="F20" s="119"/>
      <c r="G20" s="119"/>
      <c r="H20" s="119"/>
      <c r="I20" s="119"/>
      <c r="J20" s="119"/>
      <c r="K20" s="119"/>
      <c r="L20" s="119"/>
      <c r="M20" s="119"/>
      <c r="N20" s="119"/>
      <c r="O20" s="119"/>
      <c r="P20" s="119"/>
      <c r="Q20" s="119"/>
      <c r="R20" s="119"/>
      <c r="S20" s="119"/>
      <c r="T20" s="119"/>
      <c r="U20" s="119"/>
      <c r="V20" s="119"/>
      <c r="W20" s="119"/>
    </row>
    <row r="21" spans="1:24" x14ac:dyDescent="0.25">
      <c r="A21" t="s">
        <v>742</v>
      </c>
      <c r="B21" t="s">
        <v>762</v>
      </c>
      <c r="C21" t="s">
        <v>763</v>
      </c>
      <c r="D21" t="s">
        <v>836</v>
      </c>
      <c r="E21" t="s">
        <v>745</v>
      </c>
      <c r="F21" s="119"/>
      <c r="G21" s="119"/>
      <c r="H21" s="119"/>
      <c r="I21" s="119"/>
      <c r="J21" s="119"/>
      <c r="K21" s="119"/>
      <c r="L21" s="119"/>
      <c r="M21" s="119"/>
      <c r="N21" s="119"/>
      <c r="O21" s="119"/>
      <c r="P21" s="119"/>
      <c r="Q21" s="119"/>
      <c r="R21" s="119"/>
      <c r="S21" s="119"/>
      <c r="T21" s="119"/>
      <c r="U21" s="119"/>
      <c r="V21" s="119"/>
      <c r="W21" s="119"/>
    </row>
    <row r="22" spans="1:24" x14ac:dyDescent="0.25">
      <c r="A22" t="s">
        <v>742</v>
      </c>
      <c r="B22" t="s">
        <v>764</v>
      </c>
      <c r="C22" t="s">
        <v>765</v>
      </c>
      <c r="D22" t="s">
        <v>836</v>
      </c>
      <c r="E22" t="s">
        <v>745</v>
      </c>
      <c r="F22" s="119"/>
      <c r="G22" s="119"/>
      <c r="H22" s="119"/>
      <c r="I22" s="119"/>
      <c r="J22" s="119"/>
      <c r="K22" s="119"/>
      <c r="L22" s="119"/>
      <c r="M22" s="119"/>
      <c r="N22" s="119"/>
      <c r="O22" s="119"/>
      <c r="P22" s="119"/>
      <c r="Q22" s="119"/>
      <c r="R22" s="119"/>
      <c r="S22" s="119"/>
      <c r="T22" s="119"/>
      <c r="U22" s="119"/>
      <c r="V22" s="119"/>
      <c r="W22" s="119"/>
    </row>
    <row r="23" spans="1:24" x14ac:dyDescent="0.25">
      <c r="A23" t="s">
        <v>742</v>
      </c>
      <c r="B23" t="s">
        <v>766</v>
      </c>
      <c r="C23" t="s">
        <v>767</v>
      </c>
      <c r="D23" t="s">
        <v>836</v>
      </c>
      <c r="E23" t="s">
        <v>745</v>
      </c>
      <c r="F23" s="119">
        <f>+'2B5 Carbide Production'!E33</f>
        <v>1.9805300000000001</v>
      </c>
      <c r="G23" s="119">
        <f>+'2B5 Carbide Production'!F33</f>
        <v>1.9816200000000002</v>
      </c>
      <c r="H23" s="119">
        <f>+'2B5 Carbide Production'!G33</f>
        <v>4.4591900000000004</v>
      </c>
      <c r="I23" s="119">
        <f>+'2B5 Carbide Production'!H33</f>
        <v>4.7360500000000005</v>
      </c>
      <c r="J23" s="119">
        <f>+'2B5 Carbide Production'!I33</f>
        <v>4.1877800000000009</v>
      </c>
      <c r="K23" s="119">
        <f>+'2B5 Carbide Production'!J33</f>
        <v>5.3257400000000006</v>
      </c>
      <c r="L23" s="119">
        <f>+'2B5 Carbide Production'!K33</f>
        <v>4.9834800000000001</v>
      </c>
      <c r="M23" s="119">
        <f>+'2B5 Carbide Production'!L33</f>
        <v>5.2865000000000002</v>
      </c>
      <c r="N23" s="119">
        <f>+'2B5 Carbide Production'!M33</f>
        <v>5.3072100000000004</v>
      </c>
      <c r="O23" s="119">
        <f>+'2B5 Carbide Production'!N33</f>
        <v>5.1938500000000003</v>
      </c>
      <c r="P23" s="119">
        <f>+'2B5 Carbide Production'!O33</f>
        <v>5.1971200000000009</v>
      </c>
      <c r="Q23" s="119">
        <f>+'2B5 Carbide Production'!P33</f>
        <v>5.1993</v>
      </c>
      <c r="R23" s="119">
        <f>+'2B5 Carbide Production'!Q33</f>
        <v>5.2014800000000001</v>
      </c>
      <c r="S23" s="119">
        <f>+'2B5 Carbide Production'!R33</f>
        <v>5.1971200000000009</v>
      </c>
      <c r="T23" s="119">
        <f>+'2B5 Carbide Production'!S33</f>
        <v>4.450524500000002</v>
      </c>
      <c r="U23" s="119">
        <f>+'2B5 Carbide Production'!T33</f>
        <v>3.9892430400000007</v>
      </c>
      <c r="V23" s="119">
        <f>+'2B5 Carbide Production'!U33</f>
        <v>3.4449166599999987</v>
      </c>
      <c r="W23" s="119">
        <f>+'2B5 Carbide Production'!V33</f>
        <v>2.8175453600000009</v>
      </c>
    </row>
    <row r="24" spans="1:24" x14ac:dyDescent="0.25">
      <c r="A24" t="s">
        <v>742</v>
      </c>
      <c r="B24" t="s">
        <v>768</v>
      </c>
      <c r="C24" t="s">
        <v>769</v>
      </c>
      <c r="D24" t="s">
        <v>836</v>
      </c>
      <c r="E24" t="s">
        <v>745</v>
      </c>
      <c r="F24" s="119">
        <f>+'2B6 Titanium Dioxide Production'!E32</f>
        <v>437.61700000000002</v>
      </c>
      <c r="G24" s="119">
        <f>+'2B6 Titanium Dioxide Production'!F32</f>
        <v>437.61700000000002</v>
      </c>
      <c r="H24" s="119">
        <f>+'2B6 Titanium Dioxide Production'!G32</f>
        <v>472.976</v>
      </c>
      <c r="I24" s="119">
        <f>+'2B6 Titanium Dioxide Production'!H32</f>
        <v>477.18200000000002</v>
      </c>
      <c r="J24" s="119">
        <f>+'2B6 Titanium Dioxide Production'!I32</f>
        <v>470.875</v>
      </c>
      <c r="K24" s="119">
        <f>+'2B6 Titanium Dioxide Production'!J32</f>
        <v>466.83199999999999</v>
      </c>
      <c r="L24" s="119">
        <f>+'2B6 Titanium Dioxide Production'!K32</f>
        <v>194.48699999999999</v>
      </c>
      <c r="M24" s="119">
        <f>+'2B6 Titanium Dioxide Production'!L32</f>
        <v>190.63399999999999</v>
      </c>
      <c r="N24" s="119">
        <f>+'2B6 Titanium Dioxide Production'!M32</f>
        <v>257.79599999999999</v>
      </c>
      <c r="O24" s="119">
        <f>+'2B6 Titanium Dioxide Production'!N32</f>
        <v>158.42699999999999</v>
      </c>
      <c r="P24" s="119">
        <f>+'2B6 Titanium Dioxide Production'!O32</f>
        <v>158.506</v>
      </c>
      <c r="Q24" s="119">
        <f>+'2B6 Titanium Dioxide Production'!P32</f>
        <v>158.58500000000001</v>
      </c>
      <c r="R24" s="119">
        <f>+'2B6 Titanium Dioxide Production'!Q32</f>
        <v>158.66399999999999</v>
      </c>
      <c r="S24" s="119">
        <f>+'2B6 Titanium Dioxide Production'!R32</f>
        <v>158.506</v>
      </c>
      <c r="T24" s="119">
        <f>+'2B6 Titanium Dioxide Production'!S32</f>
        <v>167.48546225441859</v>
      </c>
      <c r="U24" s="119">
        <f>+'2B6 Titanium Dioxide Production'!T32</f>
        <v>161.97882244489372</v>
      </c>
      <c r="V24" s="119">
        <f>+'2B6 Titanium Dioxide Production'!U32</f>
        <v>156.97115258003473</v>
      </c>
      <c r="W24" s="119">
        <f>+'2B6 Titanium Dioxide Production'!V32</f>
        <v>152.39167085372586</v>
      </c>
    </row>
    <row r="25" spans="1:24" x14ac:dyDescent="0.25">
      <c r="A25" t="s">
        <v>742</v>
      </c>
      <c r="B25" t="s">
        <v>770</v>
      </c>
      <c r="C25" t="s">
        <v>771</v>
      </c>
      <c r="D25" t="s">
        <v>836</v>
      </c>
      <c r="E25" t="s">
        <v>745</v>
      </c>
      <c r="F25" s="119"/>
      <c r="G25" s="119"/>
      <c r="H25" s="119"/>
      <c r="I25" s="119"/>
      <c r="J25" s="119"/>
      <c r="K25" s="119"/>
      <c r="L25" s="119"/>
      <c r="M25" s="119"/>
      <c r="N25" s="119"/>
      <c r="O25" s="119"/>
      <c r="P25" s="119"/>
      <c r="Q25" s="119"/>
      <c r="R25" s="119"/>
      <c r="S25" s="119"/>
      <c r="T25" s="119"/>
      <c r="U25" s="119"/>
      <c r="V25" s="119"/>
      <c r="W25" s="119"/>
    </row>
    <row r="26" spans="1:24" x14ac:dyDescent="0.25">
      <c r="A26" t="s">
        <v>742</v>
      </c>
      <c r="B26" t="s">
        <v>772</v>
      </c>
      <c r="C26" t="s">
        <v>773</v>
      </c>
      <c r="D26" t="s">
        <v>836</v>
      </c>
      <c r="E26" t="s">
        <v>745</v>
      </c>
      <c r="F26" s="119">
        <f>+'2B8 Carbon Black Production'!E24</f>
        <v>138.57442</v>
      </c>
      <c r="G26" s="119">
        <f>+'2B8 Carbon Black Production'!F24</f>
        <v>138.64254</v>
      </c>
      <c r="H26" s="119">
        <f>+'2B8 Carbon Black Production'!G24</f>
        <v>162.07844</v>
      </c>
      <c r="I26" s="119">
        <f>+'2B8 Carbon Black Production'!H24</f>
        <v>161.03567999999999</v>
      </c>
      <c r="J26" s="119">
        <f>+'2B8 Carbon Black Production'!I24</f>
        <v>159.75711999999999</v>
      </c>
      <c r="K26" s="119">
        <f>+'2B8 Carbon Black Production'!J24</f>
        <v>151.07444000000001</v>
      </c>
      <c r="L26" s="119">
        <f>+'2B8 Carbon Black Production'!K24</f>
        <v>141.66602000000003</v>
      </c>
      <c r="M26" s="119">
        <f>+'2B8 Carbon Black Production'!L24</f>
        <v>151.13732000000002</v>
      </c>
      <c r="N26" s="119">
        <f>+'2B8 Carbon Black Production'!M24</f>
        <v>134.10993999999999</v>
      </c>
      <c r="O26" s="119">
        <f>+'2B8 Carbon Black Production'!N24</f>
        <v>134.17544000000001</v>
      </c>
      <c r="P26" s="119">
        <f>+'2B8 Carbon Black Production'!O24</f>
        <v>134.24350760000002</v>
      </c>
      <c r="Q26" s="119">
        <f>+'2B8 Carbon Black Production'!P24</f>
        <v>134.2226</v>
      </c>
      <c r="R26" s="119">
        <f>+'2B8 Carbon Black Production'!Q24</f>
        <v>134.8776</v>
      </c>
      <c r="S26" s="119">
        <f>+'2B8 Carbon Black Production'!R24</f>
        <v>134.24350760000002</v>
      </c>
      <c r="T26" s="119">
        <f>+'2B8 Carbon Black Production'!S24</f>
        <v>131.50504063433797</v>
      </c>
      <c r="U26" s="119">
        <f>+'2B8 Carbon Black Production'!T24</f>
        <v>130.0664121501645</v>
      </c>
      <c r="V26" s="119">
        <f>+'2B8 Carbon Black Production'!U24</f>
        <v>128.6435218605537</v>
      </c>
      <c r="W26" s="119">
        <f>+'2B8 Carbon Black Production'!V24</f>
        <v>127.2361975940445</v>
      </c>
    </row>
    <row r="27" spans="1:24" x14ac:dyDescent="0.25">
      <c r="A27" t="s">
        <v>742</v>
      </c>
      <c r="B27" t="s">
        <v>774</v>
      </c>
      <c r="C27" t="s">
        <v>775</v>
      </c>
      <c r="D27" t="s">
        <v>836</v>
      </c>
      <c r="E27" t="s">
        <v>745</v>
      </c>
      <c r="F27" s="119"/>
      <c r="G27" s="119"/>
      <c r="H27" s="119"/>
      <c r="I27" s="119"/>
      <c r="J27" s="119"/>
      <c r="K27" s="119"/>
      <c r="L27" s="119"/>
      <c r="M27" s="119"/>
      <c r="N27" s="119"/>
      <c r="O27" s="119"/>
      <c r="P27" s="119"/>
      <c r="Q27" s="119"/>
      <c r="R27" s="119"/>
      <c r="S27" s="119"/>
      <c r="T27" s="119"/>
      <c r="U27" s="119"/>
      <c r="V27" s="119"/>
      <c r="W27" s="119"/>
    </row>
    <row r="28" spans="1:24" x14ac:dyDescent="0.25">
      <c r="A28" t="s">
        <v>742</v>
      </c>
      <c r="B28" t="s">
        <v>776</v>
      </c>
      <c r="C28" t="s">
        <v>756</v>
      </c>
      <c r="D28" t="s">
        <v>836</v>
      </c>
      <c r="E28" t="s">
        <v>745</v>
      </c>
      <c r="F28" s="119"/>
      <c r="G28" s="119"/>
      <c r="H28" s="119"/>
      <c r="I28" s="119"/>
      <c r="J28" s="119"/>
      <c r="K28" s="119"/>
      <c r="L28" s="119"/>
      <c r="M28" s="119"/>
      <c r="N28" s="119"/>
      <c r="O28" s="119"/>
      <c r="P28" s="119"/>
      <c r="Q28" s="119"/>
      <c r="R28" s="119"/>
      <c r="S28" s="119"/>
      <c r="T28" s="119"/>
      <c r="U28" s="119"/>
      <c r="V28" s="119"/>
      <c r="W28" s="119"/>
    </row>
    <row r="30" spans="1:24" s="132" customFormat="1" x14ac:dyDescent="0.25">
      <c r="C30" s="132" t="s">
        <v>837</v>
      </c>
    </row>
    <row r="31" spans="1:24" s="103" customFormat="1" x14ac:dyDescent="0.25">
      <c r="A31" s="7" t="s">
        <v>742</v>
      </c>
      <c r="B31" s="103" t="s">
        <v>757</v>
      </c>
      <c r="C31" s="103" t="s">
        <v>923</v>
      </c>
      <c r="D31" s="7" t="s">
        <v>486</v>
      </c>
      <c r="E31" s="7" t="s">
        <v>924</v>
      </c>
      <c r="F31" s="116">
        <f>+SUM(F32:F41)</f>
        <v>3.1251734600000001</v>
      </c>
      <c r="G31" s="116">
        <f t="shared" ref="G31:W31" si="27">+SUM(G32:G41)</f>
        <v>3.1371750199999999</v>
      </c>
      <c r="H31" s="116">
        <f t="shared" si="27"/>
        <v>2.9797117200000001</v>
      </c>
      <c r="I31" s="116">
        <f t="shared" si="27"/>
        <v>3.0956878400000001</v>
      </c>
      <c r="J31" s="116">
        <f t="shared" si="27"/>
        <v>3.2556585599999996</v>
      </c>
      <c r="K31" s="116">
        <f t="shared" si="27"/>
        <v>4.3114597200000002</v>
      </c>
      <c r="L31" s="116">
        <f t="shared" si="27"/>
        <v>4.7132442599999997</v>
      </c>
      <c r="M31" s="116">
        <f t="shared" si="27"/>
        <v>6.4454611599999998</v>
      </c>
      <c r="N31" s="116">
        <f t="shared" si="27"/>
        <v>3.21107122</v>
      </c>
      <c r="O31" s="116">
        <f t="shared" si="27"/>
        <v>2.3030727199999999</v>
      </c>
      <c r="P31" s="116">
        <f t="shared" si="27"/>
        <v>2.7340742788000001</v>
      </c>
      <c r="Q31" s="116">
        <f t="shared" si="27"/>
        <v>3.8230738</v>
      </c>
      <c r="R31" s="116">
        <f t="shared" si="27"/>
        <v>3.0510888</v>
      </c>
      <c r="S31" s="116">
        <f t="shared" si="27"/>
        <v>3.4660742788000003</v>
      </c>
      <c r="T31" s="116">
        <f t="shared" si="27"/>
        <v>3.3090115658160535</v>
      </c>
      <c r="U31" s="116">
        <f t="shared" si="27"/>
        <v>4.1479786201255759</v>
      </c>
      <c r="V31" s="116">
        <f t="shared" si="27"/>
        <v>3.5690085348517684</v>
      </c>
      <c r="W31" s="116">
        <f t="shared" si="27"/>
        <v>7.9649138060517721</v>
      </c>
      <c r="X31"/>
    </row>
    <row r="32" spans="1:24" x14ac:dyDescent="0.25">
      <c r="A32" t="s">
        <v>742</v>
      </c>
      <c r="B32" t="s">
        <v>758</v>
      </c>
      <c r="C32" t="s">
        <v>759</v>
      </c>
      <c r="D32" t="s">
        <v>486</v>
      </c>
      <c r="E32" t="s">
        <v>924</v>
      </c>
      <c r="F32" s="119">
        <f>+'2B1 Ammonia Production'!E29</f>
        <v>3.1219999999999999</v>
      </c>
      <c r="G32" s="119">
        <f>+'2B1 Ammonia Production'!F29</f>
        <v>3.1339999999999999</v>
      </c>
      <c r="H32" s="119">
        <f>+'2B1 Ammonia Production'!G29</f>
        <v>2.976</v>
      </c>
      <c r="I32" s="119">
        <f>+'2B1 Ammonia Production'!H29</f>
        <v>3.0920000000000001</v>
      </c>
      <c r="J32" s="119">
        <f>+'2B1 Ammonia Production'!I29</f>
        <v>3.2519999999999998</v>
      </c>
      <c r="K32" s="119">
        <f>+'2B1 Ammonia Production'!J29</f>
        <v>4.3079999999999998</v>
      </c>
      <c r="L32" s="119">
        <f>+'2B1 Ammonia Production'!K29</f>
        <v>4.71</v>
      </c>
      <c r="M32" s="119">
        <f>+'2B1 Ammonia Production'!L29</f>
        <v>6.4420000000000002</v>
      </c>
      <c r="N32" s="119">
        <f>+'2B1 Ammonia Production'!M29</f>
        <v>3.2080000000000002</v>
      </c>
      <c r="O32" s="119">
        <f>+'2B1 Ammonia Production'!N29</f>
        <v>2.2999999999999998</v>
      </c>
      <c r="P32" s="119">
        <f>+'2B1 Ammonia Production'!O29</f>
        <v>2.7309999999999999</v>
      </c>
      <c r="Q32" s="119">
        <f>+'2B1 Ammonia Production'!P29</f>
        <v>3.82</v>
      </c>
      <c r="R32" s="119">
        <f>+'2B1 Ammonia Production'!Q29</f>
        <v>3.048</v>
      </c>
      <c r="S32" s="119">
        <f>+'2B1 Ammonia Production'!R29</f>
        <v>3.4630000000000001</v>
      </c>
      <c r="T32" s="119">
        <f>+'2B1 Ammonia Production'!S29</f>
        <v>3.306</v>
      </c>
      <c r="U32" s="119">
        <f>+'2B1 Ammonia Production'!T29</f>
        <v>4.1449999999999996</v>
      </c>
      <c r="V32" s="119">
        <f>+'2B1 Ammonia Production'!U29</f>
        <v>3.5660625000000001</v>
      </c>
      <c r="W32" s="119">
        <f>+'2B1 Ammonia Production'!V29</f>
        <v>7.9619999999999997</v>
      </c>
    </row>
    <row r="33" spans="1:24" x14ac:dyDescent="0.25">
      <c r="A33" t="s">
        <v>742</v>
      </c>
      <c r="B33" t="s">
        <v>760</v>
      </c>
      <c r="C33" t="s">
        <v>761</v>
      </c>
      <c r="D33" t="s">
        <v>486</v>
      </c>
      <c r="E33" t="s">
        <v>924</v>
      </c>
      <c r="F33" s="119"/>
      <c r="G33" s="119"/>
      <c r="H33" s="119"/>
      <c r="I33" s="119"/>
      <c r="J33" s="119"/>
      <c r="K33" s="119"/>
      <c r="L33" s="119"/>
      <c r="M33" s="119"/>
      <c r="N33" s="119"/>
      <c r="O33" s="119"/>
      <c r="P33" s="119"/>
      <c r="Q33" s="119"/>
      <c r="R33" s="119"/>
      <c r="S33" s="119"/>
      <c r="T33" s="119"/>
      <c r="U33" s="119"/>
      <c r="V33" s="119"/>
      <c r="W33" s="119"/>
    </row>
    <row r="34" spans="1:24" x14ac:dyDescent="0.25">
      <c r="A34" t="s">
        <v>742</v>
      </c>
      <c r="B34" t="s">
        <v>762</v>
      </c>
      <c r="C34" t="s">
        <v>763</v>
      </c>
      <c r="D34" t="s">
        <v>486</v>
      </c>
      <c r="E34" t="s">
        <v>924</v>
      </c>
      <c r="F34" s="119"/>
      <c r="G34" s="119"/>
      <c r="H34" s="119"/>
      <c r="I34" s="119"/>
      <c r="J34" s="119"/>
      <c r="K34" s="119"/>
      <c r="L34" s="119"/>
      <c r="M34" s="119"/>
      <c r="N34" s="119"/>
      <c r="O34" s="119"/>
      <c r="P34" s="119"/>
      <c r="Q34" s="119"/>
      <c r="R34" s="119"/>
      <c r="S34" s="119"/>
      <c r="T34" s="119"/>
      <c r="U34" s="119"/>
      <c r="V34" s="119"/>
      <c r="W34" s="119"/>
    </row>
    <row r="35" spans="1:24" x14ac:dyDescent="0.25">
      <c r="A35" t="s">
        <v>742</v>
      </c>
      <c r="B35" t="s">
        <v>764</v>
      </c>
      <c r="C35" t="s">
        <v>765</v>
      </c>
      <c r="D35" t="s">
        <v>486</v>
      </c>
      <c r="E35" t="s">
        <v>924</v>
      </c>
      <c r="F35" s="119"/>
      <c r="G35" s="119"/>
      <c r="H35" s="119"/>
      <c r="I35" s="119"/>
      <c r="J35" s="119"/>
      <c r="K35" s="119"/>
      <c r="L35" s="119"/>
      <c r="M35" s="119"/>
      <c r="N35" s="119"/>
      <c r="O35" s="119"/>
      <c r="P35" s="119"/>
      <c r="Q35" s="119"/>
      <c r="R35" s="119"/>
      <c r="S35" s="119"/>
      <c r="T35" s="119"/>
      <c r="U35" s="119"/>
      <c r="V35" s="119"/>
      <c r="W35" s="119"/>
    </row>
    <row r="36" spans="1:24" x14ac:dyDescent="0.25">
      <c r="A36" t="s">
        <v>742</v>
      </c>
      <c r="B36" t="s">
        <v>766</v>
      </c>
      <c r="C36" t="s">
        <v>767</v>
      </c>
      <c r="D36" t="s">
        <v>486</v>
      </c>
      <c r="E36" t="s">
        <v>924</v>
      </c>
      <c r="F36" s="119">
        <f>+'2B5 Carbide Production'!E23*'Conversion factors'!$B$5</f>
        <v>0</v>
      </c>
      <c r="G36" s="119">
        <f>+'2B5 Carbide Production'!F23*'Conversion factors'!$B$5</f>
        <v>0</v>
      </c>
      <c r="H36" s="119">
        <f>+'2B5 Carbide Production'!G23*'Conversion factors'!$B$5</f>
        <v>0</v>
      </c>
      <c r="I36" s="119">
        <f>+'2B5 Carbide Production'!H23*'Conversion factors'!$B$5</f>
        <v>0</v>
      </c>
      <c r="J36" s="119">
        <f>+'2B5 Carbide Production'!I23*'Conversion factors'!$B$5</f>
        <v>0</v>
      </c>
      <c r="K36" s="119">
        <f>+'2B5 Carbide Production'!J23*'Conversion factors'!$B$5</f>
        <v>0</v>
      </c>
      <c r="L36" s="119">
        <f>+'2B5 Carbide Production'!K23*'Conversion factors'!$B$5</f>
        <v>0</v>
      </c>
      <c r="M36" s="119">
        <f>+'2B5 Carbide Production'!L23*'Conversion factors'!$B$5</f>
        <v>0</v>
      </c>
      <c r="N36" s="119">
        <f>+'2B5 Carbide Production'!M23*'Conversion factors'!$B$5</f>
        <v>0</v>
      </c>
      <c r="O36" s="119">
        <f>+'2B5 Carbide Production'!N23*'Conversion factors'!$B$5</f>
        <v>0</v>
      </c>
      <c r="P36" s="119">
        <f>+'2B5 Carbide Production'!O23*'Conversion factors'!$B$5</f>
        <v>0</v>
      </c>
      <c r="Q36" s="119">
        <f>+'2B5 Carbide Production'!P23*'Conversion factors'!$B$5</f>
        <v>0</v>
      </c>
      <c r="R36" s="119">
        <f>+'2B5 Carbide Production'!Q23*'Conversion factors'!$B$5</f>
        <v>0</v>
      </c>
      <c r="S36" s="119">
        <f>+'2B5 Carbide Production'!R23*'Conversion factors'!$B$5</f>
        <v>0</v>
      </c>
      <c r="T36" s="119">
        <f>+'2B5 Carbide Production'!S23*'Conversion factors'!$B$5</f>
        <v>0</v>
      </c>
      <c r="U36" s="119">
        <f>+'2B5 Carbide Production'!T23*'Conversion factors'!$B$5</f>
        <v>0</v>
      </c>
      <c r="V36" s="119">
        <f>+'2B5 Carbide Production'!U23*'Conversion factors'!$B$5</f>
        <v>0</v>
      </c>
      <c r="W36" s="119">
        <f>+'2B5 Carbide Production'!V23*'Conversion factors'!$B$5</f>
        <v>0</v>
      </c>
    </row>
    <row r="37" spans="1:24" x14ac:dyDescent="0.25">
      <c r="A37" t="s">
        <v>742</v>
      </c>
      <c r="B37" t="s">
        <v>768</v>
      </c>
      <c r="C37" t="s">
        <v>769</v>
      </c>
      <c r="D37" t="s">
        <v>486</v>
      </c>
      <c r="E37" t="s">
        <v>924</v>
      </c>
      <c r="F37" s="119"/>
      <c r="G37" s="119"/>
      <c r="H37" s="119"/>
      <c r="I37" s="119"/>
      <c r="J37" s="119"/>
      <c r="K37" s="119"/>
      <c r="L37" s="119"/>
      <c r="M37" s="119"/>
      <c r="N37" s="119"/>
      <c r="O37" s="119"/>
      <c r="P37" s="119"/>
      <c r="Q37" s="119"/>
      <c r="R37" s="119"/>
      <c r="S37" s="119"/>
      <c r="T37" s="119"/>
      <c r="U37" s="119"/>
      <c r="V37" s="119"/>
      <c r="W37" s="119"/>
    </row>
    <row r="38" spans="1:24" x14ac:dyDescent="0.25">
      <c r="A38" t="s">
        <v>742</v>
      </c>
      <c r="B38" t="s">
        <v>770</v>
      </c>
      <c r="C38" t="s">
        <v>771</v>
      </c>
      <c r="D38" t="s">
        <v>486</v>
      </c>
      <c r="E38" t="s">
        <v>924</v>
      </c>
      <c r="F38" s="119"/>
      <c r="G38" s="119"/>
      <c r="H38" s="119"/>
      <c r="I38" s="119"/>
      <c r="J38" s="119"/>
      <c r="K38" s="119"/>
      <c r="L38" s="119"/>
      <c r="M38" s="119"/>
      <c r="N38" s="119"/>
      <c r="O38" s="119"/>
      <c r="P38" s="119"/>
      <c r="Q38" s="119"/>
      <c r="R38" s="119"/>
      <c r="S38" s="119"/>
      <c r="T38" s="119"/>
      <c r="U38" s="119"/>
      <c r="V38" s="119"/>
      <c r="W38" s="119"/>
    </row>
    <row r="39" spans="1:24" x14ac:dyDescent="0.25">
      <c r="A39" t="s">
        <v>742</v>
      </c>
      <c r="B39" t="s">
        <v>772</v>
      </c>
      <c r="C39" t="s">
        <v>773</v>
      </c>
      <c r="D39" t="s">
        <v>486</v>
      </c>
      <c r="E39" t="s">
        <v>924</v>
      </c>
      <c r="F39" s="119">
        <f>+'2B8 Carbon Black Production'!E26</f>
        <v>3.1734599999999999E-3</v>
      </c>
      <c r="G39" s="119">
        <f>+'2B8 Carbon Black Production'!F26</f>
        <v>3.1750200000000002E-3</v>
      </c>
      <c r="H39" s="119">
        <f>+'2B8 Carbon Black Production'!G26</f>
        <v>3.7117199999999999E-3</v>
      </c>
      <c r="I39" s="119">
        <f>+'2B8 Carbon Black Production'!H26</f>
        <v>3.6878399999999995E-3</v>
      </c>
      <c r="J39" s="119">
        <f>+'2B8 Carbon Black Production'!I26</f>
        <v>3.6585599999999999E-3</v>
      </c>
      <c r="K39" s="119">
        <f>+'2B8 Carbon Black Production'!J26</f>
        <v>3.4597199999999999E-3</v>
      </c>
      <c r="L39" s="119">
        <f>+'2B8 Carbon Black Production'!K26</f>
        <v>3.2442599999999997E-3</v>
      </c>
      <c r="M39" s="119">
        <f>+'2B8 Carbon Black Production'!L26</f>
        <v>3.46116E-3</v>
      </c>
      <c r="N39" s="119">
        <f>+'2B8 Carbon Black Production'!M26</f>
        <v>3.0712199999999999E-3</v>
      </c>
      <c r="O39" s="119">
        <f>+'2B8 Carbon Black Production'!N26</f>
        <v>3.0727199999999997E-3</v>
      </c>
      <c r="P39" s="119">
        <f>+'2B8 Carbon Black Production'!O26</f>
        <v>3.0742788E-3</v>
      </c>
      <c r="Q39" s="119">
        <f>+'2B8 Carbon Black Production'!P26</f>
        <v>3.0737999999999998E-3</v>
      </c>
      <c r="R39" s="119">
        <f>+'2B8 Carbon Black Production'!Q26</f>
        <v>3.0887999999999996E-3</v>
      </c>
      <c r="S39" s="119">
        <f>+'2B8 Carbon Black Production'!R26</f>
        <v>3.0742788E-3</v>
      </c>
      <c r="T39" s="119">
        <f>+'2B8 Carbon Black Production'!S26</f>
        <v>3.0115658160535415E-3</v>
      </c>
      <c r="U39" s="119">
        <f>+'2B8 Carbon Black Production'!T26</f>
        <v>2.9786201255762863E-3</v>
      </c>
      <c r="V39" s="119">
        <f>+'2B8 Carbon Black Production'!U26</f>
        <v>2.9460348517684051E-3</v>
      </c>
      <c r="W39" s="119">
        <f>+'2B8 Carbon Black Production'!V26</f>
        <v>2.9138060517720108E-3</v>
      </c>
    </row>
    <row r="40" spans="1:24" x14ac:dyDescent="0.25">
      <c r="A40" t="s">
        <v>742</v>
      </c>
      <c r="B40" t="s">
        <v>774</v>
      </c>
      <c r="C40" t="s">
        <v>775</v>
      </c>
      <c r="D40" t="s">
        <v>486</v>
      </c>
      <c r="E40" t="s">
        <v>924</v>
      </c>
      <c r="F40" s="119"/>
      <c r="G40" s="119"/>
      <c r="H40" s="119"/>
      <c r="I40" s="119"/>
      <c r="J40" s="119"/>
      <c r="K40" s="119"/>
      <c r="L40" s="119"/>
      <c r="M40" s="119"/>
      <c r="N40" s="119"/>
      <c r="O40" s="119"/>
      <c r="P40" s="119"/>
      <c r="Q40" s="119"/>
      <c r="R40" s="119"/>
      <c r="S40" s="119"/>
      <c r="T40" s="119"/>
      <c r="U40" s="119"/>
      <c r="V40" s="119"/>
      <c r="W40" s="119"/>
    </row>
    <row r="41" spans="1:24" x14ac:dyDescent="0.25">
      <c r="A41" t="s">
        <v>742</v>
      </c>
      <c r="B41" t="s">
        <v>776</v>
      </c>
      <c r="C41" t="s">
        <v>756</v>
      </c>
      <c r="D41" t="s">
        <v>486</v>
      </c>
      <c r="E41" t="s">
        <v>924</v>
      </c>
      <c r="F41" s="119"/>
      <c r="G41" s="119"/>
      <c r="H41" s="119"/>
      <c r="I41" s="119"/>
      <c r="J41" s="119"/>
      <c r="K41" s="119"/>
      <c r="L41" s="119"/>
      <c r="M41" s="119"/>
      <c r="N41" s="119"/>
      <c r="O41" s="119"/>
      <c r="P41" s="119"/>
      <c r="Q41" s="119"/>
      <c r="R41" s="119"/>
      <c r="S41" s="119"/>
      <c r="T41" s="119"/>
      <c r="U41" s="119"/>
      <c r="V41" s="119"/>
      <c r="W41" s="119"/>
    </row>
    <row r="43" spans="1:24" s="103" customFormat="1" x14ac:dyDescent="0.25">
      <c r="A43" s="7" t="s">
        <v>742</v>
      </c>
      <c r="B43" s="103" t="s">
        <v>757</v>
      </c>
      <c r="C43" s="103" t="s">
        <v>923</v>
      </c>
      <c r="D43" s="7" t="s">
        <v>486</v>
      </c>
      <c r="E43" s="7" t="s">
        <v>745</v>
      </c>
      <c r="F43" s="116">
        <f>+SUM(F44:F53)</f>
        <v>65.628642659999997</v>
      </c>
      <c r="G43" s="116">
        <f t="shared" ref="G43:W43" si="28">+SUM(G44:G53)</f>
        <v>65.880675419999989</v>
      </c>
      <c r="H43" s="116">
        <f t="shared" si="28"/>
        <v>62.573946120000002</v>
      </c>
      <c r="I43" s="116">
        <f t="shared" si="28"/>
        <v>65.009444639999998</v>
      </c>
      <c r="J43" s="116">
        <f t="shared" si="28"/>
        <v>68.368829759999997</v>
      </c>
      <c r="K43" s="116">
        <f t="shared" si="28"/>
        <v>90.540654119999985</v>
      </c>
      <c r="L43" s="116">
        <f t="shared" si="28"/>
        <v>98.978129459999991</v>
      </c>
      <c r="M43" s="116">
        <f t="shared" si="28"/>
        <v>135.35468436000002</v>
      </c>
      <c r="N43" s="116">
        <f t="shared" si="28"/>
        <v>67.432495620000012</v>
      </c>
      <c r="O43" s="116">
        <f t="shared" si="28"/>
        <v>48.364527119999998</v>
      </c>
      <c r="P43" s="116">
        <f t="shared" si="28"/>
        <v>57.415559854800001</v>
      </c>
      <c r="Q43" s="116">
        <f t="shared" si="28"/>
        <v>80.284549799999994</v>
      </c>
      <c r="R43" s="116">
        <f t="shared" si="28"/>
        <v>64.072864799999991</v>
      </c>
      <c r="S43" s="116">
        <f t="shared" si="28"/>
        <v>72.787559854799994</v>
      </c>
      <c r="T43" s="116">
        <f t="shared" si="28"/>
        <v>69.48924288213712</v>
      </c>
      <c r="U43" s="116">
        <f t="shared" si="28"/>
        <v>87.107551022637097</v>
      </c>
      <c r="V43" s="116">
        <f t="shared" si="28"/>
        <v>74.949179231887143</v>
      </c>
      <c r="W43" s="116">
        <f t="shared" si="28"/>
        <v>167.26318992708721</v>
      </c>
      <c r="X43"/>
    </row>
    <row r="44" spans="1:24" x14ac:dyDescent="0.25">
      <c r="A44" t="s">
        <v>742</v>
      </c>
      <c r="B44" t="s">
        <v>758</v>
      </c>
      <c r="C44" t="s">
        <v>759</v>
      </c>
      <c r="D44" t="s">
        <v>486</v>
      </c>
      <c r="E44" t="s">
        <v>745</v>
      </c>
      <c r="F44" s="119">
        <f>+'2B1 Ammonia Production'!E30</f>
        <v>65.561999999999998</v>
      </c>
      <c r="G44" s="119">
        <f>+'2B1 Ammonia Production'!F30</f>
        <v>65.813999999999993</v>
      </c>
      <c r="H44" s="119">
        <f>+'2B1 Ammonia Production'!G30</f>
        <v>62.496000000000002</v>
      </c>
      <c r="I44" s="119">
        <f>+'2B1 Ammonia Production'!H30</f>
        <v>64.932000000000002</v>
      </c>
      <c r="J44" s="119">
        <f>+'2B1 Ammonia Production'!I30</f>
        <v>68.292000000000002</v>
      </c>
      <c r="K44" s="119">
        <f>+'2B1 Ammonia Production'!J30</f>
        <v>90.467999999999989</v>
      </c>
      <c r="L44" s="119">
        <f>+'2B1 Ammonia Production'!K30</f>
        <v>98.91</v>
      </c>
      <c r="M44" s="119">
        <f>+'2B1 Ammonia Production'!L30</f>
        <v>135.28200000000001</v>
      </c>
      <c r="N44" s="119">
        <f>+'2B1 Ammonia Production'!M30</f>
        <v>67.368000000000009</v>
      </c>
      <c r="O44" s="119">
        <f>+'2B1 Ammonia Production'!N30</f>
        <v>48.3</v>
      </c>
      <c r="P44" s="119">
        <f>+'2B1 Ammonia Production'!O30</f>
        <v>57.350999999999999</v>
      </c>
      <c r="Q44" s="119">
        <f>+'2B1 Ammonia Production'!P30</f>
        <v>80.22</v>
      </c>
      <c r="R44" s="119">
        <f>+'2B1 Ammonia Production'!Q30</f>
        <v>64.007999999999996</v>
      </c>
      <c r="S44" s="119">
        <f>+'2B1 Ammonia Production'!R30</f>
        <v>72.722999999999999</v>
      </c>
      <c r="T44" s="119">
        <f>+'2B1 Ammonia Production'!S30</f>
        <v>69.426000000000002</v>
      </c>
      <c r="U44" s="119">
        <f>+'2B1 Ammonia Production'!T30</f>
        <v>87.044999999999987</v>
      </c>
      <c r="V44" s="119">
        <f>+'2B1 Ammonia Production'!U30</f>
        <v>74.887312500000007</v>
      </c>
      <c r="W44" s="119">
        <f>+'2B1 Ammonia Production'!V30</f>
        <v>167.202</v>
      </c>
    </row>
    <row r="45" spans="1:24" x14ac:dyDescent="0.25">
      <c r="A45" t="s">
        <v>742</v>
      </c>
      <c r="B45" t="s">
        <v>760</v>
      </c>
      <c r="C45" t="s">
        <v>761</v>
      </c>
      <c r="D45" t="s">
        <v>486</v>
      </c>
      <c r="E45" t="s">
        <v>745</v>
      </c>
      <c r="F45" s="119"/>
      <c r="G45" s="119"/>
      <c r="H45" s="119"/>
      <c r="I45" s="119"/>
      <c r="J45" s="119"/>
      <c r="K45" s="119"/>
      <c r="L45" s="119"/>
      <c r="M45" s="119"/>
      <c r="N45" s="119"/>
      <c r="O45" s="119"/>
      <c r="P45" s="119"/>
      <c r="Q45" s="119"/>
      <c r="R45" s="119"/>
      <c r="S45" s="119"/>
      <c r="T45" s="119"/>
      <c r="U45" s="119"/>
      <c r="V45" s="119"/>
      <c r="W45" s="119"/>
    </row>
    <row r="46" spans="1:24" x14ac:dyDescent="0.25">
      <c r="A46" t="s">
        <v>742</v>
      </c>
      <c r="B46" t="s">
        <v>762</v>
      </c>
      <c r="C46" t="s">
        <v>763</v>
      </c>
      <c r="D46" t="s">
        <v>486</v>
      </c>
      <c r="E46" t="s">
        <v>745</v>
      </c>
      <c r="F46" s="119"/>
      <c r="G46" s="119"/>
      <c r="H46" s="119"/>
      <c r="I46" s="119"/>
      <c r="J46" s="119"/>
      <c r="K46" s="119"/>
      <c r="L46" s="119"/>
      <c r="M46" s="119"/>
      <c r="N46" s="119"/>
      <c r="O46" s="119"/>
      <c r="P46" s="119"/>
      <c r="Q46" s="119"/>
      <c r="R46" s="119"/>
      <c r="S46" s="119"/>
      <c r="T46" s="119"/>
      <c r="U46" s="119"/>
      <c r="V46" s="119"/>
      <c r="W46" s="119"/>
    </row>
    <row r="47" spans="1:24" x14ac:dyDescent="0.25">
      <c r="A47" t="s">
        <v>742</v>
      </c>
      <c r="B47" t="s">
        <v>764</v>
      </c>
      <c r="C47" t="s">
        <v>765</v>
      </c>
      <c r="D47" t="s">
        <v>486</v>
      </c>
      <c r="E47" t="s">
        <v>745</v>
      </c>
      <c r="F47" s="119"/>
      <c r="G47" s="119"/>
      <c r="H47" s="119"/>
      <c r="I47" s="119"/>
      <c r="J47" s="119"/>
      <c r="K47" s="119"/>
      <c r="L47" s="119"/>
      <c r="M47" s="119"/>
      <c r="N47" s="119"/>
      <c r="O47" s="119"/>
      <c r="P47" s="119"/>
      <c r="Q47" s="119"/>
      <c r="R47" s="119"/>
      <c r="S47" s="119"/>
      <c r="T47" s="119"/>
      <c r="U47" s="119"/>
      <c r="V47" s="119"/>
      <c r="W47" s="119"/>
    </row>
    <row r="48" spans="1:24" x14ac:dyDescent="0.25">
      <c r="A48" t="s">
        <v>742</v>
      </c>
      <c r="B48" t="s">
        <v>766</v>
      </c>
      <c r="C48" t="s">
        <v>767</v>
      </c>
      <c r="D48" t="s">
        <v>486</v>
      </c>
      <c r="E48" t="s">
        <v>745</v>
      </c>
      <c r="F48" s="119">
        <f>+'2B5 Carbide Production'!E35*'Conversion factors'!$B$5</f>
        <v>0</v>
      </c>
      <c r="G48" s="119">
        <f>+'2B5 Carbide Production'!F35*'Conversion factors'!$B$5</f>
        <v>0</v>
      </c>
      <c r="H48" s="119">
        <f>+'2B5 Carbide Production'!G35*'Conversion factors'!$B$5</f>
        <v>0</v>
      </c>
      <c r="I48" s="119">
        <f>+'2B5 Carbide Production'!H35*'Conversion factors'!$B$5</f>
        <v>0</v>
      </c>
      <c r="J48" s="119">
        <f>+'2B5 Carbide Production'!I35*'Conversion factors'!$B$5</f>
        <v>0</v>
      </c>
      <c r="K48" s="119">
        <f>+'2B5 Carbide Production'!J35*'Conversion factors'!$B$5</f>
        <v>0</v>
      </c>
      <c r="L48" s="119">
        <f>+'2B5 Carbide Production'!K35*'Conversion factors'!$B$5</f>
        <v>0</v>
      </c>
      <c r="M48" s="119">
        <f>+'2B5 Carbide Production'!L35*'Conversion factors'!$B$5</f>
        <v>0</v>
      </c>
      <c r="N48" s="119">
        <f>+'2B5 Carbide Production'!M35*'Conversion factors'!$B$5</f>
        <v>0</v>
      </c>
      <c r="O48" s="119">
        <f>+'2B5 Carbide Production'!N35*'Conversion factors'!$B$5</f>
        <v>0</v>
      </c>
      <c r="P48" s="119">
        <f>+'2B5 Carbide Production'!O35*'Conversion factors'!$B$5</f>
        <v>0</v>
      </c>
      <c r="Q48" s="119">
        <f>+'2B5 Carbide Production'!P35*'Conversion factors'!$B$5</f>
        <v>0</v>
      </c>
      <c r="R48" s="119">
        <f>+'2B5 Carbide Production'!Q35*'Conversion factors'!$B$5</f>
        <v>0</v>
      </c>
      <c r="S48" s="119">
        <f>+'2B5 Carbide Production'!R35*'Conversion factors'!$B$5</f>
        <v>0</v>
      </c>
      <c r="T48" s="119">
        <f>+'2B5 Carbide Production'!S35*'Conversion factors'!$B$5</f>
        <v>0</v>
      </c>
      <c r="U48" s="119">
        <f>+'2B5 Carbide Production'!T35*'Conversion factors'!$B$5</f>
        <v>0</v>
      </c>
      <c r="V48" s="119">
        <f>+'2B5 Carbide Production'!U35*'Conversion factors'!$B$5</f>
        <v>0</v>
      </c>
      <c r="W48" s="119">
        <f>+'2B5 Carbide Production'!V35*'Conversion factors'!$B$5</f>
        <v>0</v>
      </c>
    </row>
    <row r="49" spans="1:24" x14ac:dyDescent="0.25">
      <c r="A49" t="s">
        <v>742</v>
      </c>
      <c r="B49" t="s">
        <v>768</v>
      </c>
      <c r="C49" t="s">
        <v>769</v>
      </c>
      <c r="D49" t="s">
        <v>486</v>
      </c>
      <c r="E49" t="s">
        <v>745</v>
      </c>
      <c r="F49" s="119"/>
      <c r="G49" s="119"/>
      <c r="H49" s="119"/>
      <c r="I49" s="119"/>
      <c r="J49" s="119"/>
      <c r="K49" s="119"/>
      <c r="L49" s="119"/>
      <c r="M49" s="119"/>
      <c r="N49" s="119"/>
      <c r="O49" s="119"/>
      <c r="P49" s="119"/>
      <c r="Q49" s="119"/>
      <c r="R49" s="119"/>
      <c r="S49" s="119"/>
      <c r="T49" s="119"/>
      <c r="U49" s="119"/>
      <c r="V49" s="119"/>
      <c r="W49" s="119"/>
    </row>
    <row r="50" spans="1:24" x14ac:dyDescent="0.25">
      <c r="A50" t="s">
        <v>742</v>
      </c>
      <c r="B50" t="s">
        <v>770</v>
      </c>
      <c r="C50" t="s">
        <v>771</v>
      </c>
      <c r="D50" t="s">
        <v>486</v>
      </c>
      <c r="E50" t="s">
        <v>745</v>
      </c>
      <c r="F50" s="119"/>
      <c r="G50" s="119"/>
      <c r="H50" s="119"/>
      <c r="I50" s="119"/>
      <c r="J50" s="119"/>
      <c r="K50" s="119"/>
      <c r="L50" s="119"/>
      <c r="M50" s="119"/>
      <c r="N50" s="119"/>
      <c r="O50" s="119"/>
      <c r="P50" s="119"/>
      <c r="Q50" s="119"/>
      <c r="R50" s="119"/>
      <c r="S50" s="119"/>
      <c r="T50" s="119"/>
      <c r="U50" s="119"/>
      <c r="V50" s="119"/>
      <c r="W50" s="119"/>
    </row>
    <row r="51" spans="1:24" x14ac:dyDescent="0.25">
      <c r="A51" t="s">
        <v>742</v>
      </c>
      <c r="B51" t="s">
        <v>772</v>
      </c>
      <c r="C51" t="s">
        <v>773</v>
      </c>
      <c r="D51" t="s">
        <v>486</v>
      </c>
      <c r="E51" t="s">
        <v>745</v>
      </c>
      <c r="F51" s="119">
        <f>+'2B8 Carbon Black Production'!E26*'Conversion factors'!$B$5</f>
        <v>6.6642659999999992E-2</v>
      </c>
      <c r="G51" s="119">
        <f>+'2B8 Carbon Black Production'!F26*'Conversion factors'!$B$5</f>
        <v>6.6675419999999999E-2</v>
      </c>
      <c r="H51" s="119">
        <f>+'2B8 Carbon Black Production'!G26*'Conversion factors'!$B$5</f>
        <v>7.7946119999999994E-2</v>
      </c>
      <c r="I51" s="119">
        <f>+'2B8 Carbon Black Production'!H26*'Conversion factors'!$B$5</f>
        <v>7.7444639999999995E-2</v>
      </c>
      <c r="J51" s="119">
        <f>+'2B8 Carbon Black Production'!I26*'Conversion factors'!$B$5</f>
        <v>7.6829759999999997E-2</v>
      </c>
      <c r="K51" s="119">
        <f>+'2B8 Carbon Black Production'!J26*'Conversion factors'!$B$5</f>
        <v>7.2654120000000003E-2</v>
      </c>
      <c r="L51" s="119">
        <f>+'2B8 Carbon Black Production'!K26*'Conversion factors'!$B$5</f>
        <v>6.8129459999999989E-2</v>
      </c>
      <c r="M51" s="119">
        <f>+'2B8 Carbon Black Production'!L26*'Conversion factors'!$B$5</f>
        <v>7.2684360000000003E-2</v>
      </c>
      <c r="N51" s="119">
        <f>+'2B8 Carbon Black Production'!M26*'Conversion factors'!$B$5</f>
        <v>6.4495620000000004E-2</v>
      </c>
      <c r="O51" s="119">
        <f>+'2B8 Carbon Black Production'!N26*'Conversion factors'!$B$5</f>
        <v>6.4527119999999993E-2</v>
      </c>
      <c r="P51" s="119">
        <f>+'2B8 Carbon Black Production'!O26*'Conversion factors'!$B$5</f>
        <v>6.4559854799999997E-2</v>
      </c>
      <c r="Q51" s="119">
        <f>+'2B8 Carbon Black Production'!P26*'Conversion factors'!$B$5</f>
        <v>6.4549799999999991E-2</v>
      </c>
      <c r="R51" s="119">
        <f>+'2B8 Carbon Black Production'!Q26*'Conversion factors'!$B$5</f>
        <v>6.4864799999999986E-2</v>
      </c>
      <c r="S51" s="119">
        <f>+'2B8 Carbon Black Production'!R26*'Conversion factors'!$B$5</f>
        <v>6.4559854799999997E-2</v>
      </c>
      <c r="T51" s="119">
        <f>+'2B8 Carbon Black Production'!S26*'Conversion factors'!$B$5</f>
        <v>6.3242882137124368E-2</v>
      </c>
      <c r="U51" s="119">
        <f>+'2B8 Carbon Black Production'!T26*'Conversion factors'!$B$5</f>
        <v>6.2551022637102008E-2</v>
      </c>
      <c r="V51" s="119">
        <f>+'2B8 Carbon Black Production'!U26*'Conversion factors'!$B$5</f>
        <v>6.1866731887136504E-2</v>
      </c>
      <c r="W51" s="119">
        <f>+'2B8 Carbon Black Production'!V26*'Conversion factors'!$B$5</f>
        <v>6.1189927087212229E-2</v>
      </c>
    </row>
    <row r="52" spans="1:24" x14ac:dyDescent="0.25">
      <c r="A52" t="s">
        <v>742</v>
      </c>
      <c r="B52" t="s">
        <v>774</v>
      </c>
      <c r="C52" t="s">
        <v>775</v>
      </c>
      <c r="D52" t="s">
        <v>486</v>
      </c>
      <c r="E52" t="s">
        <v>745</v>
      </c>
      <c r="F52" s="119"/>
      <c r="G52" s="119"/>
      <c r="H52" s="119"/>
      <c r="I52" s="119"/>
      <c r="J52" s="119"/>
      <c r="K52" s="119"/>
      <c r="L52" s="119"/>
      <c r="M52" s="119"/>
      <c r="N52" s="119"/>
      <c r="O52" s="119"/>
      <c r="P52" s="119"/>
      <c r="Q52" s="119"/>
      <c r="R52" s="119"/>
      <c r="S52" s="119"/>
      <c r="T52" s="119"/>
      <c r="U52" s="119"/>
      <c r="V52" s="119"/>
      <c r="W52" s="119"/>
    </row>
    <row r="53" spans="1:24" x14ac:dyDescent="0.25">
      <c r="A53" t="s">
        <v>742</v>
      </c>
      <c r="B53" t="s">
        <v>776</v>
      </c>
      <c r="C53" t="s">
        <v>756</v>
      </c>
      <c r="D53" t="s">
        <v>486</v>
      </c>
      <c r="E53" t="s">
        <v>745</v>
      </c>
      <c r="F53" s="119"/>
      <c r="G53" s="119"/>
      <c r="H53" s="119"/>
      <c r="I53" s="119"/>
      <c r="J53" s="119"/>
      <c r="K53" s="119"/>
      <c r="L53" s="119"/>
      <c r="M53" s="119"/>
      <c r="N53" s="119"/>
      <c r="O53" s="119"/>
      <c r="P53" s="119"/>
      <c r="Q53" s="119"/>
      <c r="R53" s="119"/>
      <c r="S53" s="119"/>
      <c r="T53" s="119"/>
      <c r="U53" s="119"/>
      <c r="V53" s="119"/>
      <c r="W53" s="119"/>
    </row>
    <row r="55" spans="1:24" s="132" customFormat="1" x14ac:dyDescent="0.25">
      <c r="C55" s="132" t="s">
        <v>838</v>
      </c>
    </row>
    <row r="56" spans="1:24" s="103" customFormat="1" x14ac:dyDescent="0.25">
      <c r="A56" s="7" t="s">
        <v>742</v>
      </c>
      <c r="B56" s="103" t="s">
        <v>757</v>
      </c>
      <c r="C56" s="103" t="s">
        <v>923</v>
      </c>
      <c r="D56" s="7" t="s">
        <v>488</v>
      </c>
      <c r="E56" s="7" t="s">
        <v>925</v>
      </c>
      <c r="F56" s="116">
        <f>+SUM(F57:F66)</f>
        <v>5.3048999999999999</v>
      </c>
      <c r="G56" s="116">
        <f t="shared" ref="G56:W56" si="29">+SUM(G57:G66)</f>
        <v>5.1094179999999998</v>
      </c>
      <c r="H56" s="116">
        <f t="shared" si="29"/>
        <v>5.0947750000000003</v>
      </c>
      <c r="I56" s="116">
        <f t="shared" si="29"/>
        <v>3.1630900000000004</v>
      </c>
      <c r="J56" s="116">
        <f t="shared" si="29"/>
        <v>4.07742</v>
      </c>
      <c r="K56" s="116">
        <f t="shared" si="29"/>
        <v>6.6616</v>
      </c>
      <c r="L56" s="116">
        <f t="shared" si="29"/>
        <v>6.8858999999999995</v>
      </c>
      <c r="M56" s="116">
        <f t="shared" si="29"/>
        <v>4.0394800000000002</v>
      </c>
      <c r="N56" s="116">
        <f t="shared" si="29"/>
        <v>1.78904</v>
      </c>
      <c r="O56" s="116">
        <f t="shared" si="29"/>
        <v>1.7294</v>
      </c>
      <c r="P56" s="116">
        <f t="shared" si="29"/>
        <v>1.0996700000000001</v>
      </c>
      <c r="Q56" s="116">
        <f t="shared" si="29"/>
        <v>1.02921</v>
      </c>
      <c r="R56" s="116">
        <f t="shared" si="29"/>
        <v>1.1312099999999998</v>
      </c>
      <c r="S56" s="116">
        <f t="shared" si="29"/>
        <v>1.9496699999999998</v>
      </c>
      <c r="T56" s="116">
        <f t="shared" si="29"/>
        <v>1.1894</v>
      </c>
      <c r="U56" s="116">
        <f t="shared" si="29"/>
        <v>1.1141999999999999</v>
      </c>
      <c r="V56" s="116">
        <f t="shared" si="29"/>
        <v>0.94972593148735229</v>
      </c>
      <c r="W56" s="116">
        <f t="shared" si="29"/>
        <v>0.94372593148735229</v>
      </c>
      <c r="X56"/>
    </row>
    <row r="57" spans="1:24" x14ac:dyDescent="0.25">
      <c r="A57" t="s">
        <v>742</v>
      </c>
      <c r="B57" t="s">
        <v>758</v>
      </c>
      <c r="C57" t="s">
        <v>759</v>
      </c>
      <c r="D57" t="s">
        <v>488</v>
      </c>
      <c r="E57" t="s">
        <v>925</v>
      </c>
      <c r="F57" s="119"/>
      <c r="G57" s="119"/>
      <c r="H57" s="119"/>
      <c r="I57" s="119"/>
      <c r="J57" s="119"/>
      <c r="K57" s="119"/>
      <c r="L57" s="119"/>
      <c r="M57" s="119"/>
      <c r="N57" s="119"/>
      <c r="O57" s="119"/>
      <c r="P57" s="119"/>
      <c r="Q57" s="119"/>
      <c r="R57" s="119"/>
      <c r="S57" s="119"/>
      <c r="T57" s="119"/>
      <c r="U57" s="119"/>
      <c r="V57" s="119"/>
      <c r="W57" s="119"/>
    </row>
    <row r="58" spans="1:24" x14ac:dyDescent="0.25">
      <c r="A58" t="s">
        <v>742</v>
      </c>
      <c r="B58" t="s">
        <v>760</v>
      </c>
      <c r="C58" t="s">
        <v>761</v>
      </c>
      <c r="D58" t="s">
        <v>488</v>
      </c>
      <c r="E58" t="s">
        <v>925</v>
      </c>
      <c r="F58" s="119">
        <f>+'2B2 Nitric Acid Production'!E27+'2B2 Nitric Acid Production'!E25</f>
        <v>5.3048999999999999</v>
      </c>
      <c r="G58" s="119">
        <f>+'2B2 Nitric Acid Production'!F27+'2B2 Nitric Acid Production'!F25</f>
        <v>5.1094179999999998</v>
      </c>
      <c r="H58" s="119">
        <f>+'2B2 Nitric Acid Production'!G27+'2B2 Nitric Acid Production'!G25</f>
        <v>5.0947750000000003</v>
      </c>
      <c r="I58" s="119">
        <f>+'2B2 Nitric Acid Production'!H27+'2B2 Nitric Acid Production'!H25</f>
        <v>3.1630900000000004</v>
      </c>
      <c r="J58" s="119">
        <f>+'2B2 Nitric Acid Production'!I27+'2B2 Nitric Acid Production'!I25</f>
        <v>4.07742</v>
      </c>
      <c r="K58" s="119">
        <f>+'2B2 Nitric Acid Production'!J27+'2B2 Nitric Acid Production'!J25</f>
        <v>6.6616</v>
      </c>
      <c r="L58" s="119">
        <f>+'2B2 Nitric Acid Production'!K27+'2B2 Nitric Acid Production'!K25</f>
        <v>6.8858999999999995</v>
      </c>
      <c r="M58" s="119">
        <f>+'2B2 Nitric Acid Production'!L27+'2B2 Nitric Acid Production'!L25</f>
        <v>4.0394800000000002</v>
      </c>
      <c r="N58" s="119">
        <f>+'2B2 Nitric Acid Production'!M27+'2B2 Nitric Acid Production'!M25</f>
        <v>1.78904</v>
      </c>
      <c r="O58" s="119">
        <f>+'2B2 Nitric Acid Production'!N27+'2B2 Nitric Acid Production'!N25</f>
        <v>1.7294</v>
      </c>
      <c r="P58" s="119">
        <f>+'2B2 Nitric Acid Production'!O27+'2B2 Nitric Acid Production'!O25</f>
        <v>1.0996700000000001</v>
      </c>
      <c r="Q58" s="119">
        <f>+'2B2 Nitric Acid Production'!P27+'2B2 Nitric Acid Production'!P25</f>
        <v>1.02921</v>
      </c>
      <c r="R58" s="119">
        <f>+'2B2 Nitric Acid Production'!Q27+'2B2 Nitric Acid Production'!Q25</f>
        <v>1.1312099999999998</v>
      </c>
      <c r="S58" s="119">
        <f>+'2B2 Nitric Acid Production'!R27+'2B2 Nitric Acid Production'!R25</f>
        <v>1.9496699999999998</v>
      </c>
      <c r="T58" s="119">
        <f>+'2B2 Nitric Acid Production'!S27+'2B2 Nitric Acid Production'!S25</f>
        <v>1.1894</v>
      </c>
      <c r="U58" s="119">
        <f>+'2B2 Nitric Acid Production'!T27+'2B2 Nitric Acid Production'!T25</f>
        <v>1.1141999999999999</v>
      </c>
      <c r="V58" s="119">
        <f>+'2B2 Nitric Acid Production'!U27+'2B2 Nitric Acid Production'!U25</f>
        <v>0.94972593148735229</v>
      </c>
      <c r="W58" s="119">
        <f>+'2B2 Nitric Acid Production'!V27+'2B2 Nitric Acid Production'!V25</f>
        <v>0.94372593148735229</v>
      </c>
    </row>
    <row r="59" spans="1:24" x14ac:dyDescent="0.25">
      <c r="A59" t="s">
        <v>742</v>
      </c>
      <c r="B59" t="s">
        <v>762</v>
      </c>
      <c r="C59" t="s">
        <v>763</v>
      </c>
      <c r="D59" t="s">
        <v>488</v>
      </c>
      <c r="E59" t="s">
        <v>925</v>
      </c>
      <c r="F59" s="119"/>
      <c r="G59" s="119"/>
      <c r="H59" s="119"/>
      <c r="I59" s="119"/>
      <c r="J59" s="119"/>
      <c r="K59" s="119"/>
      <c r="L59" s="119"/>
      <c r="M59" s="119"/>
      <c r="N59" s="119"/>
      <c r="O59" s="119"/>
      <c r="P59" s="119"/>
      <c r="Q59" s="119"/>
      <c r="R59" s="119"/>
      <c r="S59" s="119"/>
      <c r="T59" s="119"/>
      <c r="U59" s="119"/>
      <c r="V59" s="119"/>
      <c r="W59" s="119"/>
    </row>
    <row r="60" spans="1:24" x14ac:dyDescent="0.25">
      <c r="A60" t="s">
        <v>742</v>
      </c>
      <c r="B60" t="s">
        <v>764</v>
      </c>
      <c r="C60" t="s">
        <v>765</v>
      </c>
      <c r="D60" t="s">
        <v>488</v>
      </c>
      <c r="E60" t="s">
        <v>925</v>
      </c>
      <c r="F60" s="119"/>
      <c r="G60" s="119"/>
      <c r="H60" s="119"/>
      <c r="I60" s="119"/>
      <c r="J60" s="119"/>
      <c r="K60" s="119"/>
      <c r="L60" s="119"/>
      <c r="M60" s="119"/>
      <c r="N60" s="119"/>
      <c r="O60" s="119"/>
      <c r="P60" s="119"/>
      <c r="Q60" s="119"/>
      <c r="R60" s="119"/>
      <c r="S60" s="119"/>
      <c r="T60" s="119"/>
      <c r="U60" s="119"/>
      <c r="V60" s="119"/>
      <c r="W60" s="119"/>
    </row>
    <row r="61" spans="1:24" x14ac:dyDescent="0.25">
      <c r="A61" t="s">
        <v>742</v>
      </c>
      <c r="B61" t="s">
        <v>766</v>
      </c>
      <c r="C61" t="s">
        <v>767</v>
      </c>
      <c r="D61" t="s">
        <v>488</v>
      </c>
      <c r="E61" t="s">
        <v>925</v>
      </c>
      <c r="F61" s="119"/>
      <c r="G61" s="119"/>
      <c r="H61" s="119"/>
      <c r="I61" s="119"/>
      <c r="J61" s="119"/>
      <c r="K61" s="119"/>
      <c r="L61" s="119"/>
      <c r="M61" s="119"/>
      <c r="N61" s="119"/>
      <c r="O61" s="119"/>
      <c r="P61" s="119"/>
      <c r="Q61" s="119"/>
      <c r="R61" s="119"/>
      <c r="S61" s="119"/>
      <c r="T61" s="119"/>
      <c r="U61" s="119"/>
      <c r="V61" s="119"/>
      <c r="W61" s="119"/>
    </row>
    <row r="62" spans="1:24" x14ac:dyDescent="0.25">
      <c r="A62" t="s">
        <v>742</v>
      </c>
      <c r="B62" t="s">
        <v>768</v>
      </c>
      <c r="C62" t="s">
        <v>769</v>
      </c>
      <c r="D62" t="s">
        <v>488</v>
      </c>
      <c r="E62" t="s">
        <v>925</v>
      </c>
      <c r="F62" s="119"/>
      <c r="G62" s="119"/>
      <c r="H62" s="119"/>
      <c r="I62" s="119"/>
      <c r="J62" s="119"/>
      <c r="K62" s="119"/>
      <c r="L62" s="119"/>
      <c r="M62" s="119"/>
      <c r="N62" s="119"/>
      <c r="O62" s="119"/>
      <c r="P62" s="119"/>
      <c r="Q62" s="119"/>
      <c r="R62" s="119"/>
      <c r="S62" s="119"/>
      <c r="T62" s="119"/>
      <c r="U62" s="119"/>
      <c r="V62" s="119"/>
      <c r="W62" s="119"/>
    </row>
    <row r="63" spans="1:24" x14ac:dyDescent="0.25">
      <c r="A63" t="s">
        <v>742</v>
      </c>
      <c r="B63" t="s">
        <v>770</v>
      </c>
      <c r="C63" t="s">
        <v>771</v>
      </c>
      <c r="D63" t="s">
        <v>488</v>
      </c>
      <c r="E63" t="s">
        <v>925</v>
      </c>
      <c r="F63" s="119"/>
      <c r="G63" s="119"/>
      <c r="H63" s="119"/>
      <c r="I63" s="119"/>
      <c r="J63" s="119"/>
      <c r="K63" s="119"/>
      <c r="L63" s="119"/>
      <c r="M63" s="119"/>
      <c r="N63" s="119"/>
      <c r="O63" s="119"/>
      <c r="P63" s="119"/>
      <c r="Q63" s="119"/>
      <c r="R63" s="119"/>
      <c r="S63" s="119"/>
      <c r="T63" s="119"/>
      <c r="U63" s="119"/>
      <c r="V63" s="119"/>
      <c r="W63" s="119"/>
    </row>
    <row r="64" spans="1:24" x14ac:dyDescent="0.25">
      <c r="A64" t="s">
        <v>742</v>
      </c>
      <c r="B64" t="s">
        <v>772</v>
      </c>
      <c r="C64" t="s">
        <v>773</v>
      </c>
      <c r="D64" t="s">
        <v>488</v>
      </c>
      <c r="E64" t="s">
        <v>925</v>
      </c>
      <c r="F64" s="119"/>
      <c r="G64" s="119"/>
      <c r="H64" s="119"/>
      <c r="I64" s="119"/>
      <c r="J64" s="119"/>
      <c r="K64" s="119"/>
      <c r="L64" s="119"/>
      <c r="M64" s="119"/>
      <c r="N64" s="119"/>
      <c r="O64" s="119"/>
      <c r="P64" s="119"/>
      <c r="Q64" s="119"/>
      <c r="R64" s="119"/>
      <c r="S64" s="119"/>
      <c r="T64" s="119"/>
      <c r="U64" s="119"/>
      <c r="V64" s="119"/>
      <c r="W64" s="119"/>
    </row>
    <row r="65" spans="1:24" x14ac:dyDescent="0.25">
      <c r="A65" t="s">
        <v>742</v>
      </c>
      <c r="B65" t="s">
        <v>774</v>
      </c>
      <c r="C65" t="s">
        <v>775</v>
      </c>
      <c r="D65" t="s">
        <v>488</v>
      </c>
      <c r="E65" t="s">
        <v>925</v>
      </c>
      <c r="F65" s="119"/>
      <c r="G65" s="119"/>
      <c r="H65" s="119"/>
      <c r="I65" s="119"/>
      <c r="J65" s="119"/>
      <c r="K65" s="119"/>
      <c r="L65" s="119"/>
      <c r="M65" s="119"/>
      <c r="N65" s="119"/>
      <c r="O65" s="119"/>
      <c r="P65" s="119"/>
      <c r="Q65" s="119"/>
      <c r="R65" s="119"/>
      <c r="S65" s="119"/>
      <c r="T65" s="119"/>
      <c r="U65" s="119"/>
      <c r="V65" s="119"/>
      <c r="W65" s="119"/>
    </row>
    <row r="66" spans="1:24" x14ac:dyDescent="0.25">
      <c r="A66" t="s">
        <v>742</v>
      </c>
      <c r="B66" t="s">
        <v>776</v>
      </c>
      <c r="C66" t="s">
        <v>756</v>
      </c>
      <c r="D66" t="s">
        <v>488</v>
      </c>
      <c r="E66" t="s">
        <v>925</v>
      </c>
      <c r="F66" s="119"/>
      <c r="G66" s="119"/>
      <c r="H66" s="119"/>
      <c r="I66" s="119"/>
      <c r="J66" s="119"/>
      <c r="K66" s="119"/>
      <c r="L66" s="119"/>
      <c r="M66" s="119"/>
      <c r="N66" s="119"/>
      <c r="O66" s="119"/>
      <c r="P66" s="119"/>
      <c r="Q66" s="119"/>
      <c r="R66" s="119"/>
      <c r="S66" s="119"/>
      <c r="T66" s="119"/>
      <c r="U66" s="119"/>
      <c r="V66" s="119"/>
      <c r="W66" s="119"/>
    </row>
    <row r="68" spans="1:24" s="103" customFormat="1" x14ac:dyDescent="0.25">
      <c r="A68" s="7" t="s">
        <v>742</v>
      </c>
      <c r="B68" s="103" t="s">
        <v>757</v>
      </c>
      <c r="C68" s="103" t="s">
        <v>923</v>
      </c>
      <c r="D68" s="7" t="s">
        <v>488</v>
      </c>
      <c r="E68" s="7" t="s">
        <v>745</v>
      </c>
      <c r="F68" s="116">
        <f>+SUM(F69:F78)</f>
        <v>1644.519</v>
      </c>
      <c r="G68" s="116">
        <f t="shared" ref="G68:W68" si="30">+SUM(G69:G78)</f>
        <v>1583.9195799999998</v>
      </c>
      <c r="H68" s="116">
        <f t="shared" si="30"/>
        <v>1579.3802500000002</v>
      </c>
      <c r="I68" s="116">
        <f t="shared" si="30"/>
        <v>980.55790000000013</v>
      </c>
      <c r="J68" s="116">
        <f t="shared" si="30"/>
        <v>1264.0001999999999</v>
      </c>
      <c r="K68" s="116">
        <f t="shared" si="30"/>
        <v>2065.096</v>
      </c>
      <c r="L68" s="116">
        <f t="shared" si="30"/>
        <v>2134.6289999999999</v>
      </c>
      <c r="M68" s="116">
        <f t="shared" si="30"/>
        <v>1252.2388000000001</v>
      </c>
      <c r="N68" s="116">
        <f t="shared" si="30"/>
        <v>554.60239999999999</v>
      </c>
      <c r="O68" s="116">
        <f t="shared" si="30"/>
        <v>536.11399999999992</v>
      </c>
      <c r="P68" s="116">
        <f t="shared" si="30"/>
        <v>340.89769999999999</v>
      </c>
      <c r="Q68" s="116">
        <f t="shared" si="30"/>
        <v>319.05509999999998</v>
      </c>
      <c r="R68" s="116">
        <f t="shared" si="30"/>
        <v>350.67509999999999</v>
      </c>
      <c r="S68" s="116">
        <f t="shared" si="30"/>
        <v>604.39769999999999</v>
      </c>
      <c r="T68" s="116">
        <f t="shared" si="30"/>
        <v>368.71400000000006</v>
      </c>
      <c r="U68" s="116">
        <f t="shared" si="30"/>
        <v>345.40200000000004</v>
      </c>
      <c r="V68" s="116">
        <f t="shared" si="30"/>
        <v>294.41503876107924</v>
      </c>
      <c r="W68" s="116">
        <f t="shared" si="30"/>
        <v>292.55503876107923</v>
      </c>
      <c r="X68"/>
    </row>
    <row r="69" spans="1:24" x14ac:dyDescent="0.25">
      <c r="A69" t="s">
        <v>742</v>
      </c>
      <c r="B69" t="s">
        <v>758</v>
      </c>
      <c r="C69" t="s">
        <v>759</v>
      </c>
      <c r="D69" t="s">
        <v>488</v>
      </c>
      <c r="E69" t="s">
        <v>745</v>
      </c>
      <c r="F69" s="119"/>
      <c r="G69" s="119"/>
      <c r="H69" s="119"/>
      <c r="I69" s="119"/>
      <c r="J69" s="119"/>
      <c r="K69" s="119"/>
      <c r="L69" s="119"/>
      <c r="M69" s="119"/>
      <c r="N69" s="119"/>
      <c r="O69" s="119"/>
      <c r="P69" s="119"/>
      <c r="Q69" s="119"/>
      <c r="R69" s="119"/>
      <c r="S69" s="119"/>
      <c r="T69" s="119"/>
      <c r="U69" s="119"/>
      <c r="V69" s="119"/>
      <c r="W69" s="119"/>
    </row>
    <row r="70" spans="1:24" x14ac:dyDescent="0.25">
      <c r="A70" t="s">
        <v>742</v>
      </c>
      <c r="B70" t="s">
        <v>760</v>
      </c>
      <c r="C70" t="s">
        <v>761</v>
      </c>
      <c r="D70" t="s">
        <v>488</v>
      </c>
      <c r="E70" t="s">
        <v>745</v>
      </c>
      <c r="F70" s="119">
        <f>+'2B2 Nitric Acid Production'!E30</f>
        <v>1644.519</v>
      </c>
      <c r="G70" s="119">
        <f>+'2B2 Nitric Acid Production'!F30</f>
        <v>1583.9195799999998</v>
      </c>
      <c r="H70" s="119">
        <f>+'2B2 Nitric Acid Production'!G30</f>
        <v>1579.3802500000002</v>
      </c>
      <c r="I70" s="119">
        <f>+'2B2 Nitric Acid Production'!H30</f>
        <v>980.55790000000013</v>
      </c>
      <c r="J70" s="119">
        <f>+'2B2 Nitric Acid Production'!I30</f>
        <v>1264.0001999999999</v>
      </c>
      <c r="K70" s="119">
        <f>+'2B2 Nitric Acid Production'!J30</f>
        <v>2065.096</v>
      </c>
      <c r="L70" s="119">
        <f>+'2B2 Nitric Acid Production'!K30</f>
        <v>2134.6289999999999</v>
      </c>
      <c r="M70" s="119">
        <f>+'2B2 Nitric Acid Production'!L30</f>
        <v>1252.2388000000001</v>
      </c>
      <c r="N70" s="119">
        <f>+'2B2 Nitric Acid Production'!M30</f>
        <v>554.60239999999999</v>
      </c>
      <c r="O70" s="119">
        <f>+'2B2 Nitric Acid Production'!N30</f>
        <v>536.11399999999992</v>
      </c>
      <c r="P70" s="119">
        <f>+'2B2 Nitric Acid Production'!O30</f>
        <v>340.89769999999999</v>
      </c>
      <c r="Q70" s="119">
        <f>+'2B2 Nitric Acid Production'!P30</f>
        <v>319.05509999999998</v>
      </c>
      <c r="R70" s="119">
        <f>+'2B2 Nitric Acid Production'!Q30</f>
        <v>350.67509999999999</v>
      </c>
      <c r="S70" s="119">
        <f>+'2B2 Nitric Acid Production'!R30</f>
        <v>604.39769999999999</v>
      </c>
      <c r="T70" s="119">
        <f>+'2B2 Nitric Acid Production'!S30</f>
        <v>368.71400000000006</v>
      </c>
      <c r="U70" s="119">
        <f>+'2B2 Nitric Acid Production'!T30</f>
        <v>345.40200000000004</v>
      </c>
      <c r="V70" s="119">
        <f>+'2B2 Nitric Acid Production'!U30</f>
        <v>294.41503876107924</v>
      </c>
      <c r="W70" s="119">
        <f>+'2B2 Nitric Acid Production'!V30</f>
        <v>292.55503876107923</v>
      </c>
    </row>
    <row r="71" spans="1:24" x14ac:dyDescent="0.25">
      <c r="A71" t="s">
        <v>742</v>
      </c>
      <c r="B71" t="s">
        <v>762</v>
      </c>
      <c r="C71" t="s">
        <v>763</v>
      </c>
      <c r="D71" t="s">
        <v>488</v>
      </c>
      <c r="E71" t="s">
        <v>745</v>
      </c>
      <c r="F71" s="119"/>
      <c r="G71" s="119"/>
      <c r="H71" s="119"/>
      <c r="I71" s="119"/>
      <c r="J71" s="119"/>
      <c r="K71" s="119"/>
      <c r="L71" s="119"/>
      <c r="M71" s="119"/>
      <c r="N71" s="119"/>
      <c r="O71" s="119"/>
      <c r="P71" s="119"/>
      <c r="Q71" s="119"/>
      <c r="R71" s="119"/>
      <c r="S71" s="119"/>
      <c r="T71" s="119"/>
      <c r="U71" s="119"/>
      <c r="V71" s="119"/>
      <c r="W71" s="119"/>
    </row>
    <row r="72" spans="1:24" x14ac:dyDescent="0.25">
      <c r="A72" t="s">
        <v>742</v>
      </c>
      <c r="B72" t="s">
        <v>764</v>
      </c>
      <c r="C72" t="s">
        <v>765</v>
      </c>
      <c r="D72" t="s">
        <v>488</v>
      </c>
      <c r="E72" t="s">
        <v>745</v>
      </c>
      <c r="F72" s="119"/>
      <c r="G72" s="119"/>
      <c r="H72" s="119"/>
      <c r="I72" s="119"/>
      <c r="J72" s="119"/>
      <c r="K72" s="119"/>
      <c r="L72" s="119"/>
      <c r="M72" s="119"/>
      <c r="N72" s="119"/>
      <c r="O72" s="119"/>
      <c r="P72" s="119"/>
      <c r="Q72" s="119"/>
      <c r="R72" s="119"/>
      <c r="S72" s="119"/>
      <c r="T72" s="119"/>
      <c r="U72" s="119"/>
      <c r="V72" s="119"/>
      <c r="W72" s="119"/>
    </row>
    <row r="73" spans="1:24" x14ac:dyDescent="0.25">
      <c r="A73" t="s">
        <v>742</v>
      </c>
      <c r="B73" t="s">
        <v>766</v>
      </c>
      <c r="C73" t="s">
        <v>767</v>
      </c>
      <c r="D73" t="s">
        <v>488</v>
      </c>
      <c r="E73" t="s">
        <v>745</v>
      </c>
      <c r="F73" s="119"/>
      <c r="G73" s="119"/>
      <c r="H73" s="119"/>
      <c r="I73" s="119"/>
      <c r="J73" s="119"/>
      <c r="K73" s="119"/>
      <c r="L73" s="119"/>
      <c r="M73" s="119"/>
      <c r="N73" s="119"/>
      <c r="O73" s="119"/>
      <c r="P73" s="119"/>
      <c r="Q73" s="119"/>
      <c r="R73" s="119"/>
      <c r="S73" s="119"/>
      <c r="T73" s="119"/>
      <c r="U73" s="119"/>
      <c r="V73" s="119"/>
      <c r="W73" s="119"/>
    </row>
    <row r="74" spans="1:24" x14ac:dyDescent="0.25">
      <c r="A74" t="s">
        <v>742</v>
      </c>
      <c r="B74" t="s">
        <v>768</v>
      </c>
      <c r="C74" t="s">
        <v>769</v>
      </c>
      <c r="D74" t="s">
        <v>488</v>
      </c>
      <c r="E74" t="s">
        <v>745</v>
      </c>
      <c r="F74" s="119"/>
      <c r="G74" s="119"/>
      <c r="H74" s="119"/>
      <c r="I74" s="119"/>
      <c r="J74" s="119"/>
      <c r="K74" s="119"/>
      <c r="L74" s="119"/>
      <c r="M74" s="119"/>
      <c r="N74" s="119"/>
      <c r="O74" s="119"/>
      <c r="P74" s="119"/>
      <c r="Q74" s="119"/>
      <c r="R74" s="119"/>
      <c r="S74" s="119"/>
      <c r="T74" s="119"/>
      <c r="U74" s="119"/>
      <c r="V74" s="119"/>
      <c r="W74" s="119"/>
    </row>
    <row r="75" spans="1:24" x14ac:dyDescent="0.25">
      <c r="A75" t="s">
        <v>742</v>
      </c>
      <c r="B75" t="s">
        <v>770</v>
      </c>
      <c r="C75" t="s">
        <v>771</v>
      </c>
      <c r="D75" t="s">
        <v>488</v>
      </c>
      <c r="E75" t="s">
        <v>745</v>
      </c>
      <c r="F75" s="119"/>
      <c r="G75" s="119"/>
      <c r="H75" s="119"/>
      <c r="I75" s="119"/>
      <c r="J75" s="119"/>
      <c r="K75" s="119"/>
      <c r="L75" s="119"/>
      <c r="M75" s="119"/>
      <c r="N75" s="119"/>
      <c r="O75" s="119"/>
      <c r="P75" s="119"/>
      <c r="Q75" s="119"/>
      <c r="R75" s="119"/>
      <c r="S75" s="119"/>
      <c r="T75" s="119"/>
      <c r="U75" s="119"/>
      <c r="V75" s="119"/>
      <c r="W75" s="119"/>
    </row>
    <row r="76" spans="1:24" x14ac:dyDescent="0.25">
      <c r="A76" t="s">
        <v>742</v>
      </c>
      <c r="B76" t="s">
        <v>772</v>
      </c>
      <c r="C76" t="s">
        <v>773</v>
      </c>
      <c r="D76" t="s">
        <v>488</v>
      </c>
      <c r="E76" t="s">
        <v>745</v>
      </c>
      <c r="F76" s="119"/>
      <c r="G76" s="119"/>
      <c r="H76" s="119"/>
      <c r="I76" s="119"/>
      <c r="J76" s="119"/>
      <c r="K76" s="119"/>
      <c r="L76" s="119"/>
      <c r="M76" s="119"/>
      <c r="N76" s="119"/>
      <c r="O76" s="119"/>
      <c r="P76" s="119"/>
      <c r="Q76" s="119"/>
      <c r="R76" s="119"/>
      <c r="S76" s="119"/>
      <c r="T76" s="119"/>
      <c r="U76" s="119"/>
      <c r="V76" s="119"/>
      <c r="W76" s="119"/>
    </row>
    <row r="77" spans="1:24" x14ac:dyDescent="0.25">
      <c r="A77" t="s">
        <v>742</v>
      </c>
      <c r="B77" t="s">
        <v>774</v>
      </c>
      <c r="C77" t="s">
        <v>775</v>
      </c>
      <c r="D77" t="s">
        <v>488</v>
      </c>
      <c r="E77" t="s">
        <v>745</v>
      </c>
      <c r="F77" s="119"/>
      <c r="G77" s="119"/>
      <c r="H77" s="119"/>
      <c r="I77" s="119"/>
      <c r="J77" s="119"/>
      <c r="K77" s="119"/>
      <c r="L77" s="119"/>
      <c r="M77" s="119"/>
      <c r="N77" s="119"/>
      <c r="O77" s="119"/>
      <c r="P77" s="119"/>
      <c r="Q77" s="119"/>
      <c r="R77" s="119"/>
      <c r="S77" s="119"/>
      <c r="T77" s="119"/>
      <c r="U77" s="119"/>
      <c r="V77" s="119"/>
      <c r="W77" s="119"/>
    </row>
    <row r="78" spans="1:24" x14ac:dyDescent="0.25">
      <c r="A78" t="s">
        <v>742</v>
      </c>
      <c r="B78" t="s">
        <v>776</v>
      </c>
      <c r="C78" t="s">
        <v>756</v>
      </c>
      <c r="D78" t="s">
        <v>488</v>
      </c>
      <c r="E78" t="s">
        <v>745</v>
      </c>
      <c r="F78" s="119"/>
      <c r="G78" s="119"/>
      <c r="H78" s="119"/>
      <c r="I78" s="119"/>
      <c r="J78" s="119"/>
      <c r="K78" s="119"/>
      <c r="L78" s="119"/>
      <c r="M78" s="119"/>
      <c r="N78" s="119"/>
      <c r="O78" s="119"/>
      <c r="P78" s="119"/>
      <c r="Q78" s="119"/>
      <c r="R78" s="119"/>
      <c r="S78" s="119"/>
      <c r="T78" s="119"/>
      <c r="U78" s="119"/>
      <c r="V78" s="119"/>
      <c r="W78" s="119"/>
    </row>
    <row r="80" spans="1:24" s="6" customFormat="1" ht="21" x14ac:dyDescent="0.35">
      <c r="A80" s="6" t="s">
        <v>346</v>
      </c>
      <c r="C80" s="32" t="s">
        <v>843</v>
      </c>
    </row>
    <row r="82" spans="1:24" s="22" customFormat="1" x14ac:dyDescent="0.25">
      <c r="A82" s="123" t="s">
        <v>844</v>
      </c>
    </row>
    <row r="83" spans="1:24" s="7" customFormat="1" x14ac:dyDescent="0.25">
      <c r="A83" s="110" t="s">
        <v>736</v>
      </c>
      <c r="B83" s="110" t="s">
        <v>737</v>
      </c>
      <c r="C83" s="110" t="s">
        <v>738</v>
      </c>
      <c r="D83" s="110" t="s">
        <v>739</v>
      </c>
      <c r="E83" s="110" t="s">
        <v>740</v>
      </c>
      <c r="F83" s="110">
        <v>2000</v>
      </c>
      <c r="G83" s="110">
        <v>2001</v>
      </c>
      <c r="H83" s="110">
        <v>2002</v>
      </c>
      <c r="I83" s="110">
        <v>2003</v>
      </c>
      <c r="J83" s="110">
        <v>2004</v>
      </c>
      <c r="K83" s="110">
        <v>2005</v>
      </c>
      <c r="L83" s="110">
        <v>2006</v>
      </c>
      <c r="M83" s="110">
        <v>2007</v>
      </c>
      <c r="N83" s="110">
        <v>2008</v>
      </c>
      <c r="O83" s="110">
        <v>2009</v>
      </c>
      <c r="P83" s="110">
        <v>2010</v>
      </c>
      <c r="Q83" s="110">
        <v>2011</v>
      </c>
      <c r="R83" s="110">
        <v>2012</v>
      </c>
      <c r="S83" s="110">
        <v>2013</v>
      </c>
      <c r="T83" s="110">
        <v>2014</v>
      </c>
      <c r="U83" s="110">
        <v>2015</v>
      </c>
      <c r="V83" s="110"/>
      <c r="W83" s="110"/>
      <c r="X83" s="10" t="s">
        <v>741</v>
      </c>
    </row>
    <row r="84" spans="1:24" s="7" customFormat="1" x14ac:dyDescent="0.25">
      <c r="A84" s="110" t="s">
        <v>742</v>
      </c>
      <c r="B84" s="110" t="s">
        <v>757</v>
      </c>
      <c r="C84" s="110" t="s">
        <v>926</v>
      </c>
      <c r="D84" s="110" t="s">
        <v>744</v>
      </c>
      <c r="E84" s="110" t="s">
        <v>745</v>
      </c>
      <c r="F84" s="126">
        <v>2773.5975926599999</v>
      </c>
      <c r="G84" s="126">
        <v>2715.1124154199997</v>
      </c>
      <c r="H84" s="126">
        <v>2743.9578261200004</v>
      </c>
      <c r="I84" s="126">
        <v>2169.0740746400002</v>
      </c>
      <c r="J84" s="126">
        <v>2472.5599297600002</v>
      </c>
      <c r="K84" s="126">
        <v>2973.63683412</v>
      </c>
      <c r="L84" s="126">
        <v>2746.81862946</v>
      </c>
      <c r="M84" s="126">
        <v>1968.9813043600002</v>
      </c>
      <c r="N84" s="126">
        <v>1226.37704562</v>
      </c>
      <c r="O84" s="126">
        <v>1068.23981712</v>
      </c>
      <c r="P84" s="126">
        <v>1021.2058874548001</v>
      </c>
      <c r="Q84" s="126">
        <v>1070.9225498000001</v>
      </c>
      <c r="R84" s="126">
        <v>931.2860447999999</v>
      </c>
      <c r="S84" s="29">
        <v>1152.1518874548001</v>
      </c>
      <c r="T84" s="29">
        <v>927.62527027089368</v>
      </c>
      <c r="U84" s="29">
        <v>1001.5070286576954</v>
      </c>
      <c r="V84" s="29"/>
      <c r="W84" s="29"/>
      <c r="X84"/>
    </row>
    <row r="85" spans="1:24" x14ac:dyDescent="0.25">
      <c r="A85" s="11" t="s">
        <v>742</v>
      </c>
      <c r="B85" s="11" t="s">
        <v>758</v>
      </c>
      <c r="C85" s="11" t="s">
        <v>759</v>
      </c>
      <c r="D85" s="11" t="s">
        <v>744</v>
      </c>
      <c r="E85" s="11" t="s">
        <v>745</v>
      </c>
      <c r="F85" s="29">
        <v>550.84</v>
      </c>
      <c r="G85" s="29">
        <v>552.88499999999999</v>
      </c>
      <c r="H85" s="29">
        <v>524.98599999999999</v>
      </c>
      <c r="I85" s="29">
        <v>545.48500000000001</v>
      </c>
      <c r="J85" s="29">
        <v>573.66300000000001</v>
      </c>
      <c r="K85" s="29">
        <v>285.23599999999999</v>
      </c>
      <c r="L85" s="29">
        <v>270.98500000000001</v>
      </c>
      <c r="M85" s="29">
        <v>369.61200000000002</v>
      </c>
      <c r="N85" s="29">
        <v>274.49700000000001</v>
      </c>
      <c r="O85" s="29">
        <v>234.26499999999999</v>
      </c>
      <c r="P85" s="29">
        <v>382.29700000000003</v>
      </c>
      <c r="Q85" s="29">
        <v>453.79600000000005</v>
      </c>
      <c r="R85" s="29">
        <v>281.803</v>
      </c>
      <c r="S85" s="29">
        <v>249.74299999999999</v>
      </c>
      <c r="T85" s="29">
        <v>255.40699999999998</v>
      </c>
      <c r="U85" s="29">
        <v>360.00800000000004</v>
      </c>
      <c r="V85" s="29"/>
      <c r="W85" s="29"/>
    </row>
    <row r="86" spans="1:24" x14ac:dyDescent="0.25">
      <c r="A86" s="11" t="s">
        <v>742</v>
      </c>
      <c r="B86" s="11" t="s">
        <v>760</v>
      </c>
      <c r="C86" s="11" t="s">
        <v>761</v>
      </c>
      <c r="D86" s="11" t="s">
        <v>744</v>
      </c>
      <c r="E86" s="11" t="s">
        <v>745</v>
      </c>
      <c r="F86" s="29">
        <v>1644.519</v>
      </c>
      <c r="G86" s="29">
        <v>1583.9195799999998</v>
      </c>
      <c r="H86" s="29">
        <v>1579.3802500000002</v>
      </c>
      <c r="I86" s="29">
        <v>980.55790000000013</v>
      </c>
      <c r="J86" s="29">
        <v>1264.0001999999999</v>
      </c>
      <c r="K86" s="29">
        <v>2065.096</v>
      </c>
      <c r="L86" s="29">
        <v>2134.6289999999999</v>
      </c>
      <c r="M86" s="29">
        <v>1252.2388000000001</v>
      </c>
      <c r="N86" s="29">
        <v>554.60239999999999</v>
      </c>
      <c r="O86" s="29">
        <v>536.11399999999992</v>
      </c>
      <c r="P86" s="29">
        <v>340.89769999999999</v>
      </c>
      <c r="Q86" s="29">
        <v>319.05509999999998</v>
      </c>
      <c r="R86" s="29">
        <v>350.67509999999999</v>
      </c>
      <c r="S86" s="29">
        <v>604.39769999999999</v>
      </c>
      <c r="T86" s="29">
        <v>368.71400000000006</v>
      </c>
      <c r="U86" s="29">
        <v>345.40200000000004</v>
      </c>
      <c r="V86" s="29"/>
      <c r="W86" s="29"/>
    </row>
    <row r="87" spans="1:24" x14ac:dyDescent="0.25">
      <c r="A87" s="11" t="s">
        <v>742</v>
      </c>
      <c r="B87" s="11" t="s">
        <v>762</v>
      </c>
      <c r="C87" s="11" t="s">
        <v>763</v>
      </c>
      <c r="D87" s="11" t="s">
        <v>744</v>
      </c>
      <c r="E87" s="11" t="s">
        <v>745</v>
      </c>
      <c r="F87" s="29">
        <v>0</v>
      </c>
      <c r="G87" s="29">
        <v>0</v>
      </c>
      <c r="H87" s="29">
        <v>0</v>
      </c>
      <c r="I87" s="29">
        <v>0</v>
      </c>
      <c r="J87" s="29">
        <v>0</v>
      </c>
      <c r="K87" s="29">
        <v>0</v>
      </c>
      <c r="L87" s="29">
        <v>0</v>
      </c>
      <c r="M87" s="29">
        <v>0</v>
      </c>
      <c r="N87" s="29">
        <v>0</v>
      </c>
      <c r="O87" s="29">
        <v>0</v>
      </c>
      <c r="P87" s="29">
        <v>0</v>
      </c>
      <c r="Q87" s="29">
        <v>0</v>
      </c>
      <c r="R87" s="29">
        <v>0</v>
      </c>
      <c r="S87" s="29">
        <v>0</v>
      </c>
      <c r="T87" s="29">
        <v>0</v>
      </c>
      <c r="U87" s="29">
        <v>0</v>
      </c>
      <c r="V87" s="29"/>
      <c r="W87" s="29"/>
    </row>
    <row r="88" spans="1:24" x14ac:dyDescent="0.25">
      <c r="A88" s="11" t="s">
        <v>742</v>
      </c>
      <c r="B88" s="11" t="s">
        <v>764</v>
      </c>
      <c r="C88" s="11" t="s">
        <v>765</v>
      </c>
      <c r="D88" s="11" t="s">
        <v>744</v>
      </c>
      <c r="E88" s="11" t="s">
        <v>745</v>
      </c>
      <c r="F88" s="29">
        <v>0</v>
      </c>
      <c r="G88" s="29">
        <v>0</v>
      </c>
      <c r="H88" s="29">
        <v>0</v>
      </c>
      <c r="I88" s="29">
        <v>0</v>
      </c>
      <c r="J88" s="29">
        <v>0</v>
      </c>
      <c r="K88" s="29">
        <v>0</v>
      </c>
      <c r="L88" s="29">
        <v>0</v>
      </c>
      <c r="M88" s="29">
        <v>0</v>
      </c>
      <c r="N88" s="29">
        <v>0</v>
      </c>
      <c r="O88" s="29">
        <v>0</v>
      </c>
      <c r="P88" s="29">
        <v>0</v>
      </c>
      <c r="Q88" s="29">
        <v>0</v>
      </c>
      <c r="R88" s="29">
        <v>0</v>
      </c>
      <c r="S88" s="29">
        <v>0</v>
      </c>
      <c r="T88" s="29">
        <v>0</v>
      </c>
      <c r="U88" s="29">
        <v>0</v>
      </c>
      <c r="V88" s="29"/>
      <c r="W88" s="29"/>
    </row>
    <row r="89" spans="1:24" x14ac:dyDescent="0.25">
      <c r="A89" s="11" t="s">
        <v>742</v>
      </c>
      <c r="B89" s="11" t="s">
        <v>766</v>
      </c>
      <c r="C89" s="11" t="s">
        <v>767</v>
      </c>
      <c r="D89" s="11" t="s">
        <v>744</v>
      </c>
      <c r="E89" s="11" t="s">
        <v>745</v>
      </c>
      <c r="F89" s="29">
        <v>1.9805300000000001</v>
      </c>
      <c r="G89" s="29">
        <v>1.9816200000000002</v>
      </c>
      <c r="H89" s="29">
        <v>4.4591900000000004</v>
      </c>
      <c r="I89" s="29">
        <v>4.7360500000000005</v>
      </c>
      <c r="J89" s="29">
        <v>4.1877800000000009</v>
      </c>
      <c r="K89" s="29">
        <v>5.3257400000000006</v>
      </c>
      <c r="L89" s="29">
        <v>4.9834800000000001</v>
      </c>
      <c r="M89" s="29">
        <v>5.2865000000000002</v>
      </c>
      <c r="N89" s="29">
        <v>5.3072100000000004</v>
      </c>
      <c r="O89" s="29">
        <v>5.1938500000000003</v>
      </c>
      <c r="P89" s="29">
        <v>5.1971200000000009</v>
      </c>
      <c r="Q89" s="29">
        <v>5.1993</v>
      </c>
      <c r="R89" s="29">
        <v>5.2014800000000001</v>
      </c>
      <c r="S89" s="29">
        <v>5.1971200000000009</v>
      </c>
      <c r="T89" s="29">
        <v>4.450524500000002</v>
      </c>
      <c r="U89" s="29">
        <v>3.9892430400000007</v>
      </c>
      <c r="V89" s="29"/>
      <c r="W89" s="29"/>
    </row>
    <row r="90" spans="1:24" x14ac:dyDescent="0.25">
      <c r="A90" s="11" t="s">
        <v>742</v>
      </c>
      <c r="B90" s="11" t="s">
        <v>768</v>
      </c>
      <c r="C90" s="11" t="s">
        <v>769</v>
      </c>
      <c r="D90" s="11" t="s">
        <v>744</v>
      </c>
      <c r="E90" s="11" t="s">
        <v>745</v>
      </c>
      <c r="F90" s="29">
        <v>437.61700000000002</v>
      </c>
      <c r="G90" s="29">
        <v>437.61700000000002</v>
      </c>
      <c r="H90" s="29">
        <v>472.976</v>
      </c>
      <c r="I90" s="29">
        <v>477.18200000000002</v>
      </c>
      <c r="J90" s="29">
        <v>470.875</v>
      </c>
      <c r="K90" s="29">
        <v>466.83199999999999</v>
      </c>
      <c r="L90" s="29">
        <v>194.48699999999999</v>
      </c>
      <c r="M90" s="29">
        <v>190.63399999999999</v>
      </c>
      <c r="N90" s="29">
        <v>257.79599999999999</v>
      </c>
      <c r="O90" s="29">
        <v>158.42699999999999</v>
      </c>
      <c r="P90" s="29">
        <v>158.506</v>
      </c>
      <c r="Q90" s="29">
        <v>158.58500000000001</v>
      </c>
      <c r="R90" s="29">
        <v>158.66399999999999</v>
      </c>
      <c r="S90" s="29">
        <v>158.506</v>
      </c>
      <c r="T90" s="29">
        <v>167.48546225441859</v>
      </c>
      <c r="U90" s="29">
        <v>161.97882244489372</v>
      </c>
      <c r="V90" s="29"/>
      <c r="W90" s="29"/>
    </row>
    <row r="91" spans="1:24" x14ac:dyDescent="0.25">
      <c r="A91" s="11" t="s">
        <v>742</v>
      </c>
      <c r="B91" s="11" t="s">
        <v>770</v>
      </c>
      <c r="C91" s="11" t="s">
        <v>771</v>
      </c>
      <c r="D91" s="11" t="s">
        <v>744</v>
      </c>
      <c r="E91" s="11" t="s">
        <v>745</v>
      </c>
      <c r="F91" s="29">
        <v>0</v>
      </c>
      <c r="G91" s="29">
        <v>0</v>
      </c>
      <c r="H91" s="29">
        <v>0</v>
      </c>
      <c r="I91" s="29">
        <v>0</v>
      </c>
      <c r="J91" s="29">
        <v>0</v>
      </c>
      <c r="K91" s="29">
        <v>0</v>
      </c>
      <c r="L91" s="29">
        <v>0</v>
      </c>
      <c r="M91" s="29">
        <v>0</v>
      </c>
      <c r="N91" s="29">
        <v>0</v>
      </c>
      <c r="O91" s="29">
        <v>0</v>
      </c>
      <c r="P91" s="29">
        <v>0</v>
      </c>
      <c r="Q91" s="29">
        <v>0</v>
      </c>
      <c r="R91" s="29">
        <v>0</v>
      </c>
      <c r="S91" s="29">
        <v>0</v>
      </c>
      <c r="T91" s="29">
        <v>0</v>
      </c>
      <c r="U91" s="29">
        <v>0</v>
      </c>
      <c r="V91" s="29"/>
      <c r="W91" s="29"/>
    </row>
    <row r="92" spans="1:24" x14ac:dyDescent="0.25">
      <c r="A92" s="11" t="s">
        <v>742</v>
      </c>
      <c r="B92" s="11" t="s">
        <v>772</v>
      </c>
      <c r="C92" s="11" t="s">
        <v>773</v>
      </c>
      <c r="D92" s="11" t="s">
        <v>744</v>
      </c>
      <c r="E92" s="11" t="s">
        <v>745</v>
      </c>
      <c r="F92" s="29">
        <v>138.64106266000002</v>
      </c>
      <c r="G92" s="29">
        <v>138.70921541999999</v>
      </c>
      <c r="H92" s="29">
        <v>162.15638612000001</v>
      </c>
      <c r="I92" s="29">
        <v>161.11312464</v>
      </c>
      <c r="J92" s="29">
        <v>159.83394976</v>
      </c>
      <c r="K92" s="29">
        <v>151.14709412000002</v>
      </c>
      <c r="L92" s="29">
        <v>141.73414946000003</v>
      </c>
      <c r="M92" s="29">
        <v>151.21000436000003</v>
      </c>
      <c r="N92" s="29">
        <v>134.17443562</v>
      </c>
      <c r="O92" s="29">
        <v>134.23996712000002</v>
      </c>
      <c r="P92" s="29">
        <v>134.30806745480001</v>
      </c>
      <c r="Q92" s="29">
        <v>134.28714980000001</v>
      </c>
      <c r="R92" s="29">
        <v>134.94246480000001</v>
      </c>
      <c r="S92" s="29">
        <v>134.30806745480001</v>
      </c>
      <c r="T92" s="29">
        <v>131.56828351647511</v>
      </c>
      <c r="U92" s="29">
        <v>130.1289631728016</v>
      </c>
      <c r="V92" s="29"/>
      <c r="W92" s="29"/>
    </row>
    <row r="93" spans="1:24" x14ac:dyDescent="0.25">
      <c r="A93" s="11" t="s">
        <v>742</v>
      </c>
      <c r="B93" s="11" t="s">
        <v>774</v>
      </c>
      <c r="C93" s="11" t="s">
        <v>775</v>
      </c>
      <c r="D93" s="11" t="s">
        <v>744</v>
      </c>
      <c r="E93" s="11" t="s">
        <v>745</v>
      </c>
      <c r="F93" s="29">
        <v>0</v>
      </c>
      <c r="G93" s="29">
        <v>0</v>
      </c>
      <c r="H93" s="29">
        <v>0</v>
      </c>
      <c r="I93" s="29">
        <v>0</v>
      </c>
      <c r="J93" s="29">
        <v>0</v>
      </c>
      <c r="K93" s="29">
        <v>0</v>
      </c>
      <c r="L93" s="29">
        <v>0</v>
      </c>
      <c r="M93" s="29">
        <v>0</v>
      </c>
      <c r="N93" s="29">
        <v>0</v>
      </c>
      <c r="O93" s="29">
        <v>0</v>
      </c>
      <c r="P93" s="29">
        <v>0</v>
      </c>
      <c r="Q93" s="29">
        <v>0</v>
      </c>
      <c r="R93" s="29">
        <v>0</v>
      </c>
      <c r="S93" s="29">
        <v>0</v>
      </c>
      <c r="T93" s="29">
        <v>0</v>
      </c>
      <c r="U93" s="29">
        <v>0</v>
      </c>
      <c r="V93" s="29"/>
      <c r="W93" s="29"/>
    </row>
    <row r="94" spans="1:24" x14ac:dyDescent="0.25">
      <c r="A94" s="11" t="s">
        <v>742</v>
      </c>
      <c r="B94" s="11" t="s">
        <v>776</v>
      </c>
      <c r="C94" s="11" t="s">
        <v>756</v>
      </c>
      <c r="D94" s="11" t="s">
        <v>744</v>
      </c>
      <c r="E94" s="11" t="s">
        <v>745</v>
      </c>
      <c r="F94" s="29">
        <v>0</v>
      </c>
      <c r="G94" s="29">
        <v>0</v>
      </c>
      <c r="H94" s="29">
        <v>0</v>
      </c>
      <c r="I94" s="29">
        <v>0</v>
      </c>
      <c r="J94" s="29">
        <v>0</v>
      </c>
      <c r="K94" s="29">
        <v>0</v>
      </c>
      <c r="L94" s="29">
        <v>0</v>
      </c>
      <c r="M94" s="29">
        <v>0</v>
      </c>
      <c r="N94" s="29">
        <v>0</v>
      </c>
      <c r="O94" s="29">
        <v>0</v>
      </c>
      <c r="P94" s="29">
        <v>0</v>
      </c>
      <c r="Q94" s="29">
        <v>0</v>
      </c>
      <c r="R94" s="29">
        <v>0</v>
      </c>
      <c r="S94" s="29">
        <v>0</v>
      </c>
      <c r="T94" s="29">
        <v>0</v>
      </c>
      <c r="U94" s="29">
        <v>0</v>
      </c>
      <c r="V94" s="29"/>
      <c r="W94" s="29"/>
    </row>
    <row r="95" spans="1:24" s="23" customFormat="1" x14ac:dyDescent="0.25"/>
    <row r="96" spans="1:24" s="7" customFormat="1" x14ac:dyDescent="0.25">
      <c r="A96" s="110" t="s">
        <v>742</v>
      </c>
      <c r="B96" s="110"/>
      <c r="C96" s="110" t="s">
        <v>846</v>
      </c>
      <c r="F96" s="110"/>
      <c r="G96" s="110"/>
      <c r="H96" s="110"/>
      <c r="I96" s="110"/>
      <c r="J96" s="110"/>
      <c r="K96" s="110"/>
      <c r="L96" s="110"/>
      <c r="M96" s="110"/>
      <c r="N96" s="110"/>
      <c r="O96" s="110"/>
      <c r="P96" s="110"/>
      <c r="Q96" s="110"/>
      <c r="R96" s="110"/>
      <c r="S96" s="30"/>
      <c r="T96" s="30"/>
      <c r="U96" s="30"/>
      <c r="V96" s="30"/>
      <c r="W96" s="30"/>
      <c r="X96"/>
    </row>
    <row r="97" spans="1:24" s="7" customFormat="1" x14ac:dyDescent="0.25">
      <c r="A97" s="110"/>
      <c r="B97" s="110" t="s">
        <v>757</v>
      </c>
      <c r="C97" s="110" t="s">
        <v>520</v>
      </c>
      <c r="D97" s="110" t="s">
        <v>836</v>
      </c>
      <c r="E97" s="110" t="s">
        <v>745</v>
      </c>
      <c r="F97" s="126">
        <v>1063.4499499999999</v>
      </c>
      <c r="G97" s="126">
        <v>1065.3121600000002</v>
      </c>
      <c r="H97" s="126">
        <v>1102.0036299999999</v>
      </c>
      <c r="I97" s="126">
        <v>1123.5067300000001</v>
      </c>
      <c r="J97" s="126">
        <v>1140.1909000000001</v>
      </c>
      <c r="K97" s="126">
        <v>818.00018</v>
      </c>
      <c r="L97" s="126">
        <v>513.2115</v>
      </c>
      <c r="M97" s="126">
        <v>581.38782000000003</v>
      </c>
      <c r="N97" s="126">
        <v>604.34214999999995</v>
      </c>
      <c r="O97" s="126">
        <v>483.76129000000003</v>
      </c>
      <c r="P97" s="126">
        <v>622.89262760000008</v>
      </c>
      <c r="Q97" s="126">
        <v>671.58290000000011</v>
      </c>
      <c r="R97" s="126">
        <v>516.53808000000004</v>
      </c>
      <c r="S97" s="29">
        <v>474.96662760000004</v>
      </c>
      <c r="T97" s="29">
        <v>489.42202738875653</v>
      </c>
      <c r="U97" s="29">
        <v>568.99747763505832</v>
      </c>
      <c r="V97" s="29"/>
      <c r="W97" s="29"/>
      <c r="X97"/>
    </row>
    <row r="98" spans="1:24" x14ac:dyDescent="0.25">
      <c r="A98" s="11" t="s">
        <v>742</v>
      </c>
      <c r="B98" s="11" t="s">
        <v>758</v>
      </c>
      <c r="C98" s="11" t="s">
        <v>759</v>
      </c>
      <c r="D98" s="11" t="s">
        <v>836</v>
      </c>
      <c r="E98" s="11" t="s">
        <v>745</v>
      </c>
      <c r="F98" s="29">
        <v>485.27800000000002</v>
      </c>
      <c r="G98" s="29">
        <v>487.07100000000003</v>
      </c>
      <c r="H98" s="29">
        <v>462.49</v>
      </c>
      <c r="I98" s="29">
        <v>480.553</v>
      </c>
      <c r="J98" s="29">
        <v>505.37099999999998</v>
      </c>
      <c r="K98" s="29">
        <v>194.768</v>
      </c>
      <c r="L98" s="29">
        <v>172.07499999999999</v>
      </c>
      <c r="M98" s="29">
        <v>234.33</v>
      </c>
      <c r="N98" s="29">
        <v>207.12899999999999</v>
      </c>
      <c r="O98" s="29">
        <v>185.965</v>
      </c>
      <c r="P98" s="29">
        <v>324.94600000000003</v>
      </c>
      <c r="Q98" s="29">
        <v>373.57600000000002</v>
      </c>
      <c r="R98" s="29">
        <v>217.79499999999999</v>
      </c>
      <c r="S98" s="29">
        <v>177.02</v>
      </c>
      <c r="T98" s="29">
        <v>185.98099999999999</v>
      </c>
      <c r="U98" s="29">
        <v>272.96300000000002</v>
      </c>
      <c r="V98" s="29"/>
      <c r="W98" s="29"/>
    </row>
    <row r="99" spans="1:24" x14ac:dyDescent="0.25">
      <c r="A99" s="11" t="s">
        <v>742</v>
      </c>
      <c r="B99" s="11" t="s">
        <v>760</v>
      </c>
      <c r="C99" s="11" t="s">
        <v>761</v>
      </c>
      <c r="D99" s="11" t="s">
        <v>836</v>
      </c>
      <c r="E99" s="11" t="s">
        <v>745</v>
      </c>
      <c r="F99" s="29"/>
      <c r="G99" s="29"/>
      <c r="H99" s="29"/>
      <c r="I99" s="29"/>
      <c r="J99" s="29"/>
      <c r="K99" s="29"/>
      <c r="L99" s="29"/>
      <c r="M99" s="29"/>
      <c r="N99" s="29"/>
      <c r="O99" s="29"/>
      <c r="P99" s="29"/>
      <c r="Q99" s="29"/>
      <c r="R99" s="29"/>
      <c r="S99" s="29"/>
      <c r="T99" s="29"/>
      <c r="U99" s="29"/>
      <c r="V99" s="29"/>
      <c r="W99" s="29"/>
    </row>
    <row r="100" spans="1:24" x14ac:dyDescent="0.25">
      <c r="A100" s="11" t="s">
        <v>742</v>
      </c>
      <c r="B100" s="11" t="s">
        <v>762</v>
      </c>
      <c r="C100" s="11" t="s">
        <v>763</v>
      </c>
      <c r="D100" s="11" t="s">
        <v>836</v>
      </c>
      <c r="E100" s="11" t="s">
        <v>745</v>
      </c>
      <c r="F100" s="29"/>
      <c r="G100" s="29"/>
      <c r="H100" s="29"/>
      <c r="I100" s="29"/>
      <c r="J100" s="29"/>
      <c r="K100" s="29"/>
      <c r="L100" s="29"/>
      <c r="M100" s="29"/>
      <c r="N100" s="29"/>
      <c r="O100" s="29"/>
      <c r="P100" s="29"/>
      <c r="Q100" s="29"/>
      <c r="R100" s="29"/>
      <c r="S100" s="29"/>
      <c r="T100" s="29"/>
      <c r="U100" s="29"/>
      <c r="V100" s="29"/>
      <c r="W100" s="29"/>
    </row>
    <row r="101" spans="1:24" x14ac:dyDescent="0.25">
      <c r="A101" s="11" t="s">
        <v>742</v>
      </c>
      <c r="B101" s="11" t="s">
        <v>764</v>
      </c>
      <c r="C101" s="11" t="s">
        <v>765</v>
      </c>
      <c r="D101" s="11" t="s">
        <v>836</v>
      </c>
      <c r="E101" s="11" t="s">
        <v>745</v>
      </c>
      <c r="F101" s="29"/>
      <c r="G101" s="29"/>
      <c r="H101" s="29"/>
      <c r="I101" s="29"/>
      <c r="J101" s="29"/>
      <c r="K101" s="29"/>
      <c r="L101" s="29"/>
      <c r="M101" s="29"/>
      <c r="N101" s="29"/>
      <c r="O101" s="29"/>
      <c r="P101" s="29"/>
      <c r="Q101" s="29"/>
      <c r="R101" s="29"/>
      <c r="S101" s="29"/>
      <c r="T101" s="29"/>
      <c r="U101" s="29"/>
      <c r="V101" s="29"/>
      <c r="W101" s="29"/>
    </row>
    <row r="102" spans="1:24" x14ac:dyDescent="0.25">
      <c r="A102" s="11" t="s">
        <v>742</v>
      </c>
      <c r="B102" s="11" t="s">
        <v>766</v>
      </c>
      <c r="C102" s="11" t="s">
        <v>767</v>
      </c>
      <c r="D102" s="11" t="s">
        <v>836</v>
      </c>
      <c r="E102" s="11" t="s">
        <v>745</v>
      </c>
      <c r="F102" s="29">
        <v>1.9805300000000001</v>
      </c>
      <c r="G102" s="29">
        <v>1.9816200000000002</v>
      </c>
      <c r="H102" s="29">
        <v>4.4591900000000004</v>
      </c>
      <c r="I102" s="29">
        <v>4.7360500000000005</v>
      </c>
      <c r="J102" s="29">
        <v>4.1877800000000009</v>
      </c>
      <c r="K102" s="29">
        <v>5.3257400000000006</v>
      </c>
      <c r="L102" s="29">
        <v>4.9834800000000001</v>
      </c>
      <c r="M102" s="29">
        <v>5.2865000000000002</v>
      </c>
      <c r="N102" s="29">
        <v>5.3072100000000004</v>
      </c>
      <c r="O102" s="29">
        <v>5.1938500000000003</v>
      </c>
      <c r="P102" s="29">
        <v>5.1971200000000009</v>
      </c>
      <c r="Q102" s="29">
        <v>5.1993</v>
      </c>
      <c r="R102" s="29">
        <v>5.2014800000000001</v>
      </c>
      <c r="S102" s="29">
        <v>5.1971200000000009</v>
      </c>
      <c r="T102" s="29">
        <v>4.450524500000002</v>
      </c>
      <c r="U102" s="29">
        <v>3.9892430400000007</v>
      </c>
      <c r="V102" s="29"/>
      <c r="W102" s="29"/>
    </row>
    <row r="103" spans="1:24" x14ac:dyDescent="0.25">
      <c r="A103" s="11" t="s">
        <v>742</v>
      </c>
      <c r="B103" s="11" t="s">
        <v>768</v>
      </c>
      <c r="C103" s="11" t="s">
        <v>769</v>
      </c>
      <c r="D103" s="11" t="s">
        <v>836</v>
      </c>
      <c r="E103" s="11" t="s">
        <v>745</v>
      </c>
      <c r="F103" s="29">
        <v>437.61700000000002</v>
      </c>
      <c r="G103" s="29">
        <v>437.61700000000002</v>
      </c>
      <c r="H103" s="29">
        <v>472.976</v>
      </c>
      <c r="I103" s="29">
        <v>477.18200000000002</v>
      </c>
      <c r="J103" s="29">
        <v>470.875</v>
      </c>
      <c r="K103" s="29">
        <v>466.83199999999999</v>
      </c>
      <c r="L103" s="29">
        <v>194.48699999999999</v>
      </c>
      <c r="M103" s="29">
        <v>190.63399999999999</v>
      </c>
      <c r="N103" s="29">
        <v>257.79599999999999</v>
      </c>
      <c r="O103" s="29">
        <v>158.42699999999999</v>
      </c>
      <c r="P103" s="29">
        <v>158.506</v>
      </c>
      <c r="Q103" s="29">
        <v>158.58500000000001</v>
      </c>
      <c r="R103" s="29">
        <v>158.66399999999999</v>
      </c>
      <c r="S103" s="29">
        <v>158.506</v>
      </c>
      <c r="T103" s="29">
        <v>167.48546225441859</v>
      </c>
      <c r="U103" s="29">
        <v>161.97882244489372</v>
      </c>
      <c r="V103" s="29"/>
      <c r="W103" s="29"/>
    </row>
    <row r="104" spans="1:24" x14ac:dyDescent="0.25">
      <c r="A104" s="11" t="s">
        <v>742</v>
      </c>
      <c r="B104" s="11" t="s">
        <v>770</v>
      </c>
      <c r="C104" s="11" t="s">
        <v>771</v>
      </c>
      <c r="D104" s="11" t="s">
        <v>836</v>
      </c>
      <c r="E104" s="11" t="s">
        <v>745</v>
      </c>
      <c r="F104" s="29"/>
      <c r="G104" s="29"/>
      <c r="H104" s="29"/>
      <c r="I104" s="29"/>
      <c r="J104" s="29"/>
      <c r="K104" s="29"/>
      <c r="L104" s="29"/>
      <c r="M104" s="29"/>
      <c r="N104" s="29"/>
      <c r="O104" s="29"/>
      <c r="P104" s="29"/>
      <c r="Q104" s="29"/>
      <c r="R104" s="29"/>
      <c r="S104" s="29"/>
      <c r="T104" s="29"/>
      <c r="U104" s="29"/>
      <c r="V104" s="29"/>
      <c r="W104" s="29"/>
    </row>
    <row r="105" spans="1:24" x14ac:dyDescent="0.25">
      <c r="A105" s="11" t="s">
        <v>742</v>
      </c>
      <c r="B105" s="11" t="s">
        <v>772</v>
      </c>
      <c r="C105" s="11" t="s">
        <v>773</v>
      </c>
      <c r="D105" s="11" t="s">
        <v>836</v>
      </c>
      <c r="E105" s="11" t="s">
        <v>745</v>
      </c>
      <c r="F105" s="29">
        <v>138.57442</v>
      </c>
      <c r="G105" s="29">
        <v>138.64254</v>
      </c>
      <c r="H105" s="29">
        <v>162.07844</v>
      </c>
      <c r="I105" s="29">
        <v>161.03567999999999</v>
      </c>
      <c r="J105" s="29">
        <v>159.75711999999999</v>
      </c>
      <c r="K105" s="29">
        <v>151.07444000000001</v>
      </c>
      <c r="L105" s="29">
        <v>141.66602000000003</v>
      </c>
      <c r="M105" s="29">
        <v>151.13732000000002</v>
      </c>
      <c r="N105" s="29">
        <v>134.10993999999999</v>
      </c>
      <c r="O105" s="29">
        <v>134.17544000000001</v>
      </c>
      <c r="P105" s="29">
        <v>134.24350760000002</v>
      </c>
      <c r="Q105" s="29">
        <v>134.2226</v>
      </c>
      <c r="R105" s="29">
        <v>134.8776</v>
      </c>
      <c r="S105" s="29">
        <v>134.24350760000002</v>
      </c>
      <c r="T105" s="29">
        <v>131.50504063433797</v>
      </c>
      <c r="U105" s="29">
        <v>130.0664121501645</v>
      </c>
      <c r="V105" s="29"/>
      <c r="W105" s="29"/>
    </row>
    <row r="106" spans="1:24" x14ac:dyDescent="0.25">
      <c r="A106" s="11" t="s">
        <v>742</v>
      </c>
      <c r="B106" s="11" t="s">
        <v>774</v>
      </c>
      <c r="C106" s="11" t="s">
        <v>775</v>
      </c>
      <c r="D106" s="11" t="s">
        <v>836</v>
      </c>
      <c r="E106" s="11" t="s">
        <v>745</v>
      </c>
      <c r="F106" s="29"/>
      <c r="G106" s="29"/>
      <c r="H106" s="29"/>
      <c r="I106" s="29"/>
      <c r="J106" s="29"/>
      <c r="K106" s="29"/>
      <c r="L106" s="29"/>
      <c r="M106" s="29"/>
      <c r="N106" s="29"/>
      <c r="O106" s="29"/>
      <c r="P106" s="29"/>
      <c r="Q106" s="29"/>
      <c r="R106" s="29"/>
      <c r="S106" s="29"/>
      <c r="T106" s="29"/>
      <c r="U106" s="29"/>
      <c r="V106" s="29"/>
      <c r="W106" s="29"/>
    </row>
    <row r="107" spans="1:24" x14ac:dyDescent="0.25">
      <c r="A107" s="11" t="s">
        <v>742</v>
      </c>
      <c r="B107" s="11" t="s">
        <v>776</v>
      </c>
      <c r="C107" s="11" t="s">
        <v>756</v>
      </c>
      <c r="D107" s="11" t="s">
        <v>836</v>
      </c>
      <c r="E107" s="11" t="s">
        <v>745</v>
      </c>
      <c r="F107" s="29"/>
      <c r="G107" s="29"/>
      <c r="H107" s="29"/>
      <c r="I107" s="29"/>
      <c r="J107" s="29"/>
      <c r="K107" s="29"/>
      <c r="L107" s="29"/>
      <c r="M107" s="29"/>
      <c r="N107" s="29"/>
      <c r="O107" s="29"/>
      <c r="P107" s="29"/>
      <c r="Q107" s="29"/>
      <c r="R107" s="29"/>
      <c r="S107" s="29"/>
      <c r="T107" s="29"/>
      <c r="U107" s="29"/>
      <c r="V107" s="29"/>
      <c r="W107" s="29"/>
    </row>
    <row r="108" spans="1:24" s="23" customFormat="1" x14ac:dyDescent="0.25"/>
    <row r="109" spans="1:24" s="23" customFormat="1" x14ac:dyDescent="0.25">
      <c r="C109" s="110" t="s">
        <v>847</v>
      </c>
    </row>
    <row r="110" spans="1:24" s="7" customFormat="1" x14ac:dyDescent="0.25">
      <c r="A110" s="110" t="s">
        <v>742</v>
      </c>
      <c r="B110" s="110" t="s">
        <v>757</v>
      </c>
      <c r="C110" s="110" t="s">
        <v>927</v>
      </c>
      <c r="D110" s="110" t="s">
        <v>486</v>
      </c>
      <c r="E110" s="110" t="s">
        <v>924</v>
      </c>
      <c r="F110" s="126">
        <v>3.1251734600000001</v>
      </c>
      <c r="G110" s="126">
        <v>3.1371750199999999</v>
      </c>
      <c r="H110" s="126">
        <v>2.9797117200000001</v>
      </c>
      <c r="I110" s="126">
        <v>3.0956878400000001</v>
      </c>
      <c r="J110" s="126">
        <v>3.2556585599999996</v>
      </c>
      <c r="K110" s="126">
        <v>4.3114597200000002</v>
      </c>
      <c r="L110" s="126">
        <v>4.7132442599999997</v>
      </c>
      <c r="M110" s="126">
        <v>6.4454611599999998</v>
      </c>
      <c r="N110" s="126">
        <v>3.21107122</v>
      </c>
      <c r="O110" s="126">
        <v>2.3030727199999999</v>
      </c>
      <c r="P110" s="126">
        <v>2.7340742788000001</v>
      </c>
      <c r="Q110" s="126">
        <v>3.8230738</v>
      </c>
      <c r="R110" s="126">
        <v>3.0510888</v>
      </c>
      <c r="S110" s="29">
        <v>3.4660742788000003</v>
      </c>
      <c r="T110" s="29">
        <v>3.3090115658160535</v>
      </c>
      <c r="U110" s="29">
        <v>4.1479786201255759</v>
      </c>
      <c r="V110" s="29"/>
      <c r="W110" s="29"/>
      <c r="X110"/>
    </row>
    <row r="111" spans="1:24" x14ac:dyDescent="0.25">
      <c r="A111" s="11" t="s">
        <v>742</v>
      </c>
      <c r="B111" s="11" t="s">
        <v>758</v>
      </c>
      <c r="C111" s="11" t="s">
        <v>759</v>
      </c>
      <c r="D111" s="11" t="s">
        <v>486</v>
      </c>
      <c r="E111" s="11" t="s">
        <v>924</v>
      </c>
      <c r="F111" s="29">
        <v>3.1219999999999999</v>
      </c>
      <c r="G111" s="29">
        <v>3.1339999999999999</v>
      </c>
      <c r="H111" s="29">
        <v>2.976</v>
      </c>
      <c r="I111" s="29">
        <v>3.0920000000000001</v>
      </c>
      <c r="J111" s="29">
        <v>3.2519999999999998</v>
      </c>
      <c r="K111" s="29">
        <v>4.3079999999999998</v>
      </c>
      <c r="L111" s="29">
        <v>4.71</v>
      </c>
      <c r="M111" s="29">
        <v>6.4420000000000002</v>
      </c>
      <c r="N111" s="29">
        <v>3.2080000000000002</v>
      </c>
      <c r="O111" s="29">
        <v>2.2999999999999998</v>
      </c>
      <c r="P111" s="29">
        <v>2.7309999999999999</v>
      </c>
      <c r="Q111" s="29">
        <v>3.82</v>
      </c>
      <c r="R111" s="29">
        <v>3.048</v>
      </c>
      <c r="S111" s="29">
        <v>3.4630000000000001</v>
      </c>
      <c r="T111" s="29">
        <v>3.306</v>
      </c>
      <c r="U111" s="29">
        <v>4.1449999999999996</v>
      </c>
      <c r="V111" s="29"/>
      <c r="W111" s="29"/>
    </row>
    <row r="112" spans="1:24" x14ac:dyDescent="0.25">
      <c r="A112" s="11" t="s">
        <v>742</v>
      </c>
      <c r="B112" s="11" t="s">
        <v>760</v>
      </c>
      <c r="C112" s="11" t="s">
        <v>761</v>
      </c>
      <c r="D112" s="11" t="s">
        <v>486</v>
      </c>
      <c r="E112" s="11" t="s">
        <v>928</v>
      </c>
      <c r="F112" s="29"/>
      <c r="G112" s="29"/>
      <c r="H112" s="29"/>
      <c r="I112" s="29"/>
      <c r="J112" s="29"/>
      <c r="K112" s="29"/>
      <c r="L112" s="29"/>
      <c r="M112" s="29"/>
      <c r="N112" s="29"/>
      <c r="O112" s="29"/>
      <c r="P112" s="29"/>
      <c r="Q112" s="29"/>
      <c r="R112" s="29"/>
      <c r="S112" s="29"/>
      <c r="T112" s="29"/>
      <c r="U112" s="29"/>
      <c r="V112" s="29"/>
      <c r="W112" s="29"/>
    </row>
    <row r="113" spans="1:24" x14ac:dyDescent="0.25">
      <c r="A113" s="11" t="s">
        <v>742</v>
      </c>
      <c r="B113" s="11" t="s">
        <v>762</v>
      </c>
      <c r="C113" s="11" t="s">
        <v>763</v>
      </c>
      <c r="D113" s="11" t="s">
        <v>486</v>
      </c>
      <c r="E113" s="11" t="s">
        <v>929</v>
      </c>
      <c r="F113" s="29"/>
      <c r="G113" s="29"/>
      <c r="H113" s="29"/>
      <c r="I113" s="29"/>
      <c r="J113" s="29"/>
      <c r="K113" s="29"/>
      <c r="L113" s="29"/>
      <c r="M113" s="29"/>
      <c r="N113" s="29"/>
      <c r="O113" s="29"/>
      <c r="P113" s="29"/>
      <c r="Q113" s="29"/>
      <c r="R113" s="29"/>
      <c r="S113" s="29"/>
      <c r="T113" s="29"/>
      <c r="U113" s="29"/>
      <c r="V113" s="29"/>
      <c r="W113" s="29"/>
    </row>
    <row r="114" spans="1:24" x14ac:dyDescent="0.25">
      <c r="A114" s="11" t="s">
        <v>742</v>
      </c>
      <c r="B114" s="11" t="s">
        <v>764</v>
      </c>
      <c r="C114" s="11" t="s">
        <v>765</v>
      </c>
      <c r="D114" s="11" t="s">
        <v>486</v>
      </c>
      <c r="E114" s="11" t="s">
        <v>930</v>
      </c>
      <c r="F114" s="29"/>
      <c r="G114" s="29"/>
      <c r="H114" s="29"/>
      <c r="I114" s="29"/>
      <c r="J114" s="29"/>
      <c r="K114" s="29"/>
      <c r="L114" s="29"/>
      <c r="M114" s="29"/>
      <c r="N114" s="29"/>
      <c r="O114" s="29"/>
      <c r="P114" s="29"/>
      <c r="Q114" s="29"/>
      <c r="R114" s="29"/>
      <c r="S114" s="29"/>
      <c r="T114" s="29"/>
      <c r="U114" s="29"/>
      <c r="V114" s="29"/>
      <c r="W114" s="29"/>
    </row>
    <row r="115" spans="1:24" x14ac:dyDescent="0.25">
      <c r="A115" s="11" t="s">
        <v>742</v>
      </c>
      <c r="B115" s="11" t="s">
        <v>766</v>
      </c>
      <c r="C115" s="11" t="s">
        <v>767</v>
      </c>
      <c r="D115" s="11" t="s">
        <v>486</v>
      </c>
      <c r="E115" s="11" t="s">
        <v>931</v>
      </c>
      <c r="F115" s="29">
        <v>0</v>
      </c>
      <c r="G115" s="29">
        <v>0</v>
      </c>
      <c r="H115" s="29">
        <v>0</v>
      </c>
      <c r="I115" s="29">
        <v>0</v>
      </c>
      <c r="J115" s="29">
        <v>0</v>
      </c>
      <c r="K115" s="29">
        <v>0</v>
      </c>
      <c r="L115" s="29">
        <v>0</v>
      </c>
      <c r="M115" s="29">
        <v>0</v>
      </c>
      <c r="N115" s="29">
        <v>0</v>
      </c>
      <c r="O115" s="29">
        <v>0</v>
      </c>
      <c r="P115" s="29">
        <v>0</v>
      </c>
      <c r="Q115" s="29">
        <v>0</v>
      </c>
      <c r="R115" s="29">
        <v>0</v>
      </c>
      <c r="S115" s="29">
        <v>0</v>
      </c>
      <c r="T115" s="29">
        <v>0</v>
      </c>
      <c r="U115" s="29">
        <v>0</v>
      </c>
      <c r="V115" s="29"/>
      <c r="W115" s="29"/>
    </row>
    <row r="116" spans="1:24" x14ac:dyDescent="0.25">
      <c r="A116" s="11" t="s">
        <v>742</v>
      </c>
      <c r="B116" s="11" t="s">
        <v>768</v>
      </c>
      <c r="C116" s="11" t="s">
        <v>769</v>
      </c>
      <c r="D116" s="11" t="s">
        <v>486</v>
      </c>
      <c r="E116" s="11" t="s">
        <v>932</v>
      </c>
      <c r="F116" s="29"/>
      <c r="G116" s="29"/>
      <c r="H116" s="29"/>
      <c r="I116" s="29"/>
      <c r="J116" s="29"/>
      <c r="K116" s="29"/>
      <c r="L116" s="29"/>
      <c r="M116" s="29"/>
      <c r="N116" s="29"/>
      <c r="O116" s="29"/>
      <c r="P116" s="29"/>
      <c r="Q116" s="29"/>
      <c r="R116" s="29"/>
      <c r="S116" s="29"/>
      <c r="T116" s="29"/>
      <c r="U116" s="29"/>
      <c r="V116" s="29"/>
      <c r="W116" s="29"/>
    </row>
    <row r="117" spans="1:24" x14ac:dyDescent="0.25">
      <c r="A117" s="11" t="s">
        <v>742</v>
      </c>
      <c r="B117" s="11" t="s">
        <v>770</v>
      </c>
      <c r="C117" s="11" t="s">
        <v>771</v>
      </c>
      <c r="D117" s="11" t="s">
        <v>486</v>
      </c>
      <c r="E117" s="11" t="s">
        <v>933</v>
      </c>
      <c r="F117" s="29"/>
      <c r="G117" s="29"/>
      <c r="H117" s="29"/>
      <c r="I117" s="29"/>
      <c r="J117" s="29"/>
      <c r="K117" s="29"/>
      <c r="L117" s="29"/>
      <c r="M117" s="29"/>
      <c r="N117" s="29"/>
      <c r="O117" s="29"/>
      <c r="P117" s="29"/>
      <c r="Q117" s="29"/>
      <c r="R117" s="29"/>
      <c r="S117" s="29"/>
      <c r="T117" s="29"/>
      <c r="U117" s="29"/>
      <c r="V117" s="29"/>
      <c r="W117" s="29"/>
    </row>
    <row r="118" spans="1:24" x14ac:dyDescent="0.25">
      <c r="A118" s="11" t="s">
        <v>742</v>
      </c>
      <c r="B118" s="11" t="s">
        <v>772</v>
      </c>
      <c r="C118" s="11" t="s">
        <v>773</v>
      </c>
      <c r="D118" s="11" t="s">
        <v>486</v>
      </c>
      <c r="E118" s="11" t="s">
        <v>934</v>
      </c>
      <c r="F118" s="29">
        <v>3.1734599999999999E-3</v>
      </c>
      <c r="G118" s="29">
        <v>3.1750200000000002E-3</v>
      </c>
      <c r="H118" s="29">
        <v>3.7117199999999999E-3</v>
      </c>
      <c r="I118" s="29">
        <v>3.6878399999999995E-3</v>
      </c>
      <c r="J118" s="29">
        <v>3.6585599999999999E-3</v>
      </c>
      <c r="K118" s="29">
        <v>3.4597199999999999E-3</v>
      </c>
      <c r="L118" s="29">
        <v>3.2442599999999997E-3</v>
      </c>
      <c r="M118" s="29">
        <v>3.46116E-3</v>
      </c>
      <c r="N118" s="29">
        <v>3.0712199999999999E-3</v>
      </c>
      <c r="O118" s="29">
        <v>3.0727199999999997E-3</v>
      </c>
      <c r="P118" s="29">
        <v>3.0742788E-3</v>
      </c>
      <c r="Q118" s="29">
        <v>3.0737999999999998E-3</v>
      </c>
      <c r="R118" s="29">
        <v>3.0887999999999996E-3</v>
      </c>
      <c r="S118" s="29">
        <v>3.0742788E-3</v>
      </c>
      <c r="T118" s="29">
        <v>3.0115658160535415E-3</v>
      </c>
      <c r="U118" s="29">
        <v>2.9786201255762863E-3</v>
      </c>
      <c r="V118" s="29"/>
      <c r="W118" s="29"/>
    </row>
    <row r="119" spans="1:24" x14ac:dyDescent="0.25">
      <c r="A119" s="11" t="s">
        <v>742</v>
      </c>
      <c r="B119" s="11" t="s">
        <v>774</v>
      </c>
      <c r="C119" s="11" t="s">
        <v>775</v>
      </c>
      <c r="D119" s="11" t="s">
        <v>486</v>
      </c>
      <c r="E119" s="11" t="s">
        <v>935</v>
      </c>
      <c r="F119" s="29"/>
      <c r="G119" s="29"/>
      <c r="H119" s="29"/>
      <c r="I119" s="29"/>
      <c r="J119" s="29"/>
      <c r="K119" s="29"/>
      <c r="L119" s="29"/>
      <c r="M119" s="29"/>
      <c r="N119" s="29"/>
      <c r="O119" s="29"/>
      <c r="P119" s="29"/>
      <c r="Q119" s="29"/>
      <c r="R119" s="29"/>
      <c r="S119" s="29"/>
      <c r="T119" s="29"/>
      <c r="U119" s="29"/>
      <c r="V119" s="29"/>
      <c r="W119" s="29"/>
    </row>
    <row r="120" spans="1:24" x14ac:dyDescent="0.25">
      <c r="A120" s="11" t="s">
        <v>742</v>
      </c>
      <c r="B120" s="11" t="s">
        <v>776</v>
      </c>
      <c r="C120" s="11" t="s">
        <v>756</v>
      </c>
      <c r="D120" s="11" t="s">
        <v>486</v>
      </c>
      <c r="E120" s="11" t="s">
        <v>936</v>
      </c>
      <c r="F120" s="29"/>
      <c r="G120" s="29"/>
      <c r="H120" s="29"/>
      <c r="I120" s="29"/>
      <c r="J120" s="29"/>
      <c r="K120" s="29"/>
      <c r="L120" s="29"/>
      <c r="M120" s="29"/>
      <c r="N120" s="29"/>
      <c r="O120" s="29"/>
      <c r="P120" s="29"/>
      <c r="Q120" s="29"/>
      <c r="R120" s="29"/>
      <c r="S120" s="29"/>
      <c r="T120" s="29"/>
      <c r="U120" s="29"/>
      <c r="V120" s="29"/>
      <c r="W120" s="29"/>
    </row>
    <row r="121" spans="1:24" s="23" customFormat="1" x14ac:dyDescent="0.25"/>
    <row r="122" spans="1:24" s="7" customFormat="1" x14ac:dyDescent="0.25">
      <c r="A122" s="110" t="s">
        <v>742</v>
      </c>
      <c r="B122" s="110" t="s">
        <v>757</v>
      </c>
      <c r="C122" s="110" t="s">
        <v>927</v>
      </c>
      <c r="D122" s="110" t="s">
        <v>486</v>
      </c>
      <c r="E122" s="110" t="s">
        <v>745</v>
      </c>
      <c r="F122" s="126">
        <v>65.628642659999997</v>
      </c>
      <c r="G122" s="126">
        <v>65.880675419999989</v>
      </c>
      <c r="H122" s="126">
        <v>62.573946120000002</v>
      </c>
      <c r="I122" s="126">
        <v>65.009444639999998</v>
      </c>
      <c r="J122" s="126">
        <v>68.368829759999997</v>
      </c>
      <c r="K122" s="126">
        <v>90.540654119999985</v>
      </c>
      <c r="L122" s="126">
        <v>98.978129459999991</v>
      </c>
      <c r="M122" s="126">
        <v>135.35468436000002</v>
      </c>
      <c r="N122" s="126">
        <v>67.432495620000012</v>
      </c>
      <c r="O122" s="126">
        <v>48.364527119999998</v>
      </c>
      <c r="P122" s="126">
        <v>57.415559854800001</v>
      </c>
      <c r="Q122" s="126">
        <v>80.284549799999994</v>
      </c>
      <c r="R122" s="126">
        <v>64.072864799999991</v>
      </c>
      <c r="S122" s="29">
        <v>72.787559854799994</v>
      </c>
      <c r="T122" s="29">
        <v>69.48924288213712</v>
      </c>
      <c r="U122" s="29">
        <v>87.107551022637097</v>
      </c>
      <c r="V122" s="29"/>
      <c r="W122" s="29"/>
      <c r="X122"/>
    </row>
    <row r="123" spans="1:24" x14ac:dyDescent="0.25">
      <c r="A123" s="11" t="s">
        <v>742</v>
      </c>
      <c r="B123" s="11" t="s">
        <v>758</v>
      </c>
      <c r="C123" s="11" t="s">
        <v>759</v>
      </c>
      <c r="D123" s="11" t="s">
        <v>486</v>
      </c>
      <c r="E123" s="11" t="s">
        <v>745</v>
      </c>
      <c r="F123" s="29">
        <v>65.561999999999998</v>
      </c>
      <c r="G123" s="29">
        <v>65.813999999999993</v>
      </c>
      <c r="H123" s="29">
        <v>62.496000000000002</v>
      </c>
      <c r="I123" s="29">
        <v>64.932000000000002</v>
      </c>
      <c r="J123" s="29">
        <v>68.292000000000002</v>
      </c>
      <c r="K123" s="29">
        <v>90.467999999999989</v>
      </c>
      <c r="L123" s="29">
        <v>98.91</v>
      </c>
      <c r="M123" s="29">
        <v>135.28200000000001</v>
      </c>
      <c r="N123" s="29">
        <v>67.368000000000009</v>
      </c>
      <c r="O123" s="29">
        <v>48.3</v>
      </c>
      <c r="P123" s="29">
        <v>57.350999999999999</v>
      </c>
      <c r="Q123" s="29">
        <v>80.22</v>
      </c>
      <c r="R123" s="29">
        <v>64.007999999999996</v>
      </c>
      <c r="S123" s="29">
        <v>72.722999999999999</v>
      </c>
      <c r="T123" s="29">
        <v>69.426000000000002</v>
      </c>
      <c r="U123" s="29">
        <v>87.044999999999987</v>
      </c>
      <c r="V123" s="29"/>
      <c r="W123" s="29"/>
    </row>
    <row r="124" spans="1:24" x14ac:dyDescent="0.25">
      <c r="A124" s="11" t="s">
        <v>742</v>
      </c>
      <c r="B124" s="11" t="s">
        <v>760</v>
      </c>
      <c r="C124" s="11" t="s">
        <v>761</v>
      </c>
      <c r="D124" s="11" t="s">
        <v>486</v>
      </c>
      <c r="E124" s="11" t="s">
        <v>745</v>
      </c>
      <c r="F124" s="29"/>
      <c r="G124" s="29"/>
      <c r="H124" s="29"/>
      <c r="I124" s="29"/>
      <c r="J124" s="29"/>
      <c r="K124" s="29"/>
      <c r="L124" s="29"/>
      <c r="M124" s="29"/>
      <c r="N124" s="29"/>
      <c r="O124" s="29"/>
      <c r="P124" s="29"/>
      <c r="Q124" s="29"/>
      <c r="R124" s="29"/>
      <c r="S124" s="29"/>
      <c r="T124" s="29"/>
      <c r="U124" s="29"/>
      <c r="V124" s="29"/>
      <c r="W124" s="29"/>
    </row>
    <row r="125" spans="1:24" x14ac:dyDescent="0.25">
      <c r="A125" s="11" t="s">
        <v>742</v>
      </c>
      <c r="B125" s="11" t="s">
        <v>762</v>
      </c>
      <c r="C125" s="11" t="s">
        <v>763</v>
      </c>
      <c r="D125" s="11" t="s">
        <v>486</v>
      </c>
      <c r="E125" s="11" t="s">
        <v>745</v>
      </c>
      <c r="F125" s="29"/>
      <c r="G125" s="29"/>
      <c r="H125" s="29"/>
      <c r="I125" s="29"/>
      <c r="J125" s="29"/>
      <c r="K125" s="29"/>
      <c r="L125" s="29"/>
      <c r="M125" s="29"/>
      <c r="N125" s="29"/>
      <c r="O125" s="29"/>
      <c r="P125" s="29"/>
      <c r="Q125" s="29"/>
      <c r="R125" s="29"/>
      <c r="S125" s="29"/>
      <c r="T125" s="29"/>
      <c r="U125" s="29"/>
      <c r="V125" s="29"/>
      <c r="W125" s="29"/>
    </row>
    <row r="126" spans="1:24" x14ac:dyDescent="0.25">
      <c r="A126" s="11" t="s">
        <v>742</v>
      </c>
      <c r="B126" s="11" t="s">
        <v>764</v>
      </c>
      <c r="C126" s="11" t="s">
        <v>765</v>
      </c>
      <c r="D126" s="11" t="s">
        <v>486</v>
      </c>
      <c r="E126" s="11" t="s">
        <v>745</v>
      </c>
      <c r="F126" s="29"/>
      <c r="G126" s="29"/>
      <c r="H126" s="29"/>
      <c r="I126" s="29"/>
      <c r="J126" s="29"/>
      <c r="K126" s="29"/>
      <c r="L126" s="29"/>
      <c r="M126" s="29"/>
      <c r="N126" s="29"/>
      <c r="O126" s="29"/>
      <c r="P126" s="29"/>
      <c r="Q126" s="29"/>
      <c r="R126" s="29"/>
      <c r="S126" s="29"/>
      <c r="T126" s="29"/>
      <c r="U126" s="29"/>
      <c r="V126" s="29"/>
      <c r="W126" s="29"/>
    </row>
    <row r="127" spans="1:24" x14ac:dyDescent="0.25">
      <c r="A127" s="11" t="s">
        <v>742</v>
      </c>
      <c r="B127" s="11" t="s">
        <v>766</v>
      </c>
      <c r="C127" s="11" t="s">
        <v>767</v>
      </c>
      <c r="D127" s="11" t="s">
        <v>486</v>
      </c>
      <c r="E127" s="11" t="s">
        <v>745</v>
      </c>
      <c r="F127" s="29">
        <v>0</v>
      </c>
      <c r="G127" s="29">
        <v>0</v>
      </c>
      <c r="H127" s="29">
        <v>0</v>
      </c>
      <c r="I127" s="29">
        <v>0</v>
      </c>
      <c r="J127" s="29">
        <v>0</v>
      </c>
      <c r="K127" s="29">
        <v>0</v>
      </c>
      <c r="L127" s="29">
        <v>0</v>
      </c>
      <c r="M127" s="29">
        <v>0</v>
      </c>
      <c r="N127" s="29">
        <v>0</v>
      </c>
      <c r="O127" s="29">
        <v>0</v>
      </c>
      <c r="P127" s="29">
        <v>0</v>
      </c>
      <c r="Q127" s="29">
        <v>0</v>
      </c>
      <c r="R127" s="29">
        <v>0</v>
      </c>
      <c r="S127" s="29">
        <v>0</v>
      </c>
      <c r="T127" s="29">
        <v>0</v>
      </c>
      <c r="U127" s="29">
        <v>0</v>
      </c>
      <c r="V127" s="29"/>
      <c r="W127" s="29"/>
    </row>
    <row r="128" spans="1:24" x14ac:dyDescent="0.25">
      <c r="A128" s="11" t="s">
        <v>742</v>
      </c>
      <c r="B128" s="11" t="s">
        <v>768</v>
      </c>
      <c r="C128" s="11" t="s">
        <v>769</v>
      </c>
      <c r="D128" s="11" t="s">
        <v>486</v>
      </c>
      <c r="E128" s="11" t="s">
        <v>745</v>
      </c>
      <c r="F128" s="29"/>
      <c r="G128" s="29"/>
      <c r="H128" s="29"/>
      <c r="I128" s="29"/>
      <c r="J128" s="29"/>
      <c r="K128" s="29"/>
      <c r="L128" s="29"/>
      <c r="M128" s="29"/>
      <c r="N128" s="29"/>
      <c r="O128" s="29"/>
      <c r="P128" s="29"/>
      <c r="Q128" s="29"/>
      <c r="R128" s="29"/>
      <c r="S128" s="29"/>
      <c r="T128" s="29"/>
      <c r="U128" s="29"/>
      <c r="V128" s="29"/>
      <c r="W128" s="29"/>
    </row>
    <row r="129" spans="1:24" x14ac:dyDescent="0.25">
      <c r="A129" s="11" t="s">
        <v>742</v>
      </c>
      <c r="B129" s="11" t="s">
        <v>770</v>
      </c>
      <c r="C129" s="11" t="s">
        <v>771</v>
      </c>
      <c r="D129" s="11" t="s">
        <v>486</v>
      </c>
      <c r="E129" s="11" t="s">
        <v>745</v>
      </c>
      <c r="F129" s="29"/>
      <c r="G129" s="29"/>
      <c r="H129" s="29"/>
      <c r="I129" s="29"/>
      <c r="J129" s="29"/>
      <c r="K129" s="29"/>
      <c r="L129" s="29"/>
      <c r="M129" s="29"/>
      <c r="N129" s="29"/>
      <c r="O129" s="29"/>
      <c r="P129" s="29"/>
      <c r="Q129" s="29"/>
      <c r="R129" s="29"/>
      <c r="S129" s="29"/>
      <c r="T129" s="29"/>
      <c r="U129" s="29"/>
      <c r="V129" s="29"/>
      <c r="W129" s="29"/>
    </row>
    <row r="130" spans="1:24" x14ac:dyDescent="0.25">
      <c r="A130" s="11" t="s">
        <v>742</v>
      </c>
      <c r="B130" s="11" t="s">
        <v>772</v>
      </c>
      <c r="C130" s="11" t="s">
        <v>773</v>
      </c>
      <c r="D130" s="11" t="s">
        <v>486</v>
      </c>
      <c r="E130" s="11" t="s">
        <v>745</v>
      </c>
      <c r="F130" s="29">
        <v>6.6642659999999992E-2</v>
      </c>
      <c r="G130" s="29">
        <v>6.6675419999999999E-2</v>
      </c>
      <c r="H130" s="29">
        <v>7.7946119999999994E-2</v>
      </c>
      <c r="I130" s="29">
        <v>7.7444639999999995E-2</v>
      </c>
      <c r="J130" s="29">
        <v>7.6829759999999997E-2</v>
      </c>
      <c r="K130" s="29">
        <v>7.2654120000000003E-2</v>
      </c>
      <c r="L130" s="29">
        <v>6.8129459999999989E-2</v>
      </c>
      <c r="M130" s="29">
        <v>7.2684360000000003E-2</v>
      </c>
      <c r="N130" s="29">
        <v>6.4495620000000004E-2</v>
      </c>
      <c r="O130" s="29">
        <v>6.4527119999999993E-2</v>
      </c>
      <c r="P130" s="29">
        <v>6.4559854799999997E-2</v>
      </c>
      <c r="Q130" s="29">
        <v>6.4549799999999991E-2</v>
      </c>
      <c r="R130" s="29">
        <v>6.4864799999999986E-2</v>
      </c>
      <c r="S130" s="29">
        <v>6.4559854799999997E-2</v>
      </c>
      <c r="T130" s="29">
        <v>6.3242882137124368E-2</v>
      </c>
      <c r="U130" s="29">
        <v>6.2551022637102008E-2</v>
      </c>
      <c r="V130" s="29"/>
      <c r="W130" s="29"/>
    </row>
    <row r="131" spans="1:24" x14ac:dyDescent="0.25">
      <c r="A131" s="11" t="s">
        <v>742</v>
      </c>
      <c r="B131" s="11" t="s">
        <v>774</v>
      </c>
      <c r="C131" s="11" t="s">
        <v>775</v>
      </c>
      <c r="D131" s="11" t="s">
        <v>486</v>
      </c>
      <c r="E131" s="11" t="s">
        <v>745</v>
      </c>
      <c r="F131" s="29"/>
      <c r="G131" s="29"/>
      <c r="H131" s="29"/>
      <c r="I131" s="29"/>
      <c r="J131" s="29"/>
      <c r="K131" s="29"/>
      <c r="L131" s="29"/>
      <c r="M131" s="29"/>
      <c r="N131" s="29"/>
      <c r="O131" s="29"/>
      <c r="P131" s="29"/>
      <c r="Q131" s="29"/>
      <c r="R131" s="29"/>
      <c r="S131" s="29"/>
      <c r="T131" s="29"/>
      <c r="U131" s="29"/>
      <c r="V131" s="29"/>
      <c r="W131" s="29"/>
    </row>
    <row r="132" spans="1:24" x14ac:dyDescent="0.25">
      <c r="A132" s="11" t="s">
        <v>742</v>
      </c>
      <c r="B132" s="11" t="s">
        <v>776</v>
      </c>
      <c r="C132" s="11" t="s">
        <v>756</v>
      </c>
      <c r="D132" s="11" t="s">
        <v>486</v>
      </c>
      <c r="E132" s="11" t="s">
        <v>745</v>
      </c>
      <c r="F132" s="29"/>
      <c r="G132" s="29"/>
      <c r="H132" s="29"/>
      <c r="I132" s="29"/>
      <c r="J132" s="29"/>
      <c r="K132" s="29"/>
      <c r="L132" s="29"/>
      <c r="M132" s="29"/>
      <c r="N132" s="29"/>
      <c r="O132" s="29"/>
      <c r="P132" s="29"/>
      <c r="Q132" s="29"/>
      <c r="R132" s="29"/>
      <c r="S132" s="29"/>
      <c r="T132" s="29"/>
      <c r="U132" s="29"/>
      <c r="V132" s="29"/>
      <c r="W132" s="29"/>
    </row>
    <row r="133" spans="1:24" s="23" customFormat="1" x14ac:dyDescent="0.25"/>
    <row r="134" spans="1:24" s="23" customFormat="1" x14ac:dyDescent="0.25">
      <c r="C134" s="110" t="s">
        <v>848</v>
      </c>
    </row>
    <row r="135" spans="1:24" s="7" customFormat="1" x14ac:dyDescent="0.25">
      <c r="A135" s="110" t="s">
        <v>742</v>
      </c>
      <c r="B135" s="110" t="s">
        <v>757</v>
      </c>
      <c r="C135" s="110" t="s">
        <v>927</v>
      </c>
      <c r="D135" s="110" t="s">
        <v>488</v>
      </c>
      <c r="E135" s="110" t="s">
        <v>925</v>
      </c>
      <c r="F135" s="126">
        <v>5.3048999999999999</v>
      </c>
      <c r="G135" s="126">
        <v>5.1094179999999998</v>
      </c>
      <c r="H135" s="126">
        <v>5.0947750000000003</v>
      </c>
      <c r="I135" s="126">
        <v>3.1630900000000004</v>
      </c>
      <c r="J135" s="126">
        <v>4.07742</v>
      </c>
      <c r="K135" s="126">
        <v>6.6616</v>
      </c>
      <c r="L135" s="126">
        <v>6.8858999999999995</v>
      </c>
      <c r="M135" s="126">
        <v>4.0394800000000002</v>
      </c>
      <c r="N135" s="126">
        <v>1.78904</v>
      </c>
      <c r="O135" s="126">
        <v>1.7294</v>
      </c>
      <c r="P135" s="126">
        <v>1.0996700000000001</v>
      </c>
      <c r="Q135" s="126">
        <v>1.02921</v>
      </c>
      <c r="R135" s="126">
        <v>1.1312099999999998</v>
      </c>
      <c r="S135" s="29">
        <v>1.9496699999999998</v>
      </c>
      <c r="T135" s="29">
        <v>1.1894</v>
      </c>
      <c r="U135" s="29">
        <v>1.1141999999999999</v>
      </c>
      <c r="V135" s="29"/>
      <c r="W135" s="29"/>
      <c r="X135"/>
    </row>
    <row r="136" spans="1:24" x14ac:dyDescent="0.25">
      <c r="A136" s="11" t="s">
        <v>742</v>
      </c>
      <c r="B136" s="11" t="s">
        <v>758</v>
      </c>
      <c r="C136" s="11" t="s">
        <v>759</v>
      </c>
      <c r="D136" s="11" t="s">
        <v>488</v>
      </c>
      <c r="E136" s="11" t="s">
        <v>925</v>
      </c>
      <c r="F136" s="29"/>
      <c r="G136" s="29"/>
      <c r="H136" s="29"/>
      <c r="I136" s="29"/>
      <c r="J136" s="29"/>
      <c r="K136" s="29"/>
      <c r="L136" s="29"/>
      <c r="M136" s="29"/>
      <c r="N136" s="29"/>
      <c r="O136" s="29"/>
      <c r="P136" s="29"/>
      <c r="Q136" s="29"/>
      <c r="R136" s="29"/>
      <c r="S136" s="29"/>
      <c r="T136" s="29"/>
      <c r="U136" s="29"/>
      <c r="V136" s="29"/>
      <c r="W136" s="29"/>
    </row>
    <row r="137" spans="1:24" x14ac:dyDescent="0.25">
      <c r="A137" s="11" t="s">
        <v>742</v>
      </c>
      <c r="B137" s="11" t="s">
        <v>760</v>
      </c>
      <c r="C137" s="11" t="s">
        <v>761</v>
      </c>
      <c r="D137" s="11" t="s">
        <v>488</v>
      </c>
      <c r="E137" s="11" t="s">
        <v>925</v>
      </c>
      <c r="F137" s="29">
        <v>5.3048999999999999</v>
      </c>
      <c r="G137" s="29">
        <v>5.1094179999999998</v>
      </c>
      <c r="H137" s="29">
        <v>5.0947750000000003</v>
      </c>
      <c r="I137" s="29">
        <v>3.1630900000000004</v>
      </c>
      <c r="J137" s="29">
        <v>4.07742</v>
      </c>
      <c r="K137" s="29">
        <v>6.6616</v>
      </c>
      <c r="L137" s="29">
        <v>6.8858999999999995</v>
      </c>
      <c r="M137" s="29">
        <v>4.0394800000000002</v>
      </c>
      <c r="N137" s="29">
        <v>1.78904</v>
      </c>
      <c r="O137" s="29">
        <v>1.7294</v>
      </c>
      <c r="P137" s="29">
        <v>1.0996700000000001</v>
      </c>
      <c r="Q137" s="29">
        <v>1.02921</v>
      </c>
      <c r="R137" s="29">
        <v>1.1312099999999998</v>
      </c>
      <c r="S137" s="29">
        <v>1.9496699999999998</v>
      </c>
      <c r="T137" s="29">
        <v>1.1894</v>
      </c>
      <c r="U137" s="29">
        <v>1.1141999999999999</v>
      </c>
      <c r="V137" s="29"/>
      <c r="W137" s="29"/>
    </row>
    <row r="138" spans="1:24" x14ac:dyDescent="0.25">
      <c r="A138" s="11" t="s">
        <v>742</v>
      </c>
      <c r="B138" s="11" t="s">
        <v>762</v>
      </c>
      <c r="C138" s="11" t="s">
        <v>763</v>
      </c>
      <c r="D138" s="11" t="s">
        <v>488</v>
      </c>
      <c r="E138" s="11" t="s">
        <v>925</v>
      </c>
      <c r="F138" s="29"/>
      <c r="G138" s="29"/>
      <c r="H138" s="29"/>
      <c r="I138" s="29"/>
      <c r="J138" s="29"/>
      <c r="K138" s="29"/>
      <c r="L138" s="29"/>
      <c r="M138" s="29"/>
      <c r="N138" s="29"/>
      <c r="O138" s="29"/>
      <c r="P138" s="29"/>
      <c r="Q138" s="29"/>
      <c r="R138" s="29"/>
      <c r="S138" s="29"/>
      <c r="T138" s="29"/>
      <c r="U138" s="29"/>
      <c r="V138" s="29"/>
      <c r="W138" s="29"/>
    </row>
    <row r="139" spans="1:24" x14ac:dyDescent="0.25">
      <c r="A139" s="11" t="s">
        <v>742</v>
      </c>
      <c r="B139" s="11" t="s">
        <v>764</v>
      </c>
      <c r="C139" s="11" t="s">
        <v>765</v>
      </c>
      <c r="D139" s="11" t="s">
        <v>488</v>
      </c>
      <c r="E139" s="11" t="s">
        <v>925</v>
      </c>
      <c r="F139" s="29"/>
      <c r="G139" s="29"/>
      <c r="H139" s="29"/>
      <c r="I139" s="29"/>
      <c r="J139" s="29"/>
      <c r="K139" s="29"/>
      <c r="L139" s="29"/>
      <c r="M139" s="29"/>
      <c r="N139" s="29"/>
      <c r="O139" s="29"/>
      <c r="P139" s="29"/>
      <c r="Q139" s="29"/>
      <c r="R139" s="29"/>
      <c r="S139" s="29"/>
      <c r="T139" s="29"/>
      <c r="U139" s="29"/>
      <c r="V139" s="29"/>
      <c r="W139" s="29"/>
    </row>
    <row r="140" spans="1:24" x14ac:dyDescent="0.25">
      <c r="A140" s="11" t="s">
        <v>742</v>
      </c>
      <c r="B140" s="11" t="s">
        <v>766</v>
      </c>
      <c r="C140" s="11" t="s">
        <v>767</v>
      </c>
      <c r="D140" s="11" t="s">
        <v>488</v>
      </c>
      <c r="E140" s="11" t="s">
        <v>925</v>
      </c>
      <c r="F140" s="29"/>
      <c r="G140" s="29"/>
      <c r="H140" s="29"/>
      <c r="I140" s="29"/>
      <c r="J140" s="29"/>
      <c r="K140" s="29"/>
      <c r="L140" s="29"/>
      <c r="M140" s="29"/>
      <c r="N140" s="29"/>
      <c r="O140" s="29"/>
      <c r="P140" s="29"/>
      <c r="Q140" s="29"/>
      <c r="R140" s="29"/>
      <c r="S140" s="29"/>
      <c r="T140" s="29"/>
      <c r="U140" s="29"/>
      <c r="V140" s="29"/>
      <c r="W140" s="29"/>
    </row>
    <row r="141" spans="1:24" x14ac:dyDescent="0.25">
      <c r="A141" s="11" t="s">
        <v>742</v>
      </c>
      <c r="B141" s="11" t="s">
        <v>768</v>
      </c>
      <c r="C141" s="11" t="s">
        <v>769</v>
      </c>
      <c r="D141" s="11" t="s">
        <v>488</v>
      </c>
      <c r="E141" s="11" t="s">
        <v>925</v>
      </c>
      <c r="F141" s="29"/>
      <c r="G141" s="29"/>
      <c r="H141" s="29"/>
      <c r="I141" s="29"/>
      <c r="J141" s="29"/>
      <c r="K141" s="29"/>
      <c r="L141" s="29"/>
      <c r="M141" s="29"/>
      <c r="N141" s="29"/>
      <c r="O141" s="29"/>
      <c r="P141" s="29"/>
      <c r="Q141" s="29"/>
      <c r="R141" s="29"/>
      <c r="S141" s="29"/>
      <c r="T141" s="29"/>
      <c r="U141" s="29"/>
      <c r="V141" s="29"/>
      <c r="W141" s="29"/>
    </row>
    <row r="142" spans="1:24" x14ac:dyDescent="0.25">
      <c r="A142" s="11" t="s">
        <v>742</v>
      </c>
      <c r="B142" s="11" t="s">
        <v>770</v>
      </c>
      <c r="C142" s="11" t="s">
        <v>771</v>
      </c>
      <c r="D142" s="11" t="s">
        <v>488</v>
      </c>
      <c r="E142" s="11" t="s">
        <v>925</v>
      </c>
      <c r="F142" s="29"/>
      <c r="G142" s="29"/>
      <c r="H142" s="29"/>
      <c r="I142" s="29"/>
      <c r="J142" s="29"/>
      <c r="K142" s="29"/>
      <c r="L142" s="29"/>
      <c r="M142" s="29"/>
      <c r="N142" s="29"/>
      <c r="O142" s="29"/>
      <c r="P142" s="29"/>
      <c r="Q142" s="29"/>
      <c r="R142" s="29"/>
      <c r="S142" s="29"/>
      <c r="T142" s="29"/>
      <c r="U142" s="29"/>
      <c r="V142" s="29"/>
      <c r="W142" s="29"/>
    </row>
    <row r="143" spans="1:24" x14ac:dyDescent="0.25">
      <c r="A143" s="11" t="s">
        <v>742</v>
      </c>
      <c r="B143" s="11" t="s">
        <v>772</v>
      </c>
      <c r="C143" s="11" t="s">
        <v>773</v>
      </c>
      <c r="D143" s="11" t="s">
        <v>488</v>
      </c>
      <c r="E143" s="11" t="s">
        <v>925</v>
      </c>
      <c r="F143" s="29"/>
      <c r="G143" s="29"/>
      <c r="H143" s="29"/>
      <c r="I143" s="29"/>
      <c r="J143" s="29"/>
      <c r="K143" s="29"/>
      <c r="L143" s="29"/>
      <c r="M143" s="29"/>
      <c r="N143" s="29"/>
      <c r="O143" s="29"/>
      <c r="P143" s="29"/>
      <c r="Q143" s="29"/>
      <c r="R143" s="29"/>
      <c r="S143" s="29"/>
      <c r="T143" s="29"/>
      <c r="U143" s="29"/>
      <c r="V143" s="29"/>
      <c r="W143" s="29"/>
    </row>
    <row r="144" spans="1:24" x14ac:dyDescent="0.25">
      <c r="A144" s="11" t="s">
        <v>742</v>
      </c>
      <c r="B144" s="11" t="s">
        <v>774</v>
      </c>
      <c r="C144" s="11" t="s">
        <v>775</v>
      </c>
      <c r="D144" s="11" t="s">
        <v>488</v>
      </c>
      <c r="E144" s="11" t="s">
        <v>925</v>
      </c>
      <c r="F144" s="29"/>
      <c r="G144" s="29"/>
      <c r="H144" s="29"/>
      <c r="I144" s="29"/>
      <c r="J144" s="29"/>
      <c r="K144" s="29"/>
      <c r="L144" s="29"/>
      <c r="M144" s="29"/>
      <c r="N144" s="29"/>
      <c r="O144" s="29"/>
      <c r="P144" s="29"/>
      <c r="Q144" s="29"/>
      <c r="R144" s="29"/>
      <c r="S144" s="29"/>
      <c r="T144" s="29"/>
      <c r="U144" s="29"/>
      <c r="V144" s="29"/>
      <c r="W144" s="29"/>
    </row>
    <row r="145" spans="1:24" x14ac:dyDescent="0.25">
      <c r="A145" s="11" t="s">
        <v>742</v>
      </c>
      <c r="B145" s="11" t="s">
        <v>776</v>
      </c>
      <c r="C145" s="11" t="s">
        <v>756</v>
      </c>
      <c r="D145" s="11" t="s">
        <v>488</v>
      </c>
      <c r="E145" s="11" t="s">
        <v>925</v>
      </c>
      <c r="F145" s="29"/>
      <c r="G145" s="29"/>
      <c r="H145" s="29"/>
      <c r="I145" s="29"/>
      <c r="J145" s="29"/>
      <c r="K145" s="29"/>
      <c r="L145" s="29"/>
      <c r="M145" s="29"/>
      <c r="N145" s="29"/>
      <c r="O145" s="29"/>
      <c r="P145" s="29"/>
      <c r="Q145" s="29"/>
      <c r="R145" s="29"/>
      <c r="S145" s="29"/>
      <c r="T145" s="29"/>
      <c r="U145" s="29"/>
      <c r="V145" s="29"/>
      <c r="W145" s="29"/>
    </row>
    <row r="146" spans="1:24" s="23" customFormat="1" x14ac:dyDescent="0.25"/>
    <row r="147" spans="1:24" s="7" customFormat="1" x14ac:dyDescent="0.25">
      <c r="A147" s="110" t="s">
        <v>742</v>
      </c>
      <c r="B147" s="110" t="s">
        <v>757</v>
      </c>
      <c r="C147" s="110" t="s">
        <v>927</v>
      </c>
      <c r="D147" s="110" t="s">
        <v>488</v>
      </c>
      <c r="E147" s="110" t="s">
        <v>745</v>
      </c>
      <c r="F147" s="126">
        <v>1644.519</v>
      </c>
      <c r="G147" s="126">
        <v>1583.9195799999998</v>
      </c>
      <c r="H147" s="126">
        <v>1579.3802500000002</v>
      </c>
      <c r="I147" s="126">
        <v>980.55790000000013</v>
      </c>
      <c r="J147" s="126">
        <v>1264.0001999999999</v>
      </c>
      <c r="K147" s="126">
        <v>2065.096</v>
      </c>
      <c r="L147" s="126">
        <v>2134.6289999999999</v>
      </c>
      <c r="M147" s="126">
        <v>1252.2388000000001</v>
      </c>
      <c r="N147" s="126">
        <v>554.60239999999999</v>
      </c>
      <c r="O147" s="126">
        <v>536.11399999999992</v>
      </c>
      <c r="P147" s="126">
        <v>340.89769999999999</v>
      </c>
      <c r="Q147" s="126">
        <v>319.05509999999998</v>
      </c>
      <c r="R147" s="126">
        <v>350.67509999999999</v>
      </c>
      <c r="S147" s="29">
        <v>604.39769999999999</v>
      </c>
      <c r="T147" s="29">
        <v>368.71400000000006</v>
      </c>
      <c r="U147" s="29">
        <v>345.40200000000004</v>
      </c>
      <c r="V147" s="29"/>
      <c r="W147" s="29"/>
      <c r="X147"/>
    </row>
    <row r="148" spans="1:24" x14ac:dyDescent="0.25">
      <c r="A148" s="11" t="s">
        <v>742</v>
      </c>
      <c r="B148" s="11" t="s">
        <v>758</v>
      </c>
      <c r="C148" s="11" t="s">
        <v>759</v>
      </c>
      <c r="D148" s="11" t="s">
        <v>488</v>
      </c>
      <c r="E148" s="11" t="s">
        <v>745</v>
      </c>
      <c r="F148" s="29"/>
      <c r="G148" s="29"/>
      <c r="H148" s="29"/>
      <c r="I148" s="29"/>
      <c r="J148" s="29"/>
      <c r="K148" s="29"/>
      <c r="L148" s="29"/>
      <c r="M148" s="29"/>
      <c r="N148" s="29"/>
      <c r="O148" s="29"/>
      <c r="P148" s="29"/>
      <c r="Q148" s="29"/>
      <c r="R148" s="29"/>
      <c r="S148" s="29"/>
      <c r="T148" s="29"/>
      <c r="U148" s="29"/>
      <c r="V148" s="29"/>
      <c r="W148" s="29"/>
    </row>
    <row r="149" spans="1:24" x14ac:dyDescent="0.25">
      <c r="A149" s="11" t="s">
        <v>742</v>
      </c>
      <c r="B149" s="11" t="s">
        <v>760</v>
      </c>
      <c r="C149" s="11" t="s">
        <v>761</v>
      </c>
      <c r="D149" s="11" t="s">
        <v>488</v>
      </c>
      <c r="E149" s="11" t="s">
        <v>745</v>
      </c>
      <c r="F149" s="29">
        <v>1644.519</v>
      </c>
      <c r="G149" s="29">
        <v>1583.9195799999998</v>
      </c>
      <c r="H149" s="29">
        <v>1579.3802500000002</v>
      </c>
      <c r="I149" s="29">
        <v>980.55790000000013</v>
      </c>
      <c r="J149" s="29">
        <v>1264.0001999999999</v>
      </c>
      <c r="K149" s="29">
        <v>2065.096</v>
      </c>
      <c r="L149" s="29">
        <v>2134.6289999999999</v>
      </c>
      <c r="M149" s="29">
        <v>1252.2388000000001</v>
      </c>
      <c r="N149" s="29">
        <v>554.60239999999999</v>
      </c>
      <c r="O149" s="29">
        <v>536.11399999999992</v>
      </c>
      <c r="P149" s="29">
        <v>340.89769999999999</v>
      </c>
      <c r="Q149" s="29">
        <v>319.05509999999998</v>
      </c>
      <c r="R149" s="29">
        <v>350.67509999999999</v>
      </c>
      <c r="S149" s="29">
        <v>604.39769999999999</v>
      </c>
      <c r="T149" s="29">
        <v>368.71400000000006</v>
      </c>
      <c r="U149" s="29">
        <v>345.40200000000004</v>
      </c>
      <c r="V149" s="29"/>
      <c r="W149" s="29"/>
    </row>
    <row r="150" spans="1:24" x14ac:dyDescent="0.25">
      <c r="A150" s="11" t="s">
        <v>742</v>
      </c>
      <c r="B150" s="11" t="s">
        <v>762</v>
      </c>
      <c r="C150" s="11" t="s">
        <v>763</v>
      </c>
      <c r="D150" s="11" t="s">
        <v>488</v>
      </c>
      <c r="E150" s="11" t="s">
        <v>745</v>
      </c>
      <c r="F150" s="29"/>
      <c r="G150" s="29"/>
      <c r="H150" s="29"/>
      <c r="I150" s="29"/>
      <c r="J150" s="29"/>
      <c r="K150" s="29"/>
      <c r="L150" s="29"/>
      <c r="M150" s="29"/>
      <c r="N150" s="29"/>
      <c r="O150" s="29"/>
      <c r="P150" s="29"/>
      <c r="Q150" s="29"/>
      <c r="R150" s="29"/>
      <c r="S150" s="29"/>
      <c r="T150" s="29"/>
      <c r="U150" s="29"/>
      <c r="V150" s="29"/>
      <c r="W150" s="29"/>
    </row>
    <row r="151" spans="1:24" x14ac:dyDescent="0.25">
      <c r="A151" s="11" t="s">
        <v>742</v>
      </c>
      <c r="B151" s="11" t="s">
        <v>764</v>
      </c>
      <c r="C151" s="11" t="s">
        <v>765</v>
      </c>
      <c r="D151" s="11" t="s">
        <v>488</v>
      </c>
      <c r="E151" s="11" t="s">
        <v>745</v>
      </c>
      <c r="F151" s="29"/>
      <c r="G151" s="29"/>
      <c r="H151" s="29"/>
      <c r="I151" s="29"/>
      <c r="J151" s="29"/>
      <c r="K151" s="29"/>
      <c r="L151" s="29"/>
      <c r="M151" s="29"/>
      <c r="N151" s="29"/>
      <c r="O151" s="29"/>
      <c r="P151" s="29"/>
      <c r="Q151" s="29"/>
      <c r="R151" s="29"/>
      <c r="S151" s="29"/>
      <c r="T151" s="29"/>
      <c r="U151" s="29"/>
      <c r="V151" s="29"/>
      <c r="W151" s="29"/>
    </row>
    <row r="152" spans="1:24" x14ac:dyDescent="0.25">
      <c r="A152" s="11" t="s">
        <v>742</v>
      </c>
      <c r="B152" s="11" t="s">
        <v>766</v>
      </c>
      <c r="C152" s="11" t="s">
        <v>767</v>
      </c>
      <c r="D152" s="11" t="s">
        <v>488</v>
      </c>
      <c r="E152" s="11" t="s">
        <v>745</v>
      </c>
      <c r="F152" s="29"/>
      <c r="G152" s="29"/>
      <c r="H152" s="29"/>
      <c r="I152" s="29"/>
      <c r="J152" s="29"/>
      <c r="K152" s="29"/>
      <c r="L152" s="29"/>
      <c r="M152" s="29"/>
      <c r="N152" s="29"/>
      <c r="O152" s="29"/>
      <c r="P152" s="29"/>
      <c r="Q152" s="29"/>
      <c r="R152" s="29"/>
      <c r="S152" s="29"/>
      <c r="T152" s="29"/>
      <c r="U152" s="29"/>
      <c r="V152" s="29"/>
      <c r="W152" s="29"/>
    </row>
    <row r="153" spans="1:24" x14ac:dyDescent="0.25">
      <c r="A153" s="11" t="s">
        <v>742</v>
      </c>
      <c r="B153" s="11" t="s">
        <v>768</v>
      </c>
      <c r="C153" s="11" t="s">
        <v>769</v>
      </c>
      <c r="D153" s="11" t="s">
        <v>488</v>
      </c>
      <c r="E153" s="11" t="s">
        <v>745</v>
      </c>
      <c r="F153" s="29"/>
      <c r="G153" s="29"/>
      <c r="H153" s="29"/>
      <c r="I153" s="29"/>
      <c r="J153" s="29"/>
      <c r="K153" s="29"/>
      <c r="L153" s="29"/>
      <c r="M153" s="29"/>
      <c r="N153" s="29"/>
      <c r="O153" s="29"/>
      <c r="P153" s="29"/>
      <c r="Q153" s="29"/>
      <c r="R153" s="29"/>
      <c r="S153" s="29"/>
      <c r="T153" s="29"/>
      <c r="U153" s="29"/>
      <c r="V153" s="29"/>
      <c r="W153" s="29"/>
    </row>
    <row r="154" spans="1:24" x14ac:dyDescent="0.25">
      <c r="A154" s="11" t="s">
        <v>742</v>
      </c>
      <c r="B154" s="11" t="s">
        <v>770</v>
      </c>
      <c r="C154" s="11" t="s">
        <v>771</v>
      </c>
      <c r="D154" s="11" t="s">
        <v>488</v>
      </c>
      <c r="E154" s="11" t="s">
        <v>745</v>
      </c>
      <c r="F154" s="29"/>
      <c r="G154" s="29"/>
      <c r="H154" s="29"/>
      <c r="I154" s="29"/>
      <c r="J154" s="29"/>
      <c r="K154" s="29"/>
      <c r="L154" s="29"/>
      <c r="M154" s="29"/>
      <c r="N154" s="29"/>
      <c r="O154" s="29"/>
      <c r="P154" s="29"/>
      <c r="Q154" s="29"/>
      <c r="R154" s="29"/>
      <c r="S154" s="29"/>
      <c r="T154" s="29"/>
      <c r="U154" s="29"/>
      <c r="V154" s="29"/>
      <c r="W154" s="29"/>
    </row>
    <row r="155" spans="1:24" x14ac:dyDescent="0.25">
      <c r="A155" s="11" t="s">
        <v>742</v>
      </c>
      <c r="B155" s="11" t="s">
        <v>772</v>
      </c>
      <c r="C155" s="11" t="s">
        <v>773</v>
      </c>
      <c r="D155" s="11" t="s">
        <v>488</v>
      </c>
      <c r="E155" s="11" t="s">
        <v>745</v>
      </c>
      <c r="F155" s="29"/>
      <c r="G155" s="29"/>
      <c r="H155" s="29"/>
      <c r="I155" s="29"/>
      <c r="J155" s="29"/>
      <c r="K155" s="29"/>
      <c r="L155" s="29"/>
      <c r="M155" s="29"/>
      <c r="N155" s="29"/>
      <c r="O155" s="29"/>
      <c r="P155" s="29"/>
      <c r="Q155" s="29"/>
      <c r="R155" s="29"/>
      <c r="S155" s="29"/>
      <c r="T155" s="29"/>
      <c r="U155" s="29"/>
      <c r="V155" s="29"/>
      <c r="W155" s="29"/>
    </row>
    <row r="156" spans="1:24" x14ac:dyDescent="0.25">
      <c r="A156" s="11" t="s">
        <v>742</v>
      </c>
      <c r="B156" s="11" t="s">
        <v>774</v>
      </c>
      <c r="C156" s="11" t="s">
        <v>775</v>
      </c>
      <c r="D156" s="11" t="s">
        <v>488</v>
      </c>
      <c r="E156" s="11" t="s">
        <v>745</v>
      </c>
      <c r="F156" s="29"/>
      <c r="G156" s="29"/>
      <c r="H156" s="29"/>
      <c r="I156" s="29"/>
      <c r="J156" s="29"/>
      <c r="K156" s="29"/>
      <c r="L156" s="29"/>
      <c r="M156" s="29"/>
      <c r="N156" s="29"/>
      <c r="O156" s="29"/>
      <c r="P156" s="29"/>
      <c r="Q156" s="29"/>
      <c r="R156" s="29"/>
      <c r="S156" s="29"/>
      <c r="T156" s="29"/>
      <c r="U156" s="29"/>
      <c r="V156" s="29"/>
      <c r="W156" s="29"/>
    </row>
    <row r="157" spans="1:24" x14ac:dyDescent="0.25">
      <c r="A157" s="11" t="s">
        <v>742</v>
      </c>
      <c r="B157" s="11" t="s">
        <v>776</v>
      </c>
      <c r="C157" s="11" t="s">
        <v>756</v>
      </c>
      <c r="D157" s="11" t="s">
        <v>488</v>
      </c>
      <c r="E157" s="11" t="s">
        <v>745</v>
      </c>
      <c r="F157" s="29"/>
      <c r="G157" s="29"/>
      <c r="H157" s="29"/>
      <c r="I157" s="29"/>
      <c r="J157" s="29"/>
      <c r="K157" s="29"/>
      <c r="L157" s="29"/>
      <c r="M157" s="29"/>
      <c r="N157" s="29"/>
      <c r="O157" s="29"/>
      <c r="P157" s="29"/>
      <c r="Q157" s="29"/>
      <c r="R157" s="29"/>
      <c r="S157" s="29"/>
      <c r="T157" s="29"/>
      <c r="U157" s="29"/>
      <c r="V157" s="29"/>
      <c r="W157" s="29"/>
    </row>
    <row r="158" spans="1:24" s="23" customFormat="1" x14ac:dyDescent="0.25"/>
    <row r="159" spans="1:24" s="22" customFormat="1" x14ac:dyDescent="0.25">
      <c r="A159" s="123" t="s">
        <v>854</v>
      </c>
      <c r="D159" s="8" t="s">
        <v>852</v>
      </c>
    </row>
    <row r="160" spans="1:24" s="7" customFormat="1" x14ac:dyDescent="0.25">
      <c r="A160" s="110" t="s">
        <v>736</v>
      </c>
      <c r="B160" s="110" t="s">
        <v>737</v>
      </c>
      <c r="C160" s="110" t="s">
        <v>738</v>
      </c>
      <c r="D160" s="110" t="s">
        <v>739</v>
      </c>
      <c r="E160" s="110" t="s">
        <v>740</v>
      </c>
      <c r="F160" s="110">
        <v>2000</v>
      </c>
      <c r="G160" s="110">
        <v>2001</v>
      </c>
      <c r="H160" s="110">
        <v>2002</v>
      </c>
      <c r="I160" s="110">
        <v>2003</v>
      </c>
      <c r="J160" s="110">
        <v>2004</v>
      </c>
      <c r="K160" s="110">
        <v>2005</v>
      </c>
      <c r="L160" s="110">
        <v>2006</v>
      </c>
      <c r="M160" s="110">
        <v>2007</v>
      </c>
      <c r="N160" s="110">
        <v>2008</v>
      </c>
      <c r="O160" s="110">
        <v>2009</v>
      </c>
      <c r="P160" s="110">
        <v>2010</v>
      </c>
      <c r="Q160" s="110">
        <v>2011</v>
      </c>
      <c r="R160" s="110">
        <v>2012</v>
      </c>
      <c r="S160" s="110">
        <v>2013</v>
      </c>
      <c r="T160" s="110">
        <v>2014</v>
      </c>
      <c r="U160" s="110">
        <v>2015</v>
      </c>
      <c r="V160" s="110"/>
      <c r="W160" s="110"/>
    </row>
    <row r="161" spans="1:23" s="7" customFormat="1" x14ac:dyDescent="0.25">
      <c r="A161" s="110" t="s">
        <v>742</v>
      </c>
      <c r="B161" s="110" t="s">
        <v>757</v>
      </c>
      <c r="C161" s="110" t="s">
        <v>937</v>
      </c>
      <c r="D161" s="110" t="s">
        <v>744</v>
      </c>
      <c r="E161" s="110" t="s">
        <v>745</v>
      </c>
      <c r="F161" s="66">
        <f>IFERROR(((F5/F84)-1),"CHECK")</f>
        <v>0</v>
      </c>
      <c r="G161" s="66">
        <f t="shared" ref="G161:U161" si="31">IFERROR(((G5/G84)-1),"CHECK")</f>
        <v>0</v>
      </c>
      <c r="H161" s="66">
        <f t="shared" si="31"/>
        <v>0</v>
      </c>
      <c r="I161" s="66">
        <f t="shared" si="31"/>
        <v>0</v>
      </c>
      <c r="J161" s="66">
        <f t="shared" si="31"/>
        <v>0</v>
      </c>
      <c r="K161" s="66">
        <f t="shared" si="31"/>
        <v>0</v>
      </c>
      <c r="L161" s="66">
        <f t="shared" si="31"/>
        <v>0</v>
      </c>
      <c r="M161" s="66">
        <f t="shared" si="31"/>
        <v>0</v>
      </c>
      <c r="N161" s="66">
        <f t="shared" si="31"/>
        <v>0</v>
      </c>
      <c r="O161" s="66">
        <f t="shared" si="31"/>
        <v>0</v>
      </c>
      <c r="P161" s="66">
        <f t="shared" si="31"/>
        <v>0</v>
      </c>
      <c r="Q161" s="66">
        <f t="shared" si="31"/>
        <v>0</v>
      </c>
      <c r="R161" s="66">
        <f t="shared" si="31"/>
        <v>0</v>
      </c>
      <c r="S161" s="66">
        <f t="shared" si="31"/>
        <v>0</v>
      </c>
      <c r="T161" s="66">
        <f t="shared" si="31"/>
        <v>0</v>
      </c>
      <c r="U161" s="66">
        <f t="shared" si="31"/>
        <v>0</v>
      </c>
      <c r="V161" s="66"/>
      <c r="W161" s="66"/>
    </row>
    <row r="162" spans="1:23" x14ac:dyDescent="0.25">
      <c r="A162" s="11" t="s">
        <v>742</v>
      </c>
      <c r="B162" s="11" t="s">
        <v>758</v>
      </c>
      <c r="C162" s="11" t="s">
        <v>759</v>
      </c>
      <c r="D162" s="11" t="s">
        <v>744</v>
      </c>
      <c r="E162" s="11" t="s">
        <v>745</v>
      </c>
      <c r="F162" s="66">
        <f t="shared" ref="F162:U171" si="32">IFERROR(((F6/F85)-1),"CHECK")</f>
        <v>0</v>
      </c>
      <c r="G162" s="66">
        <f t="shared" si="32"/>
        <v>0</v>
      </c>
      <c r="H162" s="66">
        <f t="shared" si="32"/>
        <v>0</v>
      </c>
      <c r="I162" s="66">
        <f t="shared" si="32"/>
        <v>0</v>
      </c>
      <c r="J162" s="66">
        <f t="shared" si="32"/>
        <v>0</v>
      </c>
      <c r="K162" s="66">
        <f t="shared" si="32"/>
        <v>0</v>
      </c>
      <c r="L162" s="66">
        <f t="shared" si="32"/>
        <v>0</v>
      </c>
      <c r="M162" s="66">
        <f t="shared" si="32"/>
        <v>0</v>
      </c>
      <c r="N162" s="66">
        <f t="shared" si="32"/>
        <v>0</v>
      </c>
      <c r="O162" s="66">
        <f t="shared" si="32"/>
        <v>0</v>
      </c>
      <c r="P162" s="66">
        <f t="shared" si="32"/>
        <v>0</v>
      </c>
      <c r="Q162" s="66">
        <f t="shared" si="32"/>
        <v>0</v>
      </c>
      <c r="R162" s="66">
        <f t="shared" si="32"/>
        <v>0</v>
      </c>
      <c r="S162" s="66">
        <f t="shared" si="32"/>
        <v>0</v>
      </c>
      <c r="T162" s="66">
        <f t="shared" si="32"/>
        <v>0</v>
      </c>
      <c r="U162" s="66">
        <f t="shared" si="32"/>
        <v>0</v>
      </c>
      <c r="V162" s="66"/>
      <c r="W162" s="66"/>
    </row>
    <row r="163" spans="1:23" x14ac:dyDescent="0.25">
      <c r="A163" s="11" t="s">
        <v>742</v>
      </c>
      <c r="B163" s="11" t="s">
        <v>760</v>
      </c>
      <c r="C163" s="11" t="s">
        <v>761</v>
      </c>
      <c r="D163" s="11" t="s">
        <v>744</v>
      </c>
      <c r="E163" s="11" t="s">
        <v>745</v>
      </c>
      <c r="F163" s="66">
        <f t="shared" si="32"/>
        <v>0</v>
      </c>
      <c r="G163" s="66">
        <f t="shared" si="32"/>
        <v>0</v>
      </c>
      <c r="H163" s="66">
        <f t="shared" si="32"/>
        <v>0</v>
      </c>
      <c r="I163" s="66">
        <f t="shared" si="32"/>
        <v>0</v>
      </c>
      <c r="J163" s="66">
        <f t="shared" si="32"/>
        <v>0</v>
      </c>
      <c r="K163" s="66">
        <f t="shared" si="32"/>
        <v>0</v>
      </c>
      <c r="L163" s="66">
        <f t="shared" si="32"/>
        <v>0</v>
      </c>
      <c r="M163" s="66">
        <f t="shared" si="32"/>
        <v>0</v>
      </c>
      <c r="N163" s="66">
        <f t="shared" si="32"/>
        <v>0</v>
      </c>
      <c r="O163" s="66">
        <f t="shared" si="32"/>
        <v>0</v>
      </c>
      <c r="P163" s="66">
        <f t="shared" si="32"/>
        <v>0</v>
      </c>
      <c r="Q163" s="66">
        <f t="shared" si="32"/>
        <v>0</v>
      </c>
      <c r="R163" s="66">
        <f t="shared" si="32"/>
        <v>0</v>
      </c>
      <c r="S163" s="66">
        <f t="shared" si="32"/>
        <v>0</v>
      </c>
      <c r="T163" s="66">
        <f t="shared" si="32"/>
        <v>0</v>
      </c>
      <c r="U163" s="66">
        <f t="shared" si="32"/>
        <v>0</v>
      </c>
      <c r="V163" s="66"/>
      <c r="W163" s="66"/>
    </row>
    <row r="164" spans="1:23" x14ac:dyDescent="0.25">
      <c r="A164" s="11" t="s">
        <v>742</v>
      </c>
      <c r="B164" s="11" t="s">
        <v>762</v>
      </c>
      <c r="C164" s="11" t="s">
        <v>763</v>
      </c>
      <c r="D164" s="11" t="s">
        <v>744</v>
      </c>
      <c r="E164" s="11" t="s">
        <v>745</v>
      </c>
      <c r="F164" s="66" t="str">
        <f t="shared" si="32"/>
        <v>CHECK</v>
      </c>
      <c r="G164" s="66" t="str">
        <f t="shared" si="32"/>
        <v>CHECK</v>
      </c>
      <c r="H164" s="66" t="str">
        <f t="shared" si="32"/>
        <v>CHECK</v>
      </c>
      <c r="I164" s="66" t="str">
        <f t="shared" si="32"/>
        <v>CHECK</v>
      </c>
      <c r="J164" s="66" t="str">
        <f t="shared" si="32"/>
        <v>CHECK</v>
      </c>
      <c r="K164" s="66" t="str">
        <f t="shared" si="32"/>
        <v>CHECK</v>
      </c>
      <c r="L164" s="66" t="str">
        <f t="shared" si="32"/>
        <v>CHECK</v>
      </c>
      <c r="M164" s="66" t="str">
        <f t="shared" si="32"/>
        <v>CHECK</v>
      </c>
      <c r="N164" s="66" t="str">
        <f t="shared" si="32"/>
        <v>CHECK</v>
      </c>
      <c r="O164" s="66" t="str">
        <f t="shared" si="32"/>
        <v>CHECK</v>
      </c>
      <c r="P164" s="66" t="str">
        <f t="shared" si="32"/>
        <v>CHECK</v>
      </c>
      <c r="Q164" s="66" t="str">
        <f t="shared" si="32"/>
        <v>CHECK</v>
      </c>
      <c r="R164" s="66" t="str">
        <f t="shared" si="32"/>
        <v>CHECK</v>
      </c>
      <c r="S164" s="66" t="str">
        <f t="shared" si="32"/>
        <v>CHECK</v>
      </c>
      <c r="T164" s="66" t="str">
        <f t="shared" si="32"/>
        <v>CHECK</v>
      </c>
      <c r="U164" s="66" t="str">
        <f t="shared" si="32"/>
        <v>CHECK</v>
      </c>
      <c r="V164" s="66"/>
      <c r="W164" s="66"/>
    </row>
    <row r="165" spans="1:23" x14ac:dyDescent="0.25">
      <c r="A165" s="11" t="s">
        <v>742</v>
      </c>
      <c r="B165" s="11" t="s">
        <v>764</v>
      </c>
      <c r="C165" s="11" t="s">
        <v>765</v>
      </c>
      <c r="D165" s="11" t="s">
        <v>744</v>
      </c>
      <c r="E165" s="11" t="s">
        <v>745</v>
      </c>
      <c r="F165" s="66" t="str">
        <f t="shared" si="32"/>
        <v>CHECK</v>
      </c>
      <c r="G165" s="66" t="str">
        <f t="shared" si="32"/>
        <v>CHECK</v>
      </c>
      <c r="H165" s="66" t="str">
        <f t="shared" si="32"/>
        <v>CHECK</v>
      </c>
      <c r="I165" s="66" t="str">
        <f t="shared" si="32"/>
        <v>CHECK</v>
      </c>
      <c r="J165" s="66" t="str">
        <f t="shared" si="32"/>
        <v>CHECK</v>
      </c>
      <c r="K165" s="66" t="str">
        <f t="shared" si="32"/>
        <v>CHECK</v>
      </c>
      <c r="L165" s="66" t="str">
        <f t="shared" si="32"/>
        <v>CHECK</v>
      </c>
      <c r="M165" s="66" t="str">
        <f t="shared" si="32"/>
        <v>CHECK</v>
      </c>
      <c r="N165" s="66" t="str">
        <f t="shared" si="32"/>
        <v>CHECK</v>
      </c>
      <c r="O165" s="66" t="str">
        <f t="shared" si="32"/>
        <v>CHECK</v>
      </c>
      <c r="P165" s="66" t="str">
        <f t="shared" si="32"/>
        <v>CHECK</v>
      </c>
      <c r="Q165" s="66" t="str">
        <f t="shared" si="32"/>
        <v>CHECK</v>
      </c>
      <c r="R165" s="66" t="str">
        <f t="shared" si="32"/>
        <v>CHECK</v>
      </c>
      <c r="S165" s="66" t="str">
        <f t="shared" si="32"/>
        <v>CHECK</v>
      </c>
      <c r="T165" s="66" t="str">
        <f t="shared" si="32"/>
        <v>CHECK</v>
      </c>
      <c r="U165" s="66" t="str">
        <f t="shared" si="32"/>
        <v>CHECK</v>
      </c>
      <c r="V165" s="66"/>
      <c r="W165" s="66"/>
    </row>
    <row r="166" spans="1:23" x14ac:dyDescent="0.25">
      <c r="A166" s="11" t="s">
        <v>742</v>
      </c>
      <c r="B166" s="11" t="s">
        <v>766</v>
      </c>
      <c r="C166" s="11" t="s">
        <v>767</v>
      </c>
      <c r="D166" s="11" t="s">
        <v>744</v>
      </c>
      <c r="E166" s="11" t="s">
        <v>745</v>
      </c>
      <c r="F166" s="66">
        <f t="shared" si="32"/>
        <v>0</v>
      </c>
      <c r="G166" s="66">
        <f t="shared" si="32"/>
        <v>0</v>
      </c>
      <c r="H166" s="66">
        <f t="shared" si="32"/>
        <v>0</v>
      </c>
      <c r="I166" s="66">
        <f t="shared" si="32"/>
        <v>0</v>
      </c>
      <c r="J166" s="66">
        <f t="shared" si="32"/>
        <v>0</v>
      </c>
      <c r="K166" s="66">
        <f t="shared" si="32"/>
        <v>0</v>
      </c>
      <c r="L166" s="66">
        <f t="shared" si="32"/>
        <v>0</v>
      </c>
      <c r="M166" s="66">
        <f t="shared" si="32"/>
        <v>0</v>
      </c>
      <c r="N166" s="66">
        <f t="shared" si="32"/>
        <v>0</v>
      </c>
      <c r="O166" s="66">
        <f t="shared" si="32"/>
        <v>0</v>
      </c>
      <c r="P166" s="66">
        <f t="shared" si="32"/>
        <v>0</v>
      </c>
      <c r="Q166" s="66">
        <f t="shared" si="32"/>
        <v>0</v>
      </c>
      <c r="R166" s="66">
        <f t="shared" si="32"/>
        <v>0</v>
      </c>
      <c r="S166" s="66">
        <f t="shared" si="32"/>
        <v>0</v>
      </c>
      <c r="T166" s="66">
        <f t="shared" si="32"/>
        <v>0</v>
      </c>
      <c r="U166" s="66">
        <f t="shared" si="32"/>
        <v>0</v>
      </c>
      <c r="V166" s="66"/>
      <c r="W166" s="66"/>
    </row>
    <row r="167" spans="1:23" x14ac:dyDescent="0.25">
      <c r="A167" s="11" t="s">
        <v>742</v>
      </c>
      <c r="B167" s="11" t="s">
        <v>768</v>
      </c>
      <c r="C167" s="11" t="s">
        <v>769</v>
      </c>
      <c r="D167" s="11" t="s">
        <v>744</v>
      </c>
      <c r="E167" s="11" t="s">
        <v>745</v>
      </c>
      <c r="F167" s="66">
        <f t="shared" si="32"/>
        <v>0</v>
      </c>
      <c r="G167" s="66">
        <f t="shared" si="32"/>
        <v>0</v>
      </c>
      <c r="H167" s="66">
        <f t="shared" si="32"/>
        <v>0</v>
      </c>
      <c r="I167" s="66">
        <f t="shared" si="32"/>
        <v>0</v>
      </c>
      <c r="J167" s="66">
        <f t="shared" si="32"/>
        <v>0</v>
      </c>
      <c r="K167" s="66">
        <f t="shared" si="32"/>
        <v>0</v>
      </c>
      <c r="L167" s="66">
        <f t="shared" si="32"/>
        <v>0</v>
      </c>
      <c r="M167" s="66">
        <f t="shared" si="32"/>
        <v>0</v>
      </c>
      <c r="N167" s="66">
        <f t="shared" si="32"/>
        <v>0</v>
      </c>
      <c r="O167" s="66">
        <f t="shared" si="32"/>
        <v>0</v>
      </c>
      <c r="P167" s="66">
        <f t="shared" si="32"/>
        <v>0</v>
      </c>
      <c r="Q167" s="66">
        <f t="shared" si="32"/>
        <v>0</v>
      </c>
      <c r="R167" s="66">
        <f t="shared" si="32"/>
        <v>0</v>
      </c>
      <c r="S167" s="66">
        <f t="shared" si="32"/>
        <v>0</v>
      </c>
      <c r="T167" s="66">
        <f t="shared" si="32"/>
        <v>0</v>
      </c>
      <c r="U167" s="66">
        <f t="shared" si="32"/>
        <v>0</v>
      </c>
      <c r="V167" s="66"/>
      <c r="W167" s="66"/>
    </row>
    <row r="168" spans="1:23" x14ac:dyDescent="0.25">
      <c r="A168" s="11" t="s">
        <v>742</v>
      </c>
      <c r="B168" s="11" t="s">
        <v>770</v>
      </c>
      <c r="C168" s="11" t="s">
        <v>771</v>
      </c>
      <c r="D168" s="11" t="s">
        <v>744</v>
      </c>
      <c r="E168" s="11" t="s">
        <v>745</v>
      </c>
      <c r="F168" s="66" t="str">
        <f t="shared" si="32"/>
        <v>CHECK</v>
      </c>
      <c r="G168" s="66" t="str">
        <f t="shared" si="32"/>
        <v>CHECK</v>
      </c>
      <c r="H168" s="66" t="str">
        <f t="shared" si="32"/>
        <v>CHECK</v>
      </c>
      <c r="I168" s="66" t="str">
        <f t="shared" si="32"/>
        <v>CHECK</v>
      </c>
      <c r="J168" s="66" t="str">
        <f t="shared" si="32"/>
        <v>CHECK</v>
      </c>
      <c r="K168" s="66" t="str">
        <f t="shared" si="32"/>
        <v>CHECK</v>
      </c>
      <c r="L168" s="66" t="str">
        <f t="shared" si="32"/>
        <v>CHECK</v>
      </c>
      <c r="M168" s="66" t="str">
        <f t="shared" si="32"/>
        <v>CHECK</v>
      </c>
      <c r="N168" s="66" t="str">
        <f t="shared" si="32"/>
        <v>CHECK</v>
      </c>
      <c r="O168" s="66" t="str">
        <f t="shared" si="32"/>
        <v>CHECK</v>
      </c>
      <c r="P168" s="66" t="str">
        <f t="shared" si="32"/>
        <v>CHECK</v>
      </c>
      <c r="Q168" s="66" t="str">
        <f t="shared" si="32"/>
        <v>CHECK</v>
      </c>
      <c r="R168" s="66" t="str">
        <f t="shared" si="32"/>
        <v>CHECK</v>
      </c>
      <c r="S168" s="66" t="str">
        <f t="shared" si="32"/>
        <v>CHECK</v>
      </c>
      <c r="T168" s="66" t="str">
        <f t="shared" si="32"/>
        <v>CHECK</v>
      </c>
      <c r="U168" s="66" t="str">
        <f t="shared" si="32"/>
        <v>CHECK</v>
      </c>
      <c r="V168" s="66"/>
      <c r="W168" s="66"/>
    </row>
    <row r="169" spans="1:23" x14ac:dyDescent="0.25">
      <c r="A169" s="11" t="s">
        <v>742</v>
      </c>
      <c r="B169" s="11" t="s">
        <v>772</v>
      </c>
      <c r="C169" s="11" t="s">
        <v>773</v>
      </c>
      <c r="D169" s="11" t="s">
        <v>744</v>
      </c>
      <c r="E169" s="11" t="s">
        <v>745</v>
      </c>
      <c r="F169" s="66">
        <f t="shared" si="32"/>
        <v>0</v>
      </c>
      <c r="G169" s="66">
        <f t="shared" si="32"/>
        <v>0</v>
      </c>
      <c r="H169" s="66">
        <f t="shared" si="32"/>
        <v>0</v>
      </c>
      <c r="I169" s="66">
        <f t="shared" si="32"/>
        <v>0</v>
      </c>
      <c r="J169" s="66">
        <f t="shared" si="32"/>
        <v>0</v>
      </c>
      <c r="K169" s="66">
        <f t="shared" si="32"/>
        <v>0</v>
      </c>
      <c r="L169" s="66">
        <f t="shared" si="32"/>
        <v>0</v>
      </c>
      <c r="M169" s="66">
        <f t="shared" si="32"/>
        <v>0</v>
      </c>
      <c r="N169" s="66">
        <f t="shared" si="32"/>
        <v>0</v>
      </c>
      <c r="O169" s="66">
        <f t="shared" si="32"/>
        <v>0</v>
      </c>
      <c r="P169" s="66">
        <f t="shared" si="32"/>
        <v>0</v>
      </c>
      <c r="Q169" s="66">
        <f t="shared" si="32"/>
        <v>0</v>
      </c>
      <c r="R169" s="66">
        <f t="shared" si="32"/>
        <v>0</v>
      </c>
      <c r="S169" s="66">
        <f t="shared" si="32"/>
        <v>0</v>
      </c>
      <c r="T169" s="66">
        <f t="shared" si="32"/>
        <v>0</v>
      </c>
      <c r="U169" s="66">
        <f t="shared" si="32"/>
        <v>0</v>
      </c>
      <c r="V169" s="66"/>
      <c r="W169" s="66"/>
    </row>
    <row r="170" spans="1:23" x14ac:dyDescent="0.25">
      <c r="A170" s="11" t="s">
        <v>742</v>
      </c>
      <c r="B170" s="11" t="s">
        <v>774</v>
      </c>
      <c r="C170" s="11" t="s">
        <v>775</v>
      </c>
      <c r="D170" s="11" t="s">
        <v>744</v>
      </c>
      <c r="E170" s="11" t="s">
        <v>745</v>
      </c>
      <c r="F170" s="66" t="str">
        <f t="shared" si="32"/>
        <v>CHECK</v>
      </c>
      <c r="G170" s="66" t="str">
        <f t="shared" si="32"/>
        <v>CHECK</v>
      </c>
      <c r="H170" s="66" t="str">
        <f t="shared" si="32"/>
        <v>CHECK</v>
      </c>
      <c r="I170" s="66" t="str">
        <f t="shared" si="32"/>
        <v>CHECK</v>
      </c>
      <c r="J170" s="66" t="str">
        <f t="shared" si="32"/>
        <v>CHECK</v>
      </c>
      <c r="K170" s="66" t="str">
        <f t="shared" si="32"/>
        <v>CHECK</v>
      </c>
      <c r="L170" s="66" t="str">
        <f t="shared" si="32"/>
        <v>CHECK</v>
      </c>
      <c r="M170" s="66" t="str">
        <f t="shared" si="32"/>
        <v>CHECK</v>
      </c>
      <c r="N170" s="66" t="str">
        <f t="shared" si="32"/>
        <v>CHECK</v>
      </c>
      <c r="O170" s="66" t="str">
        <f t="shared" si="32"/>
        <v>CHECK</v>
      </c>
      <c r="P170" s="66" t="str">
        <f t="shared" si="32"/>
        <v>CHECK</v>
      </c>
      <c r="Q170" s="66" t="str">
        <f t="shared" si="32"/>
        <v>CHECK</v>
      </c>
      <c r="R170" s="66" t="str">
        <f t="shared" si="32"/>
        <v>CHECK</v>
      </c>
      <c r="S170" s="66" t="str">
        <f t="shared" si="32"/>
        <v>CHECK</v>
      </c>
      <c r="T170" s="66" t="str">
        <f t="shared" si="32"/>
        <v>CHECK</v>
      </c>
      <c r="U170" s="66" t="str">
        <f t="shared" si="32"/>
        <v>CHECK</v>
      </c>
      <c r="V170" s="66"/>
      <c r="W170" s="66"/>
    </row>
    <row r="171" spans="1:23" x14ac:dyDescent="0.25">
      <c r="A171" s="11" t="s">
        <v>742</v>
      </c>
      <c r="B171" s="11" t="s">
        <v>776</v>
      </c>
      <c r="C171" s="11" t="s">
        <v>756</v>
      </c>
      <c r="D171" s="11" t="s">
        <v>744</v>
      </c>
      <c r="E171" s="11" t="s">
        <v>745</v>
      </c>
      <c r="F171" s="66" t="str">
        <f t="shared" si="32"/>
        <v>CHECK</v>
      </c>
      <c r="G171" s="66" t="str">
        <f t="shared" si="32"/>
        <v>CHECK</v>
      </c>
      <c r="H171" s="66" t="str">
        <f t="shared" si="32"/>
        <v>CHECK</v>
      </c>
      <c r="I171" s="66" t="str">
        <f t="shared" si="32"/>
        <v>CHECK</v>
      </c>
      <c r="J171" s="66" t="str">
        <f t="shared" si="32"/>
        <v>CHECK</v>
      </c>
      <c r="K171" s="66" t="str">
        <f t="shared" si="32"/>
        <v>CHECK</v>
      </c>
      <c r="L171" s="66" t="str">
        <f t="shared" si="32"/>
        <v>CHECK</v>
      </c>
      <c r="M171" s="66" t="str">
        <f t="shared" si="32"/>
        <v>CHECK</v>
      </c>
      <c r="N171" s="66" t="str">
        <f t="shared" si="32"/>
        <v>CHECK</v>
      </c>
      <c r="O171" s="66" t="str">
        <f t="shared" si="32"/>
        <v>CHECK</v>
      </c>
      <c r="P171" s="66" t="str">
        <f t="shared" si="32"/>
        <v>CHECK</v>
      </c>
      <c r="Q171" s="66" t="str">
        <f t="shared" si="32"/>
        <v>CHECK</v>
      </c>
      <c r="R171" s="66" t="str">
        <f t="shared" si="32"/>
        <v>CHECK</v>
      </c>
      <c r="S171" s="66" t="str">
        <f t="shared" si="32"/>
        <v>CHECK</v>
      </c>
      <c r="T171" s="66" t="str">
        <f t="shared" si="32"/>
        <v>CHECK</v>
      </c>
      <c r="U171" s="66" t="str">
        <f t="shared" si="32"/>
        <v>CHECK</v>
      </c>
      <c r="V171" s="66"/>
      <c r="W171" s="66"/>
    </row>
    <row r="173" spans="1:23" x14ac:dyDescent="0.25">
      <c r="C173" s="10" t="s">
        <v>846</v>
      </c>
    </row>
    <row r="174" spans="1:23" s="7" customFormat="1" x14ac:dyDescent="0.25">
      <c r="A174" s="110" t="s">
        <v>742</v>
      </c>
      <c r="B174" s="110" t="s">
        <v>757</v>
      </c>
      <c r="C174" s="110" t="s">
        <v>923</v>
      </c>
      <c r="D174" s="110" t="s">
        <v>836</v>
      </c>
      <c r="E174" s="110" t="s">
        <v>745</v>
      </c>
      <c r="F174" s="66">
        <f t="shared" ref="F174:U184" si="33">IFERROR(((F18/F97)-1),"CHECK")</f>
        <v>0</v>
      </c>
      <c r="G174" s="66">
        <f t="shared" si="33"/>
        <v>0</v>
      </c>
      <c r="H174" s="66">
        <f t="shared" si="33"/>
        <v>0</v>
      </c>
      <c r="I174" s="66">
        <f t="shared" si="33"/>
        <v>0</v>
      </c>
      <c r="J174" s="66">
        <f t="shared" si="33"/>
        <v>0</v>
      </c>
      <c r="K174" s="66">
        <f t="shared" si="33"/>
        <v>0</v>
      </c>
      <c r="L174" s="66">
        <f t="shared" si="33"/>
        <v>0</v>
      </c>
      <c r="M174" s="66">
        <f t="shared" si="33"/>
        <v>0</v>
      </c>
      <c r="N174" s="66">
        <f t="shared" si="33"/>
        <v>0</v>
      </c>
      <c r="O174" s="66">
        <f t="shared" si="33"/>
        <v>0</v>
      </c>
      <c r="P174" s="66">
        <f t="shared" si="33"/>
        <v>0</v>
      </c>
      <c r="Q174" s="66">
        <f t="shared" si="33"/>
        <v>0</v>
      </c>
      <c r="R174" s="66">
        <f t="shared" si="33"/>
        <v>0</v>
      </c>
      <c r="S174" s="66">
        <f t="shared" si="33"/>
        <v>0</v>
      </c>
      <c r="T174" s="66">
        <f t="shared" si="33"/>
        <v>0</v>
      </c>
      <c r="U174" s="66">
        <f t="shared" si="33"/>
        <v>0</v>
      </c>
      <c r="V174" s="66"/>
      <c r="W174" s="66"/>
    </row>
    <row r="175" spans="1:23" x14ac:dyDescent="0.25">
      <c r="A175" s="11" t="s">
        <v>742</v>
      </c>
      <c r="B175" s="11" t="s">
        <v>758</v>
      </c>
      <c r="C175" s="11" t="s">
        <v>759</v>
      </c>
      <c r="D175" s="11" t="s">
        <v>836</v>
      </c>
      <c r="E175" s="11" t="s">
        <v>745</v>
      </c>
      <c r="F175" s="66">
        <f t="shared" si="33"/>
        <v>0</v>
      </c>
      <c r="G175" s="66">
        <f t="shared" si="33"/>
        <v>0</v>
      </c>
      <c r="H175" s="66">
        <f t="shared" si="33"/>
        <v>0</v>
      </c>
      <c r="I175" s="66">
        <f t="shared" si="33"/>
        <v>0</v>
      </c>
      <c r="J175" s="66">
        <f t="shared" si="33"/>
        <v>0</v>
      </c>
      <c r="K175" s="66">
        <f t="shared" si="33"/>
        <v>0</v>
      </c>
      <c r="L175" s="66">
        <f t="shared" si="33"/>
        <v>0</v>
      </c>
      <c r="M175" s="66">
        <f t="shared" si="33"/>
        <v>0</v>
      </c>
      <c r="N175" s="66">
        <f t="shared" si="33"/>
        <v>0</v>
      </c>
      <c r="O175" s="66">
        <f t="shared" si="33"/>
        <v>0</v>
      </c>
      <c r="P175" s="66">
        <f t="shared" si="33"/>
        <v>0</v>
      </c>
      <c r="Q175" s="66">
        <f t="shared" si="33"/>
        <v>0</v>
      </c>
      <c r="R175" s="66">
        <f t="shared" si="33"/>
        <v>0</v>
      </c>
      <c r="S175" s="66">
        <f t="shared" si="33"/>
        <v>0</v>
      </c>
      <c r="T175" s="66">
        <f t="shared" si="33"/>
        <v>0</v>
      </c>
      <c r="U175" s="66">
        <f t="shared" si="33"/>
        <v>0</v>
      </c>
      <c r="V175" s="66"/>
      <c r="W175" s="66"/>
    </row>
    <row r="176" spans="1:23" x14ac:dyDescent="0.25">
      <c r="A176" s="11" t="s">
        <v>742</v>
      </c>
      <c r="B176" s="11" t="s">
        <v>760</v>
      </c>
      <c r="C176" s="11" t="s">
        <v>761</v>
      </c>
      <c r="D176" s="11" t="s">
        <v>836</v>
      </c>
      <c r="E176" s="11" t="s">
        <v>745</v>
      </c>
      <c r="F176" s="66" t="str">
        <f t="shared" si="33"/>
        <v>CHECK</v>
      </c>
      <c r="G176" s="66" t="str">
        <f t="shared" si="33"/>
        <v>CHECK</v>
      </c>
      <c r="H176" s="66" t="str">
        <f t="shared" si="33"/>
        <v>CHECK</v>
      </c>
      <c r="I176" s="66" t="str">
        <f t="shared" si="33"/>
        <v>CHECK</v>
      </c>
      <c r="J176" s="66" t="str">
        <f t="shared" si="33"/>
        <v>CHECK</v>
      </c>
      <c r="K176" s="66" t="str">
        <f t="shared" si="33"/>
        <v>CHECK</v>
      </c>
      <c r="L176" s="66" t="str">
        <f t="shared" si="33"/>
        <v>CHECK</v>
      </c>
      <c r="M176" s="66" t="str">
        <f t="shared" si="33"/>
        <v>CHECK</v>
      </c>
      <c r="N176" s="66" t="str">
        <f t="shared" si="33"/>
        <v>CHECK</v>
      </c>
      <c r="O176" s="66" t="str">
        <f t="shared" si="33"/>
        <v>CHECK</v>
      </c>
      <c r="P176" s="66" t="str">
        <f t="shared" si="33"/>
        <v>CHECK</v>
      </c>
      <c r="Q176" s="66" t="str">
        <f t="shared" si="33"/>
        <v>CHECK</v>
      </c>
      <c r="R176" s="66" t="str">
        <f t="shared" si="33"/>
        <v>CHECK</v>
      </c>
      <c r="S176" s="66" t="str">
        <f t="shared" si="33"/>
        <v>CHECK</v>
      </c>
      <c r="T176" s="66" t="str">
        <f t="shared" si="33"/>
        <v>CHECK</v>
      </c>
      <c r="U176" s="66" t="str">
        <f t="shared" si="33"/>
        <v>CHECK</v>
      </c>
      <c r="V176" s="66"/>
      <c r="W176" s="66"/>
    </row>
    <row r="177" spans="1:23" x14ac:dyDescent="0.25">
      <c r="A177" s="11" t="s">
        <v>742</v>
      </c>
      <c r="B177" s="11" t="s">
        <v>762</v>
      </c>
      <c r="C177" s="11" t="s">
        <v>763</v>
      </c>
      <c r="D177" s="11" t="s">
        <v>836</v>
      </c>
      <c r="E177" s="11" t="s">
        <v>745</v>
      </c>
      <c r="F177" s="66" t="str">
        <f t="shared" si="33"/>
        <v>CHECK</v>
      </c>
      <c r="G177" s="66" t="str">
        <f t="shared" si="33"/>
        <v>CHECK</v>
      </c>
      <c r="H177" s="66" t="str">
        <f t="shared" si="33"/>
        <v>CHECK</v>
      </c>
      <c r="I177" s="66" t="str">
        <f t="shared" si="33"/>
        <v>CHECK</v>
      </c>
      <c r="J177" s="66" t="str">
        <f t="shared" si="33"/>
        <v>CHECK</v>
      </c>
      <c r="K177" s="66" t="str">
        <f t="shared" si="33"/>
        <v>CHECK</v>
      </c>
      <c r="L177" s="66" t="str">
        <f t="shared" si="33"/>
        <v>CHECK</v>
      </c>
      <c r="M177" s="66" t="str">
        <f t="shared" si="33"/>
        <v>CHECK</v>
      </c>
      <c r="N177" s="66" t="str">
        <f t="shared" si="33"/>
        <v>CHECK</v>
      </c>
      <c r="O177" s="66" t="str">
        <f t="shared" si="33"/>
        <v>CHECK</v>
      </c>
      <c r="P177" s="66" t="str">
        <f t="shared" si="33"/>
        <v>CHECK</v>
      </c>
      <c r="Q177" s="66" t="str">
        <f t="shared" si="33"/>
        <v>CHECK</v>
      </c>
      <c r="R177" s="66" t="str">
        <f t="shared" si="33"/>
        <v>CHECK</v>
      </c>
      <c r="S177" s="66" t="str">
        <f t="shared" si="33"/>
        <v>CHECK</v>
      </c>
      <c r="T177" s="66" t="str">
        <f t="shared" si="33"/>
        <v>CHECK</v>
      </c>
      <c r="U177" s="66" t="str">
        <f t="shared" si="33"/>
        <v>CHECK</v>
      </c>
      <c r="V177" s="66"/>
      <c r="W177" s="66"/>
    </row>
    <row r="178" spans="1:23" x14ac:dyDescent="0.25">
      <c r="A178" s="11" t="s">
        <v>742</v>
      </c>
      <c r="B178" s="11" t="s">
        <v>764</v>
      </c>
      <c r="C178" s="11" t="s">
        <v>765</v>
      </c>
      <c r="D178" s="11" t="s">
        <v>836</v>
      </c>
      <c r="E178" s="11" t="s">
        <v>745</v>
      </c>
      <c r="F178" s="66" t="str">
        <f t="shared" si="33"/>
        <v>CHECK</v>
      </c>
      <c r="G178" s="66" t="str">
        <f t="shared" si="33"/>
        <v>CHECK</v>
      </c>
      <c r="H178" s="66" t="str">
        <f t="shared" si="33"/>
        <v>CHECK</v>
      </c>
      <c r="I178" s="66" t="str">
        <f t="shared" si="33"/>
        <v>CHECK</v>
      </c>
      <c r="J178" s="66" t="str">
        <f t="shared" si="33"/>
        <v>CHECK</v>
      </c>
      <c r="K178" s="66" t="str">
        <f t="shared" si="33"/>
        <v>CHECK</v>
      </c>
      <c r="L178" s="66" t="str">
        <f t="shared" si="33"/>
        <v>CHECK</v>
      </c>
      <c r="M178" s="66" t="str">
        <f t="shared" si="33"/>
        <v>CHECK</v>
      </c>
      <c r="N178" s="66" t="str">
        <f t="shared" si="33"/>
        <v>CHECK</v>
      </c>
      <c r="O178" s="66" t="str">
        <f t="shared" si="33"/>
        <v>CHECK</v>
      </c>
      <c r="P178" s="66" t="str">
        <f t="shared" si="33"/>
        <v>CHECK</v>
      </c>
      <c r="Q178" s="66" t="str">
        <f t="shared" si="33"/>
        <v>CHECK</v>
      </c>
      <c r="R178" s="66" t="str">
        <f t="shared" si="33"/>
        <v>CHECK</v>
      </c>
      <c r="S178" s="66" t="str">
        <f t="shared" si="33"/>
        <v>CHECK</v>
      </c>
      <c r="T178" s="66" t="str">
        <f t="shared" si="33"/>
        <v>CHECK</v>
      </c>
      <c r="U178" s="66" t="str">
        <f t="shared" si="33"/>
        <v>CHECK</v>
      </c>
      <c r="V178" s="66"/>
      <c r="W178" s="66"/>
    </row>
    <row r="179" spans="1:23" x14ac:dyDescent="0.25">
      <c r="A179" s="11" t="s">
        <v>742</v>
      </c>
      <c r="B179" s="11" t="s">
        <v>766</v>
      </c>
      <c r="C179" s="11" t="s">
        <v>767</v>
      </c>
      <c r="D179" s="11" t="s">
        <v>836</v>
      </c>
      <c r="E179" s="11" t="s">
        <v>745</v>
      </c>
      <c r="F179" s="66">
        <f t="shared" si="33"/>
        <v>0</v>
      </c>
      <c r="G179" s="66">
        <f t="shared" si="33"/>
        <v>0</v>
      </c>
      <c r="H179" s="66">
        <f t="shared" si="33"/>
        <v>0</v>
      </c>
      <c r="I179" s="66">
        <f t="shared" si="33"/>
        <v>0</v>
      </c>
      <c r="J179" s="66">
        <f t="shared" si="33"/>
        <v>0</v>
      </c>
      <c r="K179" s="66">
        <f t="shared" si="33"/>
        <v>0</v>
      </c>
      <c r="L179" s="66">
        <f t="shared" si="33"/>
        <v>0</v>
      </c>
      <c r="M179" s="66">
        <f t="shared" si="33"/>
        <v>0</v>
      </c>
      <c r="N179" s="66">
        <f t="shared" si="33"/>
        <v>0</v>
      </c>
      <c r="O179" s="66">
        <f t="shared" si="33"/>
        <v>0</v>
      </c>
      <c r="P179" s="66">
        <f t="shared" si="33"/>
        <v>0</v>
      </c>
      <c r="Q179" s="66">
        <f t="shared" si="33"/>
        <v>0</v>
      </c>
      <c r="R179" s="66">
        <f t="shared" si="33"/>
        <v>0</v>
      </c>
      <c r="S179" s="66">
        <f t="shared" si="33"/>
        <v>0</v>
      </c>
      <c r="T179" s="66">
        <f t="shared" si="33"/>
        <v>0</v>
      </c>
      <c r="U179" s="66">
        <f t="shared" si="33"/>
        <v>0</v>
      </c>
      <c r="V179" s="66"/>
      <c r="W179" s="66"/>
    </row>
    <row r="180" spans="1:23" x14ac:dyDescent="0.25">
      <c r="A180" s="11" t="s">
        <v>742</v>
      </c>
      <c r="B180" s="11" t="s">
        <v>768</v>
      </c>
      <c r="C180" s="11" t="s">
        <v>769</v>
      </c>
      <c r="D180" s="11" t="s">
        <v>836</v>
      </c>
      <c r="E180" s="11" t="s">
        <v>745</v>
      </c>
      <c r="F180" s="66">
        <f t="shared" si="33"/>
        <v>0</v>
      </c>
      <c r="G180" s="66">
        <f t="shared" si="33"/>
        <v>0</v>
      </c>
      <c r="H180" s="66">
        <f t="shared" si="33"/>
        <v>0</v>
      </c>
      <c r="I180" s="66">
        <f t="shared" si="33"/>
        <v>0</v>
      </c>
      <c r="J180" s="66">
        <f t="shared" si="33"/>
        <v>0</v>
      </c>
      <c r="K180" s="66">
        <f t="shared" si="33"/>
        <v>0</v>
      </c>
      <c r="L180" s="66">
        <f t="shared" si="33"/>
        <v>0</v>
      </c>
      <c r="M180" s="66">
        <f t="shared" si="33"/>
        <v>0</v>
      </c>
      <c r="N180" s="66">
        <f t="shared" si="33"/>
        <v>0</v>
      </c>
      <c r="O180" s="66">
        <f t="shared" si="33"/>
        <v>0</v>
      </c>
      <c r="P180" s="66">
        <f t="shared" si="33"/>
        <v>0</v>
      </c>
      <c r="Q180" s="66">
        <f t="shared" si="33"/>
        <v>0</v>
      </c>
      <c r="R180" s="66">
        <f t="shared" si="33"/>
        <v>0</v>
      </c>
      <c r="S180" s="66">
        <f t="shared" si="33"/>
        <v>0</v>
      </c>
      <c r="T180" s="66">
        <f t="shared" si="33"/>
        <v>0</v>
      </c>
      <c r="U180" s="66">
        <f t="shared" si="33"/>
        <v>0</v>
      </c>
      <c r="V180" s="66"/>
      <c r="W180" s="66"/>
    </row>
    <row r="181" spans="1:23" x14ac:dyDescent="0.25">
      <c r="A181" s="11" t="s">
        <v>742</v>
      </c>
      <c r="B181" s="11" t="s">
        <v>770</v>
      </c>
      <c r="C181" s="11" t="s">
        <v>771</v>
      </c>
      <c r="D181" s="11" t="s">
        <v>836</v>
      </c>
      <c r="E181" s="11" t="s">
        <v>745</v>
      </c>
      <c r="F181" s="66" t="str">
        <f t="shared" si="33"/>
        <v>CHECK</v>
      </c>
      <c r="G181" s="66" t="str">
        <f t="shared" si="33"/>
        <v>CHECK</v>
      </c>
      <c r="H181" s="66" t="str">
        <f t="shared" si="33"/>
        <v>CHECK</v>
      </c>
      <c r="I181" s="66" t="str">
        <f t="shared" si="33"/>
        <v>CHECK</v>
      </c>
      <c r="J181" s="66" t="str">
        <f t="shared" si="33"/>
        <v>CHECK</v>
      </c>
      <c r="K181" s="66" t="str">
        <f t="shared" si="33"/>
        <v>CHECK</v>
      </c>
      <c r="L181" s="66" t="str">
        <f t="shared" si="33"/>
        <v>CHECK</v>
      </c>
      <c r="M181" s="66" t="str">
        <f t="shared" si="33"/>
        <v>CHECK</v>
      </c>
      <c r="N181" s="66" t="str">
        <f t="shared" si="33"/>
        <v>CHECK</v>
      </c>
      <c r="O181" s="66" t="str">
        <f t="shared" si="33"/>
        <v>CHECK</v>
      </c>
      <c r="P181" s="66" t="str">
        <f t="shared" si="33"/>
        <v>CHECK</v>
      </c>
      <c r="Q181" s="66" t="str">
        <f t="shared" si="33"/>
        <v>CHECK</v>
      </c>
      <c r="R181" s="66" t="str">
        <f t="shared" si="33"/>
        <v>CHECK</v>
      </c>
      <c r="S181" s="66" t="str">
        <f t="shared" si="33"/>
        <v>CHECK</v>
      </c>
      <c r="T181" s="66" t="str">
        <f t="shared" si="33"/>
        <v>CHECK</v>
      </c>
      <c r="U181" s="66" t="str">
        <f t="shared" si="33"/>
        <v>CHECK</v>
      </c>
      <c r="V181" s="66"/>
      <c r="W181" s="66"/>
    </row>
    <row r="182" spans="1:23" x14ac:dyDescent="0.25">
      <c r="A182" s="11" t="s">
        <v>742</v>
      </c>
      <c r="B182" s="11" t="s">
        <v>772</v>
      </c>
      <c r="C182" s="11" t="s">
        <v>773</v>
      </c>
      <c r="D182" s="11" t="s">
        <v>836</v>
      </c>
      <c r="E182" s="11" t="s">
        <v>745</v>
      </c>
      <c r="F182" s="66">
        <f t="shared" si="33"/>
        <v>0</v>
      </c>
      <c r="G182" s="66">
        <f t="shared" si="33"/>
        <v>0</v>
      </c>
      <c r="H182" s="66">
        <f t="shared" si="33"/>
        <v>0</v>
      </c>
      <c r="I182" s="66">
        <f t="shared" si="33"/>
        <v>0</v>
      </c>
      <c r="J182" s="66">
        <f t="shared" si="33"/>
        <v>0</v>
      </c>
      <c r="K182" s="66">
        <f t="shared" si="33"/>
        <v>0</v>
      </c>
      <c r="L182" s="66">
        <f t="shared" si="33"/>
        <v>0</v>
      </c>
      <c r="M182" s="66">
        <f t="shared" si="33"/>
        <v>0</v>
      </c>
      <c r="N182" s="66">
        <f t="shared" si="33"/>
        <v>0</v>
      </c>
      <c r="O182" s="66">
        <f t="shared" si="33"/>
        <v>0</v>
      </c>
      <c r="P182" s="66">
        <f t="shared" si="33"/>
        <v>0</v>
      </c>
      <c r="Q182" s="66">
        <f t="shared" si="33"/>
        <v>0</v>
      </c>
      <c r="R182" s="66">
        <f t="shared" si="33"/>
        <v>0</v>
      </c>
      <c r="S182" s="66">
        <f t="shared" si="33"/>
        <v>0</v>
      </c>
      <c r="T182" s="66">
        <f t="shared" si="33"/>
        <v>0</v>
      </c>
      <c r="U182" s="66">
        <f t="shared" si="33"/>
        <v>0</v>
      </c>
      <c r="V182" s="66"/>
      <c r="W182" s="66"/>
    </row>
    <row r="183" spans="1:23" x14ac:dyDescent="0.25">
      <c r="A183" s="11" t="s">
        <v>742</v>
      </c>
      <c r="B183" s="11" t="s">
        <v>774</v>
      </c>
      <c r="C183" s="11" t="s">
        <v>775</v>
      </c>
      <c r="D183" s="11" t="s">
        <v>836</v>
      </c>
      <c r="E183" s="11" t="s">
        <v>745</v>
      </c>
      <c r="F183" s="66" t="str">
        <f t="shared" si="33"/>
        <v>CHECK</v>
      </c>
      <c r="G183" s="66" t="str">
        <f t="shared" si="33"/>
        <v>CHECK</v>
      </c>
      <c r="H183" s="66" t="str">
        <f t="shared" si="33"/>
        <v>CHECK</v>
      </c>
      <c r="I183" s="66" t="str">
        <f t="shared" si="33"/>
        <v>CHECK</v>
      </c>
      <c r="J183" s="66" t="str">
        <f t="shared" si="33"/>
        <v>CHECK</v>
      </c>
      <c r="K183" s="66" t="str">
        <f t="shared" si="33"/>
        <v>CHECK</v>
      </c>
      <c r="L183" s="66" t="str">
        <f t="shared" si="33"/>
        <v>CHECK</v>
      </c>
      <c r="M183" s="66" t="str">
        <f t="shared" si="33"/>
        <v>CHECK</v>
      </c>
      <c r="N183" s="66" t="str">
        <f t="shared" si="33"/>
        <v>CHECK</v>
      </c>
      <c r="O183" s="66" t="str">
        <f t="shared" si="33"/>
        <v>CHECK</v>
      </c>
      <c r="P183" s="66" t="str">
        <f t="shared" si="33"/>
        <v>CHECK</v>
      </c>
      <c r="Q183" s="66" t="str">
        <f t="shared" si="33"/>
        <v>CHECK</v>
      </c>
      <c r="R183" s="66" t="str">
        <f t="shared" si="33"/>
        <v>CHECK</v>
      </c>
      <c r="S183" s="66" t="str">
        <f t="shared" si="33"/>
        <v>CHECK</v>
      </c>
      <c r="T183" s="66" t="str">
        <f t="shared" si="33"/>
        <v>CHECK</v>
      </c>
      <c r="U183" s="66" t="str">
        <f t="shared" si="33"/>
        <v>CHECK</v>
      </c>
      <c r="V183" s="66"/>
      <c r="W183" s="66"/>
    </row>
    <row r="184" spans="1:23" x14ac:dyDescent="0.25">
      <c r="A184" s="11" t="s">
        <v>742</v>
      </c>
      <c r="B184" s="11" t="s">
        <v>776</v>
      </c>
      <c r="C184" s="11" t="s">
        <v>756</v>
      </c>
      <c r="D184" s="11" t="s">
        <v>836</v>
      </c>
      <c r="E184" s="11" t="s">
        <v>745</v>
      </c>
      <c r="F184" s="66" t="str">
        <f t="shared" si="33"/>
        <v>CHECK</v>
      </c>
      <c r="G184" s="66" t="str">
        <f t="shared" si="33"/>
        <v>CHECK</v>
      </c>
      <c r="H184" s="66" t="str">
        <f t="shared" si="33"/>
        <v>CHECK</v>
      </c>
      <c r="I184" s="66" t="str">
        <f t="shared" si="33"/>
        <v>CHECK</v>
      </c>
      <c r="J184" s="66" t="str">
        <f t="shared" si="33"/>
        <v>CHECK</v>
      </c>
      <c r="K184" s="66" t="str">
        <f t="shared" si="33"/>
        <v>CHECK</v>
      </c>
      <c r="L184" s="66" t="str">
        <f t="shared" si="33"/>
        <v>CHECK</v>
      </c>
      <c r="M184" s="66" t="str">
        <f t="shared" si="33"/>
        <v>CHECK</v>
      </c>
      <c r="N184" s="66" t="str">
        <f t="shared" si="33"/>
        <v>CHECK</v>
      </c>
      <c r="O184" s="66" t="str">
        <f t="shared" si="33"/>
        <v>CHECK</v>
      </c>
      <c r="P184" s="66" t="str">
        <f t="shared" si="33"/>
        <v>CHECK</v>
      </c>
      <c r="Q184" s="66" t="str">
        <f t="shared" si="33"/>
        <v>CHECK</v>
      </c>
      <c r="R184" s="66" t="str">
        <f t="shared" si="33"/>
        <v>CHECK</v>
      </c>
      <c r="S184" s="66" t="str">
        <f t="shared" si="33"/>
        <v>CHECK</v>
      </c>
      <c r="T184" s="66" t="str">
        <f t="shared" si="33"/>
        <v>CHECK</v>
      </c>
      <c r="U184" s="66" t="str">
        <f t="shared" si="33"/>
        <v>CHECK</v>
      </c>
      <c r="V184" s="66"/>
      <c r="W184" s="66"/>
    </row>
    <row r="186" spans="1:23" x14ac:dyDescent="0.25">
      <c r="C186" s="10" t="s">
        <v>847</v>
      </c>
    </row>
    <row r="187" spans="1:23" s="7" customFormat="1" x14ac:dyDescent="0.25">
      <c r="A187" s="110" t="s">
        <v>742</v>
      </c>
      <c r="B187" s="110" t="s">
        <v>757</v>
      </c>
      <c r="C187" s="110" t="s">
        <v>923</v>
      </c>
      <c r="D187" s="110" t="s">
        <v>486</v>
      </c>
      <c r="E187" s="110" t="s">
        <v>924</v>
      </c>
      <c r="F187" s="66">
        <f t="shared" ref="F187:U197" si="34">IFERROR(((F31/F110)-1),"CHECK")</f>
        <v>0</v>
      </c>
      <c r="G187" s="66">
        <f t="shared" si="34"/>
        <v>0</v>
      </c>
      <c r="H187" s="66">
        <f t="shared" si="34"/>
        <v>0</v>
      </c>
      <c r="I187" s="66">
        <f t="shared" si="34"/>
        <v>0</v>
      </c>
      <c r="J187" s="66">
        <f t="shared" si="34"/>
        <v>0</v>
      </c>
      <c r="K187" s="66">
        <f t="shared" si="34"/>
        <v>0</v>
      </c>
      <c r="L187" s="66">
        <f t="shared" si="34"/>
        <v>0</v>
      </c>
      <c r="M187" s="66">
        <f t="shared" si="34"/>
        <v>0</v>
      </c>
      <c r="N187" s="66">
        <f t="shared" si="34"/>
        <v>0</v>
      </c>
      <c r="O187" s="66">
        <f t="shared" si="34"/>
        <v>0</v>
      </c>
      <c r="P187" s="66">
        <f t="shared" si="34"/>
        <v>0</v>
      </c>
      <c r="Q187" s="66">
        <f t="shared" si="34"/>
        <v>0</v>
      </c>
      <c r="R187" s="66">
        <f t="shared" si="34"/>
        <v>0</v>
      </c>
      <c r="S187" s="66">
        <f t="shared" si="34"/>
        <v>0</v>
      </c>
      <c r="T187" s="66">
        <f t="shared" si="34"/>
        <v>0</v>
      </c>
      <c r="U187" s="66">
        <f t="shared" si="34"/>
        <v>0</v>
      </c>
      <c r="V187" s="66"/>
      <c r="W187" s="66"/>
    </row>
    <row r="188" spans="1:23" x14ac:dyDescent="0.25">
      <c r="A188" s="11" t="s">
        <v>742</v>
      </c>
      <c r="B188" s="11" t="s">
        <v>758</v>
      </c>
      <c r="C188" s="11" t="s">
        <v>759</v>
      </c>
      <c r="D188" s="11" t="s">
        <v>486</v>
      </c>
      <c r="E188" s="11" t="s">
        <v>924</v>
      </c>
      <c r="F188" s="66">
        <f t="shared" si="34"/>
        <v>0</v>
      </c>
      <c r="G188" s="66">
        <f t="shared" si="34"/>
        <v>0</v>
      </c>
      <c r="H188" s="66">
        <f t="shared" si="34"/>
        <v>0</v>
      </c>
      <c r="I188" s="66">
        <f t="shared" si="34"/>
        <v>0</v>
      </c>
      <c r="J188" s="66">
        <f t="shared" si="34"/>
        <v>0</v>
      </c>
      <c r="K188" s="66">
        <f t="shared" si="34"/>
        <v>0</v>
      </c>
      <c r="L188" s="66">
        <f t="shared" si="34"/>
        <v>0</v>
      </c>
      <c r="M188" s="66">
        <f t="shared" si="34"/>
        <v>0</v>
      </c>
      <c r="N188" s="66">
        <f t="shared" si="34"/>
        <v>0</v>
      </c>
      <c r="O188" s="66">
        <f t="shared" si="34"/>
        <v>0</v>
      </c>
      <c r="P188" s="66">
        <f t="shared" si="34"/>
        <v>0</v>
      </c>
      <c r="Q188" s="66">
        <f t="shared" si="34"/>
        <v>0</v>
      </c>
      <c r="R188" s="66">
        <f t="shared" si="34"/>
        <v>0</v>
      </c>
      <c r="S188" s="66">
        <f t="shared" si="34"/>
        <v>0</v>
      </c>
      <c r="T188" s="66">
        <f t="shared" si="34"/>
        <v>0</v>
      </c>
      <c r="U188" s="66">
        <f t="shared" si="34"/>
        <v>0</v>
      </c>
      <c r="V188" s="66"/>
      <c r="W188" s="66"/>
    </row>
    <row r="189" spans="1:23" x14ac:dyDescent="0.25">
      <c r="A189" s="11" t="s">
        <v>742</v>
      </c>
      <c r="B189" s="11" t="s">
        <v>760</v>
      </c>
      <c r="C189" s="11" t="s">
        <v>761</v>
      </c>
      <c r="D189" s="11" t="s">
        <v>486</v>
      </c>
      <c r="E189" s="11" t="s">
        <v>924</v>
      </c>
      <c r="F189" s="66" t="str">
        <f t="shared" si="34"/>
        <v>CHECK</v>
      </c>
      <c r="G189" s="66" t="str">
        <f t="shared" si="34"/>
        <v>CHECK</v>
      </c>
      <c r="H189" s="66" t="str">
        <f t="shared" si="34"/>
        <v>CHECK</v>
      </c>
      <c r="I189" s="66" t="str">
        <f t="shared" si="34"/>
        <v>CHECK</v>
      </c>
      <c r="J189" s="66" t="str">
        <f t="shared" si="34"/>
        <v>CHECK</v>
      </c>
      <c r="K189" s="66" t="str">
        <f t="shared" si="34"/>
        <v>CHECK</v>
      </c>
      <c r="L189" s="66" t="str">
        <f t="shared" si="34"/>
        <v>CHECK</v>
      </c>
      <c r="M189" s="66" t="str">
        <f t="shared" si="34"/>
        <v>CHECK</v>
      </c>
      <c r="N189" s="66" t="str">
        <f t="shared" si="34"/>
        <v>CHECK</v>
      </c>
      <c r="O189" s="66" t="str">
        <f t="shared" si="34"/>
        <v>CHECK</v>
      </c>
      <c r="P189" s="66" t="str">
        <f t="shared" si="34"/>
        <v>CHECK</v>
      </c>
      <c r="Q189" s="66" t="str">
        <f t="shared" si="34"/>
        <v>CHECK</v>
      </c>
      <c r="R189" s="66" t="str">
        <f t="shared" si="34"/>
        <v>CHECK</v>
      </c>
      <c r="S189" s="66" t="str">
        <f t="shared" si="34"/>
        <v>CHECK</v>
      </c>
      <c r="T189" s="66" t="str">
        <f t="shared" si="34"/>
        <v>CHECK</v>
      </c>
      <c r="U189" s="66" t="str">
        <f t="shared" si="34"/>
        <v>CHECK</v>
      </c>
      <c r="V189" s="66"/>
      <c r="W189" s="66"/>
    </row>
    <row r="190" spans="1:23" x14ac:dyDescent="0.25">
      <c r="A190" s="11" t="s">
        <v>742</v>
      </c>
      <c r="B190" s="11" t="s">
        <v>762</v>
      </c>
      <c r="C190" s="11" t="s">
        <v>763</v>
      </c>
      <c r="D190" s="11" t="s">
        <v>486</v>
      </c>
      <c r="E190" s="11" t="s">
        <v>924</v>
      </c>
      <c r="F190" s="66" t="str">
        <f t="shared" si="34"/>
        <v>CHECK</v>
      </c>
      <c r="G190" s="66" t="str">
        <f t="shared" si="34"/>
        <v>CHECK</v>
      </c>
      <c r="H190" s="66" t="str">
        <f t="shared" si="34"/>
        <v>CHECK</v>
      </c>
      <c r="I190" s="66" t="str">
        <f t="shared" si="34"/>
        <v>CHECK</v>
      </c>
      <c r="J190" s="66" t="str">
        <f t="shared" si="34"/>
        <v>CHECK</v>
      </c>
      <c r="K190" s="66" t="str">
        <f t="shared" si="34"/>
        <v>CHECK</v>
      </c>
      <c r="L190" s="66" t="str">
        <f t="shared" si="34"/>
        <v>CHECK</v>
      </c>
      <c r="M190" s="66" t="str">
        <f t="shared" si="34"/>
        <v>CHECK</v>
      </c>
      <c r="N190" s="66" t="str">
        <f t="shared" si="34"/>
        <v>CHECK</v>
      </c>
      <c r="O190" s="66" t="str">
        <f t="shared" si="34"/>
        <v>CHECK</v>
      </c>
      <c r="P190" s="66" t="str">
        <f t="shared" si="34"/>
        <v>CHECK</v>
      </c>
      <c r="Q190" s="66" t="str">
        <f t="shared" si="34"/>
        <v>CHECK</v>
      </c>
      <c r="R190" s="66" t="str">
        <f t="shared" si="34"/>
        <v>CHECK</v>
      </c>
      <c r="S190" s="66" t="str">
        <f t="shared" si="34"/>
        <v>CHECK</v>
      </c>
      <c r="T190" s="66" t="str">
        <f t="shared" si="34"/>
        <v>CHECK</v>
      </c>
      <c r="U190" s="66" t="str">
        <f t="shared" si="34"/>
        <v>CHECK</v>
      </c>
      <c r="V190" s="66"/>
      <c r="W190" s="66"/>
    </row>
    <row r="191" spans="1:23" x14ac:dyDescent="0.25">
      <c r="A191" s="11" t="s">
        <v>742</v>
      </c>
      <c r="B191" s="11" t="s">
        <v>764</v>
      </c>
      <c r="C191" s="11" t="s">
        <v>765</v>
      </c>
      <c r="D191" s="11" t="s">
        <v>486</v>
      </c>
      <c r="E191" s="11" t="s">
        <v>924</v>
      </c>
      <c r="F191" s="66" t="str">
        <f t="shared" si="34"/>
        <v>CHECK</v>
      </c>
      <c r="G191" s="66" t="str">
        <f t="shared" si="34"/>
        <v>CHECK</v>
      </c>
      <c r="H191" s="66" t="str">
        <f t="shared" si="34"/>
        <v>CHECK</v>
      </c>
      <c r="I191" s="66" t="str">
        <f t="shared" si="34"/>
        <v>CHECK</v>
      </c>
      <c r="J191" s="66" t="str">
        <f t="shared" si="34"/>
        <v>CHECK</v>
      </c>
      <c r="K191" s="66" t="str">
        <f t="shared" si="34"/>
        <v>CHECK</v>
      </c>
      <c r="L191" s="66" t="str">
        <f t="shared" si="34"/>
        <v>CHECK</v>
      </c>
      <c r="M191" s="66" t="str">
        <f t="shared" si="34"/>
        <v>CHECK</v>
      </c>
      <c r="N191" s="66" t="str">
        <f t="shared" si="34"/>
        <v>CHECK</v>
      </c>
      <c r="O191" s="66" t="str">
        <f t="shared" si="34"/>
        <v>CHECK</v>
      </c>
      <c r="P191" s="66" t="str">
        <f t="shared" si="34"/>
        <v>CHECK</v>
      </c>
      <c r="Q191" s="66" t="str">
        <f t="shared" si="34"/>
        <v>CHECK</v>
      </c>
      <c r="R191" s="66" t="str">
        <f t="shared" si="34"/>
        <v>CHECK</v>
      </c>
      <c r="S191" s="66" t="str">
        <f t="shared" si="34"/>
        <v>CHECK</v>
      </c>
      <c r="T191" s="66" t="str">
        <f t="shared" si="34"/>
        <v>CHECK</v>
      </c>
      <c r="U191" s="66" t="str">
        <f t="shared" si="34"/>
        <v>CHECK</v>
      </c>
      <c r="V191" s="66"/>
      <c r="W191" s="66"/>
    </row>
    <row r="192" spans="1:23" x14ac:dyDescent="0.25">
      <c r="A192" s="11" t="s">
        <v>742</v>
      </c>
      <c r="B192" s="11" t="s">
        <v>766</v>
      </c>
      <c r="C192" s="11" t="s">
        <v>767</v>
      </c>
      <c r="D192" s="11" t="s">
        <v>486</v>
      </c>
      <c r="E192" s="11" t="s">
        <v>924</v>
      </c>
      <c r="F192" s="66" t="str">
        <f t="shared" si="34"/>
        <v>CHECK</v>
      </c>
      <c r="G192" s="66" t="str">
        <f t="shared" si="34"/>
        <v>CHECK</v>
      </c>
      <c r="H192" s="66" t="str">
        <f t="shared" si="34"/>
        <v>CHECK</v>
      </c>
      <c r="I192" s="66" t="str">
        <f t="shared" si="34"/>
        <v>CHECK</v>
      </c>
      <c r="J192" s="66" t="str">
        <f t="shared" si="34"/>
        <v>CHECK</v>
      </c>
      <c r="K192" s="66" t="str">
        <f t="shared" si="34"/>
        <v>CHECK</v>
      </c>
      <c r="L192" s="66" t="str">
        <f t="shared" si="34"/>
        <v>CHECK</v>
      </c>
      <c r="M192" s="66" t="str">
        <f t="shared" si="34"/>
        <v>CHECK</v>
      </c>
      <c r="N192" s="66" t="str">
        <f t="shared" si="34"/>
        <v>CHECK</v>
      </c>
      <c r="O192" s="66" t="str">
        <f t="shared" si="34"/>
        <v>CHECK</v>
      </c>
      <c r="P192" s="66" t="str">
        <f t="shared" si="34"/>
        <v>CHECK</v>
      </c>
      <c r="Q192" s="66" t="str">
        <f t="shared" si="34"/>
        <v>CHECK</v>
      </c>
      <c r="R192" s="66" t="str">
        <f t="shared" si="34"/>
        <v>CHECK</v>
      </c>
      <c r="S192" s="66" t="str">
        <f t="shared" si="34"/>
        <v>CHECK</v>
      </c>
      <c r="T192" s="66" t="str">
        <f t="shared" si="34"/>
        <v>CHECK</v>
      </c>
      <c r="U192" s="66" t="str">
        <f t="shared" si="34"/>
        <v>CHECK</v>
      </c>
      <c r="V192" s="66"/>
      <c r="W192" s="66"/>
    </row>
    <row r="193" spans="1:23" x14ac:dyDescent="0.25">
      <c r="A193" s="11" t="s">
        <v>742</v>
      </c>
      <c r="B193" s="11" t="s">
        <v>768</v>
      </c>
      <c r="C193" s="11" t="s">
        <v>769</v>
      </c>
      <c r="D193" s="11" t="s">
        <v>486</v>
      </c>
      <c r="E193" s="11" t="s">
        <v>924</v>
      </c>
      <c r="F193" s="66" t="str">
        <f t="shared" si="34"/>
        <v>CHECK</v>
      </c>
      <c r="G193" s="66" t="str">
        <f t="shared" si="34"/>
        <v>CHECK</v>
      </c>
      <c r="H193" s="66" t="str">
        <f t="shared" si="34"/>
        <v>CHECK</v>
      </c>
      <c r="I193" s="66" t="str">
        <f t="shared" si="34"/>
        <v>CHECK</v>
      </c>
      <c r="J193" s="66" t="str">
        <f t="shared" si="34"/>
        <v>CHECK</v>
      </c>
      <c r="K193" s="66" t="str">
        <f t="shared" si="34"/>
        <v>CHECK</v>
      </c>
      <c r="L193" s="66" t="str">
        <f t="shared" si="34"/>
        <v>CHECK</v>
      </c>
      <c r="M193" s="66" t="str">
        <f t="shared" si="34"/>
        <v>CHECK</v>
      </c>
      <c r="N193" s="66" t="str">
        <f t="shared" si="34"/>
        <v>CHECK</v>
      </c>
      <c r="O193" s="66" t="str">
        <f t="shared" si="34"/>
        <v>CHECK</v>
      </c>
      <c r="P193" s="66" t="str">
        <f t="shared" si="34"/>
        <v>CHECK</v>
      </c>
      <c r="Q193" s="66" t="str">
        <f t="shared" si="34"/>
        <v>CHECK</v>
      </c>
      <c r="R193" s="66" t="str">
        <f t="shared" si="34"/>
        <v>CHECK</v>
      </c>
      <c r="S193" s="66" t="str">
        <f t="shared" si="34"/>
        <v>CHECK</v>
      </c>
      <c r="T193" s="66" t="str">
        <f t="shared" si="34"/>
        <v>CHECK</v>
      </c>
      <c r="U193" s="66" t="str">
        <f t="shared" si="34"/>
        <v>CHECK</v>
      </c>
      <c r="V193" s="66"/>
      <c r="W193" s="66"/>
    </row>
    <row r="194" spans="1:23" x14ac:dyDescent="0.25">
      <c r="A194" s="11" t="s">
        <v>742</v>
      </c>
      <c r="B194" s="11" t="s">
        <v>770</v>
      </c>
      <c r="C194" s="11" t="s">
        <v>771</v>
      </c>
      <c r="D194" s="11" t="s">
        <v>486</v>
      </c>
      <c r="E194" s="11" t="s">
        <v>924</v>
      </c>
      <c r="F194" s="66" t="str">
        <f t="shared" si="34"/>
        <v>CHECK</v>
      </c>
      <c r="G194" s="66" t="str">
        <f t="shared" si="34"/>
        <v>CHECK</v>
      </c>
      <c r="H194" s="66" t="str">
        <f t="shared" si="34"/>
        <v>CHECK</v>
      </c>
      <c r="I194" s="66" t="str">
        <f t="shared" si="34"/>
        <v>CHECK</v>
      </c>
      <c r="J194" s="66" t="str">
        <f t="shared" si="34"/>
        <v>CHECK</v>
      </c>
      <c r="K194" s="66" t="str">
        <f t="shared" si="34"/>
        <v>CHECK</v>
      </c>
      <c r="L194" s="66" t="str">
        <f t="shared" si="34"/>
        <v>CHECK</v>
      </c>
      <c r="M194" s="66" t="str">
        <f t="shared" si="34"/>
        <v>CHECK</v>
      </c>
      <c r="N194" s="66" t="str">
        <f t="shared" si="34"/>
        <v>CHECK</v>
      </c>
      <c r="O194" s="66" t="str">
        <f t="shared" si="34"/>
        <v>CHECK</v>
      </c>
      <c r="P194" s="66" t="str">
        <f t="shared" si="34"/>
        <v>CHECK</v>
      </c>
      <c r="Q194" s="66" t="str">
        <f t="shared" si="34"/>
        <v>CHECK</v>
      </c>
      <c r="R194" s="66" t="str">
        <f t="shared" si="34"/>
        <v>CHECK</v>
      </c>
      <c r="S194" s="66" t="str">
        <f t="shared" si="34"/>
        <v>CHECK</v>
      </c>
      <c r="T194" s="66" t="str">
        <f t="shared" si="34"/>
        <v>CHECK</v>
      </c>
      <c r="U194" s="66" t="str">
        <f t="shared" si="34"/>
        <v>CHECK</v>
      </c>
      <c r="V194" s="66"/>
      <c r="W194" s="66"/>
    </row>
    <row r="195" spans="1:23" x14ac:dyDescent="0.25">
      <c r="A195" s="11" t="s">
        <v>742</v>
      </c>
      <c r="B195" s="11" t="s">
        <v>772</v>
      </c>
      <c r="C195" s="11" t="s">
        <v>773</v>
      </c>
      <c r="D195" s="11" t="s">
        <v>486</v>
      </c>
      <c r="E195" s="11" t="s">
        <v>924</v>
      </c>
      <c r="F195" s="66">
        <f t="shared" si="34"/>
        <v>0</v>
      </c>
      <c r="G195" s="66">
        <f t="shared" si="34"/>
        <v>0</v>
      </c>
      <c r="H195" s="66">
        <f t="shared" si="34"/>
        <v>0</v>
      </c>
      <c r="I195" s="66">
        <f t="shared" si="34"/>
        <v>0</v>
      </c>
      <c r="J195" s="66">
        <f t="shared" si="34"/>
        <v>0</v>
      </c>
      <c r="K195" s="66">
        <f t="shared" si="34"/>
        <v>0</v>
      </c>
      <c r="L195" s="66">
        <f t="shared" si="34"/>
        <v>0</v>
      </c>
      <c r="M195" s="66">
        <f t="shared" si="34"/>
        <v>0</v>
      </c>
      <c r="N195" s="66">
        <f t="shared" si="34"/>
        <v>0</v>
      </c>
      <c r="O195" s="66">
        <f t="shared" si="34"/>
        <v>0</v>
      </c>
      <c r="P195" s="66">
        <f t="shared" si="34"/>
        <v>0</v>
      </c>
      <c r="Q195" s="66">
        <f t="shared" si="34"/>
        <v>0</v>
      </c>
      <c r="R195" s="66">
        <f t="shared" si="34"/>
        <v>0</v>
      </c>
      <c r="S195" s="66">
        <f t="shared" si="34"/>
        <v>0</v>
      </c>
      <c r="T195" s="66">
        <f t="shared" si="34"/>
        <v>0</v>
      </c>
      <c r="U195" s="66">
        <f t="shared" si="34"/>
        <v>0</v>
      </c>
      <c r="V195" s="66"/>
      <c r="W195" s="66"/>
    </row>
    <row r="196" spans="1:23" x14ac:dyDescent="0.25">
      <c r="A196" s="11" t="s">
        <v>742</v>
      </c>
      <c r="B196" s="11" t="s">
        <v>774</v>
      </c>
      <c r="C196" s="11" t="s">
        <v>775</v>
      </c>
      <c r="D196" s="11" t="s">
        <v>486</v>
      </c>
      <c r="E196" s="11" t="s">
        <v>924</v>
      </c>
      <c r="F196" s="66" t="str">
        <f t="shared" si="34"/>
        <v>CHECK</v>
      </c>
      <c r="G196" s="66" t="str">
        <f t="shared" si="34"/>
        <v>CHECK</v>
      </c>
      <c r="H196" s="66" t="str">
        <f t="shared" si="34"/>
        <v>CHECK</v>
      </c>
      <c r="I196" s="66" t="str">
        <f t="shared" si="34"/>
        <v>CHECK</v>
      </c>
      <c r="J196" s="66" t="str">
        <f t="shared" si="34"/>
        <v>CHECK</v>
      </c>
      <c r="K196" s="66" t="str">
        <f t="shared" si="34"/>
        <v>CHECK</v>
      </c>
      <c r="L196" s="66" t="str">
        <f t="shared" si="34"/>
        <v>CHECK</v>
      </c>
      <c r="M196" s="66" t="str">
        <f t="shared" si="34"/>
        <v>CHECK</v>
      </c>
      <c r="N196" s="66" t="str">
        <f t="shared" si="34"/>
        <v>CHECK</v>
      </c>
      <c r="O196" s="66" t="str">
        <f t="shared" si="34"/>
        <v>CHECK</v>
      </c>
      <c r="P196" s="66" t="str">
        <f t="shared" si="34"/>
        <v>CHECK</v>
      </c>
      <c r="Q196" s="66" t="str">
        <f t="shared" si="34"/>
        <v>CHECK</v>
      </c>
      <c r="R196" s="66" t="str">
        <f t="shared" si="34"/>
        <v>CHECK</v>
      </c>
      <c r="S196" s="66" t="str">
        <f t="shared" si="34"/>
        <v>CHECK</v>
      </c>
      <c r="T196" s="66" t="str">
        <f t="shared" si="34"/>
        <v>CHECK</v>
      </c>
      <c r="U196" s="66" t="str">
        <f t="shared" si="34"/>
        <v>CHECK</v>
      </c>
      <c r="V196" s="66"/>
      <c r="W196" s="66"/>
    </row>
    <row r="197" spans="1:23" x14ac:dyDescent="0.25">
      <c r="A197" s="11" t="s">
        <v>742</v>
      </c>
      <c r="B197" s="11" t="s">
        <v>776</v>
      </c>
      <c r="C197" s="11" t="s">
        <v>756</v>
      </c>
      <c r="D197" s="11" t="s">
        <v>486</v>
      </c>
      <c r="E197" s="11" t="s">
        <v>924</v>
      </c>
      <c r="F197" s="66" t="str">
        <f t="shared" si="34"/>
        <v>CHECK</v>
      </c>
      <c r="G197" s="66" t="str">
        <f t="shared" si="34"/>
        <v>CHECK</v>
      </c>
      <c r="H197" s="66" t="str">
        <f t="shared" si="34"/>
        <v>CHECK</v>
      </c>
      <c r="I197" s="66" t="str">
        <f t="shared" si="34"/>
        <v>CHECK</v>
      </c>
      <c r="J197" s="66" t="str">
        <f t="shared" si="34"/>
        <v>CHECK</v>
      </c>
      <c r="K197" s="66" t="str">
        <f t="shared" si="34"/>
        <v>CHECK</v>
      </c>
      <c r="L197" s="66" t="str">
        <f t="shared" si="34"/>
        <v>CHECK</v>
      </c>
      <c r="M197" s="66" t="str">
        <f t="shared" si="34"/>
        <v>CHECK</v>
      </c>
      <c r="N197" s="66" t="str">
        <f t="shared" si="34"/>
        <v>CHECK</v>
      </c>
      <c r="O197" s="66" t="str">
        <f t="shared" si="34"/>
        <v>CHECK</v>
      </c>
      <c r="P197" s="66" t="str">
        <f t="shared" si="34"/>
        <v>CHECK</v>
      </c>
      <c r="Q197" s="66" t="str">
        <f t="shared" si="34"/>
        <v>CHECK</v>
      </c>
      <c r="R197" s="66" t="str">
        <f t="shared" si="34"/>
        <v>CHECK</v>
      </c>
      <c r="S197" s="66" t="str">
        <f t="shared" si="34"/>
        <v>CHECK</v>
      </c>
      <c r="T197" s="66" t="str">
        <f t="shared" si="34"/>
        <v>CHECK</v>
      </c>
      <c r="U197" s="66" t="str">
        <f t="shared" si="34"/>
        <v>CHECK</v>
      </c>
      <c r="V197" s="66"/>
      <c r="W197" s="66"/>
    </row>
    <row r="199" spans="1:23" s="7" customFormat="1" x14ac:dyDescent="0.25">
      <c r="A199" s="110" t="s">
        <v>742</v>
      </c>
      <c r="B199" s="110" t="s">
        <v>757</v>
      </c>
      <c r="C199" s="110" t="s">
        <v>923</v>
      </c>
      <c r="D199" s="110" t="s">
        <v>486</v>
      </c>
      <c r="E199" s="110" t="s">
        <v>745</v>
      </c>
      <c r="F199" s="66">
        <f t="shared" ref="F199:U209" si="35">IFERROR(((F43/F122)-1),"CHECK")</f>
        <v>0</v>
      </c>
      <c r="G199" s="66">
        <f t="shared" si="35"/>
        <v>0</v>
      </c>
      <c r="H199" s="66">
        <f t="shared" si="35"/>
        <v>0</v>
      </c>
      <c r="I199" s="66">
        <f t="shared" si="35"/>
        <v>0</v>
      </c>
      <c r="J199" s="66">
        <f t="shared" si="35"/>
        <v>0</v>
      </c>
      <c r="K199" s="66">
        <f t="shared" si="35"/>
        <v>0</v>
      </c>
      <c r="L199" s="66">
        <f t="shared" si="35"/>
        <v>0</v>
      </c>
      <c r="M199" s="66">
        <f t="shared" si="35"/>
        <v>0</v>
      </c>
      <c r="N199" s="66">
        <f t="shared" si="35"/>
        <v>0</v>
      </c>
      <c r="O199" s="66">
        <f t="shared" si="35"/>
        <v>0</v>
      </c>
      <c r="P199" s="66">
        <f t="shared" si="35"/>
        <v>0</v>
      </c>
      <c r="Q199" s="66">
        <f t="shared" si="35"/>
        <v>0</v>
      </c>
      <c r="R199" s="66">
        <f t="shared" si="35"/>
        <v>0</v>
      </c>
      <c r="S199" s="66">
        <f t="shared" si="35"/>
        <v>0</v>
      </c>
      <c r="T199" s="66">
        <f t="shared" si="35"/>
        <v>0</v>
      </c>
      <c r="U199" s="66">
        <f t="shared" si="35"/>
        <v>0</v>
      </c>
      <c r="V199" s="66"/>
      <c r="W199" s="66"/>
    </row>
    <row r="200" spans="1:23" x14ac:dyDescent="0.25">
      <c r="A200" s="11" t="s">
        <v>742</v>
      </c>
      <c r="B200" s="11" t="s">
        <v>758</v>
      </c>
      <c r="C200" s="11" t="s">
        <v>759</v>
      </c>
      <c r="D200" s="11" t="s">
        <v>486</v>
      </c>
      <c r="E200" s="11" t="s">
        <v>745</v>
      </c>
      <c r="F200" s="66">
        <f t="shared" si="35"/>
        <v>0</v>
      </c>
      <c r="G200" s="66">
        <f t="shared" si="35"/>
        <v>0</v>
      </c>
      <c r="H200" s="66">
        <f t="shared" si="35"/>
        <v>0</v>
      </c>
      <c r="I200" s="66">
        <f t="shared" si="35"/>
        <v>0</v>
      </c>
      <c r="J200" s="66">
        <f t="shared" si="35"/>
        <v>0</v>
      </c>
      <c r="K200" s="66">
        <f t="shared" si="35"/>
        <v>0</v>
      </c>
      <c r="L200" s="66">
        <f t="shared" si="35"/>
        <v>0</v>
      </c>
      <c r="M200" s="66">
        <f t="shared" si="35"/>
        <v>0</v>
      </c>
      <c r="N200" s="66">
        <f t="shared" si="35"/>
        <v>0</v>
      </c>
      <c r="O200" s="66">
        <f t="shared" si="35"/>
        <v>0</v>
      </c>
      <c r="P200" s="66">
        <f t="shared" si="35"/>
        <v>0</v>
      </c>
      <c r="Q200" s="66">
        <f t="shared" si="35"/>
        <v>0</v>
      </c>
      <c r="R200" s="66">
        <f t="shared" si="35"/>
        <v>0</v>
      </c>
      <c r="S200" s="66">
        <f t="shared" si="35"/>
        <v>0</v>
      </c>
      <c r="T200" s="66">
        <f t="shared" si="35"/>
        <v>0</v>
      </c>
      <c r="U200" s="66">
        <f t="shared" si="35"/>
        <v>0</v>
      </c>
      <c r="V200" s="66"/>
      <c r="W200" s="66"/>
    </row>
    <row r="201" spans="1:23" x14ac:dyDescent="0.25">
      <c r="A201" s="11" t="s">
        <v>742</v>
      </c>
      <c r="B201" s="11" t="s">
        <v>760</v>
      </c>
      <c r="C201" s="11" t="s">
        <v>761</v>
      </c>
      <c r="D201" s="11" t="s">
        <v>486</v>
      </c>
      <c r="E201" s="11" t="s">
        <v>745</v>
      </c>
      <c r="F201" s="66" t="str">
        <f t="shared" si="35"/>
        <v>CHECK</v>
      </c>
      <c r="G201" s="66" t="str">
        <f t="shared" si="35"/>
        <v>CHECK</v>
      </c>
      <c r="H201" s="66" t="str">
        <f t="shared" si="35"/>
        <v>CHECK</v>
      </c>
      <c r="I201" s="66" t="str">
        <f t="shared" si="35"/>
        <v>CHECK</v>
      </c>
      <c r="J201" s="66" t="str">
        <f t="shared" si="35"/>
        <v>CHECK</v>
      </c>
      <c r="K201" s="66" t="str">
        <f t="shared" si="35"/>
        <v>CHECK</v>
      </c>
      <c r="L201" s="66" t="str">
        <f t="shared" si="35"/>
        <v>CHECK</v>
      </c>
      <c r="M201" s="66" t="str">
        <f t="shared" si="35"/>
        <v>CHECK</v>
      </c>
      <c r="N201" s="66" t="str">
        <f t="shared" si="35"/>
        <v>CHECK</v>
      </c>
      <c r="O201" s="66" t="str">
        <f t="shared" si="35"/>
        <v>CHECK</v>
      </c>
      <c r="P201" s="66" t="str">
        <f t="shared" si="35"/>
        <v>CHECK</v>
      </c>
      <c r="Q201" s="66" t="str">
        <f t="shared" si="35"/>
        <v>CHECK</v>
      </c>
      <c r="R201" s="66" t="str">
        <f t="shared" si="35"/>
        <v>CHECK</v>
      </c>
      <c r="S201" s="66" t="str">
        <f t="shared" si="35"/>
        <v>CHECK</v>
      </c>
      <c r="T201" s="66" t="str">
        <f t="shared" si="35"/>
        <v>CHECK</v>
      </c>
      <c r="U201" s="66" t="str">
        <f t="shared" si="35"/>
        <v>CHECK</v>
      </c>
      <c r="V201" s="66"/>
      <c r="W201" s="66"/>
    </row>
    <row r="202" spans="1:23" x14ac:dyDescent="0.25">
      <c r="A202" s="11" t="s">
        <v>742</v>
      </c>
      <c r="B202" s="11" t="s">
        <v>762</v>
      </c>
      <c r="C202" s="11" t="s">
        <v>763</v>
      </c>
      <c r="D202" s="11" t="s">
        <v>486</v>
      </c>
      <c r="E202" s="11" t="s">
        <v>745</v>
      </c>
      <c r="F202" s="66" t="str">
        <f t="shared" si="35"/>
        <v>CHECK</v>
      </c>
      <c r="G202" s="66" t="str">
        <f t="shared" si="35"/>
        <v>CHECK</v>
      </c>
      <c r="H202" s="66" t="str">
        <f t="shared" si="35"/>
        <v>CHECK</v>
      </c>
      <c r="I202" s="66" t="str">
        <f t="shared" si="35"/>
        <v>CHECK</v>
      </c>
      <c r="J202" s="66" t="str">
        <f t="shared" si="35"/>
        <v>CHECK</v>
      </c>
      <c r="K202" s="66" t="str">
        <f t="shared" si="35"/>
        <v>CHECK</v>
      </c>
      <c r="L202" s="66" t="str">
        <f t="shared" si="35"/>
        <v>CHECK</v>
      </c>
      <c r="M202" s="66" t="str">
        <f t="shared" si="35"/>
        <v>CHECK</v>
      </c>
      <c r="N202" s="66" t="str">
        <f t="shared" si="35"/>
        <v>CHECK</v>
      </c>
      <c r="O202" s="66" t="str">
        <f t="shared" si="35"/>
        <v>CHECK</v>
      </c>
      <c r="P202" s="66" t="str">
        <f t="shared" si="35"/>
        <v>CHECK</v>
      </c>
      <c r="Q202" s="66" t="str">
        <f t="shared" si="35"/>
        <v>CHECK</v>
      </c>
      <c r="R202" s="66" t="str">
        <f t="shared" si="35"/>
        <v>CHECK</v>
      </c>
      <c r="S202" s="66" t="str">
        <f t="shared" si="35"/>
        <v>CHECK</v>
      </c>
      <c r="T202" s="66" t="str">
        <f t="shared" si="35"/>
        <v>CHECK</v>
      </c>
      <c r="U202" s="66" t="str">
        <f t="shared" si="35"/>
        <v>CHECK</v>
      </c>
      <c r="V202" s="66"/>
      <c r="W202" s="66"/>
    </row>
    <row r="203" spans="1:23" x14ac:dyDescent="0.25">
      <c r="A203" s="11" t="s">
        <v>742</v>
      </c>
      <c r="B203" s="11" t="s">
        <v>764</v>
      </c>
      <c r="C203" s="11" t="s">
        <v>765</v>
      </c>
      <c r="D203" s="11" t="s">
        <v>486</v>
      </c>
      <c r="E203" s="11" t="s">
        <v>745</v>
      </c>
      <c r="F203" s="66" t="str">
        <f t="shared" si="35"/>
        <v>CHECK</v>
      </c>
      <c r="G203" s="66" t="str">
        <f t="shared" si="35"/>
        <v>CHECK</v>
      </c>
      <c r="H203" s="66" t="str">
        <f t="shared" si="35"/>
        <v>CHECK</v>
      </c>
      <c r="I203" s="66" t="str">
        <f t="shared" si="35"/>
        <v>CHECK</v>
      </c>
      <c r="J203" s="66" t="str">
        <f t="shared" si="35"/>
        <v>CHECK</v>
      </c>
      <c r="K203" s="66" t="str">
        <f t="shared" si="35"/>
        <v>CHECK</v>
      </c>
      <c r="L203" s="66" t="str">
        <f t="shared" si="35"/>
        <v>CHECK</v>
      </c>
      <c r="M203" s="66" t="str">
        <f t="shared" si="35"/>
        <v>CHECK</v>
      </c>
      <c r="N203" s="66" t="str">
        <f t="shared" si="35"/>
        <v>CHECK</v>
      </c>
      <c r="O203" s="66" t="str">
        <f t="shared" si="35"/>
        <v>CHECK</v>
      </c>
      <c r="P203" s="66" t="str">
        <f t="shared" si="35"/>
        <v>CHECK</v>
      </c>
      <c r="Q203" s="66" t="str">
        <f t="shared" si="35"/>
        <v>CHECK</v>
      </c>
      <c r="R203" s="66" t="str">
        <f t="shared" si="35"/>
        <v>CHECK</v>
      </c>
      <c r="S203" s="66" t="str">
        <f t="shared" si="35"/>
        <v>CHECK</v>
      </c>
      <c r="T203" s="66" t="str">
        <f t="shared" si="35"/>
        <v>CHECK</v>
      </c>
      <c r="U203" s="66" t="str">
        <f t="shared" si="35"/>
        <v>CHECK</v>
      </c>
      <c r="V203" s="66"/>
      <c r="W203" s="66"/>
    </row>
    <row r="204" spans="1:23" x14ac:dyDescent="0.25">
      <c r="A204" s="11" t="s">
        <v>742</v>
      </c>
      <c r="B204" s="11" t="s">
        <v>766</v>
      </c>
      <c r="C204" s="11" t="s">
        <v>767</v>
      </c>
      <c r="D204" s="11" t="s">
        <v>486</v>
      </c>
      <c r="E204" s="11" t="s">
        <v>745</v>
      </c>
      <c r="F204" s="66" t="str">
        <f t="shared" si="35"/>
        <v>CHECK</v>
      </c>
      <c r="G204" s="66" t="str">
        <f t="shared" si="35"/>
        <v>CHECK</v>
      </c>
      <c r="H204" s="66" t="str">
        <f t="shared" si="35"/>
        <v>CHECK</v>
      </c>
      <c r="I204" s="66" t="str">
        <f t="shared" si="35"/>
        <v>CHECK</v>
      </c>
      <c r="J204" s="66" t="str">
        <f t="shared" si="35"/>
        <v>CHECK</v>
      </c>
      <c r="K204" s="66" t="str">
        <f t="shared" si="35"/>
        <v>CHECK</v>
      </c>
      <c r="L204" s="66" t="str">
        <f t="shared" si="35"/>
        <v>CHECK</v>
      </c>
      <c r="M204" s="66" t="str">
        <f t="shared" si="35"/>
        <v>CHECK</v>
      </c>
      <c r="N204" s="66" t="str">
        <f t="shared" si="35"/>
        <v>CHECK</v>
      </c>
      <c r="O204" s="66" t="str">
        <f t="shared" si="35"/>
        <v>CHECK</v>
      </c>
      <c r="P204" s="66" t="str">
        <f t="shared" si="35"/>
        <v>CHECK</v>
      </c>
      <c r="Q204" s="66" t="str">
        <f t="shared" si="35"/>
        <v>CHECK</v>
      </c>
      <c r="R204" s="66" t="str">
        <f t="shared" si="35"/>
        <v>CHECK</v>
      </c>
      <c r="S204" s="66" t="str">
        <f t="shared" si="35"/>
        <v>CHECK</v>
      </c>
      <c r="T204" s="66" t="str">
        <f t="shared" si="35"/>
        <v>CHECK</v>
      </c>
      <c r="U204" s="66" t="str">
        <f t="shared" si="35"/>
        <v>CHECK</v>
      </c>
      <c r="V204" s="66"/>
      <c r="W204" s="66"/>
    </row>
    <row r="205" spans="1:23" x14ac:dyDescent="0.25">
      <c r="A205" s="11" t="s">
        <v>742</v>
      </c>
      <c r="B205" s="11" t="s">
        <v>768</v>
      </c>
      <c r="C205" s="11" t="s">
        <v>769</v>
      </c>
      <c r="D205" s="11" t="s">
        <v>486</v>
      </c>
      <c r="E205" s="11" t="s">
        <v>745</v>
      </c>
      <c r="F205" s="66" t="str">
        <f t="shared" si="35"/>
        <v>CHECK</v>
      </c>
      <c r="G205" s="66" t="str">
        <f t="shared" si="35"/>
        <v>CHECK</v>
      </c>
      <c r="H205" s="66" t="str">
        <f t="shared" si="35"/>
        <v>CHECK</v>
      </c>
      <c r="I205" s="66" t="str">
        <f t="shared" si="35"/>
        <v>CHECK</v>
      </c>
      <c r="J205" s="66" t="str">
        <f t="shared" si="35"/>
        <v>CHECK</v>
      </c>
      <c r="K205" s="66" t="str">
        <f t="shared" si="35"/>
        <v>CHECK</v>
      </c>
      <c r="L205" s="66" t="str">
        <f t="shared" si="35"/>
        <v>CHECK</v>
      </c>
      <c r="M205" s="66" t="str">
        <f t="shared" si="35"/>
        <v>CHECK</v>
      </c>
      <c r="N205" s="66" t="str">
        <f t="shared" si="35"/>
        <v>CHECK</v>
      </c>
      <c r="O205" s="66" t="str">
        <f t="shared" si="35"/>
        <v>CHECK</v>
      </c>
      <c r="P205" s="66" t="str">
        <f t="shared" si="35"/>
        <v>CHECK</v>
      </c>
      <c r="Q205" s="66" t="str">
        <f t="shared" si="35"/>
        <v>CHECK</v>
      </c>
      <c r="R205" s="66" t="str">
        <f t="shared" si="35"/>
        <v>CHECK</v>
      </c>
      <c r="S205" s="66" t="str">
        <f t="shared" si="35"/>
        <v>CHECK</v>
      </c>
      <c r="T205" s="66" t="str">
        <f t="shared" si="35"/>
        <v>CHECK</v>
      </c>
      <c r="U205" s="66" t="str">
        <f t="shared" si="35"/>
        <v>CHECK</v>
      </c>
      <c r="V205" s="66"/>
      <c r="W205" s="66"/>
    </row>
    <row r="206" spans="1:23" x14ac:dyDescent="0.25">
      <c r="A206" s="11" t="s">
        <v>742</v>
      </c>
      <c r="B206" s="11" t="s">
        <v>770</v>
      </c>
      <c r="C206" s="11" t="s">
        <v>771</v>
      </c>
      <c r="D206" s="11" t="s">
        <v>486</v>
      </c>
      <c r="E206" s="11" t="s">
        <v>745</v>
      </c>
      <c r="F206" s="66" t="str">
        <f t="shared" si="35"/>
        <v>CHECK</v>
      </c>
      <c r="G206" s="66" t="str">
        <f t="shared" si="35"/>
        <v>CHECK</v>
      </c>
      <c r="H206" s="66" t="str">
        <f t="shared" si="35"/>
        <v>CHECK</v>
      </c>
      <c r="I206" s="66" t="str">
        <f t="shared" si="35"/>
        <v>CHECK</v>
      </c>
      <c r="J206" s="66" t="str">
        <f t="shared" si="35"/>
        <v>CHECK</v>
      </c>
      <c r="K206" s="66" t="str">
        <f t="shared" si="35"/>
        <v>CHECK</v>
      </c>
      <c r="L206" s="66" t="str">
        <f t="shared" si="35"/>
        <v>CHECK</v>
      </c>
      <c r="M206" s="66" t="str">
        <f t="shared" si="35"/>
        <v>CHECK</v>
      </c>
      <c r="N206" s="66" t="str">
        <f t="shared" si="35"/>
        <v>CHECK</v>
      </c>
      <c r="O206" s="66" t="str">
        <f t="shared" si="35"/>
        <v>CHECK</v>
      </c>
      <c r="P206" s="66" t="str">
        <f t="shared" si="35"/>
        <v>CHECK</v>
      </c>
      <c r="Q206" s="66" t="str">
        <f t="shared" si="35"/>
        <v>CHECK</v>
      </c>
      <c r="R206" s="66" t="str">
        <f t="shared" si="35"/>
        <v>CHECK</v>
      </c>
      <c r="S206" s="66" t="str">
        <f t="shared" si="35"/>
        <v>CHECK</v>
      </c>
      <c r="T206" s="66" t="str">
        <f t="shared" si="35"/>
        <v>CHECK</v>
      </c>
      <c r="U206" s="66" t="str">
        <f t="shared" si="35"/>
        <v>CHECK</v>
      </c>
      <c r="V206" s="66"/>
      <c r="W206" s="66"/>
    </row>
    <row r="207" spans="1:23" x14ac:dyDescent="0.25">
      <c r="A207" s="11" t="s">
        <v>742</v>
      </c>
      <c r="B207" s="11" t="s">
        <v>772</v>
      </c>
      <c r="C207" s="11" t="s">
        <v>773</v>
      </c>
      <c r="D207" s="11" t="s">
        <v>486</v>
      </c>
      <c r="E207" s="11" t="s">
        <v>745</v>
      </c>
      <c r="F207" s="66">
        <f t="shared" si="35"/>
        <v>0</v>
      </c>
      <c r="G207" s="66">
        <f t="shared" si="35"/>
        <v>0</v>
      </c>
      <c r="H207" s="66">
        <f t="shared" si="35"/>
        <v>0</v>
      </c>
      <c r="I207" s="66">
        <f t="shared" si="35"/>
        <v>0</v>
      </c>
      <c r="J207" s="66">
        <f t="shared" si="35"/>
        <v>0</v>
      </c>
      <c r="K207" s="66">
        <f t="shared" si="35"/>
        <v>0</v>
      </c>
      <c r="L207" s="66">
        <f t="shared" si="35"/>
        <v>0</v>
      </c>
      <c r="M207" s="66">
        <f t="shared" si="35"/>
        <v>0</v>
      </c>
      <c r="N207" s="66">
        <f t="shared" si="35"/>
        <v>0</v>
      </c>
      <c r="O207" s="66">
        <f t="shared" si="35"/>
        <v>0</v>
      </c>
      <c r="P207" s="66">
        <f t="shared" si="35"/>
        <v>0</v>
      </c>
      <c r="Q207" s="66">
        <f t="shared" si="35"/>
        <v>0</v>
      </c>
      <c r="R207" s="66">
        <f t="shared" si="35"/>
        <v>0</v>
      </c>
      <c r="S207" s="66">
        <f t="shared" si="35"/>
        <v>0</v>
      </c>
      <c r="T207" s="66">
        <f t="shared" si="35"/>
        <v>0</v>
      </c>
      <c r="U207" s="66">
        <f t="shared" si="35"/>
        <v>0</v>
      </c>
      <c r="V207" s="66"/>
      <c r="W207" s="66"/>
    </row>
    <row r="208" spans="1:23" x14ac:dyDescent="0.25">
      <c r="A208" s="11" t="s">
        <v>742</v>
      </c>
      <c r="B208" s="11" t="s">
        <v>774</v>
      </c>
      <c r="C208" s="11" t="s">
        <v>775</v>
      </c>
      <c r="D208" s="11" t="s">
        <v>486</v>
      </c>
      <c r="E208" s="11" t="s">
        <v>745</v>
      </c>
      <c r="F208" s="66" t="str">
        <f t="shared" si="35"/>
        <v>CHECK</v>
      </c>
      <c r="G208" s="66" t="str">
        <f t="shared" si="35"/>
        <v>CHECK</v>
      </c>
      <c r="H208" s="66" t="str">
        <f t="shared" si="35"/>
        <v>CHECK</v>
      </c>
      <c r="I208" s="66" t="str">
        <f t="shared" si="35"/>
        <v>CHECK</v>
      </c>
      <c r="J208" s="66" t="str">
        <f t="shared" si="35"/>
        <v>CHECK</v>
      </c>
      <c r="K208" s="66" t="str">
        <f t="shared" si="35"/>
        <v>CHECK</v>
      </c>
      <c r="L208" s="66" t="str">
        <f t="shared" si="35"/>
        <v>CHECK</v>
      </c>
      <c r="M208" s="66" t="str">
        <f t="shared" si="35"/>
        <v>CHECK</v>
      </c>
      <c r="N208" s="66" t="str">
        <f t="shared" si="35"/>
        <v>CHECK</v>
      </c>
      <c r="O208" s="66" t="str">
        <f t="shared" si="35"/>
        <v>CHECK</v>
      </c>
      <c r="P208" s="66" t="str">
        <f t="shared" si="35"/>
        <v>CHECK</v>
      </c>
      <c r="Q208" s="66" t="str">
        <f t="shared" si="35"/>
        <v>CHECK</v>
      </c>
      <c r="R208" s="66" t="str">
        <f t="shared" si="35"/>
        <v>CHECK</v>
      </c>
      <c r="S208" s="66" t="str">
        <f t="shared" si="35"/>
        <v>CHECK</v>
      </c>
      <c r="T208" s="66" t="str">
        <f t="shared" si="35"/>
        <v>CHECK</v>
      </c>
      <c r="U208" s="66" t="str">
        <f t="shared" si="35"/>
        <v>CHECK</v>
      </c>
      <c r="V208" s="66"/>
      <c r="W208" s="66"/>
    </row>
    <row r="209" spans="1:23" x14ac:dyDescent="0.25">
      <c r="A209" s="11" t="s">
        <v>742</v>
      </c>
      <c r="B209" s="11" t="s">
        <v>776</v>
      </c>
      <c r="C209" s="11" t="s">
        <v>756</v>
      </c>
      <c r="D209" s="11" t="s">
        <v>486</v>
      </c>
      <c r="E209" s="11" t="s">
        <v>745</v>
      </c>
      <c r="F209" s="66" t="str">
        <f t="shared" si="35"/>
        <v>CHECK</v>
      </c>
      <c r="G209" s="66" t="str">
        <f t="shared" si="35"/>
        <v>CHECK</v>
      </c>
      <c r="H209" s="66" t="str">
        <f t="shared" si="35"/>
        <v>CHECK</v>
      </c>
      <c r="I209" s="66" t="str">
        <f t="shared" si="35"/>
        <v>CHECK</v>
      </c>
      <c r="J209" s="66" t="str">
        <f t="shared" si="35"/>
        <v>CHECK</v>
      </c>
      <c r="K209" s="66" t="str">
        <f t="shared" si="35"/>
        <v>CHECK</v>
      </c>
      <c r="L209" s="66" t="str">
        <f t="shared" si="35"/>
        <v>CHECK</v>
      </c>
      <c r="M209" s="66" t="str">
        <f t="shared" si="35"/>
        <v>CHECK</v>
      </c>
      <c r="N209" s="66" t="str">
        <f t="shared" si="35"/>
        <v>CHECK</v>
      </c>
      <c r="O209" s="66" t="str">
        <f t="shared" si="35"/>
        <v>CHECK</v>
      </c>
      <c r="P209" s="66" t="str">
        <f t="shared" si="35"/>
        <v>CHECK</v>
      </c>
      <c r="Q209" s="66" t="str">
        <f t="shared" si="35"/>
        <v>CHECK</v>
      </c>
      <c r="R209" s="66" t="str">
        <f t="shared" si="35"/>
        <v>CHECK</v>
      </c>
      <c r="S209" s="66" t="str">
        <f t="shared" si="35"/>
        <v>CHECK</v>
      </c>
      <c r="T209" s="66" t="str">
        <f t="shared" si="35"/>
        <v>CHECK</v>
      </c>
      <c r="U209" s="66" t="str">
        <f t="shared" si="35"/>
        <v>CHECK</v>
      </c>
      <c r="V209" s="66"/>
      <c r="W209" s="66"/>
    </row>
    <row r="211" spans="1:23" x14ac:dyDescent="0.25">
      <c r="C211" s="10" t="s">
        <v>848</v>
      </c>
    </row>
    <row r="212" spans="1:23" s="7" customFormat="1" x14ac:dyDescent="0.25">
      <c r="A212" s="110" t="s">
        <v>742</v>
      </c>
      <c r="B212" s="110" t="s">
        <v>757</v>
      </c>
      <c r="C212" s="110" t="s">
        <v>923</v>
      </c>
      <c r="D212" s="110" t="s">
        <v>488</v>
      </c>
      <c r="E212" s="110" t="s">
        <v>925</v>
      </c>
      <c r="F212" s="66">
        <f t="shared" ref="F212:U222" si="36">IFERROR(((F56/F135)-1),"CHECK")</f>
        <v>0</v>
      </c>
      <c r="G212" s="66">
        <f t="shared" si="36"/>
        <v>0</v>
      </c>
      <c r="H212" s="66">
        <f t="shared" si="36"/>
        <v>0</v>
      </c>
      <c r="I212" s="66">
        <f t="shared" si="36"/>
        <v>0</v>
      </c>
      <c r="J212" s="66">
        <f t="shared" si="36"/>
        <v>0</v>
      </c>
      <c r="K212" s="66">
        <f t="shared" si="36"/>
        <v>0</v>
      </c>
      <c r="L212" s="66">
        <f t="shared" si="36"/>
        <v>0</v>
      </c>
      <c r="M212" s="66">
        <f t="shared" si="36"/>
        <v>0</v>
      </c>
      <c r="N212" s="66">
        <f t="shared" si="36"/>
        <v>0</v>
      </c>
      <c r="O212" s="66">
        <f t="shared" si="36"/>
        <v>0</v>
      </c>
      <c r="P212" s="66">
        <f t="shared" si="36"/>
        <v>0</v>
      </c>
      <c r="Q212" s="66">
        <f t="shared" si="36"/>
        <v>0</v>
      </c>
      <c r="R212" s="66">
        <f t="shared" si="36"/>
        <v>0</v>
      </c>
      <c r="S212" s="66">
        <f t="shared" si="36"/>
        <v>0</v>
      </c>
      <c r="T212" s="66">
        <f t="shared" si="36"/>
        <v>0</v>
      </c>
      <c r="U212" s="66">
        <f t="shared" si="36"/>
        <v>0</v>
      </c>
      <c r="V212" s="66"/>
      <c r="W212" s="66"/>
    </row>
    <row r="213" spans="1:23" x14ac:dyDescent="0.25">
      <c r="A213" s="11" t="s">
        <v>742</v>
      </c>
      <c r="B213" s="11" t="s">
        <v>758</v>
      </c>
      <c r="C213" s="11" t="s">
        <v>759</v>
      </c>
      <c r="D213" s="11" t="s">
        <v>488</v>
      </c>
      <c r="E213" s="11" t="s">
        <v>925</v>
      </c>
      <c r="F213" s="66" t="str">
        <f t="shared" si="36"/>
        <v>CHECK</v>
      </c>
      <c r="G213" s="66" t="str">
        <f t="shared" si="36"/>
        <v>CHECK</v>
      </c>
      <c r="H213" s="66" t="str">
        <f t="shared" si="36"/>
        <v>CHECK</v>
      </c>
      <c r="I213" s="66" t="str">
        <f t="shared" si="36"/>
        <v>CHECK</v>
      </c>
      <c r="J213" s="66" t="str">
        <f t="shared" si="36"/>
        <v>CHECK</v>
      </c>
      <c r="K213" s="66" t="str">
        <f t="shared" si="36"/>
        <v>CHECK</v>
      </c>
      <c r="L213" s="66" t="str">
        <f t="shared" si="36"/>
        <v>CHECK</v>
      </c>
      <c r="M213" s="66" t="str">
        <f t="shared" si="36"/>
        <v>CHECK</v>
      </c>
      <c r="N213" s="66" t="str">
        <f t="shared" si="36"/>
        <v>CHECK</v>
      </c>
      <c r="O213" s="66" t="str">
        <f t="shared" si="36"/>
        <v>CHECK</v>
      </c>
      <c r="P213" s="66" t="str">
        <f t="shared" si="36"/>
        <v>CHECK</v>
      </c>
      <c r="Q213" s="66" t="str">
        <f t="shared" si="36"/>
        <v>CHECK</v>
      </c>
      <c r="R213" s="66" t="str">
        <f t="shared" si="36"/>
        <v>CHECK</v>
      </c>
      <c r="S213" s="66" t="str">
        <f t="shared" si="36"/>
        <v>CHECK</v>
      </c>
      <c r="T213" s="66" t="str">
        <f t="shared" si="36"/>
        <v>CHECK</v>
      </c>
      <c r="U213" s="66" t="str">
        <f t="shared" si="36"/>
        <v>CHECK</v>
      </c>
      <c r="V213" s="66"/>
      <c r="W213" s="66"/>
    </row>
    <row r="214" spans="1:23" x14ac:dyDescent="0.25">
      <c r="A214" s="11" t="s">
        <v>742</v>
      </c>
      <c r="B214" s="11" t="s">
        <v>760</v>
      </c>
      <c r="C214" s="11" t="s">
        <v>761</v>
      </c>
      <c r="D214" s="11" t="s">
        <v>488</v>
      </c>
      <c r="E214" s="11" t="s">
        <v>925</v>
      </c>
      <c r="F214" s="66">
        <f t="shared" si="36"/>
        <v>0</v>
      </c>
      <c r="G214" s="66">
        <f t="shared" si="36"/>
        <v>0</v>
      </c>
      <c r="H214" s="66">
        <f t="shared" si="36"/>
        <v>0</v>
      </c>
      <c r="I214" s="66">
        <f t="shared" si="36"/>
        <v>0</v>
      </c>
      <c r="J214" s="66">
        <f t="shared" si="36"/>
        <v>0</v>
      </c>
      <c r="K214" s="66">
        <f t="shared" si="36"/>
        <v>0</v>
      </c>
      <c r="L214" s="66">
        <f t="shared" si="36"/>
        <v>0</v>
      </c>
      <c r="M214" s="66">
        <f t="shared" si="36"/>
        <v>0</v>
      </c>
      <c r="N214" s="66">
        <f t="shared" si="36"/>
        <v>0</v>
      </c>
      <c r="O214" s="66">
        <f t="shared" si="36"/>
        <v>0</v>
      </c>
      <c r="P214" s="66">
        <f t="shared" si="36"/>
        <v>0</v>
      </c>
      <c r="Q214" s="66">
        <f t="shared" si="36"/>
        <v>0</v>
      </c>
      <c r="R214" s="66">
        <f t="shared" si="36"/>
        <v>0</v>
      </c>
      <c r="S214" s="66">
        <f t="shared" si="36"/>
        <v>0</v>
      </c>
      <c r="T214" s="66">
        <f t="shared" si="36"/>
        <v>0</v>
      </c>
      <c r="U214" s="66">
        <f t="shared" si="36"/>
        <v>0</v>
      </c>
      <c r="V214" s="66"/>
      <c r="W214" s="66"/>
    </row>
    <row r="215" spans="1:23" x14ac:dyDescent="0.25">
      <c r="A215" s="11" t="s">
        <v>742</v>
      </c>
      <c r="B215" s="11" t="s">
        <v>762</v>
      </c>
      <c r="C215" s="11" t="s">
        <v>763</v>
      </c>
      <c r="D215" s="11" t="s">
        <v>488</v>
      </c>
      <c r="E215" s="11" t="s">
        <v>925</v>
      </c>
      <c r="F215" s="66" t="str">
        <f t="shared" si="36"/>
        <v>CHECK</v>
      </c>
      <c r="G215" s="66" t="str">
        <f t="shared" si="36"/>
        <v>CHECK</v>
      </c>
      <c r="H215" s="66" t="str">
        <f t="shared" si="36"/>
        <v>CHECK</v>
      </c>
      <c r="I215" s="66" t="str">
        <f t="shared" si="36"/>
        <v>CHECK</v>
      </c>
      <c r="J215" s="66" t="str">
        <f t="shared" si="36"/>
        <v>CHECK</v>
      </c>
      <c r="K215" s="66" t="str">
        <f t="shared" si="36"/>
        <v>CHECK</v>
      </c>
      <c r="L215" s="66" t="str">
        <f t="shared" si="36"/>
        <v>CHECK</v>
      </c>
      <c r="M215" s="66" t="str">
        <f t="shared" si="36"/>
        <v>CHECK</v>
      </c>
      <c r="N215" s="66" t="str">
        <f t="shared" si="36"/>
        <v>CHECK</v>
      </c>
      <c r="O215" s="66" t="str">
        <f t="shared" si="36"/>
        <v>CHECK</v>
      </c>
      <c r="P215" s="66" t="str">
        <f t="shared" si="36"/>
        <v>CHECK</v>
      </c>
      <c r="Q215" s="66" t="str">
        <f t="shared" si="36"/>
        <v>CHECK</v>
      </c>
      <c r="R215" s="66" t="str">
        <f t="shared" si="36"/>
        <v>CHECK</v>
      </c>
      <c r="S215" s="66" t="str">
        <f t="shared" si="36"/>
        <v>CHECK</v>
      </c>
      <c r="T215" s="66" t="str">
        <f t="shared" si="36"/>
        <v>CHECK</v>
      </c>
      <c r="U215" s="66" t="str">
        <f t="shared" si="36"/>
        <v>CHECK</v>
      </c>
      <c r="V215" s="66"/>
      <c r="W215" s="66"/>
    </row>
    <row r="216" spans="1:23" x14ac:dyDescent="0.25">
      <c r="A216" s="11" t="s">
        <v>742</v>
      </c>
      <c r="B216" s="11" t="s">
        <v>764</v>
      </c>
      <c r="C216" s="11" t="s">
        <v>765</v>
      </c>
      <c r="D216" s="11" t="s">
        <v>488</v>
      </c>
      <c r="E216" s="11" t="s">
        <v>925</v>
      </c>
      <c r="F216" s="66" t="str">
        <f t="shared" si="36"/>
        <v>CHECK</v>
      </c>
      <c r="G216" s="66" t="str">
        <f t="shared" si="36"/>
        <v>CHECK</v>
      </c>
      <c r="H216" s="66" t="str">
        <f t="shared" si="36"/>
        <v>CHECK</v>
      </c>
      <c r="I216" s="66" t="str">
        <f t="shared" si="36"/>
        <v>CHECK</v>
      </c>
      <c r="J216" s="66" t="str">
        <f t="shared" si="36"/>
        <v>CHECK</v>
      </c>
      <c r="K216" s="66" t="str">
        <f t="shared" si="36"/>
        <v>CHECK</v>
      </c>
      <c r="L216" s="66" t="str">
        <f t="shared" si="36"/>
        <v>CHECK</v>
      </c>
      <c r="M216" s="66" t="str">
        <f t="shared" si="36"/>
        <v>CHECK</v>
      </c>
      <c r="N216" s="66" t="str">
        <f t="shared" si="36"/>
        <v>CHECK</v>
      </c>
      <c r="O216" s="66" t="str">
        <f t="shared" si="36"/>
        <v>CHECK</v>
      </c>
      <c r="P216" s="66" t="str">
        <f t="shared" si="36"/>
        <v>CHECK</v>
      </c>
      <c r="Q216" s="66" t="str">
        <f t="shared" si="36"/>
        <v>CHECK</v>
      </c>
      <c r="R216" s="66" t="str">
        <f t="shared" si="36"/>
        <v>CHECK</v>
      </c>
      <c r="S216" s="66" t="str">
        <f t="shared" si="36"/>
        <v>CHECK</v>
      </c>
      <c r="T216" s="66" t="str">
        <f t="shared" si="36"/>
        <v>CHECK</v>
      </c>
      <c r="U216" s="66" t="str">
        <f t="shared" si="36"/>
        <v>CHECK</v>
      </c>
      <c r="V216" s="66"/>
      <c r="W216" s="66"/>
    </row>
    <row r="217" spans="1:23" x14ac:dyDescent="0.25">
      <c r="A217" s="11" t="s">
        <v>742</v>
      </c>
      <c r="B217" s="11" t="s">
        <v>766</v>
      </c>
      <c r="C217" s="11" t="s">
        <v>767</v>
      </c>
      <c r="D217" s="11" t="s">
        <v>488</v>
      </c>
      <c r="E217" s="11" t="s">
        <v>925</v>
      </c>
      <c r="F217" s="66" t="str">
        <f t="shared" si="36"/>
        <v>CHECK</v>
      </c>
      <c r="G217" s="66" t="str">
        <f t="shared" si="36"/>
        <v>CHECK</v>
      </c>
      <c r="H217" s="66" t="str">
        <f t="shared" si="36"/>
        <v>CHECK</v>
      </c>
      <c r="I217" s="66" t="str">
        <f t="shared" si="36"/>
        <v>CHECK</v>
      </c>
      <c r="J217" s="66" t="str">
        <f t="shared" si="36"/>
        <v>CHECK</v>
      </c>
      <c r="K217" s="66" t="str">
        <f t="shared" si="36"/>
        <v>CHECK</v>
      </c>
      <c r="L217" s="66" t="str">
        <f t="shared" si="36"/>
        <v>CHECK</v>
      </c>
      <c r="M217" s="66" t="str">
        <f t="shared" si="36"/>
        <v>CHECK</v>
      </c>
      <c r="N217" s="66" t="str">
        <f t="shared" si="36"/>
        <v>CHECK</v>
      </c>
      <c r="O217" s="66" t="str">
        <f t="shared" si="36"/>
        <v>CHECK</v>
      </c>
      <c r="P217" s="66" t="str">
        <f t="shared" si="36"/>
        <v>CHECK</v>
      </c>
      <c r="Q217" s="66" t="str">
        <f t="shared" si="36"/>
        <v>CHECK</v>
      </c>
      <c r="R217" s="66" t="str">
        <f t="shared" si="36"/>
        <v>CHECK</v>
      </c>
      <c r="S217" s="66" t="str">
        <f t="shared" si="36"/>
        <v>CHECK</v>
      </c>
      <c r="T217" s="66" t="str">
        <f t="shared" si="36"/>
        <v>CHECK</v>
      </c>
      <c r="U217" s="66" t="str">
        <f t="shared" si="36"/>
        <v>CHECK</v>
      </c>
      <c r="V217" s="66"/>
      <c r="W217" s="66"/>
    </row>
    <row r="218" spans="1:23" x14ac:dyDescent="0.25">
      <c r="A218" s="11" t="s">
        <v>742</v>
      </c>
      <c r="B218" s="11" t="s">
        <v>768</v>
      </c>
      <c r="C218" s="11" t="s">
        <v>769</v>
      </c>
      <c r="D218" s="11" t="s">
        <v>488</v>
      </c>
      <c r="E218" s="11" t="s">
        <v>925</v>
      </c>
      <c r="F218" s="66" t="str">
        <f t="shared" si="36"/>
        <v>CHECK</v>
      </c>
      <c r="G218" s="66" t="str">
        <f t="shared" si="36"/>
        <v>CHECK</v>
      </c>
      <c r="H218" s="66" t="str">
        <f t="shared" si="36"/>
        <v>CHECK</v>
      </c>
      <c r="I218" s="66" t="str">
        <f t="shared" si="36"/>
        <v>CHECK</v>
      </c>
      <c r="J218" s="66" t="str">
        <f t="shared" si="36"/>
        <v>CHECK</v>
      </c>
      <c r="K218" s="66" t="str">
        <f t="shared" si="36"/>
        <v>CHECK</v>
      </c>
      <c r="L218" s="66" t="str">
        <f t="shared" si="36"/>
        <v>CHECK</v>
      </c>
      <c r="M218" s="66" t="str">
        <f t="shared" si="36"/>
        <v>CHECK</v>
      </c>
      <c r="N218" s="66" t="str">
        <f t="shared" si="36"/>
        <v>CHECK</v>
      </c>
      <c r="O218" s="66" t="str">
        <f t="shared" si="36"/>
        <v>CHECK</v>
      </c>
      <c r="P218" s="66" t="str">
        <f t="shared" si="36"/>
        <v>CHECK</v>
      </c>
      <c r="Q218" s="66" t="str">
        <f t="shared" si="36"/>
        <v>CHECK</v>
      </c>
      <c r="R218" s="66" t="str">
        <f t="shared" si="36"/>
        <v>CHECK</v>
      </c>
      <c r="S218" s="66" t="str">
        <f t="shared" si="36"/>
        <v>CHECK</v>
      </c>
      <c r="T218" s="66" t="str">
        <f t="shared" si="36"/>
        <v>CHECK</v>
      </c>
      <c r="U218" s="66" t="str">
        <f t="shared" si="36"/>
        <v>CHECK</v>
      </c>
      <c r="V218" s="66"/>
      <c r="W218" s="66"/>
    </row>
    <row r="219" spans="1:23" x14ac:dyDescent="0.25">
      <c r="A219" s="11" t="s">
        <v>742</v>
      </c>
      <c r="B219" s="11" t="s">
        <v>770</v>
      </c>
      <c r="C219" s="11" t="s">
        <v>771</v>
      </c>
      <c r="D219" s="11" t="s">
        <v>488</v>
      </c>
      <c r="E219" s="11" t="s">
        <v>925</v>
      </c>
      <c r="F219" s="66" t="str">
        <f t="shared" si="36"/>
        <v>CHECK</v>
      </c>
      <c r="G219" s="66" t="str">
        <f t="shared" si="36"/>
        <v>CHECK</v>
      </c>
      <c r="H219" s="66" t="str">
        <f t="shared" si="36"/>
        <v>CHECK</v>
      </c>
      <c r="I219" s="66" t="str">
        <f t="shared" si="36"/>
        <v>CHECK</v>
      </c>
      <c r="J219" s="66" t="str">
        <f t="shared" si="36"/>
        <v>CHECK</v>
      </c>
      <c r="K219" s="66" t="str">
        <f t="shared" si="36"/>
        <v>CHECK</v>
      </c>
      <c r="L219" s="66" t="str">
        <f t="shared" si="36"/>
        <v>CHECK</v>
      </c>
      <c r="M219" s="66" t="str">
        <f t="shared" si="36"/>
        <v>CHECK</v>
      </c>
      <c r="N219" s="66" t="str">
        <f t="shared" si="36"/>
        <v>CHECK</v>
      </c>
      <c r="O219" s="66" t="str">
        <f t="shared" si="36"/>
        <v>CHECK</v>
      </c>
      <c r="P219" s="66" t="str">
        <f t="shared" si="36"/>
        <v>CHECK</v>
      </c>
      <c r="Q219" s="66" t="str">
        <f t="shared" si="36"/>
        <v>CHECK</v>
      </c>
      <c r="R219" s="66" t="str">
        <f t="shared" si="36"/>
        <v>CHECK</v>
      </c>
      <c r="S219" s="66" t="str">
        <f t="shared" si="36"/>
        <v>CHECK</v>
      </c>
      <c r="T219" s="66" t="str">
        <f t="shared" si="36"/>
        <v>CHECK</v>
      </c>
      <c r="U219" s="66" t="str">
        <f t="shared" si="36"/>
        <v>CHECK</v>
      </c>
      <c r="V219" s="66"/>
      <c r="W219" s="66"/>
    </row>
    <row r="220" spans="1:23" x14ac:dyDescent="0.25">
      <c r="A220" s="11" t="s">
        <v>742</v>
      </c>
      <c r="B220" s="11" t="s">
        <v>772</v>
      </c>
      <c r="C220" s="11" t="s">
        <v>773</v>
      </c>
      <c r="D220" s="11" t="s">
        <v>488</v>
      </c>
      <c r="E220" s="11" t="s">
        <v>925</v>
      </c>
      <c r="F220" s="66" t="str">
        <f t="shared" si="36"/>
        <v>CHECK</v>
      </c>
      <c r="G220" s="66" t="str">
        <f t="shared" si="36"/>
        <v>CHECK</v>
      </c>
      <c r="H220" s="66" t="str">
        <f t="shared" si="36"/>
        <v>CHECK</v>
      </c>
      <c r="I220" s="66" t="str">
        <f t="shared" si="36"/>
        <v>CHECK</v>
      </c>
      <c r="J220" s="66" t="str">
        <f t="shared" si="36"/>
        <v>CHECK</v>
      </c>
      <c r="K220" s="66" t="str">
        <f t="shared" si="36"/>
        <v>CHECK</v>
      </c>
      <c r="L220" s="66" t="str">
        <f t="shared" si="36"/>
        <v>CHECK</v>
      </c>
      <c r="M220" s="66" t="str">
        <f t="shared" si="36"/>
        <v>CHECK</v>
      </c>
      <c r="N220" s="66" t="str">
        <f t="shared" si="36"/>
        <v>CHECK</v>
      </c>
      <c r="O220" s="66" t="str">
        <f t="shared" si="36"/>
        <v>CHECK</v>
      </c>
      <c r="P220" s="66" t="str">
        <f t="shared" si="36"/>
        <v>CHECK</v>
      </c>
      <c r="Q220" s="66" t="str">
        <f t="shared" si="36"/>
        <v>CHECK</v>
      </c>
      <c r="R220" s="66" t="str">
        <f t="shared" si="36"/>
        <v>CHECK</v>
      </c>
      <c r="S220" s="66" t="str">
        <f t="shared" si="36"/>
        <v>CHECK</v>
      </c>
      <c r="T220" s="66" t="str">
        <f t="shared" si="36"/>
        <v>CHECK</v>
      </c>
      <c r="U220" s="66" t="str">
        <f t="shared" si="36"/>
        <v>CHECK</v>
      </c>
      <c r="V220" s="66"/>
      <c r="W220" s="66"/>
    </row>
    <row r="221" spans="1:23" x14ac:dyDescent="0.25">
      <c r="A221" s="11" t="s">
        <v>742</v>
      </c>
      <c r="B221" s="11" t="s">
        <v>774</v>
      </c>
      <c r="C221" s="11" t="s">
        <v>775</v>
      </c>
      <c r="D221" s="11" t="s">
        <v>488</v>
      </c>
      <c r="E221" s="11" t="s">
        <v>925</v>
      </c>
      <c r="F221" s="66" t="str">
        <f t="shared" si="36"/>
        <v>CHECK</v>
      </c>
      <c r="G221" s="66" t="str">
        <f t="shared" si="36"/>
        <v>CHECK</v>
      </c>
      <c r="H221" s="66" t="str">
        <f t="shared" si="36"/>
        <v>CHECK</v>
      </c>
      <c r="I221" s="66" t="str">
        <f t="shared" si="36"/>
        <v>CHECK</v>
      </c>
      <c r="J221" s="66" t="str">
        <f t="shared" si="36"/>
        <v>CHECK</v>
      </c>
      <c r="K221" s="66" t="str">
        <f t="shared" si="36"/>
        <v>CHECK</v>
      </c>
      <c r="L221" s="66" t="str">
        <f t="shared" si="36"/>
        <v>CHECK</v>
      </c>
      <c r="M221" s="66" t="str">
        <f t="shared" si="36"/>
        <v>CHECK</v>
      </c>
      <c r="N221" s="66" t="str">
        <f t="shared" si="36"/>
        <v>CHECK</v>
      </c>
      <c r="O221" s="66" t="str">
        <f t="shared" si="36"/>
        <v>CHECK</v>
      </c>
      <c r="P221" s="66" t="str">
        <f t="shared" si="36"/>
        <v>CHECK</v>
      </c>
      <c r="Q221" s="66" t="str">
        <f t="shared" si="36"/>
        <v>CHECK</v>
      </c>
      <c r="R221" s="66" t="str">
        <f t="shared" si="36"/>
        <v>CHECK</v>
      </c>
      <c r="S221" s="66" t="str">
        <f t="shared" si="36"/>
        <v>CHECK</v>
      </c>
      <c r="T221" s="66" t="str">
        <f t="shared" si="36"/>
        <v>CHECK</v>
      </c>
      <c r="U221" s="66" t="str">
        <f t="shared" si="36"/>
        <v>CHECK</v>
      </c>
      <c r="V221" s="66"/>
      <c r="W221" s="66"/>
    </row>
    <row r="222" spans="1:23" x14ac:dyDescent="0.25">
      <c r="A222" s="11" t="s">
        <v>742</v>
      </c>
      <c r="B222" s="11" t="s">
        <v>776</v>
      </c>
      <c r="C222" s="11" t="s">
        <v>756</v>
      </c>
      <c r="D222" s="11" t="s">
        <v>488</v>
      </c>
      <c r="E222" s="11" t="s">
        <v>925</v>
      </c>
      <c r="F222" s="66" t="str">
        <f t="shared" si="36"/>
        <v>CHECK</v>
      </c>
      <c r="G222" s="66" t="str">
        <f t="shared" si="36"/>
        <v>CHECK</v>
      </c>
      <c r="H222" s="66" t="str">
        <f t="shared" si="36"/>
        <v>CHECK</v>
      </c>
      <c r="I222" s="66" t="str">
        <f t="shared" si="36"/>
        <v>CHECK</v>
      </c>
      <c r="J222" s="66" t="str">
        <f t="shared" si="36"/>
        <v>CHECK</v>
      </c>
      <c r="K222" s="66" t="str">
        <f t="shared" si="36"/>
        <v>CHECK</v>
      </c>
      <c r="L222" s="66" t="str">
        <f t="shared" si="36"/>
        <v>CHECK</v>
      </c>
      <c r="M222" s="66" t="str">
        <f t="shared" si="36"/>
        <v>CHECK</v>
      </c>
      <c r="N222" s="66" t="str">
        <f t="shared" si="36"/>
        <v>CHECK</v>
      </c>
      <c r="O222" s="66" t="str">
        <f t="shared" si="36"/>
        <v>CHECK</v>
      </c>
      <c r="P222" s="66" t="str">
        <f t="shared" si="36"/>
        <v>CHECK</v>
      </c>
      <c r="Q222" s="66" t="str">
        <f t="shared" si="36"/>
        <v>CHECK</v>
      </c>
      <c r="R222" s="66" t="str">
        <f t="shared" si="36"/>
        <v>CHECK</v>
      </c>
      <c r="S222" s="66" t="str">
        <f t="shared" si="36"/>
        <v>CHECK</v>
      </c>
      <c r="T222" s="66" t="str">
        <f t="shared" si="36"/>
        <v>CHECK</v>
      </c>
      <c r="U222" s="66" t="str">
        <f t="shared" si="36"/>
        <v>CHECK</v>
      </c>
      <c r="V222" s="66"/>
      <c r="W222" s="66"/>
    </row>
    <row r="224" spans="1:23" s="7" customFormat="1" x14ac:dyDescent="0.25">
      <c r="A224" s="110" t="s">
        <v>742</v>
      </c>
      <c r="B224" s="110" t="s">
        <v>757</v>
      </c>
      <c r="C224" s="110" t="s">
        <v>923</v>
      </c>
      <c r="D224" s="110" t="s">
        <v>488</v>
      </c>
      <c r="E224" s="110" t="s">
        <v>745</v>
      </c>
      <c r="F224" s="66">
        <f t="shared" ref="F224:U234" si="37">IFERROR(((F68/F147)-1),"CHECK")</f>
        <v>0</v>
      </c>
      <c r="G224" s="66">
        <f t="shared" si="37"/>
        <v>0</v>
      </c>
      <c r="H224" s="66">
        <f t="shared" si="37"/>
        <v>0</v>
      </c>
      <c r="I224" s="66">
        <f t="shared" si="37"/>
        <v>0</v>
      </c>
      <c r="J224" s="66">
        <f t="shared" si="37"/>
        <v>0</v>
      </c>
      <c r="K224" s="66">
        <f t="shared" si="37"/>
        <v>0</v>
      </c>
      <c r="L224" s="66">
        <f t="shared" si="37"/>
        <v>0</v>
      </c>
      <c r="M224" s="66">
        <f t="shared" si="37"/>
        <v>0</v>
      </c>
      <c r="N224" s="66">
        <f t="shared" si="37"/>
        <v>0</v>
      </c>
      <c r="O224" s="66">
        <f t="shared" si="37"/>
        <v>0</v>
      </c>
      <c r="P224" s="66">
        <f t="shared" si="37"/>
        <v>0</v>
      </c>
      <c r="Q224" s="66">
        <f t="shared" si="37"/>
        <v>0</v>
      </c>
      <c r="R224" s="66">
        <f t="shared" si="37"/>
        <v>0</v>
      </c>
      <c r="S224" s="66">
        <f t="shared" si="37"/>
        <v>0</v>
      </c>
      <c r="T224" s="66">
        <f t="shared" si="37"/>
        <v>0</v>
      </c>
      <c r="U224" s="66">
        <f t="shared" si="37"/>
        <v>0</v>
      </c>
      <c r="V224" s="66"/>
      <c r="W224" s="66"/>
    </row>
    <row r="225" spans="1:23" x14ac:dyDescent="0.25">
      <c r="A225" s="11" t="s">
        <v>742</v>
      </c>
      <c r="B225" s="11" t="s">
        <v>758</v>
      </c>
      <c r="C225" s="11" t="s">
        <v>759</v>
      </c>
      <c r="D225" s="11" t="s">
        <v>488</v>
      </c>
      <c r="E225" s="11" t="s">
        <v>745</v>
      </c>
      <c r="F225" s="66" t="str">
        <f t="shared" si="37"/>
        <v>CHECK</v>
      </c>
      <c r="G225" s="66" t="str">
        <f t="shared" si="37"/>
        <v>CHECK</v>
      </c>
      <c r="H225" s="66" t="str">
        <f t="shared" si="37"/>
        <v>CHECK</v>
      </c>
      <c r="I225" s="66" t="str">
        <f t="shared" si="37"/>
        <v>CHECK</v>
      </c>
      <c r="J225" s="66" t="str">
        <f t="shared" si="37"/>
        <v>CHECK</v>
      </c>
      <c r="K225" s="66" t="str">
        <f t="shared" si="37"/>
        <v>CHECK</v>
      </c>
      <c r="L225" s="66" t="str">
        <f t="shared" si="37"/>
        <v>CHECK</v>
      </c>
      <c r="M225" s="66" t="str">
        <f t="shared" si="37"/>
        <v>CHECK</v>
      </c>
      <c r="N225" s="66" t="str">
        <f t="shared" si="37"/>
        <v>CHECK</v>
      </c>
      <c r="O225" s="66" t="str">
        <f t="shared" si="37"/>
        <v>CHECK</v>
      </c>
      <c r="P225" s="66" t="str">
        <f t="shared" si="37"/>
        <v>CHECK</v>
      </c>
      <c r="Q225" s="66" t="str">
        <f t="shared" si="37"/>
        <v>CHECK</v>
      </c>
      <c r="R225" s="66" t="str">
        <f t="shared" si="37"/>
        <v>CHECK</v>
      </c>
      <c r="S225" s="66" t="str">
        <f t="shared" si="37"/>
        <v>CHECK</v>
      </c>
      <c r="T225" s="66" t="str">
        <f t="shared" si="37"/>
        <v>CHECK</v>
      </c>
      <c r="U225" s="66" t="str">
        <f t="shared" si="37"/>
        <v>CHECK</v>
      </c>
      <c r="V225" s="66"/>
      <c r="W225" s="66"/>
    </row>
    <row r="226" spans="1:23" x14ac:dyDescent="0.25">
      <c r="A226" s="11" t="s">
        <v>742</v>
      </c>
      <c r="B226" s="11" t="s">
        <v>760</v>
      </c>
      <c r="C226" s="11" t="s">
        <v>761</v>
      </c>
      <c r="D226" s="11" t="s">
        <v>488</v>
      </c>
      <c r="E226" s="11" t="s">
        <v>745</v>
      </c>
      <c r="F226" s="66">
        <f t="shared" si="37"/>
        <v>0</v>
      </c>
      <c r="G226" s="66">
        <f t="shared" si="37"/>
        <v>0</v>
      </c>
      <c r="H226" s="66">
        <f t="shared" si="37"/>
        <v>0</v>
      </c>
      <c r="I226" s="66">
        <f t="shared" si="37"/>
        <v>0</v>
      </c>
      <c r="J226" s="66">
        <f t="shared" si="37"/>
        <v>0</v>
      </c>
      <c r="K226" s="66">
        <f t="shared" si="37"/>
        <v>0</v>
      </c>
      <c r="L226" s="66">
        <f t="shared" si="37"/>
        <v>0</v>
      </c>
      <c r="M226" s="66">
        <f t="shared" si="37"/>
        <v>0</v>
      </c>
      <c r="N226" s="66">
        <f t="shared" si="37"/>
        <v>0</v>
      </c>
      <c r="O226" s="66">
        <f t="shared" si="37"/>
        <v>0</v>
      </c>
      <c r="P226" s="66">
        <f t="shared" si="37"/>
        <v>0</v>
      </c>
      <c r="Q226" s="66">
        <f t="shared" si="37"/>
        <v>0</v>
      </c>
      <c r="R226" s="66">
        <f t="shared" si="37"/>
        <v>0</v>
      </c>
      <c r="S226" s="66">
        <f t="shared" si="37"/>
        <v>0</v>
      </c>
      <c r="T226" s="66">
        <f t="shared" si="37"/>
        <v>0</v>
      </c>
      <c r="U226" s="66">
        <f t="shared" si="37"/>
        <v>0</v>
      </c>
      <c r="V226" s="66"/>
      <c r="W226" s="66"/>
    </row>
    <row r="227" spans="1:23" x14ac:dyDescent="0.25">
      <c r="A227" s="11" t="s">
        <v>742</v>
      </c>
      <c r="B227" s="11" t="s">
        <v>762</v>
      </c>
      <c r="C227" s="11" t="s">
        <v>763</v>
      </c>
      <c r="D227" s="11" t="s">
        <v>488</v>
      </c>
      <c r="E227" s="11" t="s">
        <v>745</v>
      </c>
      <c r="F227" s="66" t="str">
        <f t="shared" si="37"/>
        <v>CHECK</v>
      </c>
      <c r="G227" s="66" t="str">
        <f t="shared" si="37"/>
        <v>CHECK</v>
      </c>
      <c r="H227" s="66" t="str">
        <f t="shared" si="37"/>
        <v>CHECK</v>
      </c>
      <c r="I227" s="66" t="str">
        <f t="shared" si="37"/>
        <v>CHECK</v>
      </c>
      <c r="J227" s="66" t="str">
        <f t="shared" si="37"/>
        <v>CHECK</v>
      </c>
      <c r="K227" s="66" t="str">
        <f t="shared" si="37"/>
        <v>CHECK</v>
      </c>
      <c r="L227" s="66" t="str">
        <f t="shared" si="37"/>
        <v>CHECK</v>
      </c>
      <c r="M227" s="66" t="str">
        <f t="shared" si="37"/>
        <v>CHECK</v>
      </c>
      <c r="N227" s="66" t="str">
        <f t="shared" si="37"/>
        <v>CHECK</v>
      </c>
      <c r="O227" s="66" t="str">
        <f t="shared" si="37"/>
        <v>CHECK</v>
      </c>
      <c r="P227" s="66" t="str">
        <f t="shared" si="37"/>
        <v>CHECK</v>
      </c>
      <c r="Q227" s="66" t="str">
        <f t="shared" si="37"/>
        <v>CHECK</v>
      </c>
      <c r="R227" s="66" t="str">
        <f t="shared" si="37"/>
        <v>CHECK</v>
      </c>
      <c r="S227" s="66" t="str">
        <f t="shared" si="37"/>
        <v>CHECK</v>
      </c>
      <c r="T227" s="66" t="str">
        <f t="shared" si="37"/>
        <v>CHECK</v>
      </c>
      <c r="U227" s="66" t="str">
        <f t="shared" si="37"/>
        <v>CHECK</v>
      </c>
      <c r="V227" s="66"/>
      <c r="W227" s="66"/>
    </row>
    <row r="228" spans="1:23" x14ac:dyDescent="0.25">
      <c r="A228" s="11" t="s">
        <v>742</v>
      </c>
      <c r="B228" s="11" t="s">
        <v>764</v>
      </c>
      <c r="C228" s="11" t="s">
        <v>765</v>
      </c>
      <c r="D228" s="11" t="s">
        <v>488</v>
      </c>
      <c r="E228" s="11" t="s">
        <v>745</v>
      </c>
      <c r="F228" s="66" t="str">
        <f t="shared" si="37"/>
        <v>CHECK</v>
      </c>
      <c r="G228" s="66" t="str">
        <f t="shared" si="37"/>
        <v>CHECK</v>
      </c>
      <c r="H228" s="66" t="str">
        <f t="shared" si="37"/>
        <v>CHECK</v>
      </c>
      <c r="I228" s="66" t="str">
        <f t="shared" si="37"/>
        <v>CHECK</v>
      </c>
      <c r="J228" s="66" t="str">
        <f t="shared" si="37"/>
        <v>CHECK</v>
      </c>
      <c r="K228" s="66" t="str">
        <f t="shared" si="37"/>
        <v>CHECK</v>
      </c>
      <c r="L228" s="66" t="str">
        <f t="shared" si="37"/>
        <v>CHECK</v>
      </c>
      <c r="M228" s="66" t="str">
        <f t="shared" si="37"/>
        <v>CHECK</v>
      </c>
      <c r="N228" s="66" t="str">
        <f t="shared" si="37"/>
        <v>CHECK</v>
      </c>
      <c r="O228" s="66" t="str">
        <f t="shared" si="37"/>
        <v>CHECK</v>
      </c>
      <c r="P228" s="66" t="str">
        <f t="shared" si="37"/>
        <v>CHECK</v>
      </c>
      <c r="Q228" s="66" t="str">
        <f t="shared" si="37"/>
        <v>CHECK</v>
      </c>
      <c r="R228" s="66" t="str">
        <f t="shared" si="37"/>
        <v>CHECK</v>
      </c>
      <c r="S228" s="66" t="str">
        <f t="shared" si="37"/>
        <v>CHECK</v>
      </c>
      <c r="T228" s="66" t="str">
        <f t="shared" si="37"/>
        <v>CHECK</v>
      </c>
      <c r="U228" s="66" t="str">
        <f t="shared" si="37"/>
        <v>CHECK</v>
      </c>
      <c r="V228" s="66"/>
      <c r="W228" s="66"/>
    </row>
    <row r="229" spans="1:23" x14ac:dyDescent="0.25">
      <c r="A229" s="11" t="s">
        <v>742</v>
      </c>
      <c r="B229" s="11" t="s">
        <v>766</v>
      </c>
      <c r="C229" s="11" t="s">
        <v>767</v>
      </c>
      <c r="D229" s="11" t="s">
        <v>488</v>
      </c>
      <c r="E229" s="11" t="s">
        <v>745</v>
      </c>
      <c r="F229" s="66" t="str">
        <f t="shared" si="37"/>
        <v>CHECK</v>
      </c>
      <c r="G229" s="66" t="str">
        <f t="shared" si="37"/>
        <v>CHECK</v>
      </c>
      <c r="H229" s="66" t="str">
        <f t="shared" si="37"/>
        <v>CHECK</v>
      </c>
      <c r="I229" s="66" t="str">
        <f t="shared" si="37"/>
        <v>CHECK</v>
      </c>
      <c r="J229" s="66" t="str">
        <f t="shared" si="37"/>
        <v>CHECK</v>
      </c>
      <c r="K229" s="66" t="str">
        <f t="shared" si="37"/>
        <v>CHECK</v>
      </c>
      <c r="L229" s="66" t="str">
        <f t="shared" si="37"/>
        <v>CHECK</v>
      </c>
      <c r="M229" s="66" t="str">
        <f t="shared" si="37"/>
        <v>CHECK</v>
      </c>
      <c r="N229" s="66" t="str">
        <f t="shared" si="37"/>
        <v>CHECK</v>
      </c>
      <c r="O229" s="66" t="str">
        <f t="shared" si="37"/>
        <v>CHECK</v>
      </c>
      <c r="P229" s="66" t="str">
        <f t="shared" si="37"/>
        <v>CHECK</v>
      </c>
      <c r="Q229" s="66" t="str">
        <f t="shared" si="37"/>
        <v>CHECK</v>
      </c>
      <c r="R229" s="66" t="str">
        <f t="shared" si="37"/>
        <v>CHECK</v>
      </c>
      <c r="S229" s="66" t="str">
        <f t="shared" si="37"/>
        <v>CHECK</v>
      </c>
      <c r="T229" s="66" t="str">
        <f t="shared" si="37"/>
        <v>CHECK</v>
      </c>
      <c r="U229" s="66" t="str">
        <f t="shared" si="37"/>
        <v>CHECK</v>
      </c>
      <c r="V229" s="66"/>
      <c r="W229" s="66"/>
    </row>
    <row r="230" spans="1:23" x14ac:dyDescent="0.25">
      <c r="A230" s="11" t="s">
        <v>742</v>
      </c>
      <c r="B230" s="11" t="s">
        <v>768</v>
      </c>
      <c r="C230" s="11" t="s">
        <v>769</v>
      </c>
      <c r="D230" s="11" t="s">
        <v>488</v>
      </c>
      <c r="E230" s="11" t="s">
        <v>745</v>
      </c>
      <c r="F230" s="66" t="str">
        <f t="shared" si="37"/>
        <v>CHECK</v>
      </c>
      <c r="G230" s="66" t="str">
        <f t="shared" si="37"/>
        <v>CHECK</v>
      </c>
      <c r="H230" s="66" t="str">
        <f t="shared" si="37"/>
        <v>CHECK</v>
      </c>
      <c r="I230" s="66" t="str">
        <f t="shared" si="37"/>
        <v>CHECK</v>
      </c>
      <c r="J230" s="66" t="str">
        <f t="shared" si="37"/>
        <v>CHECK</v>
      </c>
      <c r="K230" s="66" t="str">
        <f t="shared" si="37"/>
        <v>CHECK</v>
      </c>
      <c r="L230" s="66" t="str">
        <f t="shared" si="37"/>
        <v>CHECK</v>
      </c>
      <c r="M230" s="66" t="str">
        <f t="shared" si="37"/>
        <v>CHECK</v>
      </c>
      <c r="N230" s="66" t="str">
        <f t="shared" si="37"/>
        <v>CHECK</v>
      </c>
      <c r="O230" s="66" t="str">
        <f t="shared" si="37"/>
        <v>CHECK</v>
      </c>
      <c r="P230" s="66" t="str">
        <f t="shared" si="37"/>
        <v>CHECK</v>
      </c>
      <c r="Q230" s="66" t="str">
        <f t="shared" si="37"/>
        <v>CHECK</v>
      </c>
      <c r="R230" s="66" t="str">
        <f t="shared" si="37"/>
        <v>CHECK</v>
      </c>
      <c r="S230" s="66" t="str">
        <f t="shared" si="37"/>
        <v>CHECK</v>
      </c>
      <c r="T230" s="66" t="str">
        <f t="shared" si="37"/>
        <v>CHECK</v>
      </c>
      <c r="U230" s="66" t="str">
        <f t="shared" si="37"/>
        <v>CHECK</v>
      </c>
      <c r="V230" s="66"/>
      <c r="W230" s="66"/>
    </row>
    <row r="231" spans="1:23" x14ac:dyDescent="0.25">
      <c r="A231" s="11" t="s">
        <v>742</v>
      </c>
      <c r="B231" s="11" t="s">
        <v>770</v>
      </c>
      <c r="C231" s="11" t="s">
        <v>771</v>
      </c>
      <c r="D231" s="11" t="s">
        <v>488</v>
      </c>
      <c r="E231" s="11" t="s">
        <v>745</v>
      </c>
      <c r="F231" s="66" t="str">
        <f t="shared" si="37"/>
        <v>CHECK</v>
      </c>
      <c r="G231" s="66" t="str">
        <f t="shared" si="37"/>
        <v>CHECK</v>
      </c>
      <c r="H231" s="66" t="str">
        <f t="shared" si="37"/>
        <v>CHECK</v>
      </c>
      <c r="I231" s="66" t="str">
        <f t="shared" si="37"/>
        <v>CHECK</v>
      </c>
      <c r="J231" s="66" t="str">
        <f t="shared" si="37"/>
        <v>CHECK</v>
      </c>
      <c r="K231" s="66" t="str">
        <f t="shared" si="37"/>
        <v>CHECK</v>
      </c>
      <c r="L231" s="66" t="str">
        <f t="shared" si="37"/>
        <v>CHECK</v>
      </c>
      <c r="M231" s="66" t="str">
        <f t="shared" si="37"/>
        <v>CHECK</v>
      </c>
      <c r="N231" s="66" t="str">
        <f t="shared" si="37"/>
        <v>CHECK</v>
      </c>
      <c r="O231" s="66" t="str">
        <f t="shared" si="37"/>
        <v>CHECK</v>
      </c>
      <c r="P231" s="66" t="str">
        <f t="shared" si="37"/>
        <v>CHECK</v>
      </c>
      <c r="Q231" s="66" t="str">
        <f t="shared" si="37"/>
        <v>CHECK</v>
      </c>
      <c r="R231" s="66" t="str">
        <f t="shared" si="37"/>
        <v>CHECK</v>
      </c>
      <c r="S231" s="66" t="str">
        <f t="shared" si="37"/>
        <v>CHECK</v>
      </c>
      <c r="T231" s="66" t="str">
        <f t="shared" si="37"/>
        <v>CHECK</v>
      </c>
      <c r="U231" s="66" t="str">
        <f t="shared" si="37"/>
        <v>CHECK</v>
      </c>
      <c r="V231" s="66"/>
      <c r="W231" s="66"/>
    </row>
    <row r="232" spans="1:23" x14ac:dyDescent="0.25">
      <c r="A232" s="11" t="s">
        <v>742</v>
      </c>
      <c r="B232" s="11" t="s">
        <v>772</v>
      </c>
      <c r="C232" s="11" t="s">
        <v>773</v>
      </c>
      <c r="D232" s="11" t="s">
        <v>488</v>
      </c>
      <c r="E232" s="11" t="s">
        <v>745</v>
      </c>
      <c r="F232" s="66" t="str">
        <f t="shared" si="37"/>
        <v>CHECK</v>
      </c>
      <c r="G232" s="66" t="str">
        <f t="shared" si="37"/>
        <v>CHECK</v>
      </c>
      <c r="H232" s="66" t="str">
        <f t="shared" si="37"/>
        <v>CHECK</v>
      </c>
      <c r="I232" s="66" t="str">
        <f t="shared" si="37"/>
        <v>CHECK</v>
      </c>
      <c r="J232" s="66" t="str">
        <f t="shared" si="37"/>
        <v>CHECK</v>
      </c>
      <c r="K232" s="66" t="str">
        <f t="shared" si="37"/>
        <v>CHECK</v>
      </c>
      <c r="L232" s="66" t="str">
        <f t="shared" si="37"/>
        <v>CHECK</v>
      </c>
      <c r="M232" s="66" t="str">
        <f t="shared" si="37"/>
        <v>CHECK</v>
      </c>
      <c r="N232" s="66" t="str">
        <f t="shared" si="37"/>
        <v>CHECK</v>
      </c>
      <c r="O232" s="66" t="str">
        <f t="shared" si="37"/>
        <v>CHECK</v>
      </c>
      <c r="P232" s="66" t="str">
        <f t="shared" si="37"/>
        <v>CHECK</v>
      </c>
      <c r="Q232" s="66" t="str">
        <f t="shared" si="37"/>
        <v>CHECK</v>
      </c>
      <c r="R232" s="66" t="str">
        <f t="shared" si="37"/>
        <v>CHECK</v>
      </c>
      <c r="S232" s="66" t="str">
        <f t="shared" si="37"/>
        <v>CHECK</v>
      </c>
      <c r="T232" s="66" t="str">
        <f t="shared" si="37"/>
        <v>CHECK</v>
      </c>
      <c r="U232" s="66" t="str">
        <f t="shared" si="37"/>
        <v>CHECK</v>
      </c>
      <c r="V232" s="66"/>
      <c r="W232" s="66"/>
    </row>
    <row r="233" spans="1:23" x14ac:dyDescent="0.25">
      <c r="A233" s="11" t="s">
        <v>742</v>
      </c>
      <c r="B233" s="11" t="s">
        <v>774</v>
      </c>
      <c r="C233" s="11" t="s">
        <v>775</v>
      </c>
      <c r="D233" s="11" t="s">
        <v>488</v>
      </c>
      <c r="E233" s="11" t="s">
        <v>745</v>
      </c>
      <c r="F233" s="66" t="str">
        <f t="shared" si="37"/>
        <v>CHECK</v>
      </c>
      <c r="G233" s="66" t="str">
        <f t="shared" si="37"/>
        <v>CHECK</v>
      </c>
      <c r="H233" s="66" t="str">
        <f t="shared" si="37"/>
        <v>CHECK</v>
      </c>
      <c r="I233" s="66" t="str">
        <f t="shared" si="37"/>
        <v>CHECK</v>
      </c>
      <c r="J233" s="66" t="str">
        <f t="shared" si="37"/>
        <v>CHECK</v>
      </c>
      <c r="K233" s="66" t="str">
        <f t="shared" si="37"/>
        <v>CHECK</v>
      </c>
      <c r="L233" s="66" t="str">
        <f t="shared" si="37"/>
        <v>CHECK</v>
      </c>
      <c r="M233" s="66" t="str">
        <f t="shared" si="37"/>
        <v>CHECK</v>
      </c>
      <c r="N233" s="66" t="str">
        <f t="shared" si="37"/>
        <v>CHECK</v>
      </c>
      <c r="O233" s="66" t="str">
        <f t="shared" si="37"/>
        <v>CHECK</v>
      </c>
      <c r="P233" s="66" t="str">
        <f t="shared" si="37"/>
        <v>CHECK</v>
      </c>
      <c r="Q233" s="66" t="str">
        <f t="shared" si="37"/>
        <v>CHECK</v>
      </c>
      <c r="R233" s="66" t="str">
        <f t="shared" si="37"/>
        <v>CHECK</v>
      </c>
      <c r="S233" s="66" t="str">
        <f t="shared" si="37"/>
        <v>CHECK</v>
      </c>
      <c r="T233" s="66" t="str">
        <f t="shared" si="37"/>
        <v>CHECK</v>
      </c>
      <c r="U233" s="66" t="str">
        <f t="shared" si="37"/>
        <v>CHECK</v>
      </c>
      <c r="V233" s="66"/>
      <c r="W233" s="66"/>
    </row>
    <row r="234" spans="1:23" x14ac:dyDescent="0.25">
      <c r="A234" s="11" t="s">
        <v>742</v>
      </c>
      <c r="B234" s="11" t="s">
        <v>776</v>
      </c>
      <c r="C234" s="11" t="s">
        <v>756</v>
      </c>
      <c r="D234" s="11" t="s">
        <v>488</v>
      </c>
      <c r="E234" s="11" t="s">
        <v>745</v>
      </c>
      <c r="F234" s="66" t="str">
        <f t="shared" si="37"/>
        <v>CHECK</v>
      </c>
      <c r="G234" s="66" t="str">
        <f t="shared" si="37"/>
        <v>CHECK</v>
      </c>
      <c r="H234" s="66" t="str">
        <f t="shared" si="37"/>
        <v>CHECK</v>
      </c>
      <c r="I234" s="66" t="str">
        <f t="shared" si="37"/>
        <v>CHECK</v>
      </c>
      <c r="J234" s="66" t="str">
        <f t="shared" si="37"/>
        <v>CHECK</v>
      </c>
      <c r="K234" s="66" t="str">
        <f t="shared" si="37"/>
        <v>CHECK</v>
      </c>
      <c r="L234" s="66" t="str">
        <f t="shared" si="37"/>
        <v>CHECK</v>
      </c>
      <c r="M234" s="66" t="str">
        <f t="shared" si="37"/>
        <v>CHECK</v>
      </c>
      <c r="N234" s="66" t="str">
        <f t="shared" si="37"/>
        <v>CHECK</v>
      </c>
      <c r="O234" s="66" t="str">
        <f t="shared" si="37"/>
        <v>CHECK</v>
      </c>
      <c r="P234" s="66" t="str">
        <f t="shared" si="37"/>
        <v>CHECK</v>
      </c>
      <c r="Q234" s="66" t="str">
        <f t="shared" si="37"/>
        <v>CHECK</v>
      </c>
      <c r="R234" s="66" t="str">
        <f t="shared" si="37"/>
        <v>CHECK</v>
      </c>
      <c r="S234" s="66" t="str">
        <f t="shared" si="37"/>
        <v>CHECK</v>
      </c>
      <c r="T234" s="66" t="str">
        <f t="shared" si="37"/>
        <v>CHECK</v>
      </c>
      <c r="U234" s="66" t="str">
        <f t="shared" si="37"/>
        <v>CHECK</v>
      </c>
      <c r="V234" s="66"/>
      <c r="W234" s="66"/>
    </row>
  </sheetData>
  <conditionalFormatting sqref="F161:U171">
    <cfRule type="colorScale" priority="22">
      <colorScale>
        <cfvo type="min"/>
        <cfvo type="num" val="0"/>
        <cfvo type="max"/>
        <color theme="3" tint="0.59999389629810485"/>
        <color theme="0"/>
        <color rgb="FFEE9CA4"/>
      </colorScale>
    </cfRule>
  </conditionalFormatting>
  <conditionalFormatting sqref="V162:W171">
    <cfRule type="colorScale" priority="21">
      <colorScale>
        <cfvo type="min"/>
        <cfvo type="num" val="0"/>
        <cfvo type="max"/>
        <color theme="3" tint="0.59999389629810485"/>
        <color theme="0"/>
        <color rgb="FFEE9CA4"/>
      </colorScale>
    </cfRule>
  </conditionalFormatting>
  <conditionalFormatting sqref="V161:W161">
    <cfRule type="colorScale" priority="20">
      <colorScale>
        <cfvo type="min"/>
        <cfvo type="num" val="0"/>
        <cfvo type="max"/>
        <color theme="3" tint="0.59999389629810485"/>
        <color theme="0"/>
        <color rgb="FFEE9CA4"/>
      </colorScale>
    </cfRule>
  </conditionalFormatting>
  <conditionalFormatting sqref="V174:W184">
    <cfRule type="colorScale" priority="18">
      <colorScale>
        <cfvo type="min"/>
        <cfvo type="num" val="0"/>
        <cfvo type="max"/>
        <color theme="3" tint="0.59999389629810485"/>
        <color theme="0"/>
        <color rgb="FFEE9CA4"/>
      </colorScale>
    </cfRule>
  </conditionalFormatting>
  <conditionalFormatting sqref="V199:W209">
    <cfRule type="colorScale" priority="14">
      <colorScale>
        <cfvo type="min"/>
        <cfvo type="num" val="0"/>
        <cfvo type="max"/>
        <color theme="3" tint="0.59999389629810485"/>
        <color theme="0"/>
        <color rgb="FFEE9CA4"/>
      </colorScale>
    </cfRule>
  </conditionalFormatting>
  <conditionalFormatting sqref="V224:W234">
    <cfRule type="colorScale" priority="10">
      <colorScale>
        <cfvo type="min"/>
        <cfvo type="num" val="0"/>
        <cfvo type="max"/>
        <color theme="3" tint="0.59999389629810485"/>
        <color theme="0"/>
        <color rgb="FFEE9CA4"/>
      </colorScale>
    </cfRule>
  </conditionalFormatting>
  <conditionalFormatting sqref="V187:W197">
    <cfRule type="colorScale" priority="7">
      <colorScale>
        <cfvo type="min"/>
        <cfvo type="num" val="0"/>
        <cfvo type="max"/>
        <color theme="3" tint="0.59999389629810485"/>
        <color theme="0"/>
        <color rgb="FFEE9CA4"/>
      </colorScale>
    </cfRule>
  </conditionalFormatting>
  <conditionalFormatting sqref="V212:W222">
    <cfRule type="colorScale" priority="6">
      <colorScale>
        <cfvo type="min"/>
        <cfvo type="num" val="0"/>
        <cfvo type="max"/>
        <color theme="3" tint="0.59999389629810485"/>
        <color theme="0"/>
        <color rgb="FFEE9CA4"/>
      </colorScale>
    </cfRule>
  </conditionalFormatting>
  <conditionalFormatting sqref="F174:U184">
    <cfRule type="colorScale" priority="5">
      <colorScale>
        <cfvo type="min"/>
        <cfvo type="num" val="0"/>
        <cfvo type="max"/>
        <color theme="3" tint="0.59999389629810485"/>
        <color theme="0"/>
        <color rgb="FFEE9CA4"/>
      </colorScale>
    </cfRule>
  </conditionalFormatting>
  <conditionalFormatting sqref="F187:U197">
    <cfRule type="colorScale" priority="4">
      <colorScale>
        <cfvo type="min"/>
        <cfvo type="num" val="0"/>
        <cfvo type="max"/>
        <color theme="3" tint="0.59999389629810485"/>
        <color theme="0"/>
        <color rgb="FFEE9CA4"/>
      </colorScale>
    </cfRule>
  </conditionalFormatting>
  <conditionalFormatting sqref="F199:U209">
    <cfRule type="colorScale" priority="3">
      <colorScale>
        <cfvo type="min"/>
        <cfvo type="num" val="0"/>
        <cfvo type="max"/>
        <color theme="3" tint="0.59999389629810485"/>
        <color theme="0"/>
        <color rgb="FFEE9CA4"/>
      </colorScale>
    </cfRule>
  </conditionalFormatting>
  <conditionalFormatting sqref="F212:U222">
    <cfRule type="colorScale" priority="2">
      <colorScale>
        <cfvo type="min"/>
        <cfvo type="num" val="0"/>
        <cfvo type="max"/>
        <color theme="3" tint="0.59999389629810485"/>
        <color theme="0"/>
        <color rgb="FFEE9CA4"/>
      </colorScale>
    </cfRule>
  </conditionalFormatting>
  <conditionalFormatting sqref="F224:U234">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1300-000025000000}">
          <x14:colorSeries rgb="FF376092"/>
          <x14:colorNegative rgb="FFD00000"/>
          <x14:colorAxis rgb="FF000000"/>
          <x14:colorMarkers rgb="FFD00000"/>
          <x14:colorFirst rgb="FFD00000"/>
          <x14:colorLast rgb="FFD00000"/>
          <x14:colorHigh rgb="FFD00000"/>
          <x14:colorLow rgb="FFD00000"/>
          <x14:sparklines>
            <x14:sparkline>
              <xm:f>'2B Summary'!F31:U31</xm:f>
              <xm:sqref>X31</xm:sqref>
            </x14:sparkline>
            <x14:sparkline>
              <xm:f>'2B Summary'!F32:U32</xm:f>
              <xm:sqref>X32</xm:sqref>
            </x14:sparkline>
            <x14:sparkline>
              <xm:f>'2B Summary'!F33:U33</xm:f>
              <xm:sqref>X33</xm:sqref>
            </x14:sparkline>
            <x14:sparkline>
              <xm:f>'2B Summary'!F34:U34</xm:f>
              <xm:sqref>X34</xm:sqref>
            </x14:sparkline>
            <x14:sparkline>
              <xm:f>'2B Summary'!F35:U35</xm:f>
              <xm:sqref>X35</xm:sqref>
            </x14:sparkline>
            <x14:sparkline>
              <xm:f>'2B Summary'!F36:U36</xm:f>
              <xm:sqref>X36</xm:sqref>
            </x14:sparkline>
            <x14:sparkline>
              <xm:f>'2B Summary'!F37:U37</xm:f>
              <xm:sqref>X37</xm:sqref>
            </x14:sparkline>
            <x14:sparkline>
              <xm:f>'2B Summary'!F38:U38</xm:f>
              <xm:sqref>X38</xm:sqref>
            </x14:sparkline>
            <x14:sparkline>
              <xm:f>'2B Summary'!F39:U39</xm:f>
              <xm:sqref>X39</xm:sqref>
            </x14:sparkline>
            <x14:sparkline>
              <xm:f>'2B Summary'!F40:U40</xm:f>
              <xm:sqref>X40</xm:sqref>
            </x14:sparkline>
            <x14:sparkline>
              <xm:f>'2B Summary'!F41:U41</xm:f>
              <xm:sqref>X41</xm:sqref>
            </x14:sparkline>
          </x14:sparklines>
        </x14:sparklineGroup>
        <x14:sparklineGroup manualMax="0" manualMin="0" displayEmptyCellsAs="gap" xr2:uid="{00000000-0003-0000-1300-000024000000}">
          <x14:colorSeries rgb="FF376092"/>
          <x14:colorNegative rgb="FFD00000"/>
          <x14:colorAxis rgb="FF000000"/>
          <x14:colorMarkers rgb="FFD00000"/>
          <x14:colorFirst rgb="FFD00000"/>
          <x14:colorLast rgb="FFD00000"/>
          <x14:colorHigh rgb="FFD00000"/>
          <x14:colorLow rgb="FFD00000"/>
          <x14:sparklines>
            <x14:sparkline>
              <xm:f>'2B Summary'!F56:U56</xm:f>
              <xm:sqref>X56</xm:sqref>
            </x14:sparkline>
            <x14:sparkline>
              <xm:f>'2B Summary'!F57:U57</xm:f>
              <xm:sqref>X57</xm:sqref>
            </x14:sparkline>
            <x14:sparkline>
              <xm:f>'2B Summary'!F58:U58</xm:f>
              <xm:sqref>X58</xm:sqref>
            </x14:sparkline>
            <x14:sparkline>
              <xm:f>'2B Summary'!F59:U59</xm:f>
              <xm:sqref>X59</xm:sqref>
            </x14:sparkline>
            <x14:sparkline>
              <xm:f>'2B Summary'!F60:U60</xm:f>
              <xm:sqref>X60</xm:sqref>
            </x14:sparkline>
            <x14:sparkline>
              <xm:f>'2B Summary'!F61:U61</xm:f>
              <xm:sqref>X61</xm:sqref>
            </x14:sparkline>
            <x14:sparkline>
              <xm:f>'2B Summary'!F62:U62</xm:f>
              <xm:sqref>X62</xm:sqref>
            </x14:sparkline>
            <x14:sparkline>
              <xm:f>'2B Summary'!F63:U63</xm:f>
              <xm:sqref>X63</xm:sqref>
            </x14:sparkline>
            <x14:sparkline>
              <xm:f>'2B Summary'!F64:U64</xm:f>
              <xm:sqref>X64</xm:sqref>
            </x14:sparkline>
            <x14:sparkline>
              <xm:f>'2B Summary'!F65:U65</xm:f>
              <xm:sqref>X65</xm:sqref>
            </x14:sparkline>
            <x14:sparkline>
              <xm:f>'2B Summary'!F66:U66</xm:f>
              <xm:sqref>X66</xm:sqref>
            </x14:sparkline>
          </x14:sparklines>
        </x14:sparklineGroup>
        <x14:sparklineGroup manualMax="0" manualMin="0" displayEmptyCellsAs="gap" xr2:uid="{00000000-0003-0000-1300-000023000000}">
          <x14:colorSeries rgb="FF376092"/>
          <x14:colorNegative rgb="FFD00000"/>
          <x14:colorAxis rgb="FF000000"/>
          <x14:colorMarkers rgb="FFD00000"/>
          <x14:colorFirst rgb="FFD00000"/>
          <x14:colorLast rgb="FFD00000"/>
          <x14:colorHigh rgb="FFD00000"/>
          <x14:colorLow rgb="FFD00000"/>
          <x14:sparklines>
            <x14:sparkline>
              <xm:f>'2B Summary'!F110:U110</xm:f>
              <xm:sqref>X110</xm:sqref>
            </x14:sparkline>
            <x14:sparkline>
              <xm:f>'2B Summary'!F111:U111</xm:f>
              <xm:sqref>X111</xm:sqref>
            </x14:sparkline>
            <x14:sparkline>
              <xm:f>'2B Summary'!F112:U112</xm:f>
              <xm:sqref>X112</xm:sqref>
            </x14:sparkline>
            <x14:sparkline>
              <xm:f>'2B Summary'!F113:U113</xm:f>
              <xm:sqref>X113</xm:sqref>
            </x14:sparkline>
            <x14:sparkline>
              <xm:f>'2B Summary'!F114:U114</xm:f>
              <xm:sqref>X114</xm:sqref>
            </x14:sparkline>
            <x14:sparkline>
              <xm:f>'2B Summary'!F115:U115</xm:f>
              <xm:sqref>X115</xm:sqref>
            </x14:sparkline>
            <x14:sparkline>
              <xm:f>'2B Summary'!F116:U116</xm:f>
              <xm:sqref>X116</xm:sqref>
            </x14:sparkline>
            <x14:sparkline>
              <xm:f>'2B Summary'!F117:U117</xm:f>
              <xm:sqref>X117</xm:sqref>
            </x14:sparkline>
            <x14:sparkline>
              <xm:f>'2B Summary'!F118:U118</xm:f>
              <xm:sqref>X118</xm:sqref>
            </x14:sparkline>
            <x14:sparkline>
              <xm:f>'2B Summary'!F119:U119</xm:f>
              <xm:sqref>X119</xm:sqref>
            </x14:sparkline>
            <x14:sparkline>
              <xm:f>'2B Summary'!F120:U120</xm:f>
              <xm:sqref>X120</xm:sqref>
            </x14:sparkline>
          </x14:sparklines>
        </x14:sparklineGroup>
        <x14:sparklineGroup manualMax="0" manualMin="0" displayEmptyCellsAs="gap" xr2:uid="{00000000-0003-0000-1300-000022000000}">
          <x14:colorSeries rgb="FF376092"/>
          <x14:colorNegative rgb="FFD00000"/>
          <x14:colorAxis rgb="FF000000"/>
          <x14:colorMarkers rgb="FFD00000"/>
          <x14:colorFirst rgb="FFD00000"/>
          <x14:colorLast rgb="FFD00000"/>
          <x14:colorHigh rgb="FFD00000"/>
          <x14:colorLow rgb="FFD00000"/>
          <x14:sparklines>
            <x14:sparkline>
              <xm:f>'2B Summary'!F135:U135</xm:f>
              <xm:sqref>X135</xm:sqref>
            </x14:sparkline>
            <x14:sparkline>
              <xm:f>'2B Summary'!F136:U136</xm:f>
              <xm:sqref>X136</xm:sqref>
            </x14:sparkline>
            <x14:sparkline>
              <xm:f>'2B Summary'!F137:U137</xm:f>
              <xm:sqref>X137</xm:sqref>
            </x14:sparkline>
            <x14:sparkline>
              <xm:f>'2B Summary'!F138:U138</xm:f>
              <xm:sqref>X138</xm:sqref>
            </x14:sparkline>
            <x14:sparkline>
              <xm:f>'2B Summary'!F139:U139</xm:f>
              <xm:sqref>X139</xm:sqref>
            </x14:sparkline>
            <x14:sparkline>
              <xm:f>'2B Summary'!F140:U140</xm:f>
              <xm:sqref>X140</xm:sqref>
            </x14:sparkline>
            <x14:sparkline>
              <xm:f>'2B Summary'!F141:U141</xm:f>
              <xm:sqref>X141</xm:sqref>
            </x14:sparkline>
            <x14:sparkline>
              <xm:f>'2B Summary'!F142:U142</xm:f>
              <xm:sqref>X142</xm:sqref>
            </x14:sparkline>
            <x14:sparkline>
              <xm:f>'2B Summary'!F143:U143</xm:f>
              <xm:sqref>X143</xm:sqref>
            </x14:sparkline>
            <x14:sparkline>
              <xm:f>'2B Summary'!F144:U144</xm:f>
              <xm:sqref>X144</xm:sqref>
            </x14:sparkline>
            <x14:sparkline>
              <xm:f>'2B Summary'!F145:U145</xm:f>
              <xm:sqref>X145</xm:sqref>
            </x14:sparkline>
          </x14:sparklines>
        </x14:sparklineGroup>
        <x14:sparklineGroup manualMax="0" manualMin="0" displayEmptyCellsAs="gap" xr2:uid="{00000000-0003-0000-1300-000021000000}">
          <x14:colorSeries rgb="FF376092"/>
          <x14:colorNegative rgb="FFD00000"/>
          <x14:colorAxis rgb="FF000000"/>
          <x14:colorMarkers rgb="FFD00000"/>
          <x14:colorFirst rgb="FFD00000"/>
          <x14:colorLast rgb="FFD00000"/>
          <x14:colorHigh rgb="FFD00000"/>
          <x14:colorLow rgb="FFD00000"/>
          <x14:sparklines>
            <x14:sparkline>
              <xm:f>'2B Summary'!F147:U147</xm:f>
              <xm:sqref>X147</xm:sqref>
            </x14:sparkline>
            <x14:sparkline>
              <xm:f>'2B Summary'!F148:U148</xm:f>
              <xm:sqref>X148</xm:sqref>
            </x14:sparkline>
            <x14:sparkline>
              <xm:f>'2B Summary'!F149:U149</xm:f>
              <xm:sqref>X149</xm:sqref>
            </x14:sparkline>
            <x14:sparkline>
              <xm:f>'2B Summary'!F150:U150</xm:f>
              <xm:sqref>X150</xm:sqref>
            </x14:sparkline>
            <x14:sparkline>
              <xm:f>'2B Summary'!F151:U151</xm:f>
              <xm:sqref>X151</xm:sqref>
            </x14:sparkline>
            <x14:sparkline>
              <xm:f>'2B Summary'!F152:U152</xm:f>
              <xm:sqref>X152</xm:sqref>
            </x14:sparkline>
            <x14:sparkline>
              <xm:f>'2B Summary'!F153:U153</xm:f>
              <xm:sqref>X153</xm:sqref>
            </x14:sparkline>
            <x14:sparkline>
              <xm:f>'2B Summary'!F154:U154</xm:f>
              <xm:sqref>X154</xm:sqref>
            </x14:sparkline>
            <x14:sparkline>
              <xm:f>'2B Summary'!F155:U155</xm:f>
              <xm:sqref>X155</xm:sqref>
            </x14:sparkline>
            <x14:sparkline>
              <xm:f>'2B Summary'!F156:U156</xm:f>
              <xm:sqref>X156</xm:sqref>
            </x14:sparkline>
            <x14:sparkline>
              <xm:f>'2B Summary'!F157:U157</xm:f>
              <xm:sqref>X157</xm:sqref>
            </x14:sparkline>
          </x14:sparklines>
        </x14:sparklineGroup>
        <x14:sparklineGroup manualMax="0" manualMin="0" displayEmptyCellsAs="gap" xr2:uid="{00000000-0003-0000-1300-000020000000}">
          <x14:colorSeries rgb="FF376092"/>
          <x14:colorNegative rgb="FFD00000"/>
          <x14:colorAxis rgb="FF000000"/>
          <x14:colorMarkers rgb="FFD00000"/>
          <x14:colorFirst rgb="FFD00000"/>
          <x14:colorLast rgb="FFD00000"/>
          <x14:colorHigh rgb="FFD00000"/>
          <x14:colorLow rgb="FFD00000"/>
          <x14:sparklines>
            <x14:sparkline>
              <xm:f>'2B Summary'!F122:U122</xm:f>
              <xm:sqref>X122</xm:sqref>
            </x14:sparkline>
            <x14:sparkline>
              <xm:f>'2B Summary'!F123:U123</xm:f>
              <xm:sqref>X123</xm:sqref>
            </x14:sparkline>
            <x14:sparkline>
              <xm:f>'2B Summary'!F124:U124</xm:f>
              <xm:sqref>X124</xm:sqref>
            </x14:sparkline>
            <x14:sparkline>
              <xm:f>'2B Summary'!F125:U125</xm:f>
              <xm:sqref>X125</xm:sqref>
            </x14:sparkline>
            <x14:sparkline>
              <xm:f>'2B Summary'!F126:U126</xm:f>
              <xm:sqref>X126</xm:sqref>
            </x14:sparkline>
            <x14:sparkline>
              <xm:f>'2B Summary'!F127:U127</xm:f>
              <xm:sqref>X127</xm:sqref>
            </x14:sparkline>
            <x14:sparkline>
              <xm:f>'2B Summary'!F128:U128</xm:f>
              <xm:sqref>X128</xm:sqref>
            </x14:sparkline>
            <x14:sparkline>
              <xm:f>'2B Summary'!F129:U129</xm:f>
              <xm:sqref>X129</xm:sqref>
            </x14:sparkline>
            <x14:sparkline>
              <xm:f>'2B Summary'!F130:U130</xm:f>
              <xm:sqref>X130</xm:sqref>
            </x14:sparkline>
            <x14:sparkline>
              <xm:f>'2B Summary'!F131:U131</xm:f>
              <xm:sqref>X131</xm:sqref>
            </x14:sparkline>
            <x14:sparkline>
              <xm:f>'2B Summary'!F132:U132</xm:f>
              <xm:sqref>X132</xm:sqref>
            </x14:sparkline>
          </x14:sparklines>
        </x14:sparklineGroup>
        <x14:sparklineGroup manualMax="0" manualMin="0" displayEmptyCellsAs="gap" xr2:uid="{00000000-0003-0000-1300-00001F000000}">
          <x14:colorSeries rgb="FF376092"/>
          <x14:colorNegative rgb="FFD00000"/>
          <x14:colorAxis rgb="FF000000"/>
          <x14:colorMarkers rgb="FFD00000"/>
          <x14:colorFirst rgb="FFD00000"/>
          <x14:colorLast rgb="FFD00000"/>
          <x14:colorHigh rgb="FFD00000"/>
          <x14:colorLow rgb="FFD00000"/>
          <x14:sparklines>
            <x14:sparkline>
              <xm:f>'2B Summary'!F96:U96</xm:f>
              <xm:sqref>X96</xm:sqref>
            </x14:sparkline>
            <x14:sparkline>
              <xm:f>'2B Summary'!F97:U97</xm:f>
              <xm:sqref>X97</xm:sqref>
            </x14:sparkline>
            <x14:sparkline>
              <xm:f>'2B Summary'!F98:U98</xm:f>
              <xm:sqref>X98</xm:sqref>
            </x14:sparkline>
            <x14:sparkline>
              <xm:f>'2B Summary'!F99:U99</xm:f>
              <xm:sqref>X99</xm:sqref>
            </x14:sparkline>
            <x14:sparkline>
              <xm:f>'2B Summary'!F100:U100</xm:f>
              <xm:sqref>X100</xm:sqref>
            </x14:sparkline>
            <x14:sparkline>
              <xm:f>'2B Summary'!F101:U101</xm:f>
              <xm:sqref>X101</xm:sqref>
            </x14:sparkline>
            <x14:sparkline>
              <xm:f>'2B Summary'!F102:U102</xm:f>
              <xm:sqref>X102</xm:sqref>
            </x14:sparkline>
            <x14:sparkline>
              <xm:f>'2B Summary'!F103:U103</xm:f>
              <xm:sqref>X103</xm:sqref>
            </x14:sparkline>
            <x14:sparkline>
              <xm:f>'2B Summary'!F104:U104</xm:f>
              <xm:sqref>X104</xm:sqref>
            </x14:sparkline>
            <x14:sparkline>
              <xm:f>'2B Summary'!F105:U105</xm:f>
              <xm:sqref>X105</xm:sqref>
            </x14:sparkline>
            <x14:sparkline>
              <xm:f>'2B Summary'!F106:U106</xm:f>
              <xm:sqref>X106</xm:sqref>
            </x14:sparkline>
            <x14:sparkline>
              <xm:f>'2B Summary'!F107:U107</xm:f>
              <xm:sqref>X107</xm:sqref>
            </x14:sparkline>
          </x14:sparklines>
        </x14:sparklineGroup>
        <x14:sparklineGroup manualMax="0" manualMin="0" displayEmptyCellsAs="gap" xr2:uid="{00000000-0003-0000-1300-00001E000000}">
          <x14:colorSeries rgb="FF376092"/>
          <x14:colorNegative rgb="FFD00000"/>
          <x14:colorAxis rgb="FF000000"/>
          <x14:colorMarkers rgb="FFD00000"/>
          <x14:colorFirst rgb="FFD00000"/>
          <x14:colorLast rgb="FFD00000"/>
          <x14:colorHigh rgb="FFD00000"/>
          <x14:colorLow rgb="FFD00000"/>
          <x14:sparklines>
            <x14:sparkline>
              <xm:f>'2B Summary'!F18:U18</xm:f>
              <xm:sqref>X18</xm:sqref>
            </x14:sparkline>
            <x14:sparkline>
              <xm:f>'2B Summary'!F19:U19</xm:f>
              <xm:sqref>X19</xm:sqref>
            </x14:sparkline>
            <x14:sparkline>
              <xm:f>'2B Summary'!F20:U20</xm:f>
              <xm:sqref>X20</xm:sqref>
            </x14:sparkline>
            <x14:sparkline>
              <xm:f>'2B Summary'!F21:U21</xm:f>
              <xm:sqref>X21</xm:sqref>
            </x14:sparkline>
            <x14:sparkline>
              <xm:f>'2B Summary'!F22:U22</xm:f>
              <xm:sqref>X22</xm:sqref>
            </x14:sparkline>
            <x14:sparkline>
              <xm:f>'2B Summary'!F23:U23</xm:f>
              <xm:sqref>X23</xm:sqref>
            </x14:sparkline>
            <x14:sparkline>
              <xm:f>'2B Summary'!F24:U24</xm:f>
              <xm:sqref>X24</xm:sqref>
            </x14:sparkline>
            <x14:sparkline>
              <xm:f>'2B Summary'!F25:U25</xm:f>
              <xm:sqref>X25</xm:sqref>
            </x14:sparkline>
            <x14:sparkline>
              <xm:f>'2B Summary'!F26:U26</xm:f>
              <xm:sqref>X26</xm:sqref>
            </x14:sparkline>
            <x14:sparkline>
              <xm:f>'2B Summary'!F27:U27</xm:f>
              <xm:sqref>X27</xm:sqref>
            </x14:sparkline>
            <x14:sparkline>
              <xm:f>'2B Summary'!F28:U28</xm:f>
              <xm:sqref>X28</xm:sqref>
            </x14:sparkline>
          </x14:sparklines>
        </x14:sparklineGroup>
        <x14:sparklineGroup manualMax="0" manualMin="0" displayEmptyCellsAs="gap" xr2:uid="{00000000-0003-0000-1300-00001D000000}">
          <x14:colorSeries rgb="FF376092"/>
          <x14:colorNegative rgb="FFD00000"/>
          <x14:colorAxis rgb="FF000000"/>
          <x14:colorMarkers rgb="FFD00000"/>
          <x14:colorFirst rgb="FFD00000"/>
          <x14:colorLast rgb="FFD00000"/>
          <x14:colorHigh rgb="FFD00000"/>
          <x14:colorLow rgb="FFD00000"/>
          <x14:sparklines>
            <x14:sparkline>
              <xm:f>'2B Summary'!F5:U5</xm:f>
              <xm:sqref>X5</xm:sqref>
            </x14:sparkline>
            <x14:sparkline>
              <xm:f>'2B Summary'!F6:U6</xm:f>
              <xm:sqref>X6</xm:sqref>
            </x14:sparkline>
            <x14:sparkline>
              <xm:f>'2B Summary'!F7:U7</xm:f>
              <xm:sqref>X7</xm:sqref>
            </x14:sparkline>
            <x14:sparkline>
              <xm:f>'2B Summary'!F8:U8</xm:f>
              <xm:sqref>X8</xm:sqref>
            </x14:sparkline>
            <x14:sparkline>
              <xm:f>'2B Summary'!F9:U9</xm:f>
              <xm:sqref>X9</xm:sqref>
            </x14:sparkline>
            <x14:sparkline>
              <xm:f>'2B Summary'!F10:U10</xm:f>
              <xm:sqref>X10</xm:sqref>
            </x14:sparkline>
            <x14:sparkline>
              <xm:f>'2B Summary'!F11:U11</xm:f>
              <xm:sqref>X11</xm:sqref>
            </x14:sparkline>
            <x14:sparkline>
              <xm:f>'2B Summary'!F12:U12</xm:f>
              <xm:sqref>X12</xm:sqref>
            </x14:sparkline>
            <x14:sparkline>
              <xm:f>'2B Summary'!F13:U13</xm:f>
              <xm:sqref>X13</xm:sqref>
            </x14:sparkline>
            <x14:sparkline>
              <xm:f>'2B Summary'!F14:U14</xm:f>
              <xm:sqref>X14</xm:sqref>
            </x14:sparkline>
            <x14:sparkline>
              <xm:f>'2B Summary'!F15:U15</xm:f>
              <xm:sqref>X15</xm:sqref>
            </x14:sparkline>
          </x14:sparklines>
        </x14:sparklineGroup>
        <x14:sparklineGroup manualMax="0" manualMin="0" displayEmptyCellsAs="gap" xr2:uid="{00000000-0003-0000-1300-00001C000000}">
          <x14:colorSeries rgb="FF376092"/>
          <x14:colorNegative rgb="FFD00000"/>
          <x14:colorAxis rgb="FF000000"/>
          <x14:colorMarkers rgb="FFD00000"/>
          <x14:colorFirst rgb="FFD00000"/>
          <x14:colorLast rgb="FFD00000"/>
          <x14:colorHigh rgb="FFD00000"/>
          <x14:colorLow rgb="FFD00000"/>
          <x14:sparklines>
            <x14:sparkline>
              <xm:f>'2B Summary'!F84:U84</xm:f>
              <xm:sqref>X84</xm:sqref>
            </x14:sparkline>
            <x14:sparkline>
              <xm:f>'2B Summary'!F85:U85</xm:f>
              <xm:sqref>X85</xm:sqref>
            </x14:sparkline>
            <x14:sparkline>
              <xm:f>'2B Summary'!F86:U86</xm:f>
              <xm:sqref>X86</xm:sqref>
            </x14:sparkline>
            <x14:sparkline>
              <xm:f>'2B Summary'!F87:U87</xm:f>
              <xm:sqref>X87</xm:sqref>
            </x14:sparkline>
            <x14:sparkline>
              <xm:f>'2B Summary'!F88:U88</xm:f>
              <xm:sqref>X88</xm:sqref>
            </x14:sparkline>
            <x14:sparkline>
              <xm:f>'2B Summary'!F89:U89</xm:f>
              <xm:sqref>X89</xm:sqref>
            </x14:sparkline>
            <x14:sparkline>
              <xm:f>'2B Summary'!F90:U90</xm:f>
              <xm:sqref>X90</xm:sqref>
            </x14:sparkline>
            <x14:sparkline>
              <xm:f>'2B Summary'!F91:U91</xm:f>
              <xm:sqref>X91</xm:sqref>
            </x14:sparkline>
            <x14:sparkline>
              <xm:f>'2B Summary'!F92:U92</xm:f>
              <xm:sqref>X92</xm:sqref>
            </x14:sparkline>
            <x14:sparkline>
              <xm:f>'2B Summary'!F93:U93</xm:f>
              <xm:sqref>X93</xm:sqref>
            </x14:sparkline>
            <x14:sparkline>
              <xm:f>'2B Summary'!F94:U94</xm:f>
              <xm:sqref>X94</xm:sqref>
            </x14:sparkline>
          </x14:sparklines>
        </x14:sparklineGroup>
        <x14:sparklineGroup manualMax="0" manualMin="0" displayEmptyCellsAs="gap" xr2:uid="{00000000-0003-0000-1300-00001B000000}">
          <x14:colorSeries rgb="FF376092"/>
          <x14:colorNegative rgb="FFD00000"/>
          <x14:colorAxis rgb="FF000000"/>
          <x14:colorMarkers rgb="FFD00000"/>
          <x14:colorFirst rgb="FFD00000"/>
          <x14:colorLast rgb="FFD00000"/>
          <x14:colorHigh rgb="FFD00000"/>
          <x14:colorLow rgb="FFD00000"/>
          <x14:sparklines>
            <x14:sparkline>
              <xm:f>'2B Summary'!F68:U68</xm:f>
              <xm:sqref>X68</xm:sqref>
            </x14:sparkline>
            <x14:sparkline>
              <xm:f>'2B Summary'!F69:U69</xm:f>
              <xm:sqref>X69</xm:sqref>
            </x14:sparkline>
            <x14:sparkline>
              <xm:f>'2B Summary'!F70:U70</xm:f>
              <xm:sqref>X70</xm:sqref>
            </x14:sparkline>
            <x14:sparkline>
              <xm:f>'2B Summary'!F71:U71</xm:f>
              <xm:sqref>X71</xm:sqref>
            </x14:sparkline>
            <x14:sparkline>
              <xm:f>'2B Summary'!F72:U72</xm:f>
              <xm:sqref>X72</xm:sqref>
            </x14:sparkline>
            <x14:sparkline>
              <xm:f>'2B Summary'!F73:U73</xm:f>
              <xm:sqref>X73</xm:sqref>
            </x14:sparkline>
            <x14:sparkline>
              <xm:f>'2B Summary'!F74:U74</xm:f>
              <xm:sqref>X74</xm:sqref>
            </x14:sparkline>
            <x14:sparkline>
              <xm:f>'2B Summary'!F75:U75</xm:f>
              <xm:sqref>X75</xm:sqref>
            </x14:sparkline>
            <x14:sparkline>
              <xm:f>'2B Summary'!F76:U76</xm:f>
              <xm:sqref>X76</xm:sqref>
            </x14:sparkline>
            <x14:sparkline>
              <xm:f>'2B Summary'!F77:U77</xm:f>
              <xm:sqref>X77</xm:sqref>
            </x14:sparkline>
            <x14:sparkline>
              <xm:f>'2B Summary'!F78:U78</xm:f>
              <xm:sqref>X78</xm:sqref>
            </x14:sparkline>
          </x14:sparklines>
        </x14:sparklineGroup>
        <x14:sparklineGroup manualMax="0" manualMin="0" displayEmptyCellsAs="gap" xr2:uid="{00000000-0003-0000-1300-00001A000000}">
          <x14:colorSeries rgb="FF376092"/>
          <x14:colorNegative rgb="FFD00000"/>
          <x14:colorAxis rgb="FF000000"/>
          <x14:colorMarkers rgb="FFD00000"/>
          <x14:colorFirst rgb="FFD00000"/>
          <x14:colorLast rgb="FFD00000"/>
          <x14:colorHigh rgb="FFD00000"/>
          <x14:colorLow rgb="FFD00000"/>
          <x14:sparklines>
            <x14:sparkline>
              <xm:f>'2B Summary'!F43:U43</xm:f>
              <xm:sqref>X43</xm:sqref>
            </x14:sparkline>
            <x14:sparkline>
              <xm:f>'2B Summary'!F44:U44</xm:f>
              <xm:sqref>X44</xm:sqref>
            </x14:sparkline>
            <x14:sparkline>
              <xm:f>'2B Summary'!F45:U45</xm:f>
              <xm:sqref>X45</xm:sqref>
            </x14:sparkline>
            <x14:sparkline>
              <xm:f>'2B Summary'!F46:U46</xm:f>
              <xm:sqref>X46</xm:sqref>
            </x14:sparkline>
            <x14:sparkline>
              <xm:f>'2B Summary'!F47:U47</xm:f>
              <xm:sqref>X47</xm:sqref>
            </x14:sparkline>
            <x14:sparkline>
              <xm:f>'2B Summary'!F48:U48</xm:f>
              <xm:sqref>X48</xm:sqref>
            </x14:sparkline>
            <x14:sparkline>
              <xm:f>'2B Summary'!F49:U49</xm:f>
              <xm:sqref>X49</xm:sqref>
            </x14:sparkline>
            <x14:sparkline>
              <xm:f>'2B Summary'!F50:U50</xm:f>
              <xm:sqref>X50</xm:sqref>
            </x14:sparkline>
            <x14:sparkline>
              <xm:f>'2B Summary'!F51:U51</xm:f>
              <xm:sqref>X51</xm:sqref>
            </x14:sparkline>
            <x14:sparkline>
              <xm:f>'2B Summary'!F52:U52</xm:f>
              <xm:sqref>X52</xm:sqref>
            </x14:sparkline>
            <x14:sparkline>
              <xm:f>'2B Summary'!F53:U53</xm:f>
              <xm:sqref>X53</xm:sqref>
            </x14:sparkline>
          </x14:sparklines>
        </x14:sparklineGroup>
      </x14:sparklineGroup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tabColor theme="3" tint="0.79998168889431442"/>
  </sheetPr>
  <dimension ref="A1:Y108"/>
  <sheetViews>
    <sheetView topLeftCell="A11" workbookViewId="0">
      <selection activeCell="B8" sqref="B8"/>
    </sheetView>
  </sheetViews>
  <sheetFormatPr defaultRowHeight="15" x14ac:dyDescent="0.25"/>
  <cols>
    <col min="1" max="1" width="24.85546875" bestFit="1" customWidth="1"/>
    <col min="2" max="2" width="53.5703125" customWidth="1"/>
    <col min="3" max="3" width="10.42578125" customWidth="1"/>
    <col min="4" max="4" width="19" customWidth="1"/>
    <col min="5" max="32" width="10.42578125" customWidth="1"/>
    <col min="33" max="93" width="53.7109375" bestFit="1" customWidth="1"/>
    <col min="94" max="108" width="16.5703125" bestFit="1" customWidth="1"/>
  </cols>
  <sheetData>
    <row r="1" spans="1:23" x14ac:dyDescent="0.25">
      <c r="A1" s="15" t="s">
        <v>855</v>
      </c>
      <c r="B1" s="4" t="str">
        <f ca="1">MID(CELL("filename",A1),FIND("]",CELL("filename",A1))+1,256)</f>
        <v>2B1 Ammonia Production</v>
      </c>
      <c r="C1" s="261" t="s">
        <v>856</v>
      </c>
      <c r="D1" s="262"/>
      <c r="E1" s="262"/>
      <c r="F1" s="262"/>
      <c r="G1" s="262"/>
      <c r="H1" s="262"/>
      <c r="I1" s="262"/>
      <c r="J1" s="263"/>
      <c r="K1" s="14"/>
    </row>
    <row r="2" spans="1:23" ht="49.5" customHeight="1" x14ac:dyDescent="0.25">
      <c r="A2" s="15" t="s">
        <v>736</v>
      </c>
      <c r="B2" s="33" t="s">
        <v>857</v>
      </c>
      <c r="C2" s="264"/>
      <c r="D2" s="265"/>
      <c r="E2" s="265"/>
      <c r="F2" s="265"/>
      <c r="G2" s="265"/>
      <c r="H2" s="265"/>
      <c r="I2" s="265"/>
      <c r="J2" s="266"/>
      <c r="K2" s="14"/>
    </row>
    <row r="3" spans="1:23" x14ac:dyDescent="0.25">
      <c r="A3" s="15" t="s">
        <v>858</v>
      </c>
      <c r="B3" s="33" t="s">
        <v>859</v>
      </c>
      <c r="C3" s="16"/>
      <c r="D3" s="17"/>
      <c r="E3" s="17"/>
      <c r="F3" s="17"/>
      <c r="G3" s="17"/>
      <c r="H3" s="17"/>
      <c r="I3" s="17"/>
      <c r="J3" s="18"/>
    </row>
    <row r="4" spans="1:23" x14ac:dyDescent="0.25">
      <c r="A4" s="15" t="s">
        <v>860</v>
      </c>
      <c r="B4" s="33" t="s">
        <v>938</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939</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s="5" customFormat="1" ht="21" x14ac:dyDescent="0.35">
      <c r="B11" s="6" t="s">
        <v>865</v>
      </c>
      <c r="E11" s="5" t="s">
        <v>866</v>
      </c>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x14ac:dyDescent="0.25">
      <c r="A14" t="s">
        <v>70</v>
      </c>
      <c r="B14" t="s">
        <v>940</v>
      </c>
      <c r="D14" t="s">
        <v>892</v>
      </c>
      <c r="E14" s="114"/>
      <c r="F14" s="114"/>
      <c r="G14" s="114"/>
      <c r="H14" s="114"/>
      <c r="I14" s="114"/>
      <c r="J14" s="114"/>
      <c r="K14" s="114"/>
      <c r="L14" s="114"/>
      <c r="M14" s="114"/>
      <c r="N14" s="114"/>
      <c r="O14" s="114"/>
      <c r="P14" s="114"/>
      <c r="Q14" s="114"/>
      <c r="R14" s="114"/>
      <c r="S14" s="114"/>
      <c r="T14" s="114"/>
      <c r="U14" s="114"/>
      <c r="V14" s="114"/>
    </row>
    <row r="15" spans="1:23" x14ac:dyDescent="0.25">
      <c r="A15" t="s">
        <v>70</v>
      </c>
      <c r="B15" t="s">
        <v>941</v>
      </c>
      <c r="D15" t="s">
        <v>942</v>
      </c>
      <c r="E15" s="114"/>
      <c r="F15" s="114"/>
      <c r="G15" s="114"/>
      <c r="H15" s="114"/>
      <c r="I15" s="114"/>
      <c r="J15" s="114"/>
      <c r="K15" s="114"/>
      <c r="L15" s="114"/>
      <c r="M15" s="114"/>
      <c r="N15" s="114"/>
      <c r="O15" s="114"/>
      <c r="P15" s="114"/>
      <c r="Q15" s="114"/>
      <c r="R15" s="114"/>
      <c r="S15" s="114"/>
      <c r="T15" s="114"/>
      <c r="U15" s="114"/>
      <c r="V15" s="114"/>
    </row>
    <row r="16" spans="1:23" x14ac:dyDescent="0.25">
      <c r="A16" t="s">
        <v>70</v>
      </c>
      <c r="B16" t="s">
        <v>943</v>
      </c>
      <c r="D16" t="s">
        <v>944</v>
      </c>
      <c r="E16" s="114"/>
      <c r="F16" s="114"/>
      <c r="G16" s="114"/>
      <c r="H16" s="114"/>
      <c r="I16" s="114"/>
      <c r="J16" s="114"/>
      <c r="K16" s="114"/>
      <c r="L16" s="114"/>
      <c r="M16" s="114"/>
      <c r="N16" s="114"/>
      <c r="O16" s="114"/>
      <c r="P16" s="114"/>
      <c r="Q16" s="114"/>
      <c r="R16" s="114"/>
      <c r="S16" s="114"/>
      <c r="T16" s="114"/>
      <c r="U16" s="114"/>
      <c r="V16" s="114"/>
    </row>
    <row r="17" spans="1:25" x14ac:dyDescent="0.25">
      <c r="A17" t="s">
        <v>70</v>
      </c>
      <c r="B17" t="s">
        <v>945</v>
      </c>
      <c r="C17" t="s">
        <v>836</v>
      </c>
      <c r="D17" t="s">
        <v>946</v>
      </c>
      <c r="E17" s="114">
        <v>485278000</v>
      </c>
      <c r="F17" s="114">
        <v>487071000</v>
      </c>
      <c r="G17" s="114">
        <v>462490000</v>
      </c>
      <c r="H17" s="114">
        <v>480553000</v>
      </c>
      <c r="I17" s="114">
        <v>505371000</v>
      </c>
      <c r="J17" s="114">
        <v>194768000</v>
      </c>
      <c r="K17" s="114">
        <v>172075000</v>
      </c>
      <c r="L17" s="114">
        <v>234330000</v>
      </c>
      <c r="M17" s="114">
        <v>207129000</v>
      </c>
      <c r="N17" s="114">
        <v>185965000</v>
      </c>
      <c r="O17" s="114">
        <v>324946000</v>
      </c>
      <c r="P17" s="114">
        <v>373576000</v>
      </c>
      <c r="Q17" s="114">
        <v>217795000</v>
      </c>
      <c r="R17" s="198">
        <v>177020000</v>
      </c>
      <c r="S17" s="198">
        <v>185981000</v>
      </c>
      <c r="T17" s="198">
        <v>272963000</v>
      </c>
      <c r="U17" s="198">
        <f>AVERAGE(E17:T17)</f>
        <v>310456937.5</v>
      </c>
      <c r="V17" s="198">
        <f>241415*1000</f>
        <v>241415000</v>
      </c>
      <c r="Y17" t="s">
        <v>43</v>
      </c>
    </row>
    <row r="18" spans="1:25" x14ac:dyDescent="0.25">
      <c r="A18" t="s">
        <v>70</v>
      </c>
      <c r="B18" t="s">
        <v>947</v>
      </c>
      <c r="D18" t="s">
        <v>948</v>
      </c>
      <c r="E18" s="114"/>
      <c r="F18" s="114"/>
      <c r="G18" s="114"/>
      <c r="H18" s="114"/>
      <c r="I18" s="114"/>
      <c r="J18" s="114"/>
      <c r="K18" s="114"/>
      <c r="L18" s="114"/>
      <c r="M18" s="114"/>
      <c r="N18" s="114"/>
      <c r="O18" s="114"/>
      <c r="P18" s="114"/>
      <c r="Q18" s="114"/>
      <c r="R18" s="114"/>
      <c r="S18" s="114"/>
      <c r="T18" s="114"/>
      <c r="U18" s="114"/>
      <c r="V18" s="114"/>
    </row>
    <row r="19" spans="1:25" x14ac:dyDescent="0.25">
      <c r="A19" t="s">
        <v>70</v>
      </c>
      <c r="B19" t="s">
        <v>949</v>
      </c>
      <c r="C19" t="s">
        <v>836</v>
      </c>
      <c r="D19" t="s">
        <v>946</v>
      </c>
      <c r="E19" s="117">
        <f>E18*(44/12)</f>
        <v>0</v>
      </c>
      <c r="F19" s="117">
        <f t="shared" ref="F19:V19" si="0">F18*(44/12)</f>
        <v>0</v>
      </c>
      <c r="G19" s="117">
        <f t="shared" si="0"/>
        <v>0</v>
      </c>
      <c r="H19" s="117">
        <f t="shared" si="0"/>
        <v>0</v>
      </c>
      <c r="I19" s="117">
        <f t="shared" si="0"/>
        <v>0</v>
      </c>
      <c r="J19" s="117">
        <f t="shared" si="0"/>
        <v>0</v>
      </c>
      <c r="K19" s="117">
        <f t="shared" si="0"/>
        <v>0</v>
      </c>
      <c r="L19" s="117">
        <f t="shared" si="0"/>
        <v>0</v>
      </c>
      <c r="M19" s="117">
        <f t="shared" si="0"/>
        <v>0</v>
      </c>
      <c r="N19" s="117">
        <f t="shared" si="0"/>
        <v>0</v>
      </c>
      <c r="O19" s="117">
        <f t="shared" si="0"/>
        <v>0</v>
      </c>
      <c r="P19" s="117">
        <f t="shared" si="0"/>
        <v>0</v>
      </c>
      <c r="Q19" s="117">
        <f t="shared" si="0"/>
        <v>0</v>
      </c>
      <c r="R19" s="117">
        <f t="shared" si="0"/>
        <v>0</v>
      </c>
      <c r="S19" s="117">
        <f t="shared" si="0"/>
        <v>0</v>
      </c>
      <c r="T19" s="117">
        <f t="shared" si="0"/>
        <v>0</v>
      </c>
      <c r="U19" s="117">
        <f t="shared" si="0"/>
        <v>0</v>
      </c>
      <c r="V19" s="117">
        <f t="shared" si="0"/>
        <v>0</v>
      </c>
    </row>
    <row r="21" spans="1:25" s="5" customFormat="1" ht="21" x14ac:dyDescent="0.35">
      <c r="B21" s="6" t="s">
        <v>950</v>
      </c>
      <c r="E21" s="5" t="s">
        <v>951</v>
      </c>
    </row>
    <row r="23" spans="1:25" x14ac:dyDescent="0.25">
      <c r="A23" t="s">
        <v>70</v>
      </c>
      <c r="B23" t="s">
        <v>952</v>
      </c>
      <c r="D23" t="s">
        <v>872</v>
      </c>
      <c r="E23" s="205"/>
      <c r="F23" s="205"/>
      <c r="G23" s="205"/>
      <c r="H23" s="205"/>
      <c r="I23" s="205"/>
      <c r="J23" s="205"/>
      <c r="K23" s="205"/>
      <c r="L23" s="205"/>
      <c r="M23" s="205"/>
      <c r="N23" s="205"/>
      <c r="O23" s="205"/>
      <c r="P23" s="205"/>
      <c r="Q23" s="205"/>
      <c r="R23" s="205"/>
      <c r="S23" s="205"/>
      <c r="T23" s="205"/>
      <c r="U23" s="205"/>
      <c r="V23" s="205"/>
    </row>
    <row r="25" spans="1:25" s="5" customFormat="1" ht="21" x14ac:dyDescent="0.35">
      <c r="B25" s="6" t="s">
        <v>619</v>
      </c>
      <c r="E25" s="5" t="s">
        <v>881</v>
      </c>
    </row>
    <row r="27" spans="1:25" x14ac:dyDescent="0.25">
      <c r="A27" t="s">
        <v>70</v>
      </c>
      <c r="B27" t="s">
        <v>953</v>
      </c>
      <c r="C27" t="s">
        <v>836</v>
      </c>
      <c r="D27" t="s">
        <v>946</v>
      </c>
      <c r="E27" s="117">
        <f t="shared" ref="E27:V27" si="1">E17-E19</f>
        <v>485278000</v>
      </c>
      <c r="F27" s="117">
        <f t="shared" si="1"/>
        <v>487071000</v>
      </c>
      <c r="G27" s="117">
        <f t="shared" si="1"/>
        <v>462490000</v>
      </c>
      <c r="H27" s="117">
        <f t="shared" si="1"/>
        <v>480553000</v>
      </c>
      <c r="I27" s="117">
        <f t="shared" si="1"/>
        <v>505371000</v>
      </c>
      <c r="J27" s="117">
        <f t="shared" si="1"/>
        <v>194768000</v>
      </c>
      <c r="K27" s="117">
        <f t="shared" si="1"/>
        <v>172075000</v>
      </c>
      <c r="L27" s="117">
        <f t="shared" si="1"/>
        <v>234330000</v>
      </c>
      <c r="M27" s="117">
        <f t="shared" si="1"/>
        <v>207129000</v>
      </c>
      <c r="N27" s="117">
        <f t="shared" si="1"/>
        <v>185965000</v>
      </c>
      <c r="O27" s="117">
        <f t="shared" si="1"/>
        <v>324946000</v>
      </c>
      <c r="P27" s="117">
        <f t="shared" si="1"/>
        <v>373576000</v>
      </c>
      <c r="Q27" s="117">
        <f t="shared" si="1"/>
        <v>217795000</v>
      </c>
      <c r="R27" s="117">
        <f t="shared" si="1"/>
        <v>177020000</v>
      </c>
      <c r="S27" s="117">
        <f t="shared" si="1"/>
        <v>185981000</v>
      </c>
      <c r="T27" s="117">
        <f t="shared" si="1"/>
        <v>272963000</v>
      </c>
      <c r="U27" s="117">
        <f t="shared" si="1"/>
        <v>310456937.5</v>
      </c>
      <c r="V27" s="117">
        <f t="shared" si="1"/>
        <v>241415000</v>
      </c>
    </row>
    <row r="28" spans="1:25" x14ac:dyDescent="0.25">
      <c r="A28" t="s">
        <v>70</v>
      </c>
      <c r="B28" t="s">
        <v>953</v>
      </c>
      <c r="C28" t="s">
        <v>836</v>
      </c>
      <c r="D28" t="s">
        <v>884</v>
      </c>
      <c r="E28" s="117">
        <f>E27/1000000</f>
        <v>485.27800000000002</v>
      </c>
      <c r="F28" s="117">
        <f t="shared" ref="F28:V28" si="2">F27/1000000</f>
        <v>487.07100000000003</v>
      </c>
      <c r="G28" s="117">
        <f t="shared" si="2"/>
        <v>462.49</v>
      </c>
      <c r="H28" s="117">
        <f t="shared" si="2"/>
        <v>480.553</v>
      </c>
      <c r="I28" s="117">
        <f t="shared" si="2"/>
        <v>505.37099999999998</v>
      </c>
      <c r="J28" s="117">
        <f t="shared" si="2"/>
        <v>194.768</v>
      </c>
      <c r="K28" s="117">
        <f t="shared" si="2"/>
        <v>172.07499999999999</v>
      </c>
      <c r="L28" s="117">
        <f t="shared" si="2"/>
        <v>234.33</v>
      </c>
      <c r="M28" s="117">
        <f t="shared" si="2"/>
        <v>207.12899999999999</v>
      </c>
      <c r="N28" s="117">
        <f t="shared" si="2"/>
        <v>185.965</v>
      </c>
      <c r="O28" s="117">
        <f t="shared" si="2"/>
        <v>324.94600000000003</v>
      </c>
      <c r="P28" s="117">
        <f t="shared" si="2"/>
        <v>373.57600000000002</v>
      </c>
      <c r="Q28" s="117">
        <f t="shared" si="2"/>
        <v>217.79499999999999</v>
      </c>
      <c r="R28" s="117">
        <f t="shared" si="2"/>
        <v>177.02</v>
      </c>
      <c r="S28" s="117">
        <f t="shared" si="2"/>
        <v>185.98099999999999</v>
      </c>
      <c r="T28" s="117">
        <f t="shared" si="2"/>
        <v>272.96300000000002</v>
      </c>
      <c r="U28" s="117">
        <f t="shared" si="2"/>
        <v>310.45693749999998</v>
      </c>
      <c r="V28" s="117">
        <f t="shared" si="2"/>
        <v>241.41499999999999</v>
      </c>
    </row>
    <row r="29" spans="1:25" x14ac:dyDescent="0.25">
      <c r="A29" t="s">
        <v>70</v>
      </c>
      <c r="B29" t="s">
        <v>954</v>
      </c>
      <c r="C29" t="s">
        <v>486</v>
      </c>
      <c r="D29" t="s">
        <v>924</v>
      </c>
      <c r="E29" s="114">
        <v>3.1219999999999999</v>
      </c>
      <c r="F29" s="114">
        <v>3.1339999999999999</v>
      </c>
      <c r="G29" s="114">
        <v>2.976</v>
      </c>
      <c r="H29" s="114">
        <v>3.0920000000000001</v>
      </c>
      <c r="I29" s="114">
        <v>3.2519999999999998</v>
      </c>
      <c r="J29" s="114">
        <v>4.3079999999999998</v>
      </c>
      <c r="K29" s="114">
        <v>4.71</v>
      </c>
      <c r="L29" s="114">
        <v>6.4420000000000002</v>
      </c>
      <c r="M29" s="114">
        <v>3.2080000000000002</v>
      </c>
      <c r="N29" s="114">
        <v>2.2999999999999998</v>
      </c>
      <c r="O29" s="114">
        <v>2.7309999999999999</v>
      </c>
      <c r="P29" s="114">
        <v>3.82</v>
      </c>
      <c r="Q29" s="114">
        <v>3.048</v>
      </c>
      <c r="R29" s="114">
        <v>3.4630000000000001</v>
      </c>
      <c r="S29" s="114">
        <v>3.306</v>
      </c>
      <c r="T29" s="114">
        <v>4.1449999999999996</v>
      </c>
      <c r="U29" s="114">
        <f>AVERAGE(E29:T29)</f>
        <v>3.5660625000000001</v>
      </c>
      <c r="V29" s="184">
        <v>7.9619999999999997</v>
      </c>
      <c r="Y29" t="s">
        <v>43</v>
      </c>
    </row>
    <row r="30" spans="1:25" x14ac:dyDescent="0.25">
      <c r="A30" t="s">
        <v>70</v>
      </c>
      <c r="B30" t="s">
        <v>954</v>
      </c>
      <c r="C30" t="s">
        <v>486</v>
      </c>
      <c r="D30" t="s">
        <v>955</v>
      </c>
      <c r="E30" s="117">
        <f>+E29*'Conversion factors'!$B$5</f>
        <v>65.561999999999998</v>
      </c>
      <c r="F30" s="117">
        <f>+F29*'Conversion factors'!$B$5</f>
        <v>65.813999999999993</v>
      </c>
      <c r="G30" s="117">
        <f>+G29*'Conversion factors'!$B$5</f>
        <v>62.496000000000002</v>
      </c>
      <c r="H30" s="117">
        <f>+H29*'Conversion factors'!$B$5</f>
        <v>64.932000000000002</v>
      </c>
      <c r="I30" s="117">
        <f>+I29*'Conversion factors'!$B$5</f>
        <v>68.292000000000002</v>
      </c>
      <c r="J30" s="117">
        <f>+J29*'Conversion factors'!$B$5</f>
        <v>90.467999999999989</v>
      </c>
      <c r="K30" s="117">
        <f>+K29*'Conversion factors'!$B$5</f>
        <v>98.91</v>
      </c>
      <c r="L30" s="117">
        <f>+L29*'Conversion factors'!$B$5</f>
        <v>135.28200000000001</v>
      </c>
      <c r="M30" s="117">
        <f>+M29*'Conversion factors'!$B$5</f>
        <v>67.368000000000009</v>
      </c>
      <c r="N30" s="117">
        <f>+N29*'Conversion factors'!$B$5</f>
        <v>48.3</v>
      </c>
      <c r="O30" s="117">
        <f>+O29*'Conversion factors'!$B$5</f>
        <v>57.350999999999999</v>
      </c>
      <c r="P30" s="117">
        <f>+P29*'Conversion factors'!$B$5</f>
        <v>80.22</v>
      </c>
      <c r="Q30" s="117">
        <f>+Q29*'Conversion factors'!$B$5</f>
        <v>64.007999999999996</v>
      </c>
      <c r="R30" s="117">
        <f>+R29*'Conversion factors'!$B$5</f>
        <v>72.722999999999999</v>
      </c>
      <c r="S30" s="117">
        <f>+S29*'Conversion factors'!$B$5</f>
        <v>69.426000000000002</v>
      </c>
      <c r="T30" s="117">
        <f>+T29*'Conversion factors'!$B$5</f>
        <v>87.044999999999987</v>
      </c>
      <c r="U30" s="117">
        <f>+U29*'Conversion factors'!$B$5</f>
        <v>74.887312500000007</v>
      </c>
      <c r="V30" s="117">
        <f>+V29*'Conversion factors'!$B$5</f>
        <v>167.202</v>
      </c>
    </row>
    <row r="31" spans="1:25" x14ac:dyDescent="0.25">
      <c r="A31" s="7" t="s">
        <v>70</v>
      </c>
      <c r="B31" s="7" t="s">
        <v>882</v>
      </c>
      <c r="C31" s="7" t="s">
        <v>956</v>
      </c>
      <c r="D31" s="7" t="s">
        <v>955</v>
      </c>
      <c r="E31" s="116">
        <f>E28+E30</f>
        <v>550.84</v>
      </c>
      <c r="F31" s="116">
        <f t="shared" ref="F31:V31" si="3">F28+F30</f>
        <v>552.88499999999999</v>
      </c>
      <c r="G31" s="116">
        <f t="shared" si="3"/>
        <v>524.98599999999999</v>
      </c>
      <c r="H31" s="116">
        <f t="shared" si="3"/>
        <v>545.48500000000001</v>
      </c>
      <c r="I31" s="116">
        <f t="shared" si="3"/>
        <v>573.66300000000001</v>
      </c>
      <c r="J31" s="116">
        <f t="shared" si="3"/>
        <v>285.23599999999999</v>
      </c>
      <c r="K31" s="116">
        <f t="shared" si="3"/>
        <v>270.98500000000001</v>
      </c>
      <c r="L31" s="116">
        <f t="shared" si="3"/>
        <v>369.61200000000002</v>
      </c>
      <c r="M31" s="116">
        <f t="shared" si="3"/>
        <v>274.49700000000001</v>
      </c>
      <c r="N31" s="116">
        <f t="shared" si="3"/>
        <v>234.26499999999999</v>
      </c>
      <c r="O31" s="116">
        <f t="shared" si="3"/>
        <v>382.29700000000003</v>
      </c>
      <c r="P31" s="116">
        <f t="shared" si="3"/>
        <v>453.79600000000005</v>
      </c>
      <c r="Q31" s="116">
        <f t="shared" si="3"/>
        <v>281.803</v>
      </c>
      <c r="R31" s="116">
        <f t="shared" si="3"/>
        <v>249.74299999999999</v>
      </c>
      <c r="S31" s="116">
        <f t="shared" si="3"/>
        <v>255.40699999999998</v>
      </c>
      <c r="T31" s="116">
        <f>T28+T30</f>
        <v>360.00800000000004</v>
      </c>
      <c r="U31" s="116">
        <f t="shared" si="3"/>
        <v>385.34424999999999</v>
      </c>
      <c r="V31" s="116">
        <f t="shared" si="3"/>
        <v>408.61699999999996</v>
      </c>
    </row>
    <row r="33" spans="1:13" s="5" customFormat="1" ht="21" x14ac:dyDescent="0.35">
      <c r="B33" s="6" t="s">
        <v>885</v>
      </c>
      <c r="E33" s="5" t="s">
        <v>886</v>
      </c>
      <c r="M33" s="5" t="s">
        <v>900</v>
      </c>
    </row>
    <row r="35" spans="1:13" x14ac:dyDescent="0.25">
      <c r="A35" s="27"/>
      <c r="B35" s="26"/>
      <c r="C35" s="26"/>
      <c r="D35" s="26"/>
      <c r="E35" s="26"/>
      <c r="F35" s="26"/>
      <c r="G35" s="26"/>
      <c r="H35" s="26"/>
    </row>
    <row r="56" spans="1:24" ht="21" x14ac:dyDescent="0.35">
      <c r="A56" s="5"/>
      <c r="B56" s="6" t="s">
        <v>346</v>
      </c>
      <c r="C56" s="5"/>
      <c r="D56" s="5"/>
      <c r="E56" s="5" t="s">
        <v>887</v>
      </c>
      <c r="F56" s="5"/>
      <c r="G56" s="5"/>
      <c r="H56" s="5"/>
      <c r="I56" s="5"/>
      <c r="J56" s="5"/>
      <c r="K56" s="5"/>
      <c r="L56" s="5"/>
      <c r="M56" s="5"/>
      <c r="N56" s="5"/>
      <c r="O56" s="5"/>
      <c r="P56" s="5"/>
      <c r="Q56" s="5"/>
      <c r="R56" s="5"/>
      <c r="S56" s="5"/>
      <c r="T56" s="5"/>
      <c r="U56" s="5"/>
      <c r="V56" s="5"/>
      <c r="W56" s="5"/>
      <c r="X56" s="5"/>
    </row>
    <row r="57" spans="1:24" ht="18.75" x14ac:dyDescent="0.3">
      <c r="A57" s="12" t="s">
        <v>844</v>
      </c>
      <c r="E57" t="s">
        <v>888</v>
      </c>
    </row>
    <row r="58" spans="1:24" s="8" customFormat="1" ht="12.75" x14ac:dyDescent="0.2">
      <c r="B58" s="9" t="s">
        <v>865</v>
      </c>
    </row>
    <row r="60" spans="1:24" x14ac:dyDescent="0.25">
      <c r="A60" s="10" t="s">
        <v>867</v>
      </c>
      <c r="B60" s="10" t="s">
        <v>868</v>
      </c>
      <c r="C60" s="10" t="s">
        <v>482</v>
      </c>
      <c r="D60" s="10" t="s">
        <v>740</v>
      </c>
      <c r="E60" s="10">
        <v>2000</v>
      </c>
      <c r="F60" s="10">
        <v>2001</v>
      </c>
      <c r="G60" s="10">
        <v>2002</v>
      </c>
      <c r="H60" s="10">
        <v>2003</v>
      </c>
      <c r="I60" s="10">
        <v>2004</v>
      </c>
      <c r="J60" s="10">
        <v>2005</v>
      </c>
      <c r="K60" s="10">
        <v>2006</v>
      </c>
      <c r="L60" s="10">
        <v>2007</v>
      </c>
      <c r="M60" s="10">
        <v>2008</v>
      </c>
      <c r="N60" s="10">
        <v>2009</v>
      </c>
      <c r="O60" s="10">
        <v>2010</v>
      </c>
      <c r="P60" s="10">
        <v>2011</v>
      </c>
      <c r="Q60" s="10">
        <v>2012</v>
      </c>
      <c r="R60" s="10">
        <v>2013</v>
      </c>
      <c r="S60" s="10">
        <v>2014</v>
      </c>
      <c r="T60" s="10">
        <v>2015</v>
      </c>
      <c r="U60" s="10"/>
      <c r="V60" s="10"/>
    </row>
    <row r="61" spans="1:24" x14ac:dyDescent="0.25">
      <c r="A61" s="11" t="s">
        <v>70</v>
      </c>
      <c r="B61" s="11" t="s">
        <v>940</v>
      </c>
      <c r="C61" s="11"/>
      <c r="D61" s="11" t="s">
        <v>892</v>
      </c>
      <c r="E61" s="29"/>
      <c r="F61" s="29"/>
      <c r="G61" s="29"/>
      <c r="H61" s="29"/>
      <c r="I61" s="29"/>
      <c r="J61" s="29"/>
      <c r="K61" s="29"/>
      <c r="L61" s="29"/>
      <c r="M61" s="29"/>
      <c r="N61" s="29"/>
      <c r="O61" s="29"/>
      <c r="P61" s="29"/>
      <c r="Q61" s="29"/>
      <c r="R61" s="29"/>
      <c r="S61" s="29"/>
      <c r="T61" s="29"/>
      <c r="U61" s="4"/>
      <c r="V61" s="4"/>
    </row>
    <row r="62" spans="1:24" x14ac:dyDescent="0.25">
      <c r="A62" s="11" t="s">
        <v>70</v>
      </c>
      <c r="B62" s="11" t="s">
        <v>941</v>
      </c>
      <c r="C62" s="11"/>
      <c r="D62" s="11" t="s">
        <v>942</v>
      </c>
      <c r="E62" s="29"/>
      <c r="F62" s="29"/>
      <c r="G62" s="29"/>
      <c r="H62" s="29"/>
      <c r="I62" s="29"/>
      <c r="J62" s="29"/>
      <c r="K62" s="29"/>
      <c r="L62" s="29"/>
      <c r="M62" s="29"/>
      <c r="N62" s="29"/>
      <c r="O62" s="29"/>
      <c r="P62" s="29"/>
      <c r="Q62" s="29"/>
      <c r="R62" s="29"/>
      <c r="S62" s="29"/>
      <c r="T62" s="29"/>
      <c r="U62" s="4"/>
      <c r="V62" s="4"/>
    </row>
    <row r="63" spans="1:24" x14ac:dyDescent="0.25">
      <c r="A63" s="11" t="s">
        <v>70</v>
      </c>
      <c r="B63" s="11" t="s">
        <v>943</v>
      </c>
      <c r="C63" s="11"/>
      <c r="D63" s="11" t="s">
        <v>944</v>
      </c>
      <c r="E63" s="29"/>
      <c r="F63" s="29"/>
      <c r="G63" s="29"/>
      <c r="H63" s="29"/>
      <c r="I63" s="29"/>
      <c r="J63" s="29"/>
      <c r="K63" s="29"/>
      <c r="L63" s="29"/>
      <c r="M63" s="29"/>
      <c r="N63" s="29"/>
      <c r="O63" s="29"/>
      <c r="P63" s="29"/>
      <c r="Q63" s="29"/>
      <c r="R63" s="29"/>
      <c r="S63" s="29"/>
      <c r="T63" s="29"/>
      <c r="U63" s="4"/>
      <c r="V63" s="4"/>
    </row>
    <row r="64" spans="1:24" x14ac:dyDescent="0.25">
      <c r="A64" s="11" t="s">
        <v>70</v>
      </c>
      <c r="B64" s="11" t="s">
        <v>945</v>
      </c>
      <c r="C64" s="11" t="s">
        <v>836</v>
      </c>
      <c r="D64" s="11" t="s">
        <v>946</v>
      </c>
      <c r="E64" s="29">
        <v>485278000</v>
      </c>
      <c r="F64" s="29">
        <v>487071000</v>
      </c>
      <c r="G64" s="29">
        <v>462490000</v>
      </c>
      <c r="H64" s="29">
        <v>480553000</v>
      </c>
      <c r="I64" s="29">
        <v>505371000</v>
      </c>
      <c r="J64" s="29">
        <v>194768000</v>
      </c>
      <c r="K64" s="29">
        <v>172075000</v>
      </c>
      <c r="L64" s="29">
        <v>234330000</v>
      </c>
      <c r="M64" s="29">
        <v>207129000</v>
      </c>
      <c r="N64" s="29">
        <v>185965000</v>
      </c>
      <c r="O64" s="29">
        <v>324946000</v>
      </c>
      <c r="P64" s="29">
        <v>373576000</v>
      </c>
      <c r="Q64" s="29">
        <v>217795000</v>
      </c>
      <c r="R64" s="29">
        <v>177020000</v>
      </c>
      <c r="S64" s="29">
        <v>185981000</v>
      </c>
      <c r="T64" s="29">
        <v>272963000</v>
      </c>
      <c r="U64" s="4"/>
      <c r="V64" s="4"/>
    </row>
    <row r="65" spans="1:22" x14ac:dyDescent="0.25">
      <c r="A65" s="11" t="s">
        <v>70</v>
      </c>
      <c r="B65" s="11" t="s">
        <v>947</v>
      </c>
      <c r="C65" s="11"/>
      <c r="D65" s="11" t="s">
        <v>948</v>
      </c>
      <c r="E65" s="29"/>
      <c r="F65" s="29"/>
      <c r="G65" s="29"/>
      <c r="H65" s="29"/>
      <c r="I65" s="29"/>
      <c r="J65" s="29"/>
      <c r="K65" s="29"/>
      <c r="L65" s="29"/>
      <c r="M65" s="29"/>
      <c r="N65" s="29"/>
      <c r="O65" s="29"/>
      <c r="P65" s="29"/>
      <c r="Q65" s="29"/>
      <c r="R65" s="29"/>
      <c r="S65" s="29"/>
      <c r="T65" s="29"/>
      <c r="U65" s="4"/>
      <c r="V65" s="4"/>
    </row>
    <row r="66" spans="1:22" x14ac:dyDescent="0.25">
      <c r="A66" s="11" t="s">
        <v>70</v>
      </c>
      <c r="B66" s="11" t="s">
        <v>949</v>
      </c>
      <c r="C66" s="11" t="s">
        <v>836</v>
      </c>
      <c r="D66" s="11" t="s">
        <v>946</v>
      </c>
      <c r="E66" s="29">
        <v>0</v>
      </c>
      <c r="F66" s="29">
        <v>0</v>
      </c>
      <c r="G66" s="29">
        <v>0</v>
      </c>
      <c r="H66" s="29">
        <v>0</v>
      </c>
      <c r="I66" s="29">
        <v>0</v>
      </c>
      <c r="J66" s="29">
        <v>0</v>
      </c>
      <c r="K66" s="29">
        <v>0</v>
      </c>
      <c r="L66" s="29">
        <v>0</v>
      </c>
      <c r="M66" s="29">
        <v>0</v>
      </c>
      <c r="N66" s="29">
        <v>0</v>
      </c>
      <c r="O66" s="29">
        <v>0</v>
      </c>
      <c r="P66" s="29">
        <v>0</v>
      </c>
      <c r="Q66" s="29">
        <v>0</v>
      </c>
      <c r="R66" s="29">
        <v>0</v>
      </c>
      <c r="S66" s="29">
        <v>0</v>
      </c>
      <c r="T66" s="29"/>
      <c r="U66" s="4"/>
      <c r="V66" s="4"/>
    </row>
    <row r="67" spans="1:22" x14ac:dyDescent="0.25">
      <c r="E67" s="11"/>
      <c r="F67" s="11"/>
      <c r="G67" s="11"/>
      <c r="H67" s="11"/>
      <c r="I67" s="11"/>
      <c r="J67" s="11"/>
      <c r="K67" s="11"/>
      <c r="L67" s="11"/>
      <c r="M67" s="11"/>
      <c r="N67" s="11"/>
      <c r="O67" s="11"/>
      <c r="P67" s="11"/>
      <c r="Q67" s="11"/>
      <c r="R67" s="11"/>
      <c r="S67" s="11"/>
      <c r="T67" s="11"/>
    </row>
    <row r="68" spans="1:22" s="8" customFormat="1" ht="12.75" x14ac:dyDescent="0.2">
      <c r="B68" s="9" t="s">
        <v>877</v>
      </c>
      <c r="E68" s="197"/>
      <c r="F68" s="197"/>
      <c r="G68" s="197"/>
      <c r="H68" s="197"/>
      <c r="I68" s="197"/>
      <c r="J68" s="197"/>
      <c r="K68" s="197"/>
      <c r="L68" s="197"/>
      <c r="M68" s="197"/>
      <c r="N68" s="197"/>
      <c r="O68" s="197"/>
      <c r="P68" s="197"/>
      <c r="Q68" s="197"/>
      <c r="R68" s="197"/>
      <c r="S68" s="197"/>
      <c r="T68" s="197"/>
    </row>
    <row r="69" spans="1:22" x14ac:dyDescent="0.25">
      <c r="E69" s="11"/>
      <c r="F69" s="11"/>
      <c r="G69" s="11"/>
      <c r="H69" s="11"/>
      <c r="I69" s="11"/>
      <c r="J69" s="11"/>
      <c r="K69" s="11"/>
      <c r="L69" s="11"/>
      <c r="M69" s="11"/>
      <c r="N69" s="11"/>
      <c r="O69" s="11"/>
      <c r="P69" s="11"/>
      <c r="Q69" s="11"/>
      <c r="R69" s="11"/>
      <c r="S69" s="11"/>
      <c r="T69" s="11"/>
    </row>
    <row r="70" spans="1:22" x14ac:dyDescent="0.25">
      <c r="A70" s="11" t="s">
        <v>70</v>
      </c>
      <c r="B70" s="11" t="s">
        <v>952</v>
      </c>
      <c r="C70" s="11"/>
      <c r="D70" s="11" t="s">
        <v>872</v>
      </c>
      <c r="E70" s="29"/>
      <c r="F70" s="29"/>
      <c r="G70" s="29"/>
      <c r="H70" s="29"/>
      <c r="I70" s="29"/>
      <c r="J70" s="29"/>
      <c r="K70" s="29"/>
      <c r="L70" s="29"/>
      <c r="M70" s="29"/>
      <c r="N70" s="29"/>
      <c r="O70" s="29"/>
      <c r="P70" s="29"/>
      <c r="Q70" s="29"/>
      <c r="R70" s="29"/>
      <c r="S70" s="29"/>
      <c r="T70" s="29"/>
      <c r="U70" s="4"/>
      <c r="V70" s="4"/>
    </row>
    <row r="71" spans="1:22" x14ac:dyDescent="0.25">
      <c r="E71" s="11"/>
      <c r="F71" s="11"/>
      <c r="G71" s="11"/>
      <c r="H71" s="11"/>
      <c r="I71" s="11"/>
      <c r="J71" s="11"/>
      <c r="K71" s="11"/>
      <c r="L71" s="11"/>
      <c r="M71" s="11"/>
      <c r="N71" s="11"/>
      <c r="O71" s="11"/>
      <c r="P71" s="11"/>
      <c r="Q71" s="11"/>
      <c r="R71" s="11"/>
      <c r="S71" s="11"/>
      <c r="T71" s="11"/>
    </row>
    <row r="72" spans="1:22" s="8" customFormat="1" ht="12.75" x14ac:dyDescent="0.2">
      <c r="B72" s="9" t="s">
        <v>619</v>
      </c>
      <c r="E72" s="197"/>
      <c r="F72" s="197"/>
      <c r="G72" s="197"/>
      <c r="H72" s="197"/>
      <c r="I72" s="197"/>
      <c r="J72" s="197"/>
      <c r="K72" s="197"/>
      <c r="L72" s="197"/>
      <c r="M72" s="197"/>
      <c r="N72" s="197"/>
      <c r="O72" s="197"/>
      <c r="P72" s="197"/>
      <c r="Q72" s="197"/>
      <c r="R72" s="197"/>
      <c r="S72" s="197"/>
      <c r="T72" s="197"/>
    </row>
    <row r="73" spans="1:22" x14ac:dyDescent="0.25">
      <c r="E73" s="11"/>
      <c r="F73" s="11"/>
      <c r="G73" s="11"/>
      <c r="H73" s="11"/>
      <c r="I73" s="11"/>
      <c r="J73" s="11"/>
      <c r="K73" s="11"/>
      <c r="L73" s="11"/>
      <c r="M73" s="11"/>
      <c r="N73" s="11"/>
      <c r="O73" s="11"/>
      <c r="P73" s="11"/>
      <c r="Q73" s="11"/>
      <c r="R73" s="11"/>
      <c r="S73" s="11"/>
      <c r="T73" s="11"/>
    </row>
    <row r="74" spans="1:22" x14ac:dyDescent="0.25">
      <c r="A74" s="11" t="s">
        <v>70</v>
      </c>
      <c r="B74" s="11" t="s">
        <v>953</v>
      </c>
      <c r="C74" s="11" t="s">
        <v>836</v>
      </c>
      <c r="D74" s="11" t="s">
        <v>946</v>
      </c>
      <c r="E74" s="29">
        <v>485278000</v>
      </c>
      <c r="F74" s="29">
        <v>487071000</v>
      </c>
      <c r="G74" s="29">
        <v>462490000</v>
      </c>
      <c r="H74" s="29">
        <v>480553000</v>
      </c>
      <c r="I74" s="29">
        <v>505371000</v>
      </c>
      <c r="J74" s="29">
        <v>194768000</v>
      </c>
      <c r="K74" s="29">
        <v>172075000</v>
      </c>
      <c r="L74" s="29">
        <v>234330000</v>
      </c>
      <c r="M74" s="29">
        <v>207129000</v>
      </c>
      <c r="N74" s="29">
        <v>185965000</v>
      </c>
      <c r="O74" s="29">
        <v>324946000</v>
      </c>
      <c r="P74" s="29">
        <v>373576000</v>
      </c>
      <c r="Q74" s="29">
        <v>217795000</v>
      </c>
      <c r="R74" s="29">
        <v>177020000</v>
      </c>
      <c r="S74" s="29">
        <v>185981000</v>
      </c>
      <c r="T74" s="29">
        <v>272963000</v>
      </c>
      <c r="U74" s="4"/>
      <c r="V74" s="4"/>
    </row>
    <row r="75" spans="1:22" x14ac:dyDescent="0.25">
      <c r="A75" s="11" t="s">
        <v>70</v>
      </c>
      <c r="B75" s="11" t="s">
        <v>953</v>
      </c>
      <c r="C75" s="11" t="s">
        <v>836</v>
      </c>
      <c r="D75" s="11" t="s">
        <v>884</v>
      </c>
      <c r="E75" s="29">
        <v>485.27800000000002</v>
      </c>
      <c r="F75" s="29">
        <v>487.07100000000003</v>
      </c>
      <c r="G75" s="29">
        <v>462.49</v>
      </c>
      <c r="H75" s="29">
        <v>480.553</v>
      </c>
      <c r="I75" s="29">
        <v>505.37099999999998</v>
      </c>
      <c r="J75" s="29">
        <v>194.768</v>
      </c>
      <c r="K75" s="29">
        <v>172.07499999999999</v>
      </c>
      <c r="L75" s="29">
        <v>234.33</v>
      </c>
      <c r="M75" s="29">
        <v>207.12899999999999</v>
      </c>
      <c r="N75" s="29">
        <v>185.965</v>
      </c>
      <c r="O75" s="29">
        <v>324.94600000000003</v>
      </c>
      <c r="P75" s="29">
        <v>373.57600000000002</v>
      </c>
      <c r="Q75" s="29">
        <v>217.79499999999999</v>
      </c>
      <c r="R75" s="29">
        <v>177.02</v>
      </c>
      <c r="S75" s="29">
        <v>185.98099999999999</v>
      </c>
      <c r="T75" s="29">
        <v>272.96300000000002</v>
      </c>
      <c r="U75" s="4"/>
      <c r="V75" s="4"/>
    </row>
    <row r="76" spans="1:22" x14ac:dyDescent="0.25">
      <c r="A76" s="11" t="s">
        <v>70</v>
      </c>
      <c r="B76" s="11" t="s">
        <v>954</v>
      </c>
      <c r="C76" s="11" t="s">
        <v>486</v>
      </c>
      <c r="D76" s="11" t="s">
        <v>924</v>
      </c>
      <c r="E76" s="29">
        <v>3.1219999999999999</v>
      </c>
      <c r="F76" s="29">
        <v>3.1339999999999999</v>
      </c>
      <c r="G76" s="29">
        <v>2.976</v>
      </c>
      <c r="H76" s="29">
        <v>3.0920000000000001</v>
      </c>
      <c r="I76" s="29">
        <v>3.2519999999999998</v>
      </c>
      <c r="J76" s="29">
        <v>4.3079999999999998</v>
      </c>
      <c r="K76" s="29">
        <v>4.71</v>
      </c>
      <c r="L76" s="29">
        <v>6.4420000000000002</v>
      </c>
      <c r="M76" s="29">
        <v>3.2080000000000002</v>
      </c>
      <c r="N76" s="29">
        <v>2.2999999999999998</v>
      </c>
      <c r="O76" s="29">
        <v>2.7309999999999999</v>
      </c>
      <c r="P76" s="29">
        <v>3.82</v>
      </c>
      <c r="Q76" s="29">
        <v>3.048</v>
      </c>
      <c r="R76" s="29">
        <v>3.4630000000000001</v>
      </c>
      <c r="S76" s="29">
        <v>3.306</v>
      </c>
      <c r="T76" s="29">
        <v>4.1449999999999996</v>
      </c>
      <c r="U76" s="4"/>
      <c r="V76" s="4"/>
    </row>
    <row r="77" spans="1:22" x14ac:dyDescent="0.25">
      <c r="A77" s="11" t="s">
        <v>70</v>
      </c>
      <c r="B77" s="11" t="s">
        <v>954</v>
      </c>
      <c r="C77" s="11" t="s">
        <v>956</v>
      </c>
      <c r="D77" s="11" t="s">
        <v>955</v>
      </c>
      <c r="E77" s="29">
        <v>65.561999999999998</v>
      </c>
      <c r="F77" s="29">
        <v>65.813999999999993</v>
      </c>
      <c r="G77" s="29">
        <v>62.496000000000002</v>
      </c>
      <c r="H77" s="29">
        <v>64.932000000000002</v>
      </c>
      <c r="I77" s="29">
        <v>68.292000000000002</v>
      </c>
      <c r="J77" s="29">
        <v>90.467999999999989</v>
      </c>
      <c r="K77" s="29">
        <v>98.91</v>
      </c>
      <c r="L77" s="29">
        <v>135.28200000000001</v>
      </c>
      <c r="M77" s="29">
        <v>67.368000000000009</v>
      </c>
      <c r="N77" s="29">
        <v>48.3</v>
      </c>
      <c r="O77" s="29">
        <v>57.350999999999999</v>
      </c>
      <c r="P77" s="29">
        <v>80.22</v>
      </c>
      <c r="Q77" s="29">
        <v>64.007999999999996</v>
      </c>
      <c r="R77" s="29">
        <v>72.722999999999999</v>
      </c>
      <c r="S77" s="29">
        <v>69.426000000000002</v>
      </c>
      <c r="T77" s="29">
        <v>87.044999999999987</v>
      </c>
      <c r="U77" s="4"/>
      <c r="V77" s="4"/>
    </row>
    <row r="78" spans="1:22" x14ac:dyDescent="0.25">
      <c r="A78" s="11" t="s">
        <v>70</v>
      </c>
      <c r="B78" s="11" t="s">
        <v>835</v>
      </c>
      <c r="C78" s="11" t="s">
        <v>956</v>
      </c>
      <c r="D78" s="11" t="s">
        <v>955</v>
      </c>
      <c r="E78" s="29">
        <v>550.84</v>
      </c>
      <c r="F78" s="29">
        <v>552.88499999999999</v>
      </c>
      <c r="G78" s="29">
        <v>524.98599999999999</v>
      </c>
      <c r="H78" s="29">
        <v>545.48500000000001</v>
      </c>
      <c r="I78" s="29">
        <v>573.66300000000001</v>
      </c>
      <c r="J78" s="29">
        <v>285.23599999999999</v>
      </c>
      <c r="K78" s="29">
        <v>270.98500000000001</v>
      </c>
      <c r="L78" s="29">
        <v>369.61200000000002</v>
      </c>
      <c r="M78" s="29">
        <v>274.49700000000001</v>
      </c>
      <c r="N78" s="29">
        <v>234.26499999999999</v>
      </c>
      <c r="O78" s="29">
        <v>382.29700000000003</v>
      </c>
      <c r="P78" s="29">
        <v>453.79600000000005</v>
      </c>
      <c r="Q78" s="29">
        <v>281.803</v>
      </c>
      <c r="R78" s="29">
        <v>249.74299999999999</v>
      </c>
      <c r="S78" s="29">
        <v>255.40699999999998</v>
      </c>
      <c r="T78" s="29">
        <v>360.00800000000004</v>
      </c>
      <c r="U78" s="4"/>
      <c r="V78" s="4"/>
    </row>
    <row r="79" spans="1:22" x14ac:dyDescent="0.25">
      <c r="A79" s="11"/>
      <c r="B79" s="11"/>
      <c r="C79" s="11"/>
      <c r="D79" s="11"/>
      <c r="E79" s="23"/>
      <c r="F79" s="23"/>
      <c r="G79" s="23"/>
      <c r="H79" s="23"/>
      <c r="I79" s="23"/>
      <c r="J79" s="23"/>
      <c r="K79" s="23"/>
      <c r="L79" s="23"/>
      <c r="M79" s="23"/>
      <c r="N79" s="23"/>
      <c r="O79" s="23"/>
      <c r="P79" s="23"/>
      <c r="Q79" s="23"/>
      <c r="R79" s="23"/>
      <c r="S79" s="23"/>
      <c r="T79" s="23"/>
      <c r="U79" s="23"/>
      <c r="V79" s="23"/>
    </row>
    <row r="80" spans="1:22" ht="18.75" x14ac:dyDescent="0.3">
      <c r="A80" s="13" t="s">
        <v>346</v>
      </c>
    </row>
    <row r="81" spans="1:22" s="22" customFormat="1" x14ac:dyDescent="0.25">
      <c r="A81" s="8"/>
      <c r="B81" s="9" t="s">
        <v>865</v>
      </c>
      <c r="C81" s="8"/>
      <c r="D81" s="8" t="s">
        <v>852</v>
      </c>
      <c r="E81" s="8"/>
      <c r="F81" s="8"/>
      <c r="G81" s="8"/>
      <c r="H81" s="8"/>
      <c r="I81" s="8"/>
      <c r="J81" s="8"/>
      <c r="K81" s="8"/>
      <c r="L81" s="8"/>
      <c r="M81" s="8"/>
      <c r="N81" s="8"/>
      <c r="O81" s="8"/>
      <c r="P81" s="8"/>
      <c r="Q81" s="8"/>
      <c r="R81" s="8"/>
      <c r="S81" s="8"/>
      <c r="T81" s="8"/>
      <c r="U81" s="8"/>
      <c r="V81" s="8"/>
    </row>
    <row r="83" spans="1:22" x14ac:dyDescent="0.25">
      <c r="A83" s="10" t="s">
        <v>867</v>
      </c>
      <c r="B83" s="10" t="s">
        <v>868</v>
      </c>
      <c r="C83" s="10" t="s">
        <v>482</v>
      </c>
      <c r="D83" s="10" t="s">
        <v>740</v>
      </c>
      <c r="E83" s="10">
        <v>2000</v>
      </c>
      <c r="F83" s="10">
        <v>2001</v>
      </c>
      <c r="G83" s="10">
        <v>2002</v>
      </c>
      <c r="H83" s="10">
        <v>2003</v>
      </c>
      <c r="I83" s="10">
        <v>2004</v>
      </c>
      <c r="J83" s="10">
        <v>2005</v>
      </c>
      <c r="K83" s="10">
        <v>2006</v>
      </c>
      <c r="L83" s="10">
        <v>2007</v>
      </c>
      <c r="M83" s="10">
        <v>2008</v>
      </c>
      <c r="N83" s="10">
        <v>2009</v>
      </c>
      <c r="O83" s="10">
        <v>2010</v>
      </c>
      <c r="P83" s="10">
        <v>2011</v>
      </c>
      <c r="Q83" s="10">
        <v>2012</v>
      </c>
      <c r="R83" s="10">
        <v>2013</v>
      </c>
      <c r="S83" s="10">
        <v>2014</v>
      </c>
      <c r="T83" s="10">
        <v>2015</v>
      </c>
      <c r="U83" s="10"/>
      <c r="V83" s="10"/>
    </row>
    <row r="84" spans="1:22" x14ac:dyDescent="0.25">
      <c r="A84" s="11" t="s">
        <v>70</v>
      </c>
      <c r="B84" s="11" t="s">
        <v>940</v>
      </c>
      <c r="C84" s="11"/>
      <c r="D84" s="11" t="s">
        <v>892</v>
      </c>
      <c r="E84" s="41" t="str">
        <f t="shared" ref="E84:T84" si="4">IFERROR(((E14/E61)-1),"CHECK")</f>
        <v>CHECK</v>
      </c>
      <c r="F84" s="41" t="str">
        <f t="shared" si="4"/>
        <v>CHECK</v>
      </c>
      <c r="G84" s="41" t="str">
        <f t="shared" si="4"/>
        <v>CHECK</v>
      </c>
      <c r="H84" s="41" t="str">
        <f t="shared" si="4"/>
        <v>CHECK</v>
      </c>
      <c r="I84" s="41" t="str">
        <f t="shared" si="4"/>
        <v>CHECK</v>
      </c>
      <c r="J84" s="41" t="str">
        <f t="shared" si="4"/>
        <v>CHECK</v>
      </c>
      <c r="K84" s="41" t="str">
        <f t="shared" si="4"/>
        <v>CHECK</v>
      </c>
      <c r="L84" s="41" t="str">
        <f t="shared" si="4"/>
        <v>CHECK</v>
      </c>
      <c r="M84" s="41" t="str">
        <f t="shared" si="4"/>
        <v>CHECK</v>
      </c>
      <c r="N84" s="41" t="str">
        <f t="shared" si="4"/>
        <v>CHECK</v>
      </c>
      <c r="O84" s="41" t="str">
        <f t="shared" si="4"/>
        <v>CHECK</v>
      </c>
      <c r="P84" s="41" t="str">
        <f t="shared" si="4"/>
        <v>CHECK</v>
      </c>
      <c r="Q84" s="41" t="str">
        <f t="shared" si="4"/>
        <v>CHECK</v>
      </c>
      <c r="R84" s="41" t="str">
        <f t="shared" si="4"/>
        <v>CHECK</v>
      </c>
      <c r="S84" s="41" t="str">
        <f t="shared" si="4"/>
        <v>CHECK</v>
      </c>
      <c r="T84" s="41" t="str">
        <f t="shared" si="4"/>
        <v>CHECK</v>
      </c>
      <c r="U84" s="41"/>
      <c r="V84" s="41"/>
    </row>
    <row r="85" spans="1:22" x14ac:dyDescent="0.25">
      <c r="A85" s="11" t="s">
        <v>70</v>
      </c>
      <c r="B85" s="11" t="s">
        <v>941</v>
      </c>
      <c r="C85" s="11"/>
      <c r="D85" s="11" t="s">
        <v>942</v>
      </c>
      <c r="E85" s="41" t="str">
        <f t="shared" ref="E85:T85" si="5">IFERROR(((E15/E62)-1),"CHECK")</f>
        <v>CHECK</v>
      </c>
      <c r="F85" s="41" t="str">
        <f t="shared" si="5"/>
        <v>CHECK</v>
      </c>
      <c r="G85" s="41" t="str">
        <f t="shared" si="5"/>
        <v>CHECK</v>
      </c>
      <c r="H85" s="41" t="str">
        <f t="shared" si="5"/>
        <v>CHECK</v>
      </c>
      <c r="I85" s="41" t="str">
        <f t="shared" si="5"/>
        <v>CHECK</v>
      </c>
      <c r="J85" s="41" t="str">
        <f t="shared" si="5"/>
        <v>CHECK</v>
      </c>
      <c r="K85" s="41" t="str">
        <f t="shared" si="5"/>
        <v>CHECK</v>
      </c>
      <c r="L85" s="41" t="str">
        <f t="shared" si="5"/>
        <v>CHECK</v>
      </c>
      <c r="M85" s="41" t="str">
        <f t="shared" si="5"/>
        <v>CHECK</v>
      </c>
      <c r="N85" s="41" t="str">
        <f t="shared" si="5"/>
        <v>CHECK</v>
      </c>
      <c r="O85" s="41" t="str">
        <f t="shared" si="5"/>
        <v>CHECK</v>
      </c>
      <c r="P85" s="41" t="str">
        <f t="shared" si="5"/>
        <v>CHECK</v>
      </c>
      <c r="Q85" s="41" t="str">
        <f t="shared" si="5"/>
        <v>CHECK</v>
      </c>
      <c r="R85" s="41" t="str">
        <f t="shared" si="5"/>
        <v>CHECK</v>
      </c>
      <c r="S85" s="41" t="str">
        <f t="shared" si="5"/>
        <v>CHECK</v>
      </c>
      <c r="T85" s="41" t="str">
        <f t="shared" si="5"/>
        <v>CHECK</v>
      </c>
      <c r="U85" s="41"/>
      <c r="V85" s="41"/>
    </row>
    <row r="86" spans="1:22" x14ac:dyDescent="0.25">
      <c r="A86" s="11" t="s">
        <v>70</v>
      </c>
      <c r="B86" s="11" t="s">
        <v>943</v>
      </c>
      <c r="C86" s="11"/>
      <c r="D86" s="11" t="s">
        <v>944</v>
      </c>
      <c r="E86" s="41" t="str">
        <f t="shared" ref="E86:T86" si="6">IFERROR(((E16/E63)-1),"CHECK")</f>
        <v>CHECK</v>
      </c>
      <c r="F86" s="41" t="str">
        <f t="shared" si="6"/>
        <v>CHECK</v>
      </c>
      <c r="G86" s="41" t="str">
        <f t="shared" si="6"/>
        <v>CHECK</v>
      </c>
      <c r="H86" s="41" t="str">
        <f t="shared" si="6"/>
        <v>CHECK</v>
      </c>
      <c r="I86" s="41" t="str">
        <f t="shared" si="6"/>
        <v>CHECK</v>
      </c>
      <c r="J86" s="41" t="str">
        <f t="shared" si="6"/>
        <v>CHECK</v>
      </c>
      <c r="K86" s="41" t="str">
        <f t="shared" si="6"/>
        <v>CHECK</v>
      </c>
      <c r="L86" s="41" t="str">
        <f t="shared" si="6"/>
        <v>CHECK</v>
      </c>
      <c r="M86" s="41" t="str">
        <f t="shared" si="6"/>
        <v>CHECK</v>
      </c>
      <c r="N86" s="41" t="str">
        <f t="shared" si="6"/>
        <v>CHECK</v>
      </c>
      <c r="O86" s="41" t="str">
        <f t="shared" si="6"/>
        <v>CHECK</v>
      </c>
      <c r="P86" s="41" t="str">
        <f t="shared" si="6"/>
        <v>CHECK</v>
      </c>
      <c r="Q86" s="41" t="str">
        <f t="shared" si="6"/>
        <v>CHECK</v>
      </c>
      <c r="R86" s="41" t="str">
        <f t="shared" si="6"/>
        <v>CHECK</v>
      </c>
      <c r="S86" s="41" t="str">
        <f t="shared" si="6"/>
        <v>CHECK</v>
      </c>
      <c r="T86" s="41" t="str">
        <f t="shared" si="6"/>
        <v>CHECK</v>
      </c>
      <c r="U86" s="41"/>
      <c r="V86" s="41"/>
    </row>
    <row r="87" spans="1:22" x14ac:dyDescent="0.25">
      <c r="A87" s="11" t="s">
        <v>70</v>
      </c>
      <c r="B87" s="11" t="s">
        <v>945</v>
      </c>
      <c r="C87" s="11" t="s">
        <v>836</v>
      </c>
      <c r="D87" s="11" t="s">
        <v>946</v>
      </c>
      <c r="E87" s="41">
        <f t="shared" ref="E87:T87" si="7">IFERROR(((E17/E64)-1),"CHECK")</f>
        <v>0</v>
      </c>
      <c r="F87" s="41">
        <f t="shared" si="7"/>
        <v>0</v>
      </c>
      <c r="G87" s="41">
        <f t="shared" si="7"/>
        <v>0</v>
      </c>
      <c r="H87" s="41">
        <f t="shared" si="7"/>
        <v>0</v>
      </c>
      <c r="I87" s="41">
        <f t="shared" si="7"/>
        <v>0</v>
      </c>
      <c r="J87" s="41">
        <f t="shared" si="7"/>
        <v>0</v>
      </c>
      <c r="K87" s="41">
        <f t="shared" si="7"/>
        <v>0</v>
      </c>
      <c r="L87" s="41">
        <f t="shared" si="7"/>
        <v>0</v>
      </c>
      <c r="M87" s="41">
        <f t="shared" si="7"/>
        <v>0</v>
      </c>
      <c r="N87" s="41">
        <f t="shared" si="7"/>
        <v>0</v>
      </c>
      <c r="O87" s="41">
        <f t="shared" si="7"/>
        <v>0</v>
      </c>
      <c r="P87" s="41">
        <f t="shared" si="7"/>
        <v>0</v>
      </c>
      <c r="Q87" s="41">
        <f t="shared" si="7"/>
        <v>0</v>
      </c>
      <c r="R87" s="41">
        <f t="shared" si="7"/>
        <v>0</v>
      </c>
      <c r="S87" s="41">
        <f t="shared" si="7"/>
        <v>0</v>
      </c>
      <c r="T87" s="41">
        <f t="shared" si="7"/>
        <v>0</v>
      </c>
      <c r="U87" s="41"/>
      <c r="V87" s="41"/>
    </row>
    <row r="88" spans="1:22" x14ac:dyDescent="0.25">
      <c r="A88" s="11" t="s">
        <v>70</v>
      </c>
      <c r="B88" s="11" t="s">
        <v>947</v>
      </c>
      <c r="C88" s="11"/>
      <c r="D88" s="11" t="s">
        <v>948</v>
      </c>
      <c r="E88" s="41" t="str">
        <f t="shared" ref="E88:T88" si="8">IFERROR(((E18/E65)-1),"CHECK")</f>
        <v>CHECK</v>
      </c>
      <c r="F88" s="41" t="str">
        <f t="shared" si="8"/>
        <v>CHECK</v>
      </c>
      <c r="G88" s="41" t="str">
        <f t="shared" si="8"/>
        <v>CHECK</v>
      </c>
      <c r="H88" s="41" t="str">
        <f t="shared" si="8"/>
        <v>CHECK</v>
      </c>
      <c r="I88" s="41" t="str">
        <f t="shared" si="8"/>
        <v>CHECK</v>
      </c>
      <c r="J88" s="41" t="str">
        <f t="shared" si="8"/>
        <v>CHECK</v>
      </c>
      <c r="K88" s="41" t="str">
        <f t="shared" si="8"/>
        <v>CHECK</v>
      </c>
      <c r="L88" s="41" t="str">
        <f t="shared" si="8"/>
        <v>CHECK</v>
      </c>
      <c r="M88" s="41" t="str">
        <f t="shared" si="8"/>
        <v>CHECK</v>
      </c>
      <c r="N88" s="41" t="str">
        <f t="shared" si="8"/>
        <v>CHECK</v>
      </c>
      <c r="O88" s="41" t="str">
        <f t="shared" si="8"/>
        <v>CHECK</v>
      </c>
      <c r="P88" s="41" t="str">
        <f t="shared" si="8"/>
        <v>CHECK</v>
      </c>
      <c r="Q88" s="41" t="str">
        <f t="shared" si="8"/>
        <v>CHECK</v>
      </c>
      <c r="R88" s="41" t="str">
        <f t="shared" si="8"/>
        <v>CHECK</v>
      </c>
      <c r="S88" s="41" t="str">
        <f t="shared" si="8"/>
        <v>CHECK</v>
      </c>
      <c r="T88" s="41" t="str">
        <f t="shared" si="8"/>
        <v>CHECK</v>
      </c>
      <c r="U88" s="41"/>
      <c r="V88" s="41"/>
    </row>
    <row r="89" spans="1:22" x14ac:dyDescent="0.25">
      <c r="A89" s="11" t="s">
        <v>70</v>
      </c>
      <c r="B89" s="11" t="s">
        <v>949</v>
      </c>
      <c r="C89" s="11" t="s">
        <v>836</v>
      </c>
      <c r="D89" s="11" t="s">
        <v>946</v>
      </c>
      <c r="E89" s="41" t="str">
        <f t="shared" ref="E89:T89" si="9">IFERROR(((E19/E66)-1),"CHECK")</f>
        <v>CHECK</v>
      </c>
      <c r="F89" s="41" t="str">
        <f t="shared" si="9"/>
        <v>CHECK</v>
      </c>
      <c r="G89" s="41" t="str">
        <f t="shared" si="9"/>
        <v>CHECK</v>
      </c>
      <c r="H89" s="41" t="str">
        <f t="shared" si="9"/>
        <v>CHECK</v>
      </c>
      <c r="I89" s="41" t="str">
        <f t="shared" si="9"/>
        <v>CHECK</v>
      </c>
      <c r="J89" s="41" t="str">
        <f t="shared" si="9"/>
        <v>CHECK</v>
      </c>
      <c r="K89" s="41" t="str">
        <f t="shared" si="9"/>
        <v>CHECK</v>
      </c>
      <c r="L89" s="41" t="str">
        <f t="shared" si="9"/>
        <v>CHECK</v>
      </c>
      <c r="M89" s="41" t="str">
        <f t="shared" si="9"/>
        <v>CHECK</v>
      </c>
      <c r="N89" s="41" t="str">
        <f t="shared" si="9"/>
        <v>CHECK</v>
      </c>
      <c r="O89" s="41" t="str">
        <f t="shared" si="9"/>
        <v>CHECK</v>
      </c>
      <c r="P89" s="41" t="str">
        <f t="shared" si="9"/>
        <v>CHECK</v>
      </c>
      <c r="Q89" s="41" t="str">
        <f t="shared" si="9"/>
        <v>CHECK</v>
      </c>
      <c r="R89" s="41" t="str">
        <f t="shared" si="9"/>
        <v>CHECK</v>
      </c>
      <c r="S89" s="41" t="str">
        <f t="shared" si="9"/>
        <v>CHECK</v>
      </c>
      <c r="T89" s="41" t="str">
        <f t="shared" si="9"/>
        <v>CHECK</v>
      </c>
      <c r="U89" s="41"/>
      <c r="V89" s="41"/>
    </row>
    <row r="92" spans="1:22" x14ac:dyDescent="0.25">
      <c r="A92" s="8"/>
      <c r="B92" s="9" t="s">
        <v>877</v>
      </c>
      <c r="C92" s="8"/>
      <c r="D92" s="8"/>
      <c r="E92" s="8"/>
      <c r="F92" s="8"/>
      <c r="G92" s="8"/>
      <c r="H92" s="8"/>
      <c r="I92" s="8"/>
      <c r="J92" s="8"/>
      <c r="K92" s="8"/>
      <c r="L92" s="8"/>
      <c r="M92" s="8"/>
      <c r="N92" s="8"/>
      <c r="O92" s="8"/>
      <c r="P92" s="8"/>
      <c r="Q92" s="8"/>
      <c r="R92" s="8"/>
      <c r="S92" s="8"/>
      <c r="T92" s="8"/>
      <c r="U92" s="8"/>
      <c r="V92" s="8"/>
    </row>
    <row r="94" spans="1:22" x14ac:dyDescent="0.25">
      <c r="A94" s="11" t="s">
        <v>70</v>
      </c>
      <c r="B94" s="11" t="s">
        <v>952</v>
      </c>
      <c r="C94" s="11"/>
      <c r="D94" s="11" t="s">
        <v>872</v>
      </c>
      <c r="E94" s="41" t="str">
        <f t="shared" ref="E94:T94" si="10">IFERROR(((E23/E70)-1),"CHECK")</f>
        <v>CHECK</v>
      </c>
      <c r="F94" s="41" t="str">
        <f t="shared" si="10"/>
        <v>CHECK</v>
      </c>
      <c r="G94" s="41" t="str">
        <f t="shared" si="10"/>
        <v>CHECK</v>
      </c>
      <c r="H94" s="41" t="str">
        <f t="shared" si="10"/>
        <v>CHECK</v>
      </c>
      <c r="I94" s="41" t="str">
        <f t="shared" si="10"/>
        <v>CHECK</v>
      </c>
      <c r="J94" s="41" t="str">
        <f t="shared" si="10"/>
        <v>CHECK</v>
      </c>
      <c r="K94" s="41" t="str">
        <f t="shared" si="10"/>
        <v>CHECK</v>
      </c>
      <c r="L94" s="41" t="str">
        <f t="shared" si="10"/>
        <v>CHECK</v>
      </c>
      <c r="M94" s="41" t="str">
        <f t="shared" si="10"/>
        <v>CHECK</v>
      </c>
      <c r="N94" s="41" t="str">
        <f t="shared" si="10"/>
        <v>CHECK</v>
      </c>
      <c r="O94" s="41" t="str">
        <f t="shared" si="10"/>
        <v>CHECK</v>
      </c>
      <c r="P94" s="41" t="str">
        <f t="shared" si="10"/>
        <v>CHECK</v>
      </c>
      <c r="Q94" s="41" t="str">
        <f t="shared" si="10"/>
        <v>CHECK</v>
      </c>
      <c r="R94" s="41" t="str">
        <f t="shared" si="10"/>
        <v>CHECK</v>
      </c>
      <c r="S94" s="41" t="str">
        <f t="shared" si="10"/>
        <v>CHECK</v>
      </c>
      <c r="T94" s="41" t="str">
        <f t="shared" si="10"/>
        <v>CHECK</v>
      </c>
      <c r="U94" s="41"/>
      <c r="V94" s="41"/>
    </row>
    <row r="96" spans="1:22" x14ac:dyDescent="0.25">
      <c r="A96" s="8"/>
      <c r="B96" s="9" t="s">
        <v>619</v>
      </c>
      <c r="C96" s="8"/>
      <c r="D96" s="8"/>
      <c r="E96" s="8"/>
      <c r="F96" s="8"/>
      <c r="G96" s="8"/>
      <c r="H96" s="8"/>
      <c r="I96" s="8"/>
      <c r="J96" s="8"/>
      <c r="K96" s="8"/>
      <c r="L96" s="8"/>
      <c r="M96" s="8"/>
      <c r="N96" s="8"/>
      <c r="O96" s="8"/>
      <c r="P96" s="8"/>
      <c r="Q96" s="8"/>
      <c r="R96" s="8"/>
      <c r="S96" s="8"/>
      <c r="T96" s="8"/>
      <c r="U96" s="8"/>
      <c r="V96" s="8"/>
    </row>
    <row r="98" spans="1:22" x14ac:dyDescent="0.25">
      <c r="A98" s="11" t="s">
        <v>70</v>
      </c>
      <c r="B98" s="11" t="s">
        <v>953</v>
      </c>
      <c r="C98" s="11" t="s">
        <v>836</v>
      </c>
      <c r="D98" s="11" t="s">
        <v>946</v>
      </c>
      <c r="E98" s="41">
        <f t="shared" ref="E98:T98" si="11">IFERROR(((E27/E74)-1),"CHECK")</f>
        <v>0</v>
      </c>
      <c r="F98" s="41">
        <f t="shared" si="11"/>
        <v>0</v>
      </c>
      <c r="G98" s="41">
        <f t="shared" si="11"/>
        <v>0</v>
      </c>
      <c r="H98" s="41">
        <f t="shared" si="11"/>
        <v>0</v>
      </c>
      <c r="I98" s="41">
        <f t="shared" si="11"/>
        <v>0</v>
      </c>
      <c r="J98" s="41">
        <f t="shared" si="11"/>
        <v>0</v>
      </c>
      <c r="K98" s="41">
        <f t="shared" si="11"/>
        <v>0</v>
      </c>
      <c r="L98" s="41">
        <f t="shared" si="11"/>
        <v>0</v>
      </c>
      <c r="M98" s="41">
        <f t="shared" si="11"/>
        <v>0</v>
      </c>
      <c r="N98" s="41">
        <f t="shared" si="11"/>
        <v>0</v>
      </c>
      <c r="O98" s="41">
        <f t="shared" si="11"/>
        <v>0</v>
      </c>
      <c r="P98" s="41">
        <f t="shared" si="11"/>
        <v>0</v>
      </c>
      <c r="Q98" s="41">
        <f t="shared" si="11"/>
        <v>0</v>
      </c>
      <c r="R98" s="41">
        <f t="shared" si="11"/>
        <v>0</v>
      </c>
      <c r="S98" s="41">
        <f t="shared" si="11"/>
        <v>0</v>
      </c>
      <c r="T98" s="41">
        <f t="shared" si="11"/>
        <v>0</v>
      </c>
      <c r="U98" s="41"/>
      <c r="V98" s="41"/>
    </row>
    <row r="99" spans="1:22" x14ac:dyDescent="0.25">
      <c r="A99" s="11" t="s">
        <v>70</v>
      </c>
      <c r="B99" s="11" t="s">
        <v>953</v>
      </c>
      <c r="C99" s="11" t="s">
        <v>836</v>
      </c>
      <c r="D99" s="11" t="s">
        <v>884</v>
      </c>
      <c r="E99" s="41">
        <f t="shared" ref="E99:T99" si="12">IFERROR(((E28/E75)-1),"CHECK")</f>
        <v>0</v>
      </c>
      <c r="F99" s="41">
        <f t="shared" si="12"/>
        <v>0</v>
      </c>
      <c r="G99" s="41">
        <f t="shared" si="12"/>
        <v>0</v>
      </c>
      <c r="H99" s="41">
        <f t="shared" si="12"/>
        <v>0</v>
      </c>
      <c r="I99" s="41">
        <f t="shared" si="12"/>
        <v>0</v>
      </c>
      <c r="J99" s="41">
        <f t="shared" si="12"/>
        <v>0</v>
      </c>
      <c r="K99" s="41">
        <f t="shared" si="12"/>
        <v>0</v>
      </c>
      <c r="L99" s="41">
        <f t="shared" si="12"/>
        <v>0</v>
      </c>
      <c r="M99" s="41">
        <f t="shared" si="12"/>
        <v>0</v>
      </c>
      <c r="N99" s="41">
        <f t="shared" si="12"/>
        <v>0</v>
      </c>
      <c r="O99" s="41">
        <f t="shared" si="12"/>
        <v>0</v>
      </c>
      <c r="P99" s="41">
        <f t="shared" si="12"/>
        <v>0</v>
      </c>
      <c r="Q99" s="41">
        <f t="shared" si="12"/>
        <v>0</v>
      </c>
      <c r="R99" s="41">
        <f t="shared" si="12"/>
        <v>0</v>
      </c>
      <c r="S99" s="41">
        <f t="shared" si="12"/>
        <v>0</v>
      </c>
      <c r="T99" s="41">
        <f t="shared" si="12"/>
        <v>0</v>
      </c>
      <c r="U99" s="41"/>
      <c r="V99" s="41"/>
    </row>
    <row r="100" spans="1:22" x14ac:dyDescent="0.25">
      <c r="A100" s="11" t="s">
        <v>70</v>
      </c>
      <c r="B100" s="11" t="s">
        <v>954</v>
      </c>
      <c r="C100" s="11" t="s">
        <v>486</v>
      </c>
      <c r="D100" s="11" t="s">
        <v>924</v>
      </c>
      <c r="E100" s="41">
        <f t="shared" ref="E100:T100" si="13">IFERROR(((E29/E76)-1),"CHECK")</f>
        <v>0</v>
      </c>
      <c r="F100" s="41">
        <f t="shared" si="13"/>
        <v>0</v>
      </c>
      <c r="G100" s="41">
        <f t="shared" si="13"/>
        <v>0</v>
      </c>
      <c r="H100" s="41">
        <f t="shared" si="13"/>
        <v>0</v>
      </c>
      <c r="I100" s="41">
        <f t="shared" si="13"/>
        <v>0</v>
      </c>
      <c r="J100" s="41">
        <f t="shared" si="13"/>
        <v>0</v>
      </c>
      <c r="K100" s="41">
        <f t="shared" si="13"/>
        <v>0</v>
      </c>
      <c r="L100" s="41">
        <f t="shared" si="13"/>
        <v>0</v>
      </c>
      <c r="M100" s="41">
        <f t="shared" si="13"/>
        <v>0</v>
      </c>
      <c r="N100" s="41">
        <f t="shared" si="13"/>
        <v>0</v>
      </c>
      <c r="O100" s="41">
        <f t="shared" si="13"/>
        <v>0</v>
      </c>
      <c r="P100" s="41">
        <f t="shared" si="13"/>
        <v>0</v>
      </c>
      <c r="Q100" s="41">
        <f t="shared" si="13"/>
        <v>0</v>
      </c>
      <c r="R100" s="41">
        <f t="shared" si="13"/>
        <v>0</v>
      </c>
      <c r="S100" s="41">
        <f t="shared" si="13"/>
        <v>0</v>
      </c>
      <c r="T100" s="41">
        <f t="shared" si="13"/>
        <v>0</v>
      </c>
      <c r="U100" s="41"/>
      <c r="V100" s="41"/>
    </row>
    <row r="101" spans="1:22" x14ac:dyDescent="0.25">
      <c r="A101" s="11" t="s">
        <v>70</v>
      </c>
      <c r="B101" s="11" t="s">
        <v>954</v>
      </c>
      <c r="C101" s="11" t="s">
        <v>956</v>
      </c>
      <c r="D101" s="11" t="s">
        <v>955</v>
      </c>
      <c r="E101" s="41">
        <f t="shared" ref="E101:T101" si="14">IFERROR(((E30/E77)-1),"CHECK")</f>
        <v>0</v>
      </c>
      <c r="F101" s="41">
        <f t="shared" si="14"/>
        <v>0</v>
      </c>
      <c r="G101" s="41">
        <f t="shared" si="14"/>
        <v>0</v>
      </c>
      <c r="H101" s="41">
        <f t="shared" si="14"/>
        <v>0</v>
      </c>
      <c r="I101" s="41">
        <f t="shared" si="14"/>
        <v>0</v>
      </c>
      <c r="J101" s="41">
        <f t="shared" si="14"/>
        <v>0</v>
      </c>
      <c r="K101" s="41">
        <f t="shared" si="14"/>
        <v>0</v>
      </c>
      <c r="L101" s="41">
        <f t="shared" si="14"/>
        <v>0</v>
      </c>
      <c r="M101" s="41">
        <f t="shared" si="14"/>
        <v>0</v>
      </c>
      <c r="N101" s="41">
        <f t="shared" si="14"/>
        <v>0</v>
      </c>
      <c r="O101" s="41">
        <f t="shared" si="14"/>
        <v>0</v>
      </c>
      <c r="P101" s="41">
        <f t="shared" si="14"/>
        <v>0</v>
      </c>
      <c r="Q101" s="41">
        <f t="shared" si="14"/>
        <v>0</v>
      </c>
      <c r="R101" s="41">
        <f t="shared" si="14"/>
        <v>0</v>
      </c>
      <c r="S101" s="41">
        <f t="shared" si="14"/>
        <v>0</v>
      </c>
      <c r="T101" s="41">
        <f t="shared" si="14"/>
        <v>0</v>
      </c>
      <c r="U101" s="41"/>
      <c r="V101" s="41"/>
    </row>
    <row r="102" spans="1:22" x14ac:dyDescent="0.25">
      <c r="A102" s="11" t="s">
        <v>70</v>
      </c>
      <c r="B102" s="11" t="s">
        <v>835</v>
      </c>
      <c r="C102" s="11" t="s">
        <v>956</v>
      </c>
      <c r="D102" s="11" t="s">
        <v>955</v>
      </c>
      <c r="E102" s="41">
        <f t="shared" ref="E102:T102" si="15">IFERROR(((E31/E78)-1),"CHECK")</f>
        <v>0</v>
      </c>
      <c r="F102" s="41">
        <f t="shared" si="15"/>
        <v>0</v>
      </c>
      <c r="G102" s="41">
        <f t="shared" si="15"/>
        <v>0</v>
      </c>
      <c r="H102" s="41">
        <f t="shared" si="15"/>
        <v>0</v>
      </c>
      <c r="I102" s="41">
        <f t="shared" si="15"/>
        <v>0</v>
      </c>
      <c r="J102" s="41">
        <f t="shared" si="15"/>
        <v>0</v>
      </c>
      <c r="K102" s="41">
        <f t="shared" si="15"/>
        <v>0</v>
      </c>
      <c r="L102" s="41">
        <f t="shared" si="15"/>
        <v>0</v>
      </c>
      <c r="M102" s="41">
        <f t="shared" si="15"/>
        <v>0</v>
      </c>
      <c r="N102" s="41">
        <f t="shared" si="15"/>
        <v>0</v>
      </c>
      <c r="O102" s="41">
        <f t="shared" si="15"/>
        <v>0</v>
      </c>
      <c r="P102" s="41">
        <f t="shared" si="15"/>
        <v>0</v>
      </c>
      <c r="Q102" s="41">
        <f t="shared" si="15"/>
        <v>0</v>
      </c>
      <c r="R102" s="41">
        <f t="shared" si="15"/>
        <v>0</v>
      </c>
      <c r="S102" s="41">
        <f t="shared" si="15"/>
        <v>0</v>
      </c>
      <c r="T102" s="41">
        <f t="shared" si="15"/>
        <v>0</v>
      </c>
      <c r="U102" s="41"/>
      <c r="V102" s="41"/>
    </row>
    <row r="103" spans="1:22" x14ac:dyDescent="0.25">
      <c r="B103" s="14"/>
    </row>
    <row r="104" spans="1:22" x14ac:dyDescent="0.25">
      <c r="B104" s="14"/>
    </row>
    <row r="105" spans="1:22" x14ac:dyDescent="0.25">
      <c r="B105" s="14"/>
    </row>
    <row r="106" spans="1:22" x14ac:dyDescent="0.25">
      <c r="B106" s="14"/>
    </row>
    <row r="107" spans="1:22" x14ac:dyDescent="0.25">
      <c r="B107" s="14"/>
    </row>
    <row r="108" spans="1:22" x14ac:dyDescent="0.25">
      <c r="B108" s="14"/>
    </row>
  </sheetData>
  <mergeCells count="2">
    <mergeCell ref="C1:J1"/>
    <mergeCell ref="C2:J2"/>
  </mergeCells>
  <conditionalFormatting sqref="K2">
    <cfRule type="expression" dxfId="31" priority="1">
      <formula>(UPPER(LEFT(SUBSTITUTE($Z2,"#",""),5))="FIXCH")</formula>
    </cfRule>
    <cfRule type="expression" dxfId="30" priority="2">
      <formula>(UPPER(SUBSTITUTE($Z2,"#",""))="OK")</formula>
    </cfRule>
  </conditionalFormatting>
  <conditionalFormatting sqref="E84:V89 E94:V94 E98:V102">
    <cfRule type="colorScale" priority="3">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5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displayEmptyCellsAs="gap" xr2:uid="{00000000-0003-0000-1500-000028000000}">
          <x14:colorSeries rgb="FF376092"/>
          <x14:colorNegative rgb="FFD00000"/>
          <x14:colorAxis rgb="FF000000"/>
          <x14:colorMarkers rgb="FFD00000"/>
          <x14:colorFirst rgb="FFD00000"/>
          <x14:colorLast rgb="FFD00000"/>
          <x14:colorHigh rgb="FFD00000"/>
          <x14:colorLow rgb="FFD00000"/>
          <x14:sparklines>
            <x14:sparkline>
              <xm:f>'2B1 Ammonia Production'!E23:V23</xm:f>
              <xm:sqref>W23</xm:sqref>
            </x14:sparkline>
          </x14:sparklines>
        </x14:sparklineGroup>
        <x14:sparklineGroup manualMax="0" manualMin="0" displayEmptyCellsAs="gap" xr2:uid="{00000000-0003-0000-1500-000027000000}">
          <x14:colorSeries rgb="FF376092"/>
          <x14:colorNegative rgb="FFD00000"/>
          <x14:colorAxis rgb="FF000000"/>
          <x14:colorMarkers rgb="FFD00000"/>
          <x14:colorFirst rgb="FFD00000"/>
          <x14:colorLast rgb="FFD00000"/>
          <x14:colorHigh rgb="FFD00000"/>
          <x14:colorLow rgb="FFD00000"/>
          <x14:sparklines>
            <x14:sparkline>
              <xm:f>'2B1 Ammonia Production'!E27:V27</xm:f>
              <xm:sqref>W27</xm:sqref>
            </x14:sparkline>
            <x14:sparkline>
              <xm:f>'2B1 Ammonia Production'!E28:V28</xm:f>
              <xm:sqref>W28</xm:sqref>
            </x14:sparkline>
            <x14:sparkline>
              <xm:f>'2B1 Ammonia Production'!E29:V29</xm:f>
              <xm:sqref>W29</xm:sqref>
            </x14:sparkline>
            <x14:sparkline>
              <xm:f>'2B1 Ammonia Production'!E30:V30</xm:f>
              <xm:sqref>W30</xm:sqref>
            </x14:sparkline>
            <x14:sparkline>
              <xm:f>'2B1 Ammonia Production'!E31:V31</xm:f>
              <xm:sqref>W31</xm:sqref>
            </x14:sparkline>
          </x14:sparklines>
        </x14:sparklineGroup>
        <x14:sparklineGroup manualMax="0" manualMin="0" displayEmptyCellsAs="gap" xr2:uid="{00000000-0003-0000-1500-000026000000}">
          <x14:colorSeries rgb="FF376092"/>
          <x14:colorNegative rgb="FFD00000"/>
          <x14:colorAxis rgb="FF000000"/>
          <x14:colorMarkers rgb="FFD00000"/>
          <x14:colorFirst rgb="FFD00000"/>
          <x14:colorLast rgb="FFD00000"/>
          <x14:colorHigh rgb="FFD00000"/>
          <x14:colorLow rgb="FFD00000"/>
          <x14:sparklines>
            <x14:sparkline>
              <xm:f>'2B1 Ammonia Production'!E14:V14</xm:f>
              <xm:sqref>W14</xm:sqref>
            </x14:sparkline>
            <x14:sparkline>
              <xm:f>'2B1 Ammonia Production'!E15:V15</xm:f>
              <xm:sqref>W15</xm:sqref>
            </x14:sparkline>
            <x14:sparkline>
              <xm:f>'2B1 Ammonia Production'!E16:V16</xm:f>
              <xm:sqref>W16</xm:sqref>
            </x14:sparkline>
            <x14:sparkline>
              <xm:f>'2B1 Ammonia Production'!E17:V17</xm:f>
              <xm:sqref>W17</xm:sqref>
            </x14:sparkline>
            <x14:sparkline>
              <xm:f>'2B1 Ammonia Production'!E18:V18</xm:f>
              <xm:sqref>W18</xm:sqref>
            </x14:sparkline>
            <x14:sparkline>
              <xm:f>'2B1 Ammonia Production'!E19:V19</xm:f>
              <xm:sqref>W19</xm:sqref>
            </x14:sparkline>
          </x14:sparklines>
        </x14:sparklineGroup>
      </x14:sparklineGroup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theme="3" tint="0.79998168889431442"/>
  </sheetPr>
  <dimension ref="A1:Y103"/>
  <sheetViews>
    <sheetView workbookViewId="0">
      <selection activeCell="E67" sqref="E67"/>
    </sheetView>
  </sheetViews>
  <sheetFormatPr defaultRowHeight="15" x14ac:dyDescent="0.25"/>
  <cols>
    <col min="1" max="1" width="24.85546875" bestFit="1"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3" x14ac:dyDescent="0.25">
      <c r="A1" s="15" t="s">
        <v>855</v>
      </c>
      <c r="B1" s="4" t="str">
        <f ca="1">MID(CELL("filename",A1),FIND("]",CELL("filename",A1))+1,256)</f>
        <v>2B2 Nitric Acid Production</v>
      </c>
      <c r="C1" s="261" t="s">
        <v>856</v>
      </c>
      <c r="D1" s="262"/>
      <c r="E1" s="262"/>
      <c r="F1" s="262"/>
      <c r="G1" s="262"/>
      <c r="H1" s="262"/>
      <c r="I1" s="262"/>
      <c r="J1" s="263"/>
      <c r="K1" s="14"/>
    </row>
    <row r="2" spans="1:23" ht="49.5" customHeight="1" x14ac:dyDescent="0.25">
      <c r="A2" s="15" t="s">
        <v>736</v>
      </c>
      <c r="B2" s="33" t="s">
        <v>857</v>
      </c>
      <c r="C2" s="264"/>
      <c r="D2" s="265"/>
      <c r="E2" s="265"/>
      <c r="F2" s="265"/>
      <c r="G2" s="265"/>
      <c r="H2" s="265"/>
      <c r="I2" s="265"/>
      <c r="J2" s="266"/>
      <c r="K2" s="14"/>
    </row>
    <row r="3" spans="1:23" x14ac:dyDescent="0.25">
      <c r="A3" s="15" t="s">
        <v>858</v>
      </c>
      <c r="B3" s="33" t="s">
        <v>859</v>
      </c>
      <c r="C3" s="16"/>
      <c r="D3" s="17"/>
      <c r="E3" s="17"/>
      <c r="F3" s="17"/>
      <c r="G3" s="17"/>
      <c r="H3" s="17"/>
      <c r="I3" s="17"/>
      <c r="J3" s="18"/>
    </row>
    <row r="4" spans="1:23" x14ac:dyDescent="0.25">
      <c r="A4" s="15" t="s">
        <v>860</v>
      </c>
      <c r="B4" s="33" t="s">
        <v>488</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939</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s="5" customFormat="1" ht="21" x14ac:dyDescent="0.35">
      <c r="B11" s="6" t="s">
        <v>865</v>
      </c>
      <c r="E11" s="5" t="s">
        <v>866</v>
      </c>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x14ac:dyDescent="0.25">
      <c r="A14" t="s">
        <v>74</v>
      </c>
      <c r="B14" t="s">
        <v>957</v>
      </c>
      <c r="D14" t="s">
        <v>892</v>
      </c>
      <c r="E14" s="114"/>
      <c r="F14" s="114"/>
      <c r="G14" s="114"/>
      <c r="H14" s="114"/>
      <c r="I14" s="114"/>
      <c r="J14" s="114"/>
      <c r="K14" s="114"/>
      <c r="L14" s="114"/>
      <c r="M14" s="114"/>
      <c r="N14" s="114"/>
      <c r="O14" s="114"/>
      <c r="P14" s="114"/>
      <c r="Q14" s="114"/>
      <c r="R14" s="114"/>
      <c r="S14" s="114"/>
      <c r="T14" s="114"/>
      <c r="U14" s="114"/>
      <c r="V14" s="114"/>
    </row>
    <row r="15" spans="1:23" x14ac:dyDescent="0.25">
      <c r="A15" t="s">
        <v>74</v>
      </c>
      <c r="B15" t="s">
        <v>958</v>
      </c>
      <c r="D15" t="s">
        <v>892</v>
      </c>
      <c r="E15" s="114"/>
      <c r="F15" s="114"/>
      <c r="G15" s="114"/>
      <c r="H15" s="114"/>
      <c r="I15" s="114"/>
      <c r="J15" s="114"/>
      <c r="K15" s="114"/>
      <c r="L15" s="114"/>
      <c r="M15" s="114"/>
      <c r="N15" s="114"/>
      <c r="O15" s="114"/>
      <c r="P15" s="114"/>
      <c r="Q15" s="114"/>
      <c r="R15" s="114"/>
      <c r="S15" s="114"/>
      <c r="T15" s="114"/>
      <c r="U15" s="114"/>
      <c r="V15" s="114"/>
    </row>
    <row r="17" spans="1:25" s="5" customFormat="1" ht="21" x14ac:dyDescent="0.35">
      <c r="B17" s="6" t="s">
        <v>950</v>
      </c>
      <c r="E17" s="5" t="s">
        <v>951</v>
      </c>
    </row>
    <row r="19" spans="1:25" x14ac:dyDescent="0.25">
      <c r="A19" t="s">
        <v>74</v>
      </c>
      <c r="B19" t="s">
        <v>959</v>
      </c>
      <c r="C19" t="s">
        <v>488</v>
      </c>
      <c r="D19" t="s">
        <v>960</v>
      </c>
      <c r="E19" s="205"/>
      <c r="F19" s="205"/>
      <c r="G19" s="205"/>
      <c r="H19" s="205"/>
      <c r="I19" s="205"/>
      <c r="J19" s="205"/>
      <c r="K19" s="205"/>
      <c r="L19" s="205"/>
      <c r="M19" s="205"/>
      <c r="N19" s="205"/>
      <c r="O19" s="205"/>
      <c r="P19" s="205"/>
      <c r="Q19" s="205"/>
      <c r="R19" s="205"/>
      <c r="S19" s="205"/>
      <c r="T19" s="205"/>
      <c r="U19" s="205"/>
      <c r="V19" s="205"/>
    </row>
    <row r="20" spans="1:25" x14ac:dyDescent="0.25">
      <c r="A20" t="s">
        <v>74</v>
      </c>
      <c r="B20" t="s">
        <v>961</v>
      </c>
      <c r="C20" t="s">
        <v>488</v>
      </c>
      <c r="D20" t="s">
        <v>960</v>
      </c>
      <c r="E20" s="205"/>
      <c r="F20" s="205"/>
      <c r="G20" s="205"/>
      <c r="H20" s="205"/>
      <c r="I20" s="205"/>
      <c r="J20" s="205"/>
      <c r="K20" s="205"/>
      <c r="L20" s="205"/>
      <c r="M20" s="205"/>
      <c r="N20" s="205"/>
      <c r="O20" s="205"/>
      <c r="P20" s="205"/>
      <c r="Q20" s="205"/>
      <c r="R20" s="205"/>
      <c r="S20" s="205"/>
      <c r="T20" s="205"/>
      <c r="U20" s="205"/>
      <c r="V20" s="205"/>
    </row>
    <row r="22" spans="1:25" s="5" customFormat="1" ht="21" x14ac:dyDescent="0.35">
      <c r="B22" s="6" t="s">
        <v>619</v>
      </c>
      <c r="E22" s="5" t="s">
        <v>881</v>
      </c>
    </row>
    <row r="24" spans="1:25" x14ac:dyDescent="0.25">
      <c r="A24" t="s">
        <v>74</v>
      </c>
      <c r="B24" t="s">
        <v>962</v>
      </c>
      <c r="C24" t="s">
        <v>488</v>
      </c>
      <c r="D24" t="s">
        <v>963</v>
      </c>
      <c r="E24" s="117">
        <f t="shared" ref="E24:V24" si="0">E14*E19</f>
        <v>0</v>
      </c>
      <c r="F24" s="117">
        <f t="shared" si="0"/>
        <v>0</v>
      </c>
      <c r="G24" s="117">
        <f t="shared" si="0"/>
        <v>0</v>
      </c>
      <c r="H24" s="117">
        <f t="shared" si="0"/>
        <v>0</v>
      </c>
      <c r="I24" s="117">
        <f t="shared" si="0"/>
        <v>0</v>
      </c>
      <c r="J24" s="117">
        <f t="shared" si="0"/>
        <v>0</v>
      </c>
      <c r="K24" s="117">
        <f t="shared" si="0"/>
        <v>0</v>
      </c>
      <c r="L24" s="117">
        <f t="shared" si="0"/>
        <v>0</v>
      </c>
      <c r="M24" s="117">
        <f t="shared" si="0"/>
        <v>0</v>
      </c>
      <c r="N24" s="117">
        <f t="shared" si="0"/>
        <v>0</v>
      </c>
      <c r="O24" s="117">
        <f t="shared" si="0"/>
        <v>0</v>
      </c>
      <c r="P24" s="117">
        <f t="shared" si="0"/>
        <v>0</v>
      </c>
      <c r="Q24" s="117">
        <f t="shared" si="0"/>
        <v>0</v>
      </c>
      <c r="R24" s="117">
        <f t="shared" si="0"/>
        <v>0</v>
      </c>
      <c r="S24" s="117">
        <f t="shared" si="0"/>
        <v>0</v>
      </c>
      <c r="T24" s="117">
        <f t="shared" si="0"/>
        <v>0</v>
      </c>
      <c r="U24" s="117">
        <f t="shared" si="0"/>
        <v>0</v>
      </c>
      <c r="V24" s="117">
        <f t="shared" si="0"/>
        <v>0</v>
      </c>
    </row>
    <row r="25" spans="1:25" x14ac:dyDescent="0.25">
      <c r="A25" t="s">
        <v>74</v>
      </c>
      <c r="B25" t="s">
        <v>962</v>
      </c>
      <c r="C25" t="s">
        <v>488</v>
      </c>
      <c r="D25" t="s">
        <v>925</v>
      </c>
      <c r="E25" s="114">
        <v>1.8229</v>
      </c>
      <c r="F25" s="114">
        <v>1.82382</v>
      </c>
      <c r="G25" s="114">
        <v>1.6444300000000001</v>
      </c>
      <c r="H25" s="114">
        <v>0.16908999999999999</v>
      </c>
      <c r="I25" s="114">
        <v>1.05742</v>
      </c>
      <c r="J25" s="114">
        <v>3.3656000000000001</v>
      </c>
      <c r="K25" s="114">
        <v>3.6288999999999998</v>
      </c>
      <c r="L25" s="114">
        <v>2.6104799999999999</v>
      </c>
      <c r="M25" s="114">
        <v>0.85604000000000002</v>
      </c>
      <c r="N25" s="114">
        <v>0.5474</v>
      </c>
      <c r="O25" s="114">
        <v>0.54766999999999999</v>
      </c>
      <c r="P25" s="114">
        <v>0.54820999999999998</v>
      </c>
      <c r="Q25" s="114">
        <v>0.54820999999999998</v>
      </c>
      <c r="R25" s="114">
        <v>0.54766999999999999</v>
      </c>
      <c r="S25" s="198">
        <f>-0.0002*15^2+0.001*15+0.5464</f>
        <v>0.51639999999999997</v>
      </c>
      <c r="T25" s="198">
        <f>-0.0002*16^2+0.001*16+0.5464</f>
        <v>0.51119999999999999</v>
      </c>
      <c r="U25" s="198">
        <f>-0.0002*17^2+0.001*17+0.5464</f>
        <v>0.50560000000000005</v>
      </c>
      <c r="V25" s="198">
        <f>-0.0002*18^2+0.001*18+0.5464</f>
        <v>0.49959999999999999</v>
      </c>
      <c r="Y25" t="s">
        <v>43</v>
      </c>
    </row>
    <row r="26" spans="1:25" x14ac:dyDescent="0.25">
      <c r="A26" t="s">
        <v>74</v>
      </c>
      <c r="B26" t="s">
        <v>964</v>
      </c>
      <c r="C26" t="s">
        <v>488</v>
      </c>
      <c r="D26" t="s">
        <v>963</v>
      </c>
      <c r="E26" s="117">
        <f t="shared" ref="E26:V26" si="1">E15*E20</f>
        <v>0</v>
      </c>
      <c r="F26" s="117">
        <f t="shared" si="1"/>
        <v>0</v>
      </c>
      <c r="G26" s="117">
        <f t="shared" si="1"/>
        <v>0</v>
      </c>
      <c r="H26" s="117">
        <f t="shared" si="1"/>
        <v>0</v>
      </c>
      <c r="I26" s="117">
        <f t="shared" si="1"/>
        <v>0</v>
      </c>
      <c r="J26" s="117">
        <f t="shared" si="1"/>
        <v>0</v>
      </c>
      <c r="K26" s="117">
        <f t="shared" si="1"/>
        <v>0</v>
      </c>
      <c r="L26" s="117">
        <f t="shared" si="1"/>
        <v>0</v>
      </c>
      <c r="M26" s="117">
        <f t="shared" si="1"/>
        <v>0</v>
      </c>
      <c r="N26" s="117">
        <f t="shared" si="1"/>
        <v>0</v>
      </c>
      <c r="O26" s="117">
        <f t="shared" si="1"/>
        <v>0</v>
      </c>
      <c r="P26" s="117">
        <f t="shared" si="1"/>
        <v>0</v>
      </c>
      <c r="Q26" s="117">
        <f t="shared" si="1"/>
        <v>0</v>
      </c>
      <c r="R26" s="117">
        <f t="shared" si="1"/>
        <v>0</v>
      </c>
      <c r="S26" s="117">
        <f t="shared" si="1"/>
        <v>0</v>
      </c>
      <c r="T26" s="117">
        <f t="shared" si="1"/>
        <v>0</v>
      </c>
      <c r="U26" s="117">
        <f t="shared" si="1"/>
        <v>0</v>
      </c>
      <c r="V26" s="117">
        <f t="shared" si="1"/>
        <v>0</v>
      </c>
    </row>
    <row r="27" spans="1:25" x14ac:dyDescent="0.25">
      <c r="A27" t="s">
        <v>74</v>
      </c>
      <c r="B27" t="s">
        <v>964</v>
      </c>
      <c r="C27" t="s">
        <v>488</v>
      </c>
      <c r="D27" t="s">
        <v>925</v>
      </c>
      <c r="E27" s="114">
        <v>3.4820000000000002</v>
      </c>
      <c r="F27" s="114">
        <v>3.2855979999999998</v>
      </c>
      <c r="G27" s="114">
        <v>3.450345</v>
      </c>
      <c r="H27" s="114">
        <v>2.9940000000000002</v>
      </c>
      <c r="I27" s="114">
        <v>3.02</v>
      </c>
      <c r="J27" s="114">
        <v>3.2959999999999998</v>
      </c>
      <c r="K27" s="114">
        <v>3.2570000000000001</v>
      </c>
      <c r="L27" s="114">
        <v>1.429</v>
      </c>
      <c r="M27" s="114">
        <v>0.93300000000000005</v>
      </c>
      <c r="N27" s="114">
        <v>1.1819999999999999</v>
      </c>
      <c r="O27" s="114">
        <v>0.55200000000000005</v>
      </c>
      <c r="P27" s="114">
        <v>0.48099999999999998</v>
      </c>
      <c r="Q27" s="114">
        <v>0.58299999999999996</v>
      </c>
      <c r="R27" s="114">
        <v>1.4019999999999999</v>
      </c>
      <c r="S27" s="114">
        <v>0.67300000000000004</v>
      </c>
      <c r="T27" s="114">
        <v>0.60299999999999998</v>
      </c>
      <c r="U27" s="114">
        <f>4.9647*EXP(-0.142*17)</f>
        <v>0.4441259314873523</v>
      </c>
      <c r="V27" s="114">
        <f>4.9647*EXP(-0.142*17)</f>
        <v>0.4441259314873523</v>
      </c>
      <c r="Y27" t="s">
        <v>43</v>
      </c>
    </row>
    <row r="28" spans="1:25" x14ac:dyDescent="0.25">
      <c r="A28" t="s">
        <v>74</v>
      </c>
      <c r="B28" t="s">
        <v>962</v>
      </c>
      <c r="C28" t="s">
        <v>956</v>
      </c>
      <c r="D28" t="s">
        <v>955</v>
      </c>
      <c r="E28" s="117">
        <f>+E25*'Conversion factors'!$B$6</f>
        <v>565.09899999999993</v>
      </c>
      <c r="F28" s="117">
        <f>+F25*'Conversion factors'!$B$6</f>
        <v>565.38419999999996</v>
      </c>
      <c r="G28" s="117">
        <f>+G25*'Conversion factors'!$B$6</f>
        <v>509.77330000000001</v>
      </c>
      <c r="H28" s="117">
        <f>+H25*'Conversion factors'!$B$6</f>
        <v>52.417899999999996</v>
      </c>
      <c r="I28" s="117">
        <f>+I25*'Conversion factors'!$B$6</f>
        <v>327.80020000000002</v>
      </c>
      <c r="J28" s="117">
        <f>+J25*'Conversion factors'!$B$6</f>
        <v>1043.336</v>
      </c>
      <c r="K28" s="117">
        <f>+K25*'Conversion factors'!$B$6</f>
        <v>1124.9589999999998</v>
      </c>
      <c r="L28" s="117">
        <f>+L25*'Conversion factors'!$B$6</f>
        <v>809.24879999999996</v>
      </c>
      <c r="M28" s="117">
        <f>+M25*'Conversion factors'!$B$6</f>
        <v>265.37240000000003</v>
      </c>
      <c r="N28" s="117">
        <f>+N25*'Conversion factors'!$B$6</f>
        <v>169.69399999999999</v>
      </c>
      <c r="O28" s="117">
        <f>+O25*'Conversion factors'!$B$6</f>
        <v>169.77770000000001</v>
      </c>
      <c r="P28" s="117">
        <f>+P25*'Conversion factors'!$B$6</f>
        <v>169.9451</v>
      </c>
      <c r="Q28" s="117">
        <f>+Q25*'Conversion factors'!$B$6</f>
        <v>169.9451</v>
      </c>
      <c r="R28" s="117">
        <f>+R25*'Conversion factors'!$B$6</f>
        <v>169.77770000000001</v>
      </c>
      <c r="S28" s="117">
        <f>+S25*'Conversion factors'!$B$6</f>
        <v>160.084</v>
      </c>
      <c r="T28" s="117">
        <f>+T25*'Conversion factors'!$B$6</f>
        <v>158.47200000000001</v>
      </c>
      <c r="U28" s="117">
        <f>+U25*'Conversion factors'!$B$6</f>
        <v>156.73600000000002</v>
      </c>
      <c r="V28" s="117">
        <f>+V25*'Conversion factors'!$B$6</f>
        <v>154.876</v>
      </c>
    </row>
    <row r="29" spans="1:25" x14ac:dyDescent="0.25">
      <c r="A29" t="s">
        <v>74</v>
      </c>
      <c r="B29" t="s">
        <v>964</v>
      </c>
      <c r="C29" t="s">
        <v>956</v>
      </c>
      <c r="D29" t="s">
        <v>955</v>
      </c>
      <c r="E29" s="117">
        <f>+E27*'Conversion factors'!$B$6</f>
        <v>1079.42</v>
      </c>
      <c r="F29" s="117">
        <f>+F27*'Conversion factors'!$B$6</f>
        <v>1018.5353799999999</v>
      </c>
      <c r="G29" s="117">
        <f>+G27*'Conversion factors'!$B$6</f>
        <v>1069.6069500000001</v>
      </c>
      <c r="H29" s="117">
        <f>+H27*'Conversion factors'!$B$6</f>
        <v>928.1400000000001</v>
      </c>
      <c r="I29" s="117">
        <f>+I27*'Conversion factors'!$B$6</f>
        <v>936.2</v>
      </c>
      <c r="J29" s="117">
        <f>+J27*'Conversion factors'!$B$6</f>
        <v>1021.76</v>
      </c>
      <c r="K29" s="117">
        <f>+K27*'Conversion factors'!$B$6</f>
        <v>1009.6700000000001</v>
      </c>
      <c r="L29" s="117">
        <f>+L27*'Conversion factors'!$B$6</f>
        <v>442.99</v>
      </c>
      <c r="M29" s="117">
        <f>+M27*'Conversion factors'!$B$6</f>
        <v>289.23</v>
      </c>
      <c r="N29" s="117">
        <f>+N27*'Conversion factors'!$B$6</f>
        <v>366.41999999999996</v>
      </c>
      <c r="O29" s="117">
        <f>+O27*'Conversion factors'!$B$6</f>
        <v>171.12</v>
      </c>
      <c r="P29" s="117">
        <f>+P27*'Conversion factors'!$B$6</f>
        <v>149.10999999999999</v>
      </c>
      <c r="Q29" s="117">
        <f>+Q27*'Conversion factors'!$B$6</f>
        <v>180.73</v>
      </c>
      <c r="R29" s="117">
        <f>+R27*'Conversion factors'!$B$6</f>
        <v>434.61999999999995</v>
      </c>
      <c r="S29" s="117">
        <f>+S27*'Conversion factors'!$B$6</f>
        <v>208.63000000000002</v>
      </c>
      <c r="T29" s="117">
        <f>+T27*'Conversion factors'!$B$6</f>
        <v>186.93</v>
      </c>
      <c r="U29" s="117">
        <f>+U27*'Conversion factors'!$B$6</f>
        <v>137.67903876107923</v>
      </c>
      <c r="V29" s="117">
        <f>+V27*'Conversion factors'!$B$6</f>
        <v>137.67903876107923</v>
      </c>
    </row>
    <row r="30" spans="1:25" x14ac:dyDescent="0.25">
      <c r="A30" s="7" t="s">
        <v>74</v>
      </c>
      <c r="B30" s="7" t="s">
        <v>922</v>
      </c>
      <c r="C30" s="7" t="s">
        <v>956</v>
      </c>
      <c r="D30" s="7" t="s">
        <v>955</v>
      </c>
      <c r="E30" s="116">
        <f>E28+E29</f>
        <v>1644.519</v>
      </c>
      <c r="F30" s="116">
        <f t="shared" ref="F30:V30" si="2">F28+F29</f>
        <v>1583.9195799999998</v>
      </c>
      <c r="G30" s="116">
        <f t="shared" si="2"/>
        <v>1579.3802500000002</v>
      </c>
      <c r="H30" s="116">
        <f t="shared" si="2"/>
        <v>980.55790000000013</v>
      </c>
      <c r="I30" s="116">
        <f t="shared" si="2"/>
        <v>1264.0001999999999</v>
      </c>
      <c r="J30" s="116">
        <f t="shared" si="2"/>
        <v>2065.096</v>
      </c>
      <c r="K30" s="116">
        <f t="shared" si="2"/>
        <v>2134.6289999999999</v>
      </c>
      <c r="L30" s="116">
        <f t="shared" si="2"/>
        <v>1252.2388000000001</v>
      </c>
      <c r="M30" s="116">
        <f t="shared" si="2"/>
        <v>554.60239999999999</v>
      </c>
      <c r="N30" s="116">
        <f t="shared" si="2"/>
        <v>536.11399999999992</v>
      </c>
      <c r="O30" s="116">
        <f t="shared" si="2"/>
        <v>340.89769999999999</v>
      </c>
      <c r="P30" s="116">
        <f t="shared" si="2"/>
        <v>319.05509999999998</v>
      </c>
      <c r="Q30" s="116">
        <f t="shared" si="2"/>
        <v>350.67509999999999</v>
      </c>
      <c r="R30" s="116">
        <f t="shared" si="2"/>
        <v>604.39769999999999</v>
      </c>
      <c r="S30" s="116">
        <f t="shared" si="2"/>
        <v>368.71400000000006</v>
      </c>
      <c r="T30" s="116">
        <f t="shared" si="2"/>
        <v>345.40200000000004</v>
      </c>
      <c r="U30" s="116">
        <f t="shared" si="2"/>
        <v>294.41503876107924</v>
      </c>
      <c r="V30" s="116">
        <f t="shared" si="2"/>
        <v>292.55503876107923</v>
      </c>
    </row>
    <row r="32" spans="1:25" s="5" customFormat="1" ht="21" x14ac:dyDescent="0.35">
      <c r="B32" s="6" t="s">
        <v>885</v>
      </c>
      <c r="E32" s="5" t="s">
        <v>886</v>
      </c>
      <c r="M32" s="5" t="s">
        <v>900</v>
      </c>
    </row>
    <row r="34" spans="1:8" x14ac:dyDescent="0.25">
      <c r="A34" s="27"/>
      <c r="B34" s="26"/>
      <c r="C34" s="26"/>
      <c r="D34" s="26"/>
      <c r="E34" s="26"/>
      <c r="F34" s="26"/>
      <c r="G34" s="26"/>
      <c r="H34" s="26"/>
    </row>
    <row r="55" spans="1:23" s="65" customFormat="1" ht="21" x14ac:dyDescent="0.35">
      <c r="A55" s="5"/>
      <c r="B55" s="6" t="s">
        <v>346</v>
      </c>
      <c r="C55" s="5"/>
      <c r="D55" s="5"/>
      <c r="E55" s="5" t="s">
        <v>887</v>
      </c>
      <c r="F55" s="5"/>
      <c r="G55" s="5"/>
      <c r="H55" s="5"/>
      <c r="I55" s="5"/>
      <c r="J55" s="5"/>
      <c r="K55" s="5"/>
      <c r="L55" s="5"/>
      <c r="M55" s="5"/>
      <c r="N55" s="5"/>
      <c r="O55" s="5"/>
      <c r="P55" s="5"/>
      <c r="Q55" s="5"/>
      <c r="R55" s="5"/>
      <c r="S55" s="5"/>
      <c r="T55" s="5"/>
      <c r="U55" s="5"/>
      <c r="V55" s="5"/>
      <c r="W55" s="5"/>
    </row>
    <row r="56" spans="1:23" ht="18.75" x14ac:dyDescent="0.3">
      <c r="A56" s="12" t="s">
        <v>844</v>
      </c>
      <c r="E56" t="s">
        <v>888</v>
      </c>
    </row>
    <row r="57" spans="1:23" x14ac:dyDescent="0.25">
      <c r="A57" s="8"/>
      <c r="B57" s="9" t="s">
        <v>865</v>
      </c>
      <c r="C57" s="8"/>
      <c r="D57" s="8"/>
      <c r="E57" s="8"/>
      <c r="F57" s="8"/>
      <c r="G57" s="8"/>
      <c r="H57" s="8"/>
      <c r="I57" s="8"/>
      <c r="J57" s="8"/>
      <c r="K57" s="8"/>
      <c r="L57" s="8"/>
      <c r="M57" s="8"/>
      <c r="N57" s="8"/>
      <c r="O57" s="8"/>
      <c r="P57" s="8"/>
      <c r="Q57" s="8"/>
      <c r="R57" s="8"/>
      <c r="S57" s="8"/>
      <c r="T57" s="8"/>
      <c r="U57" s="8"/>
      <c r="V57" s="8"/>
      <c r="W57" s="8"/>
    </row>
    <row r="59" spans="1:23" x14ac:dyDescent="0.25">
      <c r="A59" s="10" t="s">
        <v>867</v>
      </c>
      <c r="B59" s="10" t="s">
        <v>868</v>
      </c>
      <c r="C59" s="10" t="s">
        <v>482</v>
      </c>
      <c r="D59" s="10" t="s">
        <v>740</v>
      </c>
      <c r="E59" s="10">
        <v>2000</v>
      </c>
      <c r="F59" s="10">
        <v>2001</v>
      </c>
      <c r="G59" s="10">
        <v>2002</v>
      </c>
      <c r="H59" s="10">
        <v>2003</v>
      </c>
      <c r="I59" s="10">
        <v>2004</v>
      </c>
      <c r="J59" s="10">
        <v>2005</v>
      </c>
      <c r="K59" s="10">
        <v>2006</v>
      </c>
      <c r="L59" s="10">
        <v>2007</v>
      </c>
      <c r="M59" s="10">
        <v>2008</v>
      </c>
      <c r="N59" s="10">
        <v>2009</v>
      </c>
      <c r="O59" s="10">
        <v>2010</v>
      </c>
      <c r="P59" s="10">
        <v>2011</v>
      </c>
      <c r="Q59" s="10">
        <v>2012</v>
      </c>
      <c r="R59" s="10">
        <v>2013</v>
      </c>
      <c r="S59" s="10">
        <v>2014</v>
      </c>
      <c r="T59" s="10">
        <v>2015</v>
      </c>
      <c r="U59" s="10"/>
      <c r="V59" s="10"/>
      <c r="W59" s="10" t="s">
        <v>741</v>
      </c>
    </row>
    <row r="60" spans="1:23" x14ac:dyDescent="0.25">
      <c r="A60" s="11" t="s">
        <v>74</v>
      </c>
      <c r="B60" s="11" t="s">
        <v>957</v>
      </c>
      <c r="C60" s="11"/>
      <c r="D60" s="11" t="s">
        <v>892</v>
      </c>
      <c r="E60" s="29"/>
      <c r="F60" s="29"/>
      <c r="G60" s="29"/>
      <c r="H60" s="29"/>
      <c r="I60" s="29"/>
      <c r="J60" s="29"/>
      <c r="K60" s="29"/>
      <c r="L60" s="29"/>
      <c r="M60" s="29"/>
      <c r="N60" s="29"/>
      <c r="O60" s="29"/>
      <c r="P60" s="29"/>
      <c r="Q60" s="29"/>
      <c r="R60" s="29"/>
      <c r="S60" s="29"/>
      <c r="T60" s="29"/>
      <c r="U60" s="4"/>
      <c r="V60" s="4"/>
    </row>
    <row r="61" spans="1:23" x14ac:dyDescent="0.25">
      <c r="A61" s="11" t="s">
        <v>74</v>
      </c>
      <c r="B61" s="11" t="s">
        <v>958</v>
      </c>
      <c r="C61" s="11"/>
      <c r="D61" s="11" t="s">
        <v>892</v>
      </c>
      <c r="E61" s="29"/>
      <c r="F61" s="29"/>
      <c r="G61" s="29"/>
      <c r="H61" s="29"/>
      <c r="I61" s="29"/>
      <c r="J61" s="29"/>
      <c r="K61" s="29"/>
      <c r="L61" s="29"/>
      <c r="M61" s="29"/>
      <c r="N61" s="29"/>
      <c r="O61" s="29"/>
      <c r="P61" s="29"/>
      <c r="Q61" s="29"/>
      <c r="R61" s="29"/>
      <c r="S61" s="29"/>
      <c r="T61" s="29"/>
      <c r="U61" s="4"/>
      <c r="V61" s="4"/>
    </row>
    <row r="62" spans="1:23" x14ac:dyDescent="0.25">
      <c r="E62" s="11"/>
      <c r="F62" s="11"/>
      <c r="G62" s="11"/>
      <c r="H62" s="11"/>
      <c r="I62" s="11"/>
      <c r="J62" s="11"/>
      <c r="K62" s="11"/>
      <c r="L62" s="11"/>
      <c r="M62" s="11"/>
      <c r="N62" s="11"/>
      <c r="O62" s="11"/>
      <c r="P62" s="11"/>
      <c r="Q62" s="11"/>
      <c r="R62" s="11"/>
      <c r="S62" s="11"/>
      <c r="T62" s="11"/>
    </row>
    <row r="63" spans="1:23" x14ac:dyDescent="0.25">
      <c r="A63" s="8"/>
      <c r="B63" s="9" t="s">
        <v>877</v>
      </c>
      <c r="C63" s="8"/>
      <c r="D63" s="8"/>
      <c r="E63" s="197"/>
      <c r="F63" s="197"/>
      <c r="G63" s="197"/>
      <c r="H63" s="197"/>
      <c r="I63" s="197"/>
      <c r="J63" s="197"/>
      <c r="K63" s="197"/>
      <c r="L63" s="197"/>
      <c r="M63" s="197"/>
      <c r="N63" s="197"/>
      <c r="O63" s="197"/>
      <c r="P63" s="197"/>
      <c r="Q63" s="197"/>
      <c r="R63" s="197"/>
      <c r="S63" s="197"/>
      <c r="T63" s="197"/>
      <c r="U63" s="8"/>
      <c r="V63" s="8"/>
      <c r="W63" s="8"/>
    </row>
    <row r="64" spans="1:23" x14ac:dyDescent="0.25">
      <c r="E64" s="11"/>
      <c r="F64" s="11"/>
      <c r="G64" s="11"/>
      <c r="H64" s="11"/>
      <c r="I64" s="11"/>
      <c r="J64" s="11"/>
      <c r="K64" s="11"/>
      <c r="L64" s="11"/>
      <c r="M64" s="11"/>
      <c r="N64" s="11"/>
      <c r="O64" s="11"/>
      <c r="P64" s="11"/>
      <c r="Q64" s="11"/>
      <c r="R64" s="11"/>
      <c r="S64" s="11"/>
      <c r="T64" s="11"/>
    </row>
    <row r="65" spans="1:23" x14ac:dyDescent="0.25">
      <c r="A65" s="11" t="s">
        <v>74</v>
      </c>
      <c r="B65" s="11" t="s">
        <v>959</v>
      </c>
      <c r="C65" s="11" t="s">
        <v>488</v>
      </c>
      <c r="D65" s="11" t="s">
        <v>960</v>
      </c>
      <c r="E65" s="29"/>
      <c r="F65" s="29"/>
      <c r="G65" s="29"/>
      <c r="H65" s="29"/>
      <c r="I65" s="29"/>
      <c r="J65" s="29"/>
      <c r="K65" s="29"/>
      <c r="L65" s="29"/>
      <c r="M65" s="29"/>
      <c r="N65" s="29"/>
      <c r="O65" s="29"/>
      <c r="P65" s="29"/>
      <c r="Q65" s="29"/>
      <c r="R65" s="29"/>
      <c r="S65" s="29"/>
      <c r="T65" s="29"/>
      <c r="U65" s="4"/>
      <c r="V65" s="4"/>
    </row>
    <row r="66" spans="1:23" x14ac:dyDescent="0.25">
      <c r="A66" s="11" t="s">
        <v>74</v>
      </c>
      <c r="B66" s="11" t="s">
        <v>961</v>
      </c>
      <c r="C66" s="11" t="s">
        <v>488</v>
      </c>
      <c r="D66" s="11" t="s">
        <v>960</v>
      </c>
      <c r="E66" s="29"/>
      <c r="F66" s="29"/>
      <c r="G66" s="29"/>
      <c r="H66" s="29"/>
      <c r="I66" s="29"/>
      <c r="J66" s="29"/>
      <c r="K66" s="29"/>
      <c r="L66" s="29"/>
      <c r="M66" s="29"/>
      <c r="N66" s="29"/>
      <c r="O66" s="29"/>
      <c r="P66" s="29"/>
      <c r="Q66" s="29"/>
      <c r="R66" s="29"/>
      <c r="S66" s="29"/>
      <c r="T66" s="29"/>
      <c r="U66" s="4"/>
      <c r="V66" s="4"/>
    </row>
    <row r="67" spans="1:23" x14ac:dyDescent="0.25">
      <c r="E67" s="11"/>
      <c r="F67" s="11"/>
      <c r="G67" s="11"/>
      <c r="H67" s="11"/>
      <c r="I67" s="11"/>
      <c r="J67" s="11"/>
      <c r="K67" s="11"/>
      <c r="L67" s="11"/>
      <c r="M67" s="11"/>
      <c r="N67" s="11"/>
      <c r="O67" s="11"/>
      <c r="P67" s="11"/>
      <c r="Q67" s="11"/>
      <c r="R67" s="11"/>
      <c r="S67" s="11"/>
      <c r="T67" s="11"/>
    </row>
    <row r="68" spans="1:23" x14ac:dyDescent="0.25">
      <c r="A68" s="8"/>
      <c r="B68" s="9" t="s">
        <v>619</v>
      </c>
      <c r="C68" s="8"/>
      <c r="D68" s="8"/>
      <c r="E68" s="197"/>
      <c r="F68" s="197"/>
      <c r="G68" s="197"/>
      <c r="H68" s="197"/>
      <c r="I68" s="197"/>
      <c r="J68" s="197"/>
      <c r="K68" s="197"/>
      <c r="L68" s="197"/>
      <c r="M68" s="197"/>
      <c r="N68" s="197"/>
      <c r="O68" s="197"/>
      <c r="P68" s="197"/>
      <c r="Q68" s="197"/>
      <c r="R68" s="197"/>
      <c r="S68" s="197"/>
      <c r="T68" s="197"/>
      <c r="U68" s="8"/>
      <c r="V68" s="8"/>
      <c r="W68" s="8"/>
    </row>
    <row r="69" spans="1:23" x14ac:dyDescent="0.25">
      <c r="E69" s="11"/>
      <c r="F69" s="11"/>
      <c r="G69" s="11"/>
      <c r="H69" s="11"/>
      <c r="I69" s="11"/>
      <c r="J69" s="11"/>
      <c r="K69" s="11"/>
      <c r="L69" s="11"/>
      <c r="M69" s="11"/>
      <c r="N69" s="11"/>
      <c r="O69" s="11"/>
      <c r="P69" s="11"/>
      <c r="Q69" s="11"/>
      <c r="R69" s="11"/>
      <c r="S69" s="11"/>
      <c r="T69" s="11"/>
    </row>
    <row r="70" spans="1:23" x14ac:dyDescent="0.25">
      <c r="A70" s="11" t="s">
        <v>74</v>
      </c>
      <c r="B70" s="11" t="s">
        <v>962</v>
      </c>
      <c r="C70" s="11" t="s">
        <v>488</v>
      </c>
      <c r="D70" s="11" t="s">
        <v>963</v>
      </c>
      <c r="E70" s="29">
        <v>0</v>
      </c>
      <c r="F70" s="29">
        <v>0</v>
      </c>
      <c r="G70" s="29">
        <v>0</v>
      </c>
      <c r="H70" s="29">
        <v>0</v>
      </c>
      <c r="I70" s="29">
        <v>0</v>
      </c>
      <c r="J70" s="29">
        <v>0</v>
      </c>
      <c r="K70" s="29">
        <v>0</v>
      </c>
      <c r="L70" s="29">
        <v>0</v>
      </c>
      <c r="M70" s="29">
        <v>0</v>
      </c>
      <c r="N70" s="29">
        <v>0</v>
      </c>
      <c r="O70" s="29">
        <v>0</v>
      </c>
      <c r="P70" s="29">
        <v>0</v>
      </c>
      <c r="Q70" s="29">
        <v>0</v>
      </c>
      <c r="R70" s="29">
        <v>0</v>
      </c>
      <c r="S70" s="29">
        <v>0</v>
      </c>
      <c r="T70" s="29">
        <v>0</v>
      </c>
      <c r="U70" s="4"/>
      <c r="V70" s="4"/>
    </row>
    <row r="71" spans="1:23" x14ac:dyDescent="0.25">
      <c r="A71" s="11" t="s">
        <v>74</v>
      </c>
      <c r="B71" s="11" t="s">
        <v>962</v>
      </c>
      <c r="C71" s="11" t="s">
        <v>488</v>
      </c>
      <c r="D71" s="11" t="s">
        <v>925</v>
      </c>
      <c r="E71" s="29">
        <v>1.8229</v>
      </c>
      <c r="F71" s="29">
        <v>1.82382</v>
      </c>
      <c r="G71" s="29">
        <v>1.6444300000000001</v>
      </c>
      <c r="H71" s="29">
        <v>0.16908999999999999</v>
      </c>
      <c r="I71" s="29">
        <v>1.05742</v>
      </c>
      <c r="J71" s="29">
        <v>3.3656000000000001</v>
      </c>
      <c r="K71" s="29">
        <v>3.6288999999999998</v>
      </c>
      <c r="L71" s="29">
        <v>2.6104799999999999</v>
      </c>
      <c r="M71" s="29">
        <v>0.85604000000000002</v>
      </c>
      <c r="N71" s="29">
        <v>0.5474</v>
      </c>
      <c r="O71" s="29">
        <v>0.54766999999999999</v>
      </c>
      <c r="P71" s="29">
        <v>0.54820999999999998</v>
      </c>
      <c r="Q71" s="29">
        <v>0.54820999999999998</v>
      </c>
      <c r="R71" s="29">
        <v>0.54766999999999999</v>
      </c>
      <c r="S71" s="29">
        <v>0.51639999999999997</v>
      </c>
      <c r="T71" s="29">
        <v>0.51119999999999999</v>
      </c>
      <c r="U71" s="4"/>
      <c r="V71" s="4"/>
    </row>
    <row r="72" spans="1:23" x14ac:dyDescent="0.25">
      <c r="A72" s="11" t="s">
        <v>74</v>
      </c>
      <c r="B72" s="11" t="s">
        <v>964</v>
      </c>
      <c r="C72" s="11" t="s">
        <v>488</v>
      </c>
      <c r="D72" s="11" t="s">
        <v>963</v>
      </c>
      <c r="E72" s="29">
        <v>0</v>
      </c>
      <c r="F72" s="29">
        <v>0</v>
      </c>
      <c r="G72" s="29">
        <v>0</v>
      </c>
      <c r="H72" s="29">
        <v>0</v>
      </c>
      <c r="I72" s="29">
        <v>0</v>
      </c>
      <c r="J72" s="29">
        <v>0</v>
      </c>
      <c r="K72" s="29">
        <v>0</v>
      </c>
      <c r="L72" s="29">
        <v>0</v>
      </c>
      <c r="M72" s="29">
        <v>0</v>
      </c>
      <c r="N72" s="29">
        <v>0</v>
      </c>
      <c r="O72" s="29">
        <v>0</v>
      </c>
      <c r="P72" s="29">
        <v>0</v>
      </c>
      <c r="Q72" s="29">
        <v>0</v>
      </c>
      <c r="R72" s="29">
        <v>0</v>
      </c>
      <c r="S72" s="29">
        <v>0</v>
      </c>
      <c r="T72" s="29">
        <v>0</v>
      </c>
      <c r="U72" s="4"/>
      <c r="V72" s="4"/>
    </row>
    <row r="73" spans="1:23" x14ac:dyDescent="0.25">
      <c r="A73" s="11" t="s">
        <v>74</v>
      </c>
      <c r="B73" s="11" t="s">
        <v>964</v>
      </c>
      <c r="C73" s="11" t="s">
        <v>488</v>
      </c>
      <c r="D73" s="11" t="s">
        <v>925</v>
      </c>
      <c r="E73" s="29">
        <v>3.4820000000000002</v>
      </c>
      <c r="F73" s="29">
        <v>3.2855979999999998</v>
      </c>
      <c r="G73" s="29">
        <v>3.450345</v>
      </c>
      <c r="H73" s="29">
        <v>2.9940000000000002</v>
      </c>
      <c r="I73" s="29">
        <v>3.02</v>
      </c>
      <c r="J73" s="29">
        <v>3.2959999999999998</v>
      </c>
      <c r="K73" s="29">
        <v>3.2570000000000001</v>
      </c>
      <c r="L73" s="29">
        <v>1.429</v>
      </c>
      <c r="M73" s="29">
        <v>0.93300000000000005</v>
      </c>
      <c r="N73" s="29">
        <v>1.1819999999999999</v>
      </c>
      <c r="O73" s="29">
        <v>0.55200000000000005</v>
      </c>
      <c r="P73" s="29">
        <v>0.48099999999999998</v>
      </c>
      <c r="Q73" s="29">
        <v>0.58299999999999996</v>
      </c>
      <c r="R73" s="29">
        <v>1.4019999999999999</v>
      </c>
      <c r="S73" s="29">
        <v>0.67300000000000004</v>
      </c>
      <c r="T73" s="29">
        <v>0.60299999999999998</v>
      </c>
      <c r="U73" s="4"/>
      <c r="V73" s="4"/>
    </row>
    <row r="74" spans="1:23" x14ac:dyDescent="0.25">
      <c r="A74" s="11" t="s">
        <v>74</v>
      </c>
      <c r="B74" s="11" t="s">
        <v>962</v>
      </c>
      <c r="C74" s="11" t="s">
        <v>956</v>
      </c>
      <c r="D74" s="11" t="s">
        <v>955</v>
      </c>
      <c r="E74" s="29">
        <v>565.09899999999993</v>
      </c>
      <c r="F74" s="29">
        <v>565.38419999999996</v>
      </c>
      <c r="G74" s="29">
        <v>509.77330000000001</v>
      </c>
      <c r="H74" s="29">
        <v>52.417899999999996</v>
      </c>
      <c r="I74" s="29">
        <v>327.80020000000002</v>
      </c>
      <c r="J74" s="29">
        <v>1043.336</v>
      </c>
      <c r="K74" s="29">
        <v>1124.9589999999998</v>
      </c>
      <c r="L74" s="29">
        <v>809.24879999999996</v>
      </c>
      <c r="M74" s="29">
        <v>265.37240000000003</v>
      </c>
      <c r="N74" s="29">
        <v>169.69399999999999</v>
      </c>
      <c r="O74" s="29">
        <v>169.77770000000001</v>
      </c>
      <c r="P74" s="29">
        <v>169.9451</v>
      </c>
      <c r="Q74" s="29">
        <v>169.9451</v>
      </c>
      <c r="R74" s="29">
        <v>169.77770000000001</v>
      </c>
      <c r="S74" s="29">
        <v>160.084</v>
      </c>
      <c r="T74" s="29">
        <v>158.47200000000001</v>
      </c>
      <c r="U74" s="4"/>
      <c r="V74" s="4"/>
    </row>
    <row r="75" spans="1:23" x14ac:dyDescent="0.25">
      <c r="A75" s="11" t="s">
        <v>74</v>
      </c>
      <c r="B75" s="11" t="s">
        <v>964</v>
      </c>
      <c r="C75" s="11" t="s">
        <v>956</v>
      </c>
      <c r="D75" s="11" t="s">
        <v>955</v>
      </c>
      <c r="E75" s="29">
        <v>1079.42</v>
      </c>
      <c r="F75" s="29">
        <v>1018.5353799999999</v>
      </c>
      <c r="G75" s="29">
        <v>1069.6069500000001</v>
      </c>
      <c r="H75" s="29">
        <v>928.1400000000001</v>
      </c>
      <c r="I75" s="29">
        <v>936.2</v>
      </c>
      <c r="J75" s="29">
        <v>1021.76</v>
      </c>
      <c r="K75" s="29">
        <v>1009.6700000000001</v>
      </c>
      <c r="L75" s="29">
        <v>442.99</v>
      </c>
      <c r="M75" s="29">
        <v>289.23</v>
      </c>
      <c r="N75" s="29">
        <v>366.41999999999996</v>
      </c>
      <c r="O75" s="29">
        <v>171.12</v>
      </c>
      <c r="P75" s="29">
        <v>149.10999999999999</v>
      </c>
      <c r="Q75" s="29">
        <v>180.73</v>
      </c>
      <c r="R75" s="29">
        <v>434.61999999999995</v>
      </c>
      <c r="S75" s="29">
        <v>208.63000000000002</v>
      </c>
      <c r="T75" s="29">
        <v>186.93</v>
      </c>
      <c r="U75" s="4"/>
      <c r="V75" s="4"/>
    </row>
    <row r="76" spans="1:23" x14ac:dyDescent="0.25">
      <c r="A76" s="11" t="s">
        <v>74</v>
      </c>
      <c r="B76" s="11" t="s">
        <v>922</v>
      </c>
      <c r="C76" s="11" t="s">
        <v>956</v>
      </c>
      <c r="D76" s="11" t="s">
        <v>955</v>
      </c>
      <c r="E76" s="29">
        <v>1644.519</v>
      </c>
      <c r="F76" s="29">
        <v>1583.9195799999998</v>
      </c>
      <c r="G76" s="29">
        <v>1579.3802500000002</v>
      </c>
      <c r="H76" s="29">
        <v>980.55790000000013</v>
      </c>
      <c r="I76" s="29">
        <v>1264.0001999999999</v>
      </c>
      <c r="J76" s="29">
        <v>2065.096</v>
      </c>
      <c r="K76" s="29">
        <v>2134.6289999999999</v>
      </c>
      <c r="L76" s="29">
        <v>1252.2388000000001</v>
      </c>
      <c r="M76" s="29">
        <v>554.60239999999999</v>
      </c>
      <c r="N76" s="29">
        <v>536.11399999999992</v>
      </c>
      <c r="O76" s="29">
        <v>340.89769999999999</v>
      </c>
      <c r="P76" s="29">
        <v>319.05509999999998</v>
      </c>
      <c r="Q76" s="29">
        <v>350.67509999999999</v>
      </c>
      <c r="R76" s="29">
        <v>604.39769999999999</v>
      </c>
      <c r="S76" s="29">
        <v>368.71400000000006</v>
      </c>
      <c r="T76" s="29">
        <v>345.40200000000004</v>
      </c>
      <c r="U76" s="4"/>
      <c r="V76" s="4"/>
    </row>
    <row r="77" spans="1:23" x14ac:dyDescent="0.25">
      <c r="A77" s="11"/>
      <c r="B77" s="11"/>
      <c r="C77" s="11"/>
      <c r="D77" s="11"/>
      <c r="E77" s="23"/>
      <c r="F77" s="23"/>
      <c r="G77" s="23"/>
      <c r="H77" s="23"/>
      <c r="I77" s="23"/>
      <c r="J77" s="23"/>
      <c r="K77" s="23"/>
      <c r="L77" s="23"/>
      <c r="M77" s="23"/>
      <c r="N77" s="23"/>
      <c r="O77" s="23"/>
      <c r="P77" s="23"/>
      <c r="Q77" s="23"/>
      <c r="R77" s="23"/>
      <c r="S77" s="23"/>
      <c r="T77" s="23"/>
      <c r="U77" s="23"/>
      <c r="V77" s="23"/>
    </row>
    <row r="78" spans="1:23" ht="18.75" x14ac:dyDescent="0.3">
      <c r="A78" s="13" t="s">
        <v>346</v>
      </c>
    </row>
    <row r="79" spans="1:23" x14ac:dyDescent="0.25">
      <c r="A79" s="8"/>
      <c r="B79" s="9" t="s">
        <v>865</v>
      </c>
      <c r="C79" s="8"/>
      <c r="D79" s="8" t="s">
        <v>852</v>
      </c>
      <c r="E79" s="8"/>
      <c r="F79" s="8"/>
      <c r="G79" s="8"/>
      <c r="H79" s="8"/>
      <c r="I79" s="8"/>
      <c r="J79" s="8"/>
      <c r="K79" s="8"/>
      <c r="L79" s="8"/>
      <c r="M79" s="8"/>
      <c r="N79" s="8"/>
      <c r="O79" s="8"/>
      <c r="P79" s="8"/>
      <c r="Q79" s="8"/>
      <c r="R79" s="8"/>
      <c r="S79" s="8"/>
      <c r="T79" s="8"/>
      <c r="U79" s="8"/>
      <c r="V79" s="8"/>
      <c r="W79" s="22"/>
    </row>
    <row r="81" spans="1:22" x14ac:dyDescent="0.25">
      <c r="A81" s="10" t="s">
        <v>867</v>
      </c>
      <c r="B81" s="10" t="s">
        <v>868</v>
      </c>
      <c r="C81" s="10" t="s">
        <v>482</v>
      </c>
      <c r="D81" s="10" t="s">
        <v>740</v>
      </c>
      <c r="E81" s="10">
        <v>2000</v>
      </c>
      <c r="F81" s="10">
        <v>2001</v>
      </c>
      <c r="G81" s="10">
        <v>2002</v>
      </c>
      <c r="H81" s="10">
        <v>2003</v>
      </c>
      <c r="I81" s="10">
        <v>2004</v>
      </c>
      <c r="J81" s="10">
        <v>2005</v>
      </c>
      <c r="K81" s="10">
        <v>2006</v>
      </c>
      <c r="L81" s="10">
        <v>2007</v>
      </c>
      <c r="M81" s="10">
        <v>2008</v>
      </c>
      <c r="N81" s="10">
        <v>2009</v>
      </c>
      <c r="O81" s="10">
        <v>2010</v>
      </c>
      <c r="P81" s="10">
        <v>2011</v>
      </c>
      <c r="Q81" s="10">
        <v>2012</v>
      </c>
      <c r="R81" s="10">
        <v>2013</v>
      </c>
      <c r="S81" s="10">
        <v>2014</v>
      </c>
      <c r="T81" s="10">
        <v>2015</v>
      </c>
      <c r="U81" s="10"/>
      <c r="V81" s="10"/>
    </row>
    <row r="82" spans="1:22" x14ac:dyDescent="0.25">
      <c r="A82" s="11" t="s">
        <v>74</v>
      </c>
      <c r="B82" s="11" t="s">
        <v>957</v>
      </c>
      <c r="C82" s="11"/>
      <c r="D82" s="11" t="s">
        <v>892</v>
      </c>
      <c r="E82" s="41" t="str">
        <f t="shared" ref="E82:T82" si="3">IFERROR(((E14/E60)-1),"CHECK")</f>
        <v>CHECK</v>
      </c>
      <c r="F82" s="41" t="str">
        <f t="shared" si="3"/>
        <v>CHECK</v>
      </c>
      <c r="G82" s="41" t="str">
        <f t="shared" si="3"/>
        <v>CHECK</v>
      </c>
      <c r="H82" s="41" t="str">
        <f t="shared" si="3"/>
        <v>CHECK</v>
      </c>
      <c r="I82" s="41" t="str">
        <f t="shared" si="3"/>
        <v>CHECK</v>
      </c>
      <c r="J82" s="41" t="str">
        <f t="shared" si="3"/>
        <v>CHECK</v>
      </c>
      <c r="K82" s="41" t="str">
        <f t="shared" si="3"/>
        <v>CHECK</v>
      </c>
      <c r="L82" s="41" t="str">
        <f t="shared" si="3"/>
        <v>CHECK</v>
      </c>
      <c r="M82" s="41" t="str">
        <f t="shared" si="3"/>
        <v>CHECK</v>
      </c>
      <c r="N82" s="41" t="str">
        <f t="shared" si="3"/>
        <v>CHECK</v>
      </c>
      <c r="O82" s="41" t="str">
        <f t="shared" si="3"/>
        <v>CHECK</v>
      </c>
      <c r="P82" s="41" t="str">
        <f t="shared" si="3"/>
        <v>CHECK</v>
      </c>
      <c r="Q82" s="41" t="str">
        <f t="shared" si="3"/>
        <v>CHECK</v>
      </c>
      <c r="R82" s="41" t="str">
        <f t="shared" si="3"/>
        <v>CHECK</v>
      </c>
      <c r="S82" s="41" t="str">
        <f t="shared" si="3"/>
        <v>CHECK</v>
      </c>
      <c r="T82" s="41" t="str">
        <f t="shared" si="3"/>
        <v>CHECK</v>
      </c>
      <c r="U82" s="41"/>
      <c r="V82" s="41"/>
    </row>
    <row r="83" spans="1:22" x14ac:dyDescent="0.25">
      <c r="A83" s="11" t="s">
        <v>74</v>
      </c>
      <c r="B83" s="11" t="s">
        <v>958</v>
      </c>
      <c r="C83" s="11"/>
      <c r="D83" s="11" t="s">
        <v>892</v>
      </c>
      <c r="E83" s="41" t="str">
        <f t="shared" ref="E83:T83" si="4">IFERROR(((E15/E61)-1),"CHECK")</f>
        <v>CHECK</v>
      </c>
      <c r="F83" s="41" t="str">
        <f t="shared" si="4"/>
        <v>CHECK</v>
      </c>
      <c r="G83" s="41" t="str">
        <f t="shared" si="4"/>
        <v>CHECK</v>
      </c>
      <c r="H83" s="41" t="str">
        <f t="shared" si="4"/>
        <v>CHECK</v>
      </c>
      <c r="I83" s="41" t="str">
        <f t="shared" si="4"/>
        <v>CHECK</v>
      </c>
      <c r="J83" s="41" t="str">
        <f t="shared" si="4"/>
        <v>CHECK</v>
      </c>
      <c r="K83" s="41" t="str">
        <f t="shared" si="4"/>
        <v>CHECK</v>
      </c>
      <c r="L83" s="41" t="str">
        <f t="shared" si="4"/>
        <v>CHECK</v>
      </c>
      <c r="M83" s="41" t="str">
        <f t="shared" si="4"/>
        <v>CHECK</v>
      </c>
      <c r="N83" s="41" t="str">
        <f t="shared" si="4"/>
        <v>CHECK</v>
      </c>
      <c r="O83" s="41" t="str">
        <f t="shared" si="4"/>
        <v>CHECK</v>
      </c>
      <c r="P83" s="41" t="str">
        <f t="shared" si="4"/>
        <v>CHECK</v>
      </c>
      <c r="Q83" s="41" t="str">
        <f t="shared" si="4"/>
        <v>CHECK</v>
      </c>
      <c r="R83" s="41" t="str">
        <f t="shared" si="4"/>
        <v>CHECK</v>
      </c>
      <c r="S83" s="41" t="str">
        <f t="shared" si="4"/>
        <v>CHECK</v>
      </c>
      <c r="T83" s="41" t="str">
        <f t="shared" si="4"/>
        <v>CHECK</v>
      </c>
      <c r="U83" s="41"/>
      <c r="V83" s="41"/>
    </row>
    <row r="86" spans="1:22" x14ac:dyDescent="0.25">
      <c r="A86" s="8"/>
      <c r="B86" s="9" t="s">
        <v>877</v>
      </c>
      <c r="C86" s="8"/>
      <c r="D86" s="8"/>
      <c r="E86" s="8"/>
      <c r="F86" s="8"/>
      <c r="G86" s="8"/>
      <c r="H86" s="8"/>
      <c r="I86" s="8"/>
      <c r="J86" s="8"/>
      <c r="K86" s="8"/>
      <c r="L86" s="8"/>
      <c r="M86" s="8"/>
      <c r="N86" s="8"/>
      <c r="O86" s="8"/>
      <c r="P86" s="8"/>
      <c r="Q86" s="8"/>
      <c r="R86" s="8"/>
      <c r="S86" s="8"/>
      <c r="T86" s="8"/>
      <c r="U86" s="8"/>
      <c r="V86" s="8"/>
    </row>
    <row r="88" spans="1:22" x14ac:dyDescent="0.25">
      <c r="A88" s="11" t="s">
        <v>74</v>
      </c>
      <c r="B88" s="11" t="s">
        <v>959</v>
      </c>
      <c r="C88" s="11" t="s">
        <v>488</v>
      </c>
      <c r="D88" s="11" t="s">
        <v>960</v>
      </c>
      <c r="E88" s="41" t="str">
        <f t="shared" ref="E88:T88" si="5">IFERROR(((E19/E65)-1),"CHECK")</f>
        <v>CHECK</v>
      </c>
      <c r="F88" s="41" t="str">
        <f t="shared" si="5"/>
        <v>CHECK</v>
      </c>
      <c r="G88" s="41" t="str">
        <f t="shared" si="5"/>
        <v>CHECK</v>
      </c>
      <c r="H88" s="41" t="str">
        <f t="shared" si="5"/>
        <v>CHECK</v>
      </c>
      <c r="I88" s="41" t="str">
        <f t="shared" si="5"/>
        <v>CHECK</v>
      </c>
      <c r="J88" s="41" t="str">
        <f t="shared" si="5"/>
        <v>CHECK</v>
      </c>
      <c r="K88" s="41" t="str">
        <f t="shared" si="5"/>
        <v>CHECK</v>
      </c>
      <c r="L88" s="41" t="str">
        <f t="shared" si="5"/>
        <v>CHECK</v>
      </c>
      <c r="M88" s="41" t="str">
        <f t="shared" si="5"/>
        <v>CHECK</v>
      </c>
      <c r="N88" s="41" t="str">
        <f t="shared" si="5"/>
        <v>CHECK</v>
      </c>
      <c r="O88" s="41" t="str">
        <f t="shared" si="5"/>
        <v>CHECK</v>
      </c>
      <c r="P88" s="41" t="str">
        <f t="shared" si="5"/>
        <v>CHECK</v>
      </c>
      <c r="Q88" s="41" t="str">
        <f t="shared" si="5"/>
        <v>CHECK</v>
      </c>
      <c r="R88" s="41" t="str">
        <f t="shared" si="5"/>
        <v>CHECK</v>
      </c>
      <c r="S88" s="41" t="str">
        <f t="shared" si="5"/>
        <v>CHECK</v>
      </c>
      <c r="T88" s="41" t="str">
        <f t="shared" si="5"/>
        <v>CHECK</v>
      </c>
      <c r="U88" s="41"/>
      <c r="V88" s="41"/>
    </row>
    <row r="89" spans="1:22" x14ac:dyDescent="0.25">
      <c r="A89" s="11" t="s">
        <v>74</v>
      </c>
      <c r="B89" s="11" t="s">
        <v>961</v>
      </c>
      <c r="C89" s="11" t="s">
        <v>488</v>
      </c>
      <c r="D89" s="11" t="s">
        <v>960</v>
      </c>
      <c r="E89" s="41" t="str">
        <f t="shared" ref="E89:T89" si="6">IFERROR(((E20/E66)-1),"CHECK")</f>
        <v>CHECK</v>
      </c>
      <c r="F89" s="41" t="str">
        <f t="shared" si="6"/>
        <v>CHECK</v>
      </c>
      <c r="G89" s="41" t="str">
        <f t="shared" si="6"/>
        <v>CHECK</v>
      </c>
      <c r="H89" s="41" t="str">
        <f t="shared" si="6"/>
        <v>CHECK</v>
      </c>
      <c r="I89" s="41" t="str">
        <f t="shared" si="6"/>
        <v>CHECK</v>
      </c>
      <c r="J89" s="41" t="str">
        <f t="shared" si="6"/>
        <v>CHECK</v>
      </c>
      <c r="K89" s="41" t="str">
        <f t="shared" si="6"/>
        <v>CHECK</v>
      </c>
      <c r="L89" s="41" t="str">
        <f t="shared" si="6"/>
        <v>CHECK</v>
      </c>
      <c r="M89" s="41" t="str">
        <f t="shared" si="6"/>
        <v>CHECK</v>
      </c>
      <c r="N89" s="41" t="str">
        <f t="shared" si="6"/>
        <v>CHECK</v>
      </c>
      <c r="O89" s="41" t="str">
        <f t="shared" si="6"/>
        <v>CHECK</v>
      </c>
      <c r="P89" s="41" t="str">
        <f t="shared" si="6"/>
        <v>CHECK</v>
      </c>
      <c r="Q89" s="41" t="str">
        <f t="shared" si="6"/>
        <v>CHECK</v>
      </c>
      <c r="R89" s="41" t="str">
        <f t="shared" si="6"/>
        <v>CHECK</v>
      </c>
      <c r="S89" s="41" t="str">
        <f t="shared" si="6"/>
        <v>CHECK</v>
      </c>
      <c r="T89" s="41" t="str">
        <f t="shared" si="6"/>
        <v>CHECK</v>
      </c>
      <c r="U89" s="41"/>
      <c r="V89" s="41"/>
    </row>
    <row r="91" spans="1:22" x14ac:dyDescent="0.25">
      <c r="A91" s="8"/>
      <c r="B91" s="9" t="s">
        <v>619</v>
      </c>
      <c r="C91" s="8"/>
      <c r="D91" s="8"/>
      <c r="E91" s="8"/>
      <c r="F91" s="8"/>
      <c r="G91" s="8"/>
      <c r="H91" s="8"/>
      <c r="I91" s="8"/>
      <c r="J91" s="8"/>
      <c r="K91" s="8"/>
      <c r="L91" s="8"/>
      <c r="M91" s="8"/>
      <c r="N91" s="8"/>
      <c r="O91" s="8"/>
      <c r="P91" s="8"/>
      <c r="Q91" s="8"/>
      <c r="R91" s="8"/>
      <c r="S91" s="8"/>
      <c r="T91" s="8"/>
      <c r="U91" s="8"/>
      <c r="V91" s="8"/>
    </row>
    <row r="93" spans="1:22" x14ac:dyDescent="0.25">
      <c r="A93" s="11" t="s">
        <v>74</v>
      </c>
      <c r="B93" s="11" t="s">
        <v>962</v>
      </c>
      <c r="C93" s="11" t="s">
        <v>488</v>
      </c>
      <c r="D93" s="11" t="s">
        <v>963</v>
      </c>
      <c r="E93" s="41" t="str">
        <f t="shared" ref="E93:T93" si="7">IFERROR(((E24/E70)-1),"CHECK")</f>
        <v>CHECK</v>
      </c>
      <c r="F93" s="41" t="str">
        <f t="shared" si="7"/>
        <v>CHECK</v>
      </c>
      <c r="G93" s="41" t="str">
        <f t="shared" si="7"/>
        <v>CHECK</v>
      </c>
      <c r="H93" s="41" t="str">
        <f t="shared" si="7"/>
        <v>CHECK</v>
      </c>
      <c r="I93" s="41" t="str">
        <f t="shared" si="7"/>
        <v>CHECK</v>
      </c>
      <c r="J93" s="41" t="str">
        <f t="shared" si="7"/>
        <v>CHECK</v>
      </c>
      <c r="K93" s="41" t="str">
        <f t="shared" si="7"/>
        <v>CHECK</v>
      </c>
      <c r="L93" s="41" t="str">
        <f t="shared" si="7"/>
        <v>CHECK</v>
      </c>
      <c r="M93" s="41" t="str">
        <f t="shared" si="7"/>
        <v>CHECK</v>
      </c>
      <c r="N93" s="41" t="str">
        <f t="shared" si="7"/>
        <v>CHECK</v>
      </c>
      <c r="O93" s="41" t="str">
        <f t="shared" si="7"/>
        <v>CHECK</v>
      </c>
      <c r="P93" s="41" t="str">
        <f t="shared" si="7"/>
        <v>CHECK</v>
      </c>
      <c r="Q93" s="41" t="str">
        <f t="shared" si="7"/>
        <v>CHECK</v>
      </c>
      <c r="R93" s="41" t="str">
        <f t="shared" si="7"/>
        <v>CHECK</v>
      </c>
      <c r="S93" s="41" t="str">
        <f t="shared" si="7"/>
        <v>CHECK</v>
      </c>
      <c r="T93" s="41" t="str">
        <f t="shared" si="7"/>
        <v>CHECK</v>
      </c>
      <c r="U93" s="41"/>
      <c r="V93" s="41"/>
    </row>
    <row r="94" spans="1:22" x14ac:dyDescent="0.25">
      <c r="A94" s="11" t="s">
        <v>74</v>
      </c>
      <c r="B94" s="11" t="s">
        <v>962</v>
      </c>
      <c r="C94" s="11" t="s">
        <v>488</v>
      </c>
      <c r="D94" s="11" t="s">
        <v>925</v>
      </c>
      <c r="E94" s="41">
        <f t="shared" ref="E94:T94" si="8">IFERROR(((E25/E71)-1),"CHECK")</f>
        <v>0</v>
      </c>
      <c r="F94" s="41">
        <f t="shared" si="8"/>
        <v>0</v>
      </c>
      <c r="G94" s="41">
        <f t="shared" si="8"/>
        <v>0</v>
      </c>
      <c r="H94" s="41">
        <f t="shared" si="8"/>
        <v>0</v>
      </c>
      <c r="I94" s="41">
        <f t="shared" si="8"/>
        <v>0</v>
      </c>
      <c r="J94" s="41">
        <f t="shared" si="8"/>
        <v>0</v>
      </c>
      <c r="K94" s="41">
        <f t="shared" si="8"/>
        <v>0</v>
      </c>
      <c r="L94" s="41">
        <f t="shared" si="8"/>
        <v>0</v>
      </c>
      <c r="M94" s="41">
        <f t="shared" si="8"/>
        <v>0</v>
      </c>
      <c r="N94" s="41">
        <f t="shared" si="8"/>
        <v>0</v>
      </c>
      <c r="O94" s="41">
        <f t="shared" si="8"/>
        <v>0</v>
      </c>
      <c r="P94" s="41">
        <f t="shared" si="8"/>
        <v>0</v>
      </c>
      <c r="Q94" s="41">
        <f t="shared" si="8"/>
        <v>0</v>
      </c>
      <c r="R94" s="41">
        <f t="shared" si="8"/>
        <v>0</v>
      </c>
      <c r="S94" s="41">
        <f t="shared" si="8"/>
        <v>0</v>
      </c>
      <c r="T94" s="41">
        <f t="shared" si="8"/>
        <v>0</v>
      </c>
      <c r="U94" s="41"/>
      <c r="V94" s="41"/>
    </row>
    <row r="95" spans="1:22" x14ac:dyDescent="0.25">
      <c r="A95" s="11" t="s">
        <v>74</v>
      </c>
      <c r="B95" s="11" t="s">
        <v>964</v>
      </c>
      <c r="C95" s="11" t="s">
        <v>488</v>
      </c>
      <c r="D95" s="11" t="s">
        <v>963</v>
      </c>
      <c r="E95" s="41" t="str">
        <f t="shared" ref="E95:T95" si="9">IFERROR(((E26/E72)-1),"CHECK")</f>
        <v>CHECK</v>
      </c>
      <c r="F95" s="41" t="str">
        <f t="shared" si="9"/>
        <v>CHECK</v>
      </c>
      <c r="G95" s="41" t="str">
        <f t="shared" si="9"/>
        <v>CHECK</v>
      </c>
      <c r="H95" s="41" t="str">
        <f t="shared" si="9"/>
        <v>CHECK</v>
      </c>
      <c r="I95" s="41" t="str">
        <f t="shared" si="9"/>
        <v>CHECK</v>
      </c>
      <c r="J95" s="41" t="str">
        <f t="shared" si="9"/>
        <v>CHECK</v>
      </c>
      <c r="K95" s="41" t="str">
        <f t="shared" si="9"/>
        <v>CHECK</v>
      </c>
      <c r="L95" s="41" t="str">
        <f t="shared" si="9"/>
        <v>CHECK</v>
      </c>
      <c r="M95" s="41" t="str">
        <f t="shared" si="9"/>
        <v>CHECK</v>
      </c>
      <c r="N95" s="41" t="str">
        <f t="shared" si="9"/>
        <v>CHECK</v>
      </c>
      <c r="O95" s="41" t="str">
        <f t="shared" si="9"/>
        <v>CHECK</v>
      </c>
      <c r="P95" s="41" t="str">
        <f t="shared" si="9"/>
        <v>CHECK</v>
      </c>
      <c r="Q95" s="41" t="str">
        <f t="shared" si="9"/>
        <v>CHECK</v>
      </c>
      <c r="R95" s="41" t="str">
        <f t="shared" si="9"/>
        <v>CHECK</v>
      </c>
      <c r="S95" s="41" t="str">
        <f t="shared" si="9"/>
        <v>CHECK</v>
      </c>
      <c r="T95" s="41" t="str">
        <f t="shared" si="9"/>
        <v>CHECK</v>
      </c>
      <c r="U95" s="41"/>
      <c r="V95" s="41"/>
    </row>
    <row r="96" spans="1:22" x14ac:dyDescent="0.25">
      <c r="A96" s="11" t="s">
        <v>74</v>
      </c>
      <c r="B96" s="11" t="s">
        <v>964</v>
      </c>
      <c r="C96" s="11" t="s">
        <v>488</v>
      </c>
      <c r="D96" s="11" t="s">
        <v>925</v>
      </c>
      <c r="E96" s="41">
        <f t="shared" ref="E96:T96" si="10">IFERROR(((E27/E73)-1),"CHECK")</f>
        <v>0</v>
      </c>
      <c r="F96" s="41">
        <f t="shared" si="10"/>
        <v>0</v>
      </c>
      <c r="G96" s="41">
        <f t="shared" si="10"/>
        <v>0</v>
      </c>
      <c r="H96" s="41">
        <f t="shared" si="10"/>
        <v>0</v>
      </c>
      <c r="I96" s="41">
        <f t="shared" si="10"/>
        <v>0</v>
      </c>
      <c r="J96" s="41">
        <f t="shared" si="10"/>
        <v>0</v>
      </c>
      <c r="K96" s="41">
        <f t="shared" si="10"/>
        <v>0</v>
      </c>
      <c r="L96" s="41">
        <f t="shared" si="10"/>
        <v>0</v>
      </c>
      <c r="M96" s="41">
        <f t="shared" si="10"/>
        <v>0</v>
      </c>
      <c r="N96" s="41">
        <f t="shared" si="10"/>
        <v>0</v>
      </c>
      <c r="O96" s="41">
        <f t="shared" si="10"/>
        <v>0</v>
      </c>
      <c r="P96" s="41">
        <f t="shared" si="10"/>
        <v>0</v>
      </c>
      <c r="Q96" s="41">
        <f t="shared" si="10"/>
        <v>0</v>
      </c>
      <c r="R96" s="41">
        <f t="shared" si="10"/>
        <v>0</v>
      </c>
      <c r="S96" s="41">
        <f t="shared" si="10"/>
        <v>0</v>
      </c>
      <c r="T96" s="41">
        <f t="shared" si="10"/>
        <v>0</v>
      </c>
      <c r="U96" s="41"/>
      <c r="V96" s="41"/>
    </row>
    <row r="97" spans="1:22" x14ac:dyDescent="0.25">
      <c r="A97" s="11" t="s">
        <v>74</v>
      </c>
      <c r="B97" s="11" t="s">
        <v>962</v>
      </c>
      <c r="C97" s="11" t="s">
        <v>956</v>
      </c>
      <c r="D97" s="11" t="s">
        <v>955</v>
      </c>
      <c r="E97" s="41">
        <f t="shared" ref="E97:T97" si="11">IFERROR(((E28/E74)-1),"CHECK")</f>
        <v>0</v>
      </c>
      <c r="F97" s="41">
        <f t="shared" si="11"/>
        <v>0</v>
      </c>
      <c r="G97" s="41">
        <f t="shared" si="11"/>
        <v>0</v>
      </c>
      <c r="H97" s="41">
        <f t="shared" si="11"/>
        <v>0</v>
      </c>
      <c r="I97" s="41">
        <f t="shared" si="11"/>
        <v>0</v>
      </c>
      <c r="J97" s="41">
        <f t="shared" si="11"/>
        <v>0</v>
      </c>
      <c r="K97" s="41">
        <f t="shared" si="11"/>
        <v>0</v>
      </c>
      <c r="L97" s="41">
        <f t="shared" si="11"/>
        <v>0</v>
      </c>
      <c r="M97" s="41">
        <f t="shared" si="11"/>
        <v>0</v>
      </c>
      <c r="N97" s="41">
        <f t="shared" si="11"/>
        <v>0</v>
      </c>
      <c r="O97" s="41">
        <f t="shared" si="11"/>
        <v>0</v>
      </c>
      <c r="P97" s="41">
        <f t="shared" si="11"/>
        <v>0</v>
      </c>
      <c r="Q97" s="41">
        <f t="shared" si="11"/>
        <v>0</v>
      </c>
      <c r="R97" s="41">
        <f t="shared" si="11"/>
        <v>0</v>
      </c>
      <c r="S97" s="41">
        <f t="shared" si="11"/>
        <v>0</v>
      </c>
      <c r="T97" s="41">
        <f t="shared" si="11"/>
        <v>0</v>
      </c>
      <c r="U97" s="41"/>
      <c r="V97" s="41"/>
    </row>
    <row r="98" spans="1:22" x14ac:dyDescent="0.25">
      <c r="A98" s="11" t="s">
        <v>74</v>
      </c>
      <c r="B98" s="11" t="s">
        <v>964</v>
      </c>
      <c r="C98" s="11" t="s">
        <v>956</v>
      </c>
      <c r="D98" s="11" t="s">
        <v>955</v>
      </c>
      <c r="E98" s="41">
        <f t="shared" ref="E98:T98" si="12">IFERROR(((E29/E75)-1),"CHECK")</f>
        <v>0</v>
      </c>
      <c r="F98" s="41">
        <f t="shared" si="12"/>
        <v>0</v>
      </c>
      <c r="G98" s="41">
        <f t="shared" si="12"/>
        <v>0</v>
      </c>
      <c r="H98" s="41">
        <f t="shared" si="12"/>
        <v>0</v>
      </c>
      <c r="I98" s="41">
        <f t="shared" si="12"/>
        <v>0</v>
      </c>
      <c r="J98" s="41">
        <f t="shared" si="12"/>
        <v>0</v>
      </c>
      <c r="K98" s="41">
        <f t="shared" si="12"/>
        <v>0</v>
      </c>
      <c r="L98" s="41">
        <f t="shared" si="12"/>
        <v>0</v>
      </c>
      <c r="M98" s="41">
        <f t="shared" si="12"/>
        <v>0</v>
      </c>
      <c r="N98" s="41">
        <f t="shared" si="12"/>
        <v>0</v>
      </c>
      <c r="O98" s="41">
        <f t="shared" si="12"/>
        <v>0</v>
      </c>
      <c r="P98" s="41">
        <f t="shared" si="12"/>
        <v>0</v>
      </c>
      <c r="Q98" s="41">
        <f t="shared" si="12"/>
        <v>0</v>
      </c>
      <c r="R98" s="41">
        <f t="shared" si="12"/>
        <v>0</v>
      </c>
      <c r="S98" s="41">
        <f t="shared" si="12"/>
        <v>0</v>
      </c>
      <c r="T98" s="41">
        <f t="shared" si="12"/>
        <v>0</v>
      </c>
      <c r="U98" s="41"/>
      <c r="V98" s="41"/>
    </row>
    <row r="99" spans="1:22" x14ac:dyDescent="0.25">
      <c r="A99" s="11" t="s">
        <v>74</v>
      </c>
      <c r="B99" s="11" t="s">
        <v>922</v>
      </c>
      <c r="C99" s="11" t="s">
        <v>956</v>
      </c>
      <c r="D99" s="11" t="s">
        <v>955</v>
      </c>
      <c r="E99" s="41">
        <f t="shared" ref="E99:T99" si="13">IFERROR(((E30/E76)-1),"CHECK")</f>
        <v>0</v>
      </c>
      <c r="F99" s="41">
        <f t="shared" si="13"/>
        <v>0</v>
      </c>
      <c r="G99" s="41">
        <f t="shared" si="13"/>
        <v>0</v>
      </c>
      <c r="H99" s="41">
        <f t="shared" si="13"/>
        <v>0</v>
      </c>
      <c r="I99" s="41">
        <f t="shared" si="13"/>
        <v>0</v>
      </c>
      <c r="J99" s="41">
        <f t="shared" si="13"/>
        <v>0</v>
      </c>
      <c r="K99" s="41">
        <f t="shared" si="13"/>
        <v>0</v>
      </c>
      <c r="L99" s="41">
        <f t="shared" si="13"/>
        <v>0</v>
      </c>
      <c r="M99" s="41">
        <f t="shared" si="13"/>
        <v>0</v>
      </c>
      <c r="N99" s="41">
        <f t="shared" si="13"/>
        <v>0</v>
      </c>
      <c r="O99" s="41">
        <f t="shared" si="13"/>
        <v>0</v>
      </c>
      <c r="P99" s="41">
        <f t="shared" si="13"/>
        <v>0</v>
      </c>
      <c r="Q99" s="41">
        <f t="shared" si="13"/>
        <v>0</v>
      </c>
      <c r="R99" s="41">
        <f t="shared" si="13"/>
        <v>0</v>
      </c>
      <c r="S99" s="41">
        <f t="shared" si="13"/>
        <v>0</v>
      </c>
      <c r="T99" s="41">
        <f t="shared" si="13"/>
        <v>0</v>
      </c>
      <c r="U99" s="41"/>
      <c r="V99" s="41"/>
    </row>
    <row r="100" spans="1:22" x14ac:dyDescent="0.25">
      <c r="B100" s="14"/>
    </row>
    <row r="101" spans="1:22" x14ac:dyDescent="0.25">
      <c r="B101" s="14"/>
    </row>
    <row r="102" spans="1:22" x14ac:dyDescent="0.25">
      <c r="B102" s="14"/>
    </row>
    <row r="103" spans="1:22" x14ac:dyDescent="0.25">
      <c r="B103" s="14"/>
    </row>
  </sheetData>
  <mergeCells count="2">
    <mergeCell ref="C1:J1"/>
    <mergeCell ref="C2:J2"/>
  </mergeCells>
  <conditionalFormatting sqref="K2">
    <cfRule type="expression" dxfId="29" priority="2">
      <formula>(UPPER(LEFT(SUBSTITUTE($Z2,"#",""),5))="FIXCH")</formula>
    </cfRule>
    <cfRule type="expression" dxfId="28" priority="3">
      <formula>(UPPER(SUBSTITUTE($Z2,"#",""))="OK")</formula>
    </cfRule>
  </conditionalFormatting>
  <conditionalFormatting sqref="E93:S99 E82:S83 E88:S89">
    <cfRule type="colorScale" priority="4">
      <colorScale>
        <cfvo type="min"/>
        <cfvo type="num" val="0"/>
        <cfvo type="max"/>
        <color theme="3" tint="0.59999389629810485"/>
        <color theme="0"/>
        <color rgb="FFEE9CA4"/>
      </colorScale>
    </cfRule>
  </conditionalFormatting>
  <conditionalFormatting sqref="T93:V99 T82:V83 T88:V89">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6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600-00002E000000}">
          <x14:colorSeries rgb="FF376092"/>
          <x14:colorNegative rgb="FFD00000"/>
          <x14:colorAxis rgb="FF000000"/>
          <x14:colorMarkers rgb="FFD00000"/>
          <x14:colorFirst rgb="FFD00000"/>
          <x14:colorLast rgb="FFD00000"/>
          <x14:colorHigh rgb="FFD00000"/>
          <x14:colorLow rgb="FFD00000"/>
          <x14:sparklines>
            <x14:sparkline>
              <xm:f>'2B2 Nitric Acid Production'!E70:T70</xm:f>
              <xm:sqref>W70</xm:sqref>
            </x14:sparkline>
            <x14:sparkline>
              <xm:f>'2B2 Nitric Acid Production'!E71:T71</xm:f>
              <xm:sqref>W71</xm:sqref>
            </x14:sparkline>
            <x14:sparkline>
              <xm:f>'2B2 Nitric Acid Production'!E72:T72</xm:f>
              <xm:sqref>W72</xm:sqref>
            </x14:sparkline>
            <x14:sparkline>
              <xm:f>'2B2 Nitric Acid Production'!E73:T73</xm:f>
              <xm:sqref>W73</xm:sqref>
            </x14:sparkline>
            <x14:sparkline>
              <xm:f>'2B2 Nitric Acid Production'!E74:T74</xm:f>
              <xm:sqref>W74</xm:sqref>
            </x14:sparkline>
            <x14:sparkline>
              <xm:f>'2B2 Nitric Acid Production'!E75:T75</xm:f>
              <xm:sqref>W75</xm:sqref>
            </x14:sparkline>
            <x14:sparkline>
              <xm:f>'2B2 Nitric Acid Production'!E76:T76</xm:f>
              <xm:sqref>W76</xm:sqref>
            </x14:sparkline>
          </x14:sparklines>
        </x14:sparklineGroup>
        <x14:sparklineGroup manualMax="0" manualMin="0" displayEmptyCellsAs="gap" xr2:uid="{00000000-0003-0000-1600-00002D000000}">
          <x14:colorSeries rgb="FF376092"/>
          <x14:colorNegative rgb="FFD00000"/>
          <x14:colorAxis rgb="FF000000"/>
          <x14:colorMarkers rgb="FFD00000"/>
          <x14:colorFirst rgb="FFD00000"/>
          <x14:colorLast rgb="FFD00000"/>
          <x14:colorHigh rgb="FFD00000"/>
          <x14:colorLow rgb="FFD00000"/>
          <x14:sparklines>
            <x14:sparkline>
              <xm:f>'2B2 Nitric Acid Production'!E65:T65</xm:f>
              <xm:sqref>W65</xm:sqref>
            </x14:sparkline>
          </x14:sparklines>
        </x14:sparklineGroup>
        <x14:sparklineGroup manualMax="0" manualMin="0" displayEmptyCellsAs="gap" xr2:uid="{00000000-0003-0000-1600-00002C000000}">
          <x14:colorSeries rgb="FF376092"/>
          <x14:colorNegative rgb="FFD00000"/>
          <x14:colorAxis rgb="FF000000"/>
          <x14:colorMarkers rgb="FFD00000"/>
          <x14:colorFirst rgb="FFD00000"/>
          <x14:colorLast rgb="FFD00000"/>
          <x14:colorHigh rgb="FFD00000"/>
          <x14:colorLow rgb="FFD00000"/>
          <x14:sparklines>
            <x14:sparkline>
              <xm:f>'2B2 Nitric Acid Production'!E60:T60</xm:f>
              <xm:sqref>W60</xm:sqref>
            </x14:sparkline>
          </x14:sparklines>
        </x14:sparklineGroup>
        <x14:sparklineGroup manualMax="0" manualMin="0" displayEmptyCellsAs="gap" xr2:uid="{00000000-0003-0000-1600-00002B000000}">
          <x14:colorSeries rgb="FF376092"/>
          <x14:colorNegative rgb="FFD00000"/>
          <x14:colorAxis rgb="FF000000"/>
          <x14:colorMarkers rgb="FFD00000"/>
          <x14:colorFirst rgb="FFD00000"/>
          <x14:colorLast rgb="FFD00000"/>
          <x14:colorHigh rgb="FFD00000"/>
          <x14:colorLow rgb="FFD00000"/>
          <x14:sparklines>
            <x14:sparkline>
              <xm:f>'2B2 Nitric Acid Production'!E24:V24</xm:f>
              <xm:sqref>W24</xm:sqref>
            </x14:sparkline>
            <x14:sparkline>
              <xm:f>'2B2 Nitric Acid Production'!E25:V25</xm:f>
              <xm:sqref>W25</xm:sqref>
            </x14:sparkline>
            <x14:sparkline>
              <xm:f>'2B2 Nitric Acid Production'!E26:V26</xm:f>
              <xm:sqref>W26</xm:sqref>
            </x14:sparkline>
            <x14:sparkline>
              <xm:f>'2B2 Nitric Acid Production'!E27:V27</xm:f>
              <xm:sqref>W27</xm:sqref>
            </x14:sparkline>
            <x14:sparkline>
              <xm:f>'2B2 Nitric Acid Production'!E28:V28</xm:f>
              <xm:sqref>W28</xm:sqref>
            </x14:sparkline>
            <x14:sparkline>
              <xm:f>'2B2 Nitric Acid Production'!E29:V29</xm:f>
              <xm:sqref>W29</xm:sqref>
            </x14:sparkline>
            <x14:sparkline>
              <xm:f>'2B2 Nitric Acid Production'!E30:V30</xm:f>
              <xm:sqref>W30</xm:sqref>
            </x14:sparkline>
          </x14:sparklines>
        </x14:sparklineGroup>
        <x14:sparklineGroup manualMax="0" manualMin="0" displayEmptyCellsAs="gap" xr2:uid="{00000000-0003-0000-1600-00002A000000}">
          <x14:colorSeries rgb="FF376092"/>
          <x14:colorNegative rgb="FFD00000"/>
          <x14:colorAxis rgb="FF000000"/>
          <x14:colorMarkers rgb="FFD00000"/>
          <x14:colorFirst rgb="FFD00000"/>
          <x14:colorLast rgb="FFD00000"/>
          <x14:colorHigh rgb="FFD00000"/>
          <x14:colorLow rgb="FFD00000"/>
          <x14:sparklines>
            <x14:sparkline>
              <xm:f>'2B2 Nitric Acid Production'!E15:V15</xm:f>
              <xm:sqref>W15</xm:sqref>
            </x14:sparkline>
            <x14:sparkline>
              <xm:f>'2B2 Nitric Acid Production'!E14:V14</xm:f>
              <xm:sqref>W14</xm:sqref>
            </x14:sparkline>
          </x14:sparklines>
        </x14:sparklineGroup>
        <x14:sparklineGroup manualMax="0" manualMin="0" displayEmptyCellsAs="gap" xr2:uid="{00000000-0003-0000-1600-000029000000}">
          <x14:colorSeries rgb="FF376092"/>
          <x14:colorNegative rgb="FFD00000"/>
          <x14:colorAxis rgb="FF000000"/>
          <x14:colorMarkers rgb="FFD00000"/>
          <x14:colorFirst rgb="FFD00000"/>
          <x14:colorLast rgb="FFD00000"/>
          <x14:colorHigh rgb="FFD00000"/>
          <x14:colorLow rgb="FFD00000"/>
          <x14:sparklines>
            <x14:sparkline>
              <xm:f>'2B2 Nitric Acid Production'!E20:V20</xm:f>
              <xm:sqref>W20</xm:sqref>
            </x14:sparkline>
            <x14:sparkline>
              <xm:f>'2B2 Nitric Acid Production'!E19:V19</xm:f>
              <xm:sqref>W19</xm:sqref>
            </x14:sparkline>
          </x14:sparklines>
        </x14:sparklineGroup>
      </x14:sparklineGroup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tabColor theme="3" tint="0.79998168889431442"/>
  </sheetPr>
  <dimension ref="A1:Y117"/>
  <sheetViews>
    <sheetView topLeftCell="A72" workbookViewId="0">
      <selection activeCell="B8" sqref="B8"/>
    </sheetView>
  </sheetViews>
  <sheetFormatPr defaultRowHeight="15" x14ac:dyDescent="0.25"/>
  <cols>
    <col min="1" max="1" width="24.85546875" bestFit="1"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2B5 Carbide Production</v>
      </c>
      <c r="C1" s="261" t="s">
        <v>856</v>
      </c>
      <c r="D1" s="262"/>
      <c r="E1" s="262"/>
      <c r="F1" s="262"/>
      <c r="G1" s="262"/>
      <c r="H1" s="262"/>
      <c r="I1" s="262"/>
      <c r="J1" s="263"/>
      <c r="K1" s="14"/>
    </row>
    <row r="2" spans="1:25" ht="49.5" customHeight="1" x14ac:dyDescent="0.25">
      <c r="A2" s="15" t="s">
        <v>736</v>
      </c>
      <c r="B2" s="33" t="s">
        <v>857</v>
      </c>
      <c r="C2" s="264" t="s">
        <v>965</v>
      </c>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938</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939</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77</v>
      </c>
      <c r="B14" t="s">
        <v>966</v>
      </c>
      <c r="D14" t="s">
        <v>892</v>
      </c>
      <c r="E14" s="114"/>
      <c r="F14" s="114"/>
      <c r="G14" s="114"/>
      <c r="H14" s="114"/>
      <c r="I14" s="114"/>
      <c r="J14" s="114"/>
      <c r="K14" s="114"/>
      <c r="L14" s="114"/>
      <c r="M14" s="114"/>
      <c r="N14" s="114"/>
      <c r="O14" s="114"/>
      <c r="P14" s="114"/>
      <c r="Q14" s="114"/>
      <c r="R14" s="114"/>
      <c r="S14" s="114"/>
      <c r="T14" s="114"/>
      <c r="U14" s="114"/>
      <c r="V14" s="114"/>
    </row>
    <row r="15" spans="1:25" x14ac:dyDescent="0.25">
      <c r="A15" t="s">
        <v>77</v>
      </c>
      <c r="B15" t="s">
        <v>967</v>
      </c>
      <c r="D15" t="s">
        <v>892</v>
      </c>
      <c r="E15" s="114">
        <v>1817</v>
      </c>
      <c r="F15" s="114">
        <v>1818</v>
      </c>
      <c r="G15" s="114">
        <v>4091</v>
      </c>
      <c r="H15" s="114">
        <v>4345</v>
      </c>
      <c r="I15" s="114">
        <v>3842</v>
      </c>
      <c r="J15" s="114">
        <v>4886</v>
      </c>
      <c r="K15" s="114">
        <v>4572</v>
      </c>
      <c r="L15" s="114">
        <v>4850</v>
      </c>
      <c r="M15" s="114">
        <v>4869</v>
      </c>
      <c r="N15" s="114">
        <v>4765</v>
      </c>
      <c r="O15" s="114">
        <v>4768</v>
      </c>
      <c r="P15" s="114">
        <v>4770</v>
      </c>
      <c r="Q15" s="114">
        <v>4772</v>
      </c>
      <c r="R15" s="114">
        <v>4768</v>
      </c>
      <c r="S15" s="198">
        <f>-38.094*15^2+757.72*15+1288.4</f>
        <v>4083.0500000000015</v>
      </c>
      <c r="T15" s="198">
        <f>-38.094*16^2+757.72*16+1288.4</f>
        <v>3659.8560000000002</v>
      </c>
      <c r="U15" s="198">
        <f>-38.094*17^2+757.72*17+1288.4</f>
        <v>3160.4739999999988</v>
      </c>
      <c r="V15" s="198">
        <f>-38.094*18^2+757.72*18+1288.4</f>
        <v>2584.9040000000009</v>
      </c>
      <c r="Y15" t="s">
        <v>43</v>
      </c>
    </row>
    <row r="16" spans="1:25" x14ac:dyDescent="0.25">
      <c r="A16" t="s">
        <v>77</v>
      </c>
      <c r="B16" t="s">
        <v>968</v>
      </c>
      <c r="D16" t="s">
        <v>892</v>
      </c>
      <c r="E16" s="114"/>
      <c r="F16" s="114"/>
      <c r="G16" s="114"/>
      <c r="H16" s="114"/>
      <c r="I16" s="114"/>
      <c r="J16" s="114"/>
      <c r="K16" s="114"/>
      <c r="L16" s="114"/>
      <c r="M16" s="114"/>
      <c r="N16" s="114"/>
      <c r="O16" s="114"/>
      <c r="P16" s="114"/>
      <c r="Q16" s="114"/>
      <c r="R16" s="114"/>
      <c r="S16" s="114"/>
      <c r="T16" s="114"/>
      <c r="U16" s="114"/>
      <c r="V16" s="114"/>
    </row>
    <row r="18" spans="1:25" s="5" customFormat="1" ht="21" x14ac:dyDescent="0.35">
      <c r="B18" s="6" t="s">
        <v>950</v>
      </c>
      <c r="E18" s="5" t="s">
        <v>951</v>
      </c>
    </row>
    <row r="20" spans="1:25" x14ac:dyDescent="0.25">
      <c r="A20" t="s">
        <v>77</v>
      </c>
      <c r="B20" t="s">
        <v>969</v>
      </c>
      <c r="C20" t="s">
        <v>836</v>
      </c>
      <c r="D20" t="s">
        <v>970</v>
      </c>
      <c r="E20" s="205"/>
      <c r="F20" s="205"/>
      <c r="G20" s="205"/>
      <c r="H20" s="205"/>
      <c r="I20" s="205"/>
      <c r="J20" s="205"/>
      <c r="K20" s="205"/>
      <c r="L20" s="205"/>
      <c r="M20" s="205"/>
      <c r="N20" s="205"/>
      <c r="O20" s="205"/>
      <c r="P20" s="205"/>
      <c r="Q20" s="205"/>
      <c r="R20" s="205"/>
      <c r="S20" s="205"/>
      <c r="T20" s="205"/>
      <c r="U20" s="205"/>
      <c r="V20" s="205"/>
    </row>
    <row r="21" spans="1:25" x14ac:dyDescent="0.25">
      <c r="A21" t="s">
        <v>77</v>
      </c>
      <c r="B21" t="s">
        <v>971</v>
      </c>
      <c r="C21" t="s">
        <v>836</v>
      </c>
      <c r="D21" t="s">
        <v>970</v>
      </c>
      <c r="E21" s="205">
        <v>1.0900000000000001</v>
      </c>
      <c r="F21" s="205">
        <v>1.0900000000000001</v>
      </c>
      <c r="G21" s="205">
        <v>1.0900000000000001</v>
      </c>
      <c r="H21" s="205">
        <v>1.0900000000000001</v>
      </c>
      <c r="I21" s="205">
        <v>1.0900000000000001</v>
      </c>
      <c r="J21" s="205">
        <v>1.0900000000000001</v>
      </c>
      <c r="K21" s="205">
        <v>1.0900000000000001</v>
      </c>
      <c r="L21" s="205">
        <v>1.0900000000000001</v>
      </c>
      <c r="M21" s="205">
        <v>1.0900000000000001</v>
      </c>
      <c r="N21" s="205">
        <v>1.0900000000000001</v>
      </c>
      <c r="O21" s="205">
        <v>1.0900000000000001</v>
      </c>
      <c r="P21" s="205">
        <v>1.0900000000000001</v>
      </c>
      <c r="Q21" s="205">
        <v>1.0900000000000001</v>
      </c>
      <c r="R21" s="205">
        <v>1.0900000000000001</v>
      </c>
      <c r="S21" s="205">
        <v>1.0900000000000001</v>
      </c>
      <c r="T21" s="205">
        <v>1.0900000000000001</v>
      </c>
      <c r="U21" s="205">
        <v>1.0900000000000001</v>
      </c>
      <c r="V21" s="205">
        <v>1.0900000000000001</v>
      </c>
      <c r="Y21" t="s">
        <v>78</v>
      </c>
    </row>
    <row r="22" spans="1:25" x14ac:dyDescent="0.25">
      <c r="A22" t="s">
        <v>77</v>
      </c>
      <c r="B22" t="s">
        <v>972</v>
      </c>
      <c r="C22" t="s">
        <v>836</v>
      </c>
      <c r="D22" t="s">
        <v>970</v>
      </c>
      <c r="E22" s="205"/>
      <c r="F22" s="205"/>
      <c r="G22" s="205"/>
      <c r="H22" s="205"/>
      <c r="I22" s="205"/>
      <c r="J22" s="205"/>
      <c r="K22" s="205"/>
      <c r="L22" s="205"/>
      <c r="M22" s="205"/>
      <c r="N22" s="205"/>
      <c r="O22" s="205"/>
      <c r="P22" s="205"/>
      <c r="Q22" s="205"/>
      <c r="R22" s="205"/>
      <c r="S22" s="205"/>
      <c r="T22" s="205"/>
      <c r="U22" s="205"/>
      <c r="V22" s="205"/>
    </row>
    <row r="23" spans="1:25" x14ac:dyDescent="0.25">
      <c r="A23" t="s">
        <v>77</v>
      </c>
      <c r="B23" t="s">
        <v>973</v>
      </c>
      <c r="C23" t="s">
        <v>486</v>
      </c>
      <c r="D23" t="s">
        <v>974</v>
      </c>
      <c r="E23" s="205"/>
      <c r="F23" s="205"/>
      <c r="G23" s="205"/>
      <c r="H23" s="205"/>
      <c r="I23" s="205"/>
      <c r="J23" s="205"/>
      <c r="K23" s="205"/>
      <c r="L23" s="205"/>
      <c r="M23" s="205"/>
      <c r="N23" s="205"/>
      <c r="O23" s="205"/>
      <c r="P23" s="205"/>
      <c r="Q23" s="205"/>
      <c r="R23" s="205"/>
      <c r="S23" s="205"/>
      <c r="T23" s="205"/>
      <c r="U23" s="205"/>
      <c r="V23" s="205"/>
      <c r="Y23" t="s">
        <v>80</v>
      </c>
    </row>
    <row r="25" spans="1:25" s="5" customFormat="1" ht="21" x14ac:dyDescent="0.35">
      <c r="B25" s="6" t="s">
        <v>619</v>
      </c>
      <c r="E25" s="5" t="s">
        <v>881</v>
      </c>
    </row>
    <row r="27" spans="1:25" x14ac:dyDescent="0.25">
      <c r="A27" t="s">
        <v>77</v>
      </c>
      <c r="B27" t="s">
        <v>975</v>
      </c>
      <c r="C27" t="s">
        <v>836</v>
      </c>
      <c r="D27" t="s">
        <v>976</v>
      </c>
      <c r="E27" s="117">
        <f t="shared" ref="E27:S27" si="0">E14*E20</f>
        <v>0</v>
      </c>
      <c r="F27" s="117">
        <f t="shared" si="0"/>
        <v>0</v>
      </c>
      <c r="G27" s="117">
        <f t="shared" si="0"/>
        <v>0</v>
      </c>
      <c r="H27" s="117">
        <f t="shared" si="0"/>
        <v>0</v>
      </c>
      <c r="I27" s="117">
        <f t="shared" si="0"/>
        <v>0</v>
      </c>
      <c r="J27" s="117">
        <f t="shared" si="0"/>
        <v>0</v>
      </c>
      <c r="K27" s="117">
        <f t="shared" si="0"/>
        <v>0</v>
      </c>
      <c r="L27" s="117">
        <f t="shared" si="0"/>
        <v>0</v>
      </c>
      <c r="M27" s="117">
        <f t="shared" si="0"/>
        <v>0</v>
      </c>
      <c r="N27" s="117">
        <f t="shared" si="0"/>
        <v>0</v>
      </c>
      <c r="O27" s="117">
        <f t="shared" si="0"/>
        <v>0</v>
      </c>
      <c r="P27" s="117">
        <f t="shared" si="0"/>
        <v>0</v>
      </c>
      <c r="Q27" s="117">
        <f t="shared" si="0"/>
        <v>0</v>
      </c>
      <c r="R27" s="117">
        <f t="shared" si="0"/>
        <v>0</v>
      </c>
      <c r="S27" s="117">
        <f t="shared" si="0"/>
        <v>0</v>
      </c>
      <c r="T27" s="117">
        <f>T14*T20</f>
        <v>0</v>
      </c>
      <c r="U27" s="117">
        <f t="shared" ref="U27:V27" si="1">U14*U20</f>
        <v>0</v>
      </c>
      <c r="V27" s="117">
        <f t="shared" si="1"/>
        <v>0</v>
      </c>
    </row>
    <row r="28" spans="1:25" x14ac:dyDescent="0.25">
      <c r="A28" t="s">
        <v>77</v>
      </c>
      <c r="B28" t="s">
        <v>975</v>
      </c>
      <c r="C28" t="s">
        <v>836</v>
      </c>
      <c r="D28" t="s">
        <v>884</v>
      </c>
      <c r="E28" s="117">
        <f>E27/1000</f>
        <v>0</v>
      </c>
      <c r="F28" s="117">
        <f t="shared" ref="F28:S28" si="2">F27/1000</f>
        <v>0</v>
      </c>
      <c r="G28" s="117">
        <f t="shared" si="2"/>
        <v>0</v>
      </c>
      <c r="H28" s="117">
        <f t="shared" si="2"/>
        <v>0</v>
      </c>
      <c r="I28" s="117">
        <f t="shared" si="2"/>
        <v>0</v>
      </c>
      <c r="J28" s="117">
        <f t="shared" si="2"/>
        <v>0</v>
      </c>
      <c r="K28" s="117">
        <f t="shared" si="2"/>
        <v>0</v>
      </c>
      <c r="L28" s="117">
        <f t="shared" si="2"/>
        <v>0</v>
      </c>
      <c r="M28" s="117">
        <f t="shared" si="2"/>
        <v>0</v>
      </c>
      <c r="N28" s="117">
        <f t="shared" si="2"/>
        <v>0</v>
      </c>
      <c r="O28" s="117">
        <f t="shared" si="2"/>
        <v>0</v>
      </c>
      <c r="P28" s="117">
        <f t="shared" si="2"/>
        <v>0</v>
      </c>
      <c r="Q28" s="117">
        <f t="shared" si="2"/>
        <v>0</v>
      </c>
      <c r="R28" s="117">
        <f t="shared" si="2"/>
        <v>0</v>
      </c>
      <c r="S28" s="117">
        <f t="shared" si="2"/>
        <v>0</v>
      </c>
      <c r="T28" s="117">
        <f>T27/1000</f>
        <v>0</v>
      </c>
      <c r="U28" s="117">
        <f t="shared" ref="U28:V28" si="3">U27/1000</f>
        <v>0</v>
      </c>
      <c r="V28" s="117">
        <f t="shared" si="3"/>
        <v>0</v>
      </c>
    </row>
    <row r="29" spans="1:25" x14ac:dyDescent="0.25">
      <c r="A29" t="s">
        <v>77</v>
      </c>
      <c r="B29" t="s">
        <v>977</v>
      </c>
      <c r="C29" t="s">
        <v>836</v>
      </c>
      <c r="D29" t="s">
        <v>976</v>
      </c>
      <c r="E29" s="117">
        <f t="shared" ref="E29:S29" si="4">E15*E21</f>
        <v>1980.5300000000002</v>
      </c>
      <c r="F29" s="117">
        <f t="shared" si="4"/>
        <v>1981.6200000000001</v>
      </c>
      <c r="G29" s="117">
        <f t="shared" si="4"/>
        <v>4459.1900000000005</v>
      </c>
      <c r="H29" s="117">
        <f t="shared" si="4"/>
        <v>4736.05</v>
      </c>
      <c r="I29" s="117">
        <f t="shared" si="4"/>
        <v>4187.7800000000007</v>
      </c>
      <c r="J29" s="117">
        <f t="shared" si="4"/>
        <v>5325.7400000000007</v>
      </c>
      <c r="K29" s="117">
        <f t="shared" si="4"/>
        <v>4983.4800000000005</v>
      </c>
      <c r="L29" s="117">
        <f t="shared" si="4"/>
        <v>5286.5</v>
      </c>
      <c r="M29" s="117">
        <f t="shared" si="4"/>
        <v>5307.21</v>
      </c>
      <c r="N29" s="117">
        <f t="shared" si="4"/>
        <v>5193.8500000000004</v>
      </c>
      <c r="O29" s="117">
        <f t="shared" si="4"/>
        <v>5197.1200000000008</v>
      </c>
      <c r="P29" s="117">
        <f t="shared" si="4"/>
        <v>5199.3</v>
      </c>
      <c r="Q29" s="117">
        <f t="shared" si="4"/>
        <v>5201.4800000000005</v>
      </c>
      <c r="R29" s="117">
        <f t="shared" si="4"/>
        <v>5197.1200000000008</v>
      </c>
      <c r="S29" s="117">
        <f t="shared" si="4"/>
        <v>4450.5245000000023</v>
      </c>
      <c r="T29" s="117">
        <f>T15*T21</f>
        <v>3989.2430400000007</v>
      </c>
      <c r="U29" s="117">
        <f t="shared" ref="U29:V29" si="5">U15*U21</f>
        <v>3444.916659999999</v>
      </c>
      <c r="V29" s="117">
        <f t="shared" si="5"/>
        <v>2817.545360000001</v>
      </c>
    </row>
    <row r="30" spans="1:25" x14ac:dyDescent="0.25">
      <c r="A30" t="s">
        <v>77</v>
      </c>
      <c r="B30" t="s">
        <v>977</v>
      </c>
      <c r="C30" t="s">
        <v>836</v>
      </c>
      <c r="D30" t="s">
        <v>884</v>
      </c>
      <c r="E30" s="117">
        <f>E29/1000</f>
        <v>1.9805300000000001</v>
      </c>
      <c r="F30" s="117">
        <f t="shared" ref="F30:S30" si="6">F29/1000</f>
        <v>1.9816200000000002</v>
      </c>
      <c r="G30" s="117">
        <f t="shared" si="6"/>
        <v>4.4591900000000004</v>
      </c>
      <c r="H30" s="117">
        <f t="shared" si="6"/>
        <v>4.7360500000000005</v>
      </c>
      <c r="I30" s="117">
        <f t="shared" si="6"/>
        <v>4.1877800000000009</v>
      </c>
      <c r="J30" s="117">
        <f t="shared" si="6"/>
        <v>5.3257400000000006</v>
      </c>
      <c r="K30" s="117">
        <f t="shared" si="6"/>
        <v>4.9834800000000001</v>
      </c>
      <c r="L30" s="117">
        <f t="shared" si="6"/>
        <v>5.2865000000000002</v>
      </c>
      <c r="M30" s="117">
        <f t="shared" si="6"/>
        <v>5.3072100000000004</v>
      </c>
      <c r="N30" s="117">
        <f t="shared" si="6"/>
        <v>5.1938500000000003</v>
      </c>
      <c r="O30" s="117">
        <f t="shared" si="6"/>
        <v>5.1971200000000009</v>
      </c>
      <c r="P30" s="117">
        <f t="shared" si="6"/>
        <v>5.1993</v>
      </c>
      <c r="Q30" s="117">
        <f t="shared" si="6"/>
        <v>5.2014800000000001</v>
      </c>
      <c r="R30" s="117">
        <f t="shared" si="6"/>
        <v>5.1971200000000009</v>
      </c>
      <c r="S30" s="117">
        <f t="shared" si="6"/>
        <v>4.450524500000002</v>
      </c>
      <c r="T30" s="117">
        <f>T29/1000</f>
        <v>3.9892430400000007</v>
      </c>
      <c r="U30" s="117">
        <f t="shared" ref="U30:V30" si="7">U29/1000</f>
        <v>3.4449166599999987</v>
      </c>
      <c r="V30" s="117">
        <f t="shared" si="7"/>
        <v>2.8175453600000009</v>
      </c>
    </row>
    <row r="31" spans="1:25" x14ac:dyDescent="0.25">
      <c r="A31" t="s">
        <v>77</v>
      </c>
      <c r="B31" t="s">
        <v>978</v>
      </c>
      <c r="C31" t="s">
        <v>836</v>
      </c>
      <c r="D31" t="s">
        <v>976</v>
      </c>
      <c r="E31" s="117">
        <f t="shared" ref="E31:S31" si="8">E16*E22</f>
        <v>0</v>
      </c>
      <c r="F31" s="117">
        <f t="shared" si="8"/>
        <v>0</v>
      </c>
      <c r="G31" s="117">
        <f t="shared" si="8"/>
        <v>0</v>
      </c>
      <c r="H31" s="117">
        <f t="shared" si="8"/>
        <v>0</v>
      </c>
      <c r="I31" s="117">
        <f t="shared" si="8"/>
        <v>0</v>
      </c>
      <c r="J31" s="117">
        <f t="shared" si="8"/>
        <v>0</v>
      </c>
      <c r="K31" s="117">
        <f t="shared" si="8"/>
        <v>0</v>
      </c>
      <c r="L31" s="117">
        <f t="shared" si="8"/>
        <v>0</v>
      </c>
      <c r="M31" s="117">
        <f t="shared" si="8"/>
        <v>0</v>
      </c>
      <c r="N31" s="117">
        <f t="shared" si="8"/>
        <v>0</v>
      </c>
      <c r="O31" s="117">
        <f t="shared" si="8"/>
        <v>0</v>
      </c>
      <c r="P31" s="117">
        <f t="shared" si="8"/>
        <v>0</v>
      </c>
      <c r="Q31" s="117">
        <f t="shared" si="8"/>
        <v>0</v>
      </c>
      <c r="R31" s="117">
        <f t="shared" si="8"/>
        <v>0</v>
      </c>
      <c r="S31" s="117">
        <f t="shared" si="8"/>
        <v>0</v>
      </c>
      <c r="T31" s="117">
        <f>T16*T22</f>
        <v>0</v>
      </c>
      <c r="U31" s="117">
        <f t="shared" ref="U31:V31" si="9">U16*U22</f>
        <v>0</v>
      </c>
      <c r="V31" s="117">
        <f t="shared" si="9"/>
        <v>0</v>
      </c>
    </row>
    <row r="32" spans="1:25" x14ac:dyDescent="0.25">
      <c r="A32" t="s">
        <v>77</v>
      </c>
      <c r="B32" t="s">
        <v>978</v>
      </c>
      <c r="C32" t="s">
        <v>836</v>
      </c>
      <c r="D32" t="s">
        <v>884</v>
      </c>
      <c r="E32" s="117">
        <f>E31/1000</f>
        <v>0</v>
      </c>
      <c r="F32" s="117">
        <f t="shared" ref="F32:S32" si="10">F31/1000</f>
        <v>0</v>
      </c>
      <c r="G32" s="117">
        <f t="shared" si="10"/>
        <v>0</v>
      </c>
      <c r="H32" s="117">
        <f t="shared" si="10"/>
        <v>0</v>
      </c>
      <c r="I32" s="117">
        <f t="shared" si="10"/>
        <v>0</v>
      </c>
      <c r="J32" s="117">
        <f t="shared" si="10"/>
        <v>0</v>
      </c>
      <c r="K32" s="117">
        <f t="shared" si="10"/>
        <v>0</v>
      </c>
      <c r="L32" s="117">
        <f t="shared" si="10"/>
        <v>0</v>
      </c>
      <c r="M32" s="117">
        <f t="shared" si="10"/>
        <v>0</v>
      </c>
      <c r="N32" s="117">
        <f t="shared" si="10"/>
        <v>0</v>
      </c>
      <c r="O32" s="117">
        <f t="shared" si="10"/>
        <v>0</v>
      </c>
      <c r="P32" s="117">
        <f t="shared" si="10"/>
        <v>0</v>
      </c>
      <c r="Q32" s="117">
        <f t="shared" si="10"/>
        <v>0</v>
      </c>
      <c r="R32" s="117">
        <f t="shared" si="10"/>
        <v>0</v>
      </c>
      <c r="S32" s="117">
        <f t="shared" si="10"/>
        <v>0</v>
      </c>
      <c r="T32" s="117">
        <f>T31/1000</f>
        <v>0</v>
      </c>
      <c r="U32" s="117">
        <f t="shared" ref="U32:V32" si="11">U31/1000</f>
        <v>0</v>
      </c>
      <c r="V32" s="117">
        <f t="shared" si="11"/>
        <v>0</v>
      </c>
    </row>
    <row r="33" spans="1:22" x14ac:dyDescent="0.25">
      <c r="A33" s="7" t="s">
        <v>77</v>
      </c>
      <c r="B33" s="7" t="s">
        <v>835</v>
      </c>
      <c r="C33" s="7" t="s">
        <v>836</v>
      </c>
      <c r="D33" s="7" t="s">
        <v>884</v>
      </c>
      <c r="E33" s="116">
        <f>E28+E30+E32</f>
        <v>1.9805300000000001</v>
      </c>
      <c r="F33" s="116">
        <f t="shared" ref="F33:S33" si="12">F28+F30+F32</f>
        <v>1.9816200000000002</v>
      </c>
      <c r="G33" s="116">
        <f t="shared" si="12"/>
        <v>4.4591900000000004</v>
      </c>
      <c r="H33" s="116">
        <f t="shared" si="12"/>
        <v>4.7360500000000005</v>
      </c>
      <c r="I33" s="116">
        <f t="shared" si="12"/>
        <v>4.1877800000000009</v>
      </c>
      <c r="J33" s="116">
        <f t="shared" si="12"/>
        <v>5.3257400000000006</v>
      </c>
      <c r="K33" s="116">
        <f t="shared" si="12"/>
        <v>4.9834800000000001</v>
      </c>
      <c r="L33" s="116">
        <f t="shared" si="12"/>
        <v>5.2865000000000002</v>
      </c>
      <c r="M33" s="116">
        <f t="shared" si="12"/>
        <v>5.3072100000000004</v>
      </c>
      <c r="N33" s="116">
        <f t="shared" si="12"/>
        <v>5.1938500000000003</v>
      </c>
      <c r="O33" s="116">
        <f t="shared" si="12"/>
        <v>5.1971200000000009</v>
      </c>
      <c r="P33" s="116">
        <f t="shared" si="12"/>
        <v>5.1993</v>
      </c>
      <c r="Q33" s="116">
        <f t="shared" si="12"/>
        <v>5.2014800000000001</v>
      </c>
      <c r="R33" s="116">
        <f t="shared" si="12"/>
        <v>5.1971200000000009</v>
      </c>
      <c r="S33" s="116">
        <f t="shared" si="12"/>
        <v>4.450524500000002</v>
      </c>
      <c r="T33" s="116">
        <f>T28+T30+T32</f>
        <v>3.9892430400000007</v>
      </c>
      <c r="U33" s="116">
        <f t="shared" ref="U33:V33" si="13">U28+U30+U32</f>
        <v>3.4449166599999987</v>
      </c>
      <c r="V33" s="116">
        <f t="shared" si="13"/>
        <v>2.8175453600000009</v>
      </c>
    </row>
    <row r="34" spans="1:22" x14ac:dyDescent="0.25">
      <c r="A34" t="s">
        <v>77</v>
      </c>
      <c r="B34" t="s">
        <v>954</v>
      </c>
      <c r="C34" t="s">
        <v>486</v>
      </c>
      <c r="D34" t="s">
        <v>979</v>
      </c>
      <c r="E34" s="117">
        <f t="shared" ref="E34:S34" si="14">E14*E23</f>
        <v>0</v>
      </c>
      <c r="F34" s="117">
        <f t="shared" si="14"/>
        <v>0</v>
      </c>
      <c r="G34" s="117">
        <f t="shared" si="14"/>
        <v>0</v>
      </c>
      <c r="H34" s="117">
        <f t="shared" si="14"/>
        <v>0</v>
      </c>
      <c r="I34" s="117">
        <f t="shared" si="14"/>
        <v>0</v>
      </c>
      <c r="J34" s="117">
        <f t="shared" si="14"/>
        <v>0</v>
      </c>
      <c r="K34" s="117">
        <f t="shared" si="14"/>
        <v>0</v>
      </c>
      <c r="L34" s="117">
        <f t="shared" si="14"/>
        <v>0</v>
      </c>
      <c r="M34" s="117">
        <f t="shared" si="14"/>
        <v>0</v>
      </c>
      <c r="N34" s="117">
        <f t="shared" si="14"/>
        <v>0</v>
      </c>
      <c r="O34" s="117">
        <f t="shared" si="14"/>
        <v>0</v>
      </c>
      <c r="P34" s="117">
        <f t="shared" si="14"/>
        <v>0</v>
      </c>
      <c r="Q34" s="117">
        <f t="shared" si="14"/>
        <v>0</v>
      </c>
      <c r="R34" s="117">
        <f t="shared" si="14"/>
        <v>0</v>
      </c>
      <c r="S34" s="117">
        <f t="shared" si="14"/>
        <v>0</v>
      </c>
      <c r="T34" s="117">
        <f>T14*T23</f>
        <v>0</v>
      </c>
      <c r="U34" s="117">
        <f t="shared" ref="U34:V34" si="15">U14*U23</f>
        <v>0</v>
      </c>
      <c r="V34" s="117">
        <f t="shared" si="15"/>
        <v>0</v>
      </c>
    </row>
    <row r="35" spans="1:22" x14ac:dyDescent="0.25">
      <c r="A35" s="7" t="s">
        <v>77</v>
      </c>
      <c r="B35" s="7" t="s">
        <v>837</v>
      </c>
      <c r="C35" s="7" t="s">
        <v>486</v>
      </c>
      <c r="D35" s="7" t="s">
        <v>924</v>
      </c>
      <c r="E35" s="116">
        <f>E34/1000</f>
        <v>0</v>
      </c>
      <c r="F35" s="116">
        <f t="shared" ref="F35:S35" si="16">F34/1000</f>
        <v>0</v>
      </c>
      <c r="G35" s="116">
        <f t="shared" si="16"/>
        <v>0</v>
      </c>
      <c r="H35" s="116">
        <f t="shared" si="16"/>
        <v>0</v>
      </c>
      <c r="I35" s="116">
        <f t="shared" si="16"/>
        <v>0</v>
      </c>
      <c r="J35" s="116">
        <f t="shared" si="16"/>
        <v>0</v>
      </c>
      <c r="K35" s="116">
        <f t="shared" si="16"/>
        <v>0</v>
      </c>
      <c r="L35" s="116">
        <f t="shared" si="16"/>
        <v>0</v>
      </c>
      <c r="M35" s="116">
        <f t="shared" si="16"/>
        <v>0</v>
      </c>
      <c r="N35" s="116">
        <f t="shared" si="16"/>
        <v>0</v>
      </c>
      <c r="O35" s="116">
        <f t="shared" si="16"/>
        <v>0</v>
      </c>
      <c r="P35" s="116">
        <f t="shared" si="16"/>
        <v>0</v>
      </c>
      <c r="Q35" s="116">
        <f t="shared" si="16"/>
        <v>0</v>
      </c>
      <c r="R35" s="116">
        <f t="shared" si="16"/>
        <v>0</v>
      </c>
      <c r="S35" s="116">
        <f t="shared" si="16"/>
        <v>0</v>
      </c>
      <c r="T35" s="116">
        <f>T34/1000</f>
        <v>0</v>
      </c>
      <c r="U35" s="116">
        <f t="shared" ref="U35:V35" si="17">U34/1000</f>
        <v>0</v>
      </c>
      <c r="V35" s="116">
        <f t="shared" si="17"/>
        <v>0</v>
      </c>
    </row>
    <row r="36" spans="1:22" x14ac:dyDescent="0.25">
      <c r="A36" s="7" t="s">
        <v>77</v>
      </c>
      <c r="B36" s="7" t="s">
        <v>882</v>
      </c>
      <c r="C36" s="7" t="s">
        <v>836</v>
      </c>
      <c r="D36" s="7" t="s">
        <v>745</v>
      </c>
      <c r="E36" s="116">
        <f>+E33+(E35*'Conversion factors'!$B$5)</f>
        <v>1.9805300000000001</v>
      </c>
      <c r="F36" s="116">
        <f>+F33+(F35*'Conversion factors'!$B$5)</f>
        <v>1.9816200000000002</v>
      </c>
      <c r="G36" s="116">
        <f>+G33+(G35*'Conversion factors'!$B$5)</f>
        <v>4.4591900000000004</v>
      </c>
      <c r="H36" s="116">
        <f>+H33+(H35*'Conversion factors'!$B$5)</f>
        <v>4.7360500000000005</v>
      </c>
      <c r="I36" s="116">
        <f>+I33+(I35*'Conversion factors'!$B$5)</f>
        <v>4.1877800000000009</v>
      </c>
      <c r="J36" s="116">
        <f>+J33+(J35*'Conversion factors'!$B$5)</f>
        <v>5.3257400000000006</v>
      </c>
      <c r="K36" s="116">
        <f>+K33+(K35*'Conversion factors'!$B$5)</f>
        <v>4.9834800000000001</v>
      </c>
      <c r="L36" s="116">
        <f>+L33+(L35*'Conversion factors'!$B$5)</f>
        <v>5.2865000000000002</v>
      </c>
      <c r="M36" s="116">
        <f>+M33+(M35*'Conversion factors'!$B$5)</f>
        <v>5.3072100000000004</v>
      </c>
      <c r="N36" s="116">
        <f>+N33+(N35*'Conversion factors'!$B$5)</f>
        <v>5.1938500000000003</v>
      </c>
      <c r="O36" s="116">
        <f>+O33+(O35*'Conversion factors'!$B$5)</f>
        <v>5.1971200000000009</v>
      </c>
      <c r="P36" s="116">
        <f>+P33+(P35*'Conversion factors'!$B$5)</f>
        <v>5.1993</v>
      </c>
      <c r="Q36" s="116">
        <f>+Q33+(Q35*'Conversion factors'!$B$5)</f>
        <v>5.2014800000000001</v>
      </c>
      <c r="R36" s="116">
        <f>+R33+(R35*'Conversion factors'!$B$5)</f>
        <v>5.1971200000000009</v>
      </c>
      <c r="S36" s="116">
        <f>+S33+(S35*'Conversion factors'!$B$5)</f>
        <v>4.450524500000002</v>
      </c>
      <c r="T36" s="116">
        <f>+T33+(T35*'Conversion factors'!$B$5)</f>
        <v>3.9892430400000007</v>
      </c>
      <c r="U36" s="116">
        <f>+U33+(U35*'Conversion factors'!$B$5)</f>
        <v>3.4449166599999987</v>
      </c>
      <c r="V36" s="116">
        <f>+V33+(V35*'Conversion factors'!$B$5)</f>
        <v>2.8175453600000009</v>
      </c>
    </row>
    <row r="38" spans="1:22" s="5" customFormat="1" ht="21" x14ac:dyDescent="0.35">
      <c r="B38" s="6" t="s">
        <v>885</v>
      </c>
      <c r="E38" s="5" t="s">
        <v>886</v>
      </c>
      <c r="M38" s="5" t="s">
        <v>900</v>
      </c>
    </row>
    <row r="40" spans="1:22" x14ac:dyDescent="0.25">
      <c r="A40" s="27"/>
      <c r="B40" s="26"/>
      <c r="C40" s="26"/>
      <c r="D40" s="26"/>
      <c r="E40" s="26"/>
      <c r="F40" s="26"/>
      <c r="G40" s="26"/>
      <c r="H40" s="26"/>
    </row>
    <row r="61" spans="1:23" ht="21" x14ac:dyDescent="0.35">
      <c r="A61" s="5"/>
      <c r="B61" s="6" t="s">
        <v>346</v>
      </c>
      <c r="C61" s="5"/>
      <c r="D61" s="5"/>
      <c r="E61" s="5" t="s">
        <v>887</v>
      </c>
      <c r="F61" s="5"/>
      <c r="G61" s="5"/>
      <c r="H61" s="5"/>
      <c r="I61" s="5"/>
      <c r="J61" s="5"/>
      <c r="K61" s="5"/>
      <c r="L61" s="5"/>
      <c r="M61" s="5"/>
      <c r="N61" s="5"/>
      <c r="O61" s="5"/>
      <c r="P61" s="5"/>
      <c r="Q61" s="5"/>
      <c r="R61" s="5"/>
      <c r="S61" s="5"/>
      <c r="T61" s="5"/>
      <c r="U61" s="5"/>
      <c r="V61" s="5"/>
      <c r="W61" s="5"/>
    </row>
    <row r="62" spans="1:23" ht="18.75" x14ac:dyDescent="0.3">
      <c r="A62" s="12" t="s">
        <v>844</v>
      </c>
      <c r="E62" t="s">
        <v>888</v>
      </c>
    </row>
    <row r="63" spans="1:23" x14ac:dyDescent="0.25">
      <c r="A63" s="8"/>
      <c r="B63" s="9" t="s">
        <v>865</v>
      </c>
      <c r="C63" s="8"/>
      <c r="D63" s="8"/>
      <c r="E63" s="8"/>
      <c r="F63" s="8"/>
      <c r="G63" s="8"/>
      <c r="H63" s="8"/>
      <c r="I63" s="8"/>
      <c r="J63" s="8"/>
      <c r="K63" s="8"/>
      <c r="L63" s="8"/>
      <c r="M63" s="8"/>
      <c r="N63" s="8"/>
      <c r="O63" s="8"/>
      <c r="P63" s="8"/>
      <c r="Q63" s="8"/>
      <c r="R63" s="8"/>
      <c r="S63" s="8"/>
      <c r="T63" s="8"/>
      <c r="U63" s="8"/>
      <c r="V63" s="8"/>
      <c r="W63" s="8"/>
    </row>
    <row r="65" spans="1:23" x14ac:dyDescent="0.25">
      <c r="A65" s="10" t="s">
        <v>867</v>
      </c>
      <c r="B65" s="10" t="s">
        <v>868</v>
      </c>
      <c r="C65" s="10" t="s">
        <v>482</v>
      </c>
      <c r="D65" s="10" t="s">
        <v>740</v>
      </c>
      <c r="E65" s="10">
        <v>2000</v>
      </c>
      <c r="F65" s="10">
        <v>2001</v>
      </c>
      <c r="G65" s="10">
        <v>2002</v>
      </c>
      <c r="H65" s="10">
        <v>2003</v>
      </c>
      <c r="I65" s="10">
        <v>2004</v>
      </c>
      <c r="J65" s="10">
        <v>2005</v>
      </c>
      <c r="K65" s="10">
        <v>2006</v>
      </c>
      <c r="L65" s="10">
        <v>2007</v>
      </c>
      <c r="M65" s="10">
        <v>2008</v>
      </c>
      <c r="N65" s="10">
        <v>2009</v>
      </c>
      <c r="O65" s="10">
        <v>2010</v>
      </c>
      <c r="P65" s="10">
        <v>2011</v>
      </c>
      <c r="Q65" s="10">
        <v>2012</v>
      </c>
      <c r="R65" s="10">
        <v>2013</v>
      </c>
      <c r="S65" s="10">
        <v>2014</v>
      </c>
      <c r="T65" s="10">
        <v>2015</v>
      </c>
      <c r="U65" s="10"/>
      <c r="V65" s="10"/>
      <c r="W65" s="10" t="s">
        <v>741</v>
      </c>
    </row>
    <row r="66" spans="1:23" x14ac:dyDescent="0.25">
      <c r="A66" s="11" t="s">
        <v>77</v>
      </c>
      <c r="B66" s="11" t="s">
        <v>966</v>
      </c>
      <c r="C66" s="11"/>
      <c r="D66" s="11" t="s">
        <v>892</v>
      </c>
      <c r="E66" s="29"/>
      <c r="F66" s="29"/>
      <c r="G66" s="29"/>
      <c r="H66" s="29"/>
      <c r="I66" s="29"/>
      <c r="J66" s="29"/>
      <c r="K66" s="29"/>
      <c r="L66" s="29"/>
      <c r="M66" s="29"/>
      <c r="N66" s="29"/>
      <c r="O66" s="29"/>
      <c r="P66" s="29"/>
      <c r="Q66" s="29"/>
      <c r="R66" s="29"/>
      <c r="S66" s="29"/>
      <c r="T66" s="29"/>
      <c r="U66" s="29"/>
      <c r="V66" s="29"/>
    </row>
    <row r="67" spans="1:23" x14ac:dyDescent="0.25">
      <c r="A67" s="11" t="s">
        <v>77</v>
      </c>
      <c r="B67" s="11" t="s">
        <v>967</v>
      </c>
      <c r="C67" s="11"/>
      <c r="D67" s="11" t="s">
        <v>892</v>
      </c>
      <c r="E67" s="29">
        <v>1817</v>
      </c>
      <c r="F67" s="29">
        <v>1818</v>
      </c>
      <c r="G67" s="29">
        <v>4091</v>
      </c>
      <c r="H67" s="29">
        <v>4345</v>
      </c>
      <c r="I67" s="29">
        <v>3842</v>
      </c>
      <c r="J67" s="29">
        <v>4886</v>
      </c>
      <c r="K67" s="29">
        <v>4572</v>
      </c>
      <c r="L67" s="29">
        <v>4850</v>
      </c>
      <c r="M67" s="29">
        <v>4869</v>
      </c>
      <c r="N67" s="29">
        <v>4765</v>
      </c>
      <c r="O67" s="29">
        <v>4768</v>
      </c>
      <c r="P67" s="29">
        <v>4770</v>
      </c>
      <c r="Q67" s="29">
        <v>4772</v>
      </c>
      <c r="R67" s="29">
        <v>4768</v>
      </c>
      <c r="S67" s="29">
        <v>4083.0500000000015</v>
      </c>
      <c r="T67" s="29">
        <v>3659.8560000000002</v>
      </c>
      <c r="U67" s="29"/>
      <c r="V67" s="29"/>
    </row>
    <row r="68" spans="1:23" x14ac:dyDescent="0.25">
      <c r="A68" s="11" t="s">
        <v>77</v>
      </c>
      <c r="B68" s="11" t="s">
        <v>968</v>
      </c>
      <c r="C68" s="11"/>
      <c r="D68" s="11" t="s">
        <v>892</v>
      </c>
      <c r="E68" s="29"/>
      <c r="F68" s="29"/>
      <c r="G68" s="29"/>
      <c r="H68" s="29"/>
      <c r="I68" s="29"/>
      <c r="J68" s="29"/>
      <c r="K68" s="29"/>
      <c r="L68" s="29"/>
      <c r="M68" s="29"/>
      <c r="N68" s="29"/>
      <c r="O68" s="29"/>
      <c r="P68" s="29"/>
      <c r="Q68" s="29"/>
      <c r="R68" s="29"/>
      <c r="S68" s="29"/>
      <c r="T68" s="29"/>
      <c r="U68" s="29"/>
      <c r="V68" s="29"/>
    </row>
    <row r="69" spans="1:23" x14ac:dyDescent="0.25">
      <c r="R69" s="11"/>
      <c r="S69" s="11"/>
      <c r="T69" s="11"/>
      <c r="U69" s="11"/>
      <c r="V69" s="11"/>
    </row>
    <row r="70" spans="1:23" x14ac:dyDescent="0.25">
      <c r="A70" s="8"/>
      <c r="B70" s="9" t="s">
        <v>877</v>
      </c>
      <c r="C70" s="8"/>
      <c r="D70" s="8"/>
      <c r="E70" s="8"/>
      <c r="F70" s="8"/>
      <c r="G70" s="8"/>
      <c r="H70" s="8"/>
      <c r="I70" s="8"/>
      <c r="J70" s="8"/>
      <c r="K70" s="8"/>
      <c r="L70" s="8"/>
      <c r="M70" s="8"/>
      <c r="N70" s="8"/>
      <c r="O70" s="8"/>
      <c r="P70" s="8"/>
      <c r="Q70" s="8"/>
      <c r="R70" s="197"/>
      <c r="S70" s="197"/>
      <c r="T70" s="197"/>
      <c r="U70" s="197"/>
      <c r="V70" s="197"/>
      <c r="W70" s="8"/>
    </row>
    <row r="71" spans="1:23" x14ac:dyDescent="0.25">
      <c r="R71" s="11"/>
      <c r="S71" s="11"/>
      <c r="T71" s="11"/>
      <c r="U71" s="11"/>
      <c r="V71" s="11"/>
    </row>
    <row r="72" spans="1:23" x14ac:dyDescent="0.25">
      <c r="A72" s="11" t="s">
        <v>77</v>
      </c>
      <c r="B72" s="11" t="s">
        <v>969</v>
      </c>
      <c r="C72" s="11" t="s">
        <v>836</v>
      </c>
      <c r="D72" s="11" t="s">
        <v>970</v>
      </c>
      <c r="E72" s="29"/>
      <c r="F72" s="29"/>
      <c r="G72" s="29"/>
      <c r="H72" s="29"/>
      <c r="I72" s="29"/>
      <c r="J72" s="29"/>
      <c r="K72" s="29"/>
      <c r="L72" s="29"/>
      <c r="M72" s="29"/>
      <c r="N72" s="29"/>
      <c r="O72" s="29"/>
      <c r="P72" s="29"/>
      <c r="Q72" s="29"/>
      <c r="R72" s="29"/>
      <c r="S72" s="29"/>
      <c r="T72" s="29"/>
      <c r="U72" s="29"/>
      <c r="V72" s="29"/>
    </row>
    <row r="73" spans="1:23" x14ac:dyDescent="0.25">
      <c r="A73" s="11" t="s">
        <v>77</v>
      </c>
      <c r="B73" s="11" t="s">
        <v>971</v>
      </c>
      <c r="C73" s="11" t="s">
        <v>836</v>
      </c>
      <c r="D73" s="11" t="s">
        <v>970</v>
      </c>
      <c r="E73" s="29">
        <v>1.0900000000000001</v>
      </c>
      <c r="F73" s="29">
        <v>1.0900000000000001</v>
      </c>
      <c r="G73" s="29">
        <v>1.0900000000000001</v>
      </c>
      <c r="H73" s="29">
        <v>1.0900000000000001</v>
      </c>
      <c r="I73" s="29">
        <v>1.0900000000000001</v>
      </c>
      <c r="J73" s="29">
        <v>1.0900000000000001</v>
      </c>
      <c r="K73" s="29">
        <v>1.0900000000000001</v>
      </c>
      <c r="L73" s="29">
        <v>1.0900000000000001</v>
      </c>
      <c r="M73" s="29">
        <v>1.0900000000000001</v>
      </c>
      <c r="N73" s="29">
        <v>1.0900000000000001</v>
      </c>
      <c r="O73" s="29">
        <v>1.0900000000000001</v>
      </c>
      <c r="P73" s="29">
        <v>1.0900000000000001</v>
      </c>
      <c r="Q73" s="29">
        <v>1.0900000000000001</v>
      </c>
      <c r="R73" s="29">
        <v>1.0900000000000001</v>
      </c>
      <c r="S73" s="29">
        <v>1.0900000000000001</v>
      </c>
      <c r="T73" s="29">
        <v>1.0900000000000001</v>
      </c>
      <c r="U73" s="29"/>
      <c r="V73" s="29"/>
    </row>
    <row r="74" spans="1:23" x14ac:dyDescent="0.25">
      <c r="A74" s="11" t="s">
        <v>77</v>
      </c>
      <c r="B74" s="11" t="s">
        <v>972</v>
      </c>
      <c r="C74" s="11" t="s">
        <v>836</v>
      </c>
      <c r="D74" s="11" t="s">
        <v>970</v>
      </c>
      <c r="E74" s="29"/>
      <c r="F74" s="29"/>
      <c r="G74" s="29"/>
      <c r="H74" s="29"/>
      <c r="I74" s="29"/>
      <c r="J74" s="29"/>
      <c r="K74" s="29"/>
      <c r="L74" s="29"/>
      <c r="M74" s="29"/>
      <c r="N74" s="29"/>
      <c r="O74" s="29"/>
      <c r="P74" s="29"/>
      <c r="Q74" s="29"/>
      <c r="R74" s="29"/>
      <c r="S74" s="29"/>
      <c r="T74" s="29"/>
      <c r="U74" s="29"/>
      <c r="V74" s="29"/>
    </row>
    <row r="75" spans="1:23" x14ac:dyDescent="0.25">
      <c r="A75" s="11" t="s">
        <v>77</v>
      </c>
      <c r="B75" s="11" t="s">
        <v>973</v>
      </c>
      <c r="C75" s="11" t="s">
        <v>486</v>
      </c>
      <c r="D75" s="11" t="s">
        <v>974</v>
      </c>
      <c r="E75" s="29"/>
      <c r="F75" s="29"/>
      <c r="G75" s="29"/>
      <c r="H75" s="29"/>
      <c r="I75" s="29"/>
      <c r="J75" s="29"/>
      <c r="K75" s="29"/>
      <c r="L75" s="29"/>
      <c r="M75" s="29"/>
      <c r="N75" s="29"/>
      <c r="O75" s="29"/>
      <c r="P75" s="29"/>
      <c r="Q75" s="29"/>
      <c r="R75" s="29"/>
      <c r="S75" s="29"/>
      <c r="T75" s="29"/>
      <c r="U75" s="29"/>
      <c r="V75" s="29"/>
    </row>
    <row r="76" spans="1:23" x14ac:dyDescent="0.25">
      <c r="R76" s="11"/>
      <c r="S76" s="11"/>
      <c r="T76" s="11"/>
      <c r="U76" s="11"/>
      <c r="V76" s="11"/>
    </row>
    <row r="77" spans="1:23" x14ac:dyDescent="0.25">
      <c r="A77" s="8"/>
      <c r="B77" s="9" t="s">
        <v>619</v>
      </c>
      <c r="C77" s="8"/>
      <c r="D77" s="8"/>
      <c r="E77" s="8"/>
      <c r="F77" s="8"/>
      <c r="G77" s="8"/>
      <c r="H77" s="8"/>
      <c r="I77" s="8"/>
      <c r="J77" s="8"/>
      <c r="K77" s="8"/>
      <c r="L77" s="8"/>
      <c r="M77" s="8"/>
      <c r="N77" s="8"/>
      <c r="O77" s="8"/>
      <c r="P77" s="8"/>
      <c r="Q77" s="8"/>
      <c r="R77" s="197"/>
      <c r="S77" s="197"/>
      <c r="T77" s="197"/>
      <c r="U77" s="197"/>
      <c r="V77" s="197"/>
      <c r="W77" s="8"/>
    </row>
    <row r="78" spans="1:23" x14ac:dyDescent="0.25">
      <c r="R78" s="11"/>
      <c r="S78" s="11"/>
      <c r="T78" s="11"/>
      <c r="U78" s="11"/>
      <c r="V78" s="11"/>
    </row>
    <row r="79" spans="1:23" x14ac:dyDescent="0.25">
      <c r="A79" s="11" t="s">
        <v>77</v>
      </c>
      <c r="B79" s="11" t="s">
        <v>975</v>
      </c>
      <c r="C79" s="11" t="s">
        <v>836</v>
      </c>
      <c r="D79" s="11" t="s">
        <v>976</v>
      </c>
      <c r="E79" s="29">
        <v>0</v>
      </c>
      <c r="F79" s="29">
        <v>0</v>
      </c>
      <c r="G79" s="29">
        <v>0</v>
      </c>
      <c r="H79" s="29">
        <v>0</v>
      </c>
      <c r="I79" s="29">
        <v>0</v>
      </c>
      <c r="J79" s="29">
        <v>0</v>
      </c>
      <c r="K79" s="29">
        <v>0</v>
      </c>
      <c r="L79" s="29">
        <v>0</v>
      </c>
      <c r="M79" s="29">
        <v>0</v>
      </c>
      <c r="N79" s="29">
        <v>0</v>
      </c>
      <c r="O79" s="29">
        <v>0</v>
      </c>
      <c r="P79" s="29">
        <v>0</v>
      </c>
      <c r="Q79" s="29">
        <v>0</v>
      </c>
      <c r="R79" s="29">
        <v>0</v>
      </c>
      <c r="S79" s="29">
        <v>0</v>
      </c>
      <c r="T79" s="29">
        <v>0</v>
      </c>
      <c r="U79" s="29"/>
      <c r="V79" s="29"/>
    </row>
    <row r="80" spans="1:23" x14ac:dyDescent="0.25">
      <c r="A80" s="11" t="s">
        <v>77</v>
      </c>
      <c r="B80" s="11" t="s">
        <v>975</v>
      </c>
      <c r="C80" s="11" t="s">
        <v>836</v>
      </c>
      <c r="D80" s="11" t="s">
        <v>884</v>
      </c>
      <c r="E80" s="29">
        <v>0</v>
      </c>
      <c r="F80" s="29">
        <v>0</v>
      </c>
      <c r="G80" s="29">
        <v>0</v>
      </c>
      <c r="H80" s="29">
        <v>0</v>
      </c>
      <c r="I80" s="29">
        <v>0</v>
      </c>
      <c r="J80" s="29">
        <v>0</v>
      </c>
      <c r="K80" s="29">
        <v>0</v>
      </c>
      <c r="L80" s="29">
        <v>0</v>
      </c>
      <c r="M80" s="29">
        <v>0</v>
      </c>
      <c r="N80" s="29">
        <v>0</v>
      </c>
      <c r="O80" s="29">
        <v>0</v>
      </c>
      <c r="P80" s="29">
        <v>0</v>
      </c>
      <c r="Q80" s="29">
        <v>0</v>
      </c>
      <c r="R80" s="29">
        <v>0</v>
      </c>
      <c r="S80" s="29">
        <v>0</v>
      </c>
      <c r="T80" s="29">
        <v>0</v>
      </c>
      <c r="U80" s="29"/>
      <c r="V80" s="29"/>
    </row>
    <row r="81" spans="1:23" x14ac:dyDescent="0.25">
      <c r="A81" s="11" t="s">
        <v>77</v>
      </c>
      <c r="B81" s="11" t="s">
        <v>977</v>
      </c>
      <c r="C81" s="11" t="s">
        <v>836</v>
      </c>
      <c r="D81" s="11" t="s">
        <v>976</v>
      </c>
      <c r="E81" s="29">
        <v>1980.5300000000002</v>
      </c>
      <c r="F81" s="29">
        <v>1981.6200000000001</v>
      </c>
      <c r="G81" s="29">
        <v>4459.1900000000005</v>
      </c>
      <c r="H81" s="29">
        <v>4736.05</v>
      </c>
      <c r="I81" s="29">
        <v>4187.7800000000007</v>
      </c>
      <c r="J81" s="29">
        <v>5325.7400000000007</v>
      </c>
      <c r="K81" s="29">
        <v>4983.4800000000005</v>
      </c>
      <c r="L81" s="29">
        <v>5286.5</v>
      </c>
      <c r="M81" s="29">
        <v>5307.21</v>
      </c>
      <c r="N81" s="29">
        <v>5193.8500000000004</v>
      </c>
      <c r="O81" s="29">
        <v>5197.1200000000008</v>
      </c>
      <c r="P81" s="29">
        <v>5199.3</v>
      </c>
      <c r="Q81" s="29">
        <v>5201.4800000000005</v>
      </c>
      <c r="R81" s="29">
        <v>5197.1200000000008</v>
      </c>
      <c r="S81" s="29">
        <v>4450.5245000000023</v>
      </c>
      <c r="T81" s="29">
        <v>3989.2430400000007</v>
      </c>
      <c r="U81" s="29"/>
      <c r="V81" s="29"/>
    </row>
    <row r="82" spans="1:23" x14ac:dyDescent="0.25">
      <c r="A82" s="11" t="s">
        <v>77</v>
      </c>
      <c r="B82" s="11" t="s">
        <v>977</v>
      </c>
      <c r="C82" s="11" t="s">
        <v>836</v>
      </c>
      <c r="D82" s="11" t="s">
        <v>884</v>
      </c>
      <c r="E82" s="29">
        <v>1.9805300000000001</v>
      </c>
      <c r="F82" s="29">
        <v>1.9816200000000002</v>
      </c>
      <c r="G82" s="29">
        <v>4.4591900000000004</v>
      </c>
      <c r="H82" s="29">
        <v>4.7360500000000005</v>
      </c>
      <c r="I82" s="29">
        <v>4.1877800000000009</v>
      </c>
      <c r="J82" s="29">
        <v>5.3257400000000006</v>
      </c>
      <c r="K82" s="29">
        <v>4.9834800000000001</v>
      </c>
      <c r="L82" s="29">
        <v>5.2865000000000002</v>
      </c>
      <c r="M82" s="29">
        <v>5.3072100000000004</v>
      </c>
      <c r="N82" s="29">
        <v>5.1938500000000003</v>
      </c>
      <c r="O82" s="29">
        <v>5.1971200000000009</v>
      </c>
      <c r="P82" s="29">
        <v>5.1993</v>
      </c>
      <c r="Q82" s="29">
        <v>5.2014800000000001</v>
      </c>
      <c r="R82" s="29">
        <v>5.1971200000000009</v>
      </c>
      <c r="S82" s="29">
        <v>4.450524500000002</v>
      </c>
      <c r="T82" s="29">
        <v>3.9892430400000007</v>
      </c>
      <c r="U82" s="29"/>
      <c r="V82" s="29"/>
    </row>
    <row r="83" spans="1:23" x14ac:dyDescent="0.25">
      <c r="A83" s="11" t="s">
        <v>77</v>
      </c>
      <c r="B83" s="11" t="s">
        <v>978</v>
      </c>
      <c r="C83" s="11" t="s">
        <v>836</v>
      </c>
      <c r="D83" s="11" t="s">
        <v>976</v>
      </c>
      <c r="E83" s="29">
        <v>0</v>
      </c>
      <c r="F83" s="29">
        <v>0</v>
      </c>
      <c r="G83" s="29">
        <v>0</v>
      </c>
      <c r="H83" s="29">
        <v>0</v>
      </c>
      <c r="I83" s="29">
        <v>0</v>
      </c>
      <c r="J83" s="29">
        <v>0</v>
      </c>
      <c r="K83" s="29">
        <v>0</v>
      </c>
      <c r="L83" s="29">
        <v>0</v>
      </c>
      <c r="M83" s="29">
        <v>0</v>
      </c>
      <c r="N83" s="29">
        <v>0</v>
      </c>
      <c r="O83" s="29">
        <v>0</v>
      </c>
      <c r="P83" s="29">
        <v>0</v>
      </c>
      <c r="Q83" s="29">
        <v>0</v>
      </c>
      <c r="R83" s="29">
        <v>0</v>
      </c>
      <c r="S83" s="29">
        <v>0</v>
      </c>
      <c r="T83" s="29">
        <v>0</v>
      </c>
      <c r="U83" s="29"/>
      <c r="V83" s="29"/>
    </row>
    <row r="84" spans="1:23" x14ac:dyDescent="0.25">
      <c r="A84" s="11" t="s">
        <v>77</v>
      </c>
      <c r="B84" s="11" t="s">
        <v>978</v>
      </c>
      <c r="C84" s="11" t="s">
        <v>836</v>
      </c>
      <c r="D84" s="11" t="s">
        <v>884</v>
      </c>
      <c r="E84" s="29">
        <v>0</v>
      </c>
      <c r="F84" s="29">
        <v>0</v>
      </c>
      <c r="G84" s="29">
        <v>0</v>
      </c>
      <c r="H84" s="29">
        <v>0</v>
      </c>
      <c r="I84" s="29">
        <v>0</v>
      </c>
      <c r="J84" s="29">
        <v>0</v>
      </c>
      <c r="K84" s="29">
        <v>0</v>
      </c>
      <c r="L84" s="29">
        <v>0</v>
      </c>
      <c r="M84" s="29">
        <v>0</v>
      </c>
      <c r="N84" s="29">
        <v>0</v>
      </c>
      <c r="O84" s="29">
        <v>0</v>
      </c>
      <c r="P84" s="29">
        <v>0</v>
      </c>
      <c r="Q84" s="29">
        <v>0</v>
      </c>
      <c r="R84" s="29">
        <v>0</v>
      </c>
      <c r="S84" s="29">
        <v>0</v>
      </c>
      <c r="T84" s="29">
        <v>0</v>
      </c>
      <c r="U84" s="29"/>
      <c r="V84" s="29"/>
    </row>
    <row r="85" spans="1:23" x14ac:dyDescent="0.25">
      <c r="A85" s="11" t="s">
        <v>77</v>
      </c>
      <c r="B85" s="11" t="s">
        <v>835</v>
      </c>
      <c r="C85" s="11" t="s">
        <v>836</v>
      </c>
      <c r="D85" s="11" t="s">
        <v>884</v>
      </c>
      <c r="E85" s="29">
        <v>1.9805300000000001</v>
      </c>
      <c r="F85" s="29">
        <v>1.9816200000000002</v>
      </c>
      <c r="G85" s="29">
        <v>4.4591900000000004</v>
      </c>
      <c r="H85" s="29">
        <v>4.7360500000000005</v>
      </c>
      <c r="I85" s="29">
        <v>4.1877800000000009</v>
      </c>
      <c r="J85" s="29">
        <v>5.3257400000000006</v>
      </c>
      <c r="K85" s="29">
        <v>4.9834800000000001</v>
      </c>
      <c r="L85" s="29">
        <v>5.2865000000000002</v>
      </c>
      <c r="M85" s="29">
        <v>5.3072100000000004</v>
      </c>
      <c r="N85" s="29">
        <v>5.1938500000000003</v>
      </c>
      <c r="O85" s="29">
        <v>5.1971200000000009</v>
      </c>
      <c r="P85" s="29">
        <v>5.1993</v>
      </c>
      <c r="Q85" s="29">
        <v>5.2014800000000001</v>
      </c>
      <c r="R85" s="29">
        <v>5.1971200000000009</v>
      </c>
      <c r="S85" s="29">
        <v>4.450524500000002</v>
      </c>
      <c r="T85" s="29">
        <v>3.9892430400000007</v>
      </c>
      <c r="U85" s="29"/>
      <c r="V85" s="29"/>
    </row>
    <row r="86" spans="1:23" x14ac:dyDescent="0.25">
      <c r="A86" s="11" t="s">
        <v>77</v>
      </c>
      <c r="B86" s="11" t="s">
        <v>954</v>
      </c>
      <c r="C86" s="11" t="s">
        <v>486</v>
      </c>
      <c r="D86" s="11" t="s">
        <v>979</v>
      </c>
      <c r="E86" s="29">
        <v>0</v>
      </c>
      <c r="F86" s="29">
        <v>0</v>
      </c>
      <c r="G86" s="29">
        <v>0</v>
      </c>
      <c r="H86" s="29">
        <v>0</v>
      </c>
      <c r="I86" s="29">
        <v>0</v>
      </c>
      <c r="J86" s="29">
        <v>0</v>
      </c>
      <c r="K86" s="29">
        <v>0</v>
      </c>
      <c r="L86" s="29">
        <v>0</v>
      </c>
      <c r="M86" s="29">
        <v>0</v>
      </c>
      <c r="N86" s="29">
        <v>0</v>
      </c>
      <c r="O86" s="29">
        <v>0</v>
      </c>
      <c r="P86" s="29">
        <v>0</v>
      </c>
      <c r="Q86" s="29">
        <v>0</v>
      </c>
      <c r="R86" s="29">
        <v>0</v>
      </c>
      <c r="S86" s="29">
        <v>0</v>
      </c>
      <c r="T86" s="29">
        <v>0</v>
      </c>
      <c r="U86" s="29"/>
      <c r="V86" s="29"/>
    </row>
    <row r="87" spans="1:23" x14ac:dyDescent="0.25">
      <c r="A87" s="11" t="s">
        <v>77</v>
      </c>
      <c r="B87" s="11" t="s">
        <v>837</v>
      </c>
      <c r="C87" s="11" t="s">
        <v>486</v>
      </c>
      <c r="D87" s="11" t="s">
        <v>924</v>
      </c>
      <c r="E87" s="29">
        <v>0</v>
      </c>
      <c r="F87" s="29">
        <v>0</v>
      </c>
      <c r="G87" s="29">
        <v>0</v>
      </c>
      <c r="H87" s="29">
        <v>0</v>
      </c>
      <c r="I87" s="29">
        <v>0</v>
      </c>
      <c r="J87" s="29">
        <v>0</v>
      </c>
      <c r="K87" s="29">
        <v>0</v>
      </c>
      <c r="L87" s="29">
        <v>0</v>
      </c>
      <c r="M87" s="29">
        <v>0</v>
      </c>
      <c r="N87" s="29">
        <v>0</v>
      </c>
      <c r="O87" s="29">
        <v>0</v>
      </c>
      <c r="P87" s="29">
        <v>0</v>
      </c>
      <c r="Q87" s="29">
        <v>0</v>
      </c>
      <c r="R87" s="29">
        <v>0</v>
      </c>
      <c r="S87" s="29">
        <v>0</v>
      </c>
      <c r="T87" s="29">
        <v>0</v>
      </c>
      <c r="U87" s="29"/>
      <c r="V87" s="29"/>
    </row>
    <row r="88" spans="1:23" x14ac:dyDescent="0.25">
      <c r="A88" s="11" t="s">
        <v>77</v>
      </c>
      <c r="B88" s="11" t="s">
        <v>882</v>
      </c>
      <c r="C88" s="11" t="s">
        <v>836</v>
      </c>
      <c r="D88" s="11" t="s">
        <v>745</v>
      </c>
      <c r="E88" s="29">
        <v>1.9805300000000001</v>
      </c>
      <c r="F88" s="29">
        <v>1.9816200000000002</v>
      </c>
      <c r="G88" s="29">
        <v>4.4591900000000004</v>
      </c>
      <c r="H88" s="29">
        <v>4.7360500000000005</v>
      </c>
      <c r="I88" s="29">
        <v>4.1877800000000009</v>
      </c>
      <c r="J88" s="29">
        <v>5.3257400000000006</v>
      </c>
      <c r="K88" s="29">
        <v>4.9834800000000001</v>
      </c>
      <c r="L88" s="29">
        <v>5.2865000000000002</v>
      </c>
      <c r="M88" s="29">
        <v>5.3072100000000004</v>
      </c>
      <c r="N88" s="29">
        <v>5.1938500000000003</v>
      </c>
      <c r="O88" s="29">
        <v>5.1971200000000009</v>
      </c>
      <c r="P88" s="29">
        <v>5.1993</v>
      </c>
      <c r="Q88" s="29">
        <v>5.2014800000000001</v>
      </c>
      <c r="R88" s="29">
        <v>5.1971200000000009</v>
      </c>
      <c r="S88" s="29">
        <v>4.450524500000002</v>
      </c>
      <c r="T88" s="29">
        <v>3.9892430400000007</v>
      </c>
      <c r="U88" s="29"/>
      <c r="V88" s="29"/>
    </row>
    <row r="89" spans="1:23" x14ac:dyDescent="0.25">
      <c r="A89" s="7"/>
      <c r="B89" s="7"/>
      <c r="C89" s="7"/>
      <c r="D89" s="7"/>
    </row>
    <row r="90" spans="1:23" ht="18.75" x14ac:dyDescent="0.3">
      <c r="A90" s="13" t="s">
        <v>346</v>
      </c>
    </row>
    <row r="91" spans="1:23" x14ac:dyDescent="0.25">
      <c r="A91" s="8"/>
      <c r="B91" s="9" t="s">
        <v>865</v>
      </c>
      <c r="C91" s="8"/>
      <c r="D91" s="8" t="s">
        <v>852</v>
      </c>
      <c r="E91" s="8"/>
      <c r="F91" s="8"/>
      <c r="G91" s="8"/>
      <c r="H91" s="8"/>
      <c r="I91" s="8"/>
      <c r="J91" s="8"/>
      <c r="K91" s="8"/>
      <c r="L91" s="8"/>
      <c r="M91" s="8"/>
      <c r="N91" s="8"/>
      <c r="O91" s="8"/>
      <c r="P91" s="8"/>
      <c r="Q91" s="8"/>
      <c r="R91" s="8"/>
      <c r="S91" s="8"/>
      <c r="T91" s="8"/>
      <c r="U91" s="8"/>
      <c r="V91" s="8"/>
      <c r="W91" s="22"/>
    </row>
    <row r="93" spans="1:23" x14ac:dyDescent="0.25">
      <c r="A93" s="10" t="s">
        <v>867</v>
      </c>
      <c r="B93" s="10" t="s">
        <v>868</v>
      </c>
      <c r="C93" s="10" t="s">
        <v>482</v>
      </c>
      <c r="D93" s="10" t="s">
        <v>740</v>
      </c>
      <c r="E93" s="10">
        <v>2000</v>
      </c>
      <c r="F93" s="10">
        <v>2001</v>
      </c>
      <c r="G93" s="10">
        <v>2002</v>
      </c>
      <c r="H93" s="10">
        <v>2003</v>
      </c>
      <c r="I93" s="10">
        <v>2004</v>
      </c>
      <c r="J93" s="10">
        <v>2005</v>
      </c>
      <c r="K93" s="10">
        <v>2006</v>
      </c>
      <c r="L93" s="10">
        <v>2007</v>
      </c>
      <c r="M93" s="10">
        <v>2008</v>
      </c>
      <c r="N93" s="10">
        <v>2009</v>
      </c>
      <c r="O93" s="10">
        <v>2010</v>
      </c>
      <c r="P93" s="10">
        <v>2011</v>
      </c>
      <c r="Q93" s="10">
        <v>2012</v>
      </c>
      <c r="R93" s="10">
        <v>2013</v>
      </c>
      <c r="S93" s="10">
        <v>2014</v>
      </c>
      <c r="T93" s="10">
        <v>2015</v>
      </c>
      <c r="U93" s="10"/>
      <c r="V93" s="10"/>
    </row>
    <row r="94" spans="1:23" x14ac:dyDescent="0.25">
      <c r="A94" s="11" t="s">
        <v>77</v>
      </c>
      <c r="B94" s="11" t="s">
        <v>966</v>
      </c>
      <c r="C94" s="11"/>
      <c r="D94" s="11" t="s">
        <v>892</v>
      </c>
      <c r="E94" s="41" t="str">
        <f t="shared" ref="E94:S94" si="18">IFERROR(((E14/E66)-1),"CHECK")</f>
        <v>CHECK</v>
      </c>
      <c r="F94" s="41" t="str">
        <f t="shared" si="18"/>
        <v>CHECK</v>
      </c>
      <c r="G94" s="41" t="str">
        <f t="shared" si="18"/>
        <v>CHECK</v>
      </c>
      <c r="H94" s="41" t="str">
        <f t="shared" si="18"/>
        <v>CHECK</v>
      </c>
      <c r="I94" s="41" t="str">
        <f t="shared" si="18"/>
        <v>CHECK</v>
      </c>
      <c r="J94" s="41" t="str">
        <f t="shared" si="18"/>
        <v>CHECK</v>
      </c>
      <c r="K94" s="41" t="str">
        <f t="shared" si="18"/>
        <v>CHECK</v>
      </c>
      <c r="L94" s="41" t="str">
        <f t="shared" si="18"/>
        <v>CHECK</v>
      </c>
      <c r="M94" s="41" t="str">
        <f t="shared" si="18"/>
        <v>CHECK</v>
      </c>
      <c r="N94" s="41" t="str">
        <f t="shared" si="18"/>
        <v>CHECK</v>
      </c>
      <c r="O94" s="41" t="str">
        <f t="shared" si="18"/>
        <v>CHECK</v>
      </c>
      <c r="P94" s="41" t="str">
        <f t="shared" si="18"/>
        <v>CHECK</v>
      </c>
      <c r="Q94" s="41" t="str">
        <f t="shared" si="18"/>
        <v>CHECK</v>
      </c>
      <c r="R94" s="41" t="str">
        <f t="shared" si="18"/>
        <v>CHECK</v>
      </c>
      <c r="S94" s="41" t="str">
        <f t="shared" si="18"/>
        <v>CHECK</v>
      </c>
      <c r="T94" s="41" t="str">
        <f>IFERROR(((T14/T66)-1),"CHECK")</f>
        <v>CHECK</v>
      </c>
      <c r="U94" s="41"/>
      <c r="V94" s="41"/>
    </row>
    <row r="95" spans="1:23" x14ac:dyDescent="0.25">
      <c r="A95" s="11" t="s">
        <v>77</v>
      </c>
      <c r="B95" s="11" t="s">
        <v>967</v>
      </c>
      <c r="C95" s="11"/>
      <c r="D95" s="11" t="s">
        <v>892</v>
      </c>
      <c r="E95" s="41">
        <f t="shared" ref="E95:S95" si="19">IFERROR(((E15/E67)-1),"CHECK")</f>
        <v>0</v>
      </c>
      <c r="F95" s="41">
        <f t="shared" si="19"/>
        <v>0</v>
      </c>
      <c r="G95" s="41">
        <f t="shared" si="19"/>
        <v>0</v>
      </c>
      <c r="H95" s="41">
        <f t="shared" si="19"/>
        <v>0</v>
      </c>
      <c r="I95" s="41">
        <f t="shared" si="19"/>
        <v>0</v>
      </c>
      <c r="J95" s="41">
        <f t="shared" si="19"/>
        <v>0</v>
      </c>
      <c r="K95" s="41">
        <f t="shared" si="19"/>
        <v>0</v>
      </c>
      <c r="L95" s="41">
        <f t="shared" si="19"/>
        <v>0</v>
      </c>
      <c r="M95" s="41">
        <f t="shared" si="19"/>
        <v>0</v>
      </c>
      <c r="N95" s="41">
        <f t="shared" si="19"/>
        <v>0</v>
      </c>
      <c r="O95" s="41">
        <f t="shared" si="19"/>
        <v>0</v>
      </c>
      <c r="P95" s="41">
        <f t="shared" si="19"/>
        <v>0</v>
      </c>
      <c r="Q95" s="41">
        <f t="shared" si="19"/>
        <v>0</v>
      </c>
      <c r="R95" s="41">
        <f t="shared" si="19"/>
        <v>0</v>
      </c>
      <c r="S95" s="41">
        <f t="shared" si="19"/>
        <v>0</v>
      </c>
      <c r="T95" s="41">
        <f>IFERROR(((T15/T67)-1),"CHECK")</f>
        <v>0</v>
      </c>
      <c r="U95" s="41"/>
      <c r="V95" s="41"/>
    </row>
    <row r="96" spans="1:23" x14ac:dyDescent="0.25">
      <c r="A96" s="11" t="s">
        <v>77</v>
      </c>
      <c r="B96" s="11" t="s">
        <v>968</v>
      </c>
      <c r="C96" s="11"/>
      <c r="D96" s="11" t="s">
        <v>892</v>
      </c>
      <c r="E96" s="41" t="str">
        <f t="shared" ref="E96:S96" si="20">IFERROR(((E16/E68)-1),"CHECK")</f>
        <v>CHECK</v>
      </c>
      <c r="F96" s="41" t="str">
        <f t="shared" si="20"/>
        <v>CHECK</v>
      </c>
      <c r="G96" s="41" t="str">
        <f t="shared" si="20"/>
        <v>CHECK</v>
      </c>
      <c r="H96" s="41" t="str">
        <f t="shared" si="20"/>
        <v>CHECK</v>
      </c>
      <c r="I96" s="41" t="str">
        <f t="shared" si="20"/>
        <v>CHECK</v>
      </c>
      <c r="J96" s="41" t="str">
        <f t="shared" si="20"/>
        <v>CHECK</v>
      </c>
      <c r="K96" s="41" t="str">
        <f t="shared" si="20"/>
        <v>CHECK</v>
      </c>
      <c r="L96" s="41" t="str">
        <f t="shared" si="20"/>
        <v>CHECK</v>
      </c>
      <c r="M96" s="41" t="str">
        <f t="shared" si="20"/>
        <v>CHECK</v>
      </c>
      <c r="N96" s="41" t="str">
        <f t="shared" si="20"/>
        <v>CHECK</v>
      </c>
      <c r="O96" s="41" t="str">
        <f t="shared" si="20"/>
        <v>CHECK</v>
      </c>
      <c r="P96" s="41" t="str">
        <f t="shared" si="20"/>
        <v>CHECK</v>
      </c>
      <c r="Q96" s="41" t="str">
        <f t="shared" si="20"/>
        <v>CHECK</v>
      </c>
      <c r="R96" s="41" t="str">
        <f t="shared" si="20"/>
        <v>CHECK</v>
      </c>
      <c r="S96" s="41" t="str">
        <f t="shared" si="20"/>
        <v>CHECK</v>
      </c>
      <c r="T96" s="41" t="str">
        <f>IFERROR(((T16/T68)-1),"CHECK")</f>
        <v>CHECK</v>
      </c>
      <c r="U96" s="41"/>
      <c r="V96" s="41"/>
    </row>
    <row r="98" spans="1:22" x14ac:dyDescent="0.25">
      <c r="A98" s="8"/>
      <c r="B98" s="9" t="s">
        <v>877</v>
      </c>
      <c r="C98" s="8"/>
      <c r="D98" s="8"/>
      <c r="E98" s="8"/>
      <c r="F98" s="8"/>
      <c r="G98" s="8"/>
      <c r="H98" s="8"/>
      <c r="I98" s="8"/>
      <c r="J98" s="8"/>
      <c r="K98" s="8"/>
      <c r="L98" s="8"/>
      <c r="M98" s="8"/>
      <c r="N98" s="8"/>
      <c r="O98" s="8"/>
      <c r="P98" s="8"/>
      <c r="Q98" s="8"/>
      <c r="R98" s="8"/>
      <c r="S98" s="8"/>
      <c r="T98" s="8"/>
      <c r="U98" s="8"/>
      <c r="V98" s="8"/>
    </row>
    <row r="100" spans="1:22" x14ac:dyDescent="0.25">
      <c r="A100" s="11" t="s">
        <v>77</v>
      </c>
      <c r="B100" s="11" t="s">
        <v>969</v>
      </c>
      <c r="C100" s="11" t="s">
        <v>836</v>
      </c>
      <c r="D100" s="11" t="s">
        <v>970</v>
      </c>
      <c r="E100" s="41" t="str">
        <f t="shared" ref="E100:S100" si="21">IFERROR(((E20/E72)-1),"CHECK")</f>
        <v>CHECK</v>
      </c>
      <c r="F100" s="41" t="str">
        <f t="shared" si="21"/>
        <v>CHECK</v>
      </c>
      <c r="G100" s="41" t="str">
        <f t="shared" si="21"/>
        <v>CHECK</v>
      </c>
      <c r="H100" s="41" t="str">
        <f t="shared" si="21"/>
        <v>CHECK</v>
      </c>
      <c r="I100" s="41" t="str">
        <f t="shared" si="21"/>
        <v>CHECK</v>
      </c>
      <c r="J100" s="41" t="str">
        <f t="shared" si="21"/>
        <v>CHECK</v>
      </c>
      <c r="K100" s="41" t="str">
        <f t="shared" si="21"/>
        <v>CHECK</v>
      </c>
      <c r="L100" s="41" t="str">
        <f t="shared" si="21"/>
        <v>CHECK</v>
      </c>
      <c r="M100" s="41" t="str">
        <f t="shared" si="21"/>
        <v>CHECK</v>
      </c>
      <c r="N100" s="41" t="str">
        <f t="shared" si="21"/>
        <v>CHECK</v>
      </c>
      <c r="O100" s="41" t="str">
        <f t="shared" si="21"/>
        <v>CHECK</v>
      </c>
      <c r="P100" s="41" t="str">
        <f t="shared" si="21"/>
        <v>CHECK</v>
      </c>
      <c r="Q100" s="41" t="str">
        <f t="shared" si="21"/>
        <v>CHECK</v>
      </c>
      <c r="R100" s="41" t="str">
        <f t="shared" si="21"/>
        <v>CHECK</v>
      </c>
      <c r="S100" s="41" t="str">
        <f t="shared" si="21"/>
        <v>CHECK</v>
      </c>
      <c r="T100" s="41" t="str">
        <f>IFERROR(((T20/T72)-1),"CHECK")</f>
        <v>CHECK</v>
      </c>
      <c r="U100" s="41"/>
      <c r="V100" s="41"/>
    </row>
    <row r="101" spans="1:22" x14ac:dyDescent="0.25">
      <c r="A101" s="11" t="s">
        <v>77</v>
      </c>
      <c r="B101" s="11" t="s">
        <v>971</v>
      </c>
      <c r="C101" s="11" t="s">
        <v>836</v>
      </c>
      <c r="D101" s="11" t="s">
        <v>970</v>
      </c>
      <c r="E101" s="41">
        <f t="shared" ref="E101:S101" si="22">IFERROR(((E21/E73)-1),"CHECK")</f>
        <v>0</v>
      </c>
      <c r="F101" s="41">
        <f t="shared" si="22"/>
        <v>0</v>
      </c>
      <c r="G101" s="41">
        <f t="shared" si="22"/>
        <v>0</v>
      </c>
      <c r="H101" s="41">
        <f t="shared" si="22"/>
        <v>0</v>
      </c>
      <c r="I101" s="41">
        <f t="shared" si="22"/>
        <v>0</v>
      </c>
      <c r="J101" s="41">
        <f t="shared" si="22"/>
        <v>0</v>
      </c>
      <c r="K101" s="41">
        <f t="shared" si="22"/>
        <v>0</v>
      </c>
      <c r="L101" s="41">
        <f t="shared" si="22"/>
        <v>0</v>
      </c>
      <c r="M101" s="41">
        <f t="shared" si="22"/>
        <v>0</v>
      </c>
      <c r="N101" s="41">
        <f t="shared" si="22"/>
        <v>0</v>
      </c>
      <c r="O101" s="41">
        <f t="shared" si="22"/>
        <v>0</v>
      </c>
      <c r="P101" s="41">
        <f t="shared" si="22"/>
        <v>0</v>
      </c>
      <c r="Q101" s="41">
        <f t="shared" si="22"/>
        <v>0</v>
      </c>
      <c r="R101" s="41">
        <f t="shared" si="22"/>
        <v>0</v>
      </c>
      <c r="S101" s="41">
        <f t="shared" si="22"/>
        <v>0</v>
      </c>
      <c r="T101" s="41">
        <f>IFERROR(((T21/T73)-1),"CHECK")</f>
        <v>0</v>
      </c>
      <c r="U101" s="41"/>
      <c r="V101" s="41"/>
    </row>
    <row r="102" spans="1:22" x14ac:dyDescent="0.25">
      <c r="A102" s="11" t="s">
        <v>77</v>
      </c>
      <c r="B102" s="11" t="s">
        <v>972</v>
      </c>
      <c r="C102" s="11" t="s">
        <v>836</v>
      </c>
      <c r="D102" s="11" t="s">
        <v>970</v>
      </c>
      <c r="E102" s="41" t="str">
        <f t="shared" ref="E102:S102" si="23">IFERROR(((E22/E74)-1),"CHECK")</f>
        <v>CHECK</v>
      </c>
      <c r="F102" s="41" t="str">
        <f t="shared" si="23"/>
        <v>CHECK</v>
      </c>
      <c r="G102" s="41" t="str">
        <f t="shared" si="23"/>
        <v>CHECK</v>
      </c>
      <c r="H102" s="41" t="str">
        <f t="shared" si="23"/>
        <v>CHECK</v>
      </c>
      <c r="I102" s="41" t="str">
        <f t="shared" si="23"/>
        <v>CHECK</v>
      </c>
      <c r="J102" s="41" t="str">
        <f t="shared" si="23"/>
        <v>CHECK</v>
      </c>
      <c r="K102" s="41" t="str">
        <f t="shared" si="23"/>
        <v>CHECK</v>
      </c>
      <c r="L102" s="41" t="str">
        <f t="shared" si="23"/>
        <v>CHECK</v>
      </c>
      <c r="M102" s="41" t="str">
        <f t="shared" si="23"/>
        <v>CHECK</v>
      </c>
      <c r="N102" s="41" t="str">
        <f t="shared" si="23"/>
        <v>CHECK</v>
      </c>
      <c r="O102" s="41" t="str">
        <f t="shared" si="23"/>
        <v>CHECK</v>
      </c>
      <c r="P102" s="41" t="str">
        <f t="shared" si="23"/>
        <v>CHECK</v>
      </c>
      <c r="Q102" s="41" t="str">
        <f t="shared" si="23"/>
        <v>CHECK</v>
      </c>
      <c r="R102" s="41" t="str">
        <f t="shared" si="23"/>
        <v>CHECK</v>
      </c>
      <c r="S102" s="41" t="str">
        <f t="shared" si="23"/>
        <v>CHECK</v>
      </c>
      <c r="T102" s="41" t="str">
        <f>IFERROR(((T22/T74)-1),"CHECK")</f>
        <v>CHECK</v>
      </c>
      <c r="U102" s="41"/>
      <c r="V102" s="41"/>
    </row>
    <row r="103" spans="1:22" x14ac:dyDescent="0.25">
      <c r="A103" s="11" t="s">
        <v>77</v>
      </c>
      <c r="B103" s="11" t="s">
        <v>973</v>
      </c>
      <c r="C103" s="11" t="s">
        <v>486</v>
      </c>
      <c r="D103" s="11" t="s">
        <v>974</v>
      </c>
      <c r="E103" s="41" t="str">
        <f t="shared" ref="E103:S103" si="24">IFERROR(((E23/E75)-1),"CHECK")</f>
        <v>CHECK</v>
      </c>
      <c r="F103" s="41" t="str">
        <f t="shared" si="24"/>
        <v>CHECK</v>
      </c>
      <c r="G103" s="41" t="str">
        <f t="shared" si="24"/>
        <v>CHECK</v>
      </c>
      <c r="H103" s="41" t="str">
        <f t="shared" si="24"/>
        <v>CHECK</v>
      </c>
      <c r="I103" s="41" t="str">
        <f t="shared" si="24"/>
        <v>CHECK</v>
      </c>
      <c r="J103" s="41" t="str">
        <f t="shared" si="24"/>
        <v>CHECK</v>
      </c>
      <c r="K103" s="41" t="str">
        <f t="shared" si="24"/>
        <v>CHECK</v>
      </c>
      <c r="L103" s="41" t="str">
        <f t="shared" si="24"/>
        <v>CHECK</v>
      </c>
      <c r="M103" s="41" t="str">
        <f t="shared" si="24"/>
        <v>CHECK</v>
      </c>
      <c r="N103" s="41" t="str">
        <f t="shared" si="24"/>
        <v>CHECK</v>
      </c>
      <c r="O103" s="41" t="str">
        <f t="shared" si="24"/>
        <v>CHECK</v>
      </c>
      <c r="P103" s="41" t="str">
        <f t="shared" si="24"/>
        <v>CHECK</v>
      </c>
      <c r="Q103" s="41" t="str">
        <f t="shared" si="24"/>
        <v>CHECK</v>
      </c>
      <c r="R103" s="41" t="str">
        <f t="shared" si="24"/>
        <v>CHECK</v>
      </c>
      <c r="S103" s="41" t="str">
        <f t="shared" si="24"/>
        <v>CHECK</v>
      </c>
      <c r="T103" s="41" t="str">
        <f>IFERROR(((T23/T75)-1),"CHECK")</f>
        <v>CHECK</v>
      </c>
      <c r="U103" s="41"/>
      <c r="V103" s="41"/>
    </row>
    <row r="105" spans="1:22" x14ac:dyDescent="0.25">
      <c r="A105" s="8"/>
      <c r="B105" s="9" t="s">
        <v>619</v>
      </c>
      <c r="C105" s="8"/>
      <c r="D105" s="8"/>
      <c r="E105" s="8"/>
      <c r="F105" s="8"/>
      <c r="G105" s="8"/>
      <c r="H105" s="8"/>
      <c r="I105" s="8"/>
      <c r="J105" s="8"/>
      <c r="K105" s="8"/>
      <c r="L105" s="8"/>
      <c r="M105" s="8"/>
      <c r="N105" s="8"/>
      <c r="O105" s="8"/>
      <c r="P105" s="8"/>
      <c r="Q105" s="8"/>
      <c r="R105" s="8"/>
      <c r="S105" s="8"/>
      <c r="T105" s="8"/>
      <c r="U105" s="8"/>
      <c r="V105" s="8"/>
    </row>
    <row r="107" spans="1:22" x14ac:dyDescent="0.25">
      <c r="A107" s="11" t="s">
        <v>77</v>
      </c>
      <c r="B107" s="11" t="s">
        <v>975</v>
      </c>
      <c r="C107" s="11" t="s">
        <v>836</v>
      </c>
      <c r="D107" s="11" t="s">
        <v>976</v>
      </c>
      <c r="E107" s="41" t="str">
        <f t="shared" ref="E107:E116" si="25">IFERROR(((E27/E79)-1),"CHECK")</f>
        <v>CHECK</v>
      </c>
      <c r="F107" s="41" t="str">
        <f t="shared" ref="F107:S107" si="26">IFERROR(((F27/F79)-1),"CHECK")</f>
        <v>CHECK</v>
      </c>
      <c r="G107" s="41" t="str">
        <f t="shared" si="26"/>
        <v>CHECK</v>
      </c>
      <c r="H107" s="41" t="str">
        <f t="shared" si="26"/>
        <v>CHECK</v>
      </c>
      <c r="I107" s="41" t="str">
        <f t="shared" si="26"/>
        <v>CHECK</v>
      </c>
      <c r="J107" s="41" t="str">
        <f t="shared" si="26"/>
        <v>CHECK</v>
      </c>
      <c r="K107" s="41" t="str">
        <f t="shared" si="26"/>
        <v>CHECK</v>
      </c>
      <c r="L107" s="41" t="str">
        <f t="shared" si="26"/>
        <v>CHECK</v>
      </c>
      <c r="M107" s="41" t="str">
        <f t="shared" si="26"/>
        <v>CHECK</v>
      </c>
      <c r="N107" s="41" t="str">
        <f t="shared" si="26"/>
        <v>CHECK</v>
      </c>
      <c r="O107" s="41" t="str">
        <f t="shared" si="26"/>
        <v>CHECK</v>
      </c>
      <c r="P107" s="41" t="str">
        <f t="shared" si="26"/>
        <v>CHECK</v>
      </c>
      <c r="Q107" s="41" t="str">
        <f t="shared" si="26"/>
        <v>CHECK</v>
      </c>
      <c r="R107" s="41" t="str">
        <f t="shared" si="26"/>
        <v>CHECK</v>
      </c>
      <c r="S107" s="41" t="str">
        <f t="shared" si="26"/>
        <v>CHECK</v>
      </c>
      <c r="T107" s="41" t="str">
        <f t="shared" ref="T107:T116" si="27">IFERROR(((T27/T79)-1),"CHECK")</f>
        <v>CHECK</v>
      </c>
      <c r="U107" s="41"/>
      <c r="V107" s="41"/>
    </row>
    <row r="108" spans="1:22" x14ac:dyDescent="0.25">
      <c r="A108" s="11" t="s">
        <v>77</v>
      </c>
      <c r="B108" s="11" t="s">
        <v>975</v>
      </c>
      <c r="C108" s="11" t="s">
        <v>836</v>
      </c>
      <c r="D108" s="11" t="s">
        <v>884</v>
      </c>
      <c r="E108" s="41" t="str">
        <f t="shared" si="25"/>
        <v>CHECK</v>
      </c>
      <c r="F108" s="41" t="str">
        <f t="shared" ref="F108:S108" si="28">IFERROR(((F28/F80)-1),"CHECK")</f>
        <v>CHECK</v>
      </c>
      <c r="G108" s="41" t="str">
        <f t="shared" si="28"/>
        <v>CHECK</v>
      </c>
      <c r="H108" s="41" t="str">
        <f t="shared" si="28"/>
        <v>CHECK</v>
      </c>
      <c r="I108" s="41" t="str">
        <f t="shared" si="28"/>
        <v>CHECK</v>
      </c>
      <c r="J108" s="41" t="str">
        <f t="shared" si="28"/>
        <v>CHECK</v>
      </c>
      <c r="K108" s="41" t="str">
        <f t="shared" si="28"/>
        <v>CHECK</v>
      </c>
      <c r="L108" s="41" t="str">
        <f t="shared" si="28"/>
        <v>CHECK</v>
      </c>
      <c r="M108" s="41" t="str">
        <f t="shared" si="28"/>
        <v>CHECK</v>
      </c>
      <c r="N108" s="41" t="str">
        <f t="shared" si="28"/>
        <v>CHECK</v>
      </c>
      <c r="O108" s="41" t="str">
        <f t="shared" si="28"/>
        <v>CHECK</v>
      </c>
      <c r="P108" s="41" t="str">
        <f t="shared" si="28"/>
        <v>CHECK</v>
      </c>
      <c r="Q108" s="41" t="str">
        <f t="shared" si="28"/>
        <v>CHECK</v>
      </c>
      <c r="R108" s="41" t="str">
        <f t="shared" si="28"/>
        <v>CHECK</v>
      </c>
      <c r="S108" s="41" t="str">
        <f t="shared" si="28"/>
        <v>CHECK</v>
      </c>
      <c r="T108" s="41" t="str">
        <f t="shared" si="27"/>
        <v>CHECK</v>
      </c>
      <c r="U108" s="41"/>
      <c r="V108" s="41"/>
    </row>
    <row r="109" spans="1:22" x14ac:dyDescent="0.25">
      <c r="A109" s="11" t="s">
        <v>77</v>
      </c>
      <c r="B109" s="11" t="s">
        <v>977</v>
      </c>
      <c r="C109" s="11" t="s">
        <v>836</v>
      </c>
      <c r="D109" s="11" t="s">
        <v>976</v>
      </c>
      <c r="E109" s="41">
        <f t="shared" si="25"/>
        <v>0</v>
      </c>
      <c r="F109" s="41">
        <f t="shared" ref="F109:S109" si="29">IFERROR(((F29/F81)-1),"CHECK")</f>
        <v>0</v>
      </c>
      <c r="G109" s="41">
        <f t="shared" si="29"/>
        <v>0</v>
      </c>
      <c r="H109" s="41">
        <f t="shared" si="29"/>
        <v>0</v>
      </c>
      <c r="I109" s="41">
        <f t="shared" si="29"/>
        <v>0</v>
      </c>
      <c r="J109" s="41">
        <f t="shared" si="29"/>
        <v>0</v>
      </c>
      <c r="K109" s="41">
        <f t="shared" si="29"/>
        <v>0</v>
      </c>
      <c r="L109" s="41">
        <f t="shared" si="29"/>
        <v>0</v>
      </c>
      <c r="M109" s="41">
        <f t="shared" si="29"/>
        <v>0</v>
      </c>
      <c r="N109" s="41">
        <f t="shared" si="29"/>
        <v>0</v>
      </c>
      <c r="O109" s="41">
        <f t="shared" si="29"/>
        <v>0</v>
      </c>
      <c r="P109" s="41">
        <f t="shared" si="29"/>
        <v>0</v>
      </c>
      <c r="Q109" s="41">
        <f t="shared" si="29"/>
        <v>0</v>
      </c>
      <c r="R109" s="41">
        <f t="shared" si="29"/>
        <v>0</v>
      </c>
      <c r="S109" s="41">
        <f t="shared" si="29"/>
        <v>0</v>
      </c>
      <c r="T109" s="41">
        <f t="shared" si="27"/>
        <v>0</v>
      </c>
      <c r="U109" s="41"/>
      <c r="V109" s="41"/>
    </row>
    <row r="110" spans="1:22" x14ac:dyDescent="0.25">
      <c r="A110" s="11" t="s">
        <v>77</v>
      </c>
      <c r="B110" s="11" t="s">
        <v>977</v>
      </c>
      <c r="C110" s="11" t="s">
        <v>836</v>
      </c>
      <c r="D110" s="11" t="s">
        <v>884</v>
      </c>
      <c r="E110" s="41">
        <f t="shared" si="25"/>
        <v>0</v>
      </c>
      <c r="F110" s="41">
        <f t="shared" ref="F110:S110" si="30">IFERROR(((F30/F82)-1),"CHECK")</f>
        <v>0</v>
      </c>
      <c r="G110" s="41">
        <f t="shared" si="30"/>
        <v>0</v>
      </c>
      <c r="H110" s="41">
        <f t="shared" si="30"/>
        <v>0</v>
      </c>
      <c r="I110" s="41">
        <f t="shared" si="30"/>
        <v>0</v>
      </c>
      <c r="J110" s="41">
        <f t="shared" si="30"/>
        <v>0</v>
      </c>
      <c r="K110" s="41">
        <f t="shared" si="30"/>
        <v>0</v>
      </c>
      <c r="L110" s="41">
        <f t="shared" si="30"/>
        <v>0</v>
      </c>
      <c r="M110" s="41">
        <f t="shared" si="30"/>
        <v>0</v>
      </c>
      <c r="N110" s="41">
        <f t="shared" si="30"/>
        <v>0</v>
      </c>
      <c r="O110" s="41">
        <f t="shared" si="30"/>
        <v>0</v>
      </c>
      <c r="P110" s="41">
        <f t="shared" si="30"/>
        <v>0</v>
      </c>
      <c r="Q110" s="41">
        <f t="shared" si="30"/>
        <v>0</v>
      </c>
      <c r="R110" s="41">
        <f t="shared" si="30"/>
        <v>0</v>
      </c>
      <c r="S110" s="41">
        <f t="shared" si="30"/>
        <v>0</v>
      </c>
      <c r="T110" s="41">
        <f t="shared" si="27"/>
        <v>0</v>
      </c>
      <c r="U110" s="41"/>
      <c r="V110" s="41"/>
    </row>
    <row r="111" spans="1:22" x14ac:dyDescent="0.25">
      <c r="A111" s="11" t="s">
        <v>77</v>
      </c>
      <c r="B111" s="11" t="s">
        <v>978</v>
      </c>
      <c r="C111" s="11" t="s">
        <v>836</v>
      </c>
      <c r="D111" s="11" t="s">
        <v>976</v>
      </c>
      <c r="E111" s="41" t="str">
        <f t="shared" si="25"/>
        <v>CHECK</v>
      </c>
      <c r="F111" s="41" t="str">
        <f t="shared" ref="F111:S111" si="31">IFERROR(((F31/F83)-1),"CHECK")</f>
        <v>CHECK</v>
      </c>
      <c r="G111" s="41" t="str">
        <f t="shared" si="31"/>
        <v>CHECK</v>
      </c>
      <c r="H111" s="41" t="str">
        <f t="shared" si="31"/>
        <v>CHECK</v>
      </c>
      <c r="I111" s="41" t="str">
        <f t="shared" si="31"/>
        <v>CHECK</v>
      </c>
      <c r="J111" s="41" t="str">
        <f t="shared" si="31"/>
        <v>CHECK</v>
      </c>
      <c r="K111" s="41" t="str">
        <f t="shared" si="31"/>
        <v>CHECK</v>
      </c>
      <c r="L111" s="41" t="str">
        <f t="shared" si="31"/>
        <v>CHECK</v>
      </c>
      <c r="M111" s="41" t="str">
        <f t="shared" si="31"/>
        <v>CHECK</v>
      </c>
      <c r="N111" s="41" t="str">
        <f t="shared" si="31"/>
        <v>CHECK</v>
      </c>
      <c r="O111" s="41" t="str">
        <f t="shared" si="31"/>
        <v>CHECK</v>
      </c>
      <c r="P111" s="41" t="str">
        <f t="shared" si="31"/>
        <v>CHECK</v>
      </c>
      <c r="Q111" s="41" t="str">
        <f t="shared" si="31"/>
        <v>CHECK</v>
      </c>
      <c r="R111" s="41" t="str">
        <f t="shared" si="31"/>
        <v>CHECK</v>
      </c>
      <c r="S111" s="41" t="str">
        <f t="shared" si="31"/>
        <v>CHECK</v>
      </c>
      <c r="T111" s="41" t="str">
        <f t="shared" si="27"/>
        <v>CHECK</v>
      </c>
      <c r="U111" s="41"/>
      <c r="V111" s="41"/>
    </row>
    <row r="112" spans="1:22" x14ac:dyDescent="0.25">
      <c r="A112" s="11" t="s">
        <v>77</v>
      </c>
      <c r="B112" s="11" t="s">
        <v>978</v>
      </c>
      <c r="C112" s="11" t="s">
        <v>836</v>
      </c>
      <c r="D112" s="11" t="s">
        <v>884</v>
      </c>
      <c r="E112" s="41" t="str">
        <f t="shared" si="25"/>
        <v>CHECK</v>
      </c>
      <c r="F112" s="41" t="str">
        <f t="shared" ref="F112:S112" si="32">IFERROR(((F32/F84)-1),"CHECK")</f>
        <v>CHECK</v>
      </c>
      <c r="G112" s="41" t="str">
        <f t="shared" si="32"/>
        <v>CHECK</v>
      </c>
      <c r="H112" s="41" t="str">
        <f t="shared" si="32"/>
        <v>CHECK</v>
      </c>
      <c r="I112" s="41" t="str">
        <f t="shared" si="32"/>
        <v>CHECK</v>
      </c>
      <c r="J112" s="41" t="str">
        <f t="shared" si="32"/>
        <v>CHECK</v>
      </c>
      <c r="K112" s="41" t="str">
        <f t="shared" si="32"/>
        <v>CHECK</v>
      </c>
      <c r="L112" s="41" t="str">
        <f t="shared" si="32"/>
        <v>CHECK</v>
      </c>
      <c r="M112" s="41" t="str">
        <f t="shared" si="32"/>
        <v>CHECK</v>
      </c>
      <c r="N112" s="41" t="str">
        <f t="shared" si="32"/>
        <v>CHECK</v>
      </c>
      <c r="O112" s="41" t="str">
        <f t="shared" si="32"/>
        <v>CHECK</v>
      </c>
      <c r="P112" s="41" t="str">
        <f t="shared" si="32"/>
        <v>CHECK</v>
      </c>
      <c r="Q112" s="41" t="str">
        <f t="shared" si="32"/>
        <v>CHECK</v>
      </c>
      <c r="R112" s="41" t="str">
        <f t="shared" si="32"/>
        <v>CHECK</v>
      </c>
      <c r="S112" s="41" t="str">
        <f t="shared" si="32"/>
        <v>CHECK</v>
      </c>
      <c r="T112" s="41" t="str">
        <f t="shared" si="27"/>
        <v>CHECK</v>
      </c>
      <c r="U112" s="41"/>
      <c r="V112" s="41"/>
    </row>
    <row r="113" spans="1:22" x14ac:dyDescent="0.25">
      <c r="A113" s="11" t="s">
        <v>77</v>
      </c>
      <c r="B113" s="11" t="s">
        <v>835</v>
      </c>
      <c r="C113" s="11" t="s">
        <v>836</v>
      </c>
      <c r="D113" s="11" t="s">
        <v>884</v>
      </c>
      <c r="E113" s="41">
        <f t="shared" si="25"/>
        <v>0</v>
      </c>
      <c r="F113" s="41">
        <f t="shared" ref="F113:S113" si="33">IFERROR(((F33/F85)-1),"CHECK")</f>
        <v>0</v>
      </c>
      <c r="G113" s="41">
        <f t="shared" si="33"/>
        <v>0</v>
      </c>
      <c r="H113" s="41">
        <f t="shared" si="33"/>
        <v>0</v>
      </c>
      <c r="I113" s="41">
        <f t="shared" si="33"/>
        <v>0</v>
      </c>
      <c r="J113" s="41">
        <f t="shared" si="33"/>
        <v>0</v>
      </c>
      <c r="K113" s="41">
        <f t="shared" si="33"/>
        <v>0</v>
      </c>
      <c r="L113" s="41">
        <f t="shared" si="33"/>
        <v>0</v>
      </c>
      <c r="M113" s="41">
        <f t="shared" si="33"/>
        <v>0</v>
      </c>
      <c r="N113" s="41">
        <f t="shared" si="33"/>
        <v>0</v>
      </c>
      <c r="O113" s="41">
        <f t="shared" si="33"/>
        <v>0</v>
      </c>
      <c r="P113" s="41">
        <f t="shared" si="33"/>
        <v>0</v>
      </c>
      <c r="Q113" s="41">
        <f t="shared" si="33"/>
        <v>0</v>
      </c>
      <c r="R113" s="41">
        <f t="shared" si="33"/>
        <v>0</v>
      </c>
      <c r="S113" s="41">
        <f t="shared" si="33"/>
        <v>0</v>
      </c>
      <c r="T113" s="41">
        <f t="shared" si="27"/>
        <v>0</v>
      </c>
      <c r="U113" s="41"/>
      <c r="V113" s="41"/>
    </row>
    <row r="114" spans="1:22" x14ac:dyDescent="0.25">
      <c r="A114" s="11" t="s">
        <v>77</v>
      </c>
      <c r="B114" s="11" t="s">
        <v>954</v>
      </c>
      <c r="C114" s="11" t="s">
        <v>486</v>
      </c>
      <c r="D114" s="11" t="s">
        <v>979</v>
      </c>
      <c r="E114" s="41" t="str">
        <f t="shared" si="25"/>
        <v>CHECK</v>
      </c>
      <c r="F114" s="41" t="str">
        <f t="shared" ref="F114:S114" si="34">IFERROR(((F34/F86)-1),"CHECK")</f>
        <v>CHECK</v>
      </c>
      <c r="G114" s="41" t="str">
        <f t="shared" si="34"/>
        <v>CHECK</v>
      </c>
      <c r="H114" s="41" t="str">
        <f t="shared" si="34"/>
        <v>CHECK</v>
      </c>
      <c r="I114" s="41" t="str">
        <f t="shared" si="34"/>
        <v>CHECK</v>
      </c>
      <c r="J114" s="41" t="str">
        <f t="shared" si="34"/>
        <v>CHECK</v>
      </c>
      <c r="K114" s="41" t="str">
        <f t="shared" si="34"/>
        <v>CHECK</v>
      </c>
      <c r="L114" s="41" t="str">
        <f t="shared" si="34"/>
        <v>CHECK</v>
      </c>
      <c r="M114" s="41" t="str">
        <f t="shared" si="34"/>
        <v>CHECK</v>
      </c>
      <c r="N114" s="41" t="str">
        <f t="shared" si="34"/>
        <v>CHECK</v>
      </c>
      <c r="O114" s="41" t="str">
        <f t="shared" si="34"/>
        <v>CHECK</v>
      </c>
      <c r="P114" s="41" t="str">
        <f t="shared" si="34"/>
        <v>CHECK</v>
      </c>
      <c r="Q114" s="41" t="str">
        <f t="shared" si="34"/>
        <v>CHECK</v>
      </c>
      <c r="R114" s="41" t="str">
        <f t="shared" si="34"/>
        <v>CHECK</v>
      </c>
      <c r="S114" s="41" t="str">
        <f t="shared" si="34"/>
        <v>CHECK</v>
      </c>
      <c r="T114" s="41" t="str">
        <f t="shared" si="27"/>
        <v>CHECK</v>
      </c>
      <c r="U114" s="41"/>
      <c r="V114" s="41"/>
    </row>
    <row r="115" spans="1:22" x14ac:dyDescent="0.25">
      <c r="A115" s="11" t="s">
        <v>77</v>
      </c>
      <c r="B115" s="11" t="s">
        <v>837</v>
      </c>
      <c r="C115" s="11" t="s">
        <v>486</v>
      </c>
      <c r="D115" s="11" t="s">
        <v>924</v>
      </c>
      <c r="E115" s="41" t="str">
        <f t="shared" si="25"/>
        <v>CHECK</v>
      </c>
      <c r="F115" s="41" t="str">
        <f t="shared" ref="F115:S115" si="35">IFERROR(((F35/F87)-1),"CHECK")</f>
        <v>CHECK</v>
      </c>
      <c r="G115" s="41" t="str">
        <f t="shared" si="35"/>
        <v>CHECK</v>
      </c>
      <c r="H115" s="41" t="str">
        <f t="shared" si="35"/>
        <v>CHECK</v>
      </c>
      <c r="I115" s="41" t="str">
        <f t="shared" si="35"/>
        <v>CHECK</v>
      </c>
      <c r="J115" s="41" t="str">
        <f t="shared" si="35"/>
        <v>CHECK</v>
      </c>
      <c r="K115" s="41" t="str">
        <f t="shared" si="35"/>
        <v>CHECK</v>
      </c>
      <c r="L115" s="41" t="str">
        <f t="shared" si="35"/>
        <v>CHECK</v>
      </c>
      <c r="M115" s="41" t="str">
        <f t="shared" si="35"/>
        <v>CHECK</v>
      </c>
      <c r="N115" s="41" t="str">
        <f t="shared" si="35"/>
        <v>CHECK</v>
      </c>
      <c r="O115" s="41" t="str">
        <f t="shared" si="35"/>
        <v>CHECK</v>
      </c>
      <c r="P115" s="41" t="str">
        <f t="shared" si="35"/>
        <v>CHECK</v>
      </c>
      <c r="Q115" s="41" t="str">
        <f t="shared" si="35"/>
        <v>CHECK</v>
      </c>
      <c r="R115" s="41" t="str">
        <f t="shared" si="35"/>
        <v>CHECK</v>
      </c>
      <c r="S115" s="41" t="str">
        <f t="shared" si="35"/>
        <v>CHECK</v>
      </c>
      <c r="T115" s="41" t="str">
        <f t="shared" si="27"/>
        <v>CHECK</v>
      </c>
      <c r="U115" s="41"/>
      <c r="V115" s="41"/>
    </row>
    <row r="116" spans="1:22" x14ac:dyDescent="0.25">
      <c r="A116" s="11" t="s">
        <v>77</v>
      </c>
      <c r="B116" s="11" t="s">
        <v>882</v>
      </c>
      <c r="C116" s="11" t="s">
        <v>836</v>
      </c>
      <c r="D116" s="11" t="s">
        <v>745</v>
      </c>
      <c r="E116" s="41">
        <f t="shared" si="25"/>
        <v>0</v>
      </c>
      <c r="F116" s="41">
        <f t="shared" ref="F116:S116" si="36">IFERROR(((F36/F88)-1),"CHECK")</f>
        <v>0</v>
      </c>
      <c r="G116" s="41">
        <f t="shared" si="36"/>
        <v>0</v>
      </c>
      <c r="H116" s="41">
        <f t="shared" si="36"/>
        <v>0</v>
      </c>
      <c r="I116" s="41">
        <f t="shared" si="36"/>
        <v>0</v>
      </c>
      <c r="J116" s="41">
        <f t="shared" si="36"/>
        <v>0</v>
      </c>
      <c r="K116" s="41">
        <f t="shared" si="36"/>
        <v>0</v>
      </c>
      <c r="L116" s="41">
        <f t="shared" si="36"/>
        <v>0</v>
      </c>
      <c r="M116" s="41">
        <f t="shared" si="36"/>
        <v>0</v>
      </c>
      <c r="N116" s="41">
        <f t="shared" si="36"/>
        <v>0</v>
      </c>
      <c r="O116" s="41">
        <f t="shared" si="36"/>
        <v>0</v>
      </c>
      <c r="P116" s="41">
        <f t="shared" si="36"/>
        <v>0</v>
      </c>
      <c r="Q116" s="41">
        <f t="shared" si="36"/>
        <v>0</v>
      </c>
      <c r="R116" s="41">
        <f t="shared" si="36"/>
        <v>0</v>
      </c>
      <c r="S116" s="41">
        <f t="shared" si="36"/>
        <v>0</v>
      </c>
      <c r="T116" s="41">
        <f t="shared" si="27"/>
        <v>0</v>
      </c>
      <c r="U116" s="41"/>
      <c r="V116" s="41"/>
    </row>
    <row r="117" spans="1:22" x14ac:dyDescent="0.25">
      <c r="B117" s="14"/>
    </row>
  </sheetData>
  <mergeCells count="2">
    <mergeCell ref="C1:J1"/>
    <mergeCell ref="C2:J2"/>
  </mergeCells>
  <conditionalFormatting sqref="K2">
    <cfRule type="expression" dxfId="27" priority="2">
      <formula>(UPPER(LEFT(SUBSTITUTE($Z2,"#",""),5))="FIXCH")</formula>
    </cfRule>
    <cfRule type="expression" dxfId="26" priority="3">
      <formula>(UPPER(SUBSTITUTE($Z2,"#",""))="OK")</formula>
    </cfRule>
  </conditionalFormatting>
  <conditionalFormatting sqref="E94:S96 E100:S103 E107:S116">
    <cfRule type="colorScale" priority="4">
      <colorScale>
        <cfvo type="min"/>
        <cfvo type="num" val="0"/>
        <cfvo type="max"/>
        <color theme="3" tint="0.59999389629810485"/>
        <color theme="0"/>
        <color rgb="FFEE9CA4"/>
      </colorScale>
    </cfRule>
  </conditionalFormatting>
  <conditionalFormatting sqref="T94:V96 T100:V103 T107:V116">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7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700-000034000000}">
          <x14:colorSeries rgb="FF376092"/>
          <x14:colorNegative rgb="FFD00000"/>
          <x14:colorAxis rgb="FF000000"/>
          <x14:colorMarkers rgb="FFD00000"/>
          <x14:colorFirst rgb="FFD00000"/>
          <x14:colorLast rgb="FFD00000"/>
          <x14:colorHigh rgb="FFD00000"/>
          <x14:colorLow rgb="FFD00000"/>
          <x14:sparklines>
            <x14:sparkline>
              <xm:f>'2B5 Carbide Production'!E79:T79</xm:f>
              <xm:sqref>W79</xm:sqref>
            </x14:sparkline>
            <x14:sparkline>
              <xm:f>'2B5 Carbide Production'!E80:T80</xm:f>
              <xm:sqref>W80</xm:sqref>
            </x14:sparkline>
            <x14:sparkline>
              <xm:f>'2B5 Carbide Production'!E81:T81</xm:f>
              <xm:sqref>W81</xm:sqref>
            </x14:sparkline>
            <x14:sparkline>
              <xm:f>'2B5 Carbide Production'!E82:T82</xm:f>
              <xm:sqref>W82</xm:sqref>
            </x14:sparkline>
            <x14:sparkline>
              <xm:f>'2B5 Carbide Production'!E83:T83</xm:f>
              <xm:sqref>W83</xm:sqref>
            </x14:sparkline>
            <x14:sparkline>
              <xm:f>'2B5 Carbide Production'!E84:T84</xm:f>
              <xm:sqref>W84</xm:sqref>
            </x14:sparkline>
            <x14:sparkline>
              <xm:f>'2B5 Carbide Production'!E85:T85</xm:f>
              <xm:sqref>W85</xm:sqref>
            </x14:sparkline>
            <x14:sparkline>
              <xm:f>'2B5 Carbide Production'!E86:T86</xm:f>
              <xm:sqref>W86</xm:sqref>
            </x14:sparkline>
            <x14:sparkline>
              <xm:f>'2B5 Carbide Production'!E87:T87</xm:f>
              <xm:sqref>W87</xm:sqref>
            </x14:sparkline>
            <x14:sparkline>
              <xm:f>'2B5 Carbide Production'!E88:T88</xm:f>
              <xm:sqref>W88</xm:sqref>
            </x14:sparkline>
          </x14:sparklines>
        </x14:sparklineGroup>
        <x14:sparklineGroup manualMax="0" manualMin="0" displayEmptyCellsAs="gap" xr2:uid="{00000000-0003-0000-1700-000033000000}">
          <x14:colorSeries rgb="FF376092"/>
          <x14:colorNegative rgb="FFD00000"/>
          <x14:colorAxis rgb="FF000000"/>
          <x14:colorMarkers rgb="FFD00000"/>
          <x14:colorFirst rgb="FFD00000"/>
          <x14:colorLast rgb="FFD00000"/>
          <x14:colorHigh rgb="FFD00000"/>
          <x14:colorLow rgb="FFD00000"/>
          <x14:sparklines>
            <x14:sparkline>
              <xm:f>'2B5 Carbide Production'!E66:T66</xm:f>
              <xm:sqref>W66</xm:sqref>
            </x14:sparkline>
            <x14:sparkline>
              <xm:f>'2B5 Carbide Production'!E67:T67</xm:f>
              <xm:sqref>W67</xm:sqref>
            </x14:sparkline>
            <x14:sparkline>
              <xm:f>'2B5 Carbide Production'!E68:T68</xm:f>
              <xm:sqref>W68</xm:sqref>
            </x14:sparkline>
          </x14:sparklines>
        </x14:sparklineGroup>
        <x14:sparklineGroup manualMax="0" manualMin="0" displayEmptyCellsAs="gap" xr2:uid="{00000000-0003-0000-1700-000032000000}">
          <x14:colorSeries rgb="FF376092"/>
          <x14:colorNegative rgb="FFD00000"/>
          <x14:colorAxis rgb="FF000000"/>
          <x14:colorMarkers rgb="FFD00000"/>
          <x14:colorFirst rgb="FFD00000"/>
          <x14:colorLast rgb="FFD00000"/>
          <x14:colorHigh rgb="FFD00000"/>
          <x14:colorLow rgb="FFD00000"/>
          <x14:sparklines>
            <x14:sparkline>
              <xm:f>'2B5 Carbide Production'!E72:T72</xm:f>
              <xm:sqref>W72</xm:sqref>
            </x14:sparkline>
            <x14:sparkline>
              <xm:f>'2B5 Carbide Production'!E73:T73</xm:f>
              <xm:sqref>W73</xm:sqref>
            </x14:sparkline>
            <x14:sparkline>
              <xm:f>'2B5 Carbide Production'!E74:T74</xm:f>
              <xm:sqref>W74</xm:sqref>
            </x14:sparkline>
            <x14:sparkline>
              <xm:f>'2B5 Carbide Production'!E75:T75</xm:f>
              <xm:sqref>W75</xm:sqref>
            </x14:sparkline>
          </x14:sparklines>
        </x14:sparklineGroup>
        <x14:sparklineGroup manualMax="0" manualMin="0" displayEmptyCellsAs="gap" xr2:uid="{00000000-0003-0000-1700-000031000000}">
          <x14:colorSeries rgb="FF376092"/>
          <x14:colorNegative rgb="FFD00000"/>
          <x14:colorAxis rgb="FF000000"/>
          <x14:colorMarkers rgb="FFD00000"/>
          <x14:colorFirst rgb="FFD00000"/>
          <x14:colorLast rgb="FFD00000"/>
          <x14:colorHigh rgb="FFD00000"/>
          <x14:colorLow rgb="FFD00000"/>
          <x14:sparklines>
            <x14:sparkline>
              <xm:f>'2B5 Carbide Production'!E20:V20</xm:f>
              <xm:sqref>W20</xm:sqref>
            </x14:sparkline>
            <x14:sparkline>
              <xm:f>'2B5 Carbide Production'!E21:V21</xm:f>
              <xm:sqref>W21</xm:sqref>
            </x14:sparkline>
            <x14:sparkline>
              <xm:f>'2B5 Carbide Production'!E22:V22</xm:f>
              <xm:sqref>W22</xm:sqref>
            </x14:sparkline>
            <x14:sparkline>
              <xm:f>'2B5 Carbide Production'!E23:V23</xm:f>
              <xm:sqref>W23</xm:sqref>
            </x14:sparkline>
          </x14:sparklines>
        </x14:sparklineGroup>
        <x14:sparklineGroup manualMax="0" manualMin="0" displayEmptyCellsAs="gap" xr2:uid="{00000000-0003-0000-1700-000030000000}">
          <x14:colorSeries rgb="FF376092"/>
          <x14:colorNegative rgb="FFD00000"/>
          <x14:colorAxis rgb="FF000000"/>
          <x14:colorMarkers rgb="FFD00000"/>
          <x14:colorFirst rgb="FFD00000"/>
          <x14:colorLast rgb="FFD00000"/>
          <x14:colorHigh rgb="FFD00000"/>
          <x14:colorLow rgb="FFD00000"/>
          <x14:sparklines>
            <x14:sparkline>
              <xm:f>'2B5 Carbide Production'!E14:V14</xm:f>
              <xm:sqref>W14</xm:sqref>
            </x14:sparkline>
            <x14:sparkline>
              <xm:f>'2B5 Carbide Production'!E15:V15</xm:f>
              <xm:sqref>W15</xm:sqref>
            </x14:sparkline>
            <x14:sparkline>
              <xm:f>'2B5 Carbide Production'!E16:V16</xm:f>
              <xm:sqref>W16</xm:sqref>
            </x14:sparkline>
          </x14:sparklines>
        </x14:sparklineGroup>
        <x14:sparklineGroup manualMax="0" manualMin="0" displayEmptyCellsAs="gap" xr2:uid="{00000000-0003-0000-1700-00002F000000}">
          <x14:colorSeries rgb="FF376092"/>
          <x14:colorNegative rgb="FFD00000"/>
          <x14:colorAxis rgb="FF000000"/>
          <x14:colorMarkers rgb="FFD00000"/>
          <x14:colorFirst rgb="FFD00000"/>
          <x14:colorLast rgb="FFD00000"/>
          <x14:colorHigh rgb="FFD00000"/>
          <x14:colorLow rgb="FFD00000"/>
          <x14:sparklines>
            <x14:sparkline>
              <xm:f>'2B5 Carbide Production'!E27:V27</xm:f>
              <xm:sqref>W27</xm:sqref>
            </x14:sparkline>
            <x14:sparkline>
              <xm:f>'2B5 Carbide Production'!E28:V28</xm:f>
              <xm:sqref>W28</xm:sqref>
            </x14:sparkline>
            <x14:sparkline>
              <xm:f>'2B5 Carbide Production'!E29:V29</xm:f>
              <xm:sqref>W29</xm:sqref>
            </x14:sparkline>
            <x14:sparkline>
              <xm:f>'2B5 Carbide Production'!E30:V30</xm:f>
              <xm:sqref>W30</xm:sqref>
            </x14:sparkline>
            <x14:sparkline>
              <xm:f>'2B5 Carbide Production'!E31:V31</xm:f>
              <xm:sqref>W31</xm:sqref>
            </x14:sparkline>
            <x14:sparkline>
              <xm:f>'2B5 Carbide Production'!E32:V32</xm:f>
              <xm:sqref>W32</xm:sqref>
            </x14:sparkline>
            <x14:sparkline>
              <xm:f>'2B5 Carbide Production'!E33:V33</xm:f>
              <xm:sqref>W33</xm:sqref>
            </x14:sparkline>
            <x14:sparkline>
              <xm:f>'2B5 Carbide Production'!E34:V34</xm:f>
              <xm:sqref>W34</xm:sqref>
            </x14:sparkline>
            <x14:sparkline>
              <xm:f>'2B5 Carbide Production'!E35:V35</xm:f>
              <xm:sqref>W35</xm:sqref>
            </x14:sparkline>
            <x14:sparkline>
              <xm:f>'2B5 Carbide Production'!E36:V36</xm:f>
              <xm:sqref>W36</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theme="3" tint="0.79998168889431442"/>
  </sheetPr>
  <dimension ref="A1:Y108"/>
  <sheetViews>
    <sheetView zoomScale="90" zoomScaleNormal="90" workbookViewId="0">
      <selection activeCell="B8" sqref="B8"/>
    </sheetView>
  </sheetViews>
  <sheetFormatPr defaultRowHeight="15" x14ac:dyDescent="0.25"/>
  <cols>
    <col min="1" max="1" width="29.8554687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3" x14ac:dyDescent="0.25">
      <c r="A1" s="15" t="s">
        <v>855</v>
      </c>
      <c r="B1" s="4" t="str">
        <f ca="1">MID(CELL("filename",A1),FIND("]",CELL("filename",A1))+1,256)</f>
        <v>2B6 Titanium Dioxide Production</v>
      </c>
      <c r="C1" s="261" t="s">
        <v>856</v>
      </c>
      <c r="D1" s="262"/>
      <c r="E1" s="262"/>
      <c r="F1" s="262"/>
      <c r="G1" s="262"/>
      <c r="H1" s="262"/>
      <c r="I1" s="262"/>
      <c r="J1" s="263"/>
      <c r="K1" s="14"/>
    </row>
    <row r="2" spans="1:23" ht="49.5" customHeight="1" x14ac:dyDescent="0.25">
      <c r="A2" s="15" t="s">
        <v>736</v>
      </c>
      <c r="B2" s="33" t="s">
        <v>857</v>
      </c>
      <c r="C2" s="264"/>
      <c r="D2" s="265"/>
      <c r="E2" s="265"/>
      <c r="F2" s="265"/>
      <c r="G2" s="265"/>
      <c r="H2" s="265"/>
      <c r="I2" s="265"/>
      <c r="J2" s="266"/>
      <c r="K2" s="14"/>
    </row>
    <row r="3" spans="1:23" x14ac:dyDescent="0.25">
      <c r="A3" s="15" t="s">
        <v>858</v>
      </c>
      <c r="B3" s="33" t="s">
        <v>859</v>
      </c>
      <c r="C3" s="16"/>
      <c r="D3" s="17"/>
      <c r="E3" s="17"/>
      <c r="F3" s="17"/>
      <c r="G3" s="17"/>
      <c r="H3" s="17"/>
      <c r="I3" s="17"/>
      <c r="J3" s="18"/>
    </row>
    <row r="4" spans="1:23" x14ac:dyDescent="0.25">
      <c r="A4" s="15" t="s">
        <v>860</v>
      </c>
      <c r="B4" s="33" t="s">
        <v>836</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939</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s="5" customFormat="1" ht="21" x14ac:dyDescent="0.35">
      <c r="B11" s="6" t="s">
        <v>865</v>
      </c>
      <c r="E11" s="5" t="s">
        <v>866</v>
      </c>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x14ac:dyDescent="0.25">
      <c r="A14" t="s">
        <v>81</v>
      </c>
      <c r="B14" t="s">
        <v>980</v>
      </c>
      <c r="D14" t="s">
        <v>892</v>
      </c>
      <c r="E14" s="114"/>
      <c r="F14" s="114"/>
      <c r="G14" s="114"/>
      <c r="H14" s="114"/>
      <c r="I14" s="114"/>
      <c r="J14" s="114"/>
      <c r="K14" s="114"/>
      <c r="L14" s="114"/>
      <c r="M14" s="114"/>
      <c r="N14" s="114"/>
      <c r="O14" s="114"/>
      <c r="P14" s="114"/>
      <c r="Q14" s="114"/>
      <c r="R14" s="114"/>
      <c r="S14" s="114"/>
      <c r="T14" s="114"/>
      <c r="U14" s="114"/>
      <c r="V14" s="114"/>
    </row>
    <row r="15" spans="1:23" x14ac:dyDescent="0.25">
      <c r="A15" t="s">
        <v>81</v>
      </c>
      <c r="B15" t="s">
        <v>981</v>
      </c>
      <c r="D15" t="s">
        <v>892</v>
      </c>
      <c r="E15" s="114"/>
      <c r="F15" s="114"/>
      <c r="G15" s="114"/>
      <c r="H15" s="114"/>
      <c r="I15" s="114"/>
      <c r="J15" s="114"/>
      <c r="K15" s="114"/>
      <c r="L15" s="114"/>
      <c r="M15" s="114"/>
      <c r="N15" s="114"/>
      <c r="O15" s="114"/>
      <c r="P15" s="114"/>
      <c r="Q15" s="114"/>
      <c r="R15" s="114"/>
      <c r="S15" s="114"/>
      <c r="T15" s="114"/>
      <c r="U15" s="114"/>
      <c r="V15" s="114"/>
    </row>
    <row r="16" spans="1:23" x14ac:dyDescent="0.25">
      <c r="A16" t="s">
        <v>81</v>
      </c>
      <c r="B16" t="s">
        <v>982</v>
      </c>
      <c r="D16" t="s">
        <v>892</v>
      </c>
      <c r="E16" s="114"/>
      <c r="F16" s="114"/>
      <c r="G16" s="114"/>
      <c r="H16" s="114"/>
      <c r="I16" s="114"/>
      <c r="J16" s="114"/>
      <c r="K16" s="114"/>
      <c r="L16" s="114"/>
      <c r="M16" s="114"/>
      <c r="N16" s="114"/>
      <c r="O16" s="114"/>
      <c r="P16" s="114"/>
      <c r="Q16" s="114"/>
      <c r="R16" s="114"/>
      <c r="S16" s="114"/>
      <c r="T16" s="114"/>
      <c r="U16" s="114"/>
      <c r="V16" s="114"/>
    </row>
    <row r="18" spans="1:25" s="5" customFormat="1" ht="21" x14ac:dyDescent="0.35">
      <c r="B18" s="6" t="s">
        <v>983</v>
      </c>
      <c r="E18" s="5" t="s">
        <v>878</v>
      </c>
    </row>
    <row r="20" spans="1:25" x14ac:dyDescent="0.25">
      <c r="A20" t="s">
        <v>81</v>
      </c>
      <c r="B20" t="s">
        <v>984</v>
      </c>
      <c r="C20" t="s">
        <v>836</v>
      </c>
      <c r="D20" t="s">
        <v>970</v>
      </c>
      <c r="E20" s="205"/>
      <c r="F20" s="205"/>
      <c r="G20" s="205"/>
      <c r="H20" s="205"/>
      <c r="I20" s="205"/>
      <c r="J20" s="205"/>
      <c r="K20" s="205"/>
      <c r="L20" s="205"/>
      <c r="M20" s="205"/>
      <c r="N20" s="205"/>
      <c r="O20" s="205"/>
      <c r="P20" s="205"/>
      <c r="Q20" s="205"/>
      <c r="R20" s="205"/>
      <c r="S20" s="205"/>
      <c r="T20" s="205"/>
      <c r="U20" s="205"/>
      <c r="V20" s="205"/>
    </row>
    <row r="21" spans="1:25" x14ac:dyDescent="0.25">
      <c r="A21" t="s">
        <v>81</v>
      </c>
      <c r="B21" t="s">
        <v>985</v>
      </c>
      <c r="C21" t="s">
        <v>836</v>
      </c>
      <c r="D21" t="s">
        <v>970</v>
      </c>
      <c r="E21" s="205"/>
      <c r="F21" s="205"/>
      <c r="G21" s="205"/>
      <c r="H21" s="205"/>
      <c r="I21" s="205"/>
      <c r="J21" s="205"/>
      <c r="K21" s="205"/>
      <c r="L21" s="205"/>
      <c r="M21" s="205"/>
      <c r="N21" s="205"/>
      <c r="O21" s="205"/>
      <c r="P21" s="205"/>
      <c r="Q21" s="205"/>
      <c r="R21" s="205"/>
      <c r="S21" s="205"/>
      <c r="T21" s="205"/>
      <c r="U21" s="205"/>
      <c r="V21" s="205"/>
    </row>
    <row r="22" spans="1:25" x14ac:dyDescent="0.25">
      <c r="A22" t="s">
        <v>81</v>
      </c>
      <c r="B22" t="s">
        <v>986</v>
      </c>
      <c r="C22" t="s">
        <v>836</v>
      </c>
      <c r="D22" t="s">
        <v>970</v>
      </c>
      <c r="E22" s="205"/>
      <c r="F22" s="205"/>
      <c r="G22" s="205"/>
      <c r="H22" s="205"/>
      <c r="I22" s="205"/>
      <c r="J22" s="205"/>
      <c r="K22" s="205"/>
      <c r="L22" s="205"/>
      <c r="M22" s="205"/>
      <c r="N22" s="205"/>
      <c r="O22" s="205"/>
      <c r="P22" s="205"/>
      <c r="Q22" s="205"/>
      <c r="R22" s="205"/>
      <c r="S22" s="205"/>
      <c r="T22" s="205"/>
      <c r="U22" s="205"/>
      <c r="V22" s="205"/>
    </row>
    <row r="24" spans="1:25" s="5" customFormat="1" ht="21" x14ac:dyDescent="0.35">
      <c r="B24" s="6" t="s">
        <v>619</v>
      </c>
      <c r="E24" s="5" t="s">
        <v>881</v>
      </c>
    </row>
    <row r="26" spans="1:25" x14ac:dyDescent="0.25">
      <c r="A26" t="s">
        <v>81</v>
      </c>
      <c r="B26" t="s">
        <v>987</v>
      </c>
      <c r="C26" t="s">
        <v>836</v>
      </c>
      <c r="D26" t="s">
        <v>946</v>
      </c>
      <c r="E26" s="117">
        <f>E14*E20</f>
        <v>0</v>
      </c>
      <c r="F26" s="117">
        <f t="shared" ref="F26:S26" si="0">F14*F20</f>
        <v>0</v>
      </c>
      <c r="G26" s="117">
        <f t="shared" si="0"/>
        <v>0</v>
      </c>
      <c r="H26" s="117">
        <f t="shared" si="0"/>
        <v>0</v>
      </c>
      <c r="I26" s="117">
        <f t="shared" si="0"/>
        <v>0</v>
      </c>
      <c r="J26" s="117">
        <f t="shared" si="0"/>
        <v>0</v>
      </c>
      <c r="K26" s="117">
        <f t="shared" si="0"/>
        <v>0</v>
      </c>
      <c r="L26" s="117">
        <f t="shared" si="0"/>
        <v>0</v>
      </c>
      <c r="M26" s="117">
        <f t="shared" si="0"/>
        <v>0</v>
      </c>
      <c r="N26" s="117">
        <f t="shared" si="0"/>
        <v>0</v>
      </c>
      <c r="O26" s="117">
        <f t="shared" si="0"/>
        <v>0</v>
      </c>
      <c r="P26" s="117">
        <f t="shared" si="0"/>
        <v>0</v>
      </c>
      <c r="Q26" s="117">
        <f t="shared" si="0"/>
        <v>0</v>
      </c>
      <c r="R26" s="117">
        <f t="shared" si="0"/>
        <v>0</v>
      </c>
      <c r="S26" s="117">
        <f t="shared" si="0"/>
        <v>0</v>
      </c>
      <c r="T26" s="117">
        <f>T14*T20</f>
        <v>0</v>
      </c>
      <c r="U26" s="117">
        <f t="shared" ref="U26" si="1">U14*U20</f>
        <v>0</v>
      </c>
      <c r="V26" s="117">
        <f>V14*V20</f>
        <v>0</v>
      </c>
    </row>
    <row r="27" spans="1:25" x14ac:dyDescent="0.25">
      <c r="A27" t="s">
        <v>81</v>
      </c>
      <c r="B27" t="s">
        <v>987</v>
      </c>
      <c r="C27" t="s">
        <v>836</v>
      </c>
      <c r="D27" t="s">
        <v>988</v>
      </c>
      <c r="E27" s="117">
        <f>E26/1000000</f>
        <v>0</v>
      </c>
      <c r="F27" s="117">
        <f t="shared" ref="F27:S27" si="2">F26/1000000</f>
        <v>0</v>
      </c>
      <c r="G27" s="117">
        <f t="shared" si="2"/>
        <v>0</v>
      </c>
      <c r="H27" s="117">
        <f t="shared" si="2"/>
        <v>0</v>
      </c>
      <c r="I27" s="117">
        <f t="shared" si="2"/>
        <v>0</v>
      </c>
      <c r="J27" s="117">
        <f t="shared" si="2"/>
        <v>0</v>
      </c>
      <c r="K27" s="117">
        <f t="shared" si="2"/>
        <v>0</v>
      </c>
      <c r="L27" s="117">
        <f t="shared" si="2"/>
        <v>0</v>
      </c>
      <c r="M27" s="117">
        <f t="shared" si="2"/>
        <v>0</v>
      </c>
      <c r="N27" s="117">
        <f t="shared" si="2"/>
        <v>0</v>
      </c>
      <c r="O27" s="117">
        <f t="shared" si="2"/>
        <v>0</v>
      </c>
      <c r="P27" s="117">
        <f t="shared" si="2"/>
        <v>0</v>
      </c>
      <c r="Q27" s="117">
        <f t="shared" si="2"/>
        <v>0</v>
      </c>
      <c r="R27" s="117">
        <f t="shared" si="2"/>
        <v>0</v>
      </c>
      <c r="S27" s="117">
        <f t="shared" si="2"/>
        <v>0</v>
      </c>
      <c r="T27" s="117">
        <f>T26/1000000</f>
        <v>0</v>
      </c>
      <c r="U27" s="117">
        <f t="shared" ref="U27" si="3">U26/1000000</f>
        <v>0</v>
      </c>
      <c r="V27" s="117">
        <f>V26/1000000</f>
        <v>0</v>
      </c>
    </row>
    <row r="28" spans="1:25" x14ac:dyDescent="0.25">
      <c r="A28" t="s">
        <v>81</v>
      </c>
      <c r="B28" t="s">
        <v>989</v>
      </c>
      <c r="C28" t="s">
        <v>836</v>
      </c>
      <c r="D28" t="s">
        <v>946</v>
      </c>
      <c r="E28" s="117">
        <f>E15*E21</f>
        <v>0</v>
      </c>
      <c r="F28" s="117">
        <f t="shared" ref="F28:S28" si="4">F15*F21</f>
        <v>0</v>
      </c>
      <c r="G28" s="117">
        <f t="shared" si="4"/>
        <v>0</v>
      </c>
      <c r="H28" s="117">
        <f t="shared" si="4"/>
        <v>0</v>
      </c>
      <c r="I28" s="117">
        <f t="shared" si="4"/>
        <v>0</v>
      </c>
      <c r="J28" s="117">
        <f t="shared" si="4"/>
        <v>0</v>
      </c>
      <c r="K28" s="117">
        <f t="shared" si="4"/>
        <v>0</v>
      </c>
      <c r="L28" s="117">
        <f t="shared" si="4"/>
        <v>0</v>
      </c>
      <c r="M28" s="117">
        <f t="shared" si="4"/>
        <v>0</v>
      </c>
      <c r="N28" s="117">
        <f t="shared" si="4"/>
        <v>0</v>
      </c>
      <c r="O28" s="117">
        <f t="shared" si="4"/>
        <v>0</v>
      </c>
      <c r="P28" s="117">
        <f t="shared" si="4"/>
        <v>0</v>
      </c>
      <c r="Q28" s="117">
        <f t="shared" si="4"/>
        <v>0</v>
      </c>
      <c r="R28" s="117">
        <f t="shared" si="4"/>
        <v>0</v>
      </c>
      <c r="S28" s="117">
        <f t="shared" si="4"/>
        <v>0</v>
      </c>
      <c r="T28" s="117">
        <f>T15*T21</f>
        <v>0</v>
      </c>
      <c r="U28" s="117">
        <f t="shared" ref="U28" si="5">U15*U21</f>
        <v>0</v>
      </c>
      <c r="V28" s="117">
        <f>V15*V21</f>
        <v>0</v>
      </c>
    </row>
    <row r="29" spans="1:25" x14ac:dyDescent="0.25">
      <c r="A29" t="s">
        <v>81</v>
      </c>
      <c r="B29" t="s">
        <v>989</v>
      </c>
      <c r="C29" t="s">
        <v>836</v>
      </c>
      <c r="D29" t="s">
        <v>988</v>
      </c>
      <c r="E29" s="117">
        <f>E28/1000000</f>
        <v>0</v>
      </c>
      <c r="F29" s="117">
        <f t="shared" ref="F29:S29" si="6">F28/1000000</f>
        <v>0</v>
      </c>
      <c r="G29" s="117">
        <f t="shared" si="6"/>
        <v>0</v>
      </c>
      <c r="H29" s="117">
        <f t="shared" si="6"/>
        <v>0</v>
      </c>
      <c r="I29" s="117">
        <f t="shared" si="6"/>
        <v>0</v>
      </c>
      <c r="J29" s="117">
        <f t="shared" si="6"/>
        <v>0</v>
      </c>
      <c r="K29" s="117">
        <f t="shared" si="6"/>
        <v>0</v>
      </c>
      <c r="L29" s="117">
        <f t="shared" si="6"/>
        <v>0</v>
      </c>
      <c r="M29" s="117">
        <f t="shared" si="6"/>
        <v>0</v>
      </c>
      <c r="N29" s="117">
        <f t="shared" si="6"/>
        <v>0</v>
      </c>
      <c r="O29" s="117">
        <f t="shared" si="6"/>
        <v>0</v>
      </c>
      <c r="P29" s="117">
        <f t="shared" si="6"/>
        <v>0</v>
      </c>
      <c r="Q29" s="117">
        <f t="shared" si="6"/>
        <v>0</v>
      </c>
      <c r="R29" s="117">
        <f t="shared" si="6"/>
        <v>0</v>
      </c>
      <c r="S29" s="117">
        <f t="shared" si="6"/>
        <v>0</v>
      </c>
      <c r="T29" s="117">
        <f>T28/1000000</f>
        <v>0</v>
      </c>
      <c r="U29" s="117">
        <f t="shared" ref="U29" si="7">U28/1000000</f>
        <v>0</v>
      </c>
      <c r="V29" s="117">
        <f>V28/1000000</f>
        <v>0</v>
      </c>
    </row>
    <row r="30" spans="1:25" x14ac:dyDescent="0.25">
      <c r="A30" t="s">
        <v>81</v>
      </c>
      <c r="B30" t="s">
        <v>990</v>
      </c>
      <c r="C30" t="s">
        <v>836</v>
      </c>
      <c r="D30" t="s">
        <v>946</v>
      </c>
      <c r="E30" s="114">
        <v>437617</v>
      </c>
      <c r="F30" s="114">
        <v>437617</v>
      </c>
      <c r="G30" s="114">
        <v>472976</v>
      </c>
      <c r="H30" s="114">
        <v>477182</v>
      </c>
      <c r="I30" s="114">
        <v>470875</v>
      </c>
      <c r="J30" s="114">
        <v>466832</v>
      </c>
      <c r="K30" s="114">
        <v>194487</v>
      </c>
      <c r="L30" s="114">
        <v>190634</v>
      </c>
      <c r="M30" s="114">
        <v>257796</v>
      </c>
      <c r="N30" s="114">
        <v>158427</v>
      </c>
      <c r="O30" s="114">
        <v>158506</v>
      </c>
      <c r="P30" s="114">
        <v>158585</v>
      </c>
      <c r="Q30" s="114">
        <v>158664</v>
      </c>
      <c r="R30" s="114">
        <v>158506</v>
      </c>
      <c r="S30" s="198">
        <f>681071*15^-0.518</f>
        <v>167485.46225441858</v>
      </c>
      <c r="T30" s="198">
        <f>681071*16^-0.518</f>
        <v>161978.82244489371</v>
      </c>
      <c r="U30" s="198">
        <f>681071*17^-0.518</f>
        <v>156971.15258003472</v>
      </c>
      <c r="V30" s="198">
        <f>681071*18^-0.518</f>
        <v>152391.67085372587</v>
      </c>
      <c r="Y30" t="s">
        <v>43</v>
      </c>
    </row>
    <row r="31" spans="1:25" x14ac:dyDescent="0.25">
      <c r="A31" t="s">
        <v>81</v>
      </c>
      <c r="B31" t="s">
        <v>990</v>
      </c>
      <c r="C31" t="s">
        <v>836</v>
      </c>
      <c r="D31" t="s">
        <v>988</v>
      </c>
      <c r="E31" s="117">
        <f>E30/1000</f>
        <v>437.61700000000002</v>
      </c>
      <c r="F31" s="117">
        <f t="shared" ref="F31:S31" si="8">F30/1000</f>
        <v>437.61700000000002</v>
      </c>
      <c r="G31" s="117">
        <f t="shared" si="8"/>
        <v>472.976</v>
      </c>
      <c r="H31" s="117">
        <f t="shared" si="8"/>
        <v>477.18200000000002</v>
      </c>
      <c r="I31" s="117">
        <f t="shared" si="8"/>
        <v>470.875</v>
      </c>
      <c r="J31" s="117">
        <f t="shared" si="8"/>
        <v>466.83199999999999</v>
      </c>
      <c r="K31" s="117">
        <f t="shared" si="8"/>
        <v>194.48699999999999</v>
      </c>
      <c r="L31" s="117">
        <f t="shared" si="8"/>
        <v>190.63399999999999</v>
      </c>
      <c r="M31" s="117">
        <f t="shared" si="8"/>
        <v>257.79599999999999</v>
      </c>
      <c r="N31" s="117">
        <f t="shared" si="8"/>
        <v>158.42699999999999</v>
      </c>
      <c r="O31" s="117">
        <f t="shared" si="8"/>
        <v>158.506</v>
      </c>
      <c r="P31" s="117">
        <f t="shared" si="8"/>
        <v>158.58500000000001</v>
      </c>
      <c r="Q31" s="117">
        <f t="shared" si="8"/>
        <v>158.66399999999999</v>
      </c>
      <c r="R31" s="117">
        <f t="shared" si="8"/>
        <v>158.506</v>
      </c>
      <c r="S31" s="117">
        <f t="shared" si="8"/>
        <v>167.48546225441859</v>
      </c>
      <c r="T31" s="117">
        <f>T30/1000</f>
        <v>161.97882244489372</v>
      </c>
      <c r="U31" s="117">
        <f>U30/1000</f>
        <v>156.97115258003473</v>
      </c>
      <c r="V31" s="117">
        <f>V30/1000</f>
        <v>152.39167085372586</v>
      </c>
    </row>
    <row r="32" spans="1:25" x14ac:dyDescent="0.25">
      <c r="A32" s="7" t="s">
        <v>81</v>
      </c>
      <c r="B32" s="7" t="s">
        <v>922</v>
      </c>
      <c r="C32" s="7" t="s">
        <v>956</v>
      </c>
      <c r="D32" s="7" t="s">
        <v>884</v>
      </c>
      <c r="E32" s="116">
        <f>E27+E29+E31</f>
        <v>437.61700000000002</v>
      </c>
      <c r="F32" s="116">
        <f t="shared" ref="F32:V32" si="9">F27+F29+F31</f>
        <v>437.61700000000002</v>
      </c>
      <c r="G32" s="116">
        <f t="shared" si="9"/>
        <v>472.976</v>
      </c>
      <c r="H32" s="116">
        <f t="shared" si="9"/>
        <v>477.18200000000002</v>
      </c>
      <c r="I32" s="116">
        <f t="shared" si="9"/>
        <v>470.875</v>
      </c>
      <c r="J32" s="116">
        <f t="shared" si="9"/>
        <v>466.83199999999999</v>
      </c>
      <c r="K32" s="116">
        <f t="shared" si="9"/>
        <v>194.48699999999999</v>
      </c>
      <c r="L32" s="116">
        <f t="shared" si="9"/>
        <v>190.63399999999999</v>
      </c>
      <c r="M32" s="116">
        <f t="shared" si="9"/>
        <v>257.79599999999999</v>
      </c>
      <c r="N32" s="116">
        <f t="shared" si="9"/>
        <v>158.42699999999999</v>
      </c>
      <c r="O32" s="116">
        <f t="shared" si="9"/>
        <v>158.506</v>
      </c>
      <c r="P32" s="116">
        <f t="shared" si="9"/>
        <v>158.58500000000001</v>
      </c>
      <c r="Q32" s="116">
        <f t="shared" si="9"/>
        <v>158.66399999999999</v>
      </c>
      <c r="R32" s="116">
        <f t="shared" si="9"/>
        <v>158.506</v>
      </c>
      <c r="S32" s="116">
        <f t="shared" si="9"/>
        <v>167.48546225441859</v>
      </c>
      <c r="T32" s="116">
        <f>T27+T29+T31</f>
        <v>161.97882244489372</v>
      </c>
      <c r="U32" s="116">
        <f t="shared" si="9"/>
        <v>156.97115258003473</v>
      </c>
      <c r="V32" s="116">
        <f t="shared" si="9"/>
        <v>152.39167085372586</v>
      </c>
    </row>
    <row r="34" spans="1:13" s="5" customFormat="1" ht="21" x14ac:dyDescent="0.35">
      <c r="B34" s="6" t="s">
        <v>885</v>
      </c>
      <c r="E34" s="5" t="s">
        <v>886</v>
      </c>
      <c r="M34" s="5" t="s">
        <v>900</v>
      </c>
    </row>
    <row r="36" spans="1:13" x14ac:dyDescent="0.25">
      <c r="A36" s="27"/>
      <c r="B36" s="26"/>
      <c r="C36" s="26"/>
      <c r="D36" s="26"/>
      <c r="E36" s="26"/>
      <c r="F36" s="26"/>
      <c r="G36" s="26"/>
      <c r="H36" s="26"/>
    </row>
    <row r="57" spans="1:23" s="65" customFormat="1" ht="21" x14ac:dyDescent="0.35">
      <c r="A57" s="5"/>
      <c r="B57" s="6" t="s">
        <v>346</v>
      </c>
      <c r="C57" s="5"/>
      <c r="D57" s="5"/>
      <c r="E57" s="5" t="s">
        <v>887</v>
      </c>
      <c r="F57" s="5"/>
      <c r="G57" s="5"/>
      <c r="H57" s="5"/>
      <c r="I57" s="5"/>
      <c r="J57" s="5"/>
      <c r="K57" s="5"/>
      <c r="L57" s="5"/>
      <c r="M57" s="5"/>
      <c r="N57" s="5"/>
      <c r="O57" s="5"/>
      <c r="P57" s="5"/>
      <c r="Q57" s="5"/>
      <c r="R57" s="5"/>
      <c r="S57" s="5"/>
      <c r="T57" s="5"/>
      <c r="U57" s="5"/>
      <c r="V57" s="5"/>
      <c r="W57" s="5"/>
    </row>
    <row r="58" spans="1:23" ht="18.75" x14ac:dyDescent="0.3">
      <c r="A58" s="12" t="s">
        <v>844</v>
      </c>
      <c r="E58" t="s">
        <v>888</v>
      </c>
    </row>
    <row r="59" spans="1:23" x14ac:dyDescent="0.25">
      <c r="A59" s="8"/>
      <c r="B59" s="9" t="s">
        <v>865</v>
      </c>
      <c r="C59" s="8"/>
      <c r="D59" s="8"/>
      <c r="E59" s="8"/>
      <c r="F59" s="8"/>
      <c r="G59" s="8"/>
      <c r="H59" s="8"/>
      <c r="I59" s="8"/>
      <c r="J59" s="8"/>
      <c r="K59" s="8"/>
      <c r="L59" s="8"/>
      <c r="M59" s="8"/>
      <c r="N59" s="8"/>
      <c r="O59" s="8"/>
      <c r="P59" s="8"/>
      <c r="Q59" s="8"/>
      <c r="R59" s="8"/>
      <c r="S59" s="8"/>
      <c r="T59" s="8"/>
      <c r="U59" s="8"/>
      <c r="V59" s="8"/>
      <c r="W59" s="8"/>
    </row>
    <row r="61" spans="1:23" x14ac:dyDescent="0.25">
      <c r="A61" s="10" t="s">
        <v>867</v>
      </c>
      <c r="B61" s="10" t="s">
        <v>868</v>
      </c>
      <c r="C61" s="10" t="s">
        <v>482</v>
      </c>
      <c r="D61" s="10" t="s">
        <v>740</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v>2015</v>
      </c>
      <c r="U61" s="10"/>
      <c r="V61" s="10"/>
      <c r="W61" s="10" t="s">
        <v>741</v>
      </c>
    </row>
    <row r="62" spans="1:23" x14ac:dyDescent="0.25">
      <c r="A62" s="11" t="s">
        <v>81</v>
      </c>
      <c r="B62" s="11" t="s">
        <v>980</v>
      </c>
      <c r="C62" s="11"/>
      <c r="D62" s="11" t="s">
        <v>892</v>
      </c>
      <c r="E62" s="29"/>
      <c r="F62" s="29"/>
      <c r="G62" s="29"/>
      <c r="H62" s="29"/>
      <c r="I62" s="29"/>
      <c r="J62" s="29"/>
      <c r="K62" s="29"/>
      <c r="L62" s="29"/>
      <c r="M62" s="29"/>
      <c r="N62" s="29"/>
      <c r="O62" s="29"/>
      <c r="P62" s="29"/>
      <c r="Q62" s="29"/>
      <c r="R62" s="29"/>
      <c r="S62" s="29"/>
      <c r="T62" s="29"/>
      <c r="U62" s="4"/>
      <c r="V62" s="4"/>
    </row>
    <row r="63" spans="1:23" x14ac:dyDescent="0.25">
      <c r="A63" s="11" t="s">
        <v>81</v>
      </c>
      <c r="B63" s="11" t="s">
        <v>981</v>
      </c>
      <c r="C63" s="11"/>
      <c r="D63" s="11" t="s">
        <v>892</v>
      </c>
      <c r="E63" s="29"/>
      <c r="F63" s="29"/>
      <c r="G63" s="29"/>
      <c r="H63" s="29"/>
      <c r="I63" s="29"/>
      <c r="J63" s="29"/>
      <c r="K63" s="29"/>
      <c r="L63" s="29"/>
      <c r="M63" s="29"/>
      <c r="N63" s="29"/>
      <c r="O63" s="29"/>
      <c r="P63" s="29"/>
      <c r="Q63" s="29"/>
      <c r="R63" s="29"/>
      <c r="S63" s="29"/>
      <c r="T63" s="29"/>
      <c r="U63" s="4"/>
      <c r="V63" s="4"/>
    </row>
    <row r="64" spans="1:23" x14ac:dyDescent="0.25">
      <c r="A64" s="11" t="s">
        <v>81</v>
      </c>
      <c r="B64" s="11" t="s">
        <v>982</v>
      </c>
      <c r="C64" s="11"/>
      <c r="D64" s="11" t="s">
        <v>892</v>
      </c>
      <c r="E64" s="29"/>
      <c r="F64" s="29"/>
      <c r="G64" s="29"/>
      <c r="H64" s="29"/>
      <c r="I64" s="29"/>
      <c r="J64" s="29"/>
      <c r="K64" s="29"/>
      <c r="L64" s="29"/>
      <c r="M64" s="29"/>
      <c r="N64" s="29"/>
      <c r="O64" s="29"/>
      <c r="P64" s="29"/>
      <c r="Q64" s="29"/>
      <c r="R64" s="29"/>
      <c r="S64" s="29"/>
      <c r="T64" s="29"/>
      <c r="U64" s="4"/>
      <c r="V64" s="4"/>
    </row>
    <row r="65" spans="1:23" x14ac:dyDescent="0.25">
      <c r="E65" s="11"/>
      <c r="F65" s="11"/>
      <c r="G65" s="11"/>
      <c r="H65" s="11"/>
      <c r="I65" s="11"/>
      <c r="J65" s="11"/>
      <c r="K65" s="11"/>
      <c r="L65" s="11"/>
      <c r="M65" s="11"/>
      <c r="N65" s="11"/>
      <c r="O65" s="11"/>
      <c r="P65" s="11"/>
      <c r="Q65" s="11"/>
      <c r="R65" s="11"/>
      <c r="S65" s="11"/>
      <c r="T65" s="11"/>
    </row>
    <row r="66" spans="1:23" x14ac:dyDescent="0.25">
      <c r="A66" s="8"/>
      <c r="B66" s="9" t="s">
        <v>877</v>
      </c>
      <c r="C66" s="8"/>
      <c r="D66" s="8"/>
      <c r="E66" s="197" t="s">
        <v>878</v>
      </c>
      <c r="F66" s="197"/>
      <c r="G66" s="197"/>
      <c r="H66" s="197"/>
      <c r="I66" s="197"/>
      <c r="J66" s="197"/>
      <c r="K66" s="197"/>
      <c r="L66" s="197"/>
      <c r="M66" s="197"/>
      <c r="N66" s="197"/>
      <c r="O66" s="197"/>
      <c r="P66" s="197"/>
      <c r="Q66" s="197"/>
      <c r="R66" s="197"/>
      <c r="S66" s="197"/>
      <c r="T66" s="197"/>
      <c r="U66" s="8"/>
      <c r="V66" s="8"/>
      <c r="W66" s="8"/>
    </row>
    <row r="67" spans="1:23" x14ac:dyDescent="0.25">
      <c r="E67" s="11"/>
      <c r="F67" s="11"/>
      <c r="G67" s="11"/>
      <c r="H67" s="11"/>
      <c r="I67" s="11"/>
      <c r="J67" s="11"/>
      <c r="K67" s="11"/>
      <c r="L67" s="11"/>
      <c r="M67" s="11"/>
      <c r="N67" s="11"/>
      <c r="O67" s="11"/>
      <c r="P67" s="11"/>
      <c r="Q67" s="11"/>
      <c r="R67" s="11"/>
      <c r="S67" s="11"/>
      <c r="T67" s="11"/>
    </row>
    <row r="68" spans="1:23" x14ac:dyDescent="0.25">
      <c r="A68" s="11" t="s">
        <v>81</v>
      </c>
      <c r="B68" s="11" t="s">
        <v>984</v>
      </c>
      <c r="C68" s="11" t="s">
        <v>836</v>
      </c>
      <c r="D68" s="11" t="s">
        <v>970</v>
      </c>
      <c r="E68" s="29"/>
      <c r="F68" s="29"/>
      <c r="G68" s="29"/>
      <c r="H68" s="29"/>
      <c r="I68" s="29"/>
      <c r="J68" s="29"/>
      <c r="K68" s="29"/>
      <c r="L68" s="29"/>
      <c r="M68" s="29"/>
      <c r="N68" s="29"/>
      <c r="O68" s="29"/>
      <c r="P68" s="29"/>
      <c r="Q68" s="29"/>
      <c r="R68" s="29"/>
      <c r="S68" s="29"/>
      <c r="T68" s="29"/>
      <c r="U68" s="4"/>
      <c r="V68" s="4"/>
    </row>
    <row r="69" spans="1:23" x14ac:dyDescent="0.25">
      <c r="A69" s="11" t="s">
        <v>81</v>
      </c>
      <c r="B69" s="11" t="s">
        <v>985</v>
      </c>
      <c r="C69" s="11" t="s">
        <v>836</v>
      </c>
      <c r="D69" s="11" t="s">
        <v>970</v>
      </c>
      <c r="E69" s="29"/>
      <c r="F69" s="29"/>
      <c r="G69" s="29"/>
      <c r="H69" s="29"/>
      <c r="I69" s="29"/>
      <c r="J69" s="29"/>
      <c r="K69" s="29"/>
      <c r="L69" s="29"/>
      <c r="M69" s="29"/>
      <c r="N69" s="29"/>
      <c r="O69" s="29"/>
      <c r="P69" s="29"/>
      <c r="Q69" s="29"/>
      <c r="R69" s="29"/>
      <c r="S69" s="29"/>
      <c r="T69" s="29"/>
      <c r="U69" s="4"/>
      <c r="V69" s="4"/>
    </row>
    <row r="70" spans="1:23" x14ac:dyDescent="0.25">
      <c r="A70" s="11" t="s">
        <v>81</v>
      </c>
      <c r="B70" s="11" t="s">
        <v>986</v>
      </c>
      <c r="C70" s="11" t="s">
        <v>836</v>
      </c>
      <c r="D70" s="11" t="s">
        <v>970</v>
      </c>
      <c r="E70" s="29"/>
      <c r="F70" s="29"/>
      <c r="G70" s="29"/>
      <c r="H70" s="29"/>
      <c r="I70" s="29"/>
      <c r="J70" s="29"/>
      <c r="K70" s="29"/>
      <c r="L70" s="29"/>
      <c r="M70" s="29"/>
      <c r="N70" s="29"/>
      <c r="O70" s="29"/>
      <c r="P70" s="29"/>
      <c r="Q70" s="29"/>
      <c r="R70" s="29"/>
      <c r="S70" s="29"/>
      <c r="T70" s="29"/>
      <c r="U70" s="4"/>
      <c r="V70" s="4"/>
    </row>
    <row r="71" spans="1:23" x14ac:dyDescent="0.25">
      <c r="E71" s="11"/>
      <c r="F71" s="11"/>
      <c r="G71" s="11"/>
      <c r="H71" s="11"/>
      <c r="I71" s="11"/>
      <c r="J71" s="11"/>
      <c r="K71" s="11"/>
      <c r="L71" s="11"/>
      <c r="M71" s="11"/>
      <c r="N71" s="11"/>
      <c r="O71" s="11"/>
      <c r="P71" s="11"/>
      <c r="Q71" s="11"/>
      <c r="R71" s="11"/>
      <c r="S71" s="11"/>
      <c r="T71" s="11"/>
    </row>
    <row r="72" spans="1:23" x14ac:dyDescent="0.25">
      <c r="A72" s="8"/>
      <c r="B72" s="9" t="s">
        <v>619</v>
      </c>
      <c r="C72" s="8"/>
      <c r="D72" s="8"/>
      <c r="E72" s="197" t="s">
        <v>881</v>
      </c>
      <c r="F72" s="197"/>
      <c r="G72" s="197"/>
      <c r="H72" s="197"/>
      <c r="I72" s="197"/>
      <c r="J72" s="197"/>
      <c r="K72" s="197"/>
      <c r="L72" s="197"/>
      <c r="M72" s="197"/>
      <c r="N72" s="197"/>
      <c r="O72" s="197"/>
      <c r="P72" s="197"/>
      <c r="Q72" s="197"/>
      <c r="R72" s="197"/>
      <c r="S72" s="197"/>
      <c r="T72" s="197"/>
      <c r="U72" s="8"/>
      <c r="V72" s="8"/>
      <c r="W72" s="8"/>
    </row>
    <row r="73" spans="1:23" x14ac:dyDescent="0.25">
      <c r="E73" s="11"/>
      <c r="F73" s="11"/>
      <c r="G73" s="11"/>
      <c r="H73" s="11"/>
      <c r="I73" s="11"/>
      <c r="J73" s="11"/>
      <c r="K73" s="11"/>
      <c r="L73" s="11"/>
      <c r="M73" s="11"/>
      <c r="N73" s="11"/>
      <c r="O73" s="11"/>
      <c r="P73" s="11"/>
      <c r="Q73" s="11"/>
      <c r="R73" s="11"/>
      <c r="S73" s="11"/>
      <c r="T73" s="11"/>
    </row>
    <row r="74" spans="1:23" x14ac:dyDescent="0.25">
      <c r="A74" s="11" t="s">
        <v>81</v>
      </c>
      <c r="B74" s="11" t="s">
        <v>953</v>
      </c>
      <c r="C74" s="11" t="s">
        <v>836</v>
      </c>
      <c r="D74" s="11" t="s">
        <v>946</v>
      </c>
      <c r="E74" s="29">
        <v>0</v>
      </c>
      <c r="F74" s="29">
        <v>0</v>
      </c>
      <c r="G74" s="29">
        <v>0</v>
      </c>
      <c r="H74" s="29">
        <v>0</v>
      </c>
      <c r="I74" s="29">
        <v>0</v>
      </c>
      <c r="J74" s="29">
        <v>0</v>
      </c>
      <c r="K74" s="29">
        <v>0</v>
      </c>
      <c r="L74" s="29">
        <v>0</v>
      </c>
      <c r="M74" s="29">
        <v>0</v>
      </c>
      <c r="N74" s="29">
        <v>0</v>
      </c>
      <c r="O74" s="29">
        <v>0</v>
      </c>
      <c r="P74" s="29">
        <v>0</v>
      </c>
      <c r="Q74" s="29">
        <v>0</v>
      </c>
      <c r="R74" s="29">
        <v>0</v>
      </c>
      <c r="S74" s="29">
        <v>0</v>
      </c>
      <c r="T74" s="29">
        <v>0</v>
      </c>
      <c r="U74" s="4"/>
      <c r="V74" s="4"/>
    </row>
    <row r="75" spans="1:23" x14ac:dyDescent="0.25">
      <c r="A75" s="11" t="s">
        <v>81</v>
      </c>
      <c r="B75" s="11" t="s">
        <v>953</v>
      </c>
      <c r="C75" s="11" t="s">
        <v>836</v>
      </c>
      <c r="D75" s="11" t="s">
        <v>988</v>
      </c>
      <c r="E75" s="29">
        <v>0</v>
      </c>
      <c r="F75" s="29">
        <v>0</v>
      </c>
      <c r="G75" s="29">
        <v>0</v>
      </c>
      <c r="H75" s="29">
        <v>0</v>
      </c>
      <c r="I75" s="29">
        <v>0</v>
      </c>
      <c r="J75" s="29">
        <v>0</v>
      </c>
      <c r="K75" s="29">
        <v>0</v>
      </c>
      <c r="L75" s="29">
        <v>0</v>
      </c>
      <c r="M75" s="29">
        <v>0</v>
      </c>
      <c r="N75" s="29">
        <v>0</v>
      </c>
      <c r="O75" s="29">
        <v>0</v>
      </c>
      <c r="P75" s="29">
        <v>0</v>
      </c>
      <c r="Q75" s="29">
        <v>0</v>
      </c>
      <c r="R75" s="29">
        <v>0</v>
      </c>
      <c r="S75" s="29">
        <v>0</v>
      </c>
      <c r="T75" s="29">
        <v>0</v>
      </c>
      <c r="U75" s="4"/>
      <c r="V75" s="4"/>
    </row>
    <row r="76" spans="1:23" x14ac:dyDescent="0.25">
      <c r="A76" s="11" t="s">
        <v>81</v>
      </c>
      <c r="B76" s="11" t="s">
        <v>953</v>
      </c>
      <c r="C76" s="11" t="s">
        <v>836</v>
      </c>
      <c r="D76" s="11" t="s">
        <v>946</v>
      </c>
      <c r="E76" s="29">
        <v>0</v>
      </c>
      <c r="F76" s="29">
        <v>0</v>
      </c>
      <c r="G76" s="29">
        <v>0</v>
      </c>
      <c r="H76" s="29">
        <v>0</v>
      </c>
      <c r="I76" s="29">
        <v>0</v>
      </c>
      <c r="J76" s="29">
        <v>0</v>
      </c>
      <c r="K76" s="29">
        <v>0</v>
      </c>
      <c r="L76" s="29">
        <v>0</v>
      </c>
      <c r="M76" s="29">
        <v>0</v>
      </c>
      <c r="N76" s="29">
        <v>0</v>
      </c>
      <c r="O76" s="29">
        <v>0</v>
      </c>
      <c r="P76" s="29">
        <v>0</v>
      </c>
      <c r="Q76" s="29">
        <v>0</v>
      </c>
      <c r="R76" s="29">
        <v>0</v>
      </c>
      <c r="S76" s="29">
        <v>0</v>
      </c>
      <c r="T76" s="29">
        <v>0</v>
      </c>
      <c r="U76" s="4"/>
      <c r="V76" s="4"/>
    </row>
    <row r="77" spans="1:23" x14ac:dyDescent="0.25">
      <c r="A77" s="11" t="s">
        <v>81</v>
      </c>
      <c r="B77" s="11" t="s">
        <v>953</v>
      </c>
      <c r="C77" s="11" t="s">
        <v>836</v>
      </c>
      <c r="D77" s="11" t="s">
        <v>988</v>
      </c>
      <c r="E77" s="29">
        <v>0</v>
      </c>
      <c r="F77" s="29">
        <v>0</v>
      </c>
      <c r="G77" s="29">
        <v>0</v>
      </c>
      <c r="H77" s="29">
        <v>0</v>
      </c>
      <c r="I77" s="29">
        <v>0</v>
      </c>
      <c r="J77" s="29">
        <v>0</v>
      </c>
      <c r="K77" s="29">
        <v>0</v>
      </c>
      <c r="L77" s="29">
        <v>0</v>
      </c>
      <c r="M77" s="29">
        <v>0</v>
      </c>
      <c r="N77" s="29">
        <v>0</v>
      </c>
      <c r="O77" s="29">
        <v>0</v>
      </c>
      <c r="P77" s="29">
        <v>0</v>
      </c>
      <c r="Q77" s="29">
        <v>0</v>
      </c>
      <c r="R77" s="29">
        <v>0</v>
      </c>
      <c r="S77" s="29">
        <v>0</v>
      </c>
      <c r="T77" s="29">
        <v>0</v>
      </c>
      <c r="U77" s="4"/>
      <c r="V77" s="4"/>
    </row>
    <row r="78" spans="1:23" x14ac:dyDescent="0.25">
      <c r="A78" s="11" t="s">
        <v>81</v>
      </c>
      <c r="B78" s="11" t="s">
        <v>953</v>
      </c>
      <c r="C78" s="11" t="s">
        <v>836</v>
      </c>
      <c r="D78" s="11" t="s">
        <v>946</v>
      </c>
      <c r="E78" s="29">
        <v>437617</v>
      </c>
      <c r="F78" s="29">
        <v>437617</v>
      </c>
      <c r="G78" s="29">
        <v>472976</v>
      </c>
      <c r="H78" s="29">
        <v>477182</v>
      </c>
      <c r="I78" s="29">
        <v>470875</v>
      </c>
      <c r="J78" s="29">
        <v>466832</v>
      </c>
      <c r="K78" s="29">
        <v>194487</v>
      </c>
      <c r="L78" s="29">
        <v>190634</v>
      </c>
      <c r="M78" s="29">
        <v>257796</v>
      </c>
      <c r="N78" s="29">
        <v>158427</v>
      </c>
      <c r="O78" s="29">
        <v>158506</v>
      </c>
      <c r="P78" s="29">
        <v>158585</v>
      </c>
      <c r="Q78" s="29">
        <v>158664</v>
      </c>
      <c r="R78" s="29">
        <v>158506</v>
      </c>
      <c r="S78" s="29">
        <v>167485.46225441858</v>
      </c>
      <c r="T78" s="29">
        <v>161978.82244489371</v>
      </c>
      <c r="U78" s="4"/>
      <c r="V78" s="4"/>
    </row>
    <row r="79" spans="1:23" x14ac:dyDescent="0.25">
      <c r="A79" s="11" t="s">
        <v>81</v>
      </c>
      <c r="B79" s="11" t="s">
        <v>953</v>
      </c>
      <c r="C79" s="11" t="s">
        <v>836</v>
      </c>
      <c r="D79" s="11" t="s">
        <v>988</v>
      </c>
      <c r="E79" s="29">
        <v>437.61700000000002</v>
      </c>
      <c r="F79" s="29">
        <v>437.61700000000002</v>
      </c>
      <c r="G79" s="29">
        <v>472.976</v>
      </c>
      <c r="H79" s="29">
        <v>477.18200000000002</v>
      </c>
      <c r="I79" s="29">
        <v>470.875</v>
      </c>
      <c r="J79" s="29">
        <v>466.83199999999999</v>
      </c>
      <c r="K79" s="29">
        <v>194.48699999999999</v>
      </c>
      <c r="L79" s="29">
        <v>190.63399999999999</v>
      </c>
      <c r="M79" s="29">
        <v>257.79599999999999</v>
      </c>
      <c r="N79" s="29">
        <v>158.42699999999999</v>
      </c>
      <c r="O79" s="29">
        <v>158.506</v>
      </c>
      <c r="P79" s="29">
        <v>158.58500000000001</v>
      </c>
      <c r="Q79" s="29">
        <v>158.66399999999999</v>
      </c>
      <c r="R79" s="29">
        <v>158.506</v>
      </c>
      <c r="S79" s="29">
        <v>167.48546225441859</v>
      </c>
      <c r="T79" s="29">
        <v>161.97882244489372</v>
      </c>
      <c r="U79" s="4"/>
      <c r="V79" s="4"/>
    </row>
    <row r="80" spans="1:23" x14ac:dyDescent="0.25">
      <c r="A80" s="11" t="s">
        <v>81</v>
      </c>
      <c r="B80" s="11" t="s">
        <v>922</v>
      </c>
      <c r="C80" s="11" t="s">
        <v>956</v>
      </c>
      <c r="D80" s="11" t="s">
        <v>884</v>
      </c>
      <c r="E80" s="29">
        <v>437.61700000000002</v>
      </c>
      <c r="F80" s="29">
        <v>437.61700000000002</v>
      </c>
      <c r="G80" s="29">
        <v>472.976</v>
      </c>
      <c r="H80" s="29">
        <v>477.18200000000002</v>
      </c>
      <c r="I80" s="29">
        <v>470.875</v>
      </c>
      <c r="J80" s="29">
        <v>466.83199999999999</v>
      </c>
      <c r="K80" s="29">
        <v>194.48699999999999</v>
      </c>
      <c r="L80" s="29">
        <v>190.63399999999999</v>
      </c>
      <c r="M80" s="29">
        <v>257.79599999999999</v>
      </c>
      <c r="N80" s="29">
        <v>158.42699999999999</v>
      </c>
      <c r="O80" s="29">
        <v>158.506</v>
      </c>
      <c r="P80" s="29">
        <v>158.58500000000001</v>
      </c>
      <c r="Q80" s="29">
        <v>158.66399999999999</v>
      </c>
      <c r="R80" s="29">
        <v>158.506</v>
      </c>
      <c r="S80" s="29">
        <v>167.48546225441859</v>
      </c>
      <c r="T80" s="29">
        <v>161.97882244489372</v>
      </c>
      <c r="U80" s="4"/>
      <c r="V80" s="4"/>
    </row>
    <row r="81" spans="1:22" x14ac:dyDescent="0.25">
      <c r="A81" s="11"/>
      <c r="B81" s="11"/>
      <c r="C81" s="11"/>
      <c r="D81" s="11"/>
      <c r="E81" s="23"/>
      <c r="F81" s="23"/>
      <c r="G81" s="23"/>
      <c r="H81" s="23"/>
      <c r="I81" s="23"/>
      <c r="J81" s="23"/>
      <c r="K81" s="23"/>
      <c r="L81" s="23"/>
      <c r="M81" s="23"/>
      <c r="N81" s="23"/>
      <c r="O81" s="23"/>
      <c r="P81" s="23"/>
      <c r="Q81" s="23"/>
      <c r="R81" s="23"/>
      <c r="S81" s="23"/>
      <c r="T81" s="23"/>
      <c r="U81" s="23"/>
      <c r="V81" s="23"/>
    </row>
    <row r="82" spans="1:22" ht="18.75" x14ac:dyDescent="0.3">
      <c r="A82" s="13" t="s">
        <v>346</v>
      </c>
    </row>
    <row r="83" spans="1:22" s="22" customFormat="1" x14ac:dyDescent="0.25">
      <c r="A83" s="8"/>
      <c r="B83" s="9" t="s">
        <v>865</v>
      </c>
      <c r="C83" s="8"/>
      <c r="D83" s="8" t="s">
        <v>852</v>
      </c>
      <c r="E83" s="8"/>
      <c r="F83" s="8"/>
      <c r="G83" s="8"/>
      <c r="H83" s="8"/>
      <c r="I83" s="8"/>
      <c r="J83" s="8"/>
      <c r="K83" s="8"/>
      <c r="L83" s="8"/>
      <c r="M83" s="8"/>
      <c r="N83" s="8"/>
      <c r="O83" s="8"/>
      <c r="P83" s="8"/>
      <c r="Q83" s="8"/>
      <c r="R83" s="8"/>
      <c r="S83" s="8"/>
      <c r="T83" s="8"/>
      <c r="U83" s="8"/>
      <c r="V83" s="8"/>
    </row>
    <row r="85" spans="1:22" x14ac:dyDescent="0.25">
      <c r="A85" s="10" t="s">
        <v>867</v>
      </c>
      <c r="B85" s="10" t="s">
        <v>868</v>
      </c>
      <c r="C85" s="10" t="s">
        <v>482</v>
      </c>
      <c r="D85" s="10" t="s">
        <v>740</v>
      </c>
      <c r="E85" s="10">
        <v>2000</v>
      </c>
      <c r="F85" s="10">
        <v>2001</v>
      </c>
      <c r="G85" s="10">
        <v>2002</v>
      </c>
      <c r="H85" s="10">
        <v>2003</v>
      </c>
      <c r="I85" s="10">
        <v>2004</v>
      </c>
      <c r="J85" s="10">
        <v>2005</v>
      </c>
      <c r="K85" s="10">
        <v>2006</v>
      </c>
      <c r="L85" s="10">
        <v>2007</v>
      </c>
      <c r="M85" s="10">
        <v>2008</v>
      </c>
      <c r="N85" s="10">
        <v>2009</v>
      </c>
      <c r="O85" s="10">
        <v>2010</v>
      </c>
      <c r="P85" s="10">
        <v>2011</v>
      </c>
      <c r="Q85" s="10">
        <v>2012</v>
      </c>
      <c r="R85" s="10">
        <v>2013</v>
      </c>
      <c r="S85" s="10">
        <v>2014</v>
      </c>
      <c r="T85" s="10">
        <v>2015</v>
      </c>
      <c r="U85" s="10"/>
      <c r="V85" s="10"/>
    </row>
    <row r="86" spans="1:22" x14ac:dyDescent="0.25">
      <c r="A86" s="11" t="s">
        <v>81</v>
      </c>
      <c r="B86" s="11" t="s">
        <v>980</v>
      </c>
      <c r="C86" s="11"/>
      <c r="D86" s="11" t="s">
        <v>892</v>
      </c>
      <c r="E86" s="41" t="str">
        <f t="shared" ref="E86:S86" si="10">IFERROR(((E14/E62)-1),"CHECK")</f>
        <v>CHECK</v>
      </c>
      <c r="F86" s="41" t="str">
        <f t="shared" si="10"/>
        <v>CHECK</v>
      </c>
      <c r="G86" s="41" t="str">
        <f t="shared" si="10"/>
        <v>CHECK</v>
      </c>
      <c r="H86" s="41" t="str">
        <f t="shared" si="10"/>
        <v>CHECK</v>
      </c>
      <c r="I86" s="41" t="str">
        <f t="shared" si="10"/>
        <v>CHECK</v>
      </c>
      <c r="J86" s="41" t="str">
        <f t="shared" si="10"/>
        <v>CHECK</v>
      </c>
      <c r="K86" s="41" t="str">
        <f t="shared" si="10"/>
        <v>CHECK</v>
      </c>
      <c r="L86" s="41" t="str">
        <f t="shared" si="10"/>
        <v>CHECK</v>
      </c>
      <c r="M86" s="41" t="str">
        <f t="shared" si="10"/>
        <v>CHECK</v>
      </c>
      <c r="N86" s="41" t="str">
        <f t="shared" si="10"/>
        <v>CHECK</v>
      </c>
      <c r="O86" s="41" t="str">
        <f t="shared" si="10"/>
        <v>CHECK</v>
      </c>
      <c r="P86" s="41" t="str">
        <f t="shared" si="10"/>
        <v>CHECK</v>
      </c>
      <c r="Q86" s="41" t="str">
        <f t="shared" si="10"/>
        <v>CHECK</v>
      </c>
      <c r="R86" s="41" t="str">
        <f t="shared" si="10"/>
        <v>CHECK</v>
      </c>
      <c r="S86" s="41" t="str">
        <f t="shared" si="10"/>
        <v>CHECK</v>
      </c>
      <c r="T86" s="41" t="str">
        <f>IFERROR(((T14/T62)-1),"CHECK")</f>
        <v>CHECK</v>
      </c>
      <c r="U86" s="41"/>
      <c r="V86" s="41"/>
    </row>
    <row r="87" spans="1:22" x14ac:dyDescent="0.25">
      <c r="A87" s="11" t="s">
        <v>81</v>
      </c>
      <c r="B87" s="11" t="s">
        <v>981</v>
      </c>
      <c r="C87" s="11"/>
      <c r="D87" s="11" t="s">
        <v>892</v>
      </c>
      <c r="E87" s="41" t="str">
        <f t="shared" ref="E87:S87" si="11">IFERROR(((E15/E63)-1),"CHECK")</f>
        <v>CHECK</v>
      </c>
      <c r="F87" s="41" t="str">
        <f t="shared" si="11"/>
        <v>CHECK</v>
      </c>
      <c r="G87" s="41" t="str">
        <f t="shared" si="11"/>
        <v>CHECK</v>
      </c>
      <c r="H87" s="41" t="str">
        <f t="shared" si="11"/>
        <v>CHECK</v>
      </c>
      <c r="I87" s="41" t="str">
        <f t="shared" si="11"/>
        <v>CHECK</v>
      </c>
      <c r="J87" s="41" t="str">
        <f t="shared" si="11"/>
        <v>CHECK</v>
      </c>
      <c r="K87" s="41" t="str">
        <f t="shared" si="11"/>
        <v>CHECK</v>
      </c>
      <c r="L87" s="41" t="str">
        <f t="shared" si="11"/>
        <v>CHECK</v>
      </c>
      <c r="M87" s="41" t="str">
        <f t="shared" si="11"/>
        <v>CHECK</v>
      </c>
      <c r="N87" s="41" t="str">
        <f t="shared" si="11"/>
        <v>CHECK</v>
      </c>
      <c r="O87" s="41" t="str">
        <f t="shared" si="11"/>
        <v>CHECK</v>
      </c>
      <c r="P87" s="41" t="str">
        <f t="shared" si="11"/>
        <v>CHECK</v>
      </c>
      <c r="Q87" s="41" t="str">
        <f t="shared" si="11"/>
        <v>CHECK</v>
      </c>
      <c r="R87" s="41" t="str">
        <f t="shared" si="11"/>
        <v>CHECK</v>
      </c>
      <c r="S87" s="41" t="str">
        <f t="shared" si="11"/>
        <v>CHECK</v>
      </c>
      <c r="T87" s="41" t="str">
        <f>IFERROR(((T15/T63)-1),"CHECK")</f>
        <v>CHECK</v>
      </c>
      <c r="U87" s="41"/>
      <c r="V87" s="41"/>
    </row>
    <row r="88" spans="1:22" x14ac:dyDescent="0.25">
      <c r="A88" s="11" t="s">
        <v>81</v>
      </c>
      <c r="B88" s="11" t="s">
        <v>982</v>
      </c>
      <c r="C88" s="11"/>
      <c r="D88" s="11" t="s">
        <v>892</v>
      </c>
      <c r="E88" s="41" t="str">
        <f t="shared" ref="E88:S88" si="12">IFERROR(((E16/E64)-1),"CHECK")</f>
        <v>CHECK</v>
      </c>
      <c r="F88" s="41" t="str">
        <f t="shared" si="12"/>
        <v>CHECK</v>
      </c>
      <c r="G88" s="41" t="str">
        <f t="shared" si="12"/>
        <v>CHECK</v>
      </c>
      <c r="H88" s="41" t="str">
        <f t="shared" si="12"/>
        <v>CHECK</v>
      </c>
      <c r="I88" s="41" t="str">
        <f t="shared" si="12"/>
        <v>CHECK</v>
      </c>
      <c r="J88" s="41" t="str">
        <f t="shared" si="12"/>
        <v>CHECK</v>
      </c>
      <c r="K88" s="41" t="str">
        <f t="shared" si="12"/>
        <v>CHECK</v>
      </c>
      <c r="L88" s="41" t="str">
        <f t="shared" si="12"/>
        <v>CHECK</v>
      </c>
      <c r="M88" s="41" t="str">
        <f t="shared" si="12"/>
        <v>CHECK</v>
      </c>
      <c r="N88" s="41" t="str">
        <f t="shared" si="12"/>
        <v>CHECK</v>
      </c>
      <c r="O88" s="41" t="str">
        <f t="shared" si="12"/>
        <v>CHECK</v>
      </c>
      <c r="P88" s="41" t="str">
        <f t="shared" si="12"/>
        <v>CHECK</v>
      </c>
      <c r="Q88" s="41" t="str">
        <f t="shared" si="12"/>
        <v>CHECK</v>
      </c>
      <c r="R88" s="41" t="str">
        <f t="shared" si="12"/>
        <v>CHECK</v>
      </c>
      <c r="S88" s="41" t="str">
        <f t="shared" si="12"/>
        <v>CHECK</v>
      </c>
      <c r="T88" s="41" t="str">
        <f>IFERROR(((T16/T64)-1),"CHECK")</f>
        <v>CHECK</v>
      </c>
      <c r="U88" s="41"/>
      <c r="V88" s="41"/>
    </row>
    <row r="90" spans="1:22" x14ac:dyDescent="0.25">
      <c r="A90" s="8"/>
      <c r="B90" s="9" t="s">
        <v>877</v>
      </c>
      <c r="C90" s="8"/>
      <c r="D90" s="8"/>
      <c r="E90" s="8"/>
      <c r="F90" s="8"/>
      <c r="G90" s="8"/>
      <c r="H90" s="8"/>
      <c r="I90" s="8"/>
      <c r="J90" s="8"/>
      <c r="K90" s="8"/>
      <c r="L90" s="8"/>
      <c r="M90" s="8"/>
      <c r="N90" s="8"/>
      <c r="O90" s="8"/>
      <c r="P90" s="8"/>
      <c r="Q90" s="8"/>
      <c r="R90" s="8"/>
      <c r="S90" s="8"/>
      <c r="T90" s="8"/>
      <c r="U90" s="8"/>
      <c r="V90" s="8"/>
    </row>
    <row r="92" spans="1:22" x14ac:dyDescent="0.25">
      <c r="A92" s="11" t="s">
        <v>81</v>
      </c>
      <c r="B92" s="11" t="s">
        <v>984</v>
      </c>
      <c r="C92" s="11" t="s">
        <v>836</v>
      </c>
      <c r="D92" s="11" t="s">
        <v>970</v>
      </c>
      <c r="E92" s="41" t="str">
        <f>IFERROR(((E20/E68)-1),"CHECK")</f>
        <v>CHECK</v>
      </c>
      <c r="F92" s="41" t="str">
        <f t="shared" ref="F92:S92" si="13">IFERROR(((F20/F68)-1),"CHECK")</f>
        <v>CHECK</v>
      </c>
      <c r="G92" s="41" t="str">
        <f t="shared" si="13"/>
        <v>CHECK</v>
      </c>
      <c r="H92" s="41" t="str">
        <f t="shared" si="13"/>
        <v>CHECK</v>
      </c>
      <c r="I92" s="41" t="str">
        <f t="shared" si="13"/>
        <v>CHECK</v>
      </c>
      <c r="J92" s="41" t="str">
        <f t="shared" si="13"/>
        <v>CHECK</v>
      </c>
      <c r="K92" s="41" t="str">
        <f t="shared" si="13"/>
        <v>CHECK</v>
      </c>
      <c r="L92" s="41" t="str">
        <f t="shared" si="13"/>
        <v>CHECK</v>
      </c>
      <c r="M92" s="41" t="str">
        <f t="shared" si="13"/>
        <v>CHECK</v>
      </c>
      <c r="N92" s="41" t="str">
        <f t="shared" si="13"/>
        <v>CHECK</v>
      </c>
      <c r="O92" s="41" t="str">
        <f t="shared" si="13"/>
        <v>CHECK</v>
      </c>
      <c r="P92" s="41" t="str">
        <f t="shared" si="13"/>
        <v>CHECK</v>
      </c>
      <c r="Q92" s="41" t="str">
        <f t="shared" si="13"/>
        <v>CHECK</v>
      </c>
      <c r="R92" s="41" t="str">
        <f t="shared" si="13"/>
        <v>CHECK</v>
      </c>
      <c r="S92" s="41" t="str">
        <f t="shared" si="13"/>
        <v>CHECK</v>
      </c>
      <c r="T92" s="41" t="str">
        <f>IFERROR(((T20/T68)-1),"CHECK")</f>
        <v>CHECK</v>
      </c>
      <c r="U92" s="41"/>
      <c r="V92" s="41"/>
    </row>
    <row r="93" spans="1:22" x14ac:dyDescent="0.25">
      <c r="A93" s="11" t="s">
        <v>81</v>
      </c>
      <c r="B93" s="11" t="s">
        <v>985</v>
      </c>
      <c r="C93" s="11" t="s">
        <v>836</v>
      </c>
      <c r="D93" s="11" t="s">
        <v>970</v>
      </c>
      <c r="E93" s="41" t="str">
        <f t="shared" ref="E93:S94" si="14">IFERROR(((E21/E69)-1),"CHECK")</f>
        <v>CHECK</v>
      </c>
      <c r="F93" s="41" t="str">
        <f t="shared" si="14"/>
        <v>CHECK</v>
      </c>
      <c r="G93" s="41" t="str">
        <f t="shared" si="14"/>
        <v>CHECK</v>
      </c>
      <c r="H93" s="41" t="str">
        <f t="shared" si="14"/>
        <v>CHECK</v>
      </c>
      <c r="I93" s="41" t="str">
        <f t="shared" si="14"/>
        <v>CHECK</v>
      </c>
      <c r="J93" s="41" t="str">
        <f t="shared" si="14"/>
        <v>CHECK</v>
      </c>
      <c r="K93" s="41" t="str">
        <f t="shared" si="14"/>
        <v>CHECK</v>
      </c>
      <c r="L93" s="41" t="str">
        <f t="shared" si="14"/>
        <v>CHECK</v>
      </c>
      <c r="M93" s="41" t="str">
        <f t="shared" si="14"/>
        <v>CHECK</v>
      </c>
      <c r="N93" s="41" t="str">
        <f t="shared" si="14"/>
        <v>CHECK</v>
      </c>
      <c r="O93" s="41" t="str">
        <f t="shared" si="14"/>
        <v>CHECK</v>
      </c>
      <c r="P93" s="41" t="str">
        <f t="shared" si="14"/>
        <v>CHECK</v>
      </c>
      <c r="Q93" s="41" t="str">
        <f t="shared" si="14"/>
        <v>CHECK</v>
      </c>
      <c r="R93" s="41" t="str">
        <f t="shared" si="14"/>
        <v>CHECK</v>
      </c>
      <c r="S93" s="41" t="str">
        <f t="shared" si="14"/>
        <v>CHECK</v>
      </c>
      <c r="T93" s="41" t="str">
        <f>IFERROR(((T21/T69)-1),"CHECK")</f>
        <v>CHECK</v>
      </c>
      <c r="U93" s="41"/>
      <c r="V93" s="41"/>
    </row>
    <row r="94" spans="1:22" x14ac:dyDescent="0.25">
      <c r="A94" s="11" t="s">
        <v>81</v>
      </c>
      <c r="B94" s="11" t="s">
        <v>986</v>
      </c>
      <c r="C94" s="11" t="s">
        <v>836</v>
      </c>
      <c r="D94" s="11" t="s">
        <v>970</v>
      </c>
      <c r="E94" s="41" t="str">
        <f t="shared" si="14"/>
        <v>CHECK</v>
      </c>
      <c r="F94" s="41" t="str">
        <f t="shared" si="14"/>
        <v>CHECK</v>
      </c>
      <c r="G94" s="41" t="str">
        <f t="shared" si="14"/>
        <v>CHECK</v>
      </c>
      <c r="H94" s="41" t="str">
        <f t="shared" si="14"/>
        <v>CHECK</v>
      </c>
      <c r="I94" s="41" t="str">
        <f t="shared" si="14"/>
        <v>CHECK</v>
      </c>
      <c r="J94" s="41" t="str">
        <f t="shared" si="14"/>
        <v>CHECK</v>
      </c>
      <c r="K94" s="41" t="str">
        <f t="shared" si="14"/>
        <v>CHECK</v>
      </c>
      <c r="L94" s="41" t="str">
        <f t="shared" si="14"/>
        <v>CHECK</v>
      </c>
      <c r="M94" s="41" t="str">
        <f t="shared" si="14"/>
        <v>CHECK</v>
      </c>
      <c r="N94" s="41" t="str">
        <f t="shared" si="14"/>
        <v>CHECK</v>
      </c>
      <c r="O94" s="41" t="str">
        <f t="shared" si="14"/>
        <v>CHECK</v>
      </c>
      <c r="P94" s="41" t="str">
        <f t="shared" si="14"/>
        <v>CHECK</v>
      </c>
      <c r="Q94" s="41" t="str">
        <f t="shared" si="14"/>
        <v>CHECK</v>
      </c>
      <c r="R94" s="41" t="str">
        <f t="shared" si="14"/>
        <v>CHECK</v>
      </c>
      <c r="S94" s="41" t="str">
        <f t="shared" si="14"/>
        <v>CHECK</v>
      </c>
      <c r="T94" s="41" t="str">
        <f>IFERROR(((T22/T70)-1),"CHECK")</f>
        <v>CHECK</v>
      </c>
      <c r="U94" s="41"/>
      <c r="V94" s="41"/>
    </row>
    <row r="96" spans="1:22" x14ac:dyDescent="0.25">
      <c r="A96" s="8"/>
      <c r="B96" s="9" t="s">
        <v>619</v>
      </c>
      <c r="C96" s="8"/>
      <c r="D96" s="8"/>
      <c r="E96" s="8"/>
      <c r="F96" s="8"/>
      <c r="G96" s="8"/>
      <c r="H96" s="8"/>
      <c r="I96" s="8"/>
      <c r="J96" s="8"/>
      <c r="K96" s="8"/>
      <c r="L96" s="8"/>
      <c r="M96" s="8"/>
      <c r="N96" s="8"/>
      <c r="O96" s="8"/>
      <c r="P96" s="8"/>
      <c r="Q96" s="8"/>
      <c r="R96" s="8"/>
      <c r="S96" s="8"/>
      <c r="T96" s="8"/>
      <c r="U96" s="8"/>
      <c r="V96" s="8"/>
    </row>
    <row r="98" spans="1:22" x14ac:dyDescent="0.25">
      <c r="A98" s="11" t="s">
        <v>81</v>
      </c>
      <c r="B98" s="11" t="s">
        <v>953</v>
      </c>
      <c r="C98" s="11" t="s">
        <v>836</v>
      </c>
      <c r="D98" s="11" t="s">
        <v>946</v>
      </c>
      <c r="E98" s="41" t="str">
        <f>IFERROR(((E26/E74)-1),"CHECK")</f>
        <v>CHECK</v>
      </c>
      <c r="F98" s="41" t="str">
        <f t="shared" ref="F98:S98" si="15">IFERROR(((F26/F74)-1),"CHECK")</f>
        <v>CHECK</v>
      </c>
      <c r="G98" s="41" t="str">
        <f t="shared" si="15"/>
        <v>CHECK</v>
      </c>
      <c r="H98" s="41" t="str">
        <f t="shared" si="15"/>
        <v>CHECK</v>
      </c>
      <c r="I98" s="41" t="str">
        <f t="shared" si="15"/>
        <v>CHECK</v>
      </c>
      <c r="J98" s="41" t="str">
        <f t="shared" si="15"/>
        <v>CHECK</v>
      </c>
      <c r="K98" s="41" t="str">
        <f t="shared" si="15"/>
        <v>CHECK</v>
      </c>
      <c r="L98" s="41" t="str">
        <f t="shared" si="15"/>
        <v>CHECK</v>
      </c>
      <c r="M98" s="41" t="str">
        <f t="shared" si="15"/>
        <v>CHECK</v>
      </c>
      <c r="N98" s="41" t="str">
        <f t="shared" si="15"/>
        <v>CHECK</v>
      </c>
      <c r="O98" s="41" t="str">
        <f t="shared" si="15"/>
        <v>CHECK</v>
      </c>
      <c r="P98" s="41" t="str">
        <f t="shared" si="15"/>
        <v>CHECK</v>
      </c>
      <c r="Q98" s="41" t="str">
        <f t="shared" si="15"/>
        <v>CHECK</v>
      </c>
      <c r="R98" s="41" t="str">
        <f t="shared" si="15"/>
        <v>CHECK</v>
      </c>
      <c r="S98" s="41" t="str">
        <f t="shared" si="15"/>
        <v>CHECK</v>
      </c>
      <c r="T98" s="41" t="str">
        <f t="shared" ref="T98:T104" si="16">IFERROR(((T26/T74)-1),"CHECK")</f>
        <v>CHECK</v>
      </c>
      <c r="U98" s="41"/>
      <c r="V98" s="41"/>
    </row>
    <row r="99" spans="1:22" x14ac:dyDescent="0.25">
      <c r="A99" s="11" t="s">
        <v>81</v>
      </c>
      <c r="B99" s="11" t="s">
        <v>953</v>
      </c>
      <c r="C99" s="11" t="s">
        <v>836</v>
      </c>
      <c r="D99" s="11" t="s">
        <v>988</v>
      </c>
      <c r="E99" s="41" t="str">
        <f t="shared" ref="E99:S104" si="17">IFERROR(((E27/E75)-1),"CHECK")</f>
        <v>CHECK</v>
      </c>
      <c r="F99" s="41" t="str">
        <f t="shared" si="17"/>
        <v>CHECK</v>
      </c>
      <c r="G99" s="41" t="str">
        <f t="shared" si="17"/>
        <v>CHECK</v>
      </c>
      <c r="H99" s="41" t="str">
        <f t="shared" si="17"/>
        <v>CHECK</v>
      </c>
      <c r="I99" s="41" t="str">
        <f t="shared" si="17"/>
        <v>CHECK</v>
      </c>
      <c r="J99" s="41" t="str">
        <f t="shared" si="17"/>
        <v>CHECK</v>
      </c>
      <c r="K99" s="41" t="str">
        <f t="shared" si="17"/>
        <v>CHECK</v>
      </c>
      <c r="L99" s="41" t="str">
        <f t="shared" si="17"/>
        <v>CHECK</v>
      </c>
      <c r="M99" s="41" t="str">
        <f t="shared" si="17"/>
        <v>CHECK</v>
      </c>
      <c r="N99" s="41" t="str">
        <f t="shared" si="17"/>
        <v>CHECK</v>
      </c>
      <c r="O99" s="41" t="str">
        <f t="shared" si="17"/>
        <v>CHECK</v>
      </c>
      <c r="P99" s="41" t="str">
        <f t="shared" si="17"/>
        <v>CHECK</v>
      </c>
      <c r="Q99" s="41" t="str">
        <f t="shared" si="17"/>
        <v>CHECK</v>
      </c>
      <c r="R99" s="41" t="str">
        <f t="shared" si="17"/>
        <v>CHECK</v>
      </c>
      <c r="S99" s="41" t="str">
        <f t="shared" si="17"/>
        <v>CHECK</v>
      </c>
      <c r="T99" s="41" t="str">
        <f t="shared" si="16"/>
        <v>CHECK</v>
      </c>
      <c r="U99" s="41"/>
      <c r="V99" s="41"/>
    </row>
    <row r="100" spans="1:22" x14ac:dyDescent="0.25">
      <c r="A100" s="11" t="s">
        <v>81</v>
      </c>
      <c r="B100" s="11" t="s">
        <v>953</v>
      </c>
      <c r="C100" s="11" t="s">
        <v>836</v>
      </c>
      <c r="D100" s="11" t="s">
        <v>946</v>
      </c>
      <c r="E100" s="41" t="str">
        <f t="shared" si="17"/>
        <v>CHECK</v>
      </c>
      <c r="F100" s="41" t="str">
        <f t="shared" si="17"/>
        <v>CHECK</v>
      </c>
      <c r="G100" s="41" t="str">
        <f t="shared" si="17"/>
        <v>CHECK</v>
      </c>
      <c r="H100" s="41" t="str">
        <f t="shared" si="17"/>
        <v>CHECK</v>
      </c>
      <c r="I100" s="41" t="str">
        <f t="shared" si="17"/>
        <v>CHECK</v>
      </c>
      <c r="J100" s="41" t="str">
        <f t="shared" si="17"/>
        <v>CHECK</v>
      </c>
      <c r="K100" s="41" t="str">
        <f t="shared" si="17"/>
        <v>CHECK</v>
      </c>
      <c r="L100" s="41" t="str">
        <f t="shared" si="17"/>
        <v>CHECK</v>
      </c>
      <c r="M100" s="41" t="str">
        <f t="shared" si="17"/>
        <v>CHECK</v>
      </c>
      <c r="N100" s="41" t="str">
        <f t="shared" si="17"/>
        <v>CHECK</v>
      </c>
      <c r="O100" s="41" t="str">
        <f t="shared" si="17"/>
        <v>CHECK</v>
      </c>
      <c r="P100" s="41" t="str">
        <f t="shared" si="17"/>
        <v>CHECK</v>
      </c>
      <c r="Q100" s="41" t="str">
        <f t="shared" si="17"/>
        <v>CHECK</v>
      </c>
      <c r="R100" s="41" t="str">
        <f t="shared" si="17"/>
        <v>CHECK</v>
      </c>
      <c r="S100" s="41" t="str">
        <f t="shared" si="17"/>
        <v>CHECK</v>
      </c>
      <c r="T100" s="41" t="str">
        <f t="shared" si="16"/>
        <v>CHECK</v>
      </c>
      <c r="U100" s="41"/>
      <c r="V100" s="41"/>
    </row>
    <row r="101" spans="1:22" x14ac:dyDescent="0.25">
      <c r="A101" s="11" t="s">
        <v>81</v>
      </c>
      <c r="B101" s="11" t="s">
        <v>953</v>
      </c>
      <c r="C101" s="11" t="s">
        <v>836</v>
      </c>
      <c r="D101" s="11" t="s">
        <v>988</v>
      </c>
      <c r="E101" s="41" t="str">
        <f t="shared" si="17"/>
        <v>CHECK</v>
      </c>
      <c r="F101" s="41" t="str">
        <f t="shared" si="17"/>
        <v>CHECK</v>
      </c>
      <c r="G101" s="41" t="str">
        <f t="shared" si="17"/>
        <v>CHECK</v>
      </c>
      <c r="H101" s="41" t="str">
        <f t="shared" si="17"/>
        <v>CHECK</v>
      </c>
      <c r="I101" s="41" t="str">
        <f t="shared" si="17"/>
        <v>CHECK</v>
      </c>
      <c r="J101" s="41" t="str">
        <f t="shared" si="17"/>
        <v>CHECK</v>
      </c>
      <c r="K101" s="41" t="str">
        <f t="shared" si="17"/>
        <v>CHECK</v>
      </c>
      <c r="L101" s="41" t="str">
        <f t="shared" si="17"/>
        <v>CHECK</v>
      </c>
      <c r="M101" s="41" t="str">
        <f t="shared" si="17"/>
        <v>CHECK</v>
      </c>
      <c r="N101" s="41" t="str">
        <f t="shared" si="17"/>
        <v>CHECK</v>
      </c>
      <c r="O101" s="41" t="str">
        <f t="shared" si="17"/>
        <v>CHECK</v>
      </c>
      <c r="P101" s="41" t="str">
        <f t="shared" si="17"/>
        <v>CHECK</v>
      </c>
      <c r="Q101" s="41" t="str">
        <f t="shared" si="17"/>
        <v>CHECK</v>
      </c>
      <c r="R101" s="41" t="str">
        <f t="shared" si="17"/>
        <v>CHECK</v>
      </c>
      <c r="S101" s="41" t="str">
        <f t="shared" si="17"/>
        <v>CHECK</v>
      </c>
      <c r="T101" s="41" t="str">
        <f t="shared" si="16"/>
        <v>CHECK</v>
      </c>
      <c r="U101" s="41"/>
      <c r="V101" s="41"/>
    </row>
    <row r="102" spans="1:22" x14ac:dyDescent="0.25">
      <c r="A102" s="11" t="s">
        <v>81</v>
      </c>
      <c r="B102" s="11" t="s">
        <v>953</v>
      </c>
      <c r="C102" s="11" t="s">
        <v>836</v>
      </c>
      <c r="D102" s="11" t="s">
        <v>946</v>
      </c>
      <c r="E102" s="41">
        <f t="shared" si="17"/>
        <v>0</v>
      </c>
      <c r="F102" s="41">
        <f t="shared" si="17"/>
        <v>0</v>
      </c>
      <c r="G102" s="41">
        <f t="shared" si="17"/>
        <v>0</v>
      </c>
      <c r="H102" s="41">
        <f t="shared" si="17"/>
        <v>0</v>
      </c>
      <c r="I102" s="41">
        <f t="shared" si="17"/>
        <v>0</v>
      </c>
      <c r="J102" s="41">
        <f t="shared" si="17"/>
        <v>0</v>
      </c>
      <c r="K102" s="41">
        <f t="shared" si="17"/>
        <v>0</v>
      </c>
      <c r="L102" s="41">
        <f t="shared" si="17"/>
        <v>0</v>
      </c>
      <c r="M102" s="41">
        <f t="shared" si="17"/>
        <v>0</v>
      </c>
      <c r="N102" s="41">
        <f t="shared" si="17"/>
        <v>0</v>
      </c>
      <c r="O102" s="41">
        <f t="shared" si="17"/>
        <v>0</v>
      </c>
      <c r="P102" s="41">
        <f t="shared" si="17"/>
        <v>0</v>
      </c>
      <c r="Q102" s="41">
        <f t="shared" si="17"/>
        <v>0</v>
      </c>
      <c r="R102" s="41">
        <f t="shared" si="17"/>
        <v>0</v>
      </c>
      <c r="S102" s="41">
        <f t="shared" si="17"/>
        <v>0</v>
      </c>
      <c r="T102" s="41">
        <f t="shared" si="16"/>
        <v>0</v>
      </c>
      <c r="U102" s="41"/>
      <c r="V102" s="41"/>
    </row>
    <row r="103" spans="1:22" x14ac:dyDescent="0.25">
      <c r="A103" s="11" t="s">
        <v>81</v>
      </c>
      <c r="B103" s="11" t="s">
        <v>953</v>
      </c>
      <c r="C103" s="11" t="s">
        <v>836</v>
      </c>
      <c r="D103" s="11" t="s">
        <v>988</v>
      </c>
      <c r="E103" s="41">
        <f t="shared" si="17"/>
        <v>0</v>
      </c>
      <c r="F103" s="41">
        <f t="shared" si="17"/>
        <v>0</v>
      </c>
      <c r="G103" s="41">
        <f t="shared" si="17"/>
        <v>0</v>
      </c>
      <c r="H103" s="41">
        <f t="shared" si="17"/>
        <v>0</v>
      </c>
      <c r="I103" s="41">
        <f t="shared" si="17"/>
        <v>0</v>
      </c>
      <c r="J103" s="41">
        <f t="shared" si="17"/>
        <v>0</v>
      </c>
      <c r="K103" s="41">
        <f t="shared" si="17"/>
        <v>0</v>
      </c>
      <c r="L103" s="41">
        <f t="shared" si="17"/>
        <v>0</v>
      </c>
      <c r="M103" s="41">
        <f t="shared" si="17"/>
        <v>0</v>
      </c>
      <c r="N103" s="41">
        <f t="shared" si="17"/>
        <v>0</v>
      </c>
      <c r="O103" s="41">
        <f t="shared" si="17"/>
        <v>0</v>
      </c>
      <c r="P103" s="41">
        <f t="shared" si="17"/>
        <v>0</v>
      </c>
      <c r="Q103" s="41">
        <f t="shared" si="17"/>
        <v>0</v>
      </c>
      <c r="R103" s="41">
        <f t="shared" si="17"/>
        <v>0</v>
      </c>
      <c r="S103" s="41">
        <f t="shared" si="17"/>
        <v>0</v>
      </c>
      <c r="T103" s="41">
        <f t="shared" si="16"/>
        <v>0</v>
      </c>
      <c r="U103" s="41"/>
      <c r="V103" s="41"/>
    </row>
    <row r="104" spans="1:22" x14ac:dyDescent="0.25">
      <c r="A104" s="11" t="s">
        <v>81</v>
      </c>
      <c r="B104" s="11" t="s">
        <v>922</v>
      </c>
      <c r="C104" s="11" t="s">
        <v>956</v>
      </c>
      <c r="D104" s="11" t="s">
        <v>884</v>
      </c>
      <c r="E104" s="41">
        <f t="shared" si="17"/>
        <v>0</v>
      </c>
      <c r="F104" s="41">
        <f t="shared" si="17"/>
        <v>0</v>
      </c>
      <c r="G104" s="41">
        <f t="shared" si="17"/>
        <v>0</v>
      </c>
      <c r="H104" s="41">
        <f t="shared" si="17"/>
        <v>0</v>
      </c>
      <c r="I104" s="41">
        <f t="shared" si="17"/>
        <v>0</v>
      </c>
      <c r="J104" s="41">
        <f t="shared" si="17"/>
        <v>0</v>
      </c>
      <c r="K104" s="41">
        <f t="shared" si="17"/>
        <v>0</v>
      </c>
      <c r="L104" s="41">
        <f t="shared" si="17"/>
        <v>0</v>
      </c>
      <c r="M104" s="41">
        <f t="shared" si="17"/>
        <v>0</v>
      </c>
      <c r="N104" s="41">
        <f t="shared" si="17"/>
        <v>0</v>
      </c>
      <c r="O104" s="41">
        <f t="shared" si="17"/>
        <v>0</v>
      </c>
      <c r="P104" s="41">
        <f t="shared" si="17"/>
        <v>0</v>
      </c>
      <c r="Q104" s="41">
        <f t="shared" si="17"/>
        <v>0</v>
      </c>
      <c r="R104" s="41">
        <f t="shared" si="17"/>
        <v>0</v>
      </c>
      <c r="S104" s="41">
        <f t="shared" si="17"/>
        <v>0</v>
      </c>
      <c r="T104" s="41">
        <f t="shared" si="16"/>
        <v>0</v>
      </c>
      <c r="U104" s="41"/>
      <c r="V104" s="41"/>
    </row>
    <row r="105" spans="1:22" x14ac:dyDescent="0.25">
      <c r="B105" s="14"/>
    </row>
    <row r="106" spans="1:22" x14ac:dyDescent="0.25">
      <c r="B106" s="14"/>
    </row>
    <row r="107" spans="1:22" x14ac:dyDescent="0.25">
      <c r="B107" s="14"/>
    </row>
    <row r="108" spans="1:22" x14ac:dyDescent="0.25">
      <c r="B108" s="14"/>
    </row>
  </sheetData>
  <mergeCells count="2">
    <mergeCell ref="C1:J1"/>
    <mergeCell ref="C2:J2"/>
  </mergeCells>
  <conditionalFormatting sqref="K2">
    <cfRule type="expression" dxfId="25" priority="2">
      <formula>(UPPER(LEFT(SUBSTITUTE($Z2,"#",""),5))="FIXCH")</formula>
    </cfRule>
    <cfRule type="expression" dxfId="24" priority="3">
      <formula>(UPPER(SUBSTITUTE($Z2,"#",""))="OK")</formula>
    </cfRule>
  </conditionalFormatting>
  <conditionalFormatting sqref="E92:S94 E86:S88 E98:S104">
    <cfRule type="colorScale" priority="4">
      <colorScale>
        <cfvo type="min"/>
        <cfvo type="num" val="0"/>
        <cfvo type="max"/>
        <color theme="3" tint="0.59999389629810485"/>
        <color theme="0"/>
        <color rgb="FFEE9CA4"/>
      </colorScale>
    </cfRule>
  </conditionalFormatting>
  <conditionalFormatting sqref="T92:V94 T86:V88 T98:V10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8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800-00003A000000}">
          <x14:colorSeries rgb="FF376092"/>
          <x14:colorNegative rgb="FFD00000"/>
          <x14:colorAxis rgb="FF000000"/>
          <x14:colorMarkers rgb="FFD00000"/>
          <x14:colorFirst rgb="FFD00000"/>
          <x14:colorLast rgb="FFD00000"/>
          <x14:colorHigh rgb="FFD00000"/>
          <x14:colorLow rgb="FFD00000"/>
          <x14:sparklines>
            <x14:sparkline>
              <xm:f>'2B6 Titanium Dioxide Production'!E68:T68</xm:f>
              <xm:sqref>W68</xm:sqref>
            </x14:sparkline>
            <x14:sparkline>
              <xm:f>'2B6 Titanium Dioxide Production'!E69:T69</xm:f>
              <xm:sqref>W69</xm:sqref>
            </x14:sparkline>
            <x14:sparkline>
              <xm:f>'2B6 Titanium Dioxide Production'!E70:T70</xm:f>
              <xm:sqref>W70</xm:sqref>
            </x14:sparkline>
          </x14:sparklines>
        </x14:sparklineGroup>
        <x14:sparklineGroup manualMax="0" manualMin="0" displayEmptyCellsAs="gap" xr2:uid="{00000000-0003-0000-1800-000039000000}">
          <x14:colorSeries rgb="FF376092"/>
          <x14:colorNegative rgb="FFD00000"/>
          <x14:colorAxis rgb="FF000000"/>
          <x14:colorMarkers rgb="FFD00000"/>
          <x14:colorFirst rgb="FFD00000"/>
          <x14:colorLast rgb="FFD00000"/>
          <x14:colorHigh rgb="FFD00000"/>
          <x14:colorLow rgb="FFD00000"/>
          <x14:sparklines>
            <x14:sparkline>
              <xm:f>'2B6 Titanium Dioxide Production'!E74:T74</xm:f>
              <xm:sqref>W74</xm:sqref>
            </x14:sparkline>
            <x14:sparkline>
              <xm:f>'2B6 Titanium Dioxide Production'!E75:T75</xm:f>
              <xm:sqref>W75</xm:sqref>
            </x14:sparkline>
            <x14:sparkline>
              <xm:f>'2B6 Titanium Dioxide Production'!E76:T76</xm:f>
              <xm:sqref>W76</xm:sqref>
            </x14:sparkline>
            <x14:sparkline>
              <xm:f>'2B6 Titanium Dioxide Production'!E77:T77</xm:f>
              <xm:sqref>W77</xm:sqref>
            </x14:sparkline>
            <x14:sparkline>
              <xm:f>'2B6 Titanium Dioxide Production'!E78:T78</xm:f>
              <xm:sqref>W78</xm:sqref>
            </x14:sparkline>
            <x14:sparkline>
              <xm:f>'2B6 Titanium Dioxide Production'!E79:T79</xm:f>
              <xm:sqref>W79</xm:sqref>
            </x14:sparkline>
            <x14:sparkline>
              <xm:f>'2B6 Titanium Dioxide Production'!E80:T80</xm:f>
              <xm:sqref>W80</xm:sqref>
            </x14:sparkline>
          </x14:sparklines>
        </x14:sparklineGroup>
        <x14:sparklineGroup manualMax="0" manualMin="0" displayEmptyCellsAs="gap" xr2:uid="{00000000-0003-0000-1800-000038000000}">
          <x14:colorSeries rgb="FF376092"/>
          <x14:colorNegative rgb="FFD00000"/>
          <x14:colorAxis rgb="FF000000"/>
          <x14:colorMarkers rgb="FFD00000"/>
          <x14:colorFirst rgb="FFD00000"/>
          <x14:colorLast rgb="FFD00000"/>
          <x14:colorHigh rgb="FFD00000"/>
          <x14:colorLow rgb="FFD00000"/>
          <x14:sparklines>
            <x14:sparkline>
              <xm:f>'2B6 Titanium Dioxide Production'!E14:T14</xm:f>
              <xm:sqref>W14</xm:sqref>
            </x14:sparkline>
            <x14:sparkline>
              <xm:f>'2B6 Titanium Dioxide Production'!E15:T15</xm:f>
              <xm:sqref>W15</xm:sqref>
            </x14:sparkline>
            <x14:sparkline>
              <xm:f>'2B6 Titanium Dioxide Production'!E16:T16</xm:f>
              <xm:sqref>W16</xm:sqref>
            </x14:sparkline>
          </x14:sparklines>
        </x14:sparklineGroup>
        <x14:sparklineGroup manualMax="0" manualMin="0" displayEmptyCellsAs="gap" xr2:uid="{00000000-0003-0000-1800-000037000000}">
          <x14:colorSeries rgb="FF376092"/>
          <x14:colorNegative rgb="FFD00000"/>
          <x14:colorAxis rgb="FF000000"/>
          <x14:colorMarkers rgb="FFD00000"/>
          <x14:colorFirst rgb="FFD00000"/>
          <x14:colorLast rgb="FFD00000"/>
          <x14:colorHigh rgb="FFD00000"/>
          <x14:colorLow rgb="FFD00000"/>
          <x14:sparklines>
            <x14:sparkline>
              <xm:f>'2B6 Titanium Dioxide Production'!E26:V26</xm:f>
              <xm:sqref>W26</xm:sqref>
            </x14:sparkline>
            <x14:sparkline>
              <xm:f>'2B6 Titanium Dioxide Production'!E27:V27</xm:f>
              <xm:sqref>W27</xm:sqref>
            </x14:sparkline>
            <x14:sparkline>
              <xm:f>'2B6 Titanium Dioxide Production'!E28:V28</xm:f>
              <xm:sqref>W28</xm:sqref>
            </x14:sparkline>
            <x14:sparkline>
              <xm:f>'2B6 Titanium Dioxide Production'!E29:V29</xm:f>
              <xm:sqref>W29</xm:sqref>
            </x14:sparkline>
            <x14:sparkline>
              <xm:f>'2B6 Titanium Dioxide Production'!E30:V30</xm:f>
              <xm:sqref>W30</xm:sqref>
            </x14:sparkline>
            <x14:sparkline>
              <xm:f>'2B6 Titanium Dioxide Production'!E31:V31</xm:f>
              <xm:sqref>W31</xm:sqref>
            </x14:sparkline>
            <x14:sparkline>
              <xm:f>'2B6 Titanium Dioxide Production'!E32:V32</xm:f>
              <xm:sqref>W32</xm:sqref>
            </x14:sparkline>
          </x14:sparklines>
        </x14:sparklineGroup>
        <x14:sparklineGroup manualMax="0" manualMin="0" displayEmptyCellsAs="gap" xr2:uid="{00000000-0003-0000-1800-000036000000}">
          <x14:colorSeries rgb="FF376092"/>
          <x14:colorNegative rgb="FFD00000"/>
          <x14:colorAxis rgb="FF000000"/>
          <x14:colorMarkers rgb="FFD00000"/>
          <x14:colorFirst rgb="FFD00000"/>
          <x14:colorLast rgb="FFD00000"/>
          <x14:colorHigh rgb="FFD00000"/>
          <x14:colorLow rgb="FFD00000"/>
          <x14:sparklines>
            <x14:sparkline>
              <xm:f>'2B6 Titanium Dioxide Production'!E62:T62</xm:f>
              <xm:sqref>W62</xm:sqref>
            </x14:sparkline>
            <x14:sparkline>
              <xm:f>'2B6 Titanium Dioxide Production'!E63:T63</xm:f>
              <xm:sqref>W63</xm:sqref>
            </x14:sparkline>
            <x14:sparkline>
              <xm:f>'2B6 Titanium Dioxide Production'!E64:T64</xm:f>
              <xm:sqref>W64</xm:sqref>
            </x14:sparkline>
          </x14:sparklines>
        </x14:sparklineGroup>
        <x14:sparklineGroup manualMax="0" manualMin="0" displayEmptyCellsAs="gap" xr2:uid="{00000000-0003-0000-1800-000035000000}">
          <x14:colorSeries rgb="FF376092"/>
          <x14:colorNegative rgb="FFD00000"/>
          <x14:colorAxis rgb="FF000000"/>
          <x14:colorMarkers rgb="FFD00000"/>
          <x14:colorFirst rgb="FFD00000"/>
          <x14:colorLast rgb="FFD00000"/>
          <x14:colorHigh rgb="FFD00000"/>
          <x14:colorLow rgb="FFD00000"/>
          <x14:sparklines>
            <x14:sparkline>
              <xm:f>'2B6 Titanium Dioxide Production'!E20:T20</xm:f>
              <xm:sqref>W20</xm:sqref>
            </x14:sparkline>
            <x14:sparkline>
              <xm:f>'2B6 Titanium Dioxide Production'!E21:T21</xm:f>
              <xm:sqref>W21</xm:sqref>
            </x14:sparkline>
            <x14:sparkline>
              <xm:f>'2B6 Titanium Dioxide Production'!E22:T22</xm:f>
              <xm:sqref>W22</xm:sqref>
            </x14:sparkline>
          </x14:sparklines>
        </x14:sparklineGroup>
      </x14:sparklineGroup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tabColor theme="3" tint="0.79998168889431442"/>
  </sheetPr>
  <dimension ref="A1:Y90"/>
  <sheetViews>
    <sheetView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2B8 Carbon Black Production</v>
      </c>
      <c r="C1" s="261" t="s">
        <v>856</v>
      </c>
      <c r="D1" s="262"/>
      <c r="E1" s="262"/>
      <c r="F1" s="262"/>
      <c r="G1" s="262"/>
      <c r="H1" s="262"/>
      <c r="I1" s="262"/>
      <c r="J1" s="263"/>
      <c r="K1" s="14"/>
    </row>
    <row r="2" spans="1:25" ht="49.5" customHeight="1" x14ac:dyDescent="0.25">
      <c r="A2" s="15" t="s">
        <v>736</v>
      </c>
      <c r="B2" s="33" t="s">
        <v>857</v>
      </c>
      <c r="C2" s="264" t="s">
        <v>991</v>
      </c>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938</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939</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84</v>
      </c>
      <c r="B14" t="s">
        <v>992</v>
      </c>
      <c r="D14" t="s">
        <v>892</v>
      </c>
      <c r="E14" s="114">
        <v>52891</v>
      </c>
      <c r="F14" s="114">
        <v>52917</v>
      </c>
      <c r="G14" s="114">
        <v>61862</v>
      </c>
      <c r="H14" s="114">
        <v>61464</v>
      </c>
      <c r="I14" s="114">
        <v>60976</v>
      </c>
      <c r="J14" s="114">
        <v>57662</v>
      </c>
      <c r="K14" s="114">
        <v>54071</v>
      </c>
      <c r="L14" s="114">
        <v>57686</v>
      </c>
      <c r="M14" s="114">
        <v>51187</v>
      </c>
      <c r="N14" s="114">
        <v>51212</v>
      </c>
      <c r="O14" s="114">
        <v>51237.98</v>
      </c>
      <c r="P14" s="114">
        <v>51230</v>
      </c>
      <c r="Q14" s="114">
        <v>51480</v>
      </c>
      <c r="R14" s="114">
        <v>51237.98</v>
      </c>
      <c r="S14" s="114">
        <f>59197*EXP(-0.011*15)</f>
        <v>50192.763600892358</v>
      </c>
      <c r="T14" s="114">
        <f>59197*EXP(-0.011*16)</f>
        <v>49643.66875960477</v>
      </c>
      <c r="U14" s="114">
        <f>59197*EXP(-0.011*17)</f>
        <v>49100.580862806753</v>
      </c>
      <c r="V14" s="114">
        <f>59197*EXP(-0.011*18)</f>
        <v>48563.434196200185</v>
      </c>
      <c r="Y14" t="s">
        <v>43</v>
      </c>
    </row>
    <row r="16" spans="1:25" s="5" customFormat="1" ht="21" x14ac:dyDescent="0.35">
      <c r="B16" s="6" t="s">
        <v>950</v>
      </c>
      <c r="E16" s="5" t="s">
        <v>951</v>
      </c>
    </row>
    <row r="18" spans="1:25" x14ac:dyDescent="0.25">
      <c r="A18" t="s">
        <v>84</v>
      </c>
      <c r="B18" t="s">
        <v>993</v>
      </c>
      <c r="C18" t="s">
        <v>836</v>
      </c>
      <c r="D18" t="s">
        <v>970</v>
      </c>
      <c r="E18" s="205">
        <v>2.62</v>
      </c>
      <c r="F18" s="205">
        <v>2.62</v>
      </c>
      <c r="G18" s="205">
        <v>2.62</v>
      </c>
      <c r="H18" s="205">
        <v>2.62</v>
      </c>
      <c r="I18" s="205">
        <v>2.62</v>
      </c>
      <c r="J18" s="205">
        <v>2.62</v>
      </c>
      <c r="K18" s="205">
        <v>2.62</v>
      </c>
      <c r="L18" s="205">
        <v>2.62</v>
      </c>
      <c r="M18" s="205">
        <v>2.62</v>
      </c>
      <c r="N18" s="205">
        <v>2.62</v>
      </c>
      <c r="O18" s="205">
        <v>2.62</v>
      </c>
      <c r="P18" s="205">
        <v>2.62</v>
      </c>
      <c r="Q18" s="205">
        <v>2.62</v>
      </c>
      <c r="R18" s="205">
        <v>2.62</v>
      </c>
      <c r="S18" s="205">
        <v>2.62</v>
      </c>
      <c r="T18" s="205">
        <v>2.62</v>
      </c>
      <c r="U18" s="205">
        <v>2.62</v>
      </c>
      <c r="V18" s="205">
        <v>2.62</v>
      </c>
      <c r="Y18" t="s">
        <v>85</v>
      </c>
    </row>
    <row r="19" spans="1:25" x14ac:dyDescent="0.25">
      <c r="A19" t="s">
        <v>84</v>
      </c>
      <c r="B19" t="s">
        <v>994</v>
      </c>
      <c r="C19" t="s">
        <v>486</v>
      </c>
      <c r="D19" t="s">
        <v>995</v>
      </c>
      <c r="E19" s="205">
        <v>0.06</v>
      </c>
      <c r="F19" s="205">
        <v>0.06</v>
      </c>
      <c r="G19" s="205">
        <v>0.06</v>
      </c>
      <c r="H19" s="205">
        <v>0.06</v>
      </c>
      <c r="I19" s="205">
        <v>0.06</v>
      </c>
      <c r="J19" s="205">
        <v>0.06</v>
      </c>
      <c r="K19" s="205">
        <v>0.06</v>
      </c>
      <c r="L19" s="205">
        <v>0.06</v>
      </c>
      <c r="M19" s="205">
        <v>0.06</v>
      </c>
      <c r="N19" s="205">
        <v>0.06</v>
      </c>
      <c r="O19" s="205">
        <v>0.06</v>
      </c>
      <c r="P19" s="205">
        <v>0.06</v>
      </c>
      <c r="Q19" s="205">
        <v>0.06</v>
      </c>
      <c r="R19" s="205">
        <v>0.06</v>
      </c>
      <c r="S19" s="205">
        <v>0.06</v>
      </c>
      <c r="T19" s="205">
        <v>0.06</v>
      </c>
      <c r="U19" s="205">
        <v>0.06</v>
      </c>
      <c r="V19" s="205">
        <v>0.06</v>
      </c>
      <c r="Y19" t="s">
        <v>86</v>
      </c>
    </row>
    <row r="21" spans="1:25" s="5" customFormat="1" ht="21" x14ac:dyDescent="0.35">
      <c r="B21" s="6" t="s">
        <v>619</v>
      </c>
      <c r="E21" s="5" t="s">
        <v>881</v>
      </c>
    </row>
    <row r="23" spans="1:25" x14ac:dyDescent="0.25">
      <c r="A23" t="s">
        <v>84</v>
      </c>
      <c r="B23" t="s">
        <v>996</v>
      </c>
      <c r="C23" t="s">
        <v>836</v>
      </c>
      <c r="D23" t="s">
        <v>976</v>
      </c>
      <c r="E23" s="117">
        <f t="shared" ref="E23:S23" si="0">E14*E18</f>
        <v>138574.42000000001</v>
      </c>
      <c r="F23" s="117">
        <f t="shared" si="0"/>
        <v>138642.54</v>
      </c>
      <c r="G23" s="117">
        <f t="shared" si="0"/>
        <v>162078.44</v>
      </c>
      <c r="H23" s="117">
        <f t="shared" si="0"/>
        <v>161035.68</v>
      </c>
      <c r="I23" s="117">
        <f t="shared" si="0"/>
        <v>159757.12</v>
      </c>
      <c r="J23" s="117">
        <f t="shared" si="0"/>
        <v>151074.44</v>
      </c>
      <c r="K23" s="117">
        <f t="shared" si="0"/>
        <v>141666.02000000002</v>
      </c>
      <c r="L23" s="117">
        <f t="shared" si="0"/>
        <v>151137.32</v>
      </c>
      <c r="M23" s="117">
        <f t="shared" si="0"/>
        <v>134109.94</v>
      </c>
      <c r="N23" s="117">
        <f t="shared" si="0"/>
        <v>134175.44</v>
      </c>
      <c r="O23" s="117">
        <f t="shared" si="0"/>
        <v>134243.50760000001</v>
      </c>
      <c r="P23" s="117">
        <f t="shared" si="0"/>
        <v>134222.6</v>
      </c>
      <c r="Q23" s="117">
        <f t="shared" si="0"/>
        <v>134877.6</v>
      </c>
      <c r="R23" s="117">
        <f t="shared" si="0"/>
        <v>134243.50760000001</v>
      </c>
      <c r="S23" s="117">
        <f t="shared" si="0"/>
        <v>131505.04063433799</v>
      </c>
      <c r="T23" s="117">
        <f>T14*T18</f>
        <v>130066.4121501645</v>
      </c>
      <c r="U23" s="117">
        <f t="shared" ref="U23" si="1">U14*U18</f>
        <v>128643.52186055369</v>
      </c>
      <c r="V23" s="117">
        <f>V14*V18</f>
        <v>127236.1975940445</v>
      </c>
    </row>
    <row r="24" spans="1:25" s="7" customFormat="1" x14ac:dyDescent="0.25">
      <c r="A24" s="7" t="s">
        <v>84</v>
      </c>
      <c r="B24" s="7" t="s">
        <v>997</v>
      </c>
      <c r="C24" s="7" t="s">
        <v>836</v>
      </c>
      <c r="D24" s="7" t="s">
        <v>884</v>
      </c>
      <c r="E24" s="116">
        <f>E23/1000</f>
        <v>138.57442</v>
      </c>
      <c r="F24" s="116">
        <f t="shared" ref="F24:S24" si="2">F23/1000</f>
        <v>138.64254</v>
      </c>
      <c r="G24" s="116">
        <f t="shared" si="2"/>
        <v>162.07844</v>
      </c>
      <c r="H24" s="116">
        <f t="shared" si="2"/>
        <v>161.03567999999999</v>
      </c>
      <c r="I24" s="116">
        <f t="shared" si="2"/>
        <v>159.75711999999999</v>
      </c>
      <c r="J24" s="116">
        <f t="shared" si="2"/>
        <v>151.07444000000001</v>
      </c>
      <c r="K24" s="116">
        <f t="shared" si="2"/>
        <v>141.66602000000003</v>
      </c>
      <c r="L24" s="116">
        <f t="shared" si="2"/>
        <v>151.13732000000002</v>
      </c>
      <c r="M24" s="116">
        <f t="shared" si="2"/>
        <v>134.10993999999999</v>
      </c>
      <c r="N24" s="116">
        <f t="shared" si="2"/>
        <v>134.17544000000001</v>
      </c>
      <c r="O24" s="116">
        <f t="shared" si="2"/>
        <v>134.24350760000002</v>
      </c>
      <c r="P24" s="116">
        <f t="shared" si="2"/>
        <v>134.2226</v>
      </c>
      <c r="Q24" s="116">
        <f t="shared" si="2"/>
        <v>134.8776</v>
      </c>
      <c r="R24" s="116">
        <f t="shared" si="2"/>
        <v>134.24350760000002</v>
      </c>
      <c r="S24" s="116">
        <f t="shared" si="2"/>
        <v>131.50504063433797</v>
      </c>
      <c r="T24" s="116">
        <f>T23/1000</f>
        <v>130.0664121501645</v>
      </c>
      <c r="U24" s="116">
        <f t="shared" ref="U24" si="3">U23/1000</f>
        <v>128.6435218605537</v>
      </c>
      <c r="V24" s="116">
        <f>V23/1000</f>
        <v>127.2361975940445</v>
      </c>
      <c r="W24"/>
    </row>
    <row r="25" spans="1:25" x14ac:dyDescent="0.25">
      <c r="A25" t="s">
        <v>84</v>
      </c>
      <c r="B25" t="s">
        <v>998</v>
      </c>
      <c r="C25" t="s">
        <v>486</v>
      </c>
      <c r="D25" t="s">
        <v>979</v>
      </c>
      <c r="E25" s="117">
        <f t="shared" ref="E25:S25" si="4">E14*E19</f>
        <v>3173.46</v>
      </c>
      <c r="F25" s="117">
        <f t="shared" si="4"/>
        <v>3175.02</v>
      </c>
      <c r="G25" s="117">
        <f t="shared" si="4"/>
        <v>3711.72</v>
      </c>
      <c r="H25" s="117">
        <f t="shared" si="4"/>
        <v>3687.8399999999997</v>
      </c>
      <c r="I25" s="117">
        <f t="shared" si="4"/>
        <v>3658.56</v>
      </c>
      <c r="J25" s="117">
        <f t="shared" si="4"/>
        <v>3459.72</v>
      </c>
      <c r="K25" s="117">
        <f t="shared" si="4"/>
        <v>3244.2599999999998</v>
      </c>
      <c r="L25" s="117">
        <f t="shared" si="4"/>
        <v>3461.16</v>
      </c>
      <c r="M25" s="117">
        <f t="shared" si="4"/>
        <v>3071.22</v>
      </c>
      <c r="N25" s="117">
        <f t="shared" si="4"/>
        <v>3072.72</v>
      </c>
      <c r="O25" s="117">
        <f t="shared" si="4"/>
        <v>3074.2788</v>
      </c>
      <c r="P25" s="117">
        <f t="shared" si="4"/>
        <v>3073.7999999999997</v>
      </c>
      <c r="Q25" s="117">
        <f t="shared" si="4"/>
        <v>3088.7999999999997</v>
      </c>
      <c r="R25" s="117">
        <f t="shared" si="4"/>
        <v>3074.2788</v>
      </c>
      <c r="S25" s="117">
        <f t="shared" si="4"/>
        <v>3011.5658160535413</v>
      </c>
      <c r="T25" s="117">
        <f>T14*T19</f>
        <v>2978.6201255762862</v>
      </c>
      <c r="U25" s="117">
        <f t="shared" ref="U25" si="5">U14*U19</f>
        <v>2946.0348517684051</v>
      </c>
      <c r="V25" s="117">
        <f>V14*V19</f>
        <v>2913.806051772011</v>
      </c>
    </row>
    <row r="26" spans="1:25" s="7" customFormat="1" x14ac:dyDescent="0.25">
      <c r="A26" s="7" t="s">
        <v>84</v>
      </c>
      <c r="B26" s="7" t="s">
        <v>999</v>
      </c>
      <c r="C26" s="7" t="s">
        <v>486</v>
      </c>
      <c r="D26" s="7" t="s">
        <v>924</v>
      </c>
      <c r="E26" s="116">
        <f>E25/1000000</f>
        <v>3.1734599999999999E-3</v>
      </c>
      <c r="F26" s="116">
        <f t="shared" ref="F26:T26" si="6">F25/1000000</f>
        <v>3.1750200000000002E-3</v>
      </c>
      <c r="G26" s="116">
        <f t="shared" si="6"/>
        <v>3.7117199999999999E-3</v>
      </c>
      <c r="H26" s="116">
        <f t="shared" si="6"/>
        <v>3.6878399999999995E-3</v>
      </c>
      <c r="I26" s="116">
        <f t="shared" si="6"/>
        <v>3.6585599999999999E-3</v>
      </c>
      <c r="J26" s="116">
        <f t="shared" si="6"/>
        <v>3.4597199999999999E-3</v>
      </c>
      <c r="K26" s="116">
        <f t="shared" si="6"/>
        <v>3.2442599999999997E-3</v>
      </c>
      <c r="L26" s="116">
        <f t="shared" si="6"/>
        <v>3.46116E-3</v>
      </c>
      <c r="M26" s="116">
        <f t="shared" si="6"/>
        <v>3.0712199999999999E-3</v>
      </c>
      <c r="N26" s="116">
        <f t="shared" si="6"/>
        <v>3.0727199999999997E-3</v>
      </c>
      <c r="O26" s="116">
        <f t="shared" si="6"/>
        <v>3.0742788E-3</v>
      </c>
      <c r="P26" s="116">
        <f t="shared" si="6"/>
        <v>3.0737999999999998E-3</v>
      </c>
      <c r="Q26" s="116">
        <f t="shared" si="6"/>
        <v>3.0887999999999996E-3</v>
      </c>
      <c r="R26" s="116">
        <f t="shared" si="6"/>
        <v>3.0742788E-3</v>
      </c>
      <c r="S26" s="116">
        <f t="shared" si="6"/>
        <v>3.0115658160535415E-3</v>
      </c>
      <c r="T26" s="116">
        <f t="shared" si="6"/>
        <v>2.9786201255762863E-3</v>
      </c>
      <c r="U26" s="116">
        <f t="shared" ref="U26:V26" si="7">U25/1000000</f>
        <v>2.9460348517684051E-3</v>
      </c>
      <c r="V26" s="116">
        <f t="shared" si="7"/>
        <v>2.9138060517720108E-3</v>
      </c>
      <c r="W26"/>
    </row>
    <row r="27" spans="1:25" s="7" customFormat="1" x14ac:dyDescent="0.25">
      <c r="A27" s="7" t="s">
        <v>84</v>
      </c>
      <c r="B27" s="7" t="s">
        <v>882</v>
      </c>
      <c r="C27" s="7" t="s">
        <v>836</v>
      </c>
      <c r="D27" s="7" t="s">
        <v>955</v>
      </c>
      <c r="E27" s="116">
        <f>+E24+(E26*'Conversion factors'!$B$5)</f>
        <v>138.64106266000002</v>
      </c>
      <c r="F27" s="116">
        <f>+F24+(F26*'Conversion factors'!$B$5)</f>
        <v>138.70921541999999</v>
      </c>
      <c r="G27" s="116">
        <f>+G24+(G26*'Conversion factors'!$B$5)</f>
        <v>162.15638612000001</v>
      </c>
      <c r="H27" s="116">
        <f>+H24+(H26*'Conversion factors'!$B$5)</f>
        <v>161.11312464</v>
      </c>
      <c r="I27" s="116">
        <f>+I24+(I26*'Conversion factors'!$B$5)</f>
        <v>159.83394976</v>
      </c>
      <c r="J27" s="116">
        <f>+J24+(J26*'Conversion factors'!$B$5)</f>
        <v>151.14709412000002</v>
      </c>
      <c r="K27" s="116">
        <f>+K24+(K26*'Conversion factors'!$B$5)</f>
        <v>141.73414946000003</v>
      </c>
      <c r="L27" s="116">
        <f>+L24+(L26*'Conversion factors'!$B$5)</f>
        <v>151.21000436000003</v>
      </c>
      <c r="M27" s="116">
        <f>+M24+(M26*'Conversion factors'!$B$5)</f>
        <v>134.17443562</v>
      </c>
      <c r="N27" s="116">
        <f>+N24+(N26*'Conversion factors'!$B$5)</f>
        <v>134.23996712000002</v>
      </c>
      <c r="O27" s="116">
        <f>+O24+(O26*'Conversion factors'!$B$5)</f>
        <v>134.30806745480001</v>
      </c>
      <c r="P27" s="116">
        <f>+P24+(P26*'Conversion factors'!$B$5)</f>
        <v>134.28714980000001</v>
      </c>
      <c r="Q27" s="116">
        <f>+Q24+(Q26*'Conversion factors'!$B$5)</f>
        <v>134.94246480000001</v>
      </c>
      <c r="R27" s="116">
        <f>+R24+(R26*'Conversion factors'!$B$5)</f>
        <v>134.30806745480001</v>
      </c>
      <c r="S27" s="116">
        <f>+S24+(S26*'Conversion factors'!$B$5)</f>
        <v>131.56828351647511</v>
      </c>
      <c r="T27" s="116">
        <f>+T24+(T26*'Conversion factors'!$B$5)</f>
        <v>130.1289631728016</v>
      </c>
      <c r="U27" s="116">
        <f>+U24+(U26*'Conversion factors'!$B$5)</f>
        <v>128.70538859244084</v>
      </c>
      <c r="V27" s="116">
        <f>+V24+(V26*'Conversion factors'!$B$5)</f>
        <v>127.29738752113171</v>
      </c>
      <c r="W27"/>
    </row>
    <row r="29" spans="1:25" s="5" customFormat="1" ht="21" x14ac:dyDescent="0.35">
      <c r="B29" s="6" t="s">
        <v>885</v>
      </c>
      <c r="E29" s="5" t="s">
        <v>886</v>
      </c>
      <c r="M29" s="5" t="s">
        <v>900</v>
      </c>
    </row>
    <row r="31" spans="1:25" x14ac:dyDescent="0.25">
      <c r="A31" s="27"/>
      <c r="B31" s="26"/>
      <c r="C31" s="26"/>
      <c r="D31" s="26"/>
      <c r="E31" s="26"/>
      <c r="F31" s="26"/>
      <c r="G31" s="26"/>
      <c r="H31" s="26"/>
    </row>
    <row r="52" spans="1:23" ht="21" x14ac:dyDescent="0.35">
      <c r="A52" s="5"/>
      <c r="B52" s="6" t="s">
        <v>346</v>
      </c>
      <c r="C52" s="5"/>
      <c r="D52" s="5"/>
      <c r="E52" s="5" t="s">
        <v>887</v>
      </c>
      <c r="F52" s="5"/>
      <c r="G52" s="5"/>
      <c r="H52" s="5"/>
      <c r="I52" s="5"/>
      <c r="J52" s="5"/>
      <c r="K52" s="5"/>
      <c r="L52" s="5"/>
      <c r="M52" s="5"/>
      <c r="N52" s="5"/>
      <c r="O52" s="5"/>
      <c r="P52" s="5"/>
      <c r="Q52" s="5"/>
      <c r="R52" s="5"/>
      <c r="S52" s="5"/>
      <c r="T52" s="5"/>
      <c r="U52" s="5"/>
      <c r="V52" s="5"/>
      <c r="W52" s="5"/>
    </row>
    <row r="53" spans="1:23" ht="18.75" x14ac:dyDescent="0.3">
      <c r="A53" s="12" t="s">
        <v>844</v>
      </c>
      <c r="E53" t="s">
        <v>888</v>
      </c>
    </row>
    <row r="54" spans="1:23" x14ac:dyDescent="0.25">
      <c r="A54" s="8"/>
      <c r="B54" s="9" t="s">
        <v>865</v>
      </c>
      <c r="C54" s="8"/>
      <c r="D54" s="8"/>
      <c r="E54" s="8"/>
      <c r="F54" s="8"/>
      <c r="G54" s="8"/>
      <c r="H54" s="8"/>
      <c r="I54" s="8"/>
      <c r="J54" s="8"/>
      <c r="K54" s="8"/>
      <c r="L54" s="8"/>
      <c r="M54" s="8"/>
      <c r="N54" s="8"/>
      <c r="O54" s="8"/>
      <c r="P54" s="8"/>
      <c r="Q54" s="8"/>
      <c r="R54" s="8"/>
      <c r="S54" s="8"/>
      <c r="T54" s="8"/>
      <c r="U54" s="8"/>
      <c r="V54" s="8"/>
      <c r="W54" s="8"/>
    </row>
    <row r="56" spans="1:23" x14ac:dyDescent="0.25">
      <c r="A56" s="10" t="s">
        <v>867</v>
      </c>
      <c r="B56" s="10" t="s">
        <v>868</v>
      </c>
      <c r="C56" s="10" t="s">
        <v>482</v>
      </c>
      <c r="D56" s="10" t="s">
        <v>740</v>
      </c>
      <c r="E56" s="10">
        <v>2000</v>
      </c>
      <c r="F56" s="10">
        <v>2001</v>
      </c>
      <c r="G56" s="10">
        <v>2002</v>
      </c>
      <c r="H56" s="10">
        <v>2003</v>
      </c>
      <c r="I56" s="10">
        <v>2004</v>
      </c>
      <c r="J56" s="10">
        <v>2005</v>
      </c>
      <c r="K56" s="10">
        <v>2006</v>
      </c>
      <c r="L56" s="10">
        <v>2007</v>
      </c>
      <c r="M56" s="10">
        <v>2008</v>
      </c>
      <c r="N56" s="10">
        <v>2009</v>
      </c>
      <c r="O56" s="10">
        <v>2010</v>
      </c>
      <c r="P56" s="10">
        <v>2011</v>
      </c>
      <c r="Q56" s="10">
        <v>2012</v>
      </c>
      <c r="R56" s="10">
        <v>2013</v>
      </c>
      <c r="S56" s="10">
        <v>2014</v>
      </c>
      <c r="T56" s="10">
        <v>2015</v>
      </c>
      <c r="U56" s="10"/>
      <c r="V56" s="10"/>
      <c r="W56" s="10" t="s">
        <v>741</v>
      </c>
    </row>
    <row r="57" spans="1:23" x14ac:dyDescent="0.25">
      <c r="A57" s="11" t="s">
        <v>84</v>
      </c>
      <c r="B57" s="11" t="s">
        <v>992</v>
      </c>
      <c r="C57" s="11"/>
      <c r="D57" s="11" t="s">
        <v>892</v>
      </c>
      <c r="E57" s="29">
        <v>52891</v>
      </c>
      <c r="F57" s="29">
        <v>52917</v>
      </c>
      <c r="G57" s="29">
        <v>61862</v>
      </c>
      <c r="H57" s="29">
        <v>61464</v>
      </c>
      <c r="I57" s="29">
        <v>60976</v>
      </c>
      <c r="J57" s="29">
        <v>57662</v>
      </c>
      <c r="K57" s="29">
        <v>54071</v>
      </c>
      <c r="L57" s="29">
        <v>57686</v>
      </c>
      <c r="M57" s="29">
        <v>51187</v>
      </c>
      <c r="N57" s="29">
        <v>51212</v>
      </c>
      <c r="O57" s="29">
        <v>51237.98</v>
      </c>
      <c r="P57" s="29">
        <v>51230</v>
      </c>
      <c r="Q57" s="29">
        <v>51480</v>
      </c>
      <c r="R57" s="29">
        <v>51237.98</v>
      </c>
      <c r="S57" s="29">
        <v>50192.763600892358</v>
      </c>
      <c r="T57" s="29">
        <v>49643.66875960477</v>
      </c>
      <c r="U57" s="29"/>
      <c r="V57" s="29"/>
    </row>
    <row r="58" spans="1:23" x14ac:dyDescent="0.25">
      <c r="E58" s="11"/>
      <c r="F58" s="11"/>
      <c r="G58" s="11"/>
      <c r="H58" s="11"/>
      <c r="I58" s="11"/>
      <c r="J58" s="11"/>
      <c r="K58" s="11"/>
      <c r="L58" s="11"/>
      <c r="M58" s="11"/>
      <c r="N58" s="11"/>
      <c r="O58" s="11"/>
      <c r="P58" s="11"/>
      <c r="Q58" s="11"/>
      <c r="R58" s="11"/>
      <c r="S58" s="11"/>
      <c r="T58" s="11"/>
    </row>
    <row r="59" spans="1:23" x14ac:dyDescent="0.25">
      <c r="A59" s="8"/>
      <c r="B59" s="9" t="s">
        <v>877</v>
      </c>
      <c r="C59" s="8"/>
      <c r="D59" s="8"/>
      <c r="E59" s="197"/>
      <c r="F59" s="197"/>
      <c r="G59" s="197"/>
      <c r="H59" s="197"/>
      <c r="I59" s="197"/>
      <c r="J59" s="197"/>
      <c r="K59" s="197"/>
      <c r="L59" s="197"/>
      <c r="M59" s="197"/>
      <c r="N59" s="197"/>
      <c r="O59" s="197"/>
      <c r="P59" s="197"/>
      <c r="Q59" s="197"/>
      <c r="R59" s="197"/>
      <c r="S59" s="197"/>
      <c r="T59" s="197"/>
      <c r="U59" s="8"/>
      <c r="V59" s="8"/>
      <c r="W59" s="8"/>
    </row>
    <row r="60" spans="1:23" x14ac:dyDescent="0.25">
      <c r="E60" s="11"/>
      <c r="F60" s="11"/>
      <c r="G60" s="11"/>
      <c r="H60" s="11"/>
      <c r="I60" s="11"/>
      <c r="J60" s="11"/>
      <c r="K60" s="11"/>
      <c r="L60" s="11"/>
      <c r="M60" s="11"/>
      <c r="N60" s="11"/>
      <c r="O60" s="11"/>
      <c r="P60" s="11"/>
      <c r="Q60" s="11"/>
      <c r="R60" s="11"/>
      <c r="S60" s="11"/>
      <c r="T60" s="11"/>
    </row>
    <row r="61" spans="1:23" x14ac:dyDescent="0.25">
      <c r="A61" s="11" t="s">
        <v>84</v>
      </c>
      <c r="B61" s="11" t="s">
        <v>993</v>
      </c>
      <c r="C61" s="11" t="s">
        <v>836</v>
      </c>
      <c r="D61" s="11" t="s">
        <v>970</v>
      </c>
      <c r="E61" s="29">
        <v>2.62</v>
      </c>
      <c r="F61" s="29">
        <v>2.62</v>
      </c>
      <c r="G61" s="29">
        <v>2.62</v>
      </c>
      <c r="H61" s="29">
        <v>2.62</v>
      </c>
      <c r="I61" s="29">
        <v>2.62</v>
      </c>
      <c r="J61" s="29">
        <v>2.62</v>
      </c>
      <c r="K61" s="29">
        <v>2.62</v>
      </c>
      <c r="L61" s="29">
        <v>2.62</v>
      </c>
      <c r="M61" s="29">
        <v>2.62</v>
      </c>
      <c r="N61" s="29">
        <v>2.62</v>
      </c>
      <c r="O61" s="29">
        <v>2.62</v>
      </c>
      <c r="P61" s="29">
        <v>2.62</v>
      </c>
      <c r="Q61" s="29">
        <v>2.62</v>
      </c>
      <c r="R61" s="29">
        <v>2.62</v>
      </c>
      <c r="S61" s="29">
        <v>2.62</v>
      </c>
      <c r="T61" s="29">
        <v>2.62</v>
      </c>
      <c r="U61" s="4"/>
      <c r="V61" s="4"/>
    </row>
    <row r="62" spans="1:23" x14ac:dyDescent="0.25">
      <c r="A62" s="11" t="s">
        <v>84</v>
      </c>
      <c r="B62" s="11" t="s">
        <v>994</v>
      </c>
      <c r="C62" s="11" t="s">
        <v>836</v>
      </c>
      <c r="D62" s="11" t="s">
        <v>970</v>
      </c>
      <c r="E62" s="29">
        <v>0.06</v>
      </c>
      <c r="F62" s="29">
        <v>0.06</v>
      </c>
      <c r="G62" s="29">
        <v>0.06</v>
      </c>
      <c r="H62" s="29">
        <v>0.06</v>
      </c>
      <c r="I62" s="29">
        <v>0.06</v>
      </c>
      <c r="J62" s="29">
        <v>0.06</v>
      </c>
      <c r="K62" s="29">
        <v>0.06</v>
      </c>
      <c r="L62" s="29">
        <v>0.06</v>
      </c>
      <c r="M62" s="29">
        <v>0.06</v>
      </c>
      <c r="N62" s="29">
        <v>0.06</v>
      </c>
      <c r="O62" s="29">
        <v>0.06</v>
      </c>
      <c r="P62" s="29">
        <v>0.06</v>
      </c>
      <c r="Q62" s="29">
        <v>0.06</v>
      </c>
      <c r="R62" s="29">
        <v>0.06</v>
      </c>
      <c r="S62" s="29">
        <v>0.06</v>
      </c>
      <c r="T62" s="29">
        <v>0.06</v>
      </c>
      <c r="U62" s="4"/>
      <c r="V62" s="4"/>
    </row>
    <row r="63" spans="1:23" x14ac:dyDescent="0.25">
      <c r="E63" s="11"/>
      <c r="F63" s="11"/>
      <c r="G63" s="11"/>
      <c r="H63" s="11"/>
      <c r="I63" s="11"/>
      <c r="J63" s="11"/>
      <c r="K63" s="11"/>
      <c r="L63" s="11"/>
      <c r="M63" s="11"/>
      <c r="N63" s="11"/>
      <c r="O63" s="11"/>
      <c r="P63" s="11"/>
      <c r="Q63" s="11"/>
      <c r="R63" s="11"/>
      <c r="S63" s="11"/>
      <c r="T63" s="11"/>
    </row>
    <row r="64" spans="1:23" x14ac:dyDescent="0.25">
      <c r="A64" s="8"/>
      <c r="B64" s="9" t="s">
        <v>619</v>
      </c>
      <c r="C64" s="8"/>
      <c r="D64" s="8"/>
      <c r="E64" s="197"/>
      <c r="F64" s="197"/>
      <c r="G64" s="197"/>
      <c r="H64" s="197"/>
      <c r="I64" s="197"/>
      <c r="J64" s="197"/>
      <c r="K64" s="197"/>
      <c r="L64" s="197"/>
      <c r="M64" s="197"/>
      <c r="N64" s="197"/>
      <c r="O64" s="197"/>
      <c r="P64" s="197"/>
      <c r="Q64" s="197"/>
      <c r="R64" s="197"/>
      <c r="S64" s="197"/>
      <c r="T64" s="197"/>
      <c r="U64" s="8"/>
      <c r="V64" s="8"/>
      <c r="W64" s="8"/>
    </row>
    <row r="65" spans="1:23" x14ac:dyDescent="0.25">
      <c r="E65" s="11"/>
      <c r="F65" s="11"/>
      <c r="G65" s="11"/>
      <c r="H65" s="11"/>
      <c r="I65" s="11"/>
      <c r="J65" s="11"/>
      <c r="K65" s="11"/>
      <c r="L65" s="11"/>
      <c r="M65" s="11"/>
      <c r="N65" s="11"/>
      <c r="O65" s="11"/>
      <c r="P65" s="11"/>
      <c r="Q65" s="11"/>
      <c r="R65" s="11"/>
      <c r="S65" s="11"/>
      <c r="T65" s="11"/>
    </row>
    <row r="66" spans="1:23" x14ac:dyDescent="0.25">
      <c r="A66" s="11" t="s">
        <v>84</v>
      </c>
      <c r="B66" s="11" t="s">
        <v>996</v>
      </c>
      <c r="C66" s="11" t="s">
        <v>836</v>
      </c>
      <c r="D66" s="11" t="s">
        <v>976</v>
      </c>
      <c r="E66" s="29">
        <v>138574.42000000001</v>
      </c>
      <c r="F66" s="29">
        <v>138642.54</v>
      </c>
      <c r="G66" s="29">
        <v>162078.44</v>
      </c>
      <c r="H66" s="29">
        <v>161035.68</v>
      </c>
      <c r="I66" s="29">
        <v>159757.12</v>
      </c>
      <c r="J66" s="29">
        <v>151074.44</v>
      </c>
      <c r="K66" s="29">
        <v>141666.02000000002</v>
      </c>
      <c r="L66" s="29">
        <v>151137.32</v>
      </c>
      <c r="M66" s="29">
        <v>134109.94</v>
      </c>
      <c r="N66" s="29">
        <v>134175.44</v>
      </c>
      <c r="O66" s="29">
        <v>134243.50760000001</v>
      </c>
      <c r="P66" s="29">
        <v>134222.6</v>
      </c>
      <c r="Q66" s="29">
        <v>134877.6</v>
      </c>
      <c r="R66" s="29">
        <v>134243.50760000001</v>
      </c>
      <c r="S66" s="29">
        <v>131505.04063433799</v>
      </c>
      <c r="T66" s="29">
        <v>130066.4121501645</v>
      </c>
      <c r="U66" s="4"/>
      <c r="V66" s="4"/>
    </row>
    <row r="67" spans="1:23" x14ac:dyDescent="0.25">
      <c r="A67" s="11" t="s">
        <v>84</v>
      </c>
      <c r="B67" s="11" t="s">
        <v>996</v>
      </c>
      <c r="C67" s="11" t="s">
        <v>836</v>
      </c>
      <c r="D67" s="11" t="s">
        <v>884</v>
      </c>
      <c r="E67" s="29">
        <v>138.57442</v>
      </c>
      <c r="F67" s="29">
        <v>138.64254</v>
      </c>
      <c r="G67" s="29">
        <v>162.07844</v>
      </c>
      <c r="H67" s="29">
        <v>161.03567999999999</v>
      </c>
      <c r="I67" s="29">
        <v>159.75711999999999</v>
      </c>
      <c r="J67" s="29">
        <v>151.07444000000001</v>
      </c>
      <c r="K67" s="29">
        <v>141.66602000000003</v>
      </c>
      <c r="L67" s="29">
        <v>151.13732000000002</v>
      </c>
      <c r="M67" s="29">
        <v>134.10993999999999</v>
      </c>
      <c r="N67" s="29">
        <v>134.17544000000001</v>
      </c>
      <c r="O67" s="29">
        <v>134.24350760000002</v>
      </c>
      <c r="P67" s="29">
        <v>134.2226</v>
      </c>
      <c r="Q67" s="29">
        <v>134.8776</v>
      </c>
      <c r="R67" s="29">
        <v>134.24350760000002</v>
      </c>
      <c r="S67" s="29">
        <v>131.50504063433797</v>
      </c>
      <c r="T67" s="29">
        <v>130.0664121501645</v>
      </c>
      <c r="U67" s="4"/>
      <c r="V67" s="4"/>
    </row>
    <row r="68" spans="1:23" x14ac:dyDescent="0.25">
      <c r="A68" s="11" t="s">
        <v>84</v>
      </c>
      <c r="B68" s="11" t="s">
        <v>998</v>
      </c>
      <c r="C68" s="11" t="s">
        <v>486</v>
      </c>
      <c r="D68" s="11" t="s">
        <v>1000</v>
      </c>
      <c r="E68" s="29">
        <v>3173.46</v>
      </c>
      <c r="F68" s="29">
        <v>3175.02</v>
      </c>
      <c r="G68" s="29">
        <v>3711.72</v>
      </c>
      <c r="H68" s="29">
        <v>3687.8399999999997</v>
      </c>
      <c r="I68" s="29">
        <v>3658.56</v>
      </c>
      <c r="J68" s="29">
        <v>3459.72</v>
      </c>
      <c r="K68" s="29">
        <v>3244.2599999999998</v>
      </c>
      <c r="L68" s="29">
        <v>3461.16</v>
      </c>
      <c r="M68" s="29">
        <v>3071.22</v>
      </c>
      <c r="N68" s="29">
        <v>3072.72</v>
      </c>
      <c r="O68" s="29">
        <v>3074.2788</v>
      </c>
      <c r="P68" s="29">
        <v>3073.7999999999997</v>
      </c>
      <c r="Q68" s="29">
        <v>3088.7999999999997</v>
      </c>
      <c r="R68" s="29">
        <v>3074.2788</v>
      </c>
      <c r="S68" s="29">
        <v>3011.5658160535413</v>
      </c>
      <c r="T68" s="29">
        <v>2978.6201255762862</v>
      </c>
      <c r="U68" s="4"/>
      <c r="V68" s="4"/>
    </row>
    <row r="69" spans="1:23" x14ac:dyDescent="0.25">
      <c r="A69" s="11" t="s">
        <v>84</v>
      </c>
      <c r="B69" s="11" t="s">
        <v>998</v>
      </c>
      <c r="C69" s="11" t="s">
        <v>486</v>
      </c>
      <c r="D69" s="11" t="s">
        <v>924</v>
      </c>
      <c r="E69" s="29">
        <v>3.1734599999999999E-3</v>
      </c>
      <c r="F69" s="29">
        <v>3.1750200000000002E-3</v>
      </c>
      <c r="G69" s="29">
        <v>3.7117199999999999E-3</v>
      </c>
      <c r="H69" s="29">
        <v>3.6878399999999995E-3</v>
      </c>
      <c r="I69" s="29">
        <v>3.6585599999999999E-3</v>
      </c>
      <c r="J69" s="29">
        <v>3.4597199999999999E-3</v>
      </c>
      <c r="K69" s="29">
        <v>3.2442599999999997E-3</v>
      </c>
      <c r="L69" s="29">
        <v>3.46116E-3</v>
      </c>
      <c r="M69" s="29">
        <v>3.0712199999999999E-3</v>
      </c>
      <c r="N69" s="29">
        <v>3.0727199999999997E-3</v>
      </c>
      <c r="O69" s="29">
        <v>3.0742788E-3</v>
      </c>
      <c r="P69" s="29">
        <v>3.0737999999999998E-3</v>
      </c>
      <c r="Q69" s="29">
        <v>3.0887999999999996E-3</v>
      </c>
      <c r="R69" s="29">
        <v>3.0742788E-3</v>
      </c>
      <c r="S69" s="29">
        <v>3.0115658160535415E-3</v>
      </c>
      <c r="T69" s="29">
        <v>2.9786201255762863E-3</v>
      </c>
      <c r="U69" s="4"/>
      <c r="V69" s="4"/>
    </row>
    <row r="70" spans="1:23" x14ac:dyDescent="0.25">
      <c r="A70" s="11" t="s">
        <v>84</v>
      </c>
      <c r="B70" s="11" t="s">
        <v>882</v>
      </c>
      <c r="C70" s="11" t="s">
        <v>836</v>
      </c>
      <c r="D70" s="11" t="s">
        <v>955</v>
      </c>
      <c r="E70" s="29">
        <v>138.64106266000002</v>
      </c>
      <c r="F70" s="29">
        <v>138.70921541999999</v>
      </c>
      <c r="G70" s="29">
        <v>162.15638612000001</v>
      </c>
      <c r="H70" s="29">
        <v>161.11312464</v>
      </c>
      <c r="I70" s="29">
        <v>159.83394976</v>
      </c>
      <c r="J70" s="29">
        <v>151.14709412000002</v>
      </c>
      <c r="K70" s="29">
        <v>141.73414946000003</v>
      </c>
      <c r="L70" s="29">
        <v>151.21000436000003</v>
      </c>
      <c r="M70" s="29">
        <v>134.17443562</v>
      </c>
      <c r="N70" s="29">
        <v>134.23996712000002</v>
      </c>
      <c r="O70" s="29">
        <v>134.30806745480001</v>
      </c>
      <c r="P70" s="29">
        <v>134.28714980000001</v>
      </c>
      <c r="Q70" s="29">
        <v>134.94246480000001</v>
      </c>
      <c r="R70" s="29">
        <v>134.30806745480001</v>
      </c>
      <c r="S70" s="29">
        <v>131.56828351647511</v>
      </c>
      <c r="T70" s="29">
        <v>130.1289631728016</v>
      </c>
      <c r="U70" s="4"/>
      <c r="V70" s="4"/>
    </row>
    <row r="71" spans="1:23" x14ac:dyDescent="0.25">
      <c r="A71" s="7"/>
      <c r="B71" s="7"/>
      <c r="C71" s="7"/>
      <c r="D71" s="7"/>
    </row>
    <row r="72" spans="1:23" ht="18.75" x14ac:dyDescent="0.3">
      <c r="A72" s="13" t="s">
        <v>346</v>
      </c>
    </row>
    <row r="73" spans="1:23" x14ac:dyDescent="0.25">
      <c r="A73" s="8"/>
      <c r="B73" s="9" t="s">
        <v>865</v>
      </c>
      <c r="C73" s="8"/>
      <c r="D73" s="8" t="s">
        <v>852</v>
      </c>
      <c r="E73" s="8"/>
      <c r="F73" s="8"/>
      <c r="G73" s="8"/>
      <c r="H73" s="8"/>
      <c r="I73" s="8"/>
      <c r="J73" s="8"/>
      <c r="K73" s="8"/>
      <c r="L73" s="8"/>
      <c r="M73" s="8"/>
      <c r="N73" s="8"/>
      <c r="O73" s="8"/>
      <c r="P73" s="8"/>
      <c r="Q73" s="8"/>
      <c r="R73" s="8"/>
      <c r="S73" s="8"/>
      <c r="T73" s="8"/>
      <c r="U73" s="8"/>
      <c r="V73" s="8"/>
      <c r="W73" s="22"/>
    </row>
    <row r="75" spans="1:23" x14ac:dyDescent="0.25">
      <c r="A75" s="10" t="s">
        <v>867</v>
      </c>
      <c r="B75" s="10" t="s">
        <v>868</v>
      </c>
      <c r="C75" s="10" t="s">
        <v>482</v>
      </c>
      <c r="D75" s="10" t="s">
        <v>740</v>
      </c>
      <c r="E75" s="10">
        <v>2000</v>
      </c>
      <c r="F75" s="10">
        <v>2001</v>
      </c>
      <c r="G75" s="10">
        <v>2002</v>
      </c>
      <c r="H75" s="10">
        <v>2003</v>
      </c>
      <c r="I75" s="10">
        <v>2004</v>
      </c>
      <c r="J75" s="10">
        <v>2005</v>
      </c>
      <c r="K75" s="10">
        <v>2006</v>
      </c>
      <c r="L75" s="10">
        <v>2007</v>
      </c>
      <c r="M75" s="10">
        <v>2008</v>
      </c>
      <c r="N75" s="10">
        <v>2009</v>
      </c>
      <c r="O75" s="10">
        <v>2010</v>
      </c>
      <c r="P75" s="10">
        <v>2011</v>
      </c>
      <c r="Q75" s="10">
        <v>2012</v>
      </c>
      <c r="R75" s="10">
        <v>2013</v>
      </c>
      <c r="S75" s="10">
        <v>2014</v>
      </c>
      <c r="T75" s="10">
        <v>2015</v>
      </c>
      <c r="U75" s="10"/>
      <c r="V75" s="10"/>
    </row>
    <row r="76" spans="1:23" x14ac:dyDescent="0.25">
      <c r="A76" s="11" t="s">
        <v>84</v>
      </c>
      <c r="B76" s="11" t="s">
        <v>992</v>
      </c>
      <c r="C76" s="11"/>
      <c r="D76" s="11" t="s">
        <v>892</v>
      </c>
      <c r="E76" s="41">
        <f t="shared" ref="E76:S76" si="8">IFERROR(((E14/E57)-1),"CHECK")</f>
        <v>0</v>
      </c>
      <c r="F76" s="41">
        <f t="shared" si="8"/>
        <v>0</v>
      </c>
      <c r="G76" s="41">
        <f t="shared" si="8"/>
        <v>0</v>
      </c>
      <c r="H76" s="41">
        <f t="shared" si="8"/>
        <v>0</v>
      </c>
      <c r="I76" s="41">
        <f t="shared" si="8"/>
        <v>0</v>
      </c>
      <c r="J76" s="41">
        <f t="shared" si="8"/>
        <v>0</v>
      </c>
      <c r="K76" s="41">
        <f t="shared" si="8"/>
        <v>0</v>
      </c>
      <c r="L76" s="41">
        <f t="shared" si="8"/>
        <v>0</v>
      </c>
      <c r="M76" s="41">
        <f t="shared" si="8"/>
        <v>0</v>
      </c>
      <c r="N76" s="41">
        <f t="shared" si="8"/>
        <v>0</v>
      </c>
      <c r="O76" s="41">
        <f t="shared" si="8"/>
        <v>0</v>
      </c>
      <c r="P76" s="41">
        <f t="shared" si="8"/>
        <v>0</v>
      </c>
      <c r="Q76" s="41">
        <f t="shared" si="8"/>
        <v>0</v>
      </c>
      <c r="R76" s="41">
        <f t="shared" si="8"/>
        <v>0</v>
      </c>
      <c r="S76" s="41">
        <f t="shared" si="8"/>
        <v>0</v>
      </c>
      <c r="T76" s="41">
        <f t="shared" ref="T76" si="9">IFERROR(((T14/T57)-1),"CHECK")</f>
        <v>0</v>
      </c>
      <c r="U76" s="41"/>
      <c r="V76" s="41"/>
    </row>
    <row r="78" spans="1:23" x14ac:dyDescent="0.25">
      <c r="A78" s="8"/>
      <c r="B78" s="9" t="s">
        <v>877</v>
      </c>
      <c r="C78" s="8"/>
      <c r="D78" s="8"/>
      <c r="E78" s="8"/>
      <c r="F78" s="8"/>
      <c r="G78" s="8"/>
      <c r="H78" s="8"/>
      <c r="I78" s="8"/>
      <c r="J78" s="8"/>
      <c r="K78" s="8"/>
      <c r="L78" s="8"/>
      <c r="M78" s="8"/>
      <c r="N78" s="8"/>
      <c r="O78" s="8"/>
      <c r="P78" s="8"/>
      <c r="Q78" s="8"/>
      <c r="R78" s="8"/>
      <c r="S78" s="8"/>
      <c r="T78" s="8"/>
      <c r="U78" s="8"/>
      <c r="V78" s="8"/>
    </row>
    <row r="80" spans="1:23" x14ac:dyDescent="0.25">
      <c r="A80" s="11" t="s">
        <v>84</v>
      </c>
      <c r="B80" s="11" t="s">
        <v>993</v>
      </c>
      <c r="C80" s="11" t="s">
        <v>836</v>
      </c>
      <c r="D80" s="11" t="s">
        <v>970</v>
      </c>
      <c r="E80" s="41">
        <f t="shared" ref="E80:S80" si="10">IFERROR(((E18/E61)-1),"CHECK")</f>
        <v>0</v>
      </c>
      <c r="F80" s="41">
        <f t="shared" si="10"/>
        <v>0</v>
      </c>
      <c r="G80" s="41">
        <f t="shared" si="10"/>
        <v>0</v>
      </c>
      <c r="H80" s="41">
        <f t="shared" si="10"/>
        <v>0</v>
      </c>
      <c r="I80" s="41">
        <f t="shared" si="10"/>
        <v>0</v>
      </c>
      <c r="J80" s="41">
        <f t="shared" si="10"/>
        <v>0</v>
      </c>
      <c r="K80" s="41">
        <f t="shared" si="10"/>
        <v>0</v>
      </c>
      <c r="L80" s="41">
        <f t="shared" si="10"/>
        <v>0</v>
      </c>
      <c r="M80" s="41">
        <f t="shared" si="10"/>
        <v>0</v>
      </c>
      <c r="N80" s="41">
        <f t="shared" si="10"/>
        <v>0</v>
      </c>
      <c r="O80" s="41">
        <f t="shared" si="10"/>
        <v>0</v>
      </c>
      <c r="P80" s="41">
        <f t="shared" si="10"/>
        <v>0</v>
      </c>
      <c r="Q80" s="41">
        <f t="shared" si="10"/>
        <v>0</v>
      </c>
      <c r="R80" s="41">
        <f t="shared" si="10"/>
        <v>0</v>
      </c>
      <c r="S80" s="41">
        <f t="shared" si="10"/>
        <v>0</v>
      </c>
      <c r="T80" s="41">
        <f t="shared" ref="T80" si="11">IFERROR(((T18/T61)-1),"CHECK")</f>
        <v>0</v>
      </c>
      <c r="U80" s="41"/>
      <c r="V80" s="41"/>
    </row>
    <row r="81" spans="1:22" x14ac:dyDescent="0.25">
      <c r="A81" s="11" t="s">
        <v>84</v>
      </c>
      <c r="B81" s="11" t="s">
        <v>994</v>
      </c>
      <c r="C81" s="11" t="s">
        <v>836</v>
      </c>
      <c r="D81" s="11" t="s">
        <v>970</v>
      </c>
      <c r="E81" s="41" t="str">
        <f>IFERROR(((#REF!/E62)-1),"CHECK")</f>
        <v>CHECK</v>
      </c>
      <c r="F81" s="41" t="str">
        <f>IFERROR(((#REF!/F62)-1),"CHECK")</f>
        <v>CHECK</v>
      </c>
      <c r="G81" s="41" t="str">
        <f>IFERROR(((#REF!/G62)-1),"CHECK")</f>
        <v>CHECK</v>
      </c>
      <c r="H81" s="41" t="str">
        <f>IFERROR(((#REF!/H62)-1),"CHECK")</f>
        <v>CHECK</v>
      </c>
      <c r="I81" s="41" t="str">
        <f>IFERROR(((#REF!/I62)-1),"CHECK")</f>
        <v>CHECK</v>
      </c>
      <c r="J81" s="41" t="str">
        <f>IFERROR(((#REF!/J62)-1),"CHECK")</f>
        <v>CHECK</v>
      </c>
      <c r="K81" s="41" t="str">
        <f>IFERROR(((#REF!/K62)-1),"CHECK")</f>
        <v>CHECK</v>
      </c>
      <c r="L81" s="41" t="str">
        <f>IFERROR(((#REF!/L62)-1),"CHECK")</f>
        <v>CHECK</v>
      </c>
      <c r="M81" s="41" t="str">
        <f>IFERROR(((#REF!/M62)-1),"CHECK")</f>
        <v>CHECK</v>
      </c>
      <c r="N81" s="41" t="str">
        <f>IFERROR(((#REF!/N62)-1),"CHECK")</f>
        <v>CHECK</v>
      </c>
      <c r="O81" s="41" t="str">
        <f>IFERROR(((#REF!/O62)-1),"CHECK")</f>
        <v>CHECK</v>
      </c>
      <c r="P81" s="41" t="str">
        <f>IFERROR(((#REF!/P62)-1),"CHECK")</f>
        <v>CHECK</v>
      </c>
      <c r="Q81" s="41" t="str">
        <f>IFERROR(((#REF!/Q62)-1),"CHECK")</f>
        <v>CHECK</v>
      </c>
      <c r="R81" s="41" t="str">
        <f>IFERROR(((#REF!/R62)-1),"CHECK")</f>
        <v>CHECK</v>
      </c>
      <c r="S81" s="41" t="str">
        <f>IFERROR(((#REF!/S62)-1),"CHECK")</f>
        <v>CHECK</v>
      </c>
      <c r="T81" s="41" t="str">
        <f>IFERROR(((#REF!/T62)-1),"CHECK")</f>
        <v>CHECK</v>
      </c>
      <c r="U81" s="41"/>
      <c r="V81" s="41"/>
    </row>
    <row r="83" spans="1:22" x14ac:dyDescent="0.25">
      <c r="A83" s="8"/>
      <c r="B83" s="9" t="s">
        <v>619</v>
      </c>
      <c r="C83" s="8"/>
      <c r="D83" s="8"/>
      <c r="E83" s="8"/>
      <c r="F83" s="8"/>
      <c r="G83" s="8"/>
      <c r="H83" s="8"/>
      <c r="I83" s="8"/>
      <c r="J83" s="8"/>
      <c r="K83" s="8"/>
      <c r="L83" s="8"/>
      <c r="M83" s="8"/>
      <c r="N83" s="8"/>
      <c r="O83" s="8"/>
      <c r="P83" s="8"/>
      <c r="Q83" s="8"/>
      <c r="R83" s="8"/>
      <c r="S83" s="8"/>
      <c r="T83" s="8"/>
      <c r="U83" s="8"/>
      <c r="V83" s="8"/>
    </row>
    <row r="85" spans="1:22" x14ac:dyDescent="0.25">
      <c r="A85" s="11" t="s">
        <v>84</v>
      </c>
      <c r="B85" s="11" t="s">
        <v>996</v>
      </c>
      <c r="C85" s="11" t="s">
        <v>836</v>
      </c>
      <c r="D85" s="11" t="s">
        <v>976</v>
      </c>
      <c r="E85" s="41">
        <f t="shared" ref="E85:S85" si="12">IFERROR(((E23/E66)-1),"CHECK")</f>
        <v>0</v>
      </c>
      <c r="F85" s="41">
        <f t="shared" si="12"/>
        <v>0</v>
      </c>
      <c r="G85" s="41">
        <f t="shared" si="12"/>
        <v>0</v>
      </c>
      <c r="H85" s="41">
        <f t="shared" si="12"/>
        <v>0</v>
      </c>
      <c r="I85" s="41">
        <f t="shared" si="12"/>
        <v>0</v>
      </c>
      <c r="J85" s="41">
        <f t="shared" si="12"/>
        <v>0</v>
      </c>
      <c r="K85" s="41">
        <f t="shared" si="12"/>
        <v>0</v>
      </c>
      <c r="L85" s="41">
        <f t="shared" si="12"/>
        <v>0</v>
      </c>
      <c r="M85" s="41">
        <f t="shared" si="12"/>
        <v>0</v>
      </c>
      <c r="N85" s="41">
        <f t="shared" si="12"/>
        <v>0</v>
      </c>
      <c r="O85" s="41">
        <f t="shared" si="12"/>
        <v>0</v>
      </c>
      <c r="P85" s="41">
        <f t="shared" si="12"/>
        <v>0</v>
      </c>
      <c r="Q85" s="41">
        <f t="shared" si="12"/>
        <v>0</v>
      </c>
      <c r="R85" s="41">
        <f t="shared" si="12"/>
        <v>0</v>
      </c>
      <c r="S85" s="41">
        <f t="shared" si="12"/>
        <v>0</v>
      </c>
      <c r="T85" s="41">
        <f t="shared" ref="T85" si="13">IFERROR(((T23/T66)-1),"CHECK")</f>
        <v>0</v>
      </c>
      <c r="U85" s="41"/>
      <c r="V85" s="41"/>
    </row>
    <row r="86" spans="1:22" x14ac:dyDescent="0.25">
      <c r="A86" s="11" t="s">
        <v>84</v>
      </c>
      <c r="B86" s="11" t="s">
        <v>996</v>
      </c>
      <c r="C86" s="11" t="s">
        <v>836</v>
      </c>
      <c r="D86" s="11" t="s">
        <v>884</v>
      </c>
      <c r="E86" s="41">
        <f t="shared" ref="E86:S86" si="14">IFERROR(((E24/E67)-1),"CHECK")</f>
        <v>0</v>
      </c>
      <c r="F86" s="41">
        <f t="shared" si="14"/>
        <v>0</v>
      </c>
      <c r="G86" s="41">
        <f t="shared" si="14"/>
        <v>0</v>
      </c>
      <c r="H86" s="41">
        <f t="shared" si="14"/>
        <v>0</v>
      </c>
      <c r="I86" s="41">
        <f t="shared" si="14"/>
        <v>0</v>
      </c>
      <c r="J86" s="41">
        <f t="shared" si="14"/>
        <v>0</v>
      </c>
      <c r="K86" s="41">
        <f t="shared" si="14"/>
        <v>0</v>
      </c>
      <c r="L86" s="41">
        <f t="shared" si="14"/>
        <v>0</v>
      </c>
      <c r="M86" s="41">
        <f t="shared" si="14"/>
        <v>0</v>
      </c>
      <c r="N86" s="41">
        <f t="shared" si="14"/>
        <v>0</v>
      </c>
      <c r="O86" s="41">
        <f t="shared" si="14"/>
        <v>0</v>
      </c>
      <c r="P86" s="41">
        <f t="shared" si="14"/>
        <v>0</v>
      </c>
      <c r="Q86" s="41">
        <f t="shared" si="14"/>
        <v>0</v>
      </c>
      <c r="R86" s="41">
        <f t="shared" si="14"/>
        <v>0</v>
      </c>
      <c r="S86" s="41">
        <f t="shared" si="14"/>
        <v>0</v>
      </c>
      <c r="T86" s="41">
        <f t="shared" ref="T86" si="15">IFERROR(((T24/T67)-1),"CHECK")</f>
        <v>0</v>
      </c>
      <c r="U86" s="41"/>
      <c r="V86" s="41"/>
    </row>
    <row r="87" spans="1:22" x14ac:dyDescent="0.25">
      <c r="A87" s="11" t="s">
        <v>84</v>
      </c>
      <c r="B87" s="11" t="s">
        <v>998</v>
      </c>
      <c r="C87" s="11" t="s">
        <v>486</v>
      </c>
      <c r="D87" s="11" t="s">
        <v>1000</v>
      </c>
      <c r="E87" s="41">
        <f t="shared" ref="E87:S87" si="16">IFERROR(((E25/E68)-1),"CHECK")</f>
        <v>0</v>
      </c>
      <c r="F87" s="41">
        <f t="shared" si="16"/>
        <v>0</v>
      </c>
      <c r="G87" s="41">
        <f t="shared" si="16"/>
        <v>0</v>
      </c>
      <c r="H87" s="41">
        <f t="shared" si="16"/>
        <v>0</v>
      </c>
      <c r="I87" s="41">
        <f t="shared" si="16"/>
        <v>0</v>
      </c>
      <c r="J87" s="41">
        <f t="shared" si="16"/>
        <v>0</v>
      </c>
      <c r="K87" s="41">
        <f t="shared" si="16"/>
        <v>0</v>
      </c>
      <c r="L87" s="41">
        <f t="shared" si="16"/>
        <v>0</v>
      </c>
      <c r="M87" s="41">
        <f t="shared" si="16"/>
        <v>0</v>
      </c>
      <c r="N87" s="41">
        <f t="shared" si="16"/>
        <v>0</v>
      </c>
      <c r="O87" s="41">
        <f t="shared" si="16"/>
        <v>0</v>
      </c>
      <c r="P87" s="41">
        <f t="shared" si="16"/>
        <v>0</v>
      </c>
      <c r="Q87" s="41">
        <f t="shared" si="16"/>
        <v>0</v>
      </c>
      <c r="R87" s="41">
        <f t="shared" si="16"/>
        <v>0</v>
      </c>
      <c r="S87" s="41">
        <f t="shared" si="16"/>
        <v>0</v>
      </c>
      <c r="T87" s="41">
        <f t="shared" ref="T87" si="17">IFERROR(((T25/T68)-1),"CHECK")</f>
        <v>0</v>
      </c>
      <c r="U87" s="41"/>
      <c r="V87" s="41"/>
    </row>
    <row r="88" spans="1:22" x14ac:dyDescent="0.25">
      <c r="A88" s="11" t="s">
        <v>84</v>
      </c>
      <c r="B88" s="11" t="s">
        <v>998</v>
      </c>
      <c r="C88" s="11" t="s">
        <v>486</v>
      </c>
      <c r="D88" s="11" t="s">
        <v>924</v>
      </c>
      <c r="E88" s="41">
        <f t="shared" ref="E88:S88" si="18">IFERROR(((E26/E69)-1),"CHECK")</f>
        <v>0</v>
      </c>
      <c r="F88" s="41">
        <f t="shared" si="18"/>
        <v>0</v>
      </c>
      <c r="G88" s="41">
        <f t="shared" si="18"/>
        <v>0</v>
      </c>
      <c r="H88" s="41">
        <f t="shared" si="18"/>
        <v>0</v>
      </c>
      <c r="I88" s="41">
        <f t="shared" si="18"/>
        <v>0</v>
      </c>
      <c r="J88" s="41">
        <f t="shared" si="18"/>
        <v>0</v>
      </c>
      <c r="K88" s="41">
        <f t="shared" si="18"/>
        <v>0</v>
      </c>
      <c r="L88" s="41">
        <f t="shared" si="18"/>
        <v>0</v>
      </c>
      <c r="M88" s="41">
        <f t="shared" si="18"/>
        <v>0</v>
      </c>
      <c r="N88" s="41">
        <f t="shared" si="18"/>
        <v>0</v>
      </c>
      <c r="O88" s="41">
        <f t="shared" si="18"/>
        <v>0</v>
      </c>
      <c r="P88" s="41">
        <f t="shared" si="18"/>
        <v>0</v>
      </c>
      <c r="Q88" s="41">
        <f t="shared" si="18"/>
        <v>0</v>
      </c>
      <c r="R88" s="41">
        <f t="shared" si="18"/>
        <v>0</v>
      </c>
      <c r="S88" s="41">
        <f t="shared" si="18"/>
        <v>0</v>
      </c>
      <c r="T88" s="41">
        <f t="shared" ref="T88" si="19">IFERROR(((T26/T69)-1),"CHECK")</f>
        <v>0</v>
      </c>
      <c r="U88" s="41"/>
      <c r="V88" s="41"/>
    </row>
    <row r="89" spans="1:22" x14ac:dyDescent="0.25">
      <c r="A89" s="11" t="s">
        <v>84</v>
      </c>
      <c r="B89" s="11" t="s">
        <v>882</v>
      </c>
      <c r="C89" s="11" t="s">
        <v>836</v>
      </c>
      <c r="D89" s="11" t="s">
        <v>955</v>
      </c>
      <c r="E89" s="41">
        <f t="shared" ref="E89:S89" si="20">IFERROR(((E27/E70)-1),"CHECK")</f>
        <v>0</v>
      </c>
      <c r="F89" s="41">
        <f t="shared" si="20"/>
        <v>0</v>
      </c>
      <c r="G89" s="41">
        <f t="shared" si="20"/>
        <v>0</v>
      </c>
      <c r="H89" s="41">
        <f t="shared" si="20"/>
        <v>0</v>
      </c>
      <c r="I89" s="41">
        <f t="shared" si="20"/>
        <v>0</v>
      </c>
      <c r="J89" s="41">
        <f t="shared" si="20"/>
        <v>0</v>
      </c>
      <c r="K89" s="41">
        <f t="shared" si="20"/>
        <v>0</v>
      </c>
      <c r="L89" s="41">
        <f t="shared" si="20"/>
        <v>0</v>
      </c>
      <c r="M89" s="41">
        <f t="shared" si="20"/>
        <v>0</v>
      </c>
      <c r="N89" s="41">
        <f t="shared" si="20"/>
        <v>0</v>
      </c>
      <c r="O89" s="41">
        <f t="shared" si="20"/>
        <v>0</v>
      </c>
      <c r="P89" s="41">
        <f t="shared" si="20"/>
        <v>0</v>
      </c>
      <c r="Q89" s="41">
        <f t="shared" si="20"/>
        <v>0</v>
      </c>
      <c r="R89" s="41">
        <f t="shared" si="20"/>
        <v>0</v>
      </c>
      <c r="S89" s="41">
        <f t="shared" si="20"/>
        <v>0</v>
      </c>
      <c r="T89" s="41">
        <f t="shared" ref="T89" si="21">IFERROR(((T27/T70)-1),"CHECK")</f>
        <v>0</v>
      </c>
      <c r="U89" s="41"/>
      <c r="V89" s="41"/>
    </row>
    <row r="90" spans="1:22" x14ac:dyDescent="0.25">
      <c r="B90" s="14"/>
    </row>
  </sheetData>
  <mergeCells count="2">
    <mergeCell ref="C1:J1"/>
    <mergeCell ref="C2:J2"/>
  </mergeCells>
  <conditionalFormatting sqref="K2">
    <cfRule type="expression" dxfId="23" priority="1">
      <formula>(UPPER(LEFT(SUBSTITUTE($Z2,"#",""),5))="FIXCH")</formula>
    </cfRule>
    <cfRule type="expression" dxfId="22" priority="2">
      <formula>(UPPER(SUBSTITUTE($Z2,"#",""))="OK")</formula>
    </cfRule>
  </conditionalFormatting>
  <conditionalFormatting sqref="E80:V81 E76:V76 E85:V89">
    <cfRule type="colorScale" priority="8">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9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900-000040000000}">
          <x14:colorSeries rgb="FF376092"/>
          <x14:colorNegative rgb="FFD00000"/>
          <x14:colorAxis rgb="FF000000"/>
          <x14:colorMarkers rgb="FFD00000"/>
          <x14:colorFirst rgb="FFD00000"/>
          <x14:colorLast rgb="FFD00000"/>
          <x14:colorHigh rgb="FFD00000"/>
          <x14:colorLow rgb="FFD00000"/>
          <x14:sparklines>
            <x14:sparkline>
              <xm:f>'2B8 Carbon Black Production'!E61:T61</xm:f>
              <xm:sqref>W61</xm:sqref>
            </x14:sparkline>
            <x14:sparkline>
              <xm:f>'2B8 Carbon Black Production'!E62:T62</xm:f>
              <xm:sqref>W62</xm:sqref>
            </x14:sparkline>
          </x14:sparklines>
        </x14:sparklineGroup>
        <x14:sparklineGroup manualMax="0" manualMin="0" displayEmptyCellsAs="gap" xr2:uid="{00000000-0003-0000-1900-00003F000000}">
          <x14:colorSeries rgb="FF376092"/>
          <x14:colorNegative rgb="FFD00000"/>
          <x14:colorAxis rgb="FF000000"/>
          <x14:colorMarkers rgb="FFD00000"/>
          <x14:colorFirst rgb="FFD00000"/>
          <x14:colorLast rgb="FFD00000"/>
          <x14:colorHigh rgb="FFD00000"/>
          <x14:colorLow rgb="FFD00000"/>
          <x14:sparklines>
            <x14:sparkline>
              <xm:f>'2B8 Carbon Black Production'!E57:T57</xm:f>
              <xm:sqref>W57</xm:sqref>
            </x14:sparkline>
          </x14:sparklines>
        </x14:sparklineGroup>
        <x14:sparklineGroup manualMax="0" manualMin="0" displayEmptyCellsAs="gap" xr2:uid="{00000000-0003-0000-1900-00003E000000}">
          <x14:colorSeries rgb="FF376092"/>
          <x14:colorNegative rgb="FFD00000"/>
          <x14:colorAxis rgb="FF000000"/>
          <x14:colorMarkers rgb="FFD00000"/>
          <x14:colorFirst rgb="FFD00000"/>
          <x14:colorLast rgb="FFD00000"/>
          <x14:colorHigh rgb="FFD00000"/>
          <x14:colorLow rgb="FFD00000"/>
          <x14:sparklines>
            <x14:sparkline>
              <xm:f>'2B8 Carbon Black Production'!E66:T66</xm:f>
              <xm:sqref>W66</xm:sqref>
            </x14:sparkline>
            <x14:sparkline>
              <xm:f>'2B8 Carbon Black Production'!E67:T67</xm:f>
              <xm:sqref>W67</xm:sqref>
            </x14:sparkline>
            <x14:sparkline>
              <xm:f>'2B8 Carbon Black Production'!E68:T68</xm:f>
              <xm:sqref>W68</xm:sqref>
            </x14:sparkline>
            <x14:sparkline>
              <xm:f>'2B8 Carbon Black Production'!E69:T69</xm:f>
              <xm:sqref>W69</xm:sqref>
            </x14:sparkline>
            <x14:sparkline>
              <xm:f>'2B8 Carbon Black Production'!E70:T70</xm:f>
              <xm:sqref>W70</xm:sqref>
            </x14:sparkline>
          </x14:sparklines>
        </x14:sparklineGroup>
        <x14:sparklineGroup manualMax="0" manualMin="0" displayEmptyCellsAs="gap" xr2:uid="{00000000-0003-0000-1900-00003D000000}">
          <x14:colorSeries rgb="FF376092"/>
          <x14:colorNegative rgb="FFD00000"/>
          <x14:colorAxis rgb="FF000000"/>
          <x14:colorMarkers rgb="FFD00000"/>
          <x14:colorFirst rgb="FFD00000"/>
          <x14:colorLast rgb="FFD00000"/>
          <x14:colorHigh rgb="FFD00000"/>
          <x14:colorLow rgb="FFD00000"/>
          <x14:sparklines>
            <x14:sparkline>
              <xm:f>'2B8 Carbon Black Production'!E23:V23</xm:f>
              <xm:sqref>W23</xm:sqref>
            </x14:sparkline>
            <x14:sparkline>
              <xm:f>'2B8 Carbon Black Production'!E24:V24</xm:f>
              <xm:sqref>W24</xm:sqref>
            </x14:sparkline>
            <x14:sparkline>
              <xm:f>'2B8 Carbon Black Production'!E25:V25</xm:f>
              <xm:sqref>W25</xm:sqref>
            </x14:sparkline>
            <x14:sparkline>
              <xm:f>'2B8 Carbon Black Production'!E26:V26</xm:f>
              <xm:sqref>W26</xm:sqref>
            </x14:sparkline>
            <x14:sparkline>
              <xm:f>'2B8 Carbon Black Production'!E27:V27</xm:f>
              <xm:sqref>W27</xm:sqref>
            </x14:sparkline>
          </x14:sparklines>
        </x14:sparklineGroup>
        <x14:sparklineGroup manualMax="0" manualMin="0" displayEmptyCellsAs="gap" xr2:uid="{00000000-0003-0000-1900-00003C000000}">
          <x14:colorSeries rgb="FF376092"/>
          <x14:colorNegative rgb="FFD00000"/>
          <x14:colorAxis rgb="FF000000"/>
          <x14:colorMarkers rgb="FFD00000"/>
          <x14:colorFirst rgb="FFD00000"/>
          <x14:colorLast rgb="FFD00000"/>
          <x14:colorHigh rgb="FFD00000"/>
          <x14:colorLow rgb="FFD00000"/>
          <x14:sparklines>
            <x14:sparkline>
              <xm:f>'2B8 Carbon Black Production'!E14:V14</xm:f>
              <xm:sqref>W14</xm:sqref>
            </x14:sparkline>
          </x14:sparklines>
        </x14:sparklineGroup>
        <x14:sparklineGroup manualMax="0" manualMin="0" displayEmptyCellsAs="gap" xr2:uid="{00000000-0003-0000-1900-00003B000000}">
          <x14:colorSeries rgb="FF376092"/>
          <x14:colorNegative rgb="FFD00000"/>
          <x14:colorAxis rgb="FF000000"/>
          <x14:colorMarkers rgb="FFD00000"/>
          <x14:colorFirst rgb="FFD00000"/>
          <x14:colorLast rgb="FFD00000"/>
          <x14:colorHigh rgb="FFD00000"/>
          <x14:colorLow rgb="FFD00000"/>
          <x14:sparklines>
            <x14:sparkline>
              <xm:f>'2B8 Carbon Black Production'!E18:V18</xm:f>
              <xm:sqref>W18</xm:sqref>
            </x14:sparkline>
            <x14:sparkline>
              <xm:f>'2B8 Carbon Black Production'!E19:V19</xm:f>
              <xm:sqref>W19</xm:sqref>
            </x14:sparkline>
          </x14:sparklines>
        </x14:sparklineGroup>
      </x14:sparklineGroup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tabColor rgb="FF00B0F0"/>
  </sheetPr>
  <dimension ref="A1:AC207"/>
  <sheetViews>
    <sheetView workbookViewId="0">
      <pane xSplit="5" ySplit="4" topLeftCell="F5" activePane="bottomRight" state="frozen"/>
      <selection pane="topRight" activeCell="F1" sqref="F1"/>
      <selection pane="bottomLeft" activeCell="A5" sqref="A5"/>
      <selection pane="bottomRight" activeCell="F34" sqref="F34"/>
    </sheetView>
  </sheetViews>
  <sheetFormatPr defaultRowHeight="15" x14ac:dyDescent="0.25"/>
  <cols>
    <col min="1" max="1" width="34.140625" bestFit="1" customWidth="1"/>
    <col min="2" max="2" width="13.28515625" customWidth="1"/>
    <col min="3" max="3" width="31.28515625" bestFit="1" customWidth="1"/>
    <col min="5" max="5" width="10.28515625" customWidth="1"/>
  </cols>
  <sheetData>
    <row r="1" spans="1:29" s="6" customFormat="1" ht="21" x14ac:dyDescent="0.35">
      <c r="A1" s="6" t="s">
        <v>734</v>
      </c>
      <c r="C1" s="28" t="s">
        <v>735</v>
      </c>
    </row>
    <row r="2" spans="1:29" x14ac:dyDescent="0.25">
      <c r="W2">
        <f>+W18/W8</f>
        <v>0.35024461155317654</v>
      </c>
    </row>
    <row r="3" spans="1:29"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9" s="132" customFormat="1" x14ac:dyDescent="0.25">
      <c r="C4" s="132" t="s">
        <v>882</v>
      </c>
    </row>
    <row r="5" spans="1:29" s="103" customFormat="1" x14ac:dyDescent="0.25">
      <c r="A5" s="7" t="s">
        <v>742</v>
      </c>
      <c r="B5" s="103" t="s">
        <v>777</v>
      </c>
      <c r="C5" s="103" t="s">
        <v>1001</v>
      </c>
      <c r="D5" s="7" t="s">
        <v>744</v>
      </c>
      <c r="E5" s="7" t="s">
        <v>745</v>
      </c>
      <c r="F5" s="116">
        <f>+F15+F34+F62</f>
        <v>26714.929834999999</v>
      </c>
      <c r="G5" s="116">
        <f t="shared" ref="G5:U5" si="0">+G15+G34+G62</f>
        <v>26812.662649999998</v>
      </c>
      <c r="H5" s="116">
        <f t="shared" si="0"/>
        <v>28322.02362</v>
      </c>
      <c r="I5" s="116">
        <f t="shared" si="0"/>
        <v>28093.210279999999</v>
      </c>
      <c r="J5" s="116">
        <f t="shared" si="0"/>
        <v>28071.739315000003</v>
      </c>
      <c r="K5" s="116">
        <f t="shared" si="0"/>
        <v>29098.857960000005</v>
      </c>
      <c r="L5" s="116">
        <f t="shared" si="0"/>
        <v>29740.113375000004</v>
      </c>
      <c r="M5" s="116">
        <f t="shared" si="0"/>
        <v>28892.095469999997</v>
      </c>
      <c r="N5" s="116">
        <f t="shared" si="0"/>
        <v>27253.937945000001</v>
      </c>
      <c r="O5" s="116">
        <f t="shared" si="0"/>
        <v>25467.171760000001</v>
      </c>
      <c r="P5" s="116">
        <f t="shared" si="0"/>
        <v>27203.991429999998</v>
      </c>
      <c r="Q5" s="116">
        <f t="shared" si="0"/>
        <v>30966.17239</v>
      </c>
      <c r="R5" s="116">
        <f t="shared" si="0"/>
        <v>29784.9306</v>
      </c>
      <c r="S5" s="116">
        <f t="shared" si="0"/>
        <v>31384.054412178357</v>
      </c>
      <c r="T5" s="116">
        <f t="shared" si="0"/>
        <v>31842.291876701373</v>
      </c>
      <c r="U5" s="116">
        <f t="shared" si="0"/>
        <v>30946.361913868881</v>
      </c>
      <c r="V5" s="116">
        <f t="shared" ref="V5:W5" si="1">+V15+V34+V62</f>
        <v>31109.792156592415</v>
      </c>
      <c r="W5" s="116">
        <f t="shared" si="1"/>
        <v>31493.577923610632</v>
      </c>
      <c r="X5"/>
      <c r="Z5" s="103">
        <f>+W5-F5</f>
        <v>4778.6480886106328</v>
      </c>
      <c r="AA5" s="103">
        <f>+Z5/F5</f>
        <v>0.17887556202187693</v>
      </c>
      <c r="AB5" s="103">
        <f>+W5-U5</f>
        <v>547.2160097417509</v>
      </c>
      <c r="AC5" s="103">
        <f>+AB5/U5</f>
        <v>1.7682725073298884E-2</v>
      </c>
    </row>
    <row r="6" spans="1:29" x14ac:dyDescent="0.25">
      <c r="A6" t="s">
        <v>742</v>
      </c>
      <c r="B6" t="s">
        <v>778</v>
      </c>
      <c r="C6" t="s">
        <v>779</v>
      </c>
      <c r="D6" t="s">
        <v>744</v>
      </c>
      <c r="E6" t="s">
        <v>745</v>
      </c>
      <c r="F6" s="117">
        <f>+F16+F35+F63</f>
        <v>16410.526914999999</v>
      </c>
      <c r="G6" s="117">
        <f t="shared" ref="G6:U6" si="2">+G16+G35+G63</f>
        <v>16410.537369999998</v>
      </c>
      <c r="H6" s="117">
        <f t="shared" si="2"/>
        <v>17176.103220000001</v>
      </c>
      <c r="I6" s="117">
        <f t="shared" si="2"/>
        <v>16786.444480000002</v>
      </c>
      <c r="J6" s="117">
        <f t="shared" si="2"/>
        <v>16425.253915000001</v>
      </c>
      <c r="K6" s="117">
        <f t="shared" si="2"/>
        <v>17359.699860000001</v>
      </c>
      <c r="L6" s="117">
        <f t="shared" si="2"/>
        <v>17218.494115000001</v>
      </c>
      <c r="M6" s="117">
        <f t="shared" si="2"/>
        <v>15147.096109999999</v>
      </c>
      <c r="N6" s="117">
        <f t="shared" si="2"/>
        <v>14152.034485</v>
      </c>
      <c r="O6" s="117">
        <f t="shared" si="2"/>
        <v>12794.452040000002</v>
      </c>
      <c r="P6" s="117">
        <f t="shared" si="2"/>
        <v>13861.709649999999</v>
      </c>
      <c r="Q6" s="117">
        <f t="shared" si="2"/>
        <v>14922.64853</v>
      </c>
      <c r="R6" s="117">
        <f t="shared" si="2"/>
        <v>15020.696860000002</v>
      </c>
      <c r="S6" s="117">
        <f t="shared" si="2"/>
        <v>15582.114970055352</v>
      </c>
      <c r="T6" s="117">
        <f t="shared" si="2"/>
        <v>14363.524995027368</v>
      </c>
      <c r="U6" s="117">
        <f t="shared" si="2"/>
        <v>14093.548470927624</v>
      </c>
      <c r="V6" s="117">
        <f t="shared" ref="V6:W6" si="3">+V16+V35+V63</f>
        <v>14829.058053603329</v>
      </c>
      <c r="W6" s="117">
        <f t="shared" si="3"/>
        <v>15074.336748610733</v>
      </c>
      <c r="Y6" s="103"/>
      <c r="Z6" s="103">
        <f t="shared" ref="Z6:Z12" si="4">+W6-F6</f>
        <v>-1336.1901663892659</v>
      </c>
      <c r="AA6" s="103">
        <f t="shared" ref="AA6:AA12" si="5">+Z6/F6</f>
        <v>-8.1422746101340884E-2</v>
      </c>
      <c r="AB6" s="103">
        <f t="shared" ref="AB6:AB12" si="6">+W6-U6</f>
        <v>980.78827768310839</v>
      </c>
      <c r="AC6" s="103">
        <f t="shared" ref="AC6:AC12" si="7">+AB6/U6</f>
        <v>6.9591294180191221E-2</v>
      </c>
    </row>
    <row r="7" spans="1:29" x14ac:dyDescent="0.25">
      <c r="A7" t="s">
        <v>742</v>
      </c>
      <c r="B7" t="s">
        <v>780</v>
      </c>
      <c r="C7" t="s">
        <v>781</v>
      </c>
      <c r="D7" t="s">
        <v>744</v>
      </c>
      <c r="E7" t="s">
        <v>745</v>
      </c>
      <c r="F7" s="117">
        <f>+F17+F36+F64</f>
        <v>8082.4457200000015</v>
      </c>
      <c r="G7" s="117">
        <f t="shared" ref="G7:U7" si="8">+G17+G36+G64</f>
        <v>8199.1991799999996</v>
      </c>
      <c r="H7" s="117">
        <f t="shared" si="8"/>
        <v>8974.3143</v>
      </c>
      <c r="I7" s="117">
        <f t="shared" si="8"/>
        <v>9160.4660999999996</v>
      </c>
      <c r="J7" s="117">
        <f t="shared" si="8"/>
        <v>9286.9134000000013</v>
      </c>
      <c r="K7" s="117">
        <f t="shared" si="8"/>
        <v>9388.0440000000017</v>
      </c>
      <c r="L7" s="117">
        <f t="shared" si="8"/>
        <v>10068.29506</v>
      </c>
      <c r="M7" s="117">
        <f t="shared" si="8"/>
        <v>11250.145560000001</v>
      </c>
      <c r="N7" s="117">
        <f t="shared" si="8"/>
        <v>11179.47366</v>
      </c>
      <c r="O7" s="117">
        <f t="shared" si="8"/>
        <v>11192.699320000002</v>
      </c>
      <c r="P7" s="117">
        <f t="shared" si="8"/>
        <v>11822.08778</v>
      </c>
      <c r="Q7" s="117">
        <f t="shared" si="8"/>
        <v>12241.180260000001</v>
      </c>
      <c r="R7" s="117">
        <f t="shared" si="8"/>
        <v>11627.24546</v>
      </c>
      <c r="S7" s="117">
        <f t="shared" si="8"/>
        <v>11964.273079999999</v>
      </c>
      <c r="T7" s="117">
        <f t="shared" si="8"/>
        <v>13897.388419999999</v>
      </c>
      <c r="U7" s="117">
        <f t="shared" si="8"/>
        <v>13420.227720000001</v>
      </c>
      <c r="V7" s="117">
        <f t="shared" ref="V7:W7" si="9">+V17+V36+V64</f>
        <v>12462.615648911587</v>
      </c>
      <c r="W7" s="117">
        <f t="shared" si="9"/>
        <v>12575.364804099698</v>
      </c>
      <c r="Y7" s="103"/>
      <c r="Z7" s="103">
        <f t="shared" si="4"/>
        <v>4492.9190840996962</v>
      </c>
      <c r="AA7" s="103">
        <f t="shared" si="5"/>
        <v>0.55588608197911848</v>
      </c>
      <c r="AB7" s="103">
        <f t="shared" si="6"/>
        <v>-844.86291590030305</v>
      </c>
      <c r="AC7" s="103">
        <f t="shared" si="7"/>
        <v>-6.295443963601409E-2</v>
      </c>
    </row>
    <row r="8" spans="1:29" x14ac:dyDescent="0.25">
      <c r="A8" t="s">
        <v>742</v>
      </c>
      <c r="B8" t="s">
        <v>782</v>
      </c>
      <c r="C8" t="s">
        <v>783</v>
      </c>
      <c r="D8" t="s">
        <v>744</v>
      </c>
      <c r="E8" t="s">
        <v>745</v>
      </c>
      <c r="F8" s="117">
        <f>+F18+F37+F65</f>
        <v>2074.4412000000002</v>
      </c>
      <c r="G8" s="117">
        <f t="shared" ref="G8:U8" si="10">+G18+G37+G65</f>
        <v>2071.0700999999999</v>
      </c>
      <c r="H8" s="117">
        <f t="shared" si="10"/>
        <v>2035.8380999999999</v>
      </c>
      <c r="I8" s="117">
        <f t="shared" si="10"/>
        <v>2055.0317</v>
      </c>
      <c r="J8" s="117">
        <f t="shared" si="10"/>
        <v>2285.0319999999997</v>
      </c>
      <c r="K8" s="117">
        <f t="shared" si="10"/>
        <v>2274.1301000000003</v>
      </c>
      <c r="L8" s="117">
        <f t="shared" si="10"/>
        <v>2369.7282000000005</v>
      </c>
      <c r="M8" s="117">
        <f t="shared" si="10"/>
        <v>2419.7458000000001</v>
      </c>
      <c r="N8" s="117">
        <f t="shared" si="10"/>
        <v>1848.4218000000001</v>
      </c>
      <c r="O8" s="117">
        <f t="shared" si="10"/>
        <v>1406.3284000000001</v>
      </c>
      <c r="P8" s="117">
        <f t="shared" si="10"/>
        <v>1431.962</v>
      </c>
      <c r="Q8" s="117">
        <f t="shared" si="10"/>
        <v>3710.3844000000008</v>
      </c>
      <c r="R8" s="117">
        <f t="shared" si="10"/>
        <v>3046.0540000000001</v>
      </c>
      <c r="S8" s="117">
        <f t="shared" si="10"/>
        <v>3764.2263621230068</v>
      </c>
      <c r="T8" s="117">
        <f t="shared" si="10"/>
        <v>3514.3438596859583</v>
      </c>
      <c r="U8" s="117">
        <f t="shared" si="10"/>
        <v>3364.5057229412555</v>
      </c>
      <c r="V8" s="117">
        <f t="shared" ref="V8:W8" si="11">+V18+V37+V65</f>
        <v>3749.064630899753</v>
      </c>
      <c r="W8" s="117">
        <f t="shared" si="11"/>
        <v>3775.8173800921886</v>
      </c>
      <c r="Y8" s="103"/>
      <c r="Z8" s="103">
        <f t="shared" si="4"/>
        <v>1701.3761800921884</v>
      </c>
      <c r="AA8" s="103">
        <f t="shared" si="5"/>
        <v>0.8201611981540804</v>
      </c>
      <c r="AB8" s="103">
        <f t="shared" si="6"/>
        <v>411.31165715093312</v>
      </c>
      <c r="AC8" s="103">
        <f t="shared" si="7"/>
        <v>0.12225024744239814</v>
      </c>
    </row>
    <row r="9" spans="1:29" x14ac:dyDescent="0.25">
      <c r="A9" t="s">
        <v>742</v>
      </c>
      <c r="B9" t="s">
        <v>784</v>
      </c>
      <c r="C9" t="s">
        <v>785</v>
      </c>
      <c r="D9" t="s">
        <v>744</v>
      </c>
      <c r="E9" t="s">
        <v>745</v>
      </c>
      <c r="F9" s="117"/>
      <c r="G9" s="117"/>
      <c r="H9" s="117"/>
      <c r="I9" s="117"/>
      <c r="J9" s="117"/>
      <c r="K9" s="117"/>
      <c r="L9" s="117"/>
      <c r="M9" s="117"/>
      <c r="N9" s="117"/>
      <c r="O9" s="117"/>
      <c r="P9" s="117"/>
      <c r="Q9" s="117"/>
      <c r="R9" s="117"/>
      <c r="S9" s="117"/>
      <c r="T9" s="117"/>
      <c r="U9" s="117"/>
      <c r="V9" s="117"/>
      <c r="W9" s="117"/>
      <c r="Y9" s="103"/>
      <c r="Z9" s="103">
        <f t="shared" si="4"/>
        <v>0</v>
      </c>
      <c r="AA9" s="103" t="e">
        <f t="shared" si="5"/>
        <v>#DIV/0!</v>
      </c>
      <c r="AB9" s="103">
        <f t="shared" si="6"/>
        <v>0</v>
      </c>
      <c r="AC9" s="103" t="e">
        <f t="shared" si="7"/>
        <v>#DIV/0!</v>
      </c>
    </row>
    <row r="10" spans="1:29" x14ac:dyDescent="0.25">
      <c r="A10" t="s">
        <v>742</v>
      </c>
      <c r="B10" t="s">
        <v>786</v>
      </c>
      <c r="C10" t="s">
        <v>787</v>
      </c>
      <c r="D10" t="s">
        <v>744</v>
      </c>
      <c r="E10" t="s">
        <v>745</v>
      </c>
      <c r="F10" s="117">
        <f t="shared" ref="F10:U10" si="12">+F20+F39+F67</f>
        <v>39.155999999999999</v>
      </c>
      <c r="G10" s="117">
        <f t="shared" si="12"/>
        <v>26.936</v>
      </c>
      <c r="H10" s="117">
        <f t="shared" si="12"/>
        <v>25.687999999999999</v>
      </c>
      <c r="I10" s="117">
        <f t="shared" si="12"/>
        <v>20.748000000000001</v>
      </c>
      <c r="J10" s="117">
        <f t="shared" si="12"/>
        <v>19.5</v>
      </c>
      <c r="K10" s="117">
        <f t="shared" si="12"/>
        <v>21.943999999999999</v>
      </c>
      <c r="L10" s="117">
        <f t="shared" si="12"/>
        <v>25.116</v>
      </c>
      <c r="M10" s="117">
        <f t="shared" si="12"/>
        <v>21.788</v>
      </c>
      <c r="N10" s="117">
        <f t="shared" si="12"/>
        <v>24.128</v>
      </c>
      <c r="O10" s="117">
        <f t="shared" si="12"/>
        <v>25.532</v>
      </c>
      <c r="P10" s="117">
        <f t="shared" si="12"/>
        <v>26.312000000000001</v>
      </c>
      <c r="Q10" s="117">
        <f t="shared" si="12"/>
        <v>28.319200000000002</v>
      </c>
      <c r="R10" s="117">
        <f t="shared" si="12"/>
        <v>27.294280000000004</v>
      </c>
      <c r="S10" s="117">
        <f t="shared" si="12"/>
        <v>21.84</v>
      </c>
      <c r="T10" s="117">
        <f t="shared" si="12"/>
        <v>22.07208198804468</v>
      </c>
      <c r="U10" s="117">
        <f t="shared" si="12"/>
        <v>18.2</v>
      </c>
      <c r="V10" s="117">
        <f t="shared" ref="V10:W10" si="13">+V20+V39+V67</f>
        <v>21.901802271619349</v>
      </c>
      <c r="W10" s="117">
        <f t="shared" si="13"/>
        <v>21.743045827186773</v>
      </c>
      <c r="Y10" s="103"/>
      <c r="Z10" s="103">
        <f t="shared" si="4"/>
        <v>-17.412954172813226</v>
      </c>
      <c r="AA10" s="103">
        <f t="shared" si="5"/>
        <v>-0.44470717572819557</v>
      </c>
      <c r="AB10" s="103">
        <f t="shared" si="6"/>
        <v>3.5430458271867735</v>
      </c>
      <c r="AC10" s="103">
        <f t="shared" si="7"/>
        <v>0.19467284764762494</v>
      </c>
    </row>
    <row r="11" spans="1:29" x14ac:dyDescent="0.25">
      <c r="A11" t="s">
        <v>742</v>
      </c>
      <c r="B11" t="s">
        <v>788</v>
      </c>
      <c r="C11" t="s">
        <v>789</v>
      </c>
      <c r="D11" t="s">
        <v>744</v>
      </c>
      <c r="E11" t="s">
        <v>745</v>
      </c>
      <c r="F11" s="117">
        <f t="shared" ref="F11:U11" si="14">+F21+F40+F68</f>
        <v>108.36</v>
      </c>
      <c r="G11" s="117">
        <f t="shared" si="14"/>
        <v>104.92</v>
      </c>
      <c r="H11" s="117">
        <f t="shared" si="14"/>
        <v>110.08</v>
      </c>
      <c r="I11" s="117">
        <f t="shared" si="14"/>
        <v>70.52</v>
      </c>
      <c r="J11" s="117">
        <f t="shared" si="14"/>
        <v>55.04</v>
      </c>
      <c r="K11" s="117">
        <f t="shared" si="14"/>
        <v>55.04</v>
      </c>
      <c r="L11" s="117">
        <f t="shared" si="14"/>
        <v>58.48</v>
      </c>
      <c r="M11" s="117">
        <f t="shared" si="14"/>
        <v>53.32</v>
      </c>
      <c r="N11" s="117">
        <f t="shared" si="14"/>
        <v>49.88</v>
      </c>
      <c r="O11" s="117">
        <f t="shared" si="14"/>
        <v>48.16</v>
      </c>
      <c r="P11" s="117">
        <f t="shared" si="14"/>
        <v>61.92</v>
      </c>
      <c r="Q11" s="117">
        <f t="shared" si="14"/>
        <v>63.64</v>
      </c>
      <c r="R11" s="117">
        <f t="shared" si="14"/>
        <v>63.64</v>
      </c>
      <c r="S11" s="117">
        <f t="shared" si="14"/>
        <v>51.6</v>
      </c>
      <c r="T11" s="117">
        <f t="shared" si="14"/>
        <v>44.962519999999998</v>
      </c>
      <c r="U11" s="117">
        <f t="shared" si="14"/>
        <v>49.88</v>
      </c>
      <c r="V11" s="117">
        <f t="shared" ref="V11:W11" si="15">+V21+V40+V68</f>
        <v>47.152020906125856</v>
      </c>
      <c r="W11" s="117">
        <f t="shared" si="15"/>
        <v>46.315944980820788</v>
      </c>
      <c r="Y11" s="103"/>
      <c r="Z11" s="103">
        <f t="shared" si="4"/>
        <v>-62.044055019179211</v>
      </c>
      <c r="AA11" s="103">
        <f t="shared" si="5"/>
        <v>-0.57257341287540797</v>
      </c>
      <c r="AB11" s="103">
        <f t="shared" si="6"/>
        <v>-3.5640550191792144</v>
      </c>
      <c r="AC11" s="103">
        <f t="shared" si="7"/>
        <v>-7.1452586591403647E-2</v>
      </c>
    </row>
    <row r="12" spans="1:29" x14ac:dyDescent="0.25">
      <c r="A12" t="s">
        <v>742</v>
      </c>
      <c r="B12" t="s">
        <v>790</v>
      </c>
      <c r="C12" t="s">
        <v>756</v>
      </c>
      <c r="D12" t="s">
        <v>744</v>
      </c>
      <c r="E12" t="s">
        <v>745</v>
      </c>
      <c r="F12" s="117"/>
      <c r="G12" s="117"/>
      <c r="H12" s="117"/>
      <c r="I12" s="117"/>
      <c r="J12" s="117"/>
      <c r="K12" s="117"/>
      <c r="L12" s="117"/>
      <c r="M12" s="117"/>
      <c r="N12" s="117"/>
      <c r="O12" s="117"/>
      <c r="P12" s="117"/>
      <c r="Q12" s="117"/>
      <c r="R12" s="117"/>
      <c r="S12" s="117"/>
      <c r="T12" s="117"/>
      <c r="U12" s="117"/>
      <c r="V12" s="117"/>
      <c r="W12" s="117"/>
      <c r="Y12" s="103"/>
      <c r="Z12" s="103">
        <f t="shared" si="4"/>
        <v>0</v>
      </c>
      <c r="AA12" s="103" t="e">
        <f t="shared" si="5"/>
        <v>#DIV/0!</v>
      </c>
      <c r="AB12" s="103">
        <f t="shared" si="6"/>
        <v>0</v>
      </c>
      <c r="AC12" s="103" t="e">
        <f t="shared" si="7"/>
        <v>#DIV/0!</v>
      </c>
    </row>
    <row r="14" spans="1:29" s="132" customFormat="1" x14ac:dyDescent="0.25">
      <c r="C14" s="132" t="s">
        <v>835</v>
      </c>
    </row>
    <row r="15" spans="1:29" s="103" customFormat="1" x14ac:dyDescent="0.25">
      <c r="A15" s="7" t="s">
        <v>742</v>
      </c>
      <c r="B15" s="103" t="s">
        <v>777</v>
      </c>
      <c r="C15" s="103" t="s">
        <v>1001</v>
      </c>
      <c r="D15" s="7" t="s">
        <v>836</v>
      </c>
      <c r="E15" s="7" t="s">
        <v>745</v>
      </c>
      <c r="F15" s="116">
        <f>+SUM(F16:F22)</f>
        <v>25728.448215</v>
      </c>
      <c r="G15" s="116">
        <f t="shared" ref="G15:W15" si="16">+SUM(G16:G22)</f>
        <v>25801.750169999999</v>
      </c>
      <c r="H15" s="116">
        <f t="shared" si="16"/>
        <v>27420.856920000002</v>
      </c>
      <c r="I15" s="116">
        <f t="shared" si="16"/>
        <v>27192.946779999998</v>
      </c>
      <c r="J15" s="116">
        <f t="shared" si="16"/>
        <v>27178.084115000001</v>
      </c>
      <c r="K15" s="116">
        <f t="shared" si="16"/>
        <v>28223.232760000003</v>
      </c>
      <c r="L15" s="116">
        <f t="shared" si="16"/>
        <v>28800.123315000004</v>
      </c>
      <c r="M15" s="116">
        <f t="shared" si="16"/>
        <v>27917.226309999998</v>
      </c>
      <c r="N15" s="116">
        <f t="shared" si="16"/>
        <v>26702.188085000002</v>
      </c>
      <c r="O15" s="116">
        <f t="shared" si="16"/>
        <v>25355.67064</v>
      </c>
      <c r="P15" s="116">
        <f t="shared" si="16"/>
        <v>27062.25045</v>
      </c>
      <c r="Q15" s="116">
        <f t="shared" si="16"/>
        <v>28551.190430000002</v>
      </c>
      <c r="R15" s="116">
        <f t="shared" si="16"/>
        <v>27802.659900000002</v>
      </c>
      <c r="S15" s="116">
        <f t="shared" si="16"/>
        <v>28935.724850055351</v>
      </c>
      <c r="T15" s="116">
        <f t="shared" si="16"/>
        <v>29555.796877015415</v>
      </c>
      <c r="U15" s="116">
        <f t="shared" si="16"/>
        <v>28756.284670927627</v>
      </c>
      <c r="V15" s="116">
        <f t="shared" si="16"/>
        <v>28670.628361197898</v>
      </c>
      <c r="W15" s="116">
        <f t="shared" si="16"/>
        <v>29037.150045352562</v>
      </c>
      <c r="X15"/>
    </row>
    <row r="16" spans="1:29" x14ac:dyDescent="0.25">
      <c r="A16" t="s">
        <v>742</v>
      </c>
      <c r="B16" t="s">
        <v>778</v>
      </c>
      <c r="C16" t="s">
        <v>779</v>
      </c>
      <c r="D16" t="s">
        <v>836</v>
      </c>
      <c r="E16" t="s">
        <v>745</v>
      </c>
      <c r="F16" s="119">
        <f>+'2C1 Iron and Steel Production'!E44</f>
        <v>16410.526914999999</v>
      </c>
      <c r="G16" s="119">
        <f>+'2C1 Iron and Steel Production'!F44</f>
        <v>16410.537369999998</v>
      </c>
      <c r="H16" s="119">
        <f>+'2C1 Iron and Steel Production'!G44</f>
        <v>17176.103220000001</v>
      </c>
      <c r="I16" s="119">
        <f>+'2C1 Iron and Steel Production'!H44</f>
        <v>16786.444480000002</v>
      </c>
      <c r="J16" s="119">
        <f>+'2C1 Iron and Steel Production'!I44</f>
        <v>16425.253915000001</v>
      </c>
      <c r="K16" s="119">
        <f>+'2C1 Iron and Steel Production'!J44</f>
        <v>17359.699860000001</v>
      </c>
      <c r="L16" s="119">
        <f>+'2C1 Iron and Steel Production'!K44</f>
        <v>17218.494115000001</v>
      </c>
      <c r="M16" s="119">
        <f>+'2C1 Iron and Steel Production'!L44</f>
        <v>15147.096109999999</v>
      </c>
      <c r="N16" s="119">
        <f>+'2C1 Iron and Steel Production'!M44</f>
        <v>14152.034485</v>
      </c>
      <c r="O16" s="119">
        <f>+'2C1 Iron and Steel Production'!N44</f>
        <v>12794.452040000002</v>
      </c>
      <c r="P16" s="119">
        <f>+'2C1 Iron and Steel Production'!O44</f>
        <v>13861.709649999999</v>
      </c>
      <c r="Q16" s="119">
        <f>+'2C1 Iron and Steel Production'!P44</f>
        <v>14922.64853</v>
      </c>
      <c r="R16" s="119">
        <f>+'2C1 Iron and Steel Production'!Q44</f>
        <v>15020.696860000002</v>
      </c>
      <c r="S16" s="119">
        <f>+'2C1 Iron and Steel Production'!R44</f>
        <v>15582.114970055352</v>
      </c>
      <c r="T16" s="119">
        <f>+'2C1 Iron and Steel Production'!S44</f>
        <v>14363.524995027368</v>
      </c>
      <c r="U16" s="119">
        <f>+'2C1 Iron and Steel Production'!T44</f>
        <v>14093.548470927624</v>
      </c>
      <c r="V16" s="119">
        <f>+'2C1 Iron and Steel Production'!U44</f>
        <v>14829.058053603329</v>
      </c>
      <c r="W16" s="119">
        <f>+'2C1 Iron and Steel Production'!V44</f>
        <v>15074.336748610733</v>
      </c>
    </row>
    <row r="17" spans="1:24" x14ac:dyDescent="0.25">
      <c r="A17" t="s">
        <v>742</v>
      </c>
      <c r="B17" t="s">
        <v>780</v>
      </c>
      <c r="C17" t="s">
        <v>781</v>
      </c>
      <c r="D17" t="s">
        <v>836</v>
      </c>
      <c r="E17" t="s">
        <v>745</v>
      </c>
      <c r="F17" s="119">
        <f>+'2C2 Ferroalloys Production'!E37</f>
        <v>8079.1441000000013</v>
      </c>
      <c r="G17" s="119">
        <f>+'2C2 Ferroalloys Production'!F37</f>
        <v>8195.9467000000004</v>
      </c>
      <c r="H17" s="119">
        <f>+'2C2 Ferroalloys Production'!G37</f>
        <v>8970.2675999999992</v>
      </c>
      <c r="I17" s="119">
        <f>+'2C2 Ferroalloys Production'!H37</f>
        <v>9156.4025999999994</v>
      </c>
      <c r="J17" s="119">
        <f>+'2C2 Ferroalloys Production'!I37</f>
        <v>9282.6882000000005</v>
      </c>
      <c r="K17" s="119">
        <f>+'2C2 Ferroalloys Production'!J37</f>
        <v>9384.0288000000019</v>
      </c>
      <c r="L17" s="119">
        <f>+'2C2 Ferroalloys Production'!K37</f>
        <v>10063.825000000001</v>
      </c>
      <c r="M17" s="119">
        <f>+'2C2 Ferroalloys Production'!L37</f>
        <v>11245.946400000001</v>
      </c>
      <c r="N17" s="119">
        <f>+'2C2 Ferroalloys Production'!M37</f>
        <v>11175.343800000001</v>
      </c>
      <c r="O17" s="119">
        <f>+'2C2 Ferroalloys Production'!N37</f>
        <v>11189.408200000002</v>
      </c>
      <c r="P17" s="119">
        <f>+'2C2 Ferroalloys Production'!O37</f>
        <v>11818.236800000001</v>
      </c>
      <c r="Q17" s="119">
        <f>+'2C2 Ferroalloys Production'!P37</f>
        <v>12237.0483</v>
      </c>
      <c r="R17" s="119">
        <f>+'2C2 Ferroalloys Production'!Q37</f>
        <v>11624.16476</v>
      </c>
      <c r="S17" s="119">
        <f>+'2C2 Ferroalloys Production'!R37</f>
        <v>11961.76988</v>
      </c>
      <c r="T17" s="119">
        <f>+'2C2 Ferroalloys Production'!S37</f>
        <v>13894.35728</v>
      </c>
      <c r="U17" s="119">
        <f>+'2C2 Ferroalloys Production'!T37</f>
        <v>13416.256200000002</v>
      </c>
      <c r="V17" s="119">
        <f>+'2C2 Ferroalloys Production'!U37</f>
        <v>12459.426799079587</v>
      </c>
      <c r="W17" s="119">
        <f>+'2C2 Ferroalloys Production'!V37</f>
        <v>12572.294614347698</v>
      </c>
    </row>
    <row r="18" spans="1:24" x14ac:dyDescent="0.25">
      <c r="A18" t="s">
        <v>742</v>
      </c>
      <c r="B18" t="s">
        <v>782</v>
      </c>
      <c r="C18" t="s">
        <v>783</v>
      </c>
      <c r="D18" t="s">
        <v>836</v>
      </c>
      <c r="E18" t="s">
        <v>745</v>
      </c>
      <c r="F18" s="119">
        <f>+'2C3 Aluminium Production'!E38</f>
        <v>1091.2612000000001</v>
      </c>
      <c r="G18" s="119">
        <f>+'2C3 Aluminium Production'!F38</f>
        <v>1063.4101000000001</v>
      </c>
      <c r="H18" s="119">
        <f>+'2C3 Aluminium Production'!G38</f>
        <v>1138.7181</v>
      </c>
      <c r="I18" s="119">
        <f>+'2C3 Aluminium Production'!H38</f>
        <v>1158.8317000000002</v>
      </c>
      <c r="J18" s="119">
        <f>+'2C3 Aluminium Production'!I38</f>
        <v>1395.6019999999999</v>
      </c>
      <c r="K18" s="119">
        <f>+'2C3 Aluminium Production'!J38</f>
        <v>1402.5201000000002</v>
      </c>
      <c r="L18" s="119">
        <f>+'2C3 Aluminium Production'!K38</f>
        <v>1434.2082</v>
      </c>
      <c r="M18" s="119">
        <f>+'2C3 Aluminium Production'!L38</f>
        <v>1449.0758000000001</v>
      </c>
      <c r="N18" s="119">
        <f>+'2C3 Aluminium Production'!M38</f>
        <v>1300.8018000000002</v>
      </c>
      <c r="O18" s="119">
        <f>+'2C3 Aluminium Production'!N38</f>
        <v>1298.1184000000001</v>
      </c>
      <c r="P18" s="119">
        <f>+'2C3 Aluminium Production'!O38</f>
        <v>1294.0719999999999</v>
      </c>
      <c r="Q18" s="119">
        <f>+'2C3 Aluminium Production'!P38</f>
        <v>1299.5344000000002</v>
      </c>
      <c r="R18" s="119">
        <f>+'2C3 Aluminium Production'!Q38</f>
        <v>1066.864</v>
      </c>
      <c r="S18" s="119">
        <f>+'2C3 Aluminium Production'!R38</f>
        <v>1318.4</v>
      </c>
      <c r="T18" s="119">
        <f>+'2C3 Aluminium Production'!S38</f>
        <v>1230.8800000000001</v>
      </c>
      <c r="U18" s="119">
        <f>+'2C3 Aluminium Production'!T38</f>
        <v>1178.4000000000001</v>
      </c>
      <c r="V18" s="119">
        <f>+'2C3 Aluminium Production'!U38</f>
        <v>1313.0896853372371</v>
      </c>
      <c r="W18" s="119">
        <f>+'2C3 Aluminium Production'!V38</f>
        <v>1322.4596915861214</v>
      </c>
    </row>
    <row r="19" spans="1:24" x14ac:dyDescent="0.25">
      <c r="A19" t="s">
        <v>742</v>
      </c>
      <c r="B19" t="s">
        <v>784</v>
      </c>
      <c r="C19" t="s">
        <v>785</v>
      </c>
      <c r="D19" t="s">
        <v>836</v>
      </c>
      <c r="E19" t="s">
        <v>745</v>
      </c>
      <c r="F19" s="119"/>
      <c r="G19" s="119"/>
      <c r="H19" s="119"/>
      <c r="I19" s="119"/>
      <c r="J19" s="119"/>
      <c r="K19" s="119"/>
      <c r="L19" s="119"/>
      <c r="M19" s="119"/>
      <c r="N19" s="119"/>
      <c r="O19" s="119"/>
      <c r="P19" s="119"/>
      <c r="Q19" s="119"/>
      <c r="R19" s="119"/>
      <c r="S19" s="119"/>
      <c r="T19" s="119"/>
      <c r="U19" s="119"/>
      <c r="V19" s="119"/>
      <c r="W19" s="119"/>
    </row>
    <row r="20" spans="1:24" x14ac:dyDescent="0.25">
      <c r="A20" t="s">
        <v>742</v>
      </c>
      <c r="B20" t="s">
        <v>786</v>
      </c>
      <c r="C20" t="s">
        <v>787</v>
      </c>
      <c r="D20" t="s">
        <v>836</v>
      </c>
      <c r="E20" t="s">
        <v>745</v>
      </c>
      <c r="F20" s="119">
        <f>+'2C5 Lead Production'!E23</f>
        <v>39.155999999999999</v>
      </c>
      <c r="G20" s="119">
        <f>+'2C5 Lead Production'!F23</f>
        <v>26.936</v>
      </c>
      <c r="H20" s="119">
        <f>+'2C5 Lead Production'!G23</f>
        <v>25.687999999999999</v>
      </c>
      <c r="I20" s="119">
        <f>+'2C5 Lead Production'!H23</f>
        <v>20.748000000000001</v>
      </c>
      <c r="J20" s="119">
        <f>+'2C5 Lead Production'!I23</f>
        <v>19.5</v>
      </c>
      <c r="K20" s="119">
        <f>+'2C5 Lead Production'!J23</f>
        <v>21.943999999999999</v>
      </c>
      <c r="L20" s="119">
        <f>+'2C5 Lead Production'!K23</f>
        <v>25.116</v>
      </c>
      <c r="M20" s="119">
        <f>+'2C5 Lead Production'!L23</f>
        <v>21.788</v>
      </c>
      <c r="N20" s="119">
        <f>+'2C5 Lead Production'!M23</f>
        <v>24.128</v>
      </c>
      <c r="O20" s="119">
        <f>+'2C5 Lead Production'!N23</f>
        <v>25.532</v>
      </c>
      <c r="P20" s="119">
        <f>+'2C5 Lead Production'!O23</f>
        <v>26.312000000000001</v>
      </c>
      <c r="Q20" s="119">
        <f>+'2C5 Lead Production'!P23</f>
        <v>28.319200000000002</v>
      </c>
      <c r="R20" s="119">
        <f>+'2C5 Lead Production'!Q23</f>
        <v>27.294280000000004</v>
      </c>
      <c r="S20" s="119">
        <f>+'2C5 Lead Production'!R23</f>
        <v>21.84</v>
      </c>
      <c r="T20" s="119">
        <f>+'2C5 Lead Production'!S23</f>
        <v>22.07208198804468</v>
      </c>
      <c r="U20" s="119">
        <f>+'2C5 Lead Production'!T23</f>
        <v>18.2</v>
      </c>
      <c r="V20" s="119">
        <f>+'2C5 Lead Production'!U23</f>
        <v>21.901802271619349</v>
      </c>
      <c r="W20" s="119">
        <f>+'2C5 Lead Production'!V23</f>
        <v>21.743045827186773</v>
      </c>
    </row>
    <row r="21" spans="1:24" x14ac:dyDescent="0.25">
      <c r="A21" t="s">
        <v>742</v>
      </c>
      <c r="B21" t="s">
        <v>788</v>
      </c>
      <c r="C21" t="s">
        <v>789</v>
      </c>
      <c r="D21" t="s">
        <v>836</v>
      </c>
      <c r="E21" t="s">
        <v>745</v>
      </c>
      <c r="F21" s="119">
        <f>+'2C6 Zinc Production'!E23</f>
        <v>108.36</v>
      </c>
      <c r="G21" s="119">
        <f>+'2C6 Zinc Production'!F23</f>
        <v>104.92</v>
      </c>
      <c r="H21" s="119">
        <f>+'2C6 Zinc Production'!G23</f>
        <v>110.08</v>
      </c>
      <c r="I21" s="119">
        <f>+'2C6 Zinc Production'!H23</f>
        <v>70.52</v>
      </c>
      <c r="J21" s="119">
        <f>+'2C6 Zinc Production'!I23</f>
        <v>55.04</v>
      </c>
      <c r="K21" s="119">
        <f>+'2C6 Zinc Production'!J23</f>
        <v>55.04</v>
      </c>
      <c r="L21" s="119">
        <f>+'2C6 Zinc Production'!K23</f>
        <v>58.48</v>
      </c>
      <c r="M21" s="119">
        <f>+'2C6 Zinc Production'!L23</f>
        <v>53.32</v>
      </c>
      <c r="N21" s="119">
        <f>+'2C6 Zinc Production'!M23</f>
        <v>49.88</v>
      </c>
      <c r="O21" s="119">
        <f>+'2C6 Zinc Production'!N23</f>
        <v>48.16</v>
      </c>
      <c r="P21" s="119">
        <f>+'2C6 Zinc Production'!O23</f>
        <v>61.92</v>
      </c>
      <c r="Q21" s="119">
        <f>+'2C6 Zinc Production'!P23</f>
        <v>63.64</v>
      </c>
      <c r="R21" s="119">
        <f>+'2C6 Zinc Production'!Q23</f>
        <v>63.64</v>
      </c>
      <c r="S21" s="119">
        <f>+'2C6 Zinc Production'!R23</f>
        <v>51.6</v>
      </c>
      <c r="T21" s="119">
        <f>+'2C6 Zinc Production'!S23</f>
        <v>44.962519999999998</v>
      </c>
      <c r="U21" s="119">
        <f>+'2C6 Zinc Production'!T23</f>
        <v>49.88</v>
      </c>
      <c r="V21" s="119">
        <f>+'2C6 Zinc Production'!U23</f>
        <v>47.152020906125856</v>
      </c>
      <c r="W21" s="119">
        <f>+'2C6 Zinc Production'!V23</f>
        <v>46.315944980820788</v>
      </c>
    </row>
    <row r="22" spans="1:24" x14ac:dyDescent="0.25">
      <c r="A22" t="s">
        <v>742</v>
      </c>
      <c r="B22" t="s">
        <v>790</v>
      </c>
      <c r="C22" t="s">
        <v>756</v>
      </c>
      <c r="D22" t="s">
        <v>836</v>
      </c>
      <c r="E22" t="s">
        <v>745</v>
      </c>
      <c r="F22" s="119"/>
      <c r="G22" s="119"/>
      <c r="H22" s="119"/>
      <c r="I22" s="119"/>
      <c r="J22" s="119"/>
      <c r="K22" s="119"/>
      <c r="L22" s="119"/>
      <c r="M22" s="119"/>
      <c r="N22" s="119"/>
      <c r="O22" s="119"/>
      <c r="P22" s="119"/>
      <c r="Q22" s="119"/>
      <c r="R22" s="119"/>
      <c r="S22" s="119"/>
      <c r="T22" s="119"/>
      <c r="U22" s="119"/>
      <c r="V22" s="119"/>
      <c r="W22" s="119"/>
    </row>
    <row r="23" spans="1:24" s="23" customFormat="1" x14ac:dyDescent="0.25"/>
    <row r="24" spans="1:24" s="132" customFormat="1" x14ac:dyDescent="0.25">
      <c r="C24" s="132" t="s">
        <v>837</v>
      </c>
    </row>
    <row r="25" spans="1:24" s="103" customFormat="1" x14ac:dyDescent="0.25">
      <c r="A25" s="7" t="s">
        <v>742</v>
      </c>
      <c r="B25" s="103" t="s">
        <v>777</v>
      </c>
      <c r="C25" s="103" t="s">
        <v>1001</v>
      </c>
      <c r="D25" s="7" t="s">
        <v>486</v>
      </c>
      <c r="E25" s="7" t="s">
        <v>924</v>
      </c>
      <c r="F25" s="116">
        <f>+SUM(F26:F32)</f>
        <v>0.15722</v>
      </c>
      <c r="G25" s="116">
        <f t="shared" ref="G25:W25" si="17">+SUM(G26:G32)</f>
        <v>0.15488000000000002</v>
      </c>
      <c r="H25" s="116">
        <f t="shared" si="17"/>
        <v>0.19269999999999998</v>
      </c>
      <c r="I25" s="116">
        <f t="shared" si="17"/>
        <v>0.19350000000000001</v>
      </c>
      <c r="J25" s="116">
        <f t="shared" si="17"/>
        <v>0.20119999999999999</v>
      </c>
      <c r="K25" s="116">
        <f t="shared" si="17"/>
        <v>0.19119999999999998</v>
      </c>
      <c r="L25" s="116">
        <f t="shared" si="17"/>
        <v>0.21285999999999999</v>
      </c>
      <c r="M25" s="116">
        <f t="shared" si="17"/>
        <v>0.19996</v>
      </c>
      <c r="N25" s="116">
        <f t="shared" si="17"/>
        <v>0.19666</v>
      </c>
      <c r="O25" s="116">
        <f t="shared" si="17"/>
        <v>0.15672</v>
      </c>
      <c r="P25" s="116">
        <f t="shared" si="17"/>
        <v>0.18338000000000002</v>
      </c>
      <c r="Q25" s="116">
        <f t="shared" si="17"/>
        <v>0.19675999999999999</v>
      </c>
      <c r="R25" s="116">
        <f t="shared" si="17"/>
        <v>0.1467</v>
      </c>
      <c r="S25" s="116">
        <f t="shared" si="17"/>
        <v>0.1192</v>
      </c>
      <c r="T25" s="116">
        <f t="shared" si="17"/>
        <v>0.14434</v>
      </c>
      <c r="U25" s="116">
        <f t="shared" si="17"/>
        <v>0.18912000000000001</v>
      </c>
      <c r="V25" s="116">
        <f t="shared" si="17"/>
        <v>0.15184999199999999</v>
      </c>
      <c r="W25" s="116">
        <f t="shared" si="17"/>
        <v>0.146199512</v>
      </c>
      <c r="X25"/>
    </row>
    <row r="26" spans="1:24" x14ac:dyDescent="0.25">
      <c r="A26" t="s">
        <v>742</v>
      </c>
      <c r="B26" t="s">
        <v>778</v>
      </c>
      <c r="C26" t="s">
        <v>779</v>
      </c>
      <c r="D26" t="s">
        <v>486</v>
      </c>
      <c r="E26" t="s">
        <v>924</v>
      </c>
      <c r="F26" s="119"/>
      <c r="G26" s="119"/>
      <c r="H26" s="119"/>
      <c r="I26" s="119"/>
      <c r="J26" s="119"/>
      <c r="K26" s="119"/>
      <c r="L26" s="119"/>
      <c r="M26" s="119"/>
      <c r="N26" s="119"/>
      <c r="O26" s="119"/>
      <c r="P26" s="119"/>
      <c r="Q26" s="119"/>
      <c r="R26" s="119"/>
      <c r="S26" s="119"/>
      <c r="T26" s="119"/>
      <c r="U26" s="119"/>
      <c r="V26" s="119"/>
      <c r="W26" s="119"/>
    </row>
    <row r="27" spans="1:24" x14ac:dyDescent="0.25">
      <c r="A27" t="s">
        <v>742</v>
      </c>
      <c r="B27" t="s">
        <v>780</v>
      </c>
      <c r="C27" t="s">
        <v>781</v>
      </c>
      <c r="D27" t="s">
        <v>486</v>
      </c>
      <c r="E27" t="s">
        <v>924</v>
      </c>
      <c r="F27" s="119">
        <f>+'2C2 Ferroalloys Production'!E40</f>
        <v>0.15722</v>
      </c>
      <c r="G27" s="119">
        <f>+'2C2 Ferroalloys Production'!F40</f>
        <v>0.15488000000000002</v>
      </c>
      <c r="H27" s="119">
        <f>+'2C2 Ferroalloys Production'!G40</f>
        <v>0.19269999999999998</v>
      </c>
      <c r="I27" s="119">
        <f>+'2C2 Ferroalloys Production'!H40</f>
        <v>0.19350000000000001</v>
      </c>
      <c r="J27" s="119">
        <f>+'2C2 Ferroalloys Production'!I40</f>
        <v>0.20119999999999999</v>
      </c>
      <c r="K27" s="119">
        <f>+'2C2 Ferroalloys Production'!J40</f>
        <v>0.19119999999999998</v>
      </c>
      <c r="L27" s="119">
        <f>+'2C2 Ferroalloys Production'!K40</f>
        <v>0.21285999999999999</v>
      </c>
      <c r="M27" s="119">
        <f>+'2C2 Ferroalloys Production'!L40</f>
        <v>0.19996</v>
      </c>
      <c r="N27" s="119">
        <f>+'2C2 Ferroalloys Production'!M40</f>
        <v>0.19666</v>
      </c>
      <c r="O27" s="119">
        <f>+'2C2 Ferroalloys Production'!N40</f>
        <v>0.15672</v>
      </c>
      <c r="P27" s="119">
        <f>+'2C2 Ferroalloys Production'!O40</f>
        <v>0.18338000000000002</v>
      </c>
      <c r="Q27" s="119">
        <f>+'2C2 Ferroalloys Production'!P40</f>
        <v>0.19675999999999999</v>
      </c>
      <c r="R27" s="119">
        <f>+'2C2 Ferroalloys Production'!Q40</f>
        <v>0.1467</v>
      </c>
      <c r="S27" s="119">
        <f>+'2C2 Ferroalloys Production'!R40</f>
        <v>0.1192</v>
      </c>
      <c r="T27" s="119">
        <f>+'2C2 Ferroalloys Production'!S40</f>
        <v>0.14434</v>
      </c>
      <c r="U27" s="119">
        <f>+'2C2 Ferroalloys Production'!T40</f>
        <v>0.18912000000000001</v>
      </c>
      <c r="V27" s="119">
        <f>+'2C2 Ferroalloys Production'!U40</f>
        <v>0.15184999199999999</v>
      </c>
      <c r="W27" s="119">
        <f>+'2C2 Ferroalloys Production'!V40</f>
        <v>0.146199512</v>
      </c>
    </row>
    <row r="28" spans="1:24" x14ac:dyDescent="0.25">
      <c r="A28" t="s">
        <v>742</v>
      </c>
      <c r="B28" t="s">
        <v>782</v>
      </c>
      <c r="C28" t="s">
        <v>783</v>
      </c>
      <c r="D28" t="s">
        <v>486</v>
      </c>
      <c r="E28" t="s">
        <v>924</v>
      </c>
      <c r="F28" s="119"/>
      <c r="G28" s="119"/>
      <c r="H28" s="119"/>
      <c r="I28" s="119"/>
      <c r="J28" s="119"/>
      <c r="K28" s="119"/>
      <c r="L28" s="119"/>
      <c r="M28" s="119"/>
      <c r="N28" s="119"/>
      <c r="O28" s="119"/>
      <c r="P28" s="119"/>
      <c r="Q28" s="119"/>
      <c r="R28" s="119"/>
      <c r="S28" s="119"/>
      <c r="T28" s="119"/>
      <c r="U28" s="119"/>
      <c r="V28" s="119"/>
      <c r="W28" s="119"/>
    </row>
    <row r="29" spans="1:24" x14ac:dyDescent="0.25">
      <c r="A29" t="s">
        <v>742</v>
      </c>
      <c r="B29" t="s">
        <v>784</v>
      </c>
      <c r="C29" t="s">
        <v>785</v>
      </c>
      <c r="D29" t="s">
        <v>486</v>
      </c>
      <c r="E29" t="s">
        <v>924</v>
      </c>
      <c r="F29" s="119"/>
      <c r="G29" s="119"/>
      <c r="H29" s="119"/>
      <c r="I29" s="119"/>
      <c r="J29" s="119"/>
      <c r="K29" s="119"/>
      <c r="L29" s="119"/>
      <c r="M29" s="119"/>
      <c r="N29" s="119"/>
      <c r="O29" s="119"/>
      <c r="P29" s="119"/>
      <c r="Q29" s="119"/>
      <c r="R29" s="119"/>
      <c r="S29" s="119"/>
      <c r="T29" s="119"/>
      <c r="U29" s="119"/>
      <c r="V29" s="119"/>
      <c r="W29" s="119"/>
    </row>
    <row r="30" spans="1:24" x14ac:dyDescent="0.25">
      <c r="A30" t="s">
        <v>742</v>
      </c>
      <c r="B30" t="s">
        <v>786</v>
      </c>
      <c r="C30" t="s">
        <v>787</v>
      </c>
      <c r="D30" t="s">
        <v>486</v>
      </c>
      <c r="E30" t="s">
        <v>924</v>
      </c>
      <c r="F30" s="119"/>
      <c r="G30" s="119"/>
      <c r="H30" s="119"/>
      <c r="I30" s="119"/>
      <c r="J30" s="119"/>
      <c r="K30" s="119"/>
      <c r="L30" s="119"/>
      <c r="M30" s="119"/>
      <c r="N30" s="119"/>
      <c r="O30" s="119"/>
      <c r="P30" s="119"/>
      <c r="Q30" s="119"/>
      <c r="R30" s="119"/>
      <c r="S30" s="119"/>
      <c r="T30" s="119"/>
      <c r="U30" s="119"/>
      <c r="V30" s="119"/>
      <c r="W30" s="119"/>
    </row>
    <row r="31" spans="1:24" x14ac:dyDescent="0.25">
      <c r="A31" t="s">
        <v>742</v>
      </c>
      <c r="B31" t="s">
        <v>788</v>
      </c>
      <c r="C31" t="s">
        <v>789</v>
      </c>
      <c r="D31" t="s">
        <v>486</v>
      </c>
      <c r="E31" t="s">
        <v>924</v>
      </c>
      <c r="F31" s="119"/>
      <c r="G31" s="119"/>
      <c r="H31" s="119"/>
      <c r="I31" s="119"/>
      <c r="J31" s="119"/>
      <c r="K31" s="119"/>
      <c r="L31" s="119"/>
      <c r="M31" s="119"/>
      <c r="N31" s="119"/>
      <c r="O31" s="119"/>
      <c r="P31" s="119"/>
      <c r="Q31" s="119"/>
      <c r="R31" s="119"/>
      <c r="S31" s="119"/>
      <c r="T31" s="119"/>
      <c r="U31" s="119"/>
      <c r="V31" s="119"/>
      <c r="W31" s="119"/>
    </row>
    <row r="32" spans="1:24" x14ac:dyDescent="0.25">
      <c r="A32" t="s">
        <v>742</v>
      </c>
      <c r="B32" t="s">
        <v>790</v>
      </c>
      <c r="C32" t="s">
        <v>756</v>
      </c>
      <c r="D32" t="s">
        <v>486</v>
      </c>
      <c r="E32" t="s">
        <v>924</v>
      </c>
      <c r="F32" s="119"/>
      <c r="G32" s="119"/>
      <c r="H32" s="119"/>
      <c r="I32" s="119"/>
      <c r="J32" s="119"/>
      <c r="K32" s="119"/>
      <c r="L32" s="119"/>
      <c r="M32" s="119"/>
      <c r="N32" s="119"/>
      <c r="O32" s="119"/>
      <c r="P32" s="119"/>
      <c r="Q32" s="119"/>
      <c r="R32" s="119"/>
      <c r="S32" s="119"/>
      <c r="T32" s="119"/>
      <c r="U32" s="119"/>
      <c r="V32" s="119"/>
      <c r="W32" s="119"/>
    </row>
    <row r="33" spans="1:24" s="23" customFormat="1" x14ac:dyDescent="0.25"/>
    <row r="34" spans="1:24" s="103" customFormat="1" x14ac:dyDescent="0.25">
      <c r="A34" s="7" t="s">
        <v>742</v>
      </c>
      <c r="B34" s="103" t="s">
        <v>777</v>
      </c>
      <c r="C34" s="103" t="s">
        <v>1001</v>
      </c>
      <c r="D34" s="7" t="s">
        <v>486</v>
      </c>
      <c r="E34" s="7" t="s">
        <v>745</v>
      </c>
      <c r="F34" s="116">
        <f>+SUM(F35:F41)</f>
        <v>3.3016199999999998</v>
      </c>
      <c r="G34" s="116">
        <f t="shared" ref="G34:U34" si="18">+SUM(G35:G41)</f>
        <v>3.2524800000000003</v>
      </c>
      <c r="H34" s="116">
        <f t="shared" si="18"/>
        <v>4.0466999999999995</v>
      </c>
      <c r="I34" s="116">
        <f t="shared" si="18"/>
        <v>4.0635000000000003</v>
      </c>
      <c r="J34" s="116">
        <f t="shared" si="18"/>
        <v>4.2252000000000001</v>
      </c>
      <c r="K34" s="116">
        <f t="shared" si="18"/>
        <v>4.0151999999999992</v>
      </c>
      <c r="L34" s="116">
        <f t="shared" si="18"/>
        <v>4.4700600000000001</v>
      </c>
      <c r="M34" s="116">
        <f t="shared" si="18"/>
        <v>4.19916</v>
      </c>
      <c r="N34" s="116">
        <f t="shared" si="18"/>
        <v>4.1298599999999999</v>
      </c>
      <c r="O34" s="116">
        <f t="shared" si="18"/>
        <v>3.2911199999999998</v>
      </c>
      <c r="P34" s="116">
        <f t="shared" si="18"/>
        <v>3.8509800000000003</v>
      </c>
      <c r="Q34" s="116">
        <f t="shared" si="18"/>
        <v>4.1319599999999994</v>
      </c>
      <c r="R34" s="116">
        <f t="shared" si="18"/>
        <v>3.0806999999999998</v>
      </c>
      <c r="S34" s="116">
        <f t="shared" si="18"/>
        <v>2.5032000000000001</v>
      </c>
      <c r="T34" s="116">
        <f t="shared" si="18"/>
        <v>3.0311399999999997</v>
      </c>
      <c r="U34" s="116">
        <f t="shared" si="18"/>
        <v>3.9715200000000004</v>
      </c>
      <c r="V34" s="116">
        <f t="shared" ref="V34:W34" si="19">+SUM(V35:V41)</f>
        <v>3.1888498319999998</v>
      </c>
      <c r="W34" s="116">
        <f t="shared" si="19"/>
        <v>3.0701897520000001</v>
      </c>
      <c r="X34"/>
    </row>
    <row r="35" spans="1:24" x14ac:dyDescent="0.25">
      <c r="A35" t="s">
        <v>742</v>
      </c>
      <c r="B35" t="s">
        <v>778</v>
      </c>
      <c r="C35" t="s">
        <v>779</v>
      </c>
      <c r="D35" t="s">
        <v>486</v>
      </c>
      <c r="E35" t="s">
        <v>745</v>
      </c>
      <c r="F35" s="119"/>
      <c r="G35" s="119"/>
      <c r="H35" s="119"/>
      <c r="I35" s="119"/>
      <c r="J35" s="119"/>
      <c r="K35" s="119"/>
      <c r="L35" s="119"/>
      <c r="M35" s="119"/>
      <c r="N35" s="119"/>
      <c r="O35" s="119"/>
      <c r="P35" s="119"/>
      <c r="Q35" s="119"/>
      <c r="R35" s="119"/>
      <c r="S35" s="119"/>
      <c r="T35" s="119"/>
      <c r="U35" s="119"/>
      <c r="V35" s="119"/>
      <c r="W35" s="119"/>
    </row>
    <row r="36" spans="1:24" x14ac:dyDescent="0.25">
      <c r="A36" t="s">
        <v>742</v>
      </c>
      <c r="B36" t="s">
        <v>780</v>
      </c>
      <c r="C36" t="s">
        <v>781</v>
      </c>
      <c r="D36" t="s">
        <v>486</v>
      </c>
      <c r="E36" t="s">
        <v>745</v>
      </c>
      <c r="F36" s="119">
        <f>+'2C2 Ferroalloys Production'!E40*'Conversion factors'!$B$5</f>
        <v>3.3016199999999998</v>
      </c>
      <c r="G36" s="119">
        <f>+'2C2 Ferroalloys Production'!F40*'Conversion factors'!$B$5</f>
        <v>3.2524800000000003</v>
      </c>
      <c r="H36" s="119">
        <f>+'2C2 Ferroalloys Production'!G40*'Conversion factors'!$B$5</f>
        <v>4.0466999999999995</v>
      </c>
      <c r="I36" s="119">
        <f>+'2C2 Ferroalloys Production'!H40*'Conversion factors'!$B$5</f>
        <v>4.0635000000000003</v>
      </c>
      <c r="J36" s="119">
        <f>+'2C2 Ferroalloys Production'!I40*'Conversion factors'!$B$5</f>
        <v>4.2252000000000001</v>
      </c>
      <c r="K36" s="119">
        <f>+'2C2 Ferroalloys Production'!J40*'Conversion factors'!$B$5</f>
        <v>4.0151999999999992</v>
      </c>
      <c r="L36" s="119">
        <f>+'2C2 Ferroalloys Production'!K40*'Conversion factors'!$B$5</f>
        <v>4.4700600000000001</v>
      </c>
      <c r="M36" s="119">
        <f>+'2C2 Ferroalloys Production'!L40*'Conversion factors'!$B$5</f>
        <v>4.19916</v>
      </c>
      <c r="N36" s="119">
        <f>+'2C2 Ferroalloys Production'!M40*'Conversion factors'!$B$5</f>
        <v>4.1298599999999999</v>
      </c>
      <c r="O36" s="119">
        <f>+'2C2 Ferroalloys Production'!N40*'Conversion factors'!$B$5</f>
        <v>3.2911199999999998</v>
      </c>
      <c r="P36" s="119">
        <f>+'2C2 Ferroalloys Production'!O40*'Conversion factors'!$B$5</f>
        <v>3.8509800000000003</v>
      </c>
      <c r="Q36" s="119">
        <f>+'2C2 Ferroalloys Production'!P40*'Conversion factors'!$B$5</f>
        <v>4.1319599999999994</v>
      </c>
      <c r="R36" s="119">
        <f>+'2C2 Ferroalloys Production'!Q40*'Conversion factors'!$B$5</f>
        <v>3.0806999999999998</v>
      </c>
      <c r="S36" s="119">
        <f>+'2C2 Ferroalloys Production'!R40*'Conversion factors'!$B$5</f>
        <v>2.5032000000000001</v>
      </c>
      <c r="T36" s="119">
        <f>+'2C2 Ferroalloys Production'!S40*'Conversion factors'!$B$5</f>
        <v>3.0311399999999997</v>
      </c>
      <c r="U36" s="119">
        <f>+'2C2 Ferroalloys Production'!T40*'Conversion factors'!$B$5</f>
        <v>3.9715200000000004</v>
      </c>
      <c r="V36" s="119">
        <f>+'2C2 Ferroalloys Production'!U40*'Conversion factors'!$B$5</f>
        <v>3.1888498319999998</v>
      </c>
      <c r="W36" s="119">
        <f>+'2C2 Ferroalloys Production'!V40*'Conversion factors'!$B$5</f>
        <v>3.0701897520000001</v>
      </c>
    </row>
    <row r="37" spans="1:24" x14ac:dyDescent="0.25">
      <c r="A37" t="s">
        <v>742</v>
      </c>
      <c r="B37" t="s">
        <v>782</v>
      </c>
      <c r="C37" t="s">
        <v>783</v>
      </c>
      <c r="D37" t="s">
        <v>486</v>
      </c>
      <c r="E37" t="s">
        <v>745</v>
      </c>
      <c r="F37" s="119"/>
      <c r="G37" s="119"/>
      <c r="H37" s="119"/>
      <c r="I37" s="119"/>
      <c r="J37" s="119"/>
      <c r="K37" s="119"/>
      <c r="L37" s="119"/>
      <c r="M37" s="119"/>
      <c r="N37" s="119"/>
      <c r="O37" s="119"/>
      <c r="P37" s="119"/>
      <c r="Q37" s="119"/>
      <c r="R37" s="119"/>
      <c r="S37" s="119"/>
      <c r="T37" s="119"/>
      <c r="U37" s="119"/>
      <c r="V37" s="119"/>
      <c r="W37" s="119"/>
    </row>
    <row r="38" spans="1:24" x14ac:dyDescent="0.25">
      <c r="A38" t="s">
        <v>742</v>
      </c>
      <c r="B38" t="s">
        <v>784</v>
      </c>
      <c r="C38" t="s">
        <v>785</v>
      </c>
      <c r="D38" t="s">
        <v>486</v>
      </c>
      <c r="E38" t="s">
        <v>745</v>
      </c>
      <c r="F38" s="119"/>
      <c r="G38" s="119"/>
      <c r="H38" s="119"/>
      <c r="I38" s="119"/>
      <c r="J38" s="119"/>
      <c r="K38" s="119"/>
      <c r="L38" s="119"/>
      <c r="M38" s="119"/>
      <c r="N38" s="119"/>
      <c r="O38" s="119"/>
      <c r="P38" s="119"/>
      <c r="Q38" s="119"/>
      <c r="R38" s="119"/>
      <c r="S38" s="119"/>
      <c r="T38" s="119"/>
      <c r="U38" s="119"/>
      <c r="V38" s="119"/>
      <c r="W38" s="119"/>
    </row>
    <row r="39" spans="1:24" x14ac:dyDescent="0.25">
      <c r="A39" t="s">
        <v>742</v>
      </c>
      <c r="B39" t="s">
        <v>786</v>
      </c>
      <c r="C39" t="s">
        <v>787</v>
      </c>
      <c r="D39" t="s">
        <v>486</v>
      </c>
      <c r="E39" t="s">
        <v>745</v>
      </c>
      <c r="F39" s="119"/>
      <c r="G39" s="119"/>
      <c r="H39" s="119"/>
      <c r="I39" s="119"/>
      <c r="J39" s="119"/>
      <c r="K39" s="119"/>
      <c r="L39" s="119"/>
      <c r="M39" s="119"/>
      <c r="N39" s="119"/>
      <c r="O39" s="119"/>
      <c r="P39" s="119"/>
      <c r="Q39" s="119"/>
      <c r="R39" s="119"/>
      <c r="S39" s="119"/>
      <c r="T39" s="119"/>
      <c r="U39" s="119"/>
      <c r="V39" s="119"/>
      <c r="W39" s="119"/>
    </row>
    <row r="40" spans="1:24" x14ac:dyDescent="0.25">
      <c r="A40" t="s">
        <v>742</v>
      </c>
      <c r="B40" t="s">
        <v>788</v>
      </c>
      <c r="C40" t="s">
        <v>789</v>
      </c>
      <c r="D40" t="s">
        <v>486</v>
      </c>
      <c r="E40" t="s">
        <v>745</v>
      </c>
      <c r="F40" s="119"/>
      <c r="G40" s="119"/>
      <c r="H40" s="119"/>
      <c r="I40" s="119"/>
      <c r="J40" s="119"/>
      <c r="K40" s="119"/>
      <c r="L40" s="119"/>
      <c r="M40" s="119"/>
      <c r="N40" s="119"/>
      <c r="O40" s="119"/>
      <c r="P40" s="119"/>
      <c r="Q40" s="119"/>
      <c r="R40" s="119"/>
      <c r="S40" s="119"/>
      <c r="T40" s="119"/>
      <c r="U40" s="119"/>
      <c r="V40" s="119"/>
      <c r="W40" s="119"/>
    </row>
    <row r="41" spans="1:24" x14ac:dyDescent="0.25">
      <c r="A41" t="s">
        <v>742</v>
      </c>
      <c r="B41" t="s">
        <v>790</v>
      </c>
      <c r="C41" t="s">
        <v>756</v>
      </c>
      <c r="D41" t="s">
        <v>486</v>
      </c>
      <c r="E41" t="s">
        <v>745</v>
      </c>
      <c r="F41" s="119"/>
      <c r="G41" s="119"/>
      <c r="H41" s="119"/>
      <c r="I41" s="119"/>
      <c r="J41" s="119"/>
      <c r="K41" s="119"/>
      <c r="L41" s="119"/>
      <c r="M41" s="119"/>
      <c r="N41" s="119"/>
      <c r="O41" s="119"/>
      <c r="P41" s="119"/>
      <c r="Q41" s="119"/>
      <c r="R41" s="119"/>
      <c r="S41" s="119"/>
      <c r="T41" s="119"/>
      <c r="U41" s="119"/>
      <c r="V41" s="119"/>
      <c r="W41" s="119"/>
    </row>
    <row r="42" spans="1:24" s="23" customFormat="1" x14ac:dyDescent="0.25"/>
    <row r="43" spans="1:24" s="132" customFormat="1" x14ac:dyDescent="0.25">
      <c r="C43" s="132" t="s">
        <v>1002</v>
      </c>
    </row>
    <row r="44" spans="1:24" s="103" customFormat="1" x14ac:dyDescent="0.25">
      <c r="A44" s="7" t="s">
        <v>742</v>
      </c>
      <c r="B44" s="103" t="s">
        <v>777</v>
      </c>
      <c r="C44" s="103" t="s">
        <v>1001</v>
      </c>
      <c r="D44" s="7" t="s">
        <v>1003</v>
      </c>
      <c r="E44" s="7" t="s">
        <v>1004</v>
      </c>
      <c r="F44" s="116">
        <f>+SUM(F45:F51)</f>
        <v>0.13300000000000001</v>
      </c>
      <c r="G44" s="116">
        <f t="shared" ref="G44:U44" si="20">+SUM(G45:G51)</f>
        <v>0.13619999999999999</v>
      </c>
      <c r="H44" s="116">
        <f t="shared" si="20"/>
        <v>0.12159999999999999</v>
      </c>
      <c r="I44" s="116">
        <f t="shared" si="20"/>
        <v>0.1216</v>
      </c>
      <c r="J44" s="116">
        <f t="shared" si="20"/>
        <v>0.1207</v>
      </c>
      <c r="K44" s="116">
        <f t="shared" si="20"/>
        <v>0.1181</v>
      </c>
      <c r="L44" s="116">
        <f t="shared" si="20"/>
        <v>0.12680000000000002</v>
      </c>
      <c r="M44" s="116">
        <f t="shared" si="20"/>
        <v>0.13150000000000001</v>
      </c>
      <c r="N44" s="116">
        <f t="shared" si="20"/>
        <v>7.4200000000000002E-2</v>
      </c>
      <c r="O44" s="116">
        <f t="shared" si="20"/>
        <v>1.41E-2</v>
      </c>
      <c r="P44" s="116">
        <f t="shared" si="20"/>
        <v>1.8100000000000002E-2</v>
      </c>
      <c r="Q44" s="116">
        <f t="shared" si="20"/>
        <v>0.32490000000000002</v>
      </c>
      <c r="R44" s="116">
        <f t="shared" si="20"/>
        <v>0.26669999999999999</v>
      </c>
      <c r="S44" s="116">
        <f t="shared" si="20"/>
        <v>0.32958022765788325</v>
      </c>
      <c r="T44" s="116">
        <f t="shared" si="20"/>
        <v>0.30770154021506019</v>
      </c>
      <c r="U44" s="116">
        <f t="shared" si="20"/>
        <v>0.2945823272694551</v>
      </c>
      <c r="V44" s="116">
        <f t="shared" ref="V44:W44" si="21">+SUM(V45:V51)</f>
        <v>0.32825272863217936</v>
      </c>
      <c r="W44" s="116">
        <f t="shared" si="21"/>
        <v>0.33059508967030365</v>
      </c>
      <c r="X44"/>
    </row>
    <row r="45" spans="1:24" x14ac:dyDescent="0.25">
      <c r="A45" t="s">
        <v>742</v>
      </c>
      <c r="B45" t="s">
        <v>778</v>
      </c>
      <c r="C45" t="s">
        <v>779</v>
      </c>
      <c r="D45" t="s">
        <v>1003</v>
      </c>
      <c r="E45" t="s">
        <v>1004</v>
      </c>
      <c r="F45" s="119"/>
      <c r="G45" s="119"/>
      <c r="H45" s="119"/>
      <c r="I45" s="119"/>
      <c r="J45" s="119"/>
      <c r="K45" s="119"/>
      <c r="L45" s="119"/>
      <c r="M45" s="119"/>
      <c r="N45" s="119"/>
      <c r="O45" s="119"/>
      <c r="P45" s="119"/>
      <c r="Q45" s="119"/>
      <c r="R45" s="119"/>
      <c r="S45" s="119"/>
      <c r="T45" s="119"/>
      <c r="U45" s="119"/>
      <c r="V45" s="119"/>
      <c r="W45" s="119"/>
    </row>
    <row r="46" spans="1:24" x14ac:dyDescent="0.25">
      <c r="A46" t="s">
        <v>742</v>
      </c>
      <c r="B46" t="s">
        <v>780</v>
      </c>
      <c r="C46" t="s">
        <v>781</v>
      </c>
      <c r="D46" t="s">
        <v>1003</v>
      </c>
      <c r="E46" t="s">
        <v>1004</v>
      </c>
      <c r="F46" s="119"/>
      <c r="G46" s="119"/>
      <c r="H46" s="119"/>
      <c r="I46" s="119"/>
      <c r="J46" s="119"/>
      <c r="K46" s="119"/>
      <c r="L46" s="119"/>
      <c r="M46" s="119"/>
      <c r="N46" s="119"/>
      <c r="O46" s="119"/>
      <c r="P46" s="119"/>
      <c r="Q46" s="119"/>
      <c r="R46" s="119"/>
      <c r="S46" s="119"/>
      <c r="T46" s="119"/>
      <c r="U46" s="119"/>
      <c r="V46" s="119"/>
      <c r="W46" s="119"/>
    </row>
    <row r="47" spans="1:24" x14ac:dyDescent="0.25">
      <c r="A47" t="s">
        <v>742</v>
      </c>
      <c r="B47" t="s">
        <v>782</v>
      </c>
      <c r="C47" t="s">
        <v>783</v>
      </c>
      <c r="D47" t="s">
        <v>489</v>
      </c>
      <c r="E47" t="s">
        <v>1004</v>
      </c>
      <c r="F47" s="119">
        <f>+'2C3 Aluminium Production'!E43</f>
        <v>0.13300000000000001</v>
      </c>
      <c r="G47" s="119">
        <f>+'2C3 Aluminium Production'!F43</f>
        <v>0.13619999999999999</v>
      </c>
      <c r="H47" s="119">
        <f>+'2C3 Aluminium Production'!G43</f>
        <v>0.12159999999999999</v>
      </c>
      <c r="I47" s="119">
        <f>+'2C3 Aluminium Production'!H43</f>
        <v>0.1216</v>
      </c>
      <c r="J47" s="119">
        <f>+'2C3 Aluminium Production'!I43</f>
        <v>0.1207</v>
      </c>
      <c r="K47" s="119">
        <f>+'2C3 Aluminium Production'!J43</f>
        <v>0.1181</v>
      </c>
      <c r="L47" s="119">
        <f>+'2C3 Aluminium Production'!K43</f>
        <v>0.12680000000000002</v>
      </c>
      <c r="M47" s="119">
        <f>+'2C3 Aluminium Production'!L43</f>
        <v>0.13150000000000001</v>
      </c>
      <c r="N47" s="119">
        <f>+'2C3 Aluminium Production'!M43</f>
        <v>7.4200000000000002E-2</v>
      </c>
      <c r="O47" s="119">
        <f>+'2C3 Aluminium Production'!N43</f>
        <v>1.41E-2</v>
      </c>
      <c r="P47" s="119">
        <f>+'2C3 Aluminium Production'!O43</f>
        <v>1.8100000000000002E-2</v>
      </c>
      <c r="Q47" s="119">
        <f>+'2C3 Aluminium Production'!P43</f>
        <v>0.32490000000000002</v>
      </c>
      <c r="R47" s="119">
        <f>+'2C3 Aluminium Production'!Q43</f>
        <v>0.26669999999999999</v>
      </c>
      <c r="S47" s="119">
        <f>+'2C3 Aluminium Production'!R43</f>
        <v>0.32958022765788325</v>
      </c>
      <c r="T47" s="119">
        <f>+'2C3 Aluminium Production'!S43</f>
        <v>0.30770154021506019</v>
      </c>
      <c r="U47" s="119">
        <f>+'2C3 Aluminium Production'!T43</f>
        <v>0.2945823272694551</v>
      </c>
      <c r="V47" s="119">
        <f>+'2C3 Aluminium Production'!U43</f>
        <v>0.32825272863217936</v>
      </c>
      <c r="W47" s="119">
        <f>+'2C3 Aluminium Production'!V43</f>
        <v>0.33059508967030365</v>
      </c>
    </row>
    <row r="48" spans="1:24" x14ac:dyDescent="0.25">
      <c r="A48" t="s">
        <v>742</v>
      </c>
      <c r="B48" t="s">
        <v>784</v>
      </c>
      <c r="C48" t="s">
        <v>785</v>
      </c>
      <c r="D48" t="s">
        <v>489</v>
      </c>
      <c r="E48" t="s">
        <v>1004</v>
      </c>
      <c r="F48" s="119"/>
      <c r="G48" s="119"/>
      <c r="H48" s="119"/>
      <c r="I48" s="119"/>
      <c r="J48" s="119"/>
      <c r="K48" s="119"/>
      <c r="L48" s="119"/>
      <c r="M48" s="119"/>
      <c r="N48" s="119"/>
      <c r="O48" s="119"/>
      <c r="P48" s="119"/>
      <c r="Q48" s="119"/>
      <c r="R48" s="119"/>
      <c r="S48" s="119"/>
      <c r="T48" s="119"/>
      <c r="U48" s="119"/>
      <c r="V48" s="119"/>
      <c r="W48" s="119"/>
    </row>
    <row r="49" spans="1:24" x14ac:dyDescent="0.25">
      <c r="A49" t="s">
        <v>742</v>
      </c>
      <c r="B49" t="s">
        <v>786</v>
      </c>
      <c r="C49" t="s">
        <v>787</v>
      </c>
      <c r="D49" t="s">
        <v>489</v>
      </c>
      <c r="E49" t="s">
        <v>1004</v>
      </c>
      <c r="F49" s="119"/>
      <c r="G49" s="119"/>
      <c r="H49" s="119"/>
      <c r="I49" s="119"/>
      <c r="J49" s="119"/>
      <c r="K49" s="119"/>
      <c r="L49" s="119"/>
      <c r="M49" s="119"/>
      <c r="N49" s="119"/>
      <c r="O49" s="119"/>
      <c r="P49" s="119"/>
      <c r="Q49" s="119"/>
      <c r="R49" s="119"/>
      <c r="S49" s="119"/>
      <c r="T49" s="119"/>
      <c r="U49" s="119"/>
      <c r="V49" s="119"/>
      <c r="W49" s="119"/>
    </row>
    <row r="50" spans="1:24" x14ac:dyDescent="0.25">
      <c r="A50" t="s">
        <v>742</v>
      </c>
      <c r="B50" t="s">
        <v>788</v>
      </c>
      <c r="C50" t="s">
        <v>789</v>
      </c>
      <c r="D50" t="s">
        <v>489</v>
      </c>
      <c r="E50" t="s">
        <v>1004</v>
      </c>
      <c r="F50" s="119"/>
      <c r="G50" s="119"/>
      <c r="H50" s="119"/>
      <c r="I50" s="119"/>
      <c r="J50" s="119"/>
      <c r="K50" s="119"/>
      <c r="L50" s="119"/>
      <c r="M50" s="119"/>
      <c r="N50" s="119"/>
      <c r="O50" s="119"/>
      <c r="P50" s="119"/>
      <c r="Q50" s="119"/>
      <c r="R50" s="119"/>
      <c r="S50" s="119"/>
      <c r="T50" s="119"/>
      <c r="U50" s="119"/>
      <c r="V50" s="119"/>
      <c r="W50" s="119"/>
    </row>
    <row r="51" spans="1:24" x14ac:dyDescent="0.25">
      <c r="A51" t="s">
        <v>742</v>
      </c>
      <c r="B51" t="s">
        <v>790</v>
      </c>
      <c r="C51" t="s">
        <v>756</v>
      </c>
      <c r="D51" t="s">
        <v>489</v>
      </c>
      <c r="E51" t="s">
        <v>1004</v>
      </c>
      <c r="F51" s="119"/>
      <c r="G51" s="119"/>
      <c r="H51" s="119"/>
      <c r="I51" s="119"/>
      <c r="J51" s="119"/>
      <c r="K51" s="119"/>
      <c r="L51" s="119"/>
      <c r="M51" s="119"/>
      <c r="N51" s="119"/>
      <c r="O51" s="119"/>
      <c r="P51" s="119"/>
      <c r="Q51" s="119"/>
      <c r="R51" s="119"/>
      <c r="S51" s="119"/>
      <c r="T51" s="119"/>
      <c r="U51" s="119"/>
      <c r="V51" s="119"/>
      <c r="W51" s="119"/>
    </row>
    <row r="52" spans="1:24" s="23" customFormat="1" x14ac:dyDescent="0.25"/>
    <row r="53" spans="1:24" s="103" customFormat="1" x14ac:dyDescent="0.25">
      <c r="A53" s="7" t="s">
        <v>742</v>
      </c>
      <c r="B53" s="103" t="s">
        <v>777</v>
      </c>
      <c r="C53" s="103" t="s">
        <v>1001</v>
      </c>
      <c r="D53" s="7" t="s">
        <v>490</v>
      </c>
      <c r="E53" s="7" t="s">
        <v>1005</v>
      </c>
      <c r="F53" s="116">
        <f>+SUM(F54:F60)</f>
        <v>1.29E-2</v>
      </c>
      <c r="G53" s="116">
        <f t="shared" ref="G53:U53" si="22">+SUM(G54:G60)</f>
        <v>1.3299999999999999E-2</v>
      </c>
      <c r="H53" s="116">
        <f t="shared" si="22"/>
        <v>1.1599999999999999E-2</v>
      </c>
      <c r="I53" s="116">
        <f t="shared" si="22"/>
        <v>1.15E-2</v>
      </c>
      <c r="J53" s="116">
        <f t="shared" si="22"/>
        <v>1.1399999999999999E-2</v>
      </c>
      <c r="K53" s="116">
        <f t="shared" si="22"/>
        <v>1.1299999999999999E-2</v>
      </c>
      <c r="L53" s="116">
        <f t="shared" si="22"/>
        <v>1.21E-2</v>
      </c>
      <c r="M53" s="116">
        <f t="shared" si="22"/>
        <v>1.26E-2</v>
      </c>
      <c r="N53" s="116">
        <f t="shared" si="22"/>
        <v>7.0999999999999995E-3</v>
      </c>
      <c r="O53" s="116">
        <f t="shared" si="22"/>
        <v>1.8E-3</v>
      </c>
      <c r="P53" s="116">
        <f t="shared" si="22"/>
        <v>2.2000000000000001E-3</v>
      </c>
      <c r="Q53" s="116">
        <f t="shared" si="22"/>
        <v>3.2500000000000001E-2</v>
      </c>
      <c r="R53" s="116">
        <f t="shared" si="22"/>
        <v>2.6700000000000002E-2</v>
      </c>
      <c r="S53" s="116">
        <f t="shared" si="22"/>
        <v>3.299509590725716E-2</v>
      </c>
      <c r="T53" s="116">
        <f t="shared" si="22"/>
        <v>3.0804766118268122E-2</v>
      </c>
      <c r="U53" s="116">
        <f t="shared" si="22"/>
        <v>2.949136909671711E-2</v>
      </c>
      <c r="V53" s="116">
        <f t="shared" ref="V53:W53" si="23">+SUM(V54:V60)</f>
        <v>3.2862196679711957E-2</v>
      </c>
      <c r="W53" s="116">
        <f t="shared" si="23"/>
        <v>3.3096696266205837E-2</v>
      </c>
      <c r="X53"/>
    </row>
    <row r="54" spans="1:24" x14ac:dyDescent="0.25">
      <c r="A54" t="s">
        <v>742</v>
      </c>
      <c r="B54" t="s">
        <v>778</v>
      </c>
      <c r="C54" t="s">
        <v>779</v>
      </c>
      <c r="D54" t="s">
        <v>490</v>
      </c>
      <c r="E54" t="s">
        <v>1005</v>
      </c>
      <c r="F54" s="119"/>
      <c r="G54" s="119"/>
      <c r="H54" s="119"/>
      <c r="I54" s="119"/>
      <c r="J54" s="119"/>
      <c r="K54" s="119"/>
      <c r="L54" s="119"/>
      <c r="M54" s="119"/>
      <c r="N54" s="119"/>
      <c r="O54" s="119"/>
      <c r="P54" s="119"/>
      <c r="Q54" s="119"/>
      <c r="R54" s="119"/>
      <c r="S54" s="119"/>
      <c r="T54" s="119"/>
      <c r="U54" s="119"/>
      <c r="V54" s="119"/>
      <c r="W54" s="119"/>
    </row>
    <row r="55" spans="1:24" x14ac:dyDescent="0.25">
      <c r="A55" t="s">
        <v>742</v>
      </c>
      <c r="B55" t="s">
        <v>780</v>
      </c>
      <c r="C55" t="s">
        <v>781</v>
      </c>
      <c r="D55" s="118" t="s">
        <v>490</v>
      </c>
      <c r="E55" t="s">
        <v>1005</v>
      </c>
      <c r="F55" s="119"/>
      <c r="G55" s="119"/>
      <c r="H55" s="119"/>
      <c r="I55" s="119"/>
      <c r="J55" s="119"/>
      <c r="K55" s="119"/>
      <c r="L55" s="119"/>
      <c r="M55" s="119"/>
      <c r="N55" s="119"/>
      <c r="O55" s="119"/>
      <c r="P55" s="119"/>
      <c r="Q55" s="119"/>
      <c r="R55" s="119"/>
      <c r="S55" s="119"/>
      <c r="T55" s="119"/>
      <c r="U55" s="119"/>
      <c r="V55" s="119"/>
      <c r="W55" s="119"/>
    </row>
    <row r="56" spans="1:24" x14ac:dyDescent="0.25">
      <c r="A56" t="s">
        <v>742</v>
      </c>
      <c r="B56" t="s">
        <v>782</v>
      </c>
      <c r="C56" t="s">
        <v>783</v>
      </c>
      <c r="D56" t="s">
        <v>490</v>
      </c>
      <c r="E56" t="s">
        <v>1005</v>
      </c>
      <c r="F56" s="119">
        <f>+'2C3 Aluminium Production'!E48</f>
        <v>1.29E-2</v>
      </c>
      <c r="G56" s="119">
        <f>+'2C3 Aluminium Production'!F48</f>
        <v>1.3299999999999999E-2</v>
      </c>
      <c r="H56" s="119">
        <f>+'2C3 Aluminium Production'!G48</f>
        <v>1.1599999999999999E-2</v>
      </c>
      <c r="I56" s="119">
        <f>+'2C3 Aluminium Production'!H48</f>
        <v>1.15E-2</v>
      </c>
      <c r="J56" s="119">
        <f>+'2C3 Aluminium Production'!I48</f>
        <v>1.1399999999999999E-2</v>
      </c>
      <c r="K56" s="119">
        <f>+'2C3 Aluminium Production'!J48</f>
        <v>1.1299999999999999E-2</v>
      </c>
      <c r="L56" s="119">
        <f>+'2C3 Aluminium Production'!K48</f>
        <v>1.21E-2</v>
      </c>
      <c r="M56" s="119">
        <f>+'2C3 Aluminium Production'!L48</f>
        <v>1.26E-2</v>
      </c>
      <c r="N56" s="119">
        <f>+'2C3 Aluminium Production'!M48</f>
        <v>7.0999999999999995E-3</v>
      </c>
      <c r="O56" s="119">
        <f>+'2C3 Aluminium Production'!N48</f>
        <v>1.8E-3</v>
      </c>
      <c r="P56" s="119">
        <f>+'2C3 Aluminium Production'!O48</f>
        <v>2.2000000000000001E-3</v>
      </c>
      <c r="Q56" s="119">
        <f>+'2C3 Aluminium Production'!P48</f>
        <v>3.2500000000000001E-2</v>
      </c>
      <c r="R56" s="119">
        <f>+'2C3 Aluminium Production'!Q48</f>
        <v>2.6700000000000002E-2</v>
      </c>
      <c r="S56" s="119">
        <f>+'2C3 Aluminium Production'!R48</f>
        <v>3.299509590725716E-2</v>
      </c>
      <c r="T56" s="119">
        <f>+'2C3 Aluminium Production'!S48</f>
        <v>3.0804766118268122E-2</v>
      </c>
      <c r="U56" s="119">
        <f>+'2C3 Aluminium Production'!T48</f>
        <v>2.949136909671711E-2</v>
      </c>
      <c r="V56" s="119">
        <f>+'2C3 Aluminium Production'!U48</f>
        <v>3.2862196679711957E-2</v>
      </c>
      <c r="W56" s="119">
        <f>+'2C3 Aluminium Production'!V48</f>
        <v>3.3096696266205837E-2</v>
      </c>
    </row>
    <row r="57" spans="1:24" x14ac:dyDescent="0.25">
      <c r="A57" t="s">
        <v>742</v>
      </c>
      <c r="B57" t="s">
        <v>784</v>
      </c>
      <c r="C57" t="s">
        <v>785</v>
      </c>
      <c r="D57" s="118" t="s">
        <v>490</v>
      </c>
      <c r="E57" t="s">
        <v>1005</v>
      </c>
      <c r="F57" s="119"/>
      <c r="G57" s="119"/>
      <c r="H57" s="119"/>
      <c r="I57" s="119"/>
      <c r="J57" s="119"/>
      <c r="K57" s="119"/>
      <c r="L57" s="119"/>
      <c r="M57" s="119"/>
      <c r="N57" s="119"/>
      <c r="O57" s="119"/>
      <c r="P57" s="119"/>
      <c r="Q57" s="119"/>
      <c r="R57" s="119"/>
      <c r="S57" s="119"/>
      <c r="T57" s="119"/>
      <c r="U57" s="119"/>
      <c r="V57" s="119"/>
      <c r="W57" s="119"/>
    </row>
    <row r="58" spans="1:24" x14ac:dyDescent="0.25">
      <c r="A58" t="s">
        <v>742</v>
      </c>
      <c r="B58" t="s">
        <v>786</v>
      </c>
      <c r="C58" t="s">
        <v>787</v>
      </c>
      <c r="D58" t="s">
        <v>490</v>
      </c>
      <c r="E58" t="s">
        <v>1005</v>
      </c>
      <c r="F58" s="119"/>
      <c r="G58" s="119"/>
      <c r="H58" s="119"/>
      <c r="I58" s="119"/>
      <c r="J58" s="119"/>
      <c r="K58" s="119"/>
      <c r="L58" s="119"/>
      <c r="M58" s="119"/>
      <c r="N58" s="119"/>
      <c r="O58" s="119"/>
      <c r="P58" s="119"/>
      <c r="Q58" s="119"/>
      <c r="R58" s="119"/>
      <c r="S58" s="119"/>
      <c r="T58" s="119"/>
      <c r="U58" s="119"/>
      <c r="V58" s="119"/>
      <c r="W58" s="119"/>
    </row>
    <row r="59" spans="1:24" x14ac:dyDescent="0.25">
      <c r="A59" t="s">
        <v>742</v>
      </c>
      <c r="B59" t="s">
        <v>788</v>
      </c>
      <c r="C59" t="s">
        <v>789</v>
      </c>
      <c r="D59" s="118" t="s">
        <v>490</v>
      </c>
      <c r="E59" t="s">
        <v>1005</v>
      </c>
      <c r="F59" s="119"/>
      <c r="G59" s="119"/>
      <c r="H59" s="119"/>
      <c r="I59" s="119"/>
      <c r="J59" s="119"/>
      <c r="K59" s="119"/>
      <c r="L59" s="119"/>
      <c r="M59" s="119"/>
      <c r="N59" s="119"/>
      <c r="O59" s="119"/>
      <c r="P59" s="119"/>
      <c r="Q59" s="119"/>
      <c r="R59" s="119"/>
      <c r="S59" s="119"/>
      <c r="T59" s="119"/>
      <c r="U59" s="119"/>
      <c r="V59" s="119"/>
      <c r="W59" s="119"/>
    </row>
    <row r="60" spans="1:24" x14ac:dyDescent="0.25">
      <c r="A60" t="s">
        <v>742</v>
      </c>
      <c r="B60" t="s">
        <v>790</v>
      </c>
      <c r="C60" t="s">
        <v>756</v>
      </c>
      <c r="D60" t="s">
        <v>490</v>
      </c>
      <c r="E60" t="s">
        <v>1005</v>
      </c>
      <c r="F60" s="119"/>
      <c r="G60" s="119"/>
      <c r="H60" s="119"/>
      <c r="I60" s="119"/>
      <c r="J60" s="119"/>
      <c r="K60" s="119"/>
      <c r="L60" s="119"/>
      <c r="M60" s="119"/>
      <c r="N60" s="119"/>
      <c r="O60" s="119"/>
      <c r="P60" s="119"/>
      <c r="Q60" s="119"/>
      <c r="R60" s="119"/>
      <c r="S60" s="119"/>
      <c r="T60" s="119"/>
      <c r="U60" s="119"/>
      <c r="V60" s="119"/>
      <c r="W60" s="119"/>
    </row>
    <row r="61" spans="1:24" s="23" customFormat="1" x14ac:dyDescent="0.25"/>
    <row r="62" spans="1:24" s="103" customFormat="1" x14ac:dyDescent="0.25">
      <c r="A62" s="7" t="s">
        <v>742</v>
      </c>
      <c r="B62" s="103" t="s">
        <v>777</v>
      </c>
      <c r="C62" s="103" t="s">
        <v>1001</v>
      </c>
      <c r="D62" s="7" t="s">
        <v>1006</v>
      </c>
      <c r="E62" s="7" t="s">
        <v>745</v>
      </c>
      <c r="F62" s="116">
        <f>+SUM(F63:F69)</f>
        <v>983.18000000000006</v>
      </c>
      <c r="G62" s="116">
        <f t="shared" ref="G62:U62" si="24">+SUM(G63:G69)</f>
        <v>1007.66</v>
      </c>
      <c r="H62" s="116">
        <f t="shared" si="24"/>
        <v>897.11999999999989</v>
      </c>
      <c r="I62" s="116">
        <f t="shared" si="24"/>
        <v>896.19999999999993</v>
      </c>
      <c r="J62" s="116">
        <f t="shared" si="24"/>
        <v>889.43</v>
      </c>
      <c r="K62" s="116">
        <f t="shared" si="24"/>
        <v>871.61</v>
      </c>
      <c r="L62" s="116">
        <f t="shared" si="24"/>
        <v>935.52000000000021</v>
      </c>
      <c r="M62" s="116">
        <f t="shared" si="24"/>
        <v>970.67</v>
      </c>
      <c r="N62" s="116">
        <f t="shared" si="24"/>
        <v>547.62</v>
      </c>
      <c r="O62" s="116">
        <f t="shared" si="24"/>
        <v>108.21</v>
      </c>
      <c r="P62" s="116">
        <f t="shared" si="24"/>
        <v>137.89000000000001</v>
      </c>
      <c r="Q62" s="116">
        <f t="shared" si="24"/>
        <v>2410.8500000000004</v>
      </c>
      <c r="R62" s="116">
        <f t="shared" si="24"/>
        <v>1979.19</v>
      </c>
      <c r="S62" s="116">
        <f t="shared" si="24"/>
        <v>2445.8263621230067</v>
      </c>
      <c r="T62" s="116">
        <f t="shared" si="24"/>
        <v>2283.4638596859581</v>
      </c>
      <c r="U62" s="116">
        <f t="shared" si="24"/>
        <v>2186.1057229412554</v>
      </c>
      <c r="V62" s="116">
        <f t="shared" ref="V62:W62" si="25">+SUM(V63:V69)</f>
        <v>2435.974945562516</v>
      </c>
      <c r="W62" s="116">
        <f t="shared" si="25"/>
        <v>2453.3576885060675</v>
      </c>
      <c r="X62"/>
    </row>
    <row r="63" spans="1:24" x14ac:dyDescent="0.25">
      <c r="A63" t="s">
        <v>742</v>
      </c>
      <c r="B63" t="s">
        <v>778</v>
      </c>
      <c r="C63" t="s">
        <v>779</v>
      </c>
      <c r="D63" t="s">
        <v>1006</v>
      </c>
      <c r="E63" t="s">
        <v>745</v>
      </c>
      <c r="F63" s="119"/>
      <c r="G63" s="119"/>
      <c r="H63" s="119"/>
      <c r="I63" s="119"/>
      <c r="J63" s="119"/>
      <c r="K63" s="119"/>
      <c r="L63" s="119"/>
      <c r="M63" s="119"/>
      <c r="N63" s="119"/>
      <c r="O63" s="119"/>
      <c r="P63" s="119"/>
      <c r="Q63" s="119"/>
      <c r="R63" s="119"/>
      <c r="S63" s="119"/>
      <c r="T63" s="119"/>
      <c r="U63" s="119"/>
      <c r="V63" s="119"/>
      <c r="W63" s="119"/>
    </row>
    <row r="64" spans="1:24" x14ac:dyDescent="0.25">
      <c r="A64" t="s">
        <v>742</v>
      </c>
      <c r="B64" t="s">
        <v>780</v>
      </c>
      <c r="C64" t="s">
        <v>781</v>
      </c>
      <c r="D64" s="118" t="s">
        <v>1006</v>
      </c>
      <c r="E64" t="s">
        <v>745</v>
      </c>
      <c r="F64" s="119"/>
      <c r="G64" s="119"/>
      <c r="H64" s="119"/>
      <c r="I64" s="119"/>
      <c r="J64" s="119"/>
      <c r="K64" s="119"/>
      <c r="L64" s="119"/>
      <c r="M64" s="119"/>
      <c r="N64" s="119"/>
      <c r="O64" s="119"/>
      <c r="P64" s="119"/>
      <c r="Q64" s="119"/>
      <c r="R64" s="119"/>
      <c r="S64" s="119"/>
      <c r="T64" s="119"/>
      <c r="U64" s="119"/>
      <c r="V64" s="119"/>
      <c r="W64" s="119"/>
    </row>
    <row r="65" spans="1:24" x14ac:dyDescent="0.25">
      <c r="A65" t="s">
        <v>742</v>
      </c>
      <c r="B65" t="s">
        <v>782</v>
      </c>
      <c r="C65" t="s">
        <v>783</v>
      </c>
      <c r="D65" s="118" t="s">
        <v>1006</v>
      </c>
      <c r="E65" t="s">
        <v>745</v>
      </c>
      <c r="F65" s="119">
        <f>+('2C3 Aluminium Production'!E43*'Conversion factors'!$B$7)+('2C3 Aluminium Production'!E48*'Conversion factors'!$B$8)</f>
        <v>983.18000000000006</v>
      </c>
      <c r="G65" s="119">
        <f>+('2C3 Aluminium Production'!F43*'Conversion factors'!$B$7)+('2C3 Aluminium Production'!F48*'Conversion factors'!$B$8)</f>
        <v>1007.66</v>
      </c>
      <c r="H65" s="119">
        <f>+('2C3 Aluminium Production'!G43*'Conversion factors'!$B$7)+('2C3 Aluminium Production'!G48*'Conversion factors'!$B$8)</f>
        <v>897.11999999999989</v>
      </c>
      <c r="I65" s="119">
        <f>+('2C3 Aluminium Production'!H43*'Conversion factors'!$B$7)+('2C3 Aluminium Production'!H48*'Conversion factors'!$B$8)</f>
        <v>896.19999999999993</v>
      </c>
      <c r="J65" s="119">
        <f>+('2C3 Aluminium Production'!I43*'Conversion factors'!$B$7)+('2C3 Aluminium Production'!I48*'Conversion factors'!$B$8)</f>
        <v>889.43</v>
      </c>
      <c r="K65" s="119">
        <f>+('2C3 Aluminium Production'!J43*'Conversion factors'!$B$7)+('2C3 Aluminium Production'!J48*'Conversion factors'!$B$8)</f>
        <v>871.61</v>
      </c>
      <c r="L65" s="119">
        <f>+('2C3 Aluminium Production'!K43*'Conversion factors'!$B$7)+('2C3 Aluminium Production'!K48*'Conversion factors'!$B$8)</f>
        <v>935.52000000000021</v>
      </c>
      <c r="M65" s="119">
        <f>+('2C3 Aluminium Production'!L43*'Conversion factors'!$B$7)+('2C3 Aluminium Production'!L48*'Conversion factors'!$B$8)</f>
        <v>970.67</v>
      </c>
      <c r="N65" s="119">
        <f>+('2C3 Aluminium Production'!M43*'Conversion factors'!$B$7)+('2C3 Aluminium Production'!M48*'Conversion factors'!$B$8)</f>
        <v>547.62</v>
      </c>
      <c r="O65" s="119">
        <f>+('2C3 Aluminium Production'!N43*'Conversion factors'!$B$7)+('2C3 Aluminium Production'!N48*'Conversion factors'!$B$8)</f>
        <v>108.21</v>
      </c>
      <c r="P65" s="119">
        <f>+('2C3 Aluminium Production'!O43*'Conversion factors'!$B$7)+('2C3 Aluminium Production'!O48*'Conversion factors'!$B$8)</f>
        <v>137.89000000000001</v>
      </c>
      <c r="Q65" s="119">
        <f>+('2C3 Aluminium Production'!P43*'Conversion factors'!$B$7)+('2C3 Aluminium Production'!P48*'Conversion factors'!$B$8)</f>
        <v>2410.8500000000004</v>
      </c>
      <c r="R65" s="119">
        <f>+('2C3 Aluminium Production'!Q43*'Conversion factors'!$B$7)+('2C3 Aluminium Production'!Q48*'Conversion factors'!$B$8)</f>
        <v>1979.19</v>
      </c>
      <c r="S65" s="119">
        <f>+('2C3 Aluminium Production'!R43*'Conversion factors'!$B$7)+('2C3 Aluminium Production'!R48*'Conversion factors'!$B$8)</f>
        <v>2445.8263621230067</v>
      </c>
      <c r="T65" s="119">
        <f>+('2C3 Aluminium Production'!S43*'Conversion factors'!$B$7)+('2C3 Aluminium Production'!S48*'Conversion factors'!$B$8)</f>
        <v>2283.4638596859581</v>
      </c>
      <c r="U65" s="119">
        <f>+('2C3 Aluminium Production'!T43*'Conversion factors'!$B$7)+('2C3 Aluminium Production'!T48*'Conversion factors'!$B$8)</f>
        <v>2186.1057229412554</v>
      </c>
      <c r="V65" s="119">
        <f>+('2C3 Aluminium Production'!U43*'Conversion factors'!$B$7)+('2C3 Aluminium Production'!U48*'Conversion factors'!$B$8)</f>
        <v>2435.974945562516</v>
      </c>
      <c r="W65" s="119">
        <f>+('2C3 Aluminium Production'!V43*'Conversion factors'!$B$7)+('2C3 Aluminium Production'!V48*'Conversion factors'!$B$8)</f>
        <v>2453.3576885060675</v>
      </c>
    </row>
    <row r="66" spans="1:24" x14ac:dyDescent="0.25">
      <c r="A66" t="s">
        <v>742</v>
      </c>
      <c r="B66" t="s">
        <v>784</v>
      </c>
      <c r="C66" t="s">
        <v>785</v>
      </c>
      <c r="D66" s="118" t="s">
        <v>1006</v>
      </c>
      <c r="E66" t="s">
        <v>745</v>
      </c>
      <c r="F66" s="119"/>
      <c r="G66" s="119"/>
      <c r="H66" s="119"/>
      <c r="I66" s="119"/>
      <c r="J66" s="119"/>
      <c r="K66" s="119"/>
      <c r="L66" s="119"/>
      <c r="M66" s="119"/>
      <c r="N66" s="119"/>
      <c r="O66" s="119"/>
      <c r="P66" s="119"/>
      <c r="Q66" s="119"/>
      <c r="R66" s="119"/>
      <c r="S66" s="119"/>
      <c r="T66" s="119"/>
      <c r="U66" s="119"/>
      <c r="V66" s="119"/>
      <c r="W66" s="119"/>
    </row>
    <row r="67" spans="1:24" x14ac:dyDescent="0.25">
      <c r="A67" t="s">
        <v>742</v>
      </c>
      <c r="B67" t="s">
        <v>786</v>
      </c>
      <c r="C67" t="s">
        <v>787</v>
      </c>
      <c r="D67" s="118" t="s">
        <v>1006</v>
      </c>
      <c r="E67" t="s">
        <v>745</v>
      </c>
      <c r="F67" s="119"/>
      <c r="G67" s="119"/>
      <c r="H67" s="119"/>
      <c r="I67" s="119"/>
      <c r="J67" s="119"/>
      <c r="K67" s="119"/>
      <c r="L67" s="119"/>
      <c r="M67" s="119"/>
      <c r="N67" s="119"/>
      <c r="O67" s="119"/>
      <c r="P67" s="119"/>
      <c r="Q67" s="119"/>
      <c r="R67" s="119"/>
      <c r="S67" s="119"/>
      <c r="T67" s="119"/>
      <c r="U67" s="119"/>
      <c r="V67" s="119"/>
      <c r="W67" s="119"/>
    </row>
    <row r="68" spans="1:24" x14ac:dyDescent="0.25">
      <c r="A68" t="s">
        <v>742</v>
      </c>
      <c r="B68" t="s">
        <v>788</v>
      </c>
      <c r="C68" t="s">
        <v>789</v>
      </c>
      <c r="D68" s="118" t="s">
        <v>1006</v>
      </c>
      <c r="E68" t="s">
        <v>745</v>
      </c>
      <c r="F68" s="119"/>
      <c r="G68" s="119"/>
      <c r="H68" s="119"/>
      <c r="I68" s="119"/>
      <c r="J68" s="119"/>
      <c r="K68" s="119"/>
      <c r="L68" s="119"/>
      <c r="M68" s="119"/>
      <c r="N68" s="119"/>
      <c r="O68" s="119"/>
      <c r="P68" s="119"/>
      <c r="Q68" s="119"/>
      <c r="R68" s="119"/>
      <c r="S68" s="119"/>
      <c r="T68" s="119"/>
      <c r="U68" s="119"/>
      <c r="V68" s="119"/>
      <c r="W68" s="119"/>
    </row>
    <row r="69" spans="1:24" x14ac:dyDescent="0.25">
      <c r="A69" t="s">
        <v>742</v>
      </c>
      <c r="B69" t="s">
        <v>790</v>
      </c>
      <c r="C69" t="s">
        <v>756</v>
      </c>
      <c r="D69" t="s">
        <v>1006</v>
      </c>
      <c r="E69" t="s">
        <v>745</v>
      </c>
      <c r="F69" s="119"/>
      <c r="G69" s="119"/>
      <c r="H69" s="119"/>
      <c r="I69" s="119"/>
      <c r="J69" s="119"/>
      <c r="K69" s="119"/>
      <c r="L69" s="119"/>
      <c r="M69" s="119"/>
      <c r="N69" s="119"/>
      <c r="O69" s="119"/>
      <c r="P69" s="119"/>
      <c r="Q69" s="119"/>
      <c r="R69" s="119"/>
      <c r="S69" s="119"/>
      <c r="T69" s="119"/>
      <c r="U69" s="119"/>
      <c r="V69" s="119"/>
      <c r="W69" s="119"/>
    </row>
    <row r="70" spans="1:24" s="23" customFormat="1" x14ac:dyDescent="0.25"/>
    <row r="71" spans="1:24" s="6" customFormat="1" ht="21" x14ac:dyDescent="0.35">
      <c r="A71" s="6" t="s">
        <v>346</v>
      </c>
      <c r="C71" s="32" t="s">
        <v>843</v>
      </c>
    </row>
    <row r="73" spans="1:24" s="22" customFormat="1" x14ac:dyDescent="0.25">
      <c r="A73" s="123" t="s">
        <v>844</v>
      </c>
    </row>
    <row r="74" spans="1:24" s="7" customFormat="1" x14ac:dyDescent="0.25">
      <c r="A74" s="110" t="s">
        <v>736</v>
      </c>
      <c r="B74" s="110" t="s">
        <v>737</v>
      </c>
      <c r="C74" s="110" t="s">
        <v>738</v>
      </c>
      <c r="D74" s="110" t="s">
        <v>739</v>
      </c>
      <c r="E74" s="110" t="s">
        <v>740</v>
      </c>
      <c r="F74" s="110">
        <v>2000</v>
      </c>
      <c r="G74" s="110">
        <v>2001</v>
      </c>
      <c r="H74" s="110">
        <v>2002</v>
      </c>
      <c r="I74" s="110">
        <v>2003</v>
      </c>
      <c r="J74" s="110">
        <v>2004</v>
      </c>
      <c r="K74" s="110">
        <v>2005</v>
      </c>
      <c r="L74" s="110">
        <v>2006</v>
      </c>
      <c r="M74" s="110">
        <v>2007</v>
      </c>
      <c r="N74" s="110">
        <v>2008</v>
      </c>
      <c r="O74" s="110">
        <v>2009</v>
      </c>
      <c r="P74" s="110">
        <v>2010</v>
      </c>
      <c r="Q74" s="110">
        <v>2011</v>
      </c>
      <c r="R74" s="110">
        <v>2012</v>
      </c>
      <c r="S74" s="110">
        <v>2013</v>
      </c>
      <c r="T74" s="110">
        <v>2014</v>
      </c>
      <c r="U74" s="110">
        <v>2015</v>
      </c>
      <c r="V74" s="110"/>
      <c r="W74" s="110"/>
      <c r="X74" s="10" t="s">
        <v>741</v>
      </c>
    </row>
    <row r="75" spans="1:24" s="7" customFormat="1" x14ac:dyDescent="0.25">
      <c r="A75" s="110" t="s">
        <v>742</v>
      </c>
      <c r="B75" s="110" t="s">
        <v>777</v>
      </c>
      <c r="C75" s="110" t="s">
        <v>1007</v>
      </c>
      <c r="D75" s="110" t="s">
        <v>744</v>
      </c>
      <c r="E75" s="110" t="s">
        <v>745</v>
      </c>
      <c r="F75" s="126">
        <v>26714.929834999999</v>
      </c>
      <c r="G75" s="126">
        <v>26812.662649999998</v>
      </c>
      <c r="H75" s="126">
        <v>28322.02362</v>
      </c>
      <c r="I75" s="126">
        <v>28093.210279999999</v>
      </c>
      <c r="J75" s="126">
        <v>28071.739315000003</v>
      </c>
      <c r="K75" s="126">
        <v>29098.857960000005</v>
      </c>
      <c r="L75" s="126">
        <v>29740.113375000004</v>
      </c>
      <c r="M75" s="126">
        <v>28892.095469999997</v>
      </c>
      <c r="N75" s="126">
        <v>27253.937945000001</v>
      </c>
      <c r="O75" s="126">
        <v>25467.171760000001</v>
      </c>
      <c r="P75" s="126">
        <v>27203.991429999998</v>
      </c>
      <c r="Q75" s="126">
        <v>30966.17239</v>
      </c>
      <c r="R75" s="126">
        <v>29784.9306</v>
      </c>
      <c r="S75" s="29">
        <v>31384.054412178357</v>
      </c>
      <c r="T75" s="29">
        <v>31842.291876701373</v>
      </c>
      <c r="U75" s="29">
        <v>30946.361913868881</v>
      </c>
      <c r="V75" s="29"/>
      <c r="W75" s="29"/>
      <c r="X75"/>
    </row>
    <row r="76" spans="1:24" x14ac:dyDescent="0.25">
      <c r="A76" s="11" t="s">
        <v>742</v>
      </c>
      <c r="B76" s="11" t="s">
        <v>778</v>
      </c>
      <c r="C76" s="11" t="s">
        <v>779</v>
      </c>
      <c r="D76" s="11" t="s">
        <v>744</v>
      </c>
      <c r="E76" s="11" t="s">
        <v>745</v>
      </c>
      <c r="F76" s="29">
        <v>16410.526914999999</v>
      </c>
      <c r="G76" s="29">
        <v>16410.537369999998</v>
      </c>
      <c r="H76" s="29">
        <v>17176.103220000001</v>
      </c>
      <c r="I76" s="29">
        <v>16786.444480000002</v>
      </c>
      <c r="J76" s="29">
        <v>16425.253915000001</v>
      </c>
      <c r="K76" s="29">
        <v>17359.699860000001</v>
      </c>
      <c r="L76" s="29">
        <v>17218.494115000001</v>
      </c>
      <c r="M76" s="29">
        <v>15147.096109999999</v>
      </c>
      <c r="N76" s="29">
        <v>14152.034485</v>
      </c>
      <c r="O76" s="29">
        <v>12794.452040000002</v>
      </c>
      <c r="P76" s="29">
        <v>13861.709649999999</v>
      </c>
      <c r="Q76" s="29">
        <v>14922.64853</v>
      </c>
      <c r="R76" s="29">
        <v>15020.696860000002</v>
      </c>
      <c r="S76" s="29">
        <v>15582.114970055352</v>
      </c>
      <c r="T76" s="29">
        <v>14363.524995027368</v>
      </c>
      <c r="U76" s="29">
        <v>14093.548470927624</v>
      </c>
      <c r="V76" s="29"/>
      <c r="W76" s="29"/>
    </row>
    <row r="77" spans="1:24" x14ac:dyDescent="0.25">
      <c r="A77" s="11" t="s">
        <v>742</v>
      </c>
      <c r="B77" s="11" t="s">
        <v>780</v>
      </c>
      <c r="C77" s="11" t="s">
        <v>781</v>
      </c>
      <c r="D77" s="11" t="s">
        <v>744</v>
      </c>
      <c r="E77" s="11" t="s">
        <v>745</v>
      </c>
      <c r="F77" s="29">
        <v>8082.4457200000015</v>
      </c>
      <c r="G77" s="29">
        <v>8199.1991799999996</v>
      </c>
      <c r="H77" s="29">
        <v>8974.3143</v>
      </c>
      <c r="I77" s="29">
        <v>9160.4660999999996</v>
      </c>
      <c r="J77" s="29">
        <v>9286.9134000000013</v>
      </c>
      <c r="K77" s="29">
        <v>9388.0440000000017</v>
      </c>
      <c r="L77" s="29">
        <v>10068.29506</v>
      </c>
      <c r="M77" s="29">
        <v>11250.145560000001</v>
      </c>
      <c r="N77" s="29">
        <v>11179.47366</v>
      </c>
      <c r="O77" s="29">
        <v>11192.699320000002</v>
      </c>
      <c r="P77" s="29">
        <v>11822.08778</v>
      </c>
      <c r="Q77" s="29">
        <v>12241.180260000001</v>
      </c>
      <c r="R77" s="29">
        <v>11627.24546</v>
      </c>
      <c r="S77" s="29">
        <v>11964.273079999999</v>
      </c>
      <c r="T77" s="29">
        <v>13897.388419999999</v>
      </c>
      <c r="U77" s="29">
        <v>13420.227720000001</v>
      </c>
      <c r="V77" s="29"/>
      <c r="W77" s="29"/>
    </row>
    <row r="78" spans="1:24" x14ac:dyDescent="0.25">
      <c r="A78" s="11" t="s">
        <v>742</v>
      </c>
      <c r="B78" s="11" t="s">
        <v>782</v>
      </c>
      <c r="C78" s="11" t="s">
        <v>783</v>
      </c>
      <c r="D78" s="11" t="s">
        <v>744</v>
      </c>
      <c r="E78" s="11" t="s">
        <v>745</v>
      </c>
      <c r="F78" s="29">
        <v>2074.4412000000002</v>
      </c>
      <c r="G78" s="29">
        <v>2071.0700999999999</v>
      </c>
      <c r="H78" s="29">
        <v>2035.8380999999999</v>
      </c>
      <c r="I78" s="29">
        <v>2055.0317</v>
      </c>
      <c r="J78" s="29">
        <v>2285.0319999999997</v>
      </c>
      <c r="K78" s="29">
        <v>2274.1301000000003</v>
      </c>
      <c r="L78" s="29">
        <v>2369.7282000000005</v>
      </c>
      <c r="M78" s="29">
        <v>2419.7458000000001</v>
      </c>
      <c r="N78" s="29">
        <v>1848.4218000000001</v>
      </c>
      <c r="O78" s="29">
        <v>1406.3284000000001</v>
      </c>
      <c r="P78" s="29">
        <v>1431.962</v>
      </c>
      <c r="Q78" s="29">
        <v>3710.3844000000008</v>
      </c>
      <c r="R78" s="29">
        <v>3046.0540000000001</v>
      </c>
      <c r="S78" s="29">
        <v>3764.2263621230068</v>
      </c>
      <c r="T78" s="29">
        <v>3514.3438596859583</v>
      </c>
      <c r="U78" s="29">
        <v>3364.5057229412555</v>
      </c>
      <c r="V78" s="29"/>
      <c r="W78" s="29"/>
    </row>
    <row r="79" spans="1:24" x14ac:dyDescent="0.25">
      <c r="A79" s="11" t="s">
        <v>742</v>
      </c>
      <c r="B79" s="11" t="s">
        <v>784</v>
      </c>
      <c r="C79" s="11" t="s">
        <v>785</v>
      </c>
      <c r="D79" s="11" t="s">
        <v>744</v>
      </c>
      <c r="E79" s="11" t="s">
        <v>745</v>
      </c>
      <c r="F79" s="29"/>
      <c r="G79" s="29"/>
      <c r="H79" s="29"/>
      <c r="I79" s="29"/>
      <c r="J79" s="29"/>
      <c r="K79" s="29"/>
      <c r="L79" s="29"/>
      <c r="M79" s="29"/>
      <c r="N79" s="29"/>
      <c r="O79" s="29"/>
      <c r="P79" s="29"/>
      <c r="Q79" s="29"/>
      <c r="R79" s="29"/>
      <c r="S79" s="29"/>
      <c r="T79" s="29"/>
      <c r="U79" s="29"/>
      <c r="V79" s="29"/>
      <c r="W79" s="29"/>
    </row>
    <row r="80" spans="1:24" x14ac:dyDescent="0.25">
      <c r="A80" s="11" t="s">
        <v>742</v>
      </c>
      <c r="B80" s="11" t="s">
        <v>786</v>
      </c>
      <c r="C80" s="11" t="s">
        <v>787</v>
      </c>
      <c r="D80" s="11" t="s">
        <v>744</v>
      </c>
      <c r="E80" s="11" t="s">
        <v>745</v>
      </c>
      <c r="F80" s="29">
        <v>39.155999999999999</v>
      </c>
      <c r="G80" s="29">
        <v>26.936</v>
      </c>
      <c r="H80" s="29">
        <v>25.687999999999999</v>
      </c>
      <c r="I80" s="29">
        <v>20.748000000000001</v>
      </c>
      <c r="J80" s="29">
        <v>19.5</v>
      </c>
      <c r="K80" s="29">
        <v>21.943999999999999</v>
      </c>
      <c r="L80" s="29">
        <v>25.116</v>
      </c>
      <c r="M80" s="29">
        <v>21.788</v>
      </c>
      <c r="N80" s="29">
        <v>24.128</v>
      </c>
      <c r="O80" s="29">
        <v>25.532</v>
      </c>
      <c r="P80" s="29">
        <v>26.312000000000001</v>
      </c>
      <c r="Q80" s="29">
        <v>28.319200000000002</v>
      </c>
      <c r="R80" s="29">
        <v>27.294280000000004</v>
      </c>
      <c r="S80" s="29">
        <v>21.84</v>
      </c>
      <c r="T80" s="29">
        <v>22.07208198804468</v>
      </c>
      <c r="U80" s="29">
        <v>18.2</v>
      </c>
      <c r="V80" s="29"/>
      <c r="W80" s="29"/>
    </row>
    <row r="81" spans="1:24" x14ac:dyDescent="0.25">
      <c r="A81" s="11" t="s">
        <v>742</v>
      </c>
      <c r="B81" s="11" t="s">
        <v>788</v>
      </c>
      <c r="C81" s="11" t="s">
        <v>789</v>
      </c>
      <c r="D81" s="11" t="s">
        <v>744</v>
      </c>
      <c r="E81" s="11" t="s">
        <v>745</v>
      </c>
      <c r="F81" s="29">
        <v>108.36</v>
      </c>
      <c r="G81" s="29">
        <v>104.92</v>
      </c>
      <c r="H81" s="29">
        <v>110.08</v>
      </c>
      <c r="I81" s="29">
        <v>70.52</v>
      </c>
      <c r="J81" s="29">
        <v>55.04</v>
      </c>
      <c r="K81" s="29">
        <v>55.04</v>
      </c>
      <c r="L81" s="29">
        <v>58.48</v>
      </c>
      <c r="M81" s="29">
        <v>53.32</v>
      </c>
      <c r="N81" s="29">
        <v>49.88</v>
      </c>
      <c r="O81" s="29">
        <v>48.16</v>
      </c>
      <c r="P81" s="29">
        <v>61.92</v>
      </c>
      <c r="Q81" s="29">
        <v>63.64</v>
      </c>
      <c r="R81" s="29">
        <v>63.64</v>
      </c>
      <c r="S81" s="29">
        <v>51.6</v>
      </c>
      <c r="T81" s="29">
        <v>44.962519999999998</v>
      </c>
      <c r="U81" s="29">
        <v>49.88</v>
      </c>
      <c r="V81" s="29"/>
      <c r="W81" s="29"/>
    </row>
    <row r="82" spans="1:24" x14ac:dyDescent="0.25">
      <c r="A82" s="11" t="s">
        <v>742</v>
      </c>
      <c r="B82" s="11" t="s">
        <v>790</v>
      </c>
      <c r="C82" s="11" t="s">
        <v>756</v>
      </c>
      <c r="D82" s="11" t="s">
        <v>744</v>
      </c>
      <c r="E82" s="11" t="s">
        <v>745</v>
      </c>
      <c r="F82" s="29"/>
      <c r="G82" s="29"/>
      <c r="H82" s="29"/>
      <c r="I82" s="29"/>
      <c r="J82" s="29"/>
      <c r="K82" s="29"/>
      <c r="L82" s="29"/>
      <c r="M82" s="29"/>
      <c r="N82" s="29"/>
      <c r="O82" s="29"/>
      <c r="P82" s="29"/>
      <c r="Q82" s="29"/>
      <c r="R82" s="29"/>
      <c r="S82" s="29"/>
      <c r="T82" s="29"/>
      <c r="U82" s="29"/>
      <c r="V82" s="29"/>
      <c r="W82" s="29"/>
    </row>
    <row r="83" spans="1:24" s="23" customFormat="1" x14ac:dyDescent="0.25"/>
    <row r="84" spans="1:24" s="23" customFormat="1" x14ac:dyDescent="0.25">
      <c r="C84" s="110" t="s">
        <v>846</v>
      </c>
    </row>
    <row r="85" spans="1:24" s="7" customFormat="1" x14ac:dyDescent="0.25">
      <c r="A85" s="110" t="s">
        <v>742</v>
      </c>
      <c r="B85" s="110" t="s">
        <v>777</v>
      </c>
      <c r="C85" s="110" t="s">
        <v>1001</v>
      </c>
      <c r="D85" s="110" t="s">
        <v>836</v>
      </c>
      <c r="E85" s="110" t="s">
        <v>745</v>
      </c>
      <c r="F85" s="126">
        <v>25728.448215</v>
      </c>
      <c r="G85" s="126">
        <v>25801.750169999999</v>
      </c>
      <c r="H85" s="126">
        <v>27420.856920000002</v>
      </c>
      <c r="I85" s="126">
        <v>27192.946779999998</v>
      </c>
      <c r="J85" s="126">
        <v>27178.084115000001</v>
      </c>
      <c r="K85" s="126">
        <v>28223.232760000003</v>
      </c>
      <c r="L85" s="126">
        <v>28800.123315000004</v>
      </c>
      <c r="M85" s="126">
        <v>27917.226309999998</v>
      </c>
      <c r="N85" s="126">
        <v>26702.188085000002</v>
      </c>
      <c r="O85" s="126">
        <v>25355.67064</v>
      </c>
      <c r="P85" s="126">
        <v>27062.25045</v>
      </c>
      <c r="Q85" s="126">
        <v>28551.190430000002</v>
      </c>
      <c r="R85" s="126">
        <v>27802.659900000002</v>
      </c>
      <c r="S85" s="29">
        <v>28935.724850055351</v>
      </c>
      <c r="T85" s="29">
        <v>29555.796877015415</v>
      </c>
      <c r="U85" s="29">
        <v>28756.284670927627</v>
      </c>
      <c r="V85" s="29"/>
      <c r="W85" s="29"/>
      <c r="X85"/>
    </row>
    <row r="86" spans="1:24" x14ac:dyDescent="0.25">
      <c r="A86" s="11" t="s">
        <v>742</v>
      </c>
      <c r="B86" s="11" t="s">
        <v>778</v>
      </c>
      <c r="C86" s="11" t="s">
        <v>779</v>
      </c>
      <c r="D86" s="11" t="s">
        <v>836</v>
      </c>
      <c r="E86" s="11" t="s">
        <v>745</v>
      </c>
      <c r="F86" s="29">
        <v>16410.526914999999</v>
      </c>
      <c r="G86" s="29">
        <v>16410.537369999998</v>
      </c>
      <c r="H86" s="29">
        <v>17176.103220000001</v>
      </c>
      <c r="I86" s="29">
        <v>16786.444480000002</v>
      </c>
      <c r="J86" s="29">
        <v>16425.253915000001</v>
      </c>
      <c r="K86" s="29">
        <v>17359.699860000001</v>
      </c>
      <c r="L86" s="29">
        <v>17218.494115000001</v>
      </c>
      <c r="M86" s="29">
        <v>15147.096109999999</v>
      </c>
      <c r="N86" s="29">
        <v>14152.034485</v>
      </c>
      <c r="O86" s="29">
        <v>12794.452040000002</v>
      </c>
      <c r="P86" s="29">
        <v>13861.709649999999</v>
      </c>
      <c r="Q86" s="29">
        <v>14922.64853</v>
      </c>
      <c r="R86" s="29">
        <v>15020.696860000002</v>
      </c>
      <c r="S86" s="29">
        <v>15582.114970055352</v>
      </c>
      <c r="T86" s="29">
        <v>14363.524995027368</v>
      </c>
      <c r="U86" s="29">
        <v>14093.548470927624</v>
      </c>
      <c r="V86" s="29"/>
      <c r="W86" s="29"/>
    </row>
    <row r="87" spans="1:24" x14ac:dyDescent="0.25">
      <c r="A87" s="11" t="s">
        <v>742</v>
      </c>
      <c r="B87" s="11" t="s">
        <v>780</v>
      </c>
      <c r="C87" s="11" t="s">
        <v>781</v>
      </c>
      <c r="D87" s="11" t="s">
        <v>836</v>
      </c>
      <c r="E87" s="11" t="s">
        <v>745</v>
      </c>
      <c r="F87" s="29">
        <v>8079.1441000000013</v>
      </c>
      <c r="G87" s="29">
        <v>8195.9467000000004</v>
      </c>
      <c r="H87" s="29">
        <v>8970.2675999999992</v>
      </c>
      <c r="I87" s="29">
        <v>9156.4025999999994</v>
      </c>
      <c r="J87" s="29">
        <v>9282.6882000000005</v>
      </c>
      <c r="K87" s="29">
        <v>9384.0288000000019</v>
      </c>
      <c r="L87" s="29">
        <v>10063.825000000001</v>
      </c>
      <c r="M87" s="29">
        <v>11245.946400000001</v>
      </c>
      <c r="N87" s="29">
        <v>11175.343800000001</v>
      </c>
      <c r="O87" s="29">
        <v>11189.408200000002</v>
      </c>
      <c r="P87" s="29">
        <v>11818.236800000001</v>
      </c>
      <c r="Q87" s="29">
        <v>12237.0483</v>
      </c>
      <c r="R87" s="29">
        <v>11624.16476</v>
      </c>
      <c r="S87" s="29">
        <v>11961.76988</v>
      </c>
      <c r="T87" s="29">
        <v>13894.35728</v>
      </c>
      <c r="U87" s="29">
        <v>13416.256200000002</v>
      </c>
      <c r="V87" s="29"/>
      <c r="W87" s="29"/>
    </row>
    <row r="88" spans="1:24" x14ac:dyDescent="0.25">
      <c r="A88" s="11" t="s">
        <v>742</v>
      </c>
      <c r="B88" s="11" t="s">
        <v>782</v>
      </c>
      <c r="C88" s="11" t="s">
        <v>783</v>
      </c>
      <c r="D88" s="11" t="s">
        <v>836</v>
      </c>
      <c r="E88" s="11" t="s">
        <v>745</v>
      </c>
      <c r="F88" s="29">
        <v>1091.2612000000001</v>
      </c>
      <c r="G88" s="29">
        <v>1063.4101000000001</v>
      </c>
      <c r="H88" s="29">
        <v>1138.7181</v>
      </c>
      <c r="I88" s="29">
        <v>1158.8317000000002</v>
      </c>
      <c r="J88" s="29">
        <v>1395.6019999999999</v>
      </c>
      <c r="K88" s="29">
        <v>1402.5201000000002</v>
      </c>
      <c r="L88" s="29">
        <v>1434.2082</v>
      </c>
      <c r="M88" s="29">
        <v>1449.0758000000001</v>
      </c>
      <c r="N88" s="29">
        <v>1300.8018000000002</v>
      </c>
      <c r="O88" s="29">
        <v>1298.1184000000001</v>
      </c>
      <c r="P88" s="29">
        <v>1294.0719999999999</v>
      </c>
      <c r="Q88" s="29">
        <v>1299.5344000000002</v>
      </c>
      <c r="R88" s="29">
        <v>1066.864</v>
      </c>
      <c r="S88" s="29">
        <v>1318.4</v>
      </c>
      <c r="T88" s="29">
        <v>1230.8800000000001</v>
      </c>
      <c r="U88" s="29">
        <v>1178.4000000000001</v>
      </c>
      <c r="V88" s="29"/>
      <c r="W88" s="29"/>
    </row>
    <row r="89" spans="1:24" x14ac:dyDescent="0.25">
      <c r="A89" s="11" t="s">
        <v>742</v>
      </c>
      <c r="B89" s="11" t="s">
        <v>784</v>
      </c>
      <c r="C89" s="11" t="s">
        <v>785</v>
      </c>
      <c r="D89" s="11" t="s">
        <v>836</v>
      </c>
      <c r="E89" s="11" t="s">
        <v>745</v>
      </c>
      <c r="F89" s="29"/>
      <c r="G89" s="29"/>
      <c r="H89" s="29"/>
      <c r="I89" s="29"/>
      <c r="J89" s="29"/>
      <c r="K89" s="29"/>
      <c r="L89" s="29"/>
      <c r="M89" s="29"/>
      <c r="N89" s="29"/>
      <c r="O89" s="29"/>
      <c r="P89" s="29"/>
      <c r="Q89" s="29"/>
      <c r="R89" s="29"/>
      <c r="S89" s="29"/>
      <c r="T89" s="29"/>
      <c r="U89" s="29"/>
      <c r="V89" s="29"/>
      <c r="W89" s="29"/>
    </row>
    <row r="90" spans="1:24" x14ac:dyDescent="0.25">
      <c r="A90" s="11" t="s">
        <v>742</v>
      </c>
      <c r="B90" s="11" t="s">
        <v>786</v>
      </c>
      <c r="C90" s="11" t="s">
        <v>787</v>
      </c>
      <c r="D90" s="11" t="s">
        <v>836</v>
      </c>
      <c r="E90" s="11" t="s">
        <v>745</v>
      </c>
      <c r="F90" s="29">
        <v>39.155999999999999</v>
      </c>
      <c r="G90" s="29">
        <v>26.936</v>
      </c>
      <c r="H90" s="29">
        <v>25.687999999999999</v>
      </c>
      <c r="I90" s="29">
        <v>20.748000000000001</v>
      </c>
      <c r="J90" s="29">
        <v>19.5</v>
      </c>
      <c r="K90" s="29">
        <v>21.943999999999999</v>
      </c>
      <c r="L90" s="29">
        <v>25.116</v>
      </c>
      <c r="M90" s="29">
        <v>21.788</v>
      </c>
      <c r="N90" s="29">
        <v>24.128</v>
      </c>
      <c r="O90" s="29">
        <v>25.532</v>
      </c>
      <c r="P90" s="29">
        <v>26.312000000000001</v>
      </c>
      <c r="Q90" s="29">
        <v>28.319200000000002</v>
      </c>
      <c r="R90" s="29">
        <v>27.294280000000004</v>
      </c>
      <c r="S90" s="29">
        <v>21.84</v>
      </c>
      <c r="T90" s="29">
        <v>22.07208198804468</v>
      </c>
      <c r="U90" s="29">
        <v>18.2</v>
      </c>
      <c r="V90" s="29"/>
      <c r="W90" s="29"/>
    </row>
    <row r="91" spans="1:24" x14ac:dyDescent="0.25">
      <c r="A91" s="11" t="s">
        <v>742</v>
      </c>
      <c r="B91" s="11" t="s">
        <v>788</v>
      </c>
      <c r="C91" s="11" t="s">
        <v>789</v>
      </c>
      <c r="D91" s="11" t="s">
        <v>836</v>
      </c>
      <c r="E91" s="11" t="s">
        <v>745</v>
      </c>
      <c r="F91" s="29">
        <v>108.36</v>
      </c>
      <c r="G91" s="29">
        <v>104.92</v>
      </c>
      <c r="H91" s="29">
        <v>110.08</v>
      </c>
      <c r="I91" s="29">
        <v>70.52</v>
      </c>
      <c r="J91" s="29">
        <v>55.04</v>
      </c>
      <c r="K91" s="29">
        <v>55.04</v>
      </c>
      <c r="L91" s="29">
        <v>58.48</v>
      </c>
      <c r="M91" s="29">
        <v>53.32</v>
      </c>
      <c r="N91" s="29">
        <v>49.88</v>
      </c>
      <c r="O91" s="29">
        <v>48.16</v>
      </c>
      <c r="P91" s="29">
        <v>61.92</v>
      </c>
      <c r="Q91" s="29">
        <v>63.64</v>
      </c>
      <c r="R91" s="29">
        <v>63.64</v>
      </c>
      <c r="S91" s="29">
        <v>51.6</v>
      </c>
      <c r="T91" s="29">
        <v>44.962519999999998</v>
      </c>
      <c r="U91" s="29">
        <v>49.88</v>
      </c>
      <c r="V91" s="29"/>
      <c r="W91" s="29"/>
    </row>
    <row r="92" spans="1:24" x14ac:dyDescent="0.25">
      <c r="A92" s="11" t="s">
        <v>742</v>
      </c>
      <c r="B92" s="11" t="s">
        <v>790</v>
      </c>
      <c r="C92" s="11" t="s">
        <v>756</v>
      </c>
      <c r="D92" s="11" t="s">
        <v>836</v>
      </c>
      <c r="E92" s="11" t="s">
        <v>745</v>
      </c>
      <c r="F92" s="29"/>
      <c r="G92" s="29"/>
      <c r="H92" s="29"/>
      <c r="I92" s="29"/>
      <c r="J92" s="29"/>
      <c r="K92" s="29"/>
      <c r="L92" s="29"/>
      <c r="M92" s="29"/>
      <c r="N92" s="29"/>
      <c r="O92" s="29"/>
      <c r="P92" s="29"/>
      <c r="Q92" s="29"/>
      <c r="R92" s="29"/>
      <c r="S92" s="29"/>
      <c r="T92" s="29"/>
      <c r="U92" s="29"/>
      <c r="V92" s="29"/>
      <c r="W92" s="29"/>
    </row>
    <row r="93" spans="1:24" s="23" customFormat="1" x14ac:dyDescent="0.25"/>
    <row r="94" spans="1:24" s="23" customFormat="1" x14ac:dyDescent="0.25">
      <c r="C94" s="110" t="s">
        <v>847</v>
      </c>
    </row>
    <row r="95" spans="1:24" s="7" customFormat="1" x14ac:dyDescent="0.25">
      <c r="A95" s="110" t="s">
        <v>742</v>
      </c>
      <c r="B95" s="110" t="s">
        <v>777</v>
      </c>
      <c r="C95" s="110" t="s">
        <v>1001</v>
      </c>
      <c r="D95" s="110" t="s">
        <v>486</v>
      </c>
      <c r="E95" s="110" t="s">
        <v>924</v>
      </c>
      <c r="F95" s="126">
        <v>0.15722</v>
      </c>
      <c r="G95" s="126">
        <v>0.15488000000000002</v>
      </c>
      <c r="H95" s="126">
        <v>0.19269999999999998</v>
      </c>
      <c r="I95" s="126">
        <v>0.19350000000000001</v>
      </c>
      <c r="J95" s="126">
        <v>0.20119999999999999</v>
      </c>
      <c r="K95" s="126">
        <v>0.19119999999999998</v>
      </c>
      <c r="L95" s="126">
        <v>0.21285999999999999</v>
      </c>
      <c r="M95" s="126">
        <v>0.19996</v>
      </c>
      <c r="N95" s="126">
        <v>0.19666</v>
      </c>
      <c r="O95" s="126">
        <v>0.15672</v>
      </c>
      <c r="P95" s="126">
        <v>0.18338000000000002</v>
      </c>
      <c r="Q95" s="126">
        <v>0.19675999999999999</v>
      </c>
      <c r="R95" s="126">
        <v>0.1467</v>
      </c>
      <c r="S95" s="29">
        <v>0.1192</v>
      </c>
      <c r="T95" s="29">
        <v>0.14434</v>
      </c>
      <c r="U95" s="29">
        <v>0.18912000000000001</v>
      </c>
      <c r="V95" s="29"/>
      <c r="W95" s="29"/>
      <c r="X95"/>
    </row>
    <row r="96" spans="1:24" x14ac:dyDescent="0.25">
      <c r="A96" s="11" t="s">
        <v>742</v>
      </c>
      <c r="B96" s="11" t="s">
        <v>778</v>
      </c>
      <c r="C96" s="11" t="s">
        <v>779</v>
      </c>
      <c r="D96" s="11" t="s">
        <v>486</v>
      </c>
      <c r="E96" s="11" t="s">
        <v>924</v>
      </c>
      <c r="F96" s="29"/>
      <c r="G96" s="29"/>
      <c r="H96" s="29"/>
      <c r="I96" s="29"/>
      <c r="J96" s="29"/>
      <c r="K96" s="29"/>
      <c r="L96" s="29"/>
      <c r="M96" s="29"/>
      <c r="N96" s="29"/>
      <c r="O96" s="29"/>
      <c r="P96" s="29"/>
      <c r="Q96" s="29"/>
      <c r="R96" s="29"/>
      <c r="S96" s="29"/>
      <c r="T96" s="29"/>
      <c r="U96" s="29"/>
      <c r="V96" s="29"/>
      <c r="W96" s="29"/>
    </row>
    <row r="97" spans="1:24" x14ac:dyDescent="0.25">
      <c r="A97" s="11" t="s">
        <v>742</v>
      </c>
      <c r="B97" s="11" t="s">
        <v>780</v>
      </c>
      <c r="C97" s="11" t="s">
        <v>781</v>
      </c>
      <c r="D97" s="11" t="s">
        <v>486</v>
      </c>
      <c r="E97" s="11" t="s">
        <v>924</v>
      </c>
      <c r="F97" s="29">
        <v>0.15722</v>
      </c>
      <c r="G97" s="29">
        <v>0.15488000000000002</v>
      </c>
      <c r="H97" s="29">
        <v>0.19269999999999998</v>
      </c>
      <c r="I97" s="29">
        <v>0.19350000000000001</v>
      </c>
      <c r="J97" s="29">
        <v>0.20119999999999999</v>
      </c>
      <c r="K97" s="29">
        <v>0.19119999999999998</v>
      </c>
      <c r="L97" s="29">
        <v>0.21285999999999999</v>
      </c>
      <c r="M97" s="29">
        <v>0.19996</v>
      </c>
      <c r="N97" s="29">
        <v>0.19666</v>
      </c>
      <c r="O97" s="29">
        <v>0.15672</v>
      </c>
      <c r="P97" s="29">
        <v>0.18338000000000002</v>
      </c>
      <c r="Q97" s="29">
        <v>0.19675999999999999</v>
      </c>
      <c r="R97" s="29">
        <v>0.1467</v>
      </c>
      <c r="S97" s="29">
        <v>0.1192</v>
      </c>
      <c r="T97" s="29">
        <v>0.14434</v>
      </c>
      <c r="U97" s="29">
        <v>0.18912000000000001</v>
      </c>
      <c r="V97" s="29"/>
      <c r="W97" s="29"/>
    </row>
    <row r="98" spans="1:24" x14ac:dyDescent="0.25">
      <c r="A98" s="11" t="s">
        <v>742</v>
      </c>
      <c r="B98" s="11" t="s">
        <v>782</v>
      </c>
      <c r="C98" s="11" t="s">
        <v>783</v>
      </c>
      <c r="D98" s="11" t="s">
        <v>486</v>
      </c>
      <c r="E98" s="11" t="s">
        <v>924</v>
      </c>
      <c r="F98" s="29"/>
      <c r="G98" s="29"/>
      <c r="H98" s="29"/>
      <c r="I98" s="29"/>
      <c r="J98" s="29"/>
      <c r="K98" s="29"/>
      <c r="L98" s="29"/>
      <c r="M98" s="29"/>
      <c r="N98" s="29"/>
      <c r="O98" s="29"/>
      <c r="P98" s="29"/>
      <c r="Q98" s="29"/>
      <c r="R98" s="29"/>
      <c r="S98" s="29"/>
      <c r="T98" s="29"/>
      <c r="U98" s="29"/>
      <c r="V98" s="29"/>
      <c r="W98" s="29"/>
    </row>
    <row r="99" spans="1:24" x14ac:dyDescent="0.25">
      <c r="A99" s="11" t="s">
        <v>742</v>
      </c>
      <c r="B99" s="11" t="s">
        <v>784</v>
      </c>
      <c r="C99" s="11" t="s">
        <v>785</v>
      </c>
      <c r="D99" s="11" t="s">
        <v>486</v>
      </c>
      <c r="E99" s="11" t="s">
        <v>924</v>
      </c>
      <c r="F99" s="29"/>
      <c r="G99" s="29"/>
      <c r="H99" s="29"/>
      <c r="I99" s="29"/>
      <c r="J99" s="29"/>
      <c r="K99" s="29"/>
      <c r="L99" s="29"/>
      <c r="M99" s="29"/>
      <c r="N99" s="29"/>
      <c r="O99" s="29"/>
      <c r="P99" s="29"/>
      <c r="Q99" s="29"/>
      <c r="R99" s="29"/>
      <c r="S99" s="29"/>
      <c r="T99" s="29"/>
      <c r="U99" s="29"/>
      <c r="V99" s="29"/>
      <c r="W99" s="29"/>
    </row>
    <row r="100" spans="1:24" x14ac:dyDescent="0.25">
      <c r="A100" s="11" t="s">
        <v>742</v>
      </c>
      <c r="B100" s="11" t="s">
        <v>786</v>
      </c>
      <c r="C100" s="11" t="s">
        <v>787</v>
      </c>
      <c r="D100" s="11" t="s">
        <v>486</v>
      </c>
      <c r="E100" s="11" t="s">
        <v>924</v>
      </c>
      <c r="F100" s="29"/>
      <c r="G100" s="29"/>
      <c r="H100" s="29"/>
      <c r="I100" s="29"/>
      <c r="J100" s="29"/>
      <c r="K100" s="29"/>
      <c r="L100" s="29"/>
      <c r="M100" s="29"/>
      <c r="N100" s="29"/>
      <c r="O100" s="29"/>
      <c r="P100" s="29"/>
      <c r="Q100" s="29"/>
      <c r="R100" s="29"/>
      <c r="S100" s="29"/>
      <c r="T100" s="29"/>
      <c r="U100" s="29"/>
      <c r="V100" s="29"/>
      <c r="W100" s="29"/>
    </row>
    <row r="101" spans="1:24" x14ac:dyDescent="0.25">
      <c r="A101" s="11" t="s">
        <v>742</v>
      </c>
      <c r="B101" s="11" t="s">
        <v>788</v>
      </c>
      <c r="C101" s="11" t="s">
        <v>789</v>
      </c>
      <c r="D101" s="11" t="s">
        <v>486</v>
      </c>
      <c r="E101" s="11" t="s">
        <v>924</v>
      </c>
      <c r="F101" s="29"/>
      <c r="G101" s="29"/>
      <c r="H101" s="29"/>
      <c r="I101" s="29"/>
      <c r="J101" s="29"/>
      <c r="K101" s="29"/>
      <c r="L101" s="29"/>
      <c r="M101" s="29"/>
      <c r="N101" s="29"/>
      <c r="O101" s="29"/>
      <c r="P101" s="29"/>
      <c r="Q101" s="29"/>
      <c r="R101" s="29"/>
      <c r="S101" s="29"/>
      <c r="T101" s="29"/>
      <c r="U101" s="29"/>
      <c r="V101" s="29"/>
      <c r="W101" s="29"/>
    </row>
    <row r="102" spans="1:24" x14ac:dyDescent="0.25">
      <c r="A102" s="11" t="s">
        <v>742</v>
      </c>
      <c r="B102" s="11" t="s">
        <v>790</v>
      </c>
      <c r="C102" s="11" t="s">
        <v>756</v>
      </c>
      <c r="D102" s="11" t="s">
        <v>486</v>
      </c>
      <c r="E102" s="11" t="s">
        <v>924</v>
      </c>
      <c r="F102" s="29"/>
      <c r="G102" s="29"/>
      <c r="H102" s="29"/>
      <c r="I102" s="29"/>
      <c r="J102" s="29"/>
      <c r="K102" s="29"/>
      <c r="L102" s="29"/>
      <c r="M102" s="29"/>
      <c r="N102" s="29"/>
      <c r="O102" s="29"/>
      <c r="P102" s="29"/>
      <c r="Q102" s="29"/>
      <c r="R102" s="29"/>
      <c r="S102" s="29"/>
      <c r="T102" s="29"/>
      <c r="U102" s="29"/>
      <c r="V102" s="29"/>
      <c r="W102" s="29"/>
    </row>
    <row r="103" spans="1:24" s="23" customFormat="1" x14ac:dyDescent="0.25"/>
    <row r="104" spans="1:24" s="7" customFormat="1" x14ac:dyDescent="0.25">
      <c r="A104" s="110" t="s">
        <v>742</v>
      </c>
      <c r="B104" s="110" t="s">
        <v>777</v>
      </c>
      <c r="C104" s="110" t="s">
        <v>1001</v>
      </c>
      <c r="D104" s="110" t="s">
        <v>486</v>
      </c>
      <c r="E104" s="110" t="s">
        <v>745</v>
      </c>
      <c r="F104" s="126">
        <v>3.3016199999999998</v>
      </c>
      <c r="G104" s="126">
        <v>3.2524800000000003</v>
      </c>
      <c r="H104" s="126">
        <v>4.0466999999999995</v>
      </c>
      <c r="I104" s="126">
        <v>4.0635000000000003</v>
      </c>
      <c r="J104" s="126">
        <v>4.2252000000000001</v>
      </c>
      <c r="K104" s="126">
        <v>4.0151999999999992</v>
      </c>
      <c r="L104" s="126">
        <v>4.4700600000000001</v>
      </c>
      <c r="M104" s="126">
        <v>4.19916</v>
      </c>
      <c r="N104" s="126">
        <v>4.1298599999999999</v>
      </c>
      <c r="O104" s="126">
        <v>3.2911199999999998</v>
      </c>
      <c r="P104" s="126">
        <v>3.8509800000000003</v>
      </c>
      <c r="Q104" s="126">
        <v>4.1319599999999994</v>
      </c>
      <c r="R104" s="126">
        <v>3.0806999999999998</v>
      </c>
      <c r="S104" s="29">
        <v>2.5032000000000001</v>
      </c>
      <c r="T104" s="29">
        <v>3.0311399999999997</v>
      </c>
      <c r="U104" s="29">
        <v>3.9715200000000004</v>
      </c>
      <c r="V104" s="29"/>
      <c r="W104" s="29"/>
      <c r="X104"/>
    </row>
    <row r="105" spans="1:24" x14ac:dyDescent="0.25">
      <c r="A105" s="11" t="s">
        <v>742</v>
      </c>
      <c r="B105" s="11" t="s">
        <v>778</v>
      </c>
      <c r="C105" s="11" t="s">
        <v>779</v>
      </c>
      <c r="D105" s="11" t="s">
        <v>486</v>
      </c>
      <c r="E105" s="11" t="s">
        <v>745</v>
      </c>
      <c r="F105" s="29"/>
      <c r="G105" s="29"/>
      <c r="H105" s="29"/>
      <c r="I105" s="29"/>
      <c r="J105" s="29"/>
      <c r="K105" s="29"/>
      <c r="L105" s="29"/>
      <c r="M105" s="29"/>
      <c r="N105" s="29"/>
      <c r="O105" s="29"/>
      <c r="P105" s="29"/>
      <c r="Q105" s="29"/>
      <c r="R105" s="29"/>
      <c r="S105" s="29"/>
      <c r="T105" s="29"/>
      <c r="U105" s="29"/>
      <c r="V105" s="29"/>
      <c r="W105" s="29"/>
    </row>
    <row r="106" spans="1:24" x14ac:dyDescent="0.25">
      <c r="A106" s="11" t="s">
        <v>742</v>
      </c>
      <c r="B106" s="11" t="s">
        <v>780</v>
      </c>
      <c r="C106" s="11" t="s">
        <v>781</v>
      </c>
      <c r="D106" s="11" t="s">
        <v>486</v>
      </c>
      <c r="E106" s="11" t="s">
        <v>745</v>
      </c>
      <c r="F106" s="29">
        <v>3.3016199999999998</v>
      </c>
      <c r="G106" s="29">
        <v>3.2524800000000003</v>
      </c>
      <c r="H106" s="29">
        <v>4.0466999999999995</v>
      </c>
      <c r="I106" s="29">
        <v>4.0635000000000003</v>
      </c>
      <c r="J106" s="29">
        <v>4.2252000000000001</v>
      </c>
      <c r="K106" s="29">
        <v>4.0151999999999992</v>
      </c>
      <c r="L106" s="29">
        <v>4.4700600000000001</v>
      </c>
      <c r="M106" s="29">
        <v>4.19916</v>
      </c>
      <c r="N106" s="29">
        <v>4.1298599999999999</v>
      </c>
      <c r="O106" s="29">
        <v>3.2911199999999998</v>
      </c>
      <c r="P106" s="29">
        <v>3.8509800000000003</v>
      </c>
      <c r="Q106" s="29">
        <v>4.1319599999999994</v>
      </c>
      <c r="R106" s="29">
        <v>3.0806999999999998</v>
      </c>
      <c r="S106" s="29">
        <v>2.5032000000000001</v>
      </c>
      <c r="T106" s="29">
        <v>3.0311399999999997</v>
      </c>
      <c r="U106" s="29">
        <v>3.9715200000000004</v>
      </c>
      <c r="V106" s="29"/>
      <c r="W106" s="29"/>
    </row>
    <row r="107" spans="1:24" x14ac:dyDescent="0.25">
      <c r="A107" s="11" t="s">
        <v>742</v>
      </c>
      <c r="B107" s="11" t="s">
        <v>782</v>
      </c>
      <c r="C107" s="11" t="s">
        <v>783</v>
      </c>
      <c r="D107" s="11" t="s">
        <v>486</v>
      </c>
      <c r="E107" s="11" t="s">
        <v>745</v>
      </c>
      <c r="F107" s="29"/>
      <c r="G107" s="29"/>
      <c r="H107" s="29"/>
      <c r="I107" s="29"/>
      <c r="J107" s="29"/>
      <c r="K107" s="29"/>
      <c r="L107" s="29"/>
      <c r="M107" s="29"/>
      <c r="N107" s="29"/>
      <c r="O107" s="29"/>
      <c r="P107" s="29"/>
      <c r="Q107" s="29"/>
      <c r="R107" s="29"/>
      <c r="S107" s="29"/>
      <c r="T107" s="29"/>
      <c r="U107" s="29"/>
      <c r="V107" s="29"/>
      <c r="W107" s="29"/>
    </row>
    <row r="108" spans="1:24" x14ac:dyDescent="0.25">
      <c r="A108" s="11" t="s">
        <v>742</v>
      </c>
      <c r="B108" s="11" t="s">
        <v>784</v>
      </c>
      <c r="C108" s="11" t="s">
        <v>785</v>
      </c>
      <c r="D108" s="11" t="s">
        <v>486</v>
      </c>
      <c r="E108" s="11" t="s">
        <v>745</v>
      </c>
      <c r="F108" s="29"/>
      <c r="G108" s="29"/>
      <c r="H108" s="29"/>
      <c r="I108" s="29"/>
      <c r="J108" s="29"/>
      <c r="K108" s="29"/>
      <c r="L108" s="29"/>
      <c r="M108" s="29"/>
      <c r="N108" s="29"/>
      <c r="O108" s="29"/>
      <c r="P108" s="29"/>
      <c r="Q108" s="29"/>
      <c r="R108" s="29"/>
      <c r="S108" s="29"/>
      <c r="T108" s="29"/>
      <c r="U108" s="29"/>
      <c r="V108" s="29"/>
      <c r="W108" s="29"/>
    </row>
    <row r="109" spans="1:24" x14ac:dyDescent="0.25">
      <c r="A109" s="11" t="s">
        <v>742</v>
      </c>
      <c r="B109" s="11" t="s">
        <v>786</v>
      </c>
      <c r="C109" s="11" t="s">
        <v>787</v>
      </c>
      <c r="D109" s="11" t="s">
        <v>486</v>
      </c>
      <c r="E109" s="11" t="s">
        <v>745</v>
      </c>
      <c r="F109" s="29"/>
      <c r="G109" s="29"/>
      <c r="H109" s="29"/>
      <c r="I109" s="29"/>
      <c r="J109" s="29"/>
      <c r="K109" s="29"/>
      <c r="L109" s="29"/>
      <c r="M109" s="29"/>
      <c r="N109" s="29"/>
      <c r="O109" s="29"/>
      <c r="P109" s="29"/>
      <c r="Q109" s="29"/>
      <c r="R109" s="29"/>
      <c r="S109" s="29"/>
      <c r="T109" s="29"/>
      <c r="U109" s="29"/>
      <c r="V109" s="29"/>
      <c r="W109" s="29"/>
    </row>
    <row r="110" spans="1:24" x14ac:dyDescent="0.25">
      <c r="A110" s="11" t="s">
        <v>742</v>
      </c>
      <c r="B110" s="11" t="s">
        <v>788</v>
      </c>
      <c r="C110" s="11" t="s">
        <v>789</v>
      </c>
      <c r="D110" s="11" t="s">
        <v>486</v>
      </c>
      <c r="E110" s="11" t="s">
        <v>745</v>
      </c>
      <c r="F110" s="29"/>
      <c r="G110" s="29"/>
      <c r="H110" s="29"/>
      <c r="I110" s="29"/>
      <c r="J110" s="29"/>
      <c r="K110" s="29"/>
      <c r="L110" s="29"/>
      <c r="M110" s="29"/>
      <c r="N110" s="29"/>
      <c r="O110" s="29"/>
      <c r="P110" s="29"/>
      <c r="Q110" s="29"/>
      <c r="R110" s="29"/>
      <c r="S110" s="29"/>
      <c r="T110" s="29"/>
      <c r="U110" s="29"/>
      <c r="V110" s="29"/>
      <c r="W110" s="29"/>
    </row>
    <row r="111" spans="1:24" x14ac:dyDescent="0.25">
      <c r="A111" s="11" t="s">
        <v>742</v>
      </c>
      <c r="B111" s="11" t="s">
        <v>790</v>
      </c>
      <c r="C111" s="11" t="s">
        <v>756</v>
      </c>
      <c r="D111" s="11" t="s">
        <v>486</v>
      </c>
      <c r="E111" s="11" t="s">
        <v>745</v>
      </c>
      <c r="F111" s="29"/>
      <c r="G111" s="29"/>
      <c r="H111" s="29"/>
      <c r="I111" s="29"/>
      <c r="J111" s="29"/>
      <c r="K111" s="29"/>
      <c r="L111" s="29"/>
      <c r="M111" s="29"/>
      <c r="N111" s="29"/>
      <c r="O111" s="29"/>
      <c r="P111" s="29"/>
      <c r="Q111" s="29"/>
      <c r="R111" s="29"/>
      <c r="S111" s="29"/>
      <c r="T111" s="29"/>
      <c r="U111" s="29"/>
      <c r="V111" s="29"/>
      <c r="W111" s="29"/>
    </row>
    <row r="112" spans="1:24" s="23" customFormat="1" x14ac:dyDescent="0.25"/>
    <row r="113" spans="1:24" s="23" customFormat="1" x14ac:dyDescent="0.25">
      <c r="C113" s="110" t="s">
        <v>1008</v>
      </c>
    </row>
    <row r="114" spans="1:24" s="7" customFormat="1" x14ac:dyDescent="0.25">
      <c r="A114" s="110" t="s">
        <v>742</v>
      </c>
      <c r="B114" s="110" t="s">
        <v>777</v>
      </c>
      <c r="C114" s="110" t="s">
        <v>1001</v>
      </c>
      <c r="D114" s="110" t="s">
        <v>1003</v>
      </c>
      <c r="E114" s="110" t="s">
        <v>1004</v>
      </c>
      <c r="F114" s="126">
        <v>0.13300000000000001</v>
      </c>
      <c r="G114" s="126">
        <v>0.13619999999999999</v>
      </c>
      <c r="H114" s="126">
        <v>0.12159999999999999</v>
      </c>
      <c r="I114" s="126">
        <v>0.1216</v>
      </c>
      <c r="J114" s="126">
        <v>0.1207</v>
      </c>
      <c r="K114" s="126">
        <v>0.1181</v>
      </c>
      <c r="L114" s="126">
        <v>0.12680000000000002</v>
      </c>
      <c r="M114" s="126">
        <v>0.13150000000000001</v>
      </c>
      <c r="N114" s="126">
        <v>7.4200000000000002E-2</v>
      </c>
      <c r="O114" s="126">
        <v>1.41E-2</v>
      </c>
      <c r="P114" s="126">
        <v>1.8100000000000002E-2</v>
      </c>
      <c r="Q114" s="126">
        <v>0.32490000000000002</v>
      </c>
      <c r="R114" s="126">
        <v>0.26669999999999999</v>
      </c>
      <c r="S114" s="29">
        <v>0.32958022765788325</v>
      </c>
      <c r="T114" s="29">
        <v>0.30770154021506019</v>
      </c>
      <c r="U114" s="29">
        <v>0.2945823272694551</v>
      </c>
      <c r="V114" s="29"/>
      <c r="W114" s="29"/>
      <c r="X114"/>
    </row>
    <row r="115" spans="1:24" x14ac:dyDescent="0.25">
      <c r="A115" s="11" t="s">
        <v>742</v>
      </c>
      <c r="B115" s="11" t="s">
        <v>778</v>
      </c>
      <c r="C115" s="11" t="s">
        <v>779</v>
      </c>
      <c r="D115" s="11" t="s">
        <v>1003</v>
      </c>
      <c r="E115" s="11" t="s">
        <v>1004</v>
      </c>
      <c r="F115" s="29"/>
      <c r="G115" s="29"/>
      <c r="H115" s="29"/>
      <c r="I115" s="29"/>
      <c r="J115" s="29"/>
      <c r="K115" s="29"/>
      <c r="L115" s="29"/>
      <c r="M115" s="29"/>
      <c r="N115" s="29"/>
      <c r="O115" s="29"/>
      <c r="P115" s="29"/>
      <c r="Q115" s="29"/>
      <c r="R115" s="29"/>
      <c r="S115" s="29"/>
      <c r="T115" s="29"/>
      <c r="U115" s="29"/>
      <c r="V115" s="29"/>
      <c r="W115" s="29"/>
    </row>
    <row r="116" spans="1:24" x14ac:dyDescent="0.25">
      <c r="A116" s="11" t="s">
        <v>742</v>
      </c>
      <c r="B116" s="11" t="s">
        <v>780</v>
      </c>
      <c r="C116" s="11" t="s">
        <v>781</v>
      </c>
      <c r="D116" s="11" t="s">
        <v>1003</v>
      </c>
      <c r="E116" s="11" t="s">
        <v>1004</v>
      </c>
      <c r="F116" s="29"/>
      <c r="G116" s="29"/>
      <c r="H116" s="29"/>
      <c r="I116" s="29"/>
      <c r="J116" s="29"/>
      <c r="K116" s="29"/>
      <c r="L116" s="29"/>
      <c r="M116" s="29"/>
      <c r="N116" s="29"/>
      <c r="O116" s="29"/>
      <c r="P116" s="29"/>
      <c r="Q116" s="29"/>
      <c r="R116" s="29"/>
      <c r="S116" s="29"/>
      <c r="T116" s="29"/>
      <c r="U116" s="29"/>
      <c r="V116" s="29"/>
      <c r="W116" s="29"/>
    </row>
    <row r="117" spans="1:24" x14ac:dyDescent="0.25">
      <c r="A117" s="11" t="s">
        <v>742</v>
      </c>
      <c r="B117" s="11" t="s">
        <v>782</v>
      </c>
      <c r="C117" s="11" t="s">
        <v>783</v>
      </c>
      <c r="D117" s="11" t="s">
        <v>489</v>
      </c>
      <c r="E117" s="11" t="s">
        <v>1004</v>
      </c>
      <c r="F117" s="29">
        <v>0.13300000000000001</v>
      </c>
      <c r="G117" s="29">
        <v>0.13619999999999999</v>
      </c>
      <c r="H117" s="29">
        <v>0.12159999999999999</v>
      </c>
      <c r="I117" s="29">
        <v>0.1216</v>
      </c>
      <c r="J117" s="29">
        <v>0.1207</v>
      </c>
      <c r="K117" s="29">
        <v>0.1181</v>
      </c>
      <c r="L117" s="29">
        <v>0.12680000000000002</v>
      </c>
      <c r="M117" s="29">
        <v>0.13150000000000001</v>
      </c>
      <c r="N117" s="29">
        <v>7.4200000000000002E-2</v>
      </c>
      <c r="O117" s="29">
        <v>1.41E-2</v>
      </c>
      <c r="P117" s="29">
        <v>1.8100000000000002E-2</v>
      </c>
      <c r="Q117" s="29">
        <v>0.32490000000000002</v>
      </c>
      <c r="R117" s="29">
        <v>0.26669999999999999</v>
      </c>
      <c r="S117" s="29">
        <v>0.32958022765788325</v>
      </c>
      <c r="T117" s="29">
        <v>0.30770154021506019</v>
      </c>
      <c r="U117" s="29">
        <v>0.2945823272694551</v>
      </c>
      <c r="V117" s="29"/>
      <c r="W117" s="29"/>
    </row>
    <row r="118" spans="1:24" x14ac:dyDescent="0.25">
      <c r="A118" s="11" t="s">
        <v>742</v>
      </c>
      <c r="B118" s="11" t="s">
        <v>784</v>
      </c>
      <c r="C118" s="11" t="s">
        <v>785</v>
      </c>
      <c r="D118" s="11" t="s">
        <v>489</v>
      </c>
      <c r="E118" s="11" t="s">
        <v>1004</v>
      </c>
      <c r="F118" s="29"/>
      <c r="G118" s="29"/>
      <c r="H118" s="29"/>
      <c r="I118" s="29"/>
      <c r="J118" s="29"/>
      <c r="K118" s="29"/>
      <c r="L118" s="29"/>
      <c r="M118" s="29"/>
      <c r="N118" s="29"/>
      <c r="O118" s="29"/>
      <c r="P118" s="29"/>
      <c r="Q118" s="29"/>
      <c r="R118" s="29"/>
      <c r="S118" s="29"/>
      <c r="T118" s="29"/>
      <c r="U118" s="29"/>
      <c r="V118" s="29"/>
      <c r="W118" s="29"/>
    </row>
    <row r="119" spans="1:24" x14ac:dyDescent="0.25">
      <c r="A119" s="11" t="s">
        <v>742</v>
      </c>
      <c r="B119" s="11" t="s">
        <v>786</v>
      </c>
      <c r="C119" s="11" t="s">
        <v>787</v>
      </c>
      <c r="D119" s="11" t="s">
        <v>489</v>
      </c>
      <c r="E119" s="11" t="s">
        <v>1004</v>
      </c>
      <c r="F119" s="29"/>
      <c r="G119" s="29"/>
      <c r="H119" s="29"/>
      <c r="I119" s="29"/>
      <c r="J119" s="29"/>
      <c r="K119" s="29"/>
      <c r="L119" s="29"/>
      <c r="M119" s="29"/>
      <c r="N119" s="29"/>
      <c r="O119" s="29"/>
      <c r="P119" s="29"/>
      <c r="Q119" s="29"/>
      <c r="R119" s="29"/>
      <c r="S119" s="29"/>
      <c r="T119" s="29"/>
      <c r="U119" s="29"/>
      <c r="V119" s="29"/>
      <c r="W119" s="29"/>
    </row>
    <row r="120" spans="1:24" x14ac:dyDescent="0.25">
      <c r="A120" s="11" t="s">
        <v>742</v>
      </c>
      <c r="B120" s="11" t="s">
        <v>788</v>
      </c>
      <c r="C120" s="11" t="s">
        <v>789</v>
      </c>
      <c r="D120" s="11" t="s">
        <v>489</v>
      </c>
      <c r="E120" s="11" t="s">
        <v>1004</v>
      </c>
      <c r="F120" s="29"/>
      <c r="G120" s="29"/>
      <c r="H120" s="29"/>
      <c r="I120" s="29"/>
      <c r="J120" s="29"/>
      <c r="K120" s="29"/>
      <c r="L120" s="29"/>
      <c r="M120" s="29"/>
      <c r="N120" s="29"/>
      <c r="O120" s="29"/>
      <c r="P120" s="29"/>
      <c r="Q120" s="29"/>
      <c r="R120" s="29"/>
      <c r="S120" s="29"/>
      <c r="T120" s="29"/>
      <c r="U120" s="29"/>
      <c r="V120" s="29"/>
      <c r="W120" s="29"/>
    </row>
    <row r="121" spans="1:24" x14ac:dyDescent="0.25">
      <c r="A121" s="11" t="s">
        <v>742</v>
      </c>
      <c r="B121" s="11" t="s">
        <v>790</v>
      </c>
      <c r="C121" s="11" t="s">
        <v>756</v>
      </c>
      <c r="D121" s="11" t="s">
        <v>489</v>
      </c>
      <c r="E121" s="11" t="s">
        <v>1004</v>
      </c>
      <c r="F121" s="29"/>
      <c r="G121" s="29"/>
      <c r="H121" s="29"/>
      <c r="I121" s="29"/>
      <c r="J121" s="29"/>
      <c r="K121" s="29"/>
      <c r="L121" s="29"/>
      <c r="M121" s="29"/>
      <c r="N121" s="29"/>
      <c r="O121" s="29"/>
      <c r="P121" s="29"/>
      <c r="Q121" s="29"/>
      <c r="R121" s="29"/>
      <c r="S121" s="29"/>
      <c r="T121" s="29"/>
      <c r="U121" s="29"/>
      <c r="V121" s="29"/>
      <c r="W121" s="29"/>
    </row>
    <row r="122" spans="1:24" s="23" customFormat="1" x14ac:dyDescent="0.25"/>
    <row r="123" spans="1:24" s="7" customFormat="1" x14ac:dyDescent="0.25">
      <c r="A123" s="110" t="s">
        <v>742</v>
      </c>
      <c r="B123" s="110" t="s">
        <v>777</v>
      </c>
      <c r="C123" s="110" t="s">
        <v>1009</v>
      </c>
      <c r="D123" s="110" t="s">
        <v>490</v>
      </c>
      <c r="E123" s="110" t="s">
        <v>1005</v>
      </c>
      <c r="F123" s="126">
        <v>1.29E-2</v>
      </c>
      <c r="G123" s="126">
        <v>1.3299999999999999E-2</v>
      </c>
      <c r="H123" s="126">
        <v>1.1599999999999999E-2</v>
      </c>
      <c r="I123" s="126">
        <v>1.15E-2</v>
      </c>
      <c r="J123" s="126">
        <v>1.1399999999999999E-2</v>
      </c>
      <c r="K123" s="126">
        <v>1.1299999999999999E-2</v>
      </c>
      <c r="L123" s="126">
        <v>1.21E-2</v>
      </c>
      <c r="M123" s="126">
        <v>1.26E-2</v>
      </c>
      <c r="N123" s="126">
        <v>7.0999999999999995E-3</v>
      </c>
      <c r="O123" s="126">
        <v>1.8E-3</v>
      </c>
      <c r="P123" s="126">
        <v>2.2000000000000001E-3</v>
      </c>
      <c r="Q123" s="126">
        <v>3.2500000000000001E-2</v>
      </c>
      <c r="R123" s="126">
        <v>2.6700000000000002E-2</v>
      </c>
      <c r="S123" s="29">
        <v>3.299509590725716E-2</v>
      </c>
      <c r="T123" s="29">
        <v>3.0804766118268122E-2</v>
      </c>
      <c r="U123" s="29">
        <v>2.949136909671711E-2</v>
      </c>
      <c r="V123" s="29"/>
      <c r="W123" s="29"/>
      <c r="X123"/>
    </row>
    <row r="124" spans="1:24" x14ac:dyDescent="0.25">
      <c r="A124" s="11" t="s">
        <v>742</v>
      </c>
      <c r="B124" s="11" t="s">
        <v>778</v>
      </c>
      <c r="C124" s="11" t="s">
        <v>779</v>
      </c>
      <c r="D124" s="11" t="s">
        <v>490</v>
      </c>
      <c r="E124" s="11" t="s">
        <v>1005</v>
      </c>
      <c r="F124" s="29"/>
      <c r="G124" s="29"/>
      <c r="H124" s="29"/>
      <c r="I124" s="29"/>
      <c r="J124" s="29"/>
      <c r="K124" s="29"/>
      <c r="L124" s="29"/>
      <c r="M124" s="29"/>
      <c r="N124" s="29"/>
      <c r="O124" s="29"/>
      <c r="P124" s="29"/>
      <c r="Q124" s="29"/>
      <c r="R124" s="29"/>
      <c r="S124" s="29"/>
      <c r="T124" s="29"/>
      <c r="U124" s="29"/>
      <c r="V124" s="29"/>
      <c r="W124" s="29"/>
    </row>
    <row r="125" spans="1:24" x14ac:dyDescent="0.25">
      <c r="A125" s="11" t="s">
        <v>742</v>
      </c>
      <c r="B125" s="11" t="s">
        <v>780</v>
      </c>
      <c r="C125" s="11" t="s">
        <v>781</v>
      </c>
      <c r="D125" s="11" t="s">
        <v>490</v>
      </c>
      <c r="E125" s="11" t="s">
        <v>1005</v>
      </c>
      <c r="F125" s="29"/>
      <c r="G125" s="29"/>
      <c r="H125" s="29"/>
      <c r="I125" s="29"/>
      <c r="J125" s="29"/>
      <c r="K125" s="29"/>
      <c r="L125" s="29"/>
      <c r="M125" s="29"/>
      <c r="N125" s="29"/>
      <c r="O125" s="29"/>
      <c r="P125" s="29"/>
      <c r="Q125" s="29"/>
      <c r="R125" s="29"/>
      <c r="S125" s="29"/>
      <c r="T125" s="29"/>
      <c r="U125" s="29"/>
      <c r="V125" s="29"/>
      <c r="W125" s="29"/>
    </row>
    <row r="126" spans="1:24" x14ac:dyDescent="0.25">
      <c r="A126" s="11" t="s">
        <v>742</v>
      </c>
      <c r="B126" s="11" t="s">
        <v>782</v>
      </c>
      <c r="C126" s="11" t="s">
        <v>783</v>
      </c>
      <c r="D126" s="11" t="s">
        <v>490</v>
      </c>
      <c r="E126" s="11" t="s">
        <v>1005</v>
      </c>
      <c r="F126" s="29">
        <v>1.29E-2</v>
      </c>
      <c r="G126" s="29">
        <v>1.3299999999999999E-2</v>
      </c>
      <c r="H126" s="29">
        <v>1.1599999999999999E-2</v>
      </c>
      <c r="I126" s="29">
        <v>1.15E-2</v>
      </c>
      <c r="J126" s="29">
        <v>1.1399999999999999E-2</v>
      </c>
      <c r="K126" s="29">
        <v>1.1299999999999999E-2</v>
      </c>
      <c r="L126" s="29">
        <v>1.21E-2</v>
      </c>
      <c r="M126" s="29">
        <v>1.26E-2</v>
      </c>
      <c r="N126" s="29">
        <v>7.0999999999999995E-3</v>
      </c>
      <c r="O126" s="29">
        <v>1.8E-3</v>
      </c>
      <c r="P126" s="29">
        <v>2.2000000000000001E-3</v>
      </c>
      <c r="Q126" s="29">
        <v>3.2500000000000001E-2</v>
      </c>
      <c r="R126" s="29">
        <v>2.6700000000000002E-2</v>
      </c>
      <c r="S126" s="29">
        <v>3.299509590725716E-2</v>
      </c>
      <c r="T126" s="29">
        <v>3.0804766118268122E-2</v>
      </c>
      <c r="U126" s="29">
        <v>2.949136909671711E-2</v>
      </c>
      <c r="V126" s="29"/>
      <c r="W126" s="29"/>
    </row>
    <row r="127" spans="1:24" x14ac:dyDescent="0.25">
      <c r="A127" s="11" t="s">
        <v>742</v>
      </c>
      <c r="B127" s="11" t="s">
        <v>784</v>
      </c>
      <c r="C127" s="11" t="s">
        <v>785</v>
      </c>
      <c r="D127" s="11" t="s">
        <v>490</v>
      </c>
      <c r="E127" s="11" t="s">
        <v>1005</v>
      </c>
      <c r="F127" s="29"/>
      <c r="G127" s="29"/>
      <c r="H127" s="29"/>
      <c r="I127" s="29"/>
      <c r="J127" s="29"/>
      <c r="K127" s="29"/>
      <c r="L127" s="29"/>
      <c r="M127" s="29"/>
      <c r="N127" s="29"/>
      <c r="O127" s="29"/>
      <c r="P127" s="29"/>
      <c r="Q127" s="29"/>
      <c r="R127" s="29"/>
      <c r="S127" s="29"/>
      <c r="T127" s="29"/>
      <c r="U127" s="29"/>
      <c r="V127" s="29"/>
      <c r="W127" s="29"/>
    </row>
    <row r="128" spans="1:24" x14ac:dyDescent="0.25">
      <c r="A128" s="11" t="s">
        <v>742</v>
      </c>
      <c r="B128" s="11" t="s">
        <v>786</v>
      </c>
      <c r="C128" s="11" t="s">
        <v>787</v>
      </c>
      <c r="D128" s="11" t="s">
        <v>490</v>
      </c>
      <c r="E128" s="11" t="s">
        <v>1005</v>
      </c>
      <c r="F128" s="29"/>
      <c r="G128" s="29"/>
      <c r="H128" s="29"/>
      <c r="I128" s="29"/>
      <c r="J128" s="29"/>
      <c r="K128" s="29"/>
      <c r="L128" s="29"/>
      <c r="M128" s="29"/>
      <c r="N128" s="29"/>
      <c r="O128" s="29"/>
      <c r="P128" s="29"/>
      <c r="Q128" s="29"/>
      <c r="R128" s="29"/>
      <c r="S128" s="29"/>
      <c r="T128" s="29"/>
      <c r="U128" s="29"/>
      <c r="V128" s="29"/>
      <c r="W128" s="29"/>
    </row>
    <row r="129" spans="1:24" x14ac:dyDescent="0.25">
      <c r="A129" s="11" t="s">
        <v>742</v>
      </c>
      <c r="B129" s="11" t="s">
        <v>788</v>
      </c>
      <c r="C129" s="11" t="s">
        <v>789</v>
      </c>
      <c r="D129" s="11" t="s">
        <v>490</v>
      </c>
      <c r="E129" s="11" t="s">
        <v>1005</v>
      </c>
      <c r="F129" s="29"/>
      <c r="G129" s="29"/>
      <c r="H129" s="29"/>
      <c r="I129" s="29"/>
      <c r="J129" s="29"/>
      <c r="K129" s="29"/>
      <c r="L129" s="29"/>
      <c r="M129" s="29"/>
      <c r="N129" s="29"/>
      <c r="O129" s="29"/>
      <c r="P129" s="29"/>
      <c r="Q129" s="29"/>
      <c r="R129" s="29"/>
      <c r="S129" s="29"/>
      <c r="T129" s="29"/>
      <c r="U129" s="29"/>
      <c r="V129" s="29"/>
      <c r="W129" s="29"/>
    </row>
    <row r="130" spans="1:24" x14ac:dyDescent="0.25">
      <c r="A130" s="11" t="s">
        <v>742</v>
      </c>
      <c r="B130" s="11" t="s">
        <v>790</v>
      </c>
      <c r="C130" s="11" t="s">
        <v>756</v>
      </c>
      <c r="D130" s="11" t="s">
        <v>490</v>
      </c>
      <c r="E130" s="11" t="s">
        <v>1005</v>
      </c>
      <c r="F130" s="29"/>
      <c r="G130" s="29"/>
      <c r="H130" s="29"/>
      <c r="I130" s="29"/>
      <c r="J130" s="29"/>
      <c r="K130" s="29"/>
      <c r="L130" s="29"/>
      <c r="M130" s="29"/>
      <c r="N130" s="29"/>
      <c r="O130" s="29"/>
      <c r="P130" s="29"/>
      <c r="Q130" s="29"/>
      <c r="R130" s="29"/>
      <c r="S130" s="29"/>
      <c r="T130" s="29"/>
      <c r="U130" s="29"/>
      <c r="V130" s="29"/>
      <c r="W130" s="29"/>
    </row>
    <row r="131" spans="1:24" s="23" customFormat="1" x14ac:dyDescent="0.25"/>
    <row r="132" spans="1:24" s="7" customFormat="1" x14ac:dyDescent="0.25">
      <c r="A132" s="110" t="s">
        <v>742</v>
      </c>
      <c r="B132" s="110" t="s">
        <v>777</v>
      </c>
      <c r="C132" s="110" t="s">
        <v>1001</v>
      </c>
      <c r="D132" s="110" t="s">
        <v>1006</v>
      </c>
      <c r="E132" s="110" t="s">
        <v>745</v>
      </c>
      <c r="F132" s="126">
        <v>983.18000000000006</v>
      </c>
      <c r="G132" s="126">
        <v>1007.66</v>
      </c>
      <c r="H132" s="126">
        <v>897.11999999999989</v>
      </c>
      <c r="I132" s="126">
        <v>896.19999999999993</v>
      </c>
      <c r="J132" s="126">
        <v>889.43</v>
      </c>
      <c r="K132" s="126">
        <v>871.61</v>
      </c>
      <c r="L132" s="126">
        <v>935.52000000000021</v>
      </c>
      <c r="M132" s="126">
        <v>970.67</v>
      </c>
      <c r="N132" s="126">
        <v>547.62</v>
      </c>
      <c r="O132" s="126">
        <v>108.21</v>
      </c>
      <c r="P132" s="126">
        <v>137.89000000000001</v>
      </c>
      <c r="Q132" s="126">
        <v>2410.8500000000004</v>
      </c>
      <c r="R132" s="126">
        <v>1979.19</v>
      </c>
      <c r="S132" s="29">
        <v>2445.8263621230067</v>
      </c>
      <c r="T132" s="29">
        <v>2283.4638596859581</v>
      </c>
      <c r="U132" s="29">
        <v>2186.1057229412554</v>
      </c>
      <c r="V132" s="29"/>
      <c r="W132" s="29"/>
      <c r="X132"/>
    </row>
    <row r="133" spans="1:24" x14ac:dyDescent="0.25">
      <c r="A133" s="11" t="s">
        <v>742</v>
      </c>
      <c r="B133" s="11" t="s">
        <v>778</v>
      </c>
      <c r="C133" s="11" t="s">
        <v>779</v>
      </c>
      <c r="D133" s="11" t="s">
        <v>1006</v>
      </c>
      <c r="E133" s="11" t="s">
        <v>745</v>
      </c>
      <c r="F133" s="29"/>
      <c r="G133" s="29"/>
      <c r="H133" s="29"/>
      <c r="I133" s="29"/>
      <c r="J133" s="29"/>
      <c r="K133" s="29"/>
      <c r="L133" s="29"/>
      <c r="M133" s="29"/>
      <c r="N133" s="29"/>
      <c r="O133" s="29"/>
      <c r="P133" s="29"/>
      <c r="Q133" s="29"/>
      <c r="R133" s="29"/>
      <c r="S133" s="29"/>
      <c r="T133" s="29"/>
      <c r="U133" s="29"/>
      <c r="V133" s="29"/>
      <c r="W133" s="29"/>
    </row>
    <row r="134" spans="1:24" x14ac:dyDescent="0.25">
      <c r="A134" s="11" t="s">
        <v>742</v>
      </c>
      <c r="B134" s="11" t="s">
        <v>780</v>
      </c>
      <c r="C134" s="11" t="s">
        <v>781</v>
      </c>
      <c r="D134" s="11" t="s">
        <v>1006</v>
      </c>
      <c r="E134" s="11" t="s">
        <v>745</v>
      </c>
      <c r="F134" s="29"/>
      <c r="G134" s="29"/>
      <c r="H134" s="29"/>
      <c r="I134" s="29"/>
      <c r="J134" s="29"/>
      <c r="K134" s="29"/>
      <c r="L134" s="29"/>
      <c r="M134" s="29"/>
      <c r="N134" s="29"/>
      <c r="O134" s="29"/>
      <c r="P134" s="29"/>
      <c r="Q134" s="29"/>
      <c r="R134" s="29"/>
      <c r="S134" s="29"/>
      <c r="T134" s="29"/>
      <c r="U134" s="29"/>
      <c r="V134" s="29"/>
      <c r="W134" s="29"/>
    </row>
    <row r="135" spans="1:24" x14ac:dyDescent="0.25">
      <c r="A135" s="11" t="s">
        <v>742</v>
      </c>
      <c r="B135" s="11" t="s">
        <v>782</v>
      </c>
      <c r="C135" s="11" t="s">
        <v>783</v>
      </c>
      <c r="D135" s="11" t="s">
        <v>1006</v>
      </c>
      <c r="E135" s="11" t="s">
        <v>745</v>
      </c>
      <c r="F135" s="29">
        <v>983.18000000000006</v>
      </c>
      <c r="G135" s="29">
        <v>1007.66</v>
      </c>
      <c r="H135" s="29">
        <v>897.11999999999989</v>
      </c>
      <c r="I135" s="29">
        <v>896.19999999999993</v>
      </c>
      <c r="J135" s="29">
        <v>889.43</v>
      </c>
      <c r="K135" s="29">
        <v>871.61</v>
      </c>
      <c r="L135" s="29">
        <v>935.52000000000021</v>
      </c>
      <c r="M135" s="29">
        <v>970.67</v>
      </c>
      <c r="N135" s="29">
        <v>547.62</v>
      </c>
      <c r="O135" s="29">
        <v>108.21</v>
      </c>
      <c r="P135" s="29">
        <v>137.89000000000001</v>
      </c>
      <c r="Q135" s="29">
        <v>2410.8500000000004</v>
      </c>
      <c r="R135" s="29">
        <v>1979.19</v>
      </c>
      <c r="S135" s="29">
        <v>2445.8263621230067</v>
      </c>
      <c r="T135" s="29">
        <v>2283.4638596859581</v>
      </c>
      <c r="U135" s="29">
        <v>2186.1057229412554</v>
      </c>
      <c r="V135" s="29"/>
      <c r="W135" s="29"/>
    </row>
    <row r="136" spans="1:24" x14ac:dyDescent="0.25">
      <c r="A136" s="11" t="s">
        <v>742</v>
      </c>
      <c r="B136" s="11" t="s">
        <v>784</v>
      </c>
      <c r="C136" s="11" t="s">
        <v>785</v>
      </c>
      <c r="D136" s="11" t="s">
        <v>1006</v>
      </c>
      <c r="E136" s="11" t="s">
        <v>745</v>
      </c>
      <c r="F136" s="29"/>
      <c r="G136" s="29"/>
      <c r="H136" s="29"/>
      <c r="I136" s="29"/>
      <c r="J136" s="29"/>
      <c r="K136" s="29"/>
      <c r="L136" s="29"/>
      <c r="M136" s="29"/>
      <c r="N136" s="29"/>
      <c r="O136" s="29"/>
      <c r="P136" s="29"/>
      <c r="Q136" s="29"/>
      <c r="R136" s="29"/>
      <c r="S136" s="29"/>
      <c r="T136" s="29"/>
      <c r="U136" s="29"/>
      <c r="V136" s="29"/>
      <c r="W136" s="29"/>
    </row>
    <row r="137" spans="1:24" x14ac:dyDescent="0.25">
      <c r="A137" s="11" t="s">
        <v>742</v>
      </c>
      <c r="B137" s="11" t="s">
        <v>786</v>
      </c>
      <c r="C137" s="11" t="s">
        <v>787</v>
      </c>
      <c r="D137" s="11" t="s">
        <v>1006</v>
      </c>
      <c r="E137" s="11" t="s">
        <v>745</v>
      </c>
      <c r="F137" s="29"/>
      <c r="G137" s="29"/>
      <c r="H137" s="29"/>
      <c r="I137" s="29"/>
      <c r="J137" s="29"/>
      <c r="K137" s="29"/>
      <c r="L137" s="29"/>
      <c r="M137" s="29"/>
      <c r="N137" s="29"/>
      <c r="O137" s="29"/>
      <c r="P137" s="29"/>
      <c r="Q137" s="29"/>
      <c r="R137" s="29"/>
      <c r="S137" s="29"/>
      <c r="T137" s="29"/>
      <c r="U137" s="29"/>
      <c r="V137" s="29"/>
      <c r="W137" s="29"/>
    </row>
    <row r="138" spans="1:24" x14ac:dyDescent="0.25">
      <c r="A138" s="11" t="s">
        <v>742</v>
      </c>
      <c r="B138" s="11" t="s">
        <v>788</v>
      </c>
      <c r="C138" s="11" t="s">
        <v>789</v>
      </c>
      <c r="D138" s="11" t="s">
        <v>1006</v>
      </c>
      <c r="E138" s="11" t="s">
        <v>745</v>
      </c>
      <c r="F138" s="29"/>
      <c r="G138" s="29"/>
      <c r="H138" s="29"/>
      <c r="I138" s="29"/>
      <c r="J138" s="29"/>
      <c r="K138" s="29"/>
      <c r="L138" s="29"/>
      <c r="M138" s="29"/>
      <c r="N138" s="29"/>
      <c r="O138" s="29"/>
      <c r="P138" s="29"/>
      <c r="Q138" s="29"/>
      <c r="R138" s="29"/>
      <c r="S138" s="29"/>
      <c r="T138" s="29"/>
      <c r="U138" s="29"/>
      <c r="V138" s="29"/>
      <c r="W138" s="29"/>
    </row>
    <row r="139" spans="1:24" x14ac:dyDescent="0.25">
      <c r="A139" s="11" t="s">
        <v>742</v>
      </c>
      <c r="B139" s="11" t="s">
        <v>790</v>
      </c>
      <c r="C139" s="11" t="s">
        <v>756</v>
      </c>
      <c r="D139" s="11" t="s">
        <v>1006</v>
      </c>
      <c r="E139" s="11" t="s">
        <v>745</v>
      </c>
      <c r="F139" s="29"/>
      <c r="G139" s="29"/>
      <c r="H139" s="29"/>
      <c r="I139" s="29"/>
      <c r="J139" s="29"/>
      <c r="K139" s="29"/>
      <c r="L139" s="29"/>
      <c r="M139" s="29"/>
      <c r="N139" s="29"/>
      <c r="O139" s="29"/>
      <c r="P139" s="29"/>
      <c r="Q139" s="29"/>
      <c r="R139" s="29"/>
      <c r="S139" s="29"/>
      <c r="T139" s="29"/>
      <c r="U139" s="29"/>
      <c r="V139" s="29"/>
      <c r="W139" s="29"/>
    </row>
    <row r="140" spans="1:24" s="23" customFormat="1" x14ac:dyDescent="0.25"/>
    <row r="141" spans="1:24" s="22" customFormat="1" x14ac:dyDescent="0.25">
      <c r="A141" s="123" t="s">
        <v>854</v>
      </c>
      <c r="D141" s="8" t="s">
        <v>852</v>
      </c>
    </row>
    <row r="142" spans="1:24" s="7" customFormat="1" x14ac:dyDescent="0.25">
      <c r="A142" s="110" t="s">
        <v>736</v>
      </c>
      <c r="B142" s="110" t="s">
        <v>737</v>
      </c>
      <c r="C142" s="110" t="s">
        <v>738</v>
      </c>
      <c r="D142" s="110" t="s">
        <v>739</v>
      </c>
      <c r="E142" s="110" t="s">
        <v>740</v>
      </c>
      <c r="F142" s="110">
        <v>2000</v>
      </c>
      <c r="G142" s="110">
        <v>2001</v>
      </c>
      <c r="H142" s="110">
        <v>2002</v>
      </c>
      <c r="I142" s="110">
        <v>2003</v>
      </c>
      <c r="J142" s="110">
        <v>2004</v>
      </c>
      <c r="K142" s="110">
        <v>2005</v>
      </c>
      <c r="L142" s="110">
        <v>2006</v>
      </c>
      <c r="M142" s="110">
        <v>2007</v>
      </c>
      <c r="N142" s="110">
        <v>2008</v>
      </c>
      <c r="O142" s="110">
        <v>2009</v>
      </c>
      <c r="P142" s="110">
        <v>2010</v>
      </c>
      <c r="Q142" s="110">
        <v>2011</v>
      </c>
      <c r="R142" s="110">
        <v>2012</v>
      </c>
      <c r="S142" s="110">
        <v>2013</v>
      </c>
      <c r="T142" s="110">
        <v>2014</v>
      </c>
      <c r="U142" s="110">
        <v>2015</v>
      </c>
      <c r="V142" s="110"/>
      <c r="W142" s="110"/>
    </row>
    <row r="143" spans="1:24" s="7" customFormat="1" x14ac:dyDescent="0.25">
      <c r="A143" s="110" t="s">
        <v>742</v>
      </c>
      <c r="B143" s="110" t="s">
        <v>777</v>
      </c>
      <c r="C143" s="110" t="s">
        <v>1007</v>
      </c>
      <c r="D143" s="110" t="s">
        <v>744</v>
      </c>
      <c r="E143" s="110" t="s">
        <v>745</v>
      </c>
      <c r="F143" s="66">
        <f t="shared" ref="F143:T143" si="26">IFERROR(((F5/F75)-1),"CHECK")</f>
        <v>0</v>
      </c>
      <c r="G143" s="66">
        <f t="shared" si="26"/>
        <v>0</v>
      </c>
      <c r="H143" s="66">
        <f t="shared" si="26"/>
        <v>0</v>
      </c>
      <c r="I143" s="66">
        <f t="shared" si="26"/>
        <v>0</v>
      </c>
      <c r="J143" s="66">
        <f t="shared" si="26"/>
        <v>0</v>
      </c>
      <c r="K143" s="66">
        <f t="shared" si="26"/>
        <v>0</v>
      </c>
      <c r="L143" s="66">
        <f t="shared" si="26"/>
        <v>0</v>
      </c>
      <c r="M143" s="66">
        <f t="shared" si="26"/>
        <v>0</v>
      </c>
      <c r="N143" s="66">
        <f t="shared" si="26"/>
        <v>0</v>
      </c>
      <c r="O143" s="66">
        <f t="shared" si="26"/>
        <v>0</v>
      </c>
      <c r="P143" s="66">
        <f t="shared" si="26"/>
        <v>0</v>
      </c>
      <c r="Q143" s="66">
        <f t="shared" si="26"/>
        <v>0</v>
      </c>
      <c r="R143" s="66">
        <f t="shared" si="26"/>
        <v>0</v>
      </c>
      <c r="S143" s="66">
        <f t="shared" si="26"/>
        <v>0</v>
      </c>
      <c r="T143" s="66">
        <f t="shared" si="26"/>
        <v>0</v>
      </c>
      <c r="U143" s="66">
        <f>IFERROR(((U5/U75)-1),"CHECK")</f>
        <v>0</v>
      </c>
      <c r="V143" s="66"/>
      <c r="W143" s="66"/>
    </row>
    <row r="144" spans="1:24" x14ac:dyDescent="0.25">
      <c r="A144" s="11" t="s">
        <v>742</v>
      </c>
      <c r="B144" s="11" t="s">
        <v>778</v>
      </c>
      <c r="C144" s="11" t="s">
        <v>779</v>
      </c>
      <c r="D144" s="11" t="s">
        <v>744</v>
      </c>
      <c r="E144" s="11" t="s">
        <v>745</v>
      </c>
      <c r="F144" s="66">
        <f t="shared" ref="F144:T144" si="27">IFERROR(((F6/F76)-1),"CHECK")</f>
        <v>0</v>
      </c>
      <c r="G144" s="66">
        <f t="shared" si="27"/>
        <v>0</v>
      </c>
      <c r="H144" s="66">
        <f t="shared" si="27"/>
        <v>0</v>
      </c>
      <c r="I144" s="66">
        <f t="shared" si="27"/>
        <v>0</v>
      </c>
      <c r="J144" s="66">
        <f t="shared" si="27"/>
        <v>0</v>
      </c>
      <c r="K144" s="66">
        <f t="shared" si="27"/>
        <v>0</v>
      </c>
      <c r="L144" s="66">
        <f t="shared" si="27"/>
        <v>0</v>
      </c>
      <c r="M144" s="66">
        <f t="shared" si="27"/>
        <v>0</v>
      </c>
      <c r="N144" s="66">
        <f t="shared" si="27"/>
        <v>0</v>
      </c>
      <c r="O144" s="66">
        <f t="shared" si="27"/>
        <v>0</v>
      </c>
      <c r="P144" s="66">
        <f t="shared" si="27"/>
        <v>0</v>
      </c>
      <c r="Q144" s="66">
        <f t="shared" si="27"/>
        <v>0</v>
      </c>
      <c r="R144" s="66">
        <f t="shared" si="27"/>
        <v>0</v>
      </c>
      <c r="S144" s="66">
        <f t="shared" si="27"/>
        <v>0</v>
      </c>
      <c r="T144" s="66">
        <f t="shared" si="27"/>
        <v>0</v>
      </c>
      <c r="U144" s="66">
        <f>IFERROR(((U6/U76)-1),"CHECK")</f>
        <v>0</v>
      </c>
      <c r="V144" s="66"/>
      <c r="W144" s="66"/>
    </row>
    <row r="145" spans="1:23" x14ac:dyDescent="0.25">
      <c r="A145" s="11" t="s">
        <v>742</v>
      </c>
      <c r="B145" s="11" t="s">
        <v>780</v>
      </c>
      <c r="C145" s="11" t="s">
        <v>781</v>
      </c>
      <c r="D145" s="11" t="s">
        <v>744</v>
      </c>
      <c r="E145" s="11" t="s">
        <v>745</v>
      </c>
      <c r="F145" s="66">
        <f t="shared" ref="F145:F150" si="28">IFERROR(((F7/F77)-1),"CHECK")</f>
        <v>0</v>
      </c>
      <c r="G145" s="66">
        <f t="shared" ref="G145:U145" si="29">IFERROR(((G7/G77)-1),"CHECK")</f>
        <v>0</v>
      </c>
      <c r="H145" s="66">
        <f t="shared" si="29"/>
        <v>0</v>
      </c>
      <c r="I145" s="66">
        <f t="shared" si="29"/>
        <v>0</v>
      </c>
      <c r="J145" s="66">
        <f t="shared" si="29"/>
        <v>0</v>
      </c>
      <c r="K145" s="66">
        <f t="shared" si="29"/>
        <v>0</v>
      </c>
      <c r="L145" s="66">
        <f t="shared" si="29"/>
        <v>0</v>
      </c>
      <c r="M145" s="66">
        <f t="shared" si="29"/>
        <v>0</v>
      </c>
      <c r="N145" s="66">
        <f t="shared" si="29"/>
        <v>0</v>
      </c>
      <c r="O145" s="66">
        <f t="shared" si="29"/>
        <v>0</v>
      </c>
      <c r="P145" s="66">
        <f t="shared" si="29"/>
        <v>0</v>
      </c>
      <c r="Q145" s="66">
        <f t="shared" si="29"/>
        <v>0</v>
      </c>
      <c r="R145" s="66">
        <f t="shared" si="29"/>
        <v>0</v>
      </c>
      <c r="S145" s="66">
        <f t="shared" si="29"/>
        <v>0</v>
      </c>
      <c r="T145" s="66">
        <f t="shared" si="29"/>
        <v>0</v>
      </c>
      <c r="U145" s="66">
        <f t="shared" si="29"/>
        <v>0</v>
      </c>
      <c r="V145" s="66"/>
      <c r="W145" s="66"/>
    </row>
    <row r="146" spans="1:23" x14ac:dyDescent="0.25">
      <c r="A146" s="11" t="s">
        <v>742</v>
      </c>
      <c r="B146" s="11" t="s">
        <v>782</v>
      </c>
      <c r="C146" s="11" t="s">
        <v>783</v>
      </c>
      <c r="D146" s="11" t="s">
        <v>744</v>
      </c>
      <c r="E146" s="11" t="s">
        <v>745</v>
      </c>
      <c r="F146" s="66">
        <f t="shared" si="28"/>
        <v>0</v>
      </c>
      <c r="G146" s="66">
        <f t="shared" ref="G146:U146" si="30">IFERROR(((G8/G78)-1),"CHECK")</f>
        <v>0</v>
      </c>
      <c r="H146" s="66">
        <f t="shared" si="30"/>
        <v>0</v>
      </c>
      <c r="I146" s="66">
        <f t="shared" si="30"/>
        <v>0</v>
      </c>
      <c r="J146" s="66">
        <f t="shared" si="30"/>
        <v>0</v>
      </c>
      <c r="K146" s="66">
        <f t="shared" si="30"/>
        <v>0</v>
      </c>
      <c r="L146" s="66">
        <f t="shared" si="30"/>
        <v>0</v>
      </c>
      <c r="M146" s="66">
        <f t="shared" si="30"/>
        <v>0</v>
      </c>
      <c r="N146" s="66">
        <f t="shared" si="30"/>
        <v>0</v>
      </c>
      <c r="O146" s="66">
        <f t="shared" si="30"/>
        <v>0</v>
      </c>
      <c r="P146" s="66">
        <f t="shared" si="30"/>
        <v>0</v>
      </c>
      <c r="Q146" s="66">
        <f t="shared" si="30"/>
        <v>0</v>
      </c>
      <c r="R146" s="66">
        <f t="shared" si="30"/>
        <v>0</v>
      </c>
      <c r="S146" s="66">
        <f t="shared" si="30"/>
        <v>0</v>
      </c>
      <c r="T146" s="66">
        <f t="shared" si="30"/>
        <v>0</v>
      </c>
      <c r="U146" s="66">
        <f t="shared" si="30"/>
        <v>0</v>
      </c>
      <c r="V146" s="66"/>
      <c r="W146" s="66"/>
    </row>
    <row r="147" spans="1:23" x14ac:dyDescent="0.25">
      <c r="A147" s="11" t="s">
        <v>742</v>
      </c>
      <c r="B147" s="11" t="s">
        <v>784</v>
      </c>
      <c r="C147" s="11" t="s">
        <v>785</v>
      </c>
      <c r="D147" s="11" t="s">
        <v>744</v>
      </c>
      <c r="E147" s="11" t="s">
        <v>745</v>
      </c>
      <c r="F147" s="66" t="str">
        <f t="shared" si="28"/>
        <v>CHECK</v>
      </c>
      <c r="G147" s="66" t="str">
        <f t="shared" ref="G147:U147" si="31">IFERROR(((G9/G79)-1),"CHECK")</f>
        <v>CHECK</v>
      </c>
      <c r="H147" s="66" t="str">
        <f t="shared" si="31"/>
        <v>CHECK</v>
      </c>
      <c r="I147" s="66" t="str">
        <f t="shared" si="31"/>
        <v>CHECK</v>
      </c>
      <c r="J147" s="66" t="str">
        <f t="shared" si="31"/>
        <v>CHECK</v>
      </c>
      <c r="K147" s="66" t="str">
        <f t="shared" si="31"/>
        <v>CHECK</v>
      </c>
      <c r="L147" s="66" t="str">
        <f t="shared" si="31"/>
        <v>CHECK</v>
      </c>
      <c r="M147" s="66" t="str">
        <f t="shared" si="31"/>
        <v>CHECK</v>
      </c>
      <c r="N147" s="66" t="str">
        <f t="shared" si="31"/>
        <v>CHECK</v>
      </c>
      <c r="O147" s="66" t="str">
        <f t="shared" si="31"/>
        <v>CHECK</v>
      </c>
      <c r="P147" s="66" t="str">
        <f t="shared" si="31"/>
        <v>CHECK</v>
      </c>
      <c r="Q147" s="66" t="str">
        <f t="shared" si="31"/>
        <v>CHECK</v>
      </c>
      <c r="R147" s="66" t="str">
        <f t="shared" si="31"/>
        <v>CHECK</v>
      </c>
      <c r="S147" s="66" t="str">
        <f t="shared" si="31"/>
        <v>CHECK</v>
      </c>
      <c r="T147" s="66" t="str">
        <f t="shared" si="31"/>
        <v>CHECK</v>
      </c>
      <c r="U147" s="66" t="str">
        <f t="shared" si="31"/>
        <v>CHECK</v>
      </c>
      <c r="V147" s="66"/>
      <c r="W147" s="66"/>
    </row>
    <row r="148" spans="1:23" x14ac:dyDescent="0.25">
      <c r="A148" s="11" t="s">
        <v>742</v>
      </c>
      <c r="B148" s="11" t="s">
        <v>786</v>
      </c>
      <c r="C148" s="11" t="s">
        <v>787</v>
      </c>
      <c r="D148" s="11" t="s">
        <v>744</v>
      </c>
      <c r="E148" s="11" t="s">
        <v>745</v>
      </c>
      <c r="F148" s="66">
        <f t="shared" si="28"/>
        <v>0</v>
      </c>
      <c r="G148" s="66">
        <f t="shared" ref="G148:U148" si="32">IFERROR(((G10/G80)-1),"CHECK")</f>
        <v>0</v>
      </c>
      <c r="H148" s="66">
        <f t="shared" si="32"/>
        <v>0</v>
      </c>
      <c r="I148" s="66">
        <f t="shared" si="32"/>
        <v>0</v>
      </c>
      <c r="J148" s="66">
        <f t="shared" si="32"/>
        <v>0</v>
      </c>
      <c r="K148" s="66">
        <f t="shared" si="32"/>
        <v>0</v>
      </c>
      <c r="L148" s="66">
        <f t="shared" si="32"/>
        <v>0</v>
      </c>
      <c r="M148" s="66">
        <f t="shared" si="32"/>
        <v>0</v>
      </c>
      <c r="N148" s="66">
        <f t="shared" si="32"/>
        <v>0</v>
      </c>
      <c r="O148" s="66">
        <f t="shared" si="32"/>
        <v>0</v>
      </c>
      <c r="P148" s="66">
        <f t="shared" si="32"/>
        <v>0</v>
      </c>
      <c r="Q148" s="66">
        <f t="shared" si="32"/>
        <v>0</v>
      </c>
      <c r="R148" s="66">
        <f t="shared" si="32"/>
        <v>0</v>
      </c>
      <c r="S148" s="66">
        <f t="shared" si="32"/>
        <v>0</v>
      </c>
      <c r="T148" s="66">
        <f t="shared" si="32"/>
        <v>0</v>
      </c>
      <c r="U148" s="66">
        <f t="shared" si="32"/>
        <v>0</v>
      </c>
      <c r="V148" s="66"/>
      <c r="W148" s="66"/>
    </row>
    <row r="149" spans="1:23" x14ac:dyDescent="0.25">
      <c r="A149" s="11" t="s">
        <v>742</v>
      </c>
      <c r="B149" s="11" t="s">
        <v>788</v>
      </c>
      <c r="C149" s="11" t="s">
        <v>789</v>
      </c>
      <c r="D149" s="11" t="s">
        <v>744</v>
      </c>
      <c r="E149" s="11" t="s">
        <v>745</v>
      </c>
      <c r="F149" s="66">
        <f t="shared" si="28"/>
        <v>0</v>
      </c>
      <c r="G149" s="66">
        <f t="shared" ref="G149:U149" si="33">IFERROR(((G11/G81)-1),"CHECK")</f>
        <v>0</v>
      </c>
      <c r="H149" s="66">
        <f t="shared" si="33"/>
        <v>0</v>
      </c>
      <c r="I149" s="66">
        <f t="shared" si="33"/>
        <v>0</v>
      </c>
      <c r="J149" s="66">
        <f t="shared" si="33"/>
        <v>0</v>
      </c>
      <c r="K149" s="66">
        <f t="shared" si="33"/>
        <v>0</v>
      </c>
      <c r="L149" s="66">
        <f t="shared" si="33"/>
        <v>0</v>
      </c>
      <c r="M149" s="66">
        <f t="shared" si="33"/>
        <v>0</v>
      </c>
      <c r="N149" s="66">
        <f t="shared" si="33"/>
        <v>0</v>
      </c>
      <c r="O149" s="66">
        <f t="shared" si="33"/>
        <v>0</v>
      </c>
      <c r="P149" s="66">
        <f t="shared" si="33"/>
        <v>0</v>
      </c>
      <c r="Q149" s="66">
        <f t="shared" si="33"/>
        <v>0</v>
      </c>
      <c r="R149" s="66">
        <f t="shared" si="33"/>
        <v>0</v>
      </c>
      <c r="S149" s="66">
        <f t="shared" si="33"/>
        <v>0</v>
      </c>
      <c r="T149" s="66">
        <f t="shared" si="33"/>
        <v>0</v>
      </c>
      <c r="U149" s="66">
        <f t="shared" si="33"/>
        <v>0</v>
      </c>
      <c r="V149" s="66"/>
      <c r="W149" s="66"/>
    </row>
    <row r="150" spans="1:23" x14ac:dyDescent="0.25">
      <c r="A150" s="11" t="s">
        <v>742</v>
      </c>
      <c r="B150" s="11" t="s">
        <v>790</v>
      </c>
      <c r="C150" s="11" t="s">
        <v>756</v>
      </c>
      <c r="D150" s="11" t="s">
        <v>744</v>
      </c>
      <c r="E150" s="11" t="s">
        <v>745</v>
      </c>
      <c r="F150" s="66" t="str">
        <f t="shared" si="28"/>
        <v>CHECK</v>
      </c>
      <c r="G150" s="66" t="str">
        <f t="shared" ref="G150:U150" si="34">IFERROR(((G12/G82)-1),"CHECK")</f>
        <v>CHECK</v>
      </c>
      <c r="H150" s="66" t="str">
        <f t="shared" si="34"/>
        <v>CHECK</v>
      </c>
      <c r="I150" s="66" t="str">
        <f t="shared" si="34"/>
        <v>CHECK</v>
      </c>
      <c r="J150" s="66" t="str">
        <f t="shared" si="34"/>
        <v>CHECK</v>
      </c>
      <c r="K150" s="66" t="str">
        <f t="shared" si="34"/>
        <v>CHECK</v>
      </c>
      <c r="L150" s="66" t="str">
        <f t="shared" si="34"/>
        <v>CHECK</v>
      </c>
      <c r="M150" s="66" t="str">
        <f t="shared" si="34"/>
        <v>CHECK</v>
      </c>
      <c r="N150" s="66" t="str">
        <f t="shared" si="34"/>
        <v>CHECK</v>
      </c>
      <c r="O150" s="66" t="str">
        <f t="shared" si="34"/>
        <v>CHECK</v>
      </c>
      <c r="P150" s="66" t="str">
        <f t="shared" si="34"/>
        <v>CHECK</v>
      </c>
      <c r="Q150" s="66" t="str">
        <f t="shared" si="34"/>
        <v>CHECK</v>
      </c>
      <c r="R150" s="66" t="str">
        <f t="shared" si="34"/>
        <v>CHECK</v>
      </c>
      <c r="S150" s="66" t="str">
        <f t="shared" si="34"/>
        <v>CHECK</v>
      </c>
      <c r="T150" s="66" t="str">
        <f t="shared" si="34"/>
        <v>CHECK</v>
      </c>
      <c r="U150" s="66" t="str">
        <f t="shared" si="34"/>
        <v>CHECK</v>
      </c>
      <c r="V150" s="66"/>
      <c r="W150" s="66"/>
    </row>
    <row r="152" spans="1:23" x14ac:dyDescent="0.25">
      <c r="A152" s="23"/>
      <c r="B152" s="23"/>
      <c r="C152" s="110" t="s">
        <v>846</v>
      </c>
      <c r="D152" s="23"/>
      <c r="E152" s="23"/>
    </row>
    <row r="153" spans="1:23" s="7" customFormat="1" x14ac:dyDescent="0.25">
      <c r="A153" s="110" t="s">
        <v>742</v>
      </c>
      <c r="B153" s="110" t="s">
        <v>777</v>
      </c>
      <c r="C153" s="110" t="s">
        <v>1001</v>
      </c>
      <c r="D153" s="110" t="s">
        <v>836</v>
      </c>
      <c r="E153" s="110" t="s">
        <v>745</v>
      </c>
      <c r="F153" s="66">
        <f t="shared" ref="F153:F160" si="35">IFERROR(((F15/F85)-1),"CHECK")</f>
        <v>0</v>
      </c>
      <c r="G153" s="66">
        <f t="shared" ref="G153:U153" si="36">IFERROR(((G15/G85)-1),"CHECK")</f>
        <v>0</v>
      </c>
      <c r="H153" s="66">
        <f t="shared" si="36"/>
        <v>0</v>
      </c>
      <c r="I153" s="66">
        <f t="shared" si="36"/>
        <v>0</v>
      </c>
      <c r="J153" s="66">
        <f t="shared" si="36"/>
        <v>0</v>
      </c>
      <c r="K153" s="66">
        <f t="shared" si="36"/>
        <v>0</v>
      </c>
      <c r="L153" s="66">
        <f t="shared" si="36"/>
        <v>0</v>
      </c>
      <c r="M153" s="66">
        <f t="shared" si="36"/>
        <v>0</v>
      </c>
      <c r="N153" s="66">
        <f t="shared" si="36"/>
        <v>0</v>
      </c>
      <c r="O153" s="66">
        <f t="shared" si="36"/>
        <v>0</v>
      </c>
      <c r="P153" s="66">
        <f t="shared" si="36"/>
        <v>0</v>
      </c>
      <c r="Q153" s="66">
        <f t="shared" si="36"/>
        <v>0</v>
      </c>
      <c r="R153" s="66">
        <f t="shared" si="36"/>
        <v>0</v>
      </c>
      <c r="S153" s="66">
        <f t="shared" si="36"/>
        <v>0</v>
      </c>
      <c r="T153" s="66">
        <f t="shared" si="36"/>
        <v>0</v>
      </c>
      <c r="U153" s="66">
        <f t="shared" si="36"/>
        <v>0</v>
      </c>
      <c r="V153" s="66"/>
      <c r="W153" s="66"/>
    </row>
    <row r="154" spans="1:23" x14ac:dyDescent="0.25">
      <c r="A154" s="11" t="s">
        <v>742</v>
      </c>
      <c r="B154" s="11" t="s">
        <v>778</v>
      </c>
      <c r="C154" s="11" t="s">
        <v>779</v>
      </c>
      <c r="D154" s="11" t="s">
        <v>836</v>
      </c>
      <c r="E154" s="11" t="s">
        <v>745</v>
      </c>
      <c r="F154" s="66">
        <f t="shared" si="35"/>
        <v>0</v>
      </c>
      <c r="G154" s="66">
        <f t="shared" ref="G154:U154" si="37">IFERROR(((G16/G86)-1),"CHECK")</f>
        <v>0</v>
      </c>
      <c r="H154" s="66">
        <f t="shared" si="37"/>
        <v>0</v>
      </c>
      <c r="I154" s="66">
        <f t="shared" si="37"/>
        <v>0</v>
      </c>
      <c r="J154" s="66">
        <f t="shared" si="37"/>
        <v>0</v>
      </c>
      <c r="K154" s="66">
        <f t="shared" si="37"/>
        <v>0</v>
      </c>
      <c r="L154" s="66">
        <f t="shared" si="37"/>
        <v>0</v>
      </c>
      <c r="M154" s="66">
        <f t="shared" si="37"/>
        <v>0</v>
      </c>
      <c r="N154" s="66">
        <f t="shared" si="37"/>
        <v>0</v>
      </c>
      <c r="O154" s="66">
        <f t="shared" si="37"/>
        <v>0</v>
      </c>
      <c r="P154" s="66">
        <f t="shared" si="37"/>
        <v>0</v>
      </c>
      <c r="Q154" s="66">
        <f t="shared" si="37"/>
        <v>0</v>
      </c>
      <c r="R154" s="66">
        <f t="shared" si="37"/>
        <v>0</v>
      </c>
      <c r="S154" s="66">
        <f t="shared" si="37"/>
        <v>0</v>
      </c>
      <c r="T154" s="66">
        <f t="shared" si="37"/>
        <v>0</v>
      </c>
      <c r="U154" s="66">
        <f t="shared" si="37"/>
        <v>0</v>
      </c>
      <c r="V154" s="66"/>
      <c r="W154" s="66"/>
    </row>
    <row r="155" spans="1:23" x14ac:dyDescent="0.25">
      <c r="A155" s="11" t="s">
        <v>742</v>
      </c>
      <c r="B155" s="11" t="s">
        <v>780</v>
      </c>
      <c r="C155" s="11" t="s">
        <v>781</v>
      </c>
      <c r="D155" s="11" t="s">
        <v>836</v>
      </c>
      <c r="E155" s="11" t="s">
        <v>745</v>
      </c>
      <c r="F155" s="66">
        <f t="shared" si="35"/>
        <v>0</v>
      </c>
      <c r="G155" s="66">
        <f t="shared" ref="G155:U155" si="38">IFERROR(((G17/G87)-1),"CHECK")</f>
        <v>0</v>
      </c>
      <c r="H155" s="66">
        <f t="shared" si="38"/>
        <v>0</v>
      </c>
      <c r="I155" s="66">
        <f t="shared" si="38"/>
        <v>0</v>
      </c>
      <c r="J155" s="66">
        <f t="shared" si="38"/>
        <v>0</v>
      </c>
      <c r="K155" s="66">
        <f t="shared" si="38"/>
        <v>0</v>
      </c>
      <c r="L155" s="66">
        <f t="shared" si="38"/>
        <v>0</v>
      </c>
      <c r="M155" s="66">
        <f t="shared" si="38"/>
        <v>0</v>
      </c>
      <c r="N155" s="66">
        <f t="shared" si="38"/>
        <v>0</v>
      </c>
      <c r="O155" s="66">
        <f t="shared" si="38"/>
        <v>0</v>
      </c>
      <c r="P155" s="66">
        <f t="shared" si="38"/>
        <v>0</v>
      </c>
      <c r="Q155" s="66">
        <f t="shared" si="38"/>
        <v>0</v>
      </c>
      <c r="R155" s="66">
        <f t="shared" si="38"/>
        <v>0</v>
      </c>
      <c r="S155" s="66">
        <f t="shared" si="38"/>
        <v>0</v>
      </c>
      <c r="T155" s="66">
        <f t="shared" si="38"/>
        <v>0</v>
      </c>
      <c r="U155" s="66">
        <f t="shared" si="38"/>
        <v>0</v>
      </c>
      <c r="V155" s="66"/>
      <c r="W155" s="66"/>
    </row>
    <row r="156" spans="1:23" x14ac:dyDescent="0.25">
      <c r="A156" s="11" t="s">
        <v>742</v>
      </c>
      <c r="B156" s="11" t="s">
        <v>782</v>
      </c>
      <c r="C156" s="11" t="s">
        <v>783</v>
      </c>
      <c r="D156" s="11" t="s">
        <v>836</v>
      </c>
      <c r="E156" s="11" t="s">
        <v>745</v>
      </c>
      <c r="F156" s="66">
        <f t="shared" si="35"/>
        <v>0</v>
      </c>
      <c r="G156" s="66">
        <f t="shared" ref="G156:U156" si="39">IFERROR(((G18/G88)-1),"CHECK")</f>
        <v>0</v>
      </c>
      <c r="H156" s="66">
        <f t="shared" si="39"/>
        <v>0</v>
      </c>
      <c r="I156" s="66">
        <f t="shared" si="39"/>
        <v>0</v>
      </c>
      <c r="J156" s="66">
        <f t="shared" si="39"/>
        <v>0</v>
      </c>
      <c r="K156" s="66">
        <f t="shared" si="39"/>
        <v>0</v>
      </c>
      <c r="L156" s="66">
        <f t="shared" si="39"/>
        <v>0</v>
      </c>
      <c r="M156" s="66">
        <f t="shared" si="39"/>
        <v>0</v>
      </c>
      <c r="N156" s="66">
        <f t="shared" si="39"/>
        <v>0</v>
      </c>
      <c r="O156" s="66">
        <f t="shared" si="39"/>
        <v>0</v>
      </c>
      <c r="P156" s="66">
        <f t="shared" si="39"/>
        <v>0</v>
      </c>
      <c r="Q156" s="66">
        <f t="shared" si="39"/>
        <v>0</v>
      </c>
      <c r="R156" s="66">
        <f t="shared" si="39"/>
        <v>0</v>
      </c>
      <c r="S156" s="66">
        <f t="shared" si="39"/>
        <v>0</v>
      </c>
      <c r="T156" s="66">
        <f t="shared" si="39"/>
        <v>0</v>
      </c>
      <c r="U156" s="66">
        <f t="shared" si="39"/>
        <v>0</v>
      </c>
      <c r="V156" s="66"/>
      <c r="W156" s="66"/>
    </row>
    <row r="157" spans="1:23" x14ac:dyDescent="0.25">
      <c r="A157" s="11" t="s">
        <v>742</v>
      </c>
      <c r="B157" s="11" t="s">
        <v>784</v>
      </c>
      <c r="C157" s="11" t="s">
        <v>785</v>
      </c>
      <c r="D157" s="11" t="s">
        <v>836</v>
      </c>
      <c r="E157" s="11" t="s">
        <v>745</v>
      </c>
      <c r="F157" s="66" t="str">
        <f t="shared" si="35"/>
        <v>CHECK</v>
      </c>
      <c r="G157" s="66" t="str">
        <f t="shared" ref="G157:U157" si="40">IFERROR(((G19/G89)-1),"CHECK")</f>
        <v>CHECK</v>
      </c>
      <c r="H157" s="66" t="str">
        <f t="shared" si="40"/>
        <v>CHECK</v>
      </c>
      <c r="I157" s="66" t="str">
        <f t="shared" si="40"/>
        <v>CHECK</v>
      </c>
      <c r="J157" s="66" t="str">
        <f t="shared" si="40"/>
        <v>CHECK</v>
      </c>
      <c r="K157" s="66" t="str">
        <f t="shared" si="40"/>
        <v>CHECK</v>
      </c>
      <c r="L157" s="66" t="str">
        <f t="shared" si="40"/>
        <v>CHECK</v>
      </c>
      <c r="M157" s="66" t="str">
        <f t="shared" si="40"/>
        <v>CHECK</v>
      </c>
      <c r="N157" s="66" t="str">
        <f t="shared" si="40"/>
        <v>CHECK</v>
      </c>
      <c r="O157" s="66" t="str">
        <f t="shared" si="40"/>
        <v>CHECK</v>
      </c>
      <c r="P157" s="66" t="str">
        <f t="shared" si="40"/>
        <v>CHECK</v>
      </c>
      <c r="Q157" s="66" t="str">
        <f t="shared" si="40"/>
        <v>CHECK</v>
      </c>
      <c r="R157" s="66" t="str">
        <f t="shared" si="40"/>
        <v>CHECK</v>
      </c>
      <c r="S157" s="66" t="str">
        <f t="shared" si="40"/>
        <v>CHECK</v>
      </c>
      <c r="T157" s="66" t="str">
        <f t="shared" si="40"/>
        <v>CHECK</v>
      </c>
      <c r="U157" s="66" t="str">
        <f t="shared" si="40"/>
        <v>CHECK</v>
      </c>
      <c r="V157" s="66"/>
      <c r="W157" s="66"/>
    </row>
    <row r="158" spans="1:23" x14ac:dyDescent="0.25">
      <c r="A158" s="11" t="s">
        <v>742</v>
      </c>
      <c r="B158" s="11" t="s">
        <v>786</v>
      </c>
      <c r="C158" s="11" t="s">
        <v>787</v>
      </c>
      <c r="D158" s="11" t="s">
        <v>836</v>
      </c>
      <c r="E158" s="11" t="s">
        <v>745</v>
      </c>
      <c r="F158" s="66">
        <f t="shared" si="35"/>
        <v>0</v>
      </c>
      <c r="G158" s="66">
        <f t="shared" ref="G158:U158" si="41">IFERROR(((G20/G90)-1),"CHECK")</f>
        <v>0</v>
      </c>
      <c r="H158" s="66">
        <f t="shared" si="41"/>
        <v>0</v>
      </c>
      <c r="I158" s="66">
        <f t="shared" si="41"/>
        <v>0</v>
      </c>
      <c r="J158" s="66">
        <f t="shared" si="41"/>
        <v>0</v>
      </c>
      <c r="K158" s="66">
        <f t="shared" si="41"/>
        <v>0</v>
      </c>
      <c r="L158" s="66">
        <f t="shared" si="41"/>
        <v>0</v>
      </c>
      <c r="M158" s="66">
        <f t="shared" si="41"/>
        <v>0</v>
      </c>
      <c r="N158" s="66">
        <f t="shared" si="41"/>
        <v>0</v>
      </c>
      <c r="O158" s="66">
        <f t="shared" si="41"/>
        <v>0</v>
      </c>
      <c r="P158" s="66">
        <f t="shared" si="41"/>
        <v>0</v>
      </c>
      <c r="Q158" s="66">
        <f t="shared" si="41"/>
        <v>0</v>
      </c>
      <c r="R158" s="66">
        <f t="shared" si="41"/>
        <v>0</v>
      </c>
      <c r="S158" s="66">
        <f t="shared" si="41"/>
        <v>0</v>
      </c>
      <c r="T158" s="66">
        <f t="shared" si="41"/>
        <v>0</v>
      </c>
      <c r="U158" s="66">
        <f t="shared" si="41"/>
        <v>0</v>
      </c>
      <c r="V158" s="66"/>
      <c r="W158" s="66"/>
    </row>
    <row r="159" spans="1:23" x14ac:dyDescent="0.25">
      <c r="A159" s="11" t="s">
        <v>742</v>
      </c>
      <c r="B159" s="11" t="s">
        <v>788</v>
      </c>
      <c r="C159" s="11" t="s">
        <v>789</v>
      </c>
      <c r="D159" s="11" t="s">
        <v>836</v>
      </c>
      <c r="E159" s="11" t="s">
        <v>745</v>
      </c>
      <c r="F159" s="66">
        <f t="shared" si="35"/>
        <v>0</v>
      </c>
      <c r="G159" s="66">
        <f t="shared" ref="G159:U159" si="42">IFERROR(((G21/G91)-1),"CHECK")</f>
        <v>0</v>
      </c>
      <c r="H159" s="66">
        <f t="shared" si="42"/>
        <v>0</v>
      </c>
      <c r="I159" s="66">
        <f t="shared" si="42"/>
        <v>0</v>
      </c>
      <c r="J159" s="66">
        <f t="shared" si="42"/>
        <v>0</v>
      </c>
      <c r="K159" s="66">
        <f t="shared" si="42"/>
        <v>0</v>
      </c>
      <c r="L159" s="66">
        <f t="shared" si="42"/>
        <v>0</v>
      </c>
      <c r="M159" s="66">
        <f t="shared" si="42"/>
        <v>0</v>
      </c>
      <c r="N159" s="66">
        <f t="shared" si="42"/>
        <v>0</v>
      </c>
      <c r="O159" s="66">
        <f t="shared" si="42"/>
        <v>0</v>
      </c>
      <c r="P159" s="66">
        <f t="shared" si="42"/>
        <v>0</v>
      </c>
      <c r="Q159" s="66">
        <f t="shared" si="42"/>
        <v>0</v>
      </c>
      <c r="R159" s="66">
        <f t="shared" si="42"/>
        <v>0</v>
      </c>
      <c r="S159" s="66">
        <f t="shared" si="42"/>
        <v>0</v>
      </c>
      <c r="T159" s="66">
        <f t="shared" si="42"/>
        <v>0</v>
      </c>
      <c r="U159" s="66">
        <f t="shared" si="42"/>
        <v>0</v>
      </c>
      <c r="V159" s="66"/>
      <c r="W159" s="66"/>
    </row>
    <row r="160" spans="1:23" x14ac:dyDescent="0.25">
      <c r="A160" s="11" t="s">
        <v>742</v>
      </c>
      <c r="B160" s="11" t="s">
        <v>790</v>
      </c>
      <c r="C160" s="11" t="s">
        <v>756</v>
      </c>
      <c r="D160" s="11" t="s">
        <v>836</v>
      </c>
      <c r="E160" s="11" t="s">
        <v>745</v>
      </c>
      <c r="F160" s="66" t="str">
        <f t="shared" si="35"/>
        <v>CHECK</v>
      </c>
      <c r="G160" s="66" t="str">
        <f t="shared" ref="G160:U160" si="43">IFERROR(((G22/G92)-1),"CHECK")</f>
        <v>CHECK</v>
      </c>
      <c r="H160" s="66" t="str">
        <f t="shared" si="43"/>
        <v>CHECK</v>
      </c>
      <c r="I160" s="66" t="str">
        <f t="shared" si="43"/>
        <v>CHECK</v>
      </c>
      <c r="J160" s="66" t="str">
        <f t="shared" si="43"/>
        <v>CHECK</v>
      </c>
      <c r="K160" s="66" t="str">
        <f t="shared" si="43"/>
        <v>CHECK</v>
      </c>
      <c r="L160" s="66" t="str">
        <f t="shared" si="43"/>
        <v>CHECK</v>
      </c>
      <c r="M160" s="66" t="str">
        <f t="shared" si="43"/>
        <v>CHECK</v>
      </c>
      <c r="N160" s="66" t="str">
        <f t="shared" si="43"/>
        <v>CHECK</v>
      </c>
      <c r="O160" s="66" t="str">
        <f t="shared" si="43"/>
        <v>CHECK</v>
      </c>
      <c r="P160" s="66" t="str">
        <f t="shared" si="43"/>
        <v>CHECK</v>
      </c>
      <c r="Q160" s="66" t="str">
        <f t="shared" si="43"/>
        <v>CHECK</v>
      </c>
      <c r="R160" s="66" t="str">
        <f t="shared" si="43"/>
        <v>CHECK</v>
      </c>
      <c r="S160" s="66" t="str">
        <f t="shared" si="43"/>
        <v>CHECK</v>
      </c>
      <c r="T160" s="66" t="str">
        <f t="shared" si="43"/>
        <v>CHECK</v>
      </c>
      <c r="U160" s="66" t="str">
        <f t="shared" si="43"/>
        <v>CHECK</v>
      </c>
      <c r="V160" s="66"/>
      <c r="W160" s="66"/>
    </row>
    <row r="161" spans="1:23" x14ac:dyDescent="0.25">
      <c r="A161" s="23"/>
      <c r="B161" s="23"/>
      <c r="C161" s="23"/>
      <c r="D161" s="23"/>
      <c r="E161" s="23"/>
    </row>
    <row r="162" spans="1:23" x14ac:dyDescent="0.25">
      <c r="A162" s="23"/>
      <c r="B162" s="23"/>
      <c r="C162" s="110" t="s">
        <v>847</v>
      </c>
      <c r="D162" s="23"/>
      <c r="E162" s="23"/>
    </row>
    <row r="163" spans="1:23" s="7" customFormat="1" x14ac:dyDescent="0.25">
      <c r="A163" s="110" t="s">
        <v>742</v>
      </c>
      <c r="B163" s="110" t="s">
        <v>777</v>
      </c>
      <c r="C163" s="110" t="s">
        <v>1001</v>
      </c>
      <c r="D163" s="110" t="s">
        <v>486</v>
      </c>
      <c r="E163" s="110" t="s">
        <v>924</v>
      </c>
      <c r="F163" s="66">
        <f t="shared" ref="F163:F170" si="44">IFERROR(((F25/F95)-1),"CHECK")</f>
        <v>0</v>
      </c>
      <c r="G163" s="66">
        <f t="shared" ref="G163:U163" si="45">IFERROR(((G25/G95)-1),"CHECK")</f>
        <v>0</v>
      </c>
      <c r="H163" s="66">
        <f t="shared" si="45"/>
        <v>0</v>
      </c>
      <c r="I163" s="66">
        <f t="shared" si="45"/>
        <v>0</v>
      </c>
      <c r="J163" s="66">
        <f t="shared" si="45"/>
        <v>0</v>
      </c>
      <c r="K163" s="66">
        <f t="shared" si="45"/>
        <v>0</v>
      </c>
      <c r="L163" s="66">
        <f t="shared" si="45"/>
        <v>0</v>
      </c>
      <c r="M163" s="66">
        <f t="shared" si="45"/>
        <v>0</v>
      </c>
      <c r="N163" s="66">
        <f t="shared" si="45"/>
        <v>0</v>
      </c>
      <c r="O163" s="66">
        <f t="shared" si="45"/>
        <v>0</v>
      </c>
      <c r="P163" s="66">
        <f t="shared" si="45"/>
        <v>0</v>
      </c>
      <c r="Q163" s="66">
        <f t="shared" si="45"/>
        <v>0</v>
      </c>
      <c r="R163" s="66">
        <f t="shared" si="45"/>
        <v>0</v>
      </c>
      <c r="S163" s="66">
        <f t="shared" si="45"/>
        <v>0</v>
      </c>
      <c r="T163" s="66">
        <f t="shared" si="45"/>
        <v>0</v>
      </c>
      <c r="U163" s="66">
        <f t="shared" si="45"/>
        <v>0</v>
      </c>
      <c r="V163" s="66"/>
      <c r="W163" s="66"/>
    </row>
    <row r="164" spans="1:23" x14ac:dyDescent="0.25">
      <c r="A164" s="11" t="s">
        <v>742</v>
      </c>
      <c r="B164" s="11" t="s">
        <v>778</v>
      </c>
      <c r="C164" s="11" t="s">
        <v>779</v>
      </c>
      <c r="D164" s="11" t="s">
        <v>486</v>
      </c>
      <c r="E164" s="11" t="s">
        <v>924</v>
      </c>
      <c r="F164" s="66" t="str">
        <f t="shared" si="44"/>
        <v>CHECK</v>
      </c>
      <c r="G164" s="66" t="str">
        <f t="shared" ref="G164:U164" si="46">IFERROR(((G26/G96)-1),"CHECK")</f>
        <v>CHECK</v>
      </c>
      <c r="H164" s="66" t="str">
        <f t="shared" si="46"/>
        <v>CHECK</v>
      </c>
      <c r="I164" s="66" t="str">
        <f t="shared" si="46"/>
        <v>CHECK</v>
      </c>
      <c r="J164" s="66" t="str">
        <f t="shared" si="46"/>
        <v>CHECK</v>
      </c>
      <c r="K164" s="66" t="str">
        <f t="shared" si="46"/>
        <v>CHECK</v>
      </c>
      <c r="L164" s="66" t="str">
        <f t="shared" si="46"/>
        <v>CHECK</v>
      </c>
      <c r="M164" s="66" t="str">
        <f t="shared" si="46"/>
        <v>CHECK</v>
      </c>
      <c r="N164" s="66" t="str">
        <f t="shared" si="46"/>
        <v>CHECK</v>
      </c>
      <c r="O164" s="66" t="str">
        <f t="shared" si="46"/>
        <v>CHECK</v>
      </c>
      <c r="P164" s="66" t="str">
        <f t="shared" si="46"/>
        <v>CHECK</v>
      </c>
      <c r="Q164" s="66" t="str">
        <f t="shared" si="46"/>
        <v>CHECK</v>
      </c>
      <c r="R164" s="66" t="str">
        <f t="shared" si="46"/>
        <v>CHECK</v>
      </c>
      <c r="S164" s="66" t="str">
        <f t="shared" si="46"/>
        <v>CHECK</v>
      </c>
      <c r="T164" s="66" t="str">
        <f t="shared" si="46"/>
        <v>CHECK</v>
      </c>
      <c r="U164" s="66" t="str">
        <f t="shared" si="46"/>
        <v>CHECK</v>
      </c>
      <c r="V164" s="66"/>
      <c r="W164" s="66"/>
    </row>
    <row r="165" spans="1:23" x14ac:dyDescent="0.25">
      <c r="A165" s="11" t="s">
        <v>742</v>
      </c>
      <c r="B165" s="11" t="s">
        <v>780</v>
      </c>
      <c r="C165" s="11" t="s">
        <v>781</v>
      </c>
      <c r="D165" s="11" t="s">
        <v>486</v>
      </c>
      <c r="E165" s="11" t="s">
        <v>924</v>
      </c>
      <c r="F165" s="66">
        <f t="shared" si="44"/>
        <v>0</v>
      </c>
      <c r="G165" s="66">
        <f t="shared" ref="G165:U165" si="47">IFERROR(((G27/G97)-1),"CHECK")</f>
        <v>0</v>
      </c>
      <c r="H165" s="66">
        <f t="shared" si="47"/>
        <v>0</v>
      </c>
      <c r="I165" s="66">
        <f t="shared" si="47"/>
        <v>0</v>
      </c>
      <c r="J165" s="66">
        <f t="shared" si="47"/>
        <v>0</v>
      </c>
      <c r="K165" s="66">
        <f t="shared" si="47"/>
        <v>0</v>
      </c>
      <c r="L165" s="66">
        <f t="shared" si="47"/>
        <v>0</v>
      </c>
      <c r="M165" s="66">
        <f t="shared" si="47"/>
        <v>0</v>
      </c>
      <c r="N165" s="66">
        <f t="shared" si="47"/>
        <v>0</v>
      </c>
      <c r="O165" s="66">
        <f t="shared" si="47"/>
        <v>0</v>
      </c>
      <c r="P165" s="66">
        <f t="shared" si="47"/>
        <v>0</v>
      </c>
      <c r="Q165" s="66">
        <f t="shared" si="47"/>
        <v>0</v>
      </c>
      <c r="R165" s="66">
        <f t="shared" si="47"/>
        <v>0</v>
      </c>
      <c r="S165" s="66">
        <f t="shared" si="47"/>
        <v>0</v>
      </c>
      <c r="T165" s="66">
        <f t="shared" si="47"/>
        <v>0</v>
      </c>
      <c r="U165" s="66">
        <f t="shared" si="47"/>
        <v>0</v>
      </c>
      <c r="V165" s="66"/>
      <c r="W165" s="66"/>
    </row>
    <row r="166" spans="1:23" x14ac:dyDescent="0.25">
      <c r="A166" s="11" t="s">
        <v>742</v>
      </c>
      <c r="B166" s="11" t="s">
        <v>782</v>
      </c>
      <c r="C166" s="11" t="s">
        <v>783</v>
      </c>
      <c r="D166" s="11" t="s">
        <v>486</v>
      </c>
      <c r="E166" s="11" t="s">
        <v>924</v>
      </c>
      <c r="F166" s="66" t="str">
        <f t="shared" si="44"/>
        <v>CHECK</v>
      </c>
      <c r="G166" s="66" t="str">
        <f t="shared" ref="G166:U166" si="48">IFERROR(((G28/G98)-1),"CHECK")</f>
        <v>CHECK</v>
      </c>
      <c r="H166" s="66" t="str">
        <f t="shared" si="48"/>
        <v>CHECK</v>
      </c>
      <c r="I166" s="66" t="str">
        <f t="shared" si="48"/>
        <v>CHECK</v>
      </c>
      <c r="J166" s="66" t="str">
        <f t="shared" si="48"/>
        <v>CHECK</v>
      </c>
      <c r="K166" s="66" t="str">
        <f t="shared" si="48"/>
        <v>CHECK</v>
      </c>
      <c r="L166" s="66" t="str">
        <f t="shared" si="48"/>
        <v>CHECK</v>
      </c>
      <c r="M166" s="66" t="str">
        <f t="shared" si="48"/>
        <v>CHECK</v>
      </c>
      <c r="N166" s="66" t="str">
        <f t="shared" si="48"/>
        <v>CHECK</v>
      </c>
      <c r="O166" s="66" t="str">
        <f t="shared" si="48"/>
        <v>CHECK</v>
      </c>
      <c r="P166" s="66" t="str">
        <f t="shared" si="48"/>
        <v>CHECK</v>
      </c>
      <c r="Q166" s="66" t="str">
        <f t="shared" si="48"/>
        <v>CHECK</v>
      </c>
      <c r="R166" s="66" t="str">
        <f t="shared" si="48"/>
        <v>CHECK</v>
      </c>
      <c r="S166" s="66" t="str">
        <f t="shared" si="48"/>
        <v>CHECK</v>
      </c>
      <c r="T166" s="66" t="str">
        <f t="shared" si="48"/>
        <v>CHECK</v>
      </c>
      <c r="U166" s="66" t="str">
        <f t="shared" si="48"/>
        <v>CHECK</v>
      </c>
      <c r="V166" s="66"/>
      <c r="W166" s="66"/>
    </row>
    <row r="167" spans="1:23" x14ac:dyDescent="0.25">
      <c r="A167" s="11" t="s">
        <v>742</v>
      </c>
      <c r="B167" s="11" t="s">
        <v>784</v>
      </c>
      <c r="C167" s="11" t="s">
        <v>785</v>
      </c>
      <c r="D167" s="11" t="s">
        <v>486</v>
      </c>
      <c r="E167" s="11" t="s">
        <v>924</v>
      </c>
      <c r="F167" s="66" t="str">
        <f t="shared" si="44"/>
        <v>CHECK</v>
      </c>
      <c r="G167" s="66" t="str">
        <f t="shared" ref="G167:U167" si="49">IFERROR(((G29/G99)-1),"CHECK")</f>
        <v>CHECK</v>
      </c>
      <c r="H167" s="66" t="str">
        <f t="shared" si="49"/>
        <v>CHECK</v>
      </c>
      <c r="I167" s="66" t="str">
        <f t="shared" si="49"/>
        <v>CHECK</v>
      </c>
      <c r="J167" s="66" t="str">
        <f t="shared" si="49"/>
        <v>CHECK</v>
      </c>
      <c r="K167" s="66" t="str">
        <f t="shared" si="49"/>
        <v>CHECK</v>
      </c>
      <c r="L167" s="66" t="str">
        <f t="shared" si="49"/>
        <v>CHECK</v>
      </c>
      <c r="M167" s="66" t="str">
        <f t="shared" si="49"/>
        <v>CHECK</v>
      </c>
      <c r="N167" s="66" t="str">
        <f t="shared" si="49"/>
        <v>CHECK</v>
      </c>
      <c r="O167" s="66" t="str">
        <f t="shared" si="49"/>
        <v>CHECK</v>
      </c>
      <c r="P167" s="66" t="str">
        <f t="shared" si="49"/>
        <v>CHECK</v>
      </c>
      <c r="Q167" s="66" t="str">
        <f t="shared" si="49"/>
        <v>CHECK</v>
      </c>
      <c r="R167" s="66" t="str">
        <f t="shared" si="49"/>
        <v>CHECK</v>
      </c>
      <c r="S167" s="66" t="str">
        <f t="shared" si="49"/>
        <v>CHECK</v>
      </c>
      <c r="T167" s="66" t="str">
        <f t="shared" si="49"/>
        <v>CHECK</v>
      </c>
      <c r="U167" s="66" t="str">
        <f t="shared" si="49"/>
        <v>CHECK</v>
      </c>
      <c r="V167" s="66"/>
      <c r="W167" s="66"/>
    </row>
    <row r="168" spans="1:23" x14ac:dyDescent="0.25">
      <c r="A168" s="11" t="s">
        <v>742</v>
      </c>
      <c r="B168" s="11" t="s">
        <v>786</v>
      </c>
      <c r="C168" s="11" t="s">
        <v>787</v>
      </c>
      <c r="D168" s="11" t="s">
        <v>486</v>
      </c>
      <c r="E168" s="11" t="s">
        <v>924</v>
      </c>
      <c r="F168" s="66" t="str">
        <f t="shared" si="44"/>
        <v>CHECK</v>
      </c>
      <c r="G168" s="66" t="str">
        <f t="shared" ref="G168:U168" si="50">IFERROR(((G30/G100)-1),"CHECK")</f>
        <v>CHECK</v>
      </c>
      <c r="H168" s="66" t="str">
        <f t="shared" si="50"/>
        <v>CHECK</v>
      </c>
      <c r="I168" s="66" t="str">
        <f t="shared" si="50"/>
        <v>CHECK</v>
      </c>
      <c r="J168" s="66" t="str">
        <f t="shared" si="50"/>
        <v>CHECK</v>
      </c>
      <c r="K168" s="66" t="str">
        <f t="shared" si="50"/>
        <v>CHECK</v>
      </c>
      <c r="L168" s="66" t="str">
        <f t="shared" si="50"/>
        <v>CHECK</v>
      </c>
      <c r="M168" s="66" t="str">
        <f t="shared" si="50"/>
        <v>CHECK</v>
      </c>
      <c r="N168" s="66" t="str">
        <f t="shared" si="50"/>
        <v>CHECK</v>
      </c>
      <c r="O168" s="66" t="str">
        <f t="shared" si="50"/>
        <v>CHECK</v>
      </c>
      <c r="P168" s="66" t="str">
        <f t="shared" si="50"/>
        <v>CHECK</v>
      </c>
      <c r="Q168" s="66" t="str">
        <f t="shared" si="50"/>
        <v>CHECK</v>
      </c>
      <c r="R168" s="66" t="str">
        <f t="shared" si="50"/>
        <v>CHECK</v>
      </c>
      <c r="S168" s="66" t="str">
        <f t="shared" si="50"/>
        <v>CHECK</v>
      </c>
      <c r="T168" s="66" t="str">
        <f t="shared" si="50"/>
        <v>CHECK</v>
      </c>
      <c r="U168" s="66" t="str">
        <f t="shared" si="50"/>
        <v>CHECK</v>
      </c>
      <c r="V168" s="66"/>
      <c r="W168" s="66"/>
    </row>
    <row r="169" spans="1:23" x14ac:dyDescent="0.25">
      <c r="A169" s="11" t="s">
        <v>742</v>
      </c>
      <c r="B169" s="11" t="s">
        <v>788</v>
      </c>
      <c r="C169" s="11" t="s">
        <v>789</v>
      </c>
      <c r="D169" s="11" t="s">
        <v>486</v>
      </c>
      <c r="E169" s="11" t="s">
        <v>924</v>
      </c>
      <c r="F169" s="66" t="str">
        <f t="shared" si="44"/>
        <v>CHECK</v>
      </c>
      <c r="G169" s="66" t="str">
        <f t="shared" ref="G169:U169" si="51">IFERROR(((G31/G101)-1),"CHECK")</f>
        <v>CHECK</v>
      </c>
      <c r="H169" s="66" t="str">
        <f t="shared" si="51"/>
        <v>CHECK</v>
      </c>
      <c r="I169" s="66" t="str">
        <f t="shared" si="51"/>
        <v>CHECK</v>
      </c>
      <c r="J169" s="66" t="str">
        <f t="shared" si="51"/>
        <v>CHECK</v>
      </c>
      <c r="K169" s="66" t="str">
        <f t="shared" si="51"/>
        <v>CHECK</v>
      </c>
      <c r="L169" s="66" t="str">
        <f t="shared" si="51"/>
        <v>CHECK</v>
      </c>
      <c r="M169" s="66" t="str">
        <f t="shared" si="51"/>
        <v>CHECK</v>
      </c>
      <c r="N169" s="66" t="str">
        <f t="shared" si="51"/>
        <v>CHECK</v>
      </c>
      <c r="O169" s="66" t="str">
        <f t="shared" si="51"/>
        <v>CHECK</v>
      </c>
      <c r="P169" s="66" t="str">
        <f t="shared" si="51"/>
        <v>CHECK</v>
      </c>
      <c r="Q169" s="66" t="str">
        <f t="shared" si="51"/>
        <v>CHECK</v>
      </c>
      <c r="R169" s="66" t="str">
        <f t="shared" si="51"/>
        <v>CHECK</v>
      </c>
      <c r="S169" s="66" t="str">
        <f t="shared" si="51"/>
        <v>CHECK</v>
      </c>
      <c r="T169" s="66" t="str">
        <f t="shared" si="51"/>
        <v>CHECK</v>
      </c>
      <c r="U169" s="66" t="str">
        <f t="shared" si="51"/>
        <v>CHECK</v>
      </c>
      <c r="V169" s="66"/>
      <c r="W169" s="66"/>
    </row>
    <row r="170" spans="1:23" x14ac:dyDescent="0.25">
      <c r="A170" s="11" t="s">
        <v>742</v>
      </c>
      <c r="B170" s="11" t="s">
        <v>790</v>
      </c>
      <c r="C170" s="11" t="s">
        <v>756</v>
      </c>
      <c r="D170" s="11" t="s">
        <v>486</v>
      </c>
      <c r="E170" s="11" t="s">
        <v>924</v>
      </c>
      <c r="F170" s="66" t="str">
        <f t="shared" si="44"/>
        <v>CHECK</v>
      </c>
      <c r="G170" s="66" t="str">
        <f t="shared" ref="G170:U170" si="52">IFERROR(((G32/G102)-1),"CHECK")</f>
        <v>CHECK</v>
      </c>
      <c r="H170" s="66" t="str">
        <f t="shared" si="52"/>
        <v>CHECK</v>
      </c>
      <c r="I170" s="66" t="str">
        <f t="shared" si="52"/>
        <v>CHECK</v>
      </c>
      <c r="J170" s="66" t="str">
        <f t="shared" si="52"/>
        <v>CHECK</v>
      </c>
      <c r="K170" s="66" t="str">
        <f t="shared" si="52"/>
        <v>CHECK</v>
      </c>
      <c r="L170" s="66" t="str">
        <f t="shared" si="52"/>
        <v>CHECK</v>
      </c>
      <c r="M170" s="66" t="str">
        <f t="shared" si="52"/>
        <v>CHECK</v>
      </c>
      <c r="N170" s="66" t="str">
        <f t="shared" si="52"/>
        <v>CHECK</v>
      </c>
      <c r="O170" s="66" t="str">
        <f t="shared" si="52"/>
        <v>CHECK</v>
      </c>
      <c r="P170" s="66" t="str">
        <f t="shared" si="52"/>
        <v>CHECK</v>
      </c>
      <c r="Q170" s="66" t="str">
        <f t="shared" si="52"/>
        <v>CHECK</v>
      </c>
      <c r="R170" s="66" t="str">
        <f t="shared" si="52"/>
        <v>CHECK</v>
      </c>
      <c r="S170" s="66" t="str">
        <f t="shared" si="52"/>
        <v>CHECK</v>
      </c>
      <c r="T170" s="66" t="str">
        <f t="shared" si="52"/>
        <v>CHECK</v>
      </c>
      <c r="U170" s="66" t="str">
        <f t="shared" si="52"/>
        <v>CHECK</v>
      </c>
      <c r="V170" s="66"/>
      <c r="W170" s="66"/>
    </row>
    <row r="171" spans="1:23" x14ac:dyDescent="0.25">
      <c r="A171" s="23"/>
      <c r="B171" s="23"/>
      <c r="C171" s="23"/>
      <c r="D171" s="23"/>
      <c r="E171" s="23"/>
    </row>
    <row r="172" spans="1:23" s="7" customFormat="1" x14ac:dyDescent="0.25">
      <c r="A172" s="110" t="s">
        <v>742</v>
      </c>
      <c r="B172" s="110" t="s">
        <v>777</v>
      </c>
      <c r="C172" s="110" t="s">
        <v>1001</v>
      </c>
      <c r="D172" s="110" t="s">
        <v>486</v>
      </c>
      <c r="E172" s="110" t="s">
        <v>745</v>
      </c>
      <c r="F172" s="66">
        <f t="shared" ref="F172:F179" si="53">IFERROR(((F34/F104)-1),"CHECK")</f>
        <v>0</v>
      </c>
      <c r="G172" s="66">
        <f t="shared" ref="G172:U172" si="54">IFERROR(((G34/G104)-1),"CHECK")</f>
        <v>0</v>
      </c>
      <c r="H172" s="66">
        <f t="shared" si="54"/>
        <v>0</v>
      </c>
      <c r="I172" s="66">
        <f t="shared" si="54"/>
        <v>0</v>
      </c>
      <c r="J172" s="66">
        <f t="shared" si="54"/>
        <v>0</v>
      </c>
      <c r="K172" s="66">
        <f t="shared" si="54"/>
        <v>0</v>
      </c>
      <c r="L172" s="66">
        <f t="shared" si="54"/>
        <v>0</v>
      </c>
      <c r="M172" s="66">
        <f t="shared" si="54"/>
        <v>0</v>
      </c>
      <c r="N172" s="66">
        <f t="shared" si="54"/>
        <v>0</v>
      </c>
      <c r="O172" s="66">
        <f t="shared" si="54"/>
        <v>0</v>
      </c>
      <c r="P172" s="66">
        <f t="shared" si="54"/>
        <v>0</v>
      </c>
      <c r="Q172" s="66">
        <f t="shared" si="54"/>
        <v>0</v>
      </c>
      <c r="R172" s="66">
        <f t="shared" si="54"/>
        <v>0</v>
      </c>
      <c r="S172" s="66">
        <f t="shared" si="54"/>
        <v>0</v>
      </c>
      <c r="T172" s="66">
        <f t="shared" si="54"/>
        <v>0</v>
      </c>
      <c r="U172" s="66">
        <f t="shared" si="54"/>
        <v>0</v>
      </c>
      <c r="V172" s="66"/>
      <c r="W172" s="66"/>
    </row>
    <row r="173" spans="1:23" x14ac:dyDescent="0.25">
      <c r="A173" s="11" t="s">
        <v>742</v>
      </c>
      <c r="B173" s="11" t="s">
        <v>778</v>
      </c>
      <c r="C173" s="11" t="s">
        <v>779</v>
      </c>
      <c r="D173" s="11" t="s">
        <v>486</v>
      </c>
      <c r="E173" s="11" t="s">
        <v>745</v>
      </c>
      <c r="F173" s="66" t="str">
        <f t="shared" si="53"/>
        <v>CHECK</v>
      </c>
      <c r="G173" s="66" t="str">
        <f t="shared" ref="G173:U173" si="55">IFERROR(((G35/G105)-1),"CHECK")</f>
        <v>CHECK</v>
      </c>
      <c r="H173" s="66" t="str">
        <f t="shared" si="55"/>
        <v>CHECK</v>
      </c>
      <c r="I173" s="66" t="str">
        <f t="shared" si="55"/>
        <v>CHECK</v>
      </c>
      <c r="J173" s="66" t="str">
        <f t="shared" si="55"/>
        <v>CHECK</v>
      </c>
      <c r="K173" s="66" t="str">
        <f t="shared" si="55"/>
        <v>CHECK</v>
      </c>
      <c r="L173" s="66" t="str">
        <f t="shared" si="55"/>
        <v>CHECK</v>
      </c>
      <c r="M173" s="66" t="str">
        <f t="shared" si="55"/>
        <v>CHECK</v>
      </c>
      <c r="N173" s="66" t="str">
        <f t="shared" si="55"/>
        <v>CHECK</v>
      </c>
      <c r="O173" s="66" t="str">
        <f t="shared" si="55"/>
        <v>CHECK</v>
      </c>
      <c r="P173" s="66" t="str">
        <f t="shared" si="55"/>
        <v>CHECK</v>
      </c>
      <c r="Q173" s="66" t="str">
        <f t="shared" si="55"/>
        <v>CHECK</v>
      </c>
      <c r="R173" s="66" t="str">
        <f t="shared" si="55"/>
        <v>CHECK</v>
      </c>
      <c r="S173" s="66" t="str">
        <f t="shared" si="55"/>
        <v>CHECK</v>
      </c>
      <c r="T173" s="66" t="str">
        <f t="shared" si="55"/>
        <v>CHECK</v>
      </c>
      <c r="U173" s="66" t="str">
        <f t="shared" si="55"/>
        <v>CHECK</v>
      </c>
      <c r="V173" s="66"/>
      <c r="W173" s="66"/>
    </row>
    <row r="174" spans="1:23" x14ac:dyDescent="0.25">
      <c r="A174" s="11" t="s">
        <v>742</v>
      </c>
      <c r="B174" s="11" t="s">
        <v>780</v>
      </c>
      <c r="C174" s="11" t="s">
        <v>781</v>
      </c>
      <c r="D174" s="11" t="s">
        <v>486</v>
      </c>
      <c r="E174" s="11" t="s">
        <v>745</v>
      </c>
      <c r="F174" s="66">
        <f t="shared" si="53"/>
        <v>0</v>
      </c>
      <c r="G174" s="66">
        <f t="shared" ref="G174:U174" si="56">IFERROR(((G36/G106)-1),"CHECK")</f>
        <v>0</v>
      </c>
      <c r="H174" s="66">
        <f t="shared" si="56"/>
        <v>0</v>
      </c>
      <c r="I174" s="66">
        <f t="shared" si="56"/>
        <v>0</v>
      </c>
      <c r="J174" s="66">
        <f t="shared" si="56"/>
        <v>0</v>
      </c>
      <c r="K174" s="66">
        <f t="shared" si="56"/>
        <v>0</v>
      </c>
      <c r="L174" s="66">
        <f t="shared" si="56"/>
        <v>0</v>
      </c>
      <c r="M174" s="66">
        <f t="shared" si="56"/>
        <v>0</v>
      </c>
      <c r="N174" s="66">
        <f t="shared" si="56"/>
        <v>0</v>
      </c>
      <c r="O174" s="66">
        <f t="shared" si="56"/>
        <v>0</v>
      </c>
      <c r="P174" s="66">
        <f t="shared" si="56"/>
        <v>0</v>
      </c>
      <c r="Q174" s="66">
        <f t="shared" si="56"/>
        <v>0</v>
      </c>
      <c r="R174" s="66">
        <f t="shared" si="56"/>
        <v>0</v>
      </c>
      <c r="S174" s="66">
        <f t="shared" si="56"/>
        <v>0</v>
      </c>
      <c r="T174" s="66">
        <f t="shared" si="56"/>
        <v>0</v>
      </c>
      <c r="U174" s="66">
        <f t="shared" si="56"/>
        <v>0</v>
      </c>
      <c r="V174" s="66"/>
      <c r="W174" s="66"/>
    </row>
    <row r="175" spans="1:23" x14ac:dyDescent="0.25">
      <c r="A175" s="11" t="s">
        <v>742</v>
      </c>
      <c r="B175" s="11" t="s">
        <v>782</v>
      </c>
      <c r="C175" s="11" t="s">
        <v>783</v>
      </c>
      <c r="D175" s="11" t="s">
        <v>486</v>
      </c>
      <c r="E175" s="11" t="s">
        <v>745</v>
      </c>
      <c r="F175" s="66" t="str">
        <f t="shared" si="53"/>
        <v>CHECK</v>
      </c>
      <c r="G175" s="66" t="str">
        <f t="shared" ref="G175:U175" si="57">IFERROR(((G37/G107)-1),"CHECK")</f>
        <v>CHECK</v>
      </c>
      <c r="H175" s="66" t="str">
        <f t="shared" si="57"/>
        <v>CHECK</v>
      </c>
      <c r="I175" s="66" t="str">
        <f t="shared" si="57"/>
        <v>CHECK</v>
      </c>
      <c r="J175" s="66" t="str">
        <f t="shared" si="57"/>
        <v>CHECK</v>
      </c>
      <c r="K175" s="66" t="str">
        <f t="shared" si="57"/>
        <v>CHECK</v>
      </c>
      <c r="L175" s="66" t="str">
        <f t="shared" si="57"/>
        <v>CHECK</v>
      </c>
      <c r="M175" s="66" t="str">
        <f t="shared" si="57"/>
        <v>CHECK</v>
      </c>
      <c r="N175" s="66" t="str">
        <f t="shared" si="57"/>
        <v>CHECK</v>
      </c>
      <c r="O175" s="66" t="str">
        <f t="shared" si="57"/>
        <v>CHECK</v>
      </c>
      <c r="P175" s="66" t="str">
        <f t="shared" si="57"/>
        <v>CHECK</v>
      </c>
      <c r="Q175" s="66" t="str">
        <f t="shared" si="57"/>
        <v>CHECK</v>
      </c>
      <c r="R175" s="66" t="str">
        <f t="shared" si="57"/>
        <v>CHECK</v>
      </c>
      <c r="S175" s="66" t="str">
        <f t="shared" si="57"/>
        <v>CHECK</v>
      </c>
      <c r="T175" s="66" t="str">
        <f t="shared" si="57"/>
        <v>CHECK</v>
      </c>
      <c r="U175" s="66" t="str">
        <f t="shared" si="57"/>
        <v>CHECK</v>
      </c>
      <c r="V175" s="66"/>
      <c r="W175" s="66"/>
    </row>
    <row r="176" spans="1:23" x14ac:dyDescent="0.25">
      <c r="A176" s="11" t="s">
        <v>742</v>
      </c>
      <c r="B176" s="11" t="s">
        <v>784</v>
      </c>
      <c r="C176" s="11" t="s">
        <v>785</v>
      </c>
      <c r="D176" s="11" t="s">
        <v>486</v>
      </c>
      <c r="E176" s="11" t="s">
        <v>745</v>
      </c>
      <c r="F176" s="66" t="str">
        <f t="shared" si="53"/>
        <v>CHECK</v>
      </c>
      <c r="G176" s="66" t="str">
        <f t="shared" ref="G176:U176" si="58">IFERROR(((G38/G108)-1),"CHECK")</f>
        <v>CHECK</v>
      </c>
      <c r="H176" s="66" t="str">
        <f t="shared" si="58"/>
        <v>CHECK</v>
      </c>
      <c r="I176" s="66" t="str">
        <f t="shared" si="58"/>
        <v>CHECK</v>
      </c>
      <c r="J176" s="66" t="str">
        <f t="shared" si="58"/>
        <v>CHECK</v>
      </c>
      <c r="K176" s="66" t="str">
        <f t="shared" si="58"/>
        <v>CHECK</v>
      </c>
      <c r="L176" s="66" t="str">
        <f t="shared" si="58"/>
        <v>CHECK</v>
      </c>
      <c r="M176" s="66" t="str">
        <f t="shared" si="58"/>
        <v>CHECK</v>
      </c>
      <c r="N176" s="66" t="str">
        <f t="shared" si="58"/>
        <v>CHECK</v>
      </c>
      <c r="O176" s="66" t="str">
        <f t="shared" si="58"/>
        <v>CHECK</v>
      </c>
      <c r="P176" s="66" t="str">
        <f t="shared" si="58"/>
        <v>CHECK</v>
      </c>
      <c r="Q176" s="66" t="str">
        <f t="shared" si="58"/>
        <v>CHECK</v>
      </c>
      <c r="R176" s="66" t="str">
        <f t="shared" si="58"/>
        <v>CHECK</v>
      </c>
      <c r="S176" s="66" t="str">
        <f t="shared" si="58"/>
        <v>CHECK</v>
      </c>
      <c r="T176" s="66" t="str">
        <f t="shared" si="58"/>
        <v>CHECK</v>
      </c>
      <c r="U176" s="66" t="str">
        <f t="shared" si="58"/>
        <v>CHECK</v>
      </c>
      <c r="V176" s="66"/>
      <c r="W176" s="66"/>
    </row>
    <row r="177" spans="1:23" x14ac:dyDescent="0.25">
      <c r="A177" s="11" t="s">
        <v>742</v>
      </c>
      <c r="B177" s="11" t="s">
        <v>786</v>
      </c>
      <c r="C177" s="11" t="s">
        <v>787</v>
      </c>
      <c r="D177" s="11" t="s">
        <v>486</v>
      </c>
      <c r="E177" s="11" t="s">
        <v>745</v>
      </c>
      <c r="F177" s="66" t="str">
        <f t="shared" si="53"/>
        <v>CHECK</v>
      </c>
      <c r="G177" s="66" t="str">
        <f t="shared" ref="G177:U177" si="59">IFERROR(((G39/G109)-1),"CHECK")</f>
        <v>CHECK</v>
      </c>
      <c r="H177" s="66" t="str">
        <f t="shared" si="59"/>
        <v>CHECK</v>
      </c>
      <c r="I177" s="66" t="str">
        <f t="shared" si="59"/>
        <v>CHECK</v>
      </c>
      <c r="J177" s="66" t="str">
        <f t="shared" si="59"/>
        <v>CHECK</v>
      </c>
      <c r="K177" s="66" t="str">
        <f t="shared" si="59"/>
        <v>CHECK</v>
      </c>
      <c r="L177" s="66" t="str">
        <f t="shared" si="59"/>
        <v>CHECK</v>
      </c>
      <c r="M177" s="66" t="str">
        <f t="shared" si="59"/>
        <v>CHECK</v>
      </c>
      <c r="N177" s="66" t="str">
        <f t="shared" si="59"/>
        <v>CHECK</v>
      </c>
      <c r="O177" s="66" t="str">
        <f t="shared" si="59"/>
        <v>CHECK</v>
      </c>
      <c r="P177" s="66" t="str">
        <f t="shared" si="59"/>
        <v>CHECK</v>
      </c>
      <c r="Q177" s="66" t="str">
        <f t="shared" si="59"/>
        <v>CHECK</v>
      </c>
      <c r="R177" s="66" t="str">
        <f t="shared" si="59"/>
        <v>CHECK</v>
      </c>
      <c r="S177" s="66" t="str">
        <f t="shared" si="59"/>
        <v>CHECK</v>
      </c>
      <c r="T177" s="66" t="str">
        <f t="shared" si="59"/>
        <v>CHECK</v>
      </c>
      <c r="U177" s="66" t="str">
        <f t="shared" si="59"/>
        <v>CHECK</v>
      </c>
      <c r="V177" s="66"/>
      <c r="W177" s="66"/>
    </row>
    <row r="178" spans="1:23" x14ac:dyDescent="0.25">
      <c r="A178" s="11" t="s">
        <v>742</v>
      </c>
      <c r="B178" s="11" t="s">
        <v>788</v>
      </c>
      <c r="C178" s="11" t="s">
        <v>789</v>
      </c>
      <c r="D178" s="11" t="s">
        <v>486</v>
      </c>
      <c r="E178" s="11" t="s">
        <v>745</v>
      </c>
      <c r="F178" s="66" t="str">
        <f t="shared" si="53"/>
        <v>CHECK</v>
      </c>
      <c r="G178" s="66" t="str">
        <f t="shared" ref="G178:U178" si="60">IFERROR(((G40/G110)-1),"CHECK")</f>
        <v>CHECK</v>
      </c>
      <c r="H178" s="66" t="str">
        <f t="shared" si="60"/>
        <v>CHECK</v>
      </c>
      <c r="I178" s="66" t="str">
        <f t="shared" si="60"/>
        <v>CHECK</v>
      </c>
      <c r="J178" s="66" t="str">
        <f t="shared" si="60"/>
        <v>CHECK</v>
      </c>
      <c r="K178" s="66" t="str">
        <f t="shared" si="60"/>
        <v>CHECK</v>
      </c>
      <c r="L178" s="66" t="str">
        <f t="shared" si="60"/>
        <v>CHECK</v>
      </c>
      <c r="M178" s="66" t="str">
        <f t="shared" si="60"/>
        <v>CHECK</v>
      </c>
      <c r="N178" s="66" t="str">
        <f t="shared" si="60"/>
        <v>CHECK</v>
      </c>
      <c r="O178" s="66" t="str">
        <f t="shared" si="60"/>
        <v>CHECK</v>
      </c>
      <c r="P178" s="66" t="str">
        <f t="shared" si="60"/>
        <v>CHECK</v>
      </c>
      <c r="Q178" s="66" t="str">
        <f t="shared" si="60"/>
        <v>CHECK</v>
      </c>
      <c r="R178" s="66" t="str">
        <f t="shared" si="60"/>
        <v>CHECK</v>
      </c>
      <c r="S178" s="66" t="str">
        <f t="shared" si="60"/>
        <v>CHECK</v>
      </c>
      <c r="T178" s="66" t="str">
        <f t="shared" si="60"/>
        <v>CHECK</v>
      </c>
      <c r="U178" s="66" t="str">
        <f t="shared" si="60"/>
        <v>CHECK</v>
      </c>
      <c r="V178" s="66"/>
      <c r="W178" s="66"/>
    </row>
    <row r="179" spans="1:23" x14ac:dyDescent="0.25">
      <c r="A179" s="11" t="s">
        <v>742</v>
      </c>
      <c r="B179" s="11" t="s">
        <v>790</v>
      </c>
      <c r="C179" s="11" t="s">
        <v>756</v>
      </c>
      <c r="D179" s="11" t="s">
        <v>486</v>
      </c>
      <c r="E179" s="11" t="s">
        <v>745</v>
      </c>
      <c r="F179" s="66" t="str">
        <f t="shared" si="53"/>
        <v>CHECK</v>
      </c>
      <c r="G179" s="66" t="str">
        <f t="shared" ref="G179:U179" si="61">IFERROR(((G41/G111)-1),"CHECK")</f>
        <v>CHECK</v>
      </c>
      <c r="H179" s="66" t="str">
        <f t="shared" si="61"/>
        <v>CHECK</v>
      </c>
      <c r="I179" s="66" t="str">
        <f t="shared" si="61"/>
        <v>CHECK</v>
      </c>
      <c r="J179" s="66" t="str">
        <f t="shared" si="61"/>
        <v>CHECK</v>
      </c>
      <c r="K179" s="66" t="str">
        <f t="shared" si="61"/>
        <v>CHECK</v>
      </c>
      <c r="L179" s="66" t="str">
        <f t="shared" si="61"/>
        <v>CHECK</v>
      </c>
      <c r="M179" s="66" t="str">
        <f t="shared" si="61"/>
        <v>CHECK</v>
      </c>
      <c r="N179" s="66" t="str">
        <f t="shared" si="61"/>
        <v>CHECK</v>
      </c>
      <c r="O179" s="66" t="str">
        <f t="shared" si="61"/>
        <v>CHECK</v>
      </c>
      <c r="P179" s="66" t="str">
        <f t="shared" si="61"/>
        <v>CHECK</v>
      </c>
      <c r="Q179" s="66" t="str">
        <f t="shared" si="61"/>
        <v>CHECK</v>
      </c>
      <c r="R179" s="66" t="str">
        <f t="shared" si="61"/>
        <v>CHECK</v>
      </c>
      <c r="S179" s="66" t="str">
        <f t="shared" si="61"/>
        <v>CHECK</v>
      </c>
      <c r="T179" s="66" t="str">
        <f t="shared" si="61"/>
        <v>CHECK</v>
      </c>
      <c r="U179" s="66" t="str">
        <f t="shared" si="61"/>
        <v>CHECK</v>
      </c>
      <c r="V179" s="66"/>
      <c r="W179" s="66"/>
    </row>
    <row r="180" spans="1:23" x14ac:dyDescent="0.25">
      <c r="A180" s="23"/>
      <c r="B180" s="23"/>
      <c r="C180" s="23"/>
      <c r="D180" s="23"/>
      <c r="E180" s="23"/>
    </row>
    <row r="181" spans="1:23" x14ac:dyDescent="0.25">
      <c r="A181" s="23"/>
      <c r="B181" s="23"/>
      <c r="C181" s="110" t="s">
        <v>1008</v>
      </c>
      <c r="D181" s="23"/>
      <c r="E181" s="23"/>
    </row>
    <row r="182" spans="1:23" s="7" customFormat="1" x14ac:dyDescent="0.25">
      <c r="A182" s="110" t="s">
        <v>742</v>
      </c>
      <c r="B182" s="110" t="s">
        <v>777</v>
      </c>
      <c r="C182" s="110" t="s">
        <v>1001</v>
      </c>
      <c r="D182" s="110" t="s">
        <v>1003</v>
      </c>
      <c r="E182" s="110" t="s">
        <v>1004</v>
      </c>
      <c r="F182" s="66">
        <f t="shared" ref="F182:F189" si="62">IFERROR(((F44/F114)-1),"CHECK")</f>
        <v>0</v>
      </c>
      <c r="G182" s="66">
        <f t="shared" ref="G182:U182" si="63">IFERROR(((G44/G114)-1),"CHECK")</f>
        <v>0</v>
      </c>
      <c r="H182" s="66">
        <f t="shared" si="63"/>
        <v>0</v>
      </c>
      <c r="I182" s="66">
        <f t="shared" si="63"/>
        <v>0</v>
      </c>
      <c r="J182" s="66">
        <f t="shared" si="63"/>
        <v>0</v>
      </c>
      <c r="K182" s="66">
        <f t="shared" si="63"/>
        <v>0</v>
      </c>
      <c r="L182" s="66">
        <f t="shared" si="63"/>
        <v>0</v>
      </c>
      <c r="M182" s="66">
        <f t="shared" si="63"/>
        <v>0</v>
      </c>
      <c r="N182" s="66">
        <f t="shared" si="63"/>
        <v>0</v>
      </c>
      <c r="O182" s="66">
        <f t="shared" si="63"/>
        <v>0</v>
      </c>
      <c r="P182" s="66">
        <f t="shared" si="63"/>
        <v>0</v>
      </c>
      <c r="Q182" s="66">
        <f t="shared" si="63"/>
        <v>0</v>
      </c>
      <c r="R182" s="66">
        <f t="shared" si="63"/>
        <v>0</v>
      </c>
      <c r="S182" s="66">
        <f t="shared" si="63"/>
        <v>0</v>
      </c>
      <c r="T182" s="66">
        <f t="shared" si="63"/>
        <v>0</v>
      </c>
      <c r="U182" s="66">
        <f t="shared" si="63"/>
        <v>0</v>
      </c>
      <c r="V182" s="66"/>
      <c r="W182" s="66"/>
    </row>
    <row r="183" spans="1:23" x14ac:dyDescent="0.25">
      <c r="A183" s="11" t="s">
        <v>742</v>
      </c>
      <c r="B183" s="11" t="s">
        <v>778</v>
      </c>
      <c r="C183" s="11" t="s">
        <v>779</v>
      </c>
      <c r="D183" s="11" t="s">
        <v>1003</v>
      </c>
      <c r="E183" s="11" t="s">
        <v>1004</v>
      </c>
      <c r="F183" s="66" t="str">
        <f t="shared" si="62"/>
        <v>CHECK</v>
      </c>
      <c r="G183" s="66" t="str">
        <f t="shared" ref="G183:U183" si="64">IFERROR(((G45/G115)-1),"CHECK")</f>
        <v>CHECK</v>
      </c>
      <c r="H183" s="66" t="str">
        <f t="shared" si="64"/>
        <v>CHECK</v>
      </c>
      <c r="I183" s="66" t="str">
        <f t="shared" si="64"/>
        <v>CHECK</v>
      </c>
      <c r="J183" s="66" t="str">
        <f t="shared" si="64"/>
        <v>CHECK</v>
      </c>
      <c r="K183" s="66" t="str">
        <f t="shared" si="64"/>
        <v>CHECK</v>
      </c>
      <c r="L183" s="66" t="str">
        <f t="shared" si="64"/>
        <v>CHECK</v>
      </c>
      <c r="M183" s="66" t="str">
        <f t="shared" si="64"/>
        <v>CHECK</v>
      </c>
      <c r="N183" s="66" t="str">
        <f t="shared" si="64"/>
        <v>CHECK</v>
      </c>
      <c r="O183" s="66" t="str">
        <f t="shared" si="64"/>
        <v>CHECK</v>
      </c>
      <c r="P183" s="66" t="str">
        <f t="shared" si="64"/>
        <v>CHECK</v>
      </c>
      <c r="Q183" s="66" t="str">
        <f t="shared" si="64"/>
        <v>CHECK</v>
      </c>
      <c r="R183" s="66" t="str">
        <f t="shared" si="64"/>
        <v>CHECK</v>
      </c>
      <c r="S183" s="66" t="str">
        <f t="shared" si="64"/>
        <v>CHECK</v>
      </c>
      <c r="T183" s="66" t="str">
        <f t="shared" si="64"/>
        <v>CHECK</v>
      </c>
      <c r="U183" s="66" t="str">
        <f t="shared" si="64"/>
        <v>CHECK</v>
      </c>
      <c r="V183" s="66"/>
      <c r="W183" s="66"/>
    </row>
    <row r="184" spans="1:23" x14ac:dyDescent="0.25">
      <c r="A184" s="11" t="s">
        <v>742</v>
      </c>
      <c r="B184" s="11" t="s">
        <v>780</v>
      </c>
      <c r="C184" s="11" t="s">
        <v>781</v>
      </c>
      <c r="D184" s="11" t="s">
        <v>1003</v>
      </c>
      <c r="E184" s="11" t="s">
        <v>1004</v>
      </c>
      <c r="F184" s="66" t="str">
        <f t="shared" si="62"/>
        <v>CHECK</v>
      </c>
      <c r="G184" s="66" t="str">
        <f t="shared" ref="G184:U184" si="65">IFERROR(((G46/G116)-1),"CHECK")</f>
        <v>CHECK</v>
      </c>
      <c r="H184" s="66" t="str">
        <f t="shared" si="65"/>
        <v>CHECK</v>
      </c>
      <c r="I184" s="66" t="str">
        <f t="shared" si="65"/>
        <v>CHECK</v>
      </c>
      <c r="J184" s="66" t="str">
        <f t="shared" si="65"/>
        <v>CHECK</v>
      </c>
      <c r="K184" s="66" t="str">
        <f t="shared" si="65"/>
        <v>CHECK</v>
      </c>
      <c r="L184" s="66" t="str">
        <f t="shared" si="65"/>
        <v>CHECK</v>
      </c>
      <c r="M184" s="66" t="str">
        <f t="shared" si="65"/>
        <v>CHECK</v>
      </c>
      <c r="N184" s="66" t="str">
        <f t="shared" si="65"/>
        <v>CHECK</v>
      </c>
      <c r="O184" s="66" t="str">
        <f t="shared" si="65"/>
        <v>CHECK</v>
      </c>
      <c r="P184" s="66" t="str">
        <f t="shared" si="65"/>
        <v>CHECK</v>
      </c>
      <c r="Q184" s="66" t="str">
        <f t="shared" si="65"/>
        <v>CHECK</v>
      </c>
      <c r="R184" s="66" t="str">
        <f t="shared" si="65"/>
        <v>CHECK</v>
      </c>
      <c r="S184" s="66" t="str">
        <f t="shared" si="65"/>
        <v>CHECK</v>
      </c>
      <c r="T184" s="66" t="str">
        <f t="shared" si="65"/>
        <v>CHECK</v>
      </c>
      <c r="U184" s="66" t="str">
        <f t="shared" si="65"/>
        <v>CHECK</v>
      </c>
      <c r="V184" s="66"/>
      <c r="W184" s="66"/>
    </row>
    <row r="185" spans="1:23" x14ac:dyDescent="0.25">
      <c r="A185" s="11" t="s">
        <v>742</v>
      </c>
      <c r="B185" s="11" t="s">
        <v>782</v>
      </c>
      <c r="C185" s="11" t="s">
        <v>783</v>
      </c>
      <c r="D185" s="11" t="s">
        <v>489</v>
      </c>
      <c r="E185" s="11" t="s">
        <v>1004</v>
      </c>
      <c r="F185" s="66">
        <f t="shared" si="62"/>
        <v>0</v>
      </c>
      <c r="G185" s="66">
        <f t="shared" ref="G185:U185" si="66">IFERROR(((G47/G117)-1),"CHECK")</f>
        <v>0</v>
      </c>
      <c r="H185" s="66">
        <f t="shared" si="66"/>
        <v>0</v>
      </c>
      <c r="I185" s="66">
        <f t="shared" si="66"/>
        <v>0</v>
      </c>
      <c r="J185" s="66">
        <f t="shared" si="66"/>
        <v>0</v>
      </c>
      <c r="K185" s="66">
        <f t="shared" si="66"/>
        <v>0</v>
      </c>
      <c r="L185" s="66">
        <f t="shared" si="66"/>
        <v>0</v>
      </c>
      <c r="M185" s="66">
        <f t="shared" si="66"/>
        <v>0</v>
      </c>
      <c r="N185" s="66">
        <f t="shared" si="66"/>
        <v>0</v>
      </c>
      <c r="O185" s="66">
        <f t="shared" si="66"/>
        <v>0</v>
      </c>
      <c r="P185" s="66">
        <f t="shared" si="66"/>
        <v>0</v>
      </c>
      <c r="Q185" s="66">
        <f t="shared" si="66"/>
        <v>0</v>
      </c>
      <c r="R185" s="66">
        <f t="shared" si="66"/>
        <v>0</v>
      </c>
      <c r="S185" s="66">
        <f t="shared" si="66"/>
        <v>0</v>
      </c>
      <c r="T185" s="66">
        <f t="shared" si="66"/>
        <v>0</v>
      </c>
      <c r="U185" s="66">
        <f t="shared" si="66"/>
        <v>0</v>
      </c>
      <c r="V185" s="66"/>
      <c r="W185" s="66"/>
    </row>
    <row r="186" spans="1:23" x14ac:dyDescent="0.25">
      <c r="A186" s="11" t="s">
        <v>742</v>
      </c>
      <c r="B186" s="11" t="s">
        <v>784</v>
      </c>
      <c r="C186" s="11" t="s">
        <v>785</v>
      </c>
      <c r="D186" s="11" t="s">
        <v>489</v>
      </c>
      <c r="E186" s="11" t="s">
        <v>1004</v>
      </c>
      <c r="F186" s="66" t="str">
        <f t="shared" si="62"/>
        <v>CHECK</v>
      </c>
      <c r="G186" s="66" t="str">
        <f t="shared" ref="G186:U186" si="67">IFERROR(((G48/G118)-1),"CHECK")</f>
        <v>CHECK</v>
      </c>
      <c r="H186" s="66" t="str">
        <f t="shared" si="67"/>
        <v>CHECK</v>
      </c>
      <c r="I186" s="66" t="str">
        <f t="shared" si="67"/>
        <v>CHECK</v>
      </c>
      <c r="J186" s="66" t="str">
        <f t="shared" si="67"/>
        <v>CHECK</v>
      </c>
      <c r="K186" s="66" t="str">
        <f t="shared" si="67"/>
        <v>CHECK</v>
      </c>
      <c r="L186" s="66" t="str">
        <f t="shared" si="67"/>
        <v>CHECK</v>
      </c>
      <c r="M186" s="66" t="str">
        <f t="shared" si="67"/>
        <v>CHECK</v>
      </c>
      <c r="N186" s="66" t="str">
        <f t="shared" si="67"/>
        <v>CHECK</v>
      </c>
      <c r="O186" s="66" t="str">
        <f t="shared" si="67"/>
        <v>CHECK</v>
      </c>
      <c r="P186" s="66" t="str">
        <f t="shared" si="67"/>
        <v>CHECK</v>
      </c>
      <c r="Q186" s="66" t="str">
        <f t="shared" si="67"/>
        <v>CHECK</v>
      </c>
      <c r="R186" s="66" t="str">
        <f t="shared" si="67"/>
        <v>CHECK</v>
      </c>
      <c r="S186" s="66" t="str">
        <f t="shared" si="67"/>
        <v>CHECK</v>
      </c>
      <c r="T186" s="66" t="str">
        <f t="shared" si="67"/>
        <v>CHECK</v>
      </c>
      <c r="U186" s="66" t="str">
        <f t="shared" si="67"/>
        <v>CHECK</v>
      </c>
      <c r="V186" s="66"/>
      <c r="W186" s="66"/>
    </row>
    <row r="187" spans="1:23" x14ac:dyDescent="0.25">
      <c r="A187" s="11" t="s">
        <v>742</v>
      </c>
      <c r="B187" s="11" t="s">
        <v>786</v>
      </c>
      <c r="C187" s="11" t="s">
        <v>787</v>
      </c>
      <c r="D187" s="11" t="s">
        <v>489</v>
      </c>
      <c r="E187" s="11" t="s">
        <v>1004</v>
      </c>
      <c r="F187" s="66" t="str">
        <f t="shared" si="62"/>
        <v>CHECK</v>
      </c>
      <c r="G187" s="66" t="str">
        <f t="shared" ref="G187:U187" si="68">IFERROR(((G49/G119)-1),"CHECK")</f>
        <v>CHECK</v>
      </c>
      <c r="H187" s="66" t="str">
        <f t="shared" si="68"/>
        <v>CHECK</v>
      </c>
      <c r="I187" s="66" t="str">
        <f t="shared" si="68"/>
        <v>CHECK</v>
      </c>
      <c r="J187" s="66" t="str">
        <f t="shared" si="68"/>
        <v>CHECK</v>
      </c>
      <c r="K187" s="66" t="str">
        <f t="shared" si="68"/>
        <v>CHECK</v>
      </c>
      <c r="L187" s="66" t="str">
        <f t="shared" si="68"/>
        <v>CHECK</v>
      </c>
      <c r="M187" s="66" t="str">
        <f t="shared" si="68"/>
        <v>CHECK</v>
      </c>
      <c r="N187" s="66" t="str">
        <f t="shared" si="68"/>
        <v>CHECK</v>
      </c>
      <c r="O187" s="66" t="str">
        <f t="shared" si="68"/>
        <v>CHECK</v>
      </c>
      <c r="P187" s="66" t="str">
        <f t="shared" si="68"/>
        <v>CHECK</v>
      </c>
      <c r="Q187" s="66" t="str">
        <f t="shared" si="68"/>
        <v>CHECK</v>
      </c>
      <c r="R187" s="66" t="str">
        <f t="shared" si="68"/>
        <v>CHECK</v>
      </c>
      <c r="S187" s="66" t="str">
        <f t="shared" si="68"/>
        <v>CHECK</v>
      </c>
      <c r="T187" s="66" t="str">
        <f t="shared" si="68"/>
        <v>CHECK</v>
      </c>
      <c r="U187" s="66" t="str">
        <f t="shared" si="68"/>
        <v>CHECK</v>
      </c>
      <c r="V187" s="66"/>
      <c r="W187" s="66"/>
    </row>
    <row r="188" spans="1:23" x14ac:dyDescent="0.25">
      <c r="A188" s="11" t="s">
        <v>742</v>
      </c>
      <c r="B188" s="11" t="s">
        <v>788</v>
      </c>
      <c r="C188" s="11" t="s">
        <v>789</v>
      </c>
      <c r="D188" s="11" t="s">
        <v>489</v>
      </c>
      <c r="E188" s="11" t="s">
        <v>1004</v>
      </c>
      <c r="F188" s="66" t="str">
        <f t="shared" si="62"/>
        <v>CHECK</v>
      </c>
      <c r="G188" s="66" t="str">
        <f t="shared" ref="G188:U188" si="69">IFERROR(((G50/G120)-1),"CHECK")</f>
        <v>CHECK</v>
      </c>
      <c r="H188" s="66" t="str">
        <f t="shared" si="69"/>
        <v>CHECK</v>
      </c>
      <c r="I188" s="66" t="str">
        <f t="shared" si="69"/>
        <v>CHECK</v>
      </c>
      <c r="J188" s="66" t="str">
        <f t="shared" si="69"/>
        <v>CHECK</v>
      </c>
      <c r="K188" s="66" t="str">
        <f t="shared" si="69"/>
        <v>CHECK</v>
      </c>
      <c r="L188" s="66" t="str">
        <f t="shared" si="69"/>
        <v>CHECK</v>
      </c>
      <c r="M188" s="66" t="str">
        <f t="shared" si="69"/>
        <v>CHECK</v>
      </c>
      <c r="N188" s="66" t="str">
        <f t="shared" si="69"/>
        <v>CHECK</v>
      </c>
      <c r="O188" s="66" t="str">
        <f t="shared" si="69"/>
        <v>CHECK</v>
      </c>
      <c r="P188" s="66" t="str">
        <f t="shared" si="69"/>
        <v>CHECK</v>
      </c>
      <c r="Q188" s="66" t="str">
        <f t="shared" si="69"/>
        <v>CHECK</v>
      </c>
      <c r="R188" s="66" t="str">
        <f t="shared" si="69"/>
        <v>CHECK</v>
      </c>
      <c r="S188" s="66" t="str">
        <f t="shared" si="69"/>
        <v>CHECK</v>
      </c>
      <c r="T188" s="66" t="str">
        <f t="shared" si="69"/>
        <v>CHECK</v>
      </c>
      <c r="U188" s="66" t="str">
        <f t="shared" si="69"/>
        <v>CHECK</v>
      </c>
      <c r="V188" s="66"/>
      <c r="W188" s="66"/>
    </row>
    <row r="189" spans="1:23" x14ac:dyDescent="0.25">
      <c r="A189" s="11" t="s">
        <v>742</v>
      </c>
      <c r="B189" s="11" t="s">
        <v>790</v>
      </c>
      <c r="C189" s="11" t="s">
        <v>756</v>
      </c>
      <c r="D189" s="11" t="s">
        <v>489</v>
      </c>
      <c r="E189" s="11" t="s">
        <v>1004</v>
      </c>
      <c r="F189" s="66" t="str">
        <f t="shared" si="62"/>
        <v>CHECK</v>
      </c>
      <c r="G189" s="66" t="str">
        <f t="shared" ref="G189:U189" si="70">IFERROR(((G51/G121)-1),"CHECK")</f>
        <v>CHECK</v>
      </c>
      <c r="H189" s="66" t="str">
        <f t="shared" si="70"/>
        <v>CHECK</v>
      </c>
      <c r="I189" s="66" t="str">
        <f t="shared" si="70"/>
        <v>CHECK</v>
      </c>
      <c r="J189" s="66" t="str">
        <f t="shared" si="70"/>
        <v>CHECK</v>
      </c>
      <c r="K189" s="66" t="str">
        <f t="shared" si="70"/>
        <v>CHECK</v>
      </c>
      <c r="L189" s="66" t="str">
        <f t="shared" si="70"/>
        <v>CHECK</v>
      </c>
      <c r="M189" s="66" t="str">
        <f t="shared" si="70"/>
        <v>CHECK</v>
      </c>
      <c r="N189" s="66" t="str">
        <f t="shared" si="70"/>
        <v>CHECK</v>
      </c>
      <c r="O189" s="66" t="str">
        <f t="shared" si="70"/>
        <v>CHECK</v>
      </c>
      <c r="P189" s="66" t="str">
        <f t="shared" si="70"/>
        <v>CHECK</v>
      </c>
      <c r="Q189" s="66" t="str">
        <f t="shared" si="70"/>
        <v>CHECK</v>
      </c>
      <c r="R189" s="66" t="str">
        <f t="shared" si="70"/>
        <v>CHECK</v>
      </c>
      <c r="S189" s="66" t="str">
        <f t="shared" si="70"/>
        <v>CHECK</v>
      </c>
      <c r="T189" s="66" t="str">
        <f t="shared" si="70"/>
        <v>CHECK</v>
      </c>
      <c r="U189" s="66" t="str">
        <f t="shared" si="70"/>
        <v>CHECK</v>
      </c>
      <c r="V189" s="66"/>
      <c r="W189" s="66"/>
    </row>
    <row r="190" spans="1:23" x14ac:dyDescent="0.25">
      <c r="A190" s="23"/>
      <c r="B190" s="23"/>
      <c r="C190" s="23"/>
      <c r="D190" s="23"/>
      <c r="E190" s="23"/>
    </row>
    <row r="191" spans="1:23" s="7" customFormat="1" x14ac:dyDescent="0.25">
      <c r="A191" s="110" t="s">
        <v>742</v>
      </c>
      <c r="B191" s="110" t="s">
        <v>777</v>
      </c>
      <c r="C191" s="110" t="s">
        <v>1009</v>
      </c>
      <c r="D191" s="110" t="s">
        <v>490</v>
      </c>
      <c r="E191" s="110" t="s">
        <v>1005</v>
      </c>
      <c r="F191" s="66">
        <f t="shared" ref="F191:F198" si="71">IFERROR(((F53/F123)-1),"CHECK")</f>
        <v>0</v>
      </c>
      <c r="G191" s="66">
        <f t="shared" ref="G191:U191" si="72">IFERROR(((G53/G123)-1),"CHECK")</f>
        <v>0</v>
      </c>
      <c r="H191" s="66">
        <f t="shared" si="72"/>
        <v>0</v>
      </c>
      <c r="I191" s="66">
        <f t="shared" si="72"/>
        <v>0</v>
      </c>
      <c r="J191" s="66">
        <f t="shared" si="72"/>
        <v>0</v>
      </c>
      <c r="K191" s="66">
        <f t="shared" si="72"/>
        <v>0</v>
      </c>
      <c r="L191" s="66">
        <f t="shared" si="72"/>
        <v>0</v>
      </c>
      <c r="M191" s="66">
        <f t="shared" si="72"/>
        <v>0</v>
      </c>
      <c r="N191" s="66">
        <f t="shared" si="72"/>
        <v>0</v>
      </c>
      <c r="O191" s="66">
        <f t="shared" si="72"/>
        <v>0</v>
      </c>
      <c r="P191" s="66">
        <f t="shared" si="72"/>
        <v>0</v>
      </c>
      <c r="Q191" s="66">
        <f t="shared" si="72"/>
        <v>0</v>
      </c>
      <c r="R191" s="66">
        <f t="shared" si="72"/>
        <v>0</v>
      </c>
      <c r="S191" s="66">
        <f t="shared" si="72"/>
        <v>0</v>
      </c>
      <c r="T191" s="66">
        <f t="shared" si="72"/>
        <v>0</v>
      </c>
      <c r="U191" s="66">
        <f t="shared" si="72"/>
        <v>0</v>
      </c>
      <c r="V191" s="66"/>
      <c r="W191" s="66"/>
    </row>
    <row r="192" spans="1:23" x14ac:dyDescent="0.25">
      <c r="A192" s="11" t="s">
        <v>742</v>
      </c>
      <c r="B192" s="11" t="s">
        <v>778</v>
      </c>
      <c r="C192" s="11" t="s">
        <v>779</v>
      </c>
      <c r="D192" s="11" t="s">
        <v>490</v>
      </c>
      <c r="E192" s="11" t="s">
        <v>1005</v>
      </c>
      <c r="F192" s="66" t="str">
        <f t="shared" si="71"/>
        <v>CHECK</v>
      </c>
      <c r="G192" s="66" t="str">
        <f t="shared" ref="G192:U192" si="73">IFERROR(((G54/G124)-1),"CHECK")</f>
        <v>CHECK</v>
      </c>
      <c r="H192" s="66" t="str">
        <f t="shared" si="73"/>
        <v>CHECK</v>
      </c>
      <c r="I192" s="66" t="str">
        <f t="shared" si="73"/>
        <v>CHECK</v>
      </c>
      <c r="J192" s="66" t="str">
        <f t="shared" si="73"/>
        <v>CHECK</v>
      </c>
      <c r="K192" s="66" t="str">
        <f t="shared" si="73"/>
        <v>CHECK</v>
      </c>
      <c r="L192" s="66" t="str">
        <f t="shared" si="73"/>
        <v>CHECK</v>
      </c>
      <c r="M192" s="66" t="str">
        <f t="shared" si="73"/>
        <v>CHECK</v>
      </c>
      <c r="N192" s="66" t="str">
        <f t="shared" si="73"/>
        <v>CHECK</v>
      </c>
      <c r="O192" s="66" t="str">
        <f t="shared" si="73"/>
        <v>CHECK</v>
      </c>
      <c r="P192" s="66" t="str">
        <f t="shared" si="73"/>
        <v>CHECK</v>
      </c>
      <c r="Q192" s="66" t="str">
        <f t="shared" si="73"/>
        <v>CHECK</v>
      </c>
      <c r="R192" s="66" t="str">
        <f t="shared" si="73"/>
        <v>CHECK</v>
      </c>
      <c r="S192" s="66" t="str">
        <f t="shared" si="73"/>
        <v>CHECK</v>
      </c>
      <c r="T192" s="66" t="str">
        <f t="shared" si="73"/>
        <v>CHECK</v>
      </c>
      <c r="U192" s="66" t="str">
        <f t="shared" si="73"/>
        <v>CHECK</v>
      </c>
      <c r="V192" s="66"/>
      <c r="W192" s="66"/>
    </row>
    <row r="193" spans="1:23" x14ac:dyDescent="0.25">
      <c r="A193" s="11" t="s">
        <v>742</v>
      </c>
      <c r="B193" s="11" t="s">
        <v>780</v>
      </c>
      <c r="C193" s="11" t="s">
        <v>781</v>
      </c>
      <c r="D193" s="11" t="s">
        <v>490</v>
      </c>
      <c r="E193" s="11" t="s">
        <v>1005</v>
      </c>
      <c r="F193" s="66" t="str">
        <f t="shared" si="71"/>
        <v>CHECK</v>
      </c>
      <c r="G193" s="66" t="str">
        <f t="shared" ref="G193:U193" si="74">IFERROR(((G55/G125)-1),"CHECK")</f>
        <v>CHECK</v>
      </c>
      <c r="H193" s="66" t="str">
        <f t="shared" si="74"/>
        <v>CHECK</v>
      </c>
      <c r="I193" s="66" t="str">
        <f t="shared" si="74"/>
        <v>CHECK</v>
      </c>
      <c r="J193" s="66" t="str">
        <f t="shared" si="74"/>
        <v>CHECK</v>
      </c>
      <c r="K193" s="66" t="str">
        <f t="shared" si="74"/>
        <v>CHECK</v>
      </c>
      <c r="L193" s="66" t="str">
        <f t="shared" si="74"/>
        <v>CHECK</v>
      </c>
      <c r="M193" s="66" t="str">
        <f t="shared" si="74"/>
        <v>CHECK</v>
      </c>
      <c r="N193" s="66" t="str">
        <f t="shared" si="74"/>
        <v>CHECK</v>
      </c>
      <c r="O193" s="66" t="str">
        <f t="shared" si="74"/>
        <v>CHECK</v>
      </c>
      <c r="P193" s="66" t="str">
        <f t="shared" si="74"/>
        <v>CHECK</v>
      </c>
      <c r="Q193" s="66" t="str">
        <f t="shared" si="74"/>
        <v>CHECK</v>
      </c>
      <c r="R193" s="66" t="str">
        <f t="shared" si="74"/>
        <v>CHECK</v>
      </c>
      <c r="S193" s="66" t="str">
        <f t="shared" si="74"/>
        <v>CHECK</v>
      </c>
      <c r="T193" s="66" t="str">
        <f t="shared" si="74"/>
        <v>CHECK</v>
      </c>
      <c r="U193" s="66" t="str">
        <f t="shared" si="74"/>
        <v>CHECK</v>
      </c>
      <c r="V193" s="66"/>
      <c r="W193" s="66"/>
    </row>
    <row r="194" spans="1:23" x14ac:dyDescent="0.25">
      <c r="A194" s="11" t="s">
        <v>742</v>
      </c>
      <c r="B194" s="11" t="s">
        <v>782</v>
      </c>
      <c r="C194" s="11" t="s">
        <v>783</v>
      </c>
      <c r="D194" s="11" t="s">
        <v>490</v>
      </c>
      <c r="E194" s="11" t="s">
        <v>1005</v>
      </c>
      <c r="F194" s="66">
        <f t="shared" si="71"/>
        <v>0</v>
      </c>
      <c r="G194" s="66">
        <f t="shared" ref="G194:U194" si="75">IFERROR(((G56/G126)-1),"CHECK")</f>
        <v>0</v>
      </c>
      <c r="H194" s="66">
        <f t="shared" si="75"/>
        <v>0</v>
      </c>
      <c r="I194" s="66">
        <f t="shared" si="75"/>
        <v>0</v>
      </c>
      <c r="J194" s="66">
        <f t="shared" si="75"/>
        <v>0</v>
      </c>
      <c r="K194" s="66">
        <f t="shared" si="75"/>
        <v>0</v>
      </c>
      <c r="L194" s="66">
        <f t="shared" si="75"/>
        <v>0</v>
      </c>
      <c r="M194" s="66">
        <f t="shared" si="75"/>
        <v>0</v>
      </c>
      <c r="N194" s="66">
        <f t="shared" si="75"/>
        <v>0</v>
      </c>
      <c r="O194" s="66">
        <f t="shared" si="75"/>
        <v>0</v>
      </c>
      <c r="P194" s="66">
        <f t="shared" si="75"/>
        <v>0</v>
      </c>
      <c r="Q194" s="66">
        <f t="shared" si="75"/>
        <v>0</v>
      </c>
      <c r="R194" s="66">
        <f t="shared" si="75"/>
        <v>0</v>
      </c>
      <c r="S194" s="66">
        <f t="shared" si="75"/>
        <v>0</v>
      </c>
      <c r="T194" s="66">
        <f t="shared" si="75"/>
        <v>0</v>
      </c>
      <c r="U194" s="66">
        <f t="shared" si="75"/>
        <v>0</v>
      </c>
      <c r="V194" s="66"/>
      <c r="W194" s="66"/>
    </row>
    <row r="195" spans="1:23" x14ac:dyDescent="0.25">
      <c r="A195" s="11" t="s">
        <v>742</v>
      </c>
      <c r="B195" s="11" t="s">
        <v>784</v>
      </c>
      <c r="C195" s="11" t="s">
        <v>785</v>
      </c>
      <c r="D195" s="11" t="s">
        <v>490</v>
      </c>
      <c r="E195" s="11" t="s">
        <v>1005</v>
      </c>
      <c r="F195" s="66" t="str">
        <f t="shared" si="71"/>
        <v>CHECK</v>
      </c>
      <c r="G195" s="66" t="str">
        <f t="shared" ref="G195:U195" si="76">IFERROR(((G57/G127)-1),"CHECK")</f>
        <v>CHECK</v>
      </c>
      <c r="H195" s="66" t="str">
        <f t="shared" si="76"/>
        <v>CHECK</v>
      </c>
      <c r="I195" s="66" t="str">
        <f t="shared" si="76"/>
        <v>CHECK</v>
      </c>
      <c r="J195" s="66" t="str">
        <f t="shared" si="76"/>
        <v>CHECK</v>
      </c>
      <c r="K195" s="66" t="str">
        <f t="shared" si="76"/>
        <v>CHECK</v>
      </c>
      <c r="L195" s="66" t="str">
        <f t="shared" si="76"/>
        <v>CHECK</v>
      </c>
      <c r="M195" s="66" t="str">
        <f t="shared" si="76"/>
        <v>CHECK</v>
      </c>
      <c r="N195" s="66" t="str">
        <f t="shared" si="76"/>
        <v>CHECK</v>
      </c>
      <c r="O195" s="66" t="str">
        <f t="shared" si="76"/>
        <v>CHECK</v>
      </c>
      <c r="P195" s="66" t="str">
        <f t="shared" si="76"/>
        <v>CHECK</v>
      </c>
      <c r="Q195" s="66" t="str">
        <f t="shared" si="76"/>
        <v>CHECK</v>
      </c>
      <c r="R195" s="66" t="str">
        <f t="shared" si="76"/>
        <v>CHECK</v>
      </c>
      <c r="S195" s="66" t="str">
        <f t="shared" si="76"/>
        <v>CHECK</v>
      </c>
      <c r="T195" s="66" t="str">
        <f t="shared" si="76"/>
        <v>CHECK</v>
      </c>
      <c r="U195" s="66" t="str">
        <f t="shared" si="76"/>
        <v>CHECK</v>
      </c>
      <c r="V195" s="66"/>
      <c r="W195" s="66"/>
    </row>
    <row r="196" spans="1:23" x14ac:dyDescent="0.25">
      <c r="A196" s="11" t="s">
        <v>742</v>
      </c>
      <c r="B196" s="11" t="s">
        <v>786</v>
      </c>
      <c r="C196" s="11" t="s">
        <v>787</v>
      </c>
      <c r="D196" s="11" t="s">
        <v>490</v>
      </c>
      <c r="E196" s="11" t="s">
        <v>1005</v>
      </c>
      <c r="F196" s="66" t="str">
        <f t="shared" si="71"/>
        <v>CHECK</v>
      </c>
      <c r="G196" s="66" t="str">
        <f t="shared" ref="G196:U196" si="77">IFERROR(((G58/G128)-1),"CHECK")</f>
        <v>CHECK</v>
      </c>
      <c r="H196" s="66" t="str">
        <f t="shared" si="77"/>
        <v>CHECK</v>
      </c>
      <c r="I196" s="66" t="str">
        <f t="shared" si="77"/>
        <v>CHECK</v>
      </c>
      <c r="J196" s="66" t="str">
        <f t="shared" si="77"/>
        <v>CHECK</v>
      </c>
      <c r="K196" s="66" t="str">
        <f t="shared" si="77"/>
        <v>CHECK</v>
      </c>
      <c r="L196" s="66" t="str">
        <f t="shared" si="77"/>
        <v>CHECK</v>
      </c>
      <c r="M196" s="66" t="str">
        <f t="shared" si="77"/>
        <v>CHECK</v>
      </c>
      <c r="N196" s="66" t="str">
        <f t="shared" si="77"/>
        <v>CHECK</v>
      </c>
      <c r="O196" s="66" t="str">
        <f t="shared" si="77"/>
        <v>CHECK</v>
      </c>
      <c r="P196" s="66" t="str">
        <f t="shared" si="77"/>
        <v>CHECK</v>
      </c>
      <c r="Q196" s="66" t="str">
        <f t="shared" si="77"/>
        <v>CHECK</v>
      </c>
      <c r="R196" s="66" t="str">
        <f t="shared" si="77"/>
        <v>CHECK</v>
      </c>
      <c r="S196" s="66" t="str">
        <f t="shared" si="77"/>
        <v>CHECK</v>
      </c>
      <c r="T196" s="66" t="str">
        <f t="shared" si="77"/>
        <v>CHECK</v>
      </c>
      <c r="U196" s="66" t="str">
        <f t="shared" si="77"/>
        <v>CHECK</v>
      </c>
      <c r="V196" s="66"/>
      <c r="W196" s="66"/>
    </row>
    <row r="197" spans="1:23" x14ac:dyDescent="0.25">
      <c r="A197" s="11" t="s">
        <v>742</v>
      </c>
      <c r="B197" s="11" t="s">
        <v>788</v>
      </c>
      <c r="C197" s="11" t="s">
        <v>789</v>
      </c>
      <c r="D197" s="11" t="s">
        <v>490</v>
      </c>
      <c r="E197" s="11" t="s">
        <v>1005</v>
      </c>
      <c r="F197" s="66" t="str">
        <f t="shared" si="71"/>
        <v>CHECK</v>
      </c>
      <c r="G197" s="66" t="str">
        <f t="shared" ref="G197:U197" si="78">IFERROR(((G59/G129)-1),"CHECK")</f>
        <v>CHECK</v>
      </c>
      <c r="H197" s="66" t="str">
        <f t="shared" si="78"/>
        <v>CHECK</v>
      </c>
      <c r="I197" s="66" t="str">
        <f t="shared" si="78"/>
        <v>CHECK</v>
      </c>
      <c r="J197" s="66" t="str">
        <f t="shared" si="78"/>
        <v>CHECK</v>
      </c>
      <c r="K197" s="66" t="str">
        <f t="shared" si="78"/>
        <v>CHECK</v>
      </c>
      <c r="L197" s="66" t="str">
        <f t="shared" si="78"/>
        <v>CHECK</v>
      </c>
      <c r="M197" s="66" t="str">
        <f t="shared" si="78"/>
        <v>CHECK</v>
      </c>
      <c r="N197" s="66" t="str">
        <f t="shared" si="78"/>
        <v>CHECK</v>
      </c>
      <c r="O197" s="66" t="str">
        <f t="shared" si="78"/>
        <v>CHECK</v>
      </c>
      <c r="P197" s="66" t="str">
        <f t="shared" si="78"/>
        <v>CHECK</v>
      </c>
      <c r="Q197" s="66" t="str">
        <f t="shared" si="78"/>
        <v>CHECK</v>
      </c>
      <c r="R197" s="66" t="str">
        <f t="shared" si="78"/>
        <v>CHECK</v>
      </c>
      <c r="S197" s="66" t="str">
        <f t="shared" si="78"/>
        <v>CHECK</v>
      </c>
      <c r="T197" s="66" t="str">
        <f t="shared" si="78"/>
        <v>CHECK</v>
      </c>
      <c r="U197" s="66" t="str">
        <f t="shared" si="78"/>
        <v>CHECK</v>
      </c>
      <c r="V197" s="66"/>
      <c r="W197" s="66"/>
    </row>
    <row r="198" spans="1:23" x14ac:dyDescent="0.25">
      <c r="A198" s="11" t="s">
        <v>742</v>
      </c>
      <c r="B198" s="11" t="s">
        <v>790</v>
      </c>
      <c r="C198" s="11" t="s">
        <v>756</v>
      </c>
      <c r="D198" s="11" t="s">
        <v>490</v>
      </c>
      <c r="E198" s="11" t="s">
        <v>1005</v>
      </c>
      <c r="F198" s="66" t="str">
        <f t="shared" si="71"/>
        <v>CHECK</v>
      </c>
      <c r="G198" s="66" t="str">
        <f t="shared" ref="G198:U198" si="79">IFERROR(((G60/G130)-1),"CHECK")</f>
        <v>CHECK</v>
      </c>
      <c r="H198" s="66" t="str">
        <f t="shared" si="79"/>
        <v>CHECK</v>
      </c>
      <c r="I198" s="66" t="str">
        <f t="shared" si="79"/>
        <v>CHECK</v>
      </c>
      <c r="J198" s="66" t="str">
        <f t="shared" si="79"/>
        <v>CHECK</v>
      </c>
      <c r="K198" s="66" t="str">
        <f t="shared" si="79"/>
        <v>CHECK</v>
      </c>
      <c r="L198" s="66" t="str">
        <f t="shared" si="79"/>
        <v>CHECK</v>
      </c>
      <c r="M198" s="66" t="str">
        <f t="shared" si="79"/>
        <v>CHECK</v>
      </c>
      <c r="N198" s="66" t="str">
        <f t="shared" si="79"/>
        <v>CHECK</v>
      </c>
      <c r="O198" s="66" t="str">
        <f t="shared" si="79"/>
        <v>CHECK</v>
      </c>
      <c r="P198" s="66" t="str">
        <f t="shared" si="79"/>
        <v>CHECK</v>
      </c>
      <c r="Q198" s="66" t="str">
        <f t="shared" si="79"/>
        <v>CHECK</v>
      </c>
      <c r="R198" s="66" t="str">
        <f t="shared" si="79"/>
        <v>CHECK</v>
      </c>
      <c r="S198" s="66" t="str">
        <f t="shared" si="79"/>
        <v>CHECK</v>
      </c>
      <c r="T198" s="66" t="str">
        <f t="shared" si="79"/>
        <v>CHECK</v>
      </c>
      <c r="U198" s="66" t="str">
        <f t="shared" si="79"/>
        <v>CHECK</v>
      </c>
      <c r="V198" s="66"/>
      <c r="W198" s="66"/>
    </row>
    <row r="199" spans="1:23" x14ac:dyDescent="0.25">
      <c r="A199" s="23"/>
      <c r="B199" s="23"/>
      <c r="C199" s="23"/>
      <c r="D199" s="23"/>
      <c r="E199" s="23"/>
    </row>
    <row r="200" spans="1:23" s="7" customFormat="1" x14ac:dyDescent="0.25">
      <c r="A200" s="110" t="s">
        <v>742</v>
      </c>
      <c r="B200" s="110" t="s">
        <v>777</v>
      </c>
      <c r="C200" s="110" t="s">
        <v>1001</v>
      </c>
      <c r="D200" s="110" t="s">
        <v>1006</v>
      </c>
      <c r="E200" s="110" t="s">
        <v>745</v>
      </c>
      <c r="F200" s="66">
        <f t="shared" ref="F200:F207" si="80">IFERROR(((F62/F132)-1),"CHECK")</f>
        <v>0</v>
      </c>
      <c r="G200" s="66">
        <f t="shared" ref="G200:U200" si="81">IFERROR(((G62/G132)-1),"CHECK")</f>
        <v>0</v>
      </c>
      <c r="H200" s="66">
        <f t="shared" si="81"/>
        <v>0</v>
      </c>
      <c r="I200" s="66">
        <f t="shared" si="81"/>
        <v>0</v>
      </c>
      <c r="J200" s="66">
        <f t="shared" si="81"/>
        <v>0</v>
      </c>
      <c r="K200" s="66">
        <f t="shared" si="81"/>
        <v>0</v>
      </c>
      <c r="L200" s="66">
        <f t="shared" si="81"/>
        <v>0</v>
      </c>
      <c r="M200" s="66">
        <f t="shared" si="81"/>
        <v>0</v>
      </c>
      <c r="N200" s="66">
        <f t="shared" si="81"/>
        <v>0</v>
      </c>
      <c r="O200" s="66">
        <f t="shared" si="81"/>
        <v>0</v>
      </c>
      <c r="P200" s="66">
        <f t="shared" si="81"/>
        <v>0</v>
      </c>
      <c r="Q200" s="66">
        <f t="shared" si="81"/>
        <v>0</v>
      </c>
      <c r="R200" s="66">
        <f t="shared" si="81"/>
        <v>0</v>
      </c>
      <c r="S200" s="66">
        <f t="shared" si="81"/>
        <v>0</v>
      </c>
      <c r="T200" s="66">
        <f t="shared" si="81"/>
        <v>0</v>
      </c>
      <c r="U200" s="66">
        <f t="shared" si="81"/>
        <v>0</v>
      </c>
      <c r="V200" s="66"/>
      <c r="W200" s="66"/>
    </row>
    <row r="201" spans="1:23" x14ac:dyDescent="0.25">
      <c r="A201" s="11" t="s">
        <v>742</v>
      </c>
      <c r="B201" s="11" t="s">
        <v>778</v>
      </c>
      <c r="C201" s="11" t="s">
        <v>779</v>
      </c>
      <c r="D201" s="11" t="s">
        <v>1006</v>
      </c>
      <c r="E201" s="11" t="s">
        <v>745</v>
      </c>
      <c r="F201" s="66" t="str">
        <f t="shared" si="80"/>
        <v>CHECK</v>
      </c>
      <c r="G201" s="66" t="str">
        <f t="shared" ref="G201:U201" si="82">IFERROR(((G63/G133)-1),"CHECK")</f>
        <v>CHECK</v>
      </c>
      <c r="H201" s="66" t="str">
        <f t="shared" si="82"/>
        <v>CHECK</v>
      </c>
      <c r="I201" s="66" t="str">
        <f t="shared" si="82"/>
        <v>CHECK</v>
      </c>
      <c r="J201" s="66" t="str">
        <f t="shared" si="82"/>
        <v>CHECK</v>
      </c>
      <c r="K201" s="66" t="str">
        <f t="shared" si="82"/>
        <v>CHECK</v>
      </c>
      <c r="L201" s="66" t="str">
        <f t="shared" si="82"/>
        <v>CHECK</v>
      </c>
      <c r="M201" s="66" t="str">
        <f t="shared" si="82"/>
        <v>CHECK</v>
      </c>
      <c r="N201" s="66" t="str">
        <f t="shared" si="82"/>
        <v>CHECK</v>
      </c>
      <c r="O201" s="66" t="str">
        <f t="shared" si="82"/>
        <v>CHECK</v>
      </c>
      <c r="P201" s="66" t="str">
        <f t="shared" si="82"/>
        <v>CHECK</v>
      </c>
      <c r="Q201" s="66" t="str">
        <f t="shared" si="82"/>
        <v>CHECK</v>
      </c>
      <c r="R201" s="66" t="str">
        <f t="shared" si="82"/>
        <v>CHECK</v>
      </c>
      <c r="S201" s="66" t="str">
        <f t="shared" si="82"/>
        <v>CHECK</v>
      </c>
      <c r="T201" s="66" t="str">
        <f t="shared" si="82"/>
        <v>CHECK</v>
      </c>
      <c r="U201" s="66" t="str">
        <f t="shared" si="82"/>
        <v>CHECK</v>
      </c>
      <c r="V201" s="66"/>
      <c r="W201" s="66"/>
    </row>
    <row r="202" spans="1:23" x14ac:dyDescent="0.25">
      <c r="A202" s="11" t="s">
        <v>742</v>
      </c>
      <c r="B202" s="11" t="s">
        <v>780</v>
      </c>
      <c r="C202" s="11" t="s">
        <v>781</v>
      </c>
      <c r="D202" s="11" t="s">
        <v>1006</v>
      </c>
      <c r="E202" s="11" t="s">
        <v>745</v>
      </c>
      <c r="F202" s="66" t="str">
        <f t="shared" si="80"/>
        <v>CHECK</v>
      </c>
      <c r="G202" s="66" t="str">
        <f t="shared" ref="G202:U202" si="83">IFERROR(((G64/G134)-1),"CHECK")</f>
        <v>CHECK</v>
      </c>
      <c r="H202" s="66" t="str">
        <f t="shared" si="83"/>
        <v>CHECK</v>
      </c>
      <c r="I202" s="66" t="str">
        <f t="shared" si="83"/>
        <v>CHECK</v>
      </c>
      <c r="J202" s="66" t="str">
        <f t="shared" si="83"/>
        <v>CHECK</v>
      </c>
      <c r="K202" s="66" t="str">
        <f t="shared" si="83"/>
        <v>CHECK</v>
      </c>
      <c r="L202" s="66" t="str">
        <f t="shared" si="83"/>
        <v>CHECK</v>
      </c>
      <c r="M202" s="66" t="str">
        <f t="shared" si="83"/>
        <v>CHECK</v>
      </c>
      <c r="N202" s="66" t="str">
        <f t="shared" si="83"/>
        <v>CHECK</v>
      </c>
      <c r="O202" s="66" t="str">
        <f t="shared" si="83"/>
        <v>CHECK</v>
      </c>
      <c r="P202" s="66" t="str">
        <f t="shared" si="83"/>
        <v>CHECK</v>
      </c>
      <c r="Q202" s="66" t="str">
        <f t="shared" si="83"/>
        <v>CHECK</v>
      </c>
      <c r="R202" s="66" t="str">
        <f t="shared" si="83"/>
        <v>CHECK</v>
      </c>
      <c r="S202" s="66" t="str">
        <f t="shared" si="83"/>
        <v>CHECK</v>
      </c>
      <c r="T202" s="66" t="str">
        <f t="shared" si="83"/>
        <v>CHECK</v>
      </c>
      <c r="U202" s="66" t="str">
        <f t="shared" si="83"/>
        <v>CHECK</v>
      </c>
      <c r="V202" s="66"/>
      <c r="W202" s="66"/>
    </row>
    <row r="203" spans="1:23" x14ac:dyDescent="0.25">
      <c r="A203" s="11" t="s">
        <v>742</v>
      </c>
      <c r="B203" s="11" t="s">
        <v>782</v>
      </c>
      <c r="C203" s="11" t="s">
        <v>783</v>
      </c>
      <c r="D203" s="11" t="s">
        <v>1006</v>
      </c>
      <c r="E203" s="11" t="s">
        <v>745</v>
      </c>
      <c r="F203" s="66">
        <f t="shared" si="80"/>
        <v>0</v>
      </c>
      <c r="G203" s="66">
        <f t="shared" ref="G203:U203" si="84">IFERROR(((G65/G135)-1),"CHECK")</f>
        <v>0</v>
      </c>
      <c r="H203" s="66">
        <f t="shared" si="84"/>
        <v>0</v>
      </c>
      <c r="I203" s="66">
        <f t="shared" si="84"/>
        <v>0</v>
      </c>
      <c r="J203" s="66">
        <f t="shared" si="84"/>
        <v>0</v>
      </c>
      <c r="K203" s="66">
        <f t="shared" si="84"/>
        <v>0</v>
      </c>
      <c r="L203" s="66">
        <f t="shared" si="84"/>
        <v>0</v>
      </c>
      <c r="M203" s="66">
        <f t="shared" si="84"/>
        <v>0</v>
      </c>
      <c r="N203" s="66">
        <f t="shared" si="84"/>
        <v>0</v>
      </c>
      <c r="O203" s="66">
        <f t="shared" si="84"/>
        <v>0</v>
      </c>
      <c r="P203" s="66">
        <f t="shared" si="84"/>
        <v>0</v>
      </c>
      <c r="Q203" s="66">
        <f t="shared" si="84"/>
        <v>0</v>
      </c>
      <c r="R203" s="66">
        <f t="shared" si="84"/>
        <v>0</v>
      </c>
      <c r="S203" s="66">
        <f t="shared" si="84"/>
        <v>0</v>
      </c>
      <c r="T203" s="66">
        <f t="shared" si="84"/>
        <v>0</v>
      </c>
      <c r="U203" s="66">
        <f t="shared" si="84"/>
        <v>0</v>
      </c>
      <c r="V203" s="66"/>
      <c r="W203" s="66"/>
    </row>
    <row r="204" spans="1:23" x14ac:dyDescent="0.25">
      <c r="A204" s="11" t="s">
        <v>742</v>
      </c>
      <c r="B204" s="11" t="s">
        <v>784</v>
      </c>
      <c r="C204" s="11" t="s">
        <v>785</v>
      </c>
      <c r="D204" s="11" t="s">
        <v>1006</v>
      </c>
      <c r="E204" s="11" t="s">
        <v>745</v>
      </c>
      <c r="F204" s="66" t="str">
        <f t="shared" si="80"/>
        <v>CHECK</v>
      </c>
      <c r="G204" s="66" t="str">
        <f t="shared" ref="G204:U204" si="85">IFERROR(((G66/G136)-1),"CHECK")</f>
        <v>CHECK</v>
      </c>
      <c r="H204" s="66" t="str">
        <f t="shared" si="85"/>
        <v>CHECK</v>
      </c>
      <c r="I204" s="66" t="str">
        <f t="shared" si="85"/>
        <v>CHECK</v>
      </c>
      <c r="J204" s="66" t="str">
        <f t="shared" si="85"/>
        <v>CHECK</v>
      </c>
      <c r="K204" s="66" t="str">
        <f t="shared" si="85"/>
        <v>CHECK</v>
      </c>
      <c r="L204" s="66" t="str">
        <f t="shared" si="85"/>
        <v>CHECK</v>
      </c>
      <c r="M204" s="66" t="str">
        <f t="shared" si="85"/>
        <v>CHECK</v>
      </c>
      <c r="N204" s="66" t="str">
        <f t="shared" si="85"/>
        <v>CHECK</v>
      </c>
      <c r="O204" s="66" t="str">
        <f t="shared" si="85"/>
        <v>CHECK</v>
      </c>
      <c r="P204" s="66" t="str">
        <f t="shared" si="85"/>
        <v>CHECK</v>
      </c>
      <c r="Q204" s="66" t="str">
        <f t="shared" si="85"/>
        <v>CHECK</v>
      </c>
      <c r="R204" s="66" t="str">
        <f t="shared" si="85"/>
        <v>CHECK</v>
      </c>
      <c r="S204" s="66" t="str">
        <f t="shared" si="85"/>
        <v>CHECK</v>
      </c>
      <c r="T204" s="66" t="str">
        <f t="shared" si="85"/>
        <v>CHECK</v>
      </c>
      <c r="U204" s="66" t="str">
        <f t="shared" si="85"/>
        <v>CHECK</v>
      </c>
      <c r="V204" s="66"/>
      <c r="W204" s="66"/>
    </row>
    <row r="205" spans="1:23" x14ac:dyDescent="0.25">
      <c r="A205" s="11" t="s">
        <v>742</v>
      </c>
      <c r="B205" s="11" t="s">
        <v>786</v>
      </c>
      <c r="C205" s="11" t="s">
        <v>787</v>
      </c>
      <c r="D205" s="11" t="s">
        <v>1006</v>
      </c>
      <c r="E205" s="11" t="s">
        <v>745</v>
      </c>
      <c r="F205" s="66" t="str">
        <f t="shared" si="80"/>
        <v>CHECK</v>
      </c>
      <c r="G205" s="66" t="str">
        <f t="shared" ref="G205:U205" si="86">IFERROR(((G67/G137)-1),"CHECK")</f>
        <v>CHECK</v>
      </c>
      <c r="H205" s="66" t="str">
        <f t="shared" si="86"/>
        <v>CHECK</v>
      </c>
      <c r="I205" s="66" t="str">
        <f t="shared" si="86"/>
        <v>CHECK</v>
      </c>
      <c r="J205" s="66" t="str">
        <f t="shared" si="86"/>
        <v>CHECK</v>
      </c>
      <c r="K205" s="66" t="str">
        <f t="shared" si="86"/>
        <v>CHECK</v>
      </c>
      <c r="L205" s="66" t="str">
        <f t="shared" si="86"/>
        <v>CHECK</v>
      </c>
      <c r="M205" s="66" t="str">
        <f t="shared" si="86"/>
        <v>CHECK</v>
      </c>
      <c r="N205" s="66" t="str">
        <f t="shared" si="86"/>
        <v>CHECK</v>
      </c>
      <c r="O205" s="66" t="str">
        <f t="shared" si="86"/>
        <v>CHECK</v>
      </c>
      <c r="P205" s="66" t="str">
        <f t="shared" si="86"/>
        <v>CHECK</v>
      </c>
      <c r="Q205" s="66" t="str">
        <f t="shared" si="86"/>
        <v>CHECK</v>
      </c>
      <c r="R205" s="66" t="str">
        <f t="shared" si="86"/>
        <v>CHECK</v>
      </c>
      <c r="S205" s="66" t="str">
        <f t="shared" si="86"/>
        <v>CHECK</v>
      </c>
      <c r="T205" s="66" t="str">
        <f t="shared" si="86"/>
        <v>CHECK</v>
      </c>
      <c r="U205" s="66" t="str">
        <f t="shared" si="86"/>
        <v>CHECK</v>
      </c>
      <c r="V205" s="66"/>
      <c r="W205" s="66"/>
    </row>
    <row r="206" spans="1:23" x14ac:dyDescent="0.25">
      <c r="A206" s="11" t="s">
        <v>742</v>
      </c>
      <c r="B206" s="11" t="s">
        <v>788</v>
      </c>
      <c r="C206" s="11" t="s">
        <v>789</v>
      </c>
      <c r="D206" s="11" t="s">
        <v>1006</v>
      </c>
      <c r="E206" s="11" t="s">
        <v>745</v>
      </c>
      <c r="F206" s="66" t="str">
        <f t="shared" si="80"/>
        <v>CHECK</v>
      </c>
      <c r="G206" s="66" t="str">
        <f t="shared" ref="G206:U206" si="87">IFERROR(((G68/G138)-1),"CHECK")</f>
        <v>CHECK</v>
      </c>
      <c r="H206" s="66" t="str">
        <f t="shared" si="87"/>
        <v>CHECK</v>
      </c>
      <c r="I206" s="66" t="str">
        <f t="shared" si="87"/>
        <v>CHECK</v>
      </c>
      <c r="J206" s="66" t="str">
        <f t="shared" si="87"/>
        <v>CHECK</v>
      </c>
      <c r="K206" s="66" t="str">
        <f t="shared" si="87"/>
        <v>CHECK</v>
      </c>
      <c r="L206" s="66" t="str">
        <f t="shared" si="87"/>
        <v>CHECK</v>
      </c>
      <c r="M206" s="66" t="str">
        <f t="shared" si="87"/>
        <v>CHECK</v>
      </c>
      <c r="N206" s="66" t="str">
        <f t="shared" si="87"/>
        <v>CHECK</v>
      </c>
      <c r="O206" s="66" t="str">
        <f t="shared" si="87"/>
        <v>CHECK</v>
      </c>
      <c r="P206" s="66" t="str">
        <f t="shared" si="87"/>
        <v>CHECK</v>
      </c>
      <c r="Q206" s="66" t="str">
        <f t="shared" si="87"/>
        <v>CHECK</v>
      </c>
      <c r="R206" s="66" t="str">
        <f t="shared" si="87"/>
        <v>CHECK</v>
      </c>
      <c r="S206" s="66" t="str">
        <f t="shared" si="87"/>
        <v>CHECK</v>
      </c>
      <c r="T206" s="66" t="str">
        <f t="shared" si="87"/>
        <v>CHECK</v>
      </c>
      <c r="U206" s="66" t="str">
        <f t="shared" si="87"/>
        <v>CHECK</v>
      </c>
      <c r="V206" s="66"/>
      <c r="W206" s="66"/>
    </row>
    <row r="207" spans="1:23" x14ac:dyDescent="0.25">
      <c r="A207" s="11" t="s">
        <v>742</v>
      </c>
      <c r="B207" s="11" t="s">
        <v>790</v>
      </c>
      <c r="C207" s="11" t="s">
        <v>756</v>
      </c>
      <c r="D207" s="11" t="s">
        <v>1006</v>
      </c>
      <c r="E207" s="11" t="s">
        <v>745</v>
      </c>
      <c r="F207" s="66" t="str">
        <f t="shared" si="80"/>
        <v>CHECK</v>
      </c>
      <c r="G207" s="66" t="str">
        <f t="shared" ref="G207:U207" si="88">IFERROR(((G69/G139)-1),"CHECK")</f>
        <v>CHECK</v>
      </c>
      <c r="H207" s="66" t="str">
        <f t="shared" si="88"/>
        <v>CHECK</v>
      </c>
      <c r="I207" s="66" t="str">
        <f t="shared" si="88"/>
        <v>CHECK</v>
      </c>
      <c r="J207" s="66" t="str">
        <f t="shared" si="88"/>
        <v>CHECK</v>
      </c>
      <c r="K207" s="66" t="str">
        <f t="shared" si="88"/>
        <v>CHECK</v>
      </c>
      <c r="L207" s="66" t="str">
        <f t="shared" si="88"/>
        <v>CHECK</v>
      </c>
      <c r="M207" s="66" t="str">
        <f t="shared" si="88"/>
        <v>CHECK</v>
      </c>
      <c r="N207" s="66" t="str">
        <f t="shared" si="88"/>
        <v>CHECK</v>
      </c>
      <c r="O207" s="66" t="str">
        <f t="shared" si="88"/>
        <v>CHECK</v>
      </c>
      <c r="P207" s="66" t="str">
        <f t="shared" si="88"/>
        <v>CHECK</v>
      </c>
      <c r="Q207" s="66" t="str">
        <f t="shared" si="88"/>
        <v>CHECK</v>
      </c>
      <c r="R207" s="66" t="str">
        <f t="shared" si="88"/>
        <v>CHECK</v>
      </c>
      <c r="S207" s="66" t="str">
        <f t="shared" si="88"/>
        <v>CHECK</v>
      </c>
      <c r="T207" s="66" t="str">
        <f t="shared" si="88"/>
        <v>CHECK</v>
      </c>
      <c r="U207" s="66" t="str">
        <f t="shared" si="88"/>
        <v>CHECK</v>
      </c>
      <c r="V207" s="66"/>
      <c r="W207" s="66"/>
    </row>
  </sheetData>
  <conditionalFormatting sqref="F144:T150">
    <cfRule type="colorScale" priority="19">
      <colorScale>
        <cfvo type="min"/>
        <cfvo type="num" val="0"/>
        <cfvo type="max"/>
        <color theme="3" tint="0.59999389629810485"/>
        <color theme="0"/>
        <color rgb="FFEE9CA4"/>
      </colorScale>
    </cfRule>
  </conditionalFormatting>
  <conditionalFormatting sqref="F143:T143">
    <cfRule type="colorScale" priority="18">
      <colorScale>
        <cfvo type="min"/>
        <cfvo type="num" val="0"/>
        <cfvo type="max"/>
        <color theme="3" tint="0.59999389629810485"/>
        <color theme="0"/>
        <color rgb="FFEE9CA4"/>
      </colorScale>
    </cfRule>
  </conditionalFormatting>
  <conditionalFormatting sqref="U144:W150">
    <cfRule type="colorScale" priority="17">
      <colorScale>
        <cfvo type="min"/>
        <cfvo type="num" val="0"/>
        <cfvo type="max"/>
        <color theme="3" tint="0.59999389629810485"/>
        <color theme="0"/>
        <color rgb="FFEE9CA4"/>
      </colorScale>
    </cfRule>
  </conditionalFormatting>
  <conditionalFormatting sqref="U143:W143">
    <cfRule type="colorScale" priority="16">
      <colorScale>
        <cfvo type="min"/>
        <cfvo type="num" val="0"/>
        <cfvo type="max"/>
        <color theme="3" tint="0.59999389629810485"/>
        <color theme="0"/>
        <color rgb="FFEE9CA4"/>
      </colorScale>
    </cfRule>
  </conditionalFormatting>
  <conditionalFormatting sqref="F153:W160">
    <cfRule type="colorScale" priority="14">
      <colorScale>
        <cfvo type="min"/>
        <cfvo type="num" val="0"/>
        <cfvo type="max"/>
        <color theme="3" tint="0.59999389629810485"/>
        <color theme="0"/>
        <color rgb="FFEE9CA4"/>
      </colorScale>
    </cfRule>
  </conditionalFormatting>
  <conditionalFormatting sqref="F172:W179">
    <cfRule type="colorScale" priority="10">
      <colorScale>
        <cfvo type="min"/>
        <cfvo type="num" val="0"/>
        <cfvo type="max"/>
        <color theme="3" tint="0.59999389629810485"/>
        <color theme="0"/>
        <color rgb="FFEE9CA4"/>
      </colorScale>
    </cfRule>
  </conditionalFormatting>
  <conditionalFormatting sqref="F200:W207">
    <cfRule type="colorScale" priority="6">
      <colorScale>
        <cfvo type="min"/>
        <cfvo type="num" val="0"/>
        <cfvo type="max"/>
        <color theme="3" tint="0.59999389629810485"/>
        <color theme="0"/>
        <color rgb="FFEE9CA4"/>
      </colorScale>
    </cfRule>
  </conditionalFormatting>
  <conditionalFormatting sqref="F163:W170">
    <cfRule type="colorScale" priority="3">
      <colorScale>
        <cfvo type="min"/>
        <cfvo type="num" val="0"/>
        <cfvo type="max"/>
        <color theme="3" tint="0.59999389629810485"/>
        <color theme="0"/>
        <color rgb="FFEE9CA4"/>
      </colorScale>
    </cfRule>
  </conditionalFormatting>
  <conditionalFormatting sqref="F191:W198">
    <cfRule type="colorScale" priority="2">
      <colorScale>
        <cfvo type="min"/>
        <cfvo type="num" val="0"/>
        <cfvo type="max"/>
        <color theme="3" tint="0.59999389629810485"/>
        <color theme="0"/>
        <color rgb="FFEE9CA4"/>
      </colorScale>
    </cfRule>
  </conditionalFormatting>
  <conditionalFormatting sqref="F182:W189">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1A00-000054000000}">
          <x14:colorSeries rgb="FF376092"/>
          <x14:colorNegative rgb="FFD00000"/>
          <x14:colorAxis rgb="FF000000"/>
          <x14:colorMarkers rgb="FFD00000"/>
          <x14:colorFirst rgb="FFD00000"/>
          <x14:colorLast rgb="FFD00000"/>
          <x14:colorHigh rgb="FFD00000"/>
          <x14:colorLow rgb="FFD00000"/>
          <x14:sparklines>
            <x14:sparkline>
              <xm:f>'2C Summary'!F132:U132</xm:f>
              <xm:sqref>X132</xm:sqref>
            </x14:sparkline>
            <x14:sparkline>
              <xm:f>'2C Summary'!F133:U133</xm:f>
              <xm:sqref>X133</xm:sqref>
            </x14:sparkline>
            <x14:sparkline>
              <xm:f>'2C Summary'!F134:U134</xm:f>
              <xm:sqref>X134</xm:sqref>
            </x14:sparkline>
            <x14:sparkline>
              <xm:f>'2C Summary'!F135:U135</xm:f>
              <xm:sqref>X135</xm:sqref>
            </x14:sparkline>
            <x14:sparkline>
              <xm:f>'2C Summary'!F136:U136</xm:f>
              <xm:sqref>X136</xm:sqref>
            </x14:sparkline>
            <x14:sparkline>
              <xm:f>'2C Summary'!F137:U137</xm:f>
              <xm:sqref>X137</xm:sqref>
            </x14:sparkline>
            <x14:sparkline>
              <xm:f>'2C Summary'!F138:U138</xm:f>
              <xm:sqref>X138</xm:sqref>
            </x14:sparkline>
            <x14:sparkline>
              <xm:f>'2C Summary'!F139:U139</xm:f>
              <xm:sqref>X139</xm:sqref>
            </x14:sparkline>
          </x14:sparklines>
        </x14:sparklineGroup>
        <x14:sparklineGroup manualMax="0" manualMin="0" displayEmptyCellsAs="gap" xr2:uid="{00000000-0003-0000-1A00-000053000000}">
          <x14:colorSeries rgb="FF376092"/>
          <x14:colorNegative rgb="FFD00000"/>
          <x14:colorAxis rgb="FF000000"/>
          <x14:colorMarkers rgb="FFD00000"/>
          <x14:colorFirst rgb="FFD00000"/>
          <x14:colorLast rgb="FFD00000"/>
          <x14:colorHigh rgb="FFD00000"/>
          <x14:colorLow rgb="FFD00000"/>
          <x14:sparklines>
            <x14:sparkline>
              <xm:f>'2C Summary'!F104:U104</xm:f>
              <xm:sqref>X104</xm:sqref>
            </x14:sparkline>
            <x14:sparkline>
              <xm:f>'2C Summary'!F105:U105</xm:f>
              <xm:sqref>X105</xm:sqref>
            </x14:sparkline>
            <x14:sparkline>
              <xm:f>'2C Summary'!F106:U106</xm:f>
              <xm:sqref>X106</xm:sqref>
            </x14:sparkline>
            <x14:sparkline>
              <xm:f>'2C Summary'!F107:U107</xm:f>
              <xm:sqref>X107</xm:sqref>
            </x14:sparkline>
            <x14:sparkline>
              <xm:f>'2C Summary'!F108:U108</xm:f>
              <xm:sqref>X108</xm:sqref>
            </x14:sparkline>
            <x14:sparkline>
              <xm:f>'2C Summary'!F109:U109</xm:f>
              <xm:sqref>X109</xm:sqref>
            </x14:sparkline>
            <x14:sparkline>
              <xm:f>'2C Summary'!F110:U110</xm:f>
              <xm:sqref>X110</xm:sqref>
            </x14:sparkline>
            <x14:sparkline>
              <xm:f>'2C Summary'!F111:U111</xm:f>
              <xm:sqref>X111</xm:sqref>
            </x14:sparkline>
          </x14:sparklines>
        </x14:sparklineGroup>
        <x14:sparklineGroup manualMax="0" manualMin="0" displayEmptyCellsAs="gap" xr2:uid="{00000000-0003-0000-1A00-000052000000}">
          <x14:colorSeries rgb="FF376092"/>
          <x14:colorNegative rgb="FFD00000"/>
          <x14:colorAxis rgb="FF000000"/>
          <x14:colorMarkers rgb="FFD00000"/>
          <x14:colorFirst rgb="FFD00000"/>
          <x14:colorLast rgb="FFD00000"/>
          <x14:colorHigh rgb="FFD00000"/>
          <x14:colorLow rgb="FFD00000"/>
          <x14:sparklines>
            <x14:sparkline>
              <xm:f>'2C Summary'!F85:U85</xm:f>
              <xm:sqref>X85</xm:sqref>
            </x14:sparkline>
            <x14:sparkline>
              <xm:f>'2C Summary'!F86:U86</xm:f>
              <xm:sqref>X86</xm:sqref>
            </x14:sparkline>
            <x14:sparkline>
              <xm:f>'2C Summary'!F87:U87</xm:f>
              <xm:sqref>X87</xm:sqref>
            </x14:sparkline>
            <x14:sparkline>
              <xm:f>'2C Summary'!F88:U88</xm:f>
              <xm:sqref>X88</xm:sqref>
            </x14:sparkline>
            <x14:sparkline>
              <xm:f>'2C Summary'!F89:U89</xm:f>
              <xm:sqref>X89</xm:sqref>
            </x14:sparkline>
            <x14:sparkline>
              <xm:f>'2C Summary'!F90:U90</xm:f>
              <xm:sqref>X90</xm:sqref>
            </x14:sparkline>
            <x14:sparkline>
              <xm:f>'2C Summary'!F91:U91</xm:f>
              <xm:sqref>X91</xm:sqref>
            </x14:sparkline>
            <x14:sparkline>
              <xm:f>'2C Summary'!F92:U92</xm:f>
              <xm:sqref>X92</xm:sqref>
            </x14:sparkline>
          </x14:sparklines>
        </x14:sparklineGroup>
        <x14:sparklineGroup manualMax="0" manualMin="0" displayEmptyCellsAs="gap" xr2:uid="{00000000-0003-0000-1A00-000051000000}">
          <x14:colorSeries rgb="FF376092"/>
          <x14:colorNegative rgb="FFD00000"/>
          <x14:colorAxis rgb="FF000000"/>
          <x14:colorMarkers rgb="FFD00000"/>
          <x14:colorFirst rgb="FFD00000"/>
          <x14:colorLast rgb="FFD00000"/>
          <x14:colorHigh rgb="FFD00000"/>
          <x14:colorLow rgb="FFD00000"/>
          <x14:sparklines>
            <x14:sparkline>
              <xm:f>'2C Summary'!F5:W5</xm:f>
              <xm:sqref>X5</xm:sqref>
            </x14:sparkline>
            <x14:sparkline>
              <xm:f>'2C Summary'!F6:W6</xm:f>
              <xm:sqref>X6</xm:sqref>
            </x14:sparkline>
            <x14:sparkline>
              <xm:f>'2C Summary'!F7:W7</xm:f>
              <xm:sqref>X7</xm:sqref>
            </x14:sparkline>
            <x14:sparkline>
              <xm:f>'2C Summary'!F8:W8</xm:f>
              <xm:sqref>X8</xm:sqref>
            </x14:sparkline>
            <x14:sparkline>
              <xm:f>'2C Summary'!F9:W9</xm:f>
              <xm:sqref>X9</xm:sqref>
            </x14:sparkline>
            <x14:sparkline>
              <xm:f>'2C Summary'!F10:W10</xm:f>
              <xm:sqref>X10</xm:sqref>
            </x14:sparkline>
            <x14:sparkline>
              <xm:f>'2C Summary'!F11:W11</xm:f>
              <xm:sqref>X11</xm:sqref>
            </x14:sparkline>
            <x14:sparkline>
              <xm:f>'2C Summary'!F12:W12</xm:f>
              <xm:sqref>X12</xm:sqref>
            </x14:sparkline>
          </x14:sparklines>
        </x14:sparklineGroup>
        <x14:sparklineGroup manualMax="0" manualMin="0" displayEmptyCellsAs="gap" xr2:uid="{00000000-0003-0000-1A00-000050000000}">
          <x14:colorSeries rgb="FF376092"/>
          <x14:colorNegative rgb="FFD00000"/>
          <x14:colorAxis rgb="FF000000"/>
          <x14:colorMarkers rgb="FFD00000"/>
          <x14:colorFirst rgb="FFD00000"/>
          <x14:colorLast rgb="FFD00000"/>
          <x14:colorHigh rgb="FFD00000"/>
          <x14:colorLow rgb="FFD00000"/>
          <x14:sparklines>
            <x14:sparkline>
              <xm:f>'2C Summary'!F75:U75</xm:f>
              <xm:sqref>X75</xm:sqref>
            </x14:sparkline>
            <x14:sparkline>
              <xm:f>'2C Summary'!F76:U76</xm:f>
              <xm:sqref>X76</xm:sqref>
            </x14:sparkline>
            <x14:sparkline>
              <xm:f>'2C Summary'!F77:U77</xm:f>
              <xm:sqref>X77</xm:sqref>
            </x14:sparkline>
            <x14:sparkline>
              <xm:f>'2C Summary'!F78:U78</xm:f>
              <xm:sqref>X78</xm:sqref>
            </x14:sparkline>
            <x14:sparkline>
              <xm:f>'2C Summary'!F79:U79</xm:f>
              <xm:sqref>X79</xm:sqref>
            </x14:sparkline>
            <x14:sparkline>
              <xm:f>'2C Summary'!F80:U80</xm:f>
              <xm:sqref>X80</xm:sqref>
            </x14:sparkline>
            <x14:sparkline>
              <xm:f>'2C Summary'!F81:U81</xm:f>
              <xm:sqref>X81</xm:sqref>
            </x14:sparkline>
            <x14:sparkline>
              <xm:f>'2C Summary'!F82:U82</xm:f>
              <xm:sqref>X82</xm:sqref>
            </x14:sparkline>
          </x14:sparklines>
        </x14:sparklineGroup>
        <x14:sparklineGroup manualMax="0" manualMin="0" displayEmptyCellsAs="gap" xr2:uid="{00000000-0003-0000-1A00-00004F000000}">
          <x14:colorSeries rgb="FF376092"/>
          <x14:colorNegative rgb="FFD00000"/>
          <x14:colorAxis rgb="FF000000"/>
          <x14:colorMarkers rgb="FFD00000"/>
          <x14:colorFirst rgb="FFD00000"/>
          <x14:colorLast rgb="FFD00000"/>
          <x14:colorHigh rgb="FFD00000"/>
          <x14:colorLow rgb="FFD00000"/>
          <x14:sparklines>
            <x14:sparkline>
              <xm:f>'2C Summary'!F42:U42</xm:f>
              <xm:sqref>X42</xm:sqref>
            </x14:sparkline>
          </x14:sparklines>
        </x14:sparklineGroup>
        <x14:sparklineGroup manualMax="0" manualMin="0" displayEmptyCellsAs="gap" xr2:uid="{00000000-0003-0000-1A00-00004E000000}">
          <x14:colorSeries rgb="FF376092"/>
          <x14:colorNegative rgb="FFD00000"/>
          <x14:colorAxis rgb="FF000000"/>
          <x14:colorMarkers rgb="FFD00000"/>
          <x14:colorFirst rgb="FFD00000"/>
          <x14:colorLast rgb="FFD00000"/>
          <x14:colorHigh rgb="FFD00000"/>
          <x14:colorLow rgb="FFD00000"/>
          <x14:sparklines>
            <x14:sparkline>
              <xm:f>'2C Summary'!F70:U70</xm:f>
              <xm:sqref>X70</xm:sqref>
            </x14:sparkline>
          </x14:sparklines>
        </x14:sparklineGroup>
        <x14:sparklineGroup manualMax="0" manualMin="0" displayEmptyCellsAs="gap" xr2:uid="{00000000-0003-0000-1A00-00004D000000}">
          <x14:colorSeries rgb="FF376092"/>
          <x14:colorNegative rgb="FFD00000"/>
          <x14:colorAxis rgb="FF000000"/>
          <x14:colorMarkers rgb="FFD00000"/>
          <x14:colorFirst rgb="FFD00000"/>
          <x14:colorLast rgb="FFD00000"/>
          <x14:colorHigh rgb="FFD00000"/>
          <x14:colorLow rgb="FFD00000"/>
          <x14:sparklines>
            <x14:sparkline>
              <xm:f>'2C Summary'!F23:U23</xm:f>
              <xm:sqref>X23</xm:sqref>
            </x14:sparkline>
          </x14:sparklines>
        </x14:sparklineGroup>
        <x14:sparklineGroup manualMax="0" manualMin="0" displayEmptyCellsAs="gap" xr2:uid="{00000000-0003-0000-1A00-00004C000000}">
          <x14:colorSeries rgb="FF376092"/>
          <x14:colorNegative rgb="FFD00000"/>
          <x14:colorAxis rgb="FF000000"/>
          <x14:colorMarkers rgb="FFD00000"/>
          <x14:colorFirst rgb="FFD00000"/>
          <x14:colorLast rgb="FFD00000"/>
          <x14:colorHigh rgb="FFD00000"/>
          <x14:colorLow rgb="FFD00000"/>
          <x14:sparklines>
            <x14:sparkline>
              <xm:f>'2C Summary'!F15:W15</xm:f>
              <xm:sqref>X15</xm:sqref>
            </x14:sparkline>
            <x14:sparkline>
              <xm:f>'2C Summary'!F16:W16</xm:f>
              <xm:sqref>X16</xm:sqref>
            </x14:sparkline>
            <x14:sparkline>
              <xm:f>'2C Summary'!F17:W17</xm:f>
              <xm:sqref>X17</xm:sqref>
            </x14:sparkline>
            <x14:sparkline>
              <xm:f>'2C Summary'!F18:W18</xm:f>
              <xm:sqref>X18</xm:sqref>
            </x14:sparkline>
            <x14:sparkline>
              <xm:f>'2C Summary'!F19:W19</xm:f>
              <xm:sqref>X19</xm:sqref>
            </x14:sparkline>
            <x14:sparkline>
              <xm:f>'2C Summary'!F20:W20</xm:f>
              <xm:sqref>X20</xm:sqref>
            </x14:sparkline>
            <x14:sparkline>
              <xm:f>'2C Summary'!F21:W21</xm:f>
              <xm:sqref>X21</xm:sqref>
            </x14:sparkline>
            <x14:sparkline>
              <xm:f>'2C Summary'!F22:W22</xm:f>
              <xm:sqref>X22</xm:sqref>
            </x14:sparkline>
          </x14:sparklines>
        </x14:sparklineGroup>
        <x14:sparklineGroup manualMax="0" manualMin="0" displayEmptyCellsAs="gap" xr2:uid="{00000000-0003-0000-1A00-00004B000000}">
          <x14:colorSeries rgb="FF376092"/>
          <x14:colorNegative rgb="FFD00000"/>
          <x14:colorAxis rgb="FF000000"/>
          <x14:colorMarkers rgb="FFD00000"/>
          <x14:colorFirst rgb="FFD00000"/>
          <x14:colorLast rgb="FFD00000"/>
          <x14:colorHigh rgb="FFD00000"/>
          <x14:colorLow rgb="FFD00000"/>
          <x14:sparklines>
            <x14:sparkline>
              <xm:f>'2C Summary'!F34:W34</xm:f>
              <xm:sqref>X34</xm:sqref>
            </x14:sparkline>
            <x14:sparkline>
              <xm:f>'2C Summary'!F35:W35</xm:f>
              <xm:sqref>X35</xm:sqref>
            </x14:sparkline>
            <x14:sparkline>
              <xm:f>'2C Summary'!F36:W36</xm:f>
              <xm:sqref>X36</xm:sqref>
            </x14:sparkline>
            <x14:sparkline>
              <xm:f>'2C Summary'!F37:W37</xm:f>
              <xm:sqref>X37</xm:sqref>
            </x14:sparkline>
            <x14:sparkline>
              <xm:f>'2C Summary'!F38:W38</xm:f>
              <xm:sqref>X38</xm:sqref>
            </x14:sparkline>
            <x14:sparkline>
              <xm:f>'2C Summary'!F39:W39</xm:f>
              <xm:sqref>X39</xm:sqref>
            </x14:sparkline>
            <x14:sparkline>
              <xm:f>'2C Summary'!F40:W40</xm:f>
              <xm:sqref>X40</xm:sqref>
            </x14:sparkline>
            <x14:sparkline>
              <xm:f>'2C Summary'!F41:W41</xm:f>
              <xm:sqref>X41</xm:sqref>
            </x14:sparkline>
          </x14:sparklines>
        </x14:sparklineGroup>
        <x14:sparklineGroup manualMax="0" manualMin="0" displayEmptyCellsAs="gap" xr2:uid="{00000000-0003-0000-1A00-00004A000000}">
          <x14:colorSeries rgb="FF376092"/>
          <x14:colorNegative rgb="FFD00000"/>
          <x14:colorAxis rgb="FF000000"/>
          <x14:colorMarkers rgb="FFD00000"/>
          <x14:colorFirst rgb="FFD00000"/>
          <x14:colorLast rgb="FFD00000"/>
          <x14:colorHigh rgb="FFD00000"/>
          <x14:colorLow rgb="FFD00000"/>
          <x14:sparklines>
            <x14:sparkline>
              <xm:f>'2C Summary'!F62:W62</xm:f>
              <xm:sqref>X62</xm:sqref>
            </x14:sparkline>
            <x14:sparkline>
              <xm:f>'2C Summary'!F63:W63</xm:f>
              <xm:sqref>X63</xm:sqref>
            </x14:sparkline>
            <x14:sparkline>
              <xm:f>'2C Summary'!F64:W64</xm:f>
              <xm:sqref>X64</xm:sqref>
            </x14:sparkline>
            <x14:sparkline>
              <xm:f>'2C Summary'!F65:W65</xm:f>
              <xm:sqref>X65</xm:sqref>
            </x14:sparkline>
            <x14:sparkline>
              <xm:f>'2C Summary'!F66:W66</xm:f>
              <xm:sqref>X66</xm:sqref>
            </x14:sparkline>
            <x14:sparkline>
              <xm:f>'2C Summary'!F67:W67</xm:f>
              <xm:sqref>X67</xm:sqref>
            </x14:sparkline>
            <x14:sparkline>
              <xm:f>'2C Summary'!F68:W68</xm:f>
              <xm:sqref>X68</xm:sqref>
            </x14:sparkline>
            <x14:sparkline>
              <xm:f>'2C Summary'!F69:W69</xm:f>
              <xm:sqref>X69</xm:sqref>
            </x14:sparkline>
          </x14:sparklines>
        </x14:sparklineGroup>
        <x14:sparklineGroup manualMax="0" manualMin="0" displayEmptyCellsAs="gap" xr2:uid="{00000000-0003-0000-1A00-000049000000}">
          <x14:colorSeries rgb="FF376092"/>
          <x14:colorNegative rgb="FFD00000"/>
          <x14:colorAxis rgb="FF000000"/>
          <x14:colorMarkers rgb="FFD00000"/>
          <x14:colorFirst rgb="FFD00000"/>
          <x14:colorLast rgb="FFD00000"/>
          <x14:colorHigh rgb="FFD00000"/>
          <x14:colorLow rgb="FFD00000"/>
          <x14:sparklines>
            <x14:sparkline>
              <xm:f>'2C Summary'!F25:W25</xm:f>
              <xm:sqref>X25</xm:sqref>
            </x14:sparkline>
            <x14:sparkline>
              <xm:f>'2C Summary'!F26:W26</xm:f>
              <xm:sqref>X26</xm:sqref>
            </x14:sparkline>
            <x14:sparkline>
              <xm:f>'2C Summary'!F27:W27</xm:f>
              <xm:sqref>X27</xm:sqref>
            </x14:sparkline>
            <x14:sparkline>
              <xm:f>'2C Summary'!F28:W28</xm:f>
              <xm:sqref>X28</xm:sqref>
            </x14:sparkline>
            <x14:sparkline>
              <xm:f>'2C Summary'!F29:W29</xm:f>
              <xm:sqref>X29</xm:sqref>
            </x14:sparkline>
            <x14:sparkline>
              <xm:f>'2C Summary'!F30:W30</xm:f>
              <xm:sqref>X30</xm:sqref>
            </x14:sparkline>
            <x14:sparkline>
              <xm:f>'2C Summary'!F31:W31</xm:f>
              <xm:sqref>X31</xm:sqref>
            </x14:sparkline>
            <x14:sparkline>
              <xm:f>'2C Summary'!F32:W32</xm:f>
              <xm:sqref>X32</xm:sqref>
            </x14:sparkline>
          </x14:sparklines>
        </x14:sparklineGroup>
        <x14:sparklineGroup manualMax="0" manualMin="0" displayEmptyCellsAs="gap" xr2:uid="{00000000-0003-0000-1A00-000048000000}">
          <x14:colorSeries rgb="FF376092"/>
          <x14:colorNegative rgb="FFD00000"/>
          <x14:colorAxis rgb="FF000000"/>
          <x14:colorMarkers rgb="FFD00000"/>
          <x14:colorFirst rgb="FFD00000"/>
          <x14:colorLast rgb="FFD00000"/>
          <x14:colorHigh rgb="FFD00000"/>
          <x14:colorLow rgb="FFD00000"/>
          <x14:sparklines>
            <x14:sparkline>
              <xm:f>'2C Summary'!F33:U33</xm:f>
              <xm:sqref>X33</xm:sqref>
            </x14:sparkline>
          </x14:sparklines>
        </x14:sparklineGroup>
        <x14:sparklineGroup manualMax="0" manualMin="0" displayEmptyCellsAs="gap" xr2:uid="{00000000-0003-0000-1A00-000047000000}">
          <x14:colorSeries rgb="FF376092"/>
          <x14:colorNegative rgb="FFD00000"/>
          <x14:colorAxis rgb="FF000000"/>
          <x14:colorMarkers rgb="FFD00000"/>
          <x14:colorFirst rgb="FFD00000"/>
          <x14:colorLast rgb="FFD00000"/>
          <x14:colorHigh rgb="FFD00000"/>
          <x14:colorLow rgb="FFD00000"/>
          <x14:sparklines>
            <x14:sparkline>
              <xm:f>'2C Summary'!F44:W44</xm:f>
              <xm:sqref>X44</xm:sqref>
            </x14:sparkline>
            <x14:sparkline>
              <xm:f>'2C Summary'!F45:W45</xm:f>
              <xm:sqref>X45</xm:sqref>
            </x14:sparkline>
            <x14:sparkline>
              <xm:f>'2C Summary'!F46:W46</xm:f>
              <xm:sqref>X46</xm:sqref>
            </x14:sparkline>
            <x14:sparkline>
              <xm:f>'2C Summary'!F47:W47</xm:f>
              <xm:sqref>X47</xm:sqref>
            </x14:sparkline>
            <x14:sparkline>
              <xm:f>'2C Summary'!F48:W48</xm:f>
              <xm:sqref>X48</xm:sqref>
            </x14:sparkline>
            <x14:sparkline>
              <xm:f>'2C Summary'!F49:W49</xm:f>
              <xm:sqref>X49</xm:sqref>
            </x14:sparkline>
            <x14:sparkline>
              <xm:f>'2C Summary'!F50:W50</xm:f>
              <xm:sqref>X50</xm:sqref>
            </x14:sparkline>
            <x14:sparkline>
              <xm:f>'2C Summary'!F51:W51</xm:f>
              <xm:sqref>X51</xm:sqref>
            </x14:sparkline>
          </x14:sparklines>
        </x14:sparklineGroup>
        <x14:sparklineGroup manualMax="0" manualMin="0" displayEmptyCellsAs="gap" xr2:uid="{00000000-0003-0000-1A00-000046000000}">
          <x14:colorSeries rgb="FF376092"/>
          <x14:colorNegative rgb="FFD00000"/>
          <x14:colorAxis rgb="FF000000"/>
          <x14:colorMarkers rgb="FFD00000"/>
          <x14:colorFirst rgb="FFD00000"/>
          <x14:colorLast rgb="FFD00000"/>
          <x14:colorHigh rgb="FFD00000"/>
          <x14:colorLow rgb="FFD00000"/>
          <x14:sparklines>
            <x14:sparkline>
              <xm:f>'2C Summary'!F52:U52</xm:f>
              <xm:sqref>X52</xm:sqref>
            </x14:sparkline>
          </x14:sparklines>
        </x14:sparklineGroup>
        <x14:sparklineGroup manualMax="0" manualMin="0" displayEmptyCellsAs="gap" xr2:uid="{00000000-0003-0000-1A00-000045000000}">
          <x14:colorSeries rgb="FF376092"/>
          <x14:colorNegative rgb="FFD00000"/>
          <x14:colorAxis rgb="FF000000"/>
          <x14:colorMarkers rgb="FFD00000"/>
          <x14:colorFirst rgb="FFD00000"/>
          <x14:colorLast rgb="FFD00000"/>
          <x14:colorHigh rgb="FFD00000"/>
          <x14:colorLow rgb="FFD00000"/>
          <x14:sparklines>
            <x14:sparkline>
              <xm:f>'2C Summary'!F53:W53</xm:f>
              <xm:sqref>X53</xm:sqref>
            </x14:sparkline>
            <x14:sparkline>
              <xm:f>'2C Summary'!F54:W54</xm:f>
              <xm:sqref>X54</xm:sqref>
            </x14:sparkline>
            <x14:sparkline>
              <xm:f>'2C Summary'!F55:W55</xm:f>
              <xm:sqref>X55</xm:sqref>
            </x14:sparkline>
            <x14:sparkline>
              <xm:f>'2C Summary'!F56:W56</xm:f>
              <xm:sqref>X56</xm:sqref>
            </x14:sparkline>
            <x14:sparkline>
              <xm:f>'2C Summary'!F57:W57</xm:f>
              <xm:sqref>X57</xm:sqref>
            </x14:sparkline>
            <x14:sparkline>
              <xm:f>'2C Summary'!F58:W58</xm:f>
              <xm:sqref>X58</xm:sqref>
            </x14:sparkline>
            <x14:sparkline>
              <xm:f>'2C Summary'!F59:W59</xm:f>
              <xm:sqref>X59</xm:sqref>
            </x14:sparkline>
            <x14:sparkline>
              <xm:f>'2C Summary'!F60:W60</xm:f>
              <xm:sqref>X60</xm:sqref>
            </x14:sparkline>
          </x14:sparklines>
        </x14:sparklineGroup>
        <x14:sparklineGroup manualMax="0" manualMin="0" displayEmptyCellsAs="gap" xr2:uid="{00000000-0003-0000-1A00-000044000000}">
          <x14:colorSeries rgb="FF376092"/>
          <x14:colorNegative rgb="FFD00000"/>
          <x14:colorAxis rgb="FF000000"/>
          <x14:colorMarkers rgb="FFD00000"/>
          <x14:colorFirst rgb="FFD00000"/>
          <x14:colorLast rgb="FFD00000"/>
          <x14:colorHigh rgb="FFD00000"/>
          <x14:colorLow rgb="FFD00000"/>
          <x14:sparklines>
            <x14:sparkline>
              <xm:f>'2C Summary'!F61:U61</xm:f>
              <xm:sqref>X61</xm:sqref>
            </x14:sparkline>
          </x14:sparklines>
        </x14:sparklineGroup>
        <x14:sparklineGroup manualMax="0" manualMin="0" displayEmptyCellsAs="gap" xr2:uid="{00000000-0003-0000-1A00-000043000000}">
          <x14:colorSeries rgb="FF376092"/>
          <x14:colorNegative rgb="FFD00000"/>
          <x14:colorAxis rgb="FF000000"/>
          <x14:colorMarkers rgb="FFD00000"/>
          <x14:colorFirst rgb="FFD00000"/>
          <x14:colorLast rgb="FFD00000"/>
          <x14:colorHigh rgb="FFD00000"/>
          <x14:colorLow rgb="FFD00000"/>
          <x14:sparklines>
            <x14:sparkline>
              <xm:f>'2C Summary'!F95:U95</xm:f>
              <xm:sqref>X95</xm:sqref>
            </x14:sparkline>
            <x14:sparkline>
              <xm:f>'2C Summary'!F96:U96</xm:f>
              <xm:sqref>X96</xm:sqref>
            </x14:sparkline>
            <x14:sparkline>
              <xm:f>'2C Summary'!F97:U97</xm:f>
              <xm:sqref>X97</xm:sqref>
            </x14:sparkline>
            <x14:sparkline>
              <xm:f>'2C Summary'!F98:U98</xm:f>
              <xm:sqref>X98</xm:sqref>
            </x14:sparkline>
            <x14:sparkline>
              <xm:f>'2C Summary'!F99:U99</xm:f>
              <xm:sqref>X99</xm:sqref>
            </x14:sparkline>
            <x14:sparkline>
              <xm:f>'2C Summary'!F100:U100</xm:f>
              <xm:sqref>X100</xm:sqref>
            </x14:sparkline>
            <x14:sparkline>
              <xm:f>'2C Summary'!F101:U101</xm:f>
              <xm:sqref>X101</xm:sqref>
            </x14:sparkline>
            <x14:sparkline>
              <xm:f>'2C Summary'!F102:U102</xm:f>
              <xm:sqref>X102</xm:sqref>
            </x14:sparkline>
          </x14:sparklines>
        </x14:sparklineGroup>
        <x14:sparklineGroup manualMax="0" manualMin="0" displayEmptyCellsAs="gap" xr2:uid="{00000000-0003-0000-1A00-000042000000}">
          <x14:colorSeries rgb="FF376092"/>
          <x14:colorNegative rgb="FFD00000"/>
          <x14:colorAxis rgb="FF000000"/>
          <x14:colorMarkers rgb="FFD00000"/>
          <x14:colorFirst rgb="FFD00000"/>
          <x14:colorLast rgb="FFD00000"/>
          <x14:colorHigh rgb="FFD00000"/>
          <x14:colorLow rgb="FFD00000"/>
          <x14:sparklines>
            <x14:sparkline>
              <xm:f>'2C Summary'!F123:U123</xm:f>
              <xm:sqref>X123</xm:sqref>
            </x14:sparkline>
            <x14:sparkline>
              <xm:f>'2C Summary'!F124:U124</xm:f>
              <xm:sqref>X124</xm:sqref>
            </x14:sparkline>
            <x14:sparkline>
              <xm:f>'2C Summary'!F125:U125</xm:f>
              <xm:sqref>X125</xm:sqref>
            </x14:sparkline>
            <x14:sparkline>
              <xm:f>'2C Summary'!F126:U126</xm:f>
              <xm:sqref>X126</xm:sqref>
            </x14:sparkline>
            <x14:sparkline>
              <xm:f>'2C Summary'!F127:U127</xm:f>
              <xm:sqref>X127</xm:sqref>
            </x14:sparkline>
            <x14:sparkline>
              <xm:f>'2C Summary'!F128:U128</xm:f>
              <xm:sqref>X128</xm:sqref>
            </x14:sparkline>
            <x14:sparkline>
              <xm:f>'2C Summary'!F129:U129</xm:f>
              <xm:sqref>X129</xm:sqref>
            </x14:sparkline>
            <x14:sparkline>
              <xm:f>'2C Summary'!F130:U130</xm:f>
              <xm:sqref>X130</xm:sqref>
            </x14:sparkline>
          </x14:sparklines>
        </x14:sparklineGroup>
        <x14:sparklineGroup manualMax="0" manualMin="0" displayEmptyCellsAs="gap" xr2:uid="{00000000-0003-0000-1A00-000041000000}">
          <x14:colorSeries rgb="FF376092"/>
          <x14:colorNegative rgb="FFD00000"/>
          <x14:colorAxis rgb="FF000000"/>
          <x14:colorMarkers rgb="FFD00000"/>
          <x14:colorFirst rgb="FFD00000"/>
          <x14:colorLast rgb="FFD00000"/>
          <x14:colorHigh rgb="FFD00000"/>
          <x14:colorLow rgb="FFD00000"/>
          <x14:sparklines>
            <x14:sparkline>
              <xm:f>'2C Summary'!F114:U114</xm:f>
              <xm:sqref>X114</xm:sqref>
            </x14:sparkline>
            <x14:sparkline>
              <xm:f>'2C Summary'!F115:U115</xm:f>
              <xm:sqref>X115</xm:sqref>
            </x14:sparkline>
            <x14:sparkline>
              <xm:f>'2C Summary'!F116:U116</xm:f>
              <xm:sqref>X116</xm:sqref>
            </x14:sparkline>
            <x14:sparkline>
              <xm:f>'2C Summary'!F117:U117</xm:f>
              <xm:sqref>X117</xm:sqref>
            </x14:sparkline>
            <x14:sparkline>
              <xm:f>'2C Summary'!F118:U118</xm:f>
              <xm:sqref>X118</xm:sqref>
            </x14:sparkline>
            <x14:sparkline>
              <xm:f>'2C Summary'!F119:U119</xm:f>
              <xm:sqref>X119</xm:sqref>
            </x14:sparkline>
            <x14:sparkline>
              <xm:f>'2C Summary'!F120:U120</xm:f>
              <xm:sqref>X120</xm:sqref>
            </x14:sparkline>
            <x14:sparkline>
              <xm:f>'2C Summary'!F121:U121</xm:f>
              <xm:sqref>X121</xm:sqref>
            </x14:sparkline>
          </x14:sparklines>
        </x14:sparklineGroup>
      </x14:sparklineGroup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tabColor theme="3" tint="0.79998168889431442"/>
  </sheetPr>
  <dimension ref="A1:Y140"/>
  <sheetViews>
    <sheetView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2C1 Iron and Steel Production</v>
      </c>
      <c r="C1" s="261" t="s">
        <v>856</v>
      </c>
      <c r="D1" s="262"/>
      <c r="E1" s="262"/>
      <c r="F1" s="262"/>
      <c r="G1" s="262"/>
      <c r="H1" s="262"/>
      <c r="I1" s="262"/>
      <c r="J1" s="263"/>
      <c r="K1" s="14"/>
    </row>
    <row r="2" spans="1:25" ht="49.5" customHeight="1" x14ac:dyDescent="0.25">
      <c r="A2" s="15" t="s">
        <v>736</v>
      </c>
      <c r="B2" s="33" t="s">
        <v>857</v>
      </c>
      <c r="C2" s="264"/>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1011</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87</v>
      </c>
      <c r="B14" t="s">
        <v>1012</v>
      </c>
      <c r="D14" t="s">
        <v>892</v>
      </c>
      <c r="E14" s="114">
        <v>4674511</v>
      </c>
      <c r="F14" s="114">
        <v>4849655</v>
      </c>
      <c r="G14" s="114">
        <v>5051936</v>
      </c>
      <c r="H14" s="114">
        <v>5083168</v>
      </c>
      <c r="I14" s="114">
        <v>4949693</v>
      </c>
      <c r="J14" s="114">
        <v>5255831</v>
      </c>
      <c r="K14" s="114">
        <v>5173676</v>
      </c>
      <c r="L14" s="114">
        <v>4521461</v>
      </c>
      <c r="M14" s="114">
        <v>4504275</v>
      </c>
      <c r="N14" s="114">
        <v>3953709</v>
      </c>
      <c r="O14" s="114">
        <v>4366727</v>
      </c>
      <c r="P14" s="114">
        <v>3991686</v>
      </c>
      <c r="Q14" s="114">
        <v>3904276</v>
      </c>
      <c r="R14" s="114">
        <v>4271948</v>
      </c>
      <c r="S14" s="114">
        <v>3622909</v>
      </c>
      <c r="T14" s="114">
        <v>3907513</v>
      </c>
      <c r="U14" s="183">
        <f>5*10^6*EXP(-0.021*17)</f>
        <v>3498862.4886730551</v>
      </c>
      <c r="V14" s="183">
        <f>5*10^6*EXP(-0.021*18)</f>
        <v>3426152.5033293515</v>
      </c>
      <c r="Y14" t="s">
        <v>43</v>
      </c>
    </row>
    <row r="15" spans="1:25" x14ac:dyDescent="0.25">
      <c r="A15" t="s">
        <v>87</v>
      </c>
      <c r="B15" t="s">
        <v>1013</v>
      </c>
      <c r="D15" t="s">
        <v>892</v>
      </c>
      <c r="E15" s="114">
        <v>4549828</v>
      </c>
      <c r="F15" s="114">
        <v>4716954</v>
      </c>
      <c r="G15" s="114">
        <v>4888870</v>
      </c>
      <c r="H15" s="114">
        <v>5353456</v>
      </c>
      <c r="I15" s="114">
        <v>5508488</v>
      </c>
      <c r="J15" s="114">
        <v>5089818</v>
      </c>
      <c r="K15" s="114">
        <v>5413204</v>
      </c>
      <c r="L15" s="114">
        <v>5473908</v>
      </c>
      <c r="M15" s="114">
        <v>4581523</v>
      </c>
      <c r="N15" s="114">
        <v>4359556</v>
      </c>
      <c r="O15" s="114">
        <v>4235993</v>
      </c>
      <c r="P15" s="114">
        <v>3554803</v>
      </c>
      <c r="Q15" s="114">
        <v>3904276</v>
      </c>
      <c r="R15" s="114">
        <f>6*10^6*EXP(-0.04*15)</f>
        <v>3292869.8165641585</v>
      </c>
      <c r="S15" s="114">
        <v>2789291</v>
      </c>
      <c r="T15" s="114">
        <v>2490587</v>
      </c>
      <c r="U15" s="114">
        <f>6*10^6*EXP(-0.04*17)</f>
        <v>3039701.9541935371</v>
      </c>
      <c r="V15" s="114">
        <f>6*10^6*EXP(-0.04*18)</f>
        <v>2920513.5357598299</v>
      </c>
      <c r="Y15" t="s">
        <v>43</v>
      </c>
    </row>
    <row r="16" spans="1:25" x14ac:dyDescent="0.25">
      <c r="A16" t="s">
        <v>87</v>
      </c>
      <c r="B16" t="s">
        <v>1014</v>
      </c>
      <c r="D16" t="s">
        <v>892</v>
      </c>
      <c r="E16" s="114"/>
      <c r="F16" s="114"/>
      <c r="G16" s="114"/>
      <c r="H16" s="114"/>
      <c r="I16" s="114"/>
      <c r="J16" s="114"/>
      <c r="K16" s="114"/>
      <c r="L16" s="114"/>
      <c r="M16" s="114"/>
      <c r="N16" s="114"/>
      <c r="O16" s="114"/>
      <c r="P16" s="114"/>
      <c r="Q16" s="114"/>
      <c r="R16" s="114"/>
      <c r="S16" s="114"/>
      <c r="T16" s="114"/>
      <c r="U16" s="114"/>
      <c r="V16" s="114"/>
    </row>
    <row r="17" spans="1:25" x14ac:dyDescent="0.25">
      <c r="A17" t="s">
        <v>87</v>
      </c>
      <c r="B17" t="s">
        <v>1015</v>
      </c>
      <c r="D17" t="s">
        <v>892</v>
      </c>
      <c r="E17" s="114">
        <v>4674511</v>
      </c>
      <c r="F17" s="114">
        <v>4849655</v>
      </c>
      <c r="G17" s="114">
        <v>5051936</v>
      </c>
      <c r="H17" s="114">
        <v>4474699</v>
      </c>
      <c r="I17" s="114">
        <v>4224487</v>
      </c>
      <c r="J17" s="114">
        <v>4441904</v>
      </c>
      <c r="K17" s="114">
        <v>4435551</v>
      </c>
      <c r="L17" s="114">
        <v>3642520</v>
      </c>
      <c r="M17" s="114">
        <v>3746786</v>
      </c>
      <c r="N17" s="114">
        <v>3184566</v>
      </c>
      <c r="O17" s="114">
        <v>3695327</v>
      </c>
      <c r="P17" s="114">
        <v>4603558</v>
      </c>
      <c r="Q17" s="114">
        <v>4599015</v>
      </c>
      <c r="R17" s="114">
        <v>4927550</v>
      </c>
      <c r="S17" s="114">
        <v>4401734</v>
      </c>
      <c r="T17" s="114">
        <v>4463759</v>
      </c>
      <c r="U17" s="114">
        <f>16350*17^2-298484*17+5*10^6</f>
        <v>4650922</v>
      </c>
      <c r="V17" s="114">
        <f>16350*18^2-298484*18+5*10^6</f>
        <v>4924688</v>
      </c>
      <c r="Y17" t="s">
        <v>43</v>
      </c>
    </row>
    <row r="18" spans="1:25" x14ac:dyDescent="0.25">
      <c r="A18" t="s">
        <v>87</v>
      </c>
      <c r="B18" t="s">
        <v>1016</v>
      </c>
      <c r="D18" t="s">
        <v>892</v>
      </c>
      <c r="E18" s="114">
        <v>1552553</v>
      </c>
      <c r="F18" s="114">
        <v>1220890</v>
      </c>
      <c r="G18" s="114">
        <v>1340976</v>
      </c>
      <c r="H18" s="114">
        <v>1542008</v>
      </c>
      <c r="I18" s="114">
        <v>1632767</v>
      </c>
      <c r="J18" s="114">
        <v>1781108</v>
      </c>
      <c r="K18" s="114">
        <v>1753585</v>
      </c>
      <c r="L18" s="114">
        <v>1735914</v>
      </c>
      <c r="M18" s="114">
        <v>1177925</v>
      </c>
      <c r="N18" s="114">
        <v>1339720</v>
      </c>
      <c r="O18" s="114">
        <v>1120452</v>
      </c>
      <c r="P18" s="114">
        <v>1414164</v>
      </c>
      <c r="Q18" s="114">
        <v>1493420</v>
      </c>
      <c r="R18" s="114">
        <v>1295000</v>
      </c>
      <c r="S18" s="114">
        <v>1611530</v>
      </c>
      <c r="T18" s="114">
        <v>1124971</v>
      </c>
      <c r="U18" s="183">
        <f>2*10^6*17^-0.036</f>
        <v>1806066.904832748</v>
      </c>
      <c r="V18" s="183">
        <f>2*10^6*18^-0.036</f>
        <v>1802354.3766781806</v>
      </c>
      <c r="Y18" t="s">
        <v>43</v>
      </c>
    </row>
    <row r="19" spans="1:25" x14ac:dyDescent="0.25">
      <c r="A19" t="s">
        <v>87</v>
      </c>
      <c r="B19" t="s">
        <v>1017</v>
      </c>
      <c r="D19" t="s">
        <v>892</v>
      </c>
      <c r="E19" s="114"/>
      <c r="F19" s="114"/>
      <c r="G19" s="114"/>
      <c r="H19" s="114"/>
      <c r="I19" s="114"/>
      <c r="J19" s="114"/>
      <c r="K19" s="114"/>
      <c r="L19" s="114"/>
      <c r="M19" s="114"/>
      <c r="N19" s="114"/>
      <c r="O19" s="114"/>
      <c r="P19" s="114"/>
      <c r="Q19" s="114"/>
      <c r="R19" s="114"/>
      <c r="S19" s="114"/>
      <c r="T19" s="114"/>
      <c r="U19" s="114"/>
      <c r="V19" s="114"/>
    </row>
    <row r="20" spans="1:25" x14ac:dyDescent="0.25">
      <c r="A20" t="s">
        <v>87</v>
      </c>
      <c r="B20" t="s">
        <v>1018</v>
      </c>
      <c r="D20" t="s">
        <v>892</v>
      </c>
      <c r="E20" s="114"/>
      <c r="F20" s="114"/>
      <c r="G20" s="114"/>
      <c r="H20" s="114"/>
      <c r="I20" s="114"/>
      <c r="J20" s="114"/>
      <c r="K20" s="114"/>
      <c r="L20" s="114"/>
      <c r="M20" s="114"/>
      <c r="N20" s="114"/>
      <c r="O20" s="114"/>
      <c r="P20" s="114"/>
      <c r="Q20" s="114"/>
      <c r="R20" s="114"/>
      <c r="S20" s="114"/>
      <c r="T20" s="114"/>
      <c r="U20" s="114"/>
      <c r="V20" s="114"/>
    </row>
    <row r="21" spans="1:25" x14ac:dyDescent="0.25">
      <c r="A21" t="s">
        <v>87</v>
      </c>
      <c r="B21" t="s">
        <v>1019</v>
      </c>
      <c r="D21" t="s">
        <v>892</v>
      </c>
      <c r="E21" s="114">
        <v>705872</v>
      </c>
      <c r="F21" s="114">
        <v>706225</v>
      </c>
      <c r="G21" s="114">
        <v>706578</v>
      </c>
      <c r="H21" s="114">
        <v>706931</v>
      </c>
      <c r="I21" s="114">
        <v>733761</v>
      </c>
      <c r="J21" s="114">
        <v>735378</v>
      </c>
      <c r="K21" s="114">
        <v>739818</v>
      </c>
      <c r="L21" s="114">
        <v>705428</v>
      </c>
      <c r="M21" s="114">
        <v>460746</v>
      </c>
      <c r="N21" s="114">
        <v>429916</v>
      </c>
      <c r="O21" s="114">
        <v>584452</v>
      </c>
      <c r="P21" s="114">
        <v>570129</v>
      </c>
      <c r="Q21" s="114">
        <v>677891</v>
      </c>
      <c r="R21" s="183">
        <f>-67076*LN(14)+767373</f>
        <v>590355.59055872692</v>
      </c>
      <c r="S21" s="183">
        <f>-67076*LN(15)+767373</f>
        <v>585727.82471086818</v>
      </c>
      <c r="T21" s="183">
        <f>-67076*LN(16)+767373</f>
        <v>581398.83886704443</v>
      </c>
      <c r="U21" s="183">
        <f>-67076*LN(17)+767373</f>
        <v>577332.38173408527</v>
      </c>
      <c r="V21" s="183">
        <f>-67076*LN(18)+767373</f>
        <v>573498.42396735691</v>
      </c>
      <c r="Y21" t="s">
        <v>43</v>
      </c>
    </row>
    <row r="23" spans="1:25" s="5" customFormat="1" ht="21" x14ac:dyDescent="0.35">
      <c r="B23" s="6" t="s">
        <v>983</v>
      </c>
      <c r="E23" s="5" t="s">
        <v>878</v>
      </c>
    </row>
    <row r="25" spans="1:25" x14ac:dyDescent="0.25">
      <c r="A25" t="s">
        <v>87</v>
      </c>
      <c r="B25" t="s">
        <v>1020</v>
      </c>
      <c r="C25" t="s">
        <v>836</v>
      </c>
      <c r="D25" t="s">
        <v>970</v>
      </c>
      <c r="E25" s="205">
        <v>1.46</v>
      </c>
      <c r="F25" s="205">
        <v>1.46</v>
      </c>
      <c r="G25" s="205">
        <v>1.46</v>
      </c>
      <c r="H25" s="205">
        <v>1.46</v>
      </c>
      <c r="I25" s="205">
        <v>1.46</v>
      </c>
      <c r="J25" s="205">
        <v>1.46</v>
      </c>
      <c r="K25" s="205">
        <v>1.46</v>
      </c>
      <c r="L25" s="205">
        <v>1.46</v>
      </c>
      <c r="M25" s="205">
        <v>1.46</v>
      </c>
      <c r="N25" s="205">
        <v>1.46</v>
      </c>
      <c r="O25" s="205">
        <v>1.46</v>
      </c>
      <c r="P25" s="205">
        <v>1.46</v>
      </c>
      <c r="Q25" s="205">
        <v>1.46</v>
      </c>
      <c r="R25" s="205">
        <v>1.46</v>
      </c>
      <c r="S25" s="205">
        <v>1.46</v>
      </c>
      <c r="T25" s="205">
        <v>1.46</v>
      </c>
      <c r="U25" s="205">
        <v>1.46</v>
      </c>
      <c r="V25" s="205">
        <v>1.46</v>
      </c>
      <c r="Y25" t="s">
        <v>88</v>
      </c>
    </row>
    <row r="26" spans="1:25" x14ac:dyDescent="0.25">
      <c r="A26" t="s">
        <v>87</v>
      </c>
      <c r="B26" t="s">
        <v>1021</v>
      </c>
      <c r="C26" t="s">
        <v>836</v>
      </c>
      <c r="D26" t="s">
        <v>970</v>
      </c>
      <c r="E26" s="205">
        <v>0.08</v>
      </c>
      <c r="F26" s="205">
        <v>0.08</v>
      </c>
      <c r="G26" s="205">
        <v>0.08</v>
      </c>
      <c r="H26" s="205">
        <v>0.08</v>
      </c>
      <c r="I26" s="205">
        <v>0.08</v>
      </c>
      <c r="J26" s="205">
        <v>0.08</v>
      </c>
      <c r="K26" s="205">
        <v>0.08</v>
      </c>
      <c r="L26" s="205">
        <v>0.08</v>
      </c>
      <c r="M26" s="205">
        <v>0.08</v>
      </c>
      <c r="N26" s="205">
        <v>0.08</v>
      </c>
      <c r="O26" s="205">
        <v>0.08</v>
      </c>
      <c r="P26" s="205">
        <v>0.08</v>
      </c>
      <c r="Q26" s="205">
        <v>0.08</v>
      </c>
      <c r="R26" s="205">
        <v>0.08</v>
      </c>
      <c r="S26" s="205">
        <v>0.08</v>
      </c>
      <c r="T26" s="205">
        <v>0.08</v>
      </c>
      <c r="U26" s="205">
        <v>0.08</v>
      </c>
      <c r="V26" s="205">
        <v>0.08</v>
      </c>
      <c r="Y26" t="s">
        <v>88</v>
      </c>
    </row>
    <row r="27" spans="1:25" x14ac:dyDescent="0.25">
      <c r="A27" t="s">
        <v>87</v>
      </c>
      <c r="B27" t="s">
        <v>1022</v>
      </c>
      <c r="C27" t="s">
        <v>836</v>
      </c>
      <c r="D27" t="s">
        <v>970</v>
      </c>
      <c r="E27" s="205"/>
      <c r="F27" s="205"/>
      <c r="G27" s="205"/>
      <c r="H27" s="205"/>
      <c r="I27" s="205"/>
      <c r="J27" s="205"/>
      <c r="K27" s="205"/>
      <c r="L27" s="205"/>
      <c r="M27" s="205"/>
      <c r="N27" s="205"/>
      <c r="O27" s="205"/>
      <c r="P27" s="205"/>
      <c r="Q27" s="205"/>
      <c r="R27" s="205"/>
      <c r="S27" s="205"/>
      <c r="T27" s="205"/>
      <c r="U27" s="205"/>
      <c r="V27" s="205"/>
    </row>
    <row r="28" spans="1:25" x14ac:dyDescent="0.25">
      <c r="A28" t="s">
        <v>87</v>
      </c>
      <c r="B28" t="s">
        <v>1023</v>
      </c>
      <c r="C28" t="s">
        <v>836</v>
      </c>
      <c r="D28" t="s">
        <v>970</v>
      </c>
      <c r="E28" s="205">
        <v>1.35</v>
      </c>
      <c r="F28" s="205">
        <v>1.35</v>
      </c>
      <c r="G28" s="205">
        <v>1.35</v>
      </c>
      <c r="H28" s="205">
        <v>1.35</v>
      </c>
      <c r="I28" s="205">
        <v>1.35</v>
      </c>
      <c r="J28" s="205">
        <v>1.35</v>
      </c>
      <c r="K28" s="205">
        <v>1.35</v>
      </c>
      <c r="L28" s="205">
        <v>1.35</v>
      </c>
      <c r="M28" s="205">
        <v>1.35</v>
      </c>
      <c r="N28" s="205">
        <v>1.35</v>
      </c>
      <c r="O28" s="205">
        <v>1.35</v>
      </c>
      <c r="P28" s="205">
        <v>1.35</v>
      </c>
      <c r="Q28" s="205">
        <v>1.35</v>
      </c>
      <c r="R28" s="205">
        <v>1.35</v>
      </c>
      <c r="S28" s="205">
        <v>1.35</v>
      </c>
      <c r="T28" s="205">
        <v>1.35</v>
      </c>
      <c r="U28" s="205">
        <v>1.35</v>
      </c>
      <c r="V28" s="205">
        <v>1.35</v>
      </c>
      <c r="Y28" t="s">
        <v>88</v>
      </c>
    </row>
    <row r="29" spans="1:25" x14ac:dyDescent="0.25">
      <c r="A29" t="s">
        <v>87</v>
      </c>
      <c r="B29" t="s">
        <v>1024</v>
      </c>
      <c r="C29" t="s">
        <v>836</v>
      </c>
      <c r="D29" t="s">
        <v>970</v>
      </c>
      <c r="E29" s="114">
        <v>1.5249999999999999</v>
      </c>
      <c r="F29" s="114">
        <v>1.5249999999999999</v>
      </c>
      <c r="G29" s="114">
        <v>1.5249999999999999</v>
      </c>
      <c r="H29" s="114">
        <v>1.5249999999999999</v>
      </c>
      <c r="I29" s="114">
        <v>1.5249999999999999</v>
      </c>
      <c r="J29" s="114">
        <v>1.5249999999999999</v>
      </c>
      <c r="K29" s="114">
        <v>1.5249999999999999</v>
      </c>
      <c r="L29" s="114">
        <v>1.5249999999999999</v>
      </c>
      <c r="M29" s="114">
        <v>1.5249999999999999</v>
      </c>
      <c r="N29" s="114">
        <v>1.5249999999999999</v>
      </c>
      <c r="O29" s="114">
        <v>1.5249999999999999</v>
      </c>
      <c r="P29" s="114">
        <v>1.5249999999999999</v>
      </c>
      <c r="Q29" s="114">
        <v>1.5249999999999999</v>
      </c>
      <c r="R29" s="114">
        <v>1.5249999999999999</v>
      </c>
      <c r="S29" s="114">
        <v>1.5249999999999999</v>
      </c>
      <c r="T29" s="114">
        <v>1.5249999999999999</v>
      </c>
      <c r="U29" s="114">
        <v>1.5249999999999999</v>
      </c>
      <c r="V29" s="114">
        <v>1.5249999999999999</v>
      </c>
      <c r="Y29" t="s">
        <v>91</v>
      </c>
    </row>
    <row r="30" spans="1:25" x14ac:dyDescent="0.25">
      <c r="A30" t="s">
        <v>87</v>
      </c>
      <c r="B30" t="s">
        <v>1025</v>
      </c>
      <c r="C30" t="s">
        <v>836</v>
      </c>
      <c r="D30" t="s">
        <v>970</v>
      </c>
      <c r="E30" s="114">
        <v>0.34</v>
      </c>
      <c r="F30" s="114">
        <v>0.34</v>
      </c>
      <c r="G30" s="114">
        <v>0.34</v>
      </c>
      <c r="H30" s="114">
        <v>0.34</v>
      </c>
      <c r="I30" s="114">
        <v>0.34</v>
      </c>
      <c r="J30" s="114">
        <v>0.34</v>
      </c>
      <c r="K30" s="114">
        <v>0.34</v>
      </c>
      <c r="L30" s="114">
        <v>0.34</v>
      </c>
      <c r="M30" s="114">
        <v>0.34</v>
      </c>
      <c r="N30" s="114">
        <v>0.34</v>
      </c>
      <c r="O30" s="114">
        <v>0.34</v>
      </c>
      <c r="P30" s="114">
        <v>0.34</v>
      </c>
      <c r="Q30" s="114">
        <v>0.34</v>
      </c>
      <c r="R30" s="114">
        <v>0.34</v>
      </c>
      <c r="S30" s="114">
        <v>0.34</v>
      </c>
      <c r="T30" s="114">
        <v>0.34</v>
      </c>
      <c r="U30" s="114">
        <v>0.34</v>
      </c>
      <c r="V30" s="114">
        <v>0.34</v>
      </c>
      <c r="Y30" t="s">
        <v>92</v>
      </c>
    </row>
    <row r="31" spans="1:25" x14ac:dyDescent="0.25">
      <c r="A31" t="s">
        <v>87</v>
      </c>
      <c r="B31" t="s">
        <v>1026</v>
      </c>
      <c r="C31" t="s">
        <v>836</v>
      </c>
      <c r="D31" t="s">
        <v>970</v>
      </c>
      <c r="E31" s="205"/>
      <c r="F31" s="205"/>
      <c r="G31" s="205"/>
      <c r="H31" s="205"/>
      <c r="I31" s="205"/>
      <c r="J31" s="205"/>
      <c r="K31" s="205"/>
      <c r="L31" s="205"/>
      <c r="M31" s="205"/>
      <c r="N31" s="205"/>
      <c r="O31" s="205"/>
      <c r="P31" s="205"/>
      <c r="Q31" s="205"/>
      <c r="R31" s="205"/>
      <c r="S31" s="205"/>
      <c r="T31" s="205"/>
      <c r="U31" s="205"/>
      <c r="V31" s="205"/>
    </row>
    <row r="32" spans="1:25" x14ac:dyDescent="0.25">
      <c r="A32" t="s">
        <v>87</v>
      </c>
      <c r="B32" t="s">
        <v>1027</v>
      </c>
      <c r="C32" t="s">
        <v>836</v>
      </c>
      <c r="D32" t="s">
        <v>970</v>
      </c>
      <c r="E32" s="117">
        <f>+(0.5*E25)+(0.5*E26)</f>
        <v>0.77</v>
      </c>
      <c r="F32" s="117">
        <f>+(0.5*F25)+(0.5*F26)</f>
        <v>0.77</v>
      </c>
      <c r="G32" s="117">
        <f t="shared" ref="G32:V32" si="0">+(0.5*G25)+(0.5*G26)</f>
        <v>0.77</v>
      </c>
      <c r="H32" s="117">
        <f t="shared" si="0"/>
        <v>0.77</v>
      </c>
      <c r="I32" s="117">
        <f t="shared" si="0"/>
        <v>0.77</v>
      </c>
      <c r="J32" s="117">
        <f t="shared" si="0"/>
        <v>0.77</v>
      </c>
      <c r="K32" s="117">
        <f t="shared" si="0"/>
        <v>0.77</v>
      </c>
      <c r="L32" s="117">
        <f t="shared" si="0"/>
        <v>0.77</v>
      </c>
      <c r="M32" s="117">
        <f t="shared" si="0"/>
        <v>0.77</v>
      </c>
      <c r="N32" s="117">
        <f t="shared" si="0"/>
        <v>0.77</v>
      </c>
      <c r="O32" s="117">
        <f t="shared" si="0"/>
        <v>0.77</v>
      </c>
      <c r="P32" s="117">
        <f t="shared" si="0"/>
        <v>0.77</v>
      </c>
      <c r="Q32" s="117">
        <f t="shared" si="0"/>
        <v>0.77</v>
      </c>
      <c r="R32" s="117">
        <f t="shared" si="0"/>
        <v>0.77</v>
      </c>
      <c r="S32" s="117">
        <f t="shared" si="0"/>
        <v>0.77</v>
      </c>
      <c r="T32" s="117">
        <f t="shared" si="0"/>
        <v>0.77</v>
      </c>
      <c r="U32" s="117">
        <f t="shared" si="0"/>
        <v>0.77</v>
      </c>
      <c r="V32" s="117">
        <f t="shared" si="0"/>
        <v>0.77</v>
      </c>
      <c r="Y32" t="s">
        <v>94</v>
      </c>
    </row>
    <row r="34" spans="1:23" s="5" customFormat="1" ht="21" x14ac:dyDescent="0.35">
      <c r="B34" s="6" t="s">
        <v>619</v>
      </c>
      <c r="E34" s="5" t="s">
        <v>881</v>
      </c>
    </row>
    <row r="36" spans="1:23" x14ac:dyDescent="0.25">
      <c r="A36" t="s">
        <v>87</v>
      </c>
      <c r="B36" t="s">
        <v>1028</v>
      </c>
      <c r="C36" t="s">
        <v>836</v>
      </c>
      <c r="D36" t="s">
        <v>884</v>
      </c>
      <c r="E36" s="117">
        <f>(E14*E25)/1000</f>
        <v>6824.7860599999995</v>
      </c>
      <c r="F36" s="117">
        <f t="shared" ref="F36:S36" si="1">(F14*F25)/1000</f>
        <v>7080.4962999999998</v>
      </c>
      <c r="G36" s="117">
        <f t="shared" si="1"/>
        <v>7375.8265599999995</v>
      </c>
      <c r="H36" s="117">
        <f t="shared" si="1"/>
        <v>7421.4252800000004</v>
      </c>
      <c r="I36" s="117">
        <f t="shared" si="1"/>
        <v>7226.5517800000007</v>
      </c>
      <c r="J36" s="117">
        <f t="shared" si="1"/>
        <v>7673.5132599999997</v>
      </c>
      <c r="K36" s="117">
        <f t="shared" si="1"/>
        <v>7553.5669600000001</v>
      </c>
      <c r="L36" s="117">
        <f t="shared" si="1"/>
        <v>6601.3330599999999</v>
      </c>
      <c r="M36" s="117">
        <f t="shared" si="1"/>
        <v>6576.2415000000001</v>
      </c>
      <c r="N36" s="117">
        <f t="shared" si="1"/>
        <v>5772.4151400000001</v>
      </c>
      <c r="O36" s="117">
        <f t="shared" si="1"/>
        <v>6375.4214199999997</v>
      </c>
      <c r="P36" s="117">
        <f t="shared" si="1"/>
        <v>5827.8615599999994</v>
      </c>
      <c r="Q36" s="117">
        <f t="shared" si="1"/>
        <v>5700.2429599999996</v>
      </c>
      <c r="R36" s="117">
        <f t="shared" si="1"/>
        <v>6237.0440799999997</v>
      </c>
      <c r="S36" s="117">
        <f t="shared" si="1"/>
        <v>5289.4471399999993</v>
      </c>
      <c r="T36" s="117">
        <f t="shared" ref="T36:V43" si="2">(T14*T25)/1000</f>
        <v>5704.9689799999996</v>
      </c>
      <c r="U36" s="117">
        <f t="shared" si="2"/>
        <v>5108.3392334626606</v>
      </c>
      <c r="V36" s="117">
        <f t="shared" si="2"/>
        <v>5002.1826548608533</v>
      </c>
    </row>
    <row r="37" spans="1:23" x14ac:dyDescent="0.25">
      <c r="A37" t="s">
        <v>87</v>
      </c>
      <c r="B37" t="s">
        <v>1029</v>
      </c>
      <c r="C37" t="s">
        <v>836</v>
      </c>
      <c r="D37" t="s">
        <v>884</v>
      </c>
      <c r="E37" s="117">
        <f t="shared" ref="E37:S43" si="3">(E15*E26)/1000</f>
        <v>363.98624000000001</v>
      </c>
      <c r="F37" s="117">
        <f t="shared" si="3"/>
        <v>377.35631999999998</v>
      </c>
      <c r="G37" s="117">
        <f t="shared" si="3"/>
        <v>391.10960000000006</v>
      </c>
      <c r="H37" s="117">
        <f t="shared" si="3"/>
        <v>428.27647999999999</v>
      </c>
      <c r="I37" s="117">
        <f t="shared" si="3"/>
        <v>440.67904000000004</v>
      </c>
      <c r="J37" s="117">
        <f t="shared" si="3"/>
        <v>407.18544000000003</v>
      </c>
      <c r="K37" s="117">
        <f t="shared" si="3"/>
        <v>433.05632000000003</v>
      </c>
      <c r="L37" s="117">
        <f t="shared" si="3"/>
        <v>437.91264000000001</v>
      </c>
      <c r="M37" s="117">
        <f t="shared" si="3"/>
        <v>366.52184</v>
      </c>
      <c r="N37" s="117">
        <f t="shared" si="3"/>
        <v>348.76447999999999</v>
      </c>
      <c r="O37" s="117">
        <f t="shared" si="3"/>
        <v>338.87943999999999</v>
      </c>
      <c r="P37" s="117">
        <f t="shared" si="3"/>
        <v>284.38423999999998</v>
      </c>
      <c r="Q37" s="117">
        <f t="shared" si="3"/>
        <v>312.34208000000001</v>
      </c>
      <c r="R37" s="117">
        <f t="shared" si="3"/>
        <v>263.42958532513273</v>
      </c>
      <c r="S37" s="117">
        <f t="shared" si="3"/>
        <v>223.14328</v>
      </c>
      <c r="T37" s="117">
        <f t="shared" si="2"/>
        <v>199.24696</v>
      </c>
      <c r="U37" s="117">
        <f t="shared" si="2"/>
        <v>243.17615633548297</v>
      </c>
      <c r="V37" s="117">
        <f t="shared" si="2"/>
        <v>233.64108286078641</v>
      </c>
    </row>
    <row r="38" spans="1:23" x14ac:dyDescent="0.25">
      <c r="A38" t="s">
        <v>87</v>
      </c>
      <c r="B38" t="s">
        <v>1030</v>
      </c>
      <c r="C38" t="s">
        <v>836</v>
      </c>
      <c r="D38" t="s">
        <v>884</v>
      </c>
      <c r="E38" s="117">
        <f t="shared" si="3"/>
        <v>0</v>
      </c>
      <c r="F38" s="117">
        <f t="shared" si="3"/>
        <v>0</v>
      </c>
      <c r="G38" s="117">
        <f t="shared" si="3"/>
        <v>0</v>
      </c>
      <c r="H38" s="117">
        <f t="shared" si="3"/>
        <v>0</v>
      </c>
      <c r="I38" s="117">
        <f t="shared" si="3"/>
        <v>0</v>
      </c>
      <c r="J38" s="117">
        <f t="shared" si="3"/>
        <v>0</v>
      </c>
      <c r="K38" s="117">
        <f t="shared" si="3"/>
        <v>0</v>
      </c>
      <c r="L38" s="117">
        <f t="shared" si="3"/>
        <v>0</v>
      </c>
      <c r="M38" s="117">
        <f t="shared" si="3"/>
        <v>0</v>
      </c>
      <c r="N38" s="117">
        <f t="shared" si="3"/>
        <v>0</v>
      </c>
      <c r="O38" s="117">
        <f t="shared" si="3"/>
        <v>0</v>
      </c>
      <c r="P38" s="117">
        <f t="shared" si="3"/>
        <v>0</v>
      </c>
      <c r="Q38" s="117">
        <f t="shared" si="3"/>
        <v>0</v>
      </c>
      <c r="R38" s="117">
        <f t="shared" si="3"/>
        <v>0</v>
      </c>
      <c r="S38" s="117">
        <f t="shared" si="3"/>
        <v>0</v>
      </c>
      <c r="T38" s="117">
        <f t="shared" si="2"/>
        <v>0</v>
      </c>
      <c r="U38" s="117">
        <f t="shared" si="2"/>
        <v>0</v>
      </c>
      <c r="V38" s="117">
        <f t="shared" si="2"/>
        <v>0</v>
      </c>
    </row>
    <row r="39" spans="1:23" x14ac:dyDescent="0.25">
      <c r="A39" t="s">
        <v>87</v>
      </c>
      <c r="B39" t="s">
        <v>1031</v>
      </c>
      <c r="C39" t="s">
        <v>836</v>
      </c>
      <c r="D39" t="s">
        <v>884</v>
      </c>
      <c r="E39" s="117">
        <f t="shared" si="3"/>
        <v>6310.5898500000003</v>
      </c>
      <c r="F39" s="117">
        <f t="shared" si="3"/>
        <v>6547.0342499999997</v>
      </c>
      <c r="G39" s="117">
        <f t="shared" si="3"/>
        <v>6820.1136000000006</v>
      </c>
      <c r="H39" s="117">
        <f t="shared" si="3"/>
        <v>6040.8436500000007</v>
      </c>
      <c r="I39" s="117">
        <f t="shared" si="3"/>
        <v>5703.0574500000002</v>
      </c>
      <c r="J39" s="117">
        <f t="shared" si="3"/>
        <v>5996.5704000000005</v>
      </c>
      <c r="K39" s="117">
        <f t="shared" si="3"/>
        <v>5987.9938500000007</v>
      </c>
      <c r="L39" s="117">
        <f t="shared" si="3"/>
        <v>4917.402</v>
      </c>
      <c r="M39" s="117">
        <f t="shared" si="3"/>
        <v>5058.1611000000003</v>
      </c>
      <c r="N39" s="117">
        <f t="shared" si="3"/>
        <v>4299.1641000000009</v>
      </c>
      <c r="O39" s="117">
        <f t="shared" si="3"/>
        <v>4988.6914500000003</v>
      </c>
      <c r="P39" s="117">
        <f t="shared" si="3"/>
        <v>6214.8033000000005</v>
      </c>
      <c r="Q39" s="117">
        <f t="shared" si="3"/>
        <v>6208.6702500000001</v>
      </c>
      <c r="R39" s="117">
        <f t="shared" si="3"/>
        <v>6652.1925000000001</v>
      </c>
      <c r="S39" s="117">
        <f t="shared" si="3"/>
        <v>5942.3409000000001</v>
      </c>
      <c r="T39" s="117">
        <f t="shared" si="2"/>
        <v>6026.0746500000005</v>
      </c>
      <c r="U39" s="117">
        <f t="shared" si="2"/>
        <v>6278.7447000000002</v>
      </c>
      <c r="V39" s="117">
        <f t="shared" si="2"/>
        <v>6648.3288000000011</v>
      </c>
    </row>
    <row r="40" spans="1:23" x14ac:dyDescent="0.25">
      <c r="A40" t="s">
        <v>87</v>
      </c>
      <c r="B40" t="s">
        <v>1032</v>
      </c>
      <c r="C40" t="s">
        <v>836</v>
      </c>
      <c r="D40" t="s">
        <v>884</v>
      </c>
      <c r="E40" s="117">
        <f t="shared" si="3"/>
        <v>2367.6433249999995</v>
      </c>
      <c r="F40" s="117">
        <f t="shared" si="3"/>
        <v>1861.85725</v>
      </c>
      <c r="G40" s="117">
        <f t="shared" si="3"/>
        <v>2044.9884</v>
      </c>
      <c r="H40" s="117">
        <f t="shared" si="3"/>
        <v>2351.5621999999998</v>
      </c>
      <c r="I40" s="117">
        <f t="shared" si="3"/>
        <v>2489.9696749999998</v>
      </c>
      <c r="J40" s="117">
        <f t="shared" si="3"/>
        <v>2716.1896999999999</v>
      </c>
      <c r="K40" s="117">
        <f t="shared" si="3"/>
        <v>2674.2171250000001</v>
      </c>
      <c r="L40" s="117">
        <f t="shared" si="3"/>
        <v>2647.2688499999995</v>
      </c>
      <c r="M40" s="117">
        <f t="shared" si="3"/>
        <v>1796.3356249999999</v>
      </c>
      <c r="N40" s="117">
        <f t="shared" si="3"/>
        <v>2043.0729999999999</v>
      </c>
      <c r="O40" s="117">
        <f t="shared" si="3"/>
        <v>1708.6892999999998</v>
      </c>
      <c r="P40" s="117">
        <f t="shared" si="3"/>
        <v>2156.6001000000001</v>
      </c>
      <c r="Q40" s="117">
        <f t="shared" si="3"/>
        <v>2277.4654999999998</v>
      </c>
      <c r="R40" s="117">
        <f t="shared" si="3"/>
        <v>1974.875</v>
      </c>
      <c r="S40" s="117">
        <f t="shared" si="3"/>
        <v>2457.5832500000001</v>
      </c>
      <c r="T40" s="117">
        <f t="shared" si="2"/>
        <v>1715.5807749999999</v>
      </c>
      <c r="U40" s="117">
        <f t="shared" si="2"/>
        <v>2754.2520298699405</v>
      </c>
      <c r="V40" s="117">
        <f t="shared" si="2"/>
        <v>2748.5904244342255</v>
      </c>
    </row>
    <row r="41" spans="1:23" x14ac:dyDescent="0.25">
      <c r="A41" t="s">
        <v>87</v>
      </c>
      <c r="B41" t="s">
        <v>1033</v>
      </c>
      <c r="C41" t="s">
        <v>836</v>
      </c>
      <c r="D41" t="s">
        <v>884</v>
      </c>
      <c r="E41" s="117">
        <f t="shared" si="3"/>
        <v>0</v>
      </c>
      <c r="F41" s="117">
        <f t="shared" si="3"/>
        <v>0</v>
      </c>
      <c r="G41" s="117">
        <f t="shared" si="3"/>
        <v>0</v>
      </c>
      <c r="H41" s="117">
        <f t="shared" si="3"/>
        <v>0</v>
      </c>
      <c r="I41" s="117">
        <f t="shared" si="3"/>
        <v>0</v>
      </c>
      <c r="J41" s="117">
        <f t="shared" si="3"/>
        <v>0</v>
      </c>
      <c r="K41" s="117">
        <f t="shared" si="3"/>
        <v>0</v>
      </c>
      <c r="L41" s="117">
        <f t="shared" si="3"/>
        <v>0</v>
      </c>
      <c r="M41" s="117">
        <f t="shared" si="3"/>
        <v>0</v>
      </c>
      <c r="N41" s="117">
        <f t="shared" si="3"/>
        <v>0</v>
      </c>
      <c r="O41" s="117">
        <f t="shared" si="3"/>
        <v>0</v>
      </c>
      <c r="P41" s="117">
        <f t="shared" si="3"/>
        <v>0</v>
      </c>
      <c r="Q41" s="117">
        <f t="shared" si="3"/>
        <v>0</v>
      </c>
      <c r="R41" s="117">
        <f t="shared" si="3"/>
        <v>0</v>
      </c>
      <c r="S41" s="117">
        <f t="shared" si="3"/>
        <v>0</v>
      </c>
      <c r="T41" s="117">
        <f t="shared" si="2"/>
        <v>0</v>
      </c>
      <c r="U41" s="117">
        <f t="shared" si="2"/>
        <v>0</v>
      </c>
      <c r="V41" s="117">
        <f t="shared" si="2"/>
        <v>0</v>
      </c>
    </row>
    <row r="42" spans="1:23" x14ac:dyDescent="0.25">
      <c r="A42" t="s">
        <v>87</v>
      </c>
      <c r="B42" t="s">
        <v>1034</v>
      </c>
      <c r="C42" t="s">
        <v>836</v>
      </c>
      <c r="D42" t="s">
        <v>884</v>
      </c>
      <c r="E42" s="117">
        <f t="shared" si="3"/>
        <v>0</v>
      </c>
      <c r="F42" s="117">
        <f t="shared" si="3"/>
        <v>0</v>
      </c>
      <c r="G42" s="117">
        <f t="shared" si="3"/>
        <v>0</v>
      </c>
      <c r="H42" s="117">
        <f t="shared" si="3"/>
        <v>0</v>
      </c>
      <c r="I42" s="117">
        <f t="shared" si="3"/>
        <v>0</v>
      </c>
      <c r="J42" s="117">
        <f t="shared" si="3"/>
        <v>0</v>
      </c>
      <c r="K42" s="117">
        <f t="shared" si="3"/>
        <v>0</v>
      </c>
      <c r="L42" s="117">
        <f t="shared" si="3"/>
        <v>0</v>
      </c>
      <c r="M42" s="117">
        <f t="shared" si="3"/>
        <v>0</v>
      </c>
      <c r="N42" s="117">
        <f t="shared" si="3"/>
        <v>0</v>
      </c>
      <c r="O42" s="117">
        <f t="shared" si="3"/>
        <v>0</v>
      </c>
      <c r="P42" s="117">
        <f t="shared" si="3"/>
        <v>0</v>
      </c>
      <c r="Q42" s="117">
        <f t="shared" si="3"/>
        <v>0</v>
      </c>
      <c r="R42" s="117">
        <f t="shared" si="3"/>
        <v>0</v>
      </c>
      <c r="S42" s="117">
        <f t="shared" si="3"/>
        <v>0</v>
      </c>
      <c r="T42" s="117">
        <f t="shared" si="2"/>
        <v>0</v>
      </c>
      <c r="U42" s="117">
        <f t="shared" si="2"/>
        <v>0</v>
      </c>
      <c r="V42" s="117">
        <f t="shared" si="2"/>
        <v>0</v>
      </c>
    </row>
    <row r="43" spans="1:23" x14ac:dyDescent="0.25">
      <c r="A43" t="s">
        <v>87</v>
      </c>
      <c r="B43" t="s">
        <v>1035</v>
      </c>
      <c r="C43" t="s">
        <v>836</v>
      </c>
      <c r="D43" t="s">
        <v>884</v>
      </c>
      <c r="E43" s="117">
        <f t="shared" si="3"/>
        <v>543.5214400000001</v>
      </c>
      <c r="F43" s="117">
        <f t="shared" si="3"/>
        <v>543.79324999999994</v>
      </c>
      <c r="G43" s="117">
        <f t="shared" si="3"/>
        <v>544.06506000000002</v>
      </c>
      <c r="H43" s="117">
        <f t="shared" si="3"/>
        <v>544.33686999999998</v>
      </c>
      <c r="I43" s="117">
        <f t="shared" si="3"/>
        <v>564.99596999999994</v>
      </c>
      <c r="J43" s="117">
        <f t="shared" si="3"/>
        <v>566.24106000000006</v>
      </c>
      <c r="K43" s="117">
        <f t="shared" si="3"/>
        <v>569.65985999999998</v>
      </c>
      <c r="L43" s="117">
        <f t="shared" si="3"/>
        <v>543.17956000000004</v>
      </c>
      <c r="M43" s="117">
        <f t="shared" si="3"/>
        <v>354.77441999999996</v>
      </c>
      <c r="N43" s="117">
        <f t="shared" si="3"/>
        <v>331.03532000000001</v>
      </c>
      <c r="O43" s="117">
        <f t="shared" si="3"/>
        <v>450.02804000000003</v>
      </c>
      <c r="P43" s="117">
        <f t="shared" si="3"/>
        <v>438.99933000000004</v>
      </c>
      <c r="Q43" s="117">
        <f t="shared" si="3"/>
        <v>521.97607000000005</v>
      </c>
      <c r="R43" s="117">
        <f t="shared" si="3"/>
        <v>454.57380473021976</v>
      </c>
      <c r="S43" s="117">
        <f t="shared" si="3"/>
        <v>451.01042502736851</v>
      </c>
      <c r="T43" s="117">
        <f t="shared" si="2"/>
        <v>447.67710592762421</v>
      </c>
      <c r="U43" s="117">
        <f t="shared" si="2"/>
        <v>444.54593393524567</v>
      </c>
      <c r="V43" s="117">
        <f t="shared" si="2"/>
        <v>441.59378645486481</v>
      </c>
    </row>
    <row r="44" spans="1:23" s="7" customFormat="1" x14ac:dyDescent="0.25">
      <c r="A44" s="7" t="s">
        <v>87</v>
      </c>
      <c r="B44" s="7" t="s">
        <v>882</v>
      </c>
      <c r="C44" s="7" t="s">
        <v>836</v>
      </c>
      <c r="D44" s="7" t="s">
        <v>884</v>
      </c>
      <c r="E44" s="116">
        <f>SUM(E36:E43)</f>
        <v>16410.526914999999</v>
      </c>
      <c r="F44" s="116">
        <f t="shared" ref="F44:S44" si="4">SUM(F36:F43)</f>
        <v>16410.537369999998</v>
      </c>
      <c r="G44" s="116">
        <f t="shared" si="4"/>
        <v>17176.103220000001</v>
      </c>
      <c r="H44" s="116">
        <f t="shared" si="4"/>
        <v>16786.444480000002</v>
      </c>
      <c r="I44" s="116">
        <f t="shared" si="4"/>
        <v>16425.253915000001</v>
      </c>
      <c r="J44" s="116">
        <f t="shared" si="4"/>
        <v>17359.699860000001</v>
      </c>
      <c r="K44" s="116">
        <f t="shared" si="4"/>
        <v>17218.494115000001</v>
      </c>
      <c r="L44" s="116">
        <f t="shared" si="4"/>
        <v>15147.096109999999</v>
      </c>
      <c r="M44" s="116">
        <f t="shared" si="4"/>
        <v>14152.034485</v>
      </c>
      <c r="N44" s="116">
        <f t="shared" si="4"/>
        <v>12794.452040000002</v>
      </c>
      <c r="O44" s="116">
        <f t="shared" si="4"/>
        <v>13861.709649999999</v>
      </c>
      <c r="P44" s="116">
        <f t="shared" si="4"/>
        <v>14922.64853</v>
      </c>
      <c r="Q44" s="116">
        <f t="shared" si="4"/>
        <v>15020.696860000002</v>
      </c>
      <c r="R44" s="116">
        <f t="shared" si="4"/>
        <v>15582.114970055352</v>
      </c>
      <c r="S44" s="116">
        <f t="shared" si="4"/>
        <v>14363.524995027368</v>
      </c>
      <c r="T44" s="116">
        <f>SUM(T36:T43)</f>
        <v>14093.548470927624</v>
      </c>
      <c r="U44" s="116">
        <f t="shared" ref="U44:V44" si="5">SUM(U36:U43)</f>
        <v>14829.058053603329</v>
      </c>
      <c r="V44" s="116">
        <f t="shared" si="5"/>
        <v>15074.336748610733</v>
      </c>
      <c r="W44"/>
    </row>
    <row r="46" spans="1:23" s="5" customFormat="1" ht="21" x14ac:dyDescent="0.35">
      <c r="B46" s="6" t="s">
        <v>885</v>
      </c>
      <c r="E46" s="5" t="s">
        <v>886</v>
      </c>
      <c r="M46" s="5" t="s">
        <v>900</v>
      </c>
    </row>
    <row r="48" spans="1:23" x14ac:dyDescent="0.25">
      <c r="A48" s="27"/>
      <c r="B48" s="26"/>
      <c r="C48" s="26"/>
      <c r="D48" s="26"/>
      <c r="E48" s="26"/>
      <c r="F48" s="26"/>
      <c r="G48" s="26"/>
      <c r="H48" s="26"/>
    </row>
    <row r="69" spans="1:23" ht="21" x14ac:dyDescent="0.35">
      <c r="A69" s="5"/>
      <c r="B69" s="6" t="s">
        <v>346</v>
      </c>
      <c r="C69" s="5"/>
      <c r="D69" s="5"/>
      <c r="E69" s="5" t="s">
        <v>887</v>
      </c>
      <c r="F69" s="5"/>
      <c r="G69" s="5"/>
      <c r="H69" s="5"/>
      <c r="I69" s="5"/>
      <c r="J69" s="5"/>
      <c r="K69" s="5"/>
      <c r="L69" s="5"/>
      <c r="M69" s="5"/>
      <c r="N69" s="5"/>
      <c r="O69" s="5"/>
      <c r="P69" s="5"/>
      <c r="Q69" s="5"/>
      <c r="R69" s="5"/>
      <c r="S69" s="5"/>
      <c r="T69" s="5"/>
      <c r="U69" s="5"/>
      <c r="V69" s="5"/>
      <c r="W69" s="5"/>
    </row>
    <row r="70" spans="1:23" ht="18.75" x14ac:dyDescent="0.3">
      <c r="A70" s="12" t="s">
        <v>844</v>
      </c>
      <c r="E70" t="s">
        <v>888</v>
      </c>
    </row>
    <row r="71" spans="1:23" x14ac:dyDescent="0.25">
      <c r="A71" s="8"/>
      <c r="B71" s="9" t="s">
        <v>865</v>
      </c>
      <c r="C71" s="8"/>
      <c r="D71" s="8"/>
      <c r="E71" s="8"/>
      <c r="F71" s="8"/>
      <c r="G71" s="8"/>
      <c r="H71" s="8"/>
      <c r="I71" s="8"/>
      <c r="J71" s="8"/>
      <c r="K71" s="8"/>
      <c r="L71" s="8"/>
      <c r="M71" s="8"/>
      <c r="N71" s="8"/>
      <c r="O71" s="8"/>
      <c r="P71" s="8"/>
      <c r="Q71" s="8"/>
      <c r="R71" s="8"/>
      <c r="S71" s="8"/>
      <c r="T71" s="8"/>
      <c r="U71" s="8"/>
      <c r="V71" s="8"/>
      <c r="W71" s="8"/>
    </row>
    <row r="73" spans="1:23" x14ac:dyDescent="0.25">
      <c r="A73" s="10" t="s">
        <v>867</v>
      </c>
      <c r="B73" s="10" t="s">
        <v>868</v>
      </c>
      <c r="C73" s="10" t="s">
        <v>482</v>
      </c>
      <c r="D73" s="10" t="s">
        <v>740</v>
      </c>
      <c r="E73" s="10">
        <v>2000</v>
      </c>
      <c r="F73" s="10">
        <v>2001</v>
      </c>
      <c r="G73" s="10">
        <v>2002</v>
      </c>
      <c r="H73" s="10">
        <v>2003</v>
      </c>
      <c r="I73" s="10">
        <v>2004</v>
      </c>
      <c r="J73" s="10">
        <v>2005</v>
      </c>
      <c r="K73" s="10">
        <v>2006</v>
      </c>
      <c r="L73" s="10">
        <v>2007</v>
      </c>
      <c r="M73" s="10">
        <v>2008</v>
      </c>
      <c r="N73" s="10">
        <v>2009</v>
      </c>
      <c r="O73" s="10">
        <v>2010</v>
      </c>
      <c r="P73" s="10">
        <v>2011</v>
      </c>
      <c r="Q73" s="10">
        <v>2012</v>
      </c>
      <c r="R73" s="10">
        <v>2013</v>
      </c>
      <c r="S73" s="10">
        <v>2014</v>
      </c>
      <c r="T73" s="10">
        <v>2015</v>
      </c>
      <c r="U73" s="10"/>
      <c r="V73" s="10"/>
      <c r="W73" s="10" t="s">
        <v>741</v>
      </c>
    </row>
    <row r="74" spans="1:23" x14ac:dyDescent="0.25">
      <c r="A74" s="11" t="s">
        <v>87</v>
      </c>
      <c r="B74" s="11" t="s">
        <v>1012</v>
      </c>
      <c r="C74" s="11"/>
      <c r="D74" s="11" t="s">
        <v>892</v>
      </c>
      <c r="E74" s="29">
        <v>4674511</v>
      </c>
      <c r="F74" s="29">
        <v>4849655</v>
      </c>
      <c r="G74" s="29">
        <v>5051936</v>
      </c>
      <c r="H74" s="29">
        <v>5083168</v>
      </c>
      <c r="I74" s="29">
        <v>4949693</v>
      </c>
      <c r="J74" s="29">
        <v>5255831</v>
      </c>
      <c r="K74" s="29">
        <v>5173676</v>
      </c>
      <c r="L74" s="29">
        <v>4521461</v>
      </c>
      <c r="M74" s="29">
        <v>4504275</v>
      </c>
      <c r="N74" s="29">
        <v>3953709</v>
      </c>
      <c r="O74" s="29">
        <v>4366727</v>
      </c>
      <c r="P74" s="29">
        <v>3991686</v>
      </c>
      <c r="Q74" s="29">
        <v>3904276</v>
      </c>
      <c r="R74" s="29">
        <v>4271948</v>
      </c>
      <c r="S74" s="29">
        <v>3622909</v>
      </c>
      <c r="T74" s="29">
        <v>3907513</v>
      </c>
      <c r="U74" s="4"/>
      <c r="V74" s="4"/>
    </row>
    <row r="75" spans="1:23" x14ac:dyDescent="0.25">
      <c r="A75" s="11" t="s">
        <v>87</v>
      </c>
      <c r="B75" s="11" t="s">
        <v>1013</v>
      </c>
      <c r="C75" s="11"/>
      <c r="D75" s="11" t="s">
        <v>892</v>
      </c>
      <c r="E75" s="29">
        <v>4549828</v>
      </c>
      <c r="F75" s="29">
        <v>4716954</v>
      </c>
      <c r="G75" s="29">
        <v>4888870</v>
      </c>
      <c r="H75" s="29">
        <v>5353456</v>
      </c>
      <c r="I75" s="29">
        <v>5508488</v>
      </c>
      <c r="J75" s="29">
        <v>5089818</v>
      </c>
      <c r="K75" s="29">
        <v>5413204</v>
      </c>
      <c r="L75" s="29">
        <v>5473908</v>
      </c>
      <c r="M75" s="29">
        <v>4581523</v>
      </c>
      <c r="N75" s="29">
        <v>4359556</v>
      </c>
      <c r="O75" s="29">
        <v>4235993</v>
      </c>
      <c r="P75" s="29">
        <v>3554803</v>
      </c>
      <c r="Q75" s="29">
        <v>3904276</v>
      </c>
      <c r="R75" s="29">
        <v>3292869.8165641585</v>
      </c>
      <c r="S75" s="29">
        <v>2789291</v>
      </c>
      <c r="T75" s="29">
        <v>2490587</v>
      </c>
      <c r="U75" s="4"/>
      <c r="V75" s="4"/>
    </row>
    <row r="76" spans="1:23" x14ac:dyDescent="0.25">
      <c r="A76" s="11" t="s">
        <v>87</v>
      </c>
      <c r="B76" s="11" t="s">
        <v>1014</v>
      </c>
      <c r="C76" s="11"/>
      <c r="D76" s="11" t="s">
        <v>892</v>
      </c>
      <c r="E76" s="29"/>
      <c r="F76" s="29"/>
      <c r="G76" s="29"/>
      <c r="H76" s="29"/>
      <c r="I76" s="29"/>
      <c r="J76" s="29"/>
      <c r="K76" s="29"/>
      <c r="L76" s="29"/>
      <c r="M76" s="29"/>
      <c r="N76" s="29"/>
      <c r="O76" s="29"/>
      <c r="P76" s="29"/>
      <c r="Q76" s="29"/>
      <c r="R76" s="29"/>
      <c r="S76" s="29"/>
      <c r="T76" s="29"/>
      <c r="U76" s="4"/>
      <c r="V76" s="4"/>
    </row>
    <row r="77" spans="1:23" x14ac:dyDescent="0.25">
      <c r="A77" s="11" t="s">
        <v>87</v>
      </c>
      <c r="B77" s="11" t="s">
        <v>1015</v>
      </c>
      <c r="C77" s="11"/>
      <c r="D77" s="11" t="s">
        <v>892</v>
      </c>
      <c r="E77" s="29">
        <v>4674511</v>
      </c>
      <c r="F77" s="29">
        <v>4849655</v>
      </c>
      <c r="G77" s="29">
        <v>5051936</v>
      </c>
      <c r="H77" s="29">
        <v>4474699</v>
      </c>
      <c r="I77" s="29">
        <v>4224487</v>
      </c>
      <c r="J77" s="29">
        <v>4441904</v>
      </c>
      <c r="K77" s="29">
        <v>4435551</v>
      </c>
      <c r="L77" s="29">
        <v>3642520</v>
      </c>
      <c r="M77" s="29">
        <v>3746786</v>
      </c>
      <c r="N77" s="29">
        <v>3184566</v>
      </c>
      <c r="O77" s="29">
        <v>3695327</v>
      </c>
      <c r="P77" s="29">
        <v>4603558</v>
      </c>
      <c r="Q77" s="29">
        <v>4599015</v>
      </c>
      <c r="R77" s="29">
        <v>4927550</v>
      </c>
      <c r="S77" s="29">
        <v>4401734</v>
      </c>
      <c r="T77" s="29">
        <v>4463759</v>
      </c>
      <c r="U77" s="4"/>
      <c r="V77" s="4"/>
    </row>
    <row r="78" spans="1:23" x14ac:dyDescent="0.25">
      <c r="A78" s="11" t="s">
        <v>87</v>
      </c>
      <c r="B78" s="11" t="s">
        <v>1016</v>
      </c>
      <c r="C78" s="11"/>
      <c r="D78" s="11" t="s">
        <v>892</v>
      </c>
      <c r="E78" s="29">
        <v>1552553</v>
      </c>
      <c r="F78" s="29">
        <v>1220890</v>
      </c>
      <c r="G78" s="29">
        <v>1340976</v>
      </c>
      <c r="H78" s="29">
        <v>1542008</v>
      </c>
      <c r="I78" s="29">
        <v>1632767</v>
      </c>
      <c r="J78" s="29">
        <v>1781108</v>
      </c>
      <c r="K78" s="29">
        <v>1753585</v>
      </c>
      <c r="L78" s="29">
        <v>1735914</v>
      </c>
      <c r="M78" s="29">
        <v>1177925</v>
      </c>
      <c r="N78" s="29">
        <v>1339720</v>
      </c>
      <c r="O78" s="29">
        <v>1120452</v>
      </c>
      <c r="P78" s="29">
        <v>1414164</v>
      </c>
      <c r="Q78" s="29">
        <v>1493420</v>
      </c>
      <c r="R78" s="29">
        <v>1295000</v>
      </c>
      <c r="S78" s="29">
        <v>1611530</v>
      </c>
      <c r="T78" s="29">
        <v>1124971</v>
      </c>
      <c r="U78" s="4"/>
      <c r="V78" s="4"/>
    </row>
    <row r="79" spans="1:23" x14ac:dyDescent="0.25">
      <c r="A79" s="11" t="s">
        <v>87</v>
      </c>
      <c r="B79" s="11" t="s">
        <v>1017</v>
      </c>
      <c r="C79" s="11"/>
      <c r="D79" s="11" t="s">
        <v>892</v>
      </c>
      <c r="E79" s="29"/>
      <c r="F79" s="29"/>
      <c r="G79" s="29"/>
      <c r="H79" s="29"/>
      <c r="I79" s="29"/>
      <c r="J79" s="29"/>
      <c r="K79" s="29"/>
      <c r="L79" s="29"/>
      <c r="M79" s="29"/>
      <c r="N79" s="29"/>
      <c r="O79" s="29"/>
      <c r="P79" s="29"/>
      <c r="Q79" s="29"/>
      <c r="R79" s="29"/>
      <c r="S79" s="29"/>
      <c r="T79" s="29"/>
      <c r="U79" s="4"/>
      <c r="V79" s="4"/>
    </row>
    <row r="80" spans="1:23" x14ac:dyDescent="0.25">
      <c r="A80" s="11" t="s">
        <v>87</v>
      </c>
      <c r="B80" s="11" t="s">
        <v>1018</v>
      </c>
      <c r="C80" s="11"/>
      <c r="D80" s="11" t="s">
        <v>892</v>
      </c>
      <c r="E80" s="29"/>
      <c r="F80" s="29"/>
      <c r="G80" s="29"/>
      <c r="H80" s="29"/>
      <c r="I80" s="29"/>
      <c r="J80" s="29"/>
      <c r="K80" s="29"/>
      <c r="L80" s="29"/>
      <c r="M80" s="29"/>
      <c r="N80" s="29"/>
      <c r="O80" s="29"/>
      <c r="P80" s="29"/>
      <c r="Q80" s="29"/>
      <c r="R80" s="29"/>
      <c r="S80" s="29"/>
      <c r="T80" s="29"/>
      <c r="U80" s="4"/>
      <c r="V80" s="4"/>
    </row>
    <row r="81" spans="1:23" x14ac:dyDescent="0.25">
      <c r="A81" s="11" t="s">
        <v>87</v>
      </c>
      <c r="B81" s="11" t="s">
        <v>1019</v>
      </c>
      <c r="C81" s="11"/>
      <c r="D81" s="11" t="s">
        <v>892</v>
      </c>
      <c r="E81" s="29">
        <v>705872</v>
      </c>
      <c r="F81" s="29">
        <v>706225</v>
      </c>
      <c r="G81" s="29">
        <v>706578</v>
      </c>
      <c r="H81" s="29">
        <v>706931</v>
      </c>
      <c r="I81" s="29">
        <v>733761</v>
      </c>
      <c r="J81" s="29">
        <v>735378</v>
      </c>
      <c r="K81" s="29">
        <v>739818</v>
      </c>
      <c r="L81" s="29">
        <v>705428</v>
      </c>
      <c r="M81" s="29">
        <v>460746</v>
      </c>
      <c r="N81" s="29">
        <v>429916</v>
      </c>
      <c r="O81" s="29">
        <v>584452</v>
      </c>
      <c r="P81" s="29">
        <v>570129</v>
      </c>
      <c r="Q81" s="29">
        <v>677891</v>
      </c>
      <c r="R81" s="29">
        <v>590355.59055872692</v>
      </c>
      <c r="S81" s="29">
        <v>585727.82471086818</v>
      </c>
      <c r="T81" s="29">
        <v>581398.83886704443</v>
      </c>
      <c r="U81" s="4"/>
      <c r="V81" s="4"/>
    </row>
    <row r="82" spans="1:23" x14ac:dyDescent="0.25">
      <c r="E82" s="11"/>
      <c r="F82" s="11"/>
      <c r="G82" s="11"/>
      <c r="H82" s="11"/>
      <c r="I82" s="11"/>
      <c r="J82" s="11"/>
      <c r="K82" s="11"/>
      <c r="L82" s="11"/>
      <c r="M82" s="11"/>
      <c r="N82" s="11"/>
      <c r="O82" s="11"/>
      <c r="P82" s="11"/>
      <c r="Q82" s="11"/>
      <c r="R82" s="11"/>
      <c r="S82" s="11"/>
      <c r="T82" s="11"/>
    </row>
    <row r="83" spans="1:23" x14ac:dyDescent="0.25">
      <c r="A83" s="8"/>
      <c r="B83" s="9" t="s">
        <v>877</v>
      </c>
      <c r="C83" s="8"/>
      <c r="D83" s="8"/>
      <c r="E83" s="197"/>
      <c r="F83" s="197"/>
      <c r="G83" s="197"/>
      <c r="H83" s="197"/>
      <c r="I83" s="197"/>
      <c r="J83" s="197"/>
      <c r="K83" s="197"/>
      <c r="L83" s="197"/>
      <c r="M83" s="197"/>
      <c r="N83" s="197"/>
      <c r="O83" s="197"/>
      <c r="P83" s="197"/>
      <c r="Q83" s="197"/>
      <c r="R83" s="197"/>
      <c r="S83" s="197"/>
      <c r="T83" s="197"/>
      <c r="U83" s="8"/>
      <c r="V83" s="8"/>
      <c r="W83" s="8"/>
    </row>
    <row r="84" spans="1:23" x14ac:dyDescent="0.25">
      <c r="E84" s="11"/>
      <c r="F84" s="11"/>
      <c r="G84" s="11"/>
      <c r="H84" s="11"/>
      <c r="I84" s="11"/>
      <c r="J84" s="11"/>
      <c r="K84" s="11"/>
      <c r="L84" s="11"/>
      <c r="M84" s="11"/>
      <c r="N84" s="11"/>
      <c r="O84" s="11"/>
      <c r="P84" s="11"/>
      <c r="Q84" s="11"/>
      <c r="R84" s="11"/>
      <c r="S84" s="11"/>
      <c r="T84" s="11"/>
    </row>
    <row r="85" spans="1:23" x14ac:dyDescent="0.25">
      <c r="A85" s="11" t="s">
        <v>87</v>
      </c>
      <c r="B85" s="11" t="s">
        <v>1020</v>
      </c>
      <c r="C85" s="11" t="s">
        <v>836</v>
      </c>
      <c r="D85" s="11" t="s">
        <v>970</v>
      </c>
      <c r="E85" s="29">
        <v>1.46</v>
      </c>
      <c r="F85" s="29">
        <v>1.46</v>
      </c>
      <c r="G85" s="29">
        <v>1.46</v>
      </c>
      <c r="H85" s="29">
        <v>1.46</v>
      </c>
      <c r="I85" s="29">
        <v>1.46</v>
      </c>
      <c r="J85" s="29">
        <v>1.46</v>
      </c>
      <c r="K85" s="29">
        <v>1.46</v>
      </c>
      <c r="L85" s="29">
        <v>1.46</v>
      </c>
      <c r="M85" s="29">
        <v>1.46</v>
      </c>
      <c r="N85" s="29">
        <v>1.46</v>
      </c>
      <c r="O85" s="29">
        <v>1.46</v>
      </c>
      <c r="P85" s="29">
        <v>1.46</v>
      </c>
      <c r="Q85" s="29">
        <v>1.46</v>
      </c>
      <c r="R85" s="29">
        <v>1.46</v>
      </c>
      <c r="S85" s="29">
        <v>1.46</v>
      </c>
      <c r="T85" s="29">
        <v>1.46</v>
      </c>
      <c r="U85" s="4"/>
      <c r="V85" s="4"/>
    </row>
    <row r="86" spans="1:23" x14ac:dyDescent="0.25">
      <c r="A86" s="11" t="s">
        <v>87</v>
      </c>
      <c r="B86" s="11" t="s">
        <v>1021</v>
      </c>
      <c r="C86" s="11" t="s">
        <v>836</v>
      </c>
      <c r="D86" s="11" t="s">
        <v>970</v>
      </c>
      <c r="E86" s="29">
        <v>0.08</v>
      </c>
      <c r="F86" s="29">
        <v>0.08</v>
      </c>
      <c r="G86" s="29">
        <v>0.08</v>
      </c>
      <c r="H86" s="29">
        <v>0.08</v>
      </c>
      <c r="I86" s="29">
        <v>0.08</v>
      </c>
      <c r="J86" s="29">
        <v>0.08</v>
      </c>
      <c r="K86" s="29">
        <v>0.08</v>
      </c>
      <c r="L86" s="29">
        <v>0.08</v>
      </c>
      <c r="M86" s="29">
        <v>0.08</v>
      </c>
      <c r="N86" s="29">
        <v>0.08</v>
      </c>
      <c r="O86" s="29">
        <v>0.08</v>
      </c>
      <c r="P86" s="29">
        <v>0.08</v>
      </c>
      <c r="Q86" s="29">
        <v>0.08</v>
      </c>
      <c r="R86" s="29">
        <v>0.08</v>
      </c>
      <c r="S86" s="29">
        <v>0.08</v>
      </c>
      <c r="T86" s="29">
        <v>0.08</v>
      </c>
      <c r="U86" s="4"/>
      <c r="V86" s="4"/>
    </row>
    <row r="87" spans="1:23" x14ac:dyDescent="0.25">
      <c r="A87" s="11" t="s">
        <v>87</v>
      </c>
      <c r="B87" s="11" t="s">
        <v>1022</v>
      </c>
      <c r="C87" s="11" t="s">
        <v>836</v>
      </c>
      <c r="D87" s="11" t="s">
        <v>970</v>
      </c>
      <c r="E87" s="29"/>
      <c r="F87" s="29"/>
      <c r="G87" s="29"/>
      <c r="H87" s="29"/>
      <c r="I87" s="29"/>
      <c r="J87" s="29"/>
      <c r="K87" s="29"/>
      <c r="L87" s="29"/>
      <c r="M87" s="29"/>
      <c r="N87" s="29"/>
      <c r="O87" s="29"/>
      <c r="P87" s="29"/>
      <c r="Q87" s="29"/>
      <c r="R87" s="29"/>
      <c r="S87" s="29"/>
      <c r="T87" s="29"/>
      <c r="U87" s="4"/>
      <c r="V87" s="4"/>
    </row>
    <row r="88" spans="1:23" x14ac:dyDescent="0.25">
      <c r="A88" s="11" t="s">
        <v>87</v>
      </c>
      <c r="B88" s="11" t="s">
        <v>1023</v>
      </c>
      <c r="C88" s="11" t="s">
        <v>836</v>
      </c>
      <c r="D88" s="11" t="s">
        <v>970</v>
      </c>
      <c r="E88" s="29">
        <v>1.35</v>
      </c>
      <c r="F88" s="29">
        <v>1.35</v>
      </c>
      <c r="G88" s="29">
        <v>1.35</v>
      </c>
      <c r="H88" s="29">
        <v>1.35</v>
      </c>
      <c r="I88" s="29">
        <v>1.35</v>
      </c>
      <c r="J88" s="29">
        <v>1.35</v>
      </c>
      <c r="K88" s="29">
        <v>1.35</v>
      </c>
      <c r="L88" s="29">
        <v>1.35</v>
      </c>
      <c r="M88" s="29">
        <v>1.35</v>
      </c>
      <c r="N88" s="29">
        <v>1.35</v>
      </c>
      <c r="O88" s="29">
        <v>1.35</v>
      </c>
      <c r="P88" s="29">
        <v>1.35</v>
      </c>
      <c r="Q88" s="29">
        <v>1.35</v>
      </c>
      <c r="R88" s="29">
        <v>1.35</v>
      </c>
      <c r="S88" s="29">
        <v>1.35</v>
      </c>
      <c r="T88" s="29">
        <v>1.35</v>
      </c>
      <c r="U88" s="4"/>
      <c r="V88" s="4"/>
    </row>
    <row r="89" spans="1:23" x14ac:dyDescent="0.25">
      <c r="A89" s="11" t="s">
        <v>87</v>
      </c>
      <c r="B89" s="11" t="s">
        <v>1024</v>
      </c>
      <c r="C89" s="11" t="s">
        <v>836</v>
      </c>
      <c r="D89" s="11" t="s">
        <v>970</v>
      </c>
      <c r="E89" s="29">
        <v>1.5249999999999999</v>
      </c>
      <c r="F89" s="29">
        <v>1.5249999999999999</v>
      </c>
      <c r="G89" s="29">
        <v>1.5249999999999999</v>
      </c>
      <c r="H89" s="29">
        <v>1.5249999999999999</v>
      </c>
      <c r="I89" s="29">
        <v>1.5249999999999999</v>
      </c>
      <c r="J89" s="29">
        <v>1.5249999999999999</v>
      </c>
      <c r="K89" s="29">
        <v>1.5249999999999999</v>
      </c>
      <c r="L89" s="29">
        <v>1.5249999999999999</v>
      </c>
      <c r="M89" s="29">
        <v>1.5249999999999999</v>
      </c>
      <c r="N89" s="29">
        <v>1.5249999999999999</v>
      </c>
      <c r="O89" s="29">
        <v>1.5249999999999999</v>
      </c>
      <c r="P89" s="29">
        <v>1.5249999999999999</v>
      </c>
      <c r="Q89" s="29">
        <v>1.5249999999999999</v>
      </c>
      <c r="R89" s="29">
        <v>1.5249999999999999</v>
      </c>
      <c r="S89" s="29">
        <v>1.5249999999999999</v>
      </c>
      <c r="T89" s="29">
        <v>1.5249999999999999</v>
      </c>
      <c r="U89" s="4"/>
      <c r="V89" s="4"/>
    </row>
    <row r="90" spans="1:23" x14ac:dyDescent="0.25">
      <c r="A90" s="11" t="s">
        <v>87</v>
      </c>
      <c r="B90" s="11" t="s">
        <v>1025</v>
      </c>
      <c r="C90" s="11" t="s">
        <v>836</v>
      </c>
      <c r="D90" s="11" t="s">
        <v>970</v>
      </c>
      <c r="E90" s="29">
        <v>0.34</v>
      </c>
      <c r="F90" s="29">
        <v>0.34</v>
      </c>
      <c r="G90" s="29">
        <v>0.34</v>
      </c>
      <c r="H90" s="29">
        <v>0.34</v>
      </c>
      <c r="I90" s="29">
        <v>0.34</v>
      </c>
      <c r="J90" s="29">
        <v>0.34</v>
      </c>
      <c r="K90" s="29">
        <v>0.34</v>
      </c>
      <c r="L90" s="29">
        <v>0.34</v>
      </c>
      <c r="M90" s="29">
        <v>0.34</v>
      </c>
      <c r="N90" s="29">
        <v>0.34</v>
      </c>
      <c r="O90" s="29">
        <v>0.34</v>
      </c>
      <c r="P90" s="29">
        <v>0.34</v>
      </c>
      <c r="Q90" s="29">
        <v>0.34</v>
      </c>
      <c r="R90" s="29">
        <v>0.34</v>
      </c>
      <c r="S90" s="29">
        <v>0.34</v>
      </c>
      <c r="T90" s="29">
        <v>0.34</v>
      </c>
      <c r="U90" s="4"/>
      <c r="V90" s="4"/>
    </row>
    <row r="91" spans="1:23" x14ac:dyDescent="0.25">
      <c r="A91" s="11" t="s">
        <v>87</v>
      </c>
      <c r="B91" s="11" t="s">
        <v>1026</v>
      </c>
      <c r="C91" s="11" t="s">
        <v>836</v>
      </c>
      <c r="D91" s="11" t="s">
        <v>970</v>
      </c>
      <c r="E91" s="29"/>
      <c r="F91" s="29"/>
      <c r="G91" s="29"/>
      <c r="H91" s="29"/>
      <c r="I91" s="29"/>
      <c r="J91" s="29"/>
      <c r="K91" s="29"/>
      <c r="L91" s="29"/>
      <c r="M91" s="29"/>
      <c r="N91" s="29"/>
      <c r="O91" s="29"/>
      <c r="P91" s="29"/>
      <c r="Q91" s="29"/>
      <c r="R91" s="29"/>
      <c r="S91" s="29"/>
      <c r="T91" s="29"/>
      <c r="U91" s="4"/>
      <c r="V91" s="4"/>
    </row>
    <row r="92" spans="1:23" x14ac:dyDescent="0.25">
      <c r="A92" s="11" t="s">
        <v>87</v>
      </c>
      <c r="B92" s="11" t="s">
        <v>1027</v>
      </c>
      <c r="C92" s="11" t="s">
        <v>836</v>
      </c>
      <c r="D92" s="11" t="s">
        <v>970</v>
      </c>
      <c r="E92" s="29">
        <v>0.77</v>
      </c>
      <c r="F92" s="29">
        <v>0.77</v>
      </c>
      <c r="G92" s="29">
        <v>0.77</v>
      </c>
      <c r="H92" s="29">
        <v>0.77</v>
      </c>
      <c r="I92" s="29">
        <v>0.77</v>
      </c>
      <c r="J92" s="29">
        <v>0.77</v>
      </c>
      <c r="K92" s="29">
        <v>0.77</v>
      </c>
      <c r="L92" s="29">
        <v>0.77</v>
      </c>
      <c r="M92" s="29">
        <v>0.77</v>
      </c>
      <c r="N92" s="29">
        <v>0.77</v>
      </c>
      <c r="O92" s="29">
        <v>0.77</v>
      </c>
      <c r="P92" s="29">
        <v>0.77</v>
      </c>
      <c r="Q92" s="29">
        <v>0.77</v>
      </c>
      <c r="R92" s="29">
        <v>0.77</v>
      </c>
      <c r="S92" s="29">
        <v>0.77</v>
      </c>
      <c r="T92" s="29">
        <v>0.77</v>
      </c>
      <c r="U92" s="4"/>
      <c r="V92" s="4"/>
    </row>
    <row r="93" spans="1:23" x14ac:dyDescent="0.25">
      <c r="E93" s="11"/>
      <c r="F93" s="11"/>
      <c r="G93" s="11"/>
      <c r="H93" s="11"/>
      <c r="I93" s="11"/>
      <c r="J93" s="11"/>
      <c r="K93" s="11"/>
      <c r="L93" s="11"/>
      <c r="M93" s="11"/>
      <c r="N93" s="11"/>
      <c r="O93" s="11"/>
      <c r="P93" s="11"/>
      <c r="Q93" s="11"/>
      <c r="R93" s="11"/>
      <c r="S93" s="11"/>
      <c r="T93" s="11"/>
    </row>
    <row r="94" spans="1:23" x14ac:dyDescent="0.25">
      <c r="A94" s="8"/>
      <c r="B94" s="9" t="s">
        <v>619</v>
      </c>
      <c r="C94" s="8"/>
      <c r="D94" s="8"/>
      <c r="E94" s="197"/>
      <c r="F94" s="197"/>
      <c r="G94" s="197"/>
      <c r="H94" s="197"/>
      <c r="I94" s="197"/>
      <c r="J94" s="197"/>
      <c r="K94" s="197"/>
      <c r="L94" s="197"/>
      <c r="M94" s="197"/>
      <c r="N94" s="197"/>
      <c r="O94" s="197"/>
      <c r="P94" s="197"/>
      <c r="Q94" s="197"/>
      <c r="R94" s="197"/>
      <c r="S94" s="197"/>
      <c r="T94" s="197"/>
      <c r="U94" s="8"/>
      <c r="V94" s="8"/>
      <c r="W94" s="8"/>
    </row>
    <row r="95" spans="1:23" x14ac:dyDescent="0.25">
      <c r="E95" s="11"/>
      <c r="F95" s="11"/>
      <c r="G95" s="11"/>
      <c r="H95" s="11"/>
      <c r="I95" s="11"/>
      <c r="J95" s="11"/>
      <c r="K95" s="11"/>
      <c r="L95" s="11"/>
      <c r="M95" s="11"/>
      <c r="N95" s="11"/>
      <c r="O95" s="11"/>
      <c r="P95" s="11"/>
      <c r="Q95" s="11"/>
      <c r="R95" s="11"/>
      <c r="S95" s="11"/>
      <c r="T95" s="11"/>
    </row>
    <row r="96" spans="1:23" x14ac:dyDescent="0.25">
      <c r="A96" s="11" t="s">
        <v>87</v>
      </c>
      <c r="B96" s="11" t="s">
        <v>1028</v>
      </c>
      <c r="C96" s="11" t="s">
        <v>836</v>
      </c>
      <c r="D96" s="11" t="s">
        <v>884</v>
      </c>
      <c r="E96" s="29">
        <v>6824.7860599999995</v>
      </c>
      <c r="F96" s="29">
        <v>7080.4962999999998</v>
      </c>
      <c r="G96" s="29">
        <v>7375.8265599999995</v>
      </c>
      <c r="H96" s="29">
        <v>7421.4252800000004</v>
      </c>
      <c r="I96" s="29">
        <v>7226.5517800000007</v>
      </c>
      <c r="J96" s="29">
        <v>7673.5132599999997</v>
      </c>
      <c r="K96" s="29">
        <v>7553.5669600000001</v>
      </c>
      <c r="L96" s="29">
        <v>6601.3330599999999</v>
      </c>
      <c r="M96" s="29">
        <v>6576.2415000000001</v>
      </c>
      <c r="N96" s="29">
        <v>5772.4151400000001</v>
      </c>
      <c r="O96" s="29">
        <v>6375.4214199999997</v>
      </c>
      <c r="P96" s="29">
        <v>5827.8615599999994</v>
      </c>
      <c r="Q96" s="29">
        <v>5700.2429599999996</v>
      </c>
      <c r="R96" s="29">
        <v>6237.0440799999997</v>
      </c>
      <c r="S96" s="29">
        <v>5289.4471399999993</v>
      </c>
      <c r="T96" s="29">
        <v>5704.9689799999996</v>
      </c>
      <c r="U96" s="4"/>
      <c r="V96" s="4"/>
    </row>
    <row r="97" spans="1:23" x14ac:dyDescent="0.25">
      <c r="A97" s="11" t="s">
        <v>87</v>
      </c>
      <c r="B97" s="11" t="s">
        <v>1029</v>
      </c>
      <c r="C97" s="11" t="s">
        <v>836</v>
      </c>
      <c r="D97" s="11" t="s">
        <v>884</v>
      </c>
      <c r="E97" s="29">
        <v>363.98624000000001</v>
      </c>
      <c r="F97" s="29">
        <v>377.35631999999998</v>
      </c>
      <c r="G97" s="29">
        <v>391.10960000000006</v>
      </c>
      <c r="H97" s="29">
        <v>428.27647999999999</v>
      </c>
      <c r="I97" s="29">
        <v>440.67904000000004</v>
      </c>
      <c r="J97" s="29">
        <v>407.18544000000003</v>
      </c>
      <c r="K97" s="29">
        <v>433.05632000000003</v>
      </c>
      <c r="L97" s="29">
        <v>437.91264000000001</v>
      </c>
      <c r="M97" s="29">
        <v>366.52184</v>
      </c>
      <c r="N97" s="29">
        <v>348.76447999999999</v>
      </c>
      <c r="O97" s="29">
        <v>338.87943999999999</v>
      </c>
      <c r="P97" s="29">
        <v>284.38423999999998</v>
      </c>
      <c r="Q97" s="29">
        <v>312.34208000000001</v>
      </c>
      <c r="R97" s="29">
        <v>263.42958532513273</v>
      </c>
      <c r="S97" s="29">
        <v>223.14328</v>
      </c>
      <c r="T97" s="29">
        <v>199.24696</v>
      </c>
      <c r="U97" s="4"/>
      <c r="V97" s="4"/>
    </row>
    <row r="98" spans="1:23" x14ac:dyDescent="0.25">
      <c r="A98" s="11" t="s">
        <v>87</v>
      </c>
      <c r="B98" s="11" t="s">
        <v>1030</v>
      </c>
      <c r="C98" s="11" t="s">
        <v>836</v>
      </c>
      <c r="D98" s="11" t="s">
        <v>884</v>
      </c>
      <c r="E98" s="29">
        <v>0</v>
      </c>
      <c r="F98" s="29">
        <v>0</v>
      </c>
      <c r="G98" s="29">
        <v>0</v>
      </c>
      <c r="H98" s="29">
        <v>0</v>
      </c>
      <c r="I98" s="29">
        <v>0</v>
      </c>
      <c r="J98" s="29">
        <v>0</v>
      </c>
      <c r="K98" s="29">
        <v>0</v>
      </c>
      <c r="L98" s="29">
        <v>0</v>
      </c>
      <c r="M98" s="29">
        <v>0</v>
      </c>
      <c r="N98" s="29">
        <v>0</v>
      </c>
      <c r="O98" s="29">
        <v>0</v>
      </c>
      <c r="P98" s="29">
        <v>0</v>
      </c>
      <c r="Q98" s="29">
        <v>0</v>
      </c>
      <c r="R98" s="29">
        <v>0</v>
      </c>
      <c r="S98" s="29">
        <v>0</v>
      </c>
      <c r="T98" s="29">
        <v>0</v>
      </c>
      <c r="U98" s="4"/>
      <c r="V98" s="4"/>
    </row>
    <row r="99" spans="1:23" x14ac:dyDescent="0.25">
      <c r="A99" s="11" t="s">
        <v>87</v>
      </c>
      <c r="B99" s="11" t="s">
        <v>1031</v>
      </c>
      <c r="C99" s="11" t="s">
        <v>836</v>
      </c>
      <c r="D99" s="11" t="s">
        <v>884</v>
      </c>
      <c r="E99" s="29">
        <v>6310.5898500000003</v>
      </c>
      <c r="F99" s="29">
        <v>6547.0342499999997</v>
      </c>
      <c r="G99" s="29">
        <v>6820.1136000000006</v>
      </c>
      <c r="H99" s="29">
        <v>6040.8436500000007</v>
      </c>
      <c r="I99" s="29">
        <v>5703.0574500000002</v>
      </c>
      <c r="J99" s="29">
        <v>5996.5704000000005</v>
      </c>
      <c r="K99" s="29">
        <v>5987.9938500000007</v>
      </c>
      <c r="L99" s="29">
        <v>4917.402</v>
      </c>
      <c r="M99" s="29">
        <v>5058.1611000000003</v>
      </c>
      <c r="N99" s="29">
        <v>4299.1641000000009</v>
      </c>
      <c r="O99" s="29">
        <v>4988.6914500000003</v>
      </c>
      <c r="P99" s="29">
        <v>6214.8033000000005</v>
      </c>
      <c r="Q99" s="29">
        <v>6208.6702500000001</v>
      </c>
      <c r="R99" s="29">
        <v>6652.1925000000001</v>
      </c>
      <c r="S99" s="29">
        <v>5942.3409000000001</v>
      </c>
      <c r="T99" s="29">
        <v>6026.0746500000005</v>
      </c>
      <c r="U99" s="4"/>
      <c r="V99" s="4"/>
    </row>
    <row r="100" spans="1:23" x14ac:dyDescent="0.25">
      <c r="A100" s="11" t="s">
        <v>87</v>
      </c>
      <c r="B100" s="11" t="s">
        <v>1032</v>
      </c>
      <c r="C100" s="11" t="s">
        <v>836</v>
      </c>
      <c r="D100" s="11" t="s">
        <v>884</v>
      </c>
      <c r="E100" s="29">
        <v>2367.6433249999995</v>
      </c>
      <c r="F100" s="29">
        <v>1861.85725</v>
      </c>
      <c r="G100" s="29">
        <v>2044.9884</v>
      </c>
      <c r="H100" s="29">
        <v>2351.5621999999998</v>
      </c>
      <c r="I100" s="29">
        <v>2489.9696749999998</v>
      </c>
      <c r="J100" s="29">
        <v>2716.1896999999999</v>
      </c>
      <c r="K100" s="29">
        <v>2674.2171250000001</v>
      </c>
      <c r="L100" s="29">
        <v>2647.2688499999995</v>
      </c>
      <c r="M100" s="29">
        <v>1796.3356249999999</v>
      </c>
      <c r="N100" s="29">
        <v>2043.0729999999999</v>
      </c>
      <c r="O100" s="29">
        <v>1708.6892999999998</v>
      </c>
      <c r="P100" s="29">
        <v>2156.6001000000001</v>
      </c>
      <c r="Q100" s="29">
        <v>2277.4654999999998</v>
      </c>
      <c r="R100" s="29">
        <v>1974.875</v>
      </c>
      <c r="S100" s="29">
        <v>2457.5832500000001</v>
      </c>
      <c r="T100" s="29">
        <v>1715.5807749999999</v>
      </c>
      <c r="U100" s="4"/>
      <c r="V100" s="4"/>
    </row>
    <row r="101" spans="1:23" x14ac:dyDescent="0.25">
      <c r="A101" s="11" t="s">
        <v>87</v>
      </c>
      <c r="B101" s="11" t="s">
        <v>1033</v>
      </c>
      <c r="C101" s="11" t="s">
        <v>836</v>
      </c>
      <c r="D101" s="11" t="s">
        <v>884</v>
      </c>
      <c r="E101" s="29">
        <v>0</v>
      </c>
      <c r="F101" s="29">
        <v>0</v>
      </c>
      <c r="G101" s="29">
        <v>0</v>
      </c>
      <c r="H101" s="29">
        <v>0</v>
      </c>
      <c r="I101" s="29">
        <v>0</v>
      </c>
      <c r="J101" s="29">
        <v>0</v>
      </c>
      <c r="K101" s="29">
        <v>0</v>
      </c>
      <c r="L101" s="29">
        <v>0</v>
      </c>
      <c r="M101" s="29">
        <v>0</v>
      </c>
      <c r="N101" s="29">
        <v>0</v>
      </c>
      <c r="O101" s="29">
        <v>0</v>
      </c>
      <c r="P101" s="29">
        <v>0</v>
      </c>
      <c r="Q101" s="29">
        <v>0</v>
      </c>
      <c r="R101" s="29">
        <v>0</v>
      </c>
      <c r="S101" s="29">
        <v>0</v>
      </c>
      <c r="T101" s="29">
        <v>0</v>
      </c>
      <c r="U101" s="4"/>
      <c r="V101" s="4"/>
    </row>
    <row r="102" spans="1:23" x14ac:dyDescent="0.25">
      <c r="A102" s="11" t="s">
        <v>87</v>
      </c>
      <c r="B102" s="11" t="s">
        <v>1034</v>
      </c>
      <c r="C102" s="11" t="s">
        <v>836</v>
      </c>
      <c r="D102" s="11" t="s">
        <v>884</v>
      </c>
      <c r="E102" s="29">
        <v>0</v>
      </c>
      <c r="F102" s="29">
        <v>0</v>
      </c>
      <c r="G102" s="29">
        <v>0</v>
      </c>
      <c r="H102" s="29">
        <v>0</v>
      </c>
      <c r="I102" s="29">
        <v>0</v>
      </c>
      <c r="J102" s="29">
        <v>0</v>
      </c>
      <c r="K102" s="29">
        <v>0</v>
      </c>
      <c r="L102" s="29">
        <v>0</v>
      </c>
      <c r="M102" s="29">
        <v>0</v>
      </c>
      <c r="N102" s="29">
        <v>0</v>
      </c>
      <c r="O102" s="29">
        <v>0</v>
      </c>
      <c r="P102" s="29">
        <v>0</v>
      </c>
      <c r="Q102" s="29">
        <v>0</v>
      </c>
      <c r="R102" s="29">
        <v>0</v>
      </c>
      <c r="S102" s="29">
        <v>0</v>
      </c>
      <c r="T102" s="29">
        <v>0</v>
      </c>
      <c r="U102" s="4"/>
      <c r="V102" s="4"/>
    </row>
    <row r="103" spans="1:23" x14ac:dyDescent="0.25">
      <c r="A103" s="11" t="s">
        <v>87</v>
      </c>
      <c r="B103" s="11" t="s">
        <v>1035</v>
      </c>
      <c r="C103" s="11" t="s">
        <v>836</v>
      </c>
      <c r="D103" s="11" t="s">
        <v>884</v>
      </c>
      <c r="E103" s="29">
        <v>543.5214400000001</v>
      </c>
      <c r="F103" s="29">
        <v>543.79324999999994</v>
      </c>
      <c r="G103" s="29">
        <v>544.06506000000002</v>
      </c>
      <c r="H103" s="29">
        <v>544.33686999999998</v>
      </c>
      <c r="I103" s="29">
        <v>564.99596999999994</v>
      </c>
      <c r="J103" s="29">
        <v>566.24106000000006</v>
      </c>
      <c r="K103" s="29">
        <v>569.65985999999998</v>
      </c>
      <c r="L103" s="29">
        <v>543.17956000000004</v>
      </c>
      <c r="M103" s="29">
        <v>354.77441999999996</v>
      </c>
      <c r="N103" s="29">
        <v>331.03532000000001</v>
      </c>
      <c r="O103" s="29">
        <v>450.02804000000003</v>
      </c>
      <c r="P103" s="29">
        <v>438.99933000000004</v>
      </c>
      <c r="Q103" s="29">
        <v>521.97607000000005</v>
      </c>
      <c r="R103" s="29">
        <v>454.57380473021976</v>
      </c>
      <c r="S103" s="29">
        <v>451.01042502736851</v>
      </c>
      <c r="T103" s="29">
        <v>447.67710592762421</v>
      </c>
      <c r="U103" s="4"/>
      <c r="V103" s="4"/>
    </row>
    <row r="104" spans="1:23" x14ac:dyDescent="0.25">
      <c r="A104" s="11" t="s">
        <v>87</v>
      </c>
      <c r="B104" s="11" t="s">
        <v>882</v>
      </c>
      <c r="C104" s="11" t="s">
        <v>836</v>
      </c>
      <c r="D104" s="11" t="s">
        <v>884</v>
      </c>
      <c r="E104" s="29">
        <v>16410.526914999999</v>
      </c>
      <c r="F104" s="29">
        <v>16410.537369999998</v>
      </c>
      <c r="G104" s="29">
        <v>17176.103220000001</v>
      </c>
      <c r="H104" s="29">
        <v>16786.444480000002</v>
      </c>
      <c r="I104" s="29">
        <v>16425.253915000001</v>
      </c>
      <c r="J104" s="29">
        <v>17359.699860000001</v>
      </c>
      <c r="K104" s="29">
        <v>17218.494115000001</v>
      </c>
      <c r="L104" s="29">
        <v>15147.096109999999</v>
      </c>
      <c r="M104" s="29">
        <v>14152.034485</v>
      </c>
      <c r="N104" s="29">
        <v>12794.452040000002</v>
      </c>
      <c r="O104" s="29">
        <v>13861.709649999999</v>
      </c>
      <c r="P104" s="29">
        <v>14922.64853</v>
      </c>
      <c r="Q104" s="29">
        <v>15020.696860000002</v>
      </c>
      <c r="R104" s="29">
        <v>15582.114970055352</v>
      </c>
      <c r="S104" s="29">
        <v>14363.524995027368</v>
      </c>
      <c r="T104" s="29">
        <v>14093.548470927624</v>
      </c>
      <c r="U104" s="4"/>
      <c r="V104" s="4"/>
      <c r="W104" s="7"/>
    </row>
    <row r="105" spans="1:23" x14ac:dyDescent="0.25">
      <c r="A105" s="7"/>
      <c r="B105" s="7"/>
      <c r="C105" s="7"/>
      <c r="D105" s="7"/>
    </row>
    <row r="106" spans="1:23" ht="18.75" x14ac:dyDescent="0.3">
      <c r="A106" s="13" t="s">
        <v>346</v>
      </c>
    </row>
    <row r="107" spans="1:23" x14ac:dyDescent="0.25">
      <c r="A107" s="8"/>
      <c r="B107" s="9" t="s">
        <v>865</v>
      </c>
      <c r="C107" s="8"/>
      <c r="D107" s="8" t="s">
        <v>852</v>
      </c>
      <c r="E107" s="8"/>
      <c r="F107" s="8"/>
      <c r="G107" s="8"/>
      <c r="H107" s="8"/>
      <c r="I107" s="8"/>
      <c r="J107" s="8"/>
      <c r="K107" s="8"/>
      <c r="L107" s="8"/>
      <c r="M107" s="8"/>
      <c r="N107" s="8"/>
      <c r="O107" s="8"/>
      <c r="P107" s="8"/>
      <c r="Q107" s="8"/>
      <c r="R107" s="8"/>
      <c r="S107" s="8"/>
      <c r="T107" s="8"/>
      <c r="U107" s="8"/>
      <c r="V107" s="8"/>
      <c r="W107" s="22"/>
    </row>
    <row r="109" spans="1:23" x14ac:dyDescent="0.25">
      <c r="A109" s="10" t="s">
        <v>867</v>
      </c>
      <c r="B109" s="10" t="s">
        <v>868</v>
      </c>
      <c r="C109" s="10" t="s">
        <v>482</v>
      </c>
      <c r="D109" s="10" t="s">
        <v>740</v>
      </c>
      <c r="E109" s="10">
        <v>2000</v>
      </c>
      <c r="F109" s="10">
        <v>2001</v>
      </c>
      <c r="G109" s="10">
        <v>2002</v>
      </c>
      <c r="H109" s="10">
        <v>2003</v>
      </c>
      <c r="I109" s="10">
        <v>2004</v>
      </c>
      <c r="J109" s="10">
        <v>2005</v>
      </c>
      <c r="K109" s="10">
        <v>2006</v>
      </c>
      <c r="L109" s="10">
        <v>2007</v>
      </c>
      <c r="M109" s="10">
        <v>2008</v>
      </c>
      <c r="N109" s="10">
        <v>2009</v>
      </c>
      <c r="O109" s="10">
        <v>2010</v>
      </c>
      <c r="P109" s="10">
        <v>2011</v>
      </c>
      <c r="Q109" s="10">
        <v>2012</v>
      </c>
      <c r="R109" s="10">
        <v>2013</v>
      </c>
      <c r="S109" s="10">
        <v>2014</v>
      </c>
      <c r="T109" s="10">
        <v>2015</v>
      </c>
      <c r="U109" s="10"/>
      <c r="V109" s="10"/>
    </row>
    <row r="110" spans="1:23" x14ac:dyDescent="0.25">
      <c r="A110" s="11" t="s">
        <v>87</v>
      </c>
      <c r="B110" s="11" t="s">
        <v>1012</v>
      </c>
      <c r="C110" s="11"/>
      <c r="D110" s="11" t="s">
        <v>892</v>
      </c>
      <c r="E110" s="41">
        <f t="shared" ref="E110:S110" si="6">IFERROR(((E14/E74)-1),"CHECK")</f>
        <v>0</v>
      </c>
      <c r="F110" s="41">
        <f t="shared" si="6"/>
        <v>0</v>
      </c>
      <c r="G110" s="41">
        <f t="shared" si="6"/>
        <v>0</v>
      </c>
      <c r="H110" s="41">
        <f t="shared" si="6"/>
        <v>0</v>
      </c>
      <c r="I110" s="41">
        <f t="shared" si="6"/>
        <v>0</v>
      </c>
      <c r="J110" s="41">
        <f t="shared" si="6"/>
        <v>0</v>
      </c>
      <c r="K110" s="41">
        <f t="shared" si="6"/>
        <v>0</v>
      </c>
      <c r="L110" s="41">
        <f t="shared" si="6"/>
        <v>0</v>
      </c>
      <c r="M110" s="41">
        <f t="shared" si="6"/>
        <v>0</v>
      </c>
      <c r="N110" s="41">
        <f t="shared" si="6"/>
        <v>0</v>
      </c>
      <c r="O110" s="41">
        <f t="shared" si="6"/>
        <v>0</v>
      </c>
      <c r="P110" s="41">
        <f t="shared" si="6"/>
        <v>0</v>
      </c>
      <c r="Q110" s="41">
        <f t="shared" si="6"/>
        <v>0</v>
      </c>
      <c r="R110" s="41">
        <f t="shared" si="6"/>
        <v>0</v>
      </c>
      <c r="S110" s="41">
        <f t="shared" si="6"/>
        <v>0</v>
      </c>
      <c r="T110" s="41">
        <f t="shared" ref="T110:T117" si="7">IFERROR(((T14/T74)-1),"CHECK")</f>
        <v>0</v>
      </c>
      <c r="U110" s="41"/>
      <c r="V110" s="41"/>
    </row>
    <row r="111" spans="1:23" x14ac:dyDescent="0.25">
      <c r="A111" s="11" t="s">
        <v>87</v>
      </c>
      <c r="B111" s="11" t="s">
        <v>1013</v>
      </c>
      <c r="C111" s="11"/>
      <c r="D111" s="11" t="s">
        <v>892</v>
      </c>
      <c r="E111" s="41">
        <f t="shared" ref="E111:S111" si="8">IFERROR(((E15/E75)-1),"CHECK")</f>
        <v>0</v>
      </c>
      <c r="F111" s="41">
        <f t="shared" si="8"/>
        <v>0</v>
      </c>
      <c r="G111" s="41">
        <f t="shared" si="8"/>
        <v>0</v>
      </c>
      <c r="H111" s="41">
        <f t="shared" si="8"/>
        <v>0</v>
      </c>
      <c r="I111" s="41">
        <f t="shared" si="8"/>
        <v>0</v>
      </c>
      <c r="J111" s="41">
        <f t="shared" si="8"/>
        <v>0</v>
      </c>
      <c r="K111" s="41">
        <f t="shared" si="8"/>
        <v>0</v>
      </c>
      <c r="L111" s="41">
        <f t="shared" si="8"/>
        <v>0</v>
      </c>
      <c r="M111" s="41">
        <f t="shared" si="8"/>
        <v>0</v>
      </c>
      <c r="N111" s="41">
        <f t="shared" si="8"/>
        <v>0</v>
      </c>
      <c r="O111" s="41">
        <f t="shared" si="8"/>
        <v>0</v>
      </c>
      <c r="P111" s="41">
        <f t="shared" si="8"/>
        <v>0</v>
      </c>
      <c r="Q111" s="41">
        <f t="shared" si="8"/>
        <v>0</v>
      </c>
      <c r="R111" s="41">
        <f t="shared" si="8"/>
        <v>0</v>
      </c>
      <c r="S111" s="41">
        <f t="shared" si="8"/>
        <v>0</v>
      </c>
      <c r="T111" s="41">
        <f t="shared" si="7"/>
        <v>0</v>
      </c>
      <c r="U111" s="41"/>
      <c r="V111" s="41"/>
    </row>
    <row r="112" spans="1:23" x14ac:dyDescent="0.25">
      <c r="A112" s="11" t="s">
        <v>87</v>
      </c>
      <c r="B112" s="11" t="s">
        <v>1014</v>
      </c>
      <c r="C112" s="11"/>
      <c r="D112" s="11" t="s">
        <v>892</v>
      </c>
      <c r="E112" s="41" t="str">
        <f t="shared" ref="E112:S112" si="9">IFERROR(((E16/E76)-1),"CHECK")</f>
        <v>CHECK</v>
      </c>
      <c r="F112" s="41" t="str">
        <f t="shared" si="9"/>
        <v>CHECK</v>
      </c>
      <c r="G112" s="41" t="str">
        <f t="shared" si="9"/>
        <v>CHECK</v>
      </c>
      <c r="H112" s="41" t="str">
        <f t="shared" si="9"/>
        <v>CHECK</v>
      </c>
      <c r="I112" s="41" t="str">
        <f t="shared" si="9"/>
        <v>CHECK</v>
      </c>
      <c r="J112" s="41" t="str">
        <f t="shared" si="9"/>
        <v>CHECK</v>
      </c>
      <c r="K112" s="41" t="str">
        <f t="shared" si="9"/>
        <v>CHECK</v>
      </c>
      <c r="L112" s="41" t="str">
        <f t="shared" si="9"/>
        <v>CHECK</v>
      </c>
      <c r="M112" s="41" t="str">
        <f t="shared" si="9"/>
        <v>CHECK</v>
      </c>
      <c r="N112" s="41" t="str">
        <f t="shared" si="9"/>
        <v>CHECK</v>
      </c>
      <c r="O112" s="41" t="str">
        <f t="shared" si="9"/>
        <v>CHECK</v>
      </c>
      <c r="P112" s="41" t="str">
        <f t="shared" si="9"/>
        <v>CHECK</v>
      </c>
      <c r="Q112" s="41" t="str">
        <f t="shared" si="9"/>
        <v>CHECK</v>
      </c>
      <c r="R112" s="41" t="str">
        <f t="shared" si="9"/>
        <v>CHECK</v>
      </c>
      <c r="S112" s="41" t="str">
        <f t="shared" si="9"/>
        <v>CHECK</v>
      </c>
      <c r="T112" s="41" t="str">
        <f t="shared" si="7"/>
        <v>CHECK</v>
      </c>
      <c r="U112" s="41"/>
      <c r="V112" s="41"/>
    </row>
    <row r="113" spans="1:22" x14ac:dyDescent="0.25">
      <c r="A113" s="11" t="s">
        <v>87</v>
      </c>
      <c r="B113" s="11" t="s">
        <v>1015</v>
      </c>
      <c r="C113" s="11"/>
      <c r="D113" s="11" t="s">
        <v>892</v>
      </c>
      <c r="E113" s="41">
        <f t="shared" ref="E113:S113" si="10">IFERROR(((E17/E77)-1),"CHECK")</f>
        <v>0</v>
      </c>
      <c r="F113" s="41">
        <f t="shared" si="10"/>
        <v>0</v>
      </c>
      <c r="G113" s="41">
        <f t="shared" si="10"/>
        <v>0</v>
      </c>
      <c r="H113" s="41">
        <f t="shared" si="10"/>
        <v>0</v>
      </c>
      <c r="I113" s="41">
        <f t="shared" si="10"/>
        <v>0</v>
      </c>
      <c r="J113" s="41">
        <f t="shared" si="10"/>
        <v>0</v>
      </c>
      <c r="K113" s="41">
        <f t="shared" si="10"/>
        <v>0</v>
      </c>
      <c r="L113" s="41">
        <f t="shared" si="10"/>
        <v>0</v>
      </c>
      <c r="M113" s="41">
        <f t="shared" si="10"/>
        <v>0</v>
      </c>
      <c r="N113" s="41">
        <f t="shared" si="10"/>
        <v>0</v>
      </c>
      <c r="O113" s="41">
        <f t="shared" si="10"/>
        <v>0</v>
      </c>
      <c r="P113" s="41">
        <f t="shared" si="10"/>
        <v>0</v>
      </c>
      <c r="Q113" s="41">
        <f t="shared" si="10"/>
        <v>0</v>
      </c>
      <c r="R113" s="41">
        <f t="shared" si="10"/>
        <v>0</v>
      </c>
      <c r="S113" s="41">
        <f t="shared" si="10"/>
        <v>0</v>
      </c>
      <c r="T113" s="41">
        <f t="shared" si="7"/>
        <v>0</v>
      </c>
      <c r="U113" s="41"/>
      <c r="V113" s="41"/>
    </row>
    <row r="114" spans="1:22" x14ac:dyDescent="0.25">
      <c r="A114" s="11" t="s">
        <v>87</v>
      </c>
      <c r="B114" s="11" t="s">
        <v>1016</v>
      </c>
      <c r="C114" s="11"/>
      <c r="D114" s="11" t="s">
        <v>892</v>
      </c>
      <c r="E114" s="41">
        <f t="shared" ref="E114:S114" si="11">IFERROR(((E18/E78)-1),"CHECK")</f>
        <v>0</v>
      </c>
      <c r="F114" s="41">
        <f t="shared" si="11"/>
        <v>0</v>
      </c>
      <c r="G114" s="41">
        <f t="shared" si="11"/>
        <v>0</v>
      </c>
      <c r="H114" s="41">
        <f t="shared" si="11"/>
        <v>0</v>
      </c>
      <c r="I114" s="41">
        <f t="shared" si="11"/>
        <v>0</v>
      </c>
      <c r="J114" s="41">
        <f t="shared" si="11"/>
        <v>0</v>
      </c>
      <c r="K114" s="41">
        <f t="shared" si="11"/>
        <v>0</v>
      </c>
      <c r="L114" s="41">
        <f t="shared" si="11"/>
        <v>0</v>
      </c>
      <c r="M114" s="41">
        <f t="shared" si="11"/>
        <v>0</v>
      </c>
      <c r="N114" s="41">
        <f t="shared" si="11"/>
        <v>0</v>
      </c>
      <c r="O114" s="41">
        <f t="shared" si="11"/>
        <v>0</v>
      </c>
      <c r="P114" s="41">
        <f t="shared" si="11"/>
        <v>0</v>
      </c>
      <c r="Q114" s="41">
        <f t="shared" si="11"/>
        <v>0</v>
      </c>
      <c r="R114" s="41">
        <f t="shared" si="11"/>
        <v>0</v>
      </c>
      <c r="S114" s="41">
        <f t="shared" si="11"/>
        <v>0</v>
      </c>
      <c r="T114" s="41">
        <f t="shared" si="7"/>
        <v>0</v>
      </c>
      <c r="U114" s="41"/>
      <c r="V114" s="41"/>
    </row>
    <row r="115" spans="1:22" x14ac:dyDescent="0.25">
      <c r="A115" s="11" t="s">
        <v>87</v>
      </c>
      <c r="B115" s="11" t="s">
        <v>1017</v>
      </c>
      <c r="C115" s="11"/>
      <c r="D115" s="11" t="s">
        <v>892</v>
      </c>
      <c r="E115" s="41" t="str">
        <f t="shared" ref="E115:S115" si="12">IFERROR(((E19/E79)-1),"CHECK")</f>
        <v>CHECK</v>
      </c>
      <c r="F115" s="41" t="str">
        <f t="shared" si="12"/>
        <v>CHECK</v>
      </c>
      <c r="G115" s="41" t="str">
        <f t="shared" si="12"/>
        <v>CHECK</v>
      </c>
      <c r="H115" s="41" t="str">
        <f t="shared" si="12"/>
        <v>CHECK</v>
      </c>
      <c r="I115" s="41" t="str">
        <f t="shared" si="12"/>
        <v>CHECK</v>
      </c>
      <c r="J115" s="41" t="str">
        <f t="shared" si="12"/>
        <v>CHECK</v>
      </c>
      <c r="K115" s="41" t="str">
        <f t="shared" si="12"/>
        <v>CHECK</v>
      </c>
      <c r="L115" s="41" t="str">
        <f t="shared" si="12"/>
        <v>CHECK</v>
      </c>
      <c r="M115" s="41" t="str">
        <f t="shared" si="12"/>
        <v>CHECK</v>
      </c>
      <c r="N115" s="41" t="str">
        <f t="shared" si="12"/>
        <v>CHECK</v>
      </c>
      <c r="O115" s="41" t="str">
        <f t="shared" si="12"/>
        <v>CHECK</v>
      </c>
      <c r="P115" s="41" t="str">
        <f t="shared" si="12"/>
        <v>CHECK</v>
      </c>
      <c r="Q115" s="41" t="str">
        <f t="shared" si="12"/>
        <v>CHECK</v>
      </c>
      <c r="R115" s="41" t="str">
        <f t="shared" si="12"/>
        <v>CHECK</v>
      </c>
      <c r="S115" s="41" t="str">
        <f t="shared" si="12"/>
        <v>CHECK</v>
      </c>
      <c r="T115" s="41" t="str">
        <f t="shared" si="7"/>
        <v>CHECK</v>
      </c>
      <c r="U115" s="41"/>
      <c r="V115" s="41"/>
    </row>
    <row r="116" spans="1:22" x14ac:dyDescent="0.25">
      <c r="A116" s="11" t="s">
        <v>87</v>
      </c>
      <c r="B116" s="11" t="s">
        <v>1018</v>
      </c>
      <c r="C116" s="11"/>
      <c r="D116" s="11" t="s">
        <v>892</v>
      </c>
      <c r="E116" s="41" t="str">
        <f t="shared" ref="E116:S116" si="13">IFERROR(((E20/E80)-1),"CHECK")</f>
        <v>CHECK</v>
      </c>
      <c r="F116" s="41" t="str">
        <f t="shared" si="13"/>
        <v>CHECK</v>
      </c>
      <c r="G116" s="41" t="str">
        <f t="shared" si="13"/>
        <v>CHECK</v>
      </c>
      <c r="H116" s="41" t="str">
        <f t="shared" si="13"/>
        <v>CHECK</v>
      </c>
      <c r="I116" s="41" t="str">
        <f t="shared" si="13"/>
        <v>CHECK</v>
      </c>
      <c r="J116" s="41" t="str">
        <f t="shared" si="13"/>
        <v>CHECK</v>
      </c>
      <c r="K116" s="41" t="str">
        <f t="shared" si="13"/>
        <v>CHECK</v>
      </c>
      <c r="L116" s="41" t="str">
        <f t="shared" si="13"/>
        <v>CHECK</v>
      </c>
      <c r="M116" s="41" t="str">
        <f t="shared" si="13"/>
        <v>CHECK</v>
      </c>
      <c r="N116" s="41" t="str">
        <f t="shared" si="13"/>
        <v>CHECK</v>
      </c>
      <c r="O116" s="41" t="str">
        <f t="shared" si="13"/>
        <v>CHECK</v>
      </c>
      <c r="P116" s="41" t="str">
        <f t="shared" si="13"/>
        <v>CHECK</v>
      </c>
      <c r="Q116" s="41" t="str">
        <f t="shared" si="13"/>
        <v>CHECK</v>
      </c>
      <c r="R116" s="41" t="str">
        <f t="shared" si="13"/>
        <v>CHECK</v>
      </c>
      <c r="S116" s="41" t="str">
        <f t="shared" si="13"/>
        <v>CHECK</v>
      </c>
      <c r="T116" s="41" t="str">
        <f t="shared" si="7"/>
        <v>CHECK</v>
      </c>
      <c r="U116" s="41"/>
      <c r="V116" s="41"/>
    </row>
    <row r="117" spans="1:22" x14ac:dyDescent="0.25">
      <c r="A117" s="11" t="s">
        <v>87</v>
      </c>
      <c r="B117" s="11" t="s">
        <v>1019</v>
      </c>
      <c r="C117" s="11"/>
      <c r="D117" s="11" t="s">
        <v>892</v>
      </c>
      <c r="E117" s="41">
        <f t="shared" ref="E117:S117" si="14">IFERROR(((E21/E81)-1),"CHECK")</f>
        <v>0</v>
      </c>
      <c r="F117" s="41">
        <f t="shared" si="14"/>
        <v>0</v>
      </c>
      <c r="G117" s="41">
        <f t="shared" si="14"/>
        <v>0</v>
      </c>
      <c r="H117" s="41">
        <f t="shared" si="14"/>
        <v>0</v>
      </c>
      <c r="I117" s="41">
        <f t="shared" si="14"/>
        <v>0</v>
      </c>
      <c r="J117" s="41">
        <f t="shared" si="14"/>
        <v>0</v>
      </c>
      <c r="K117" s="41">
        <f t="shared" si="14"/>
        <v>0</v>
      </c>
      <c r="L117" s="41">
        <f t="shared" si="14"/>
        <v>0</v>
      </c>
      <c r="M117" s="41">
        <f t="shared" si="14"/>
        <v>0</v>
      </c>
      <c r="N117" s="41">
        <f t="shared" si="14"/>
        <v>0</v>
      </c>
      <c r="O117" s="41">
        <f t="shared" si="14"/>
        <v>0</v>
      </c>
      <c r="P117" s="41">
        <f t="shared" si="14"/>
        <v>0</v>
      </c>
      <c r="Q117" s="41">
        <f t="shared" si="14"/>
        <v>0</v>
      </c>
      <c r="R117" s="41">
        <f t="shared" si="14"/>
        <v>0</v>
      </c>
      <c r="S117" s="41">
        <f t="shared" si="14"/>
        <v>0</v>
      </c>
      <c r="T117" s="41">
        <f t="shared" si="7"/>
        <v>0</v>
      </c>
      <c r="U117" s="41"/>
      <c r="V117" s="41"/>
    </row>
    <row r="119" spans="1:22" x14ac:dyDescent="0.25">
      <c r="A119" s="8"/>
      <c r="B119" s="9" t="s">
        <v>877</v>
      </c>
      <c r="C119" s="8"/>
      <c r="D119" s="8"/>
      <c r="E119" s="8"/>
      <c r="F119" s="8"/>
      <c r="G119" s="8"/>
      <c r="H119" s="8"/>
      <c r="I119" s="8"/>
      <c r="J119" s="8"/>
      <c r="K119" s="8"/>
      <c r="L119" s="8"/>
      <c r="M119" s="8"/>
      <c r="N119" s="8"/>
      <c r="O119" s="8"/>
      <c r="P119" s="8"/>
      <c r="Q119" s="8"/>
      <c r="R119" s="8"/>
      <c r="S119" s="8"/>
      <c r="T119" s="8"/>
      <c r="U119" s="8"/>
      <c r="V119" s="8"/>
    </row>
    <row r="121" spans="1:22" x14ac:dyDescent="0.25">
      <c r="A121" s="11" t="s">
        <v>87</v>
      </c>
      <c r="B121" s="11" t="s">
        <v>1020</v>
      </c>
      <c r="C121" s="11" t="s">
        <v>836</v>
      </c>
      <c r="D121" s="11" t="s">
        <v>970</v>
      </c>
      <c r="E121" s="41">
        <f t="shared" ref="E121:S121" si="15">IFERROR(((E25/E85)-1),"CHECK")</f>
        <v>0</v>
      </c>
      <c r="F121" s="41">
        <f t="shared" si="15"/>
        <v>0</v>
      </c>
      <c r="G121" s="41">
        <f t="shared" si="15"/>
        <v>0</v>
      </c>
      <c r="H121" s="41">
        <f t="shared" si="15"/>
        <v>0</v>
      </c>
      <c r="I121" s="41">
        <f t="shared" si="15"/>
        <v>0</v>
      </c>
      <c r="J121" s="41">
        <f t="shared" si="15"/>
        <v>0</v>
      </c>
      <c r="K121" s="41">
        <f t="shared" si="15"/>
        <v>0</v>
      </c>
      <c r="L121" s="41">
        <f t="shared" si="15"/>
        <v>0</v>
      </c>
      <c r="M121" s="41">
        <f t="shared" si="15"/>
        <v>0</v>
      </c>
      <c r="N121" s="41">
        <f t="shared" si="15"/>
        <v>0</v>
      </c>
      <c r="O121" s="41">
        <f t="shared" si="15"/>
        <v>0</v>
      </c>
      <c r="P121" s="41">
        <f t="shared" si="15"/>
        <v>0</v>
      </c>
      <c r="Q121" s="41">
        <f t="shared" si="15"/>
        <v>0</v>
      </c>
      <c r="R121" s="41">
        <f t="shared" si="15"/>
        <v>0</v>
      </c>
      <c r="S121" s="41">
        <f t="shared" si="15"/>
        <v>0</v>
      </c>
      <c r="T121" s="41">
        <f>IFERROR(((T25/T85)-1),"CHECK")</f>
        <v>0</v>
      </c>
      <c r="U121" s="41"/>
      <c r="V121" s="41"/>
    </row>
    <row r="122" spans="1:22" x14ac:dyDescent="0.25">
      <c r="A122" s="11" t="s">
        <v>87</v>
      </c>
      <c r="B122" s="11" t="s">
        <v>1021</v>
      </c>
      <c r="C122" s="11" t="s">
        <v>836</v>
      </c>
      <c r="D122" s="11" t="s">
        <v>970</v>
      </c>
      <c r="E122" s="41">
        <f t="shared" ref="E122:T122" si="16">IFERROR(((E26/E86)-1),"CHECK")</f>
        <v>0</v>
      </c>
      <c r="F122" s="41">
        <f t="shared" si="16"/>
        <v>0</v>
      </c>
      <c r="G122" s="41">
        <f t="shared" si="16"/>
        <v>0</v>
      </c>
      <c r="H122" s="41">
        <f t="shared" si="16"/>
        <v>0</v>
      </c>
      <c r="I122" s="41">
        <f t="shared" si="16"/>
        <v>0</v>
      </c>
      <c r="J122" s="41">
        <f t="shared" si="16"/>
        <v>0</v>
      </c>
      <c r="K122" s="41">
        <f t="shared" si="16"/>
        <v>0</v>
      </c>
      <c r="L122" s="41">
        <f t="shared" si="16"/>
        <v>0</v>
      </c>
      <c r="M122" s="41">
        <f t="shared" si="16"/>
        <v>0</v>
      </c>
      <c r="N122" s="41">
        <f t="shared" si="16"/>
        <v>0</v>
      </c>
      <c r="O122" s="41">
        <f t="shared" si="16"/>
        <v>0</v>
      </c>
      <c r="P122" s="41">
        <f t="shared" si="16"/>
        <v>0</v>
      </c>
      <c r="Q122" s="41">
        <f t="shared" si="16"/>
        <v>0</v>
      </c>
      <c r="R122" s="41">
        <f t="shared" si="16"/>
        <v>0</v>
      </c>
      <c r="S122" s="41">
        <f t="shared" si="16"/>
        <v>0</v>
      </c>
      <c r="T122" s="41">
        <f t="shared" si="16"/>
        <v>0</v>
      </c>
      <c r="U122" s="41"/>
      <c r="V122" s="41"/>
    </row>
    <row r="123" spans="1:22" x14ac:dyDescent="0.25">
      <c r="A123" s="11" t="s">
        <v>87</v>
      </c>
      <c r="B123" s="11" t="s">
        <v>1022</v>
      </c>
      <c r="C123" s="11" t="s">
        <v>836</v>
      </c>
      <c r="D123" s="11" t="s">
        <v>970</v>
      </c>
      <c r="E123" s="41" t="str">
        <f t="shared" ref="E123:T123" si="17">IFERROR(((E27/E87)-1),"CHECK")</f>
        <v>CHECK</v>
      </c>
      <c r="F123" s="41" t="str">
        <f t="shared" si="17"/>
        <v>CHECK</v>
      </c>
      <c r="G123" s="41" t="str">
        <f t="shared" si="17"/>
        <v>CHECK</v>
      </c>
      <c r="H123" s="41" t="str">
        <f t="shared" si="17"/>
        <v>CHECK</v>
      </c>
      <c r="I123" s="41" t="str">
        <f t="shared" si="17"/>
        <v>CHECK</v>
      </c>
      <c r="J123" s="41" t="str">
        <f t="shared" si="17"/>
        <v>CHECK</v>
      </c>
      <c r="K123" s="41" t="str">
        <f t="shared" si="17"/>
        <v>CHECK</v>
      </c>
      <c r="L123" s="41" t="str">
        <f t="shared" si="17"/>
        <v>CHECK</v>
      </c>
      <c r="M123" s="41" t="str">
        <f t="shared" si="17"/>
        <v>CHECK</v>
      </c>
      <c r="N123" s="41" t="str">
        <f t="shared" si="17"/>
        <v>CHECK</v>
      </c>
      <c r="O123" s="41" t="str">
        <f t="shared" si="17"/>
        <v>CHECK</v>
      </c>
      <c r="P123" s="41" t="str">
        <f t="shared" si="17"/>
        <v>CHECK</v>
      </c>
      <c r="Q123" s="41" t="str">
        <f t="shared" si="17"/>
        <v>CHECK</v>
      </c>
      <c r="R123" s="41" t="str">
        <f t="shared" si="17"/>
        <v>CHECK</v>
      </c>
      <c r="S123" s="41" t="str">
        <f t="shared" si="17"/>
        <v>CHECK</v>
      </c>
      <c r="T123" s="41" t="str">
        <f t="shared" si="17"/>
        <v>CHECK</v>
      </c>
      <c r="U123" s="41"/>
      <c r="V123" s="41"/>
    </row>
    <row r="124" spans="1:22" x14ac:dyDescent="0.25">
      <c r="A124" s="11" t="s">
        <v>87</v>
      </c>
      <c r="B124" s="11" t="s">
        <v>1023</v>
      </c>
      <c r="C124" s="11" t="s">
        <v>836</v>
      </c>
      <c r="D124" s="11" t="s">
        <v>970</v>
      </c>
      <c r="E124" s="41">
        <f t="shared" ref="E124:T124" si="18">IFERROR(((E28/E88)-1),"CHECK")</f>
        <v>0</v>
      </c>
      <c r="F124" s="41">
        <f t="shared" si="18"/>
        <v>0</v>
      </c>
      <c r="G124" s="41">
        <f t="shared" si="18"/>
        <v>0</v>
      </c>
      <c r="H124" s="41">
        <f t="shared" si="18"/>
        <v>0</v>
      </c>
      <c r="I124" s="41">
        <f t="shared" si="18"/>
        <v>0</v>
      </c>
      <c r="J124" s="41">
        <f t="shared" si="18"/>
        <v>0</v>
      </c>
      <c r="K124" s="41">
        <f t="shared" si="18"/>
        <v>0</v>
      </c>
      <c r="L124" s="41">
        <f t="shared" si="18"/>
        <v>0</v>
      </c>
      <c r="M124" s="41">
        <f t="shared" si="18"/>
        <v>0</v>
      </c>
      <c r="N124" s="41">
        <f t="shared" si="18"/>
        <v>0</v>
      </c>
      <c r="O124" s="41">
        <f t="shared" si="18"/>
        <v>0</v>
      </c>
      <c r="P124" s="41">
        <f t="shared" si="18"/>
        <v>0</v>
      </c>
      <c r="Q124" s="41">
        <f t="shared" si="18"/>
        <v>0</v>
      </c>
      <c r="R124" s="41">
        <f t="shared" si="18"/>
        <v>0</v>
      </c>
      <c r="S124" s="41">
        <f t="shared" si="18"/>
        <v>0</v>
      </c>
      <c r="T124" s="41">
        <f t="shared" si="18"/>
        <v>0</v>
      </c>
      <c r="U124" s="41"/>
      <c r="V124" s="41"/>
    </row>
    <row r="125" spans="1:22" x14ac:dyDescent="0.25">
      <c r="A125" s="11" t="s">
        <v>87</v>
      </c>
      <c r="B125" s="11" t="s">
        <v>1024</v>
      </c>
      <c r="C125" s="11" t="s">
        <v>836</v>
      </c>
      <c r="D125" s="11" t="s">
        <v>970</v>
      </c>
      <c r="E125" s="41">
        <f t="shared" ref="E125:T125" si="19">IFERROR(((E29/E89)-1),"CHECK")</f>
        <v>0</v>
      </c>
      <c r="F125" s="41">
        <f t="shared" si="19"/>
        <v>0</v>
      </c>
      <c r="G125" s="41">
        <f t="shared" si="19"/>
        <v>0</v>
      </c>
      <c r="H125" s="41">
        <f t="shared" si="19"/>
        <v>0</v>
      </c>
      <c r="I125" s="41">
        <f t="shared" si="19"/>
        <v>0</v>
      </c>
      <c r="J125" s="41">
        <f t="shared" si="19"/>
        <v>0</v>
      </c>
      <c r="K125" s="41">
        <f t="shared" si="19"/>
        <v>0</v>
      </c>
      <c r="L125" s="41">
        <f t="shared" si="19"/>
        <v>0</v>
      </c>
      <c r="M125" s="41">
        <f t="shared" si="19"/>
        <v>0</v>
      </c>
      <c r="N125" s="41">
        <f t="shared" si="19"/>
        <v>0</v>
      </c>
      <c r="O125" s="41">
        <f t="shared" si="19"/>
        <v>0</v>
      </c>
      <c r="P125" s="41">
        <f t="shared" si="19"/>
        <v>0</v>
      </c>
      <c r="Q125" s="41">
        <f t="shared" si="19"/>
        <v>0</v>
      </c>
      <c r="R125" s="41">
        <f t="shared" si="19"/>
        <v>0</v>
      </c>
      <c r="S125" s="41">
        <f t="shared" si="19"/>
        <v>0</v>
      </c>
      <c r="T125" s="41">
        <f t="shared" si="19"/>
        <v>0</v>
      </c>
      <c r="U125" s="41"/>
      <c r="V125" s="41"/>
    </row>
    <row r="126" spans="1:22" x14ac:dyDescent="0.25">
      <c r="A126" s="11" t="s">
        <v>87</v>
      </c>
      <c r="B126" s="11" t="s">
        <v>1025</v>
      </c>
      <c r="C126" s="11" t="s">
        <v>836</v>
      </c>
      <c r="D126" s="11" t="s">
        <v>970</v>
      </c>
      <c r="E126" s="41">
        <f t="shared" ref="E126:T126" si="20">IFERROR(((E30/E90)-1),"CHECK")</f>
        <v>0</v>
      </c>
      <c r="F126" s="41">
        <f t="shared" si="20"/>
        <v>0</v>
      </c>
      <c r="G126" s="41">
        <f t="shared" si="20"/>
        <v>0</v>
      </c>
      <c r="H126" s="41">
        <f t="shared" si="20"/>
        <v>0</v>
      </c>
      <c r="I126" s="41">
        <f t="shared" si="20"/>
        <v>0</v>
      </c>
      <c r="J126" s="41">
        <f t="shared" si="20"/>
        <v>0</v>
      </c>
      <c r="K126" s="41">
        <f t="shared" si="20"/>
        <v>0</v>
      </c>
      <c r="L126" s="41">
        <f t="shared" si="20"/>
        <v>0</v>
      </c>
      <c r="M126" s="41">
        <f t="shared" si="20"/>
        <v>0</v>
      </c>
      <c r="N126" s="41">
        <f t="shared" si="20"/>
        <v>0</v>
      </c>
      <c r="O126" s="41">
        <f t="shared" si="20"/>
        <v>0</v>
      </c>
      <c r="P126" s="41">
        <f t="shared" si="20"/>
        <v>0</v>
      </c>
      <c r="Q126" s="41">
        <f t="shared" si="20"/>
        <v>0</v>
      </c>
      <c r="R126" s="41">
        <f t="shared" si="20"/>
        <v>0</v>
      </c>
      <c r="S126" s="41">
        <f t="shared" si="20"/>
        <v>0</v>
      </c>
      <c r="T126" s="41">
        <f t="shared" si="20"/>
        <v>0</v>
      </c>
      <c r="U126" s="41"/>
      <c r="V126" s="41"/>
    </row>
    <row r="127" spans="1:22" x14ac:dyDescent="0.25">
      <c r="A127" s="11" t="s">
        <v>87</v>
      </c>
      <c r="B127" s="11" t="s">
        <v>1026</v>
      </c>
      <c r="C127" s="11" t="s">
        <v>836</v>
      </c>
      <c r="D127" s="11" t="s">
        <v>970</v>
      </c>
      <c r="E127" s="41" t="str">
        <f t="shared" ref="E127:T127" si="21">IFERROR(((E31/E91)-1),"CHECK")</f>
        <v>CHECK</v>
      </c>
      <c r="F127" s="41" t="str">
        <f t="shared" si="21"/>
        <v>CHECK</v>
      </c>
      <c r="G127" s="41" t="str">
        <f t="shared" si="21"/>
        <v>CHECK</v>
      </c>
      <c r="H127" s="41" t="str">
        <f t="shared" si="21"/>
        <v>CHECK</v>
      </c>
      <c r="I127" s="41" t="str">
        <f t="shared" si="21"/>
        <v>CHECK</v>
      </c>
      <c r="J127" s="41" t="str">
        <f t="shared" si="21"/>
        <v>CHECK</v>
      </c>
      <c r="K127" s="41" t="str">
        <f t="shared" si="21"/>
        <v>CHECK</v>
      </c>
      <c r="L127" s="41" t="str">
        <f t="shared" si="21"/>
        <v>CHECK</v>
      </c>
      <c r="M127" s="41" t="str">
        <f t="shared" si="21"/>
        <v>CHECK</v>
      </c>
      <c r="N127" s="41" t="str">
        <f t="shared" si="21"/>
        <v>CHECK</v>
      </c>
      <c r="O127" s="41" t="str">
        <f t="shared" si="21"/>
        <v>CHECK</v>
      </c>
      <c r="P127" s="41" t="str">
        <f t="shared" si="21"/>
        <v>CHECK</v>
      </c>
      <c r="Q127" s="41" t="str">
        <f t="shared" si="21"/>
        <v>CHECK</v>
      </c>
      <c r="R127" s="41" t="str">
        <f t="shared" si="21"/>
        <v>CHECK</v>
      </c>
      <c r="S127" s="41" t="str">
        <f t="shared" si="21"/>
        <v>CHECK</v>
      </c>
      <c r="T127" s="41" t="str">
        <f t="shared" si="21"/>
        <v>CHECK</v>
      </c>
      <c r="U127" s="41"/>
      <c r="V127" s="41"/>
    </row>
    <row r="128" spans="1:22" x14ac:dyDescent="0.25">
      <c r="A128" s="11" t="s">
        <v>87</v>
      </c>
      <c r="B128" s="11" t="s">
        <v>1027</v>
      </c>
      <c r="C128" s="11" t="s">
        <v>836</v>
      </c>
      <c r="D128" s="11" t="s">
        <v>970</v>
      </c>
      <c r="E128" s="41">
        <f t="shared" ref="E128:T128" si="22">IFERROR(((E32/E92)-1),"CHECK")</f>
        <v>0</v>
      </c>
      <c r="F128" s="41">
        <f t="shared" si="22"/>
        <v>0</v>
      </c>
      <c r="G128" s="41">
        <f t="shared" si="22"/>
        <v>0</v>
      </c>
      <c r="H128" s="41">
        <f t="shared" si="22"/>
        <v>0</v>
      </c>
      <c r="I128" s="41">
        <f t="shared" si="22"/>
        <v>0</v>
      </c>
      <c r="J128" s="41">
        <f t="shared" si="22"/>
        <v>0</v>
      </c>
      <c r="K128" s="41">
        <f t="shared" si="22"/>
        <v>0</v>
      </c>
      <c r="L128" s="41">
        <f t="shared" si="22"/>
        <v>0</v>
      </c>
      <c r="M128" s="41">
        <f t="shared" si="22"/>
        <v>0</v>
      </c>
      <c r="N128" s="41">
        <f t="shared" si="22"/>
        <v>0</v>
      </c>
      <c r="O128" s="41">
        <f t="shared" si="22"/>
        <v>0</v>
      </c>
      <c r="P128" s="41">
        <f t="shared" si="22"/>
        <v>0</v>
      </c>
      <c r="Q128" s="41">
        <f t="shared" si="22"/>
        <v>0</v>
      </c>
      <c r="R128" s="41">
        <f t="shared" si="22"/>
        <v>0</v>
      </c>
      <c r="S128" s="41">
        <f t="shared" si="22"/>
        <v>0</v>
      </c>
      <c r="T128" s="41">
        <f t="shared" si="22"/>
        <v>0</v>
      </c>
      <c r="U128" s="41"/>
      <c r="V128" s="41"/>
    </row>
    <row r="130" spans="1:22" x14ac:dyDescent="0.25">
      <c r="A130" s="8"/>
      <c r="B130" s="9" t="s">
        <v>619</v>
      </c>
      <c r="C130" s="8"/>
      <c r="D130" s="8"/>
      <c r="E130" s="8"/>
      <c r="F130" s="8"/>
      <c r="G130" s="8"/>
      <c r="H130" s="8"/>
      <c r="I130" s="8"/>
      <c r="J130" s="8"/>
      <c r="K130" s="8"/>
      <c r="L130" s="8"/>
      <c r="M130" s="8"/>
      <c r="N130" s="8"/>
      <c r="O130" s="8"/>
      <c r="P130" s="8"/>
      <c r="Q130" s="8"/>
      <c r="R130" s="8"/>
      <c r="S130" s="8"/>
      <c r="T130" s="8"/>
      <c r="U130" s="8"/>
      <c r="V130" s="8"/>
    </row>
    <row r="132" spans="1:22" x14ac:dyDescent="0.25">
      <c r="A132" s="11" t="s">
        <v>87</v>
      </c>
      <c r="B132" s="11" t="s">
        <v>1028</v>
      </c>
      <c r="C132" s="11" t="s">
        <v>836</v>
      </c>
      <c r="D132" s="11" t="s">
        <v>884</v>
      </c>
      <c r="E132" s="41">
        <f t="shared" ref="E132:S132" si="23">IFERROR(((E36/E96)-1),"CHECK")</f>
        <v>0</v>
      </c>
      <c r="F132" s="41">
        <f t="shared" si="23"/>
        <v>0</v>
      </c>
      <c r="G132" s="41">
        <f t="shared" si="23"/>
        <v>0</v>
      </c>
      <c r="H132" s="41">
        <f t="shared" si="23"/>
        <v>0</v>
      </c>
      <c r="I132" s="41">
        <f t="shared" si="23"/>
        <v>0</v>
      </c>
      <c r="J132" s="41">
        <f t="shared" si="23"/>
        <v>0</v>
      </c>
      <c r="K132" s="41">
        <f t="shared" si="23"/>
        <v>0</v>
      </c>
      <c r="L132" s="41">
        <f t="shared" si="23"/>
        <v>0</v>
      </c>
      <c r="M132" s="41">
        <f t="shared" si="23"/>
        <v>0</v>
      </c>
      <c r="N132" s="41">
        <f t="shared" si="23"/>
        <v>0</v>
      </c>
      <c r="O132" s="41">
        <f t="shared" si="23"/>
        <v>0</v>
      </c>
      <c r="P132" s="41">
        <f t="shared" si="23"/>
        <v>0</v>
      </c>
      <c r="Q132" s="41">
        <f t="shared" si="23"/>
        <v>0</v>
      </c>
      <c r="R132" s="41">
        <f t="shared" si="23"/>
        <v>0</v>
      </c>
      <c r="S132" s="41">
        <f t="shared" si="23"/>
        <v>0</v>
      </c>
      <c r="T132" s="41">
        <f t="shared" ref="T132:T140" si="24">IFERROR(((T36/T96)-1),"CHECK")</f>
        <v>0</v>
      </c>
      <c r="U132" s="41"/>
      <c r="V132" s="41"/>
    </row>
    <row r="133" spans="1:22" x14ac:dyDescent="0.25">
      <c r="A133" s="11" t="s">
        <v>87</v>
      </c>
      <c r="B133" s="11" t="s">
        <v>1029</v>
      </c>
      <c r="C133" s="11" t="s">
        <v>836</v>
      </c>
      <c r="D133" s="11" t="s">
        <v>884</v>
      </c>
      <c r="E133" s="41">
        <f t="shared" ref="E133:S133" si="25">IFERROR(((E37/E97)-1),"CHECK")</f>
        <v>0</v>
      </c>
      <c r="F133" s="41">
        <f t="shared" si="25"/>
        <v>0</v>
      </c>
      <c r="G133" s="41">
        <f t="shared" si="25"/>
        <v>0</v>
      </c>
      <c r="H133" s="41">
        <f t="shared" si="25"/>
        <v>0</v>
      </c>
      <c r="I133" s="41">
        <f t="shared" si="25"/>
        <v>0</v>
      </c>
      <c r="J133" s="41">
        <f t="shared" si="25"/>
        <v>0</v>
      </c>
      <c r="K133" s="41">
        <f t="shared" si="25"/>
        <v>0</v>
      </c>
      <c r="L133" s="41">
        <f t="shared" si="25"/>
        <v>0</v>
      </c>
      <c r="M133" s="41">
        <f t="shared" si="25"/>
        <v>0</v>
      </c>
      <c r="N133" s="41">
        <f t="shared" si="25"/>
        <v>0</v>
      </c>
      <c r="O133" s="41">
        <f t="shared" si="25"/>
        <v>0</v>
      </c>
      <c r="P133" s="41">
        <f t="shared" si="25"/>
        <v>0</v>
      </c>
      <c r="Q133" s="41">
        <f t="shared" si="25"/>
        <v>0</v>
      </c>
      <c r="R133" s="41">
        <f t="shared" si="25"/>
        <v>0</v>
      </c>
      <c r="S133" s="41">
        <f t="shared" si="25"/>
        <v>0</v>
      </c>
      <c r="T133" s="41">
        <f t="shared" si="24"/>
        <v>0</v>
      </c>
      <c r="U133" s="41"/>
      <c r="V133" s="41"/>
    </row>
    <row r="134" spans="1:22" x14ac:dyDescent="0.25">
      <c r="A134" s="11" t="s">
        <v>87</v>
      </c>
      <c r="B134" s="11" t="s">
        <v>1030</v>
      </c>
      <c r="C134" s="11" t="s">
        <v>836</v>
      </c>
      <c r="D134" s="11" t="s">
        <v>884</v>
      </c>
      <c r="E134" s="41" t="str">
        <f t="shared" ref="E134:S134" si="26">IFERROR(((E38/E98)-1),"CHECK")</f>
        <v>CHECK</v>
      </c>
      <c r="F134" s="41" t="str">
        <f t="shared" si="26"/>
        <v>CHECK</v>
      </c>
      <c r="G134" s="41" t="str">
        <f t="shared" si="26"/>
        <v>CHECK</v>
      </c>
      <c r="H134" s="41" t="str">
        <f t="shared" si="26"/>
        <v>CHECK</v>
      </c>
      <c r="I134" s="41" t="str">
        <f t="shared" si="26"/>
        <v>CHECK</v>
      </c>
      <c r="J134" s="41" t="str">
        <f t="shared" si="26"/>
        <v>CHECK</v>
      </c>
      <c r="K134" s="41" t="str">
        <f t="shared" si="26"/>
        <v>CHECK</v>
      </c>
      <c r="L134" s="41" t="str">
        <f t="shared" si="26"/>
        <v>CHECK</v>
      </c>
      <c r="M134" s="41" t="str">
        <f t="shared" si="26"/>
        <v>CHECK</v>
      </c>
      <c r="N134" s="41" t="str">
        <f t="shared" si="26"/>
        <v>CHECK</v>
      </c>
      <c r="O134" s="41" t="str">
        <f t="shared" si="26"/>
        <v>CHECK</v>
      </c>
      <c r="P134" s="41" t="str">
        <f t="shared" si="26"/>
        <v>CHECK</v>
      </c>
      <c r="Q134" s="41" t="str">
        <f t="shared" si="26"/>
        <v>CHECK</v>
      </c>
      <c r="R134" s="41" t="str">
        <f t="shared" si="26"/>
        <v>CHECK</v>
      </c>
      <c r="S134" s="41" t="str">
        <f t="shared" si="26"/>
        <v>CHECK</v>
      </c>
      <c r="T134" s="41" t="str">
        <f t="shared" si="24"/>
        <v>CHECK</v>
      </c>
      <c r="U134" s="41"/>
      <c r="V134" s="41"/>
    </row>
    <row r="135" spans="1:22" x14ac:dyDescent="0.25">
      <c r="A135" s="11" t="s">
        <v>87</v>
      </c>
      <c r="B135" s="11" t="s">
        <v>1031</v>
      </c>
      <c r="C135" s="11" t="s">
        <v>836</v>
      </c>
      <c r="D135" s="11" t="s">
        <v>884</v>
      </c>
      <c r="E135" s="41">
        <f t="shared" ref="E135:S135" si="27">IFERROR(((E39/E99)-1),"CHECK")</f>
        <v>0</v>
      </c>
      <c r="F135" s="41">
        <f t="shared" si="27"/>
        <v>0</v>
      </c>
      <c r="G135" s="41">
        <f t="shared" si="27"/>
        <v>0</v>
      </c>
      <c r="H135" s="41">
        <f t="shared" si="27"/>
        <v>0</v>
      </c>
      <c r="I135" s="41">
        <f t="shared" si="27"/>
        <v>0</v>
      </c>
      <c r="J135" s="41">
        <f t="shared" si="27"/>
        <v>0</v>
      </c>
      <c r="K135" s="41">
        <f t="shared" si="27"/>
        <v>0</v>
      </c>
      <c r="L135" s="41">
        <f t="shared" si="27"/>
        <v>0</v>
      </c>
      <c r="M135" s="41">
        <f t="shared" si="27"/>
        <v>0</v>
      </c>
      <c r="N135" s="41">
        <f t="shared" si="27"/>
        <v>0</v>
      </c>
      <c r="O135" s="41">
        <f t="shared" si="27"/>
        <v>0</v>
      </c>
      <c r="P135" s="41">
        <f t="shared" si="27"/>
        <v>0</v>
      </c>
      <c r="Q135" s="41">
        <f t="shared" si="27"/>
        <v>0</v>
      </c>
      <c r="R135" s="41">
        <f t="shared" si="27"/>
        <v>0</v>
      </c>
      <c r="S135" s="41">
        <f t="shared" si="27"/>
        <v>0</v>
      </c>
      <c r="T135" s="41">
        <f t="shared" si="24"/>
        <v>0</v>
      </c>
      <c r="U135" s="41"/>
      <c r="V135" s="41"/>
    </row>
    <row r="136" spans="1:22" x14ac:dyDescent="0.25">
      <c r="A136" s="11" t="s">
        <v>87</v>
      </c>
      <c r="B136" s="11" t="s">
        <v>1032</v>
      </c>
      <c r="C136" s="11" t="s">
        <v>836</v>
      </c>
      <c r="D136" s="11" t="s">
        <v>884</v>
      </c>
      <c r="E136" s="41">
        <f t="shared" ref="E136:S136" si="28">IFERROR(((E40/E100)-1),"CHECK")</f>
        <v>0</v>
      </c>
      <c r="F136" s="41">
        <f t="shared" si="28"/>
        <v>0</v>
      </c>
      <c r="G136" s="41">
        <f t="shared" si="28"/>
        <v>0</v>
      </c>
      <c r="H136" s="41">
        <f t="shared" si="28"/>
        <v>0</v>
      </c>
      <c r="I136" s="41">
        <f t="shared" si="28"/>
        <v>0</v>
      </c>
      <c r="J136" s="41">
        <f t="shared" si="28"/>
        <v>0</v>
      </c>
      <c r="K136" s="41">
        <f t="shared" si="28"/>
        <v>0</v>
      </c>
      <c r="L136" s="41">
        <f t="shared" si="28"/>
        <v>0</v>
      </c>
      <c r="M136" s="41">
        <f t="shared" si="28"/>
        <v>0</v>
      </c>
      <c r="N136" s="41">
        <f t="shared" si="28"/>
        <v>0</v>
      </c>
      <c r="O136" s="41">
        <f t="shared" si="28"/>
        <v>0</v>
      </c>
      <c r="P136" s="41">
        <f t="shared" si="28"/>
        <v>0</v>
      </c>
      <c r="Q136" s="41">
        <f t="shared" si="28"/>
        <v>0</v>
      </c>
      <c r="R136" s="41">
        <f t="shared" si="28"/>
        <v>0</v>
      </c>
      <c r="S136" s="41">
        <f t="shared" si="28"/>
        <v>0</v>
      </c>
      <c r="T136" s="41">
        <f t="shared" si="24"/>
        <v>0</v>
      </c>
      <c r="U136" s="41"/>
      <c r="V136" s="41"/>
    </row>
    <row r="137" spans="1:22" x14ac:dyDescent="0.25">
      <c r="A137" s="11" t="s">
        <v>87</v>
      </c>
      <c r="B137" s="11" t="s">
        <v>1033</v>
      </c>
      <c r="C137" s="11" t="s">
        <v>836</v>
      </c>
      <c r="D137" s="11" t="s">
        <v>884</v>
      </c>
      <c r="E137" s="41" t="str">
        <f t="shared" ref="E137:S137" si="29">IFERROR(((E41/E101)-1),"CHECK")</f>
        <v>CHECK</v>
      </c>
      <c r="F137" s="41" t="str">
        <f t="shared" si="29"/>
        <v>CHECK</v>
      </c>
      <c r="G137" s="41" t="str">
        <f t="shared" si="29"/>
        <v>CHECK</v>
      </c>
      <c r="H137" s="41" t="str">
        <f t="shared" si="29"/>
        <v>CHECK</v>
      </c>
      <c r="I137" s="41" t="str">
        <f t="shared" si="29"/>
        <v>CHECK</v>
      </c>
      <c r="J137" s="41" t="str">
        <f t="shared" si="29"/>
        <v>CHECK</v>
      </c>
      <c r="K137" s="41" t="str">
        <f t="shared" si="29"/>
        <v>CHECK</v>
      </c>
      <c r="L137" s="41" t="str">
        <f t="shared" si="29"/>
        <v>CHECK</v>
      </c>
      <c r="M137" s="41" t="str">
        <f t="shared" si="29"/>
        <v>CHECK</v>
      </c>
      <c r="N137" s="41" t="str">
        <f t="shared" si="29"/>
        <v>CHECK</v>
      </c>
      <c r="O137" s="41" t="str">
        <f t="shared" si="29"/>
        <v>CHECK</v>
      </c>
      <c r="P137" s="41" t="str">
        <f t="shared" si="29"/>
        <v>CHECK</v>
      </c>
      <c r="Q137" s="41" t="str">
        <f t="shared" si="29"/>
        <v>CHECK</v>
      </c>
      <c r="R137" s="41" t="str">
        <f t="shared" si="29"/>
        <v>CHECK</v>
      </c>
      <c r="S137" s="41" t="str">
        <f t="shared" si="29"/>
        <v>CHECK</v>
      </c>
      <c r="T137" s="41" t="str">
        <f t="shared" si="24"/>
        <v>CHECK</v>
      </c>
      <c r="U137" s="41"/>
      <c r="V137" s="41"/>
    </row>
    <row r="138" spans="1:22" x14ac:dyDescent="0.25">
      <c r="A138" s="11" t="s">
        <v>87</v>
      </c>
      <c r="B138" s="11" t="s">
        <v>1034</v>
      </c>
      <c r="C138" s="11" t="s">
        <v>836</v>
      </c>
      <c r="D138" s="11" t="s">
        <v>884</v>
      </c>
      <c r="E138" s="41" t="str">
        <f t="shared" ref="E138:S138" si="30">IFERROR(((E42/E102)-1),"CHECK")</f>
        <v>CHECK</v>
      </c>
      <c r="F138" s="41" t="str">
        <f t="shared" si="30"/>
        <v>CHECK</v>
      </c>
      <c r="G138" s="41" t="str">
        <f t="shared" si="30"/>
        <v>CHECK</v>
      </c>
      <c r="H138" s="41" t="str">
        <f t="shared" si="30"/>
        <v>CHECK</v>
      </c>
      <c r="I138" s="41" t="str">
        <f t="shared" si="30"/>
        <v>CHECK</v>
      </c>
      <c r="J138" s="41" t="str">
        <f t="shared" si="30"/>
        <v>CHECK</v>
      </c>
      <c r="K138" s="41" t="str">
        <f t="shared" si="30"/>
        <v>CHECK</v>
      </c>
      <c r="L138" s="41" t="str">
        <f t="shared" si="30"/>
        <v>CHECK</v>
      </c>
      <c r="M138" s="41" t="str">
        <f t="shared" si="30"/>
        <v>CHECK</v>
      </c>
      <c r="N138" s="41" t="str">
        <f t="shared" si="30"/>
        <v>CHECK</v>
      </c>
      <c r="O138" s="41" t="str">
        <f t="shared" si="30"/>
        <v>CHECK</v>
      </c>
      <c r="P138" s="41" t="str">
        <f t="shared" si="30"/>
        <v>CHECK</v>
      </c>
      <c r="Q138" s="41" t="str">
        <f t="shared" si="30"/>
        <v>CHECK</v>
      </c>
      <c r="R138" s="41" t="str">
        <f t="shared" si="30"/>
        <v>CHECK</v>
      </c>
      <c r="S138" s="41" t="str">
        <f t="shared" si="30"/>
        <v>CHECK</v>
      </c>
      <c r="T138" s="41" t="str">
        <f t="shared" si="24"/>
        <v>CHECK</v>
      </c>
      <c r="U138" s="41"/>
      <c r="V138" s="41"/>
    </row>
    <row r="139" spans="1:22" x14ac:dyDescent="0.25">
      <c r="A139" s="11" t="s">
        <v>87</v>
      </c>
      <c r="B139" s="11" t="s">
        <v>1035</v>
      </c>
      <c r="C139" s="11" t="s">
        <v>836</v>
      </c>
      <c r="D139" s="11" t="s">
        <v>884</v>
      </c>
      <c r="E139" s="41">
        <f t="shared" ref="E139:S139" si="31">IFERROR(((E43/E103)-1),"CHECK")</f>
        <v>0</v>
      </c>
      <c r="F139" s="41">
        <f t="shared" si="31"/>
        <v>0</v>
      </c>
      <c r="G139" s="41">
        <f t="shared" si="31"/>
        <v>0</v>
      </c>
      <c r="H139" s="41">
        <f t="shared" si="31"/>
        <v>0</v>
      </c>
      <c r="I139" s="41">
        <f t="shared" si="31"/>
        <v>0</v>
      </c>
      <c r="J139" s="41">
        <f t="shared" si="31"/>
        <v>0</v>
      </c>
      <c r="K139" s="41">
        <f t="shared" si="31"/>
        <v>0</v>
      </c>
      <c r="L139" s="41">
        <f t="shared" si="31"/>
        <v>0</v>
      </c>
      <c r="M139" s="41">
        <f t="shared" si="31"/>
        <v>0</v>
      </c>
      <c r="N139" s="41">
        <f t="shared" si="31"/>
        <v>0</v>
      </c>
      <c r="O139" s="41">
        <f t="shared" si="31"/>
        <v>0</v>
      </c>
      <c r="P139" s="41">
        <f t="shared" si="31"/>
        <v>0</v>
      </c>
      <c r="Q139" s="41">
        <f t="shared" si="31"/>
        <v>0</v>
      </c>
      <c r="R139" s="41">
        <f t="shared" si="31"/>
        <v>0</v>
      </c>
      <c r="S139" s="41">
        <f t="shared" si="31"/>
        <v>0</v>
      </c>
      <c r="T139" s="41">
        <f t="shared" si="24"/>
        <v>0</v>
      </c>
      <c r="U139" s="41"/>
      <c r="V139" s="41"/>
    </row>
    <row r="140" spans="1:22" x14ac:dyDescent="0.25">
      <c r="A140" s="11" t="s">
        <v>87</v>
      </c>
      <c r="B140" s="11" t="s">
        <v>882</v>
      </c>
      <c r="C140" s="11" t="s">
        <v>836</v>
      </c>
      <c r="D140" s="11" t="s">
        <v>884</v>
      </c>
      <c r="E140" s="41">
        <f t="shared" ref="E140:S140" si="32">IFERROR(((E44/E104)-1),"CHECK")</f>
        <v>0</v>
      </c>
      <c r="F140" s="41">
        <f t="shared" si="32"/>
        <v>0</v>
      </c>
      <c r="G140" s="41">
        <f t="shared" si="32"/>
        <v>0</v>
      </c>
      <c r="H140" s="41">
        <f t="shared" si="32"/>
        <v>0</v>
      </c>
      <c r="I140" s="41">
        <f t="shared" si="32"/>
        <v>0</v>
      </c>
      <c r="J140" s="41">
        <f t="shared" si="32"/>
        <v>0</v>
      </c>
      <c r="K140" s="41">
        <f t="shared" si="32"/>
        <v>0</v>
      </c>
      <c r="L140" s="41">
        <f t="shared" si="32"/>
        <v>0</v>
      </c>
      <c r="M140" s="41">
        <f t="shared" si="32"/>
        <v>0</v>
      </c>
      <c r="N140" s="41">
        <f t="shared" si="32"/>
        <v>0</v>
      </c>
      <c r="O140" s="41">
        <f t="shared" si="32"/>
        <v>0</v>
      </c>
      <c r="P140" s="41">
        <f t="shared" si="32"/>
        <v>0</v>
      </c>
      <c r="Q140" s="41">
        <f t="shared" si="32"/>
        <v>0</v>
      </c>
      <c r="R140" s="41">
        <f t="shared" si="32"/>
        <v>0</v>
      </c>
      <c r="S140" s="41">
        <f t="shared" si="32"/>
        <v>0</v>
      </c>
      <c r="T140" s="41">
        <f t="shared" si="24"/>
        <v>0</v>
      </c>
      <c r="U140" s="41"/>
      <c r="V140" s="41"/>
    </row>
  </sheetData>
  <mergeCells count="2">
    <mergeCell ref="C1:J1"/>
    <mergeCell ref="C2:J2"/>
  </mergeCells>
  <conditionalFormatting sqref="K2">
    <cfRule type="expression" dxfId="21" priority="2">
      <formula>(UPPER(LEFT(SUBSTITUTE($Z2,"#",""),5))="FIXCH")</formula>
    </cfRule>
    <cfRule type="expression" dxfId="20" priority="3">
      <formula>(UPPER(SUBSTITUTE($Z2,"#",""))="OK")</formula>
    </cfRule>
  </conditionalFormatting>
  <conditionalFormatting sqref="E110:S117 E132:S140 E121:S128">
    <cfRule type="colorScale" priority="4">
      <colorScale>
        <cfvo type="min"/>
        <cfvo type="num" val="0"/>
        <cfvo type="max"/>
        <color theme="3" tint="0.59999389629810485"/>
        <color theme="0"/>
        <color rgb="FFEE9CA4"/>
      </colorScale>
    </cfRule>
  </conditionalFormatting>
  <conditionalFormatting sqref="T110:V117 T132:V140 T121:V128">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C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C00-00005A000000}">
          <x14:colorSeries rgb="FF376092"/>
          <x14:colorNegative rgb="FFD00000"/>
          <x14:colorAxis rgb="FF000000"/>
          <x14:colorMarkers rgb="FFD00000"/>
          <x14:colorFirst rgb="FFD00000"/>
          <x14:colorLast rgb="FFD00000"/>
          <x14:colorHigh rgb="FFD00000"/>
          <x14:colorLow rgb="FFD00000"/>
          <x14:sparklines>
            <x14:sparkline>
              <xm:f>'2C1 Iron and Steel Production'!E96:T96</xm:f>
              <xm:sqref>W96</xm:sqref>
            </x14:sparkline>
            <x14:sparkline>
              <xm:f>'2C1 Iron and Steel Production'!E97:T97</xm:f>
              <xm:sqref>W97</xm:sqref>
            </x14:sparkline>
            <x14:sparkline>
              <xm:f>'2C1 Iron and Steel Production'!E98:T98</xm:f>
              <xm:sqref>W98</xm:sqref>
            </x14:sparkline>
            <x14:sparkline>
              <xm:f>'2C1 Iron and Steel Production'!E99:T99</xm:f>
              <xm:sqref>W99</xm:sqref>
            </x14:sparkline>
            <x14:sparkline>
              <xm:f>'2C1 Iron and Steel Production'!E100:T100</xm:f>
              <xm:sqref>W100</xm:sqref>
            </x14:sparkline>
            <x14:sparkline>
              <xm:f>'2C1 Iron and Steel Production'!E101:T101</xm:f>
              <xm:sqref>W101</xm:sqref>
            </x14:sparkline>
            <x14:sparkline>
              <xm:f>'2C1 Iron and Steel Production'!E102:T102</xm:f>
              <xm:sqref>W102</xm:sqref>
            </x14:sparkline>
            <x14:sparkline>
              <xm:f>'2C1 Iron and Steel Production'!E103:T103</xm:f>
              <xm:sqref>W103</xm:sqref>
            </x14:sparkline>
            <x14:sparkline>
              <xm:f>'2C1 Iron and Steel Production'!E104:T104</xm:f>
              <xm:sqref>W104</xm:sqref>
            </x14:sparkline>
          </x14:sparklines>
        </x14:sparklineGroup>
        <x14:sparklineGroup manualMax="0" manualMin="0" displayEmptyCellsAs="gap" xr2:uid="{00000000-0003-0000-1C00-000059000000}">
          <x14:colorSeries rgb="FF376092"/>
          <x14:colorNegative rgb="FFD00000"/>
          <x14:colorAxis rgb="FF000000"/>
          <x14:colorMarkers rgb="FFD00000"/>
          <x14:colorFirst rgb="FFD00000"/>
          <x14:colorLast rgb="FFD00000"/>
          <x14:colorHigh rgb="FFD00000"/>
          <x14:colorLow rgb="FFD00000"/>
          <x14:sparklines>
            <x14:sparkline>
              <xm:f>'2C1 Iron and Steel Production'!E74:T74</xm:f>
              <xm:sqref>W74</xm:sqref>
            </x14:sparkline>
            <x14:sparkline>
              <xm:f>'2C1 Iron and Steel Production'!E75:T75</xm:f>
              <xm:sqref>W75</xm:sqref>
            </x14:sparkline>
            <x14:sparkline>
              <xm:f>'2C1 Iron and Steel Production'!E76:T76</xm:f>
              <xm:sqref>W76</xm:sqref>
            </x14:sparkline>
            <x14:sparkline>
              <xm:f>'2C1 Iron and Steel Production'!E77:T77</xm:f>
              <xm:sqref>W77</xm:sqref>
            </x14:sparkline>
            <x14:sparkline>
              <xm:f>'2C1 Iron and Steel Production'!E78:T78</xm:f>
              <xm:sqref>W78</xm:sqref>
            </x14:sparkline>
            <x14:sparkline>
              <xm:f>'2C1 Iron and Steel Production'!E79:T79</xm:f>
              <xm:sqref>W79</xm:sqref>
            </x14:sparkline>
            <x14:sparkline>
              <xm:f>'2C1 Iron and Steel Production'!E80:T80</xm:f>
              <xm:sqref>W80</xm:sqref>
            </x14:sparkline>
            <x14:sparkline>
              <xm:f>'2C1 Iron and Steel Production'!E81:T81</xm:f>
              <xm:sqref>W81</xm:sqref>
            </x14:sparkline>
          </x14:sparklines>
        </x14:sparklineGroup>
        <x14:sparklineGroup manualMax="0" manualMin="0" displayEmptyCellsAs="gap" xr2:uid="{00000000-0003-0000-1C00-000058000000}">
          <x14:colorSeries rgb="FF376092"/>
          <x14:colorNegative rgb="FFD00000"/>
          <x14:colorAxis rgb="FF000000"/>
          <x14:colorMarkers rgb="FFD00000"/>
          <x14:colorFirst rgb="FFD00000"/>
          <x14:colorLast rgb="FFD00000"/>
          <x14:colorHigh rgb="FFD00000"/>
          <x14:colorLow rgb="FFD00000"/>
          <x14:sparklines>
            <x14:sparkline>
              <xm:f>'2C1 Iron and Steel Production'!E85:T85</xm:f>
              <xm:sqref>W85</xm:sqref>
            </x14:sparkline>
            <x14:sparkline>
              <xm:f>'2C1 Iron and Steel Production'!E86:T86</xm:f>
              <xm:sqref>W86</xm:sqref>
            </x14:sparkline>
            <x14:sparkline>
              <xm:f>'2C1 Iron and Steel Production'!E87:T87</xm:f>
              <xm:sqref>W87</xm:sqref>
            </x14:sparkline>
            <x14:sparkline>
              <xm:f>'2C1 Iron and Steel Production'!E88:T88</xm:f>
              <xm:sqref>W88</xm:sqref>
            </x14:sparkline>
            <x14:sparkline>
              <xm:f>'2C1 Iron and Steel Production'!E89:T89</xm:f>
              <xm:sqref>W89</xm:sqref>
            </x14:sparkline>
            <x14:sparkline>
              <xm:f>'2C1 Iron and Steel Production'!E90:T90</xm:f>
              <xm:sqref>W90</xm:sqref>
            </x14:sparkline>
            <x14:sparkline>
              <xm:f>'2C1 Iron and Steel Production'!E91:T91</xm:f>
              <xm:sqref>W91</xm:sqref>
            </x14:sparkline>
            <x14:sparkline>
              <xm:f>'2C1 Iron and Steel Production'!E92:T92</xm:f>
              <xm:sqref>W92</xm:sqref>
            </x14:sparkline>
          </x14:sparklines>
        </x14:sparklineGroup>
        <x14:sparklineGroup manualMax="0" manualMin="0" displayEmptyCellsAs="gap" xr2:uid="{00000000-0003-0000-1C00-000057000000}">
          <x14:colorSeries rgb="FF376092"/>
          <x14:colorNegative rgb="FFD00000"/>
          <x14:colorAxis rgb="FF000000"/>
          <x14:colorMarkers rgb="FFD00000"/>
          <x14:colorFirst rgb="FFD00000"/>
          <x14:colorLast rgb="FFD00000"/>
          <x14:colorHigh rgb="FFD00000"/>
          <x14:colorLow rgb="FFD00000"/>
          <x14:sparklines>
            <x14:sparkline>
              <xm:f>'2C1 Iron and Steel Production'!E25:V25</xm:f>
              <xm:sqref>W25</xm:sqref>
            </x14:sparkline>
            <x14:sparkline>
              <xm:f>'2C1 Iron and Steel Production'!E26:V26</xm:f>
              <xm:sqref>W26</xm:sqref>
            </x14:sparkline>
            <x14:sparkline>
              <xm:f>'2C1 Iron and Steel Production'!E27:V27</xm:f>
              <xm:sqref>W27</xm:sqref>
            </x14:sparkline>
            <x14:sparkline>
              <xm:f>'2C1 Iron and Steel Production'!E28:V28</xm:f>
              <xm:sqref>W28</xm:sqref>
            </x14:sparkline>
            <x14:sparkline>
              <xm:f>'2C1 Iron and Steel Production'!E29:V29</xm:f>
              <xm:sqref>W29</xm:sqref>
            </x14:sparkline>
            <x14:sparkline>
              <xm:f>'2C1 Iron and Steel Production'!E30:V30</xm:f>
              <xm:sqref>W30</xm:sqref>
            </x14:sparkline>
            <x14:sparkline>
              <xm:f>'2C1 Iron and Steel Production'!E31:V31</xm:f>
              <xm:sqref>W31</xm:sqref>
            </x14:sparkline>
            <x14:sparkline>
              <xm:f>'2C1 Iron and Steel Production'!E32:V32</xm:f>
              <xm:sqref>W32</xm:sqref>
            </x14:sparkline>
          </x14:sparklines>
        </x14:sparklineGroup>
        <x14:sparklineGroup manualMax="0" manualMin="0" displayEmptyCellsAs="gap" xr2:uid="{00000000-0003-0000-1C00-000056000000}">
          <x14:colorSeries rgb="FF376092"/>
          <x14:colorNegative rgb="FFD00000"/>
          <x14:colorAxis rgb="FF000000"/>
          <x14:colorMarkers rgb="FFD00000"/>
          <x14:colorFirst rgb="FFD00000"/>
          <x14:colorLast rgb="FFD00000"/>
          <x14:colorHigh rgb="FFD00000"/>
          <x14:colorLow rgb="FFD00000"/>
          <x14:sparklines>
            <x14:sparkline>
              <xm:f>'2C1 Iron and Steel Production'!E14:V14</xm:f>
              <xm:sqref>W14</xm:sqref>
            </x14:sparkline>
            <x14:sparkline>
              <xm:f>'2C1 Iron and Steel Production'!E15:V15</xm:f>
              <xm:sqref>W15</xm:sqref>
            </x14:sparkline>
            <x14:sparkline>
              <xm:f>'2C1 Iron and Steel Production'!E16:V16</xm:f>
              <xm:sqref>W16</xm:sqref>
            </x14:sparkline>
            <x14:sparkline>
              <xm:f>'2C1 Iron and Steel Production'!E17:V17</xm:f>
              <xm:sqref>W17</xm:sqref>
            </x14:sparkline>
            <x14:sparkline>
              <xm:f>'2C1 Iron and Steel Production'!E18:V18</xm:f>
              <xm:sqref>W18</xm:sqref>
            </x14:sparkline>
            <x14:sparkline>
              <xm:f>'2C1 Iron and Steel Production'!E19:V19</xm:f>
              <xm:sqref>W19</xm:sqref>
            </x14:sparkline>
            <x14:sparkline>
              <xm:f>'2C1 Iron and Steel Production'!E20:V20</xm:f>
              <xm:sqref>W20</xm:sqref>
            </x14:sparkline>
            <x14:sparkline>
              <xm:f>'2C1 Iron and Steel Production'!E21:V21</xm:f>
              <xm:sqref>W21</xm:sqref>
            </x14:sparkline>
          </x14:sparklines>
        </x14:sparklineGroup>
        <x14:sparklineGroup manualMax="0" manualMin="0" displayEmptyCellsAs="gap" xr2:uid="{00000000-0003-0000-1C00-000055000000}">
          <x14:colorSeries rgb="FF376092"/>
          <x14:colorNegative rgb="FFD00000"/>
          <x14:colorAxis rgb="FF000000"/>
          <x14:colorMarkers rgb="FFD00000"/>
          <x14:colorFirst rgb="FFD00000"/>
          <x14:colorLast rgb="FFD00000"/>
          <x14:colorHigh rgb="FFD00000"/>
          <x14:colorLow rgb="FFD00000"/>
          <x14:sparklines>
            <x14:sparkline>
              <xm:f>'2C1 Iron and Steel Production'!E36:V36</xm:f>
              <xm:sqref>W36</xm:sqref>
            </x14:sparkline>
            <x14:sparkline>
              <xm:f>'2C1 Iron and Steel Production'!E37:V37</xm:f>
              <xm:sqref>W37</xm:sqref>
            </x14:sparkline>
            <x14:sparkline>
              <xm:f>'2C1 Iron and Steel Production'!E38:V38</xm:f>
              <xm:sqref>W38</xm:sqref>
            </x14:sparkline>
            <x14:sparkline>
              <xm:f>'2C1 Iron and Steel Production'!E39:V39</xm:f>
              <xm:sqref>W39</xm:sqref>
            </x14:sparkline>
            <x14:sparkline>
              <xm:f>'2C1 Iron and Steel Production'!E40:V40</xm:f>
              <xm:sqref>W40</xm:sqref>
            </x14:sparkline>
            <x14:sparkline>
              <xm:f>'2C1 Iron and Steel Production'!E41:V41</xm:f>
              <xm:sqref>W41</xm:sqref>
            </x14:sparkline>
            <x14:sparkline>
              <xm:f>'2C1 Iron and Steel Production'!E42:V42</xm:f>
              <xm:sqref>W42</xm:sqref>
            </x14:sparkline>
            <x14:sparkline>
              <xm:f>'2C1 Iron and Steel Production'!E43:V43</xm:f>
              <xm:sqref>W43</xm:sqref>
            </x14:sparkline>
            <x14:sparkline>
              <xm:f>'2C1 Iron and Steel Production'!E44:V44</xm:f>
              <xm:sqref>W44</xm:sqref>
            </x14:sparkline>
          </x14:sparklines>
        </x14:sparklineGroup>
      </x14:sparklineGroup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
    <tabColor theme="3" tint="0.79998168889431442"/>
  </sheetPr>
  <dimension ref="A1:Y131"/>
  <sheetViews>
    <sheetView zoomScale="90" zoomScaleNormal="90"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2C2 Ferroalloys Production</v>
      </c>
      <c r="C1" s="261" t="s">
        <v>856</v>
      </c>
      <c r="D1" s="262"/>
      <c r="E1" s="262"/>
      <c r="F1" s="262"/>
      <c r="G1" s="262"/>
      <c r="H1" s="262"/>
      <c r="I1" s="262"/>
      <c r="J1" s="263"/>
      <c r="K1" s="14"/>
    </row>
    <row r="2" spans="1:25" ht="49.5" customHeight="1" x14ac:dyDescent="0.25">
      <c r="A2" s="15" t="s">
        <v>736</v>
      </c>
      <c r="B2" s="33" t="s">
        <v>857</v>
      </c>
      <c r="C2" s="264" t="s">
        <v>1036</v>
      </c>
      <c r="D2" s="265"/>
      <c r="E2" s="265"/>
      <c r="F2" s="265"/>
      <c r="G2" s="265"/>
      <c r="H2" s="265"/>
      <c r="I2" s="265"/>
      <c r="J2" s="266"/>
      <c r="K2" s="14"/>
    </row>
    <row r="3" spans="1:25" x14ac:dyDescent="0.25">
      <c r="A3" s="15" t="s">
        <v>858</v>
      </c>
      <c r="B3" s="33" t="s">
        <v>1037</v>
      </c>
      <c r="C3" s="16"/>
      <c r="D3" s="17"/>
      <c r="E3" s="17"/>
      <c r="F3" s="17"/>
      <c r="G3" s="17"/>
      <c r="H3" s="17"/>
      <c r="I3" s="17"/>
      <c r="J3" s="18"/>
    </row>
    <row r="4" spans="1:25" x14ac:dyDescent="0.25">
      <c r="A4" s="15" t="s">
        <v>860</v>
      </c>
      <c r="B4" s="33" t="s">
        <v>938</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1038</v>
      </c>
      <c r="B14" t="s">
        <v>1039</v>
      </c>
      <c r="D14" t="s">
        <v>892</v>
      </c>
      <c r="E14" s="114">
        <v>2574000</v>
      </c>
      <c r="F14" s="114">
        <v>2141000</v>
      </c>
      <c r="G14" s="114">
        <v>2351000</v>
      </c>
      <c r="H14" s="114">
        <v>2813000</v>
      </c>
      <c r="I14" s="114">
        <v>3032000</v>
      </c>
      <c r="J14" s="114">
        <v>2802000</v>
      </c>
      <c r="K14" s="114">
        <v>3030000</v>
      </c>
      <c r="L14" s="114">
        <v>3561000</v>
      </c>
      <c r="M14" s="114">
        <v>3269000</v>
      </c>
      <c r="N14" s="114">
        <v>2346000</v>
      </c>
      <c r="O14" s="114">
        <v>3607000</v>
      </c>
      <c r="P14" s="114">
        <v>3422000</v>
      </c>
      <c r="Q14" s="114">
        <v>3063000</v>
      </c>
      <c r="R14" s="114">
        <v>3219000</v>
      </c>
      <c r="S14" s="114">
        <v>3719000</v>
      </c>
      <c r="T14" s="114">
        <v>3685000</v>
      </c>
      <c r="U14" s="183">
        <f>-2348.7*17^2+118440*17+2*10^6</f>
        <v>3334705.7</v>
      </c>
      <c r="V14" s="183">
        <f>-2348.7*18^2+118440*18+2*10^6</f>
        <v>3370941.2</v>
      </c>
      <c r="Y14" t="s">
        <v>43</v>
      </c>
    </row>
    <row r="15" spans="1:25" x14ac:dyDescent="0.25">
      <c r="A15" t="s">
        <v>1038</v>
      </c>
      <c r="B15" t="s">
        <v>1040</v>
      </c>
      <c r="D15" t="s">
        <v>892</v>
      </c>
      <c r="E15" s="114">
        <v>596873</v>
      </c>
      <c r="F15" s="114">
        <v>523844</v>
      </c>
      <c r="G15" s="114">
        <v>618954</v>
      </c>
      <c r="H15" s="114">
        <v>607362</v>
      </c>
      <c r="I15" s="114">
        <v>611914</v>
      </c>
      <c r="J15" s="114">
        <v>570574</v>
      </c>
      <c r="K15" s="114">
        <v>656235</v>
      </c>
      <c r="L15" s="114">
        <v>698654</v>
      </c>
      <c r="M15" s="114">
        <v>502631</v>
      </c>
      <c r="N15" s="114">
        <v>274923</v>
      </c>
      <c r="O15" s="114">
        <v>473000</v>
      </c>
      <c r="P15" s="114">
        <v>714000</v>
      </c>
      <c r="Q15" s="114">
        <v>706000</v>
      </c>
      <c r="R15" s="114">
        <v>681000</v>
      </c>
      <c r="S15" s="114">
        <v>814263</v>
      </c>
      <c r="T15" s="114">
        <v>492000</v>
      </c>
      <c r="U15" s="183">
        <f>1066.4*17^2-14218*17+617533</f>
        <v>684016.60000000009</v>
      </c>
      <c r="V15" s="183">
        <f>1066.4*18^2-14218*18+617533</f>
        <v>707122.60000000009</v>
      </c>
      <c r="Y15" t="s">
        <v>43</v>
      </c>
    </row>
    <row r="16" spans="1:25" x14ac:dyDescent="0.25">
      <c r="A16" t="s">
        <v>1038</v>
      </c>
      <c r="B16" t="s">
        <v>1041</v>
      </c>
      <c r="D16" t="s">
        <v>892</v>
      </c>
      <c r="E16" s="114">
        <v>310400</v>
      </c>
      <c r="F16" s="114">
        <v>259176</v>
      </c>
      <c r="G16" s="114">
        <v>315802</v>
      </c>
      <c r="H16" s="114">
        <v>313152</v>
      </c>
      <c r="I16" s="114">
        <v>373928</v>
      </c>
      <c r="J16" s="114">
        <v>275324</v>
      </c>
      <c r="K16" s="114">
        <v>277703</v>
      </c>
      <c r="L16" s="114">
        <v>327794</v>
      </c>
      <c r="M16" s="114">
        <v>259014</v>
      </c>
      <c r="N16" s="114">
        <v>117683</v>
      </c>
      <c r="O16" s="114">
        <v>317000</v>
      </c>
      <c r="P16" s="114">
        <v>350000</v>
      </c>
      <c r="Q16" s="114">
        <v>177000</v>
      </c>
      <c r="R16" s="114">
        <v>163000</v>
      </c>
      <c r="S16" s="114">
        <v>194737</v>
      </c>
      <c r="T16" s="114">
        <v>123000</v>
      </c>
      <c r="U16" s="183">
        <f>368929*EXP(-0.048*17)</f>
        <v>163139.26354372373</v>
      </c>
      <c r="V16" s="183">
        <f>368929*EXP(-0.048*18)</f>
        <v>155493.5440824645</v>
      </c>
      <c r="Y16" t="s">
        <v>43</v>
      </c>
    </row>
    <row r="17" spans="1:25" x14ac:dyDescent="0.25">
      <c r="A17" t="s">
        <v>1038</v>
      </c>
      <c r="B17" t="s">
        <v>1042</v>
      </c>
      <c r="D17" t="s">
        <v>892</v>
      </c>
      <c r="E17" s="114">
        <v>108500</v>
      </c>
      <c r="F17" s="114">
        <v>107600</v>
      </c>
      <c r="G17" s="114">
        <v>141700</v>
      </c>
      <c r="H17" s="114">
        <v>135300</v>
      </c>
      <c r="I17" s="114">
        <v>140600</v>
      </c>
      <c r="J17" s="114">
        <v>127000</v>
      </c>
      <c r="K17" s="114">
        <v>148900</v>
      </c>
      <c r="L17" s="114">
        <v>139600</v>
      </c>
      <c r="M17" s="114">
        <v>134500</v>
      </c>
      <c r="N17" s="114">
        <v>110400</v>
      </c>
      <c r="O17" s="114">
        <v>127700</v>
      </c>
      <c r="P17" s="114">
        <v>126200</v>
      </c>
      <c r="Q17" s="114">
        <v>83100</v>
      </c>
      <c r="R17" s="114">
        <v>78400</v>
      </c>
      <c r="S17" s="114">
        <v>87700</v>
      </c>
      <c r="T17" s="114">
        <v>138000</v>
      </c>
      <c r="U17" s="114">
        <f>-1765*17+135953</f>
        <v>105948</v>
      </c>
      <c r="V17" s="114">
        <f>-1765*18+135953</f>
        <v>104183</v>
      </c>
      <c r="Y17" t="s">
        <v>43</v>
      </c>
    </row>
    <row r="18" spans="1:25" x14ac:dyDescent="0.25">
      <c r="A18" t="s">
        <v>1038</v>
      </c>
      <c r="B18" t="s">
        <v>1043</v>
      </c>
      <c r="D18" t="s">
        <v>892</v>
      </c>
      <c r="E18" s="114">
        <v>40600</v>
      </c>
      <c r="F18" s="114">
        <v>39400</v>
      </c>
      <c r="G18" s="114">
        <v>42500</v>
      </c>
      <c r="H18" s="114">
        <v>48500</v>
      </c>
      <c r="I18" s="114">
        <v>50500</v>
      </c>
      <c r="J18" s="114">
        <v>53500</v>
      </c>
      <c r="K18" s="114">
        <v>53300</v>
      </c>
      <c r="L18" s="114">
        <v>50300</v>
      </c>
      <c r="M18" s="114">
        <v>51800</v>
      </c>
      <c r="N18" s="114">
        <v>38600</v>
      </c>
      <c r="O18" s="114">
        <v>46400</v>
      </c>
      <c r="P18" s="114">
        <v>58800</v>
      </c>
      <c r="Q18" s="114">
        <v>53000</v>
      </c>
      <c r="R18" s="114">
        <v>34000</v>
      </c>
      <c r="S18" s="114">
        <v>47200</v>
      </c>
      <c r="T18" s="114">
        <v>42600</v>
      </c>
      <c r="U18" s="183">
        <f>-184.66*17^2+3225.2*17+36790</f>
        <v>38251.659999999996</v>
      </c>
      <c r="V18" s="183">
        <f>-184.66*18^2+3225.2*18+36790</f>
        <v>35013.760000000002</v>
      </c>
      <c r="Y18" t="s">
        <v>43</v>
      </c>
    </row>
    <row r="20" spans="1:25" s="5" customFormat="1" ht="21" x14ac:dyDescent="0.35">
      <c r="B20" s="6" t="s">
        <v>950</v>
      </c>
      <c r="E20" s="5" t="s">
        <v>951</v>
      </c>
    </row>
    <row r="22" spans="1:25" x14ac:dyDescent="0.25">
      <c r="A22" t="s">
        <v>1038</v>
      </c>
      <c r="B22" t="s">
        <v>1044</v>
      </c>
      <c r="C22" t="s">
        <v>836</v>
      </c>
      <c r="D22" t="s">
        <v>970</v>
      </c>
      <c r="E22" s="114"/>
      <c r="F22" s="114"/>
      <c r="G22" s="114"/>
      <c r="H22" s="114"/>
      <c r="I22" s="114"/>
      <c r="J22" s="114"/>
      <c r="K22" s="114"/>
      <c r="L22" s="114"/>
      <c r="M22" s="114"/>
      <c r="N22" s="114"/>
      <c r="O22" s="114"/>
      <c r="P22" s="114"/>
      <c r="Q22" s="114"/>
      <c r="R22" s="131">
        <f>+(Q32/Q14)*1000</f>
        <v>3.2245200000000001</v>
      </c>
      <c r="S22" s="131">
        <v>3.2245200000000001</v>
      </c>
      <c r="T22" s="131">
        <v>3.2245200000000001</v>
      </c>
      <c r="U22" s="131">
        <f>+(T32/T14)*1000</f>
        <v>3.2245200000000005</v>
      </c>
      <c r="V22" s="131">
        <v>3.2245200000000001</v>
      </c>
      <c r="Y22" t="s">
        <v>115</v>
      </c>
    </row>
    <row r="23" spans="1:25" x14ac:dyDescent="0.25">
      <c r="A23" t="s">
        <v>1038</v>
      </c>
      <c r="B23" t="s">
        <v>1045</v>
      </c>
      <c r="C23" t="s">
        <v>836</v>
      </c>
      <c r="D23" t="s">
        <v>970</v>
      </c>
      <c r="E23" s="205">
        <v>1.3</v>
      </c>
      <c r="F23" s="205">
        <v>1.3</v>
      </c>
      <c r="G23" s="205">
        <v>1.3</v>
      </c>
      <c r="H23" s="205">
        <v>1.3</v>
      </c>
      <c r="I23" s="205">
        <v>1.3</v>
      </c>
      <c r="J23" s="205">
        <v>1.3</v>
      </c>
      <c r="K23" s="205">
        <v>1.3</v>
      </c>
      <c r="L23" s="205">
        <v>1.3</v>
      </c>
      <c r="M23" s="205">
        <v>1.3</v>
      </c>
      <c r="N23" s="205">
        <v>1.3</v>
      </c>
      <c r="O23" s="205">
        <v>1.3</v>
      </c>
      <c r="P23" s="205">
        <v>1.3</v>
      </c>
      <c r="Q23" s="205">
        <v>1.3</v>
      </c>
      <c r="R23" s="205">
        <v>1.3</v>
      </c>
      <c r="S23" s="205">
        <v>1.3</v>
      </c>
      <c r="T23" s="205">
        <v>1.3</v>
      </c>
      <c r="U23" s="205">
        <v>1.3</v>
      </c>
      <c r="V23" s="205">
        <v>1.3</v>
      </c>
      <c r="Y23" t="s">
        <v>116</v>
      </c>
    </row>
    <row r="24" spans="1:25" x14ac:dyDescent="0.25">
      <c r="A24" t="s">
        <v>1038</v>
      </c>
      <c r="B24" t="s">
        <v>1046</v>
      </c>
      <c r="C24" t="s">
        <v>836</v>
      </c>
      <c r="D24" t="s">
        <v>970</v>
      </c>
      <c r="E24" s="205">
        <v>1.5</v>
      </c>
      <c r="F24" s="205">
        <v>1.5</v>
      </c>
      <c r="G24" s="205">
        <v>1.5</v>
      </c>
      <c r="H24" s="205">
        <v>1.5</v>
      </c>
      <c r="I24" s="205">
        <v>1.5</v>
      </c>
      <c r="J24" s="205">
        <v>1.5</v>
      </c>
      <c r="K24" s="205">
        <v>1.5</v>
      </c>
      <c r="L24" s="205">
        <v>1.5</v>
      </c>
      <c r="M24" s="205">
        <v>1.5</v>
      </c>
      <c r="N24" s="205">
        <v>1.5</v>
      </c>
      <c r="O24" s="205">
        <v>1.5</v>
      </c>
      <c r="P24" s="205">
        <v>1.5</v>
      </c>
      <c r="Q24" s="205">
        <v>1.5</v>
      </c>
      <c r="R24" s="205">
        <v>1.5</v>
      </c>
      <c r="S24" s="205">
        <v>1.5</v>
      </c>
      <c r="T24" s="205">
        <v>1.5</v>
      </c>
      <c r="U24" s="205">
        <v>1.5</v>
      </c>
      <c r="V24" s="205">
        <v>1.5</v>
      </c>
      <c r="Y24" t="s">
        <v>116</v>
      </c>
    </row>
    <row r="25" spans="1:25" x14ac:dyDescent="0.25">
      <c r="A25" t="s">
        <v>1038</v>
      </c>
      <c r="B25" t="s">
        <v>1047</v>
      </c>
      <c r="C25" t="s">
        <v>836</v>
      </c>
      <c r="D25" t="s">
        <v>970</v>
      </c>
      <c r="E25" s="205">
        <v>3.6</v>
      </c>
      <c r="F25" s="205">
        <v>3.6</v>
      </c>
      <c r="G25" s="205">
        <v>3.6</v>
      </c>
      <c r="H25" s="205">
        <v>3.6</v>
      </c>
      <c r="I25" s="205">
        <v>3.6</v>
      </c>
      <c r="J25" s="205">
        <v>3.6</v>
      </c>
      <c r="K25" s="205">
        <v>3.6</v>
      </c>
      <c r="L25" s="205">
        <v>3.6</v>
      </c>
      <c r="M25" s="205">
        <v>3.6</v>
      </c>
      <c r="N25" s="205">
        <v>3.6</v>
      </c>
      <c r="O25" s="205">
        <v>3.6</v>
      </c>
      <c r="P25" s="205">
        <v>3.6</v>
      </c>
      <c r="Q25" s="205">
        <v>3.6</v>
      </c>
      <c r="R25" s="205">
        <v>3.6</v>
      </c>
      <c r="S25" s="205">
        <v>3.6</v>
      </c>
      <c r="T25" s="205">
        <v>3.6</v>
      </c>
      <c r="U25" s="205">
        <v>3.6</v>
      </c>
      <c r="V25" s="205">
        <v>3.6</v>
      </c>
      <c r="Y25" t="s">
        <v>116</v>
      </c>
    </row>
    <row r="26" spans="1:25" x14ac:dyDescent="0.25">
      <c r="A26" t="s">
        <v>1038</v>
      </c>
      <c r="B26" t="s">
        <v>1048</v>
      </c>
      <c r="C26" t="s">
        <v>836</v>
      </c>
      <c r="D26" t="s">
        <v>970</v>
      </c>
      <c r="E26" s="205">
        <v>5</v>
      </c>
      <c r="F26" s="205">
        <v>5</v>
      </c>
      <c r="G26" s="205">
        <v>5</v>
      </c>
      <c r="H26" s="205">
        <v>5</v>
      </c>
      <c r="I26" s="205">
        <v>5</v>
      </c>
      <c r="J26" s="205">
        <v>5</v>
      </c>
      <c r="K26" s="205">
        <v>5</v>
      </c>
      <c r="L26" s="205">
        <v>5</v>
      </c>
      <c r="M26" s="205">
        <v>5</v>
      </c>
      <c r="N26" s="205">
        <v>5</v>
      </c>
      <c r="O26" s="205">
        <v>5</v>
      </c>
      <c r="P26" s="205">
        <v>5</v>
      </c>
      <c r="Q26" s="205">
        <v>5</v>
      </c>
      <c r="R26" s="205">
        <v>5</v>
      </c>
      <c r="S26" s="205">
        <v>5</v>
      </c>
      <c r="T26" s="205">
        <v>5</v>
      </c>
      <c r="U26" s="205">
        <v>5</v>
      </c>
      <c r="V26" s="205">
        <v>5</v>
      </c>
      <c r="Y26" t="s">
        <v>116</v>
      </c>
    </row>
    <row r="27" spans="1:25" x14ac:dyDescent="0.25">
      <c r="A27" t="s">
        <v>1038</v>
      </c>
      <c r="B27" t="s">
        <v>1049</v>
      </c>
      <c r="C27" t="s">
        <v>486</v>
      </c>
      <c r="D27" t="s">
        <v>1050</v>
      </c>
      <c r="E27" s="205">
        <v>1</v>
      </c>
      <c r="F27" s="205">
        <v>1</v>
      </c>
      <c r="G27" s="205">
        <v>1</v>
      </c>
      <c r="H27" s="205">
        <v>1</v>
      </c>
      <c r="I27" s="205">
        <v>1</v>
      </c>
      <c r="J27" s="205">
        <v>1</v>
      </c>
      <c r="K27" s="205">
        <v>1</v>
      </c>
      <c r="L27" s="205">
        <v>1</v>
      </c>
      <c r="M27" s="205">
        <v>1</v>
      </c>
      <c r="N27" s="205">
        <v>1</v>
      </c>
      <c r="O27" s="205">
        <v>1</v>
      </c>
      <c r="P27" s="205">
        <v>1</v>
      </c>
      <c r="Q27" s="205">
        <v>1</v>
      </c>
      <c r="R27" s="205">
        <v>1</v>
      </c>
      <c r="S27" s="205">
        <v>1</v>
      </c>
      <c r="T27" s="205">
        <v>1</v>
      </c>
      <c r="U27" s="205">
        <v>1</v>
      </c>
      <c r="V27" s="205">
        <v>1</v>
      </c>
      <c r="Y27" t="s">
        <v>117</v>
      </c>
    </row>
    <row r="28" spans="1:25" x14ac:dyDescent="0.25">
      <c r="A28" t="s">
        <v>1038</v>
      </c>
      <c r="B28" t="s">
        <v>1051</v>
      </c>
      <c r="C28" t="s">
        <v>486</v>
      </c>
      <c r="D28" t="s">
        <v>1050</v>
      </c>
      <c r="E28" s="205">
        <v>1.2</v>
      </c>
      <c r="F28" s="205">
        <v>1.2</v>
      </c>
      <c r="G28" s="205">
        <v>1.2</v>
      </c>
      <c r="H28" s="205">
        <v>1.2</v>
      </c>
      <c r="I28" s="205">
        <v>1.2</v>
      </c>
      <c r="J28" s="205">
        <v>1.2</v>
      </c>
      <c r="K28" s="205">
        <v>1.2</v>
      </c>
      <c r="L28" s="205">
        <v>1.2</v>
      </c>
      <c r="M28" s="205">
        <v>1.2</v>
      </c>
      <c r="N28" s="205">
        <v>1.2</v>
      </c>
      <c r="O28" s="205">
        <v>1.2</v>
      </c>
      <c r="P28" s="205">
        <v>1.2</v>
      </c>
      <c r="Q28" s="205">
        <v>1.2</v>
      </c>
      <c r="R28" s="205">
        <v>1.2</v>
      </c>
      <c r="S28" s="205">
        <v>1.2</v>
      </c>
      <c r="T28" s="205">
        <v>1.2</v>
      </c>
      <c r="U28" s="205">
        <v>1.2</v>
      </c>
      <c r="V28" s="205">
        <v>1.2</v>
      </c>
      <c r="Y28" t="s">
        <v>117</v>
      </c>
    </row>
    <row r="30" spans="1:25" s="5" customFormat="1" ht="21" x14ac:dyDescent="0.35">
      <c r="B30" s="6" t="s">
        <v>619</v>
      </c>
      <c r="E30" s="5" t="s">
        <v>881</v>
      </c>
    </row>
    <row r="32" spans="1:25" x14ac:dyDescent="0.25">
      <c r="A32" t="s">
        <v>1038</v>
      </c>
      <c r="B32" t="s">
        <v>1039</v>
      </c>
      <c r="C32" t="s">
        <v>836</v>
      </c>
      <c r="D32" t="s">
        <v>884</v>
      </c>
      <c r="E32" s="114">
        <v>6244.0092000000004</v>
      </c>
      <c r="F32" s="114">
        <v>6541.8254999999999</v>
      </c>
      <c r="G32" s="114">
        <v>6969.3043999999991</v>
      </c>
      <c r="H32" s="114">
        <v>7167.5240000000003</v>
      </c>
      <c r="I32" s="114">
        <v>7167.6480000000001</v>
      </c>
      <c r="J32" s="114">
        <v>7504.5966000000008</v>
      </c>
      <c r="K32" s="114">
        <v>7991.6250000000009</v>
      </c>
      <c r="L32" s="114">
        <v>9091.9452000000001</v>
      </c>
      <c r="M32" s="114">
        <v>9390.2024999999994</v>
      </c>
      <c r="N32" s="114">
        <v>10065.043800000001</v>
      </c>
      <c r="O32" s="114">
        <v>10036.116800000002</v>
      </c>
      <c r="P32" s="114">
        <v>10035.5283</v>
      </c>
      <c r="Q32" s="114">
        <v>9876.7047600000005</v>
      </c>
      <c r="R32" s="117">
        <f>(R14*R22)/1000</f>
        <v>10379.729880000001</v>
      </c>
      <c r="S32" s="117">
        <f>(S14*S22)/1000</f>
        <v>11991.989880000001</v>
      </c>
      <c r="T32" s="117">
        <f>(T14*T22)/1000</f>
        <v>11882.356200000002</v>
      </c>
      <c r="U32" s="117">
        <f>(U14*U22)/1000</f>
        <v>10752.825223764003</v>
      </c>
      <c r="V32" s="117">
        <f>(V14*V22)/1000</f>
        <v>10869.667318224001</v>
      </c>
      <c r="Y32" t="s">
        <v>118</v>
      </c>
    </row>
    <row r="33" spans="1:23" x14ac:dyDescent="0.25">
      <c r="A33" t="s">
        <v>1038</v>
      </c>
      <c r="B33" t="s">
        <v>1040</v>
      </c>
      <c r="C33" t="s">
        <v>836</v>
      </c>
      <c r="D33" t="s">
        <v>884</v>
      </c>
      <c r="E33" s="117">
        <f t="shared" ref="E33:S33" si="0">(E15*E23)/1000</f>
        <v>775.93489999999997</v>
      </c>
      <c r="F33" s="117">
        <f t="shared" si="0"/>
        <v>680.99720000000002</v>
      </c>
      <c r="G33" s="117">
        <f t="shared" si="0"/>
        <v>804.64020000000005</v>
      </c>
      <c r="H33" s="117">
        <f t="shared" si="0"/>
        <v>789.57060000000001</v>
      </c>
      <c r="I33" s="117">
        <f t="shared" si="0"/>
        <v>795.48820000000012</v>
      </c>
      <c r="J33" s="117">
        <f t="shared" si="0"/>
        <v>741.74620000000004</v>
      </c>
      <c r="K33" s="117">
        <f t="shared" si="0"/>
        <v>853.10550000000001</v>
      </c>
      <c r="L33" s="117">
        <f t="shared" si="0"/>
        <v>908.25020000000006</v>
      </c>
      <c r="M33" s="117">
        <f t="shared" si="0"/>
        <v>653.4203</v>
      </c>
      <c r="N33" s="117">
        <f t="shared" si="0"/>
        <v>357.3999</v>
      </c>
      <c r="O33" s="117">
        <f t="shared" si="0"/>
        <v>614.9</v>
      </c>
      <c r="P33" s="117">
        <f t="shared" si="0"/>
        <v>928.2</v>
      </c>
      <c r="Q33" s="117">
        <f t="shared" si="0"/>
        <v>917.8</v>
      </c>
      <c r="R33" s="117">
        <f t="shared" si="0"/>
        <v>885.3</v>
      </c>
      <c r="S33" s="117">
        <f t="shared" si="0"/>
        <v>1058.5419000000002</v>
      </c>
      <c r="T33" s="117">
        <f>(T15*T23)/1000</f>
        <v>639.6</v>
      </c>
      <c r="U33" s="117">
        <f t="shared" ref="U33:V33" si="1">(U15*U23)/1000</f>
        <v>889.22158000000024</v>
      </c>
      <c r="V33" s="117">
        <f t="shared" si="1"/>
        <v>919.25938000000008</v>
      </c>
    </row>
    <row r="34" spans="1:23" x14ac:dyDescent="0.25">
      <c r="A34" t="s">
        <v>1038</v>
      </c>
      <c r="B34" t="s">
        <v>1041</v>
      </c>
      <c r="C34" t="s">
        <v>836</v>
      </c>
      <c r="D34" t="s">
        <v>884</v>
      </c>
      <c r="E34" s="117">
        <f t="shared" ref="E34:S34" si="2">(E16*E24)/1000</f>
        <v>465.6</v>
      </c>
      <c r="F34" s="117">
        <f t="shared" si="2"/>
        <v>388.76400000000001</v>
      </c>
      <c r="G34" s="117">
        <f t="shared" si="2"/>
        <v>473.70299999999997</v>
      </c>
      <c r="H34" s="117">
        <f t="shared" si="2"/>
        <v>469.72800000000001</v>
      </c>
      <c r="I34" s="117">
        <f t="shared" si="2"/>
        <v>560.89200000000005</v>
      </c>
      <c r="J34" s="117">
        <f t="shared" si="2"/>
        <v>412.98599999999999</v>
      </c>
      <c r="K34" s="117">
        <f t="shared" si="2"/>
        <v>416.55450000000002</v>
      </c>
      <c r="L34" s="117">
        <f t="shared" si="2"/>
        <v>491.69099999999997</v>
      </c>
      <c r="M34" s="117">
        <f t="shared" si="2"/>
        <v>388.52100000000002</v>
      </c>
      <c r="N34" s="117">
        <f t="shared" si="2"/>
        <v>176.52449999999999</v>
      </c>
      <c r="O34" s="117">
        <f t="shared" si="2"/>
        <v>475.5</v>
      </c>
      <c r="P34" s="117">
        <f t="shared" si="2"/>
        <v>525</v>
      </c>
      <c r="Q34" s="117">
        <f t="shared" si="2"/>
        <v>265.5</v>
      </c>
      <c r="R34" s="117">
        <f t="shared" si="2"/>
        <v>244.5</v>
      </c>
      <c r="S34" s="117">
        <f t="shared" si="2"/>
        <v>292.10550000000001</v>
      </c>
      <c r="T34" s="117">
        <f>(T16*T24)/1000</f>
        <v>184.5</v>
      </c>
      <c r="U34" s="117">
        <f t="shared" ref="U34:V34" si="3">(U16*U24)/1000</f>
        <v>244.70889531558561</v>
      </c>
      <c r="V34" s="117">
        <f t="shared" si="3"/>
        <v>233.24031612369674</v>
      </c>
    </row>
    <row r="35" spans="1:23" x14ac:dyDescent="0.25">
      <c r="A35" t="s">
        <v>1038</v>
      </c>
      <c r="B35" t="s">
        <v>1042</v>
      </c>
      <c r="C35" t="s">
        <v>836</v>
      </c>
      <c r="D35" t="s">
        <v>884</v>
      </c>
      <c r="E35" s="117">
        <f t="shared" ref="E35:S35" si="4">(E17*E25)/1000</f>
        <v>390.6</v>
      </c>
      <c r="F35" s="117">
        <f t="shared" si="4"/>
        <v>387.36</v>
      </c>
      <c r="G35" s="117">
        <f t="shared" si="4"/>
        <v>510.12</v>
      </c>
      <c r="H35" s="117">
        <f t="shared" si="4"/>
        <v>487.08</v>
      </c>
      <c r="I35" s="117">
        <f t="shared" si="4"/>
        <v>506.16</v>
      </c>
      <c r="J35" s="117">
        <f t="shared" si="4"/>
        <v>457.2</v>
      </c>
      <c r="K35" s="117">
        <f t="shared" si="4"/>
        <v>536.04</v>
      </c>
      <c r="L35" s="117">
        <f t="shared" si="4"/>
        <v>502.56</v>
      </c>
      <c r="M35" s="117">
        <f t="shared" si="4"/>
        <v>484.2</v>
      </c>
      <c r="N35" s="117">
        <f t="shared" si="4"/>
        <v>397.44</v>
      </c>
      <c r="O35" s="117">
        <f t="shared" si="4"/>
        <v>459.72</v>
      </c>
      <c r="P35" s="117">
        <f t="shared" si="4"/>
        <v>454.32</v>
      </c>
      <c r="Q35" s="117">
        <f t="shared" si="4"/>
        <v>299.16000000000003</v>
      </c>
      <c r="R35" s="117">
        <f t="shared" si="4"/>
        <v>282.24</v>
      </c>
      <c r="S35" s="117">
        <f t="shared" si="4"/>
        <v>315.72000000000003</v>
      </c>
      <c r="T35" s="117">
        <f>(T17*T25)/1000</f>
        <v>496.8</v>
      </c>
      <c r="U35" s="117">
        <f t="shared" ref="U35:V35" si="5">(U17*U25)/1000</f>
        <v>381.4128</v>
      </c>
      <c r="V35" s="117">
        <f t="shared" si="5"/>
        <v>375.05879999999996</v>
      </c>
    </row>
    <row r="36" spans="1:23" x14ac:dyDescent="0.25">
      <c r="A36" t="s">
        <v>1038</v>
      </c>
      <c r="B36" t="s">
        <v>1043</v>
      </c>
      <c r="C36" t="s">
        <v>836</v>
      </c>
      <c r="D36" t="s">
        <v>884</v>
      </c>
      <c r="E36" s="117">
        <f t="shared" ref="E36:S36" si="6">(E18*E26)/1000</f>
        <v>203</v>
      </c>
      <c r="F36" s="117">
        <f t="shared" si="6"/>
        <v>197</v>
      </c>
      <c r="G36" s="117">
        <f t="shared" si="6"/>
        <v>212.5</v>
      </c>
      <c r="H36" s="117">
        <f t="shared" si="6"/>
        <v>242.5</v>
      </c>
      <c r="I36" s="117">
        <f t="shared" si="6"/>
        <v>252.5</v>
      </c>
      <c r="J36" s="117">
        <f t="shared" si="6"/>
        <v>267.5</v>
      </c>
      <c r="K36" s="117">
        <f t="shared" si="6"/>
        <v>266.5</v>
      </c>
      <c r="L36" s="117">
        <f t="shared" si="6"/>
        <v>251.5</v>
      </c>
      <c r="M36" s="117">
        <f t="shared" si="6"/>
        <v>259</v>
      </c>
      <c r="N36" s="117">
        <f t="shared" si="6"/>
        <v>193</v>
      </c>
      <c r="O36" s="117">
        <f t="shared" si="6"/>
        <v>232</v>
      </c>
      <c r="P36" s="117">
        <f t="shared" si="6"/>
        <v>294</v>
      </c>
      <c r="Q36" s="117">
        <f t="shared" si="6"/>
        <v>265</v>
      </c>
      <c r="R36" s="117">
        <f t="shared" si="6"/>
        <v>170</v>
      </c>
      <c r="S36" s="117">
        <f t="shared" si="6"/>
        <v>236</v>
      </c>
      <c r="T36" s="117">
        <f>(T18*T26)/1000</f>
        <v>213</v>
      </c>
      <c r="U36" s="117">
        <f t="shared" ref="U36:V36" si="7">(U18*U26)/1000</f>
        <v>191.25829999999999</v>
      </c>
      <c r="V36" s="117">
        <f t="shared" si="7"/>
        <v>175.06880000000001</v>
      </c>
    </row>
    <row r="37" spans="1:23" s="7" customFormat="1" x14ac:dyDescent="0.25">
      <c r="A37" s="7" t="s">
        <v>1038</v>
      </c>
      <c r="B37" s="7" t="s">
        <v>835</v>
      </c>
      <c r="C37" s="7" t="s">
        <v>836</v>
      </c>
      <c r="D37" s="7" t="s">
        <v>884</v>
      </c>
      <c r="E37" s="116">
        <f>SUM(E32:E36)</f>
        <v>8079.1441000000013</v>
      </c>
      <c r="F37" s="116">
        <f t="shared" ref="F37:S37" si="8">SUM(F32:F36)</f>
        <v>8195.9467000000004</v>
      </c>
      <c r="G37" s="116">
        <f t="shared" si="8"/>
        <v>8970.2675999999992</v>
      </c>
      <c r="H37" s="116">
        <f t="shared" si="8"/>
        <v>9156.4025999999994</v>
      </c>
      <c r="I37" s="116">
        <f t="shared" si="8"/>
        <v>9282.6882000000005</v>
      </c>
      <c r="J37" s="116">
        <f t="shared" si="8"/>
        <v>9384.0288000000019</v>
      </c>
      <c r="K37" s="116">
        <f t="shared" si="8"/>
        <v>10063.825000000001</v>
      </c>
      <c r="L37" s="116">
        <f t="shared" si="8"/>
        <v>11245.946400000001</v>
      </c>
      <c r="M37" s="116">
        <f t="shared" si="8"/>
        <v>11175.343800000001</v>
      </c>
      <c r="N37" s="116">
        <f t="shared" si="8"/>
        <v>11189.408200000002</v>
      </c>
      <c r="O37" s="116">
        <f t="shared" si="8"/>
        <v>11818.236800000001</v>
      </c>
      <c r="P37" s="116">
        <f t="shared" si="8"/>
        <v>12237.0483</v>
      </c>
      <c r="Q37" s="116">
        <f t="shared" si="8"/>
        <v>11624.16476</v>
      </c>
      <c r="R37" s="116">
        <f t="shared" si="8"/>
        <v>11961.76988</v>
      </c>
      <c r="S37" s="116">
        <f t="shared" si="8"/>
        <v>13894.35728</v>
      </c>
      <c r="T37" s="116">
        <f>SUM(T32:T36)</f>
        <v>13416.256200000002</v>
      </c>
      <c r="U37" s="116">
        <f t="shared" ref="U37:V37" si="9">SUM(U32:U36)</f>
        <v>12459.426799079587</v>
      </c>
      <c r="V37" s="116">
        <f t="shared" si="9"/>
        <v>12572.294614347698</v>
      </c>
      <c r="W37"/>
    </row>
    <row r="38" spans="1:23" x14ac:dyDescent="0.25">
      <c r="A38" t="s">
        <v>1038</v>
      </c>
      <c r="B38" t="s">
        <v>1042</v>
      </c>
      <c r="C38" t="s">
        <v>486</v>
      </c>
      <c r="D38" t="s">
        <v>924</v>
      </c>
      <c r="E38" s="117">
        <f>(E17*E27)/1000000</f>
        <v>0.1085</v>
      </c>
      <c r="F38" s="117">
        <f t="shared" ref="F38:S38" si="10">(F17*F27)/1000000</f>
        <v>0.1076</v>
      </c>
      <c r="G38" s="117">
        <f t="shared" si="10"/>
        <v>0.14169999999999999</v>
      </c>
      <c r="H38" s="117">
        <f t="shared" si="10"/>
        <v>0.1353</v>
      </c>
      <c r="I38" s="117">
        <f t="shared" si="10"/>
        <v>0.1406</v>
      </c>
      <c r="J38" s="117">
        <f t="shared" si="10"/>
        <v>0.127</v>
      </c>
      <c r="K38" s="117">
        <f t="shared" si="10"/>
        <v>0.1489</v>
      </c>
      <c r="L38" s="117">
        <f t="shared" si="10"/>
        <v>0.1396</v>
      </c>
      <c r="M38" s="117">
        <f t="shared" si="10"/>
        <v>0.13450000000000001</v>
      </c>
      <c r="N38" s="117">
        <f t="shared" si="10"/>
        <v>0.1104</v>
      </c>
      <c r="O38" s="117">
        <f t="shared" si="10"/>
        <v>0.12770000000000001</v>
      </c>
      <c r="P38" s="117">
        <f t="shared" si="10"/>
        <v>0.12620000000000001</v>
      </c>
      <c r="Q38" s="117">
        <f t="shared" si="10"/>
        <v>8.3099999999999993E-2</v>
      </c>
      <c r="R38" s="117">
        <f t="shared" si="10"/>
        <v>7.8399999999999997E-2</v>
      </c>
      <c r="S38" s="117">
        <f t="shared" si="10"/>
        <v>8.77E-2</v>
      </c>
      <c r="T38" s="117">
        <f>(T17*T27)/1000000</f>
        <v>0.13800000000000001</v>
      </c>
      <c r="U38" s="117">
        <f t="shared" ref="U38:V38" si="11">(U17*U27)/1000000</f>
        <v>0.105948</v>
      </c>
      <c r="V38" s="117">
        <f t="shared" si="11"/>
        <v>0.104183</v>
      </c>
    </row>
    <row r="39" spans="1:23" x14ac:dyDescent="0.25">
      <c r="A39" t="s">
        <v>1038</v>
      </c>
      <c r="B39" t="s">
        <v>1043</v>
      </c>
      <c r="C39" t="s">
        <v>486</v>
      </c>
      <c r="D39" t="s">
        <v>924</v>
      </c>
      <c r="E39" s="117">
        <f>(E18*E28)/1000000</f>
        <v>4.8719999999999999E-2</v>
      </c>
      <c r="F39" s="117">
        <f t="shared" ref="F39:S39" si="12">(F18*F28)/1000000</f>
        <v>4.7280000000000003E-2</v>
      </c>
      <c r="G39" s="117">
        <f t="shared" si="12"/>
        <v>5.0999999999999997E-2</v>
      </c>
      <c r="H39" s="117">
        <f t="shared" si="12"/>
        <v>5.8200000000000002E-2</v>
      </c>
      <c r="I39" s="117">
        <f t="shared" si="12"/>
        <v>6.0600000000000001E-2</v>
      </c>
      <c r="J39" s="117">
        <f t="shared" si="12"/>
        <v>6.4199999999999993E-2</v>
      </c>
      <c r="K39" s="117">
        <f t="shared" si="12"/>
        <v>6.3960000000000003E-2</v>
      </c>
      <c r="L39" s="117">
        <f t="shared" si="12"/>
        <v>6.0359999999999997E-2</v>
      </c>
      <c r="M39" s="117">
        <f t="shared" si="12"/>
        <v>6.216E-2</v>
      </c>
      <c r="N39" s="117">
        <f t="shared" si="12"/>
        <v>4.632E-2</v>
      </c>
      <c r="O39" s="117">
        <f t="shared" si="12"/>
        <v>5.568E-2</v>
      </c>
      <c r="P39" s="117">
        <f t="shared" si="12"/>
        <v>7.0559999999999998E-2</v>
      </c>
      <c r="Q39" s="117">
        <f t="shared" si="12"/>
        <v>6.3600000000000004E-2</v>
      </c>
      <c r="R39" s="117">
        <f t="shared" si="12"/>
        <v>4.0800000000000003E-2</v>
      </c>
      <c r="S39" s="117">
        <f t="shared" si="12"/>
        <v>5.6640000000000003E-2</v>
      </c>
      <c r="T39" s="117">
        <f>(T18*T28)/1000000</f>
        <v>5.1119999999999999E-2</v>
      </c>
      <c r="U39" s="117">
        <f t="shared" ref="U39:V39" si="13">(U18*U28)/1000000</f>
        <v>4.5901991999999989E-2</v>
      </c>
      <c r="V39" s="117">
        <f t="shared" si="13"/>
        <v>4.2016512000000006E-2</v>
      </c>
    </row>
    <row r="40" spans="1:23" s="7" customFormat="1" x14ac:dyDescent="0.25">
      <c r="A40" s="7" t="s">
        <v>1038</v>
      </c>
      <c r="B40" s="7" t="s">
        <v>837</v>
      </c>
      <c r="C40" s="7" t="s">
        <v>486</v>
      </c>
      <c r="D40" s="7" t="s">
        <v>924</v>
      </c>
      <c r="E40" s="116">
        <f>SUM(E38:E39)</f>
        <v>0.15722</v>
      </c>
      <c r="F40" s="116">
        <f t="shared" ref="F40:S40" si="14">SUM(F38:F39)</f>
        <v>0.15488000000000002</v>
      </c>
      <c r="G40" s="116">
        <f t="shared" si="14"/>
        <v>0.19269999999999998</v>
      </c>
      <c r="H40" s="116">
        <f t="shared" si="14"/>
        <v>0.19350000000000001</v>
      </c>
      <c r="I40" s="116">
        <f t="shared" si="14"/>
        <v>0.20119999999999999</v>
      </c>
      <c r="J40" s="116">
        <f t="shared" si="14"/>
        <v>0.19119999999999998</v>
      </c>
      <c r="K40" s="116">
        <f t="shared" si="14"/>
        <v>0.21285999999999999</v>
      </c>
      <c r="L40" s="116">
        <f t="shared" si="14"/>
        <v>0.19996</v>
      </c>
      <c r="M40" s="116">
        <f t="shared" si="14"/>
        <v>0.19666</v>
      </c>
      <c r="N40" s="116">
        <f t="shared" si="14"/>
        <v>0.15672</v>
      </c>
      <c r="O40" s="116">
        <f t="shared" si="14"/>
        <v>0.18338000000000002</v>
      </c>
      <c r="P40" s="116">
        <f t="shared" si="14"/>
        <v>0.19675999999999999</v>
      </c>
      <c r="Q40" s="116">
        <f t="shared" si="14"/>
        <v>0.1467</v>
      </c>
      <c r="R40" s="116">
        <f t="shared" si="14"/>
        <v>0.1192</v>
      </c>
      <c r="S40" s="116">
        <f t="shared" si="14"/>
        <v>0.14434</v>
      </c>
      <c r="T40" s="116">
        <f>SUM(T38:T39)</f>
        <v>0.18912000000000001</v>
      </c>
      <c r="U40" s="116">
        <f t="shared" ref="U40:V40" si="15">SUM(U38:U39)</f>
        <v>0.15184999199999999</v>
      </c>
      <c r="V40" s="116">
        <f t="shared" si="15"/>
        <v>0.146199512</v>
      </c>
      <c r="W40"/>
    </row>
    <row r="41" spans="1:23" s="7" customFormat="1" x14ac:dyDescent="0.25">
      <c r="A41" s="7" t="s">
        <v>1038</v>
      </c>
      <c r="B41" s="7" t="s">
        <v>882</v>
      </c>
      <c r="C41" s="7" t="s">
        <v>836</v>
      </c>
      <c r="D41" s="7" t="s">
        <v>955</v>
      </c>
      <c r="E41" s="116">
        <f>+E37+(E40*'Conversion factors'!$B$5)</f>
        <v>8082.4457200000015</v>
      </c>
      <c r="F41" s="116">
        <f>+F37+(F40*'Conversion factors'!$B$5)</f>
        <v>8199.1991799999996</v>
      </c>
      <c r="G41" s="116">
        <f>+G37+(G40*'Conversion factors'!$B$5)</f>
        <v>8974.3143</v>
      </c>
      <c r="H41" s="116">
        <f>+H37+(H40*'Conversion factors'!$B$5)</f>
        <v>9160.4660999999996</v>
      </c>
      <c r="I41" s="116">
        <f>+I37+(I40*'Conversion factors'!$B$5)</f>
        <v>9286.9134000000013</v>
      </c>
      <c r="J41" s="116">
        <f>+J37+(J40*'Conversion factors'!$B$5)</f>
        <v>9388.0440000000017</v>
      </c>
      <c r="K41" s="116">
        <f>+K37+(K40*'Conversion factors'!$B$5)</f>
        <v>10068.29506</v>
      </c>
      <c r="L41" s="116">
        <f>+L37+(L40*'Conversion factors'!$B$5)</f>
        <v>11250.145560000001</v>
      </c>
      <c r="M41" s="116">
        <f>+M37+(M40*'Conversion factors'!$B$5)</f>
        <v>11179.47366</v>
      </c>
      <c r="N41" s="116">
        <f>+N37+(N40*'Conversion factors'!$B$5)</f>
        <v>11192.699320000002</v>
      </c>
      <c r="O41" s="116">
        <f>+O37+(O40*'Conversion factors'!$B$5)</f>
        <v>11822.08778</v>
      </c>
      <c r="P41" s="116">
        <f>+P37+(P40*'Conversion factors'!$B$5)</f>
        <v>12241.180260000001</v>
      </c>
      <c r="Q41" s="116">
        <f>+Q37+(Q40*'Conversion factors'!$B$5)</f>
        <v>11627.24546</v>
      </c>
      <c r="R41" s="116">
        <f>+R37+(R40*'Conversion factors'!$B$5)</f>
        <v>11964.273079999999</v>
      </c>
      <c r="S41" s="116">
        <f>+S37+(S40*'Conversion factors'!$B$5)</f>
        <v>13897.388419999999</v>
      </c>
      <c r="T41" s="116">
        <f>+T37+(T40*'Conversion factors'!$B$5)</f>
        <v>13420.227720000001</v>
      </c>
      <c r="U41" s="116">
        <f>+U37+(U40*'Conversion factors'!$B$5)</f>
        <v>12462.615648911587</v>
      </c>
      <c r="V41" s="116">
        <f>+V37+(V40*'Conversion factors'!$B$5)</f>
        <v>12575.364804099698</v>
      </c>
      <c r="W41"/>
    </row>
    <row r="43" spans="1:23" s="5" customFormat="1" ht="21" x14ac:dyDescent="0.35">
      <c r="B43" s="6" t="s">
        <v>885</v>
      </c>
      <c r="E43" s="5" t="s">
        <v>886</v>
      </c>
      <c r="M43" s="5" t="s">
        <v>900</v>
      </c>
    </row>
    <row r="45" spans="1:23" x14ac:dyDescent="0.25">
      <c r="A45" s="27"/>
      <c r="B45" s="26"/>
      <c r="C45" s="26"/>
      <c r="D45" s="26"/>
      <c r="E45" s="26"/>
      <c r="F45" s="26"/>
      <c r="G45" s="26"/>
      <c r="H45" s="26"/>
    </row>
    <row r="66" spans="1:23" ht="21" x14ac:dyDescent="0.35">
      <c r="A66" s="5"/>
      <c r="B66" s="6" t="s">
        <v>346</v>
      </c>
      <c r="C66" s="5"/>
      <c r="D66" s="5"/>
      <c r="E66" s="5" t="s">
        <v>887</v>
      </c>
      <c r="F66" s="5"/>
      <c r="G66" s="5"/>
      <c r="H66" s="5"/>
      <c r="I66" s="5"/>
      <c r="J66" s="5"/>
      <c r="K66" s="5"/>
      <c r="L66" s="5"/>
      <c r="M66" s="5"/>
      <c r="N66" s="5"/>
      <c r="O66" s="5"/>
      <c r="P66" s="5"/>
      <c r="Q66" s="5"/>
      <c r="R66" s="5"/>
      <c r="S66" s="5"/>
      <c r="T66" s="5"/>
      <c r="U66" s="5"/>
      <c r="V66" s="5"/>
      <c r="W66" s="5"/>
    </row>
    <row r="67" spans="1:23" ht="18.75" x14ac:dyDescent="0.3">
      <c r="A67" s="12" t="s">
        <v>844</v>
      </c>
      <c r="E67" t="s">
        <v>888</v>
      </c>
    </row>
    <row r="68" spans="1:23" x14ac:dyDescent="0.25">
      <c r="A68" s="8"/>
      <c r="B68" s="9" t="s">
        <v>865</v>
      </c>
      <c r="C68" s="8"/>
      <c r="D68" s="8"/>
      <c r="E68" s="8"/>
      <c r="F68" s="8"/>
      <c r="G68" s="8"/>
      <c r="H68" s="8"/>
      <c r="I68" s="8"/>
      <c r="J68" s="8"/>
      <c r="K68" s="8"/>
      <c r="L68" s="8"/>
      <c r="M68" s="8"/>
      <c r="N68" s="8"/>
      <c r="O68" s="8"/>
      <c r="P68" s="8"/>
      <c r="Q68" s="8"/>
      <c r="R68" s="8"/>
      <c r="S68" s="8"/>
      <c r="T68" s="8"/>
      <c r="U68" s="8"/>
      <c r="V68" s="8"/>
      <c r="W68" s="8"/>
    </row>
    <row r="70" spans="1:23" x14ac:dyDescent="0.25">
      <c r="A70" s="10" t="s">
        <v>867</v>
      </c>
      <c r="B70" s="10" t="s">
        <v>868</v>
      </c>
      <c r="C70" s="10" t="s">
        <v>482</v>
      </c>
      <c r="D70" s="10" t="s">
        <v>740</v>
      </c>
      <c r="E70" s="10">
        <v>2000</v>
      </c>
      <c r="F70" s="10">
        <v>2001</v>
      </c>
      <c r="G70" s="10">
        <v>2002</v>
      </c>
      <c r="H70" s="10">
        <v>2003</v>
      </c>
      <c r="I70" s="10">
        <v>2004</v>
      </c>
      <c r="J70" s="10">
        <v>2005</v>
      </c>
      <c r="K70" s="10">
        <v>2006</v>
      </c>
      <c r="L70" s="10">
        <v>2007</v>
      </c>
      <c r="M70" s="10">
        <v>2008</v>
      </c>
      <c r="N70" s="10">
        <v>2009</v>
      </c>
      <c r="O70" s="10">
        <v>2010</v>
      </c>
      <c r="P70" s="10">
        <v>2011</v>
      </c>
      <c r="Q70" s="10">
        <v>2012</v>
      </c>
      <c r="R70" s="10">
        <v>2013</v>
      </c>
      <c r="S70" s="10">
        <v>2014</v>
      </c>
      <c r="T70" s="10">
        <v>2015</v>
      </c>
      <c r="U70" s="10"/>
      <c r="V70" s="10"/>
      <c r="W70" s="10" t="s">
        <v>741</v>
      </c>
    </row>
    <row r="71" spans="1:23" x14ac:dyDescent="0.25">
      <c r="A71" s="11" t="s">
        <v>1038</v>
      </c>
      <c r="B71" s="11" t="s">
        <v>1039</v>
      </c>
      <c r="C71" s="11"/>
      <c r="D71" s="11" t="s">
        <v>892</v>
      </c>
      <c r="E71" s="29">
        <v>2574000</v>
      </c>
      <c r="F71" s="29">
        <v>2141000</v>
      </c>
      <c r="G71" s="29">
        <v>2351000</v>
      </c>
      <c r="H71" s="29">
        <v>2813000</v>
      </c>
      <c r="I71" s="29">
        <v>3032000</v>
      </c>
      <c r="J71" s="29">
        <v>2802000</v>
      </c>
      <c r="K71" s="29">
        <v>3030000</v>
      </c>
      <c r="L71" s="29">
        <v>3561000</v>
      </c>
      <c r="M71" s="29">
        <v>3269000</v>
      </c>
      <c r="N71" s="29">
        <v>2346000</v>
      </c>
      <c r="O71" s="29">
        <v>3607000</v>
      </c>
      <c r="P71" s="29">
        <v>3422000</v>
      </c>
      <c r="Q71" s="29">
        <v>3063000</v>
      </c>
      <c r="R71" s="29">
        <v>3219000</v>
      </c>
      <c r="S71" s="29">
        <v>3719000</v>
      </c>
      <c r="T71" s="29">
        <v>3685000</v>
      </c>
      <c r="U71" s="4"/>
      <c r="V71" s="4"/>
    </row>
    <row r="72" spans="1:23" x14ac:dyDescent="0.25">
      <c r="A72" s="11" t="s">
        <v>1038</v>
      </c>
      <c r="B72" s="11" t="s">
        <v>1040</v>
      </c>
      <c r="C72" s="11"/>
      <c r="D72" s="11" t="s">
        <v>892</v>
      </c>
      <c r="E72" s="29">
        <v>596873</v>
      </c>
      <c r="F72" s="29">
        <v>523844</v>
      </c>
      <c r="G72" s="29">
        <v>618954</v>
      </c>
      <c r="H72" s="29">
        <v>607362</v>
      </c>
      <c r="I72" s="29">
        <v>611914</v>
      </c>
      <c r="J72" s="29">
        <v>570574</v>
      </c>
      <c r="K72" s="29">
        <v>656235</v>
      </c>
      <c r="L72" s="29">
        <v>698654</v>
      </c>
      <c r="M72" s="29">
        <v>502631</v>
      </c>
      <c r="N72" s="29">
        <v>274923</v>
      </c>
      <c r="O72" s="29">
        <v>473000</v>
      </c>
      <c r="P72" s="29">
        <v>714000</v>
      </c>
      <c r="Q72" s="29">
        <v>706000</v>
      </c>
      <c r="R72" s="29">
        <v>681000</v>
      </c>
      <c r="S72" s="29">
        <v>814263</v>
      </c>
      <c r="T72" s="29">
        <v>492000</v>
      </c>
      <c r="U72" s="4"/>
      <c r="V72" s="4"/>
    </row>
    <row r="73" spans="1:23" x14ac:dyDescent="0.25">
      <c r="A73" s="11" t="s">
        <v>1038</v>
      </c>
      <c r="B73" s="11" t="s">
        <v>1041</v>
      </c>
      <c r="C73" s="11"/>
      <c r="D73" s="11" t="s">
        <v>892</v>
      </c>
      <c r="E73" s="29">
        <v>310400</v>
      </c>
      <c r="F73" s="29">
        <v>259176</v>
      </c>
      <c r="G73" s="29">
        <v>315802</v>
      </c>
      <c r="H73" s="29">
        <v>313152</v>
      </c>
      <c r="I73" s="29">
        <v>373928</v>
      </c>
      <c r="J73" s="29">
        <v>275324</v>
      </c>
      <c r="K73" s="29">
        <v>277703</v>
      </c>
      <c r="L73" s="29">
        <v>327794</v>
      </c>
      <c r="M73" s="29">
        <v>259014</v>
      </c>
      <c r="N73" s="29">
        <v>117683</v>
      </c>
      <c r="O73" s="29">
        <v>317000</v>
      </c>
      <c r="P73" s="29">
        <v>350000</v>
      </c>
      <c r="Q73" s="29">
        <v>177000</v>
      </c>
      <c r="R73" s="29">
        <v>163000</v>
      </c>
      <c r="S73" s="29">
        <v>194737</v>
      </c>
      <c r="T73" s="29">
        <v>123000</v>
      </c>
      <c r="U73" s="4"/>
      <c r="V73" s="4"/>
    </row>
    <row r="74" spans="1:23" x14ac:dyDescent="0.25">
      <c r="A74" s="11" t="s">
        <v>1038</v>
      </c>
      <c r="B74" s="11" t="s">
        <v>1042</v>
      </c>
      <c r="C74" s="11"/>
      <c r="D74" s="11" t="s">
        <v>892</v>
      </c>
      <c r="E74" s="29">
        <v>108500</v>
      </c>
      <c r="F74" s="29">
        <v>107600</v>
      </c>
      <c r="G74" s="29">
        <v>141700</v>
      </c>
      <c r="H74" s="29">
        <v>135300</v>
      </c>
      <c r="I74" s="29">
        <v>140600</v>
      </c>
      <c r="J74" s="29">
        <v>127000</v>
      </c>
      <c r="K74" s="29">
        <v>148900</v>
      </c>
      <c r="L74" s="29">
        <v>139600</v>
      </c>
      <c r="M74" s="29">
        <v>134500</v>
      </c>
      <c r="N74" s="29">
        <v>110400</v>
      </c>
      <c r="O74" s="29">
        <v>127700</v>
      </c>
      <c r="P74" s="29">
        <v>126200</v>
      </c>
      <c r="Q74" s="29">
        <v>83100</v>
      </c>
      <c r="R74" s="29">
        <v>78400</v>
      </c>
      <c r="S74" s="29">
        <v>87700</v>
      </c>
      <c r="T74" s="29">
        <v>138000</v>
      </c>
      <c r="U74" s="4"/>
      <c r="V74" s="4"/>
    </row>
    <row r="75" spans="1:23" x14ac:dyDescent="0.25">
      <c r="A75" s="11" t="s">
        <v>1038</v>
      </c>
      <c r="B75" s="11" t="s">
        <v>1043</v>
      </c>
      <c r="C75" s="11"/>
      <c r="D75" s="11" t="s">
        <v>892</v>
      </c>
      <c r="E75" s="29">
        <v>40600</v>
      </c>
      <c r="F75" s="29">
        <v>39400</v>
      </c>
      <c r="G75" s="29">
        <v>42500</v>
      </c>
      <c r="H75" s="29">
        <v>48500</v>
      </c>
      <c r="I75" s="29">
        <v>50500</v>
      </c>
      <c r="J75" s="29">
        <v>53500</v>
      </c>
      <c r="K75" s="29">
        <v>53300</v>
      </c>
      <c r="L75" s="29">
        <v>50300</v>
      </c>
      <c r="M75" s="29">
        <v>51800</v>
      </c>
      <c r="N75" s="29">
        <v>38600</v>
      </c>
      <c r="O75" s="29">
        <v>46400</v>
      </c>
      <c r="P75" s="29">
        <v>58800</v>
      </c>
      <c r="Q75" s="29">
        <v>53000</v>
      </c>
      <c r="R75" s="29">
        <v>34000</v>
      </c>
      <c r="S75" s="29">
        <v>47200</v>
      </c>
      <c r="T75" s="29">
        <v>42600</v>
      </c>
      <c r="U75" s="4"/>
      <c r="V75" s="4"/>
    </row>
    <row r="76" spans="1:23" x14ac:dyDescent="0.25">
      <c r="E76" s="11"/>
      <c r="F76" s="11"/>
      <c r="G76" s="11"/>
      <c r="H76" s="11"/>
      <c r="I76" s="11"/>
      <c r="J76" s="11"/>
      <c r="K76" s="11"/>
      <c r="L76" s="11"/>
      <c r="M76" s="11"/>
      <c r="N76" s="11"/>
      <c r="O76" s="11"/>
      <c r="P76" s="11"/>
      <c r="Q76" s="11"/>
      <c r="R76" s="11"/>
      <c r="S76" s="11"/>
      <c r="T76" s="11"/>
    </row>
    <row r="77" spans="1:23" x14ac:dyDescent="0.25">
      <c r="A77" s="8"/>
      <c r="B77" s="9" t="s">
        <v>877</v>
      </c>
      <c r="C77" s="8"/>
      <c r="D77" s="8"/>
      <c r="E77" s="197"/>
      <c r="F77" s="197"/>
      <c r="G77" s="197"/>
      <c r="H77" s="197"/>
      <c r="I77" s="197"/>
      <c r="J77" s="197"/>
      <c r="K77" s="197"/>
      <c r="L77" s="197"/>
      <c r="M77" s="197"/>
      <c r="N77" s="197"/>
      <c r="O77" s="197"/>
      <c r="P77" s="197"/>
      <c r="Q77" s="197"/>
      <c r="R77" s="197"/>
      <c r="S77" s="197"/>
      <c r="T77" s="197"/>
      <c r="U77" s="8"/>
      <c r="V77" s="8"/>
      <c r="W77" s="8"/>
    </row>
    <row r="78" spans="1:23" x14ac:dyDescent="0.25">
      <c r="E78" s="11"/>
      <c r="F78" s="11"/>
      <c r="G78" s="11"/>
      <c r="H78" s="11"/>
      <c r="I78" s="11"/>
      <c r="J78" s="11"/>
      <c r="K78" s="11"/>
      <c r="L78" s="11"/>
      <c r="M78" s="11"/>
      <c r="N78" s="11"/>
      <c r="O78" s="11"/>
      <c r="P78" s="11"/>
      <c r="Q78" s="11"/>
      <c r="R78" s="11"/>
      <c r="S78" s="11"/>
      <c r="T78" s="11"/>
    </row>
    <row r="79" spans="1:23" x14ac:dyDescent="0.25">
      <c r="A79" s="11" t="s">
        <v>1038</v>
      </c>
      <c r="B79" s="11" t="s">
        <v>1044</v>
      </c>
      <c r="C79" s="11" t="s">
        <v>836</v>
      </c>
      <c r="D79" s="11" t="s">
        <v>970</v>
      </c>
      <c r="E79" s="29"/>
      <c r="F79" s="29"/>
      <c r="G79" s="29"/>
      <c r="H79" s="29"/>
      <c r="I79" s="29"/>
      <c r="J79" s="29"/>
      <c r="K79" s="29"/>
      <c r="L79" s="29"/>
      <c r="M79" s="29"/>
      <c r="N79" s="29"/>
      <c r="O79" s="29"/>
      <c r="P79" s="29"/>
      <c r="Q79" s="29"/>
      <c r="R79" s="29">
        <v>3.2245200000000001</v>
      </c>
      <c r="S79" s="29">
        <v>3.2245200000000001</v>
      </c>
      <c r="T79" s="29">
        <v>3.2245200000000001</v>
      </c>
      <c r="U79" s="4"/>
      <c r="V79" s="4"/>
    </row>
    <row r="80" spans="1:23" x14ac:dyDescent="0.25">
      <c r="A80" s="11" t="s">
        <v>1038</v>
      </c>
      <c r="B80" s="11" t="s">
        <v>1045</v>
      </c>
      <c r="C80" s="11" t="s">
        <v>836</v>
      </c>
      <c r="D80" s="11" t="s">
        <v>970</v>
      </c>
      <c r="E80" s="29">
        <v>1.3</v>
      </c>
      <c r="F80" s="29">
        <v>1.3</v>
      </c>
      <c r="G80" s="29">
        <v>1.3</v>
      </c>
      <c r="H80" s="29">
        <v>1.3</v>
      </c>
      <c r="I80" s="29">
        <v>1.3</v>
      </c>
      <c r="J80" s="29">
        <v>1.3</v>
      </c>
      <c r="K80" s="29">
        <v>1.3</v>
      </c>
      <c r="L80" s="29">
        <v>1.3</v>
      </c>
      <c r="M80" s="29">
        <v>1.3</v>
      </c>
      <c r="N80" s="29">
        <v>1.3</v>
      </c>
      <c r="O80" s="29">
        <v>1.3</v>
      </c>
      <c r="P80" s="29">
        <v>1.3</v>
      </c>
      <c r="Q80" s="29">
        <v>1.3</v>
      </c>
      <c r="R80" s="29">
        <v>1.3</v>
      </c>
      <c r="S80" s="29">
        <v>1.3</v>
      </c>
      <c r="T80" s="29">
        <v>1.3</v>
      </c>
      <c r="U80" s="4"/>
      <c r="V80" s="4"/>
    </row>
    <row r="81" spans="1:23" x14ac:dyDescent="0.25">
      <c r="A81" s="11" t="s">
        <v>1038</v>
      </c>
      <c r="B81" s="11" t="s">
        <v>1046</v>
      </c>
      <c r="C81" s="11" t="s">
        <v>836</v>
      </c>
      <c r="D81" s="11" t="s">
        <v>970</v>
      </c>
      <c r="E81" s="29">
        <v>1.5</v>
      </c>
      <c r="F81" s="29">
        <v>1.5</v>
      </c>
      <c r="G81" s="29">
        <v>1.5</v>
      </c>
      <c r="H81" s="29">
        <v>1.5</v>
      </c>
      <c r="I81" s="29">
        <v>1.5</v>
      </c>
      <c r="J81" s="29">
        <v>1.5</v>
      </c>
      <c r="K81" s="29">
        <v>1.5</v>
      </c>
      <c r="L81" s="29">
        <v>1.5</v>
      </c>
      <c r="M81" s="29">
        <v>1.5</v>
      </c>
      <c r="N81" s="29">
        <v>1.5</v>
      </c>
      <c r="O81" s="29">
        <v>1.5</v>
      </c>
      <c r="P81" s="29">
        <v>1.5</v>
      </c>
      <c r="Q81" s="29">
        <v>1.5</v>
      </c>
      <c r="R81" s="29">
        <v>1.5</v>
      </c>
      <c r="S81" s="29">
        <v>1.5</v>
      </c>
      <c r="T81" s="29">
        <v>1.5</v>
      </c>
      <c r="U81" s="4"/>
      <c r="V81" s="4"/>
    </row>
    <row r="82" spans="1:23" x14ac:dyDescent="0.25">
      <c r="A82" s="11" t="s">
        <v>1038</v>
      </c>
      <c r="B82" s="11" t="s">
        <v>1047</v>
      </c>
      <c r="C82" s="11" t="s">
        <v>836</v>
      </c>
      <c r="D82" s="11" t="s">
        <v>970</v>
      </c>
      <c r="E82" s="29">
        <v>3.6</v>
      </c>
      <c r="F82" s="29">
        <v>3.6</v>
      </c>
      <c r="G82" s="29">
        <v>3.6</v>
      </c>
      <c r="H82" s="29">
        <v>3.6</v>
      </c>
      <c r="I82" s="29">
        <v>3.6</v>
      </c>
      <c r="J82" s="29">
        <v>3.6</v>
      </c>
      <c r="K82" s="29">
        <v>3.6</v>
      </c>
      <c r="L82" s="29">
        <v>3.6</v>
      </c>
      <c r="M82" s="29">
        <v>3.6</v>
      </c>
      <c r="N82" s="29">
        <v>3.6</v>
      </c>
      <c r="O82" s="29">
        <v>3.6</v>
      </c>
      <c r="P82" s="29">
        <v>3.6</v>
      </c>
      <c r="Q82" s="29">
        <v>3.6</v>
      </c>
      <c r="R82" s="29">
        <v>3.6</v>
      </c>
      <c r="S82" s="29">
        <v>3.6</v>
      </c>
      <c r="T82" s="29">
        <v>3.6</v>
      </c>
      <c r="U82" s="4"/>
      <c r="V82" s="4"/>
    </row>
    <row r="83" spans="1:23" x14ac:dyDescent="0.25">
      <c r="A83" s="11" t="s">
        <v>1038</v>
      </c>
      <c r="B83" s="11" t="s">
        <v>1048</v>
      </c>
      <c r="C83" s="11" t="s">
        <v>836</v>
      </c>
      <c r="D83" s="11" t="s">
        <v>970</v>
      </c>
      <c r="E83" s="29">
        <v>5</v>
      </c>
      <c r="F83" s="29">
        <v>5</v>
      </c>
      <c r="G83" s="29">
        <v>5</v>
      </c>
      <c r="H83" s="29">
        <v>5</v>
      </c>
      <c r="I83" s="29">
        <v>5</v>
      </c>
      <c r="J83" s="29">
        <v>5</v>
      </c>
      <c r="K83" s="29">
        <v>5</v>
      </c>
      <c r="L83" s="29">
        <v>5</v>
      </c>
      <c r="M83" s="29">
        <v>5</v>
      </c>
      <c r="N83" s="29">
        <v>5</v>
      </c>
      <c r="O83" s="29">
        <v>5</v>
      </c>
      <c r="P83" s="29">
        <v>5</v>
      </c>
      <c r="Q83" s="29">
        <v>5</v>
      </c>
      <c r="R83" s="29">
        <v>5</v>
      </c>
      <c r="S83" s="29">
        <v>5</v>
      </c>
      <c r="T83" s="29">
        <v>5</v>
      </c>
      <c r="U83" s="4"/>
      <c r="V83" s="4"/>
    </row>
    <row r="84" spans="1:23" x14ac:dyDescent="0.25">
      <c r="A84" s="11" t="s">
        <v>1038</v>
      </c>
      <c r="B84" s="11" t="s">
        <v>1049</v>
      </c>
      <c r="C84" s="11" t="s">
        <v>486</v>
      </c>
      <c r="D84" s="11" t="s">
        <v>1050</v>
      </c>
      <c r="E84" s="29">
        <v>1</v>
      </c>
      <c r="F84" s="29">
        <v>1</v>
      </c>
      <c r="G84" s="29">
        <v>1</v>
      </c>
      <c r="H84" s="29">
        <v>1</v>
      </c>
      <c r="I84" s="29">
        <v>1</v>
      </c>
      <c r="J84" s="29">
        <v>1</v>
      </c>
      <c r="K84" s="29">
        <v>1</v>
      </c>
      <c r="L84" s="29">
        <v>1</v>
      </c>
      <c r="M84" s="29">
        <v>1</v>
      </c>
      <c r="N84" s="29">
        <v>1</v>
      </c>
      <c r="O84" s="29">
        <v>1</v>
      </c>
      <c r="P84" s="29">
        <v>1</v>
      </c>
      <c r="Q84" s="29">
        <v>1</v>
      </c>
      <c r="R84" s="29">
        <v>1</v>
      </c>
      <c r="S84" s="29">
        <v>1</v>
      </c>
      <c r="T84" s="29">
        <v>1</v>
      </c>
      <c r="U84" s="4"/>
      <c r="V84" s="4"/>
    </row>
    <row r="85" spans="1:23" x14ac:dyDescent="0.25">
      <c r="A85" s="11" t="s">
        <v>1038</v>
      </c>
      <c r="B85" s="11" t="s">
        <v>1051</v>
      </c>
      <c r="C85" s="11" t="s">
        <v>486</v>
      </c>
      <c r="D85" s="11" t="s">
        <v>1050</v>
      </c>
      <c r="E85" s="29">
        <v>1.2</v>
      </c>
      <c r="F85" s="29">
        <v>1.2</v>
      </c>
      <c r="G85" s="29">
        <v>1.2</v>
      </c>
      <c r="H85" s="29">
        <v>1.2</v>
      </c>
      <c r="I85" s="29">
        <v>1.2</v>
      </c>
      <c r="J85" s="29">
        <v>1.2</v>
      </c>
      <c r="K85" s="29">
        <v>1.2</v>
      </c>
      <c r="L85" s="29">
        <v>1.2</v>
      </c>
      <c r="M85" s="29">
        <v>1.2</v>
      </c>
      <c r="N85" s="29">
        <v>1.2</v>
      </c>
      <c r="O85" s="29">
        <v>1.2</v>
      </c>
      <c r="P85" s="29">
        <v>1.2</v>
      </c>
      <c r="Q85" s="29">
        <v>1.2</v>
      </c>
      <c r="R85" s="29">
        <v>1.2</v>
      </c>
      <c r="S85" s="29">
        <v>1.2</v>
      </c>
      <c r="T85" s="29">
        <v>1.2</v>
      </c>
      <c r="U85" s="4"/>
      <c r="V85" s="4"/>
    </row>
    <row r="86" spans="1:23" x14ac:dyDescent="0.25">
      <c r="E86" s="11"/>
      <c r="F86" s="11"/>
      <c r="G86" s="11"/>
      <c r="H86" s="11"/>
      <c r="I86" s="11"/>
      <c r="J86" s="11"/>
      <c r="K86" s="11"/>
      <c r="L86" s="11"/>
      <c r="M86" s="11"/>
      <c r="N86" s="11"/>
      <c r="O86" s="11"/>
      <c r="P86" s="11"/>
      <c r="Q86" s="11"/>
      <c r="R86" s="11"/>
      <c r="S86" s="11"/>
      <c r="T86" s="11"/>
    </row>
    <row r="87" spans="1:23" x14ac:dyDescent="0.25">
      <c r="A87" s="8"/>
      <c r="B87" s="9" t="s">
        <v>619</v>
      </c>
      <c r="C87" s="8"/>
      <c r="D87" s="8"/>
      <c r="E87" s="197"/>
      <c r="F87" s="197"/>
      <c r="G87" s="197"/>
      <c r="H87" s="197"/>
      <c r="I87" s="197"/>
      <c r="J87" s="197"/>
      <c r="K87" s="197"/>
      <c r="L87" s="197"/>
      <c r="M87" s="197"/>
      <c r="N87" s="197"/>
      <c r="O87" s="197"/>
      <c r="P87" s="197"/>
      <c r="Q87" s="197"/>
      <c r="R87" s="197"/>
      <c r="S87" s="197"/>
      <c r="T87" s="197"/>
      <c r="U87" s="8"/>
      <c r="V87" s="8"/>
      <c r="W87" s="8"/>
    </row>
    <row r="88" spans="1:23" x14ac:dyDescent="0.25">
      <c r="E88" s="11"/>
      <c r="F88" s="11"/>
      <c r="G88" s="11"/>
      <c r="H88" s="11"/>
      <c r="I88" s="11"/>
      <c r="J88" s="11"/>
      <c r="K88" s="11"/>
      <c r="L88" s="11"/>
      <c r="M88" s="11"/>
      <c r="N88" s="11"/>
      <c r="O88" s="11"/>
      <c r="P88" s="11"/>
      <c r="Q88" s="11"/>
      <c r="R88" s="11"/>
      <c r="S88" s="11"/>
      <c r="T88" s="11"/>
    </row>
    <row r="89" spans="1:23" x14ac:dyDescent="0.25">
      <c r="A89" s="11" t="s">
        <v>1038</v>
      </c>
      <c r="B89" s="11" t="s">
        <v>1039</v>
      </c>
      <c r="C89" s="11" t="s">
        <v>836</v>
      </c>
      <c r="D89" s="11" t="s">
        <v>884</v>
      </c>
      <c r="E89" s="29">
        <v>6244.0092000000004</v>
      </c>
      <c r="F89" s="29">
        <v>6541.8254999999999</v>
      </c>
      <c r="G89" s="29">
        <v>6969.3043999999991</v>
      </c>
      <c r="H89" s="29">
        <v>7167.5240000000003</v>
      </c>
      <c r="I89" s="29">
        <v>7167.6480000000001</v>
      </c>
      <c r="J89" s="29">
        <v>7504.5966000000008</v>
      </c>
      <c r="K89" s="29">
        <v>7991.6250000000009</v>
      </c>
      <c r="L89" s="29">
        <v>9091.9452000000001</v>
      </c>
      <c r="M89" s="29">
        <v>9390.2024999999994</v>
      </c>
      <c r="N89" s="29">
        <v>10065.043800000001</v>
      </c>
      <c r="O89" s="29">
        <v>10036.116800000002</v>
      </c>
      <c r="P89" s="29">
        <v>10035.5283</v>
      </c>
      <c r="Q89" s="29">
        <v>9876.7047600000005</v>
      </c>
      <c r="R89" s="29">
        <v>10379.729880000001</v>
      </c>
      <c r="S89" s="29">
        <v>11991.989880000001</v>
      </c>
      <c r="T89" s="29">
        <v>11882.356200000002</v>
      </c>
      <c r="U89" s="4"/>
      <c r="V89" s="4"/>
    </row>
    <row r="90" spans="1:23" x14ac:dyDescent="0.25">
      <c r="A90" s="11" t="s">
        <v>1038</v>
      </c>
      <c r="B90" s="11" t="s">
        <v>1040</v>
      </c>
      <c r="C90" s="11" t="s">
        <v>836</v>
      </c>
      <c r="D90" s="11" t="s">
        <v>884</v>
      </c>
      <c r="E90" s="29">
        <v>775.93489999999997</v>
      </c>
      <c r="F90" s="29">
        <v>680.99720000000002</v>
      </c>
      <c r="G90" s="29">
        <v>804.64020000000005</v>
      </c>
      <c r="H90" s="29">
        <v>789.57060000000001</v>
      </c>
      <c r="I90" s="29">
        <v>795.48820000000012</v>
      </c>
      <c r="J90" s="29">
        <v>741.74620000000004</v>
      </c>
      <c r="K90" s="29">
        <v>853.10550000000001</v>
      </c>
      <c r="L90" s="29">
        <v>908.25020000000006</v>
      </c>
      <c r="M90" s="29">
        <v>653.4203</v>
      </c>
      <c r="N90" s="29">
        <v>357.3999</v>
      </c>
      <c r="O90" s="29">
        <v>614.9</v>
      </c>
      <c r="P90" s="29">
        <v>928.2</v>
      </c>
      <c r="Q90" s="29">
        <v>917.8</v>
      </c>
      <c r="R90" s="29">
        <v>885.3</v>
      </c>
      <c r="S90" s="29">
        <v>1058.5419000000002</v>
      </c>
      <c r="T90" s="29">
        <v>639.6</v>
      </c>
      <c r="U90" s="4"/>
      <c r="V90" s="4"/>
    </row>
    <row r="91" spans="1:23" x14ac:dyDescent="0.25">
      <c r="A91" s="11" t="s">
        <v>1038</v>
      </c>
      <c r="B91" s="11" t="s">
        <v>1041</v>
      </c>
      <c r="C91" s="11" t="s">
        <v>836</v>
      </c>
      <c r="D91" s="11" t="s">
        <v>884</v>
      </c>
      <c r="E91" s="29">
        <v>465.6</v>
      </c>
      <c r="F91" s="29">
        <v>388.76400000000001</v>
      </c>
      <c r="G91" s="29">
        <v>473.70299999999997</v>
      </c>
      <c r="H91" s="29">
        <v>469.72800000000001</v>
      </c>
      <c r="I91" s="29">
        <v>560.89200000000005</v>
      </c>
      <c r="J91" s="29">
        <v>412.98599999999999</v>
      </c>
      <c r="K91" s="29">
        <v>416.55450000000002</v>
      </c>
      <c r="L91" s="29">
        <v>491.69099999999997</v>
      </c>
      <c r="M91" s="29">
        <v>388.52100000000002</v>
      </c>
      <c r="N91" s="29">
        <v>176.52449999999999</v>
      </c>
      <c r="O91" s="29">
        <v>475.5</v>
      </c>
      <c r="P91" s="29">
        <v>525</v>
      </c>
      <c r="Q91" s="29">
        <v>265.5</v>
      </c>
      <c r="R91" s="29">
        <v>244.5</v>
      </c>
      <c r="S91" s="29">
        <v>292.10550000000001</v>
      </c>
      <c r="T91" s="29">
        <v>184.5</v>
      </c>
      <c r="U91" s="4"/>
      <c r="V91" s="4"/>
    </row>
    <row r="92" spans="1:23" x14ac:dyDescent="0.25">
      <c r="A92" s="11" t="s">
        <v>1038</v>
      </c>
      <c r="B92" s="11" t="s">
        <v>1042</v>
      </c>
      <c r="C92" s="11" t="s">
        <v>836</v>
      </c>
      <c r="D92" s="11" t="s">
        <v>884</v>
      </c>
      <c r="E92" s="29">
        <v>390.6</v>
      </c>
      <c r="F92" s="29">
        <v>387.36</v>
      </c>
      <c r="G92" s="29">
        <v>510.12</v>
      </c>
      <c r="H92" s="29">
        <v>487.08</v>
      </c>
      <c r="I92" s="29">
        <v>506.16</v>
      </c>
      <c r="J92" s="29">
        <v>457.2</v>
      </c>
      <c r="K92" s="29">
        <v>536.04</v>
      </c>
      <c r="L92" s="29">
        <v>502.56</v>
      </c>
      <c r="M92" s="29">
        <v>484.2</v>
      </c>
      <c r="N92" s="29">
        <v>397.44</v>
      </c>
      <c r="O92" s="29">
        <v>459.72</v>
      </c>
      <c r="P92" s="29">
        <v>454.32</v>
      </c>
      <c r="Q92" s="29">
        <v>299.16000000000003</v>
      </c>
      <c r="R92" s="29">
        <v>282.24</v>
      </c>
      <c r="S92" s="29">
        <v>315.72000000000003</v>
      </c>
      <c r="T92" s="29">
        <v>496.8</v>
      </c>
      <c r="U92" s="4"/>
      <c r="V92" s="4"/>
    </row>
    <row r="93" spans="1:23" x14ac:dyDescent="0.25">
      <c r="A93" s="11" t="s">
        <v>1038</v>
      </c>
      <c r="B93" s="11" t="s">
        <v>1043</v>
      </c>
      <c r="C93" s="11" t="s">
        <v>836</v>
      </c>
      <c r="D93" s="11" t="s">
        <v>884</v>
      </c>
      <c r="E93" s="29">
        <v>203</v>
      </c>
      <c r="F93" s="29">
        <v>197</v>
      </c>
      <c r="G93" s="29">
        <v>212.5</v>
      </c>
      <c r="H93" s="29">
        <v>242.5</v>
      </c>
      <c r="I93" s="29">
        <v>252.5</v>
      </c>
      <c r="J93" s="29">
        <v>267.5</v>
      </c>
      <c r="K93" s="29">
        <v>266.5</v>
      </c>
      <c r="L93" s="29">
        <v>251.5</v>
      </c>
      <c r="M93" s="29">
        <v>259</v>
      </c>
      <c r="N93" s="29">
        <v>193</v>
      </c>
      <c r="O93" s="29">
        <v>232</v>
      </c>
      <c r="P93" s="29">
        <v>294</v>
      </c>
      <c r="Q93" s="29">
        <v>265</v>
      </c>
      <c r="R93" s="29">
        <v>170</v>
      </c>
      <c r="S93" s="29">
        <v>236</v>
      </c>
      <c r="T93" s="29">
        <v>213</v>
      </c>
      <c r="U93" s="4"/>
      <c r="V93" s="4"/>
    </row>
    <row r="94" spans="1:23" x14ac:dyDescent="0.25">
      <c r="A94" s="11" t="s">
        <v>1038</v>
      </c>
      <c r="B94" s="11" t="s">
        <v>835</v>
      </c>
      <c r="C94" s="11" t="s">
        <v>836</v>
      </c>
      <c r="D94" s="11" t="s">
        <v>884</v>
      </c>
      <c r="E94" s="29">
        <v>8079.1441000000013</v>
      </c>
      <c r="F94" s="29">
        <v>8195.9467000000004</v>
      </c>
      <c r="G94" s="29">
        <v>8970.2675999999992</v>
      </c>
      <c r="H94" s="29">
        <v>9156.4025999999994</v>
      </c>
      <c r="I94" s="29">
        <v>9282.6882000000005</v>
      </c>
      <c r="J94" s="29">
        <v>9384.0288000000019</v>
      </c>
      <c r="K94" s="29">
        <v>10063.825000000001</v>
      </c>
      <c r="L94" s="29">
        <v>11245.946400000001</v>
      </c>
      <c r="M94" s="29">
        <v>11175.343800000001</v>
      </c>
      <c r="N94" s="29">
        <v>11189.408200000002</v>
      </c>
      <c r="O94" s="29">
        <v>11818.236800000001</v>
      </c>
      <c r="P94" s="29">
        <v>12237.0483</v>
      </c>
      <c r="Q94" s="29">
        <v>11624.16476</v>
      </c>
      <c r="R94" s="29">
        <v>11961.76988</v>
      </c>
      <c r="S94" s="29">
        <v>13894.35728</v>
      </c>
      <c r="T94" s="29">
        <v>13416.256200000002</v>
      </c>
      <c r="U94" s="4"/>
      <c r="V94" s="4"/>
    </row>
    <row r="95" spans="1:23" x14ac:dyDescent="0.25">
      <c r="A95" s="11" t="s">
        <v>1038</v>
      </c>
      <c r="B95" s="11" t="s">
        <v>1042</v>
      </c>
      <c r="C95" s="11" t="s">
        <v>486</v>
      </c>
      <c r="D95" s="11" t="s">
        <v>924</v>
      </c>
      <c r="E95" s="29">
        <v>0.1085</v>
      </c>
      <c r="F95" s="29">
        <v>0.1076</v>
      </c>
      <c r="G95" s="29">
        <v>0.14169999999999999</v>
      </c>
      <c r="H95" s="29">
        <v>0.1353</v>
      </c>
      <c r="I95" s="29">
        <v>0.1406</v>
      </c>
      <c r="J95" s="29">
        <v>0.127</v>
      </c>
      <c r="K95" s="29">
        <v>0.1489</v>
      </c>
      <c r="L95" s="29">
        <v>0.1396</v>
      </c>
      <c r="M95" s="29">
        <v>0.13450000000000001</v>
      </c>
      <c r="N95" s="29">
        <v>0.1104</v>
      </c>
      <c r="O95" s="29">
        <v>0.12770000000000001</v>
      </c>
      <c r="P95" s="29">
        <v>0.12620000000000001</v>
      </c>
      <c r="Q95" s="29">
        <v>8.3099999999999993E-2</v>
      </c>
      <c r="R95" s="29">
        <v>7.8399999999999997E-2</v>
      </c>
      <c r="S95" s="29">
        <v>8.77E-2</v>
      </c>
      <c r="T95" s="29">
        <v>0.13800000000000001</v>
      </c>
      <c r="U95" s="4"/>
      <c r="V95" s="4"/>
    </row>
    <row r="96" spans="1:23" x14ac:dyDescent="0.25">
      <c r="A96" s="11" t="s">
        <v>1038</v>
      </c>
      <c r="B96" s="11" t="s">
        <v>1043</v>
      </c>
      <c r="C96" s="11" t="s">
        <v>486</v>
      </c>
      <c r="D96" s="11" t="s">
        <v>924</v>
      </c>
      <c r="E96" s="29">
        <v>4.8719999999999999E-2</v>
      </c>
      <c r="F96" s="29">
        <v>4.7280000000000003E-2</v>
      </c>
      <c r="G96" s="29">
        <v>5.0999999999999997E-2</v>
      </c>
      <c r="H96" s="29">
        <v>5.8200000000000002E-2</v>
      </c>
      <c r="I96" s="29">
        <v>6.0600000000000001E-2</v>
      </c>
      <c r="J96" s="29">
        <v>6.4199999999999993E-2</v>
      </c>
      <c r="K96" s="29">
        <v>6.3960000000000003E-2</v>
      </c>
      <c r="L96" s="29">
        <v>6.0359999999999997E-2</v>
      </c>
      <c r="M96" s="29">
        <v>6.216E-2</v>
      </c>
      <c r="N96" s="29">
        <v>4.632E-2</v>
      </c>
      <c r="O96" s="29">
        <v>5.568E-2</v>
      </c>
      <c r="P96" s="29">
        <v>7.0559999999999998E-2</v>
      </c>
      <c r="Q96" s="29">
        <v>6.3600000000000004E-2</v>
      </c>
      <c r="R96" s="29">
        <v>4.0800000000000003E-2</v>
      </c>
      <c r="S96" s="29">
        <v>5.6640000000000003E-2</v>
      </c>
      <c r="T96" s="29">
        <v>5.1119999999999999E-2</v>
      </c>
      <c r="U96" s="4"/>
      <c r="V96" s="4"/>
    </row>
    <row r="97" spans="1:23" x14ac:dyDescent="0.25">
      <c r="A97" s="11" t="s">
        <v>1038</v>
      </c>
      <c r="B97" s="11" t="s">
        <v>837</v>
      </c>
      <c r="C97" s="11" t="s">
        <v>486</v>
      </c>
      <c r="D97" s="11" t="s">
        <v>924</v>
      </c>
      <c r="E97" s="29">
        <v>0.15722</v>
      </c>
      <c r="F97" s="29">
        <v>0.15488000000000002</v>
      </c>
      <c r="G97" s="29">
        <v>0.19269999999999998</v>
      </c>
      <c r="H97" s="29">
        <v>0.19350000000000001</v>
      </c>
      <c r="I97" s="29">
        <v>0.20119999999999999</v>
      </c>
      <c r="J97" s="29">
        <v>0.19119999999999998</v>
      </c>
      <c r="K97" s="29">
        <v>0.21285999999999999</v>
      </c>
      <c r="L97" s="29">
        <v>0.19996</v>
      </c>
      <c r="M97" s="29">
        <v>0.19666</v>
      </c>
      <c r="N97" s="29">
        <v>0.15672</v>
      </c>
      <c r="O97" s="29">
        <v>0.18338000000000002</v>
      </c>
      <c r="P97" s="29">
        <v>0.19675999999999999</v>
      </c>
      <c r="Q97" s="29">
        <v>0.1467</v>
      </c>
      <c r="R97" s="29">
        <v>0.1192</v>
      </c>
      <c r="S97" s="29">
        <v>0.14434</v>
      </c>
      <c r="T97" s="29">
        <v>0.18912000000000001</v>
      </c>
      <c r="U97" s="4"/>
      <c r="V97" s="4"/>
    </row>
    <row r="98" spans="1:23" s="11" customFormat="1" x14ac:dyDescent="0.25">
      <c r="A98" s="10" t="s">
        <v>1038</v>
      </c>
      <c r="B98" s="10" t="s">
        <v>882</v>
      </c>
      <c r="C98" s="10" t="s">
        <v>836</v>
      </c>
      <c r="D98" s="10" t="s">
        <v>955</v>
      </c>
      <c r="E98" s="29">
        <v>8082.4457200000015</v>
      </c>
      <c r="F98" s="29">
        <v>8199.1991799999996</v>
      </c>
      <c r="G98" s="29">
        <v>8974.3143</v>
      </c>
      <c r="H98" s="29">
        <v>9160.4660999999996</v>
      </c>
      <c r="I98" s="29">
        <v>9286.9134000000013</v>
      </c>
      <c r="J98" s="29">
        <v>9388.0440000000017</v>
      </c>
      <c r="K98" s="29">
        <v>10068.29506</v>
      </c>
      <c r="L98" s="29">
        <v>11250.145560000001</v>
      </c>
      <c r="M98" s="29">
        <v>11179.47366</v>
      </c>
      <c r="N98" s="29">
        <v>11192.699320000002</v>
      </c>
      <c r="O98" s="29">
        <v>11822.08778</v>
      </c>
      <c r="P98" s="29">
        <v>12241.180260000001</v>
      </c>
      <c r="Q98" s="29">
        <v>11627.24546</v>
      </c>
      <c r="R98" s="29">
        <v>11964.273079999999</v>
      </c>
      <c r="S98" s="29">
        <v>13897.388419999999</v>
      </c>
      <c r="T98" s="29">
        <v>13420.227720000001</v>
      </c>
      <c r="U98" s="29"/>
      <c r="V98" s="29"/>
      <c r="W98"/>
    </row>
    <row r="99" spans="1:23" x14ac:dyDescent="0.25">
      <c r="A99" s="7"/>
      <c r="B99" s="7"/>
      <c r="C99" s="7"/>
      <c r="D99" s="7"/>
    </row>
    <row r="100" spans="1:23" ht="18.75" x14ac:dyDescent="0.3">
      <c r="A100" s="13" t="s">
        <v>346</v>
      </c>
    </row>
    <row r="101" spans="1:23" x14ac:dyDescent="0.25">
      <c r="A101" s="8"/>
      <c r="B101" s="9" t="s">
        <v>865</v>
      </c>
      <c r="C101" s="8"/>
      <c r="D101" s="8" t="s">
        <v>852</v>
      </c>
      <c r="E101" s="8"/>
      <c r="F101" s="8"/>
      <c r="G101" s="8"/>
      <c r="H101" s="8"/>
      <c r="I101" s="8"/>
      <c r="J101" s="8"/>
      <c r="K101" s="8"/>
      <c r="L101" s="8"/>
      <c r="M101" s="8"/>
      <c r="N101" s="8"/>
      <c r="O101" s="8"/>
      <c r="P101" s="8"/>
      <c r="Q101" s="8"/>
      <c r="R101" s="8"/>
      <c r="S101" s="8"/>
      <c r="T101" s="8"/>
      <c r="U101" s="8"/>
      <c r="V101" s="8"/>
      <c r="W101" s="22"/>
    </row>
    <row r="103" spans="1:23" x14ac:dyDescent="0.25">
      <c r="A103" s="10" t="s">
        <v>867</v>
      </c>
      <c r="B103" s="10" t="s">
        <v>868</v>
      </c>
      <c r="C103" s="10" t="s">
        <v>482</v>
      </c>
      <c r="D103" s="10" t="s">
        <v>740</v>
      </c>
      <c r="E103" s="10">
        <v>2000</v>
      </c>
      <c r="F103" s="10">
        <v>2001</v>
      </c>
      <c r="G103" s="10">
        <v>2002</v>
      </c>
      <c r="H103" s="10">
        <v>2003</v>
      </c>
      <c r="I103" s="10">
        <v>2004</v>
      </c>
      <c r="J103" s="10">
        <v>2005</v>
      </c>
      <c r="K103" s="10">
        <v>2006</v>
      </c>
      <c r="L103" s="10">
        <v>2007</v>
      </c>
      <c r="M103" s="10">
        <v>2008</v>
      </c>
      <c r="N103" s="10">
        <v>2009</v>
      </c>
      <c r="O103" s="10">
        <v>2010</v>
      </c>
      <c r="P103" s="10">
        <v>2011</v>
      </c>
      <c r="Q103" s="10">
        <v>2012</v>
      </c>
      <c r="R103" s="10">
        <v>2013</v>
      </c>
      <c r="S103" s="10">
        <v>2014</v>
      </c>
      <c r="T103" s="10">
        <v>2015</v>
      </c>
      <c r="U103" s="10"/>
      <c r="V103" s="10"/>
    </row>
    <row r="104" spans="1:23" x14ac:dyDescent="0.25">
      <c r="A104" s="11" t="s">
        <v>1038</v>
      </c>
      <c r="B104" s="11" t="s">
        <v>1039</v>
      </c>
      <c r="C104" s="11"/>
      <c r="D104" s="11" t="s">
        <v>892</v>
      </c>
      <c r="E104" s="41">
        <f t="shared" ref="E104:T104" si="16">IFERROR(((E14/E71)-1),"CHECK")</f>
        <v>0</v>
      </c>
      <c r="F104" s="41">
        <f t="shared" si="16"/>
        <v>0</v>
      </c>
      <c r="G104" s="41">
        <f t="shared" si="16"/>
        <v>0</v>
      </c>
      <c r="H104" s="41">
        <f t="shared" si="16"/>
        <v>0</v>
      </c>
      <c r="I104" s="41">
        <f t="shared" si="16"/>
        <v>0</v>
      </c>
      <c r="J104" s="41">
        <f t="shared" si="16"/>
        <v>0</v>
      </c>
      <c r="K104" s="41">
        <f t="shared" si="16"/>
        <v>0</v>
      </c>
      <c r="L104" s="41">
        <f t="shared" si="16"/>
        <v>0</v>
      </c>
      <c r="M104" s="41">
        <f t="shared" si="16"/>
        <v>0</v>
      </c>
      <c r="N104" s="41">
        <f t="shared" si="16"/>
        <v>0</v>
      </c>
      <c r="O104" s="41">
        <f t="shared" si="16"/>
        <v>0</v>
      </c>
      <c r="P104" s="41">
        <f t="shared" si="16"/>
        <v>0</v>
      </c>
      <c r="Q104" s="41">
        <f t="shared" si="16"/>
        <v>0</v>
      </c>
      <c r="R104" s="41">
        <f t="shared" si="16"/>
        <v>0</v>
      </c>
      <c r="S104" s="41">
        <f t="shared" si="16"/>
        <v>0</v>
      </c>
      <c r="T104" s="41">
        <f t="shared" si="16"/>
        <v>0</v>
      </c>
      <c r="U104" s="41"/>
      <c r="V104" s="41"/>
    </row>
    <row r="105" spans="1:23" x14ac:dyDescent="0.25">
      <c r="A105" s="11" t="s">
        <v>1038</v>
      </c>
      <c r="B105" s="11" t="s">
        <v>1040</v>
      </c>
      <c r="C105" s="11"/>
      <c r="D105" s="11" t="s">
        <v>892</v>
      </c>
      <c r="E105" s="41">
        <f t="shared" ref="E105:T105" si="17">IFERROR(((E15/E72)-1),"CHECK")</f>
        <v>0</v>
      </c>
      <c r="F105" s="41">
        <f t="shared" si="17"/>
        <v>0</v>
      </c>
      <c r="G105" s="41">
        <f t="shared" si="17"/>
        <v>0</v>
      </c>
      <c r="H105" s="41">
        <f t="shared" si="17"/>
        <v>0</v>
      </c>
      <c r="I105" s="41">
        <f t="shared" si="17"/>
        <v>0</v>
      </c>
      <c r="J105" s="41">
        <f t="shared" si="17"/>
        <v>0</v>
      </c>
      <c r="K105" s="41">
        <f t="shared" si="17"/>
        <v>0</v>
      </c>
      <c r="L105" s="41">
        <f t="shared" si="17"/>
        <v>0</v>
      </c>
      <c r="M105" s="41">
        <f t="shared" si="17"/>
        <v>0</v>
      </c>
      <c r="N105" s="41">
        <f t="shared" si="17"/>
        <v>0</v>
      </c>
      <c r="O105" s="41">
        <f t="shared" si="17"/>
        <v>0</v>
      </c>
      <c r="P105" s="41">
        <f t="shared" si="17"/>
        <v>0</v>
      </c>
      <c r="Q105" s="41">
        <f t="shared" si="17"/>
        <v>0</v>
      </c>
      <c r="R105" s="41">
        <f t="shared" si="17"/>
        <v>0</v>
      </c>
      <c r="S105" s="41">
        <f t="shared" si="17"/>
        <v>0</v>
      </c>
      <c r="T105" s="41">
        <f t="shared" si="17"/>
        <v>0</v>
      </c>
      <c r="U105" s="41"/>
      <c r="V105" s="41"/>
    </row>
    <row r="106" spans="1:23" x14ac:dyDescent="0.25">
      <c r="A106" s="11" t="s">
        <v>1038</v>
      </c>
      <c r="B106" s="11" t="s">
        <v>1041</v>
      </c>
      <c r="C106" s="11"/>
      <c r="D106" s="11" t="s">
        <v>892</v>
      </c>
      <c r="E106" s="41">
        <f t="shared" ref="E106:T106" si="18">IFERROR(((E16/E73)-1),"CHECK")</f>
        <v>0</v>
      </c>
      <c r="F106" s="41">
        <f t="shared" si="18"/>
        <v>0</v>
      </c>
      <c r="G106" s="41">
        <f t="shared" si="18"/>
        <v>0</v>
      </c>
      <c r="H106" s="41">
        <f t="shared" si="18"/>
        <v>0</v>
      </c>
      <c r="I106" s="41">
        <f t="shared" si="18"/>
        <v>0</v>
      </c>
      <c r="J106" s="41">
        <f t="shared" si="18"/>
        <v>0</v>
      </c>
      <c r="K106" s="41">
        <f t="shared" si="18"/>
        <v>0</v>
      </c>
      <c r="L106" s="41">
        <f t="shared" si="18"/>
        <v>0</v>
      </c>
      <c r="M106" s="41">
        <f t="shared" si="18"/>
        <v>0</v>
      </c>
      <c r="N106" s="41">
        <f t="shared" si="18"/>
        <v>0</v>
      </c>
      <c r="O106" s="41">
        <f t="shared" si="18"/>
        <v>0</v>
      </c>
      <c r="P106" s="41">
        <f t="shared" si="18"/>
        <v>0</v>
      </c>
      <c r="Q106" s="41">
        <f t="shared" si="18"/>
        <v>0</v>
      </c>
      <c r="R106" s="41">
        <f t="shared" si="18"/>
        <v>0</v>
      </c>
      <c r="S106" s="41">
        <f t="shared" si="18"/>
        <v>0</v>
      </c>
      <c r="T106" s="41">
        <f t="shared" si="18"/>
        <v>0</v>
      </c>
      <c r="U106" s="41"/>
      <c r="V106" s="41"/>
    </row>
    <row r="107" spans="1:23" x14ac:dyDescent="0.25">
      <c r="A107" s="11" t="s">
        <v>1038</v>
      </c>
      <c r="B107" s="11" t="s">
        <v>1042</v>
      </c>
      <c r="C107" s="11"/>
      <c r="D107" s="11" t="s">
        <v>892</v>
      </c>
      <c r="E107" s="41">
        <f t="shared" ref="E107:T107" si="19">IFERROR(((E17/E74)-1),"CHECK")</f>
        <v>0</v>
      </c>
      <c r="F107" s="41">
        <f t="shared" si="19"/>
        <v>0</v>
      </c>
      <c r="G107" s="41">
        <f t="shared" si="19"/>
        <v>0</v>
      </c>
      <c r="H107" s="41">
        <f t="shared" si="19"/>
        <v>0</v>
      </c>
      <c r="I107" s="41">
        <f t="shared" si="19"/>
        <v>0</v>
      </c>
      <c r="J107" s="41">
        <f t="shared" si="19"/>
        <v>0</v>
      </c>
      <c r="K107" s="41">
        <f t="shared" si="19"/>
        <v>0</v>
      </c>
      <c r="L107" s="41">
        <f t="shared" si="19"/>
        <v>0</v>
      </c>
      <c r="M107" s="41">
        <f t="shared" si="19"/>
        <v>0</v>
      </c>
      <c r="N107" s="41">
        <f t="shared" si="19"/>
        <v>0</v>
      </c>
      <c r="O107" s="41">
        <f t="shared" si="19"/>
        <v>0</v>
      </c>
      <c r="P107" s="41">
        <f t="shared" si="19"/>
        <v>0</v>
      </c>
      <c r="Q107" s="41">
        <f t="shared" si="19"/>
        <v>0</v>
      </c>
      <c r="R107" s="41">
        <f t="shared" si="19"/>
        <v>0</v>
      </c>
      <c r="S107" s="41">
        <f t="shared" si="19"/>
        <v>0</v>
      </c>
      <c r="T107" s="41">
        <f t="shared" si="19"/>
        <v>0</v>
      </c>
      <c r="U107" s="41"/>
      <c r="V107" s="41"/>
    </row>
    <row r="108" spans="1:23" x14ac:dyDescent="0.25">
      <c r="A108" s="11" t="s">
        <v>1038</v>
      </c>
      <c r="B108" s="11" t="s">
        <v>1043</v>
      </c>
      <c r="C108" s="11"/>
      <c r="D108" s="11" t="s">
        <v>892</v>
      </c>
      <c r="E108" s="41">
        <f t="shared" ref="E108:T108" si="20">IFERROR(((E18/E75)-1),"CHECK")</f>
        <v>0</v>
      </c>
      <c r="F108" s="41">
        <f t="shared" si="20"/>
        <v>0</v>
      </c>
      <c r="G108" s="41">
        <f t="shared" si="20"/>
        <v>0</v>
      </c>
      <c r="H108" s="41">
        <f t="shared" si="20"/>
        <v>0</v>
      </c>
      <c r="I108" s="41">
        <f t="shared" si="20"/>
        <v>0</v>
      </c>
      <c r="J108" s="41">
        <f t="shared" si="20"/>
        <v>0</v>
      </c>
      <c r="K108" s="41">
        <f t="shared" si="20"/>
        <v>0</v>
      </c>
      <c r="L108" s="41">
        <f t="shared" si="20"/>
        <v>0</v>
      </c>
      <c r="M108" s="41">
        <f t="shared" si="20"/>
        <v>0</v>
      </c>
      <c r="N108" s="41">
        <f t="shared" si="20"/>
        <v>0</v>
      </c>
      <c r="O108" s="41">
        <f t="shared" si="20"/>
        <v>0</v>
      </c>
      <c r="P108" s="41">
        <f t="shared" si="20"/>
        <v>0</v>
      </c>
      <c r="Q108" s="41">
        <f t="shared" si="20"/>
        <v>0</v>
      </c>
      <c r="R108" s="41">
        <f t="shared" si="20"/>
        <v>0</v>
      </c>
      <c r="S108" s="41">
        <f t="shared" si="20"/>
        <v>0</v>
      </c>
      <c r="T108" s="41">
        <f t="shared" si="20"/>
        <v>0</v>
      </c>
      <c r="U108" s="41"/>
      <c r="V108" s="41"/>
    </row>
    <row r="110" spans="1:23" x14ac:dyDescent="0.25">
      <c r="A110" s="8"/>
      <c r="B110" s="9" t="s">
        <v>877</v>
      </c>
      <c r="C110" s="8"/>
      <c r="D110" s="8"/>
      <c r="E110" s="8"/>
      <c r="F110" s="8"/>
      <c r="G110" s="8"/>
      <c r="H110" s="8"/>
      <c r="I110" s="8"/>
      <c r="J110" s="8"/>
      <c r="K110" s="8"/>
      <c r="L110" s="8"/>
      <c r="M110" s="8"/>
      <c r="N110" s="8"/>
      <c r="O110" s="8"/>
      <c r="P110" s="8"/>
      <c r="Q110" s="8"/>
      <c r="R110" s="8"/>
      <c r="S110" s="8"/>
      <c r="T110" s="8"/>
      <c r="U110" s="8"/>
      <c r="V110" s="8"/>
    </row>
    <row r="112" spans="1:23" x14ac:dyDescent="0.25">
      <c r="A112" s="11" t="s">
        <v>1038</v>
      </c>
      <c r="B112" s="11" t="s">
        <v>1044</v>
      </c>
      <c r="C112" s="11" t="s">
        <v>836</v>
      </c>
      <c r="D112" s="11" t="s">
        <v>970</v>
      </c>
      <c r="E112" s="41" t="str">
        <f t="shared" ref="E112:T112" si="21">IFERROR(((E22/E79)-1),"CHECK")</f>
        <v>CHECK</v>
      </c>
      <c r="F112" s="41" t="str">
        <f t="shared" si="21"/>
        <v>CHECK</v>
      </c>
      <c r="G112" s="41" t="str">
        <f t="shared" si="21"/>
        <v>CHECK</v>
      </c>
      <c r="H112" s="41" t="str">
        <f t="shared" si="21"/>
        <v>CHECK</v>
      </c>
      <c r="I112" s="41" t="str">
        <f t="shared" si="21"/>
        <v>CHECK</v>
      </c>
      <c r="J112" s="41" t="str">
        <f t="shared" si="21"/>
        <v>CHECK</v>
      </c>
      <c r="K112" s="41" t="str">
        <f t="shared" si="21"/>
        <v>CHECK</v>
      </c>
      <c r="L112" s="41" t="str">
        <f t="shared" si="21"/>
        <v>CHECK</v>
      </c>
      <c r="M112" s="41" t="str">
        <f t="shared" si="21"/>
        <v>CHECK</v>
      </c>
      <c r="N112" s="41" t="str">
        <f t="shared" si="21"/>
        <v>CHECK</v>
      </c>
      <c r="O112" s="41" t="str">
        <f t="shared" si="21"/>
        <v>CHECK</v>
      </c>
      <c r="P112" s="41" t="str">
        <f t="shared" si="21"/>
        <v>CHECK</v>
      </c>
      <c r="Q112" s="41" t="str">
        <f t="shared" si="21"/>
        <v>CHECK</v>
      </c>
      <c r="R112" s="41">
        <f t="shared" si="21"/>
        <v>0</v>
      </c>
      <c r="S112" s="41">
        <f t="shared" si="21"/>
        <v>0</v>
      </c>
      <c r="T112" s="41">
        <f t="shared" si="21"/>
        <v>0</v>
      </c>
      <c r="U112" s="41"/>
      <c r="V112" s="41"/>
    </row>
    <row r="113" spans="1:22" x14ac:dyDescent="0.25">
      <c r="A113" s="11" t="s">
        <v>1038</v>
      </c>
      <c r="B113" s="11" t="s">
        <v>1045</v>
      </c>
      <c r="C113" s="11" t="s">
        <v>836</v>
      </c>
      <c r="D113" s="11" t="s">
        <v>970</v>
      </c>
      <c r="E113" s="41">
        <f t="shared" ref="E113:T113" si="22">IFERROR(((E23/E80)-1),"CHECK")</f>
        <v>0</v>
      </c>
      <c r="F113" s="41">
        <f t="shared" si="22"/>
        <v>0</v>
      </c>
      <c r="G113" s="41">
        <f t="shared" si="22"/>
        <v>0</v>
      </c>
      <c r="H113" s="41">
        <f t="shared" si="22"/>
        <v>0</v>
      </c>
      <c r="I113" s="41">
        <f t="shared" si="22"/>
        <v>0</v>
      </c>
      <c r="J113" s="41">
        <f t="shared" si="22"/>
        <v>0</v>
      </c>
      <c r="K113" s="41">
        <f t="shared" si="22"/>
        <v>0</v>
      </c>
      <c r="L113" s="41">
        <f t="shared" si="22"/>
        <v>0</v>
      </c>
      <c r="M113" s="41">
        <f t="shared" si="22"/>
        <v>0</v>
      </c>
      <c r="N113" s="41">
        <f t="shared" si="22"/>
        <v>0</v>
      </c>
      <c r="O113" s="41">
        <f t="shared" si="22"/>
        <v>0</v>
      </c>
      <c r="P113" s="41">
        <f t="shared" si="22"/>
        <v>0</v>
      </c>
      <c r="Q113" s="41">
        <f t="shared" si="22"/>
        <v>0</v>
      </c>
      <c r="R113" s="41">
        <f t="shared" si="22"/>
        <v>0</v>
      </c>
      <c r="S113" s="41">
        <f t="shared" si="22"/>
        <v>0</v>
      </c>
      <c r="T113" s="41">
        <f t="shared" si="22"/>
        <v>0</v>
      </c>
      <c r="U113" s="41"/>
      <c r="V113" s="41"/>
    </row>
    <row r="114" spans="1:22" x14ac:dyDescent="0.25">
      <c r="A114" s="11" t="s">
        <v>1038</v>
      </c>
      <c r="B114" s="11" t="s">
        <v>1046</v>
      </c>
      <c r="C114" s="11" t="s">
        <v>836</v>
      </c>
      <c r="D114" s="11" t="s">
        <v>970</v>
      </c>
      <c r="E114" s="41">
        <f t="shared" ref="E114:T114" si="23">IFERROR(((E24/E81)-1),"CHECK")</f>
        <v>0</v>
      </c>
      <c r="F114" s="41">
        <f t="shared" si="23"/>
        <v>0</v>
      </c>
      <c r="G114" s="41">
        <f t="shared" si="23"/>
        <v>0</v>
      </c>
      <c r="H114" s="41">
        <f t="shared" si="23"/>
        <v>0</v>
      </c>
      <c r="I114" s="41">
        <f t="shared" si="23"/>
        <v>0</v>
      </c>
      <c r="J114" s="41">
        <f t="shared" si="23"/>
        <v>0</v>
      </c>
      <c r="K114" s="41">
        <f t="shared" si="23"/>
        <v>0</v>
      </c>
      <c r="L114" s="41">
        <f t="shared" si="23"/>
        <v>0</v>
      </c>
      <c r="M114" s="41">
        <f t="shared" si="23"/>
        <v>0</v>
      </c>
      <c r="N114" s="41">
        <f t="shared" si="23"/>
        <v>0</v>
      </c>
      <c r="O114" s="41">
        <f t="shared" si="23"/>
        <v>0</v>
      </c>
      <c r="P114" s="41">
        <f t="shared" si="23"/>
        <v>0</v>
      </c>
      <c r="Q114" s="41">
        <f t="shared" si="23"/>
        <v>0</v>
      </c>
      <c r="R114" s="41">
        <f t="shared" si="23"/>
        <v>0</v>
      </c>
      <c r="S114" s="41">
        <f t="shared" si="23"/>
        <v>0</v>
      </c>
      <c r="T114" s="41">
        <f t="shared" si="23"/>
        <v>0</v>
      </c>
      <c r="U114" s="41"/>
      <c r="V114" s="41"/>
    </row>
    <row r="115" spans="1:22" x14ac:dyDescent="0.25">
      <c r="A115" s="11" t="s">
        <v>1038</v>
      </c>
      <c r="B115" s="11" t="s">
        <v>1047</v>
      </c>
      <c r="C115" s="11" t="s">
        <v>836</v>
      </c>
      <c r="D115" s="11" t="s">
        <v>970</v>
      </c>
      <c r="E115" s="41">
        <f t="shared" ref="E115:T115" si="24">IFERROR(((E25/E82)-1),"CHECK")</f>
        <v>0</v>
      </c>
      <c r="F115" s="41">
        <f t="shared" si="24"/>
        <v>0</v>
      </c>
      <c r="G115" s="41">
        <f t="shared" si="24"/>
        <v>0</v>
      </c>
      <c r="H115" s="41">
        <f t="shared" si="24"/>
        <v>0</v>
      </c>
      <c r="I115" s="41">
        <f t="shared" si="24"/>
        <v>0</v>
      </c>
      <c r="J115" s="41">
        <f t="shared" si="24"/>
        <v>0</v>
      </c>
      <c r="K115" s="41">
        <f t="shared" si="24"/>
        <v>0</v>
      </c>
      <c r="L115" s="41">
        <f t="shared" si="24"/>
        <v>0</v>
      </c>
      <c r="M115" s="41">
        <f t="shared" si="24"/>
        <v>0</v>
      </c>
      <c r="N115" s="41">
        <f t="shared" si="24"/>
        <v>0</v>
      </c>
      <c r="O115" s="41">
        <f t="shared" si="24"/>
        <v>0</v>
      </c>
      <c r="P115" s="41">
        <f t="shared" si="24"/>
        <v>0</v>
      </c>
      <c r="Q115" s="41">
        <f t="shared" si="24"/>
        <v>0</v>
      </c>
      <c r="R115" s="41">
        <f t="shared" si="24"/>
        <v>0</v>
      </c>
      <c r="S115" s="41">
        <f t="shared" si="24"/>
        <v>0</v>
      </c>
      <c r="T115" s="41">
        <f t="shared" si="24"/>
        <v>0</v>
      </c>
      <c r="U115" s="41"/>
      <c r="V115" s="41"/>
    </row>
    <row r="116" spans="1:22" x14ac:dyDescent="0.25">
      <c r="A116" s="11" t="s">
        <v>1038</v>
      </c>
      <c r="B116" s="11" t="s">
        <v>1048</v>
      </c>
      <c r="C116" s="11" t="s">
        <v>836</v>
      </c>
      <c r="D116" s="11" t="s">
        <v>970</v>
      </c>
      <c r="E116" s="41">
        <f t="shared" ref="E116:T116" si="25">IFERROR(((E26/E83)-1),"CHECK")</f>
        <v>0</v>
      </c>
      <c r="F116" s="41">
        <f t="shared" si="25"/>
        <v>0</v>
      </c>
      <c r="G116" s="41">
        <f t="shared" si="25"/>
        <v>0</v>
      </c>
      <c r="H116" s="41">
        <f t="shared" si="25"/>
        <v>0</v>
      </c>
      <c r="I116" s="41">
        <f t="shared" si="25"/>
        <v>0</v>
      </c>
      <c r="J116" s="41">
        <f t="shared" si="25"/>
        <v>0</v>
      </c>
      <c r="K116" s="41">
        <f t="shared" si="25"/>
        <v>0</v>
      </c>
      <c r="L116" s="41">
        <f t="shared" si="25"/>
        <v>0</v>
      </c>
      <c r="M116" s="41">
        <f t="shared" si="25"/>
        <v>0</v>
      </c>
      <c r="N116" s="41">
        <f t="shared" si="25"/>
        <v>0</v>
      </c>
      <c r="O116" s="41">
        <f t="shared" si="25"/>
        <v>0</v>
      </c>
      <c r="P116" s="41">
        <f t="shared" si="25"/>
        <v>0</v>
      </c>
      <c r="Q116" s="41">
        <f t="shared" si="25"/>
        <v>0</v>
      </c>
      <c r="R116" s="41">
        <f t="shared" si="25"/>
        <v>0</v>
      </c>
      <c r="S116" s="41">
        <f t="shared" si="25"/>
        <v>0</v>
      </c>
      <c r="T116" s="41">
        <f t="shared" si="25"/>
        <v>0</v>
      </c>
      <c r="U116" s="41"/>
      <c r="V116" s="41"/>
    </row>
    <row r="117" spans="1:22" x14ac:dyDescent="0.25">
      <c r="A117" s="11" t="s">
        <v>1038</v>
      </c>
      <c r="B117" s="11" t="s">
        <v>1049</v>
      </c>
      <c r="C117" s="11" t="s">
        <v>486</v>
      </c>
      <c r="D117" s="11" t="s">
        <v>1050</v>
      </c>
      <c r="E117" s="41">
        <f t="shared" ref="E117:T117" si="26">IFERROR(((E27/E84)-1),"CHECK")</f>
        <v>0</v>
      </c>
      <c r="F117" s="41">
        <f t="shared" si="26"/>
        <v>0</v>
      </c>
      <c r="G117" s="41">
        <f t="shared" si="26"/>
        <v>0</v>
      </c>
      <c r="H117" s="41">
        <f t="shared" si="26"/>
        <v>0</v>
      </c>
      <c r="I117" s="41">
        <f t="shared" si="26"/>
        <v>0</v>
      </c>
      <c r="J117" s="41">
        <f t="shared" si="26"/>
        <v>0</v>
      </c>
      <c r="K117" s="41">
        <f t="shared" si="26"/>
        <v>0</v>
      </c>
      <c r="L117" s="41">
        <f t="shared" si="26"/>
        <v>0</v>
      </c>
      <c r="M117" s="41">
        <f t="shared" si="26"/>
        <v>0</v>
      </c>
      <c r="N117" s="41">
        <f t="shared" si="26"/>
        <v>0</v>
      </c>
      <c r="O117" s="41">
        <f t="shared" si="26"/>
        <v>0</v>
      </c>
      <c r="P117" s="41">
        <f t="shared" si="26"/>
        <v>0</v>
      </c>
      <c r="Q117" s="41">
        <f t="shared" si="26"/>
        <v>0</v>
      </c>
      <c r="R117" s="41">
        <f t="shared" si="26"/>
        <v>0</v>
      </c>
      <c r="S117" s="41">
        <f t="shared" si="26"/>
        <v>0</v>
      </c>
      <c r="T117" s="41">
        <f t="shared" si="26"/>
        <v>0</v>
      </c>
      <c r="U117" s="41"/>
      <c r="V117" s="41"/>
    </row>
    <row r="118" spans="1:22" x14ac:dyDescent="0.25">
      <c r="A118" s="11" t="s">
        <v>1038</v>
      </c>
      <c r="B118" s="11" t="s">
        <v>1051</v>
      </c>
      <c r="C118" s="11" t="s">
        <v>486</v>
      </c>
      <c r="D118" s="11" t="s">
        <v>1050</v>
      </c>
      <c r="E118" s="41">
        <f t="shared" ref="E118:T118" si="27">IFERROR(((E28/E85)-1),"CHECK")</f>
        <v>0</v>
      </c>
      <c r="F118" s="41">
        <f t="shared" si="27"/>
        <v>0</v>
      </c>
      <c r="G118" s="41">
        <f t="shared" si="27"/>
        <v>0</v>
      </c>
      <c r="H118" s="41">
        <f t="shared" si="27"/>
        <v>0</v>
      </c>
      <c r="I118" s="41">
        <f t="shared" si="27"/>
        <v>0</v>
      </c>
      <c r="J118" s="41">
        <f t="shared" si="27"/>
        <v>0</v>
      </c>
      <c r="K118" s="41">
        <f t="shared" si="27"/>
        <v>0</v>
      </c>
      <c r="L118" s="41">
        <f t="shared" si="27"/>
        <v>0</v>
      </c>
      <c r="M118" s="41">
        <f t="shared" si="27"/>
        <v>0</v>
      </c>
      <c r="N118" s="41">
        <f t="shared" si="27"/>
        <v>0</v>
      </c>
      <c r="O118" s="41">
        <f t="shared" si="27"/>
        <v>0</v>
      </c>
      <c r="P118" s="41">
        <f t="shared" si="27"/>
        <v>0</v>
      </c>
      <c r="Q118" s="41">
        <f t="shared" si="27"/>
        <v>0</v>
      </c>
      <c r="R118" s="41">
        <f t="shared" si="27"/>
        <v>0</v>
      </c>
      <c r="S118" s="41">
        <f t="shared" si="27"/>
        <v>0</v>
      </c>
      <c r="T118" s="41">
        <f t="shared" si="27"/>
        <v>0</v>
      </c>
      <c r="U118" s="41"/>
      <c r="V118" s="41"/>
    </row>
    <row r="120" spans="1:22" x14ac:dyDescent="0.25">
      <c r="A120" s="8"/>
      <c r="B120" s="9" t="s">
        <v>619</v>
      </c>
      <c r="C120" s="8"/>
      <c r="D120" s="8"/>
      <c r="E120" s="8"/>
      <c r="F120" s="8"/>
      <c r="G120" s="8"/>
      <c r="H120" s="8"/>
      <c r="I120" s="8"/>
      <c r="J120" s="8"/>
      <c r="K120" s="8"/>
      <c r="L120" s="8"/>
      <c r="M120" s="8"/>
      <c r="N120" s="8"/>
      <c r="O120" s="8"/>
      <c r="P120" s="8"/>
      <c r="Q120" s="8"/>
      <c r="R120" s="8"/>
      <c r="S120" s="8"/>
      <c r="T120" s="8"/>
      <c r="U120" s="8"/>
      <c r="V120" s="8"/>
    </row>
    <row r="122" spans="1:22" x14ac:dyDescent="0.25">
      <c r="A122" s="11" t="s">
        <v>1038</v>
      </c>
      <c r="B122" s="11" t="s">
        <v>1039</v>
      </c>
      <c r="C122" s="11" t="s">
        <v>836</v>
      </c>
      <c r="D122" s="11" t="s">
        <v>884</v>
      </c>
      <c r="E122" s="41">
        <f t="shared" ref="E122:T122" si="28">IFERROR(((E32/E89)-1),"CHECK")</f>
        <v>0</v>
      </c>
      <c r="F122" s="41">
        <f t="shared" si="28"/>
        <v>0</v>
      </c>
      <c r="G122" s="41">
        <f t="shared" si="28"/>
        <v>0</v>
      </c>
      <c r="H122" s="41">
        <f t="shared" si="28"/>
        <v>0</v>
      </c>
      <c r="I122" s="41">
        <f t="shared" si="28"/>
        <v>0</v>
      </c>
      <c r="J122" s="41">
        <f t="shared" si="28"/>
        <v>0</v>
      </c>
      <c r="K122" s="41">
        <f t="shared" si="28"/>
        <v>0</v>
      </c>
      <c r="L122" s="41">
        <f t="shared" si="28"/>
        <v>0</v>
      </c>
      <c r="M122" s="41">
        <f t="shared" si="28"/>
        <v>0</v>
      </c>
      <c r="N122" s="41">
        <f t="shared" si="28"/>
        <v>0</v>
      </c>
      <c r="O122" s="41">
        <f t="shared" si="28"/>
        <v>0</v>
      </c>
      <c r="P122" s="41">
        <f t="shared" si="28"/>
        <v>0</v>
      </c>
      <c r="Q122" s="41">
        <f t="shared" si="28"/>
        <v>0</v>
      </c>
      <c r="R122" s="41">
        <f t="shared" si="28"/>
        <v>0</v>
      </c>
      <c r="S122" s="41">
        <f t="shared" si="28"/>
        <v>0</v>
      </c>
      <c r="T122" s="41">
        <f t="shared" si="28"/>
        <v>0</v>
      </c>
      <c r="U122" s="41"/>
      <c r="V122" s="41"/>
    </row>
    <row r="123" spans="1:22" x14ac:dyDescent="0.25">
      <c r="A123" s="11" t="s">
        <v>1038</v>
      </c>
      <c r="B123" s="11" t="s">
        <v>1040</v>
      </c>
      <c r="C123" s="11" t="s">
        <v>836</v>
      </c>
      <c r="D123" s="11" t="s">
        <v>884</v>
      </c>
      <c r="E123" s="41">
        <f t="shared" ref="E123:T123" si="29">IFERROR(((E33/E90)-1),"CHECK")</f>
        <v>0</v>
      </c>
      <c r="F123" s="41">
        <f t="shared" si="29"/>
        <v>0</v>
      </c>
      <c r="G123" s="41">
        <f t="shared" si="29"/>
        <v>0</v>
      </c>
      <c r="H123" s="41">
        <f t="shared" si="29"/>
        <v>0</v>
      </c>
      <c r="I123" s="41">
        <f t="shared" si="29"/>
        <v>0</v>
      </c>
      <c r="J123" s="41">
        <f t="shared" si="29"/>
        <v>0</v>
      </c>
      <c r="K123" s="41">
        <f t="shared" si="29"/>
        <v>0</v>
      </c>
      <c r="L123" s="41">
        <f t="shared" si="29"/>
        <v>0</v>
      </c>
      <c r="M123" s="41">
        <f t="shared" si="29"/>
        <v>0</v>
      </c>
      <c r="N123" s="41">
        <f t="shared" si="29"/>
        <v>0</v>
      </c>
      <c r="O123" s="41">
        <f t="shared" si="29"/>
        <v>0</v>
      </c>
      <c r="P123" s="41">
        <f t="shared" si="29"/>
        <v>0</v>
      </c>
      <c r="Q123" s="41">
        <f t="shared" si="29"/>
        <v>0</v>
      </c>
      <c r="R123" s="41">
        <f t="shared" si="29"/>
        <v>0</v>
      </c>
      <c r="S123" s="41">
        <f t="shared" si="29"/>
        <v>0</v>
      </c>
      <c r="T123" s="41">
        <f t="shared" si="29"/>
        <v>0</v>
      </c>
      <c r="U123" s="41"/>
      <c r="V123" s="41"/>
    </row>
    <row r="124" spans="1:22" x14ac:dyDescent="0.25">
      <c r="A124" s="11" t="s">
        <v>1038</v>
      </c>
      <c r="B124" s="11" t="s">
        <v>1041</v>
      </c>
      <c r="C124" s="11" t="s">
        <v>836</v>
      </c>
      <c r="D124" s="11" t="s">
        <v>884</v>
      </c>
      <c r="E124" s="41">
        <f t="shared" ref="E124:T124" si="30">IFERROR(((E34/E91)-1),"CHECK")</f>
        <v>0</v>
      </c>
      <c r="F124" s="41">
        <f t="shared" si="30"/>
        <v>0</v>
      </c>
      <c r="G124" s="41">
        <f t="shared" si="30"/>
        <v>0</v>
      </c>
      <c r="H124" s="41">
        <f t="shared" si="30"/>
        <v>0</v>
      </c>
      <c r="I124" s="41">
        <f t="shared" si="30"/>
        <v>0</v>
      </c>
      <c r="J124" s="41">
        <f t="shared" si="30"/>
        <v>0</v>
      </c>
      <c r="K124" s="41">
        <f t="shared" si="30"/>
        <v>0</v>
      </c>
      <c r="L124" s="41">
        <f t="shared" si="30"/>
        <v>0</v>
      </c>
      <c r="M124" s="41">
        <f t="shared" si="30"/>
        <v>0</v>
      </c>
      <c r="N124" s="41">
        <f t="shared" si="30"/>
        <v>0</v>
      </c>
      <c r="O124" s="41">
        <f t="shared" si="30"/>
        <v>0</v>
      </c>
      <c r="P124" s="41">
        <f t="shared" si="30"/>
        <v>0</v>
      </c>
      <c r="Q124" s="41">
        <f t="shared" si="30"/>
        <v>0</v>
      </c>
      <c r="R124" s="41">
        <f t="shared" si="30"/>
        <v>0</v>
      </c>
      <c r="S124" s="41">
        <f t="shared" si="30"/>
        <v>0</v>
      </c>
      <c r="T124" s="41">
        <f t="shared" si="30"/>
        <v>0</v>
      </c>
      <c r="U124" s="41"/>
      <c r="V124" s="41"/>
    </row>
    <row r="125" spans="1:22" x14ac:dyDescent="0.25">
      <c r="A125" s="11" t="s">
        <v>1038</v>
      </c>
      <c r="B125" s="11" t="s">
        <v>1042</v>
      </c>
      <c r="C125" s="11" t="s">
        <v>836</v>
      </c>
      <c r="D125" s="11" t="s">
        <v>884</v>
      </c>
      <c r="E125" s="41">
        <f t="shared" ref="E125:T125" si="31">IFERROR(((E35/E92)-1),"CHECK")</f>
        <v>0</v>
      </c>
      <c r="F125" s="41">
        <f t="shared" si="31"/>
        <v>0</v>
      </c>
      <c r="G125" s="41">
        <f t="shared" si="31"/>
        <v>0</v>
      </c>
      <c r="H125" s="41">
        <f t="shared" si="31"/>
        <v>0</v>
      </c>
      <c r="I125" s="41">
        <f t="shared" si="31"/>
        <v>0</v>
      </c>
      <c r="J125" s="41">
        <f t="shared" si="31"/>
        <v>0</v>
      </c>
      <c r="K125" s="41">
        <f t="shared" si="31"/>
        <v>0</v>
      </c>
      <c r="L125" s="41">
        <f t="shared" si="31"/>
        <v>0</v>
      </c>
      <c r="M125" s="41">
        <f t="shared" si="31"/>
        <v>0</v>
      </c>
      <c r="N125" s="41">
        <f t="shared" si="31"/>
        <v>0</v>
      </c>
      <c r="O125" s="41">
        <f t="shared" si="31"/>
        <v>0</v>
      </c>
      <c r="P125" s="41">
        <f t="shared" si="31"/>
        <v>0</v>
      </c>
      <c r="Q125" s="41">
        <f t="shared" si="31"/>
        <v>0</v>
      </c>
      <c r="R125" s="41">
        <f t="shared" si="31"/>
        <v>0</v>
      </c>
      <c r="S125" s="41">
        <f t="shared" si="31"/>
        <v>0</v>
      </c>
      <c r="T125" s="41">
        <f t="shared" si="31"/>
        <v>0</v>
      </c>
      <c r="U125" s="41"/>
      <c r="V125" s="41"/>
    </row>
    <row r="126" spans="1:22" x14ac:dyDescent="0.25">
      <c r="A126" s="11" t="s">
        <v>1038</v>
      </c>
      <c r="B126" s="11" t="s">
        <v>1043</v>
      </c>
      <c r="C126" s="11" t="s">
        <v>836</v>
      </c>
      <c r="D126" s="11" t="s">
        <v>884</v>
      </c>
      <c r="E126" s="41">
        <f t="shared" ref="E126:T126" si="32">IFERROR(((E36/E93)-1),"CHECK")</f>
        <v>0</v>
      </c>
      <c r="F126" s="41">
        <f t="shared" si="32"/>
        <v>0</v>
      </c>
      <c r="G126" s="41">
        <f t="shared" si="32"/>
        <v>0</v>
      </c>
      <c r="H126" s="41">
        <f t="shared" si="32"/>
        <v>0</v>
      </c>
      <c r="I126" s="41">
        <f t="shared" si="32"/>
        <v>0</v>
      </c>
      <c r="J126" s="41">
        <f t="shared" si="32"/>
        <v>0</v>
      </c>
      <c r="K126" s="41">
        <f t="shared" si="32"/>
        <v>0</v>
      </c>
      <c r="L126" s="41">
        <f t="shared" si="32"/>
        <v>0</v>
      </c>
      <c r="M126" s="41">
        <f t="shared" si="32"/>
        <v>0</v>
      </c>
      <c r="N126" s="41">
        <f t="shared" si="32"/>
        <v>0</v>
      </c>
      <c r="O126" s="41">
        <f t="shared" si="32"/>
        <v>0</v>
      </c>
      <c r="P126" s="41">
        <f t="shared" si="32"/>
        <v>0</v>
      </c>
      <c r="Q126" s="41">
        <f t="shared" si="32"/>
        <v>0</v>
      </c>
      <c r="R126" s="41">
        <f t="shared" si="32"/>
        <v>0</v>
      </c>
      <c r="S126" s="41">
        <f t="shared" si="32"/>
        <v>0</v>
      </c>
      <c r="T126" s="41">
        <f t="shared" si="32"/>
        <v>0</v>
      </c>
      <c r="U126" s="41"/>
      <c r="V126" s="41"/>
    </row>
    <row r="127" spans="1:22" x14ac:dyDescent="0.25">
      <c r="A127" s="11" t="s">
        <v>1038</v>
      </c>
      <c r="B127" s="11" t="s">
        <v>835</v>
      </c>
      <c r="C127" s="11" t="s">
        <v>836</v>
      </c>
      <c r="D127" s="11" t="s">
        <v>884</v>
      </c>
      <c r="E127" s="41">
        <f t="shared" ref="E127:T127" si="33">IFERROR(((E37/E94)-1),"CHECK")</f>
        <v>0</v>
      </c>
      <c r="F127" s="41">
        <f t="shared" si="33"/>
        <v>0</v>
      </c>
      <c r="G127" s="41">
        <f t="shared" si="33"/>
        <v>0</v>
      </c>
      <c r="H127" s="41">
        <f t="shared" si="33"/>
        <v>0</v>
      </c>
      <c r="I127" s="41">
        <f t="shared" si="33"/>
        <v>0</v>
      </c>
      <c r="J127" s="41">
        <f t="shared" si="33"/>
        <v>0</v>
      </c>
      <c r="K127" s="41">
        <f t="shared" si="33"/>
        <v>0</v>
      </c>
      <c r="L127" s="41">
        <f t="shared" si="33"/>
        <v>0</v>
      </c>
      <c r="M127" s="41">
        <f t="shared" si="33"/>
        <v>0</v>
      </c>
      <c r="N127" s="41">
        <f t="shared" si="33"/>
        <v>0</v>
      </c>
      <c r="O127" s="41">
        <f t="shared" si="33"/>
        <v>0</v>
      </c>
      <c r="P127" s="41">
        <f t="shared" si="33"/>
        <v>0</v>
      </c>
      <c r="Q127" s="41">
        <f t="shared" si="33"/>
        <v>0</v>
      </c>
      <c r="R127" s="41">
        <f t="shared" si="33"/>
        <v>0</v>
      </c>
      <c r="S127" s="41">
        <f t="shared" si="33"/>
        <v>0</v>
      </c>
      <c r="T127" s="41">
        <f t="shared" si="33"/>
        <v>0</v>
      </c>
      <c r="U127" s="41"/>
      <c r="V127" s="41"/>
    </row>
    <row r="128" spans="1:22" x14ac:dyDescent="0.25">
      <c r="A128" s="11" t="s">
        <v>1038</v>
      </c>
      <c r="B128" s="11" t="s">
        <v>1042</v>
      </c>
      <c r="C128" s="11" t="s">
        <v>486</v>
      </c>
      <c r="D128" s="11" t="s">
        <v>924</v>
      </c>
      <c r="E128" s="41">
        <f t="shared" ref="E128:T128" si="34">IFERROR(((E38/E95)-1),"CHECK")</f>
        <v>0</v>
      </c>
      <c r="F128" s="41">
        <f t="shared" si="34"/>
        <v>0</v>
      </c>
      <c r="G128" s="41">
        <f t="shared" si="34"/>
        <v>0</v>
      </c>
      <c r="H128" s="41">
        <f t="shared" si="34"/>
        <v>0</v>
      </c>
      <c r="I128" s="41">
        <f t="shared" si="34"/>
        <v>0</v>
      </c>
      <c r="J128" s="41">
        <f t="shared" si="34"/>
        <v>0</v>
      </c>
      <c r="K128" s="41">
        <f t="shared" si="34"/>
        <v>0</v>
      </c>
      <c r="L128" s="41">
        <f t="shared" si="34"/>
        <v>0</v>
      </c>
      <c r="M128" s="41">
        <f t="shared" si="34"/>
        <v>0</v>
      </c>
      <c r="N128" s="41">
        <f t="shared" si="34"/>
        <v>0</v>
      </c>
      <c r="O128" s="41">
        <f t="shared" si="34"/>
        <v>0</v>
      </c>
      <c r="P128" s="41">
        <f t="shared" si="34"/>
        <v>0</v>
      </c>
      <c r="Q128" s="41">
        <f t="shared" si="34"/>
        <v>0</v>
      </c>
      <c r="R128" s="41">
        <f t="shared" si="34"/>
        <v>0</v>
      </c>
      <c r="S128" s="41">
        <f t="shared" si="34"/>
        <v>0</v>
      </c>
      <c r="T128" s="41">
        <f t="shared" si="34"/>
        <v>0</v>
      </c>
      <c r="U128" s="41"/>
      <c r="V128" s="41"/>
    </row>
    <row r="129" spans="1:22" x14ac:dyDescent="0.25">
      <c r="A129" s="11" t="s">
        <v>1038</v>
      </c>
      <c r="B129" s="11" t="s">
        <v>1043</v>
      </c>
      <c r="C129" s="11" t="s">
        <v>486</v>
      </c>
      <c r="D129" s="11" t="s">
        <v>924</v>
      </c>
      <c r="E129" s="41">
        <f t="shared" ref="E129:T129" si="35">IFERROR(((E39/E96)-1),"CHECK")</f>
        <v>0</v>
      </c>
      <c r="F129" s="41">
        <f t="shared" si="35"/>
        <v>0</v>
      </c>
      <c r="G129" s="41">
        <f t="shared" si="35"/>
        <v>0</v>
      </c>
      <c r="H129" s="41">
        <f t="shared" si="35"/>
        <v>0</v>
      </c>
      <c r="I129" s="41">
        <f t="shared" si="35"/>
        <v>0</v>
      </c>
      <c r="J129" s="41">
        <f t="shared" si="35"/>
        <v>0</v>
      </c>
      <c r="K129" s="41">
        <f t="shared" si="35"/>
        <v>0</v>
      </c>
      <c r="L129" s="41">
        <f t="shared" si="35"/>
        <v>0</v>
      </c>
      <c r="M129" s="41">
        <f t="shared" si="35"/>
        <v>0</v>
      </c>
      <c r="N129" s="41">
        <f t="shared" si="35"/>
        <v>0</v>
      </c>
      <c r="O129" s="41">
        <f t="shared" si="35"/>
        <v>0</v>
      </c>
      <c r="P129" s="41">
        <f t="shared" si="35"/>
        <v>0</v>
      </c>
      <c r="Q129" s="41">
        <f t="shared" si="35"/>
        <v>0</v>
      </c>
      <c r="R129" s="41">
        <f t="shared" si="35"/>
        <v>0</v>
      </c>
      <c r="S129" s="41">
        <f t="shared" si="35"/>
        <v>0</v>
      </c>
      <c r="T129" s="41">
        <f t="shared" si="35"/>
        <v>0</v>
      </c>
      <c r="U129" s="41"/>
      <c r="V129" s="41"/>
    </row>
    <row r="130" spans="1:22" x14ac:dyDescent="0.25">
      <c r="A130" s="11" t="s">
        <v>1038</v>
      </c>
      <c r="B130" s="11" t="s">
        <v>837</v>
      </c>
      <c r="C130" s="11" t="s">
        <v>486</v>
      </c>
      <c r="D130" s="11" t="s">
        <v>924</v>
      </c>
      <c r="E130" s="41">
        <f t="shared" ref="E130:T130" si="36">IFERROR(((E40/E97)-1),"CHECK")</f>
        <v>0</v>
      </c>
      <c r="F130" s="41">
        <f t="shared" si="36"/>
        <v>0</v>
      </c>
      <c r="G130" s="41">
        <f t="shared" si="36"/>
        <v>0</v>
      </c>
      <c r="H130" s="41">
        <f t="shared" si="36"/>
        <v>0</v>
      </c>
      <c r="I130" s="41">
        <f t="shared" si="36"/>
        <v>0</v>
      </c>
      <c r="J130" s="41">
        <f t="shared" si="36"/>
        <v>0</v>
      </c>
      <c r="K130" s="41">
        <f t="shared" si="36"/>
        <v>0</v>
      </c>
      <c r="L130" s="41">
        <f t="shared" si="36"/>
        <v>0</v>
      </c>
      <c r="M130" s="41">
        <f t="shared" si="36"/>
        <v>0</v>
      </c>
      <c r="N130" s="41">
        <f t="shared" si="36"/>
        <v>0</v>
      </c>
      <c r="O130" s="41">
        <f t="shared" si="36"/>
        <v>0</v>
      </c>
      <c r="P130" s="41">
        <f t="shared" si="36"/>
        <v>0</v>
      </c>
      <c r="Q130" s="41">
        <f t="shared" si="36"/>
        <v>0</v>
      </c>
      <c r="R130" s="41">
        <f t="shared" si="36"/>
        <v>0</v>
      </c>
      <c r="S130" s="41">
        <f t="shared" si="36"/>
        <v>0</v>
      </c>
      <c r="T130" s="41">
        <f t="shared" si="36"/>
        <v>0</v>
      </c>
      <c r="U130" s="41"/>
      <c r="V130" s="41"/>
    </row>
    <row r="131" spans="1:22" x14ac:dyDescent="0.25">
      <c r="A131" s="10" t="s">
        <v>1038</v>
      </c>
      <c r="B131" s="10" t="s">
        <v>882</v>
      </c>
      <c r="C131" s="10" t="s">
        <v>836</v>
      </c>
      <c r="D131" s="10" t="s">
        <v>955</v>
      </c>
      <c r="E131" s="41">
        <f t="shared" ref="E131:T131" si="37">IFERROR(((E41/E98)-1),"CHECK")</f>
        <v>0</v>
      </c>
      <c r="F131" s="41">
        <f t="shared" si="37"/>
        <v>0</v>
      </c>
      <c r="G131" s="41">
        <f t="shared" si="37"/>
        <v>0</v>
      </c>
      <c r="H131" s="41">
        <f t="shared" si="37"/>
        <v>0</v>
      </c>
      <c r="I131" s="41">
        <f t="shared" si="37"/>
        <v>0</v>
      </c>
      <c r="J131" s="41">
        <f t="shared" si="37"/>
        <v>0</v>
      </c>
      <c r="K131" s="41">
        <f t="shared" si="37"/>
        <v>0</v>
      </c>
      <c r="L131" s="41">
        <f t="shared" si="37"/>
        <v>0</v>
      </c>
      <c r="M131" s="41">
        <f t="shared" si="37"/>
        <v>0</v>
      </c>
      <c r="N131" s="41">
        <f t="shared" si="37"/>
        <v>0</v>
      </c>
      <c r="O131" s="41">
        <f t="shared" si="37"/>
        <v>0</v>
      </c>
      <c r="P131" s="41">
        <f t="shared" si="37"/>
        <v>0</v>
      </c>
      <c r="Q131" s="41">
        <f t="shared" si="37"/>
        <v>0</v>
      </c>
      <c r="R131" s="41">
        <f t="shared" si="37"/>
        <v>0</v>
      </c>
      <c r="S131" s="41">
        <f t="shared" si="37"/>
        <v>0</v>
      </c>
      <c r="T131" s="41">
        <f t="shared" si="37"/>
        <v>0</v>
      </c>
      <c r="U131" s="41"/>
      <c r="V131" s="41"/>
    </row>
  </sheetData>
  <mergeCells count="2">
    <mergeCell ref="C1:J1"/>
    <mergeCell ref="C2:J2"/>
  </mergeCells>
  <conditionalFormatting sqref="K2">
    <cfRule type="expression" dxfId="19" priority="1">
      <formula>(UPPER(LEFT(SUBSTITUTE($Z2,"#",""),5))="FIXCH")</formula>
    </cfRule>
    <cfRule type="expression" dxfId="18" priority="2">
      <formula>(UPPER(SUBSTITUTE($Z2,"#",""))="OK")</formula>
    </cfRule>
  </conditionalFormatting>
  <conditionalFormatting sqref="E104:V108 E112:V118 E122:V131">
    <cfRule type="colorScale" priority="3">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D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D00-000060000000}">
          <x14:colorSeries rgb="FF376092"/>
          <x14:colorNegative rgb="FFD00000"/>
          <x14:colorAxis rgb="FF000000"/>
          <x14:colorMarkers rgb="FFD00000"/>
          <x14:colorFirst rgb="FFD00000"/>
          <x14:colorLast rgb="FFD00000"/>
          <x14:colorHigh rgb="FFD00000"/>
          <x14:colorLow rgb="FFD00000"/>
          <x14:sparklines>
            <x14:sparkline>
              <xm:f>'2C2 Ferroalloys Production'!E89:T89</xm:f>
              <xm:sqref>W89</xm:sqref>
            </x14:sparkline>
            <x14:sparkline>
              <xm:f>'2C2 Ferroalloys Production'!E90:T90</xm:f>
              <xm:sqref>W90</xm:sqref>
            </x14:sparkline>
            <x14:sparkline>
              <xm:f>'2C2 Ferroalloys Production'!E91:T91</xm:f>
              <xm:sqref>W91</xm:sqref>
            </x14:sparkline>
            <x14:sparkline>
              <xm:f>'2C2 Ferroalloys Production'!E92:T92</xm:f>
              <xm:sqref>W92</xm:sqref>
            </x14:sparkline>
            <x14:sparkline>
              <xm:f>'2C2 Ferroalloys Production'!E93:T93</xm:f>
              <xm:sqref>W93</xm:sqref>
            </x14:sparkline>
            <x14:sparkline>
              <xm:f>'2C2 Ferroalloys Production'!E94:T94</xm:f>
              <xm:sqref>W94</xm:sqref>
            </x14:sparkline>
            <x14:sparkline>
              <xm:f>'2C2 Ferroalloys Production'!E95:T95</xm:f>
              <xm:sqref>W95</xm:sqref>
            </x14:sparkline>
            <x14:sparkline>
              <xm:f>'2C2 Ferroalloys Production'!E96:T96</xm:f>
              <xm:sqref>W96</xm:sqref>
            </x14:sparkline>
            <x14:sparkline>
              <xm:f>'2C2 Ferroalloys Production'!E97:T97</xm:f>
              <xm:sqref>W97</xm:sqref>
            </x14:sparkline>
            <x14:sparkline>
              <xm:f>'2C2 Ferroalloys Production'!E98:T98</xm:f>
              <xm:sqref>W98</xm:sqref>
            </x14:sparkline>
          </x14:sparklines>
        </x14:sparklineGroup>
        <x14:sparklineGroup manualMax="0" manualMin="0" displayEmptyCellsAs="gap" xr2:uid="{00000000-0003-0000-1D00-00005F000000}">
          <x14:colorSeries rgb="FF376092"/>
          <x14:colorNegative rgb="FFD00000"/>
          <x14:colorAxis rgb="FF000000"/>
          <x14:colorMarkers rgb="FFD00000"/>
          <x14:colorFirst rgb="FFD00000"/>
          <x14:colorLast rgb="FFD00000"/>
          <x14:colorHigh rgb="FFD00000"/>
          <x14:colorLow rgb="FFD00000"/>
          <x14:sparklines>
            <x14:sparkline>
              <xm:f>'2C2 Ferroalloys Production'!E71:T71</xm:f>
              <xm:sqref>W71</xm:sqref>
            </x14:sparkline>
            <x14:sparkline>
              <xm:f>'2C2 Ferroalloys Production'!E72:T72</xm:f>
              <xm:sqref>W72</xm:sqref>
            </x14:sparkline>
            <x14:sparkline>
              <xm:f>'2C2 Ferroalloys Production'!E73:T73</xm:f>
              <xm:sqref>W73</xm:sqref>
            </x14:sparkline>
            <x14:sparkline>
              <xm:f>'2C2 Ferroalloys Production'!E74:T74</xm:f>
              <xm:sqref>W74</xm:sqref>
            </x14:sparkline>
            <x14:sparkline>
              <xm:f>'2C2 Ferroalloys Production'!E75:T75</xm:f>
              <xm:sqref>W75</xm:sqref>
            </x14:sparkline>
          </x14:sparklines>
        </x14:sparklineGroup>
        <x14:sparklineGroup manualMax="0" manualMin="0" displayEmptyCellsAs="gap" xr2:uid="{00000000-0003-0000-1D00-00005E000000}">
          <x14:colorSeries rgb="FF376092"/>
          <x14:colorNegative rgb="FFD00000"/>
          <x14:colorAxis rgb="FF000000"/>
          <x14:colorMarkers rgb="FFD00000"/>
          <x14:colorFirst rgb="FFD00000"/>
          <x14:colorLast rgb="FFD00000"/>
          <x14:colorHigh rgb="FFD00000"/>
          <x14:colorLow rgb="FFD00000"/>
          <x14:sparklines>
            <x14:sparkline>
              <xm:f>'2C2 Ferroalloys Production'!E79:T79</xm:f>
              <xm:sqref>W79</xm:sqref>
            </x14:sparkline>
            <x14:sparkline>
              <xm:f>'2C2 Ferroalloys Production'!E80:T80</xm:f>
              <xm:sqref>W80</xm:sqref>
            </x14:sparkline>
            <x14:sparkline>
              <xm:f>'2C2 Ferroalloys Production'!E81:T81</xm:f>
              <xm:sqref>W81</xm:sqref>
            </x14:sparkline>
            <x14:sparkline>
              <xm:f>'2C2 Ferroalloys Production'!E82:T82</xm:f>
              <xm:sqref>W82</xm:sqref>
            </x14:sparkline>
            <x14:sparkline>
              <xm:f>'2C2 Ferroalloys Production'!E83:T83</xm:f>
              <xm:sqref>W83</xm:sqref>
            </x14:sparkline>
            <x14:sparkline>
              <xm:f>'2C2 Ferroalloys Production'!E84:T84</xm:f>
              <xm:sqref>W84</xm:sqref>
            </x14:sparkline>
            <x14:sparkline>
              <xm:f>'2C2 Ferroalloys Production'!E85:T85</xm:f>
              <xm:sqref>W85</xm:sqref>
            </x14:sparkline>
          </x14:sparklines>
        </x14:sparklineGroup>
        <x14:sparklineGroup manualMax="0" manualMin="0" displayEmptyCellsAs="gap" xr2:uid="{00000000-0003-0000-1D00-00005D000000}">
          <x14:colorSeries rgb="FF376092"/>
          <x14:colorNegative rgb="FFD00000"/>
          <x14:colorAxis rgb="FF000000"/>
          <x14:colorMarkers rgb="FFD00000"/>
          <x14:colorFirst rgb="FFD00000"/>
          <x14:colorLast rgb="FFD00000"/>
          <x14:colorHigh rgb="FFD00000"/>
          <x14:colorLow rgb="FFD00000"/>
          <x14:sparklines>
            <x14:sparkline>
              <xm:f>'2C2 Ferroalloys Production'!E22:V22</xm:f>
              <xm:sqref>W22</xm:sqref>
            </x14:sparkline>
            <x14:sparkline>
              <xm:f>'2C2 Ferroalloys Production'!E23:V23</xm:f>
              <xm:sqref>W23</xm:sqref>
            </x14:sparkline>
            <x14:sparkline>
              <xm:f>'2C2 Ferroalloys Production'!E24:V24</xm:f>
              <xm:sqref>W24</xm:sqref>
            </x14:sparkline>
            <x14:sparkline>
              <xm:f>'2C2 Ferroalloys Production'!E25:V25</xm:f>
              <xm:sqref>W25</xm:sqref>
            </x14:sparkline>
            <x14:sparkline>
              <xm:f>'2C2 Ferroalloys Production'!E26:V26</xm:f>
              <xm:sqref>W26</xm:sqref>
            </x14:sparkline>
            <x14:sparkline>
              <xm:f>'2C2 Ferroalloys Production'!E27:V27</xm:f>
              <xm:sqref>W27</xm:sqref>
            </x14:sparkline>
            <x14:sparkline>
              <xm:f>'2C2 Ferroalloys Production'!E28:V28</xm:f>
              <xm:sqref>W28</xm:sqref>
            </x14:sparkline>
          </x14:sparklines>
        </x14:sparklineGroup>
        <x14:sparklineGroup manualMax="0" manualMin="0" displayEmptyCellsAs="gap" xr2:uid="{00000000-0003-0000-1D00-00005C000000}">
          <x14:colorSeries rgb="FF376092"/>
          <x14:colorNegative rgb="FFD00000"/>
          <x14:colorAxis rgb="FF000000"/>
          <x14:colorMarkers rgb="FFD00000"/>
          <x14:colorFirst rgb="FFD00000"/>
          <x14:colorLast rgb="FFD00000"/>
          <x14:colorHigh rgb="FFD00000"/>
          <x14:colorLow rgb="FFD00000"/>
          <x14:sparklines>
            <x14:sparkline>
              <xm:f>'2C2 Ferroalloys Production'!E14:V14</xm:f>
              <xm:sqref>W14</xm:sqref>
            </x14:sparkline>
            <x14:sparkline>
              <xm:f>'2C2 Ferroalloys Production'!E15:V15</xm:f>
              <xm:sqref>W15</xm:sqref>
            </x14:sparkline>
            <x14:sparkline>
              <xm:f>'2C2 Ferroalloys Production'!E16:V16</xm:f>
              <xm:sqref>W16</xm:sqref>
            </x14:sparkline>
            <x14:sparkline>
              <xm:f>'2C2 Ferroalloys Production'!E17:V17</xm:f>
              <xm:sqref>W17</xm:sqref>
            </x14:sparkline>
            <x14:sparkline>
              <xm:f>'2C2 Ferroalloys Production'!E18:V18</xm:f>
              <xm:sqref>W18</xm:sqref>
            </x14:sparkline>
          </x14:sparklines>
        </x14:sparklineGroup>
        <x14:sparklineGroup manualMax="0" manualMin="0" displayEmptyCellsAs="gap" xr2:uid="{00000000-0003-0000-1D00-00005B000000}">
          <x14:colorSeries rgb="FF376092"/>
          <x14:colorNegative rgb="FFD00000"/>
          <x14:colorAxis rgb="FF000000"/>
          <x14:colorMarkers rgb="FFD00000"/>
          <x14:colorFirst rgb="FFD00000"/>
          <x14:colorLast rgb="FFD00000"/>
          <x14:colorHigh rgb="FFD00000"/>
          <x14:colorLow rgb="FFD00000"/>
          <x14:sparklines>
            <x14:sparkline>
              <xm:f>'2C2 Ferroalloys Production'!E32:V32</xm:f>
              <xm:sqref>W32</xm:sqref>
            </x14:sparkline>
            <x14:sparkline>
              <xm:f>'2C2 Ferroalloys Production'!E33:V33</xm:f>
              <xm:sqref>W33</xm:sqref>
            </x14:sparkline>
            <x14:sparkline>
              <xm:f>'2C2 Ferroalloys Production'!E34:V34</xm:f>
              <xm:sqref>W34</xm:sqref>
            </x14:sparkline>
            <x14:sparkline>
              <xm:f>'2C2 Ferroalloys Production'!E35:V35</xm:f>
              <xm:sqref>W35</xm:sqref>
            </x14:sparkline>
            <x14:sparkline>
              <xm:f>'2C2 Ferroalloys Production'!E36:V36</xm:f>
              <xm:sqref>W36</xm:sqref>
            </x14:sparkline>
            <x14:sparkline>
              <xm:f>'2C2 Ferroalloys Production'!E37:V37</xm:f>
              <xm:sqref>W37</xm:sqref>
            </x14:sparkline>
            <x14:sparkline>
              <xm:f>'2C2 Ferroalloys Production'!E38:V38</xm:f>
              <xm:sqref>W38</xm:sqref>
            </x14:sparkline>
            <x14:sparkline>
              <xm:f>'2C2 Ferroalloys Production'!E39:V39</xm:f>
              <xm:sqref>W39</xm:sqref>
            </x14:sparkline>
            <x14:sparkline>
              <xm:f>'2C2 Ferroalloys Production'!E40:V40</xm:f>
              <xm:sqref>W40</xm:sqref>
            </x14:sparkline>
            <x14:sparkline>
              <xm:f>'2C2 Ferroalloys Production'!E41:V41</xm:f>
              <xm:sqref>W41</xm:sqref>
            </x14:sparkline>
          </x14:sparklines>
        </x14:sparklineGroup>
      </x14:sparklineGroup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6">
    <tabColor theme="3" tint="0.79998168889431442"/>
  </sheetPr>
  <dimension ref="A1:Y155"/>
  <sheetViews>
    <sheetView topLeftCell="B1" zoomScale="90" zoomScaleNormal="90" workbookViewId="0">
      <selection activeCell="E49" sqref="E49"/>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2C3 Aluminium Production</v>
      </c>
      <c r="C1" s="261" t="s">
        <v>856</v>
      </c>
      <c r="D1" s="262"/>
      <c r="E1" s="262"/>
      <c r="F1" s="262"/>
      <c r="G1" s="262"/>
      <c r="H1" s="262"/>
      <c r="I1" s="262"/>
      <c r="J1" s="263"/>
      <c r="K1" s="14"/>
    </row>
    <row r="2" spans="1:25" ht="49.5" customHeight="1" x14ac:dyDescent="0.25">
      <c r="A2" s="15" t="s">
        <v>736</v>
      </c>
      <c r="B2" s="33" t="s">
        <v>857</v>
      </c>
      <c r="C2" s="264"/>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1052</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126</v>
      </c>
      <c r="B14" t="s">
        <v>1053</v>
      </c>
      <c r="D14" t="s">
        <v>892</v>
      </c>
      <c r="E14" s="114">
        <v>586868</v>
      </c>
      <c r="F14" s="114">
        <v>573285</v>
      </c>
      <c r="G14" s="114">
        <v>623778</v>
      </c>
      <c r="H14" s="114">
        <v>629668</v>
      </c>
      <c r="I14" s="114">
        <v>778067</v>
      </c>
      <c r="J14" s="114">
        <v>784638</v>
      </c>
      <c r="K14" s="114">
        <v>800668</v>
      </c>
      <c r="L14" s="114">
        <v>808630</v>
      </c>
      <c r="M14" s="114">
        <v>788859</v>
      </c>
      <c r="N14" s="114">
        <v>811324</v>
      </c>
      <c r="O14" s="114">
        <v>808795</v>
      </c>
      <c r="P14" s="114">
        <v>812209</v>
      </c>
      <c r="Q14" s="114">
        <v>666790</v>
      </c>
      <c r="R14" s="114">
        <v>824000</v>
      </c>
      <c r="S14" s="114">
        <v>769300</v>
      </c>
      <c r="T14" s="114">
        <v>736500</v>
      </c>
      <c r="U14" s="183">
        <f>576908*17^0.1244</f>
        <v>820681.05333577318</v>
      </c>
      <c r="V14" s="183">
        <f>576908*18^0.1244</f>
        <v>826537.30724132585</v>
      </c>
      <c r="Y14" t="s">
        <v>43</v>
      </c>
    </row>
    <row r="15" spans="1:25" x14ac:dyDescent="0.25">
      <c r="A15" t="s">
        <v>126</v>
      </c>
      <c r="B15" t="s">
        <v>1054</v>
      </c>
      <c r="D15" t="s">
        <v>892</v>
      </c>
      <c r="E15" s="114">
        <v>89572</v>
      </c>
      <c r="F15" s="114">
        <v>85973</v>
      </c>
      <c r="G15" s="114">
        <v>82749</v>
      </c>
      <c r="H15" s="114">
        <v>89037</v>
      </c>
      <c r="I15" s="114">
        <v>88644</v>
      </c>
      <c r="J15" s="114">
        <v>86529</v>
      </c>
      <c r="K15" s="114">
        <v>90082</v>
      </c>
      <c r="L15" s="114">
        <v>91334</v>
      </c>
      <c r="M15" s="114">
        <v>22722</v>
      </c>
      <c r="N15" s="114">
        <v>0</v>
      </c>
      <c r="O15" s="114">
        <v>0</v>
      </c>
      <c r="P15" s="114">
        <v>0</v>
      </c>
      <c r="Q15" s="114">
        <v>0</v>
      </c>
      <c r="R15" s="114">
        <v>0</v>
      </c>
      <c r="S15" s="114">
        <v>0</v>
      </c>
      <c r="T15" s="114">
        <v>0</v>
      </c>
      <c r="U15" s="114">
        <v>0</v>
      </c>
      <c r="V15" s="114">
        <v>0</v>
      </c>
      <c r="Y15" t="s">
        <v>43</v>
      </c>
    </row>
    <row r="16" spans="1:25" x14ac:dyDescent="0.25">
      <c r="A16" t="s">
        <v>126</v>
      </c>
      <c r="B16" t="s">
        <v>1055</v>
      </c>
      <c r="D16" t="s">
        <v>892</v>
      </c>
      <c r="E16" s="114">
        <v>586868</v>
      </c>
      <c r="F16" s="114">
        <v>573285</v>
      </c>
      <c r="G16" s="114">
        <v>623778</v>
      </c>
      <c r="H16" s="114">
        <v>629668</v>
      </c>
      <c r="I16" s="114">
        <v>778067</v>
      </c>
      <c r="J16" s="114">
        <v>784638</v>
      </c>
      <c r="K16" s="114">
        <v>800668</v>
      </c>
      <c r="L16" s="114">
        <v>808630</v>
      </c>
      <c r="M16" s="114">
        <v>788859</v>
      </c>
      <c r="N16" s="114">
        <v>811324</v>
      </c>
      <c r="O16" s="114">
        <v>808795</v>
      </c>
      <c r="P16" s="114">
        <v>812209</v>
      </c>
      <c r="Q16" s="114">
        <v>666790</v>
      </c>
      <c r="R16" s="114">
        <v>824000</v>
      </c>
      <c r="S16" s="114">
        <v>769300</v>
      </c>
      <c r="T16" s="114">
        <v>736500</v>
      </c>
      <c r="U16" s="183">
        <f>U14</f>
        <v>820681.05333577318</v>
      </c>
      <c r="V16" s="183">
        <f>V14</f>
        <v>826537.30724132585</v>
      </c>
      <c r="Y16" t="s">
        <v>43</v>
      </c>
    </row>
    <row r="17" spans="1:25" x14ac:dyDescent="0.25">
      <c r="A17" t="s">
        <v>126</v>
      </c>
      <c r="B17" t="s">
        <v>1056</v>
      </c>
      <c r="D17" t="s">
        <v>892</v>
      </c>
      <c r="E17" s="114">
        <v>9980</v>
      </c>
      <c r="F17" s="114">
        <v>9763</v>
      </c>
      <c r="G17" s="114">
        <v>9192</v>
      </c>
      <c r="H17" s="114">
        <v>10084</v>
      </c>
      <c r="I17" s="114">
        <v>9784</v>
      </c>
      <c r="J17" s="114">
        <v>10002</v>
      </c>
      <c r="K17" s="114">
        <v>9974</v>
      </c>
      <c r="L17" s="114">
        <v>9925</v>
      </c>
      <c r="M17" s="114">
        <v>804</v>
      </c>
      <c r="N17" s="114">
        <v>0</v>
      </c>
      <c r="O17" s="114">
        <v>0</v>
      </c>
      <c r="P17" s="114">
        <v>0</v>
      </c>
      <c r="Q17" s="114">
        <v>0</v>
      </c>
      <c r="R17" s="114">
        <v>0</v>
      </c>
      <c r="S17" s="114">
        <v>0</v>
      </c>
      <c r="T17" s="114">
        <v>0</v>
      </c>
      <c r="U17" s="114">
        <v>0</v>
      </c>
      <c r="V17" s="114">
        <v>0</v>
      </c>
      <c r="Y17" t="s">
        <v>43</v>
      </c>
    </row>
    <row r="18" spans="1:25" x14ac:dyDescent="0.25">
      <c r="A18" t="s">
        <v>126</v>
      </c>
      <c r="B18" t="s">
        <v>1057</v>
      </c>
      <c r="D18" t="s">
        <v>892</v>
      </c>
      <c r="E18" s="114">
        <v>79592</v>
      </c>
      <c r="F18" s="114">
        <v>76210</v>
      </c>
      <c r="G18" s="114">
        <v>73557</v>
      </c>
      <c r="H18" s="114">
        <v>78952</v>
      </c>
      <c r="I18" s="114">
        <v>78860</v>
      </c>
      <c r="J18" s="114">
        <v>76527</v>
      </c>
      <c r="K18" s="114">
        <v>80108</v>
      </c>
      <c r="L18" s="114">
        <v>81409</v>
      </c>
      <c r="M18" s="114">
        <v>21917</v>
      </c>
      <c r="N18" s="114">
        <v>0</v>
      </c>
      <c r="O18" s="114">
        <v>0</v>
      </c>
      <c r="P18" s="114">
        <v>0</v>
      </c>
      <c r="Q18" s="114">
        <v>0</v>
      </c>
      <c r="R18" s="114">
        <v>0</v>
      </c>
      <c r="S18" s="114">
        <v>0</v>
      </c>
      <c r="T18" s="114">
        <v>0</v>
      </c>
      <c r="U18" s="114">
        <v>0</v>
      </c>
      <c r="V18" s="114">
        <v>0</v>
      </c>
      <c r="Y18" t="s">
        <v>43</v>
      </c>
    </row>
    <row r="19" spans="1:25" x14ac:dyDescent="0.25">
      <c r="A19" t="s">
        <v>126</v>
      </c>
      <c r="B19" t="s">
        <v>1058</v>
      </c>
      <c r="D19" t="s">
        <v>892</v>
      </c>
      <c r="E19" s="114"/>
      <c r="F19" s="114"/>
      <c r="G19" s="114"/>
      <c r="H19" s="114"/>
      <c r="I19" s="114"/>
      <c r="J19" s="114"/>
      <c r="K19" s="114"/>
      <c r="L19" s="114"/>
      <c r="M19" s="114"/>
      <c r="N19" s="114"/>
      <c r="O19" s="114"/>
      <c r="P19" s="114"/>
      <c r="Q19" s="114"/>
      <c r="R19" s="114"/>
      <c r="S19" s="114"/>
      <c r="T19" s="114"/>
      <c r="U19" s="114"/>
      <c r="V19" s="114"/>
    </row>
    <row r="21" spans="1:25" s="5" customFormat="1" ht="21" x14ac:dyDescent="0.35">
      <c r="B21" s="6" t="s">
        <v>950</v>
      </c>
      <c r="E21" s="5" t="s">
        <v>951</v>
      </c>
    </row>
    <row r="23" spans="1:25" x14ac:dyDescent="0.25">
      <c r="A23" t="s">
        <v>126</v>
      </c>
      <c r="B23" t="s">
        <v>1053</v>
      </c>
      <c r="C23" t="s">
        <v>836</v>
      </c>
      <c r="D23" t="s">
        <v>970</v>
      </c>
      <c r="E23" s="205">
        <v>1.6</v>
      </c>
      <c r="F23" s="205">
        <v>1.6</v>
      </c>
      <c r="G23" s="205">
        <v>1.6</v>
      </c>
      <c r="H23" s="205">
        <v>1.6</v>
      </c>
      <c r="I23" s="205">
        <v>1.6</v>
      </c>
      <c r="J23" s="205">
        <v>1.6</v>
      </c>
      <c r="K23" s="205">
        <v>1.6</v>
      </c>
      <c r="L23" s="205">
        <v>1.6</v>
      </c>
      <c r="M23" s="205">
        <v>1.6</v>
      </c>
      <c r="N23" s="205">
        <v>1.6</v>
      </c>
      <c r="O23" s="205">
        <v>1.6</v>
      </c>
      <c r="P23" s="205">
        <v>1.6</v>
      </c>
      <c r="Q23" s="205">
        <v>1.6</v>
      </c>
      <c r="R23" s="205">
        <v>1.6</v>
      </c>
      <c r="S23" s="205">
        <v>1.6</v>
      </c>
      <c r="T23" s="205">
        <v>1.6</v>
      </c>
      <c r="U23" s="205">
        <v>1.6</v>
      </c>
      <c r="V23" s="205">
        <v>1.6</v>
      </c>
      <c r="Y23" t="s">
        <v>127</v>
      </c>
    </row>
    <row r="24" spans="1:25" x14ac:dyDescent="0.25">
      <c r="A24" t="s">
        <v>126</v>
      </c>
      <c r="B24" t="s">
        <v>1054</v>
      </c>
      <c r="C24" t="s">
        <v>836</v>
      </c>
      <c r="D24" t="s">
        <v>970</v>
      </c>
      <c r="E24" s="205">
        <v>1.7</v>
      </c>
      <c r="F24" s="205">
        <v>1.7</v>
      </c>
      <c r="G24" s="205">
        <v>1.7</v>
      </c>
      <c r="H24" s="205">
        <v>1.7</v>
      </c>
      <c r="I24" s="205">
        <v>1.7</v>
      </c>
      <c r="J24" s="205">
        <v>1.7</v>
      </c>
      <c r="K24" s="205">
        <v>1.7</v>
      </c>
      <c r="L24" s="205">
        <v>1.7</v>
      </c>
      <c r="M24" s="205">
        <v>1.7</v>
      </c>
      <c r="N24" s="205">
        <v>1.7</v>
      </c>
      <c r="O24" s="205">
        <v>1.7</v>
      </c>
      <c r="P24" s="205">
        <v>1.7</v>
      </c>
      <c r="Q24" s="205">
        <v>1.7</v>
      </c>
      <c r="R24" s="205">
        <v>1.7</v>
      </c>
      <c r="S24" s="205">
        <v>1.7</v>
      </c>
      <c r="T24" s="205">
        <v>1.7</v>
      </c>
      <c r="U24" s="205">
        <v>1.7</v>
      </c>
      <c r="V24" s="205">
        <v>1.7</v>
      </c>
      <c r="Y24" t="s">
        <v>127</v>
      </c>
    </row>
    <row r="25" spans="1:25" x14ac:dyDescent="0.25">
      <c r="A25" t="s">
        <v>126</v>
      </c>
      <c r="B25" t="s">
        <v>1055</v>
      </c>
      <c r="C25" t="s">
        <v>489</v>
      </c>
      <c r="D25" t="s">
        <v>1059</v>
      </c>
      <c r="E25" s="205"/>
      <c r="F25" s="205"/>
      <c r="G25" s="205"/>
      <c r="H25" s="205"/>
      <c r="I25" s="205"/>
      <c r="J25" s="205"/>
      <c r="K25" s="205"/>
      <c r="L25" s="205"/>
      <c r="M25" s="205"/>
      <c r="N25" s="205"/>
      <c r="O25" s="205"/>
      <c r="P25" s="205"/>
      <c r="Q25" s="117">
        <f t="shared" ref="Q25" si="0">+(Q39/Q16)*1000</f>
        <v>3.999760044391787E-4</v>
      </c>
      <c r="R25" s="131">
        <v>3.999760044391787E-4</v>
      </c>
      <c r="S25" s="131">
        <v>3.999760044391787E-4</v>
      </c>
      <c r="T25" s="131">
        <v>3.999760044391787E-4</v>
      </c>
      <c r="U25" s="131">
        <v>3.9997600443917903E-4</v>
      </c>
      <c r="V25" s="131">
        <v>3.9997600443917903E-4</v>
      </c>
      <c r="Y25" t="s">
        <v>128</v>
      </c>
    </row>
    <row r="26" spans="1:25" x14ac:dyDescent="0.25">
      <c r="A26" t="s">
        <v>126</v>
      </c>
      <c r="B26" t="s">
        <v>1056</v>
      </c>
      <c r="C26" t="s">
        <v>489</v>
      </c>
      <c r="D26" t="s">
        <v>1059</v>
      </c>
      <c r="E26" s="205"/>
      <c r="F26" s="205"/>
      <c r="G26" s="205"/>
      <c r="H26" s="205"/>
      <c r="I26" s="205"/>
      <c r="J26" s="205"/>
      <c r="K26" s="205"/>
      <c r="L26" s="205"/>
      <c r="M26" s="205"/>
      <c r="N26" s="205"/>
      <c r="O26" s="205"/>
      <c r="P26" s="205"/>
      <c r="Q26" s="117">
        <v>0</v>
      </c>
      <c r="R26" s="131">
        <v>0</v>
      </c>
      <c r="S26" s="131">
        <v>0</v>
      </c>
      <c r="T26" s="131">
        <v>0</v>
      </c>
      <c r="U26" s="131">
        <v>0</v>
      </c>
      <c r="V26" s="131">
        <v>0</v>
      </c>
      <c r="Y26" t="s">
        <v>128</v>
      </c>
    </row>
    <row r="27" spans="1:25" x14ac:dyDescent="0.25">
      <c r="A27" t="s">
        <v>126</v>
      </c>
      <c r="B27" t="s">
        <v>1057</v>
      </c>
      <c r="C27" t="s">
        <v>489</v>
      </c>
      <c r="D27" t="s">
        <v>1059</v>
      </c>
      <c r="E27" s="205"/>
      <c r="F27" s="205"/>
      <c r="G27" s="205"/>
      <c r="H27" s="205"/>
      <c r="I27" s="205"/>
      <c r="J27" s="205"/>
      <c r="K27" s="205"/>
      <c r="L27" s="205"/>
      <c r="M27" s="205"/>
      <c r="N27" s="205"/>
      <c r="O27" s="205"/>
      <c r="P27" s="205"/>
      <c r="Q27" s="117">
        <v>0</v>
      </c>
      <c r="R27" s="131">
        <v>0</v>
      </c>
      <c r="S27" s="131">
        <v>0</v>
      </c>
      <c r="T27" s="131">
        <v>0</v>
      </c>
      <c r="U27" s="131">
        <v>0</v>
      </c>
      <c r="V27" s="131">
        <v>0</v>
      </c>
      <c r="Y27" t="s">
        <v>128</v>
      </c>
    </row>
    <row r="28" spans="1:25" x14ac:dyDescent="0.25">
      <c r="A28" t="s">
        <v>126</v>
      </c>
      <c r="B28" t="s">
        <v>1058</v>
      </c>
      <c r="C28" t="s">
        <v>489</v>
      </c>
      <c r="D28" t="s">
        <v>1059</v>
      </c>
      <c r="E28" s="205"/>
      <c r="F28" s="205"/>
      <c r="G28" s="205"/>
      <c r="H28" s="205"/>
      <c r="I28" s="205"/>
      <c r="J28" s="205"/>
      <c r="K28" s="205"/>
      <c r="L28" s="205"/>
      <c r="M28" s="205"/>
      <c r="N28" s="205"/>
      <c r="O28" s="205"/>
      <c r="P28" s="205"/>
      <c r="Q28" s="117">
        <v>0</v>
      </c>
      <c r="R28" s="131">
        <v>0</v>
      </c>
      <c r="S28" s="131">
        <v>0</v>
      </c>
      <c r="T28" s="131">
        <v>0</v>
      </c>
      <c r="U28" s="131">
        <v>0</v>
      </c>
      <c r="V28" s="131">
        <v>0</v>
      </c>
      <c r="Y28" t="s">
        <v>128</v>
      </c>
    </row>
    <row r="29" spans="1:25" x14ac:dyDescent="0.25">
      <c r="A29" t="s">
        <v>126</v>
      </c>
      <c r="B29" t="s">
        <v>1055</v>
      </c>
      <c r="C29" t="s">
        <v>490</v>
      </c>
      <c r="D29" t="s">
        <v>1060</v>
      </c>
      <c r="E29" s="205"/>
      <c r="F29" s="205"/>
      <c r="G29" s="205"/>
      <c r="H29" s="205"/>
      <c r="I29" s="205"/>
      <c r="J29" s="205"/>
      <c r="K29" s="205"/>
      <c r="L29" s="205"/>
      <c r="M29" s="205"/>
      <c r="N29" s="205"/>
      <c r="O29" s="205"/>
      <c r="P29" s="205"/>
      <c r="Q29" s="117">
        <f t="shared" ref="Q29" si="1">+(Q44/Q16)*1000</f>
        <v>4.0042592120457721E-5</v>
      </c>
      <c r="R29" s="131">
        <v>4.0042592120457721E-5</v>
      </c>
      <c r="S29" s="131">
        <v>4.0042592120457721E-5</v>
      </c>
      <c r="T29" s="131">
        <v>4.0042592120457721E-5</v>
      </c>
      <c r="U29" s="131">
        <v>4.0042592120457701E-5</v>
      </c>
      <c r="V29" s="131">
        <v>4.0042592120457701E-5</v>
      </c>
      <c r="Y29" t="s">
        <v>128</v>
      </c>
    </row>
    <row r="30" spans="1:25" x14ac:dyDescent="0.25">
      <c r="A30" t="s">
        <v>126</v>
      </c>
      <c r="B30" t="s">
        <v>1056</v>
      </c>
      <c r="C30" t="s">
        <v>490</v>
      </c>
      <c r="D30" t="s">
        <v>1060</v>
      </c>
      <c r="E30" s="205"/>
      <c r="F30" s="205"/>
      <c r="G30" s="205"/>
      <c r="H30" s="205"/>
      <c r="I30" s="205"/>
      <c r="J30" s="205"/>
      <c r="K30" s="205"/>
      <c r="L30" s="205"/>
      <c r="M30" s="205"/>
      <c r="N30" s="205"/>
      <c r="O30" s="205"/>
      <c r="P30" s="205"/>
      <c r="Q30" s="117">
        <v>0</v>
      </c>
      <c r="R30" s="131">
        <v>0</v>
      </c>
      <c r="S30" s="131">
        <v>0</v>
      </c>
      <c r="T30" s="131">
        <v>0</v>
      </c>
      <c r="U30" s="131">
        <v>0</v>
      </c>
      <c r="V30" s="131">
        <v>0</v>
      </c>
      <c r="Y30" t="s">
        <v>128</v>
      </c>
    </row>
    <row r="31" spans="1:25" x14ac:dyDescent="0.25">
      <c r="A31" t="s">
        <v>126</v>
      </c>
      <c r="B31" t="s">
        <v>1057</v>
      </c>
      <c r="C31" t="s">
        <v>490</v>
      </c>
      <c r="D31" t="s">
        <v>1060</v>
      </c>
      <c r="E31" s="205"/>
      <c r="F31" s="205"/>
      <c r="G31" s="205"/>
      <c r="H31" s="205"/>
      <c r="I31" s="205"/>
      <c r="J31" s="205"/>
      <c r="K31" s="205"/>
      <c r="L31" s="205"/>
      <c r="M31" s="205"/>
      <c r="N31" s="205"/>
      <c r="O31" s="205"/>
      <c r="P31" s="205"/>
      <c r="Q31" s="117">
        <v>0</v>
      </c>
      <c r="R31" s="131">
        <v>0</v>
      </c>
      <c r="S31" s="131">
        <v>0</v>
      </c>
      <c r="T31" s="131">
        <v>0</v>
      </c>
      <c r="U31" s="131">
        <v>0</v>
      </c>
      <c r="V31" s="131">
        <v>0</v>
      </c>
      <c r="Y31" t="s">
        <v>128</v>
      </c>
    </row>
    <row r="32" spans="1:25" x14ac:dyDescent="0.25">
      <c r="A32" t="s">
        <v>126</v>
      </c>
      <c r="B32" t="s">
        <v>1058</v>
      </c>
      <c r="C32" t="s">
        <v>490</v>
      </c>
      <c r="D32" t="s">
        <v>1060</v>
      </c>
      <c r="E32" s="205"/>
      <c r="F32" s="205"/>
      <c r="G32" s="205"/>
      <c r="H32" s="205"/>
      <c r="I32" s="205"/>
      <c r="J32" s="205"/>
      <c r="K32" s="205"/>
      <c r="L32" s="205"/>
      <c r="M32" s="205"/>
      <c r="N32" s="205"/>
      <c r="O32" s="205"/>
      <c r="P32" s="205"/>
      <c r="Q32" s="117">
        <v>0</v>
      </c>
      <c r="R32" s="131">
        <v>0</v>
      </c>
      <c r="S32" s="131">
        <v>0</v>
      </c>
      <c r="T32" s="131">
        <v>0</v>
      </c>
      <c r="U32" s="131">
        <v>0</v>
      </c>
      <c r="V32" s="131">
        <v>0</v>
      </c>
      <c r="Y32" t="s">
        <v>128</v>
      </c>
    </row>
    <row r="34" spans="1:25" s="5" customFormat="1" ht="21" x14ac:dyDescent="0.35">
      <c r="B34" s="6" t="s">
        <v>619</v>
      </c>
      <c r="E34" s="5" t="s">
        <v>881</v>
      </c>
    </row>
    <row r="36" spans="1:25" x14ac:dyDescent="0.25">
      <c r="A36" t="s">
        <v>126</v>
      </c>
      <c r="B36" t="s">
        <v>1053</v>
      </c>
      <c r="C36" t="s">
        <v>836</v>
      </c>
      <c r="D36" t="s">
        <v>884</v>
      </c>
      <c r="E36" s="117">
        <f>+(E14*E23)/1000</f>
        <v>938.98880000000008</v>
      </c>
      <c r="F36" s="117">
        <f t="shared" ref="F36:T36" si="2">+(F14*F23)/1000</f>
        <v>917.25599999999997</v>
      </c>
      <c r="G36" s="117">
        <f t="shared" si="2"/>
        <v>998.04480000000001</v>
      </c>
      <c r="H36" s="117">
        <f t="shared" si="2"/>
        <v>1007.4688000000001</v>
      </c>
      <c r="I36" s="117">
        <f t="shared" si="2"/>
        <v>1244.9071999999999</v>
      </c>
      <c r="J36" s="117">
        <f t="shared" si="2"/>
        <v>1255.4208000000001</v>
      </c>
      <c r="K36" s="117">
        <f t="shared" si="2"/>
        <v>1281.0688</v>
      </c>
      <c r="L36" s="117">
        <f t="shared" si="2"/>
        <v>1293.808</v>
      </c>
      <c r="M36" s="117">
        <f t="shared" si="2"/>
        <v>1262.1744000000001</v>
      </c>
      <c r="N36" s="117">
        <f t="shared" si="2"/>
        <v>1298.1184000000001</v>
      </c>
      <c r="O36" s="117">
        <f t="shared" si="2"/>
        <v>1294.0719999999999</v>
      </c>
      <c r="P36" s="117">
        <f t="shared" si="2"/>
        <v>1299.5344000000002</v>
      </c>
      <c r="Q36" s="117">
        <f t="shared" si="2"/>
        <v>1066.864</v>
      </c>
      <c r="R36" s="117">
        <f t="shared" si="2"/>
        <v>1318.4</v>
      </c>
      <c r="S36" s="117">
        <f t="shared" si="2"/>
        <v>1230.8800000000001</v>
      </c>
      <c r="T36" s="117">
        <f t="shared" si="2"/>
        <v>1178.4000000000001</v>
      </c>
      <c r="U36" s="117">
        <f t="shared" ref="U36:V36" si="3">+(U14*U23)/1000</f>
        <v>1313.0896853372371</v>
      </c>
      <c r="V36" s="117">
        <f t="shared" si="3"/>
        <v>1322.4596915861214</v>
      </c>
    </row>
    <row r="37" spans="1:25" x14ac:dyDescent="0.25">
      <c r="A37" t="s">
        <v>126</v>
      </c>
      <c r="B37" t="s">
        <v>1054</v>
      </c>
      <c r="C37" t="s">
        <v>836</v>
      </c>
      <c r="D37" t="s">
        <v>884</v>
      </c>
      <c r="E37" s="117">
        <f>+(E15*E24)/1000</f>
        <v>152.2724</v>
      </c>
      <c r="F37" s="117">
        <f t="shared" ref="F37:T37" si="4">+(F15*F24)/1000</f>
        <v>146.1541</v>
      </c>
      <c r="G37" s="117">
        <f t="shared" si="4"/>
        <v>140.67329999999998</v>
      </c>
      <c r="H37" s="117">
        <f t="shared" si="4"/>
        <v>151.3629</v>
      </c>
      <c r="I37" s="117">
        <f t="shared" si="4"/>
        <v>150.69479999999999</v>
      </c>
      <c r="J37" s="117">
        <f t="shared" si="4"/>
        <v>147.0993</v>
      </c>
      <c r="K37" s="117">
        <f t="shared" si="4"/>
        <v>153.13939999999999</v>
      </c>
      <c r="L37" s="117">
        <f t="shared" si="4"/>
        <v>155.26779999999999</v>
      </c>
      <c r="M37" s="117">
        <f t="shared" si="4"/>
        <v>38.627400000000002</v>
      </c>
      <c r="N37" s="117">
        <f t="shared" si="4"/>
        <v>0</v>
      </c>
      <c r="O37" s="117">
        <f t="shared" si="4"/>
        <v>0</v>
      </c>
      <c r="P37" s="117">
        <f t="shared" si="4"/>
        <v>0</v>
      </c>
      <c r="Q37" s="117">
        <f t="shared" si="4"/>
        <v>0</v>
      </c>
      <c r="R37" s="117">
        <f t="shared" si="4"/>
        <v>0</v>
      </c>
      <c r="S37" s="117">
        <f t="shared" si="4"/>
        <v>0</v>
      </c>
      <c r="T37" s="117">
        <f t="shared" si="4"/>
        <v>0</v>
      </c>
      <c r="U37" s="117">
        <f t="shared" ref="U37:V37" si="5">+(U15*U24)/1000</f>
        <v>0</v>
      </c>
      <c r="V37" s="117">
        <f t="shared" si="5"/>
        <v>0</v>
      </c>
    </row>
    <row r="38" spans="1:25" s="7" customFormat="1" x14ac:dyDescent="0.25">
      <c r="A38" s="7" t="s">
        <v>126</v>
      </c>
      <c r="B38" s="7" t="s">
        <v>835</v>
      </c>
      <c r="C38" s="7" t="s">
        <v>836</v>
      </c>
      <c r="D38" s="7" t="s">
        <v>884</v>
      </c>
      <c r="E38" s="116">
        <f>E36+E37</f>
        <v>1091.2612000000001</v>
      </c>
      <c r="F38" s="116">
        <f t="shared" ref="F38:S38" si="6">F36+F37</f>
        <v>1063.4101000000001</v>
      </c>
      <c r="G38" s="116">
        <f t="shared" si="6"/>
        <v>1138.7181</v>
      </c>
      <c r="H38" s="116">
        <f t="shared" si="6"/>
        <v>1158.8317000000002</v>
      </c>
      <c r="I38" s="116">
        <f t="shared" si="6"/>
        <v>1395.6019999999999</v>
      </c>
      <c r="J38" s="116">
        <f t="shared" si="6"/>
        <v>1402.5201000000002</v>
      </c>
      <c r="K38" s="116">
        <f t="shared" si="6"/>
        <v>1434.2082</v>
      </c>
      <c r="L38" s="116">
        <f t="shared" si="6"/>
        <v>1449.0758000000001</v>
      </c>
      <c r="M38" s="116">
        <f t="shared" si="6"/>
        <v>1300.8018000000002</v>
      </c>
      <c r="N38" s="116">
        <f t="shared" si="6"/>
        <v>1298.1184000000001</v>
      </c>
      <c r="O38" s="116">
        <f t="shared" si="6"/>
        <v>1294.0719999999999</v>
      </c>
      <c r="P38" s="116">
        <f t="shared" si="6"/>
        <v>1299.5344000000002</v>
      </c>
      <c r="Q38" s="116">
        <f t="shared" si="6"/>
        <v>1066.864</v>
      </c>
      <c r="R38" s="116">
        <f t="shared" si="6"/>
        <v>1318.4</v>
      </c>
      <c r="S38" s="116">
        <f t="shared" si="6"/>
        <v>1230.8800000000001</v>
      </c>
      <c r="T38" s="116">
        <f>T36+T37</f>
        <v>1178.4000000000001</v>
      </c>
      <c r="U38" s="116">
        <f t="shared" ref="U38:V38" si="7">U36+U37</f>
        <v>1313.0896853372371</v>
      </c>
      <c r="V38" s="116">
        <f t="shared" si="7"/>
        <v>1322.4596915861214</v>
      </c>
      <c r="W38"/>
    </row>
    <row r="39" spans="1:25" x14ac:dyDescent="0.25">
      <c r="A39" t="s">
        <v>126</v>
      </c>
      <c r="B39" t="s">
        <v>1055</v>
      </c>
      <c r="C39" t="s">
        <v>489</v>
      </c>
      <c r="D39" t="s">
        <v>1004</v>
      </c>
      <c r="E39" s="114">
        <v>5.33E-2</v>
      </c>
      <c r="F39" s="114">
        <v>5.96E-2</v>
      </c>
      <c r="G39" s="114">
        <v>4.8099999999999997E-2</v>
      </c>
      <c r="H39" s="114">
        <v>4.2299999999999997E-2</v>
      </c>
      <c r="I39" s="114">
        <v>4.19E-2</v>
      </c>
      <c r="J39" s="114">
        <v>4.0899999999999999E-2</v>
      </c>
      <c r="K39" s="114">
        <v>4.6699999999999998E-2</v>
      </c>
      <c r="L39" s="114">
        <v>5.0500000000000003E-2</v>
      </c>
      <c r="M39" s="114">
        <v>5.5399999999999998E-2</v>
      </c>
      <c r="N39" s="114">
        <v>1.41E-2</v>
      </c>
      <c r="O39" s="114">
        <v>1.8100000000000002E-2</v>
      </c>
      <c r="P39" s="114">
        <v>0.32490000000000002</v>
      </c>
      <c r="Q39" s="114">
        <v>0.26669999999999999</v>
      </c>
      <c r="R39" s="117">
        <f>+(R16*R25)/1000</f>
        <v>0.32958022765788325</v>
      </c>
      <c r="S39" s="117">
        <f>+(S16*S25)/1000</f>
        <v>0.30770154021506019</v>
      </c>
      <c r="T39" s="117">
        <f>+(T16*T25)/1000</f>
        <v>0.2945823272694551</v>
      </c>
      <c r="U39" s="117">
        <f t="shared" ref="U39:V39" si="8">+(U16*U25)/1000</f>
        <v>0.32825272863217936</v>
      </c>
      <c r="V39" s="117">
        <f t="shared" si="8"/>
        <v>0.33059508967030365</v>
      </c>
      <c r="Y39" t="s">
        <v>131</v>
      </c>
    </row>
    <row r="40" spans="1:25" x14ac:dyDescent="0.25">
      <c r="A40" t="s">
        <v>126</v>
      </c>
      <c r="B40" t="s">
        <v>1056</v>
      </c>
      <c r="C40" t="s">
        <v>489</v>
      </c>
      <c r="D40" t="s">
        <v>1004</v>
      </c>
      <c r="E40" s="114">
        <v>1.6E-2</v>
      </c>
      <c r="F40" s="114">
        <v>1.5599999999999999E-2</v>
      </c>
      <c r="G40" s="114">
        <v>1.47E-2</v>
      </c>
      <c r="H40" s="114">
        <v>1.61E-2</v>
      </c>
      <c r="I40" s="114">
        <v>1.5699999999999999E-2</v>
      </c>
      <c r="J40" s="114">
        <v>1.6E-2</v>
      </c>
      <c r="K40" s="114">
        <v>1.6E-2</v>
      </c>
      <c r="L40" s="114">
        <v>1.5900000000000001E-2</v>
      </c>
      <c r="M40" s="114">
        <v>1.2999999999999999E-3</v>
      </c>
      <c r="N40" s="114">
        <f t="shared" ref="N40:S40" si="9">(N17*N26)/1000</f>
        <v>0</v>
      </c>
      <c r="O40" s="114">
        <f t="shared" si="9"/>
        <v>0</v>
      </c>
      <c r="P40" s="114">
        <f t="shared" si="9"/>
        <v>0</v>
      </c>
      <c r="Q40" s="114">
        <f t="shared" si="9"/>
        <v>0</v>
      </c>
      <c r="R40" s="114">
        <f t="shared" si="9"/>
        <v>0</v>
      </c>
      <c r="S40" s="114">
        <f t="shared" si="9"/>
        <v>0</v>
      </c>
      <c r="T40" s="114">
        <f>(T17*T26)/1000</f>
        <v>0</v>
      </c>
      <c r="U40" s="114">
        <f t="shared" ref="U40:V40" si="10">(U17*U26)/1000</f>
        <v>0</v>
      </c>
      <c r="V40" s="114">
        <f t="shared" si="10"/>
        <v>0</v>
      </c>
      <c r="Y40" t="s">
        <v>133</v>
      </c>
    </row>
    <row r="41" spans="1:25" x14ac:dyDescent="0.25">
      <c r="A41" t="s">
        <v>126</v>
      </c>
      <c r="B41" t="s">
        <v>1057</v>
      </c>
      <c r="C41" t="s">
        <v>489</v>
      </c>
      <c r="D41" t="s">
        <v>1004</v>
      </c>
      <c r="E41" s="114">
        <v>6.3700000000000007E-2</v>
      </c>
      <c r="F41" s="114">
        <v>6.0999999999999999E-2</v>
      </c>
      <c r="G41" s="114">
        <v>5.8799999999999998E-2</v>
      </c>
      <c r="H41" s="114">
        <v>6.3200000000000006E-2</v>
      </c>
      <c r="I41" s="114">
        <v>6.3100000000000003E-2</v>
      </c>
      <c r="J41" s="114">
        <v>6.1199999999999997E-2</v>
      </c>
      <c r="K41" s="114">
        <v>6.4100000000000004E-2</v>
      </c>
      <c r="L41" s="114">
        <v>6.5100000000000005E-2</v>
      </c>
      <c r="M41" s="114">
        <v>1.7500000000000002E-2</v>
      </c>
      <c r="N41" s="114">
        <f t="shared" ref="N41:S41" si="11">(N18*N27)/1000</f>
        <v>0</v>
      </c>
      <c r="O41" s="114">
        <f t="shared" si="11"/>
        <v>0</v>
      </c>
      <c r="P41" s="114">
        <f t="shared" si="11"/>
        <v>0</v>
      </c>
      <c r="Q41" s="114">
        <f t="shared" si="11"/>
        <v>0</v>
      </c>
      <c r="R41" s="114">
        <f t="shared" si="11"/>
        <v>0</v>
      </c>
      <c r="S41" s="114">
        <f t="shared" si="11"/>
        <v>0</v>
      </c>
      <c r="T41" s="114">
        <f>(T18*T27)/1000</f>
        <v>0</v>
      </c>
      <c r="U41" s="114">
        <f t="shared" ref="U41:V41" si="12">(U18*U27)/1000</f>
        <v>0</v>
      </c>
      <c r="V41" s="114">
        <f t="shared" si="12"/>
        <v>0</v>
      </c>
      <c r="Y41" t="s">
        <v>135</v>
      </c>
    </row>
    <row r="42" spans="1:25" x14ac:dyDescent="0.25">
      <c r="A42" t="s">
        <v>126</v>
      </c>
      <c r="B42" t="s">
        <v>1058</v>
      </c>
      <c r="C42" t="s">
        <v>489</v>
      </c>
      <c r="D42" t="s">
        <v>1004</v>
      </c>
      <c r="E42" s="114">
        <v>0</v>
      </c>
      <c r="F42" s="114">
        <v>0</v>
      </c>
      <c r="G42" s="114">
        <v>0</v>
      </c>
      <c r="H42" s="114">
        <v>0</v>
      </c>
      <c r="I42" s="114">
        <v>0</v>
      </c>
      <c r="J42" s="114">
        <v>0</v>
      </c>
      <c r="K42" s="114">
        <v>0</v>
      </c>
      <c r="L42" s="114">
        <v>0</v>
      </c>
      <c r="M42" s="114">
        <v>0</v>
      </c>
      <c r="N42" s="114">
        <v>0</v>
      </c>
      <c r="O42" s="114">
        <v>0</v>
      </c>
      <c r="P42" s="114">
        <v>0</v>
      </c>
      <c r="Q42" s="114">
        <v>0</v>
      </c>
      <c r="R42" s="114">
        <v>0</v>
      </c>
      <c r="S42" s="114">
        <v>0</v>
      </c>
      <c r="T42" s="114">
        <v>0</v>
      </c>
      <c r="U42" s="114">
        <v>0</v>
      </c>
      <c r="V42" s="114">
        <v>0</v>
      </c>
      <c r="Y42" t="s">
        <v>137</v>
      </c>
    </row>
    <row r="43" spans="1:25" x14ac:dyDescent="0.25">
      <c r="A43" s="7" t="s">
        <v>126</v>
      </c>
      <c r="B43" s="7" t="s">
        <v>1061</v>
      </c>
      <c r="C43" s="7" t="s">
        <v>489</v>
      </c>
      <c r="D43" s="7" t="s">
        <v>1004</v>
      </c>
      <c r="E43" s="116">
        <f>SUM(E39:E42)</f>
        <v>0.13300000000000001</v>
      </c>
      <c r="F43" s="116">
        <f t="shared" ref="F43:S43" si="13">SUM(F39:F42)</f>
        <v>0.13619999999999999</v>
      </c>
      <c r="G43" s="116">
        <f t="shared" si="13"/>
        <v>0.12159999999999999</v>
      </c>
      <c r="H43" s="116">
        <f t="shared" si="13"/>
        <v>0.1216</v>
      </c>
      <c r="I43" s="116">
        <f t="shared" si="13"/>
        <v>0.1207</v>
      </c>
      <c r="J43" s="116">
        <f t="shared" si="13"/>
        <v>0.1181</v>
      </c>
      <c r="K43" s="116">
        <f t="shared" si="13"/>
        <v>0.12680000000000002</v>
      </c>
      <c r="L43" s="116">
        <f t="shared" si="13"/>
        <v>0.13150000000000001</v>
      </c>
      <c r="M43" s="116">
        <f t="shared" si="13"/>
        <v>7.4200000000000002E-2</v>
      </c>
      <c r="N43" s="116">
        <f t="shared" si="13"/>
        <v>1.41E-2</v>
      </c>
      <c r="O43" s="116">
        <f t="shared" si="13"/>
        <v>1.8100000000000002E-2</v>
      </c>
      <c r="P43" s="116">
        <f t="shared" si="13"/>
        <v>0.32490000000000002</v>
      </c>
      <c r="Q43" s="116">
        <f t="shared" si="13"/>
        <v>0.26669999999999999</v>
      </c>
      <c r="R43" s="116">
        <f t="shared" si="13"/>
        <v>0.32958022765788325</v>
      </c>
      <c r="S43" s="116">
        <f t="shared" si="13"/>
        <v>0.30770154021506019</v>
      </c>
      <c r="T43" s="116">
        <f>SUM(T39:T42)</f>
        <v>0.2945823272694551</v>
      </c>
      <c r="U43" s="116">
        <f t="shared" ref="U43:V43" si="14">SUM(U39:U42)</f>
        <v>0.32825272863217936</v>
      </c>
      <c r="V43" s="116">
        <f t="shared" si="14"/>
        <v>0.33059508967030365</v>
      </c>
    </row>
    <row r="44" spans="1:25" x14ac:dyDescent="0.25">
      <c r="A44" t="s">
        <v>126</v>
      </c>
      <c r="B44" t="s">
        <v>1055</v>
      </c>
      <c r="C44" t="s">
        <v>490</v>
      </c>
      <c r="D44" t="s">
        <v>1005</v>
      </c>
      <c r="E44" s="114">
        <v>5.7000000000000002E-3</v>
      </c>
      <c r="F44" s="114">
        <v>6.4000000000000003E-3</v>
      </c>
      <c r="G44" s="114">
        <v>5.0000000000000001E-3</v>
      </c>
      <c r="H44" s="114">
        <v>4.3E-3</v>
      </c>
      <c r="I44" s="114">
        <v>4.3E-3</v>
      </c>
      <c r="J44" s="114">
        <v>4.1999999999999997E-3</v>
      </c>
      <c r="K44" s="114">
        <v>4.8999999999999998E-3</v>
      </c>
      <c r="L44" s="114">
        <v>5.3E-3</v>
      </c>
      <c r="M44" s="114">
        <v>5.8999999999999999E-3</v>
      </c>
      <c r="N44" s="114">
        <v>1.8E-3</v>
      </c>
      <c r="O44" s="114">
        <v>2.2000000000000001E-3</v>
      </c>
      <c r="P44" s="114">
        <v>3.2500000000000001E-2</v>
      </c>
      <c r="Q44" s="114">
        <v>2.6700000000000002E-2</v>
      </c>
      <c r="R44" s="117">
        <f>+(R16*R29)/1000</f>
        <v>3.299509590725716E-2</v>
      </c>
      <c r="S44" s="117">
        <f>+(S16*S29)/1000</f>
        <v>3.0804766118268122E-2</v>
      </c>
      <c r="T44" s="117">
        <f>+(T16*T29)/1000</f>
        <v>2.949136909671711E-2</v>
      </c>
      <c r="U44" s="117">
        <f t="shared" ref="U44:V44" si="15">+(U16*U29)/1000</f>
        <v>3.2862196679711957E-2</v>
      </c>
      <c r="V44" s="117">
        <f t="shared" si="15"/>
        <v>3.3096696266205837E-2</v>
      </c>
      <c r="Y44" t="s">
        <v>131</v>
      </c>
    </row>
    <row r="45" spans="1:25" x14ac:dyDescent="0.25">
      <c r="A45" t="s">
        <v>126</v>
      </c>
      <c r="B45" t="s">
        <v>1056</v>
      </c>
      <c r="C45" t="s">
        <v>490</v>
      </c>
      <c r="D45" t="s">
        <v>1005</v>
      </c>
      <c r="E45" s="114">
        <v>4.0000000000000001E-3</v>
      </c>
      <c r="F45" s="114">
        <v>3.8999999999999998E-3</v>
      </c>
      <c r="G45" s="114">
        <v>3.7000000000000002E-3</v>
      </c>
      <c r="H45" s="114">
        <v>4.0000000000000001E-3</v>
      </c>
      <c r="I45" s="114">
        <v>3.8999999999999998E-3</v>
      </c>
      <c r="J45" s="114">
        <v>4.0000000000000001E-3</v>
      </c>
      <c r="K45" s="114">
        <v>4.0000000000000001E-3</v>
      </c>
      <c r="L45" s="114">
        <v>4.0000000000000001E-3</v>
      </c>
      <c r="M45" s="114">
        <v>2.9999999999999997E-4</v>
      </c>
      <c r="N45" s="114">
        <f t="shared" ref="N45:S45" si="16">(N17*N30)/1000</f>
        <v>0</v>
      </c>
      <c r="O45" s="114">
        <f t="shared" si="16"/>
        <v>0</v>
      </c>
      <c r="P45" s="114">
        <f t="shared" si="16"/>
        <v>0</v>
      </c>
      <c r="Q45" s="114">
        <f t="shared" si="16"/>
        <v>0</v>
      </c>
      <c r="R45" s="114">
        <f t="shared" si="16"/>
        <v>0</v>
      </c>
      <c r="S45" s="114">
        <f t="shared" si="16"/>
        <v>0</v>
      </c>
      <c r="T45" s="114">
        <f>(T17*T30)/1000</f>
        <v>0</v>
      </c>
      <c r="U45" s="114">
        <f t="shared" ref="U45:V45" si="17">(U17*U30)/1000</f>
        <v>0</v>
      </c>
      <c r="V45" s="114">
        <f t="shared" si="17"/>
        <v>0</v>
      </c>
      <c r="Y45" t="s">
        <v>131</v>
      </c>
    </row>
    <row r="46" spans="1:25" x14ac:dyDescent="0.25">
      <c r="A46" t="s">
        <v>126</v>
      </c>
      <c r="B46" t="s">
        <v>1057</v>
      </c>
      <c r="C46" t="s">
        <v>490</v>
      </c>
      <c r="D46" t="s">
        <v>1005</v>
      </c>
      <c r="E46" s="114">
        <v>3.2000000000000002E-3</v>
      </c>
      <c r="F46" s="114">
        <v>3.0000000000000001E-3</v>
      </c>
      <c r="G46" s="114">
        <v>2.8999999999999998E-3</v>
      </c>
      <c r="H46" s="114">
        <v>3.2000000000000002E-3</v>
      </c>
      <c r="I46" s="114">
        <v>3.2000000000000002E-3</v>
      </c>
      <c r="J46" s="114">
        <v>3.0999999999999999E-3</v>
      </c>
      <c r="K46" s="114">
        <v>3.2000000000000002E-3</v>
      </c>
      <c r="L46" s="114">
        <v>3.3E-3</v>
      </c>
      <c r="M46" s="114">
        <v>8.9999999999999998E-4</v>
      </c>
      <c r="N46" s="114">
        <f t="shared" ref="N46:S46" si="18">(N18*N31)/1000</f>
        <v>0</v>
      </c>
      <c r="O46" s="114">
        <f t="shared" si="18"/>
        <v>0</v>
      </c>
      <c r="P46" s="114">
        <f t="shared" si="18"/>
        <v>0</v>
      </c>
      <c r="Q46" s="114">
        <f t="shared" si="18"/>
        <v>0</v>
      </c>
      <c r="R46" s="114">
        <f t="shared" si="18"/>
        <v>0</v>
      </c>
      <c r="S46" s="114">
        <f t="shared" si="18"/>
        <v>0</v>
      </c>
      <c r="T46" s="114">
        <f>(T18*T31)/1000</f>
        <v>0</v>
      </c>
      <c r="U46" s="114">
        <f t="shared" ref="U46:V46" si="19">(U18*U31)/1000</f>
        <v>0</v>
      </c>
      <c r="V46" s="114">
        <f t="shared" si="19"/>
        <v>0</v>
      </c>
      <c r="Y46" t="s">
        <v>131</v>
      </c>
    </row>
    <row r="47" spans="1:25" x14ac:dyDescent="0.25">
      <c r="A47" t="s">
        <v>126</v>
      </c>
      <c r="B47" t="s">
        <v>1058</v>
      </c>
      <c r="C47" t="s">
        <v>490</v>
      </c>
      <c r="D47" t="s">
        <v>1005</v>
      </c>
      <c r="E47" s="117">
        <f>(E19*E32)/1000</f>
        <v>0</v>
      </c>
      <c r="F47" s="117">
        <f t="shared" ref="F47:S47" si="20">(F19*F32)/1000</f>
        <v>0</v>
      </c>
      <c r="G47" s="117">
        <f t="shared" si="20"/>
        <v>0</v>
      </c>
      <c r="H47" s="117">
        <f t="shared" si="20"/>
        <v>0</v>
      </c>
      <c r="I47" s="117">
        <f t="shared" si="20"/>
        <v>0</v>
      </c>
      <c r="J47" s="117">
        <f t="shared" si="20"/>
        <v>0</v>
      </c>
      <c r="K47" s="117">
        <f t="shared" si="20"/>
        <v>0</v>
      </c>
      <c r="L47" s="117">
        <f t="shared" si="20"/>
        <v>0</v>
      </c>
      <c r="M47" s="117">
        <f t="shared" si="20"/>
        <v>0</v>
      </c>
      <c r="N47" s="117">
        <f t="shared" si="20"/>
        <v>0</v>
      </c>
      <c r="O47" s="117">
        <f t="shared" si="20"/>
        <v>0</v>
      </c>
      <c r="P47" s="117">
        <f t="shared" si="20"/>
        <v>0</v>
      </c>
      <c r="Q47" s="117">
        <f t="shared" si="20"/>
        <v>0</v>
      </c>
      <c r="R47" s="117">
        <f t="shared" si="20"/>
        <v>0</v>
      </c>
      <c r="S47" s="117">
        <f t="shared" si="20"/>
        <v>0</v>
      </c>
      <c r="T47" s="117">
        <f>(T19*T32)/1000</f>
        <v>0</v>
      </c>
      <c r="U47" s="117">
        <f t="shared" ref="U47:V47" si="21">(U19*U32)/1000</f>
        <v>0</v>
      </c>
      <c r="V47" s="117">
        <f t="shared" si="21"/>
        <v>0</v>
      </c>
    </row>
    <row r="48" spans="1:25" x14ac:dyDescent="0.25">
      <c r="A48" s="7" t="s">
        <v>126</v>
      </c>
      <c r="B48" s="7" t="s">
        <v>1062</v>
      </c>
      <c r="C48" s="7" t="s">
        <v>490</v>
      </c>
      <c r="D48" s="7" t="s">
        <v>1005</v>
      </c>
      <c r="E48" s="116">
        <f>SUM(E44:E47)</f>
        <v>1.29E-2</v>
      </c>
      <c r="F48" s="116">
        <f t="shared" ref="F48:S48" si="22">SUM(F44:F47)</f>
        <v>1.3299999999999999E-2</v>
      </c>
      <c r="G48" s="116">
        <f t="shared" si="22"/>
        <v>1.1599999999999999E-2</v>
      </c>
      <c r="H48" s="116">
        <f t="shared" si="22"/>
        <v>1.15E-2</v>
      </c>
      <c r="I48" s="116">
        <f t="shared" si="22"/>
        <v>1.1399999999999999E-2</v>
      </c>
      <c r="J48" s="116">
        <f t="shared" si="22"/>
        <v>1.1299999999999999E-2</v>
      </c>
      <c r="K48" s="116">
        <f t="shared" si="22"/>
        <v>1.21E-2</v>
      </c>
      <c r="L48" s="116">
        <f t="shared" si="22"/>
        <v>1.26E-2</v>
      </c>
      <c r="M48" s="116">
        <f t="shared" si="22"/>
        <v>7.0999999999999995E-3</v>
      </c>
      <c r="N48" s="116">
        <f t="shared" si="22"/>
        <v>1.8E-3</v>
      </c>
      <c r="O48" s="116">
        <f t="shared" si="22"/>
        <v>2.2000000000000001E-3</v>
      </c>
      <c r="P48" s="116">
        <f t="shared" si="22"/>
        <v>3.2500000000000001E-2</v>
      </c>
      <c r="Q48" s="116">
        <f t="shared" si="22"/>
        <v>2.6700000000000002E-2</v>
      </c>
      <c r="R48" s="116">
        <f t="shared" si="22"/>
        <v>3.299509590725716E-2</v>
      </c>
      <c r="S48" s="116">
        <f t="shared" si="22"/>
        <v>3.0804766118268122E-2</v>
      </c>
      <c r="T48" s="116">
        <f>SUM(T44:T47)</f>
        <v>2.949136909671711E-2</v>
      </c>
      <c r="U48" s="116">
        <f t="shared" ref="U48:V48" si="23">SUM(U44:U47)</f>
        <v>3.2862196679711957E-2</v>
      </c>
      <c r="V48" s="116">
        <f t="shared" si="23"/>
        <v>3.3096696266205837E-2</v>
      </c>
    </row>
    <row r="49" spans="1:22" x14ac:dyDescent="0.25">
      <c r="A49" s="7" t="s">
        <v>126</v>
      </c>
      <c r="B49" s="7" t="s">
        <v>882</v>
      </c>
      <c r="C49" s="7" t="s">
        <v>836</v>
      </c>
      <c r="D49" s="7" t="s">
        <v>955</v>
      </c>
      <c r="E49" s="116">
        <f>+E38+(E43*'Conversion factors'!$B$7)+('2C3 Aluminium Production'!E48*'Conversion factors'!$B$8)</f>
        <v>2074.4412000000002</v>
      </c>
      <c r="F49" s="116">
        <f>+F38+(F43*'Conversion factors'!$B$7)+('2C3 Aluminium Production'!F48*'Conversion factors'!$B$8)</f>
        <v>2071.0700999999999</v>
      </c>
      <c r="G49" s="116">
        <f>+G38+(G43*'Conversion factors'!$B$7)+('2C3 Aluminium Production'!G48*'Conversion factors'!$B$8)</f>
        <v>2035.8380999999999</v>
      </c>
      <c r="H49" s="116">
        <f>+H38+(H43*'Conversion factors'!$B$7)+('2C3 Aluminium Production'!H48*'Conversion factors'!$B$8)</f>
        <v>2055.0317000000005</v>
      </c>
      <c r="I49" s="116">
        <f>+I38+(I43*'Conversion factors'!$B$7)+('2C3 Aluminium Production'!I48*'Conversion factors'!$B$8)</f>
        <v>2285.0320000000002</v>
      </c>
      <c r="J49" s="116">
        <f>+J38+(J43*'Conversion factors'!$B$7)+('2C3 Aluminium Production'!J48*'Conversion factors'!$B$8)</f>
        <v>2274.1301000000003</v>
      </c>
      <c r="K49" s="116">
        <f>+K38+(K43*'Conversion factors'!$B$7)+('2C3 Aluminium Production'!K48*'Conversion factors'!$B$8)</f>
        <v>2369.7282000000005</v>
      </c>
      <c r="L49" s="116">
        <f>+L38+(L43*'Conversion factors'!$B$7)+('2C3 Aluminium Production'!L48*'Conversion factors'!$B$8)</f>
        <v>2419.7458000000001</v>
      </c>
      <c r="M49" s="116">
        <f>+M38+(M43*'Conversion factors'!$B$7)+('2C3 Aluminium Production'!M48*'Conversion factors'!$B$8)</f>
        <v>1848.4218000000001</v>
      </c>
      <c r="N49" s="116">
        <f>+N38+(N43*'Conversion factors'!$B$7)+('2C3 Aluminium Production'!N48*'Conversion factors'!$B$8)</f>
        <v>1406.3284000000001</v>
      </c>
      <c r="O49" s="116">
        <f>+O38+(O43*'Conversion factors'!$B$7)+('2C3 Aluminium Production'!O48*'Conversion factors'!$B$8)</f>
        <v>1431.962</v>
      </c>
      <c r="P49" s="116">
        <f>+P38+(P43*'Conversion factors'!$B$7)+('2C3 Aluminium Production'!P48*'Conversion factors'!$B$8)</f>
        <v>3710.3844000000008</v>
      </c>
      <c r="Q49" s="116">
        <f>+Q38+(Q43*'Conversion factors'!$B$7)+('2C3 Aluminium Production'!Q48*'Conversion factors'!$B$8)</f>
        <v>3046.0539999999996</v>
      </c>
      <c r="R49" s="116">
        <f>+R38+(R43*'Conversion factors'!$B$7)+('2C3 Aluminium Production'!R48*'Conversion factors'!$B$8)</f>
        <v>3764.2263621230068</v>
      </c>
      <c r="S49" s="116">
        <f>+S38+(S43*'Conversion factors'!$B$7)+('2C3 Aluminium Production'!S48*'Conversion factors'!$B$8)</f>
        <v>3514.3438596859583</v>
      </c>
      <c r="T49" s="116">
        <f>+T38+(T43*'Conversion factors'!$B$7)+('2C3 Aluminium Production'!T48*'Conversion factors'!$B$8)</f>
        <v>3364.5057229412555</v>
      </c>
      <c r="U49" s="116">
        <f>+U38+(U43*'Conversion factors'!$B$7)+('2C3 Aluminium Production'!U48*'Conversion factors'!$B$8)</f>
        <v>3749.0646308997534</v>
      </c>
      <c r="V49" s="116">
        <f>+V38+(V43*'Conversion factors'!$B$7)+('2C3 Aluminium Production'!V48*'Conversion factors'!$B$8)</f>
        <v>3775.8173800921891</v>
      </c>
    </row>
    <row r="51" spans="1:22" s="5" customFormat="1" ht="21" x14ac:dyDescent="0.35">
      <c r="B51" s="6" t="s">
        <v>885</v>
      </c>
      <c r="E51" s="5" t="s">
        <v>886</v>
      </c>
      <c r="M51" s="5" t="s">
        <v>900</v>
      </c>
    </row>
    <row r="53" spans="1:22" x14ac:dyDescent="0.25">
      <c r="A53" s="27"/>
      <c r="B53" s="26"/>
      <c r="C53" s="26"/>
      <c r="D53" s="26"/>
      <c r="E53" s="26"/>
      <c r="F53" s="26"/>
      <c r="G53" s="26"/>
      <c r="H53" s="26"/>
    </row>
    <row r="74" spans="1:23" ht="21" x14ac:dyDescent="0.35">
      <c r="A74" s="5"/>
      <c r="B74" s="6" t="s">
        <v>346</v>
      </c>
      <c r="C74" s="5"/>
      <c r="D74" s="5"/>
      <c r="E74" s="5" t="s">
        <v>887</v>
      </c>
      <c r="F74" s="5"/>
      <c r="G74" s="5"/>
      <c r="H74" s="5"/>
      <c r="I74" s="5"/>
      <c r="J74" s="5"/>
      <c r="K74" s="5"/>
      <c r="L74" s="5"/>
      <c r="M74" s="5"/>
      <c r="N74" s="5"/>
      <c r="O74" s="5"/>
      <c r="P74" s="5"/>
      <c r="Q74" s="5"/>
      <c r="R74" s="5"/>
      <c r="S74" s="5"/>
      <c r="T74" s="5"/>
      <c r="U74" s="5"/>
      <c r="V74" s="5"/>
      <c r="W74" s="5"/>
    </row>
    <row r="75" spans="1:23" ht="18.75" x14ac:dyDescent="0.3">
      <c r="A75" s="12" t="s">
        <v>844</v>
      </c>
      <c r="E75" t="s">
        <v>888</v>
      </c>
    </row>
    <row r="76" spans="1:23" x14ac:dyDescent="0.25">
      <c r="A76" s="8"/>
      <c r="B76" s="9" t="s">
        <v>865</v>
      </c>
      <c r="C76" s="8"/>
      <c r="D76" s="8"/>
      <c r="E76" s="8"/>
      <c r="F76" s="8"/>
      <c r="G76" s="8"/>
      <c r="H76" s="8"/>
      <c r="I76" s="8"/>
      <c r="J76" s="8"/>
      <c r="K76" s="8"/>
      <c r="L76" s="8"/>
      <c r="M76" s="8"/>
      <c r="N76" s="8"/>
      <c r="O76" s="8"/>
      <c r="P76" s="8"/>
      <c r="Q76" s="8"/>
      <c r="R76" s="8"/>
      <c r="S76" s="8"/>
      <c r="T76" s="8"/>
      <c r="U76" s="8"/>
      <c r="V76" s="8"/>
      <c r="W76" s="8"/>
    </row>
    <row r="78" spans="1:23" x14ac:dyDescent="0.25">
      <c r="A78" s="10" t="s">
        <v>867</v>
      </c>
      <c r="B78" s="10" t="s">
        <v>868</v>
      </c>
      <c r="C78" s="10" t="s">
        <v>482</v>
      </c>
      <c r="D78" s="10" t="s">
        <v>740</v>
      </c>
      <c r="E78" s="10">
        <v>2000</v>
      </c>
      <c r="F78" s="10">
        <v>2001</v>
      </c>
      <c r="G78" s="10">
        <v>2002</v>
      </c>
      <c r="H78" s="10">
        <v>2003</v>
      </c>
      <c r="I78" s="10">
        <v>2004</v>
      </c>
      <c r="J78" s="10">
        <v>2005</v>
      </c>
      <c r="K78" s="10">
        <v>2006</v>
      </c>
      <c r="L78" s="10">
        <v>2007</v>
      </c>
      <c r="M78" s="10">
        <v>2008</v>
      </c>
      <c r="N78" s="10">
        <v>2009</v>
      </c>
      <c r="O78" s="10">
        <v>2010</v>
      </c>
      <c r="P78" s="10">
        <v>2011</v>
      </c>
      <c r="Q78" s="10">
        <v>2012</v>
      </c>
      <c r="R78" s="10">
        <v>2013</v>
      </c>
      <c r="S78" s="10">
        <v>2014</v>
      </c>
      <c r="T78" s="10">
        <v>2015</v>
      </c>
      <c r="U78" s="10"/>
      <c r="V78" s="10"/>
      <c r="W78" s="10" t="s">
        <v>741</v>
      </c>
    </row>
    <row r="79" spans="1:23" x14ac:dyDescent="0.25">
      <c r="A79" s="11" t="s">
        <v>126</v>
      </c>
      <c r="B79" s="11" t="s">
        <v>1053</v>
      </c>
      <c r="C79" s="11"/>
      <c r="D79" s="11" t="s">
        <v>892</v>
      </c>
      <c r="E79" s="29">
        <v>586868</v>
      </c>
      <c r="F79" s="29">
        <v>573285</v>
      </c>
      <c r="G79" s="29">
        <v>623778</v>
      </c>
      <c r="H79" s="29">
        <v>629668</v>
      </c>
      <c r="I79" s="29">
        <v>778067</v>
      </c>
      <c r="J79" s="29">
        <v>784638</v>
      </c>
      <c r="K79" s="29">
        <v>800668</v>
      </c>
      <c r="L79" s="29">
        <v>808630</v>
      </c>
      <c r="M79" s="29">
        <v>788859</v>
      </c>
      <c r="N79" s="29">
        <v>811324</v>
      </c>
      <c r="O79" s="29">
        <v>808795</v>
      </c>
      <c r="P79" s="29">
        <v>812209</v>
      </c>
      <c r="Q79" s="29">
        <v>666790</v>
      </c>
      <c r="R79" s="29">
        <v>824000</v>
      </c>
      <c r="S79" s="29">
        <v>769300</v>
      </c>
      <c r="T79" s="29">
        <v>736500</v>
      </c>
      <c r="U79" s="4"/>
      <c r="V79" s="4"/>
    </row>
    <row r="80" spans="1:23" x14ac:dyDescent="0.25">
      <c r="A80" s="11" t="s">
        <v>126</v>
      </c>
      <c r="B80" s="11" t="s">
        <v>1054</v>
      </c>
      <c r="C80" s="11"/>
      <c r="D80" s="11" t="s">
        <v>892</v>
      </c>
      <c r="E80" s="29">
        <v>89572</v>
      </c>
      <c r="F80" s="29">
        <v>85973</v>
      </c>
      <c r="G80" s="29">
        <v>82749</v>
      </c>
      <c r="H80" s="29">
        <v>89037</v>
      </c>
      <c r="I80" s="29">
        <v>88644</v>
      </c>
      <c r="J80" s="29">
        <v>86529</v>
      </c>
      <c r="K80" s="29">
        <v>90082</v>
      </c>
      <c r="L80" s="29">
        <v>91334</v>
      </c>
      <c r="M80" s="29">
        <v>22722</v>
      </c>
      <c r="N80" s="29">
        <v>0</v>
      </c>
      <c r="O80" s="29">
        <v>0</v>
      </c>
      <c r="P80" s="29">
        <v>0</v>
      </c>
      <c r="Q80" s="29">
        <v>0</v>
      </c>
      <c r="R80" s="29">
        <v>0</v>
      </c>
      <c r="S80" s="29">
        <v>0</v>
      </c>
      <c r="T80" s="29">
        <v>0</v>
      </c>
      <c r="U80" s="4"/>
      <c r="V80" s="4"/>
    </row>
    <row r="81" spans="1:23" x14ac:dyDescent="0.25">
      <c r="A81" s="11" t="s">
        <v>126</v>
      </c>
      <c r="B81" s="11" t="s">
        <v>1055</v>
      </c>
      <c r="C81" s="11"/>
      <c r="D81" s="11" t="s">
        <v>892</v>
      </c>
      <c r="E81" s="29">
        <v>586868</v>
      </c>
      <c r="F81" s="29">
        <v>573285</v>
      </c>
      <c r="G81" s="29">
        <v>623778</v>
      </c>
      <c r="H81" s="29">
        <v>629668</v>
      </c>
      <c r="I81" s="29">
        <v>778067</v>
      </c>
      <c r="J81" s="29">
        <v>784638</v>
      </c>
      <c r="K81" s="29">
        <v>800668</v>
      </c>
      <c r="L81" s="29">
        <v>808630</v>
      </c>
      <c r="M81" s="29">
        <v>788859</v>
      </c>
      <c r="N81" s="29">
        <v>811324</v>
      </c>
      <c r="O81" s="29">
        <v>808795</v>
      </c>
      <c r="P81" s="29">
        <v>812209</v>
      </c>
      <c r="Q81" s="29">
        <v>666790</v>
      </c>
      <c r="R81" s="29">
        <v>824000</v>
      </c>
      <c r="S81" s="29">
        <v>769300</v>
      </c>
      <c r="T81" s="29">
        <v>736500</v>
      </c>
      <c r="U81" s="4"/>
      <c r="V81" s="4"/>
    </row>
    <row r="82" spans="1:23" x14ac:dyDescent="0.25">
      <c r="A82" s="11" t="s">
        <v>126</v>
      </c>
      <c r="B82" s="11" t="s">
        <v>1056</v>
      </c>
      <c r="C82" s="11"/>
      <c r="D82" s="11" t="s">
        <v>892</v>
      </c>
      <c r="E82" s="29">
        <v>9980</v>
      </c>
      <c r="F82" s="29">
        <v>9763</v>
      </c>
      <c r="G82" s="29">
        <v>9192</v>
      </c>
      <c r="H82" s="29">
        <v>10084</v>
      </c>
      <c r="I82" s="29">
        <v>9784</v>
      </c>
      <c r="J82" s="29">
        <v>10002</v>
      </c>
      <c r="K82" s="29">
        <v>9974</v>
      </c>
      <c r="L82" s="29">
        <v>9925</v>
      </c>
      <c r="M82" s="29">
        <v>804</v>
      </c>
      <c r="N82" s="29">
        <v>0</v>
      </c>
      <c r="O82" s="29">
        <v>0</v>
      </c>
      <c r="P82" s="29">
        <v>0</v>
      </c>
      <c r="Q82" s="29">
        <v>0</v>
      </c>
      <c r="R82" s="29">
        <v>0</v>
      </c>
      <c r="S82" s="29">
        <v>0</v>
      </c>
      <c r="T82" s="29">
        <v>0</v>
      </c>
      <c r="U82" s="4"/>
      <c r="V82" s="4"/>
    </row>
    <row r="83" spans="1:23" x14ac:dyDescent="0.25">
      <c r="A83" s="11" t="s">
        <v>126</v>
      </c>
      <c r="B83" s="11" t="s">
        <v>1057</v>
      </c>
      <c r="C83" s="11"/>
      <c r="D83" s="11" t="s">
        <v>892</v>
      </c>
      <c r="E83" s="29">
        <v>79592</v>
      </c>
      <c r="F83" s="29">
        <v>76210</v>
      </c>
      <c r="G83" s="29">
        <v>73557</v>
      </c>
      <c r="H83" s="29">
        <v>78952</v>
      </c>
      <c r="I83" s="29">
        <v>78860</v>
      </c>
      <c r="J83" s="29">
        <v>76527</v>
      </c>
      <c r="K83" s="29">
        <v>80108</v>
      </c>
      <c r="L83" s="29">
        <v>81409</v>
      </c>
      <c r="M83" s="29">
        <v>21917</v>
      </c>
      <c r="N83" s="29">
        <v>0</v>
      </c>
      <c r="O83" s="29">
        <v>0</v>
      </c>
      <c r="P83" s="29">
        <v>0</v>
      </c>
      <c r="Q83" s="29">
        <v>0</v>
      </c>
      <c r="R83" s="29">
        <v>0</v>
      </c>
      <c r="S83" s="29">
        <v>0</v>
      </c>
      <c r="T83" s="29">
        <v>0</v>
      </c>
      <c r="U83" s="4"/>
      <c r="V83" s="4"/>
    </row>
    <row r="84" spans="1:23" x14ac:dyDescent="0.25">
      <c r="A84" s="11" t="s">
        <v>126</v>
      </c>
      <c r="B84" s="11" t="s">
        <v>1058</v>
      </c>
      <c r="C84" s="11"/>
      <c r="D84" s="11" t="s">
        <v>892</v>
      </c>
      <c r="E84" s="29"/>
      <c r="F84" s="29"/>
      <c r="G84" s="29"/>
      <c r="H84" s="29"/>
      <c r="I84" s="29"/>
      <c r="J84" s="29"/>
      <c r="K84" s="29"/>
      <c r="L84" s="29"/>
      <c r="M84" s="29"/>
      <c r="N84" s="29"/>
      <c r="O84" s="29"/>
      <c r="P84" s="29"/>
      <c r="Q84" s="29"/>
      <c r="R84" s="29"/>
      <c r="S84" s="29"/>
      <c r="T84" s="29"/>
      <c r="U84" s="4"/>
      <c r="V84" s="4"/>
    </row>
    <row r="85" spans="1:23" x14ac:dyDescent="0.25">
      <c r="E85" s="11"/>
      <c r="F85" s="11"/>
      <c r="G85" s="11"/>
      <c r="H85" s="11"/>
      <c r="I85" s="11"/>
      <c r="J85" s="11"/>
      <c r="K85" s="11"/>
      <c r="L85" s="11"/>
      <c r="M85" s="11"/>
      <c r="N85" s="11"/>
      <c r="O85" s="11"/>
      <c r="P85" s="11"/>
      <c r="Q85" s="11"/>
      <c r="R85" s="11"/>
      <c r="S85" s="11"/>
      <c r="T85" s="11"/>
    </row>
    <row r="86" spans="1:23" x14ac:dyDescent="0.25">
      <c r="A86" s="8"/>
      <c r="B86" s="9" t="s">
        <v>877</v>
      </c>
      <c r="C86" s="8"/>
      <c r="D86" s="8"/>
      <c r="E86" s="197"/>
      <c r="F86" s="197"/>
      <c r="G86" s="197"/>
      <c r="H86" s="197"/>
      <c r="I86" s="197"/>
      <c r="J86" s="197"/>
      <c r="K86" s="197"/>
      <c r="L86" s="197"/>
      <c r="M86" s="197"/>
      <c r="N86" s="197"/>
      <c r="O86" s="197"/>
      <c r="P86" s="197"/>
      <c r="Q86" s="197"/>
      <c r="R86" s="197"/>
      <c r="S86" s="197"/>
      <c r="T86" s="197"/>
      <c r="U86" s="8"/>
      <c r="V86" s="8"/>
      <c r="W86" s="8"/>
    </row>
    <row r="87" spans="1:23" x14ac:dyDescent="0.25">
      <c r="E87" s="11"/>
      <c r="F87" s="11"/>
      <c r="G87" s="11"/>
      <c r="H87" s="11"/>
      <c r="I87" s="11"/>
      <c r="J87" s="11"/>
      <c r="K87" s="11"/>
      <c r="L87" s="11"/>
      <c r="M87" s="11"/>
      <c r="N87" s="11"/>
      <c r="O87" s="11"/>
      <c r="P87" s="11"/>
      <c r="Q87" s="11"/>
      <c r="R87" s="11"/>
      <c r="S87" s="11"/>
      <c r="T87" s="11"/>
    </row>
    <row r="88" spans="1:23" x14ac:dyDescent="0.25">
      <c r="A88" s="11" t="s">
        <v>126</v>
      </c>
      <c r="B88" s="11" t="s">
        <v>1053</v>
      </c>
      <c r="C88" s="11" t="s">
        <v>836</v>
      </c>
      <c r="D88" s="11" t="s">
        <v>970</v>
      </c>
      <c r="E88" s="29">
        <v>1.6</v>
      </c>
      <c r="F88" s="29">
        <v>1.6</v>
      </c>
      <c r="G88" s="29">
        <v>1.6</v>
      </c>
      <c r="H88" s="29">
        <v>1.6</v>
      </c>
      <c r="I88" s="29">
        <v>1.6</v>
      </c>
      <c r="J88" s="29">
        <v>1.6</v>
      </c>
      <c r="K88" s="29">
        <v>1.6</v>
      </c>
      <c r="L88" s="29">
        <v>1.6</v>
      </c>
      <c r="M88" s="29">
        <v>1.6</v>
      </c>
      <c r="N88" s="29">
        <v>1.6</v>
      </c>
      <c r="O88" s="29">
        <v>1.6</v>
      </c>
      <c r="P88" s="29">
        <v>1.6</v>
      </c>
      <c r="Q88" s="29">
        <v>1.6</v>
      </c>
      <c r="R88" s="29">
        <v>1.6</v>
      </c>
      <c r="S88" s="29">
        <v>1.6</v>
      </c>
      <c r="T88" s="29">
        <v>1.6</v>
      </c>
      <c r="U88" s="4"/>
      <c r="V88" s="4"/>
    </row>
    <row r="89" spans="1:23" x14ac:dyDescent="0.25">
      <c r="A89" s="11" t="s">
        <v>126</v>
      </c>
      <c r="B89" s="11" t="s">
        <v>1054</v>
      </c>
      <c r="C89" s="11" t="s">
        <v>836</v>
      </c>
      <c r="D89" s="11" t="s">
        <v>970</v>
      </c>
      <c r="E89" s="29">
        <v>1.7</v>
      </c>
      <c r="F89" s="29">
        <v>1.7</v>
      </c>
      <c r="G89" s="29">
        <v>1.7</v>
      </c>
      <c r="H89" s="29">
        <v>1.7</v>
      </c>
      <c r="I89" s="29">
        <v>1.7</v>
      </c>
      <c r="J89" s="29">
        <v>1.7</v>
      </c>
      <c r="K89" s="29">
        <v>1.7</v>
      </c>
      <c r="L89" s="29">
        <v>1.7</v>
      </c>
      <c r="M89" s="29">
        <v>1.7</v>
      </c>
      <c r="N89" s="29">
        <v>1.7</v>
      </c>
      <c r="O89" s="29">
        <v>1.7</v>
      </c>
      <c r="P89" s="29">
        <v>1.7</v>
      </c>
      <c r="Q89" s="29">
        <v>1.7</v>
      </c>
      <c r="R89" s="29">
        <v>1.7</v>
      </c>
      <c r="S89" s="29">
        <v>1.7</v>
      </c>
      <c r="T89" s="29">
        <v>1.7</v>
      </c>
      <c r="U89" s="4"/>
      <c r="V89" s="4"/>
    </row>
    <row r="90" spans="1:23" x14ac:dyDescent="0.25">
      <c r="A90" s="11" t="s">
        <v>126</v>
      </c>
      <c r="B90" s="11" t="s">
        <v>1055</v>
      </c>
      <c r="C90" s="11" t="s">
        <v>489</v>
      </c>
      <c r="D90" s="11" t="s">
        <v>1059</v>
      </c>
      <c r="E90" s="29"/>
      <c r="F90" s="29"/>
      <c r="G90" s="29"/>
      <c r="H90" s="29"/>
      <c r="I90" s="29"/>
      <c r="J90" s="29"/>
      <c r="K90" s="29"/>
      <c r="L90" s="29"/>
      <c r="M90" s="29"/>
      <c r="N90" s="29"/>
      <c r="O90" s="29"/>
      <c r="P90" s="29"/>
      <c r="Q90" s="29">
        <v>3.999760044391787E-4</v>
      </c>
      <c r="R90" s="29">
        <v>3.999760044391787E-4</v>
      </c>
      <c r="S90" s="29">
        <v>3.999760044391787E-4</v>
      </c>
      <c r="T90" s="29">
        <v>3.999760044391787E-4</v>
      </c>
      <c r="U90" s="4"/>
      <c r="V90" s="4"/>
    </row>
    <row r="91" spans="1:23" x14ac:dyDescent="0.25">
      <c r="A91" s="11" t="s">
        <v>126</v>
      </c>
      <c r="B91" s="11" t="s">
        <v>1056</v>
      </c>
      <c r="C91" s="11" t="s">
        <v>489</v>
      </c>
      <c r="D91" s="11" t="s">
        <v>1059</v>
      </c>
      <c r="E91" s="29"/>
      <c r="F91" s="29"/>
      <c r="G91" s="29"/>
      <c r="H91" s="29"/>
      <c r="I91" s="29"/>
      <c r="J91" s="29"/>
      <c r="K91" s="29"/>
      <c r="L91" s="29"/>
      <c r="M91" s="29"/>
      <c r="N91" s="29"/>
      <c r="O91" s="29"/>
      <c r="P91" s="29"/>
      <c r="Q91" s="29">
        <v>0</v>
      </c>
      <c r="R91" s="29">
        <v>0</v>
      </c>
      <c r="S91" s="29">
        <v>0</v>
      </c>
      <c r="T91" s="29">
        <v>0</v>
      </c>
      <c r="U91" s="4"/>
      <c r="V91" s="4"/>
    </row>
    <row r="92" spans="1:23" x14ac:dyDescent="0.25">
      <c r="A92" s="11" t="s">
        <v>126</v>
      </c>
      <c r="B92" s="11" t="s">
        <v>1057</v>
      </c>
      <c r="C92" s="11" t="s">
        <v>489</v>
      </c>
      <c r="D92" s="11" t="s">
        <v>1059</v>
      </c>
      <c r="E92" s="29"/>
      <c r="F92" s="29"/>
      <c r="G92" s="29"/>
      <c r="H92" s="29"/>
      <c r="I92" s="29"/>
      <c r="J92" s="29"/>
      <c r="K92" s="29"/>
      <c r="L92" s="29"/>
      <c r="M92" s="29"/>
      <c r="N92" s="29"/>
      <c r="O92" s="29"/>
      <c r="P92" s="29"/>
      <c r="Q92" s="29">
        <v>0</v>
      </c>
      <c r="R92" s="29">
        <v>0</v>
      </c>
      <c r="S92" s="29">
        <v>0</v>
      </c>
      <c r="T92" s="29">
        <v>0</v>
      </c>
      <c r="U92" s="4"/>
      <c r="V92" s="4"/>
    </row>
    <row r="93" spans="1:23" x14ac:dyDescent="0.25">
      <c r="A93" s="11" t="s">
        <v>126</v>
      </c>
      <c r="B93" s="11" t="s">
        <v>1058</v>
      </c>
      <c r="C93" s="11" t="s">
        <v>489</v>
      </c>
      <c r="D93" s="11" t="s">
        <v>1059</v>
      </c>
      <c r="E93" s="29"/>
      <c r="F93" s="29"/>
      <c r="G93" s="29"/>
      <c r="H93" s="29"/>
      <c r="I93" s="29"/>
      <c r="J93" s="29"/>
      <c r="K93" s="29"/>
      <c r="L93" s="29"/>
      <c r="M93" s="29"/>
      <c r="N93" s="29"/>
      <c r="O93" s="29"/>
      <c r="P93" s="29"/>
      <c r="Q93" s="29">
        <v>0</v>
      </c>
      <c r="R93" s="29">
        <v>0</v>
      </c>
      <c r="S93" s="29">
        <v>0</v>
      </c>
      <c r="T93" s="29">
        <v>0</v>
      </c>
      <c r="U93" s="4"/>
      <c r="V93" s="4"/>
    </row>
    <row r="94" spans="1:23" x14ac:dyDescent="0.25">
      <c r="A94" s="11" t="s">
        <v>126</v>
      </c>
      <c r="B94" s="11" t="s">
        <v>1055</v>
      </c>
      <c r="C94" s="11" t="s">
        <v>490</v>
      </c>
      <c r="D94" s="11" t="s">
        <v>1060</v>
      </c>
      <c r="E94" s="29"/>
      <c r="F94" s="29"/>
      <c r="G94" s="29"/>
      <c r="H94" s="29"/>
      <c r="I94" s="29"/>
      <c r="J94" s="29"/>
      <c r="K94" s="29"/>
      <c r="L94" s="29"/>
      <c r="M94" s="29"/>
      <c r="N94" s="29"/>
      <c r="O94" s="29"/>
      <c r="P94" s="29"/>
      <c r="Q94" s="29">
        <v>4.0042592120457721E-5</v>
      </c>
      <c r="R94" s="29">
        <v>4.0042592120457721E-5</v>
      </c>
      <c r="S94" s="29">
        <v>4.0042592120457721E-5</v>
      </c>
      <c r="T94" s="29">
        <v>4.0042592120457721E-5</v>
      </c>
      <c r="U94" s="4"/>
      <c r="V94" s="4"/>
    </row>
    <row r="95" spans="1:23" x14ac:dyDescent="0.25">
      <c r="A95" s="11" t="s">
        <v>126</v>
      </c>
      <c r="B95" s="11" t="s">
        <v>1056</v>
      </c>
      <c r="C95" s="11" t="s">
        <v>490</v>
      </c>
      <c r="D95" s="11" t="s">
        <v>1060</v>
      </c>
      <c r="E95" s="29"/>
      <c r="F95" s="29"/>
      <c r="G95" s="29"/>
      <c r="H95" s="29"/>
      <c r="I95" s="29"/>
      <c r="J95" s="29"/>
      <c r="K95" s="29"/>
      <c r="L95" s="29"/>
      <c r="M95" s="29"/>
      <c r="N95" s="29"/>
      <c r="O95" s="29"/>
      <c r="P95" s="29"/>
      <c r="Q95" s="29">
        <v>0</v>
      </c>
      <c r="R95" s="29">
        <v>0</v>
      </c>
      <c r="S95" s="29">
        <v>0</v>
      </c>
      <c r="T95" s="29">
        <v>0</v>
      </c>
      <c r="U95" s="4"/>
      <c r="V95" s="4"/>
    </row>
    <row r="96" spans="1:23" x14ac:dyDescent="0.25">
      <c r="A96" s="11" t="s">
        <v>126</v>
      </c>
      <c r="B96" s="11" t="s">
        <v>1057</v>
      </c>
      <c r="C96" s="11" t="s">
        <v>490</v>
      </c>
      <c r="D96" s="11" t="s">
        <v>1060</v>
      </c>
      <c r="E96" s="29"/>
      <c r="F96" s="29"/>
      <c r="G96" s="29"/>
      <c r="H96" s="29"/>
      <c r="I96" s="29"/>
      <c r="J96" s="29"/>
      <c r="K96" s="29"/>
      <c r="L96" s="29"/>
      <c r="M96" s="29"/>
      <c r="N96" s="29"/>
      <c r="O96" s="29"/>
      <c r="P96" s="29"/>
      <c r="Q96" s="29">
        <v>0</v>
      </c>
      <c r="R96" s="29">
        <v>0</v>
      </c>
      <c r="S96" s="29">
        <v>0</v>
      </c>
      <c r="T96" s="29">
        <v>0</v>
      </c>
      <c r="U96" s="4"/>
      <c r="V96" s="4"/>
    </row>
    <row r="97" spans="1:23" x14ac:dyDescent="0.25">
      <c r="A97" s="11" t="s">
        <v>126</v>
      </c>
      <c r="B97" s="11" t="s">
        <v>1058</v>
      </c>
      <c r="C97" s="11" t="s">
        <v>490</v>
      </c>
      <c r="D97" s="11" t="s">
        <v>1060</v>
      </c>
      <c r="E97" s="29"/>
      <c r="F97" s="29"/>
      <c r="G97" s="29"/>
      <c r="H97" s="29"/>
      <c r="I97" s="29"/>
      <c r="J97" s="29"/>
      <c r="K97" s="29"/>
      <c r="L97" s="29"/>
      <c r="M97" s="29"/>
      <c r="N97" s="29"/>
      <c r="O97" s="29"/>
      <c r="P97" s="29"/>
      <c r="Q97" s="29">
        <v>0</v>
      </c>
      <c r="R97" s="29">
        <v>0</v>
      </c>
      <c r="S97" s="29">
        <v>0</v>
      </c>
      <c r="T97" s="29">
        <v>0</v>
      </c>
      <c r="U97" s="4"/>
      <c r="V97" s="4"/>
    </row>
    <row r="98" spans="1:23" x14ac:dyDescent="0.25">
      <c r="E98" s="11"/>
      <c r="F98" s="11"/>
      <c r="G98" s="11"/>
      <c r="H98" s="11"/>
      <c r="I98" s="11"/>
      <c r="J98" s="11"/>
      <c r="K98" s="11"/>
      <c r="L98" s="11"/>
      <c r="M98" s="11"/>
      <c r="N98" s="11"/>
      <c r="O98" s="11"/>
      <c r="P98" s="11"/>
      <c r="Q98" s="11"/>
      <c r="R98" s="11"/>
      <c r="S98" s="11"/>
      <c r="T98" s="11"/>
    </row>
    <row r="99" spans="1:23" x14ac:dyDescent="0.25">
      <c r="A99" s="8"/>
      <c r="B99" s="9" t="s">
        <v>619</v>
      </c>
      <c r="C99" s="8"/>
      <c r="D99" s="8"/>
      <c r="E99" s="197"/>
      <c r="F99" s="197"/>
      <c r="G99" s="197"/>
      <c r="H99" s="197"/>
      <c r="I99" s="197"/>
      <c r="J99" s="197"/>
      <c r="K99" s="197"/>
      <c r="L99" s="197"/>
      <c r="M99" s="197"/>
      <c r="N99" s="197"/>
      <c r="O99" s="197"/>
      <c r="P99" s="197"/>
      <c r="Q99" s="197"/>
      <c r="R99" s="197"/>
      <c r="S99" s="197"/>
      <c r="T99" s="197"/>
      <c r="U99" s="8"/>
      <c r="V99" s="8"/>
      <c r="W99" s="8"/>
    </row>
    <row r="100" spans="1:23" x14ac:dyDescent="0.25">
      <c r="E100" s="11"/>
      <c r="F100" s="11"/>
      <c r="G100" s="11"/>
      <c r="H100" s="11"/>
      <c r="I100" s="11"/>
      <c r="J100" s="11"/>
      <c r="K100" s="11"/>
      <c r="L100" s="11"/>
      <c r="M100" s="11"/>
      <c r="N100" s="11"/>
      <c r="O100" s="11"/>
      <c r="P100" s="11"/>
      <c r="Q100" s="11"/>
      <c r="R100" s="11"/>
      <c r="S100" s="11"/>
      <c r="T100" s="11"/>
    </row>
    <row r="101" spans="1:23" x14ac:dyDescent="0.25">
      <c r="A101" s="11" t="s">
        <v>126</v>
      </c>
      <c r="B101" s="11" t="s">
        <v>1053</v>
      </c>
      <c r="C101" s="11" t="s">
        <v>836</v>
      </c>
      <c r="D101" s="11" t="s">
        <v>884</v>
      </c>
      <c r="E101" s="29">
        <v>938.98880000000008</v>
      </c>
      <c r="F101" s="29">
        <v>917.25599999999997</v>
      </c>
      <c r="G101" s="29">
        <v>998.04480000000001</v>
      </c>
      <c r="H101" s="29">
        <v>1007.4688000000001</v>
      </c>
      <c r="I101" s="29">
        <v>1244.9071999999999</v>
      </c>
      <c r="J101" s="29">
        <v>1255.4208000000001</v>
      </c>
      <c r="K101" s="29">
        <v>1281.0688</v>
      </c>
      <c r="L101" s="29">
        <v>1293.808</v>
      </c>
      <c r="M101" s="29">
        <v>1262.1744000000001</v>
      </c>
      <c r="N101" s="29">
        <v>1298.1184000000001</v>
      </c>
      <c r="O101" s="29">
        <v>1294.0719999999999</v>
      </c>
      <c r="P101" s="29">
        <v>1299.5344000000002</v>
      </c>
      <c r="Q101" s="29">
        <v>1066.864</v>
      </c>
      <c r="R101" s="29">
        <v>1318.4</v>
      </c>
      <c r="S101" s="29">
        <v>1230.8800000000001</v>
      </c>
      <c r="T101" s="29">
        <v>1178.4000000000001</v>
      </c>
      <c r="U101" s="4"/>
      <c r="V101" s="4"/>
    </row>
    <row r="102" spans="1:23" x14ac:dyDescent="0.25">
      <c r="A102" s="11" t="s">
        <v>126</v>
      </c>
      <c r="B102" s="11" t="s">
        <v>1054</v>
      </c>
      <c r="C102" s="11" t="s">
        <v>836</v>
      </c>
      <c r="D102" s="11" t="s">
        <v>884</v>
      </c>
      <c r="E102" s="29">
        <v>152.2724</v>
      </c>
      <c r="F102" s="29">
        <v>146.1541</v>
      </c>
      <c r="G102" s="29">
        <v>140.67329999999998</v>
      </c>
      <c r="H102" s="29">
        <v>151.3629</v>
      </c>
      <c r="I102" s="29">
        <v>150.69479999999999</v>
      </c>
      <c r="J102" s="29">
        <v>147.0993</v>
      </c>
      <c r="K102" s="29">
        <v>153.13939999999999</v>
      </c>
      <c r="L102" s="29">
        <v>155.26779999999999</v>
      </c>
      <c r="M102" s="29">
        <v>38.627400000000002</v>
      </c>
      <c r="N102" s="29">
        <v>0</v>
      </c>
      <c r="O102" s="29">
        <v>0</v>
      </c>
      <c r="P102" s="29">
        <v>0</v>
      </c>
      <c r="Q102" s="29">
        <v>0</v>
      </c>
      <c r="R102" s="29">
        <v>0</v>
      </c>
      <c r="S102" s="29">
        <v>0</v>
      </c>
      <c r="T102" s="29">
        <v>0</v>
      </c>
      <c r="U102" s="4"/>
      <c r="V102" s="4"/>
    </row>
    <row r="103" spans="1:23" x14ac:dyDescent="0.25">
      <c r="A103" s="11" t="s">
        <v>126</v>
      </c>
      <c r="B103" s="11" t="s">
        <v>835</v>
      </c>
      <c r="C103" s="11" t="s">
        <v>836</v>
      </c>
      <c r="D103" s="11" t="s">
        <v>884</v>
      </c>
      <c r="E103" s="29">
        <v>1091.2612000000001</v>
      </c>
      <c r="F103" s="29">
        <v>1063.4101000000001</v>
      </c>
      <c r="G103" s="29">
        <v>1138.7181</v>
      </c>
      <c r="H103" s="29">
        <v>1158.8317000000002</v>
      </c>
      <c r="I103" s="29">
        <v>1395.6019999999999</v>
      </c>
      <c r="J103" s="29">
        <v>1402.5201000000002</v>
      </c>
      <c r="K103" s="29">
        <v>1434.2082</v>
      </c>
      <c r="L103" s="29">
        <v>1449.0758000000001</v>
      </c>
      <c r="M103" s="29">
        <v>1300.8018000000002</v>
      </c>
      <c r="N103" s="29">
        <v>1298.1184000000001</v>
      </c>
      <c r="O103" s="29">
        <v>1294.0719999999999</v>
      </c>
      <c r="P103" s="29">
        <v>1299.5344000000002</v>
      </c>
      <c r="Q103" s="29">
        <v>1066.864</v>
      </c>
      <c r="R103" s="29">
        <v>1318.4</v>
      </c>
      <c r="S103" s="29">
        <v>1230.8800000000001</v>
      </c>
      <c r="T103" s="29">
        <v>1178.4000000000001</v>
      </c>
      <c r="U103" s="4"/>
      <c r="V103" s="4"/>
    </row>
    <row r="104" spans="1:23" x14ac:dyDescent="0.25">
      <c r="A104" s="11" t="s">
        <v>126</v>
      </c>
      <c r="B104" s="11" t="s">
        <v>1055</v>
      </c>
      <c r="C104" s="11" t="s">
        <v>489</v>
      </c>
      <c r="D104" s="11" t="s">
        <v>1004</v>
      </c>
      <c r="E104" s="29">
        <v>5.33E-2</v>
      </c>
      <c r="F104" s="29">
        <v>5.96E-2</v>
      </c>
      <c r="G104" s="29">
        <v>4.8099999999999997E-2</v>
      </c>
      <c r="H104" s="29">
        <v>4.2299999999999997E-2</v>
      </c>
      <c r="I104" s="29">
        <v>4.19E-2</v>
      </c>
      <c r="J104" s="29">
        <v>4.0899999999999999E-2</v>
      </c>
      <c r="K104" s="29">
        <v>4.6699999999999998E-2</v>
      </c>
      <c r="L104" s="29">
        <v>5.0500000000000003E-2</v>
      </c>
      <c r="M104" s="29">
        <v>5.5399999999999998E-2</v>
      </c>
      <c r="N104" s="29">
        <v>1.41E-2</v>
      </c>
      <c r="O104" s="29">
        <v>1.8100000000000002E-2</v>
      </c>
      <c r="P104" s="29">
        <v>0.32490000000000002</v>
      </c>
      <c r="Q104" s="29">
        <v>0.26669999999999999</v>
      </c>
      <c r="R104" s="29">
        <v>0.32958022765788325</v>
      </c>
      <c r="S104" s="29">
        <v>0.30770154021506019</v>
      </c>
      <c r="T104" s="29">
        <v>0.2945823272694551</v>
      </c>
      <c r="U104" s="4"/>
      <c r="V104" s="4"/>
    </row>
    <row r="105" spans="1:23" x14ac:dyDescent="0.25">
      <c r="A105" s="11" t="s">
        <v>126</v>
      </c>
      <c r="B105" s="11" t="s">
        <v>1056</v>
      </c>
      <c r="C105" s="11" t="s">
        <v>489</v>
      </c>
      <c r="D105" s="11" t="s">
        <v>1004</v>
      </c>
      <c r="E105" s="29">
        <v>1.6E-2</v>
      </c>
      <c r="F105" s="29">
        <v>1.5599999999999999E-2</v>
      </c>
      <c r="G105" s="29">
        <v>1.47E-2</v>
      </c>
      <c r="H105" s="29">
        <v>1.61E-2</v>
      </c>
      <c r="I105" s="29">
        <v>1.5699999999999999E-2</v>
      </c>
      <c r="J105" s="29">
        <v>1.6E-2</v>
      </c>
      <c r="K105" s="29">
        <v>1.6E-2</v>
      </c>
      <c r="L105" s="29">
        <v>1.5900000000000001E-2</v>
      </c>
      <c r="M105" s="29">
        <v>1.2999999999999999E-3</v>
      </c>
      <c r="N105" s="29">
        <v>0</v>
      </c>
      <c r="O105" s="29">
        <v>0</v>
      </c>
      <c r="P105" s="29">
        <v>0</v>
      </c>
      <c r="Q105" s="29">
        <v>0</v>
      </c>
      <c r="R105" s="29">
        <v>0</v>
      </c>
      <c r="S105" s="29">
        <v>0</v>
      </c>
      <c r="T105" s="29">
        <v>0</v>
      </c>
      <c r="U105" s="4"/>
      <c r="V105" s="4"/>
    </row>
    <row r="106" spans="1:23" x14ac:dyDescent="0.25">
      <c r="A106" s="11" t="s">
        <v>126</v>
      </c>
      <c r="B106" s="11" t="s">
        <v>1057</v>
      </c>
      <c r="C106" s="11" t="s">
        <v>489</v>
      </c>
      <c r="D106" s="11" t="s">
        <v>1004</v>
      </c>
      <c r="E106" s="29">
        <v>6.3700000000000007E-2</v>
      </c>
      <c r="F106" s="29">
        <v>6.0999999999999999E-2</v>
      </c>
      <c r="G106" s="29">
        <v>5.8799999999999998E-2</v>
      </c>
      <c r="H106" s="29">
        <v>6.3200000000000006E-2</v>
      </c>
      <c r="I106" s="29">
        <v>6.3100000000000003E-2</v>
      </c>
      <c r="J106" s="29">
        <v>6.1199999999999997E-2</v>
      </c>
      <c r="K106" s="29">
        <v>6.4100000000000004E-2</v>
      </c>
      <c r="L106" s="29">
        <v>6.5100000000000005E-2</v>
      </c>
      <c r="M106" s="29">
        <v>1.7500000000000002E-2</v>
      </c>
      <c r="N106" s="29">
        <v>0</v>
      </c>
      <c r="O106" s="29">
        <v>0</v>
      </c>
      <c r="P106" s="29">
        <v>0</v>
      </c>
      <c r="Q106" s="29">
        <v>0</v>
      </c>
      <c r="R106" s="29">
        <v>0</v>
      </c>
      <c r="S106" s="29">
        <v>0</v>
      </c>
      <c r="T106" s="29">
        <v>0</v>
      </c>
      <c r="U106" s="4"/>
      <c r="V106" s="4"/>
    </row>
    <row r="107" spans="1:23" x14ac:dyDescent="0.25">
      <c r="A107" s="11" t="s">
        <v>126</v>
      </c>
      <c r="B107" s="11" t="s">
        <v>1058</v>
      </c>
      <c r="C107" s="11" t="s">
        <v>489</v>
      </c>
      <c r="D107" s="11" t="s">
        <v>1004</v>
      </c>
      <c r="E107" s="29">
        <v>0</v>
      </c>
      <c r="F107" s="29">
        <v>0</v>
      </c>
      <c r="G107" s="29">
        <v>0</v>
      </c>
      <c r="H107" s="29">
        <v>0</v>
      </c>
      <c r="I107" s="29">
        <v>0</v>
      </c>
      <c r="J107" s="29">
        <v>0</v>
      </c>
      <c r="K107" s="29">
        <v>0</v>
      </c>
      <c r="L107" s="29">
        <v>0</v>
      </c>
      <c r="M107" s="29">
        <v>0</v>
      </c>
      <c r="N107" s="29">
        <v>0</v>
      </c>
      <c r="O107" s="29">
        <v>0</v>
      </c>
      <c r="P107" s="29">
        <v>0</v>
      </c>
      <c r="Q107" s="29">
        <v>0</v>
      </c>
      <c r="R107" s="29">
        <v>0</v>
      </c>
      <c r="S107" s="29">
        <v>0</v>
      </c>
      <c r="T107" s="29">
        <v>0</v>
      </c>
      <c r="U107" s="4"/>
      <c r="V107" s="4"/>
    </row>
    <row r="108" spans="1:23" x14ac:dyDescent="0.25">
      <c r="A108" s="11" t="s">
        <v>126</v>
      </c>
      <c r="B108" s="11" t="s">
        <v>1061</v>
      </c>
      <c r="C108" s="11" t="s">
        <v>489</v>
      </c>
      <c r="D108" s="11" t="s">
        <v>1004</v>
      </c>
      <c r="E108" s="29">
        <v>0.13300000000000001</v>
      </c>
      <c r="F108" s="29">
        <v>0.13619999999999999</v>
      </c>
      <c r="G108" s="29">
        <v>0.12159999999999999</v>
      </c>
      <c r="H108" s="29">
        <v>0.1216</v>
      </c>
      <c r="I108" s="29">
        <v>0.1207</v>
      </c>
      <c r="J108" s="29">
        <v>0.1181</v>
      </c>
      <c r="K108" s="29">
        <v>0.12680000000000002</v>
      </c>
      <c r="L108" s="29">
        <v>0.13150000000000001</v>
      </c>
      <c r="M108" s="29">
        <v>7.4200000000000002E-2</v>
      </c>
      <c r="N108" s="29">
        <v>1.41E-2</v>
      </c>
      <c r="O108" s="29">
        <v>1.8100000000000002E-2</v>
      </c>
      <c r="P108" s="29">
        <v>0.32490000000000002</v>
      </c>
      <c r="Q108" s="29">
        <v>0.26669999999999999</v>
      </c>
      <c r="R108" s="29">
        <v>0.32958022765788325</v>
      </c>
      <c r="S108" s="29">
        <v>0.30770154021506019</v>
      </c>
      <c r="T108" s="29">
        <v>0.2945823272694551</v>
      </c>
      <c r="U108" s="4"/>
      <c r="V108" s="4"/>
    </row>
    <row r="109" spans="1:23" x14ac:dyDescent="0.25">
      <c r="A109" s="11" t="s">
        <v>126</v>
      </c>
      <c r="B109" s="11" t="s">
        <v>1055</v>
      </c>
      <c r="C109" s="11" t="s">
        <v>490</v>
      </c>
      <c r="D109" s="11" t="s">
        <v>1005</v>
      </c>
      <c r="E109" s="29">
        <v>5.7000000000000002E-3</v>
      </c>
      <c r="F109" s="29">
        <v>6.4000000000000003E-3</v>
      </c>
      <c r="G109" s="29">
        <v>5.0000000000000001E-3</v>
      </c>
      <c r="H109" s="29">
        <v>4.3E-3</v>
      </c>
      <c r="I109" s="29">
        <v>4.3E-3</v>
      </c>
      <c r="J109" s="29">
        <v>4.1999999999999997E-3</v>
      </c>
      <c r="K109" s="29">
        <v>4.8999999999999998E-3</v>
      </c>
      <c r="L109" s="29">
        <v>5.3E-3</v>
      </c>
      <c r="M109" s="29">
        <v>5.8999999999999999E-3</v>
      </c>
      <c r="N109" s="29">
        <v>1.8E-3</v>
      </c>
      <c r="O109" s="29">
        <v>2.2000000000000001E-3</v>
      </c>
      <c r="P109" s="29">
        <v>3.2500000000000001E-2</v>
      </c>
      <c r="Q109" s="29">
        <v>2.6700000000000002E-2</v>
      </c>
      <c r="R109" s="29">
        <v>3.299509590725716E-2</v>
      </c>
      <c r="S109" s="29">
        <v>3.0804766118268122E-2</v>
      </c>
      <c r="T109" s="29">
        <v>2.949136909671711E-2</v>
      </c>
      <c r="U109" s="4"/>
      <c r="V109" s="4"/>
    </row>
    <row r="110" spans="1:23" x14ac:dyDescent="0.25">
      <c r="A110" s="11" t="s">
        <v>126</v>
      </c>
      <c r="B110" s="11" t="s">
        <v>1056</v>
      </c>
      <c r="C110" s="11" t="s">
        <v>490</v>
      </c>
      <c r="D110" s="11" t="s">
        <v>1005</v>
      </c>
      <c r="E110" s="29">
        <v>4.0000000000000001E-3</v>
      </c>
      <c r="F110" s="29">
        <v>3.8999999999999998E-3</v>
      </c>
      <c r="G110" s="29">
        <v>3.7000000000000002E-3</v>
      </c>
      <c r="H110" s="29">
        <v>4.0000000000000001E-3</v>
      </c>
      <c r="I110" s="29">
        <v>3.8999999999999998E-3</v>
      </c>
      <c r="J110" s="29">
        <v>4.0000000000000001E-3</v>
      </c>
      <c r="K110" s="29">
        <v>4.0000000000000001E-3</v>
      </c>
      <c r="L110" s="29">
        <v>4.0000000000000001E-3</v>
      </c>
      <c r="M110" s="29">
        <v>2.9999999999999997E-4</v>
      </c>
      <c r="N110" s="29">
        <v>0</v>
      </c>
      <c r="O110" s="29">
        <v>0</v>
      </c>
      <c r="P110" s="29">
        <v>0</v>
      </c>
      <c r="Q110" s="29">
        <v>0</v>
      </c>
      <c r="R110" s="29">
        <v>0</v>
      </c>
      <c r="S110" s="29">
        <v>0</v>
      </c>
      <c r="T110" s="29">
        <v>0</v>
      </c>
      <c r="U110" s="4"/>
      <c r="V110" s="4"/>
    </row>
    <row r="111" spans="1:23" x14ac:dyDescent="0.25">
      <c r="A111" s="11" t="s">
        <v>126</v>
      </c>
      <c r="B111" s="11" t="s">
        <v>1057</v>
      </c>
      <c r="C111" s="11" t="s">
        <v>490</v>
      </c>
      <c r="D111" s="11" t="s">
        <v>1005</v>
      </c>
      <c r="E111" s="29">
        <v>3.2000000000000002E-3</v>
      </c>
      <c r="F111" s="29">
        <v>3.0000000000000001E-3</v>
      </c>
      <c r="G111" s="29">
        <v>2.8999999999999998E-3</v>
      </c>
      <c r="H111" s="29">
        <v>3.2000000000000002E-3</v>
      </c>
      <c r="I111" s="29">
        <v>3.2000000000000002E-3</v>
      </c>
      <c r="J111" s="29">
        <v>3.0999999999999999E-3</v>
      </c>
      <c r="K111" s="29">
        <v>3.2000000000000002E-3</v>
      </c>
      <c r="L111" s="29">
        <v>3.3E-3</v>
      </c>
      <c r="M111" s="29">
        <v>8.9999999999999998E-4</v>
      </c>
      <c r="N111" s="29">
        <v>0</v>
      </c>
      <c r="O111" s="29">
        <v>0</v>
      </c>
      <c r="P111" s="29">
        <v>0</v>
      </c>
      <c r="Q111" s="29">
        <v>0</v>
      </c>
      <c r="R111" s="29">
        <v>0</v>
      </c>
      <c r="S111" s="29">
        <v>0</v>
      </c>
      <c r="T111" s="29">
        <v>0</v>
      </c>
      <c r="U111" s="4"/>
      <c r="V111" s="4"/>
    </row>
    <row r="112" spans="1:23" x14ac:dyDescent="0.25">
      <c r="A112" s="11" t="s">
        <v>126</v>
      </c>
      <c r="B112" s="11" t="s">
        <v>1058</v>
      </c>
      <c r="C112" s="11" t="s">
        <v>490</v>
      </c>
      <c r="D112" s="11" t="s">
        <v>1005</v>
      </c>
      <c r="E112" s="29">
        <v>0</v>
      </c>
      <c r="F112" s="29">
        <v>0</v>
      </c>
      <c r="G112" s="29">
        <v>0</v>
      </c>
      <c r="H112" s="29">
        <v>0</v>
      </c>
      <c r="I112" s="29">
        <v>0</v>
      </c>
      <c r="J112" s="29">
        <v>0</v>
      </c>
      <c r="K112" s="29">
        <v>0</v>
      </c>
      <c r="L112" s="29">
        <v>0</v>
      </c>
      <c r="M112" s="29">
        <v>0</v>
      </c>
      <c r="N112" s="29">
        <v>0</v>
      </c>
      <c r="O112" s="29">
        <v>0</v>
      </c>
      <c r="P112" s="29">
        <v>0</v>
      </c>
      <c r="Q112" s="29">
        <v>0</v>
      </c>
      <c r="R112" s="29">
        <v>0</v>
      </c>
      <c r="S112" s="29">
        <v>0</v>
      </c>
      <c r="T112" s="29">
        <v>0</v>
      </c>
      <c r="U112" s="4"/>
      <c r="V112" s="4"/>
    </row>
    <row r="113" spans="1:23" x14ac:dyDescent="0.25">
      <c r="A113" s="11" t="s">
        <v>126</v>
      </c>
      <c r="B113" s="11" t="s">
        <v>1062</v>
      </c>
      <c r="C113" s="11" t="s">
        <v>490</v>
      </c>
      <c r="D113" s="11" t="s">
        <v>1005</v>
      </c>
      <c r="E113" s="29">
        <v>1.29E-2</v>
      </c>
      <c r="F113" s="29">
        <v>1.3299999999999999E-2</v>
      </c>
      <c r="G113" s="29">
        <v>1.1599999999999999E-2</v>
      </c>
      <c r="H113" s="29">
        <v>1.15E-2</v>
      </c>
      <c r="I113" s="29">
        <v>1.1399999999999999E-2</v>
      </c>
      <c r="J113" s="29">
        <v>1.1299999999999999E-2</v>
      </c>
      <c r="K113" s="29">
        <v>1.21E-2</v>
      </c>
      <c r="L113" s="29">
        <v>1.26E-2</v>
      </c>
      <c r="M113" s="29">
        <v>7.0999999999999995E-3</v>
      </c>
      <c r="N113" s="29">
        <v>1.8E-3</v>
      </c>
      <c r="O113" s="29">
        <v>2.2000000000000001E-3</v>
      </c>
      <c r="P113" s="29">
        <v>3.2500000000000001E-2</v>
      </c>
      <c r="Q113" s="29">
        <v>2.6700000000000002E-2</v>
      </c>
      <c r="R113" s="29">
        <v>3.299509590725716E-2</v>
      </c>
      <c r="S113" s="29">
        <v>3.0804766118268122E-2</v>
      </c>
      <c r="T113" s="29">
        <v>2.949136909671711E-2</v>
      </c>
      <c r="U113" s="4"/>
      <c r="V113" s="4"/>
    </row>
    <row r="114" spans="1:23" x14ac:dyDescent="0.25">
      <c r="A114" s="11" t="s">
        <v>126</v>
      </c>
      <c r="B114" s="11" t="s">
        <v>882</v>
      </c>
      <c r="C114" s="11" t="s">
        <v>836</v>
      </c>
      <c r="D114" s="11" t="s">
        <v>955</v>
      </c>
      <c r="E114" s="29">
        <v>2074.4412000000002</v>
      </c>
      <c r="F114" s="29">
        <v>2071.0700999999999</v>
      </c>
      <c r="G114" s="29">
        <v>2035.8380999999999</v>
      </c>
      <c r="H114" s="29">
        <v>2055.0317000000005</v>
      </c>
      <c r="I114" s="29">
        <v>2285.0320000000002</v>
      </c>
      <c r="J114" s="29">
        <v>2274.1301000000003</v>
      </c>
      <c r="K114" s="29">
        <v>2369.7282000000005</v>
      </c>
      <c r="L114" s="29">
        <v>2419.7458000000001</v>
      </c>
      <c r="M114" s="29">
        <v>1848.4218000000001</v>
      </c>
      <c r="N114" s="29">
        <v>1406.3284000000001</v>
      </c>
      <c r="O114" s="29">
        <v>1431.962</v>
      </c>
      <c r="P114" s="29">
        <v>3710.3844000000008</v>
      </c>
      <c r="Q114" s="29">
        <v>3046.0539999999996</v>
      </c>
      <c r="R114" s="29">
        <v>3764.2263621230068</v>
      </c>
      <c r="S114" s="29">
        <v>3514.3438596859583</v>
      </c>
      <c r="T114" s="29">
        <v>3364.5057229412555</v>
      </c>
      <c r="U114" s="4"/>
      <c r="V114" s="4"/>
    </row>
    <row r="115" spans="1:23" x14ac:dyDescent="0.25">
      <c r="A115" s="7"/>
      <c r="B115" s="7"/>
      <c r="C115" s="7"/>
      <c r="D115" s="7"/>
    </row>
    <row r="116" spans="1:23" ht="18.75" x14ac:dyDescent="0.3">
      <c r="A116" s="13" t="s">
        <v>346</v>
      </c>
    </row>
    <row r="117" spans="1:23" x14ac:dyDescent="0.25">
      <c r="A117" s="8"/>
      <c r="B117" s="9" t="s">
        <v>865</v>
      </c>
      <c r="C117" s="8"/>
      <c r="D117" s="8" t="s">
        <v>852</v>
      </c>
      <c r="E117" s="8"/>
      <c r="F117" s="8"/>
      <c r="G117" s="8"/>
      <c r="H117" s="8"/>
      <c r="I117" s="8"/>
      <c r="J117" s="8"/>
      <c r="K117" s="8"/>
      <c r="L117" s="8"/>
      <c r="M117" s="8"/>
      <c r="N117" s="8"/>
      <c r="O117" s="8"/>
      <c r="P117" s="8"/>
      <c r="Q117" s="8"/>
      <c r="R117" s="8"/>
      <c r="S117" s="8"/>
      <c r="T117" s="8"/>
      <c r="U117" s="8"/>
      <c r="V117" s="8"/>
      <c r="W117" s="22"/>
    </row>
    <row r="119" spans="1:23" x14ac:dyDescent="0.25">
      <c r="A119" s="10" t="s">
        <v>867</v>
      </c>
      <c r="B119" s="10" t="s">
        <v>868</v>
      </c>
      <c r="C119" s="10" t="s">
        <v>482</v>
      </c>
      <c r="D119" s="10" t="s">
        <v>740</v>
      </c>
      <c r="E119" s="10">
        <v>2000</v>
      </c>
      <c r="F119" s="10">
        <v>2001</v>
      </c>
      <c r="G119" s="10">
        <v>2002</v>
      </c>
      <c r="H119" s="10">
        <v>2003</v>
      </c>
      <c r="I119" s="10">
        <v>2004</v>
      </c>
      <c r="J119" s="10">
        <v>2005</v>
      </c>
      <c r="K119" s="10">
        <v>2006</v>
      </c>
      <c r="L119" s="10">
        <v>2007</v>
      </c>
      <c r="M119" s="10">
        <v>2008</v>
      </c>
      <c r="N119" s="10">
        <v>2009</v>
      </c>
      <c r="O119" s="10">
        <v>2010</v>
      </c>
      <c r="P119" s="10">
        <v>2011</v>
      </c>
      <c r="Q119" s="10">
        <v>2012</v>
      </c>
      <c r="R119" s="10">
        <v>2013</v>
      </c>
      <c r="S119" s="10">
        <v>2014</v>
      </c>
      <c r="T119" s="10">
        <v>2015</v>
      </c>
      <c r="U119" s="10"/>
      <c r="V119" s="10"/>
    </row>
    <row r="120" spans="1:23" x14ac:dyDescent="0.25">
      <c r="A120" s="11" t="s">
        <v>126</v>
      </c>
      <c r="B120" s="11" t="s">
        <v>1053</v>
      </c>
      <c r="C120" s="11"/>
      <c r="D120" s="11" t="s">
        <v>892</v>
      </c>
      <c r="E120" s="41">
        <f t="shared" ref="E120:S120" si="24">IFERROR(((E14/E79)-1),"CHECK")</f>
        <v>0</v>
      </c>
      <c r="F120" s="41">
        <f t="shared" si="24"/>
        <v>0</v>
      </c>
      <c r="G120" s="41">
        <f t="shared" si="24"/>
        <v>0</v>
      </c>
      <c r="H120" s="41">
        <f t="shared" si="24"/>
        <v>0</v>
      </c>
      <c r="I120" s="41">
        <f t="shared" si="24"/>
        <v>0</v>
      </c>
      <c r="J120" s="41">
        <f t="shared" si="24"/>
        <v>0</v>
      </c>
      <c r="K120" s="41">
        <f t="shared" si="24"/>
        <v>0</v>
      </c>
      <c r="L120" s="41">
        <f t="shared" si="24"/>
        <v>0</v>
      </c>
      <c r="M120" s="41">
        <f t="shared" si="24"/>
        <v>0</v>
      </c>
      <c r="N120" s="41">
        <f t="shared" si="24"/>
        <v>0</v>
      </c>
      <c r="O120" s="41">
        <f t="shared" si="24"/>
        <v>0</v>
      </c>
      <c r="P120" s="41">
        <f t="shared" si="24"/>
        <v>0</v>
      </c>
      <c r="Q120" s="41">
        <f t="shared" si="24"/>
        <v>0</v>
      </c>
      <c r="R120" s="41">
        <f t="shared" si="24"/>
        <v>0</v>
      </c>
      <c r="S120" s="41">
        <f t="shared" si="24"/>
        <v>0</v>
      </c>
      <c r="T120" s="41">
        <f t="shared" ref="T120:T125" si="25">IFERROR(((T14/T79)-1),"CHECK")</f>
        <v>0</v>
      </c>
      <c r="U120" s="41"/>
      <c r="V120" s="41"/>
    </row>
    <row r="121" spans="1:23" x14ac:dyDescent="0.25">
      <c r="A121" s="11" t="s">
        <v>126</v>
      </c>
      <c r="B121" s="11" t="s">
        <v>1054</v>
      </c>
      <c r="C121" s="11"/>
      <c r="D121" s="11" t="s">
        <v>892</v>
      </c>
      <c r="E121" s="41">
        <f t="shared" ref="E121:S121" si="26">IFERROR(((E15/E80)-1),"CHECK")</f>
        <v>0</v>
      </c>
      <c r="F121" s="41">
        <f t="shared" si="26"/>
        <v>0</v>
      </c>
      <c r="G121" s="41">
        <f t="shared" si="26"/>
        <v>0</v>
      </c>
      <c r="H121" s="41">
        <f t="shared" si="26"/>
        <v>0</v>
      </c>
      <c r="I121" s="41">
        <f t="shared" si="26"/>
        <v>0</v>
      </c>
      <c r="J121" s="41">
        <f t="shared" si="26"/>
        <v>0</v>
      </c>
      <c r="K121" s="41">
        <f t="shared" si="26"/>
        <v>0</v>
      </c>
      <c r="L121" s="41">
        <f t="shared" si="26"/>
        <v>0</v>
      </c>
      <c r="M121" s="41">
        <f t="shared" si="26"/>
        <v>0</v>
      </c>
      <c r="N121" s="41" t="str">
        <f t="shared" si="26"/>
        <v>CHECK</v>
      </c>
      <c r="O121" s="41" t="str">
        <f t="shared" si="26"/>
        <v>CHECK</v>
      </c>
      <c r="P121" s="41" t="str">
        <f t="shared" si="26"/>
        <v>CHECK</v>
      </c>
      <c r="Q121" s="41" t="str">
        <f t="shared" si="26"/>
        <v>CHECK</v>
      </c>
      <c r="R121" s="41" t="str">
        <f t="shared" si="26"/>
        <v>CHECK</v>
      </c>
      <c r="S121" s="41" t="str">
        <f t="shared" si="26"/>
        <v>CHECK</v>
      </c>
      <c r="T121" s="41" t="str">
        <f t="shared" si="25"/>
        <v>CHECK</v>
      </c>
      <c r="U121" s="41"/>
      <c r="V121" s="41"/>
    </row>
    <row r="122" spans="1:23" x14ac:dyDescent="0.25">
      <c r="A122" s="11" t="s">
        <v>126</v>
      </c>
      <c r="B122" s="11" t="s">
        <v>1055</v>
      </c>
      <c r="C122" s="11"/>
      <c r="D122" s="11" t="s">
        <v>892</v>
      </c>
      <c r="E122" s="41">
        <f t="shared" ref="E122:S122" si="27">IFERROR(((E16/E81)-1),"CHECK")</f>
        <v>0</v>
      </c>
      <c r="F122" s="41">
        <f t="shared" si="27"/>
        <v>0</v>
      </c>
      <c r="G122" s="41">
        <f t="shared" si="27"/>
        <v>0</v>
      </c>
      <c r="H122" s="41">
        <f t="shared" si="27"/>
        <v>0</v>
      </c>
      <c r="I122" s="41">
        <f t="shared" si="27"/>
        <v>0</v>
      </c>
      <c r="J122" s="41">
        <f t="shared" si="27"/>
        <v>0</v>
      </c>
      <c r="K122" s="41">
        <f t="shared" si="27"/>
        <v>0</v>
      </c>
      <c r="L122" s="41">
        <f t="shared" si="27"/>
        <v>0</v>
      </c>
      <c r="M122" s="41">
        <f t="shared" si="27"/>
        <v>0</v>
      </c>
      <c r="N122" s="41">
        <f t="shared" si="27"/>
        <v>0</v>
      </c>
      <c r="O122" s="41">
        <f t="shared" si="27"/>
        <v>0</v>
      </c>
      <c r="P122" s="41">
        <f t="shared" si="27"/>
        <v>0</v>
      </c>
      <c r="Q122" s="41">
        <f t="shared" si="27"/>
        <v>0</v>
      </c>
      <c r="R122" s="41">
        <f t="shared" si="27"/>
        <v>0</v>
      </c>
      <c r="S122" s="41">
        <f t="shared" si="27"/>
        <v>0</v>
      </c>
      <c r="T122" s="41">
        <f t="shared" si="25"/>
        <v>0</v>
      </c>
      <c r="U122" s="41"/>
      <c r="V122" s="41"/>
    </row>
    <row r="123" spans="1:23" x14ac:dyDescent="0.25">
      <c r="A123" s="11" t="s">
        <v>126</v>
      </c>
      <c r="B123" s="11" t="s">
        <v>1056</v>
      </c>
      <c r="C123" s="11"/>
      <c r="D123" s="11" t="s">
        <v>892</v>
      </c>
      <c r="E123" s="41">
        <f t="shared" ref="E123:S123" si="28">IFERROR(((E17/E82)-1),"CHECK")</f>
        <v>0</v>
      </c>
      <c r="F123" s="41">
        <f t="shared" si="28"/>
        <v>0</v>
      </c>
      <c r="G123" s="41">
        <f t="shared" si="28"/>
        <v>0</v>
      </c>
      <c r="H123" s="41">
        <f t="shared" si="28"/>
        <v>0</v>
      </c>
      <c r="I123" s="41">
        <f t="shared" si="28"/>
        <v>0</v>
      </c>
      <c r="J123" s="41">
        <f t="shared" si="28"/>
        <v>0</v>
      </c>
      <c r="K123" s="41">
        <f t="shared" si="28"/>
        <v>0</v>
      </c>
      <c r="L123" s="41">
        <f t="shared" si="28"/>
        <v>0</v>
      </c>
      <c r="M123" s="41">
        <f t="shared" si="28"/>
        <v>0</v>
      </c>
      <c r="N123" s="41" t="str">
        <f t="shared" si="28"/>
        <v>CHECK</v>
      </c>
      <c r="O123" s="41" t="str">
        <f t="shared" si="28"/>
        <v>CHECK</v>
      </c>
      <c r="P123" s="41" t="str">
        <f t="shared" si="28"/>
        <v>CHECK</v>
      </c>
      <c r="Q123" s="41" t="str">
        <f t="shared" si="28"/>
        <v>CHECK</v>
      </c>
      <c r="R123" s="41" t="str">
        <f t="shared" si="28"/>
        <v>CHECK</v>
      </c>
      <c r="S123" s="41" t="str">
        <f t="shared" si="28"/>
        <v>CHECK</v>
      </c>
      <c r="T123" s="41" t="str">
        <f t="shared" si="25"/>
        <v>CHECK</v>
      </c>
      <c r="U123" s="41"/>
      <c r="V123" s="41"/>
    </row>
    <row r="124" spans="1:23" x14ac:dyDescent="0.25">
      <c r="A124" s="11" t="s">
        <v>126</v>
      </c>
      <c r="B124" s="11" t="s">
        <v>1057</v>
      </c>
      <c r="C124" s="11"/>
      <c r="D124" s="11" t="s">
        <v>892</v>
      </c>
      <c r="E124" s="41">
        <f t="shared" ref="E124:S124" si="29">IFERROR(((E18/E83)-1),"CHECK")</f>
        <v>0</v>
      </c>
      <c r="F124" s="41">
        <f t="shared" si="29"/>
        <v>0</v>
      </c>
      <c r="G124" s="41">
        <f t="shared" si="29"/>
        <v>0</v>
      </c>
      <c r="H124" s="41">
        <f t="shared" si="29"/>
        <v>0</v>
      </c>
      <c r="I124" s="41">
        <f t="shared" si="29"/>
        <v>0</v>
      </c>
      <c r="J124" s="41">
        <f t="shared" si="29"/>
        <v>0</v>
      </c>
      <c r="K124" s="41">
        <f t="shared" si="29"/>
        <v>0</v>
      </c>
      <c r="L124" s="41">
        <f t="shared" si="29"/>
        <v>0</v>
      </c>
      <c r="M124" s="41">
        <f t="shared" si="29"/>
        <v>0</v>
      </c>
      <c r="N124" s="41" t="str">
        <f t="shared" si="29"/>
        <v>CHECK</v>
      </c>
      <c r="O124" s="41" t="str">
        <f t="shared" si="29"/>
        <v>CHECK</v>
      </c>
      <c r="P124" s="41" t="str">
        <f t="shared" si="29"/>
        <v>CHECK</v>
      </c>
      <c r="Q124" s="41" t="str">
        <f t="shared" si="29"/>
        <v>CHECK</v>
      </c>
      <c r="R124" s="41" t="str">
        <f t="shared" si="29"/>
        <v>CHECK</v>
      </c>
      <c r="S124" s="41" t="str">
        <f t="shared" si="29"/>
        <v>CHECK</v>
      </c>
      <c r="T124" s="41" t="str">
        <f t="shared" si="25"/>
        <v>CHECK</v>
      </c>
      <c r="U124" s="41"/>
      <c r="V124" s="41"/>
    </row>
    <row r="125" spans="1:23" x14ac:dyDescent="0.25">
      <c r="A125" s="11" t="s">
        <v>126</v>
      </c>
      <c r="B125" s="11" t="s">
        <v>1058</v>
      </c>
      <c r="C125" s="11"/>
      <c r="D125" s="11" t="s">
        <v>892</v>
      </c>
      <c r="E125" s="41" t="str">
        <f t="shared" ref="E125:S125" si="30">IFERROR(((E19/E84)-1),"CHECK")</f>
        <v>CHECK</v>
      </c>
      <c r="F125" s="41" t="str">
        <f t="shared" si="30"/>
        <v>CHECK</v>
      </c>
      <c r="G125" s="41" t="str">
        <f t="shared" si="30"/>
        <v>CHECK</v>
      </c>
      <c r="H125" s="41" t="str">
        <f t="shared" si="30"/>
        <v>CHECK</v>
      </c>
      <c r="I125" s="41" t="str">
        <f t="shared" si="30"/>
        <v>CHECK</v>
      </c>
      <c r="J125" s="41" t="str">
        <f t="shared" si="30"/>
        <v>CHECK</v>
      </c>
      <c r="K125" s="41" t="str">
        <f t="shared" si="30"/>
        <v>CHECK</v>
      </c>
      <c r="L125" s="41" t="str">
        <f t="shared" si="30"/>
        <v>CHECK</v>
      </c>
      <c r="M125" s="41" t="str">
        <f t="shared" si="30"/>
        <v>CHECK</v>
      </c>
      <c r="N125" s="41" t="str">
        <f t="shared" si="30"/>
        <v>CHECK</v>
      </c>
      <c r="O125" s="41" t="str">
        <f t="shared" si="30"/>
        <v>CHECK</v>
      </c>
      <c r="P125" s="41" t="str">
        <f t="shared" si="30"/>
        <v>CHECK</v>
      </c>
      <c r="Q125" s="41" t="str">
        <f t="shared" si="30"/>
        <v>CHECK</v>
      </c>
      <c r="R125" s="41" t="str">
        <f t="shared" si="30"/>
        <v>CHECK</v>
      </c>
      <c r="S125" s="41" t="str">
        <f t="shared" si="30"/>
        <v>CHECK</v>
      </c>
      <c r="T125" s="41" t="str">
        <f t="shared" si="25"/>
        <v>CHECK</v>
      </c>
      <c r="U125" s="41"/>
      <c r="V125" s="41"/>
    </row>
    <row r="127" spans="1:23" x14ac:dyDescent="0.25">
      <c r="A127" s="8"/>
      <c r="B127" s="9" t="s">
        <v>877</v>
      </c>
      <c r="C127" s="8"/>
      <c r="D127" s="8"/>
      <c r="E127" s="8"/>
      <c r="F127" s="8"/>
      <c r="G127" s="8"/>
      <c r="H127" s="8"/>
      <c r="I127" s="8"/>
      <c r="J127" s="8"/>
      <c r="K127" s="8"/>
      <c r="L127" s="8"/>
      <c r="M127" s="8"/>
      <c r="N127" s="8"/>
      <c r="O127" s="8"/>
      <c r="P127" s="8"/>
      <c r="Q127" s="8"/>
      <c r="R127" s="8"/>
      <c r="S127" s="8"/>
      <c r="T127" s="8"/>
      <c r="U127" s="8"/>
      <c r="V127" s="8"/>
    </row>
    <row r="129" spans="1:22" x14ac:dyDescent="0.25">
      <c r="A129" s="11" t="s">
        <v>126</v>
      </c>
      <c r="B129" s="11" t="s">
        <v>1053</v>
      </c>
      <c r="C129" s="11" t="s">
        <v>836</v>
      </c>
      <c r="D129" s="11" t="s">
        <v>970</v>
      </c>
      <c r="E129" s="41">
        <f t="shared" ref="E129:S129" si="31">IFERROR(((E23/E88)-1),"CHECK")</f>
        <v>0</v>
      </c>
      <c r="F129" s="41">
        <f t="shared" si="31"/>
        <v>0</v>
      </c>
      <c r="G129" s="41">
        <f t="shared" si="31"/>
        <v>0</v>
      </c>
      <c r="H129" s="41">
        <f t="shared" si="31"/>
        <v>0</v>
      </c>
      <c r="I129" s="41">
        <f t="shared" si="31"/>
        <v>0</v>
      </c>
      <c r="J129" s="41">
        <f t="shared" si="31"/>
        <v>0</v>
      </c>
      <c r="K129" s="41">
        <f t="shared" si="31"/>
        <v>0</v>
      </c>
      <c r="L129" s="41">
        <f t="shared" si="31"/>
        <v>0</v>
      </c>
      <c r="M129" s="41">
        <f t="shared" si="31"/>
        <v>0</v>
      </c>
      <c r="N129" s="41">
        <f t="shared" si="31"/>
        <v>0</v>
      </c>
      <c r="O129" s="41">
        <f t="shared" si="31"/>
        <v>0</v>
      </c>
      <c r="P129" s="41">
        <f t="shared" si="31"/>
        <v>0</v>
      </c>
      <c r="Q129" s="41">
        <f t="shared" si="31"/>
        <v>0</v>
      </c>
      <c r="R129" s="41">
        <f t="shared" si="31"/>
        <v>0</v>
      </c>
      <c r="S129" s="41">
        <f t="shared" si="31"/>
        <v>0</v>
      </c>
      <c r="T129" s="41">
        <f t="shared" ref="T129:T138" si="32">IFERROR(((T23/T88)-1),"CHECK")</f>
        <v>0</v>
      </c>
      <c r="U129" s="41"/>
      <c r="V129" s="41"/>
    </row>
    <row r="130" spans="1:22" x14ac:dyDescent="0.25">
      <c r="A130" s="11" t="s">
        <v>126</v>
      </c>
      <c r="B130" s="11" t="s">
        <v>1054</v>
      </c>
      <c r="C130" s="11" t="s">
        <v>836</v>
      </c>
      <c r="D130" s="11" t="s">
        <v>970</v>
      </c>
      <c r="E130" s="41">
        <f t="shared" ref="E130:S130" si="33">IFERROR(((E24/E89)-1),"CHECK")</f>
        <v>0</v>
      </c>
      <c r="F130" s="41">
        <f t="shared" si="33"/>
        <v>0</v>
      </c>
      <c r="G130" s="41">
        <f t="shared" si="33"/>
        <v>0</v>
      </c>
      <c r="H130" s="41">
        <f t="shared" si="33"/>
        <v>0</v>
      </c>
      <c r="I130" s="41">
        <f t="shared" si="33"/>
        <v>0</v>
      </c>
      <c r="J130" s="41">
        <f t="shared" si="33"/>
        <v>0</v>
      </c>
      <c r="K130" s="41">
        <f t="shared" si="33"/>
        <v>0</v>
      </c>
      <c r="L130" s="41">
        <f t="shared" si="33"/>
        <v>0</v>
      </c>
      <c r="M130" s="41">
        <f t="shared" si="33"/>
        <v>0</v>
      </c>
      <c r="N130" s="41">
        <f t="shared" si="33"/>
        <v>0</v>
      </c>
      <c r="O130" s="41">
        <f t="shared" si="33"/>
        <v>0</v>
      </c>
      <c r="P130" s="41">
        <f t="shared" si="33"/>
        <v>0</v>
      </c>
      <c r="Q130" s="41">
        <f t="shared" si="33"/>
        <v>0</v>
      </c>
      <c r="R130" s="41">
        <f t="shared" si="33"/>
        <v>0</v>
      </c>
      <c r="S130" s="41">
        <f t="shared" si="33"/>
        <v>0</v>
      </c>
      <c r="T130" s="41">
        <f t="shared" si="32"/>
        <v>0</v>
      </c>
      <c r="U130" s="41"/>
      <c r="V130" s="41"/>
    </row>
    <row r="131" spans="1:22" x14ac:dyDescent="0.25">
      <c r="A131" s="11" t="s">
        <v>126</v>
      </c>
      <c r="B131" s="11" t="s">
        <v>1055</v>
      </c>
      <c r="C131" s="11" t="s">
        <v>489</v>
      </c>
      <c r="D131" s="11" t="s">
        <v>1059</v>
      </c>
      <c r="E131" s="41" t="str">
        <f t="shared" ref="E131:S131" si="34">IFERROR(((E25/E90)-1),"CHECK")</f>
        <v>CHECK</v>
      </c>
      <c r="F131" s="41" t="str">
        <f t="shared" si="34"/>
        <v>CHECK</v>
      </c>
      <c r="G131" s="41" t="str">
        <f t="shared" si="34"/>
        <v>CHECK</v>
      </c>
      <c r="H131" s="41" t="str">
        <f t="shared" si="34"/>
        <v>CHECK</v>
      </c>
      <c r="I131" s="41" t="str">
        <f t="shared" si="34"/>
        <v>CHECK</v>
      </c>
      <c r="J131" s="41" t="str">
        <f t="shared" si="34"/>
        <v>CHECK</v>
      </c>
      <c r="K131" s="41" t="str">
        <f t="shared" si="34"/>
        <v>CHECK</v>
      </c>
      <c r="L131" s="41" t="str">
        <f t="shared" si="34"/>
        <v>CHECK</v>
      </c>
      <c r="M131" s="41" t="str">
        <f t="shared" si="34"/>
        <v>CHECK</v>
      </c>
      <c r="N131" s="41" t="str">
        <f t="shared" si="34"/>
        <v>CHECK</v>
      </c>
      <c r="O131" s="41" t="str">
        <f t="shared" si="34"/>
        <v>CHECK</v>
      </c>
      <c r="P131" s="41" t="str">
        <f t="shared" si="34"/>
        <v>CHECK</v>
      </c>
      <c r="Q131" s="41">
        <f t="shared" si="34"/>
        <v>0</v>
      </c>
      <c r="R131" s="41">
        <f t="shared" si="34"/>
        <v>0</v>
      </c>
      <c r="S131" s="41">
        <f t="shared" si="34"/>
        <v>0</v>
      </c>
      <c r="T131" s="41">
        <f t="shared" si="32"/>
        <v>0</v>
      </c>
      <c r="U131" s="41"/>
      <c r="V131" s="41"/>
    </row>
    <row r="132" spans="1:22" x14ac:dyDescent="0.25">
      <c r="A132" s="11" t="s">
        <v>126</v>
      </c>
      <c r="B132" s="11" t="s">
        <v>1056</v>
      </c>
      <c r="C132" s="11" t="s">
        <v>489</v>
      </c>
      <c r="D132" s="11" t="s">
        <v>1059</v>
      </c>
      <c r="E132" s="41" t="str">
        <f t="shared" ref="E132:S132" si="35">IFERROR(((E26/E91)-1),"CHECK")</f>
        <v>CHECK</v>
      </c>
      <c r="F132" s="41" t="str">
        <f t="shared" si="35"/>
        <v>CHECK</v>
      </c>
      <c r="G132" s="41" t="str">
        <f t="shared" si="35"/>
        <v>CHECK</v>
      </c>
      <c r="H132" s="41" t="str">
        <f t="shared" si="35"/>
        <v>CHECK</v>
      </c>
      <c r="I132" s="41" t="str">
        <f t="shared" si="35"/>
        <v>CHECK</v>
      </c>
      <c r="J132" s="41" t="str">
        <f t="shared" si="35"/>
        <v>CHECK</v>
      </c>
      <c r="K132" s="41" t="str">
        <f t="shared" si="35"/>
        <v>CHECK</v>
      </c>
      <c r="L132" s="41" t="str">
        <f t="shared" si="35"/>
        <v>CHECK</v>
      </c>
      <c r="M132" s="41" t="str">
        <f t="shared" si="35"/>
        <v>CHECK</v>
      </c>
      <c r="N132" s="41" t="str">
        <f t="shared" si="35"/>
        <v>CHECK</v>
      </c>
      <c r="O132" s="41" t="str">
        <f t="shared" si="35"/>
        <v>CHECK</v>
      </c>
      <c r="P132" s="41" t="str">
        <f t="shared" si="35"/>
        <v>CHECK</v>
      </c>
      <c r="Q132" s="41" t="str">
        <f t="shared" si="35"/>
        <v>CHECK</v>
      </c>
      <c r="R132" s="41" t="str">
        <f t="shared" si="35"/>
        <v>CHECK</v>
      </c>
      <c r="S132" s="41" t="str">
        <f t="shared" si="35"/>
        <v>CHECK</v>
      </c>
      <c r="T132" s="41" t="str">
        <f t="shared" si="32"/>
        <v>CHECK</v>
      </c>
      <c r="U132" s="41"/>
      <c r="V132" s="41"/>
    </row>
    <row r="133" spans="1:22" x14ac:dyDescent="0.25">
      <c r="A133" s="11" t="s">
        <v>126</v>
      </c>
      <c r="B133" s="11" t="s">
        <v>1057</v>
      </c>
      <c r="C133" s="11" t="s">
        <v>489</v>
      </c>
      <c r="D133" s="11" t="s">
        <v>1059</v>
      </c>
      <c r="E133" s="41" t="str">
        <f t="shared" ref="E133:S133" si="36">IFERROR(((E27/E92)-1),"CHECK")</f>
        <v>CHECK</v>
      </c>
      <c r="F133" s="41" t="str">
        <f t="shared" si="36"/>
        <v>CHECK</v>
      </c>
      <c r="G133" s="41" t="str">
        <f t="shared" si="36"/>
        <v>CHECK</v>
      </c>
      <c r="H133" s="41" t="str">
        <f t="shared" si="36"/>
        <v>CHECK</v>
      </c>
      <c r="I133" s="41" t="str">
        <f t="shared" si="36"/>
        <v>CHECK</v>
      </c>
      <c r="J133" s="41" t="str">
        <f t="shared" si="36"/>
        <v>CHECK</v>
      </c>
      <c r="K133" s="41" t="str">
        <f t="shared" si="36"/>
        <v>CHECK</v>
      </c>
      <c r="L133" s="41" t="str">
        <f t="shared" si="36"/>
        <v>CHECK</v>
      </c>
      <c r="M133" s="41" t="str">
        <f t="shared" si="36"/>
        <v>CHECK</v>
      </c>
      <c r="N133" s="41" t="str">
        <f t="shared" si="36"/>
        <v>CHECK</v>
      </c>
      <c r="O133" s="41" t="str">
        <f t="shared" si="36"/>
        <v>CHECK</v>
      </c>
      <c r="P133" s="41" t="str">
        <f t="shared" si="36"/>
        <v>CHECK</v>
      </c>
      <c r="Q133" s="41" t="str">
        <f t="shared" si="36"/>
        <v>CHECK</v>
      </c>
      <c r="R133" s="41" t="str">
        <f t="shared" si="36"/>
        <v>CHECK</v>
      </c>
      <c r="S133" s="41" t="str">
        <f t="shared" si="36"/>
        <v>CHECK</v>
      </c>
      <c r="T133" s="41" t="str">
        <f t="shared" si="32"/>
        <v>CHECK</v>
      </c>
      <c r="U133" s="41"/>
      <c r="V133" s="41"/>
    </row>
    <row r="134" spans="1:22" x14ac:dyDescent="0.25">
      <c r="A134" s="11" t="s">
        <v>126</v>
      </c>
      <c r="B134" s="11" t="s">
        <v>1058</v>
      </c>
      <c r="C134" s="11" t="s">
        <v>489</v>
      </c>
      <c r="D134" s="11" t="s">
        <v>1059</v>
      </c>
      <c r="E134" s="41" t="str">
        <f t="shared" ref="E134:S134" si="37">IFERROR(((E28/E93)-1),"CHECK")</f>
        <v>CHECK</v>
      </c>
      <c r="F134" s="41" t="str">
        <f t="shared" si="37"/>
        <v>CHECK</v>
      </c>
      <c r="G134" s="41" t="str">
        <f t="shared" si="37"/>
        <v>CHECK</v>
      </c>
      <c r="H134" s="41" t="str">
        <f t="shared" si="37"/>
        <v>CHECK</v>
      </c>
      <c r="I134" s="41" t="str">
        <f t="shared" si="37"/>
        <v>CHECK</v>
      </c>
      <c r="J134" s="41" t="str">
        <f t="shared" si="37"/>
        <v>CHECK</v>
      </c>
      <c r="K134" s="41" t="str">
        <f t="shared" si="37"/>
        <v>CHECK</v>
      </c>
      <c r="L134" s="41" t="str">
        <f t="shared" si="37"/>
        <v>CHECK</v>
      </c>
      <c r="M134" s="41" t="str">
        <f t="shared" si="37"/>
        <v>CHECK</v>
      </c>
      <c r="N134" s="41" t="str">
        <f t="shared" si="37"/>
        <v>CHECK</v>
      </c>
      <c r="O134" s="41" t="str">
        <f t="shared" si="37"/>
        <v>CHECK</v>
      </c>
      <c r="P134" s="41" t="str">
        <f t="shared" si="37"/>
        <v>CHECK</v>
      </c>
      <c r="Q134" s="41" t="str">
        <f t="shared" si="37"/>
        <v>CHECK</v>
      </c>
      <c r="R134" s="41" t="str">
        <f t="shared" si="37"/>
        <v>CHECK</v>
      </c>
      <c r="S134" s="41" t="str">
        <f t="shared" si="37"/>
        <v>CHECK</v>
      </c>
      <c r="T134" s="41" t="str">
        <f t="shared" si="32"/>
        <v>CHECK</v>
      </c>
      <c r="U134" s="41"/>
      <c r="V134" s="41"/>
    </row>
    <row r="135" spans="1:22" x14ac:dyDescent="0.25">
      <c r="A135" s="11" t="s">
        <v>126</v>
      </c>
      <c r="B135" s="11" t="s">
        <v>1055</v>
      </c>
      <c r="C135" s="11" t="s">
        <v>490</v>
      </c>
      <c r="D135" s="11" t="s">
        <v>1060</v>
      </c>
      <c r="E135" s="41" t="str">
        <f t="shared" ref="E135:S135" si="38">IFERROR(((E29/E94)-1),"CHECK")</f>
        <v>CHECK</v>
      </c>
      <c r="F135" s="41" t="str">
        <f t="shared" si="38"/>
        <v>CHECK</v>
      </c>
      <c r="G135" s="41" t="str">
        <f t="shared" si="38"/>
        <v>CHECK</v>
      </c>
      <c r="H135" s="41" t="str">
        <f t="shared" si="38"/>
        <v>CHECK</v>
      </c>
      <c r="I135" s="41" t="str">
        <f t="shared" si="38"/>
        <v>CHECK</v>
      </c>
      <c r="J135" s="41" t="str">
        <f t="shared" si="38"/>
        <v>CHECK</v>
      </c>
      <c r="K135" s="41" t="str">
        <f t="shared" si="38"/>
        <v>CHECK</v>
      </c>
      <c r="L135" s="41" t="str">
        <f t="shared" si="38"/>
        <v>CHECK</v>
      </c>
      <c r="M135" s="41" t="str">
        <f t="shared" si="38"/>
        <v>CHECK</v>
      </c>
      <c r="N135" s="41" t="str">
        <f t="shared" si="38"/>
        <v>CHECK</v>
      </c>
      <c r="O135" s="41" t="str">
        <f t="shared" si="38"/>
        <v>CHECK</v>
      </c>
      <c r="P135" s="41" t="str">
        <f t="shared" si="38"/>
        <v>CHECK</v>
      </c>
      <c r="Q135" s="41">
        <f t="shared" si="38"/>
        <v>0</v>
      </c>
      <c r="R135" s="41">
        <f t="shared" si="38"/>
        <v>0</v>
      </c>
      <c r="S135" s="41">
        <f t="shared" si="38"/>
        <v>0</v>
      </c>
      <c r="T135" s="41">
        <f t="shared" si="32"/>
        <v>0</v>
      </c>
      <c r="U135" s="41"/>
      <c r="V135" s="41"/>
    </row>
    <row r="136" spans="1:22" x14ac:dyDescent="0.25">
      <c r="A136" s="11" t="s">
        <v>126</v>
      </c>
      <c r="B136" s="11" t="s">
        <v>1056</v>
      </c>
      <c r="C136" s="11" t="s">
        <v>490</v>
      </c>
      <c r="D136" s="11" t="s">
        <v>1060</v>
      </c>
      <c r="E136" s="41" t="str">
        <f t="shared" ref="E136:S136" si="39">IFERROR(((E30/E95)-1),"CHECK")</f>
        <v>CHECK</v>
      </c>
      <c r="F136" s="41" t="str">
        <f t="shared" si="39"/>
        <v>CHECK</v>
      </c>
      <c r="G136" s="41" t="str">
        <f t="shared" si="39"/>
        <v>CHECK</v>
      </c>
      <c r="H136" s="41" t="str">
        <f t="shared" si="39"/>
        <v>CHECK</v>
      </c>
      <c r="I136" s="41" t="str">
        <f t="shared" si="39"/>
        <v>CHECK</v>
      </c>
      <c r="J136" s="41" t="str">
        <f t="shared" si="39"/>
        <v>CHECK</v>
      </c>
      <c r="K136" s="41" t="str">
        <f t="shared" si="39"/>
        <v>CHECK</v>
      </c>
      <c r="L136" s="41" t="str">
        <f t="shared" si="39"/>
        <v>CHECK</v>
      </c>
      <c r="M136" s="41" t="str">
        <f t="shared" si="39"/>
        <v>CHECK</v>
      </c>
      <c r="N136" s="41" t="str">
        <f t="shared" si="39"/>
        <v>CHECK</v>
      </c>
      <c r="O136" s="41" t="str">
        <f t="shared" si="39"/>
        <v>CHECK</v>
      </c>
      <c r="P136" s="41" t="str">
        <f t="shared" si="39"/>
        <v>CHECK</v>
      </c>
      <c r="Q136" s="41" t="str">
        <f t="shared" si="39"/>
        <v>CHECK</v>
      </c>
      <c r="R136" s="41" t="str">
        <f t="shared" si="39"/>
        <v>CHECK</v>
      </c>
      <c r="S136" s="41" t="str">
        <f t="shared" si="39"/>
        <v>CHECK</v>
      </c>
      <c r="T136" s="41" t="str">
        <f t="shared" si="32"/>
        <v>CHECK</v>
      </c>
      <c r="U136" s="41"/>
      <c r="V136" s="41"/>
    </row>
    <row r="137" spans="1:22" x14ac:dyDescent="0.25">
      <c r="A137" s="11" t="s">
        <v>126</v>
      </c>
      <c r="B137" s="11" t="s">
        <v>1057</v>
      </c>
      <c r="C137" s="11" t="s">
        <v>490</v>
      </c>
      <c r="D137" s="11" t="s">
        <v>1060</v>
      </c>
      <c r="E137" s="41" t="str">
        <f t="shared" ref="E137:S137" si="40">IFERROR(((E31/E96)-1),"CHECK")</f>
        <v>CHECK</v>
      </c>
      <c r="F137" s="41" t="str">
        <f t="shared" si="40"/>
        <v>CHECK</v>
      </c>
      <c r="G137" s="41" t="str">
        <f t="shared" si="40"/>
        <v>CHECK</v>
      </c>
      <c r="H137" s="41" t="str">
        <f t="shared" si="40"/>
        <v>CHECK</v>
      </c>
      <c r="I137" s="41" t="str">
        <f t="shared" si="40"/>
        <v>CHECK</v>
      </c>
      <c r="J137" s="41" t="str">
        <f t="shared" si="40"/>
        <v>CHECK</v>
      </c>
      <c r="K137" s="41" t="str">
        <f t="shared" si="40"/>
        <v>CHECK</v>
      </c>
      <c r="L137" s="41" t="str">
        <f t="shared" si="40"/>
        <v>CHECK</v>
      </c>
      <c r="M137" s="41" t="str">
        <f t="shared" si="40"/>
        <v>CHECK</v>
      </c>
      <c r="N137" s="41" t="str">
        <f t="shared" si="40"/>
        <v>CHECK</v>
      </c>
      <c r="O137" s="41" t="str">
        <f t="shared" si="40"/>
        <v>CHECK</v>
      </c>
      <c r="P137" s="41" t="str">
        <f t="shared" si="40"/>
        <v>CHECK</v>
      </c>
      <c r="Q137" s="41" t="str">
        <f t="shared" si="40"/>
        <v>CHECK</v>
      </c>
      <c r="R137" s="41" t="str">
        <f t="shared" si="40"/>
        <v>CHECK</v>
      </c>
      <c r="S137" s="41" t="str">
        <f t="shared" si="40"/>
        <v>CHECK</v>
      </c>
      <c r="T137" s="41" t="str">
        <f t="shared" si="32"/>
        <v>CHECK</v>
      </c>
      <c r="U137" s="41"/>
      <c r="V137" s="41"/>
    </row>
    <row r="138" spans="1:22" x14ac:dyDescent="0.25">
      <c r="A138" s="11" t="s">
        <v>126</v>
      </c>
      <c r="B138" s="11" t="s">
        <v>1058</v>
      </c>
      <c r="C138" s="11" t="s">
        <v>490</v>
      </c>
      <c r="D138" s="11" t="s">
        <v>1060</v>
      </c>
      <c r="E138" s="41" t="str">
        <f t="shared" ref="E138:S138" si="41">IFERROR(((E32/E97)-1),"CHECK")</f>
        <v>CHECK</v>
      </c>
      <c r="F138" s="41" t="str">
        <f t="shared" si="41"/>
        <v>CHECK</v>
      </c>
      <c r="G138" s="41" t="str">
        <f t="shared" si="41"/>
        <v>CHECK</v>
      </c>
      <c r="H138" s="41" t="str">
        <f t="shared" si="41"/>
        <v>CHECK</v>
      </c>
      <c r="I138" s="41" t="str">
        <f t="shared" si="41"/>
        <v>CHECK</v>
      </c>
      <c r="J138" s="41" t="str">
        <f t="shared" si="41"/>
        <v>CHECK</v>
      </c>
      <c r="K138" s="41" t="str">
        <f t="shared" si="41"/>
        <v>CHECK</v>
      </c>
      <c r="L138" s="41" t="str">
        <f t="shared" si="41"/>
        <v>CHECK</v>
      </c>
      <c r="M138" s="41" t="str">
        <f t="shared" si="41"/>
        <v>CHECK</v>
      </c>
      <c r="N138" s="41" t="str">
        <f t="shared" si="41"/>
        <v>CHECK</v>
      </c>
      <c r="O138" s="41" t="str">
        <f t="shared" si="41"/>
        <v>CHECK</v>
      </c>
      <c r="P138" s="41" t="str">
        <f t="shared" si="41"/>
        <v>CHECK</v>
      </c>
      <c r="Q138" s="41" t="str">
        <f t="shared" si="41"/>
        <v>CHECK</v>
      </c>
      <c r="R138" s="41" t="str">
        <f t="shared" si="41"/>
        <v>CHECK</v>
      </c>
      <c r="S138" s="41" t="str">
        <f t="shared" si="41"/>
        <v>CHECK</v>
      </c>
      <c r="T138" s="41" t="str">
        <f t="shared" si="32"/>
        <v>CHECK</v>
      </c>
      <c r="U138" s="41"/>
      <c r="V138" s="41"/>
    </row>
    <row r="140" spans="1:22" x14ac:dyDescent="0.25">
      <c r="A140" s="8"/>
      <c r="B140" s="9" t="s">
        <v>619</v>
      </c>
      <c r="C140" s="8"/>
      <c r="D140" s="8"/>
      <c r="E140" s="8"/>
      <c r="F140" s="8"/>
      <c r="G140" s="8"/>
      <c r="H140" s="8"/>
      <c r="I140" s="8"/>
      <c r="J140" s="8"/>
      <c r="K140" s="8"/>
      <c r="L140" s="8"/>
      <c r="M140" s="8"/>
      <c r="N140" s="8"/>
      <c r="O140" s="8"/>
      <c r="P140" s="8"/>
      <c r="Q140" s="8"/>
      <c r="R140" s="8"/>
      <c r="S140" s="8"/>
      <c r="T140" s="8"/>
      <c r="U140" s="8"/>
      <c r="V140" s="8"/>
    </row>
    <row r="142" spans="1:22" x14ac:dyDescent="0.25">
      <c r="A142" s="11" t="s">
        <v>126</v>
      </c>
      <c r="B142" s="11" t="s">
        <v>1053</v>
      </c>
      <c r="C142" s="11" t="s">
        <v>836</v>
      </c>
      <c r="D142" s="11" t="s">
        <v>884</v>
      </c>
      <c r="E142" s="41">
        <f t="shared" ref="E142:E155" si="42">IFERROR(((E36/E101)-1),"CHECK")</f>
        <v>0</v>
      </c>
      <c r="F142" s="41">
        <f t="shared" ref="F142:S142" si="43">IFERROR(((F36/F101)-1),"CHECK")</f>
        <v>0</v>
      </c>
      <c r="G142" s="41">
        <f t="shared" si="43"/>
        <v>0</v>
      </c>
      <c r="H142" s="41">
        <f t="shared" si="43"/>
        <v>0</v>
      </c>
      <c r="I142" s="41">
        <f t="shared" si="43"/>
        <v>0</v>
      </c>
      <c r="J142" s="41">
        <f t="shared" si="43"/>
        <v>0</v>
      </c>
      <c r="K142" s="41">
        <f t="shared" si="43"/>
        <v>0</v>
      </c>
      <c r="L142" s="41">
        <f t="shared" si="43"/>
        <v>0</v>
      </c>
      <c r="M142" s="41">
        <f t="shared" si="43"/>
        <v>0</v>
      </c>
      <c r="N142" s="41">
        <f t="shared" si="43"/>
        <v>0</v>
      </c>
      <c r="O142" s="41">
        <f t="shared" si="43"/>
        <v>0</v>
      </c>
      <c r="P142" s="41">
        <f t="shared" si="43"/>
        <v>0</v>
      </c>
      <c r="Q142" s="41">
        <f t="shared" si="43"/>
        <v>0</v>
      </c>
      <c r="R142" s="41">
        <f t="shared" si="43"/>
        <v>0</v>
      </c>
      <c r="S142" s="41">
        <f t="shared" si="43"/>
        <v>0</v>
      </c>
      <c r="T142" s="41">
        <f t="shared" ref="T142:T155" si="44">IFERROR(((T36/T101)-1),"CHECK")</f>
        <v>0</v>
      </c>
      <c r="U142" s="41"/>
      <c r="V142" s="41"/>
    </row>
    <row r="143" spans="1:22" x14ac:dyDescent="0.25">
      <c r="A143" s="11" t="s">
        <v>126</v>
      </c>
      <c r="B143" s="11" t="s">
        <v>1054</v>
      </c>
      <c r="C143" s="11" t="s">
        <v>836</v>
      </c>
      <c r="D143" s="11" t="s">
        <v>884</v>
      </c>
      <c r="E143" s="41">
        <f t="shared" si="42"/>
        <v>0</v>
      </c>
      <c r="F143" s="41">
        <f t="shared" ref="F143:S143" si="45">IFERROR(((F37/F102)-1),"CHECK")</f>
        <v>0</v>
      </c>
      <c r="G143" s="41">
        <f t="shared" si="45"/>
        <v>0</v>
      </c>
      <c r="H143" s="41">
        <f t="shared" si="45"/>
        <v>0</v>
      </c>
      <c r="I143" s="41">
        <f t="shared" si="45"/>
        <v>0</v>
      </c>
      <c r="J143" s="41">
        <f t="shared" si="45"/>
        <v>0</v>
      </c>
      <c r="K143" s="41">
        <f t="shared" si="45"/>
        <v>0</v>
      </c>
      <c r="L143" s="41">
        <f t="shared" si="45"/>
        <v>0</v>
      </c>
      <c r="M143" s="41">
        <f t="shared" si="45"/>
        <v>0</v>
      </c>
      <c r="N143" s="41" t="str">
        <f t="shared" si="45"/>
        <v>CHECK</v>
      </c>
      <c r="O143" s="41" t="str">
        <f t="shared" si="45"/>
        <v>CHECK</v>
      </c>
      <c r="P143" s="41" t="str">
        <f t="shared" si="45"/>
        <v>CHECK</v>
      </c>
      <c r="Q143" s="41" t="str">
        <f t="shared" si="45"/>
        <v>CHECK</v>
      </c>
      <c r="R143" s="41" t="str">
        <f t="shared" si="45"/>
        <v>CHECK</v>
      </c>
      <c r="S143" s="41" t="str">
        <f t="shared" si="45"/>
        <v>CHECK</v>
      </c>
      <c r="T143" s="41" t="str">
        <f t="shared" si="44"/>
        <v>CHECK</v>
      </c>
      <c r="U143" s="41"/>
      <c r="V143" s="41"/>
    </row>
    <row r="144" spans="1:22" x14ac:dyDescent="0.25">
      <c r="A144" s="11" t="s">
        <v>126</v>
      </c>
      <c r="B144" s="11" t="s">
        <v>835</v>
      </c>
      <c r="C144" s="11" t="s">
        <v>836</v>
      </c>
      <c r="D144" s="11" t="s">
        <v>884</v>
      </c>
      <c r="E144" s="41">
        <f t="shared" si="42"/>
        <v>0</v>
      </c>
      <c r="F144" s="41">
        <f t="shared" ref="F144:S144" si="46">IFERROR(((F38/F103)-1),"CHECK")</f>
        <v>0</v>
      </c>
      <c r="G144" s="41">
        <f t="shared" si="46"/>
        <v>0</v>
      </c>
      <c r="H144" s="41">
        <f t="shared" si="46"/>
        <v>0</v>
      </c>
      <c r="I144" s="41">
        <f t="shared" si="46"/>
        <v>0</v>
      </c>
      <c r="J144" s="41">
        <f t="shared" si="46"/>
        <v>0</v>
      </c>
      <c r="K144" s="41">
        <f t="shared" si="46"/>
        <v>0</v>
      </c>
      <c r="L144" s="41">
        <f t="shared" si="46"/>
        <v>0</v>
      </c>
      <c r="M144" s="41">
        <f t="shared" si="46"/>
        <v>0</v>
      </c>
      <c r="N144" s="41">
        <f t="shared" si="46"/>
        <v>0</v>
      </c>
      <c r="O144" s="41">
        <f t="shared" si="46"/>
        <v>0</v>
      </c>
      <c r="P144" s="41">
        <f t="shared" si="46"/>
        <v>0</v>
      </c>
      <c r="Q144" s="41">
        <f t="shared" si="46"/>
        <v>0</v>
      </c>
      <c r="R144" s="41">
        <f t="shared" si="46"/>
        <v>0</v>
      </c>
      <c r="S144" s="41">
        <f t="shared" si="46"/>
        <v>0</v>
      </c>
      <c r="T144" s="41">
        <f t="shared" si="44"/>
        <v>0</v>
      </c>
      <c r="U144" s="41"/>
      <c r="V144" s="41"/>
    </row>
    <row r="145" spans="1:22" x14ac:dyDescent="0.25">
      <c r="A145" s="11" t="s">
        <v>126</v>
      </c>
      <c r="B145" s="11" t="s">
        <v>1055</v>
      </c>
      <c r="C145" s="11" t="s">
        <v>489</v>
      </c>
      <c r="D145" s="11" t="s">
        <v>1004</v>
      </c>
      <c r="E145" s="41">
        <f t="shared" si="42"/>
        <v>0</v>
      </c>
      <c r="F145" s="41">
        <f t="shared" ref="F145:S145" si="47">IFERROR(((F39/F104)-1),"CHECK")</f>
        <v>0</v>
      </c>
      <c r="G145" s="41">
        <f t="shared" si="47"/>
        <v>0</v>
      </c>
      <c r="H145" s="41">
        <f t="shared" si="47"/>
        <v>0</v>
      </c>
      <c r="I145" s="41">
        <f t="shared" si="47"/>
        <v>0</v>
      </c>
      <c r="J145" s="41">
        <f t="shared" si="47"/>
        <v>0</v>
      </c>
      <c r="K145" s="41">
        <f t="shared" si="47"/>
        <v>0</v>
      </c>
      <c r="L145" s="41">
        <f t="shared" si="47"/>
        <v>0</v>
      </c>
      <c r="M145" s="41">
        <f t="shared" si="47"/>
        <v>0</v>
      </c>
      <c r="N145" s="41">
        <f t="shared" si="47"/>
        <v>0</v>
      </c>
      <c r="O145" s="41">
        <f t="shared" si="47"/>
        <v>0</v>
      </c>
      <c r="P145" s="41">
        <f t="shared" si="47"/>
        <v>0</v>
      </c>
      <c r="Q145" s="41">
        <f t="shared" si="47"/>
        <v>0</v>
      </c>
      <c r="R145" s="41">
        <f t="shared" si="47"/>
        <v>0</v>
      </c>
      <c r="S145" s="41">
        <f t="shared" si="47"/>
        <v>0</v>
      </c>
      <c r="T145" s="41">
        <f t="shared" si="44"/>
        <v>0</v>
      </c>
      <c r="U145" s="41"/>
      <c r="V145" s="41"/>
    </row>
    <row r="146" spans="1:22" x14ac:dyDescent="0.25">
      <c r="A146" s="11" t="s">
        <v>126</v>
      </c>
      <c r="B146" s="11" t="s">
        <v>1056</v>
      </c>
      <c r="C146" s="11" t="s">
        <v>489</v>
      </c>
      <c r="D146" s="11" t="s">
        <v>1004</v>
      </c>
      <c r="E146" s="41">
        <f t="shared" si="42"/>
        <v>0</v>
      </c>
      <c r="F146" s="41">
        <f t="shared" ref="F146:S146" si="48">IFERROR(((F40/F105)-1),"CHECK")</f>
        <v>0</v>
      </c>
      <c r="G146" s="41">
        <f t="shared" si="48"/>
        <v>0</v>
      </c>
      <c r="H146" s="41">
        <f t="shared" si="48"/>
        <v>0</v>
      </c>
      <c r="I146" s="41">
        <f t="shared" si="48"/>
        <v>0</v>
      </c>
      <c r="J146" s="41">
        <f t="shared" si="48"/>
        <v>0</v>
      </c>
      <c r="K146" s="41">
        <f t="shared" si="48"/>
        <v>0</v>
      </c>
      <c r="L146" s="41">
        <f t="shared" si="48"/>
        <v>0</v>
      </c>
      <c r="M146" s="41">
        <f t="shared" si="48"/>
        <v>0</v>
      </c>
      <c r="N146" s="41" t="str">
        <f t="shared" si="48"/>
        <v>CHECK</v>
      </c>
      <c r="O146" s="41" t="str">
        <f t="shared" si="48"/>
        <v>CHECK</v>
      </c>
      <c r="P146" s="41" t="str">
        <f t="shared" si="48"/>
        <v>CHECK</v>
      </c>
      <c r="Q146" s="41" t="str">
        <f t="shared" si="48"/>
        <v>CHECK</v>
      </c>
      <c r="R146" s="41" t="str">
        <f t="shared" si="48"/>
        <v>CHECK</v>
      </c>
      <c r="S146" s="41" t="str">
        <f t="shared" si="48"/>
        <v>CHECK</v>
      </c>
      <c r="T146" s="41" t="str">
        <f t="shared" si="44"/>
        <v>CHECK</v>
      </c>
      <c r="U146" s="41"/>
      <c r="V146" s="41"/>
    </row>
    <row r="147" spans="1:22" x14ac:dyDescent="0.25">
      <c r="A147" s="11" t="s">
        <v>126</v>
      </c>
      <c r="B147" s="11" t="s">
        <v>1057</v>
      </c>
      <c r="C147" s="11" t="s">
        <v>489</v>
      </c>
      <c r="D147" s="11" t="s">
        <v>1004</v>
      </c>
      <c r="E147" s="41">
        <f t="shared" si="42"/>
        <v>0</v>
      </c>
      <c r="F147" s="41">
        <f t="shared" ref="F147:S147" si="49">IFERROR(((F41/F106)-1),"CHECK")</f>
        <v>0</v>
      </c>
      <c r="G147" s="41">
        <f t="shared" si="49"/>
        <v>0</v>
      </c>
      <c r="H147" s="41">
        <f t="shared" si="49"/>
        <v>0</v>
      </c>
      <c r="I147" s="41">
        <f t="shared" si="49"/>
        <v>0</v>
      </c>
      <c r="J147" s="41">
        <f t="shared" si="49"/>
        <v>0</v>
      </c>
      <c r="K147" s="41">
        <f t="shared" si="49"/>
        <v>0</v>
      </c>
      <c r="L147" s="41">
        <f t="shared" si="49"/>
        <v>0</v>
      </c>
      <c r="M147" s="41">
        <f t="shared" si="49"/>
        <v>0</v>
      </c>
      <c r="N147" s="41" t="str">
        <f t="shared" si="49"/>
        <v>CHECK</v>
      </c>
      <c r="O147" s="41" t="str">
        <f t="shared" si="49"/>
        <v>CHECK</v>
      </c>
      <c r="P147" s="41" t="str">
        <f t="shared" si="49"/>
        <v>CHECK</v>
      </c>
      <c r="Q147" s="41" t="str">
        <f t="shared" si="49"/>
        <v>CHECK</v>
      </c>
      <c r="R147" s="41" t="str">
        <f t="shared" si="49"/>
        <v>CHECK</v>
      </c>
      <c r="S147" s="41" t="str">
        <f t="shared" si="49"/>
        <v>CHECK</v>
      </c>
      <c r="T147" s="41" t="str">
        <f t="shared" si="44"/>
        <v>CHECK</v>
      </c>
      <c r="U147" s="41"/>
      <c r="V147" s="41"/>
    </row>
    <row r="148" spans="1:22" x14ac:dyDescent="0.25">
      <c r="A148" s="11" t="s">
        <v>126</v>
      </c>
      <c r="B148" s="11" t="s">
        <v>1058</v>
      </c>
      <c r="C148" s="11" t="s">
        <v>489</v>
      </c>
      <c r="D148" s="11" t="s">
        <v>1004</v>
      </c>
      <c r="E148" s="41" t="str">
        <f t="shared" si="42"/>
        <v>CHECK</v>
      </c>
      <c r="F148" s="41" t="str">
        <f t="shared" ref="F148:S148" si="50">IFERROR(((F42/F107)-1),"CHECK")</f>
        <v>CHECK</v>
      </c>
      <c r="G148" s="41" t="str">
        <f t="shared" si="50"/>
        <v>CHECK</v>
      </c>
      <c r="H148" s="41" t="str">
        <f t="shared" si="50"/>
        <v>CHECK</v>
      </c>
      <c r="I148" s="41" t="str">
        <f t="shared" si="50"/>
        <v>CHECK</v>
      </c>
      <c r="J148" s="41" t="str">
        <f t="shared" si="50"/>
        <v>CHECK</v>
      </c>
      <c r="K148" s="41" t="str">
        <f t="shared" si="50"/>
        <v>CHECK</v>
      </c>
      <c r="L148" s="41" t="str">
        <f t="shared" si="50"/>
        <v>CHECK</v>
      </c>
      <c r="M148" s="41" t="str">
        <f t="shared" si="50"/>
        <v>CHECK</v>
      </c>
      <c r="N148" s="41" t="str">
        <f t="shared" si="50"/>
        <v>CHECK</v>
      </c>
      <c r="O148" s="41" t="str">
        <f t="shared" si="50"/>
        <v>CHECK</v>
      </c>
      <c r="P148" s="41" t="str">
        <f t="shared" si="50"/>
        <v>CHECK</v>
      </c>
      <c r="Q148" s="41" t="str">
        <f t="shared" si="50"/>
        <v>CHECK</v>
      </c>
      <c r="R148" s="41" t="str">
        <f t="shared" si="50"/>
        <v>CHECK</v>
      </c>
      <c r="S148" s="41" t="str">
        <f t="shared" si="50"/>
        <v>CHECK</v>
      </c>
      <c r="T148" s="41" t="str">
        <f t="shared" si="44"/>
        <v>CHECK</v>
      </c>
      <c r="U148" s="41"/>
      <c r="V148" s="41"/>
    </row>
    <row r="149" spans="1:22" x14ac:dyDescent="0.25">
      <c r="A149" s="11" t="s">
        <v>126</v>
      </c>
      <c r="B149" s="11" t="s">
        <v>1061</v>
      </c>
      <c r="C149" s="11" t="s">
        <v>489</v>
      </c>
      <c r="D149" s="11" t="s">
        <v>1004</v>
      </c>
      <c r="E149" s="41">
        <f t="shared" si="42"/>
        <v>0</v>
      </c>
      <c r="F149" s="41">
        <f t="shared" ref="F149:S149" si="51">IFERROR(((F43/F108)-1),"CHECK")</f>
        <v>0</v>
      </c>
      <c r="G149" s="41">
        <f t="shared" si="51"/>
        <v>0</v>
      </c>
      <c r="H149" s="41">
        <f t="shared" si="51"/>
        <v>0</v>
      </c>
      <c r="I149" s="41">
        <f t="shared" si="51"/>
        <v>0</v>
      </c>
      <c r="J149" s="41">
        <f t="shared" si="51"/>
        <v>0</v>
      </c>
      <c r="K149" s="41">
        <f t="shared" si="51"/>
        <v>0</v>
      </c>
      <c r="L149" s="41">
        <f t="shared" si="51"/>
        <v>0</v>
      </c>
      <c r="M149" s="41">
        <f t="shared" si="51"/>
        <v>0</v>
      </c>
      <c r="N149" s="41">
        <f t="shared" si="51"/>
        <v>0</v>
      </c>
      <c r="O149" s="41">
        <f t="shared" si="51"/>
        <v>0</v>
      </c>
      <c r="P149" s="41">
        <f t="shared" si="51"/>
        <v>0</v>
      </c>
      <c r="Q149" s="41">
        <f t="shared" si="51"/>
        <v>0</v>
      </c>
      <c r="R149" s="41">
        <f t="shared" si="51"/>
        <v>0</v>
      </c>
      <c r="S149" s="41">
        <f t="shared" si="51"/>
        <v>0</v>
      </c>
      <c r="T149" s="41">
        <f t="shared" si="44"/>
        <v>0</v>
      </c>
      <c r="U149" s="41"/>
      <c r="V149" s="41"/>
    </row>
    <row r="150" spans="1:22" x14ac:dyDescent="0.25">
      <c r="A150" s="11" t="s">
        <v>126</v>
      </c>
      <c r="B150" s="11" t="s">
        <v>1055</v>
      </c>
      <c r="C150" s="11" t="s">
        <v>490</v>
      </c>
      <c r="D150" s="11" t="s">
        <v>1005</v>
      </c>
      <c r="E150" s="41">
        <f t="shared" si="42"/>
        <v>0</v>
      </c>
      <c r="F150" s="41">
        <f t="shared" ref="F150:S150" si="52">IFERROR(((F44/F109)-1),"CHECK")</f>
        <v>0</v>
      </c>
      <c r="G150" s="41">
        <f t="shared" si="52"/>
        <v>0</v>
      </c>
      <c r="H150" s="41">
        <f t="shared" si="52"/>
        <v>0</v>
      </c>
      <c r="I150" s="41">
        <f t="shared" si="52"/>
        <v>0</v>
      </c>
      <c r="J150" s="41">
        <f t="shared" si="52"/>
        <v>0</v>
      </c>
      <c r="K150" s="41">
        <f t="shared" si="52"/>
        <v>0</v>
      </c>
      <c r="L150" s="41">
        <f t="shared" si="52"/>
        <v>0</v>
      </c>
      <c r="M150" s="41">
        <f t="shared" si="52"/>
        <v>0</v>
      </c>
      <c r="N150" s="41">
        <f t="shared" si="52"/>
        <v>0</v>
      </c>
      <c r="O150" s="41">
        <f t="shared" si="52"/>
        <v>0</v>
      </c>
      <c r="P150" s="41">
        <f t="shared" si="52"/>
        <v>0</v>
      </c>
      <c r="Q150" s="41">
        <f t="shared" si="52"/>
        <v>0</v>
      </c>
      <c r="R150" s="41">
        <f t="shared" si="52"/>
        <v>0</v>
      </c>
      <c r="S150" s="41">
        <f t="shared" si="52"/>
        <v>0</v>
      </c>
      <c r="T150" s="41">
        <f t="shared" si="44"/>
        <v>0</v>
      </c>
      <c r="U150" s="41"/>
      <c r="V150" s="41"/>
    </row>
    <row r="151" spans="1:22" x14ac:dyDescent="0.25">
      <c r="A151" s="11" t="s">
        <v>126</v>
      </c>
      <c r="B151" s="11" t="s">
        <v>1056</v>
      </c>
      <c r="C151" s="11" t="s">
        <v>490</v>
      </c>
      <c r="D151" s="11" t="s">
        <v>1005</v>
      </c>
      <c r="E151" s="41">
        <f t="shared" si="42"/>
        <v>0</v>
      </c>
      <c r="F151" s="41">
        <f t="shared" ref="F151:S151" si="53">IFERROR(((F45/F110)-1),"CHECK")</f>
        <v>0</v>
      </c>
      <c r="G151" s="41">
        <f t="shared" si="53"/>
        <v>0</v>
      </c>
      <c r="H151" s="41">
        <f t="shared" si="53"/>
        <v>0</v>
      </c>
      <c r="I151" s="41">
        <f t="shared" si="53"/>
        <v>0</v>
      </c>
      <c r="J151" s="41">
        <f t="shared" si="53"/>
        <v>0</v>
      </c>
      <c r="K151" s="41">
        <f t="shared" si="53"/>
        <v>0</v>
      </c>
      <c r="L151" s="41">
        <f t="shared" si="53"/>
        <v>0</v>
      </c>
      <c r="M151" s="41">
        <f t="shared" si="53"/>
        <v>0</v>
      </c>
      <c r="N151" s="41" t="str">
        <f t="shared" si="53"/>
        <v>CHECK</v>
      </c>
      <c r="O151" s="41" t="str">
        <f t="shared" si="53"/>
        <v>CHECK</v>
      </c>
      <c r="P151" s="41" t="str">
        <f t="shared" si="53"/>
        <v>CHECK</v>
      </c>
      <c r="Q151" s="41" t="str">
        <f t="shared" si="53"/>
        <v>CHECK</v>
      </c>
      <c r="R151" s="41" t="str">
        <f t="shared" si="53"/>
        <v>CHECK</v>
      </c>
      <c r="S151" s="41" t="str">
        <f t="shared" si="53"/>
        <v>CHECK</v>
      </c>
      <c r="T151" s="41" t="str">
        <f t="shared" si="44"/>
        <v>CHECK</v>
      </c>
      <c r="U151" s="41"/>
      <c r="V151" s="41"/>
    </row>
    <row r="152" spans="1:22" x14ac:dyDescent="0.25">
      <c r="A152" s="11" t="s">
        <v>126</v>
      </c>
      <c r="B152" s="11" t="s">
        <v>1057</v>
      </c>
      <c r="C152" s="11" t="s">
        <v>490</v>
      </c>
      <c r="D152" s="11" t="s">
        <v>1005</v>
      </c>
      <c r="E152" s="41">
        <f t="shared" si="42"/>
        <v>0</v>
      </c>
      <c r="F152" s="41">
        <f t="shared" ref="F152:S152" si="54">IFERROR(((F46/F111)-1),"CHECK")</f>
        <v>0</v>
      </c>
      <c r="G152" s="41">
        <f t="shared" si="54"/>
        <v>0</v>
      </c>
      <c r="H152" s="41">
        <f t="shared" si="54"/>
        <v>0</v>
      </c>
      <c r="I152" s="41">
        <f t="shared" si="54"/>
        <v>0</v>
      </c>
      <c r="J152" s="41">
        <f t="shared" si="54"/>
        <v>0</v>
      </c>
      <c r="K152" s="41">
        <f t="shared" si="54"/>
        <v>0</v>
      </c>
      <c r="L152" s="41">
        <f t="shared" si="54"/>
        <v>0</v>
      </c>
      <c r="M152" s="41">
        <f t="shared" si="54"/>
        <v>0</v>
      </c>
      <c r="N152" s="41" t="str">
        <f t="shared" si="54"/>
        <v>CHECK</v>
      </c>
      <c r="O152" s="41" t="str">
        <f t="shared" si="54"/>
        <v>CHECK</v>
      </c>
      <c r="P152" s="41" t="str">
        <f t="shared" si="54"/>
        <v>CHECK</v>
      </c>
      <c r="Q152" s="41" t="str">
        <f t="shared" si="54"/>
        <v>CHECK</v>
      </c>
      <c r="R152" s="41" t="str">
        <f t="shared" si="54"/>
        <v>CHECK</v>
      </c>
      <c r="S152" s="41" t="str">
        <f t="shared" si="54"/>
        <v>CHECK</v>
      </c>
      <c r="T152" s="41" t="str">
        <f t="shared" si="44"/>
        <v>CHECK</v>
      </c>
      <c r="U152" s="41"/>
      <c r="V152" s="41"/>
    </row>
    <row r="153" spans="1:22" x14ac:dyDescent="0.25">
      <c r="A153" s="11" t="s">
        <v>126</v>
      </c>
      <c r="B153" s="11" t="s">
        <v>1058</v>
      </c>
      <c r="C153" s="11" t="s">
        <v>490</v>
      </c>
      <c r="D153" s="11" t="s">
        <v>1005</v>
      </c>
      <c r="E153" s="41" t="str">
        <f t="shared" si="42"/>
        <v>CHECK</v>
      </c>
      <c r="F153" s="41" t="str">
        <f t="shared" ref="F153:S153" si="55">IFERROR(((F47/F112)-1),"CHECK")</f>
        <v>CHECK</v>
      </c>
      <c r="G153" s="41" t="str">
        <f t="shared" si="55"/>
        <v>CHECK</v>
      </c>
      <c r="H153" s="41" t="str">
        <f t="shared" si="55"/>
        <v>CHECK</v>
      </c>
      <c r="I153" s="41" t="str">
        <f t="shared" si="55"/>
        <v>CHECK</v>
      </c>
      <c r="J153" s="41" t="str">
        <f t="shared" si="55"/>
        <v>CHECK</v>
      </c>
      <c r="K153" s="41" t="str">
        <f t="shared" si="55"/>
        <v>CHECK</v>
      </c>
      <c r="L153" s="41" t="str">
        <f t="shared" si="55"/>
        <v>CHECK</v>
      </c>
      <c r="M153" s="41" t="str">
        <f t="shared" si="55"/>
        <v>CHECK</v>
      </c>
      <c r="N153" s="41" t="str">
        <f t="shared" si="55"/>
        <v>CHECK</v>
      </c>
      <c r="O153" s="41" t="str">
        <f t="shared" si="55"/>
        <v>CHECK</v>
      </c>
      <c r="P153" s="41" t="str">
        <f t="shared" si="55"/>
        <v>CHECK</v>
      </c>
      <c r="Q153" s="41" t="str">
        <f t="shared" si="55"/>
        <v>CHECK</v>
      </c>
      <c r="R153" s="41" t="str">
        <f t="shared" si="55"/>
        <v>CHECK</v>
      </c>
      <c r="S153" s="41" t="str">
        <f t="shared" si="55"/>
        <v>CHECK</v>
      </c>
      <c r="T153" s="41" t="str">
        <f t="shared" si="44"/>
        <v>CHECK</v>
      </c>
      <c r="U153" s="41"/>
      <c r="V153" s="41"/>
    </row>
    <row r="154" spans="1:22" x14ac:dyDescent="0.25">
      <c r="A154" s="11" t="s">
        <v>126</v>
      </c>
      <c r="B154" s="11" t="s">
        <v>1062</v>
      </c>
      <c r="C154" s="11" t="s">
        <v>490</v>
      </c>
      <c r="D154" s="11" t="s">
        <v>1005</v>
      </c>
      <c r="E154" s="41">
        <f t="shared" si="42"/>
        <v>0</v>
      </c>
      <c r="F154" s="41">
        <f t="shared" ref="F154:S154" si="56">IFERROR(((F48/F113)-1),"CHECK")</f>
        <v>0</v>
      </c>
      <c r="G154" s="41">
        <f t="shared" si="56"/>
        <v>0</v>
      </c>
      <c r="H154" s="41">
        <f t="shared" si="56"/>
        <v>0</v>
      </c>
      <c r="I154" s="41">
        <f t="shared" si="56"/>
        <v>0</v>
      </c>
      <c r="J154" s="41">
        <f t="shared" si="56"/>
        <v>0</v>
      </c>
      <c r="K154" s="41">
        <f t="shared" si="56"/>
        <v>0</v>
      </c>
      <c r="L154" s="41">
        <f t="shared" si="56"/>
        <v>0</v>
      </c>
      <c r="M154" s="41">
        <f t="shared" si="56"/>
        <v>0</v>
      </c>
      <c r="N154" s="41">
        <f t="shared" si="56"/>
        <v>0</v>
      </c>
      <c r="O154" s="41">
        <f t="shared" si="56"/>
        <v>0</v>
      </c>
      <c r="P154" s="41">
        <f t="shared" si="56"/>
        <v>0</v>
      </c>
      <c r="Q154" s="41">
        <f t="shared" si="56"/>
        <v>0</v>
      </c>
      <c r="R154" s="41">
        <f t="shared" si="56"/>
        <v>0</v>
      </c>
      <c r="S154" s="41">
        <f t="shared" si="56"/>
        <v>0</v>
      </c>
      <c r="T154" s="41">
        <f t="shared" si="44"/>
        <v>0</v>
      </c>
      <c r="U154" s="41"/>
      <c r="V154" s="41"/>
    </row>
    <row r="155" spans="1:22" x14ac:dyDescent="0.25">
      <c r="A155" s="11" t="s">
        <v>126</v>
      </c>
      <c r="B155" s="11" t="s">
        <v>882</v>
      </c>
      <c r="C155" s="11" t="s">
        <v>836</v>
      </c>
      <c r="D155" s="11" t="s">
        <v>955</v>
      </c>
      <c r="E155" s="41">
        <f t="shared" si="42"/>
        <v>0</v>
      </c>
      <c r="F155" s="41">
        <f t="shared" ref="F155:S155" si="57">IFERROR(((F49/F114)-1),"CHECK")</f>
        <v>0</v>
      </c>
      <c r="G155" s="41">
        <f t="shared" si="57"/>
        <v>0</v>
      </c>
      <c r="H155" s="41">
        <f t="shared" si="57"/>
        <v>0</v>
      </c>
      <c r="I155" s="41">
        <f t="shared" si="57"/>
        <v>0</v>
      </c>
      <c r="J155" s="41">
        <f t="shared" si="57"/>
        <v>0</v>
      </c>
      <c r="K155" s="41">
        <f t="shared" si="57"/>
        <v>0</v>
      </c>
      <c r="L155" s="41">
        <f t="shared" si="57"/>
        <v>0</v>
      </c>
      <c r="M155" s="41">
        <f t="shared" si="57"/>
        <v>0</v>
      </c>
      <c r="N155" s="41">
        <f t="shared" si="57"/>
        <v>0</v>
      </c>
      <c r="O155" s="41">
        <f t="shared" si="57"/>
        <v>0</v>
      </c>
      <c r="P155" s="41">
        <f t="shared" si="57"/>
        <v>0</v>
      </c>
      <c r="Q155" s="41">
        <f t="shared" si="57"/>
        <v>0</v>
      </c>
      <c r="R155" s="41">
        <f t="shared" si="57"/>
        <v>0</v>
      </c>
      <c r="S155" s="41">
        <f t="shared" si="57"/>
        <v>0</v>
      </c>
      <c r="T155" s="41">
        <f t="shared" si="44"/>
        <v>0</v>
      </c>
      <c r="U155" s="41"/>
      <c r="V155" s="41"/>
    </row>
  </sheetData>
  <mergeCells count="2">
    <mergeCell ref="C1:J1"/>
    <mergeCell ref="C2:J2"/>
  </mergeCells>
  <conditionalFormatting sqref="K2">
    <cfRule type="expression" dxfId="17" priority="2">
      <formula>(UPPER(LEFT(SUBSTITUTE($Z2,"#",""),5))="FIXCH")</formula>
    </cfRule>
    <cfRule type="expression" dxfId="16" priority="3">
      <formula>(UPPER(SUBSTITUTE($Z2,"#",""))="OK")</formula>
    </cfRule>
  </conditionalFormatting>
  <conditionalFormatting sqref="E120:S125 E129:S138 E142:S155">
    <cfRule type="colorScale" priority="4">
      <colorScale>
        <cfvo type="min"/>
        <cfvo type="num" val="0"/>
        <cfvo type="max"/>
        <color theme="3" tint="0.59999389629810485"/>
        <color theme="0"/>
        <color rgb="FFEE9CA4"/>
      </colorScale>
    </cfRule>
  </conditionalFormatting>
  <conditionalFormatting sqref="T120:V125 T129:V138 T142:V15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E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E00-000066000000}">
          <x14:colorSeries rgb="FF376092"/>
          <x14:colorNegative rgb="FFD00000"/>
          <x14:colorAxis rgb="FF000000"/>
          <x14:colorMarkers rgb="FFD00000"/>
          <x14:colorFirst rgb="FFD00000"/>
          <x14:colorLast rgb="FFD00000"/>
          <x14:colorHigh rgb="FFD00000"/>
          <x14:colorLow rgb="FFD00000"/>
          <x14:sparklines>
            <x14:sparkline>
              <xm:f>'2C3 Aluminium Production'!E101:T101</xm:f>
              <xm:sqref>W101</xm:sqref>
            </x14:sparkline>
            <x14:sparkline>
              <xm:f>'2C3 Aluminium Production'!E102:T102</xm:f>
              <xm:sqref>W102</xm:sqref>
            </x14:sparkline>
            <x14:sparkline>
              <xm:f>'2C3 Aluminium Production'!E103:T103</xm:f>
              <xm:sqref>W103</xm:sqref>
            </x14:sparkline>
            <x14:sparkline>
              <xm:f>'2C3 Aluminium Production'!E104:T104</xm:f>
              <xm:sqref>W104</xm:sqref>
            </x14:sparkline>
            <x14:sparkline>
              <xm:f>'2C3 Aluminium Production'!E105:T105</xm:f>
              <xm:sqref>W105</xm:sqref>
            </x14:sparkline>
            <x14:sparkline>
              <xm:f>'2C3 Aluminium Production'!E106:T106</xm:f>
              <xm:sqref>W106</xm:sqref>
            </x14:sparkline>
            <x14:sparkline>
              <xm:f>'2C3 Aluminium Production'!E107:T107</xm:f>
              <xm:sqref>W107</xm:sqref>
            </x14:sparkline>
            <x14:sparkline>
              <xm:f>'2C3 Aluminium Production'!E108:T108</xm:f>
              <xm:sqref>W108</xm:sqref>
            </x14:sparkline>
            <x14:sparkline>
              <xm:f>'2C3 Aluminium Production'!E109:T109</xm:f>
              <xm:sqref>W109</xm:sqref>
            </x14:sparkline>
            <x14:sparkline>
              <xm:f>'2C3 Aluminium Production'!E110:T110</xm:f>
              <xm:sqref>W110</xm:sqref>
            </x14:sparkline>
            <x14:sparkline>
              <xm:f>'2C3 Aluminium Production'!E111:T111</xm:f>
              <xm:sqref>W111</xm:sqref>
            </x14:sparkline>
            <x14:sparkline>
              <xm:f>'2C3 Aluminium Production'!E112:T112</xm:f>
              <xm:sqref>W112</xm:sqref>
            </x14:sparkline>
            <x14:sparkline>
              <xm:f>'2C3 Aluminium Production'!E113:T113</xm:f>
              <xm:sqref>W113</xm:sqref>
            </x14:sparkline>
            <x14:sparkline>
              <xm:f>'2C3 Aluminium Production'!E114:T114</xm:f>
              <xm:sqref>W114</xm:sqref>
            </x14:sparkline>
          </x14:sparklines>
        </x14:sparklineGroup>
        <x14:sparklineGroup manualMax="0" manualMin="0" displayEmptyCellsAs="gap" xr2:uid="{00000000-0003-0000-1E00-000065000000}">
          <x14:colorSeries rgb="FF376092"/>
          <x14:colorNegative rgb="FFD00000"/>
          <x14:colorAxis rgb="FF000000"/>
          <x14:colorMarkers rgb="FFD00000"/>
          <x14:colorFirst rgb="FFD00000"/>
          <x14:colorLast rgb="FFD00000"/>
          <x14:colorHigh rgb="FFD00000"/>
          <x14:colorLow rgb="FFD00000"/>
          <x14:sparklines>
            <x14:sparkline>
              <xm:f>'2C3 Aluminium Production'!E79:T79</xm:f>
              <xm:sqref>W79</xm:sqref>
            </x14:sparkline>
            <x14:sparkline>
              <xm:f>'2C3 Aluminium Production'!E80:T80</xm:f>
              <xm:sqref>W80</xm:sqref>
            </x14:sparkline>
            <x14:sparkline>
              <xm:f>'2C3 Aluminium Production'!E81:T81</xm:f>
              <xm:sqref>W81</xm:sqref>
            </x14:sparkline>
            <x14:sparkline>
              <xm:f>'2C3 Aluminium Production'!E82:T82</xm:f>
              <xm:sqref>W82</xm:sqref>
            </x14:sparkline>
            <x14:sparkline>
              <xm:f>'2C3 Aluminium Production'!E83:T83</xm:f>
              <xm:sqref>W83</xm:sqref>
            </x14:sparkline>
            <x14:sparkline>
              <xm:f>'2C3 Aluminium Production'!E84:T84</xm:f>
              <xm:sqref>W84</xm:sqref>
            </x14:sparkline>
          </x14:sparklines>
        </x14:sparklineGroup>
        <x14:sparklineGroup manualMax="0" manualMin="0" displayEmptyCellsAs="gap" xr2:uid="{00000000-0003-0000-1E00-000064000000}">
          <x14:colorSeries rgb="FF376092"/>
          <x14:colorNegative rgb="FFD00000"/>
          <x14:colorAxis rgb="FF000000"/>
          <x14:colorMarkers rgb="FFD00000"/>
          <x14:colorFirst rgb="FFD00000"/>
          <x14:colorLast rgb="FFD00000"/>
          <x14:colorHigh rgb="FFD00000"/>
          <x14:colorLow rgb="FFD00000"/>
          <x14:sparklines>
            <x14:sparkline>
              <xm:f>'2C3 Aluminium Production'!E88:T88</xm:f>
              <xm:sqref>W88</xm:sqref>
            </x14:sparkline>
            <x14:sparkline>
              <xm:f>'2C3 Aluminium Production'!E89:T89</xm:f>
              <xm:sqref>W89</xm:sqref>
            </x14:sparkline>
            <x14:sparkline>
              <xm:f>'2C3 Aluminium Production'!E90:T90</xm:f>
              <xm:sqref>W90</xm:sqref>
            </x14:sparkline>
            <x14:sparkline>
              <xm:f>'2C3 Aluminium Production'!E91:T91</xm:f>
              <xm:sqref>W91</xm:sqref>
            </x14:sparkline>
            <x14:sparkline>
              <xm:f>'2C3 Aluminium Production'!E92:T92</xm:f>
              <xm:sqref>W92</xm:sqref>
            </x14:sparkline>
            <x14:sparkline>
              <xm:f>'2C3 Aluminium Production'!E93:T93</xm:f>
              <xm:sqref>W93</xm:sqref>
            </x14:sparkline>
            <x14:sparkline>
              <xm:f>'2C3 Aluminium Production'!E94:T94</xm:f>
              <xm:sqref>W94</xm:sqref>
            </x14:sparkline>
            <x14:sparkline>
              <xm:f>'2C3 Aluminium Production'!E95:T95</xm:f>
              <xm:sqref>W95</xm:sqref>
            </x14:sparkline>
            <x14:sparkline>
              <xm:f>'2C3 Aluminium Production'!E96:T96</xm:f>
              <xm:sqref>W96</xm:sqref>
            </x14:sparkline>
            <x14:sparkline>
              <xm:f>'2C3 Aluminium Production'!E97:T97</xm:f>
              <xm:sqref>W97</xm:sqref>
            </x14:sparkline>
          </x14:sparklines>
        </x14:sparklineGroup>
        <x14:sparklineGroup manualMax="0" manualMin="0" displayEmptyCellsAs="gap" xr2:uid="{00000000-0003-0000-1E00-000063000000}">
          <x14:colorSeries rgb="FF376092"/>
          <x14:colorNegative rgb="FFD00000"/>
          <x14:colorAxis rgb="FF000000"/>
          <x14:colorMarkers rgb="FFD00000"/>
          <x14:colorFirst rgb="FFD00000"/>
          <x14:colorLast rgb="FFD00000"/>
          <x14:colorHigh rgb="FFD00000"/>
          <x14:colorLow rgb="FFD00000"/>
          <x14:sparklines>
            <x14:sparkline>
              <xm:f>'2C3 Aluminium Production'!E23:V23</xm:f>
              <xm:sqref>W23</xm:sqref>
            </x14:sparkline>
            <x14:sparkline>
              <xm:f>'2C3 Aluminium Production'!E24:V24</xm:f>
              <xm:sqref>W24</xm:sqref>
            </x14:sparkline>
            <x14:sparkline>
              <xm:f>'2C3 Aluminium Production'!E25:V25</xm:f>
              <xm:sqref>W25</xm:sqref>
            </x14:sparkline>
            <x14:sparkline>
              <xm:f>'2C3 Aluminium Production'!E26:V26</xm:f>
              <xm:sqref>W26</xm:sqref>
            </x14:sparkline>
            <x14:sparkline>
              <xm:f>'2C3 Aluminium Production'!E27:V27</xm:f>
              <xm:sqref>W27</xm:sqref>
            </x14:sparkline>
            <x14:sparkline>
              <xm:f>'2C3 Aluminium Production'!E28:V28</xm:f>
              <xm:sqref>W28</xm:sqref>
            </x14:sparkline>
            <x14:sparkline>
              <xm:f>'2C3 Aluminium Production'!E29:V29</xm:f>
              <xm:sqref>W29</xm:sqref>
            </x14:sparkline>
            <x14:sparkline>
              <xm:f>'2C3 Aluminium Production'!E30:V30</xm:f>
              <xm:sqref>W30</xm:sqref>
            </x14:sparkline>
            <x14:sparkline>
              <xm:f>'2C3 Aluminium Production'!E31:V31</xm:f>
              <xm:sqref>W31</xm:sqref>
            </x14:sparkline>
            <x14:sparkline>
              <xm:f>'2C3 Aluminium Production'!E32:V32</xm:f>
              <xm:sqref>W32</xm:sqref>
            </x14:sparkline>
          </x14:sparklines>
        </x14:sparklineGroup>
        <x14:sparklineGroup manualMax="0" manualMin="0" displayEmptyCellsAs="gap" xr2:uid="{00000000-0003-0000-1E00-000062000000}">
          <x14:colorSeries rgb="FF376092"/>
          <x14:colorNegative rgb="FFD00000"/>
          <x14:colorAxis rgb="FF000000"/>
          <x14:colorMarkers rgb="FFD00000"/>
          <x14:colorFirst rgb="FFD00000"/>
          <x14:colorLast rgb="FFD00000"/>
          <x14:colorHigh rgb="FFD00000"/>
          <x14:colorLow rgb="FFD00000"/>
          <x14:sparklines>
            <x14:sparkline>
              <xm:f>'2C3 Aluminium Production'!E14:V14</xm:f>
              <xm:sqref>W14</xm:sqref>
            </x14:sparkline>
            <x14:sparkline>
              <xm:f>'2C3 Aluminium Production'!E15:V15</xm:f>
              <xm:sqref>W15</xm:sqref>
            </x14:sparkline>
            <x14:sparkline>
              <xm:f>'2C3 Aluminium Production'!E16:V16</xm:f>
              <xm:sqref>W16</xm:sqref>
            </x14:sparkline>
            <x14:sparkline>
              <xm:f>'2C3 Aluminium Production'!E17:V17</xm:f>
              <xm:sqref>W17</xm:sqref>
            </x14:sparkline>
            <x14:sparkline>
              <xm:f>'2C3 Aluminium Production'!E18:V18</xm:f>
              <xm:sqref>W18</xm:sqref>
            </x14:sparkline>
            <x14:sparkline>
              <xm:f>'2C3 Aluminium Production'!E19:V19</xm:f>
              <xm:sqref>W19</xm:sqref>
            </x14:sparkline>
          </x14:sparklines>
        </x14:sparklineGroup>
        <x14:sparklineGroup manualMax="0" manualMin="0" displayEmptyCellsAs="gap" xr2:uid="{00000000-0003-0000-1E00-000061000000}">
          <x14:colorSeries rgb="FF376092"/>
          <x14:colorNegative rgb="FFD00000"/>
          <x14:colorAxis rgb="FF000000"/>
          <x14:colorMarkers rgb="FFD00000"/>
          <x14:colorFirst rgb="FFD00000"/>
          <x14:colorLast rgb="FFD00000"/>
          <x14:colorHigh rgb="FFD00000"/>
          <x14:colorLow rgb="FFD00000"/>
          <x14:sparklines>
            <x14:sparkline>
              <xm:f>'2C3 Aluminium Production'!E36:V36</xm:f>
              <xm:sqref>W36</xm:sqref>
            </x14:sparkline>
            <x14:sparkline>
              <xm:f>'2C3 Aluminium Production'!E37:V37</xm:f>
              <xm:sqref>W37</xm:sqref>
            </x14:sparkline>
            <x14:sparkline>
              <xm:f>'2C3 Aluminium Production'!E38:V38</xm:f>
              <xm:sqref>W38</xm:sqref>
            </x14:sparkline>
            <x14:sparkline>
              <xm:f>'2C3 Aluminium Production'!E39:V39</xm:f>
              <xm:sqref>W39</xm:sqref>
            </x14:sparkline>
            <x14:sparkline>
              <xm:f>'2C3 Aluminium Production'!E40:V40</xm:f>
              <xm:sqref>W40</xm:sqref>
            </x14:sparkline>
            <x14:sparkline>
              <xm:f>'2C3 Aluminium Production'!E41:V41</xm:f>
              <xm:sqref>W41</xm:sqref>
            </x14:sparkline>
            <x14:sparkline>
              <xm:f>'2C3 Aluminium Production'!E42:V42</xm:f>
              <xm:sqref>W42</xm:sqref>
            </x14:sparkline>
            <x14:sparkline>
              <xm:f>'2C3 Aluminium Production'!E43:V43</xm:f>
              <xm:sqref>W43</xm:sqref>
            </x14:sparkline>
            <x14:sparkline>
              <xm:f>'2C3 Aluminium Production'!E44:V44</xm:f>
              <xm:sqref>W44</xm:sqref>
            </x14:sparkline>
            <x14:sparkline>
              <xm:f>'2C3 Aluminium Production'!E45:V45</xm:f>
              <xm:sqref>W45</xm:sqref>
            </x14:sparkline>
            <x14:sparkline>
              <xm:f>'2C3 Aluminium Production'!E46:V46</xm:f>
              <xm:sqref>W46</xm:sqref>
            </x14:sparkline>
            <x14:sparkline>
              <xm:f>'2C3 Aluminium Production'!E47:V47</xm:f>
              <xm:sqref>W47</xm:sqref>
            </x14:sparkline>
            <x14:sparkline>
              <xm:f>'2C3 Aluminium Production'!E48:V48</xm:f>
              <xm:sqref>W48</xm:sqref>
            </x14:sparkline>
            <x14:sparkline>
              <xm:f>'2C3 Aluminium Production'!E49:V49</xm:f>
              <xm:sqref>W49</xm:sqref>
            </x14:sparkline>
          </x14:sparklines>
        </x14:sparklineGroup>
      </x14:sparklineGroup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tabColor theme="3" tint="0.79998168889431442"/>
  </sheetPr>
  <dimension ref="A1:Y77"/>
  <sheetViews>
    <sheetView topLeftCell="D1"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2C5 Lead Production</v>
      </c>
      <c r="C1" s="261" t="s">
        <v>856</v>
      </c>
      <c r="D1" s="262"/>
      <c r="E1" s="262"/>
      <c r="F1" s="262"/>
      <c r="G1" s="262"/>
      <c r="H1" s="262"/>
      <c r="I1" s="262"/>
      <c r="J1" s="263"/>
      <c r="K1" s="14"/>
    </row>
    <row r="2" spans="1:25" ht="49.5" customHeight="1" x14ac:dyDescent="0.25">
      <c r="A2" s="15" t="s">
        <v>736</v>
      </c>
      <c r="B2" s="33" t="s">
        <v>857</v>
      </c>
      <c r="C2" s="264" t="s">
        <v>1063</v>
      </c>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145</v>
      </c>
      <c r="B14" t="s">
        <v>1064</v>
      </c>
      <c r="D14" t="s">
        <v>892</v>
      </c>
      <c r="E14" s="114">
        <v>75300</v>
      </c>
      <c r="F14" s="114">
        <v>51800</v>
      </c>
      <c r="G14" s="114">
        <v>49400</v>
      </c>
      <c r="H14" s="114">
        <v>39900</v>
      </c>
      <c r="I14" s="114">
        <v>37500</v>
      </c>
      <c r="J14" s="114">
        <v>42200</v>
      </c>
      <c r="K14" s="114">
        <v>48300</v>
      </c>
      <c r="L14" s="114">
        <v>41900</v>
      </c>
      <c r="M14" s="114">
        <v>46400</v>
      </c>
      <c r="N14" s="114">
        <v>49100</v>
      </c>
      <c r="O14" s="114">
        <v>50600</v>
      </c>
      <c r="P14" s="114">
        <v>54460</v>
      </c>
      <c r="Q14" s="114">
        <v>52489</v>
      </c>
      <c r="R14" s="114">
        <v>42000</v>
      </c>
      <c r="S14" s="183">
        <f>58745*15^-0.12</f>
        <v>42446.311515470537</v>
      </c>
      <c r="T14" s="114">
        <v>35000</v>
      </c>
      <c r="U14" s="183">
        <f>58745*16^-0.12</f>
        <v>42118.850522344896</v>
      </c>
      <c r="V14" s="183">
        <f>58745*17^-0.12</f>
        <v>41813.54966766687</v>
      </c>
      <c r="Y14" t="s">
        <v>43</v>
      </c>
    </row>
    <row r="16" spans="1:25" s="5" customFormat="1" ht="21" x14ac:dyDescent="0.35">
      <c r="B16" s="6" t="s">
        <v>983</v>
      </c>
      <c r="E16" s="5" t="s">
        <v>878</v>
      </c>
    </row>
    <row r="18" spans="1:25" x14ac:dyDescent="0.25">
      <c r="A18" t="s">
        <v>145</v>
      </c>
      <c r="B18" t="s">
        <v>1065</v>
      </c>
      <c r="C18" t="s">
        <v>836</v>
      </c>
      <c r="D18" t="s">
        <v>970</v>
      </c>
      <c r="E18" s="205">
        <v>0.52</v>
      </c>
      <c r="F18" s="205">
        <v>0.52</v>
      </c>
      <c r="G18" s="205">
        <v>0.52</v>
      </c>
      <c r="H18" s="205">
        <v>0.52</v>
      </c>
      <c r="I18" s="205">
        <v>0.52</v>
      </c>
      <c r="J18" s="205">
        <v>0.52</v>
      </c>
      <c r="K18" s="205">
        <v>0.52</v>
      </c>
      <c r="L18" s="205">
        <v>0.52</v>
      </c>
      <c r="M18" s="205">
        <v>0.52</v>
      </c>
      <c r="N18" s="205">
        <v>0.52</v>
      </c>
      <c r="O18" s="205">
        <v>0.52</v>
      </c>
      <c r="P18" s="205">
        <v>0.52</v>
      </c>
      <c r="Q18" s="205">
        <v>0.52</v>
      </c>
      <c r="R18" s="205">
        <v>0.52</v>
      </c>
      <c r="S18" s="205">
        <v>0.52</v>
      </c>
      <c r="T18" s="205">
        <v>0.52</v>
      </c>
      <c r="U18" s="205">
        <v>0.52</v>
      </c>
      <c r="V18" s="205">
        <v>0.52</v>
      </c>
      <c r="Y18" t="s">
        <v>146</v>
      </c>
    </row>
    <row r="20" spans="1:25" s="5" customFormat="1" ht="21" x14ac:dyDescent="0.35">
      <c r="B20" s="6" t="s">
        <v>619</v>
      </c>
      <c r="E20" s="5" t="s">
        <v>881</v>
      </c>
    </row>
    <row r="22" spans="1:25" x14ac:dyDescent="0.25">
      <c r="A22" t="s">
        <v>145</v>
      </c>
      <c r="B22" t="s">
        <v>996</v>
      </c>
      <c r="C22" t="s">
        <v>836</v>
      </c>
      <c r="D22" t="s">
        <v>1066</v>
      </c>
      <c r="E22" s="117">
        <f>(E14*E18)</f>
        <v>39156</v>
      </c>
      <c r="F22" s="117">
        <f t="shared" ref="F22:S22" si="0">(F14*F18)</f>
        <v>26936</v>
      </c>
      <c r="G22" s="117">
        <f t="shared" si="0"/>
        <v>25688</v>
      </c>
      <c r="H22" s="117">
        <f t="shared" si="0"/>
        <v>20748</v>
      </c>
      <c r="I22" s="117">
        <f t="shared" si="0"/>
        <v>19500</v>
      </c>
      <c r="J22" s="117">
        <f t="shared" si="0"/>
        <v>21944</v>
      </c>
      <c r="K22" s="117">
        <f t="shared" si="0"/>
        <v>25116</v>
      </c>
      <c r="L22" s="117">
        <f t="shared" si="0"/>
        <v>21788</v>
      </c>
      <c r="M22" s="117">
        <f t="shared" si="0"/>
        <v>24128</v>
      </c>
      <c r="N22" s="117">
        <f t="shared" si="0"/>
        <v>25532</v>
      </c>
      <c r="O22" s="117">
        <f t="shared" si="0"/>
        <v>26312</v>
      </c>
      <c r="P22" s="117">
        <f t="shared" si="0"/>
        <v>28319.200000000001</v>
      </c>
      <c r="Q22" s="117">
        <f t="shared" si="0"/>
        <v>27294.280000000002</v>
      </c>
      <c r="R22" s="117">
        <f t="shared" si="0"/>
        <v>21840</v>
      </c>
      <c r="S22" s="117">
        <f t="shared" si="0"/>
        <v>22072.08198804468</v>
      </c>
      <c r="T22" s="117">
        <f>(T14*T18)</f>
        <v>18200</v>
      </c>
      <c r="U22" s="117">
        <f t="shared" ref="U22:V22" si="1">(U14*U18)</f>
        <v>21901.802271619348</v>
      </c>
      <c r="V22" s="117">
        <f t="shared" si="1"/>
        <v>21743.045827186772</v>
      </c>
    </row>
    <row r="23" spans="1:25" x14ac:dyDescent="0.25">
      <c r="A23" s="7" t="s">
        <v>145</v>
      </c>
      <c r="B23" s="7" t="s">
        <v>1067</v>
      </c>
      <c r="C23" s="7" t="s">
        <v>836</v>
      </c>
      <c r="D23" s="7" t="s">
        <v>884</v>
      </c>
      <c r="E23" s="116">
        <f>E22/1000</f>
        <v>39.155999999999999</v>
      </c>
      <c r="F23" s="116">
        <f t="shared" ref="F23:S23" si="2">F22/1000</f>
        <v>26.936</v>
      </c>
      <c r="G23" s="116">
        <f t="shared" si="2"/>
        <v>25.687999999999999</v>
      </c>
      <c r="H23" s="116">
        <f t="shared" si="2"/>
        <v>20.748000000000001</v>
      </c>
      <c r="I23" s="116">
        <f t="shared" si="2"/>
        <v>19.5</v>
      </c>
      <c r="J23" s="116">
        <f t="shared" si="2"/>
        <v>21.943999999999999</v>
      </c>
      <c r="K23" s="116">
        <f t="shared" si="2"/>
        <v>25.116</v>
      </c>
      <c r="L23" s="116">
        <f t="shared" si="2"/>
        <v>21.788</v>
      </c>
      <c r="M23" s="116">
        <f t="shared" si="2"/>
        <v>24.128</v>
      </c>
      <c r="N23" s="116">
        <f t="shared" si="2"/>
        <v>25.532</v>
      </c>
      <c r="O23" s="116">
        <f t="shared" si="2"/>
        <v>26.312000000000001</v>
      </c>
      <c r="P23" s="116">
        <f t="shared" si="2"/>
        <v>28.319200000000002</v>
      </c>
      <c r="Q23" s="116">
        <f t="shared" si="2"/>
        <v>27.294280000000004</v>
      </c>
      <c r="R23" s="116">
        <f t="shared" si="2"/>
        <v>21.84</v>
      </c>
      <c r="S23" s="116">
        <f t="shared" si="2"/>
        <v>22.07208198804468</v>
      </c>
      <c r="T23" s="116">
        <f>T22/1000</f>
        <v>18.2</v>
      </c>
      <c r="U23" s="116">
        <f t="shared" ref="U23:V23" si="3">U22/1000</f>
        <v>21.901802271619349</v>
      </c>
      <c r="V23" s="116">
        <f t="shared" si="3"/>
        <v>21.743045827186773</v>
      </c>
    </row>
    <row r="25" spans="1:25" s="5" customFormat="1" ht="21" x14ac:dyDescent="0.35">
      <c r="B25" s="6" t="s">
        <v>885</v>
      </c>
      <c r="E25" s="5" t="s">
        <v>886</v>
      </c>
      <c r="M25" s="5" t="s">
        <v>900</v>
      </c>
    </row>
    <row r="27" spans="1:25" x14ac:dyDescent="0.25">
      <c r="A27" s="27"/>
      <c r="B27" s="26"/>
      <c r="C27" s="26"/>
      <c r="D27" s="26"/>
      <c r="E27" s="26"/>
      <c r="F27" s="26"/>
      <c r="G27" s="26"/>
      <c r="H27" s="26"/>
    </row>
    <row r="48" spans="1:23" ht="21" x14ac:dyDescent="0.35">
      <c r="A48" s="5"/>
      <c r="B48" s="6" t="s">
        <v>346</v>
      </c>
      <c r="C48" s="5"/>
      <c r="D48" s="5"/>
      <c r="E48" s="5" t="s">
        <v>887</v>
      </c>
      <c r="F48" s="5"/>
      <c r="G48" s="5"/>
      <c r="H48" s="5"/>
      <c r="I48" s="5"/>
      <c r="J48" s="5"/>
      <c r="K48" s="5"/>
      <c r="L48" s="5"/>
      <c r="M48" s="5"/>
      <c r="N48" s="5"/>
      <c r="O48" s="5"/>
      <c r="P48" s="5"/>
      <c r="Q48" s="5"/>
      <c r="R48" s="5"/>
      <c r="S48" s="5"/>
      <c r="T48" s="5"/>
      <c r="U48" s="5"/>
      <c r="V48" s="5"/>
      <c r="W48" s="5"/>
    </row>
    <row r="49" spans="1:23" ht="18.75" x14ac:dyDescent="0.3">
      <c r="A49" s="12" t="s">
        <v>844</v>
      </c>
      <c r="E49" t="s">
        <v>888</v>
      </c>
    </row>
    <row r="50" spans="1:23" x14ac:dyDescent="0.25">
      <c r="A50" s="8"/>
      <c r="B50" s="9" t="s">
        <v>865</v>
      </c>
      <c r="C50" s="8"/>
      <c r="D50" s="8"/>
      <c r="E50" s="8"/>
      <c r="F50" s="8"/>
      <c r="G50" s="8"/>
      <c r="H50" s="8"/>
      <c r="I50" s="8"/>
      <c r="J50" s="8"/>
      <c r="K50" s="8"/>
      <c r="L50" s="8"/>
      <c r="M50" s="8"/>
      <c r="N50" s="8"/>
      <c r="O50" s="8"/>
      <c r="P50" s="8"/>
      <c r="Q50" s="8"/>
      <c r="R50" s="8"/>
      <c r="S50" s="8"/>
      <c r="T50" s="8"/>
      <c r="U50" s="8"/>
      <c r="V50" s="8"/>
      <c r="W50" s="8"/>
    </row>
    <row r="52" spans="1:23" x14ac:dyDescent="0.25">
      <c r="A52" s="10" t="s">
        <v>867</v>
      </c>
      <c r="B52" s="10" t="s">
        <v>868</v>
      </c>
      <c r="C52" s="10" t="s">
        <v>482</v>
      </c>
      <c r="D52" s="10" t="s">
        <v>740</v>
      </c>
      <c r="E52" s="10">
        <v>2000</v>
      </c>
      <c r="F52" s="10">
        <v>2001</v>
      </c>
      <c r="G52" s="10">
        <v>2002</v>
      </c>
      <c r="H52" s="10">
        <v>2003</v>
      </c>
      <c r="I52" s="10">
        <v>2004</v>
      </c>
      <c r="J52" s="10">
        <v>2005</v>
      </c>
      <c r="K52" s="10">
        <v>2006</v>
      </c>
      <c r="L52" s="10">
        <v>2007</v>
      </c>
      <c r="M52" s="10">
        <v>2008</v>
      </c>
      <c r="N52" s="10">
        <v>2009</v>
      </c>
      <c r="O52" s="10">
        <v>2010</v>
      </c>
      <c r="P52" s="10">
        <v>2011</v>
      </c>
      <c r="Q52" s="10">
        <v>2012</v>
      </c>
      <c r="R52" s="10">
        <v>2013</v>
      </c>
      <c r="S52" s="10">
        <v>2014</v>
      </c>
      <c r="T52" s="10">
        <v>2015</v>
      </c>
      <c r="U52" s="10"/>
      <c r="V52" s="10"/>
      <c r="W52" s="10" t="s">
        <v>741</v>
      </c>
    </row>
    <row r="53" spans="1:23" x14ac:dyDescent="0.25">
      <c r="A53" s="11" t="s">
        <v>145</v>
      </c>
      <c r="B53" s="11" t="s">
        <v>1064</v>
      </c>
      <c r="C53" s="11"/>
      <c r="D53" s="11" t="s">
        <v>892</v>
      </c>
      <c r="E53" s="29">
        <v>75300</v>
      </c>
      <c r="F53" s="29">
        <v>51800</v>
      </c>
      <c r="G53" s="29">
        <v>49400</v>
      </c>
      <c r="H53" s="29">
        <v>39900</v>
      </c>
      <c r="I53" s="29">
        <v>37500</v>
      </c>
      <c r="J53" s="29">
        <v>42200</v>
      </c>
      <c r="K53" s="29">
        <v>48300</v>
      </c>
      <c r="L53" s="29">
        <v>41900</v>
      </c>
      <c r="M53" s="29">
        <v>46400</v>
      </c>
      <c r="N53" s="29">
        <v>49100</v>
      </c>
      <c r="O53" s="29">
        <v>50600</v>
      </c>
      <c r="P53" s="29">
        <v>54460</v>
      </c>
      <c r="Q53" s="29">
        <v>52489</v>
      </c>
      <c r="R53" s="29">
        <v>42000</v>
      </c>
      <c r="S53" s="29">
        <v>42446.311515470537</v>
      </c>
      <c r="T53" s="29">
        <v>35000</v>
      </c>
      <c r="U53" s="4"/>
      <c r="V53" s="4"/>
    </row>
    <row r="54" spans="1:23" x14ac:dyDescent="0.25">
      <c r="E54" s="11"/>
      <c r="F54" s="11"/>
      <c r="G54" s="11"/>
      <c r="H54" s="11"/>
      <c r="I54" s="11"/>
      <c r="J54" s="11"/>
      <c r="K54" s="11"/>
      <c r="L54" s="11"/>
      <c r="M54" s="11"/>
      <c r="N54" s="11"/>
      <c r="O54" s="11"/>
      <c r="P54" s="11"/>
      <c r="Q54" s="11"/>
      <c r="R54" s="11"/>
      <c r="S54" s="11"/>
      <c r="T54" s="11"/>
    </row>
    <row r="55" spans="1:23" x14ac:dyDescent="0.25">
      <c r="A55" s="8"/>
      <c r="B55" s="9" t="s">
        <v>877</v>
      </c>
      <c r="C55" s="8"/>
      <c r="D55" s="8"/>
      <c r="E55" s="197"/>
      <c r="F55" s="197"/>
      <c r="G55" s="197"/>
      <c r="H55" s="197"/>
      <c r="I55" s="197"/>
      <c r="J55" s="197"/>
      <c r="K55" s="197"/>
      <c r="L55" s="197"/>
      <c r="M55" s="197"/>
      <c r="N55" s="197"/>
      <c r="O55" s="197"/>
      <c r="P55" s="197"/>
      <c r="Q55" s="197"/>
      <c r="R55" s="197"/>
      <c r="S55" s="197"/>
      <c r="T55" s="197"/>
      <c r="U55" s="8"/>
      <c r="V55" s="8"/>
      <c r="W55" s="8"/>
    </row>
    <row r="56" spans="1:23" x14ac:dyDescent="0.25">
      <c r="E56" s="11"/>
      <c r="F56" s="11"/>
      <c r="G56" s="11"/>
      <c r="H56" s="11"/>
      <c r="I56" s="11"/>
      <c r="J56" s="11"/>
      <c r="K56" s="11"/>
      <c r="L56" s="11"/>
      <c r="M56" s="11"/>
      <c r="N56" s="11"/>
      <c r="O56" s="11"/>
      <c r="P56" s="11"/>
      <c r="Q56" s="11"/>
      <c r="R56" s="11"/>
      <c r="S56" s="11"/>
      <c r="T56" s="11"/>
    </row>
    <row r="57" spans="1:23" x14ac:dyDescent="0.25">
      <c r="A57" s="11" t="s">
        <v>145</v>
      </c>
      <c r="B57" s="11" t="s">
        <v>1065</v>
      </c>
      <c r="C57" s="11" t="s">
        <v>836</v>
      </c>
      <c r="D57" s="11" t="s">
        <v>970</v>
      </c>
      <c r="E57" s="29">
        <v>0.52</v>
      </c>
      <c r="F57" s="29">
        <v>0.52</v>
      </c>
      <c r="G57" s="29">
        <v>0.52</v>
      </c>
      <c r="H57" s="29">
        <v>0.52</v>
      </c>
      <c r="I57" s="29">
        <v>0.52</v>
      </c>
      <c r="J57" s="29">
        <v>0.52</v>
      </c>
      <c r="K57" s="29">
        <v>0.52</v>
      </c>
      <c r="L57" s="29">
        <v>0.52</v>
      </c>
      <c r="M57" s="29">
        <v>0.52</v>
      </c>
      <c r="N57" s="29">
        <v>0.52</v>
      </c>
      <c r="O57" s="29">
        <v>0.52</v>
      </c>
      <c r="P57" s="29">
        <v>0.52</v>
      </c>
      <c r="Q57" s="29">
        <v>0.52</v>
      </c>
      <c r="R57" s="29">
        <v>0.52</v>
      </c>
      <c r="S57" s="29">
        <v>0.52</v>
      </c>
      <c r="T57" s="29">
        <v>0.52</v>
      </c>
      <c r="U57" s="4"/>
      <c r="V57" s="4"/>
    </row>
    <row r="58" spans="1:23" x14ac:dyDescent="0.25">
      <c r="E58" s="11"/>
      <c r="F58" s="11"/>
      <c r="G58" s="11"/>
      <c r="H58" s="11"/>
      <c r="I58" s="11"/>
      <c r="J58" s="11"/>
      <c r="K58" s="11"/>
      <c r="L58" s="11"/>
      <c r="M58" s="11"/>
      <c r="N58" s="11"/>
      <c r="O58" s="11"/>
      <c r="P58" s="11"/>
      <c r="Q58" s="11"/>
      <c r="R58" s="11"/>
      <c r="S58" s="11"/>
      <c r="T58" s="11"/>
    </row>
    <row r="59" spans="1:23" x14ac:dyDescent="0.25">
      <c r="A59" s="8"/>
      <c r="B59" s="9" t="s">
        <v>619</v>
      </c>
      <c r="C59" s="8"/>
      <c r="D59" s="8"/>
      <c r="E59" s="197"/>
      <c r="F59" s="197"/>
      <c r="G59" s="197"/>
      <c r="H59" s="197"/>
      <c r="I59" s="197"/>
      <c r="J59" s="197"/>
      <c r="K59" s="197"/>
      <c r="L59" s="197"/>
      <c r="M59" s="197"/>
      <c r="N59" s="197"/>
      <c r="O59" s="197"/>
      <c r="P59" s="197"/>
      <c r="Q59" s="197"/>
      <c r="R59" s="197"/>
      <c r="S59" s="197"/>
      <c r="T59" s="197"/>
      <c r="U59" s="8"/>
      <c r="V59" s="8"/>
      <c r="W59" s="8"/>
    </row>
    <row r="60" spans="1:23" x14ac:dyDescent="0.25">
      <c r="E60" s="11"/>
      <c r="F60" s="11"/>
      <c r="G60" s="11"/>
      <c r="H60" s="11"/>
      <c r="I60" s="11"/>
      <c r="J60" s="11"/>
      <c r="K60" s="11"/>
      <c r="L60" s="11"/>
      <c r="M60" s="11"/>
      <c r="N60" s="11"/>
      <c r="O60" s="11"/>
      <c r="P60" s="11"/>
      <c r="Q60" s="11"/>
      <c r="R60" s="11"/>
      <c r="S60" s="11"/>
      <c r="T60" s="11"/>
    </row>
    <row r="61" spans="1:23" x14ac:dyDescent="0.25">
      <c r="A61" s="11" t="s">
        <v>145</v>
      </c>
      <c r="B61" s="11" t="s">
        <v>996</v>
      </c>
      <c r="C61" s="11" t="s">
        <v>836</v>
      </c>
      <c r="D61" s="11" t="s">
        <v>1066</v>
      </c>
      <c r="E61" s="29">
        <v>39156</v>
      </c>
      <c r="F61" s="29">
        <v>26936</v>
      </c>
      <c r="G61" s="29">
        <v>25688</v>
      </c>
      <c r="H61" s="29">
        <v>20748</v>
      </c>
      <c r="I61" s="29">
        <v>19500</v>
      </c>
      <c r="J61" s="29">
        <v>21944</v>
      </c>
      <c r="K61" s="29">
        <v>25116</v>
      </c>
      <c r="L61" s="29">
        <v>21788</v>
      </c>
      <c r="M61" s="29">
        <v>24128</v>
      </c>
      <c r="N61" s="29">
        <v>25532</v>
      </c>
      <c r="O61" s="29">
        <v>26312</v>
      </c>
      <c r="P61" s="29">
        <v>28319.200000000001</v>
      </c>
      <c r="Q61" s="29">
        <v>27294.280000000002</v>
      </c>
      <c r="R61" s="29">
        <v>21840</v>
      </c>
      <c r="S61" s="29">
        <v>22072.08198804468</v>
      </c>
      <c r="T61" s="29">
        <v>18200</v>
      </c>
      <c r="U61" s="4"/>
      <c r="V61" s="4"/>
    </row>
    <row r="62" spans="1:23" x14ac:dyDescent="0.25">
      <c r="A62" s="11" t="s">
        <v>145</v>
      </c>
      <c r="B62" s="11" t="s">
        <v>1067</v>
      </c>
      <c r="C62" s="11" t="s">
        <v>836</v>
      </c>
      <c r="D62" s="11" t="s">
        <v>884</v>
      </c>
      <c r="E62" s="29">
        <v>39.155999999999999</v>
      </c>
      <c r="F62" s="29">
        <v>26.936</v>
      </c>
      <c r="G62" s="29">
        <v>25.687999999999999</v>
      </c>
      <c r="H62" s="29">
        <v>20.748000000000001</v>
      </c>
      <c r="I62" s="29">
        <v>19.5</v>
      </c>
      <c r="J62" s="29">
        <v>21.943999999999999</v>
      </c>
      <c r="K62" s="29">
        <v>25.116</v>
      </c>
      <c r="L62" s="29">
        <v>21.788</v>
      </c>
      <c r="M62" s="29">
        <v>24.128</v>
      </c>
      <c r="N62" s="29">
        <v>25.532</v>
      </c>
      <c r="O62" s="29">
        <v>26.312000000000001</v>
      </c>
      <c r="P62" s="29">
        <v>28.319200000000002</v>
      </c>
      <c r="Q62" s="29">
        <v>27.294280000000004</v>
      </c>
      <c r="R62" s="29">
        <v>21.84</v>
      </c>
      <c r="S62" s="29">
        <v>22.07208198804468</v>
      </c>
      <c r="T62" s="29">
        <v>18.2</v>
      </c>
      <c r="U62" s="4"/>
      <c r="V62" s="4"/>
    </row>
    <row r="63" spans="1:23" x14ac:dyDescent="0.25">
      <c r="A63" s="7"/>
      <c r="B63" s="7"/>
      <c r="C63" s="7"/>
      <c r="D63" s="7"/>
    </row>
    <row r="64" spans="1:23" ht="18.75" x14ac:dyDescent="0.3">
      <c r="A64" s="13" t="s">
        <v>346</v>
      </c>
    </row>
    <row r="65" spans="1:23" x14ac:dyDescent="0.25">
      <c r="A65" s="8"/>
      <c r="B65" s="9" t="s">
        <v>865</v>
      </c>
      <c r="C65" s="8"/>
      <c r="D65" s="8" t="s">
        <v>852</v>
      </c>
      <c r="E65" s="8"/>
      <c r="F65" s="8"/>
      <c r="G65" s="8"/>
      <c r="H65" s="8"/>
      <c r="I65" s="8"/>
      <c r="J65" s="8"/>
      <c r="K65" s="8"/>
      <c r="L65" s="8"/>
      <c r="M65" s="8"/>
      <c r="N65" s="8"/>
      <c r="O65" s="8"/>
      <c r="P65" s="8"/>
      <c r="Q65" s="8"/>
      <c r="R65" s="8"/>
      <c r="S65" s="8"/>
      <c r="T65" s="8"/>
      <c r="U65" s="8"/>
      <c r="V65" s="8"/>
      <c r="W65" s="22"/>
    </row>
    <row r="67" spans="1:23" x14ac:dyDescent="0.25">
      <c r="A67" s="10" t="s">
        <v>867</v>
      </c>
      <c r="B67" s="10" t="s">
        <v>868</v>
      </c>
      <c r="C67" s="10" t="s">
        <v>482</v>
      </c>
      <c r="D67" s="10" t="s">
        <v>740</v>
      </c>
      <c r="E67" s="10">
        <v>2000</v>
      </c>
      <c r="F67" s="10">
        <v>2001</v>
      </c>
      <c r="G67" s="10">
        <v>2002</v>
      </c>
      <c r="H67" s="10">
        <v>2003</v>
      </c>
      <c r="I67" s="10">
        <v>2004</v>
      </c>
      <c r="J67" s="10">
        <v>2005</v>
      </c>
      <c r="K67" s="10">
        <v>2006</v>
      </c>
      <c r="L67" s="10">
        <v>2007</v>
      </c>
      <c r="M67" s="10">
        <v>2008</v>
      </c>
      <c r="N67" s="10">
        <v>2009</v>
      </c>
      <c r="O67" s="10">
        <v>2010</v>
      </c>
      <c r="P67" s="10">
        <v>2011</v>
      </c>
      <c r="Q67" s="10">
        <v>2012</v>
      </c>
      <c r="R67" s="10">
        <v>2013</v>
      </c>
      <c r="S67" s="10">
        <v>2014</v>
      </c>
      <c r="T67" s="10">
        <v>2015</v>
      </c>
      <c r="U67" s="10"/>
      <c r="V67" s="10"/>
    </row>
    <row r="68" spans="1:23" x14ac:dyDescent="0.25">
      <c r="A68" s="11" t="s">
        <v>145</v>
      </c>
      <c r="B68" s="11" t="s">
        <v>1064</v>
      </c>
      <c r="C68" s="11"/>
      <c r="D68" s="11" t="s">
        <v>892</v>
      </c>
      <c r="E68" s="41">
        <f t="shared" ref="E68:S68" si="4">IFERROR(((E14/E53)-1),"CHECK")</f>
        <v>0</v>
      </c>
      <c r="F68" s="41">
        <f t="shared" si="4"/>
        <v>0</v>
      </c>
      <c r="G68" s="41">
        <f t="shared" si="4"/>
        <v>0</v>
      </c>
      <c r="H68" s="41">
        <f t="shared" si="4"/>
        <v>0</v>
      </c>
      <c r="I68" s="41">
        <f t="shared" si="4"/>
        <v>0</v>
      </c>
      <c r="J68" s="41">
        <f t="shared" si="4"/>
        <v>0</v>
      </c>
      <c r="K68" s="41">
        <f t="shared" si="4"/>
        <v>0</v>
      </c>
      <c r="L68" s="41">
        <f t="shared" si="4"/>
        <v>0</v>
      </c>
      <c r="M68" s="41">
        <f t="shared" si="4"/>
        <v>0</v>
      </c>
      <c r="N68" s="41">
        <f t="shared" si="4"/>
        <v>0</v>
      </c>
      <c r="O68" s="41">
        <f t="shared" si="4"/>
        <v>0</v>
      </c>
      <c r="P68" s="41">
        <f t="shared" si="4"/>
        <v>0</v>
      </c>
      <c r="Q68" s="41">
        <f t="shared" si="4"/>
        <v>0</v>
      </c>
      <c r="R68" s="41">
        <f t="shared" si="4"/>
        <v>0</v>
      </c>
      <c r="S68" s="41">
        <f t="shared" si="4"/>
        <v>0</v>
      </c>
      <c r="T68" s="41">
        <f>IFERROR(((T14/T53)-1),"CHECK")</f>
        <v>0</v>
      </c>
      <c r="U68" s="41"/>
      <c r="V68" s="41"/>
    </row>
    <row r="70" spans="1:23" x14ac:dyDescent="0.25">
      <c r="A70" s="8"/>
      <c r="B70" s="9" t="s">
        <v>877</v>
      </c>
      <c r="C70" s="8"/>
      <c r="D70" s="8"/>
      <c r="E70" s="8"/>
      <c r="F70" s="8"/>
      <c r="G70" s="8"/>
      <c r="H70" s="8"/>
      <c r="I70" s="8"/>
      <c r="J70" s="8"/>
      <c r="K70" s="8"/>
      <c r="L70" s="8"/>
      <c r="M70" s="8"/>
      <c r="N70" s="8"/>
      <c r="O70" s="8"/>
      <c r="P70" s="8"/>
      <c r="Q70" s="8"/>
      <c r="R70" s="8"/>
      <c r="S70" s="8"/>
      <c r="T70" s="8"/>
      <c r="U70" s="8"/>
      <c r="V70" s="8"/>
    </row>
    <row r="72" spans="1:23" x14ac:dyDescent="0.25">
      <c r="A72" s="11" t="s">
        <v>145</v>
      </c>
      <c r="B72" s="11" t="s">
        <v>1065</v>
      </c>
      <c r="C72" s="11" t="s">
        <v>836</v>
      </c>
      <c r="D72" s="11" t="s">
        <v>970</v>
      </c>
      <c r="E72" s="41">
        <f t="shared" ref="E72:S72" si="5">IFERROR(((E18/E57)-1),"CHECK")</f>
        <v>0</v>
      </c>
      <c r="F72" s="41">
        <f t="shared" si="5"/>
        <v>0</v>
      </c>
      <c r="G72" s="41">
        <f t="shared" si="5"/>
        <v>0</v>
      </c>
      <c r="H72" s="41">
        <f t="shared" si="5"/>
        <v>0</v>
      </c>
      <c r="I72" s="41">
        <f t="shared" si="5"/>
        <v>0</v>
      </c>
      <c r="J72" s="41">
        <f t="shared" si="5"/>
        <v>0</v>
      </c>
      <c r="K72" s="41">
        <f t="shared" si="5"/>
        <v>0</v>
      </c>
      <c r="L72" s="41">
        <f t="shared" si="5"/>
        <v>0</v>
      </c>
      <c r="M72" s="41">
        <f t="shared" si="5"/>
        <v>0</v>
      </c>
      <c r="N72" s="41">
        <f t="shared" si="5"/>
        <v>0</v>
      </c>
      <c r="O72" s="41">
        <f t="shared" si="5"/>
        <v>0</v>
      </c>
      <c r="P72" s="41">
        <f t="shared" si="5"/>
        <v>0</v>
      </c>
      <c r="Q72" s="41">
        <f t="shared" si="5"/>
        <v>0</v>
      </c>
      <c r="R72" s="41">
        <f t="shared" si="5"/>
        <v>0</v>
      </c>
      <c r="S72" s="41">
        <f t="shared" si="5"/>
        <v>0</v>
      </c>
      <c r="T72" s="41">
        <f>IFERROR(((T18/T57)-1),"CHECK")</f>
        <v>0</v>
      </c>
      <c r="U72" s="41"/>
      <c r="V72" s="41"/>
    </row>
    <row r="74" spans="1:23" x14ac:dyDescent="0.25">
      <c r="A74" s="8"/>
      <c r="B74" s="9" t="s">
        <v>619</v>
      </c>
      <c r="C74" s="8"/>
      <c r="D74" s="8"/>
      <c r="E74" s="8"/>
      <c r="F74" s="8"/>
      <c r="G74" s="8"/>
      <c r="H74" s="8"/>
      <c r="I74" s="8"/>
      <c r="J74" s="8"/>
      <c r="K74" s="8"/>
      <c r="L74" s="8"/>
      <c r="M74" s="8"/>
      <c r="N74" s="8"/>
      <c r="O74" s="8"/>
      <c r="P74" s="8"/>
      <c r="Q74" s="8"/>
      <c r="R74" s="8"/>
      <c r="S74" s="8"/>
      <c r="T74" s="8"/>
      <c r="U74" s="8"/>
      <c r="V74" s="8"/>
    </row>
    <row r="76" spans="1:23" x14ac:dyDescent="0.25">
      <c r="A76" s="11" t="s">
        <v>145</v>
      </c>
      <c r="B76" s="11" t="s">
        <v>996</v>
      </c>
      <c r="C76" s="11" t="s">
        <v>836</v>
      </c>
      <c r="D76" s="11" t="s">
        <v>1066</v>
      </c>
      <c r="E76" s="41">
        <f t="shared" ref="E76:S76" si="6">IFERROR(((E22/E61)-1),"CHECK")</f>
        <v>0</v>
      </c>
      <c r="F76" s="41">
        <f t="shared" si="6"/>
        <v>0</v>
      </c>
      <c r="G76" s="41">
        <f t="shared" si="6"/>
        <v>0</v>
      </c>
      <c r="H76" s="41">
        <f t="shared" si="6"/>
        <v>0</v>
      </c>
      <c r="I76" s="41">
        <f t="shared" si="6"/>
        <v>0</v>
      </c>
      <c r="J76" s="41">
        <f t="shared" si="6"/>
        <v>0</v>
      </c>
      <c r="K76" s="41">
        <f t="shared" si="6"/>
        <v>0</v>
      </c>
      <c r="L76" s="41">
        <f t="shared" si="6"/>
        <v>0</v>
      </c>
      <c r="M76" s="41">
        <f t="shared" si="6"/>
        <v>0</v>
      </c>
      <c r="N76" s="41">
        <f t="shared" si="6"/>
        <v>0</v>
      </c>
      <c r="O76" s="41">
        <f t="shared" si="6"/>
        <v>0</v>
      </c>
      <c r="P76" s="41">
        <f t="shared" si="6"/>
        <v>0</v>
      </c>
      <c r="Q76" s="41">
        <f t="shared" si="6"/>
        <v>0</v>
      </c>
      <c r="R76" s="41">
        <f t="shared" si="6"/>
        <v>0</v>
      </c>
      <c r="S76" s="41">
        <f t="shared" si="6"/>
        <v>0</v>
      </c>
      <c r="T76" s="41">
        <f>IFERROR(((T22/T61)-1),"CHECK")</f>
        <v>0</v>
      </c>
      <c r="U76" s="41"/>
      <c r="V76" s="41"/>
    </row>
    <row r="77" spans="1:23" x14ac:dyDescent="0.25">
      <c r="A77" s="11" t="s">
        <v>145</v>
      </c>
      <c r="B77" s="11" t="s">
        <v>1067</v>
      </c>
      <c r="C77" s="11" t="s">
        <v>836</v>
      </c>
      <c r="D77" s="11" t="s">
        <v>884</v>
      </c>
      <c r="E77" s="41">
        <f t="shared" ref="E77:S77" si="7">IFERROR(((E23/E62)-1),"CHECK")</f>
        <v>0</v>
      </c>
      <c r="F77" s="41">
        <f t="shared" si="7"/>
        <v>0</v>
      </c>
      <c r="G77" s="41">
        <f t="shared" si="7"/>
        <v>0</v>
      </c>
      <c r="H77" s="41">
        <f t="shared" si="7"/>
        <v>0</v>
      </c>
      <c r="I77" s="41">
        <f t="shared" si="7"/>
        <v>0</v>
      </c>
      <c r="J77" s="41">
        <f t="shared" si="7"/>
        <v>0</v>
      </c>
      <c r="K77" s="41">
        <f t="shared" si="7"/>
        <v>0</v>
      </c>
      <c r="L77" s="41">
        <f t="shared" si="7"/>
        <v>0</v>
      </c>
      <c r="M77" s="41">
        <f t="shared" si="7"/>
        <v>0</v>
      </c>
      <c r="N77" s="41">
        <f t="shared" si="7"/>
        <v>0</v>
      </c>
      <c r="O77" s="41">
        <f t="shared" si="7"/>
        <v>0</v>
      </c>
      <c r="P77" s="41">
        <f t="shared" si="7"/>
        <v>0</v>
      </c>
      <c r="Q77" s="41">
        <f t="shared" si="7"/>
        <v>0</v>
      </c>
      <c r="R77" s="41">
        <f t="shared" si="7"/>
        <v>0</v>
      </c>
      <c r="S77" s="41">
        <f t="shared" si="7"/>
        <v>0</v>
      </c>
      <c r="T77" s="41">
        <f>IFERROR(((T23/T62)-1),"CHECK")</f>
        <v>0</v>
      </c>
      <c r="U77" s="41"/>
      <c r="V77" s="41"/>
    </row>
  </sheetData>
  <mergeCells count="2">
    <mergeCell ref="C1:J1"/>
    <mergeCell ref="C2:J2"/>
  </mergeCells>
  <conditionalFormatting sqref="K2">
    <cfRule type="expression" dxfId="15" priority="2">
      <formula>(UPPER(LEFT(SUBSTITUTE($Z2,"#",""),5))="FIXCH")</formula>
    </cfRule>
    <cfRule type="expression" dxfId="14" priority="3">
      <formula>(UPPER(SUBSTITUTE($Z2,"#",""))="OK")</formula>
    </cfRule>
  </conditionalFormatting>
  <conditionalFormatting sqref="E76:S77 E72:S72 E68:S68">
    <cfRule type="colorScale" priority="10">
      <colorScale>
        <cfvo type="min"/>
        <cfvo type="num" val="0"/>
        <cfvo type="max"/>
        <color theme="3" tint="0.59999389629810485"/>
        <color theme="0"/>
        <color rgb="FFEE9CA4"/>
      </colorScale>
    </cfRule>
  </conditionalFormatting>
  <conditionalFormatting sqref="T76:V77 T72:V72 T68:V68">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F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F00-00006C000000}">
          <x14:colorSeries rgb="FF376092"/>
          <x14:colorNegative rgb="FFD00000"/>
          <x14:colorAxis rgb="FF000000"/>
          <x14:colorMarkers rgb="FFD00000"/>
          <x14:colorFirst rgb="FFD00000"/>
          <x14:colorLast rgb="FFD00000"/>
          <x14:colorHigh rgb="FFD00000"/>
          <x14:colorLow rgb="FFD00000"/>
          <x14:sparklines>
            <x14:sparkline>
              <xm:f>'2C5 Lead Production'!E57:T57</xm:f>
              <xm:sqref>W57</xm:sqref>
            </x14:sparkline>
          </x14:sparklines>
        </x14:sparklineGroup>
        <x14:sparklineGroup manualMax="0" manualMin="0" displayEmptyCellsAs="gap" xr2:uid="{00000000-0003-0000-1F00-00006B000000}">
          <x14:colorSeries rgb="FF376092"/>
          <x14:colorNegative rgb="FFD00000"/>
          <x14:colorAxis rgb="FF000000"/>
          <x14:colorMarkers rgb="FFD00000"/>
          <x14:colorFirst rgb="FFD00000"/>
          <x14:colorLast rgb="FFD00000"/>
          <x14:colorHigh rgb="FFD00000"/>
          <x14:colorLow rgb="FFD00000"/>
          <x14:sparklines>
            <x14:sparkline>
              <xm:f>'2C5 Lead Production'!E53:T53</xm:f>
              <xm:sqref>W53</xm:sqref>
            </x14:sparkline>
          </x14:sparklines>
        </x14:sparklineGroup>
        <x14:sparklineGroup manualMax="0" manualMin="0" displayEmptyCellsAs="gap" xr2:uid="{00000000-0003-0000-1F00-00006A000000}">
          <x14:colorSeries rgb="FF376092"/>
          <x14:colorNegative rgb="FFD00000"/>
          <x14:colorAxis rgb="FF000000"/>
          <x14:colorMarkers rgb="FFD00000"/>
          <x14:colorFirst rgb="FFD00000"/>
          <x14:colorLast rgb="FFD00000"/>
          <x14:colorHigh rgb="FFD00000"/>
          <x14:colorLow rgb="FFD00000"/>
          <x14:sparklines>
            <x14:sparkline>
              <xm:f>'2C5 Lead Production'!E61:T61</xm:f>
              <xm:sqref>W61</xm:sqref>
            </x14:sparkline>
            <x14:sparkline>
              <xm:f>'2C5 Lead Production'!E62:T62</xm:f>
              <xm:sqref>W62</xm:sqref>
            </x14:sparkline>
          </x14:sparklines>
        </x14:sparklineGroup>
        <x14:sparklineGroup manualMax="0" manualMin="0" displayEmptyCellsAs="gap" xr2:uid="{00000000-0003-0000-1F00-000069000000}">
          <x14:colorSeries rgb="FF376092"/>
          <x14:colorNegative rgb="FFD00000"/>
          <x14:colorAxis rgb="FF000000"/>
          <x14:colorMarkers rgb="FFD00000"/>
          <x14:colorFirst rgb="FFD00000"/>
          <x14:colorLast rgb="FFD00000"/>
          <x14:colorHigh rgb="FFD00000"/>
          <x14:colorLow rgb="FFD00000"/>
          <x14:sparklines>
            <x14:sparkline>
              <xm:f>'2C5 Lead Production'!E22:V22</xm:f>
              <xm:sqref>W22</xm:sqref>
            </x14:sparkline>
            <x14:sparkline>
              <xm:f>'2C5 Lead Production'!E23:V23</xm:f>
              <xm:sqref>W23</xm:sqref>
            </x14:sparkline>
          </x14:sparklines>
        </x14:sparklineGroup>
        <x14:sparklineGroup manualMax="0" manualMin="0" displayEmptyCellsAs="gap" xr2:uid="{00000000-0003-0000-1F00-000068000000}">
          <x14:colorSeries rgb="FF376092"/>
          <x14:colorNegative rgb="FFD00000"/>
          <x14:colorAxis rgb="FF000000"/>
          <x14:colorMarkers rgb="FFD00000"/>
          <x14:colorFirst rgb="FFD00000"/>
          <x14:colorLast rgb="FFD00000"/>
          <x14:colorHigh rgb="FFD00000"/>
          <x14:colorLow rgb="FFD00000"/>
          <x14:sparklines>
            <x14:sparkline>
              <xm:f>'2C5 Lead Production'!E14:V14</xm:f>
              <xm:sqref>W14</xm:sqref>
            </x14:sparkline>
          </x14:sparklines>
        </x14:sparklineGroup>
        <x14:sparklineGroup manualMax="0" manualMin="0" displayEmptyCellsAs="gap" xr2:uid="{00000000-0003-0000-1F00-000067000000}">
          <x14:colorSeries rgb="FF376092"/>
          <x14:colorNegative rgb="FFD00000"/>
          <x14:colorAxis rgb="FF000000"/>
          <x14:colorMarkers rgb="FFD00000"/>
          <x14:colorFirst rgb="FFD00000"/>
          <x14:colorLast rgb="FFD00000"/>
          <x14:colorHigh rgb="FFD00000"/>
          <x14:colorLow rgb="FFD00000"/>
          <x14:sparklines>
            <x14:sparkline>
              <xm:f>'2C5 Lead Production'!E18:V18</xm:f>
              <xm:sqref>W18</xm:sqref>
            </x14:sparkline>
          </x14:sparklines>
        </x14:sparklineGroup>
      </x14:sparklineGroup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9">
    <tabColor theme="3" tint="0.79998168889431442"/>
  </sheetPr>
  <dimension ref="A1:Y77"/>
  <sheetViews>
    <sheetView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2C6 Zinc Production</v>
      </c>
      <c r="C1" s="261" t="s">
        <v>856</v>
      </c>
      <c r="D1" s="262"/>
      <c r="E1" s="262"/>
      <c r="F1" s="262"/>
      <c r="G1" s="262"/>
      <c r="H1" s="262"/>
      <c r="I1" s="262"/>
      <c r="J1" s="263"/>
      <c r="K1" s="14"/>
    </row>
    <row r="2" spans="1:25" ht="49.5" customHeight="1" x14ac:dyDescent="0.25">
      <c r="A2" s="15" t="s">
        <v>736</v>
      </c>
      <c r="B2" s="33" t="s">
        <v>857</v>
      </c>
      <c r="C2" s="264" t="s">
        <v>1068</v>
      </c>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147</v>
      </c>
      <c r="B14" t="s">
        <v>1069</v>
      </c>
      <c r="D14" t="s">
        <v>892</v>
      </c>
      <c r="E14" s="114">
        <v>63000</v>
      </c>
      <c r="F14" s="114">
        <v>61000</v>
      </c>
      <c r="G14" s="114">
        <v>64000</v>
      </c>
      <c r="H14" s="114">
        <v>41000</v>
      </c>
      <c r="I14" s="114">
        <v>32000</v>
      </c>
      <c r="J14" s="114">
        <v>32000</v>
      </c>
      <c r="K14" s="114">
        <v>34000</v>
      </c>
      <c r="L14" s="114">
        <v>31000</v>
      </c>
      <c r="M14" s="114">
        <v>29000</v>
      </c>
      <c r="N14" s="114">
        <v>28000</v>
      </c>
      <c r="O14" s="114">
        <v>36000</v>
      </c>
      <c r="P14" s="114">
        <v>37000</v>
      </c>
      <c r="Q14" s="114">
        <v>37000</v>
      </c>
      <c r="R14" s="114">
        <v>30000</v>
      </c>
      <c r="S14" s="114">
        <v>26141</v>
      </c>
      <c r="T14" s="114">
        <v>29000</v>
      </c>
      <c r="U14" s="183">
        <f>66543*17^-0.313</f>
        <v>27413.965643096428</v>
      </c>
      <c r="V14" s="183">
        <f>66543*18^-0.313</f>
        <v>26927.874988849297</v>
      </c>
      <c r="Y14" t="s">
        <v>43</v>
      </c>
    </row>
    <row r="16" spans="1:25" s="5" customFormat="1" ht="21" x14ac:dyDescent="0.35">
      <c r="B16" s="6" t="s">
        <v>983</v>
      </c>
      <c r="E16" s="5" t="s">
        <v>878</v>
      </c>
    </row>
    <row r="18" spans="1:25" x14ac:dyDescent="0.25">
      <c r="A18" t="s">
        <v>147</v>
      </c>
      <c r="B18" t="s">
        <v>1065</v>
      </c>
      <c r="C18" t="s">
        <v>836</v>
      </c>
      <c r="D18" t="s">
        <v>970</v>
      </c>
      <c r="E18" s="205">
        <v>1.72</v>
      </c>
      <c r="F18" s="205">
        <v>1.72</v>
      </c>
      <c r="G18" s="205">
        <v>1.72</v>
      </c>
      <c r="H18" s="205">
        <v>1.72</v>
      </c>
      <c r="I18" s="205">
        <v>1.72</v>
      </c>
      <c r="J18" s="205">
        <v>1.72</v>
      </c>
      <c r="K18" s="205">
        <v>1.72</v>
      </c>
      <c r="L18" s="205">
        <v>1.72</v>
      </c>
      <c r="M18" s="205">
        <v>1.72</v>
      </c>
      <c r="N18" s="205">
        <v>1.72</v>
      </c>
      <c r="O18" s="205">
        <v>1.72</v>
      </c>
      <c r="P18" s="205">
        <v>1.72</v>
      </c>
      <c r="Q18" s="205">
        <v>1.72</v>
      </c>
      <c r="R18" s="205">
        <v>1.72</v>
      </c>
      <c r="S18" s="205">
        <v>1.72</v>
      </c>
      <c r="T18" s="205">
        <v>1.72</v>
      </c>
      <c r="U18" s="205">
        <v>1.72</v>
      </c>
      <c r="V18" s="205">
        <v>1.72</v>
      </c>
      <c r="Y18" t="s">
        <v>148</v>
      </c>
    </row>
    <row r="20" spans="1:25" s="5" customFormat="1" ht="21" x14ac:dyDescent="0.35">
      <c r="B20" s="6" t="s">
        <v>619</v>
      </c>
      <c r="E20" s="5" t="s">
        <v>881</v>
      </c>
    </row>
    <row r="22" spans="1:25" x14ac:dyDescent="0.25">
      <c r="A22" t="s">
        <v>147</v>
      </c>
      <c r="B22" t="s">
        <v>996</v>
      </c>
      <c r="C22" t="s">
        <v>836</v>
      </c>
      <c r="D22" t="s">
        <v>1066</v>
      </c>
      <c r="E22" s="117">
        <f>(E14*E18)</f>
        <v>108360</v>
      </c>
      <c r="F22" s="117">
        <f t="shared" ref="F22:S22" si="0">(F14*F18)</f>
        <v>104920</v>
      </c>
      <c r="G22" s="117">
        <f t="shared" si="0"/>
        <v>110080</v>
      </c>
      <c r="H22" s="117">
        <f t="shared" si="0"/>
        <v>70520</v>
      </c>
      <c r="I22" s="117">
        <f t="shared" si="0"/>
        <v>55040</v>
      </c>
      <c r="J22" s="117">
        <f t="shared" si="0"/>
        <v>55040</v>
      </c>
      <c r="K22" s="117">
        <f t="shared" si="0"/>
        <v>58480</v>
      </c>
      <c r="L22" s="117">
        <f t="shared" si="0"/>
        <v>53320</v>
      </c>
      <c r="M22" s="117">
        <f t="shared" si="0"/>
        <v>49880</v>
      </c>
      <c r="N22" s="117">
        <f t="shared" si="0"/>
        <v>48160</v>
      </c>
      <c r="O22" s="117">
        <f t="shared" si="0"/>
        <v>61920</v>
      </c>
      <c r="P22" s="117">
        <f t="shared" si="0"/>
        <v>63640</v>
      </c>
      <c r="Q22" s="117">
        <f t="shared" si="0"/>
        <v>63640</v>
      </c>
      <c r="R22" s="117">
        <f t="shared" si="0"/>
        <v>51600</v>
      </c>
      <c r="S22" s="117">
        <f t="shared" si="0"/>
        <v>44962.52</v>
      </c>
      <c r="T22" s="117">
        <f>(T14*T18)</f>
        <v>49880</v>
      </c>
      <c r="U22" s="117">
        <f t="shared" ref="U22:V22" si="1">(U14*U18)</f>
        <v>47152.020906125857</v>
      </c>
      <c r="V22" s="117">
        <f t="shared" si="1"/>
        <v>46315.944980820786</v>
      </c>
    </row>
    <row r="23" spans="1:25" x14ac:dyDescent="0.25">
      <c r="A23" t="s">
        <v>147</v>
      </c>
      <c r="B23" s="7" t="s">
        <v>1067</v>
      </c>
      <c r="C23" s="7" t="s">
        <v>836</v>
      </c>
      <c r="D23" s="7" t="s">
        <v>884</v>
      </c>
      <c r="E23" s="116">
        <f>E22/1000</f>
        <v>108.36</v>
      </c>
      <c r="F23" s="116">
        <f t="shared" ref="F23:S23" si="2">F22/1000</f>
        <v>104.92</v>
      </c>
      <c r="G23" s="116">
        <f t="shared" si="2"/>
        <v>110.08</v>
      </c>
      <c r="H23" s="116">
        <f t="shared" si="2"/>
        <v>70.52</v>
      </c>
      <c r="I23" s="116">
        <f t="shared" si="2"/>
        <v>55.04</v>
      </c>
      <c r="J23" s="116">
        <f t="shared" si="2"/>
        <v>55.04</v>
      </c>
      <c r="K23" s="116">
        <f t="shared" si="2"/>
        <v>58.48</v>
      </c>
      <c r="L23" s="116">
        <f t="shared" si="2"/>
        <v>53.32</v>
      </c>
      <c r="M23" s="116">
        <f t="shared" si="2"/>
        <v>49.88</v>
      </c>
      <c r="N23" s="116">
        <f t="shared" si="2"/>
        <v>48.16</v>
      </c>
      <c r="O23" s="116">
        <f t="shared" si="2"/>
        <v>61.92</v>
      </c>
      <c r="P23" s="116">
        <f t="shared" si="2"/>
        <v>63.64</v>
      </c>
      <c r="Q23" s="116">
        <f t="shared" si="2"/>
        <v>63.64</v>
      </c>
      <c r="R23" s="116">
        <f t="shared" si="2"/>
        <v>51.6</v>
      </c>
      <c r="S23" s="116">
        <f t="shared" si="2"/>
        <v>44.962519999999998</v>
      </c>
      <c r="T23" s="116">
        <f>T22/1000</f>
        <v>49.88</v>
      </c>
      <c r="U23" s="116">
        <f t="shared" ref="U23:V23" si="3">U22/1000</f>
        <v>47.152020906125856</v>
      </c>
      <c r="V23" s="116">
        <f t="shared" si="3"/>
        <v>46.315944980820788</v>
      </c>
    </row>
    <row r="25" spans="1:25" s="5" customFormat="1" ht="21" x14ac:dyDescent="0.35">
      <c r="B25" s="6" t="s">
        <v>885</v>
      </c>
      <c r="E25" s="5" t="s">
        <v>886</v>
      </c>
      <c r="M25" s="5" t="s">
        <v>900</v>
      </c>
    </row>
    <row r="27" spans="1:25" x14ac:dyDescent="0.25">
      <c r="A27" s="27"/>
      <c r="B27" s="26"/>
      <c r="C27" s="26"/>
      <c r="D27" s="26"/>
      <c r="E27" s="26"/>
      <c r="F27" s="26"/>
      <c r="G27" s="26"/>
      <c r="H27" s="26"/>
    </row>
    <row r="48" spans="1:23" ht="21" x14ac:dyDescent="0.35">
      <c r="A48" s="5"/>
      <c r="B48" s="6" t="s">
        <v>346</v>
      </c>
      <c r="C48" s="5"/>
      <c r="D48" s="5"/>
      <c r="E48" s="5" t="s">
        <v>887</v>
      </c>
      <c r="F48" s="5"/>
      <c r="G48" s="5"/>
      <c r="H48" s="5"/>
      <c r="I48" s="5"/>
      <c r="J48" s="5"/>
      <c r="K48" s="5"/>
      <c r="L48" s="5"/>
      <c r="M48" s="5"/>
      <c r="N48" s="5"/>
      <c r="O48" s="5"/>
      <c r="P48" s="5"/>
      <c r="Q48" s="5"/>
      <c r="R48" s="5"/>
      <c r="S48" s="5"/>
      <c r="T48" s="5"/>
      <c r="U48" s="5"/>
      <c r="V48" s="5"/>
      <c r="W48" s="5"/>
    </row>
    <row r="49" spans="1:23" ht="18.75" x14ac:dyDescent="0.3">
      <c r="A49" s="12" t="s">
        <v>844</v>
      </c>
      <c r="E49" t="s">
        <v>888</v>
      </c>
    </row>
    <row r="50" spans="1:23" x14ac:dyDescent="0.25">
      <c r="A50" s="8"/>
      <c r="B50" s="9" t="s">
        <v>865</v>
      </c>
      <c r="C50" s="8"/>
      <c r="D50" s="8"/>
      <c r="E50" s="8"/>
      <c r="F50" s="8"/>
      <c r="G50" s="8"/>
      <c r="H50" s="8"/>
      <c r="I50" s="8"/>
      <c r="J50" s="8"/>
      <c r="K50" s="8"/>
      <c r="L50" s="8"/>
      <c r="M50" s="8"/>
      <c r="N50" s="8"/>
      <c r="O50" s="8"/>
      <c r="P50" s="8"/>
      <c r="Q50" s="8"/>
      <c r="R50" s="8"/>
      <c r="S50" s="8"/>
      <c r="T50" s="8"/>
      <c r="U50" s="8"/>
      <c r="V50" s="8"/>
      <c r="W50" s="8"/>
    </row>
    <row r="52" spans="1:23" x14ac:dyDescent="0.25">
      <c r="A52" s="10" t="s">
        <v>867</v>
      </c>
      <c r="B52" s="10" t="s">
        <v>868</v>
      </c>
      <c r="C52" s="10" t="s">
        <v>482</v>
      </c>
      <c r="D52" s="10" t="s">
        <v>740</v>
      </c>
      <c r="E52" s="10">
        <v>2000</v>
      </c>
      <c r="F52" s="10">
        <v>2001</v>
      </c>
      <c r="G52" s="10">
        <v>2002</v>
      </c>
      <c r="H52" s="10">
        <v>2003</v>
      </c>
      <c r="I52" s="10">
        <v>2004</v>
      </c>
      <c r="J52" s="10">
        <v>2005</v>
      </c>
      <c r="K52" s="10">
        <v>2006</v>
      </c>
      <c r="L52" s="10">
        <v>2007</v>
      </c>
      <c r="M52" s="10">
        <v>2008</v>
      </c>
      <c r="N52" s="10">
        <v>2009</v>
      </c>
      <c r="O52" s="10">
        <v>2010</v>
      </c>
      <c r="P52" s="10">
        <v>2011</v>
      </c>
      <c r="Q52" s="10">
        <v>2012</v>
      </c>
      <c r="R52" s="10">
        <v>2013</v>
      </c>
      <c r="S52" s="10">
        <v>2014</v>
      </c>
      <c r="T52" s="10">
        <v>2015</v>
      </c>
      <c r="U52" s="10"/>
      <c r="V52" s="10"/>
      <c r="W52" s="10" t="s">
        <v>741</v>
      </c>
    </row>
    <row r="53" spans="1:23" x14ac:dyDescent="0.25">
      <c r="A53" s="11" t="s">
        <v>147</v>
      </c>
      <c r="B53" s="11" t="s">
        <v>1069</v>
      </c>
      <c r="C53" s="11"/>
      <c r="D53" s="11" t="s">
        <v>892</v>
      </c>
      <c r="E53" s="29">
        <v>63000</v>
      </c>
      <c r="F53" s="29">
        <v>61000</v>
      </c>
      <c r="G53" s="29">
        <v>64000</v>
      </c>
      <c r="H53" s="29">
        <v>41000</v>
      </c>
      <c r="I53" s="29">
        <v>32000</v>
      </c>
      <c r="J53" s="29">
        <v>32000</v>
      </c>
      <c r="K53" s="29">
        <v>34000</v>
      </c>
      <c r="L53" s="29">
        <v>31000</v>
      </c>
      <c r="M53" s="29">
        <v>29000</v>
      </c>
      <c r="N53" s="29">
        <v>28000</v>
      </c>
      <c r="O53" s="29">
        <v>36000</v>
      </c>
      <c r="P53" s="29">
        <v>37000</v>
      </c>
      <c r="Q53" s="29">
        <v>37000</v>
      </c>
      <c r="R53" s="29">
        <v>30000</v>
      </c>
      <c r="S53" s="29">
        <v>26141</v>
      </c>
      <c r="T53" s="29">
        <v>29000</v>
      </c>
      <c r="U53" s="4"/>
      <c r="V53" s="4"/>
    </row>
    <row r="54" spans="1:23" x14ac:dyDescent="0.25">
      <c r="E54" s="11"/>
      <c r="F54" s="11"/>
      <c r="G54" s="11"/>
      <c r="H54" s="11"/>
      <c r="I54" s="11"/>
      <c r="J54" s="11"/>
      <c r="K54" s="11"/>
      <c r="L54" s="11"/>
      <c r="M54" s="11"/>
      <c r="N54" s="11"/>
      <c r="O54" s="11"/>
      <c r="P54" s="11"/>
      <c r="Q54" s="11"/>
      <c r="R54" s="11"/>
      <c r="S54" s="11"/>
      <c r="T54" s="11"/>
    </row>
    <row r="55" spans="1:23" x14ac:dyDescent="0.25">
      <c r="A55" s="8"/>
      <c r="B55" s="9" t="s">
        <v>877</v>
      </c>
      <c r="C55" s="8"/>
      <c r="D55" s="8"/>
      <c r="E55" s="197"/>
      <c r="F55" s="197"/>
      <c r="G55" s="197"/>
      <c r="H55" s="197"/>
      <c r="I55" s="197"/>
      <c r="J55" s="197"/>
      <c r="K55" s="197"/>
      <c r="L55" s="197"/>
      <c r="M55" s="197"/>
      <c r="N55" s="197"/>
      <c r="O55" s="197"/>
      <c r="P55" s="197"/>
      <c r="Q55" s="197"/>
      <c r="R55" s="197"/>
      <c r="S55" s="197"/>
      <c r="T55" s="197"/>
      <c r="U55" s="8"/>
      <c r="V55" s="8"/>
      <c r="W55" s="8"/>
    </row>
    <row r="56" spans="1:23" x14ac:dyDescent="0.25">
      <c r="E56" s="11"/>
      <c r="F56" s="11"/>
      <c r="G56" s="11"/>
      <c r="H56" s="11"/>
      <c r="I56" s="11"/>
      <c r="J56" s="11"/>
      <c r="K56" s="11"/>
      <c r="L56" s="11"/>
      <c r="M56" s="11"/>
      <c r="N56" s="11"/>
      <c r="O56" s="11"/>
      <c r="P56" s="11"/>
      <c r="Q56" s="11"/>
      <c r="R56" s="11"/>
      <c r="S56" s="11"/>
      <c r="T56" s="11"/>
    </row>
    <row r="57" spans="1:23" x14ac:dyDescent="0.25">
      <c r="A57" s="11" t="s">
        <v>147</v>
      </c>
      <c r="B57" s="11" t="s">
        <v>1065</v>
      </c>
      <c r="C57" s="11" t="s">
        <v>836</v>
      </c>
      <c r="D57" s="11" t="s">
        <v>970</v>
      </c>
      <c r="E57" s="29">
        <v>1.72</v>
      </c>
      <c r="F57" s="29">
        <v>1.72</v>
      </c>
      <c r="G57" s="29">
        <v>1.72</v>
      </c>
      <c r="H57" s="29">
        <v>1.72</v>
      </c>
      <c r="I57" s="29">
        <v>1.72</v>
      </c>
      <c r="J57" s="29">
        <v>1.72</v>
      </c>
      <c r="K57" s="29">
        <v>1.72</v>
      </c>
      <c r="L57" s="29">
        <v>1.72</v>
      </c>
      <c r="M57" s="29">
        <v>1.72</v>
      </c>
      <c r="N57" s="29">
        <v>1.72</v>
      </c>
      <c r="O57" s="29">
        <v>1.72</v>
      </c>
      <c r="P57" s="29">
        <v>1.72</v>
      </c>
      <c r="Q57" s="29">
        <v>1.72</v>
      </c>
      <c r="R57" s="29">
        <v>1.72</v>
      </c>
      <c r="S57" s="29">
        <v>1.72</v>
      </c>
      <c r="T57" s="29">
        <v>1.72</v>
      </c>
      <c r="U57" s="4"/>
      <c r="V57" s="4"/>
    </row>
    <row r="58" spans="1:23" x14ac:dyDescent="0.25">
      <c r="E58" s="11"/>
      <c r="F58" s="11"/>
      <c r="G58" s="11"/>
      <c r="H58" s="11"/>
      <c r="I58" s="11"/>
      <c r="J58" s="11"/>
      <c r="K58" s="11"/>
      <c r="L58" s="11"/>
      <c r="M58" s="11"/>
      <c r="N58" s="11"/>
      <c r="O58" s="11"/>
      <c r="P58" s="11"/>
      <c r="Q58" s="11"/>
      <c r="R58" s="11"/>
      <c r="S58" s="11"/>
      <c r="T58" s="11"/>
    </row>
    <row r="59" spans="1:23" x14ac:dyDescent="0.25">
      <c r="A59" s="8"/>
      <c r="B59" s="9" t="s">
        <v>619</v>
      </c>
      <c r="C59" s="8"/>
      <c r="D59" s="8"/>
      <c r="E59" s="197"/>
      <c r="F59" s="197"/>
      <c r="G59" s="197"/>
      <c r="H59" s="197"/>
      <c r="I59" s="197"/>
      <c r="J59" s="197"/>
      <c r="K59" s="197"/>
      <c r="L59" s="197"/>
      <c r="M59" s="197"/>
      <c r="N59" s="197"/>
      <c r="O59" s="197"/>
      <c r="P59" s="197"/>
      <c r="Q59" s="197"/>
      <c r="R59" s="197"/>
      <c r="S59" s="197"/>
      <c r="T59" s="197"/>
      <c r="U59" s="8"/>
      <c r="V59" s="8"/>
      <c r="W59" s="8"/>
    </row>
    <row r="60" spans="1:23" x14ac:dyDescent="0.25">
      <c r="E60" s="11"/>
      <c r="F60" s="11"/>
      <c r="G60" s="11"/>
      <c r="H60" s="11"/>
      <c r="I60" s="11"/>
      <c r="J60" s="11"/>
      <c r="K60" s="11"/>
      <c r="L60" s="11"/>
      <c r="M60" s="11"/>
      <c r="N60" s="11"/>
      <c r="O60" s="11"/>
      <c r="P60" s="11"/>
      <c r="Q60" s="11"/>
      <c r="R60" s="11"/>
      <c r="S60" s="11"/>
      <c r="T60" s="11"/>
    </row>
    <row r="61" spans="1:23" x14ac:dyDescent="0.25">
      <c r="A61" s="11" t="s">
        <v>147</v>
      </c>
      <c r="B61" s="11" t="s">
        <v>996</v>
      </c>
      <c r="C61" s="11" t="s">
        <v>836</v>
      </c>
      <c r="D61" s="11" t="s">
        <v>1066</v>
      </c>
      <c r="E61" s="29">
        <v>108360</v>
      </c>
      <c r="F61" s="29">
        <v>104920</v>
      </c>
      <c r="G61" s="29">
        <v>110080</v>
      </c>
      <c r="H61" s="29">
        <v>70520</v>
      </c>
      <c r="I61" s="29">
        <v>55040</v>
      </c>
      <c r="J61" s="29">
        <v>55040</v>
      </c>
      <c r="K61" s="29">
        <v>58480</v>
      </c>
      <c r="L61" s="29">
        <v>53320</v>
      </c>
      <c r="M61" s="29">
        <v>49880</v>
      </c>
      <c r="N61" s="29">
        <v>48160</v>
      </c>
      <c r="O61" s="29">
        <v>61920</v>
      </c>
      <c r="P61" s="29">
        <v>63640</v>
      </c>
      <c r="Q61" s="29">
        <v>63640</v>
      </c>
      <c r="R61" s="29">
        <v>51600</v>
      </c>
      <c r="S61" s="29">
        <v>44962.52</v>
      </c>
      <c r="T61" s="29">
        <v>49880</v>
      </c>
      <c r="U61" s="4"/>
      <c r="V61" s="4"/>
    </row>
    <row r="62" spans="1:23" x14ac:dyDescent="0.25">
      <c r="A62" s="11" t="s">
        <v>147</v>
      </c>
      <c r="B62" s="11" t="s">
        <v>1067</v>
      </c>
      <c r="C62" s="11" t="s">
        <v>836</v>
      </c>
      <c r="D62" s="11" t="s">
        <v>884</v>
      </c>
      <c r="E62" s="29">
        <v>108.36</v>
      </c>
      <c r="F62" s="29">
        <v>104.92</v>
      </c>
      <c r="G62" s="29">
        <v>110.08</v>
      </c>
      <c r="H62" s="29">
        <v>70.52</v>
      </c>
      <c r="I62" s="29">
        <v>55.04</v>
      </c>
      <c r="J62" s="29">
        <v>55.04</v>
      </c>
      <c r="K62" s="29">
        <v>58.48</v>
      </c>
      <c r="L62" s="29">
        <v>53.32</v>
      </c>
      <c r="M62" s="29">
        <v>49.88</v>
      </c>
      <c r="N62" s="29">
        <v>48.16</v>
      </c>
      <c r="O62" s="29">
        <v>61.92</v>
      </c>
      <c r="P62" s="29">
        <v>63.64</v>
      </c>
      <c r="Q62" s="29">
        <v>63.64</v>
      </c>
      <c r="R62" s="29">
        <v>51.6</v>
      </c>
      <c r="S62" s="29">
        <v>44.962519999999998</v>
      </c>
      <c r="T62" s="29">
        <v>49.88</v>
      </c>
      <c r="U62" s="4"/>
      <c r="V62" s="4"/>
    </row>
    <row r="63" spans="1:23" x14ac:dyDescent="0.25">
      <c r="A63" s="7"/>
      <c r="B63" s="7"/>
      <c r="C63" s="7"/>
      <c r="D63" s="7"/>
    </row>
    <row r="64" spans="1:23" ht="18.75" x14ac:dyDescent="0.3">
      <c r="A64" s="13" t="s">
        <v>346</v>
      </c>
    </row>
    <row r="65" spans="1:23" x14ac:dyDescent="0.25">
      <c r="A65" s="8"/>
      <c r="B65" s="9" t="s">
        <v>865</v>
      </c>
      <c r="C65" s="8"/>
      <c r="D65" s="8" t="s">
        <v>852</v>
      </c>
      <c r="E65" s="8"/>
      <c r="F65" s="8"/>
      <c r="G65" s="8"/>
      <c r="H65" s="8"/>
      <c r="I65" s="8"/>
      <c r="J65" s="8"/>
      <c r="K65" s="8"/>
      <c r="L65" s="8"/>
      <c r="M65" s="8"/>
      <c r="N65" s="8"/>
      <c r="O65" s="8"/>
      <c r="P65" s="8"/>
      <c r="Q65" s="8"/>
      <c r="R65" s="8"/>
      <c r="S65" s="8"/>
      <c r="T65" s="8"/>
      <c r="U65" s="8"/>
      <c r="V65" s="8"/>
      <c r="W65" s="22"/>
    </row>
    <row r="67" spans="1:23" x14ac:dyDescent="0.25">
      <c r="A67" s="10" t="s">
        <v>867</v>
      </c>
      <c r="B67" s="10" t="s">
        <v>868</v>
      </c>
      <c r="C67" s="10" t="s">
        <v>482</v>
      </c>
      <c r="D67" s="10" t="s">
        <v>740</v>
      </c>
      <c r="E67" s="10">
        <v>2000</v>
      </c>
      <c r="F67" s="10">
        <v>2001</v>
      </c>
      <c r="G67" s="10">
        <v>2002</v>
      </c>
      <c r="H67" s="10">
        <v>2003</v>
      </c>
      <c r="I67" s="10">
        <v>2004</v>
      </c>
      <c r="J67" s="10">
        <v>2005</v>
      </c>
      <c r="K67" s="10">
        <v>2006</v>
      </c>
      <c r="L67" s="10">
        <v>2007</v>
      </c>
      <c r="M67" s="10">
        <v>2008</v>
      </c>
      <c r="N67" s="10">
        <v>2009</v>
      </c>
      <c r="O67" s="10">
        <v>2010</v>
      </c>
      <c r="P67" s="10">
        <v>2011</v>
      </c>
      <c r="Q67" s="10">
        <v>2012</v>
      </c>
      <c r="R67" s="10">
        <v>2013</v>
      </c>
      <c r="S67" s="10">
        <v>2014</v>
      </c>
      <c r="T67" s="10">
        <v>2015</v>
      </c>
      <c r="U67" s="10"/>
      <c r="V67" s="10"/>
    </row>
    <row r="68" spans="1:23" x14ac:dyDescent="0.25">
      <c r="A68" s="11" t="s">
        <v>147</v>
      </c>
      <c r="B68" s="11" t="s">
        <v>1069</v>
      </c>
      <c r="C68" s="11"/>
      <c r="D68" s="11" t="s">
        <v>892</v>
      </c>
      <c r="E68" s="41">
        <f t="shared" ref="E68:S68" si="4">IFERROR(((E14/E53)-1),"CHECK")</f>
        <v>0</v>
      </c>
      <c r="F68" s="41">
        <f t="shared" si="4"/>
        <v>0</v>
      </c>
      <c r="G68" s="41">
        <f t="shared" si="4"/>
        <v>0</v>
      </c>
      <c r="H68" s="41">
        <f t="shared" si="4"/>
        <v>0</v>
      </c>
      <c r="I68" s="41">
        <f t="shared" si="4"/>
        <v>0</v>
      </c>
      <c r="J68" s="41">
        <f t="shared" si="4"/>
        <v>0</v>
      </c>
      <c r="K68" s="41">
        <f t="shared" si="4"/>
        <v>0</v>
      </c>
      <c r="L68" s="41">
        <f t="shared" si="4"/>
        <v>0</v>
      </c>
      <c r="M68" s="41">
        <f t="shared" si="4"/>
        <v>0</v>
      </c>
      <c r="N68" s="41">
        <f t="shared" si="4"/>
        <v>0</v>
      </c>
      <c r="O68" s="41">
        <f t="shared" si="4"/>
        <v>0</v>
      </c>
      <c r="P68" s="41">
        <f t="shared" si="4"/>
        <v>0</v>
      </c>
      <c r="Q68" s="41">
        <f t="shared" si="4"/>
        <v>0</v>
      </c>
      <c r="R68" s="41">
        <f t="shared" si="4"/>
        <v>0</v>
      </c>
      <c r="S68" s="41">
        <f t="shared" si="4"/>
        <v>0</v>
      </c>
      <c r="T68" s="41">
        <f>IFERROR(((T14/T53)-1),"CHECK")</f>
        <v>0</v>
      </c>
      <c r="U68" s="41"/>
      <c r="V68" s="41"/>
    </row>
    <row r="70" spans="1:23" x14ac:dyDescent="0.25">
      <c r="A70" s="8"/>
      <c r="B70" s="9" t="s">
        <v>877</v>
      </c>
      <c r="C70" s="8"/>
      <c r="D70" s="8"/>
      <c r="E70" s="8"/>
      <c r="F70" s="8"/>
      <c r="G70" s="8"/>
      <c r="H70" s="8"/>
      <c r="I70" s="8"/>
      <c r="J70" s="8"/>
      <c r="K70" s="8"/>
      <c r="L70" s="8"/>
      <c r="M70" s="8"/>
      <c r="N70" s="8"/>
      <c r="O70" s="8"/>
      <c r="P70" s="8"/>
      <c r="Q70" s="8"/>
      <c r="R70" s="8"/>
      <c r="S70" s="8"/>
      <c r="T70" s="8"/>
      <c r="U70" s="8"/>
      <c r="V70" s="8"/>
    </row>
    <row r="72" spans="1:23" x14ac:dyDescent="0.25">
      <c r="A72" s="11" t="s">
        <v>147</v>
      </c>
      <c r="B72" s="11" t="s">
        <v>1065</v>
      </c>
      <c r="C72" s="11" t="s">
        <v>836</v>
      </c>
      <c r="D72" s="11" t="s">
        <v>970</v>
      </c>
      <c r="E72" s="41">
        <f t="shared" ref="E72:S72" si="5">IFERROR(((E18/E57)-1),"CHECK")</f>
        <v>0</v>
      </c>
      <c r="F72" s="41">
        <f t="shared" si="5"/>
        <v>0</v>
      </c>
      <c r="G72" s="41">
        <f t="shared" si="5"/>
        <v>0</v>
      </c>
      <c r="H72" s="41">
        <f t="shared" si="5"/>
        <v>0</v>
      </c>
      <c r="I72" s="41">
        <f t="shared" si="5"/>
        <v>0</v>
      </c>
      <c r="J72" s="41">
        <f t="shared" si="5"/>
        <v>0</v>
      </c>
      <c r="K72" s="41">
        <f t="shared" si="5"/>
        <v>0</v>
      </c>
      <c r="L72" s="41">
        <f t="shared" si="5"/>
        <v>0</v>
      </c>
      <c r="M72" s="41">
        <f t="shared" si="5"/>
        <v>0</v>
      </c>
      <c r="N72" s="41">
        <f t="shared" si="5"/>
        <v>0</v>
      </c>
      <c r="O72" s="41">
        <f t="shared" si="5"/>
        <v>0</v>
      </c>
      <c r="P72" s="41">
        <f t="shared" si="5"/>
        <v>0</v>
      </c>
      <c r="Q72" s="41">
        <f t="shared" si="5"/>
        <v>0</v>
      </c>
      <c r="R72" s="41">
        <f t="shared" si="5"/>
        <v>0</v>
      </c>
      <c r="S72" s="41">
        <f t="shared" si="5"/>
        <v>0</v>
      </c>
      <c r="T72" s="41">
        <f>IFERROR(((T18/T57)-1),"CHECK")</f>
        <v>0</v>
      </c>
      <c r="U72" s="41"/>
      <c r="V72" s="41"/>
    </row>
    <row r="74" spans="1:23" x14ac:dyDescent="0.25">
      <c r="A74" s="8"/>
      <c r="B74" s="9" t="s">
        <v>619</v>
      </c>
      <c r="C74" s="8"/>
      <c r="D74" s="8"/>
      <c r="E74" s="8"/>
      <c r="F74" s="8"/>
      <c r="G74" s="8"/>
      <c r="H74" s="8"/>
      <c r="I74" s="8"/>
      <c r="J74" s="8"/>
      <c r="K74" s="8"/>
      <c r="L74" s="8"/>
      <c r="M74" s="8"/>
      <c r="N74" s="8"/>
      <c r="O74" s="8"/>
      <c r="P74" s="8"/>
      <c r="Q74" s="8"/>
      <c r="R74" s="8"/>
      <c r="S74" s="8"/>
      <c r="T74" s="8"/>
      <c r="U74" s="8"/>
      <c r="V74" s="8"/>
    </row>
    <row r="76" spans="1:23" x14ac:dyDescent="0.25">
      <c r="A76" s="11" t="s">
        <v>147</v>
      </c>
      <c r="B76" s="11" t="s">
        <v>996</v>
      </c>
      <c r="C76" s="11" t="s">
        <v>836</v>
      </c>
      <c r="D76" s="11" t="s">
        <v>1066</v>
      </c>
      <c r="E76" s="41">
        <f t="shared" ref="E76:S76" si="6">IFERROR(((E22/E61)-1),"CHECK")</f>
        <v>0</v>
      </c>
      <c r="F76" s="41">
        <f t="shared" si="6"/>
        <v>0</v>
      </c>
      <c r="G76" s="41">
        <f t="shared" si="6"/>
        <v>0</v>
      </c>
      <c r="H76" s="41">
        <f t="shared" si="6"/>
        <v>0</v>
      </c>
      <c r="I76" s="41">
        <f t="shared" si="6"/>
        <v>0</v>
      </c>
      <c r="J76" s="41">
        <f t="shared" si="6"/>
        <v>0</v>
      </c>
      <c r="K76" s="41">
        <f t="shared" si="6"/>
        <v>0</v>
      </c>
      <c r="L76" s="41">
        <f t="shared" si="6"/>
        <v>0</v>
      </c>
      <c r="M76" s="41">
        <f t="shared" si="6"/>
        <v>0</v>
      </c>
      <c r="N76" s="41">
        <f t="shared" si="6"/>
        <v>0</v>
      </c>
      <c r="O76" s="41">
        <f t="shared" si="6"/>
        <v>0</v>
      </c>
      <c r="P76" s="41">
        <f t="shared" si="6"/>
        <v>0</v>
      </c>
      <c r="Q76" s="41">
        <f t="shared" si="6"/>
        <v>0</v>
      </c>
      <c r="R76" s="41">
        <f t="shared" si="6"/>
        <v>0</v>
      </c>
      <c r="S76" s="41">
        <f t="shared" si="6"/>
        <v>0</v>
      </c>
      <c r="T76" s="41">
        <f>IFERROR(((T22/T61)-1),"CHECK")</f>
        <v>0</v>
      </c>
      <c r="U76" s="41"/>
      <c r="V76" s="41"/>
    </row>
    <row r="77" spans="1:23" x14ac:dyDescent="0.25">
      <c r="A77" s="11" t="s">
        <v>147</v>
      </c>
      <c r="B77" s="11" t="s">
        <v>1067</v>
      </c>
      <c r="C77" s="11" t="s">
        <v>836</v>
      </c>
      <c r="D77" s="11" t="s">
        <v>884</v>
      </c>
      <c r="E77" s="41">
        <f t="shared" ref="E77:S77" si="7">IFERROR(((E23/E62)-1),"CHECK")</f>
        <v>0</v>
      </c>
      <c r="F77" s="41">
        <f t="shared" si="7"/>
        <v>0</v>
      </c>
      <c r="G77" s="41">
        <f t="shared" si="7"/>
        <v>0</v>
      </c>
      <c r="H77" s="41">
        <f t="shared" si="7"/>
        <v>0</v>
      </c>
      <c r="I77" s="41">
        <f t="shared" si="7"/>
        <v>0</v>
      </c>
      <c r="J77" s="41">
        <f t="shared" si="7"/>
        <v>0</v>
      </c>
      <c r="K77" s="41">
        <f t="shared" si="7"/>
        <v>0</v>
      </c>
      <c r="L77" s="41">
        <f t="shared" si="7"/>
        <v>0</v>
      </c>
      <c r="M77" s="41">
        <f t="shared" si="7"/>
        <v>0</v>
      </c>
      <c r="N77" s="41">
        <f t="shared" si="7"/>
        <v>0</v>
      </c>
      <c r="O77" s="41">
        <f t="shared" si="7"/>
        <v>0</v>
      </c>
      <c r="P77" s="41">
        <f t="shared" si="7"/>
        <v>0</v>
      </c>
      <c r="Q77" s="41">
        <f t="shared" si="7"/>
        <v>0</v>
      </c>
      <c r="R77" s="41">
        <f t="shared" si="7"/>
        <v>0</v>
      </c>
      <c r="S77" s="41">
        <f t="shared" si="7"/>
        <v>0</v>
      </c>
      <c r="T77" s="41">
        <f>IFERROR(((T23/T62)-1),"CHECK")</f>
        <v>0</v>
      </c>
      <c r="U77" s="41"/>
      <c r="V77" s="41"/>
    </row>
  </sheetData>
  <mergeCells count="2">
    <mergeCell ref="C1:J1"/>
    <mergeCell ref="C2:J2"/>
  </mergeCells>
  <conditionalFormatting sqref="K2">
    <cfRule type="expression" dxfId="13" priority="2">
      <formula>(UPPER(LEFT(SUBSTITUTE($Z2,"#",""),5))="FIXCH")</formula>
    </cfRule>
    <cfRule type="expression" dxfId="12" priority="3">
      <formula>(UPPER(SUBSTITUTE($Z2,"#",""))="OK")</formula>
    </cfRule>
  </conditionalFormatting>
  <conditionalFormatting sqref="E76:S77 E72:S72 E68:S68">
    <cfRule type="colorScale" priority="4">
      <colorScale>
        <cfvo type="min"/>
        <cfvo type="num" val="0"/>
        <cfvo type="max"/>
        <color theme="3" tint="0.59999389629810485"/>
        <color theme="0"/>
        <color rgb="FFEE9CA4"/>
      </colorScale>
    </cfRule>
  </conditionalFormatting>
  <conditionalFormatting sqref="T76:V77 T72:V72 T68:V68">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0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000-000072000000}">
          <x14:colorSeries rgb="FF376092"/>
          <x14:colorNegative rgb="FFD00000"/>
          <x14:colorAxis rgb="FF000000"/>
          <x14:colorMarkers rgb="FFD00000"/>
          <x14:colorFirst rgb="FFD00000"/>
          <x14:colorLast rgb="FFD00000"/>
          <x14:colorHigh rgb="FFD00000"/>
          <x14:colorLow rgb="FFD00000"/>
          <x14:sparklines>
            <x14:sparkline>
              <xm:f>'2C6 Zinc Production'!E61:T61</xm:f>
              <xm:sqref>W61</xm:sqref>
            </x14:sparkline>
            <x14:sparkline>
              <xm:f>'2C6 Zinc Production'!E62:T62</xm:f>
              <xm:sqref>W62</xm:sqref>
            </x14:sparkline>
          </x14:sparklines>
        </x14:sparklineGroup>
        <x14:sparklineGroup manualMax="0" manualMin="0" displayEmptyCellsAs="gap" xr2:uid="{00000000-0003-0000-2000-000071000000}">
          <x14:colorSeries rgb="FF376092"/>
          <x14:colorNegative rgb="FFD00000"/>
          <x14:colorAxis rgb="FF000000"/>
          <x14:colorMarkers rgb="FFD00000"/>
          <x14:colorFirst rgb="FFD00000"/>
          <x14:colorLast rgb="FFD00000"/>
          <x14:colorHigh rgb="FFD00000"/>
          <x14:colorLow rgb="FFD00000"/>
          <x14:sparklines>
            <x14:sparkline>
              <xm:f>'2C6 Zinc Production'!E53:T53</xm:f>
              <xm:sqref>W53</xm:sqref>
            </x14:sparkline>
          </x14:sparklines>
        </x14:sparklineGroup>
        <x14:sparklineGroup manualMax="0" manualMin="0" displayEmptyCellsAs="gap" xr2:uid="{00000000-0003-0000-2000-000070000000}">
          <x14:colorSeries rgb="FF376092"/>
          <x14:colorNegative rgb="FFD00000"/>
          <x14:colorAxis rgb="FF000000"/>
          <x14:colorMarkers rgb="FFD00000"/>
          <x14:colorFirst rgb="FFD00000"/>
          <x14:colorLast rgb="FFD00000"/>
          <x14:colorHigh rgb="FFD00000"/>
          <x14:colorLow rgb="FFD00000"/>
          <x14:sparklines>
            <x14:sparkline>
              <xm:f>'2C6 Zinc Production'!E57:T57</xm:f>
              <xm:sqref>W57</xm:sqref>
            </x14:sparkline>
          </x14:sparklines>
        </x14:sparklineGroup>
        <x14:sparklineGroup manualMax="0" manualMin="0" displayEmptyCellsAs="gap" xr2:uid="{00000000-0003-0000-2000-00006F000000}">
          <x14:colorSeries rgb="FF376092"/>
          <x14:colorNegative rgb="FFD00000"/>
          <x14:colorAxis rgb="FF000000"/>
          <x14:colorMarkers rgb="FFD00000"/>
          <x14:colorFirst rgb="FFD00000"/>
          <x14:colorLast rgb="FFD00000"/>
          <x14:colorHigh rgb="FFD00000"/>
          <x14:colorLow rgb="FFD00000"/>
          <x14:sparklines>
            <x14:sparkline>
              <xm:f>'2C6 Zinc Production'!E18:V18</xm:f>
              <xm:sqref>W18</xm:sqref>
            </x14:sparkline>
          </x14:sparklines>
        </x14:sparklineGroup>
        <x14:sparklineGroup manualMax="0" manualMin="0" displayEmptyCellsAs="gap" xr2:uid="{00000000-0003-0000-2000-00006E000000}">
          <x14:colorSeries rgb="FF376092"/>
          <x14:colorNegative rgb="FFD00000"/>
          <x14:colorAxis rgb="FF000000"/>
          <x14:colorMarkers rgb="FFD00000"/>
          <x14:colorFirst rgb="FFD00000"/>
          <x14:colorLast rgb="FFD00000"/>
          <x14:colorHigh rgb="FFD00000"/>
          <x14:colorLow rgb="FFD00000"/>
          <x14:sparklines>
            <x14:sparkline>
              <xm:f>'2C6 Zinc Production'!E14:V14</xm:f>
              <xm:sqref>W14</xm:sqref>
            </x14:sparkline>
          </x14:sparklines>
        </x14:sparklineGroup>
        <x14:sparklineGroup manualMax="0" manualMin="0" displayEmptyCellsAs="gap" xr2:uid="{00000000-0003-0000-2000-00006D000000}">
          <x14:colorSeries rgb="FF376092"/>
          <x14:colorNegative rgb="FFD00000"/>
          <x14:colorAxis rgb="FF000000"/>
          <x14:colorMarkers rgb="FFD00000"/>
          <x14:colorFirst rgb="FFD00000"/>
          <x14:colorLast rgb="FFD00000"/>
          <x14:colorHigh rgb="FFD00000"/>
          <x14:colorLow rgb="FFD00000"/>
          <x14:sparklines>
            <x14:sparkline>
              <xm:f>'2C6 Zinc Production'!E22:V22</xm:f>
              <xm:sqref>W22</xm:sqref>
            </x14:sparkline>
            <x14:sparkline>
              <xm:f>'2C6 Zinc Production'!E23:V23</xm:f>
              <xm:sqref>W23</xm:sqref>
            </x14:sparkline>
          </x14:sparklines>
        </x14:sparklineGroup>
      </x14:sparklineGroup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0">
    <tabColor rgb="FF00B0F0"/>
  </sheetPr>
  <dimension ref="A1:AC26"/>
  <sheetViews>
    <sheetView workbookViewId="0">
      <selection activeCell="S31" sqref="S31"/>
    </sheetView>
  </sheetViews>
  <sheetFormatPr defaultRowHeight="15" x14ac:dyDescent="0.25"/>
  <cols>
    <col min="1" max="1" width="34.140625" bestFit="1" customWidth="1"/>
    <col min="2" max="2" width="13.28515625" customWidth="1"/>
    <col min="3" max="3" width="31.28515625" bestFit="1" customWidth="1"/>
    <col min="5" max="5" width="11.140625" customWidth="1"/>
  </cols>
  <sheetData>
    <row r="1" spans="1:29" s="6" customFormat="1" ht="21" x14ac:dyDescent="0.35">
      <c r="A1" s="6" t="s">
        <v>734</v>
      </c>
      <c r="C1" s="28" t="s">
        <v>735</v>
      </c>
    </row>
    <row r="3" spans="1:29"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9" s="103" customFormat="1" x14ac:dyDescent="0.25">
      <c r="A4" t="s">
        <v>742</v>
      </c>
      <c r="B4" s="103" t="s">
        <v>791</v>
      </c>
      <c r="C4" s="103" t="s">
        <v>1070</v>
      </c>
      <c r="D4" s="7" t="s">
        <v>836</v>
      </c>
      <c r="E4" s="7" t="s">
        <v>745</v>
      </c>
      <c r="F4" s="116">
        <f>+SUM(F5:F8)</f>
        <v>195.91733333333332</v>
      </c>
      <c r="G4" s="116">
        <f t="shared" ref="G4:T4" si="0">+SUM(G5:G8)</f>
        <v>225.96933333333334</v>
      </c>
      <c r="H4" s="116">
        <f t="shared" si="0"/>
        <v>250.316</v>
      </c>
      <c r="I4" s="116">
        <f t="shared" si="0"/>
        <v>248.61466666666664</v>
      </c>
      <c r="J4" s="116">
        <f t="shared" si="0"/>
        <v>246.17999999999998</v>
      </c>
      <c r="K4" s="116">
        <f t="shared" si="0"/>
        <v>467.85199999999998</v>
      </c>
      <c r="L4" s="116">
        <f t="shared" si="0"/>
        <v>509.15333333333331</v>
      </c>
      <c r="M4" s="116">
        <f t="shared" si="0"/>
        <v>234.08</v>
      </c>
      <c r="N4" s="116">
        <f t="shared" si="0"/>
        <v>221.07066666666665</v>
      </c>
      <c r="O4" s="116">
        <f t="shared" si="0"/>
        <v>233.75733333333332</v>
      </c>
      <c r="P4" s="116">
        <f t="shared" si="0"/>
        <v>233.87466666666666</v>
      </c>
      <c r="Q4" s="116">
        <f t="shared" si="0"/>
        <v>196.38666666666666</v>
      </c>
      <c r="R4" s="116">
        <f t="shared" si="0"/>
        <v>253.87691077219299</v>
      </c>
      <c r="S4" s="116">
        <f t="shared" si="0"/>
        <v>271.70611536899781</v>
      </c>
      <c r="T4" s="116">
        <f t="shared" si="0"/>
        <v>272.77838312986057</v>
      </c>
      <c r="U4" s="116">
        <f>+SUM(U5:U8)</f>
        <v>273.78627273280614</v>
      </c>
      <c r="V4" s="116">
        <f t="shared" ref="V4" si="1">+SUM(V5:V8)</f>
        <v>274.73732782629685</v>
      </c>
      <c r="W4" s="116">
        <f>+SUM(W5:W8)</f>
        <v>275.63782614194014</v>
      </c>
      <c r="X4"/>
      <c r="Z4" s="103">
        <f>+W4-F4</f>
        <v>79.720492808606821</v>
      </c>
      <c r="AA4" s="103">
        <f>+Z4/F4</f>
        <v>0.40690882961830921</v>
      </c>
      <c r="AB4" s="103">
        <f>+W4-U4</f>
        <v>1.8515534091339987</v>
      </c>
      <c r="AC4" s="103">
        <f>+AB4/U4</f>
        <v>6.7627693333659903E-3</v>
      </c>
    </row>
    <row r="5" spans="1:29" x14ac:dyDescent="0.25">
      <c r="A5" t="s">
        <v>742</v>
      </c>
      <c r="B5" t="s">
        <v>793</v>
      </c>
      <c r="C5" t="s">
        <v>794</v>
      </c>
      <c r="D5" t="s">
        <v>836</v>
      </c>
      <c r="E5" t="s">
        <v>745</v>
      </c>
      <c r="F5" s="119">
        <f>'2D1 Lubricant Use'!E24</f>
        <v>188.48133333333331</v>
      </c>
      <c r="G5" s="119">
        <f>'2D1 Lubricant Use'!F24</f>
        <v>221.364</v>
      </c>
      <c r="H5" s="119">
        <f>'2D1 Lubricant Use'!G24</f>
        <v>242.89466666666667</v>
      </c>
      <c r="I5" s="119">
        <f>'2D1 Lubricant Use'!H24</f>
        <v>240.9733333333333</v>
      </c>
      <c r="J5" s="119">
        <f>'2D1 Lubricant Use'!I24</f>
        <v>238.99333333333331</v>
      </c>
      <c r="K5" s="119">
        <f>'2D1 Lubricant Use'!J24</f>
        <v>462.71866666666665</v>
      </c>
      <c r="L5" s="119">
        <f>'2D1 Lubricant Use'!K24</f>
        <v>504.4013333333333</v>
      </c>
      <c r="M5" s="119">
        <f>'2D1 Lubricant Use'!L24</f>
        <v>232.012</v>
      </c>
      <c r="N5" s="119">
        <f>'2D1 Lubricant Use'!M24</f>
        <v>218.40133333333333</v>
      </c>
      <c r="O5" s="119">
        <f>'2D1 Lubricant Use'!N24</f>
        <v>230.36933333333332</v>
      </c>
      <c r="P5" s="119">
        <f>'2D1 Lubricant Use'!O24</f>
        <v>230.48666666666665</v>
      </c>
      <c r="Q5" s="119">
        <f>'2D1 Lubricant Use'!P24</f>
        <v>192.57333333333332</v>
      </c>
      <c r="R5" s="119">
        <f>'2D1 Lubricant Use'!Q24</f>
        <v>250.58</v>
      </c>
      <c r="S5" s="119">
        <f>'2D1 Lubricant Use'!R24</f>
        <v>268.54593874595992</v>
      </c>
      <c r="T5" s="119">
        <f>'2D1 Lubricant Use'!S24</f>
        <v>269.74550295424086</v>
      </c>
      <c r="U5" s="119">
        <f>'2D1 Lubricant Use'!T24</f>
        <v>270.87247043125336</v>
      </c>
      <c r="V5" s="119">
        <f>'2D1 Lubricant Use'!U24</f>
        <v>271.93538199363684</v>
      </c>
      <c r="W5" s="119">
        <f>'2D1 Lubricant Use'!V24</f>
        <v>272.94134139337575</v>
      </c>
      <c r="Z5" s="103">
        <f t="shared" ref="Z5:Z6" si="2">+W5-F5</f>
        <v>84.460008060042441</v>
      </c>
      <c r="AA5" s="103">
        <f t="shared" ref="AA5:AA6" si="3">+Z5/F5</f>
        <v>0.4481080782184042</v>
      </c>
      <c r="AB5" s="103">
        <f t="shared" ref="AB5:AB6" si="4">+W5-U5</f>
        <v>2.0688709621223893</v>
      </c>
      <c r="AC5" s="103">
        <f t="shared" ref="AC5:AC6" si="5">+AB5/U5</f>
        <v>7.6378044576791452E-3</v>
      </c>
    </row>
    <row r="6" spans="1:29" x14ac:dyDescent="0.25">
      <c r="A6" t="s">
        <v>742</v>
      </c>
      <c r="B6" t="s">
        <v>795</v>
      </c>
      <c r="C6" t="s">
        <v>796</v>
      </c>
      <c r="D6" t="s">
        <v>836</v>
      </c>
      <c r="E6" t="s">
        <v>745</v>
      </c>
      <c r="F6" s="119">
        <f>'2D2 Paraffin Wax Use'!E24</f>
        <v>7.4359999999999999</v>
      </c>
      <c r="G6" s="119">
        <f>'2D2 Paraffin Wax Use'!F24</f>
        <v>4.6053333333333333</v>
      </c>
      <c r="H6" s="119">
        <f>'2D2 Paraffin Wax Use'!G24</f>
        <v>7.4213333333333331</v>
      </c>
      <c r="I6" s="119">
        <f>'2D2 Paraffin Wax Use'!H24</f>
        <v>7.6413333333333329</v>
      </c>
      <c r="J6" s="119">
        <f>'2D2 Paraffin Wax Use'!I24</f>
        <v>7.1866666666666656</v>
      </c>
      <c r="K6" s="119">
        <f>'2D2 Paraffin Wax Use'!J24</f>
        <v>5.1333333333333329</v>
      </c>
      <c r="L6" s="119">
        <f>'2D2 Paraffin Wax Use'!K24</f>
        <v>4.7519999999999998</v>
      </c>
      <c r="M6" s="119">
        <f>'2D2 Paraffin Wax Use'!L24</f>
        <v>2.0680000000000001</v>
      </c>
      <c r="N6" s="119">
        <f>'2D2 Paraffin Wax Use'!M24</f>
        <v>2.6693333333333329</v>
      </c>
      <c r="O6" s="119">
        <f>'2D2 Paraffin Wax Use'!N24</f>
        <v>3.3879999999999999</v>
      </c>
      <c r="P6" s="119">
        <f>'2D2 Paraffin Wax Use'!O24</f>
        <v>3.3879999999999999</v>
      </c>
      <c r="Q6" s="119">
        <f>'2D2 Paraffin Wax Use'!P24</f>
        <v>3.813333333333333</v>
      </c>
      <c r="R6" s="119">
        <f>'2D2 Paraffin Wax Use'!Q24</f>
        <v>3.2969107721929678</v>
      </c>
      <c r="S6" s="119">
        <f>'2D2 Paraffin Wax Use'!R24</f>
        <v>3.1601766230378749</v>
      </c>
      <c r="T6" s="119">
        <f>'2D2 Paraffin Wax Use'!S24</f>
        <v>3.0328801756196833</v>
      </c>
      <c r="U6" s="119">
        <f>'2D2 Paraffin Wax Use'!T24</f>
        <v>2.9138023015527885</v>
      </c>
      <c r="V6" s="119">
        <f>'2D2 Paraffin Wax Use'!U24</f>
        <v>2.8019458326600115</v>
      </c>
      <c r="W6" s="119">
        <f>'2D2 Paraffin Wax Use'!V24</f>
        <v>2.6964847485643841</v>
      </c>
      <c r="Z6" s="103">
        <f t="shared" si="2"/>
        <v>-4.7395152514356162</v>
      </c>
      <c r="AA6" s="103">
        <f t="shared" si="3"/>
        <v>-0.63737429416831848</v>
      </c>
      <c r="AB6" s="103">
        <f t="shared" si="4"/>
        <v>-0.21731755298840438</v>
      </c>
      <c r="AC6" s="103">
        <f t="shared" si="5"/>
        <v>-7.4582120026672402E-2</v>
      </c>
    </row>
    <row r="7" spans="1:29" x14ac:dyDescent="0.25">
      <c r="A7" t="s">
        <v>742</v>
      </c>
      <c r="B7" t="s">
        <v>797</v>
      </c>
      <c r="C7" t="s">
        <v>798</v>
      </c>
      <c r="D7" t="s">
        <v>836</v>
      </c>
      <c r="E7" t="s">
        <v>745</v>
      </c>
      <c r="F7" s="119"/>
      <c r="G7" s="119"/>
      <c r="H7" s="119"/>
      <c r="I7" s="119"/>
      <c r="J7" s="119"/>
      <c r="K7" s="119"/>
      <c r="L7" s="119"/>
      <c r="M7" s="119"/>
      <c r="N7" s="119"/>
      <c r="O7" s="119"/>
      <c r="P7" s="119"/>
      <c r="Q7" s="119"/>
      <c r="R7" s="119"/>
      <c r="S7" s="119"/>
      <c r="T7" s="119"/>
      <c r="U7" s="119"/>
      <c r="V7" s="119"/>
      <c r="W7" s="119"/>
    </row>
    <row r="8" spans="1:29" x14ac:dyDescent="0.25">
      <c r="A8" t="s">
        <v>742</v>
      </c>
      <c r="B8" t="s">
        <v>799</v>
      </c>
      <c r="C8" t="s">
        <v>756</v>
      </c>
      <c r="D8" t="s">
        <v>836</v>
      </c>
      <c r="E8" t="s">
        <v>745</v>
      </c>
      <c r="F8" s="119"/>
      <c r="G8" s="119"/>
      <c r="H8" s="119"/>
      <c r="I8" s="119"/>
      <c r="J8" s="119"/>
      <c r="K8" s="119"/>
      <c r="L8" s="119"/>
      <c r="M8" s="119"/>
      <c r="N8" s="119"/>
      <c r="O8" s="119"/>
      <c r="P8" s="119"/>
      <c r="Q8" s="119"/>
      <c r="R8" s="119"/>
      <c r="S8" s="119"/>
      <c r="T8" s="119"/>
      <c r="U8" s="119"/>
      <c r="V8" s="119"/>
      <c r="W8" s="119"/>
    </row>
    <row r="10" spans="1:29" s="6" customFormat="1" ht="21" x14ac:dyDescent="0.35">
      <c r="A10" s="6" t="s">
        <v>346</v>
      </c>
      <c r="C10" s="32" t="s">
        <v>843</v>
      </c>
    </row>
    <row r="12" spans="1:29" s="22" customFormat="1" x14ac:dyDescent="0.25">
      <c r="A12" s="123" t="s">
        <v>844</v>
      </c>
    </row>
    <row r="13" spans="1:29" s="7" customFormat="1" x14ac:dyDescent="0.25">
      <c r="A13" s="110" t="s">
        <v>736</v>
      </c>
      <c r="B13" s="110" t="s">
        <v>737</v>
      </c>
      <c r="C13" s="110" t="s">
        <v>738</v>
      </c>
      <c r="D13" s="110" t="s">
        <v>739</v>
      </c>
      <c r="E13" s="110" t="s">
        <v>740</v>
      </c>
      <c r="F13" s="110">
        <v>2000</v>
      </c>
      <c r="G13" s="110">
        <v>2001</v>
      </c>
      <c r="H13" s="110">
        <v>2002</v>
      </c>
      <c r="I13" s="110">
        <v>2003</v>
      </c>
      <c r="J13" s="110">
        <v>2004</v>
      </c>
      <c r="K13" s="110">
        <v>2005</v>
      </c>
      <c r="L13" s="110">
        <v>2006</v>
      </c>
      <c r="M13" s="110">
        <v>2007</v>
      </c>
      <c r="N13" s="110">
        <v>2008</v>
      </c>
      <c r="O13" s="110">
        <v>2009</v>
      </c>
      <c r="P13" s="110">
        <v>2010</v>
      </c>
      <c r="Q13" s="110">
        <v>2011</v>
      </c>
      <c r="R13" s="110">
        <v>2012</v>
      </c>
      <c r="S13" s="110">
        <v>2013</v>
      </c>
      <c r="T13" s="110">
        <v>2014</v>
      </c>
      <c r="U13" s="110">
        <v>2015</v>
      </c>
      <c r="V13" s="110"/>
      <c r="W13" s="110"/>
      <c r="X13" s="10" t="s">
        <v>741</v>
      </c>
    </row>
    <row r="14" spans="1:29" s="7" customFormat="1" x14ac:dyDescent="0.25">
      <c r="A14" s="110" t="s">
        <v>742</v>
      </c>
      <c r="B14" s="110" t="s">
        <v>791</v>
      </c>
      <c r="C14" s="110" t="s">
        <v>1070</v>
      </c>
      <c r="D14" s="110" t="s">
        <v>836</v>
      </c>
      <c r="E14" s="110" t="s">
        <v>745</v>
      </c>
      <c r="F14" s="126">
        <v>195.91733333333332</v>
      </c>
      <c r="G14" s="126">
        <v>225.96933333333334</v>
      </c>
      <c r="H14" s="126">
        <v>250.316</v>
      </c>
      <c r="I14" s="126">
        <v>248.61466666666664</v>
      </c>
      <c r="J14" s="126">
        <v>246.17999999999998</v>
      </c>
      <c r="K14" s="126">
        <v>467.85199999999998</v>
      </c>
      <c r="L14" s="126">
        <v>509.15333333333331</v>
      </c>
      <c r="M14" s="126">
        <v>234.08</v>
      </c>
      <c r="N14" s="126">
        <v>221.07066666666665</v>
      </c>
      <c r="O14" s="126">
        <v>233.75733333333332</v>
      </c>
      <c r="P14" s="126">
        <v>233.87466666666666</v>
      </c>
      <c r="Q14" s="126">
        <v>196.38666666666666</v>
      </c>
      <c r="R14" s="126">
        <v>253.87691077219299</v>
      </c>
      <c r="S14" s="29">
        <v>271.70611536899781</v>
      </c>
      <c r="T14" s="29">
        <v>272.77838312986057</v>
      </c>
      <c r="U14" s="29">
        <v>273.78627273280614</v>
      </c>
      <c r="V14" s="29"/>
      <c r="W14" s="29"/>
      <c r="X14"/>
    </row>
    <row r="15" spans="1:29" x14ac:dyDescent="0.25">
      <c r="A15" s="11" t="s">
        <v>742</v>
      </c>
      <c r="B15" s="11" t="s">
        <v>793</v>
      </c>
      <c r="C15" s="11" t="s">
        <v>794</v>
      </c>
      <c r="D15" s="11" t="s">
        <v>836</v>
      </c>
      <c r="E15" s="11" t="s">
        <v>745</v>
      </c>
      <c r="F15" s="29">
        <v>188.48133333333331</v>
      </c>
      <c r="G15" s="29">
        <v>221.364</v>
      </c>
      <c r="H15" s="29">
        <v>242.89466666666667</v>
      </c>
      <c r="I15" s="29">
        <v>240.9733333333333</v>
      </c>
      <c r="J15" s="29">
        <v>238.99333333333331</v>
      </c>
      <c r="K15" s="29">
        <v>462.71866666666665</v>
      </c>
      <c r="L15" s="29">
        <v>504.4013333333333</v>
      </c>
      <c r="M15" s="29">
        <v>232.012</v>
      </c>
      <c r="N15" s="29">
        <v>218.40133333333333</v>
      </c>
      <c r="O15" s="29">
        <v>230.36933333333332</v>
      </c>
      <c r="P15" s="29">
        <v>230.48666666666665</v>
      </c>
      <c r="Q15" s="29">
        <v>192.57333333333332</v>
      </c>
      <c r="R15" s="29">
        <v>250.58</v>
      </c>
      <c r="S15" s="29">
        <v>268.54593874595992</v>
      </c>
      <c r="T15" s="29">
        <v>269.74550295424086</v>
      </c>
      <c r="U15" s="29">
        <v>270.87247043125336</v>
      </c>
      <c r="V15" s="29"/>
      <c r="W15" s="29"/>
    </row>
    <row r="16" spans="1:29" x14ac:dyDescent="0.25">
      <c r="A16" s="11" t="s">
        <v>742</v>
      </c>
      <c r="B16" s="11" t="s">
        <v>795</v>
      </c>
      <c r="C16" s="11" t="s">
        <v>796</v>
      </c>
      <c r="D16" s="11" t="s">
        <v>836</v>
      </c>
      <c r="E16" s="11" t="s">
        <v>745</v>
      </c>
      <c r="F16" s="29">
        <v>7.4359999999999999</v>
      </c>
      <c r="G16" s="29">
        <v>4.6053333333333333</v>
      </c>
      <c r="H16" s="29">
        <v>7.4213333333333331</v>
      </c>
      <c r="I16" s="29">
        <v>7.6413333333333329</v>
      </c>
      <c r="J16" s="29">
        <v>7.1866666666666656</v>
      </c>
      <c r="K16" s="29">
        <v>5.1333333333333329</v>
      </c>
      <c r="L16" s="29">
        <v>4.7519999999999998</v>
      </c>
      <c r="M16" s="29">
        <v>2.0680000000000001</v>
      </c>
      <c r="N16" s="29">
        <v>2.6693333333333329</v>
      </c>
      <c r="O16" s="29">
        <v>3.3879999999999999</v>
      </c>
      <c r="P16" s="29">
        <v>3.3879999999999999</v>
      </c>
      <c r="Q16" s="29">
        <v>3.813333333333333</v>
      </c>
      <c r="R16" s="29">
        <v>3.2969107721929678</v>
      </c>
      <c r="S16" s="29">
        <v>3.1601766230378749</v>
      </c>
      <c r="T16" s="29">
        <v>3.0328801756196833</v>
      </c>
      <c r="U16" s="29">
        <v>2.9138023015527885</v>
      </c>
      <c r="V16" s="29"/>
      <c r="W16" s="29"/>
    </row>
    <row r="17" spans="1:23" x14ac:dyDescent="0.25">
      <c r="A17" s="11" t="s">
        <v>742</v>
      </c>
      <c r="B17" s="11" t="s">
        <v>797</v>
      </c>
      <c r="C17" s="11" t="s">
        <v>798</v>
      </c>
      <c r="D17" s="11" t="s">
        <v>836</v>
      </c>
      <c r="E17" s="11" t="s">
        <v>745</v>
      </c>
      <c r="F17" s="29"/>
      <c r="G17" s="29"/>
      <c r="H17" s="29"/>
      <c r="I17" s="29"/>
      <c r="J17" s="29"/>
      <c r="K17" s="29"/>
      <c r="L17" s="29"/>
      <c r="M17" s="29"/>
      <c r="N17" s="29"/>
      <c r="O17" s="29"/>
      <c r="P17" s="29"/>
      <c r="Q17" s="29"/>
      <c r="R17" s="29"/>
      <c r="S17" s="29"/>
      <c r="T17" s="29"/>
      <c r="U17" s="29"/>
      <c r="V17" s="29"/>
      <c r="W17" s="29"/>
    </row>
    <row r="18" spans="1:23" x14ac:dyDescent="0.25">
      <c r="A18" s="11" t="s">
        <v>742</v>
      </c>
      <c r="B18" s="11" t="s">
        <v>799</v>
      </c>
      <c r="C18" s="11" t="s">
        <v>756</v>
      </c>
      <c r="D18" s="11" t="s">
        <v>836</v>
      </c>
      <c r="E18" s="11" t="s">
        <v>745</v>
      </c>
      <c r="F18" s="29"/>
      <c r="G18" s="29"/>
      <c r="H18" s="29"/>
      <c r="I18" s="29"/>
      <c r="J18" s="29"/>
      <c r="K18" s="29"/>
      <c r="L18" s="29"/>
      <c r="M18" s="29"/>
      <c r="N18" s="29"/>
      <c r="O18" s="29"/>
      <c r="P18" s="29"/>
      <c r="Q18" s="29"/>
      <c r="R18" s="29"/>
      <c r="S18" s="29"/>
      <c r="T18" s="29"/>
      <c r="U18" s="29"/>
      <c r="V18" s="29"/>
      <c r="W18" s="29"/>
    </row>
    <row r="19" spans="1:23" s="23" customFormat="1" x14ac:dyDescent="0.25"/>
    <row r="20" spans="1:23" s="22" customFormat="1" x14ac:dyDescent="0.25">
      <c r="A20" s="123" t="s">
        <v>854</v>
      </c>
      <c r="D20" s="8" t="s">
        <v>852</v>
      </c>
    </row>
    <row r="21" spans="1:23" s="7" customFormat="1" x14ac:dyDescent="0.25">
      <c r="A21" s="110" t="s">
        <v>736</v>
      </c>
      <c r="B21" s="110" t="s">
        <v>737</v>
      </c>
      <c r="C21" s="110" t="s">
        <v>738</v>
      </c>
      <c r="D21" s="110" t="s">
        <v>739</v>
      </c>
      <c r="E21" s="110" t="s">
        <v>740</v>
      </c>
      <c r="F21" s="110">
        <v>2000</v>
      </c>
      <c r="G21" s="110">
        <v>2001</v>
      </c>
      <c r="H21" s="110">
        <v>2002</v>
      </c>
      <c r="I21" s="110">
        <v>2003</v>
      </c>
      <c r="J21" s="110">
        <v>2004</v>
      </c>
      <c r="K21" s="110">
        <v>2005</v>
      </c>
      <c r="L21" s="110">
        <v>2006</v>
      </c>
      <c r="M21" s="110">
        <v>2007</v>
      </c>
      <c r="N21" s="110">
        <v>2008</v>
      </c>
      <c r="O21" s="110">
        <v>2009</v>
      </c>
      <c r="P21" s="110">
        <v>2010</v>
      </c>
      <c r="Q21" s="110">
        <v>2011</v>
      </c>
      <c r="R21" s="110">
        <v>2012</v>
      </c>
      <c r="S21" s="110">
        <v>2013</v>
      </c>
      <c r="T21" s="110">
        <v>2014</v>
      </c>
      <c r="U21" s="110">
        <v>2015</v>
      </c>
      <c r="V21" s="110"/>
      <c r="W21" s="110"/>
    </row>
    <row r="22" spans="1:23" s="7" customFormat="1" x14ac:dyDescent="0.25">
      <c r="A22" s="110" t="s">
        <v>742</v>
      </c>
      <c r="B22" s="110" t="s">
        <v>791</v>
      </c>
      <c r="C22" s="110" t="s">
        <v>1070</v>
      </c>
      <c r="D22" s="110" t="s">
        <v>836</v>
      </c>
      <c r="E22" s="110" t="s">
        <v>745</v>
      </c>
      <c r="F22" s="219">
        <f>IFERROR(((F4/F14)-1),"CHECK")</f>
        <v>0</v>
      </c>
      <c r="G22" s="219">
        <f t="shared" ref="G22:T23" si="6">IFERROR(((G4/G14)-1),"CHECK")</f>
        <v>0</v>
      </c>
      <c r="H22" s="219">
        <f t="shared" si="6"/>
        <v>0</v>
      </c>
      <c r="I22" s="219">
        <f t="shared" si="6"/>
        <v>0</v>
      </c>
      <c r="J22" s="219">
        <f t="shared" si="6"/>
        <v>0</v>
      </c>
      <c r="K22" s="219">
        <f t="shared" si="6"/>
        <v>0</v>
      </c>
      <c r="L22" s="219">
        <f t="shared" si="6"/>
        <v>0</v>
      </c>
      <c r="M22" s="219">
        <f t="shared" si="6"/>
        <v>0</v>
      </c>
      <c r="N22" s="219">
        <f t="shared" si="6"/>
        <v>0</v>
      </c>
      <c r="O22" s="219">
        <f t="shared" si="6"/>
        <v>0</v>
      </c>
      <c r="P22" s="219">
        <f t="shared" si="6"/>
        <v>0</v>
      </c>
      <c r="Q22" s="219">
        <f t="shared" si="6"/>
        <v>0</v>
      </c>
      <c r="R22" s="219">
        <f t="shared" si="6"/>
        <v>0</v>
      </c>
      <c r="S22" s="219">
        <f t="shared" si="6"/>
        <v>0</v>
      </c>
      <c r="T22" s="219">
        <f t="shared" si="6"/>
        <v>0</v>
      </c>
      <c r="U22" s="219">
        <f>IFERROR(((U4/U14)-1),"CHECK")</f>
        <v>0</v>
      </c>
      <c r="V22" s="30"/>
      <c r="W22" s="30"/>
    </row>
    <row r="23" spans="1:23" x14ac:dyDescent="0.25">
      <c r="A23" s="11" t="s">
        <v>742</v>
      </c>
      <c r="B23" s="11" t="s">
        <v>793</v>
      </c>
      <c r="C23" s="11" t="s">
        <v>794</v>
      </c>
      <c r="D23" s="11" t="s">
        <v>836</v>
      </c>
      <c r="E23" s="11" t="s">
        <v>745</v>
      </c>
      <c r="F23" s="219">
        <f>IFERROR(((F5/F15)-1),"CHECK")</f>
        <v>0</v>
      </c>
      <c r="G23" s="219">
        <f t="shared" si="6"/>
        <v>0</v>
      </c>
      <c r="H23" s="219">
        <f t="shared" si="6"/>
        <v>0</v>
      </c>
      <c r="I23" s="219">
        <f t="shared" si="6"/>
        <v>0</v>
      </c>
      <c r="J23" s="219">
        <f t="shared" si="6"/>
        <v>0</v>
      </c>
      <c r="K23" s="219">
        <f t="shared" si="6"/>
        <v>0</v>
      </c>
      <c r="L23" s="219">
        <f t="shared" si="6"/>
        <v>0</v>
      </c>
      <c r="M23" s="219">
        <f t="shared" si="6"/>
        <v>0</v>
      </c>
      <c r="N23" s="219">
        <f t="shared" si="6"/>
        <v>0</v>
      </c>
      <c r="O23" s="219">
        <f t="shared" si="6"/>
        <v>0</v>
      </c>
      <c r="P23" s="219">
        <f t="shared" si="6"/>
        <v>0</v>
      </c>
      <c r="Q23" s="219">
        <f t="shared" si="6"/>
        <v>0</v>
      </c>
      <c r="R23" s="219">
        <f t="shared" si="6"/>
        <v>0</v>
      </c>
      <c r="S23" s="219">
        <f t="shared" si="6"/>
        <v>0</v>
      </c>
      <c r="T23" s="219">
        <f t="shared" si="6"/>
        <v>0</v>
      </c>
      <c r="U23" s="219">
        <f>IFERROR(((U5/U15)-1),"CHECK")</f>
        <v>0</v>
      </c>
      <c r="V23" s="30"/>
      <c r="W23" s="30"/>
    </row>
    <row r="24" spans="1:23" x14ac:dyDescent="0.25">
      <c r="A24" s="11" t="s">
        <v>742</v>
      </c>
      <c r="B24" s="11" t="s">
        <v>795</v>
      </c>
      <c r="C24" s="11" t="s">
        <v>796</v>
      </c>
      <c r="D24" s="11" t="s">
        <v>836</v>
      </c>
      <c r="E24" s="11" t="s">
        <v>745</v>
      </c>
      <c r="F24" s="219">
        <f>IFERROR(((F6/F16)-1),"CHECK")</f>
        <v>0</v>
      </c>
      <c r="G24" s="219">
        <f t="shared" ref="G24:U24" si="7">IFERROR(((G6/G16)-1),"CHECK")</f>
        <v>0</v>
      </c>
      <c r="H24" s="219">
        <f t="shared" si="7"/>
        <v>0</v>
      </c>
      <c r="I24" s="219">
        <f t="shared" si="7"/>
        <v>0</v>
      </c>
      <c r="J24" s="219">
        <f t="shared" si="7"/>
        <v>0</v>
      </c>
      <c r="K24" s="219">
        <f t="shared" si="7"/>
        <v>0</v>
      </c>
      <c r="L24" s="219">
        <f t="shared" si="7"/>
        <v>0</v>
      </c>
      <c r="M24" s="219">
        <f t="shared" si="7"/>
        <v>0</v>
      </c>
      <c r="N24" s="219">
        <f t="shared" si="7"/>
        <v>0</v>
      </c>
      <c r="O24" s="219">
        <f t="shared" si="7"/>
        <v>0</v>
      </c>
      <c r="P24" s="219">
        <f t="shared" si="7"/>
        <v>0</v>
      </c>
      <c r="Q24" s="219">
        <f t="shared" si="7"/>
        <v>0</v>
      </c>
      <c r="R24" s="219">
        <f t="shared" si="7"/>
        <v>0</v>
      </c>
      <c r="S24" s="219">
        <f t="shared" si="7"/>
        <v>0</v>
      </c>
      <c r="T24" s="219">
        <f t="shared" si="7"/>
        <v>0</v>
      </c>
      <c r="U24" s="219">
        <f t="shared" si="7"/>
        <v>0</v>
      </c>
      <c r="V24" s="30"/>
      <c r="W24" s="30"/>
    </row>
    <row r="25" spans="1:23" x14ac:dyDescent="0.25">
      <c r="A25" s="11" t="s">
        <v>742</v>
      </c>
      <c r="B25" s="11" t="s">
        <v>797</v>
      </c>
      <c r="C25" s="11" t="s">
        <v>798</v>
      </c>
      <c r="D25" s="11" t="s">
        <v>836</v>
      </c>
      <c r="E25" s="11" t="s">
        <v>745</v>
      </c>
      <c r="F25" s="219" t="str">
        <f>IFERROR(((F7/F17)-1),"CHECK")</f>
        <v>CHECK</v>
      </c>
      <c r="G25" s="219" t="str">
        <f t="shared" ref="G25:U25" si="8">IFERROR(((G7/G17)-1),"CHECK")</f>
        <v>CHECK</v>
      </c>
      <c r="H25" s="219" t="str">
        <f t="shared" si="8"/>
        <v>CHECK</v>
      </c>
      <c r="I25" s="219" t="str">
        <f t="shared" si="8"/>
        <v>CHECK</v>
      </c>
      <c r="J25" s="219" t="str">
        <f t="shared" si="8"/>
        <v>CHECK</v>
      </c>
      <c r="K25" s="219" t="str">
        <f t="shared" si="8"/>
        <v>CHECK</v>
      </c>
      <c r="L25" s="219" t="str">
        <f t="shared" si="8"/>
        <v>CHECK</v>
      </c>
      <c r="M25" s="219" t="str">
        <f t="shared" si="8"/>
        <v>CHECK</v>
      </c>
      <c r="N25" s="219" t="str">
        <f t="shared" si="8"/>
        <v>CHECK</v>
      </c>
      <c r="O25" s="219" t="str">
        <f t="shared" si="8"/>
        <v>CHECK</v>
      </c>
      <c r="P25" s="219" t="str">
        <f t="shared" si="8"/>
        <v>CHECK</v>
      </c>
      <c r="Q25" s="219" t="str">
        <f t="shared" si="8"/>
        <v>CHECK</v>
      </c>
      <c r="R25" s="219" t="str">
        <f t="shared" si="8"/>
        <v>CHECK</v>
      </c>
      <c r="S25" s="219" t="str">
        <f t="shared" si="8"/>
        <v>CHECK</v>
      </c>
      <c r="T25" s="219" t="str">
        <f t="shared" si="8"/>
        <v>CHECK</v>
      </c>
      <c r="U25" s="219" t="str">
        <f t="shared" si="8"/>
        <v>CHECK</v>
      </c>
      <c r="V25" s="30"/>
      <c r="W25" s="30"/>
    </row>
    <row r="26" spans="1:23" x14ac:dyDescent="0.25">
      <c r="A26" s="11" t="s">
        <v>742</v>
      </c>
      <c r="B26" s="11" t="s">
        <v>799</v>
      </c>
      <c r="C26" s="11" t="s">
        <v>756</v>
      </c>
      <c r="D26" s="11" t="s">
        <v>836</v>
      </c>
      <c r="E26" s="11" t="s">
        <v>745</v>
      </c>
      <c r="F26" s="219" t="str">
        <f>IFERROR(((F8/F18)-1),"CHECK")</f>
        <v>CHECK</v>
      </c>
      <c r="G26" s="219" t="str">
        <f t="shared" ref="G26:U26" si="9">IFERROR(((G8/G18)-1),"CHECK")</f>
        <v>CHECK</v>
      </c>
      <c r="H26" s="219" t="str">
        <f t="shared" si="9"/>
        <v>CHECK</v>
      </c>
      <c r="I26" s="219" t="str">
        <f t="shared" si="9"/>
        <v>CHECK</v>
      </c>
      <c r="J26" s="219" t="str">
        <f t="shared" si="9"/>
        <v>CHECK</v>
      </c>
      <c r="K26" s="219" t="str">
        <f t="shared" si="9"/>
        <v>CHECK</v>
      </c>
      <c r="L26" s="219" t="str">
        <f t="shared" si="9"/>
        <v>CHECK</v>
      </c>
      <c r="M26" s="219" t="str">
        <f t="shared" si="9"/>
        <v>CHECK</v>
      </c>
      <c r="N26" s="219" t="str">
        <f t="shared" si="9"/>
        <v>CHECK</v>
      </c>
      <c r="O26" s="219" t="str">
        <f t="shared" si="9"/>
        <v>CHECK</v>
      </c>
      <c r="P26" s="219" t="str">
        <f t="shared" si="9"/>
        <v>CHECK</v>
      </c>
      <c r="Q26" s="219" t="str">
        <f t="shared" si="9"/>
        <v>CHECK</v>
      </c>
      <c r="R26" s="219" t="str">
        <f t="shared" si="9"/>
        <v>CHECK</v>
      </c>
      <c r="S26" s="219" t="str">
        <f t="shared" si="9"/>
        <v>CHECK</v>
      </c>
      <c r="T26" s="219" t="str">
        <f t="shared" si="9"/>
        <v>CHECK</v>
      </c>
      <c r="U26" s="219" t="str">
        <f t="shared" si="9"/>
        <v>CHECK</v>
      </c>
      <c r="V26" s="30"/>
      <c r="W26" s="30"/>
    </row>
  </sheetData>
  <conditionalFormatting sqref="F23:T26">
    <cfRule type="colorScale" priority="15">
      <colorScale>
        <cfvo type="min"/>
        <cfvo type="num" val="0"/>
        <cfvo type="max"/>
        <color theme="3" tint="0.59999389629810485"/>
        <color theme="0"/>
        <color rgb="FFEE9CA4"/>
      </colorScale>
    </cfRule>
  </conditionalFormatting>
  <conditionalFormatting sqref="F22:T22">
    <cfRule type="colorScale" priority="3">
      <colorScale>
        <cfvo type="min"/>
        <cfvo type="num" val="0"/>
        <cfvo type="max"/>
        <color theme="3" tint="0.59999389629810485"/>
        <color theme="0"/>
        <color rgb="FFEE9CA4"/>
      </colorScale>
    </cfRule>
  </conditionalFormatting>
  <conditionalFormatting sqref="U23:W26">
    <cfRule type="colorScale" priority="2">
      <colorScale>
        <cfvo type="min"/>
        <cfvo type="num" val="0"/>
        <cfvo type="max"/>
        <color theme="3" tint="0.59999389629810485"/>
        <color theme="0"/>
        <color rgb="FFEE9CA4"/>
      </colorScale>
    </cfRule>
  </conditionalFormatting>
  <conditionalFormatting sqref="U22:W22">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100-000074000000}">
          <x14:colorSeries rgb="FF376092"/>
          <x14:colorNegative rgb="FFD00000"/>
          <x14:colorAxis rgb="FF000000"/>
          <x14:colorMarkers rgb="FFD00000"/>
          <x14:colorFirst rgb="FFD00000"/>
          <x14:colorLast rgb="FFD00000"/>
          <x14:colorHigh rgb="FFD00000"/>
          <x14:colorLow rgb="FFD00000"/>
          <x14:sparklines>
            <x14:sparkline>
              <xm:f>'2D Summary'!F4:U4</xm:f>
              <xm:sqref>X4</xm:sqref>
            </x14:sparkline>
            <x14:sparkline>
              <xm:f>'2D Summary'!F5:U5</xm:f>
              <xm:sqref>X5</xm:sqref>
            </x14:sparkline>
            <x14:sparkline>
              <xm:f>'2D Summary'!F6:U6</xm:f>
              <xm:sqref>X6</xm:sqref>
            </x14:sparkline>
            <x14:sparkline>
              <xm:f>'2D Summary'!F7:U7</xm:f>
              <xm:sqref>X7</xm:sqref>
            </x14:sparkline>
            <x14:sparkline>
              <xm:f>'2D Summary'!F8:U8</xm:f>
              <xm:sqref>X8</xm:sqref>
            </x14:sparkline>
          </x14:sparklines>
        </x14:sparklineGroup>
        <x14:sparklineGroup manualMax="0" manualMin="0" displayEmptyCellsAs="gap" xr2:uid="{00000000-0003-0000-2100-000073000000}">
          <x14:colorSeries rgb="FF376092"/>
          <x14:colorNegative rgb="FFD00000"/>
          <x14:colorAxis rgb="FF000000"/>
          <x14:colorMarkers rgb="FFD00000"/>
          <x14:colorFirst rgb="FFD00000"/>
          <x14:colorLast rgb="FFD00000"/>
          <x14:colorHigh rgb="FFD00000"/>
          <x14:colorLow rgb="FFD00000"/>
          <x14:sparklines>
            <x14:sparkline>
              <xm:f>'2D Summary'!F14:U14</xm:f>
              <xm:sqref>X14</xm:sqref>
            </x14:sparkline>
            <x14:sparkline>
              <xm:f>'2D Summary'!F15:U15</xm:f>
              <xm:sqref>X15</xm:sqref>
            </x14:sparkline>
            <x14:sparkline>
              <xm:f>'2D Summary'!F16:U16</xm:f>
              <xm:sqref>X16</xm:sqref>
            </x14:sparkline>
            <x14:sparkline>
              <xm:f>'2D Summary'!F17:U17</xm:f>
              <xm:sqref>X17</xm:sqref>
            </x14:sparkline>
            <x14:sparkline>
              <xm:f>'2D Summary'!F18:U18</xm:f>
              <xm:sqref>X18</xm:sqref>
            </x14:sparkline>
          </x14:sparklines>
        </x14:sparklineGroup>
      </x14:sparklineGroup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tabColor theme="3" tint="0.79998168889431442"/>
  </sheetPr>
  <dimension ref="A1:Y80"/>
  <sheetViews>
    <sheetView workbookViewId="0"/>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2D1 Lubricant Use</v>
      </c>
      <c r="C1" s="261" t="s">
        <v>856</v>
      </c>
      <c r="D1" s="262"/>
      <c r="E1" s="262"/>
      <c r="F1" s="262"/>
      <c r="G1" s="262"/>
      <c r="H1" s="262"/>
      <c r="I1" s="262"/>
      <c r="J1" s="263"/>
      <c r="K1" s="14"/>
    </row>
    <row r="2" spans="1:25" ht="49.5" customHeight="1" x14ac:dyDescent="0.25">
      <c r="A2" s="15" t="s">
        <v>736</v>
      </c>
      <c r="B2" s="33" t="s">
        <v>857</v>
      </c>
      <c r="C2" s="264"/>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1071</v>
      </c>
      <c r="B14" t="s">
        <v>1072</v>
      </c>
      <c r="D14" t="s">
        <v>892</v>
      </c>
      <c r="E14" s="114">
        <v>12851</v>
      </c>
      <c r="F14" s="114">
        <v>15093</v>
      </c>
      <c r="G14" s="114">
        <v>16561</v>
      </c>
      <c r="H14" s="114">
        <v>16430</v>
      </c>
      <c r="I14" s="114">
        <v>16295</v>
      </c>
      <c r="J14" s="114">
        <v>31549</v>
      </c>
      <c r="K14" s="114">
        <v>34391</v>
      </c>
      <c r="L14" s="114">
        <v>15819</v>
      </c>
      <c r="M14" s="114">
        <v>14891</v>
      </c>
      <c r="N14" s="114">
        <v>15707</v>
      </c>
      <c r="O14" s="114">
        <v>15715</v>
      </c>
      <c r="P14" s="114">
        <v>13130</v>
      </c>
      <c r="Q14" s="114">
        <v>17085</v>
      </c>
      <c r="R14" s="114">
        <f>15440*14^0.0646</f>
        <v>18309.950369042723</v>
      </c>
      <c r="S14" s="114">
        <f>15440*15^0.0646</f>
        <v>18391.738837789151</v>
      </c>
      <c r="T14" s="114">
        <f>15440*16^0.0646</f>
        <v>18468.577529403639</v>
      </c>
      <c r="U14" s="114">
        <f>15440*17^0.0646</f>
        <v>18541.048772293423</v>
      </c>
      <c r="V14" s="114">
        <f>15440*18^0.0646</f>
        <v>18609.63691318471</v>
      </c>
      <c r="Y14" t="s">
        <v>43</v>
      </c>
    </row>
    <row r="16" spans="1:25" s="5" customFormat="1" ht="21" x14ac:dyDescent="0.35">
      <c r="B16" s="6" t="s">
        <v>950</v>
      </c>
      <c r="E16" s="5" t="s">
        <v>951</v>
      </c>
    </row>
    <row r="18" spans="1:25" x14ac:dyDescent="0.25">
      <c r="A18" t="s">
        <v>1071</v>
      </c>
      <c r="B18" t="s">
        <v>1073</v>
      </c>
      <c r="D18" t="s">
        <v>1074</v>
      </c>
      <c r="E18" s="205">
        <v>20</v>
      </c>
      <c r="F18" s="205">
        <v>20</v>
      </c>
      <c r="G18" s="205">
        <v>20</v>
      </c>
      <c r="H18" s="205">
        <v>20</v>
      </c>
      <c r="I18" s="205">
        <v>20</v>
      </c>
      <c r="J18" s="205">
        <v>20</v>
      </c>
      <c r="K18" s="205">
        <v>20</v>
      </c>
      <c r="L18" s="205">
        <v>20</v>
      </c>
      <c r="M18" s="205">
        <v>20</v>
      </c>
      <c r="N18" s="205">
        <v>20</v>
      </c>
      <c r="O18" s="205">
        <v>20</v>
      </c>
      <c r="P18" s="205">
        <v>20</v>
      </c>
      <c r="Q18" s="205">
        <v>20</v>
      </c>
      <c r="R18" s="205">
        <v>20</v>
      </c>
      <c r="S18" s="205">
        <v>20</v>
      </c>
      <c r="T18" s="205">
        <v>20</v>
      </c>
      <c r="U18" s="205">
        <v>20</v>
      </c>
      <c r="V18" s="205">
        <v>20</v>
      </c>
      <c r="Y18" t="s">
        <v>150</v>
      </c>
    </row>
    <row r="19" spans="1:25" x14ac:dyDescent="0.25">
      <c r="A19" t="s">
        <v>1071</v>
      </c>
      <c r="B19" t="s">
        <v>1075</v>
      </c>
      <c r="D19" t="s">
        <v>872</v>
      </c>
      <c r="E19" s="205">
        <v>0.2</v>
      </c>
      <c r="F19" s="205">
        <v>0.2</v>
      </c>
      <c r="G19" s="205">
        <v>0.2</v>
      </c>
      <c r="H19" s="205">
        <v>0.2</v>
      </c>
      <c r="I19" s="205">
        <v>0.2</v>
      </c>
      <c r="J19" s="205">
        <v>0.2</v>
      </c>
      <c r="K19" s="205">
        <v>0.2</v>
      </c>
      <c r="L19" s="205">
        <v>0.2</v>
      </c>
      <c r="M19" s="205">
        <v>0.2</v>
      </c>
      <c r="N19" s="205">
        <v>0.2</v>
      </c>
      <c r="O19" s="205">
        <v>0.2</v>
      </c>
      <c r="P19" s="205">
        <v>0.2</v>
      </c>
      <c r="Q19" s="205">
        <v>0.2</v>
      </c>
      <c r="R19" s="205">
        <v>0.2</v>
      </c>
      <c r="S19" s="205">
        <v>0.2</v>
      </c>
      <c r="T19" s="205">
        <v>0.2</v>
      </c>
      <c r="U19" s="205">
        <v>0.2</v>
      </c>
      <c r="V19" s="205">
        <v>0.2</v>
      </c>
      <c r="Y19" t="s">
        <v>151</v>
      </c>
    </row>
    <row r="21" spans="1:25" s="5" customFormat="1" ht="21" x14ac:dyDescent="0.35">
      <c r="B21" s="6" t="s">
        <v>619</v>
      </c>
      <c r="E21" s="5" t="s">
        <v>881</v>
      </c>
    </row>
    <row r="23" spans="1:25" x14ac:dyDescent="0.25">
      <c r="A23" t="s">
        <v>1071</v>
      </c>
      <c r="B23" t="s">
        <v>996</v>
      </c>
      <c r="C23" t="s">
        <v>836</v>
      </c>
      <c r="D23" t="s">
        <v>1066</v>
      </c>
      <c r="E23" s="117">
        <f>E14*E18*E19*(44/12)</f>
        <v>188481.33333333331</v>
      </c>
      <c r="F23" s="117">
        <f t="shared" ref="F23:S23" si="0">F14*F18*F19*(44/12)</f>
        <v>221364</v>
      </c>
      <c r="G23" s="117">
        <f t="shared" si="0"/>
        <v>242894.66666666666</v>
      </c>
      <c r="H23" s="117">
        <f t="shared" si="0"/>
        <v>240973.33333333331</v>
      </c>
      <c r="I23" s="117">
        <f t="shared" si="0"/>
        <v>238993.33333333331</v>
      </c>
      <c r="J23" s="117">
        <f t="shared" si="0"/>
        <v>462718.66666666663</v>
      </c>
      <c r="K23" s="117">
        <f t="shared" si="0"/>
        <v>504401.33333333331</v>
      </c>
      <c r="L23" s="117">
        <f t="shared" si="0"/>
        <v>232012</v>
      </c>
      <c r="M23" s="117">
        <f t="shared" si="0"/>
        <v>218401.33333333331</v>
      </c>
      <c r="N23" s="117">
        <f t="shared" si="0"/>
        <v>230369.33333333331</v>
      </c>
      <c r="O23" s="117">
        <f t="shared" si="0"/>
        <v>230486.66666666666</v>
      </c>
      <c r="P23" s="117">
        <f t="shared" si="0"/>
        <v>192573.33333333331</v>
      </c>
      <c r="Q23" s="117">
        <f t="shared" si="0"/>
        <v>250580</v>
      </c>
      <c r="R23" s="117">
        <f t="shared" si="0"/>
        <v>268545.93874595989</v>
      </c>
      <c r="S23" s="117">
        <f t="shared" si="0"/>
        <v>269745.50295424089</v>
      </c>
      <c r="T23" s="117">
        <f>T14*T18*T19*(44/12)</f>
        <v>270872.47043125337</v>
      </c>
      <c r="U23" s="117">
        <f t="shared" ref="U23" si="1">U14*U18*U19*(44/12)</f>
        <v>271935.38199363684</v>
      </c>
      <c r="V23" s="117">
        <f>V14*V18*V19*(44/12)</f>
        <v>272941.34139337577</v>
      </c>
    </row>
    <row r="24" spans="1:25" x14ac:dyDescent="0.25">
      <c r="A24" t="s">
        <v>1071</v>
      </c>
      <c r="B24" s="7" t="s">
        <v>1067</v>
      </c>
      <c r="C24" s="7" t="s">
        <v>836</v>
      </c>
      <c r="D24" s="7" t="s">
        <v>884</v>
      </c>
      <c r="E24" s="116">
        <f>E23/1000</f>
        <v>188.48133333333331</v>
      </c>
      <c r="F24" s="116">
        <f t="shared" ref="F24:S24" si="2">F23/1000</f>
        <v>221.364</v>
      </c>
      <c r="G24" s="116">
        <f t="shared" si="2"/>
        <v>242.89466666666667</v>
      </c>
      <c r="H24" s="116">
        <f t="shared" si="2"/>
        <v>240.9733333333333</v>
      </c>
      <c r="I24" s="116">
        <f t="shared" si="2"/>
        <v>238.99333333333331</v>
      </c>
      <c r="J24" s="116">
        <f t="shared" si="2"/>
        <v>462.71866666666665</v>
      </c>
      <c r="K24" s="116">
        <f t="shared" si="2"/>
        <v>504.4013333333333</v>
      </c>
      <c r="L24" s="116">
        <f t="shared" si="2"/>
        <v>232.012</v>
      </c>
      <c r="M24" s="116">
        <f t="shared" si="2"/>
        <v>218.40133333333333</v>
      </c>
      <c r="N24" s="116">
        <f t="shared" si="2"/>
        <v>230.36933333333332</v>
      </c>
      <c r="O24" s="116">
        <f t="shared" si="2"/>
        <v>230.48666666666665</v>
      </c>
      <c r="P24" s="116">
        <f t="shared" si="2"/>
        <v>192.57333333333332</v>
      </c>
      <c r="Q24" s="116">
        <f t="shared" si="2"/>
        <v>250.58</v>
      </c>
      <c r="R24" s="116">
        <f t="shared" si="2"/>
        <v>268.54593874595992</v>
      </c>
      <c r="S24" s="116">
        <f t="shared" si="2"/>
        <v>269.74550295424086</v>
      </c>
      <c r="T24" s="116">
        <f>T23/1000</f>
        <v>270.87247043125336</v>
      </c>
      <c r="U24" s="116">
        <f t="shared" ref="U24" si="3">U23/1000</f>
        <v>271.93538199363684</v>
      </c>
      <c r="V24" s="116">
        <f>V23/1000</f>
        <v>272.94134139337575</v>
      </c>
    </row>
    <row r="26" spans="1:25" s="5" customFormat="1" ht="21" x14ac:dyDescent="0.35">
      <c r="B26" s="6" t="s">
        <v>885</v>
      </c>
      <c r="E26" s="5" t="s">
        <v>886</v>
      </c>
      <c r="M26" s="5" t="s">
        <v>900</v>
      </c>
    </row>
    <row r="28" spans="1:25" x14ac:dyDescent="0.25">
      <c r="A28" s="27"/>
      <c r="B28" s="26"/>
      <c r="C28" s="26"/>
      <c r="D28" s="26"/>
      <c r="E28" s="26"/>
      <c r="F28" s="26"/>
      <c r="G28" s="26"/>
      <c r="H28" s="26"/>
    </row>
    <row r="49" spans="1:23" ht="21" x14ac:dyDescent="0.35">
      <c r="A49" s="5"/>
      <c r="B49" s="6" t="s">
        <v>346</v>
      </c>
      <c r="C49" s="5"/>
      <c r="D49" s="5"/>
      <c r="E49" s="5" t="s">
        <v>887</v>
      </c>
      <c r="F49" s="5"/>
      <c r="G49" s="5"/>
      <c r="H49" s="5"/>
      <c r="I49" s="5"/>
      <c r="J49" s="5"/>
      <c r="K49" s="5"/>
      <c r="L49" s="5"/>
      <c r="M49" s="5"/>
      <c r="N49" s="5"/>
      <c r="O49" s="5"/>
      <c r="P49" s="5"/>
      <c r="Q49" s="5"/>
      <c r="R49" s="5"/>
      <c r="S49" s="5"/>
      <c r="T49" s="5"/>
      <c r="U49" s="5"/>
      <c r="V49" s="5"/>
      <c r="W49" s="5"/>
    </row>
    <row r="50" spans="1:23" ht="18.75" x14ac:dyDescent="0.3">
      <c r="A50" s="12" t="s">
        <v>844</v>
      </c>
      <c r="E50" t="s">
        <v>888</v>
      </c>
    </row>
    <row r="51" spans="1:23" x14ac:dyDescent="0.25">
      <c r="A51" s="8"/>
      <c r="B51" s="9" t="s">
        <v>865</v>
      </c>
      <c r="C51" s="8"/>
      <c r="D51" s="8"/>
      <c r="E51" s="8"/>
      <c r="F51" s="8"/>
      <c r="G51" s="8"/>
      <c r="H51" s="8"/>
      <c r="I51" s="8"/>
      <c r="J51" s="8"/>
      <c r="K51" s="8"/>
      <c r="L51" s="8"/>
      <c r="M51" s="8"/>
      <c r="N51" s="8"/>
      <c r="O51" s="8"/>
      <c r="P51" s="8"/>
      <c r="Q51" s="8"/>
      <c r="R51" s="8"/>
      <c r="S51" s="8"/>
      <c r="T51" s="8"/>
      <c r="U51" s="8"/>
      <c r="V51" s="8"/>
      <c r="W51" s="8"/>
    </row>
    <row r="53" spans="1:23" x14ac:dyDescent="0.25">
      <c r="A53" s="10" t="s">
        <v>867</v>
      </c>
      <c r="B53" s="10" t="s">
        <v>868</v>
      </c>
      <c r="C53" s="10" t="s">
        <v>482</v>
      </c>
      <c r="D53" s="10" t="s">
        <v>740</v>
      </c>
      <c r="E53" s="10">
        <v>2000</v>
      </c>
      <c r="F53" s="10">
        <v>2001</v>
      </c>
      <c r="G53" s="10">
        <v>2002</v>
      </c>
      <c r="H53" s="10">
        <v>2003</v>
      </c>
      <c r="I53" s="10">
        <v>2004</v>
      </c>
      <c r="J53" s="10">
        <v>2005</v>
      </c>
      <c r="K53" s="10">
        <v>2006</v>
      </c>
      <c r="L53" s="10">
        <v>2007</v>
      </c>
      <c r="M53" s="10">
        <v>2008</v>
      </c>
      <c r="N53" s="10">
        <v>2009</v>
      </c>
      <c r="O53" s="10">
        <v>2010</v>
      </c>
      <c r="P53" s="10">
        <v>2011</v>
      </c>
      <c r="Q53" s="10">
        <v>2012</v>
      </c>
      <c r="R53" s="10">
        <v>2013</v>
      </c>
      <c r="S53" s="10">
        <v>2014</v>
      </c>
      <c r="T53" s="10">
        <v>2015</v>
      </c>
      <c r="U53" s="10"/>
      <c r="V53" s="10"/>
      <c r="W53" s="10" t="s">
        <v>741</v>
      </c>
    </row>
    <row r="54" spans="1:23" x14ac:dyDescent="0.25">
      <c r="A54" s="11" t="s">
        <v>1071</v>
      </c>
      <c r="B54" s="11" t="s">
        <v>1072</v>
      </c>
      <c r="C54" s="11"/>
      <c r="D54" s="11" t="s">
        <v>892</v>
      </c>
      <c r="E54" s="29">
        <v>12851</v>
      </c>
      <c r="F54" s="29">
        <v>15093</v>
      </c>
      <c r="G54" s="29">
        <v>16561</v>
      </c>
      <c r="H54" s="29">
        <v>16430</v>
      </c>
      <c r="I54" s="29">
        <v>16295</v>
      </c>
      <c r="J54" s="29">
        <v>31549</v>
      </c>
      <c r="K54" s="29">
        <v>34391</v>
      </c>
      <c r="L54" s="29">
        <v>15819</v>
      </c>
      <c r="M54" s="29">
        <v>14891</v>
      </c>
      <c r="N54" s="29">
        <v>15707</v>
      </c>
      <c r="O54" s="29">
        <v>15715</v>
      </c>
      <c r="P54" s="29">
        <v>13130</v>
      </c>
      <c r="Q54" s="29">
        <v>17085</v>
      </c>
      <c r="R54" s="29">
        <v>18309.950369042723</v>
      </c>
      <c r="S54" s="29">
        <v>18391.738837789151</v>
      </c>
      <c r="T54" s="29">
        <v>18468.577529403639</v>
      </c>
      <c r="U54" s="4"/>
      <c r="V54" s="4"/>
    </row>
    <row r="55" spans="1:23" x14ac:dyDescent="0.25">
      <c r="E55" s="11"/>
      <c r="F55" s="11"/>
      <c r="G55" s="11"/>
      <c r="H55" s="11"/>
      <c r="I55" s="11"/>
      <c r="J55" s="11"/>
      <c r="K55" s="11"/>
      <c r="L55" s="11"/>
      <c r="M55" s="11"/>
      <c r="N55" s="11"/>
      <c r="O55" s="11"/>
      <c r="P55" s="11"/>
      <c r="Q55" s="11"/>
      <c r="R55" s="11"/>
      <c r="S55" s="11"/>
      <c r="T55" s="11"/>
    </row>
    <row r="56" spans="1:23" x14ac:dyDescent="0.25">
      <c r="A56" s="8"/>
      <c r="B56" s="9" t="s">
        <v>877</v>
      </c>
      <c r="C56" s="8"/>
      <c r="D56" s="8"/>
      <c r="E56" s="197"/>
      <c r="F56" s="197"/>
      <c r="G56" s="197"/>
      <c r="H56" s="197"/>
      <c r="I56" s="197"/>
      <c r="J56" s="197"/>
      <c r="K56" s="197"/>
      <c r="L56" s="197"/>
      <c r="M56" s="197"/>
      <c r="N56" s="197"/>
      <c r="O56" s="197"/>
      <c r="P56" s="197"/>
      <c r="Q56" s="197"/>
      <c r="R56" s="197"/>
      <c r="S56" s="197"/>
      <c r="T56" s="197"/>
      <c r="U56" s="8"/>
      <c r="V56" s="8"/>
      <c r="W56" s="8"/>
    </row>
    <row r="57" spans="1:23" x14ac:dyDescent="0.25">
      <c r="E57" s="11"/>
      <c r="F57" s="11"/>
      <c r="G57" s="11"/>
      <c r="H57" s="11"/>
      <c r="I57" s="11"/>
      <c r="J57" s="11"/>
      <c r="K57" s="11"/>
      <c r="L57" s="11"/>
      <c r="M57" s="11"/>
      <c r="N57" s="11"/>
      <c r="O57" s="11"/>
      <c r="P57" s="11"/>
      <c r="Q57" s="11"/>
      <c r="R57" s="11"/>
      <c r="S57" s="11"/>
      <c r="T57" s="11"/>
    </row>
    <row r="58" spans="1:23" x14ac:dyDescent="0.25">
      <c r="A58" s="11" t="s">
        <v>1071</v>
      </c>
      <c r="B58" s="11" t="s">
        <v>1073</v>
      </c>
      <c r="C58" s="11"/>
      <c r="D58" s="11" t="s">
        <v>1074</v>
      </c>
      <c r="E58" s="29">
        <v>20</v>
      </c>
      <c r="F58" s="29">
        <v>20</v>
      </c>
      <c r="G58" s="29">
        <v>20</v>
      </c>
      <c r="H58" s="29">
        <v>20</v>
      </c>
      <c r="I58" s="29">
        <v>20</v>
      </c>
      <c r="J58" s="29">
        <v>20</v>
      </c>
      <c r="K58" s="29">
        <v>20</v>
      </c>
      <c r="L58" s="29">
        <v>20</v>
      </c>
      <c r="M58" s="29">
        <v>20</v>
      </c>
      <c r="N58" s="29">
        <v>20</v>
      </c>
      <c r="O58" s="29">
        <v>20</v>
      </c>
      <c r="P58" s="29">
        <v>20</v>
      </c>
      <c r="Q58" s="29">
        <v>20</v>
      </c>
      <c r="R58" s="29">
        <v>20</v>
      </c>
      <c r="S58" s="29">
        <v>20</v>
      </c>
      <c r="T58" s="29">
        <v>20</v>
      </c>
      <c r="U58" s="4"/>
      <c r="V58" s="4"/>
    </row>
    <row r="59" spans="1:23" x14ac:dyDescent="0.25">
      <c r="A59" s="11" t="s">
        <v>1071</v>
      </c>
      <c r="B59" s="11" t="s">
        <v>1075</v>
      </c>
      <c r="C59" s="11"/>
      <c r="D59" s="11" t="s">
        <v>872</v>
      </c>
      <c r="E59" s="29">
        <v>0.2</v>
      </c>
      <c r="F59" s="29">
        <v>0.2</v>
      </c>
      <c r="G59" s="29">
        <v>0.2</v>
      </c>
      <c r="H59" s="29">
        <v>0.2</v>
      </c>
      <c r="I59" s="29">
        <v>0.2</v>
      </c>
      <c r="J59" s="29">
        <v>0.2</v>
      </c>
      <c r="K59" s="29">
        <v>0.2</v>
      </c>
      <c r="L59" s="29">
        <v>0.2</v>
      </c>
      <c r="M59" s="29">
        <v>0.2</v>
      </c>
      <c r="N59" s="29">
        <v>0.2</v>
      </c>
      <c r="O59" s="29">
        <v>0.2</v>
      </c>
      <c r="P59" s="29">
        <v>0.2</v>
      </c>
      <c r="Q59" s="29">
        <v>0.2</v>
      </c>
      <c r="R59" s="29">
        <v>0.2</v>
      </c>
      <c r="S59" s="29">
        <v>0.2</v>
      </c>
      <c r="T59" s="29">
        <v>0.2</v>
      </c>
      <c r="U59" s="4"/>
      <c r="V59" s="4"/>
    </row>
    <row r="60" spans="1:23" x14ac:dyDescent="0.25">
      <c r="E60" s="11"/>
      <c r="F60" s="11"/>
      <c r="G60" s="11"/>
      <c r="H60" s="11"/>
      <c r="I60" s="11"/>
      <c r="J60" s="11"/>
      <c r="K60" s="11"/>
      <c r="L60" s="11"/>
      <c r="M60" s="11"/>
      <c r="N60" s="11"/>
      <c r="O60" s="11"/>
      <c r="P60" s="11"/>
      <c r="Q60" s="11"/>
      <c r="R60" s="11"/>
      <c r="S60" s="11"/>
      <c r="T60" s="11"/>
    </row>
    <row r="61" spans="1:23" x14ac:dyDescent="0.25">
      <c r="A61" s="8"/>
      <c r="B61" s="9" t="s">
        <v>619</v>
      </c>
      <c r="C61" s="8"/>
      <c r="D61" s="8"/>
      <c r="E61" s="197"/>
      <c r="F61" s="197"/>
      <c r="G61" s="197"/>
      <c r="H61" s="197"/>
      <c r="I61" s="197"/>
      <c r="J61" s="197"/>
      <c r="K61" s="197"/>
      <c r="L61" s="197"/>
      <c r="M61" s="197"/>
      <c r="N61" s="197"/>
      <c r="O61" s="197"/>
      <c r="P61" s="197"/>
      <c r="Q61" s="197"/>
      <c r="R61" s="197"/>
      <c r="S61" s="197"/>
      <c r="T61" s="197"/>
      <c r="U61" s="8"/>
      <c r="V61" s="8"/>
      <c r="W61" s="8"/>
    </row>
    <row r="62" spans="1:23" x14ac:dyDescent="0.25">
      <c r="E62" s="11"/>
      <c r="F62" s="11"/>
      <c r="G62" s="11"/>
      <c r="H62" s="11"/>
      <c r="I62" s="11"/>
      <c r="J62" s="11"/>
      <c r="K62" s="11"/>
      <c r="L62" s="11"/>
      <c r="M62" s="11"/>
      <c r="N62" s="11"/>
      <c r="O62" s="11"/>
      <c r="P62" s="11"/>
      <c r="Q62" s="11"/>
      <c r="R62" s="11"/>
      <c r="S62" s="11"/>
      <c r="T62" s="11"/>
    </row>
    <row r="63" spans="1:23" x14ac:dyDescent="0.25">
      <c r="A63" s="11" t="s">
        <v>1071</v>
      </c>
      <c r="B63" s="11" t="s">
        <v>996</v>
      </c>
      <c r="C63" s="11" t="s">
        <v>836</v>
      </c>
      <c r="D63" s="11" t="s">
        <v>1066</v>
      </c>
      <c r="E63" s="29">
        <v>188481.33333333331</v>
      </c>
      <c r="F63" s="29">
        <v>221364</v>
      </c>
      <c r="G63" s="29">
        <v>242894.66666666666</v>
      </c>
      <c r="H63" s="29">
        <v>240973.33333333331</v>
      </c>
      <c r="I63" s="29">
        <v>238993.33333333331</v>
      </c>
      <c r="J63" s="29">
        <v>462718.66666666663</v>
      </c>
      <c r="K63" s="29">
        <v>504401.33333333331</v>
      </c>
      <c r="L63" s="29">
        <v>232012</v>
      </c>
      <c r="M63" s="29">
        <v>218401.33333333331</v>
      </c>
      <c r="N63" s="29">
        <v>230369.33333333331</v>
      </c>
      <c r="O63" s="29">
        <v>230486.66666666666</v>
      </c>
      <c r="P63" s="29">
        <v>192573.33333333331</v>
      </c>
      <c r="Q63" s="29">
        <v>250580</v>
      </c>
      <c r="R63" s="29">
        <v>268545.93874595989</v>
      </c>
      <c r="S63" s="29">
        <v>269745.50295424089</v>
      </c>
      <c r="T63" s="29">
        <v>270872.47043125337</v>
      </c>
      <c r="U63" s="4"/>
      <c r="V63" s="4"/>
    </row>
    <row r="64" spans="1:23" x14ac:dyDescent="0.25">
      <c r="A64" s="11" t="s">
        <v>1071</v>
      </c>
      <c r="B64" s="11" t="s">
        <v>1067</v>
      </c>
      <c r="C64" s="11" t="s">
        <v>836</v>
      </c>
      <c r="D64" s="11" t="s">
        <v>884</v>
      </c>
      <c r="E64" s="29">
        <v>188.48133333333331</v>
      </c>
      <c r="F64" s="29">
        <v>221.364</v>
      </c>
      <c r="G64" s="29">
        <v>242.89466666666667</v>
      </c>
      <c r="H64" s="29">
        <v>240.9733333333333</v>
      </c>
      <c r="I64" s="29">
        <v>238.99333333333331</v>
      </c>
      <c r="J64" s="29">
        <v>462.71866666666665</v>
      </c>
      <c r="K64" s="29">
        <v>504.4013333333333</v>
      </c>
      <c r="L64" s="29">
        <v>232.012</v>
      </c>
      <c r="M64" s="29">
        <v>218.40133333333333</v>
      </c>
      <c r="N64" s="29">
        <v>230.36933333333332</v>
      </c>
      <c r="O64" s="29">
        <v>230.48666666666665</v>
      </c>
      <c r="P64" s="29">
        <v>192.57333333333332</v>
      </c>
      <c r="Q64" s="29">
        <v>250.58</v>
      </c>
      <c r="R64" s="29">
        <v>268.54593874595992</v>
      </c>
      <c r="S64" s="29">
        <v>269.74550295424086</v>
      </c>
      <c r="T64" s="29">
        <v>270.87247043125336</v>
      </c>
      <c r="U64" s="4"/>
      <c r="V64" s="4"/>
    </row>
    <row r="65" spans="1:23" x14ac:dyDescent="0.25">
      <c r="A65" s="7"/>
      <c r="B65" s="7"/>
      <c r="C65" s="7"/>
      <c r="D65" s="7"/>
    </row>
    <row r="66" spans="1:23" ht="18.75" x14ac:dyDescent="0.3">
      <c r="A66" s="13" t="s">
        <v>346</v>
      </c>
    </row>
    <row r="67" spans="1:23" x14ac:dyDescent="0.25">
      <c r="A67" s="8"/>
      <c r="B67" s="9" t="s">
        <v>865</v>
      </c>
      <c r="C67" s="8"/>
      <c r="D67" s="8" t="s">
        <v>852</v>
      </c>
      <c r="E67" s="8"/>
      <c r="F67" s="8"/>
      <c r="G67" s="8"/>
      <c r="H67" s="8"/>
      <c r="I67" s="8"/>
      <c r="J67" s="8"/>
      <c r="K67" s="8"/>
      <c r="L67" s="8"/>
      <c r="M67" s="8"/>
      <c r="N67" s="8"/>
      <c r="O67" s="8"/>
      <c r="P67" s="8"/>
      <c r="Q67" s="8"/>
      <c r="R67" s="8"/>
      <c r="S67" s="8"/>
      <c r="T67" s="8"/>
      <c r="U67" s="8"/>
      <c r="V67" s="8"/>
      <c r="W67" s="22"/>
    </row>
    <row r="69" spans="1:23" x14ac:dyDescent="0.25">
      <c r="A69" s="10" t="s">
        <v>867</v>
      </c>
      <c r="B69" s="10" t="s">
        <v>868</v>
      </c>
      <c r="C69" s="10" t="s">
        <v>482</v>
      </c>
      <c r="D69" s="10" t="s">
        <v>740</v>
      </c>
      <c r="E69" s="10">
        <v>2000</v>
      </c>
      <c r="F69" s="10">
        <v>2001</v>
      </c>
      <c r="G69" s="10">
        <v>2002</v>
      </c>
      <c r="H69" s="10">
        <v>2003</v>
      </c>
      <c r="I69" s="10">
        <v>2004</v>
      </c>
      <c r="J69" s="10">
        <v>2005</v>
      </c>
      <c r="K69" s="10">
        <v>2006</v>
      </c>
      <c r="L69" s="10">
        <v>2007</v>
      </c>
      <c r="M69" s="10">
        <v>2008</v>
      </c>
      <c r="N69" s="10">
        <v>2009</v>
      </c>
      <c r="O69" s="10">
        <v>2010</v>
      </c>
      <c r="P69" s="10">
        <v>2011</v>
      </c>
      <c r="Q69" s="10">
        <v>2012</v>
      </c>
      <c r="R69" s="10">
        <v>2013</v>
      </c>
      <c r="S69" s="10">
        <v>2014</v>
      </c>
      <c r="T69" s="10">
        <v>2015</v>
      </c>
      <c r="U69" s="10"/>
      <c r="V69" s="10"/>
    </row>
    <row r="70" spans="1:23" x14ac:dyDescent="0.25">
      <c r="A70" s="11" t="s">
        <v>1071</v>
      </c>
      <c r="B70" s="11" t="s">
        <v>1072</v>
      </c>
      <c r="C70" s="11"/>
      <c r="D70" s="11" t="s">
        <v>892</v>
      </c>
      <c r="E70" s="41">
        <f t="shared" ref="E70:S70" si="4">IFERROR(((E14/E54)-1),"CHECK")</f>
        <v>0</v>
      </c>
      <c r="F70" s="41">
        <f t="shared" si="4"/>
        <v>0</v>
      </c>
      <c r="G70" s="41">
        <f t="shared" si="4"/>
        <v>0</v>
      </c>
      <c r="H70" s="41">
        <f t="shared" si="4"/>
        <v>0</v>
      </c>
      <c r="I70" s="41">
        <f t="shared" si="4"/>
        <v>0</v>
      </c>
      <c r="J70" s="41">
        <f t="shared" si="4"/>
        <v>0</v>
      </c>
      <c r="K70" s="41">
        <f t="shared" si="4"/>
        <v>0</v>
      </c>
      <c r="L70" s="41">
        <f t="shared" si="4"/>
        <v>0</v>
      </c>
      <c r="M70" s="41">
        <f t="shared" si="4"/>
        <v>0</v>
      </c>
      <c r="N70" s="41">
        <f t="shared" si="4"/>
        <v>0</v>
      </c>
      <c r="O70" s="41">
        <f t="shared" si="4"/>
        <v>0</v>
      </c>
      <c r="P70" s="41">
        <f t="shared" si="4"/>
        <v>0</v>
      </c>
      <c r="Q70" s="41">
        <f t="shared" si="4"/>
        <v>0</v>
      </c>
      <c r="R70" s="41">
        <f t="shared" si="4"/>
        <v>0</v>
      </c>
      <c r="S70" s="41">
        <f t="shared" si="4"/>
        <v>0</v>
      </c>
      <c r="T70" s="41">
        <f>IFERROR(((T14/T54)-1),"CHECK")</f>
        <v>0</v>
      </c>
      <c r="U70" s="41"/>
      <c r="V70" s="41"/>
    </row>
    <row r="72" spans="1:23" x14ac:dyDescent="0.25">
      <c r="A72" s="8"/>
      <c r="B72" s="9" t="s">
        <v>877</v>
      </c>
      <c r="C72" s="8"/>
      <c r="D72" s="8"/>
      <c r="E72" s="8"/>
      <c r="F72" s="8"/>
      <c r="G72" s="8"/>
      <c r="H72" s="8"/>
      <c r="I72" s="8"/>
      <c r="J72" s="8"/>
      <c r="K72" s="8"/>
      <c r="L72" s="8"/>
      <c r="M72" s="8"/>
      <c r="N72" s="8"/>
      <c r="O72" s="8"/>
      <c r="P72" s="8"/>
      <c r="Q72" s="8"/>
      <c r="R72" s="8"/>
      <c r="S72" s="8"/>
      <c r="T72" s="8"/>
      <c r="U72" s="8"/>
      <c r="V72" s="8"/>
    </row>
    <row r="74" spans="1:23" x14ac:dyDescent="0.25">
      <c r="A74" s="11" t="s">
        <v>1071</v>
      </c>
      <c r="B74" s="11" t="s">
        <v>1073</v>
      </c>
      <c r="C74" s="11"/>
      <c r="D74" s="11" t="s">
        <v>1074</v>
      </c>
      <c r="E74" s="41">
        <f t="shared" ref="E74:S74" si="5">IFERROR(((E18/E58)-1),"CHECK")</f>
        <v>0</v>
      </c>
      <c r="F74" s="41">
        <f t="shared" si="5"/>
        <v>0</v>
      </c>
      <c r="G74" s="41">
        <f t="shared" si="5"/>
        <v>0</v>
      </c>
      <c r="H74" s="41">
        <f t="shared" si="5"/>
        <v>0</v>
      </c>
      <c r="I74" s="41">
        <f t="shared" si="5"/>
        <v>0</v>
      </c>
      <c r="J74" s="41">
        <f t="shared" si="5"/>
        <v>0</v>
      </c>
      <c r="K74" s="41">
        <f t="shared" si="5"/>
        <v>0</v>
      </c>
      <c r="L74" s="41">
        <f t="shared" si="5"/>
        <v>0</v>
      </c>
      <c r="M74" s="41">
        <f t="shared" si="5"/>
        <v>0</v>
      </c>
      <c r="N74" s="41">
        <f t="shared" si="5"/>
        <v>0</v>
      </c>
      <c r="O74" s="41">
        <f t="shared" si="5"/>
        <v>0</v>
      </c>
      <c r="P74" s="41">
        <f t="shared" si="5"/>
        <v>0</v>
      </c>
      <c r="Q74" s="41">
        <f t="shared" si="5"/>
        <v>0</v>
      </c>
      <c r="R74" s="41">
        <f t="shared" si="5"/>
        <v>0</v>
      </c>
      <c r="S74" s="41">
        <f t="shared" si="5"/>
        <v>0</v>
      </c>
      <c r="T74" s="41">
        <f>IFERROR(((T18/T58)-1),"CHECK")</f>
        <v>0</v>
      </c>
      <c r="U74" s="41"/>
      <c r="V74" s="41"/>
    </row>
    <row r="75" spans="1:23" x14ac:dyDescent="0.25">
      <c r="A75" s="11" t="s">
        <v>1071</v>
      </c>
      <c r="B75" s="11" t="s">
        <v>1075</v>
      </c>
      <c r="C75" s="11"/>
      <c r="D75" s="11" t="s">
        <v>872</v>
      </c>
      <c r="E75" s="41">
        <f t="shared" ref="E75:S75" si="6">IFERROR(((E19/E59)-1),"CHECK")</f>
        <v>0</v>
      </c>
      <c r="F75" s="41">
        <f t="shared" si="6"/>
        <v>0</v>
      </c>
      <c r="G75" s="41">
        <f t="shared" si="6"/>
        <v>0</v>
      </c>
      <c r="H75" s="41">
        <f t="shared" si="6"/>
        <v>0</v>
      </c>
      <c r="I75" s="41">
        <f t="shared" si="6"/>
        <v>0</v>
      </c>
      <c r="J75" s="41">
        <f t="shared" si="6"/>
        <v>0</v>
      </c>
      <c r="K75" s="41">
        <f t="shared" si="6"/>
        <v>0</v>
      </c>
      <c r="L75" s="41">
        <f t="shared" si="6"/>
        <v>0</v>
      </c>
      <c r="M75" s="41">
        <f t="shared" si="6"/>
        <v>0</v>
      </c>
      <c r="N75" s="41">
        <f t="shared" si="6"/>
        <v>0</v>
      </c>
      <c r="O75" s="41">
        <f t="shared" si="6"/>
        <v>0</v>
      </c>
      <c r="P75" s="41">
        <f t="shared" si="6"/>
        <v>0</v>
      </c>
      <c r="Q75" s="41">
        <f t="shared" si="6"/>
        <v>0</v>
      </c>
      <c r="R75" s="41">
        <f t="shared" si="6"/>
        <v>0</v>
      </c>
      <c r="S75" s="41">
        <f t="shared" si="6"/>
        <v>0</v>
      </c>
      <c r="T75" s="41">
        <f>IFERROR(((T19/T59)-1),"CHECK")</f>
        <v>0</v>
      </c>
      <c r="U75" s="41"/>
      <c r="V75" s="41"/>
    </row>
    <row r="77" spans="1:23" x14ac:dyDescent="0.25">
      <c r="A77" s="8"/>
      <c r="B77" s="9" t="s">
        <v>619</v>
      </c>
      <c r="C77" s="8"/>
      <c r="D77" s="8"/>
      <c r="E77" s="8"/>
      <c r="F77" s="8"/>
      <c r="G77" s="8"/>
      <c r="H77" s="8"/>
      <c r="I77" s="8"/>
      <c r="J77" s="8"/>
      <c r="K77" s="8"/>
      <c r="L77" s="8"/>
      <c r="M77" s="8"/>
      <c r="N77" s="8"/>
      <c r="O77" s="8"/>
      <c r="P77" s="8"/>
      <c r="Q77" s="8"/>
      <c r="R77" s="8"/>
      <c r="S77" s="8"/>
      <c r="T77" s="8"/>
      <c r="U77" s="8"/>
      <c r="V77" s="8"/>
    </row>
    <row r="79" spans="1:23" x14ac:dyDescent="0.25">
      <c r="A79" s="11" t="s">
        <v>1071</v>
      </c>
      <c r="B79" s="11" t="s">
        <v>996</v>
      </c>
      <c r="C79" s="11" t="s">
        <v>836</v>
      </c>
      <c r="D79" s="11" t="s">
        <v>1066</v>
      </c>
      <c r="E79" s="41">
        <f t="shared" ref="E79:S79" si="7">IFERROR(((E23/E63)-1),"CHECK")</f>
        <v>0</v>
      </c>
      <c r="F79" s="41">
        <f t="shared" si="7"/>
        <v>0</v>
      </c>
      <c r="G79" s="41">
        <f t="shared" si="7"/>
        <v>0</v>
      </c>
      <c r="H79" s="41">
        <f t="shared" si="7"/>
        <v>0</v>
      </c>
      <c r="I79" s="41">
        <f t="shared" si="7"/>
        <v>0</v>
      </c>
      <c r="J79" s="41">
        <f t="shared" si="7"/>
        <v>0</v>
      </c>
      <c r="K79" s="41">
        <f t="shared" si="7"/>
        <v>0</v>
      </c>
      <c r="L79" s="41">
        <f t="shared" si="7"/>
        <v>0</v>
      </c>
      <c r="M79" s="41">
        <f t="shared" si="7"/>
        <v>0</v>
      </c>
      <c r="N79" s="41">
        <f t="shared" si="7"/>
        <v>0</v>
      </c>
      <c r="O79" s="41">
        <f t="shared" si="7"/>
        <v>0</v>
      </c>
      <c r="P79" s="41">
        <f t="shared" si="7"/>
        <v>0</v>
      </c>
      <c r="Q79" s="41">
        <f t="shared" si="7"/>
        <v>0</v>
      </c>
      <c r="R79" s="41">
        <f t="shared" si="7"/>
        <v>0</v>
      </c>
      <c r="S79" s="41">
        <f t="shared" si="7"/>
        <v>0</v>
      </c>
      <c r="T79" s="41">
        <f>IFERROR(((T23/T63)-1),"CHECK")</f>
        <v>0</v>
      </c>
      <c r="U79" s="41"/>
      <c r="V79" s="41"/>
    </row>
    <row r="80" spans="1:23" x14ac:dyDescent="0.25">
      <c r="A80" s="11" t="s">
        <v>1071</v>
      </c>
      <c r="B80" s="11" t="s">
        <v>1067</v>
      </c>
      <c r="C80" s="11" t="s">
        <v>836</v>
      </c>
      <c r="D80" s="11" t="s">
        <v>884</v>
      </c>
      <c r="E80" s="41">
        <f t="shared" ref="E80:S80" si="8">IFERROR(((E24/E64)-1),"CHECK")</f>
        <v>0</v>
      </c>
      <c r="F80" s="41">
        <f t="shared" si="8"/>
        <v>0</v>
      </c>
      <c r="G80" s="41">
        <f t="shared" si="8"/>
        <v>0</v>
      </c>
      <c r="H80" s="41">
        <f t="shared" si="8"/>
        <v>0</v>
      </c>
      <c r="I80" s="41">
        <f t="shared" si="8"/>
        <v>0</v>
      </c>
      <c r="J80" s="41">
        <f t="shared" si="8"/>
        <v>0</v>
      </c>
      <c r="K80" s="41">
        <f t="shared" si="8"/>
        <v>0</v>
      </c>
      <c r="L80" s="41">
        <f t="shared" si="8"/>
        <v>0</v>
      </c>
      <c r="M80" s="41">
        <f t="shared" si="8"/>
        <v>0</v>
      </c>
      <c r="N80" s="41">
        <f t="shared" si="8"/>
        <v>0</v>
      </c>
      <c r="O80" s="41">
        <f t="shared" si="8"/>
        <v>0</v>
      </c>
      <c r="P80" s="41">
        <f t="shared" si="8"/>
        <v>0</v>
      </c>
      <c r="Q80" s="41">
        <f t="shared" si="8"/>
        <v>0</v>
      </c>
      <c r="R80" s="41">
        <f t="shared" si="8"/>
        <v>0</v>
      </c>
      <c r="S80" s="41">
        <f t="shared" si="8"/>
        <v>0</v>
      </c>
      <c r="T80" s="41">
        <f>IFERROR(((T24/T64)-1),"CHECK")</f>
        <v>0</v>
      </c>
      <c r="U80" s="41"/>
      <c r="V80" s="41"/>
    </row>
  </sheetData>
  <mergeCells count="2">
    <mergeCell ref="C1:J1"/>
    <mergeCell ref="C2:J2"/>
  </mergeCells>
  <conditionalFormatting sqref="K2">
    <cfRule type="expression" dxfId="11" priority="2">
      <formula>(UPPER(LEFT(SUBSTITUTE($Z2,"#",""),5))="FIXCH")</formula>
    </cfRule>
    <cfRule type="expression" dxfId="10" priority="3">
      <formula>(UPPER(SUBSTITUTE($Z2,"#",""))="OK")</formula>
    </cfRule>
  </conditionalFormatting>
  <conditionalFormatting sqref="E79:S80 E70:S70 E74:S75">
    <cfRule type="colorScale" priority="4">
      <colorScale>
        <cfvo type="min"/>
        <cfvo type="num" val="0"/>
        <cfvo type="max"/>
        <color theme="3" tint="0.59999389629810485"/>
        <color theme="0"/>
        <color rgb="FFEE9CA4"/>
      </colorScale>
    </cfRule>
  </conditionalFormatting>
  <conditionalFormatting sqref="T79:V80 T70:V70 T74:V7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3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300-00007A000000}">
          <x14:colorSeries rgb="FF376092"/>
          <x14:colorNegative rgb="FFD00000"/>
          <x14:colorAxis rgb="FF000000"/>
          <x14:colorMarkers rgb="FFD00000"/>
          <x14:colorFirst rgb="FFD00000"/>
          <x14:colorLast rgb="FFD00000"/>
          <x14:colorHigh rgb="FFD00000"/>
          <x14:colorLow rgb="FFD00000"/>
          <x14:sparklines>
            <x14:sparkline>
              <xm:f>'2D1 Lubricant Use'!E63:T63</xm:f>
              <xm:sqref>W63</xm:sqref>
            </x14:sparkline>
            <x14:sparkline>
              <xm:f>'2D1 Lubricant Use'!E64:T64</xm:f>
              <xm:sqref>W64</xm:sqref>
            </x14:sparkline>
          </x14:sparklines>
        </x14:sparklineGroup>
        <x14:sparklineGroup manualMax="0" manualMin="0" displayEmptyCellsAs="gap" xr2:uid="{00000000-0003-0000-2300-000079000000}">
          <x14:colorSeries rgb="FF376092"/>
          <x14:colorNegative rgb="FFD00000"/>
          <x14:colorAxis rgb="FF000000"/>
          <x14:colorMarkers rgb="FFD00000"/>
          <x14:colorFirst rgb="FFD00000"/>
          <x14:colorLast rgb="FFD00000"/>
          <x14:colorHigh rgb="FFD00000"/>
          <x14:colorLow rgb="FFD00000"/>
          <x14:sparklines>
            <x14:sparkline>
              <xm:f>'2D1 Lubricant Use'!E54:T54</xm:f>
              <xm:sqref>W54</xm:sqref>
            </x14:sparkline>
          </x14:sparklines>
        </x14:sparklineGroup>
        <x14:sparklineGroup manualMax="0" manualMin="0" displayEmptyCellsAs="gap" xr2:uid="{00000000-0003-0000-2300-000078000000}">
          <x14:colorSeries rgb="FF376092"/>
          <x14:colorNegative rgb="FFD00000"/>
          <x14:colorAxis rgb="FF000000"/>
          <x14:colorMarkers rgb="FFD00000"/>
          <x14:colorFirst rgb="FFD00000"/>
          <x14:colorLast rgb="FFD00000"/>
          <x14:colorHigh rgb="FFD00000"/>
          <x14:colorLow rgb="FFD00000"/>
          <x14:sparklines>
            <x14:sparkline>
              <xm:f>'2D1 Lubricant Use'!E58:T58</xm:f>
              <xm:sqref>W58</xm:sqref>
            </x14:sparkline>
            <x14:sparkline>
              <xm:f>'2D1 Lubricant Use'!E59:T59</xm:f>
              <xm:sqref>W59</xm:sqref>
            </x14:sparkline>
          </x14:sparklines>
        </x14:sparklineGroup>
        <x14:sparklineGroup manualMax="0" manualMin="0" displayEmptyCellsAs="gap" xr2:uid="{00000000-0003-0000-2300-000077000000}">
          <x14:colorSeries rgb="FF376092"/>
          <x14:colorNegative rgb="FFD00000"/>
          <x14:colorAxis rgb="FF000000"/>
          <x14:colorMarkers rgb="FFD00000"/>
          <x14:colorFirst rgb="FFD00000"/>
          <x14:colorLast rgb="FFD00000"/>
          <x14:colorHigh rgb="FFD00000"/>
          <x14:colorLow rgb="FFD00000"/>
          <x14:sparklines>
            <x14:sparkline>
              <xm:f>'2D1 Lubricant Use'!E18:V18</xm:f>
              <xm:sqref>W18</xm:sqref>
            </x14:sparkline>
            <x14:sparkline>
              <xm:f>'2D1 Lubricant Use'!E19:V19</xm:f>
              <xm:sqref>W19</xm:sqref>
            </x14:sparkline>
          </x14:sparklines>
        </x14:sparklineGroup>
        <x14:sparklineGroup manualMax="0" manualMin="0" displayEmptyCellsAs="gap" xr2:uid="{00000000-0003-0000-2300-000076000000}">
          <x14:colorSeries rgb="FF376092"/>
          <x14:colorNegative rgb="FFD00000"/>
          <x14:colorAxis rgb="FF000000"/>
          <x14:colorMarkers rgb="FFD00000"/>
          <x14:colorFirst rgb="FFD00000"/>
          <x14:colorLast rgb="FFD00000"/>
          <x14:colorHigh rgb="FFD00000"/>
          <x14:colorLow rgb="FFD00000"/>
          <x14:sparklines>
            <x14:sparkline>
              <xm:f>'2D1 Lubricant Use'!E14:V14</xm:f>
              <xm:sqref>W14</xm:sqref>
            </x14:sparkline>
          </x14:sparklines>
        </x14:sparklineGroup>
        <x14:sparklineGroup manualMax="0" manualMin="0" displayEmptyCellsAs="gap" xr2:uid="{00000000-0003-0000-2300-000075000000}">
          <x14:colorSeries rgb="FF376092"/>
          <x14:colorNegative rgb="FFD00000"/>
          <x14:colorAxis rgb="FF000000"/>
          <x14:colorMarkers rgb="FFD00000"/>
          <x14:colorFirst rgb="FFD00000"/>
          <x14:colorLast rgb="FFD00000"/>
          <x14:colorHigh rgb="FFD00000"/>
          <x14:colorLow rgb="FFD00000"/>
          <x14:sparklines>
            <x14:sparkline>
              <xm:f>'2D1 Lubricant Use'!E23:V23</xm:f>
              <xm:sqref>W23</xm:sqref>
            </x14:sparkline>
            <x14:sparkline>
              <xm:f>'2D1 Lubricant Use'!E24:V24</xm:f>
              <xm:sqref>W24</xm:sqref>
            </x14:sparkline>
          </x14:sparklines>
        </x14:sparklineGroup>
      </x14:sparklineGroup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tabColor theme="3" tint="0.79998168889431442"/>
  </sheetPr>
  <dimension ref="A1:Y80"/>
  <sheetViews>
    <sheetView topLeftCell="D74"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2D2 Paraffin Wax Use</v>
      </c>
      <c r="C1" s="261" t="s">
        <v>856</v>
      </c>
      <c r="D1" s="262"/>
      <c r="E1" s="262"/>
      <c r="F1" s="262"/>
      <c r="G1" s="262"/>
      <c r="H1" s="262"/>
      <c r="I1" s="262"/>
      <c r="J1" s="263"/>
      <c r="K1" s="14"/>
    </row>
    <row r="2" spans="1:25" ht="49.5" customHeight="1" x14ac:dyDescent="0.25">
      <c r="A2" s="15" t="s">
        <v>736</v>
      </c>
      <c r="B2" s="33" t="s">
        <v>857</v>
      </c>
      <c r="C2" s="264"/>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152</v>
      </c>
      <c r="B14" t="s">
        <v>1076</v>
      </c>
      <c r="D14" t="s">
        <v>892</v>
      </c>
      <c r="E14" s="114">
        <v>507</v>
      </c>
      <c r="F14" s="114">
        <v>314</v>
      </c>
      <c r="G14" s="114">
        <v>506</v>
      </c>
      <c r="H14" s="114">
        <v>521</v>
      </c>
      <c r="I14" s="114">
        <v>490</v>
      </c>
      <c r="J14" s="114">
        <v>350</v>
      </c>
      <c r="K14" s="114">
        <v>324</v>
      </c>
      <c r="L14" s="114">
        <v>141</v>
      </c>
      <c r="M14" s="114">
        <v>182</v>
      </c>
      <c r="N14" s="114">
        <v>231</v>
      </c>
      <c r="O14" s="114">
        <v>231</v>
      </c>
      <c r="P14" s="114">
        <v>260</v>
      </c>
      <c r="Q14" s="114">
        <f>-125.8*LN(13)+547.46</f>
        <v>224.78937083133872</v>
      </c>
      <c r="R14" s="114">
        <f>-125.8*LN(14)+547.46</f>
        <v>215.46658793440054</v>
      </c>
      <c r="S14" s="114">
        <f>-125.8*LN(15)+547.46</f>
        <v>206.787284701342</v>
      </c>
      <c r="T14" s="114">
        <f>-125.8*LN(16)+547.46</f>
        <v>198.66833874223556</v>
      </c>
      <c r="U14" s="114">
        <f>-125.8*LN(17)+547.46</f>
        <v>191.04176131772806</v>
      </c>
      <c r="V14" s="114">
        <f>-125.8*LN(18)+547.46</f>
        <v>183.85123285666253</v>
      </c>
      <c r="Y14" t="s">
        <v>43</v>
      </c>
    </row>
    <row r="16" spans="1:25" s="5" customFormat="1" ht="21" x14ac:dyDescent="0.35">
      <c r="B16" s="6" t="s">
        <v>950</v>
      </c>
      <c r="E16" s="5" t="s">
        <v>951</v>
      </c>
    </row>
    <row r="18" spans="1:25" x14ac:dyDescent="0.25">
      <c r="A18" t="s">
        <v>152</v>
      </c>
      <c r="B18" t="s">
        <v>1077</v>
      </c>
      <c r="D18" t="s">
        <v>1074</v>
      </c>
      <c r="E18" s="205">
        <v>20</v>
      </c>
      <c r="F18" s="205">
        <v>20</v>
      </c>
      <c r="G18" s="205">
        <v>20</v>
      </c>
      <c r="H18" s="205">
        <v>20</v>
      </c>
      <c r="I18" s="205">
        <v>20</v>
      </c>
      <c r="J18" s="205">
        <v>20</v>
      </c>
      <c r="K18" s="205">
        <v>20</v>
      </c>
      <c r="L18" s="205">
        <v>20</v>
      </c>
      <c r="M18" s="205">
        <v>20</v>
      </c>
      <c r="N18" s="205">
        <v>20</v>
      </c>
      <c r="O18" s="205">
        <v>20</v>
      </c>
      <c r="P18" s="205">
        <v>20</v>
      </c>
      <c r="Q18" s="205">
        <v>20</v>
      </c>
      <c r="R18" s="205">
        <v>20</v>
      </c>
      <c r="S18" s="205">
        <v>20</v>
      </c>
      <c r="T18" s="205">
        <v>20</v>
      </c>
      <c r="U18" s="205">
        <v>20</v>
      </c>
      <c r="V18" s="205">
        <v>20</v>
      </c>
      <c r="Y18" t="s">
        <v>153</v>
      </c>
    </row>
    <row r="19" spans="1:25" x14ac:dyDescent="0.25">
      <c r="A19" t="s">
        <v>152</v>
      </c>
      <c r="B19" t="s">
        <v>1075</v>
      </c>
      <c r="D19" t="s">
        <v>872</v>
      </c>
      <c r="E19" s="205">
        <v>0.2</v>
      </c>
      <c r="F19" s="205">
        <v>0.2</v>
      </c>
      <c r="G19" s="205">
        <v>0.2</v>
      </c>
      <c r="H19" s="205">
        <v>0.2</v>
      </c>
      <c r="I19" s="205">
        <v>0.2</v>
      </c>
      <c r="J19" s="205">
        <v>0.2</v>
      </c>
      <c r="K19" s="205">
        <v>0.2</v>
      </c>
      <c r="L19" s="205">
        <v>0.2</v>
      </c>
      <c r="M19" s="205">
        <v>0.2</v>
      </c>
      <c r="N19" s="205">
        <v>0.2</v>
      </c>
      <c r="O19" s="205">
        <v>0.2</v>
      </c>
      <c r="P19" s="205">
        <v>0.2</v>
      </c>
      <c r="Q19" s="205">
        <v>0.2</v>
      </c>
      <c r="R19" s="205">
        <v>0.2</v>
      </c>
      <c r="S19" s="205">
        <v>0.2</v>
      </c>
      <c r="T19" s="205">
        <v>0.2</v>
      </c>
      <c r="U19" s="205">
        <v>0.2</v>
      </c>
      <c r="V19" s="205">
        <v>0.2</v>
      </c>
      <c r="Y19" t="s">
        <v>153</v>
      </c>
    </row>
    <row r="21" spans="1:25" s="5" customFormat="1" ht="21" x14ac:dyDescent="0.35">
      <c r="B21" s="6" t="s">
        <v>619</v>
      </c>
      <c r="E21" s="5" t="s">
        <v>881</v>
      </c>
    </row>
    <row r="23" spans="1:25" x14ac:dyDescent="0.25">
      <c r="A23" t="s">
        <v>152</v>
      </c>
      <c r="B23" t="s">
        <v>996</v>
      </c>
      <c r="C23" t="s">
        <v>836</v>
      </c>
      <c r="D23" t="s">
        <v>1066</v>
      </c>
      <c r="E23" s="117">
        <f>E14*E18*E19*(44/12)</f>
        <v>7436</v>
      </c>
      <c r="F23" s="117">
        <f t="shared" ref="F23:S23" si="0">F14*F18*F19*(44/12)</f>
        <v>4605.333333333333</v>
      </c>
      <c r="G23" s="117">
        <f t="shared" si="0"/>
        <v>7421.333333333333</v>
      </c>
      <c r="H23" s="117">
        <f t="shared" si="0"/>
        <v>7641.333333333333</v>
      </c>
      <c r="I23" s="117">
        <f t="shared" si="0"/>
        <v>7186.6666666666661</v>
      </c>
      <c r="J23" s="117">
        <f t="shared" si="0"/>
        <v>5133.333333333333</v>
      </c>
      <c r="K23" s="117">
        <f t="shared" si="0"/>
        <v>4752</v>
      </c>
      <c r="L23" s="117">
        <f t="shared" si="0"/>
        <v>2068</v>
      </c>
      <c r="M23" s="117">
        <f t="shared" si="0"/>
        <v>2669.333333333333</v>
      </c>
      <c r="N23" s="117">
        <f t="shared" si="0"/>
        <v>3388</v>
      </c>
      <c r="O23" s="117">
        <f t="shared" si="0"/>
        <v>3388</v>
      </c>
      <c r="P23" s="117">
        <f t="shared" si="0"/>
        <v>3813.333333333333</v>
      </c>
      <c r="Q23" s="117">
        <f t="shared" si="0"/>
        <v>3296.9107721929677</v>
      </c>
      <c r="R23" s="117">
        <f t="shared" si="0"/>
        <v>3160.1766230378748</v>
      </c>
      <c r="S23" s="117">
        <f t="shared" si="0"/>
        <v>3032.8801756196831</v>
      </c>
      <c r="T23" s="117">
        <f>T14*T18*T19*(44/12)</f>
        <v>2913.8023015527883</v>
      </c>
      <c r="U23" s="117">
        <f t="shared" ref="U23" si="1">U14*U18*U19*(44/12)</f>
        <v>2801.9458326600115</v>
      </c>
      <c r="V23" s="117">
        <f>V14*V18*V19*(44/12)</f>
        <v>2696.4847485643841</v>
      </c>
    </row>
    <row r="24" spans="1:25" x14ac:dyDescent="0.25">
      <c r="A24" t="s">
        <v>152</v>
      </c>
      <c r="B24" s="7" t="s">
        <v>1067</v>
      </c>
      <c r="C24" s="7" t="s">
        <v>836</v>
      </c>
      <c r="D24" s="7" t="s">
        <v>884</v>
      </c>
      <c r="E24" s="116">
        <f>E23/1000</f>
        <v>7.4359999999999999</v>
      </c>
      <c r="F24" s="116">
        <f t="shared" ref="F24:S24" si="2">F23/1000</f>
        <v>4.6053333333333333</v>
      </c>
      <c r="G24" s="116">
        <f t="shared" si="2"/>
        <v>7.4213333333333331</v>
      </c>
      <c r="H24" s="116">
        <f t="shared" si="2"/>
        <v>7.6413333333333329</v>
      </c>
      <c r="I24" s="116">
        <f t="shared" si="2"/>
        <v>7.1866666666666656</v>
      </c>
      <c r="J24" s="116">
        <f t="shared" si="2"/>
        <v>5.1333333333333329</v>
      </c>
      <c r="K24" s="116">
        <f t="shared" si="2"/>
        <v>4.7519999999999998</v>
      </c>
      <c r="L24" s="116">
        <f t="shared" si="2"/>
        <v>2.0680000000000001</v>
      </c>
      <c r="M24" s="116">
        <f t="shared" si="2"/>
        <v>2.6693333333333329</v>
      </c>
      <c r="N24" s="116">
        <f t="shared" si="2"/>
        <v>3.3879999999999999</v>
      </c>
      <c r="O24" s="116">
        <f t="shared" si="2"/>
        <v>3.3879999999999999</v>
      </c>
      <c r="P24" s="116">
        <f t="shared" si="2"/>
        <v>3.813333333333333</v>
      </c>
      <c r="Q24" s="116">
        <f t="shared" si="2"/>
        <v>3.2969107721929678</v>
      </c>
      <c r="R24" s="116">
        <f t="shared" si="2"/>
        <v>3.1601766230378749</v>
      </c>
      <c r="S24" s="116">
        <f t="shared" si="2"/>
        <v>3.0328801756196833</v>
      </c>
      <c r="T24" s="116">
        <f>T23/1000</f>
        <v>2.9138023015527885</v>
      </c>
      <c r="U24" s="116">
        <f t="shared" ref="U24" si="3">U23/1000</f>
        <v>2.8019458326600115</v>
      </c>
      <c r="V24" s="116">
        <f>V23/1000</f>
        <v>2.6964847485643841</v>
      </c>
    </row>
    <row r="26" spans="1:25" s="5" customFormat="1" ht="21" x14ac:dyDescent="0.35">
      <c r="B26" s="6" t="s">
        <v>885</v>
      </c>
      <c r="E26" s="5" t="s">
        <v>886</v>
      </c>
      <c r="M26" s="5" t="s">
        <v>900</v>
      </c>
    </row>
    <row r="28" spans="1:25" x14ac:dyDescent="0.25">
      <c r="A28" s="27"/>
      <c r="B28" s="26"/>
      <c r="C28" s="26"/>
      <c r="D28" s="26"/>
      <c r="E28" s="26"/>
      <c r="F28" s="26"/>
      <c r="G28" s="26"/>
      <c r="H28" s="26"/>
    </row>
    <row r="49" spans="1:23" ht="21" x14ac:dyDescent="0.35">
      <c r="A49" s="5"/>
      <c r="B49" s="6" t="s">
        <v>346</v>
      </c>
      <c r="C49" s="5"/>
      <c r="D49" s="5"/>
      <c r="E49" s="5" t="s">
        <v>887</v>
      </c>
      <c r="F49" s="5"/>
      <c r="G49" s="5"/>
      <c r="H49" s="5"/>
      <c r="I49" s="5"/>
      <c r="J49" s="5"/>
      <c r="K49" s="5"/>
      <c r="L49" s="5"/>
      <c r="M49" s="5"/>
      <c r="N49" s="5"/>
      <c r="O49" s="5"/>
      <c r="P49" s="5"/>
      <c r="Q49" s="5"/>
      <c r="R49" s="5"/>
      <c r="S49" s="5"/>
      <c r="T49" s="5"/>
      <c r="U49" s="5"/>
      <c r="V49" s="5"/>
      <c r="W49" s="5"/>
    </row>
    <row r="50" spans="1:23" ht="18.75" x14ac:dyDescent="0.3">
      <c r="A50" s="12" t="s">
        <v>844</v>
      </c>
      <c r="E50" t="s">
        <v>888</v>
      </c>
    </row>
    <row r="51" spans="1:23" x14ac:dyDescent="0.25">
      <c r="A51" s="8"/>
      <c r="B51" s="9" t="s">
        <v>865</v>
      </c>
      <c r="C51" s="8"/>
      <c r="D51" s="8"/>
      <c r="E51" s="8"/>
      <c r="F51" s="8"/>
      <c r="G51" s="8"/>
      <c r="H51" s="8"/>
      <c r="I51" s="8"/>
      <c r="J51" s="8"/>
      <c r="K51" s="8"/>
      <c r="L51" s="8"/>
      <c r="M51" s="8"/>
      <c r="N51" s="8"/>
      <c r="O51" s="8"/>
      <c r="P51" s="8"/>
      <c r="Q51" s="8"/>
      <c r="R51" s="8"/>
      <c r="S51" s="8"/>
      <c r="T51" s="8"/>
      <c r="U51" s="8"/>
      <c r="V51" s="8"/>
      <c r="W51" s="8"/>
    </row>
    <row r="53" spans="1:23" x14ac:dyDescent="0.25">
      <c r="A53" s="10" t="s">
        <v>867</v>
      </c>
      <c r="B53" s="10" t="s">
        <v>868</v>
      </c>
      <c r="C53" s="10" t="s">
        <v>482</v>
      </c>
      <c r="D53" s="10" t="s">
        <v>740</v>
      </c>
      <c r="E53" s="10">
        <v>2000</v>
      </c>
      <c r="F53" s="10">
        <v>2001</v>
      </c>
      <c r="G53" s="10">
        <v>2002</v>
      </c>
      <c r="H53" s="10">
        <v>2003</v>
      </c>
      <c r="I53" s="10">
        <v>2004</v>
      </c>
      <c r="J53" s="10">
        <v>2005</v>
      </c>
      <c r="K53" s="10">
        <v>2006</v>
      </c>
      <c r="L53" s="10">
        <v>2007</v>
      </c>
      <c r="M53" s="10">
        <v>2008</v>
      </c>
      <c r="N53" s="10">
        <v>2009</v>
      </c>
      <c r="O53" s="10">
        <v>2010</v>
      </c>
      <c r="P53" s="10">
        <v>2011</v>
      </c>
      <c r="Q53" s="10">
        <v>2012</v>
      </c>
      <c r="R53" s="10">
        <v>2013</v>
      </c>
      <c r="S53" s="10">
        <v>2014</v>
      </c>
      <c r="T53" s="10">
        <v>2015</v>
      </c>
      <c r="U53" s="10"/>
      <c r="V53" s="10"/>
      <c r="W53" s="10" t="s">
        <v>741</v>
      </c>
    </row>
    <row r="54" spans="1:23" x14ac:dyDescent="0.25">
      <c r="A54" s="11" t="s">
        <v>152</v>
      </c>
      <c r="B54" s="11" t="s">
        <v>1076</v>
      </c>
      <c r="C54" s="11"/>
      <c r="D54" s="11" t="s">
        <v>892</v>
      </c>
      <c r="E54" s="29">
        <v>507</v>
      </c>
      <c r="F54" s="29">
        <v>314</v>
      </c>
      <c r="G54" s="29">
        <v>506</v>
      </c>
      <c r="H54" s="29">
        <v>521</v>
      </c>
      <c r="I54" s="29">
        <v>490</v>
      </c>
      <c r="J54" s="29">
        <v>350</v>
      </c>
      <c r="K54" s="29">
        <v>324</v>
      </c>
      <c r="L54" s="29">
        <v>141</v>
      </c>
      <c r="M54" s="29">
        <v>182</v>
      </c>
      <c r="N54" s="29">
        <v>231</v>
      </c>
      <c r="O54" s="29">
        <v>231</v>
      </c>
      <c r="P54" s="29">
        <v>260</v>
      </c>
      <c r="Q54" s="29">
        <v>224.78937083133872</v>
      </c>
      <c r="R54" s="29">
        <v>215.46658793440054</v>
      </c>
      <c r="S54" s="29">
        <v>206.787284701342</v>
      </c>
      <c r="T54" s="29">
        <v>198.66833874223556</v>
      </c>
      <c r="U54" s="4"/>
      <c r="V54" s="4"/>
    </row>
    <row r="55" spans="1:23" x14ac:dyDescent="0.25">
      <c r="E55" s="11"/>
      <c r="F55" s="11"/>
      <c r="G55" s="11"/>
      <c r="H55" s="11"/>
      <c r="I55" s="11"/>
      <c r="J55" s="11"/>
      <c r="K55" s="11"/>
      <c r="L55" s="11"/>
      <c r="M55" s="11"/>
      <c r="N55" s="11"/>
      <c r="O55" s="11"/>
      <c r="P55" s="11"/>
      <c r="Q55" s="11"/>
      <c r="R55" s="11"/>
      <c r="S55" s="11"/>
      <c r="T55" s="11"/>
    </row>
    <row r="56" spans="1:23" x14ac:dyDescent="0.25">
      <c r="A56" s="8"/>
      <c r="B56" s="9" t="s">
        <v>877</v>
      </c>
      <c r="C56" s="8"/>
      <c r="D56" s="8"/>
      <c r="E56" s="197" t="s">
        <v>951</v>
      </c>
      <c r="F56" s="197"/>
      <c r="G56" s="197"/>
      <c r="H56" s="197"/>
      <c r="I56" s="197"/>
      <c r="J56" s="197"/>
      <c r="K56" s="197"/>
      <c r="L56" s="197"/>
      <c r="M56" s="197"/>
      <c r="N56" s="197"/>
      <c r="O56" s="197"/>
      <c r="P56" s="197"/>
      <c r="Q56" s="197"/>
      <c r="R56" s="197"/>
      <c r="S56" s="197"/>
      <c r="T56" s="197"/>
      <c r="U56" s="8"/>
      <c r="V56" s="8"/>
      <c r="W56" s="8"/>
    </row>
    <row r="57" spans="1:23" x14ac:dyDescent="0.25">
      <c r="E57" s="11"/>
      <c r="F57" s="11"/>
      <c r="G57" s="11"/>
      <c r="H57" s="11"/>
      <c r="I57" s="11"/>
      <c r="J57" s="11"/>
      <c r="K57" s="11"/>
      <c r="L57" s="11"/>
      <c r="M57" s="11"/>
      <c r="N57" s="11"/>
      <c r="O57" s="11"/>
      <c r="P57" s="11"/>
      <c r="Q57" s="11"/>
      <c r="R57" s="11"/>
      <c r="S57" s="11"/>
      <c r="T57" s="11"/>
    </row>
    <row r="58" spans="1:23" x14ac:dyDescent="0.25">
      <c r="A58" s="11" t="s">
        <v>152</v>
      </c>
      <c r="B58" s="11" t="s">
        <v>1077</v>
      </c>
      <c r="C58" s="11"/>
      <c r="D58" s="11" t="s">
        <v>1074</v>
      </c>
      <c r="E58" s="29">
        <v>20</v>
      </c>
      <c r="F58" s="29">
        <v>20</v>
      </c>
      <c r="G58" s="29">
        <v>20</v>
      </c>
      <c r="H58" s="29">
        <v>20</v>
      </c>
      <c r="I58" s="29">
        <v>20</v>
      </c>
      <c r="J58" s="29">
        <v>20</v>
      </c>
      <c r="K58" s="29">
        <v>20</v>
      </c>
      <c r="L58" s="29">
        <v>20</v>
      </c>
      <c r="M58" s="29">
        <v>20</v>
      </c>
      <c r="N58" s="29">
        <v>20</v>
      </c>
      <c r="O58" s="29">
        <v>20</v>
      </c>
      <c r="P58" s="29">
        <v>20</v>
      </c>
      <c r="Q58" s="29">
        <v>20</v>
      </c>
      <c r="R58" s="29">
        <v>20</v>
      </c>
      <c r="S58" s="29">
        <v>20</v>
      </c>
      <c r="T58" s="29">
        <v>20</v>
      </c>
      <c r="U58" s="4"/>
      <c r="V58" s="4"/>
    </row>
    <row r="59" spans="1:23" x14ac:dyDescent="0.25">
      <c r="A59" s="11" t="s">
        <v>152</v>
      </c>
      <c r="B59" s="11" t="s">
        <v>1075</v>
      </c>
      <c r="C59" s="11"/>
      <c r="D59" s="11" t="s">
        <v>872</v>
      </c>
      <c r="E59" s="29">
        <v>0.2</v>
      </c>
      <c r="F59" s="29">
        <v>0.2</v>
      </c>
      <c r="G59" s="29">
        <v>0.2</v>
      </c>
      <c r="H59" s="29">
        <v>0.2</v>
      </c>
      <c r="I59" s="29">
        <v>0.2</v>
      </c>
      <c r="J59" s="29">
        <v>0.2</v>
      </c>
      <c r="K59" s="29">
        <v>0.2</v>
      </c>
      <c r="L59" s="29">
        <v>0.2</v>
      </c>
      <c r="M59" s="29">
        <v>0.2</v>
      </c>
      <c r="N59" s="29">
        <v>0.2</v>
      </c>
      <c r="O59" s="29">
        <v>0.2</v>
      </c>
      <c r="P59" s="29">
        <v>0.2</v>
      </c>
      <c r="Q59" s="29">
        <v>0.2</v>
      </c>
      <c r="R59" s="29">
        <v>0.2</v>
      </c>
      <c r="S59" s="29">
        <v>0.2</v>
      </c>
      <c r="T59" s="29">
        <v>0.2</v>
      </c>
      <c r="U59" s="4"/>
      <c r="V59" s="4"/>
    </row>
    <row r="60" spans="1:23" x14ac:dyDescent="0.25">
      <c r="E60" s="11"/>
      <c r="F60" s="11"/>
      <c r="G60" s="11"/>
      <c r="H60" s="11"/>
      <c r="I60" s="11"/>
      <c r="J60" s="11"/>
      <c r="K60" s="11"/>
      <c r="L60" s="11"/>
      <c r="M60" s="11"/>
      <c r="N60" s="11"/>
      <c r="O60" s="11"/>
      <c r="P60" s="11"/>
      <c r="Q60" s="11"/>
      <c r="R60" s="11"/>
      <c r="S60" s="11"/>
      <c r="T60" s="11"/>
    </row>
    <row r="61" spans="1:23" x14ac:dyDescent="0.25">
      <c r="A61" s="8"/>
      <c r="B61" s="9" t="s">
        <v>619</v>
      </c>
      <c r="C61" s="8"/>
      <c r="D61" s="8"/>
      <c r="E61" s="197" t="s">
        <v>881</v>
      </c>
      <c r="F61" s="197"/>
      <c r="G61" s="197"/>
      <c r="H61" s="197"/>
      <c r="I61" s="197"/>
      <c r="J61" s="197"/>
      <c r="K61" s="197"/>
      <c r="L61" s="197"/>
      <c r="M61" s="197"/>
      <c r="N61" s="197"/>
      <c r="O61" s="197"/>
      <c r="P61" s="197"/>
      <c r="Q61" s="197"/>
      <c r="R61" s="197"/>
      <c r="S61" s="197"/>
      <c r="T61" s="197"/>
      <c r="U61" s="8"/>
      <c r="V61" s="8"/>
      <c r="W61" s="8"/>
    </row>
    <row r="62" spans="1:23" x14ac:dyDescent="0.25">
      <c r="E62" s="11"/>
      <c r="F62" s="11"/>
      <c r="G62" s="11"/>
      <c r="H62" s="11"/>
      <c r="I62" s="11"/>
      <c r="J62" s="11"/>
      <c r="K62" s="11"/>
      <c r="L62" s="11"/>
      <c r="M62" s="11"/>
      <c r="N62" s="11"/>
      <c r="O62" s="11"/>
      <c r="P62" s="11"/>
      <c r="Q62" s="11"/>
      <c r="R62" s="11"/>
      <c r="S62" s="11"/>
      <c r="T62" s="11"/>
    </row>
    <row r="63" spans="1:23" x14ac:dyDescent="0.25">
      <c r="A63" s="11" t="s">
        <v>152</v>
      </c>
      <c r="B63" s="11" t="s">
        <v>996</v>
      </c>
      <c r="C63" s="11" t="s">
        <v>836</v>
      </c>
      <c r="D63" s="11" t="s">
        <v>1066</v>
      </c>
      <c r="E63" s="29">
        <v>7436</v>
      </c>
      <c r="F63" s="29">
        <v>4605.333333333333</v>
      </c>
      <c r="G63" s="29">
        <v>7421.333333333333</v>
      </c>
      <c r="H63" s="29">
        <v>7641.333333333333</v>
      </c>
      <c r="I63" s="29">
        <v>7186.6666666666661</v>
      </c>
      <c r="J63" s="29">
        <v>5133.333333333333</v>
      </c>
      <c r="K63" s="29">
        <v>4752</v>
      </c>
      <c r="L63" s="29">
        <v>2068</v>
      </c>
      <c r="M63" s="29">
        <v>2669.333333333333</v>
      </c>
      <c r="N63" s="29">
        <v>3388</v>
      </c>
      <c r="O63" s="29">
        <v>3388</v>
      </c>
      <c r="P63" s="29">
        <v>3813.333333333333</v>
      </c>
      <c r="Q63" s="29">
        <v>3296.9107721929677</v>
      </c>
      <c r="R63" s="29">
        <v>3160.1766230378748</v>
      </c>
      <c r="S63" s="29">
        <v>3032.8801756196831</v>
      </c>
      <c r="T63" s="29">
        <v>2913.8023015527883</v>
      </c>
      <c r="U63" s="4"/>
      <c r="V63" s="4"/>
    </row>
    <row r="64" spans="1:23" x14ac:dyDescent="0.25">
      <c r="A64" s="11" t="s">
        <v>152</v>
      </c>
      <c r="B64" s="11" t="s">
        <v>1067</v>
      </c>
      <c r="C64" s="11" t="s">
        <v>836</v>
      </c>
      <c r="D64" s="11" t="s">
        <v>884</v>
      </c>
      <c r="E64" s="29">
        <v>7.4359999999999999</v>
      </c>
      <c r="F64" s="29">
        <v>4.6053333333333333</v>
      </c>
      <c r="G64" s="29">
        <v>7.4213333333333331</v>
      </c>
      <c r="H64" s="29">
        <v>7.6413333333333329</v>
      </c>
      <c r="I64" s="29">
        <v>7.1866666666666656</v>
      </c>
      <c r="J64" s="29">
        <v>5.1333333333333329</v>
      </c>
      <c r="K64" s="29">
        <v>4.7519999999999998</v>
      </c>
      <c r="L64" s="29">
        <v>2.0680000000000001</v>
      </c>
      <c r="M64" s="29">
        <v>2.6693333333333329</v>
      </c>
      <c r="N64" s="29">
        <v>3.3879999999999999</v>
      </c>
      <c r="O64" s="29">
        <v>3.3879999999999999</v>
      </c>
      <c r="P64" s="29">
        <v>3.813333333333333</v>
      </c>
      <c r="Q64" s="29">
        <v>3.2969107721929678</v>
      </c>
      <c r="R64" s="29">
        <v>3.1601766230378749</v>
      </c>
      <c r="S64" s="29">
        <v>3.0328801756196833</v>
      </c>
      <c r="T64" s="29">
        <v>2.9138023015527885</v>
      </c>
      <c r="U64" s="4"/>
      <c r="V64" s="4"/>
    </row>
    <row r="65" spans="1:23" x14ac:dyDescent="0.25">
      <c r="A65" s="7"/>
      <c r="B65" s="7"/>
      <c r="C65" s="7"/>
      <c r="D65" s="7"/>
    </row>
    <row r="66" spans="1:23" ht="18.75" x14ac:dyDescent="0.3">
      <c r="A66" s="13" t="s">
        <v>346</v>
      </c>
    </row>
    <row r="67" spans="1:23" x14ac:dyDescent="0.25">
      <c r="A67" s="8"/>
      <c r="B67" s="9" t="s">
        <v>865</v>
      </c>
      <c r="C67" s="8"/>
      <c r="D67" s="8" t="s">
        <v>852</v>
      </c>
      <c r="E67" s="8"/>
      <c r="F67" s="8"/>
      <c r="G67" s="8"/>
      <c r="H67" s="8"/>
      <c r="I67" s="8"/>
      <c r="J67" s="8"/>
      <c r="K67" s="8"/>
      <c r="L67" s="8"/>
      <c r="M67" s="8"/>
      <c r="N67" s="8"/>
      <c r="O67" s="8"/>
      <c r="P67" s="8"/>
      <c r="Q67" s="8"/>
      <c r="R67" s="8"/>
      <c r="S67" s="8"/>
      <c r="T67" s="8"/>
      <c r="U67" s="8"/>
      <c r="V67" s="8"/>
      <c r="W67" s="22"/>
    </row>
    <row r="69" spans="1:23" x14ac:dyDescent="0.25">
      <c r="A69" s="10" t="s">
        <v>867</v>
      </c>
      <c r="B69" s="10" t="s">
        <v>868</v>
      </c>
      <c r="C69" s="10" t="s">
        <v>482</v>
      </c>
      <c r="D69" s="10" t="s">
        <v>740</v>
      </c>
      <c r="E69" s="10">
        <v>2000</v>
      </c>
      <c r="F69" s="10">
        <v>2001</v>
      </c>
      <c r="G69" s="10">
        <v>2002</v>
      </c>
      <c r="H69" s="10">
        <v>2003</v>
      </c>
      <c r="I69" s="10">
        <v>2004</v>
      </c>
      <c r="J69" s="10">
        <v>2005</v>
      </c>
      <c r="K69" s="10">
        <v>2006</v>
      </c>
      <c r="L69" s="10">
        <v>2007</v>
      </c>
      <c r="M69" s="10">
        <v>2008</v>
      </c>
      <c r="N69" s="10">
        <v>2009</v>
      </c>
      <c r="O69" s="10">
        <v>2010</v>
      </c>
      <c r="P69" s="10">
        <v>2011</v>
      </c>
      <c r="Q69" s="10">
        <v>2012</v>
      </c>
      <c r="R69" s="10">
        <v>2013</v>
      </c>
      <c r="S69" s="10">
        <v>2014</v>
      </c>
      <c r="T69" s="10">
        <v>2015</v>
      </c>
      <c r="U69" s="10"/>
      <c r="V69" s="10"/>
    </row>
    <row r="70" spans="1:23" x14ac:dyDescent="0.25">
      <c r="A70" s="11" t="s">
        <v>152</v>
      </c>
      <c r="B70" s="11" t="s">
        <v>1076</v>
      </c>
      <c r="C70" s="11"/>
      <c r="D70" s="11" t="s">
        <v>892</v>
      </c>
      <c r="E70" s="41">
        <f t="shared" ref="E70:S70" si="4">IFERROR(((E14/E54)-1),"CHECK")</f>
        <v>0</v>
      </c>
      <c r="F70" s="41">
        <f t="shared" si="4"/>
        <v>0</v>
      </c>
      <c r="G70" s="41">
        <f t="shared" si="4"/>
        <v>0</v>
      </c>
      <c r="H70" s="41">
        <f t="shared" si="4"/>
        <v>0</v>
      </c>
      <c r="I70" s="41">
        <f t="shared" si="4"/>
        <v>0</v>
      </c>
      <c r="J70" s="41">
        <f t="shared" si="4"/>
        <v>0</v>
      </c>
      <c r="K70" s="41">
        <f t="shared" si="4"/>
        <v>0</v>
      </c>
      <c r="L70" s="41">
        <f t="shared" si="4"/>
        <v>0</v>
      </c>
      <c r="M70" s="41">
        <f t="shared" si="4"/>
        <v>0</v>
      </c>
      <c r="N70" s="41">
        <f t="shared" si="4"/>
        <v>0</v>
      </c>
      <c r="O70" s="41">
        <f t="shared" si="4"/>
        <v>0</v>
      </c>
      <c r="P70" s="41">
        <f t="shared" si="4"/>
        <v>0</v>
      </c>
      <c r="Q70" s="41">
        <f t="shared" si="4"/>
        <v>0</v>
      </c>
      <c r="R70" s="41">
        <f t="shared" si="4"/>
        <v>0</v>
      </c>
      <c r="S70" s="41">
        <f t="shared" si="4"/>
        <v>0</v>
      </c>
      <c r="T70" s="41">
        <f>IFERROR(((T14/T54)-1),"CHECK")</f>
        <v>0</v>
      </c>
      <c r="U70" s="41"/>
      <c r="V70" s="41"/>
    </row>
    <row r="72" spans="1:23" x14ac:dyDescent="0.25">
      <c r="A72" s="8"/>
      <c r="B72" s="9" t="s">
        <v>877</v>
      </c>
      <c r="C72" s="8"/>
      <c r="D72" s="8"/>
      <c r="E72" s="8"/>
      <c r="F72" s="8"/>
      <c r="G72" s="8"/>
      <c r="H72" s="8"/>
      <c r="I72" s="8"/>
      <c r="J72" s="8"/>
      <c r="K72" s="8"/>
      <c r="L72" s="8"/>
      <c r="M72" s="8"/>
      <c r="N72" s="8"/>
      <c r="O72" s="8"/>
      <c r="P72" s="8"/>
      <c r="Q72" s="8"/>
      <c r="R72" s="8"/>
      <c r="S72" s="8"/>
      <c r="T72" s="8"/>
      <c r="U72" s="8"/>
      <c r="V72" s="8"/>
    </row>
    <row r="74" spans="1:23" x14ac:dyDescent="0.25">
      <c r="A74" s="11" t="s">
        <v>152</v>
      </c>
      <c r="B74" s="11" t="s">
        <v>1077</v>
      </c>
      <c r="C74" s="11"/>
      <c r="D74" s="11" t="s">
        <v>1074</v>
      </c>
      <c r="E74" s="41">
        <f t="shared" ref="E74:S74" si="5">IFERROR(((E18/E58)-1),"CHECK")</f>
        <v>0</v>
      </c>
      <c r="F74" s="41">
        <f t="shared" si="5"/>
        <v>0</v>
      </c>
      <c r="G74" s="41">
        <f t="shared" si="5"/>
        <v>0</v>
      </c>
      <c r="H74" s="41">
        <f t="shared" si="5"/>
        <v>0</v>
      </c>
      <c r="I74" s="41">
        <f t="shared" si="5"/>
        <v>0</v>
      </c>
      <c r="J74" s="41">
        <f t="shared" si="5"/>
        <v>0</v>
      </c>
      <c r="K74" s="41">
        <f t="shared" si="5"/>
        <v>0</v>
      </c>
      <c r="L74" s="41">
        <f t="shared" si="5"/>
        <v>0</v>
      </c>
      <c r="M74" s="41">
        <f t="shared" si="5"/>
        <v>0</v>
      </c>
      <c r="N74" s="41">
        <f t="shared" si="5"/>
        <v>0</v>
      </c>
      <c r="O74" s="41">
        <f t="shared" si="5"/>
        <v>0</v>
      </c>
      <c r="P74" s="41">
        <f t="shared" si="5"/>
        <v>0</v>
      </c>
      <c r="Q74" s="41">
        <f t="shared" si="5"/>
        <v>0</v>
      </c>
      <c r="R74" s="41">
        <f t="shared" si="5"/>
        <v>0</v>
      </c>
      <c r="S74" s="41">
        <f t="shared" si="5"/>
        <v>0</v>
      </c>
      <c r="T74" s="41">
        <f>IFERROR(((T18/T58)-1),"CHECK")</f>
        <v>0</v>
      </c>
      <c r="U74" s="41"/>
      <c r="V74" s="41"/>
    </row>
    <row r="75" spans="1:23" x14ac:dyDescent="0.25">
      <c r="A75" s="11" t="s">
        <v>152</v>
      </c>
      <c r="B75" s="11" t="s">
        <v>1075</v>
      </c>
      <c r="C75" s="11"/>
      <c r="D75" s="11" t="s">
        <v>872</v>
      </c>
      <c r="E75" s="41">
        <f t="shared" ref="E75:S75" si="6">IFERROR(((E19/E59)-1),"CHECK")</f>
        <v>0</v>
      </c>
      <c r="F75" s="41">
        <f t="shared" si="6"/>
        <v>0</v>
      </c>
      <c r="G75" s="41">
        <f t="shared" si="6"/>
        <v>0</v>
      </c>
      <c r="H75" s="41">
        <f t="shared" si="6"/>
        <v>0</v>
      </c>
      <c r="I75" s="41">
        <f t="shared" si="6"/>
        <v>0</v>
      </c>
      <c r="J75" s="41">
        <f t="shared" si="6"/>
        <v>0</v>
      </c>
      <c r="K75" s="41">
        <f t="shared" si="6"/>
        <v>0</v>
      </c>
      <c r="L75" s="41">
        <f t="shared" si="6"/>
        <v>0</v>
      </c>
      <c r="M75" s="41">
        <f t="shared" si="6"/>
        <v>0</v>
      </c>
      <c r="N75" s="41">
        <f t="shared" si="6"/>
        <v>0</v>
      </c>
      <c r="O75" s="41">
        <f t="shared" si="6"/>
        <v>0</v>
      </c>
      <c r="P75" s="41">
        <f t="shared" si="6"/>
        <v>0</v>
      </c>
      <c r="Q75" s="41">
        <f t="shared" si="6"/>
        <v>0</v>
      </c>
      <c r="R75" s="41">
        <f t="shared" si="6"/>
        <v>0</v>
      </c>
      <c r="S75" s="41">
        <f t="shared" si="6"/>
        <v>0</v>
      </c>
      <c r="T75" s="41">
        <f>IFERROR(((T19/T59)-1),"CHECK")</f>
        <v>0</v>
      </c>
      <c r="U75" s="41"/>
      <c r="V75" s="41"/>
    </row>
    <row r="77" spans="1:23" x14ac:dyDescent="0.25">
      <c r="A77" s="8"/>
      <c r="B77" s="9" t="s">
        <v>619</v>
      </c>
      <c r="C77" s="8"/>
      <c r="D77" s="8"/>
      <c r="E77" s="8"/>
      <c r="F77" s="8"/>
      <c r="G77" s="8"/>
      <c r="H77" s="8"/>
      <c r="I77" s="8"/>
      <c r="J77" s="8"/>
      <c r="K77" s="8"/>
      <c r="L77" s="8"/>
      <c r="M77" s="8"/>
      <c r="N77" s="8"/>
      <c r="O77" s="8"/>
      <c r="P77" s="8"/>
      <c r="Q77" s="8"/>
      <c r="R77" s="8"/>
      <c r="S77" s="8"/>
      <c r="T77" s="8"/>
      <c r="U77" s="8"/>
      <c r="V77" s="8"/>
    </row>
    <row r="79" spans="1:23" x14ac:dyDescent="0.25">
      <c r="A79" s="11" t="s">
        <v>152</v>
      </c>
      <c r="B79" s="11" t="s">
        <v>996</v>
      </c>
      <c r="C79" s="11" t="s">
        <v>836</v>
      </c>
      <c r="D79" s="11" t="s">
        <v>1066</v>
      </c>
      <c r="E79" s="41">
        <f t="shared" ref="E79:S79" si="7">IFERROR(((E23/E63)-1),"CHECK")</f>
        <v>0</v>
      </c>
      <c r="F79" s="41">
        <f t="shared" si="7"/>
        <v>0</v>
      </c>
      <c r="G79" s="41">
        <f t="shared" si="7"/>
        <v>0</v>
      </c>
      <c r="H79" s="41">
        <f t="shared" si="7"/>
        <v>0</v>
      </c>
      <c r="I79" s="41">
        <f t="shared" si="7"/>
        <v>0</v>
      </c>
      <c r="J79" s="41">
        <f t="shared" si="7"/>
        <v>0</v>
      </c>
      <c r="K79" s="41">
        <f t="shared" si="7"/>
        <v>0</v>
      </c>
      <c r="L79" s="41">
        <f t="shared" si="7"/>
        <v>0</v>
      </c>
      <c r="M79" s="41">
        <f t="shared" si="7"/>
        <v>0</v>
      </c>
      <c r="N79" s="41">
        <f t="shared" si="7"/>
        <v>0</v>
      </c>
      <c r="O79" s="41">
        <f t="shared" si="7"/>
        <v>0</v>
      </c>
      <c r="P79" s="41">
        <f t="shared" si="7"/>
        <v>0</v>
      </c>
      <c r="Q79" s="41">
        <f t="shared" si="7"/>
        <v>0</v>
      </c>
      <c r="R79" s="41">
        <f t="shared" si="7"/>
        <v>0</v>
      </c>
      <c r="S79" s="41">
        <f t="shared" si="7"/>
        <v>0</v>
      </c>
      <c r="T79" s="41">
        <f>IFERROR(((T23/T63)-1),"CHECK")</f>
        <v>0</v>
      </c>
      <c r="U79" s="41"/>
      <c r="V79" s="41"/>
    </row>
    <row r="80" spans="1:23" x14ac:dyDescent="0.25">
      <c r="A80" s="11" t="s">
        <v>152</v>
      </c>
      <c r="B80" s="11" t="s">
        <v>1067</v>
      </c>
      <c r="C80" s="11" t="s">
        <v>836</v>
      </c>
      <c r="D80" s="11" t="s">
        <v>884</v>
      </c>
      <c r="E80" s="41">
        <f t="shared" ref="E80:S80" si="8">IFERROR(((E24/E64)-1),"CHECK")</f>
        <v>0</v>
      </c>
      <c r="F80" s="41">
        <f t="shared" si="8"/>
        <v>0</v>
      </c>
      <c r="G80" s="41">
        <f t="shared" si="8"/>
        <v>0</v>
      </c>
      <c r="H80" s="41">
        <f t="shared" si="8"/>
        <v>0</v>
      </c>
      <c r="I80" s="41">
        <f t="shared" si="8"/>
        <v>0</v>
      </c>
      <c r="J80" s="41">
        <f t="shared" si="8"/>
        <v>0</v>
      </c>
      <c r="K80" s="41">
        <f t="shared" si="8"/>
        <v>0</v>
      </c>
      <c r="L80" s="41">
        <f t="shared" si="8"/>
        <v>0</v>
      </c>
      <c r="M80" s="41">
        <f t="shared" si="8"/>
        <v>0</v>
      </c>
      <c r="N80" s="41">
        <f t="shared" si="8"/>
        <v>0</v>
      </c>
      <c r="O80" s="41">
        <f t="shared" si="8"/>
        <v>0</v>
      </c>
      <c r="P80" s="41">
        <f t="shared" si="8"/>
        <v>0</v>
      </c>
      <c r="Q80" s="41">
        <f t="shared" si="8"/>
        <v>0</v>
      </c>
      <c r="R80" s="41">
        <f t="shared" si="8"/>
        <v>0</v>
      </c>
      <c r="S80" s="41">
        <f t="shared" si="8"/>
        <v>0</v>
      </c>
      <c r="T80" s="41">
        <f>IFERROR(((T24/T64)-1),"CHECK")</f>
        <v>0</v>
      </c>
      <c r="U80" s="41"/>
      <c r="V80" s="41"/>
    </row>
  </sheetData>
  <mergeCells count="2">
    <mergeCell ref="C1:J1"/>
    <mergeCell ref="C2:J2"/>
  </mergeCells>
  <conditionalFormatting sqref="K2">
    <cfRule type="expression" dxfId="9" priority="2">
      <formula>(UPPER(LEFT(SUBSTITUTE($Z2,"#",""),5))="FIXCH")</formula>
    </cfRule>
    <cfRule type="expression" dxfId="8" priority="3">
      <formula>(UPPER(SUBSTITUTE($Z2,"#",""))="OK")</formula>
    </cfRule>
  </conditionalFormatting>
  <conditionalFormatting sqref="E79:S80 E70:S70 E74:S75">
    <cfRule type="colorScale" priority="4">
      <colorScale>
        <cfvo type="min"/>
        <cfvo type="num" val="0"/>
        <cfvo type="max"/>
        <color theme="3" tint="0.59999389629810485"/>
        <color theme="0"/>
        <color rgb="FFEE9CA4"/>
      </colorScale>
    </cfRule>
  </conditionalFormatting>
  <conditionalFormatting sqref="T79:V80 T70:V70 T74:V7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4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400-000080000000}">
          <x14:colorSeries rgb="FF376092"/>
          <x14:colorNegative rgb="FFD00000"/>
          <x14:colorAxis rgb="FF000000"/>
          <x14:colorMarkers rgb="FFD00000"/>
          <x14:colorFirst rgb="FFD00000"/>
          <x14:colorLast rgb="FFD00000"/>
          <x14:colorHigh rgb="FFD00000"/>
          <x14:colorLow rgb="FFD00000"/>
          <x14:sparklines>
            <x14:sparkline>
              <xm:f>'2D2 Paraffin Wax Use'!E63:T63</xm:f>
              <xm:sqref>W63</xm:sqref>
            </x14:sparkline>
            <x14:sparkline>
              <xm:f>'2D2 Paraffin Wax Use'!E64:T64</xm:f>
              <xm:sqref>W64</xm:sqref>
            </x14:sparkline>
          </x14:sparklines>
        </x14:sparklineGroup>
        <x14:sparklineGroup manualMax="0" manualMin="0" displayEmptyCellsAs="gap" xr2:uid="{00000000-0003-0000-2400-00007F000000}">
          <x14:colorSeries rgb="FF376092"/>
          <x14:colorNegative rgb="FFD00000"/>
          <x14:colorAxis rgb="FF000000"/>
          <x14:colorMarkers rgb="FFD00000"/>
          <x14:colorFirst rgb="FFD00000"/>
          <x14:colorLast rgb="FFD00000"/>
          <x14:colorHigh rgb="FFD00000"/>
          <x14:colorLow rgb="FFD00000"/>
          <x14:sparklines>
            <x14:sparkline>
              <xm:f>'2D2 Paraffin Wax Use'!E54:T54</xm:f>
              <xm:sqref>W54</xm:sqref>
            </x14:sparkline>
          </x14:sparklines>
        </x14:sparklineGroup>
        <x14:sparklineGroup manualMax="0" manualMin="0" displayEmptyCellsAs="gap" xr2:uid="{00000000-0003-0000-2400-00007E000000}">
          <x14:colorSeries rgb="FF376092"/>
          <x14:colorNegative rgb="FFD00000"/>
          <x14:colorAxis rgb="FF000000"/>
          <x14:colorMarkers rgb="FFD00000"/>
          <x14:colorFirst rgb="FFD00000"/>
          <x14:colorLast rgb="FFD00000"/>
          <x14:colorHigh rgb="FFD00000"/>
          <x14:colorLow rgb="FFD00000"/>
          <x14:sparklines>
            <x14:sparkline>
              <xm:f>'2D2 Paraffin Wax Use'!E58:T58</xm:f>
              <xm:sqref>W58</xm:sqref>
            </x14:sparkline>
            <x14:sparkline>
              <xm:f>'2D2 Paraffin Wax Use'!E59:T59</xm:f>
              <xm:sqref>W59</xm:sqref>
            </x14:sparkline>
          </x14:sparklines>
        </x14:sparklineGroup>
        <x14:sparklineGroup manualMax="0" manualMin="0" displayEmptyCellsAs="gap" xr2:uid="{00000000-0003-0000-2400-00007D000000}">
          <x14:colorSeries rgb="FF376092"/>
          <x14:colorNegative rgb="FFD00000"/>
          <x14:colorAxis rgb="FF000000"/>
          <x14:colorMarkers rgb="FFD00000"/>
          <x14:colorFirst rgb="FFD00000"/>
          <x14:colorLast rgb="FFD00000"/>
          <x14:colorHigh rgb="FFD00000"/>
          <x14:colorLow rgb="FFD00000"/>
          <x14:sparklines>
            <x14:sparkline>
              <xm:f>'2D2 Paraffin Wax Use'!E18:V18</xm:f>
              <xm:sqref>W18</xm:sqref>
            </x14:sparkline>
            <x14:sparkline>
              <xm:f>'2D2 Paraffin Wax Use'!E19:V19</xm:f>
              <xm:sqref>W19</xm:sqref>
            </x14:sparkline>
          </x14:sparklines>
        </x14:sparklineGroup>
        <x14:sparklineGroup manualMax="0" manualMin="0" displayEmptyCellsAs="gap" xr2:uid="{00000000-0003-0000-2400-00007C000000}">
          <x14:colorSeries rgb="FF376092"/>
          <x14:colorNegative rgb="FFD00000"/>
          <x14:colorAxis rgb="FF000000"/>
          <x14:colorMarkers rgb="FFD00000"/>
          <x14:colorFirst rgb="FFD00000"/>
          <x14:colorLast rgb="FFD00000"/>
          <x14:colorHigh rgb="FFD00000"/>
          <x14:colorLow rgb="FFD00000"/>
          <x14:sparklines>
            <x14:sparkline>
              <xm:f>'2D2 Paraffin Wax Use'!E14:V14</xm:f>
              <xm:sqref>W14</xm:sqref>
            </x14:sparkline>
          </x14:sparklines>
        </x14:sparklineGroup>
        <x14:sparklineGroup manualMax="0" manualMin="0" displayEmptyCellsAs="gap" xr2:uid="{00000000-0003-0000-2400-00007B000000}">
          <x14:colorSeries rgb="FF376092"/>
          <x14:colorNegative rgb="FFD00000"/>
          <x14:colorAxis rgb="FF000000"/>
          <x14:colorMarkers rgb="FFD00000"/>
          <x14:colorFirst rgb="FFD00000"/>
          <x14:colorLast rgb="FFD00000"/>
          <x14:colorHigh rgb="FFD00000"/>
          <x14:colorLow rgb="FFD00000"/>
          <x14:sparklines>
            <x14:sparkline>
              <xm:f>'2D2 Paraffin Wax Use'!E23:V23</xm:f>
              <xm:sqref>W23</xm:sqref>
            </x14:sparkline>
            <x14:sparkline>
              <xm:f>'2D2 Paraffin Wax Use'!E24:V24</xm:f>
              <xm:sqref>W24</xm:sqref>
            </x14:sparkline>
          </x14:sparklines>
        </x14:sparklineGroup>
      </x14:sparklineGroup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3">
    <tabColor rgb="FF00B0F0"/>
  </sheetPr>
  <dimension ref="A1:X29"/>
  <sheetViews>
    <sheetView topLeftCell="I1" workbookViewId="0">
      <selection activeCell="Y3" sqref="Y3"/>
    </sheetView>
  </sheetViews>
  <sheetFormatPr defaultRowHeight="15" x14ac:dyDescent="0.25"/>
  <cols>
    <col min="1" max="1" width="34.140625" bestFit="1" customWidth="1"/>
    <col min="2" max="2" width="13.28515625" customWidth="1"/>
    <col min="3" max="3" width="33.42578125" customWidth="1"/>
    <col min="5" max="5" width="10.28515625" customWidth="1"/>
  </cols>
  <sheetData>
    <row r="1" spans="1:24" s="6" customFormat="1" ht="21" x14ac:dyDescent="0.35">
      <c r="A1" s="6" t="s">
        <v>734</v>
      </c>
      <c r="C1" s="28" t="s">
        <v>735</v>
      </c>
    </row>
    <row r="3" spans="1:24"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4" s="103" customFormat="1" x14ac:dyDescent="0.25">
      <c r="A4" s="7" t="s">
        <v>742</v>
      </c>
      <c r="B4" s="103" t="s">
        <v>800</v>
      </c>
      <c r="C4" s="103" t="s">
        <v>555</v>
      </c>
      <c r="D4" s="7" t="s">
        <v>836</v>
      </c>
      <c r="E4" s="7" t="s">
        <v>745</v>
      </c>
      <c r="F4" s="116">
        <f>+SUM(F5:F9)</f>
        <v>0</v>
      </c>
      <c r="G4" s="116">
        <f t="shared" ref="G4:U4" si="0">+SUM(G5:G9)</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W4" si="1">+SUM(V5:V9)</f>
        <v>0</v>
      </c>
      <c r="W4" s="116">
        <f t="shared" si="1"/>
        <v>0</v>
      </c>
      <c r="X4"/>
    </row>
    <row r="5" spans="1:24" x14ac:dyDescent="0.25">
      <c r="A5" t="s">
        <v>742</v>
      </c>
      <c r="B5" s="67" t="s">
        <v>801</v>
      </c>
      <c r="C5" t="s">
        <v>802</v>
      </c>
      <c r="D5" t="s">
        <v>836</v>
      </c>
      <c r="E5" t="s">
        <v>745</v>
      </c>
      <c r="F5" s="119"/>
      <c r="G5" s="119"/>
      <c r="H5" s="119"/>
      <c r="I5" s="119"/>
      <c r="J5" s="119"/>
      <c r="K5" s="119"/>
      <c r="L5" s="119"/>
      <c r="M5" s="119"/>
      <c r="N5" s="119"/>
      <c r="O5" s="119"/>
      <c r="P5" s="119"/>
      <c r="Q5" s="119"/>
      <c r="R5" s="119"/>
      <c r="S5" s="119"/>
      <c r="T5" s="119"/>
      <c r="U5" s="119"/>
      <c r="V5" s="119"/>
      <c r="W5" s="119"/>
    </row>
    <row r="6" spans="1:24" x14ac:dyDescent="0.25">
      <c r="A6" t="s">
        <v>742</v>
      </c>
      <c r="B6" s="67" t="s">
        <v>803</v>
      </c>
      <c r="C6" t="s">
        <v>804</v>
      </c>
      <c r="D6" t="s">
        <v>836</v>
      </c>
      <c r="E6" t="s">
        <v>745</v>
      </c>
      <c r="F6" s="119"/>
      <c r="G6" s="119"/>
      <c r="H6" s="119"/>
      <c r="I6" s="119"/>
      <c r="J6" s="119"/>
      <c r="K6" s="119"/>
      <c r="L6" s="119"/>
      <c r="M6" s="119"/>
      <c r="N6" s="119"/>
      <c r="O6" s="119"/>
      <c r="P6" s="119"/>
      <c r="Q6" s="119"/>
      <c r="R6" s="119"/>
      <c r="S6" s="119"/>
      <c r="T6" s="119"/>
      <c r="U6" s="119"/>
      <c r="V6" s="119"/>
      <c r="W6" s="119"/>
    </row>
    <row r="7" spans="1:24" x14ac:dyDescent="0.25">
      <c r="A7" t="s">
        <v>742</v>
      </c>
      <c r="B7" s="67" t="s">
        <v>805</v>
      </c>
      <c r="C7" t="s">
        <v>558</v>
      </c>
      <c r="D7" t="s">
        <v>836</v>
      </c>
      <c r="E7" t="s">
        <v>745</v>
      </c>
      <c r="F7" s="119"/>
      <c r="G7" s="119"/>
      <c r="H7" s="119"/>
      <c r="I7" s="119"/>
      <c r="J7" s="119"/>
      <c r="K7" s="119"/>
      <c r="L7" s="119"/>
      <c r="M7" s="119"/>
      <c r="N7" s="119"/>
      <c r="O7" s="119"/>
      <c r="P7" s="119"/>
      <c r="Q7" s="119"/>
      <c r="R7" s="119"/>
      <c r="S7" s="119"/>
      <c r="T7" s="119"/>
      <c r="U7" s="119"/>
      <c r="V7" s="119"/>
      <c r="W7" s="119"/>
    </row>
    <row r="8" spans="1:24" x14ac:dyDescent="0.25">
      <c r="A8" t="s">
        <v>742</v>
      </c>
      <c r="B8" s="67" t="s">
        <v>806</v>
      </c>
      <c r="C8" t="s">
        <v>807</v>
      </c>
      <c r="D8" t="s">
        <v>836</v>
      </c>
      <c r="E8" t="s">
        <v>745</v>
      </c>
      <c r="F8" s="119"/>
      <c r="G8" s="119"/>
      <c r="H8" s="119"/>
      <c r="I8" s="119"/>
      <c r="J8" s="119"/>
      <c r="K8" s="119"/>
      <c r="L8" s="119"/>
      <c r="M8" s="119"/>
      <c r="N8" s="119"/>
      <c r="O8" s="119"/>
      <c r="P8" s="119"/>
      <c r="Q8" s="119"/>
      <c r="R8" s="119"/>
      <c r="S8" s="119"/>
      <c r="T8" s="119"/>
      <c r="U8" s="119"/>
      <c r="V8" s="119"/>
      <c r="W8" s="119"/>
    </row>
    <row r="9" spans="1:24" x14ac:dyDescent="0.25">
      <c r="A9" t="s">
        <v>742</v>
      </c>
      <c r="B9" s="67" t="s">
        <v>808</v>
      </c>
      <c r="C9" t="s">
        <v>756</v>
      </c>
      <c r="D9" t="s">
        <v>836</v>
      </c>
      <c r="E9" t="s">
        <v>745</v>
      </c>
      <c r="F9" s="119"/>
      <c r="G9" s="119"/>
      <c r="H9" s="119"/>
      <c r="I9" s="119"/>
      <c r="J9" s="119"/>
      <c r="K9" s="119"/>
      <c r="L9" s="119"/>
      <c r="M9" s="119"/>
      <c r="N9" s="119"/>
      <c r="O9" s="119"/>
      <c r="P9" s="119"/>
      <c r="Q9" s="119"/>
      <c r="R9" s="119"/>
      <c r="S9" s="119"/>
      <c r="T9" s="119"/>
      <c r="U9" s="119"/>
      <c r="V9" s="119"/>
      <c r="W9" s="119"/>
    </row>
    <row r="11" spans="1:24" s="6" customFormat="1" ht="21" x14ac:dyDescent="0.35">
      <c r="A11" s="6" t="s">
        <v>346</v>
      </c>
      <c r="C11" s="32" t="s">
        <v>843</v>
      </c>
    </row>
    <row r="13" spans="1:24" s="22" customFormat="1" x14ac:dyDescent="0.25">
      <c r="A13" s="123" t="s">
        <v>844</v>
      </c>
    </row>
    <row r="14" spans="1:24" s="7" customFormat="1" x14ac:dyDescent="0.25">
      <c r="A14" s="110" t="s">
        <v>736</v>
      </c>
      <c r="B14" s="110" t="s">
        <v>737</v>
      </c>
      <c r="C14" s="110" t="s">
        <v>738</v>
      </c>
      <c r="D14" s="110" t="s">
        <v>739</v>
      </c>
      <c r="E14" s="110" t="s">
        <v>740</v>
      </c>
      <c r="F14" s="110">
        <v>2000</v>
      </c>
      <c r="G14" s="110">
        <v>2001</v>
      </c>
      <c r="H14" s="110">
        <v>2002</v>
      </c>
      <c r="I14" s="110">
        <v>2003</v>
      </c>
      <c r="J14" s="110">
        <v>2004</v>
      </c>
      <c r="K14" s="110">
        <v>2005</v>
      </c>
      <c r="L14" s="110">
        <v>2006</v>
      </c>
      <c r="M14" s="110">
        <v>2007</v>
      </c>
      <c r="N14" s="110">
        <v>2008</v>
      </c>
      <c r="O14" s="110">
        <v>2009</v>
      </c>
      <c r="P14" s="110">
        <v>2010</v>
      </c>
      <c r="Q14" s="110">
        <v>2011</v>
      </c>
      <c r="R14" s="110">
        <v>2012</v>
      </c>
      <c r="S14" s="110">
        <v>2013</v>
      </c>
      <c r="T14" s="110">
        <v>2014</v>
      </c>
      <c r="U14" s="110">
        <v>2015</v>
      </c>
      <c r="V14" s="110"/>
      <c r="W14" s="110"/>
      <c r="X14" s="10" t="s">
        <v>741</v>
      </c>
    </row>
    <row r="15" spans="1:24" s="7" customFormat="1" x14ac:dyDescent="0.25">
      <c r="A15" s="110" t="s">
        <v>742</v>
      </c>
      <c r="B15" s="110" t="s">
        <v>800</v>
      </c>
      <c r="C15" s="110" t="s">
        <v>555</v>
      </c>
      <c r="D15" s="110" t="s">
        <v>836</v>
      </c>
      <c r="E15" s="110" t="s">
        <v>745</v>
      </c>
      <c r="F15" s="29"/>
      <c r="G15" s="29"/>
      <c r="H15" s="29"/>
      <c r="I15" s="29"/>
      <c r="J15" s="29"/>
      <c r="K15" s="29"/>
      <c r="L15" s="29"/>
      <c r="M15" s="29"/>
      <c r="N15" s="29"/>
      <c r="O15" s="29"/>
      <c r="P15" s="29"/>
      <c r="Q15" s="29"/>
      <c r="R15" s="29"/>
      <c r="S15" s="29"/>
      <c r="T15" s="29"/>
      <c r="U15" s="29"/>
      <c r="V15" s="29"/>
      <c r="W15" s="29"/>
      <c r="X15"/>
    </row>
    <row r="16" spans="1:24" x14ac:dyDescent="0.25">
      <c r="A16" s="11" t="s">
        <v>742</v>
      </c>
      <c r="B16" s="11" t="s">
        <v>801</v>
      </c>
      <c r="C16" s="11" t="s">
        <v>802</v>
      </c>
      <c r="D16" s="11" t="s">
        <v>836</v>
      </c>
      <c r="E16" s="11" t="s">
        <v>745</v>
      </c>
      <c r="F16" s="29"/>
      <c r="G16" s="29"/>
      <c r="H16" s="29"/>
      <c r="I16" s="29"/>
      <c r="J16" s="29"/>
      <c r="K16" s="29"/>
      <c r="L16" s="29"/>
      <c r="M16" s="29"/>
      <c r="N16" s="29"/>
      <c r="O16" s="29"/>
      <c r="P16" s="29"/>
      <c r="Q16" s="29"/>
      <c r="R16" s="29"/>
      <c r="S16" s="29"/>
      <c r="T16" s="29"/>
      <c r="U16" s="29"/>
      <c r="V16" s="29"/>
      <c r="W16" s="29"/>
    </row>
    <row r="17" spans="1:23" x14ac:dyDescent="0.25">
      <c r="A17" s="11" t="s">
        <v>742</v>
      </c>
      <c r="B17" s="11" t="s">
        <v>803</v>
      </c>
      <c r="C17" s="11" t="s">
        <v>804</v>
      </c>
      <c r="D17" s="11" t="s">
        <v>836</v>
      </c>
      <c r="E17" s="11" t="s">
        <v>745</v>
      </c>
      <c r="F17" s="29"/>
      <c r="G17" s="29"/>
      <c r="H17" s="29"/>
      <c r="I17" s="29"/>
      <c r="J17" s="29"/>
      <c r="K17" s="29"/>
      <c r="L17" s="29"/>
      <c r="M17" s="29"/>
      <c r="N17" s="29"/>
      <c r="O17" s="29"/>
      <c r="P17" s="29"/>
      <c r="Q17" s="29"/>
      <c r="R17" s="29"/>
      <c r="S17" s="29"/>
      <c r="T17" s="29"/>
      <c r="U17" s="29"/>
      <c r="V17" s="29"/>
      <c r="W17" s="29"/>
    </row>
    <row r="18" spans="1:23" x14ac:dyDescent="0.25">
      <c r="A18" s="11" t="s">
        <v>742</v>
      </c>
      <c r="B18" s="11" t="s">
        <v>805</v>
      </c>
      <c r="C18" s="11" t="s">
        <v>558</v>
      </c>
      <c r="D18" s="11" t="s">
        <v>836</v>
      </c>
      <c r="E18" s="11" t="s">
        <v>745</v>
      </c>
      <c r="F18" s="29"/>
      <c r="G18" s="29"/>
      <c r="H18" s="29"/>
      <c r="I18" s="29"/>
      <c r="J18" s="29"/>
      <c r="K18" s="29"/>
      <c r="L18" s="29"/>
      <c r="M18" s="29"/>
      <c r="N18" s="29"/>
      <c r="O18" s="29"/>
      <c r="P18" s="29"/>
      <c r="Q18" s="29"/>
      <c r="R18" s="29"/>
      <c r="S18" s="29"/>
      <c r="T18" s="29"/>
      <c r="U18" s="29"/>
      <c r="V18" s="29"/>
      <c r="W18" s="29"/>
    </row>
    <row r="19" spans="1:23" x14ac:dyDescent="0.25">
      <c r="A19" s="11" t="s">
        <v>742</v>
      </c>
      <c r="B19" s="11" t="s">
        <v>806</v>
      </c>
      <c r="C19" s="11" t="s">
        <v>807</v>
      </c>
      <c r="D19" s="11" t="s">
        <v>836</v>
      </c>
      <c r="E19" s="11" t="s">
        <v>745</v>
      </c>
      <c r="F19" s="29"/>
      <c r="G19" s="29"/>
      <c r="H19" s="29"/>
      <c r="I19" s="29"/>
      <c r="J19" s="29"/>
      <c r="K19" s="29"/>
      <c r="L19" s="29"/>
      <c r="M19" s="29"/>
      <c r="N19" s="29"/>
      <c r="O19" s="29"/>
      <c r="P19" s="29"/>
      <c r="Q19" s="29"/>
      <c r="R19" s="29"/>
      <c r="S19" s="29"/>
      <c r="T19" s="29"/>
      <c r="U19" s="29"/>
      <c r="V19" s="29"/>
      <c r="W19" s="29"/>
    </row>
    <row r="20" spans="1:23" x14ac:dyDescent="0.25">
      <c r="A20" s="11" t="s">
        <v>742</v>
      </c>
      <c r="B20" s="11" t="s">
        <v>808</v>
      </c>
      <c r="C20" s="11" t="s">
        <v>756</v>
      </c>
      <c r="D20" s="11" t="s">
        <v>836</v>
      </c>
      <c r="E20" s="11" t="s">
        <v>745</v>
      </c>
      <c r="F20" s="29"/>
      <c r="G20" s="29"/>
      <c r="H20" s="29"/>
      <c r="I20" s="29"/>
      <c r="J20" s="29"/>
      <c r="K20" s="29"/>
      <c r="L20" s="29"/>
      <c r="M20" s="29"/>
      <c r="N20" s="29"/>
      <c r="O20" s="29"/>
      <c r="P20" s="29"/>
      <c r="Q20" s="29"/>
      <c r="R20" s="29"/>
      <c r="S20" s="29"/>
      <c r="T20" s="29"/>
      <c r="U20" s="29"/>
      <c r="V20" s="29"/>
      <c r="W20" s="29"/>
    </row>
    <row r="21" spans="1:23" s="23" customFormat="1" x14ac:dyDescent="0.25"/>
    <row r="22" spans="1:23" s="22" customFormat="1" x14ac:dyDescent="0.25">
      <c r="A22" s="123" t="s">
        <v>854</v>
      </c>
      <c r="D22" s="8" t="s">
        <v>852</v>
      </c>
    </row>
    <row r="23" spans="1:23" s="7" customFormat="1" x14ac:dyDescent="0.25">
      <c r="A23" s="110" t="s">
        <v>736</v>
      </c>
      <c r="B23" s="110" t="s">
        <v>737</v>
      </c>
      <c r="C23" s="110" t="s">
        <v>738</v>
      </c>
      <c r="D23" s="110" t="s">
        <v>739</v>
      </c>
      <c r="E23" s="110" t="s">
        <v>740</v>
      </c>
      <c r="F23" s="110">
        <v>2000</v>
      </c>
      <c r="G23" s="110">
        <v>2001</v>
      </c>
      <c r="H23" s="110">
        <v>2002</v>
      </c>
      <c r="I23" s="110">
        <v>2003</v>
      </c>
      <c r="J23" s="110">
        <v>2004</v>
      </c>
      <c r="K23" s="110">
        <v>2005</v>
      </c>
      <c r="L23" s="110">
        <v>2006</v>
      </c>
      <c r="M23" s="110">
        <v>2007</v>
      </c>
      <c r="N23" s="110">
        <v>2008</v>
      </c>
      <c r="O23" s="110">
        <v>2009</v>
      </c>
      <c r="P23" s="110">
        <v>2010</v>
      </c>
      <c r="Q23" s="110">
        <v>2011</v>
      </c>
      <c r="R23" s="110">
        <v>2012</v>
      </c>
      <c r="S23" s="110">
        <v>2013</v>
      </c>
      <c r="T23" s="110">
        <v>2014</v>
      </c>
      <c r="U23" s="110">
        <v>2015</v>
      </c>
      <c r="V23" s="110"/>
      <c r="W23" s="110"/>
    </row>
    <row r="24" spans="1:23" s="7" customFormat="1" x14ac:dyDescent="0.25">
      <c r="A24" s="110" t="s">
        <v>742</v>
      </c>
      <c r="B24" s="110" t="s">
        <v>800</v>
      </c>
      <c r="C24" s="110" t="s">
        <v>555</v>
      </c>
      <c r="D24" s="110" t="s">
        <v>836</v>
      </c>
      <c r="E24" s="110" t="s">
        <v>745</v>
      </c>
      <c r="F24" s="66" t="str">
        <f t="shared" ref="F24:T25" si="2">IFERROR(((F4/F15)-1),"CHECK")</f>
        <v>CHECK</v>
      </c>
      <c r="G24" s="66" t="str">
        <f t="shared" si="2"/>
        <v>CHECK</v>
      </c>
      <c r="H24" s="66" t="str">
        <f t="shared" si="2"/>
        <v>CHECK</v>
      </c>
      <c r="I24" s="66" t="str">
        <f t="shared" si="2"/>
        <v>CHECK</v>
      </c>
      <c r="J24" s="66" t="str">
        <f t="shared" si="2"/>
        <v>CHECK</v>
      </c>
      <c r="K24" s="66" t="str">
        <f t="shared" si="2"/>
        <v>CHECK</v>
      </c>
      <c r="L24" s="66" t="str">
        <f t="shared" si="2"/>
        <v>CHECK</v>
      </c>
      <c r="M24" s="66" t="str">
        <f t="shared" si="2"/>
        <v>CHECK</v>
      </c>
      <c r="N24" s="66" t="str">
        <f t="shared" si="2"/>
        <v>CHECK</v>
      </c>
      <c r="O24" s="66" t="str">
        <f t="shared" si="2"/>
        <v>CHECK</v>
      </c>
      <c r="P24" s="66" t="str">
        <f t="shared" si="2"/>
        <v>CHECK</v>
      </c>
      <c r="Q24" s="66" t="str">
        <f t="shared" si="2"/>
        <v>CHECK</v>
      </c>
      <c r="R24" s="66" t="str">
        <f t="shared" si="2"/>
        <v>CHECK</v>
      </c>
      <c r="S24" s="66" t="str">
        <f t="shared" si="2"/>
        <v>CHECK</v>
      </c>
      <c r="T24" s="66" t="str">
        <f t="shared" si="2"/>
        <v>CHECK</v>
      </c>
      <c r="U24" s="66" t="str">
        <f t="shared" ref="U24:U29" si="3">IFERROR(((U4/U15)-1),"CHECK")</f>
        <v>CHECK</v>
      </c>
      <c r="V24" s="66"/>
      <c r="W24" s="66"/>
    </row>
    <row r="25" spans="1:23" x14ac:dyDescent="0.25">
      <c r="A25" s="11" t="s">
        <v>742</v>
      </c>
      <c r="B25" s="11" t="s">
        <v>801</v>
      </c>
      <c r="C25" s="11" t="s">
        <v>802</v>
      </c>
      <c r="D25" s="11" t="s">
        <v>836</v>
      </c>
      <c r="E25" s="11" t="s">
        <v>745</v>
      </c>
      <c r="F25" s="66" t="str">
        <f t="shared" si="2"/>
        <v>CHECK</v>
      </c>
      <c r="G25" s="66" t="str">
        <f t="shared" si="2"/>
        <v>CHECK</v>
      </c>
      <c r="H25" s="66" t="str">
        <f t="shared" si="2"/>
        <v>CHECK</v>
      </c>
      <c r="I25" s="66" t="str">
        <f t="shared" si="2"/>
        <v>CHECK</v>
      </c>
      <c r="J25" s="66" t="str">
        <f t="shared" si="2"/>
        <v>CHECK</v>
      </c>
      <c r="K25" s="66" t="str">
        <f t="shared" si="2"/>
        <v>CHECK</v>
      </c>
      <c r="L25" s="66" t="str">
        <f t="shared" si="2"/>
        <v>CHECK</v>
      </c>
      <c r="M25" s="66" t="str">
        <f t="shared" si="2"/>
        <v>CHECK</v>
      </c>
      <c r="N25" s="66" t="str">
        <f t="shared" si="2"/>
        <v>CHECK</v>
      </c>
      <c r="O25" s="66" t="str">
        <f t="shared" si="2"/>
        <v>CHECK</v>
      </c>
      <c r="P25" s="66" t="str">
        <f t="shared" si="2"/>
        <v>CHECK</v>
      </c>
      <c r="Q25" s="66" t="str">
        <f t="shared" si="2"/>
        <v>CHECK</v>
      </c>
      <c r="R25" s="66" t="str">
        <f t="shared" si="2"/>
        <v>CHECK</v>
      </c>
      <c r="S25" s="66" t="str">
        <f t="shared" si="2"/>
        <v>CHECK</v>
      </c>
      <c r="T25" s="66" t="str">
        <f t="shared" si="2"/>
        <v>CHECK</v>
      </c>
      <c r="U25" s="66" t="str">
        <f t="shared" si="3"/>
        <v>CHECK</v>
      </c>
      <c r="V25" s="66"/>
      <c r="W25" s="66"/>
    </row>
    <row r="26" spans="1:23" x14ac:dyDescent="0.25">
      <c r="A26" s="11" t="s">
        <v>742</v>
      </c>
      <c r="B26" s="11" t="s">
        <v>803</v>
      </c>
      <c r="C26" s="11" t="s">
        <v>804</v>
      </c>
      <c r="D26" s="11" t="s">
        <v>836</v>
      </c>
      <c r="E26" s="11" t="s">
        <v>745</v>
      </c>
      <c r="F26" s="66" t="str">
        <f t="shared" ref="F26:T26" si="4">IFERROR(((F6/F17)-1),"CHECK")</f>
        <v>CHECK</v>
      </c>
      <c r="G26" s="66" t="str">
        <f t="shared" si="4"/>
        <v>CHECK</v>
      </c>
      <c r="H26" s="66" t="str">
        <f t="shared" si="4"/>
        <v>CHECK</v>
      </c>
      <c r="I26" s="66" t="str">
        <f t="shared" si="4"/>
        <v>CHECK</v>
      </c>
      <c r="J26" s="66" t="str">
        <f t="shared" si="4"/>
        <v>CHECK</v>
      </c>
      <c r="K26" s="66" t="str">
        <f t="shared" si="4"/>
        <v>CHECK</v>
      </c>
      <c r="L26" s="66" t="str">
        <f t="shared" si="4"/>
        <v>CHECK</v>
      </c>
      <c r="M26" s="66" t="str">
        <f t="shared" si="4"/>
        <v>CHECK</v>
      </c>
      <c r="N26" s="66" t="str">
        <f t="shared" si="4"/>
        <v>CHECK</v>
      </c>
      <c r="O26" s="66" t="str">
        <f t="shared" si="4"/>
        <v>CHECK</v>
      </c>
      <c r="P26" s="66" t="str">
        <f t="shared" si="4"/>
        <v>CHECK</v>
      </c>
      <c r="Q26" s="66" t="str">
        <f t="shared" si="4"/>
        <v>CHECK</v>
      </c>
      <c r="R26" s="66" t="str">
        <f t="shared" si="4"/>
        <v>CHECK</v>
      </c>
      <c r="S26" s="66" t="str">
        <f t="shared" si="4"/>
        <v>CHECK</v>
      </c>
      <c r="T26" s="66" t="str">
        <f t="shared" si="4"/>
        <v>CHECK</v>
      </c>
      <c r="U26" s="66" t="str">
        <f t="shared" si="3"/>
        <v>CHECK</v>
      </c>
      <c r="V26" s="66"/>
      <c r="W26" s="66"/>
    </row>
    <row r="27" spans="1:23" x14ac:dyDescent="0.25">
      <c r="A27" s="11" t="s">
        <v>742</v>
      </c>
      <c r="B27" s="11" t="s">
        <v>805</v>
      </c>
      <c r="C27" s="11" t="s">
        <v>558</v>
      </c>
      <c r="D27" s="11" t="s">
        <v>836</v>
      </c>
      <c r="E27" s="11" t="s">
        <v>745</v>
      </c>
      <c r="F27" s="66" t="str">
        <f t="shared" ref="F27:T27" si="5">IFERROR(((F7/F18)-1),"CHECK")</f>
        <v>CHECK</v>
      </c>
      <c r="G27" s="66" t="str">
        <f t="shared" si="5"/>
        <v>CHECK</v>
      </c>
      <c r="H27" s="66" t="str">
        <f t="shared" si="5"/>
        <v>CHECK</v>
      </c>
      <c r="I27" s="66" t="str">
        <f t="shared" si="5"/>
        <v>CHECK</v>
      </c>
      <c r="J27" s="66" t="str">
        <f t="shared" si="5"/>
        <v>CHECK</v>
      </c>
      <c r="K27" s="66" t="str">
        <f t="shared" si="5"/>
        <v>CHECK</v>
      </c>
      <c r="L27" s="66" t="str">
        <f t="shared" si="5"/>
        <v>CHECK</v>
      </c>
      <c r="M27" s="66" t="str">
        <f t="shared" si="5"/>
        <v>CHECK</v>
      </c>
      <c r="N27" s="66" t="str">
        <f t="shared" si="5"/>
        <v>CHECK</v>
      </c>
      <c r="O27" s="66" t="str">
        <f t="shared" si="5"/>
        <v>CHECK</v>
      </c>
      <c r="P27" s="66" t="str">
        <f t="shared" si="5"/>
        <v>CHECK</v>
      </c>
      <c r="Q27" s="66" t="str">
        <f t="shared" si="5"/>
        <v>CHECK</v>
      </c>
      <c r="R27" s="66" t="str">
        <f t="shared" si="5"/>
        <v>CHECK</v>
      </c>
      <c r="S27" s="66" t="str">
        <f t="shared" si="5"/>
        <v>CHECK</v>
      </c>
      <c r="T27" s="66" t="str">
        <f t="shared" si="5"/>
        <v>CHECK</v>
      </c>
      <c r="U27" s="66" t="str">
        <f t="shared" si="3"/>
        <v>CHECK</v>
      </c>
      <c r="V27" s="66"/>
      <c r="W27" s="66"/>
    </row>
    <row r="28" spans="1:23" x14ac:dyDescent="0.25">
      <c r="A28" s="11" t="s">
        <v>742</v>
      </c>
      <c r="B28" s="11" t="s">
        <v>806</v>
      </c>
      <c r="C28" s="11" t="s">
        <v>807</v>
      </c>
      <c r="D28" s="11" t="s">
        <v>836</v>
      </c>
      <c r="E28" s="11" t="s">
        <v>745</v>
      </c>
      <c r="F28" s="66" t="str">
        <f t="shared" ref="F28:T28" si="6">IFERROR(((F8/F19)-1),"CHECK")</f>
        <v>CHECK</v>
      </c>
      <c r="G28" s="66" t="str">
        <f t="shared" si="6"/>
        <v>CHECK</v>
      </c>
      <c r="H28" s="66" t="str">
        <f t="shared" si="6"/>
        <v>CHECK</v>
      </c>
      <c r="I28" s="66" t="str">
        <f t="shared" si="6"/>
        <v>CHECK</v>
      </c>
      <c r="J28" s="66" t="str">
        <f t="shared" si="6"/>
        <v>CHECK</v>
      </c>
      <c r="K28" s="66" t="str">
        <f t="shared" si="6"/>
        <v>CHECK</v>
      </c>
      <c r="L28" s="66" t="str">
        <f t="shared" si="6"/>
        <v>CHECK</v>
      </c>
      <c r="M28" s="66" t="str">
        <f t="shared" si="6"/>
        <v>CHECK</v>
      </c>
      <c r="N28" s="66" t="str">
        <f t="shared" si="6"/>
        <v>CHECK</v>
      </c>
      <c r="O28" s="66" t="str">
        <f t="shared" si="6"/>
        <v>CHECK</v>
      </c>
      <c r="P28" s="66" t="str">
        <f t="shared" si="6"/>
        <v>CHECK</v>
      </c>
      <c r="Q28" s="66" t="str">
        <f t="shared" si="6"/>
        <v>CHECK</v>
      </c>
      <c r="R28" s="66" t="str">
        <f t="shared" si="6"/>
        <v>CHECK</v>
      </c>
      <c r="S28" s="66" t="str">
        <f t="shared" si="6"/>
        <v>CHECK</v>
      </c>
      <c r="T28" s="66" t="str">
        <f t="shared" si="6"/>
        <v>CHECK</v>
      </c>
      <c r="U28" s="66" t="str">
        <f t="shared" si="3"/>
        <v>CHECK</v>
      </c>
      <c r="V28" s="66"/>
      <c r="W28" s="66"/>
    </row>
    <row r="29" spans="1:23" x14ac:dyDescent="0.25">
      <c r="A29" s="11" t="s">
        <v>742</v>
      </c>
      <c r="B29" s="11" t="s">
        <v>808</v>
      </c>
      <c r="C29" s="11" t="s">
        <v>756</v>
      </c>
      <c r="D29" s="11" t="s">
        <v>836</v>
      </c>
      <c r="E29" s="11" t="s">
        <v>745</v>
      </c>
      <c r="F29" s="66" t="str">
        <f t="shared" ref="F29:T29" si="7">IFERROR(((F9/F20)-1),"CHECK")</f>
        <v>CHECK</v>
      </c>
      <c r="G29" s="66" t="str">
        <f t="shared" si="7"/>
        <v>CHECK</v>
      </c>
      <c r="H29" s="66" t="str">
        <f t="shared" si="7"/>
        <v>CHECK</v>
      </c>
      <c r="I29" s="66" t="str">
        <f t="shared" si="7"/>
        <v>CHECK</v>
      </c>
      <c r="J29" s="66" t="str">
        <f t="shared" si="7"/>
        <v>CHECK</v>
      </c>
      <c r="K29" s="66" t="str">
        <f t="shared" si="7"/>
        <v>CHECK</v>
      </c>
      <c r="L29" s="66" t="str">
        <f t="shared" si="7"/>
        <v>CHECK</v>
      </c>
      <c r="M29" s="66" t="str">
        <f t="shared" si="7"/>
        <v>CHECK</v>
      </c>
      <c r="N29" s="66" t="str">
        <f t="shared" si="7"/>
        <v>CHECK</v>
      </c>
      <c r="O29" s="66" t="str">
        <f t="shared" si="7"/>
        <v>CHECK</v>
      </c>
      <c r="P29" s="66" t="str">
        <f t="shared" si="7"/>
        <v>CHECK</v>
      </c>
      <c r="Q29" s="66" t="str">
        <f t="shared" si="7"/>
        <v>CHECK</v>
      </c>
      <c r="R29" s="66" t="str">
        <f t="shared" si="7"/>
        <v>CHECK</v>
      </c>
      <c r="S29" s="66" t="str">
        <f t="shared" si="7"/>
        <v>CHECK</v>
      </c>
      <c r="T29" s="66" t="str">
        <f t="shared" si="7"/>
        <v>CHECK</v>
      </c>
      <c r="U29" s="66" t="str">
        <f t="shared" si="3"/>
        <v>CHECK</v>
      </c>
      <c r="V29" s="66"/>
      <c r="W29" s="66"/>
    </row>
  </sheetData>
  <conditionalFormatting sqref="F25:T29">
    <cfRule type="colorScale" priority="16">
      <colorScale>
        <cfvo type="min"/>
        <cfvo type="num" val="0"/>
        <cfvo type="max"/>
        <color theme="3" tint="0.59999389629810485"/>
        <color theme="0"/>
        <color rgb="FFEE9CA4"/>
      </colorScale>
    </cfRule>
  </conditionalFormatting>
  <conditionalFormatting sqref="F24:T24">
    <cfRule type="colorScale" priority="3">
      <colorScale>
        <cfvo type="min"/>
        <cfvo type="num" val="0"/>
        <cfvo type="max"/>
        <color theme="3" tint="0.59999389629810485"/>
        <color theme="0"/>
        <color rgb="FFEE9CA4"/>
      </colorScale>
    </cfRule>
  </conditionalFormatting>
  <conditionalFormatting sqref="U25:W29">
    <cfRule type="colorScale" priority="2">
      <colorScale>
        <cfvo type="min"/>
        <cfvo type="num" val="0"/>
        <cfvo type="max"/>
        <color theme="3" tint="0.59999389629810485"/>
        <color theme="0"/>
        <color rgb="FFEE9CA4"/>
      </colorScale>
    </cfRule>
  </conditionalFormatting>
  <conditionalFormatting sqref="U24:W24">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500-000082000000}">
          <x14:colorSeries rgb="FF376092"/>
          <x14:colorNegative rgb="FFD00000"/>
          <x14:colorAxis rgb="FF000000"/>
          <x14:colorMarkers rgb="FFD00000"/>
          <x14:colorFirst rgb="FFD00000"/>
          <x14:colorLast rgb="FFD00000"/>
          <x14:colorHigh rgb="FFD00000"/>
          <x14:colorLow rgb="FFD00000"/>
          <x14:sparklines>
            <x14:sparkline>
              <xm:f>'2E Summary'!F4:U4</xm:f>
              <xm:sqref>X4</xm:sqref>
            </x14:sparkline>
            <x14:sparkline>
              <xm:f>'2E Summary'!F5:U5</xm:f>
              <xm:sqref>X5</xm:sqref>
            </x14:sparkline>
            <x14:sparkline>
              <xm:f>'2E Summary'!F6:U6</xm:f>
              <xm:sqref>X6</xm:sqref>
            </x14:sparkline>
            <x14:sparkline>
              <xm:f>'2E Summary'!F7:U7</xm:f>
              <xm:sqref>X7</xm:sqref>
            </x14:sparkline>
            <x14:sparkline>
              <xm:f>'2E Summary'!F8:U8</xm:f>
              <xm:sqref>X8</xm:sqref>
            </x14:sparkline>
            <x14:sparkline>
              <xm:f>'2E Summary'!F9:U9</xm:f>
              <xm:sqref>X9</xm:sqref>
            </x14:sparkline>
          </x14:sparklines>
        </x14:sparklineGroup>
        <x14:sparklineGroup manualMax="0" manualMin="0" displayEmptyCellsAs="gap" xr2:uid="{00000000-0003-0000-2500-000081000000}">
          <x14:colorSeries rgb="FF376092"/>
          <x14:colorNegative rgb="FFD00000"/>
          <x14:colorAxis rgb="FF000000"/>
          <x14:colorMarkers rgb="FFD00000"/>
          <x14:colorFirst rgb="FFD00000"/>
          <x14:colorLast rgb="FFD00000"/>
          <x14:colorHigh rgb="FFD00000"/>
          <x14:colorLow rgb="FFD00000"/>
          <x14:sparklines>
            <x14:sparkline>
              <xm:f>'2E Summary'!F15:U15</xm:f>
              <xm:sqref>X15</xm:sqref>
            </x14:sparkline>
            <x14:sparkline>
              <xm:f>'2E Summary'!F16:U16</xm:f>
              <xm:sqref>X16</xm:sqref>
            </x14:sparkline>
            <x14:sparkline>
              <xm:f>'2E Summary'!F17:U17</xm:f>
              <xm:sqref>X17</xm:sqref>
            </x14:sparkline>
            <x14:sparkline>
              <xm:f>'2E Summary'!F18:U18</xm:f>
              <xm:sqref>X18</xm:sqref>
            </x14:sparkline>
            <x14:sparkline>
              <xm:f>'2E Summary'!F19:U19</xm:f>
              <xm:sqref>X19</xm:sqref>
            </x14:sparkline>
            <x14:sparkline>
              <xm:f>'2E Summary'!F20:U20</xm:f>
              <xm:sqref>X20</xm:sqref>
            </x14:sparkline>
          </x14:sparklines>
        </x14:sparklineGroup>
      </x14:sparklineGroup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tabColor rgb="FF00B0F0"/>
  </sheetPr>
  <dimension ref="A1:AA38"/>
  <sheetViews>
    <sheetView tabSelected="1" topLeftCell="E1" workbookViewId="0">
      <selection activeCell="X13" sqref="X13"/>
    </sheetView>
  </sheetViews>
  <sheetFormatPr defaultRowHeight="15" x14ac:dyDescent="0.25"/>
  <cols>
    <col min="1" max="1" width="34.140625" bestFit="1" customWidth="1"/>
    <col min="2" max="2" width="13.28515625" customWidth="1"/>
    <col min="3" max="3" width="32.85546875" customWidth="1"/>
    <col min="5" max="5" width="10.28515625" customWidth="1"/>
  </cols>
  <sheetData>
    <row r="1" spans="1:27" s="6" customFormat="1" ht="21" x14ac:dyDescent="0.35">
      <c r="A1" s="6" t="s">
        <v>734</v>
      </c>
      <c r="C1" s="28" t="s">
        <v>735</v>
      </c>
    </row>
    <row r="2" spans="1:27" x14ac:dyDescent="0.25">
      <c r="W2">
        <f>+W6/W5</f>
        <v>0.48435352768365797</v>
      </c>
    </row>
    <row r="3" spans="1:27"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c r="Z3" s="7">
        <f>+(W4-S4)/S4</f>
        <v>0.41447914955071402</v>
      </c>
    </row>
    <row r="4" spans="1:27" s="23" customFormat="1" x14ac:dyDescent="0.25">
      <c r="A4" s="103" t="s">
        <v>742</v>
      </c>
      <c r="B4" s="103" t="s">
        <v>809</v>
      </c>
      <c r="C4" s="103" t="s">
        <v>1078</v>
      </c>
      <c r="D4" s="103" t="s">
        <v>503</v>
      </c>
      <c r="E4" s="7" t="s">
        <v>745</v>
      </c>
      <c r="F4" s="116">
        <f>+F5+F8+F9+F10</f>
        <v>0</v>
      </c>
      <c r="G4" s="116">
        <f t="shared" ref="G4:U4" si="0">+G5+G8+G9+G10</f>
        <v>0</v>
      </c>
      <c r="H4" s="116">
        <f t="shared" si="0"/>
        <v>0</v>
      </c>
      <c r="I4" s="116">
        <f t="shared" si="0"/>
        <v>0</v>
      </c>
      <c r="J4" s="116">
        <f t="shared" si="0"/>
        <v>0</v>
      </c>
      <c r="K4" s="116">
        <f t="shared" si="0"/>
        <v>841.75</v>
      </c>
      <c r="L4" s="116">
        <f t="shared" si="0"/>
        <v>1045.3600000000001</v>
      </c>
      <c r="M4" s="116">
        <f t="shared" si="0"/>
        <v>1063.4000000000001</v>
      </c>
      <c r="N4" s="116">
        <f t="shared" si="0"/>
        <v>1025.95</v>
      </c>
      <c r="O4" s="116">
        <f t="shared" si="0"/>
        <v>992.04</v>
      </c>
      <c r="P4" s="116">
        <f t="shared" si="0"/>
        <v>2065.8000000000002</v>
      </c>
      <c r="Q4" s="116">
        <f t="shared" si="0"/>
        <v>2274.3970304019999</v>
      </c>
      <c r="R4" s="116">
        <f t="shared" si="0"/>
        <v>2527.5876217245</v>
      </c>
      <c r="S4" s="116">
        <f t="shared" si="0"/>
        <v>2852.5371444459997</v>
      </c>
      <c r="T4" s="116">
        <f t="shared" si="0"/>
        <v>3065.5941807110003</v>
      </c>
      <c r="U4" s="116">
        <f t="shared" si="0"/>
        <v>3482.1249274289999</v>
      </c>
      <c r="V4" s="116">
        <f t="shared" ref="V4:W4" si="1">+V5+V8+V9+V10</f>
        <v>3735.440392645</v>
      </c>
      <c r="W4" s="116">
        <f t="shared" si="1"/>
        <v>4034.8543141378</v>
      </c>
      <c r="X4" s="118"/>
      <c r="Z4" s="23">
        <f>+W4-U4</f>
        <v>552.72938670880012</v>
      </c>
      <c r="AA4" s="23">
        <f>+Z4/U4</f>
        <v>0.15873335914943856</v>
      </c>
    </row>
    <row r="5" spans="1:27" s="118" customFormat="1" x14ac:dyDescent="0.25">
      <c r="A5" s="118" t="s">
        <v>742</v>
      </c>
      <c r="B5" s="118" t="s">
        <v>811</v>
      </c>
      <c r="C5" s="118" t="s">
        <v>812</v>
      </c>
      <c r="D5" s="118" t="s">
        <v>503</v>
      </c>
      <c r="E5" s="118" t="s">
        <v>745</v>
      </c>
      <c r="F5" s="121">
        <f>+'2F1 Refrigeration and AC'!E160</f>
        <v>0</v>
      </c>
      <c r="G5" s="121">
        <f>+'2F1 Refrigeration and AC'!F160</f>
        <v>0</v>
      </c>
      <c r="H5" s="121">
        <f>+'2F1 Refrigeration and AC'!G160</f>
        <v>0</v>
      </c>
      <c r="I5" s="121">
        <f>+'2F1 Refrigeration and AC'!H160</f>
        <v>0</v>
      </c>
      <c r="J5" s="121">
        <f>+'2F1 Refrigeration and AC'!I160</f>
        <v>0</v>
      </c>
      <c r="K5" s="121">
        <f>+'2F1 Refrigeration and AC'!J160</f>
        <v>841.75</v>
      </c>
      <c r="L5" s="121">
        <f>+'2F1 Refrigeration and AC'!K160</f>
        <v>1045.3600000000001</v>
      </c>
      <c r="M5" s="121">
        <f>+'2F1 Refrigeration and AC'!L160</f>
        <v>1063.4000000000001</v>
      </c>
      <c r="N5" s="121">
        <f>+'2F1 Refrigeration and AC'!M160</f>
        <v>1025.95</v>
      </c>
      <c r="O5" s="121">
        <f>+'2F1 Refrigeration and AC'!N160</f>
        <v>992.04</v>
      </c>
      <c r="P5" s="121">
        <f>+'2F1 Refrigeration and AC'!O160</f>
        <v>2065.8000000000002</v>
      </c>
      <c r="Q5" s="121">
        <f>+'2F1 Refrigeration and AC'!P160</f>
        <v>2232.500866332</v>
      </c>
      <c r="R5" s="121">
        <f>+'2F1 Refrigeration and AC'!Q160</f>
        <v>2482.7810084104999</v>
      </c>
      <c r="S5" s="121">
        <f>+'2F1 Refrigeration and AC'!R160</f>
        <v>2802.3997062409999</v>
      </c>
      <c r="T5" s="121">
        <f>+'2F1 Refrigeration and AC'!S160</f>
        <v>3011.31930134</v>
      </c>
      <c r="U5" s="121">
        <f>+'2F1 Refrigeration and AC'!T160</f>
        <v>3419.7235398180001</v>
      </c>
      <c r="V5" s="121">
        <f>+'2F1 Refrigeration and AC'!U160</f>
        <v>3668.991196254</v>
      </c>
      <c r="W5" s="121">
        <f>+'2F1 Refrigeration and AC'!V160</f>
        <v>3963.4610677467999</v>
      </c>
      <c r="Z5" s="23">
        <f t="shared" ref="Z5:Z10" si="2">+W5-U5</f>
        <v>543.73752792879986</v>
      </c>
      <c r="AA5" s="23">
        <f t="shared" ref="AA5:AA10" si="3">+Z5/U5</f>
        <v>0.15900043427420976</v>
      </c>
    </row>
    <row r="6" spans="1:27" s="104" customFormat="1" x14ac:dyDescent="0.25">
      <c r="A6" s="104" t="s">
        <v>742</v>
      </c>
      <c r="B6" s="104" t="s">
        <v>1079</v>
      </c>
      <c r="C6" s="104" t="s">
        <v>1080</v>
      </c>
      <c r="D6" s="118" t="s">
        <v>503</v>
      </c>
      <c r="E6" s="104" t="s">
        <v>745</v>
      </c>
      <c r="F6" s="108">
        <f>+SUM('2F1 Refrigeration and AC'!E138:E143)</f>
        <v>0</v>
      </c>
      <c r="G6" s="108">
        <f>+SUM('2F1 Refrigeration and AC'!F138:F143)</f>
        <v>0</v>
      </c>
      <c r="H6" s="108">
        <f>+SUM('2F1 Refrigeration and AC'!G138:G143)</f>
        <v>0</v>
      </c>
      <c r="I6" s="108">
        <f>+SUM('2F1 Refrigeration and AC'!H138:H143)</f>
        <v>0</v>
      </c>
      <c r="J6" s="108">
        <f>+SUM('2F1 Refrigeration and AC'!I138:I143)</f>
        <v>0</v>
      </c>
      <c r="K6" s="108">
        <f>+SUM('2F1 Refrigeration and AC'!J138:J143)</f>
        <v>841.75</v>
      </c>
      <c r="L6" s="108">
        <f>+SUM('2F1 Refrigeration and AC'!K138:K143)</f>
        <v>1045.3600000000001</v>
      </c>
      <c r="M6" s="108">
        <f>+SUM('2F1 Refrigeration and AC'!L138:L143)</f>
        <v>1063.4000000000001</v>
      </c>
      <c r="N6" s="108">
        <f>+SUM('2F1 Refrigeration and AC'!M138:M143)</f>
        <v>1025.95</v>
      </c>
      <c r="O6" s="108">
        <f>+SUM('2F1 Refrigeration and AC'!N138:N143)</f>
        <v>992.04</v>
      </c>
      <c r="P6" s="108">
        <f>+SUM('2F1 Refrigeration and AC'!O138:O143)</f>
        <v>2065.8000000000002</v>
      </c>
      <c r="Q6" s="108">
        <f>+SUM('2F1 Refrigeration and AC'!P138:P143)</f>
        <v>725.91499376000002</v>
      </c>
      <c r="R6" s="108">
        <f>+SUM('2F1 Refrigeration and AC'!Q138:Q143)</f>
        <v>907.27941705850014</v>
      </c>
      <c r="S6" s="108">
        <f>+SUM('2F1 Refrigeration and AC'!R138:R143)</f>
        <v>1121.3266638249997</v>
      </c>
      <c r="T6" s="108">
        <f>+SUM('2F1 Refrigeration and AC'!S138:S143)</f>
        <v>1255.52945256</v>
      </c>
      <c r="U6" s="108">
        <f>+SUM('2F1 Refrigeration and AC'!T138:T143)</f>
        <v>1559.124012278</v>
      </c>
      <c r="V6" s="108">
        <f>+SUM('2F1 Refrigeration and AC'!U138:U143)</f>
        <v>1718.2475400000001</v>
      </c>
      <c r="W6" s="108">
        <f>+SUM('2F1 Refrigeration and AC'!V138:V143)</f>
        <v>1919.7163500000001</v>
      </c>
      <c r="Z6" s="23">
        <f t="shared" si="2"/>
        <v>360.59233772200014</v>
      </c>
      <c r="AA6" s="23">
        <f t="shared" si="3"/>
        <v>0.23127880456099642</v>
      </c>
    </row>
    <row r="7" spans="1:27" s="104" customFormat="1" x14ac:dyDescent="0.25">
      <c r="A7" s="104" t="s">
        <v>742</v>
      </c>
      <c r="B7" s="104" t="s">
        <v>1081</v>
      </c>
      <c r="C7" s="104" t="s">
        <v>1082</v>
      </c>
      <c r="D7" s="118" t="s">
        <v>503</v>
      </c>
      <c r="E7" s="104" t="s">
        <v>745</v>
      </c>
      <c r="F7" s="108">
        <f>+SUM('2F1 Refrigeration and AC'!E153:E158)</f>
        <v>0</v>
      </c>
      <c r="G7" s="108">
        <f>+SUM('2F1 Refrigeration and AC'!F153:F158)</f>
        <v>0</v>
      </c>
      <c r="H7" s="108">
        <f>+SUM('2F1 Refrigeration and AC'!G153:G158)</f>
        <v>0</v>
      </c>
      <c r="I7" s="108">
        <f>+SUM('2F1 Refrigeration and AC'!H153:H158)</f>
        <v>0</v>
      </c>
      <c r="J7" s="108">
        <f>+SUM('2F1 Refrigeration and AC'!I153:I158)</f>
        <v>0</v>
      </c>
      <c r="K7" s="108">
        <f>+SUM('2F1 Refrigeration and AC'!J153:J158)</f>
        <v>0</v>
      </c>
      <c r="L7" s="108">
        <f>+SUM('2F1 Refrigeration and AC'!K153:K158)</f>
        <v>0</v>
      </c>
      <c r="M7" s="108">
        <f>+SUM('2F1 Refrigeration and AC'!L153:L158)</f>
        <v>0</v>
      </c>
      <c r="N7" s="108">
        <f>+SUM('2F1 Refrigeration and AC'!M153:M158)</f>
        <v>0</v>
      </c>
      <c r="O7" s="108">
        <f>+SUM('2F1 Refrigeration and AC'!N153:N158)</f>
        <v>0</v>
      </c>
      <c r="P7" s="108">
        <f>+SUM('2F1 Refrigeration and AC'!O153:O158)</f>
        <v>0</v>
      </c>
      <c r="Q7" s="108">
        <f>+SUM('2F1 Refrigeration and AC'!P153:P158)</f>
        <v>1506.585872572</v>
      </c>
      <c r="R7" s="108">
        <f>+SUM('2F1 Refrigeration and AC'!Q153:Q158)</f>
        <v>1575.5015913519997</v>
      </c>
      <c r="S7" s="108">
        <f>+SUM('2F1 Refrigeration and AC'!R153:R158)</f>
        <v>1681.0730424159999</v>
      </c>
      <c r="T7" s="108">
        <f>+SUM('2F1 Refrigeration and AC'!S153:S158)</f>
        <v>1755.7898487800001</v>
      </c>
      <c r="U7" s="108">
        <f>+SUM('2F1 Refrigeration and AC'!T153:T158)</f>
        <v>1860.5995275400001</v>
      </c>
      <c r="V7" s="108">
        <f>+SUM('2F1 Refrigeration and AC'!U153:U158)</f>
        <v>1950.7436562539999</v>
      </c>
      <c r="W7" s="108">
        <f>+SUM('2F1 Refrigeration and AC'!V153:V158)</f>
        <v>2043.7447177468</v>
      </c>
      <c r="Z7" s="23">
        <f t="shared" si="2"/>
        <v>183.14519020679995</v>
      </c>
      <c r="AA7" s="23">
        <f t="shared" si="3"/>
        <v>9.8433428309500956E-2</v>
      </c>
    </row>
    <row r="8" spans="1:27" s="118" customFormat="1" x14ac:dyDescent="0.25">
      <c r="A8" s="118" t="s">
        <v>742</v>
      </c>
      <c r="B8" s="118" t="s">
        <v>813</v>
      </c>
      <c r="C8" s="118" t="s">
        <v>814</v>
      </c>
      <c r="D8" s="118" t="s">
        <v>503</v>
      </c>
      <c r="E8" s="118" t="s">
        <v>745</v>
      </c>
      <c r="F8" s="121">
        <f>+'2F2 Foam blowing agents'!E52</f>
        <v>0</v>
      </c>
      <c r="G8" s="121">
        <f>+'2F2 Foam blowing agents'!F52</f>
        <v>0</v>
      </c>
      <c r="H8" s="121">
        <f>+'2F2 Foam blowing agents'!G52</f>
        <v>0</v>
      </c>
      <c r="I8" s="121">
        <f>+'2F2 Foam blowing agents'!H52</f>
        <v>0</v>
      </c>
      <c r="J8" s="121">
        <f>+'2F2 Foam blowing agents'!I52</f>
        <v>0</v>
      </c>
      <c r="K8" s="121">
        <f>+'2F2 Foam blowing agents'!J52</f>
        <v>0</v>
      </c>
      <c r="L8" s="121">
        <f>+'2F2 Foam blowing agents'!K52</f>
        <v>0</v>
      </c>
      <c r="M8" s="121">
        <f>+'2F2 Foam blowing agents'!L52</f>
        <v>0</v>
      </c>
      <c r="N8" s="121">
        <f>+'2F2 Foam blowing agents'!M52</f>
        <v>0</v>
      </c>
      <c r="O8" s="121">
        <f>+'2F2 Foam blowing agents'!N52</f>
        <v>0</v>
      </c>
      <c r="P8" s="121">
        <f>+'2F2 Foam blowing agents'!O52</f>
        <v>0</v>
      </c>
      <c r="Q8" s="121">
        <f>+'2F2 Foam blowing agents'!P52</f>
        <v>3.7830966699999999</v>
      </c>
      <c r="R8" s="121">
        <f>+'2F2 Foam blowing agents'!Q52</f>
        <v>3.4528660840000001</v>
      </c>
      <c r="S8" s="121">
        <f>+'2F2 Foam blowing agents'!R52</f>
        <v>2.0036058250000002</v>
      </c>
      <c r="T8" s="121">
        <f>+'2F2 Foam blowing agents'!S52</f>
        <v>1.7355986710000002</v>
      </c>
      <c r="U8" s="121">
        <f>+'2F2 Foam blowing agents'!T52</f>
        <v>2.1042043709999998</v>
      </c>
      <c r="V8" s="275">
        <f>+'2F2 Foam blowing agents'!U52</f>
        <v>2.1042043709999998</v>
      </c>
      <c r="W8" s="275">
        <f>+'2F2 Foam blowing agents'!V52</f>
        <v>2.1042043709999998</v>
      </c>
      <c r="Z8" s="23">
        <f t="shared" si="2"/>
        <v>0</v>
      </c>
      <c r="AA8" s="23">
        <f t="shared" si="3"/>
        <v>0</v>
      </c>
    </row>
    <row r="9" spans="1:27" s="118" customFormat="1" x14ac:dyDescent="0.25">
      <c r="A9" s="118" t="s">
        <v>742</v>
      </c>
      <c r="B9" s="118" t="s">
        <v>815</v>
      </c>
      <c r="C9" s="118" t="s">
        <v>816</v>
      </c>
      <c r="D9" s="118" t="s">
        <v>503</v>
      </c>
      <c r="E9" s="118" t="s">
        <v>745</v>
      </c>
      <c r="F9" s="121">
        <f>+'2F3 Fire protection'!E41</f>
        <v>0</v>
      </c>
      <c r="G9" s="121">
        <f>+'2F3 Fire protection'!F41</f>
        <v>0</v>
      </c>
      <c r="H9" s="121">
        <f>+'2F3 Fire protection'!G41</f>
        <v>0</v>
      </c>
      <c r="I9" s="121">
        <f>+'2F3 Fire protection'!H41</f>
        <v>0</v>
      </c>
      <c r="J9" s="121">
        <f>+'2F3 Fire protection'!I41</f>
        <v>0</v>
      </c>
      <c r="K9" s="121">
        <f>+'2F3 Fire protection'!J41</f>
        <v>0</v>
      </c>
      <c r="L9" s="121">
        <f>+'2F3 Fire protection'!K41</f>
        <v>0</v>
      </c>
      <c r="M9" s="121">
        <f>+'2F3 Fire protection'!L41</f>
        <v>0</v>
      </c>
      <c r="N9" s="121">
        <f>+'2F3 Fire protection'!M41</f>
        <v>0</v>
      </c>
      <c r="O9" s="121">
        <f>+'2F3 Fire protection'!N41</f>
        <v>0</v>
      </c>
      <c r="P9" s="121">
        <f>+'2F3 Fire protection'!O41</f>
        <v>0</v>
      </c>
      <c r="Q9" s="121">
        <f>+'2F3 Fire protection'!P41</f>
        <v>22.980200300000003</v>
      </c>
      <c r="R9" s="121">
        <f>+'2F3 Fire protection'!Q41</f>
        <v>25.331806229999998</v>
      </c>
      <c r="S9" s="121">
        <f>+'2F3 Fire protection'!R41</f>
        <v>30.53210928</v>
      </c>
      <c r="T9" s="121">
        <f>+'2F3 Fire protection'!S41</f>
        <v>35.923529300000006</v>
      </c>
      <c r="U9" s="121">
        <f>+'2F3 Fire protection'!T41</f>
        <v>42.095061219999998</v>
      </c>
      <c r="V9" s="121">
        <f>+'2F3 Fire protection'!U41</f>
        <v>46.142869999999995</v>
      </c>
      <c r="W9" s="121">
        <f>+'2F3 Fire protection'!V41</f>
        <v>51.086919999999992</v>
      </c>
      <c r="Z9" s="23">
        <f t="shared" si="2"/>
        <v>8.9918587799999941</v>
      </c>
      <c r="AA9" s="23">
        <f t="shared" si="3"/>
        <v>0.21360840249183025</v>
      </c>
    </row>
    <row r="10" spans="1:27" s="118" customFormat="1" x14ac:dyDescent="0.25">
      <c r="A10" s="118" t="s">
        <v>742</v>
      </c>
      <c r="B10" s="118" t="s">
        <v>817</v>
      </c>
      <c r="C10" s="118" t="s">
        <v>565</v>
      </c>
      <c r="D10" s="118" t="s">
        <v>503</v>
      </c>
      <c r="E10" s="118" t="s">
        <v>745</v>
      </c>
      <c r="F10" s="121">
        <f>+'2F4 Aerosols'!E41</f>
        <v>0</v>
      </c>
      <c r="G10" s="121">
        <f>+'2F4 Aerosols'!F41</f>
        <v>0</v>
      </c>
      <c r="H10" s="121">
        <f>+'2F4 Aerosols'!G41</f>
        <v>0</v>
      </c>
      <c r="I10" s="121">
        <f>+'2F4 Aerosols'!H41</f>
        <v>0</v>
      </c>
      <c r="J10" s="121">
        <f>+'2F4 Aerosols'!I41</f>
        <v>0</v>
      </c>
      <c r="K10" s="121">
        <f>+'2F4 Aerosols'!J41</f>
        <v>0</v>
      </c>
      <c r="L10" s="121">
        <f>+'2F4 Aerosols'!K41</f>
        <v>0</v>
      </c>
      <c r="M10" s="121">
        <f>+'2F4 Aerosols'!L41</f>
        <v>0</v>
      </c>
      <c r="N10" s="121">
        <f>+'2F4 Aerosols'!M41</f>
        <v>0</v>
      </c>
      <c r="O10" s="121">
        <f>+'2F4 Aerosols'!N41</f>
        <v>0</v>
      </c>
      <c r="P10" s="121">
        <f>+'2F4 Aerosols'!O41</f>
        <v>0</v>
      </c>
      <c r="Q10" s="121">
        <f>+'2F4 Aerosols'!P41</f>
        <v>15.1328671</v>
      </c>
      <c r="R10" s="121">
        <f>+'2F4 Aerosols'!Q41</f>
        <v>16.021940999999998</v>
      </c>
      <c r="S10" s="121">
        <f>+'2F4 Aerosols'!R41</f>
        <v>17.601723100000001</v>
      </c>
      <c r="T10" s="121">
        <f>+'2F4 Aerosols'!S41</f>
        <v>16.615751399999997</v>
      </c>
      <c r="U10" s="121">
        <f>+'2F4 Aerosols'!T41</f>
        <v>18.202122020000004</v>
      </c>
      <c r="V10" s="275">
        <f>+'2F4 Aerosols'!U41</f>
        <v>18.202122020000004</v>
      </c>
      <c r="W10" s="275">
        <f>+'2F4 Aerosols'!V41</f>
        <v>18.202122020000004</v>
      </c>
      <c r="Z10" s="23">
        <f t="shared" si="2"/>
        <v>0</v>
      </c>
      <c r="AA10" s="23">
        <f t="shared" si="3"/>
        <v>0</v>
      </c>
    </row>
    <row r="11" spans="1:27" s="118" customFormat="1" x14ac:dyDescent="0.25">
      <c r="A11" s="118" t="s">
        <v>742</v>
      </c>
      <c r="B11" s="118" t="s">
        <v>818</v>
      </c>
      <c r="C11" s="118" t="s">
        <v>566</v>
      </c>
      <c r="D11" s="118" t="s">
        <v>503</v>
      </c>
      <c r="E11" s="118" t="s">
        <v>745</v>
      </c>
      <c r="F11" s="121"/>
      <c r="G11" s="121"/>
      <c r="H11" s="121"/>
      <c r="I11" s="121"/>
      <c r="J11" s="121"/>
      <c r="K11" s="121"/>
      <c r="L11" s="121"/>
      <c r="M11" s="121"/>
      <c r="N11" s="121"/>
      <c r="O11" s="121"/>
      <c r="P11" s="121"/>
      <c r="Q11" s="121"/>
      <c r="R11" s="121"/>
      <c r="S11" s="121"/>
      <c r="T11" s="121"/>
      <c r="U11" s="121"/>
      <c r="V11" s="121"/>
      <c r="W11" s="121"/>
    </row>
    <row r="12" spans="1:27" s="118" customFormat="1" x14ac:dyDescent="0.25">
      <c r="A12" s="118" t="s">
        <v>742</v>
      </c>
      <c r="B12" s="118" t="s">
        <v>819</v>
      </c>
      <c r="C12" s="118" t="s">
        <v>820</v>
      </c>
      <c r="D12" s="118" t="s">
        <v>503</v>
      </c>
      <c r="E12" s="118" t="s">
        <v>745</v>
      </c>
      <c r="F12" s="121"/>
      <c r="G12" s="121"/>
      <c r="H12" s="121"/>
      <c r="I12" s="121"/>
      <c r="J12" s="121"/>
      <c r="K12" s="121"/>
      <c r="L12" s="121"/>
      <c r="M12" s="121"/>
      <c r="N12" s="121"/>
      <c r="O12" s="121"/>
      <c r="P12" s="121"/>
      <c r="Q12" s="121"/>
      <c r="R12" s="121"/>
      <c r="S12" s="121"/>
      <c r="T12" s="121"/>
      <c r="U12" s="121"/>
      <c r="V12" s="121"/>
      <c r="W12" s="121"/>
    </row>
    <row r="14" spans="1:27" s="6" customFormat="1" ht="21" x14ac:dyDescent="0.35">
      <c r="A14" s="6" t="s">
        <v>346</v>
      </c>
      <c r="C14" s="32" t="s">
        <v>843</v>
      </c>
    </row>
    <row r="16" spans="1:27" s="22" customFormat="1" x14ac:dyDescent="0.25">
      <c r="A16" s="123" t="s">
        <v>844</v>
      </c>
    </row>
    <row r="17" spans="1:24" s="7" customFormat="1" x14ac:dyDescent="0.25">
      <c r="A17" s="110" t="s">
        <v>736</v>
      </c>
      <c r="B17" s="110" t="s">
        <v>737</v>
      </c>
      <c r="C17" s="110" t="s">
        <v>738</v>
      </c>
      <c r="D17" s="110" t="s">
        <v>739</v>
      </c>
      <c r="E17" s="110" t="s">
        <v>740</v>
      </c>
      <c r="F17" s="110">
        <v>2000</v>
      </c>
      <c r="G17" s="110">
        <v>2001</v>
      </c>
      <c r="H17" s="110">
        <v>2002</v>
      </c>
      <c r="I17" s="110">
        <v>2003</v>
      </c>
      <c r="J17" s="110">
        <v>2004</v>
      </c>
      <c r="K17" s="110">
        <v>2005</v>
      </c>
      <c r="L17" s="110">
        <v>2006</v>
      </c>
      <c r="M17" s="110">
        <v>2007</v>
      </c>
      <c r="N17" s="110">
        <v>2008</v>
      </c>
      <c r="O17" s="110">
        <v>2009</v>
      </c>
      <c r="P17" s="110">
        <v>2010</v>
      </c>
      <c r="Q17" s="110">
        <v>2011</v>
      </c>
      <c r="R17" s="110">
        <v>2012</v>
      </c>
      <c r="S17" s="110">
        <v>2013</v>
      </c>
      <c r="T17" s="110">
        <v>2014</v>
      </c>
      <c r="U17" s="110">
        <v>2015</v>
      </c>
      <c r="V17" s="110"/>
      <c r="W17" s="110"/>
      <c r="X17" s="10" t="s">
        <v>741</v>
      </c>
    </row>
    <row r="18" spans="1:24" s="7" customFormat="1" x14ac:dyDescent="0.25">
      <c r="A18" s="110" t="s">
        <v>742</v>
      </c>
      <c r="B18" s="110" t="s">
        <v>809</v>
      </c>
      <c r="C18" s="110" t="s">
        <v>1078</v>
      </c>
      <c r="D18" s="110" t="s">
        <v>503</v>
      </c>
      <c r="E18" s="110" t="s">
        <v>745</v>
      </c>
      <c r="F18" s="126">
        <v>0</v>
      </c>
      <c r="G18" s="126">
        <v>0</v>
      </c>
      <c r="H18" s="126">
        <v>0</v>
      </c>
      <c r="I18" s="126">
        <v>0</v>
      </c>
      <c r="J18" s="126">
        <v>0</v>
      </c>
      <c r="K18" s="29">
        <v>841.75</v>
      </c>
      <c r="L18" s="29">
        <v>1045.3600000000001</v>
      </c>
      <c r="M18" s="29">
        <v>1063.4000000000001</v>
      </c>
      <c r="N18" s="29">
        <v>1025.95</v>
      </c>
      <c r="O18" s="29">
        <v>992.04</v>
      </c>
      <c r="P18" s="29">
        <v>2065.8000000000002</v>
      </c>
      <c r="Q18" s="29">
        <v>2274.3970304019999</v>
      </c>
      <c r="R18" s="29">
        <v>2527.5876217245</v>
      </c>
      <c r="S18" s="29">
        <v>2852.5371444459997</v>
      </c>
      <c r="T18" s="29">
        <v>3065.5941807110003</v>
      </c>
      <c r="U18" s="29">
        <v>3482.1249274289999</v>
      </c>
      <c r="V18" s="29"/>
      <c r="W18" s="29"/>
      <c r="X18" s="118"/>
    </row>
    <row r="19" spans="1:24" x14ac:dyDescent="0.25">
      <c r="A19" s="11" t="s">
        <v>742</v>
      </c>
      <c r="B19" s="11" t="s">
        <v>811</v>
      </c>
      <c r="C19" s="11" t="s">
        <v>812</v>
      </c>
      <c r="D19" s="11" t="s">
        <v>503</v>
      </c>
      <c r="E19" s="11" t="s">
        <v>745</v>
      </c>
      <c r="F19" s="29">
        <v>0</v>
      </c>
      <c r="G19" s="29">
        <v>0</v>
      </c>
      <c r="H19" s="29">
        <v>0</v>
      </c>
      <c r="I19" s="29">
        <v>0</v>
      </c>
      <c r="J19" s="29">
        <v>0</v>
      </c>
      <c r="K19" s="29">
        <v>841.75</v>
      </c>
      <c r="L19" s="29">
        <v>1045.3600000000001</v>
      </c>
      <c r="M19" s="29">
        <v>1063.4000000000001</v>
      </c>
      <c r="N19" s="29">
        <v>1025.95</v>
      </c>
      <c r="O19" s="29">
        <v>992.04</v>
      </c>
      <c r="P19" s="29">
        <v>2065.8000000000002</v>
      </c>
      <c r="Q19" s="29">
        <v>2232.500866332</v>
      </c>
      <c r="R19" s="29">
        <v>2482.7810084104999</v>
      </c>
      <c r="S19" s="29">
        <v>2802.3997062409999</v>
      </c>
      <c r="T19" s="29">
        <v>3011.31930134</v>
      </c>
      <c r="U19" s="29">
        <v>3419.7235398180001</v>
      </c>
      <c r="V19" s="29"/>
      <c r="W19" s="29"/>
      <c r="X19" s="118"/>
    </row>
    <row r="20" spans="1:24" s="104" customFormat="1" x14ac:dyDescent="0.25">
      <c r="A20" s="111" t="s">
        <v>742</v>
      </c>
      <c r="B20" s="111" t="s">
        <v>1079</v>
      </c>
      <c r="C20" s="111" t="s">
        <v>1080</v>
      </c>
      <c r="D20" s="111" t="s">
        <v>503</v>
      </c>
      <c r="E20" s="111" t="s">
        <v>745</v>
      </c>
      <c r="F20" s="130">
        <v>0</v>
      </c>
      <c r="G20" s="130">
        <v>0</v>
      </c>
      <c r="H20" s="130">
        <v>0</v>
      </c>
      <c r="I20" s="130">
        <v>0</v>
      </c>
      <c r="J20" s="130">
        <v>0</v>
      </c>
      <c r="K20" s="130">
        <v>841.75</v>
      </c>
      <c r="L20" s="130">
        <v>1045.3600000000001</v>
      </c>
      <c r="M20" s="130">
        <v>1063.4000000000001</v>
      </c>
      <c r="N20" s="130">
        <v>1025.95</v>
      </c>
      <c r="O20" s="130">
        <v>992.04</v>
      </c>
      <c r="P20" s="130">
        <v>2065.8000000000002</v>
      </c>
      <c r="Q20" s="130">
        <v>725.91499376000002</v>
      </c>
      <c r="R20" s="130">
        <v>907.27941705850014</v>
      </c>
      <c r="S20" s="130">
        <v>1121.3266638249997</v>
      </c>
      <c r="T20" s="130">
        <v>1255.52945256</v>
      </c>
      <c r="U20" s="130">
        <v>1559.124012278</v>
      </c>
      <c r="V20" s="130"/>
      <c r="W20" s="130"/>
    </row>
    <row r="21" spans="1:24" s="104" customFormat="1" x14ac:dyDescent="0.25">
      <c r="A21" s="111" t="s">
        <v>742</v>
      </c>
      <c r="B21" s="111" t="s">
        <v>1081</v>
      </c>
      <c r="C21" s="111" t="s">
        <v>1082</v>
      </c>
      <c r="D21" s="111" t="s">
        <v>503</v>
      </c>
      <c r="E21" s="111" t="s">
        <v>745</v>
      </c>
      <c r="F21" s="130">
        <v>0</v>
      </c>
      <c r="G21" s="130">
        <v>0</v>
      </c>
      <c r="H21" s="130">
        <v>0</v>
      </c>
      <c r="I21" s="130">
        <v>0</v>
      </c>
      <c r="J21" s="130">
        <v>0</v>
      </c>
      <c r="K21" s="130">
        <v>0</v>
      </c>
      <c r="L21" s="130">
        <v>0</v>
      </c>
      <c r="M21" s="130">
        <v>0</v>
      </c>
      <c r="N21" s="130">
        <v>0</v>
      </c>
      <c r="O21" s="130">
        <v>0</v>
      </c>
      <c r="P21" s="130">
        <v>0</v>
      </c>
      <c r="Q21" s="130">
        <v>1506.585872572</v>
      </c>
      <c r="R21" s="130">
        <v>1575.5015913519997</v>
      </c>
      <c r="S21" s="130">
        <v>1681.0730424159999</v>
      </c>
      <c r="T21" s="130">
        <v>1755.7898487800001</v>
      </c>
      <c r="U21" s="130">
        <v>1860.5995275400001</v>
      </c>
      <c r="V21" s="130"/>
      <c r="W21" s="130"/>
    </row>
    <row r="22" spans="1:24" x14ac:dyDescent="0.25">
      <c r="A22" s="11" t="s">
        <v>742</v>
      </c>
      <c r="B22" s="11" t="s">
        <v>813</v>
      </c>
      <c r="C22" s="11" t="s">
        <v>814</v>
      </c>
      <c r="D22" s="11" t="s">
        <v>503</v>
      </c>
      <c r="E22" s="11" t="s">
        <v>745</v>
      </c>
      <c r="F22" s="29">
        <v>0</v>
      </c>
      <c r="G22" s="29">
        <v>0</v>
      </c>
      <c r="H22" s="29">
        <v>0</v>
      </c>
      <c r="I22" s="29">
        <v>0</v>
      </c>
      <c r="J22" s="29">
        <v>0</v>
      </c>
      <c r="K22" s="29">
        <v>0</v>
      </c>
      <c r="L22" s="29">
        <v>0</v>
      </c>
      <c r="M22" s="29">
        <v>0</v>
      </c>
      <c r="N22" s="29">
        <v>0</v>
      </c>
      <c r="O22" s="29">
        <v>0</v>
      </c>
      <c r="P22" s="29">
        <v>0</v>
      </c>
      <c r="Q22" s="29">
        <v>3.7830966699999999</v>
      </c>
      <c r="R22" s="29">
        <v>3.4528660840000001</v>
      </c>
      <c r="S22" s="29">
        <v>2.0036058250000002</v>
      </c>
      <c r="T22" s="29">
        <v>1.7355986710000002</v>
      </c>
      <c r="U22" s="29">
        <v>2.1042043709999998</v>
      </c>
      <c r="V22" s="29"/>
      <c r="W22" s="29"/>
      <c r="X22" s="118"/>
    </row>
    <row r="23" spans="1:24" x14ac:dyDescent="0.25">
      <c r="A23" s="11" t="s">
        <v>742</v>
      </c>
      <c r="B23" s="11" t="s">
        <v>815</v>
      </c>
      <c r="C23" s="11" t="s">
        <v>816</v>
      </c>
      <c r="D23" s="11" t="s">
        <v>503</v>
      </c>
      <c r="E23" s="11" t="s">
        <v>745</v>
      </c>
      <c r="F23" s="29">
        <v>0</v>
      </c>
      <c r="G23" s="29">
        <v>0</v>
      </c>
      <c r="H23" s="29">
        <v>0</v>
      </c>
      <c r="I23" s="29">
        <v>0</v>
      </c>
      <c r="J23" s="29">
        <v>0</v>
      </c>
      <c r="K23" s="29">
        <v>0</v>
      </c>
      <c r="L23" s="29">
        <v>0</v>
      </c>
      <c r="M23" s="29">
        <v>0</v>
      </c>
      <c r="N23" s="29">
        <v>0</v>
      </c>
      <c r="O23" s="29">
        <v>0</v>
      </c>
      <c r="P23" s="29">
        <v>0</v>
      </c>
      <c r="Q23" s="29">
        <v>22.980200300000003</v>
      </c>
      <c r="R23" s="29">
        <v>25.331806229999998</v>
      </c>
      <c r="S23" s="29">
        <v>30.53210928</v>
      </c>
      <c r="T23" s="29">
        <v>35.923529300000006</v>
      </c>
      <c r="U23" s="29">
        <v>42.095061219999998</v>
      </c>
      <c r="V23" s="29"/>
      <c r="W23" s="29"/>
      <c r="X23" s="118"/>
    </row>
    <row r="24" spans="1:24" x14ac:dyDescent="0.25">
      <c r="A24" s="11" t="s">
        <v>742</v>
      </c>
      <c r="B24" s="11" t="s">
        <v>817</v>
      </c>
      <c r="C24" s="11" t="s">
        <v>565</v>
      </c>
      <c r="D24" s="11" t="s">
        <v>503</v>
      </c>
      <c r="E24" s="11" t="s">
        <v>745</v>
      </c>
      <c r="F24" s="29">
        <v>0</v>
      </c>
      <c r="G24" s="29">
        <v>0</v>
      </c>
      <c r="H24" s="29">
        <v>0</v>
      </c>
      <c r="I24" s="29">
        <v>0</v>
      </c>
      <c r="J24" s="29">
        <v>0</v>
      </c>
      <c r="K24" s="29">
        <v>0</v>
      </c>
      <c r="L24" s="29">
        <v>0</v>
      </c>
      <c r="M24" s="29">
        <v>0</v>
      </c>
      <c r="N24" s="29">
        <v>0</v>
      </c>
      <c r="O24" s="29">
        <v>0</v>
      </c>
      <c r="P24" s="29">
        <v>0</v>
      </c>
      <c r="Q24" s="29">
        <v>15.1328671</v>
      </c>
      <c r="R24" s="29">
        <v>16.021940999999998</v>
      </c>
      <c r="S24" s="29">
        <v>17.601723100000001</v>
      </c>
      <c r="T24" s="29">
        <v>16.615751399999997</v>
      </c>
      <c r="U24" s="29">
        <v>18.202122020000004</v>
      </c>
      <c r="V24" s="29"/>
      <c r="W24" s="29"/>
      <c r="X24" s="118"/>
    </row>
    <row r="25" spans="1:24" x14ac:dyDescent="0.25">
      <c r="A25" s="11" t="s">
        <v>742</v>
      </c>
      <c r="B25" s="11" t="s">
        <v>818</v>
      </c>
      <c r="C25" s="11" t="s">
        <v>566</v>
      </c>
      <c r="D25" s="11" t="s">
        <v>503</v>
      </c>
      <c r="E25" s="11" t="s">
        <v>745</v>
      </c>
      <c r="F25" s="29"/>
      <c r="G25" s="29"/>
      <c r="H25" s="29"/>
      <c r="I25" s="29"/>
      <c r="J25" s="29"/>
      <c r="K25" s="29"/>
      <c r="L25" s="29"/>
      <c r="M25" s="29"/>
      <c r="N25" s="29"/>
      <c r="O25" s="29"/>
      <c r="P25" s="29"/>
      <c r="Q25" s="29"/>
      <c r="R25" s="29"/>
      <c r="S25" s="29"/>
      <c r="T25" s="29"/>
      <c r="U25" s="29"/>
      <c r="V25" s="29"/>
      <c r="W25" s="29"/>
      <c r="X25" s="118"/>
    </row>
    <row r="26" spans="1:24" x14ac:dyDescent="0.25">
      <c r="A26" s="11" t="s">
        <v>742</v>
      </c>
      <c r="B26" s="11" t="s">
        <v>819</v>
      </c>
      <c r="C26" s="11" t="s">
        <v>820</v>
      </c>
      <c r="D26" s="11" t="s">
        <v>503</v>
      </c>
      <c r="E26" s="11" t="s">
        <v>745</v>
      </c>
      <c r="F26" s="29"/>
      <c r="G26" s="29"/>
      <c r="H26" s="29"/>
      <c r="I26" s="29"/>
      <c r="J26" s="29"/>
      <c r="K26" s="29"/>
      <c r="L26" s="29"/>
      <c r="M26" s="29"/>
      <c r="N26" s="29"/>
      <c r="O26" s="29"/>
      <c r="P26" s="29"/>
      <c r="Q26" s="29"/>
      <c r="R26" s="29"/>
      <c r="S26" s="29"/>
      <c r="T26" s="29"/>
      <c r="U26" s="29"/>
      <c r="V26" s="29"/>
      <c r="W26" s="29"/>
      <c r="X26" s="118"/>
    </row>
    <row r="27" spans="1:24" s="23" customFormat="1" x14ac:dyDescent="0.25"/>
    <row r="28" spans="1:24" s="22" customFormat="1" x14ac:dyDescent="0.25">
      <c r="A28" s="123" t="s">
        <v>854</v>
      </c>
      <c r="D28" s="8" t="s">
        <v>852</v>
      </c>
    </row>
    <row r="29" spans="1:24" s="7" customFormat="1" x14ac:dyDescent="0.25">
      <c r="A29" s="110" t="s">
        <v>736</v>
      </c>
      <c r="B29" s="110" t="s">
        <v>737</v>
      </c>
      <c r="C29" s="110" t="s">
        <v>738</v>
      </c>
      <c r="D29" s="110" t="s">
        <v>739</v>
      </c>
      <c r="E29" s="110" t="s">
        <v>740</v>
      </c>
      <c r="F29" s="110">
        <v>2000</v>
      </c>
      <c r="G29" s="110">
        <v>2001</v>
      </c>
      <c r="H29" s="110">
        <v>2002</v>
      </c>
      <c r="I29" s="110">
        <v>2003</v>
      </c>
      <c r="J29" s="110">
        <v>2004</v>
      </c>
      <c r="K29" s="110">
        <v>2005</v>
      </c>
      <c r="L29" s="110">
        <v>2006</v>
      </c>
      <c r="M29" s="110">
        <v>2007</v>
      </c>
      <c r="N29" s="110">
        <v>2008</v>
      </c>
      <c r="O29" s="110">
        <v>2009</v>
      </c>
      <c r="P29" s="110">
        <v>2010</v>
      </c>
      <c r="Q29" s="110">
        <v>2011</v>
      </c>
      <c r="R29" s="110">
        <v>2012</v>
      </c>
      <c r="S29" s="110">
        <v>2013</v>
      </c>
      <c r="T29" s="110">
        <v>2014</v>
      </c>
      <c r="U29" s="110">
        <v>2015</v>
      </c>
      <c r="V29" s="110"/>
      <c r="W29" s="110"/>
    </row>
    <row r="30" spans="1:24" s="7" customFormat="1" x14ac:dyDescent="0.25">
      <c r="A30" s="110" t="s">
        <v>742</v>
      </c>
      <c r="B30" s="110" t="s">
        <v>809</v>
      </c>
      <c r="C30" s="110" t="s">
        <v>1078</v>
      </c>
      <c r="D30" s="110" t="s">
        <v>503</v>
      </c>
      <c r="E30" s="110" t="s">
        <v>745</v>
      </c>
      <c r="F30" s="66" t="str">
        <f t="shared" ref="F30:T30" si="4">IFERROR(((F4/F18)-1),"CHECK")</f>
        <v>CHECK</v>
      </c>
      <c r="G30" s="66" t="str">
        <f t="shared" si="4"/>
        <v>CHECK</v>
      </c>
      <c r="H30" s="66" t="str">
        <f t="shared" si="4"/>
        <v>CHECK</v>
      </c>
      <c r="I30" s="66" t="str">
        <f t="shared" si="4"/>
        <v>CHECK</v>
      </c>
      <c r="J30" s="66" t="str">
        <f t="shared" si="4"/>
        <v>CHECK</v>
      </c>
      <c r="K30" s="66">
        <f t="shared" si="4"/>
        <v>0</v>
      </c>
      <c r="L30" s="66">
        <f t="shared" si="4"/>
        <v>0</v>
      </c>
      <c r="M30" s="66">
        <f t="shared" si="4"/>
        <v>0</v>
      </c>
      <c r="N30" s="66">
        <f t="shared" si="4"/>
        <v>0</v>
      </c>
      <c r="O30" s="66">
        <f t="shared" si="4"/>
        <v>0</v>
      </c>
      <c r="P30" s="66">
        <f t="shared" si="4"/>
        <v>0</v>
      </c>
      <c r="Q30" s="66">
        <f t="shared" si="4"/>
        <v>0</v>
      </c>
      <c r="R30" s="66">
        <f t="shared" si="4"/>
        <v>0</v>
      </c>
      <c r="S30" s="66">
        <f t="shared" si="4"/>
        <v>0</v>
      </c>
      <c r="T30" s="66">
        <f t="shared" si="4"/>
        <v>0</v>
      </c>
      <c r="U30" s="66">
        <f t="shared" ref="U30:U38" si="5">IFERROR(((U4/U18)-1),"CHECK")</f>
        <v>0</v>
      </c>
      <c r="V30" s="66"/>
      <c r="W30" s="66"/>
    </row>
    <row r="31" spans="1:24" x14ac:dyDescent="0.25">
      <c r="A31" s="11" t="s">
        <v>742</v>
      </c>
      <c r="B31" s="11" t="s">
        <v>811</v>
      </c>
      <c r="C31" s="11" t="s">
        <v>812</v>
      </c>
      <c r="D31" s="11" t="s">
        <v>503</v>
      </c>
      <c r="E31" s="11" t="s">
        <v>745</v>
      </c>
      <c r="F31" s="66" t="str">
        <f t="shared" ref="F31:T31" si="6">IFERROR(((F5/F19)-1),"CHECK")</f>
        <v>CHECK</v>
      </c>
      <c r="G31" s="66" t="str">
        <f t="shared" si="6"/>
        <v>CHECK</v>
      </c>
      <c r="H31" s="66" t="str">
        <f t="shared" si="6"/>
        <v>CHECK</v>
      </c>
      <c r="I31" s="66" t="str">
        <f t="shared" si="6"/>
        <v>CHECK</v>
      </c>
      <c r="J31" s="66" t="str">
        <f t="shared" si="6"/>
        <v>CHECK</v>
      </c>
      <c r="K31" s="66">
        <f t="shared" si="6"/>
        <v>0</v>
      </c>
      <c r="L31" s="66">
        <f t="shared" si="6"/>
        <v>0</v>
      </c>
      <c r="M31" s="66">
        <f t="shared" si="6"/>
        <v>0</v>
      </c>
      <c r="N31" s="66">
        <f t="shared" si="6"/>
        <v>0</v>
      </c>
      <c r="O31" s="66">
        <f t="shared" si="6"/>
        <v>0</v>
      </c>
      <c r="P31" s="66">
        <f t="shared" si="6"/>
        <v>0</v>
      </c>
      <c r="Q31" s="66">
        <f t="shared" si="6"/>
        <v>0</v>
      </c>
      <c r="R31" s="66">
        <f t="shared" si="6"/>
        <v>0</v>
      </c>
      <c r="S31" s="66">
        <f t="shared" si="6"/>
        <v>0</v>
      </c>
      <c r="T31" s="66">
        <f t="shared" si="6"/>
        <v>0</v>
      </c>
      <c r="U31" s="66">
        <f t="shared" si="5"/>
        <v>0</v>
      </c>
      <c r="V31" s="66"/>
      <c r="W31" s="66"/>
    </row>
    <row r="32" spans="1:24" x14ac:dyDescent="0.25">
      <c r="A32" s="111" t="s">
        <v>742</v>
      </c>
      <c r="B32" s="111" t="s">
        <v>1079</v>
      </c>
      <c r="C32" s="111" t="s">
        <v>1080</v>
      </c>
      <c r="D32" s="111" t="s">
        <v>503</v>
      </c>
      <c r="E32" s="111" t="s">
        <v>745</v>
      </c>
      <c r="F32" s="66" t="str">
        <f t="shared" ref="F32:T32" si="7">IFERROR(((F6/F20)-1),"CHECK")</f>
        <v>CHECK</v>
      </c>
      <c r="G32" s="66" t="str">
        <f t="shared" si="7"/>
        <v>CHECK</v>
      </c>
      <c r="H32" s="66" t="str">
        <f t="shared" si="7"/>
        <v>CHECK</v>
      </c>
      <c r="I32" s="66" t="str">
        <f t="shared" si="7"/>
        <v>CHECK</v>
      </c>
      <c r="J32" s="66" t="str">
        <f t="shared" si="7"/>
        <v>CHECK</v>
      </c>
      <c r="K32" s="66">
        <f t="shared" si="7"/>
        <v>0</v>
      </c>
      <c r="L32" s="66">
        <f t="shared" si="7"/>
        <v>0</v>
      </c>
      <c r="M32" s="66">
        <f t="shared" si="7"/>
        <v>0</v>
      </c>
      <c r="N32" s="66">
        <f t="shared" si="7"/>
        <v>0</v>
      </c>
      <c r="O32" s="66">
        <f t="shared" si="7"/>
        <v>0</v>
      </c>
      <c r="P32" s="66">
        <f t="shared" si="7"/>
        <v>0</v>
      </c>
      <c r="Q32" s="66">
        <f t="shared" si="7"/>
        <v>0</v>
      </c>
      <c r="R32" s="66">
        <f t="shared" si="7"/>
        <v>0</v>
      </c>
      <c r="S32" s="66">
        <f t="shared" si="7"/>
        <v>0</v>
      </c>
      <c r="T32" s="66">
        <f t="shared" si="7"/>
        <v>0</v>
      </c>
      <c r="U32" s="66">
        <f t="shared" si="5"/>
        <v>0</v>
      </c>
      <c r="V32" s="66"/>
      <c r="W32" s="66"/>
    </row>
    <row r="33" spans="1:23" x14ac:dyDescent="0.25">
      <c r="A33" s="111" t="s">
        <v>742</v>
      </c>
      <c r="B33" s="111" t="s">
        <v>1081</v>
      </c>
      <c r="C33" s="111" t="s">
        <v>1082</v>
      </c>
      <c r="D33" s="111" t="s">
        <v>503</v>
      </c>
      <c r="E33" s="111" t="s">
        <v>745</v>
      </c>
      <c r="F33" s="66" t="str">
        <f t="shared" ref="F33:T33" si="8">IFERROR(((F7/F21)-1),"CHECK")</f>
        <v>CHECK</v>
      </c>
      <c r="G33" s="66" t="str">
        <f t="shared" si="8"/>
        <v>CHECK</v>
      </c>
      <c r="H33" s="66" t="str">
        <f t="shared" si="8"/>
        <v>CHECK</v>
      </c>
      <c r="I33" s="66" t="str">
        <f t="shared" si="8"/>
        <v>CHECK</v>
      </c>
      <c r="J33" s="66" t="str">
        <f t="shared" si="8"/>
        <v>CHECK</v>
      </c>
      <c r="K33" s="66" t="str">
        <f t="shared" si="8"/>
        <v>CHECK</v>
      </c>
      <c r="L33" s="66" t="str">
        <f t="shared" si="8"/>
        <v>CHECK</v>
      </c>
      <c r="M33" s="66" t="str">
        <f t="shared" si="8"/>
        <v>CHECK</v>
      </c>
      <c r="N33" s="66" t="str">
        <f t="shared" si="8"/>
        <v>CHECK</v>
      </c>
      <c r="O33" s="66" t="str">
        <f t="shared" si="8"/>
        <v>CHECK</v>
      </c>
      <c r="P33" s="66" t="str">
        <f t="shared" si="8"/>
        <v>CHECK</v>
      </c>
      <c r="Q33" s="66">
        <f t="shared" si="8"/>
        <v>0</v>
      </c>
      <c r="R33" s="66">
        <f t="shared" si="8"/>
        <v>0</v>
      </c>
      <c r="S33" s="66">
        <f t="shared" si="8"/>
        <v>0</v>
      </c>
      <c r="T33" s="66">
        <f t="shared" si="8"/>
        <v>0</v>
      </c>
      <c r="U33" s="66">
        <f t="shared" si="5"/>
        <v>0</v>
      </c>
      <c r="V33" s="66"/>
      <c r="W33" s="66"/>
    </row>
    <row r="34" spans="1:23" x14ac:dyDescent="0.25">
      <c r="A34" s="11" t="s">
        <v>742</v>
      </c>
      <c r="B34" s="11" t="s">
        <v>813</v>
      </c>
      <c r="C34" s="11" t="s">
        <v>814</v>
      </c>
      <c r="D34" s="11" t="s">
        <v>503</v>
      </c>
      <c r="E34" s="11" t="s">
        <v>745</v>
      </c>
      <c r="F34" s="66" t="str">
        <f t="shared" ref="F34:T34" si="9">IFERROR(((F8/F22)-1),"CHECK")</f>
        <v>CHECK</v>
      </c>
      <c r="G34" s="66" t="str">
        <f t="shared" si="9"/>
        <v>CHECK</v>
      </c>
      <c r="H34" s="66" t="str">
        <f t="shared" si="9"/>
        <v>CHECK</v>
      </c>
      <c r="I34" s="66" t="str">
        <f t="shared" si="9"/>
        <v>CHECK</v>
      </c>
      <c r="J34" s="66" t="str">
        <f t="shared" si="9"/>
        <v>CHECK</v>
      </c>
      <c r="K34" s="66" t="str">
        <f t="shared" si="9"/>
        <v>CHECK</v>
      </c>
      <c r="L34" s="66" t="str">
        <f t="shared" si="9"/>
        <v>CHECK</v>
      </c>
      <c r="M34" s="66" t="str">
        <f t="shared" si="9"/>
        <v>CHECK</v>
      </c>
      <c r="N34" s="66" t="str">
        <f t="shared" si="9"/>
        <v>CHECK</v>
      </c>
      <c r="O34" s="66" t="str">
        <f t="shared" si="9"/>
        <v>CHECK</v>
      </c>
      <c r="P34" s="66" t="str">
        <f t="shared" si="9"/>
        <v>CHECK</v>
      </c>
      <c r="Q34" s="66">
        <f t="shared" si="9"/>
        <v>0</v>
      </c>
      <c r="R34" s="66">
        <f t="shared" si="9"/>
        <v>0</v>
      </c>
      <c r="S34" s="66">
        <f t="shared" si="9"/>
        <v>0</v>
      </c>
      <c r="T34" s="66">
        <f t="shared" si="9"/>
        <v>0</v>
      </c>
      <c r="U34" s="66">
        <f t="shared" si="5"/>
        <v>0</v>
      </c>
      <c r="V34" s="66"/>
      <c r="W34" s="66"/>
    </row>
    <row r="35" spans="1:23" x14ac:dyDescent="0.25">
      <c r="A35" s="11" t="s">
        <v>742</v>
      </c>
      <c r="B35" s="11" t="s">
        <v>815</v>
      </c>
      <c r="C35" s="11" t="s">
        <v>816</v>
      </c>
      <c r="D35" s="11" t="s">
        <v>503</v>
      </c>
      <c r="E35" s="11" t="s">
        <v>745</v>
      </c>
      <c r="F35" s="66" t="str">
        <f t="shared" ref="F35:T35" si="10">IFERROR(((F9/F23)-1),"CHECK")</f>
        <v>CHECK</v>
      </c>
      <c r="G35" s="66" t="str">
        <f t="shared" si="10"/>
        <v>CHECK</v>
      </c>
      <c r="H35" s="66" t="str">
        <f t="shared" si="10"/>
        <v>CHECK</v>
      </c>
      <c r="I35" s="66" t="str">
        <f t="shared" si="10"/>
        <v>CHECK</v>
      </c>
      <c r="J35" s="66" t="str">
        <f t="shared" si="10"/>
        <v>CHECK</v>
      </c>
      <c r="K35" s="66" t="str">
        <f t="shared" si="10"/>
        <v>CHECK</v>
      </c>
      <c r="L35" s="66" t="str">
        <f t="shared" si="10"/>
        <v>CHECK</v>
      </c>
      <c r="M35" s="66" t="str">
        <f t="shared" si="10"/>
        <v>CHECK</v>
      </c>
      <c r="N35" s="66" t="str">
        <f t="shared" si="10"/>
        <v>CHECK</v>
      </c>
      <c r="O35" s="66" t="str">
        <f t="shared" si="10"/>
        <v>CHECK</v>
      </c>
      <c r="P35" s="66" t="str">
        <f t="shared" si="10"/>
        <v>CHECK</v>
      </c>
      <c r="Q35" s="66">
        <f t="shared" si="10"/>
        <v>0</v>
      </c>
      <c r="R35" s="66">
        <f t="shared" si="10"/>
        <v>0</v>
      </c>
      <c r="S35" s="66">
        <f t="shared" si="10"/>
        <v>0</v>
      </c>
      <c r="T35" s="66">
        <f t="shared" si="10"/>
        <v>0</v>
      </c>
      <c r="U35" s="66">
        <f t="shared" si="5"/>
        <v>0</v>
      </c>
      <c r="V35" s="66"/>
      <c r="W35" s="66"/>
    </row>
    <row r="36" spans="1:23" x14ac:dyDescent="0.25">
      <c r="A36" s="11" t="s">
        <v>742</v>
      </c>
      <c r="B36" s="11" t="s">
        <v>817</v>
      </c>
      <c r="C36" s="11" t="s">
        <v>565</v>
      </c>
      <c r="D36" s="11" t="s">
        <v>503</v>
      </c>
      <c r="E36" s="11" t="s">
        <v>745</v>
      </c>
      <c r="F36" s="66" t="str">
        <f t="shared" ref="F36:T36" si="11">IFERROR(((F10/F24)-1),"CHECK")</f>
        <v>CHECK</v>
      </c>
      <c r="G36" s="66" t="str">
        <f t="shared" si="11"/>
        <v>CHECK</v>
      </c>
      <c r="H36" s="66" t="str">
        <f t="shared" si="11"/>
        <v>CHECK</v>
      </c>
      <c r="I36" s="66" t="str">
        <f t="shared" si="11"/>
        <v>CHECK</v>
      </c>
      <c r="J36" s="66" t="str">
        <f t="shared" si="11"/>
        <v>CHECK</v>
      </c>
      <c r="K36" s="66" t="str">
        <f t="shared" si="11"/>
        <v>CHECK</v>
      </c>
      <c r="L36" s="66" t="str">
        <f t="shared" si="11"/>
        <v>CHECK</v>
      </c>
      <c r="M36" s="66" t="str">
        <f t="shared" si="11"/>
        <v>CHECK</v>
      </c>
      <c r="N36" s="66" t="str">
        <f t="shared" si="11"/>
        <v>CHECK</v>
      </c>
      <c r="O36" s="66" t="str">
        <f t="shared" si="11"/>
        <v>CHECK</v>
      </c>
      <c r="P36" s="66" t="str">
        <f t="shared" si="11"/>
        <v>CHECK</v>
      </c>
      <c r="Q36" s="66">
        <f t="shared" si="11"/>
        <v>0</v>
      </c>
      <c r="R36" s="66">
        <f t="shared" si="11"/>
        <v>0</v>
      </c>
      <c r="S36" s="66">
        <f t="shared" si="11"/>
        <v>0</v>
      </c>
      <c r="T36" s="66">
        <f t="shared" si="11"/>
        <v>0</v>
      </c>
      <c r="U36" s="66">
        <f t="shared" si="5"/>
        <v>0</v>
      </c>
      <c r="V36" s="66"/>
      <c r="W36" s="66"/>
    </row>
    <row r="37" spans="1:23" x14ac:dyDescent="0.25">
      <c r="A37" s="11" t="s">
        <v>742</v>
      </c>
      <c r="B37" s="11" t="s">
        <v>818</v>
      </c>
      <c r="C37" s="11" t="s">
        <v>566</v>
      </c>
      <c r="D37" s="11" t="s">
        <v>503</v>
      </c>
      <c r="E37" s="11" t="s">
        <v>745</v>
      </c>
      <c r="F37" s="66" t="str">
        <f t="shared" ref="F37:T37" si="12">IFERROR(((F11/F25)-1),"CHECK")</f>
        <v>CHECK</v>
      </c>
      <c r="G37" s="66" t="str">
        <f t="shared" si="12"/>
        <v>CHECK</v>
      </c>
      <c r="H37" s="66" t="str">
        <f t="shared" si="12"/>
        <v>CHECK</v>
      </c>
      <c r="I37" s="66" t="str">
        <f t="shared" si="12"/>
        <v>CHECK</v>
      </c>
      <c r="J37" s="66" t="str">
        <f t="shared" si="12"/>
        <v>CHECK</v>
      </c>
      <c r="K37" s="66" t="str">
        <f t="shared" si="12"/>
        <v>CHECK</v>
      </c>
      <c r="L37" s="66" t="str">
        <f t="shared" si="12"/>
        <v>CHECK</v>
      </c>
      <c r="M37" s="66" t="str">
        <f t="shared" si="12"/>
        <v>CHECK</v>
      </c>
      <c r="N37" s="66" t="str">
        <f t="shared" si="12"/>
        <v>CHECK</v>
      </c>
      <c r="O37" s="66" t="str">
        <f t="shared" si="12"/>
        <v>CHECK</v>
      </c>
      <c r="P37" s="66" t="str">
        <f t="shared" si="12"/>
        <v>CHECK</v>
      </c>
      <c r="Q37" s="66" t="str">
        <f t="shared" si="12"/>
        <v>CHECK</v>
      </c>
      <c r="R37" s="66" t="str">
        <f t="shared" si="12"/>
        <v>CHECK</v>
      </c>
      <c r="S37" s="66" t="str">
        <f t="shared" si="12"/>
        <v>CHECK</v>
      </c>
      <c r="T37" s="66" t="str">
        <f t="shared" si="12"/>
        <v>CHECK</v>
      </c>
      <c r="U37" s="66" t="str">
        <f t="shared" si="5"/>
        <v>CHECK</v>
      </c>
      <c r="V37" s="66"/>
      <c r="W37" s="66"/>
    </row>
    <row r="38" spans="1:23" x14ac:dyDescent="0.25">
      <c r="A38" s="11" t="s">
        <v>742</v>
      </c>
      <c r="B38" s="11" t="s">
        <v>819</v>
      </c>
      <c r="C38" s="11" t="s">
        <v>820</v>
      </c>
      <c r="D38" s="11" t="s">
        <v>503</v>
      </c>
      <c r="E38" s="11" t="s">
        <v>745</v>
      </c>
      <c r="F38" s="66" t="str">
        <f t="shared" ref="F38:T38" si="13">IFERROR(((F12/F26)-1),"CHECK")</f>
        <v>CHECK</v>
      </c>
      <c r="G38" s="66" t="str">
        <f t="shared" si="13"/>
        <v>CHECK</v>
      </c>
      <c r="H38" s="66" t="str">
        <f t="shared" si="13"/>
        <v>CHECK</v>
      </c>
      <c r="I38" s="66" t="str">
        <f t="shared" si="13"/>
        <v>CHECK</v>
      </c>
      <c r="J38" s="66" t="str">
        <f t="shared" si="13"/>
        <v>CHECK</v>
      </c>
      <c r="K38" s="66" t="str">
        <f t="shared" si="13"/>
        <v>CHECK</v>
      </c>
      <c r="L38" s="66" t="str">
        <f t="shared" si="13"/>
        <v>CHECK</v>
      </c>
      <c r="M38" s="66" t="str">
        <f t="shared" si="13"/>
        <v>CHECK</v>
      </c>
      <c r="N38" s="66" t="str">
        <f t="shared" si="13"/>
        <v>CHECK</v>
      </c>
      <c r="O38" s="66" t="str">
        <f t="shared" si="13"/>
        <v>CHECK</v>
      </c>
      <c r="P38" s="66" t="str">
        <f t="shared" si="13"/>
        <v>CHECK</v>
      </c>
      <c r="Q38" s="66" t="str">
        <f t="shared" si="13"/>
        <v>CHECK</v>
      </c>
      <c r="R38" s="66" t="str">
        <f t="shared" si="13"/>
        <v>CHECK</v>
      </c>
      <c r="S38" s="66" t="str">
        <f t="shared" si="13"/>
        <v>CHECK</v>
      </c>
      <c r="T38" s="66" t="str">
        <f t="shared" si="13"/>
        <v>CHECK</v>
      </c>
      <c r="U38" s="66" t="str">
        <f t="shared" si="5"/>
        <v>CHECK</v>
      </c>
      <c r="V38" s="66"/>
      <c r="W38" s="66"/>
    </row>
  </sheetData>
  <conditionalFormatting sqref="F31:T31 F34:T38">
    <cfRule type="colorScale" priority="19">
      <colorScale>
        <cfvo type="min"/>
        <cfvo type="num" val="0"/>
        <cfvo type="max"/>
        <color theme="3" tint="0.59999389629810485"/>
        <color theme="0"/>
        <color rgb="FFEE9CA4"/>
      </colorScale>
    </cfRule>
  </conditionalFormatting>
  <conditionalFormatting sqref="F30:T30">
    <cfRule type="colorScale" priority="5">
      <colorScale>
        <cfvo type="min"/>
        <cfvo type="num" val="0"/>
        <cfvo type="max"/>
        <color theme="3" tint="0.59999389629810485"/>
        <color theme="0"/>
        <color rgb="FFEE9CA4"/>
      </colorScale>
    </cfRule>
  </conditionalFormatting>
  <conditionalFormatting sqref="U34:W38 U31:W31">
    <cfRule type="colorScale" priority="4">
      <colorScale>
        <cfvo type="min"/>
        <cfvo type="num" val="0"/>
        <cfvo type="max"/>
        <color theme="3" tint="0.59999389629810485"/>
        <color theme="0"/>
        <color rgb="FFEE9CA4"/>
      </colorScale>
    </cfRule>
  </conditionalFormatting>
  <conditionalFormatting sqref="U30:W30">
    <cfRule type="colorScale" priority="3">
      <colorScale>
        <cfvo type="min"/>
        <cfvo type="num" val="0"/>
        <cfvo type="max"/>
        <color theme="3" tint="0.59999389629810485"/>
        <color theme="0"/>
        <color rgb="FFEE9CA4"/>
      </colorScale>
    </cfRule>
  </conditionalFormatting>
  <conditionalFormatting sqref="F32:T33">
    <cfRule type="colorScale" priority="2">
      <colorScale>
        <cfvo type="min"/>
        <cfvo type="num" val="0"/>
        <cfvo type="max"/>
        <color theme="3" tint="0.59999389629810485"/>
        <color theme="0"/>
        <color rgb="FFEE9CA4"/>
      </colorScale>
    </cfRule>
  </conditionalFormatting>
  <conditionalFormatting sqref="U32:W33">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600-000084000000}">
          <x14:colorSeries rgb="FF376092"/>
          <x14:colorNegative rgb="FFD00000"/>
          <x14:colorAxis rgb="FF000000"/>
          <x14:colorMarkers rgb="FFD00000"/>
          <x14:colorFirst rgb="FFD00000"/>
          <x14:colorLast rgb="FFD00000"/>
          <x14:colorHigh rgb="FFD00000"/>
          <x14:colorLow rgb="FFD00000"/>
          <x14:sparklines>
            <x14:sparkline>
              <xm:f>'2F Summary'!F18:W18</xm:f>
              <xm:sqref>X18</xm:sqref>
            </x14:sparkline>
            <x14:sparkline>
              <xm:f>'2F Summary'!F19:W19</xm:f>
              <xm:sqref>X19</xm:sqref>
            </x14:sparkline>
            <x14:sparkline>
              <xm:f>'2F Summary'!F20:W20</xm:f>
              <xm:sqref>X20</xm:sqref>
            </x14:sparkline>
            <x14:sparkline>
              <xm:f>'2F Summary'!F21:W21</xm:f>
              <xm:sqref>X21</xm:sqref>
            </x14:sparkline>
            <x14:sparkline>
              <xm:f>'2F Summary'!F22:W22</xm:f>
              <xm:sqref>X22</xm:sqref>
            </x14:sparkline>
            <x14:sparkline>
              <xm:f>'2F Summary'!F23:W23</xm:f>
              <xm:sqref>X23</xm:sqref>
            </x14:sparkline>
            <x14:sparkline>
              <xm:f>'2F Summary'!F24:W24</xm:f>
              <xm:sqref>X24</xm:sqref>
            </x14:sparkline>
            <x14:sparkline>
              <xm:f>'2F Summary'!F25:W25</xm:f>
              <xm:sqref>X25</xm:sqref>
            </x14:sparkline>
            <x14:sparkline>
              <xm:f>'2F Summary'!F26:W26</xm:f>
              <xm:sqref>X26</xm:sqref>
            </x14:sparkline>
          </x14:sparklines>
        </x14:sparklineGroup>
        <x14:sparklineGroup manualMax="0" manualMin="0" displayEmptyCellsAs="gap" xr2:uid="{00000000-0003-0000-2600-000083000000}">
          <x14:colorSeries rgb="FF376092"/>
          <x14:colorNegative rgb="FFD00000"/>
          <x14:colorAxis rgb="FF000000"/>
          <x14:colorMarkers rgb="FFD00000"/>
          <x14:colorFirst rgb="FFD00000"/>
          <x14:colorLast rgb="FFD00000"/>
          <x14:colorHigh rgb="FFD00000"/>
          <x14:colorLow rgb="FFD00000"/>
          <x14:sparklines>
            <x14:sparkline>
              <xm:f>'2F Summary'!F4:W4</xm:f>
              <xm:sqref>X4</xm:sqref>
            </x14:sparkline>
            <x14:sparkline>
              <xm:f>'2F Summary'!F5:W5</xm:f>
              <xm:sqref>X5</xm:sqref>
            </x14:sparkline>
            <x14:sparkline>
              <xm:f>'2F Summary'!F6:W6</xm:f>
              <xm:sqref>X6</xm:sqref>
            </x14:sparkline>
            <x14:sparkline>
              <xm:f>'2F Summary'!F7:W7</xm:f>
              <xm:sqref>X7</xm:sqref>
            </x14:sparkline>
            <x14:sparkline>
              <xm:f>'2F Summary'!F8:W8</xm:f>
              <xm:sqref>X8</xm:sqref>
            </x14:sparkline>
            <x14:sparkline>
              <xm:f>'2F Summary'!F9:W9</xm:f>
              <xm:sqref>X9</xm:sqref>
            </x14:sparkline>
            <x14:sparkline>
              <xm:f>'2F Summary'!F10:W10</xm:f>
              <xm:sqref>X10</xm:sqref>
            </x14:sparkline>
            <x14:sparkline>
              <xm:f>'2F Summary'!F11:W11</xm:f>
              <xm:sqref>X11</xm:sqref>
            </x14:sparkline>
            <x14:sparkline>
              <xm:f>'2F Summary'!F12:W12</xm:f>
              <xm:sqref>X12</xm:sqref>
            </x14:sparkline>
          </x14:sparklines>
        </x14:sparklineGroup>
      </x14:sparklineGroup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7">
    <tabColor theme="3" tint="0.79998168889431442"/>
  </sheetPr>
  <dimension ref="A1:Y488"/>
  <sheetViews>
    <sheetView topLeftCell="A127" zoomScale="86" zoomScaleNormal="86" workbookViewId="0">
      <selection activeCell="E138" sqref="E138"/>
    </sheetView>
  </sheetViews>
  <sheetFormatPr defaultRowHeight="15" x14ac:dyDescent="0.25"/>
  <cols>
    <col min="1" max="1" width="35.5703125" bestFit="1"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3" x14ac:dyDescent="0.25">
      <c r="A1" s="15" t="s">
        <v>855</v>
      </c>
      <c r="B1" s="4" t="str">
        <f ca="1">MID(CELL("filename",A1),FIND("]",CELL("filename",A1))+1,256)</f>
        <v>2F1 Refrigeration and AC</v>
      </c>
      <c r="C1" s="261" t="s">
        <v>856</v>
      </c>
      <c r="D1" s="262"/>
      <c r="E1" s="262"/>
      <c r="F1" s="262"/>
      <c r="G1" s="262"/>
      <c r="H1" s="262"/>
      <c r="I1" s="262"/>
      <c r="J1" s="263"/>
      <c r="K1" s="14"/>
    </row>
    <row r="2" spans="1:23" ht="49.5" customHeight="1" x14ac:dyDescent="0.25">
      <c r="A2" s="15" t="s">
        <v>736</v>
      </c>
      <c r="B2" s="33" t="s">
        <v>857</v>
      </c>
      <c r="C2" s="264"/>
      <c r="D2" s="265"/>
      <c r="E2" s="265"/>
      <c r="F2" s="265"/>
      <c r="G2" s="265"/>
      <c r="H2" s="265"/>
      <c r="I2" s="265"/>
      <c r="J2" s="266"/>
      <c r="K2" s="14"/>
    </row>
    <row r="3" spans="1:23" x14ac:dyDescent="0.25">
      <c r="A3" s="15" t="s">
        <v>858</v>
      </c>
      <c r="B3" s="33" t="s">
        <v>859</v>
      </c>
      <c r="C3" s="16"/>
      <c r="D3" s="17"/>
      <c r="E3" s="17"/>
      <c r="F3" s="17"/>
      <c r="G3" s="17"/>
      <c r="H3" s="17"/>
      <c r="I3" s="17"/>
      <c r="J3" s="18"/>
    </row>
    <row r="4" spans="1:23" x14ac:dyDescent="0.25">
      <c r="A4" s="15" t="s">
        <v>860</v>
      </c>
      <c r="B4" s="33" t="s">
        <v>1083</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1010</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s="5" customFormat="1" ht="21" x14ac:dyDescent="0.35">
      <c r="B11" s="6" t="s">
        <v>865</v>
      </c>
      <c r="E11" s="5" t="s">
        <v>866</v>
      </c>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s="102" customFormat="1" x14ac:dyDescent="0.25">
      <c r="A14" s="102" t="s">
        <v>1084</v>
      </c>
      <c r="W14" s="120"/>
    </row>
    <row r="15" spans="1:23" x14ac:dyDescent="0.25">
      <c r="A15" t="s">
        <v>1084</v>
      </c>
      <c r="B15" t="s">
        <v>1085</v>
      </c>
      <c r="C15" t="s">
        <v>491</v>
      </c>
      <c r="D15" t="s">
        <v>892</v>
      </c>
      <c r="E15" s="114"/>
      <c r="F15" s="114"/>
      <c r="G15" s="114"/>
      <c r="H15" s="114"/>
      <c r="I15" s="114"/>
      <c r="J15" s="114"/>
      <c r="K15" s="114"/>
      <c r="L15" s="114"/>
      <c r="M15" s="114"/>
      <c r="N15" s="114"/>
      <c r="O15" s="114"/>
      <c r="P15" s="114"/>
      <c r="Q15" s="114"/>
      <c r="R15" s="114"/>
      <c r="S15" s="114"/>
      <c r="T15" s="114"/>
      <c r="U15" s="114"/>
      <c r="V15" s="114"/>
    </row>
    <row r="16" spans="1:23" x14ac:dyDescent="0.25">
      <c r="A16" t="s">
        <v>1084</v>
      </c>
      <c r="B16" t="s">
        <v>1086</v>
      </c>
      <c r="C16" t="s">
        <v>491</v>
      </c>
      <c r="D16" t="s">
        <v>892</v>
      </c>
      <c r="E16" s="114"/>
      <c r="F16" s="114"/>
      <c r="G16" s="114"/>
      <c r="H16" s="114"/>
      <c r="I16" s="114"/>
      <c r="J16" s="114"/>
      <c r="K16" s="114"/>
      <c r="L16" s="114"/>
      <c r="M16" s="114"/>
      <c r="N16" s="114"/>
      <c r="O16" s="114"/>
      <c r="P16" s="114"/>
      <c r="Q16" s="114"/>
      <c r="R16" s="114"/>
      <c r="S16" s="114"/>
      <c r="T16" s="114"/>
      <c r="U16" s="114"/>
      <c r="V16" s="114"/>
    </row>
    <row r="17" spans="1:22" x14ac:dyDescent="0.25">
      <c r="A17" t="s">
        <v>1084</v>
      </c>
      <c r="B17" t="s">
        <v>1087</v>
      </c>
      <c r="C17" t="s">
        <v>491</v>
      </c>
      <c r="D17" t="s">
        <v>892</v>
      </c>
      <c r="E17" s="114"/>
      <c r="F17" s="114"/>
      <c r="G17" s="114"/>
      <c r="H17" s="114"/>
      <c r="I17" s="114"/>
      <c r="J17" s="114"/>
      <c r="K17" s="114"/>
      <c r="L17" s="114"/>
      <c r="M17" s="114"/>
      <c r="N17" s="114"/>
      <c r="O17" s="114"/>
      <c r="P17" s="114"/>
      <c r="Q17" s="114"/>
      <c r="R17" s="114"/>
      <c r="S17" s="114"/>
      <c r="T17" s="114"/>
      <c r="U17" s="114"/>
      <c r="V17" s="114"/>
    </row>
    <row r="18" spans="1:22" s="23" customFormat="1" x14ac:dyDescent="0.25"/>
    <row r="19" spans="1:22" x14ac:dyDescent="0.25">
      <c r="A19" t="s">
        <v>1084</v>
      </c>
      <c r="B19" t="s">
        <v>1085</v>
      </c>
      <c r="C19" t="s">
        <v>492</v>
      </c>
      <c r="D19" t="s">
        <v>892</v>
      </c>
      <c r="E19" s="114"/>
      <c r="F19" s="114"/>
      <c r="G19" s="114"/>
      <c r="H19" s="114"/>
      <c r="I19" s="114"/>
      <c r="J19" s="114"/>
      <c r="K19" s="114"/>
      <c r="L19" s="114"/>
      <c r="M19" s="114"/>
      <c r="N19" s="114"/>
      <c r="O19" s="114"/>
      <c r="P19" s="114"/>
      <c r="Q19" s="114"/>
      <c r="R19" s="114"/>
      <c r="S19" s="114"/>
      <c r="T19" s="114"/>
      <c r="U19" s="114"/>
      <c r="V19" s="114"/>
    </row>
    <row r="20" spans="1:22" x14ac:dyDescent="0.25">
      <c r="A20" t="s">
        <v>1084</v>
      </c>
      <c r="B20" t="s">
        <v>1086</v>
      </c>
      <c r="C20" t="s">
        <v>492</v>
      </c>
      <c r="D20" t="s">
        <v>892</v>
      </c>
      <c r="E20" s="114"/>
      <c r="F20" s="114"/>
      <c r="G20" s="114"/>
      <c r="H20" s="114"/>
      <c r="I20" s="114"/>
      <c r="J20" s="114"/>
      <c r="K20" s="114"/>
      <c r="L20" s="114"/>
      <c r="M20" s="114"/>
      <c r="N20" s="114"/>
      <c r="O20" s="114"/>
      <c r="P20" s="114"/>
      <c r="Q20" s="114"/>
      <c r="R20" s="114"/>
      <c r="S20" s="114"/>
      <c r="T20" s="114"/>
      <c r="U20" s="114"/>
      <c r="V20" s="114"/>
    </row>
    <row r="21" spans="1:22" x14ac:dyDescent="0.25">
      <c r="A21" t="s">
        <v>1084</v>
      </c>
      <c r="B21" t="s">
        <v>1087</v>
      </c>
      <c r="C21" t="s">
        <v>492</v>
      </c>
      <c r="D21" t="s">
        <v>892</v>
      </c>
      <c r="E21" s="114"/>
      <c r="F21" s="114"/>
      <c r="G21" s="114"/>
      <c r="H21" s="114"/>
      <c r="I21" s="114"/>
      <c r="J21" s="114"/>
      <c r="K21" s="114"/>
      <c r="L21" s="114"/>
      <c r="M21" s="114"/>
      <c r="N21" s="114"/>
      <c r="O21" s="114"/>
      <c r="P21" s="114"/>
      <c r="Q21" s="114"/>
      <c r="R21" s="114"/>
      <c r="S21" s="114"/>
      <c r="T21" s="114"/>
      <c r="U21" s="114"/>
      <c r="V21" s="114"/>
    </row>
    <row r="22" spans="1:22" s="23" customFormat="1" x14ac:dyDescent="0.25"/>
    <row r="23" spans="1:22" x14ac:dyDescent="0.25">
      <c r="A23" t="s">
        <v>1084</v>
      </c>
      <c r="B23" t="s">
        <v>1085</v>
      </c>
      <c r="C23" t="s">
        <v>493</v>
      </c>
      <c r="D23" t="s">
        <v>892</v>
      </c>
      <c r="E23" s="114"/>
      <c r="F23" s="114"/>
      <c r="G23" s="114"/>
      <c r="H23" s="114"/>
      <c r="I23" s="114"/>
      <c r="J23" s="114"/>
      <c r="K23" s="114"/>
      <c r="L23" s="114"/>
      <c r="M23" s="114"/>
      <c r="N23" s="114"/>
      <c r="O23" s="114"/>
      <c r="P23" s="114"/>
      <c r="Q23" s="114"/>
      <c r="R23" s="114"/>
      <c r="S23" s="114"/>
      <c r="T23" s="114"/>
      <c r="U23" s="114"/>
      <c r="V23" s="114"/>
    </row>
    <row r="24" spans="1:22" x14ac:dyDescent="0.25">
      <c r="A24" t="s">
        <v>1084</v>
      </c>
      <c r="B24" t="s">
        <v>1086</v>
      </c>
      <c r="C24" t="s">
        <v>493</v>
      </c>
      <c r="D24" t="s">
        <v>892</v>
      </c>
      <c r="E24" s="114"/>
      <c r="F24" s="114"/>
      <c r="G24" s="114"/>
      <c r="H24" s="114"/>
      <c r="I24" s="114"/>
      <c r="J24" s="114"/>
      <c r="K24" s="114"/>
      <c r="L24" s="114"/>
      <c r="M24" s="114"/>
      <c r="N24" s="114"/>
      <c r="O24" s="114"/>
      <c r="P24" s="114"/>
      <c r="Q24" s="114"/>
      <c r="R24" s="114"/>
      <c r="S24" s="114"/>
      <c r="T24" s="114"/>
      <c r="U24" s="114"/>
      <c r="V24" s="114"/>
    </row>
    <row r="25" spans="1:22" x14ac:dyDescent="0.25">
      <c r="A25" t="s">
        <v>1084</v>
      </c>
      <c r="B25" t="s">
        <v>1087</v>
      </c>
      <c r="C25" t="s">
        <v>493</v>
      </c>
      <c r="D25" t="s">
        <v>892</v>
      </c>
      <c r="E25" s="114"/>
      <c r="F25" s="114"/>
      <c r="G25" s="114"/>
      <c r="H25" s="114"/>
      <c r="I25" s="114"/>
      <c r="J25" s="114"/>
      <c r="K25" s="114"/>
      <c r="L25" s="114"/>
      <c r="M25" s="114"/>
      <c r="N25" s="114"/>
      <c r="O25" s="114"/>
      <c r="P25" s="114"/>
      <c r="Q25" s="114"/>
      <c r="R25" s="114"/>
      <c r="S25" s="114"/>
      <c r="T25" s="114"/>
      <c r="U25" s="114"/>
      <c r="V25" s="114"/>
    </row>
    <row r="26" spans="1:22" s="23" customFormat="1" x14ac:dyDescent="0.25"/>
    <row r="27" spans="1:22" x14ac:dyDescent="0.25">
      <c r="A27" t="s">
        <v>1084</v>
      </c>
      <c r="B27" t="s">
        <v>1085</v>
      </c>
      <c r="C27" t="s">
        <v>494</v>
      </c>
      <c r="D27" t="s">
        <v>892</v>
      </c>
      <c r="E27" s="114"/>
      <c r="F27" s="114"/>
      <c r="G27" s="114"/>
      <c r="H27" s="114"/>
      <c r="I27" s="114"/>
      <c r="J27" s="114"/>
      <c r="K27" s="114"/>
      <c r="L27" s="114"/>
      <c r="M27" s="114"/>
      <c r="N27" s="114"/>
      <c r="O27" s="114"/>
      <c r="P27" s="114"/>
      <c r="Q27" s="114"/>
      <c r="R27" s="114"/>
      <c r="S27" s="114"/>
      <c r="T27" s="114"/>
      <c r="U27" s="114"/>
      <c r="V27" s="114"/>
    </row>
    <row r="28" spans="1:22" x14ac:dyDescent="0.25">
      <c r="A28" t="s">
        <v>1084</v>
      </c>
      <c r="B28" t="s">
        <v>1086</v>
      </c>
      <c r="C28" t="s">
        <v>494</v>
      </c>
      <c r="D28" t="s">
        <v>892</v>
      </c>
      <c r="E28" s="114"/>
      <c r="F28" s="114"/>
      <c r="G28" s="114"/>
      <c r="H28" s="114"/>
      <c r="I28" s="114"/>
      <c r="J28" s="114"/>
      <c r="K28" s="114"/>
      <c r="L28" s="114"/>
      <c r="M28" s="114"/>
      <c r="N28" s="114"/>
      <c r="O28" s="114"/>
      <c r="P28" s="114"/>
      <c r="Q28" s="114"/>
      <c r="R28" s="114"/>
      <c r="S28" s="114"/>
      <c r="T28" s="114"/>
      <c r="U28" s="114"/>
      <c r="V28" s="114"/>
    </row>
    <row r="29" spans="1:22" x14ac:dyDescent="0.25">
      <c r="A29" t="s">
        <v>1084</v>
      </c>
      <c r="B29" t="s">
        <v>1087</v>
      </c>
      <c r="C29" t="s">
        <v>494</v>
      </c>
      <c r="D29" t="s">
        <v>892</v>
      </c>
      <c r="E29" s="114"/>
      <c r="F29" s="114"/>
      <c r="G29" s="114"/>
      <c r="H29" s="114"/>
      <c r="I29" s="114"/>
      <c r="J29" s="114"/>
      <c r="K29" s="114"/>
      <c r="L29" s="114"/>
      <c r="M29" s="114"/>
      <c r="N29" s="114"/>
      <c r="O29" s="114"/>
      <c r="P29" s="114"/>
      <c r="Q29" s="114"/>
      <c r="R29" s="114"/>
      <c r="S29" s="114"/>
      <c r="T29" s="114"/>
      <c r="U29" s="114"/>
      <c r="V29" s="114"/>
    </row>
    <row r="30" spans="1:22" s="23" customFormat="1" x14ac:dyDescent="0.25"/>
    <row r="31" spans="1:22" x14ac:dyDescent="0.25">
      <c r="A31" t="s">
        <v>1084</v>
      </c>
      <c r="B31" t="s">
        <v>1085</v>
      </c>
      <c r="C31" t="s">
        <v>498</v>
      </c>
      <c r="D31" t="s">
        <v>892</v>
      </c>
      <c r="E31" s="114"/>
      <c r="F31" s="114"/>
      <c r="G31" s="114"/>
      <c r="H31" s="114"/>
      <c r="I31" s="114"/>
      <c r="J31" s="114"/>
      <c r="K31" s="114"/>
      <c r="L31" s="114"/>
      <c r="M31" s="114"/>
      <c r="N31" s="114"/>
      <c r="O31" s="114"/>
      <c r="P31" s="114"/>
      <c r="Q31" s="114"/>
      <c r="R31" s="114"/>
      <c r="S31" s="114"/>
      <c r="T31" s="114"/>
      <c r="U31" s="114"/>
      <c r="V31" s="114"/>
    </row>
    <row r="32" spans="1:22" x14ac:dyDescent="0.25">
      <c r="A32" t="s">
        <v>1084</v>
      </c>
      <c r="B32" t="s">
        <v>1086</v>
      </c>
      <c r="C32" t="s">
        <v>498</v>
      </c>
      <c r="D32" t="s">
        <v>892</v>
      </c>
      <c r="E32" s="114"/>
      <c r="F32" s="114"/>
      <c r="G32" s="114"/>
      <c r="H32" s="114"/>
      <c r="I32" s="114"/>
      <c r="J32" s="114"/>
      <c r="K32" s="114"/>
      <c r="L32" s="114"/>
      <c r="M32" s="114"/>
      <c r="N32" s="114"/>
      <c r="O32" s="114"/>
      <c r="P32" s="114"/>
      <c r="Q32" s="114"/>
      <c r="R32" s="114"/>
      <c r="S32" s="114"/>
      <c r="T32" s="114"/>
      <c r="U32" s="114"/>
      <c r="V32" s="114"/>
    </row>
    <row r="33" spans="1:23" x14ac:dyDescent="0.25">
      <c r="A33" t="s">
        <v>1084</v>
      </c>
      <c r="B33" t="s">
        <v>1087</v>
      </c>
      <c r="C33" t="s">
        <v>498</v>
      </c>
      <c r="D33" t="s">
        <v>892</v>
      </c>
      <c r="E33" s="114"/>
      <c r="F33" s="114"/>
      <c r="G33" s="114"/>
      <c r="H33" s="114"/>
      <c r="I33" s="114"/>
      <c r="J33" s="114"/>
      <c r="K33" s="114"/>
      <c r="L33" s="114"/>
      <c r="M33" s="114"/>
      <c r="N33" s="114"/>
      <c r="O33" s="114"/>
      <c r="P33" s="114"/>
      <c r="Q33" s="114"/>
      <c r="R33" s="114"/>
      <c r="S33" s="114"/>
      <c r="T33" s="114"/>
      <c r="U33" s="114"/>
      <c r="V33" s="114"/>
    </row>
    <row r="34" spans="1:23" s="23" customFormat="1" x14ac:dyDescent="0.25"/>
    <row r="35" spans="1:23" x14ac:dyDescent="0.25">
      <c r="A35" t="s">
        <v>1084</v>
      </c>
      <c r="B35" t="s">
        <v>1085</v>
      </c>
      <c r="C35" t="s">
        <v>495</v>
      </c>
      <c r="D35" t="s">
        <v>892</v>
      </c>
      <c r="E35" s="114"/>
      <c r="F35" s="114"/>
      <c r="G35" s="114"/>
      <c r="H35" s="114"/>
      <c r="I35" s="114"/>
      <c r="J35" s="114"/>
      <c r="K35" s="114"/>
      <c r="L35" s="114"/>
      <c r="M35" s="114"/>
      <c r="N35" s="114"/>
      <c r="O35" s="114"/>
      <c r="P35" s="114"/>
      <c r="Q35" s="114"/>
      <c r="R35" s="114"/>
      <c r="S35" s="114"/>
      <c r="T35" s="114"/>
      <c r="U35" s="114"/>
      <c r="V35" s="114"/>
    </row>
    <row r="36" spans="1:23" x14ac:dyDescent="0.25">
      <c r="A36" t="s">
        <v>1084</v>
      </c>
      <c r="B36" t="s">
        <v>1086</v>
      </c>
      <c r="C36" t="s">
        <v>495</v>
      </c>
      <c r="D36" t="s">
        <v>892</v>
      </c>
      <c r="E36" s="114"/>
      <c r="F36" s="114"/>
      <c r="G36" s="114"/>
      <c r="H36" s="114"/>
      <c r="I36" s="114"/>
      <c r="J36" s="114"/>
      <c r="K36" s="114"/>
      <c r="L36" s="114"/>
      <c r="M36" s="114"/>
      <c r="N36" s="114"/>
      <c r="O36" s="114"/>
      <c r="P36" s="114"/>
      <c r="Q36" s="114"/>
      <c r="R36" s="114"/>
      <c r="S36" s="114"/>
      <c r="T36" s="114"/>
      <c r="U36" s="114"/>
      <c r="V36" s="114"/>
    </row>
    <row r="37" spans="1:23" x14ac:dyDescent="0.25">
      <c r="A37" t="s">
        <v>1084</v>
      </c>
      <c r="B37" t="s">
        <v>1087</v>
      </c>
      <c r="C37" t="s">
        <v>495</v>
      </c>
      <c r="D37" t="s">
        <v>892</v>
      </c>
      <c r="E37" s="114"/>
      <c r="F37" s="114"/>
      <c r="G37" s="114"/>
      <c r="H37" s="114"/>
      <c r="I37" s="114"/>
      <c r="J37" s="114"/>
      <c r="K37" s="114"/>
      <c r="L37" s="114"/>
      <c r="M37" s="114"/>
      <c r="N37" s="114"/>
      <c r="O37" s="114"/>
      <c r="P37" s="114"/>
      <c r="Q37" s="114"/>
      <c r="R37" s="114"/>
      <c r="S37" s="114"/>
      <c r="T37" s="114"/>
      <c r="U37" s="114"/>
      <c r="V37" s="114"/>
    </row>
    <row r="39" spans="1:23" s="102" customFormat="1" x14ac:dyDescent="0.25">
      <c r="A39" s="102" t="s">
        <v>1088</v>
      </c>
      <c r="W39" s="120"/>
    </row>
    <row r="40" spans="1:23" x14ac:dyDescent="0.25">
      <c r="A40" t="s">
        <v>1088</v>
      </c>
      <c r="B40" t="s">
        <v>1085</v>
      </c>
      <c r="C40" t="s">
        <v>491</v>
      </c>
      <c r="D40" t="s">
        <v>892</v>
      </c>
      <c r="E40" s="114"/>
      <c r="F40" s="114"/>
      <c r="G40" s="114"/>
      <c r="H40" s="114"/>
      <c r="I40" s="114"/>
      <c r="J40" s="114"/>
      <c r="K40" s="114"/>
      <c r="L40" s="114"/>
      <c r="M40" s="114"/>
      <c r="N40" s="114"/>
      <c r="O40" s="114"/>
      <c r="P40" s="114"/>
      <c r="Q40" s="114"/>
      <c r="R40" s="114"/>
      <c r="S40" s="114"/>
      <c r="T40" s="114"/>
      <c r="U40" s="114"/>
      <c r="V40" s="114"/>
    </row>
    <row r="41" spans="1:23" x14ac:dyDescent="0.25">
      <c r="A41" t="s">
        <v>1088</v>
      </c>
      <c r="B41" t="s">
        <v>1086</v>
      </c>
      <c r="C41" t="s">
        <v>491</v>
      </c>
      <c r="D41" t="s">
        <v>892</v>
      </c>
      <c r="E41" s="114"/>
      <c r="F41" s="114"/>
      <c r="G41" s="114"/>
      <c r="H41" s="114"/>
      <c r="I41" s="114"/>
      <c r="J41" s="114"/>
      <c r="K41" s="114"/>
      <c r="L41" s="114"/>
      <c r="M41" s="114"/>
      <c r="N41" s="114"/>
      <c r="O41" s="114"/>
      <c r="P41" s="114"/>
      <c r="Q41" s="114"/>
      <c r="R41" s="114"/>
      <c r="S41" s="114"/>
      <c r="T41" s="114"/>
      <c r="U41" s="114"/>
      <c r="V41" s="114"/>
    </row>
    <row r="42" spans="1:23" x14ac:dyDescent="0.25">
      <c r="A42" t="s">
        <v>1088</v>
      </c>
      <c r="B42" t="s">
        <v>1087</v>
      </c>
      <c r="C42" t="s">
        <v>491</v>
      </c>
      <c r="D42" t="s">
        <v>892</v>
      </c>
      <c r="E42" s="114"/>
      <c r="F42" s="114"/>
      <c r="G42" s="114"/>
      <c r="H42" s="114"/>
      <c r="I42" s="114"/>
      <c r="J42" s="114"/>
      <c r="K42" s="114"/>
      <c r="L42" s="114"/>
      <c r="M42" s="114"/>
      <c r="N42" s="114"/>
      <c r="O42" s="114"/>
      <c r="P42" s="114"/>
      <c r="Q42" s="114"/>
      <c r="R42" s="114"/>
      <c r="S42" s="114"/>
      <c r="T42" s="114"/>
      <c r="U42" s="114"/>
      <c r="V42" s="114"/>
    </row>
    <row r="43" spans="1:23" s="23" customFormat="1" x14ac:dyDescent="0.25"/>
    <row r="44" spans="1:23" x14ac:dyDescent="0.25">
      <c r="A44" t="s">
        <v>1088</v>
      </c>
      <c r="B44" t="s">
        <v>1085</v>
      </c>
      <c r="C44" t="s">
        <v>492</v>
      </c>
      <c r="D44" t="s">
        <v>892</v>
      </c>
      <c r="E44" s="114"/>
      <c r="F44" s="114"/>
      <c r="G44" s="114"/>
      <c r="H44" s="114"/>
      <c r="I44" s="114"/>
      <c r="J44" s="114"/>
      <c r="K44" s="114"/>
      <c r="L44" s="114"/>
      <c r="M44" s="114"/>
      <c r="N44" s="114"/>
      <c r="O44" s="114"/>
      <c r="P44" s="114"/>
      <c r="Q44" s="114"/>
      <c r="R44" s="114"/>
      <c r="S44" s="114"/>
      <c r="T44" s="114"/>
      <c r="U44" s="114"/>
      <c r="V44" s="114"/>
    </row>
    <row r="45" spans="1:23" x14ac:dyDescent="0.25">
      <c r="A45" t="s">
        <v>1088</v>
      </c>
      <c r="B45" t="s">
        <v>1086</v>
      </c>
      <c r="C45" t="s">
        <v>492</v>
      </c>
      <c r="D45" t="s">
        <v>892</v>
      </c>
      <c r="E45" s="114"/>
      <c r="F45" s="114"/>
      <c r="G45" s="114"/>
      <c r="H45" s="114"/>
      <c r="I45" s="114"/>
      <c r="J45" s="114"/>
      <c r="K45" s="114"/>
      <c r="L45" s="114"/>
      <c r="M45" s="114"/>
      <c r="N45" s="114"/>
      <c r="O45" s="114"/>
      <c r="P45" s="114"/>
      <c r="Q45" s="114"/>
      <c r="R45" s="114"/>
      <c r="S45" s="114"/>
      <c r="T45" s="114"/>
      <c r="U45" s="114"/>
      <c r="V45" s="114"/>
    </row>
    <row r="46" spans="1:23" x14ac:dyDescent="0.25">
      <c r="A46" t="s">
        <v>1088</v>
      </c>
      <c r="B46" t="s">
        <v>1087</v>
      </c>
      <c r="C46" t="s">
        <v>492</v>
      </c>
      <c r="D46" t="s">
        <v>892</v>
      </c>
      <c r="E46" s="114"/>
      <c r="F46" s="114"/>
      <c r="G46" s="114"/>
      <c r="H46" s="114"/>
      <c r="I46" s="114"/>
      <c r="J46" s="114"/>
      <c r="K46" s="114"/>
      <c r="L46" s="114"/>
      <c r="M46" s="114"/>
      <c r="N46" s="114"/>
      <c r="O46" s="114"/>
      <c r="P46" s="114"/>
      <c r="Q46" s="114"/>
      <c r="R46" s="114"/>
      <c r="S46" s="114"/>
      <c r="T46" s="114"/>
      <c r="U46" s="114"/>
      <c r="V46" s="114"/>
    </row>
    <row r="47" spans="1:23" s="23" customFormat="1" x14ac:dyDescent="0.25"/>
    <row r="48" spans="1:23" x14ac:dyDescent="0.25">
      <c r="A48" t="s">
        <v>1088</v>
      </c>
      <c r="B48" t="s">
        <v>1085</v>
      </c>
      <c r="C48" t="s">
        <v>493</v>
      </c>
      <c r="D48" t="s">
        <v>892</v>
      </c>
      <c r="E48" s="114"/>
      <c r="F48" s="114"/>
      <c r="G48" s="114"/>
      <c r="H48" s="114"/>
      <c r="I48" s="114"/>
      <c r="J48" s="114"/>
      <c r="K48" s="114"/>
      <c r="L48" s="114"/>
      <c r="M48" s="114"/>
      <c r="N48" s="114"/>
      <c r="O48" s="114"/>
      <c r="P48" s="114"/>
      <c r="Q48" s="114"/>
      <c r="R48" s="114"/>
      <c r="S48" s="114"/>
      <c r="T48" s="114"/>
      <c r="U48" s="114"/>
      <c r="V48" s="114"/>
    </row>
    <row r="49" spans="1:22" x14ac:dyDescent="0.25">
      <c r="A49" t="s">
        <v>1088</v>
      </c>
      <c r="B49" t="s">
        <v>1086</v>
      </c>
      <c r="C49" t="s">
        <v>493</v>
      </c>
      <c r="D49" t="s">
        <v>892</v>
      </c>
      <c r="E49" s="114"/>
      <c r="F49" s="114"/>
      <c r="G49" s="114"/>
      <c r="H49" s="114"/>
      <c r="I49" s="114"/>
      <c r="J49" s="114"/>
      <c r="K49" s="114"/>
      <c r="L49" s="114"/>
      <c r="M49" s="114"/>
      <c r="N49" s="114"/>
      <c r="O49" s="114"/>
      <c r="P49" s="114"/>
      <c r="Q49" s="114"/>
      <c r="R49" s="114"/>
      <c r="S49" s="114"/>
      <c r="T49" s="114"/>
      <c r="U49" s="114"/>
      <c r="V49" s="114"/>
    </row>
    <row r="50" spans="1:22" x14ac:dyDescent="0.25">
      <c r="A50" t="s">
        <v>1088</v>
      </c>
      <c r="B50" t="s">
        <v>1087</v>
      </c>
      <c r="C50" t="s">
        <v>493</v>
      </c>
      <c r="D50" t="s">
        <v>892</v>
      </c>
      <c r="E50" s="114"/>
      <c r="F50" s="114"/>
      <c r="G50" s="114"/>
      <c r="H50" s="114"/>
      <c r="I50" s="114"/>
      <c r="J50" s="114"/>
      <c r="K50" s="114"/>
      <c r="L50" s="114"/>
      <c r="M50" s="114"/>
      <c r="N50" s="114"/>
      <c r="O50" s="114"/>
      <c r="P50" s="114"/>
      <c r="Q50" s="114"/>
      <c r="R50" s="114"/>
      <c r="S50" s="114"/>
      <c r="T50" s="114"/>
      <c r="U50" s="114"/>
      <c r="V50" s="114"/>
    </row>
    <row r="51" spans="1:22" s="23" customFormat="1" x14ac:dyDescent="0.25"/>
    <row r="52" spans="1:22" x14ac:dyDescent="0.25">
      <c r="A52" t="s">
        <v>1088</v>
      </c>
      <c r="B52" t="s">
        <v>1085</v>
      </c>
      <c r="C52" t="s">
        <v>494</v>
      </c>
      <c r="D52" t="s">
        <v>892</v>
      </c>
      <c r="E52" s="114"/>
      <c r="F52" s="114"/>
      <c r="G52" s="114"/>
      <c r="H52" s="114"/>
      <c r="I52" s="114"/>
      <c r="J52" s="114"/>
      <c r="K52" s="114"/>
      <c r="L52" s="114"/>
      <c r="M52" s="114"/>
      <c r="N52" s="114"/>
      <c r="O52" s="114"/>
      <c r="P52" s="114"/>
      <c r="Q52" s="114"/>
      <c r="R52" s="114"/>
      <c r="S52" s="114"/>
      <c r="T52" s="114"/>
      <c r="U52" s="114"/>
      <c r="V52" s="114"/>
    </row>
    <row r="53" spans="1:22" x14ac:dyDescent="0.25">
      <c r="A53" t="s">
        <v>1088</v>
      </c>
      <c r="B53" t="s">
        <v>1086</v>
      </c>
      <c r="C53" t="s">
        <v>494</v>
      </c>
      <c r="D53" t="s">
        <v>892</v>
      </c>
      <c r="E53" s="114"/>
      <c r="F53" s="114"/>
      <c r="G53" s="114"/>
      <c r="H53" s="114"/>
      <c r="I53" s="114"/>
      <c r="J53" s="114"/>
      <c r="K53" s="114"/>
      <c r="L53" s="114"/>
      <c r="M53" s="114"/>
      <c r="N53" s="114"/>
      <c r="O53" s="114"/>
      <c r="P53" s="114"/>
      <c r="Q53" s="114"/>
      <c r="R53" s="114"/>
      <c r="S53" s="114"/>
      <c r="T53" s="114"/>
      <c r="U53" s="114"/>
      <c r="V53" s="114"/>
    </row>
    <row r="54" spans="1:22" x14ac:dyDescent="0.25">
      <c r="A54" t="s">
        <v>1088</v>
      </c>
      <c r="B54" t="s">
        <v>1087</v>
      </c>
      <c r="C54" t="s">
        <v>494</v>
      </c>
      <c r="D54" t="s">
        <v>892</v>
      </c>
      <c r="E54" s="114"/>
      <c r="F54" s="114"/>
      <c r="G54" s="114"/>
      <c r="H54" s="114"/>
      <c r="I54" s="114"/>
      <c r="J54" s="114"/>
      <c r="K54" s="114"/>
      <c r="L54" s="114"/>
      <c r="M54" s="114"/>
      <c r="N54" s="114"/>
      <c r="O54" s="114"/>
      <c r="P54" s="114"/>
      <c r="Q54" s="114"/>
      <c r="R54" s="114"/>
      <c r="S54" s="114"/>
      <c r="T54" s="114"/>
      <c r="U54" s="114"/>
      <c r="V54" s="114"/>
    </row>
    <row r="55" spans="1:22" s="23" customFormat="1" x14ac:dyDescent="0.25"/>
    <row r="56" spans="1:22" x14ac:dyDescent="0.25">
      <c r="A56" t="s">
        <v>1088</v>
      </c>
      <c r="B56" t="s">
        <v>1085</v>
      </c>
      <c r="C56" t="s">
        <v>498</v>
      </c>
      <c r="D56" t="s">
        <v>892</v>
      </c>
      <c r="E56" s="114"/>
      <c r="F56" s="114"/>
      <c r="G56" s="114"/>
      <c r="H56" s="114"/>
      <c r="I56" s="114"/>
      <c r="J56" s="114"/>
      <c r="K56" s="114"/>
      <c r="L56" s="114"/>
      <c r="M56" s="114"/>
      <c r="N56" s="114"/>
      <c r="O56" s="114"/>
      <c r="P56" s="114"/>
      <c r="Q56" s="114"/>
      <c r="R56" s="114"/>
      <c r="S56" s="114"/>
      <c r="T56" s="114"/>
      <c r="U56" s="114"/>
      <c r="V56" s="114"/>
    </row>
    <row r="57" spans="1:22" x14ac:dyDescent="0.25">
      <c r="A57" t="s">
        <v>1088</v>
      </c>
      <c r="B57" t="s">
        <v>1086</v>
      </c>
      <c r="C57" t="s">
        <v>498</v>
      </c>
      <c r="D57" t="s">
        <v>892</v>
      </c>
      <c r="E57" s="114"/>
      <c r="F57" s="114"/>
      <c r="G57" s="114"/>
      <c r="H57" s="114"/>
      <c r="I57" s="114"/>
      <c r="J57" s="114"/>
      <c r="K57" s="114"/>
      <c r="L57" s="114"/>
      <c r="M57" s="114"/>
      <c r="N57" s="114"/>
      <c r="O57" s="114"/>
      <c r="P57" s="114"/>
      <c r="Q57" s="114"/>
      <c r="R57" s="114"/>
      <c r="S57" s="114"/>
      <c r="T57" s="114"/>
      <c r="U57" s="114"/>
      <c r="V57" s="114"/>
    </row>
    <row r="58" spans="1:22" x14ac:dyDescent="0.25">
      <c r="A58" t="s">
        <v>1088</v>
      </c>
      <c r="B58" t="s">
        <v>1087</v>
      </c>
      <c r="C58" t="s">
        <v>498</v>
      </c>
      <c r="D58" t="s">
        <v>892</v>
      </c>
      <c r="E58" s="114"/>
      <c r="F58" s="114"/>
      <c r="G58" s="114"/>
      <c r="H58" s="114"/>
      <c r="I58" s="114"/>
      <c r="J58" s="114"/>
      <c r="K58" s="114"/>
      <c r="L58" s="114"/>
      <c r="M58" s="114"/>
      <c r="N58" s="114"/>
      <c r="O58" s="114"/>
      <c r="P58" s="114"/>
      <c r="Q58" s="114"/>
      <c r="R58" s="114"/>
      <c r="S58" s="114"/>
      <c r="T58" s="114"/>
      <c r="U58" s="114"/>
      <c r="V58" s="114"/>
    </row>
    <row r="59" spans="1:22" s="23" customFormat="1" x14ac:dyDescent="0.25"/>
    <row r="60" spans="1:22" x14ac:dyDescent="0.25">
      <c r="A60" t="s">
        <v>1088</v>
      </c>
      <c r="B60" t="s">
        <v>1085</v>
      </c>
      <c r="C60" t="s">
        <v>495</v>
      </c>
      <c r="D60" t="s">
        <v>892</v>
      </c>
      <c r="E60" s="114"/>
      <c r="F60" s="114"/>
      <c r="G60" s="114"/>
      <c r="H60" s="114"/>
      <c r="I60" s="114"/>
      <c r="J60" s="114"/>
      <c r="K60" s="114"/>
      <c r="L60" s="114"/>
      <c r="M60" s="114"/>
      <c r="N60" s="114"/>
      <c r="O60" s="114"/>
      <c r="P60" s="114"/>
      <c r="Q60" s="114"/>
      <c r="R60" s="114"/>
      <c r="S60" s="114"/>
      <c r="T60" s="114"/>
      <c r="U60" s="114"/>
      <c r="V60" s="114"/>
    </row>
    <row r="61" spans="1:22" x14ac:dyDescent="0.25">
      <c r="A61" t="s">
        <v>1088</v>
      </c>
      <c r="B61" t="s">
        <v>1086</v>
      </c>
      <c r="C61" t="s">
        <v>495</v>
      </c>
      <c r="D61" t="s">
        <v>892</v>
      </c>
      <c r="E61" s="114"/>
      <c r="F61" s="114"/>
      <c r="G61" s="114"/>
      <c r="H61" s="114"/>
      <c r="I61" s="114"/>
      <c r="J61" s="114"/>
      <c r="K61" s="114"/>
      <c r="L61" s="114"/>
      <c r="M61" s="114"/>
      <c r="N61" s="114"/>
      <c r="O61" s="114"/>
      <c r="P61" s="114"/>
      <c r="Q61" s="114"/>
      <c r="R61" s="114"/>
      <c r="S61" s="114"/>
      <c r="T61" s="114"/>
      <c r="U61" s="114"/>
      <c r="V61" s="114"/>
    </row>
    <row r="62" spans="1:22" x14ac:dyDescent="0.25">
      <c r="A62" t="s">
        <v>1088</v>
      </c>
      <c r="B62" t="s">
        <v>1087</v>
      </c>
      <c r="C62" t="s">
        <v>495</v>
      </c>
      <c r="D62" t="s">
        <v>892</v>
      </c>
      <c r="E62" s="114"/>
      <c r="F62" s="114"/>
      <c r="G62" s="114"/>
      <c r="H62" s="114"/>
      <c r="I62" s="114"/>
      <c r="J62" s="114"/>
      <c r="K62" s="114"/>
      <c r="L62" s="114"/>
      <c r="M62" s="114"/>
      <c r="N62" s="114"/>
      <c r="O62" s="114"/>
      <c r="P62" s="114"/>
      <c r="Q62" s="114"/>
      <c r="R62" s="114"/>
      <c r="S62" s="114"/>
      <c r="T62" s="114"/>
      <c r="U62" s="114"/>
      <c r="V62" s="114"/>
    </row>
    <row r="64" spans="1:22" s="5" customFormat="1" ht="21" x14ac:dyDescent="0.35">
      <c r="B64" s="6" t="s">
        <v>1089</v>
      </c>
      <c r="E64" s="5" t="s">
        <v>1090</v>
      </c>
    </row>
    <row r="66" spans="1:23" s="102" customFormat="1" x14ac:dyDescent="0.25">
      <c r="A66" s="102" t="s">
        <v>1084</v>
      </c>
      <c r="W66" s="120"/>
    </row>
    <row r="67" spans="1:23" x14ac:dyDescent="0.25">
      <c r="A67" t="s">
        <v>1084</v>
      </c>
      <c r="B67" t="s">
        <v>1091</v>
      </c>
      <c r="C67" t="s">
        <v>491</v>
      </c>
      <c r="E67" s="205"/>
      <c r="F67" s="205"/>
      <c r="G67" s="205"/>
      <c r="H67" s="205"/>
      <c r="I67" s="205"/>
      <c r="J67" s="205"/>
      <c r="K67" s="205"/>
      <c r="L67" s="205"/>
      <c r="M67" s="205"/>
      <c r="N67" s="205"/>
      <c r="O67" s="205"/>
      <c r="P67" s="205"/>
      <c r="Q67" s="205"/>
      <c r="R67" s="205"/>
      <c r="S67" s="205"/>
      <c r="T67" s="205"/>
      <c r="U67" s="205"/>
      <c r="V67" s="205"/>
    </row>
    <row r="68" spans="1:23" x14ac:dyDescent="0.25">
      <c r="A68" t="s">
        <v>1084</v>
      </c>
      <c r="B68" t="s">
        <v>1092</v>
      </c>
      <c r="C68" t="s">
        <v>491</v>
      </c>
      <c r="D68" t="s">
        <v>1093</v>
      </c>
      <c r="E68" s="205">
        <v>15</v>
      </c>
      <c r="F68" s="205">
        <v>15</v>
      </c>
      <c r="G68" s="205">
        <v>15</v>
      </c>
      <c r="H68" s="205">
        <v>15</v>
      </c>
      <c r="I68" s="205">
        <v>15</v>
      </c>
      <c r="J68" s="205">
        <v>15</v>
      </c>
      <c r="K68" s="205">
        <v>15</v>
      </c>
      <c r="L68" s="205">
        <v>15</v>
      </c>
      <c r="M68" s="205">
        <v>15</v>
      </c>
      <c r="N68" s="205">
        <v>15</v>
      </c>
      <c r="O68" s="205">
        <v>15</v>
      </c>
      <c r="P68" s="205">
        <v>15</v>
      </c>
      <c r="Q68" s="205">
        <v>15</v>
      </c>
      <c r="R68" s="205">
        <v>15</v>
      </c>
      <c r="S68" s="205">
        <v>15</v>
      </c>
      <c r="T68" s="205">
        <v>15</v>
      </c>
      <c r="U68" s="205">
        <v>15</v>
      </c>
      <c r="V68" s="205">
        <v>15</v>
      </c>
    </row>
    <row r="69" spans="1:23" x14ac:dyDescent="0.25">
      <c r="A69" t="s">
        <v>1084</v>
      </c>
      <c r="B69" t="s">
        <v>1094</v>
      </c>
      <c r="C69" t="s">
        <v>491</v>
      </c>
      <c r="D69" t="s">
        <v>1095</v>
      </c>
      <c r="E69" s="205">
        <v>15</v>
      </c>
      <c r="F69" s="205">
        <v>15</v>
      </c>
      <c r="G69" s="205">
        <v>15</v>
      </c>
      <c r="H69" s="205">
        <v>15</v>
      </c>
      <c r="I69" s="205">
        <v>15</v>
      </c>
      <c r="J69" s="205">
        <v>15</v>
      </c>
      <c r="K69" s="205">
        <v>15</v>
      </c>
      <c r="L69" s="205">
        <v>15</v>
      </c>
      <c r="M69" s="205">
        <v>15</v>
      </c>
      <c r="N69" s="205">
        <v>15</v>
      </c>
      <c r="O69" s="205">
        <v>15</v>
      </c>
      <c r="P69" s="205">
        <v>15</v>
      </c>
      <c r="Q69" s="205">
        <v>15</v>
      </c>
      <c r="R69" s="205">
        <v>15</v>
      </c>
      <c r="S69" s="205">
        <v>15</v>
      </c>
      <c r="T69" s="205">
        <v>15</v>
      </c>
      <c r="U69" s="205">
        <v>15</v>
      </c>
      <c r="V69" s="205">
        <v>15</v>
      </c>
    </row>
    <row r="70" spans="1:23" x14ac:dyDescent="0.25">
      <c r="A70" t="s">
        <v>1084</v>
      </c>
      <c r="B70" t="s">
        <v>1096</v>
      </c>
      <c r="C70" t="s">
        <v>491</v>
      </c>
      <c r="D70" t="s">
        <v>1095</v>
      </c>
      <c r="E70" s="205"/>
      <c r="F70" s="205"/>
      <c r="G70" s="205"/>
      <c r="H70" s="205"/>
      <c r="I70" s="205"/>
      <c r="J70" s="205"/>
      <c r="K70" s="205"/>
      <c r="L70" s="205"/>
      <c r="M70" s="205"/>
      <c r="N70" s="205"/>
      <c r="O70" s="205"/>
      <c r="P70" s="205"/>
      <c r="Q70" s="205"/>
      <c r="R70" s="205"/>
      <c r="S70" s="205"/>
      <c r="T70" s="205"/>
      <c r="U70" s="205"/>
      <c r="V70" s="205"/>
    </row>
    <row r="71" spans="1:23" s="23" customFormat="1" x14ac:dyDescent="0.25"/>
    <row r="72" spans="1:23" x14ac:dyDescent="0.25">
      <c r="A72" t="s">
        <v>1084</v>
      </c>
      <c r="B72" t="s">
        <v>1091</v>
      </c>
      <c r="C72" t="s">
        <v>492</v>
      </c>
      <c r="E72" s="205"/>
      <c r="F72" s="205"/>
      <c r="G72" s="205"/>
      <c r="H72" s="205"/>
      <c r="I72" s="205"/>
      <c r="J72" s="205"/>
      <c r="K72" s="205"/>
      <c r="L72" s="205"/>
      <c r="M72" s="205"/>
      <c r="N72" s="205"/>
      <c r="O72" s="205"/>
      <c r="P72" s="205"/>
      <c r="Q72" s="205"/>
      <c r="R72" s="205"/>
      <c r="S72" s="205"/>
      <c r="T72" s="205"/>
      <c r="U72" s="205"/>
      <c r="V72" s="205"/>
    </row>
    <row r="73" spans="1:23" x14ac:dyDescent="0.25">
      <c r="A73" t="s">
        <v>1084</v>
      </c>
      <c r="B73" t="s">
        <v>1092</v>
      </c>
      <c r="C73" t="s">
        <v>492</v>
      </c>
      <c r="D73" t="s">
        <v>1093</v>
      </c>
      <c r="E73" s="205">
        <v>15</v>
      </c>
      <c r="F73" s="205">
        <v>15</v>
      </c>
      <c r="G73" s="205">
        <v>15</v>
      </c>
      <c r="H73" s="205">
        <v>15</v>
      </c>
      <c r="I73" s="205">
        <v>15</v>
      </c>
      <c r="J73" s="205">
        <v>15</v>
      </c>
      <c r="K73" s="205">
        <v>15</v>
      </c>
      <c r="L73" s="205">
        <v>15</v>
      </c>
      <c r="M73" s="205">
        <v>15</v>
      </c>
      <c r="N73" s="205">
        <v>15</v>
      </c>
      <c r="O73" s="205">
        <v>15</v>
      </c>
      <c r="P73" s="205">
        <v>15</v>
      </c>
      <c r="Q73" s="205">
        <v>15</v>
      </c>
      <c r="R73" s="205">
        <v>15</v>
      </c>
      <c r="S73" s="205">
        <v>15</v>
      </c>
      <c r="T73" s="205">
        <v>15</v>
      </c>
      <c r="U73" s="205">
        <v>15</v>
      </c>
      <c r="V73" s="205">
        <v>15</v>
      </c>
    </row>
    <row r="74" spans="1:23" x14ac:dyDescent="0.25">
      <c r="A74" t="s">
        <v>1084</v>
      </c>
      <c r="B74" t="s">
        <v>1094</v>
      </c>
      <c r="C74" t="s">
        <v>492</v>
      </c>
      <c r="D74" t="s">
        <v>1095</v>
      </c>
      <c r="E74" s="205">
        <v>15</v>
      </c>
      <c r="F74" s="205">
        <v>15</v>
      </c>
      <c r="G74" s="205">
        <v>15</v>
      </c>
      <c r="H74" s="205">
        <v>15</v>
      </c>
      <c r="I74" s="205">
        <v>15</v>
      </c>
      <c r="J74" s="205">
        <v>15</v>
      </c>
      <c r="K74" s="205">
        <v>15</v>
      </c>
      <c r="L74" s="205">
        <v>15</v>
      </c>
      <c r="M74" s="205">
        <v>15</v>
      </c>
      <c r="N74" s="205">
        <v>15</v>
      </c>
      <c r="O74" s="205">
        <v>15</v>
      </c>
      <c r="P74" s="205">
        <v>15</v>
      </c>
      <c r="Q74" s="205">
        <v>15</v>
      </c>
      <c r="R74" s="205">
        <v>15</v>
      </c>
      <c r="S74" s="205">
        <v>15</v>
      </c>
      <c r="T74" s="205">
        <v>15</v>
      </c>
      <c r="U74" s="205">
        <v>15</v>
      </c>
      <c r="V74" s="205">
        <v>15</v>
      </c>
    </row>
    <row r="75" spans="1:23" x14ac:dyDescent="0.25">
      <c r="A75" t="s">
        <v>1084</v>
      </c>
      <c r="B75" t="s">
        <v>1096</v>
      </c>
      <c r="C75" t="s">
        <v>492</v>
      </c>
      <c r="D75" t="s">
        <v>1095</v>
      </c>
      <c r="E75" s="205"/>
      <c r="F75" s="205"/>
      <c r="G75" s="205"/>
      <c r="H75" s="205"/>
      <c r="I75" s="205"/>
      <c r="J75" s="205"/>
      <c r="K75" s="205"/>
      <c r="L75" s="205"/>
      <c r="M75" s="205"/>
      <c r="N75" s="205"/>
      <c r="O75" s="205"/>
      <c r="P75" s="205"/>
      <c r="Q75" s="205"/>
      <c r="R75" s="205"/>
      <c r="S75" s="205"/>
      <c r="T75" s="205"/>
      <c r="U75" s="205"/>
      <c r="V75" s="205"/>
    </row>
    <row r="76" spans="1:23" s="23" customFormat="1" x14ac:dyDescent="0.25"/>
    <row r="77" spans="1:23" x14ac:dyDescent="0.25">
      <c r="A77" t="s">
        <v>1084</v>
      </c>
      <c r="B77" t="s">
        <v>1091</v>
      </c>
      <c r="C77" t="s">
        <v>493</v>
      </c>
      <c r="E77" s="205"/>
      <c r="F77" s="205"/>
      <c r="G77" s="205"/>
      <c r="H77" s="205"/>
      <c r="I77" s="205"/>
      <c r="J77" s="205"/>
      <c r="K77" s="205"/>
      <c r="L77" s="205"/>
      <c r="M77" s="205"/>
      <c r="N77" s="205"/>
      <c r="O77" s="205"/>
      <c r="P77" s="205"/>
      <c r="Q77" s="205"/>
      <c r="R77" s="205"/>
      <c r="S77" s="205"/>
      <c r="T77" s="205"/>
      <c r="U77" s="205"/>
      <c r="V77" s="205"/>
    </row>
    <row r="78" spans="1:23" x14ac:dyDescent="0.25">
      <c r="A78" t="s">
        <v>1084</v>
      </c>
      <c r="B78" t="s">
        <v>1092</v>
      </c>
      <c r="C78" t="s">
        <v>493</v>
      </c>
      <c r="D78" t="s">
        <v>1093</v>
      </c>
      <c r="E78" s="205">
        <v>15</v>
      </c>
      <c r="F78" s="205">
        <v>15</v>
      </c>
      <c r="G78" s="205">
        <v>15</v>
      </c>
      <c r="H78" s="205">
        <v>15</v>
      </c>
      <c r="I78" s="205">
        <v>15</v>
      </c>
      <c r="J78" s="205">
        <v>15</v>
      </c>
      <c r="K78" s="205">
        <v>15</v>
      </c>
      <c r="L78" s="205">
        <v>15</v>
      </c>
      <c r="M78" s="205">
        <v>15</v>
      </c>
      <c r="N78" s="205">
        <v>15</v>
      </c>
      <c r="O78" s="205">
        <v>15</v>
      </c>
      <c r="P78" s="205">
        <v>15</v>
      </c>
      <c r="Q78" s="205">
        <v>15</v>
      </c>
      <c r="R78" s="205">
        <v>15</v>
      </c>
      <c r="S78" s="205">
        <v>15</v>
      </c>
      <c r="T78" s="205">
        <v>15</v>
      </c>
      <c r="U78" s="205">
        <v>15</v>
      </c>
      <c r="V78" s="205">
        <v>15</v>
      </c>
    </row>
    <row r="79" spans="1:23" x14ac:dyDescent="0.25">
      <c r="A79" t="s">
        <v>1084</v>
      </c>
      <c r="B79" t="s">
        <v>1094</v>
      </c>
      <c r="C79" t="s">
        <v>493</v>
      </c>
      <c r="D79" t="s">
        <v>1095</v>
      </c>
      <c r="E79" s="205">
        <v>15</v>
      </c>
      <c r="F79" s="205">
        <v>15</v>
      </c>
      <c r="G79" s="205">
        <v>15</v>
      </c>
      <c r="H79" s="205">
        <v>15</v>
      </c>
      <c r="I79" s="205">
        <v>15</v>
      </c>
      <c r="J79" s="205">
        <v>15</v>
      </c>
      <c r="K79" s="205">
        <v>15</v>
      </c>
      <c r="L79" s="205">
        <v>15</v>
      </c>
      <c r="M79" s="205">
        <v>15</v>
      </c>
      <c r="N79" s="205">
        <v>15</v>
      </c>
      <c r="O79" s="205">
        <v>15</v>
      </c>
      <c r="P79" s="205">
        <v>15</v>
      </c>
      <c r="Q79" s="205">
        <v>15</v>
      </c>
      <c r="R79" s="205">
        <v>15</v>
      </c>
      <c r="S79" s="205">
        <v>15</v>
      </c>
      <c r="T79" s="205">
        <v>15</v>
      </c>
      <c r="U79" s="205">
        <v>15</v>
      </c>
      <c r="V79" s="205">
        <v>15</v>
      </c>
    </row>
    <row r="80" spans="1:23" x14ac:dyDescent="0.25">
      <c r="A80" t="s">
        <v>1084</v>
      </c>
      <c r="B80" t="s">
        <v>1096</v>
      </c>
      <c r="C80" t="s">
        <v>493</v>
      </c>
      <c r="D80" t="s">
        <v>1095</v>
      </c>
      <c r="E80" s="205"/>
      <c r="F80" s="205"/>
      <c r="G80" s="205"/>
      <c r="H80" s="205"/>
      <c r="I80" s="205"/>
      <c r="J80" s="205"/>
      <c r="K80" s="205"/>
      <c r="L80" s="205"/>
      <c r="M80" s="205"/>
      <c r="N80" s="205"/>
      <c r="O80" s="205"/>
      <c r="P80" s="205"/>
      <c r="Q80" s="205"/>
      <c r="R80" s="205"/>
      <c r="S80" s="205"/>
      <c r="T80" s="205"/>
      <c r="U80" s="205"/>
      <c r="V80" s="205"/>
    </row>
    <row r="81" spans="1:22" s="23" customFormat="1" x14ac:dyDescent="0.25"/>
    <row r="82" spans="1:22" x14ac:dyDescent="0.25">
      <c r="A82" t="s">
        <v>1084</v>
      </c>
      <c r="B82" t="s">
        <v>1091</v>
      </c>
      <c r="C82" t="s">
        <v>494</v>
      </c>
      <c r="E82" s="205"/>
      <c r="F82" s="205"/>
      <c r="G82" s="205"/>
      <c r="H82" s="205"/>
      <c r="I82" s="205"/>
      <c r="J82" s="205"/>
      <c r="K82" s="205"/>
      <c r="L82" s="205"/>
      <c r="M82" s="205"/>
      <c r="N82" s="205"/>
      <c r="O82" s="205"/>
      <c r="P82" s="205"/>
      <c r="Q82" s="205"/>
      <c r="R82" s="205"/>
      <c r="S82" s="205"/>
      <c r="T82" s="205"/>
      <c r="U82" s="205"/>
      <c r="V82" s="205"/>
    </row>
    <row r="83" spans="1:22" x14ac:dyDescent="0.25">
      <c r="A83" t="s">
        <v>1084</v>
      </c>
      <c r="B83" t="s">
        <v>1092</v>
      </c>
      <c r="C83" t="s">
        <v>494</v>
      </c>
      <c r="D83" t="s">
        <v>1093</v>
      </c>
      <c r="E83" s="205">
        <v>15</v>
      </c>
      <c r="F83" s="205">
        <v>15</v>
      </c>
      <c r="G83" s="205">
        <v>15</v>
      </c>
      <c r="H83" s="205">
        <v>15</v>
      </c>
      <c r="I83" s="205">
        <v>15</v>
      </c>
      <c r="J83" s="205">
        <v>15</v>
      </c>
      <c r="K83" s="205">
        <v>15</v>
      </c>
      <c r="L83" s="205">
        <v>15</v>
      </c>
      <c r="M83" s="205">
        <v>15</v>
      </c>
      <c r="N83" s="205">
        <v>15</v>
      </c>
      <c r="O83" s="205">
        <v>15</v>
      </c>
      <c r="P83" s="205">
        <v>15</v>
      </c>
      <c r="Q83" s="205">
        <v>15</v>
      </c>
      <c r="R83" s="205">
        <v>15</v>
      </c>
      <c r="S83" s="205">
        <v>15</v>
      </c>
      <c r="T83" s="205">
        <v>15</v>
      </c>
      <c r="U83" s="205">
        <v>15</v>
      </c>
      <c r="V83" s="205">
        <v>15</v>
      </c>
    </row>
    <row r="84" spans="1:22" x14ac:dyDescent="0.25">
      <c r="A84" t="s">
        <v>1084</v>
      </c>
      <c r="B84" t="s">
        <v>1094</v>
      </c>
      <c r="C84" t="s">
        <v>494</v>
      </c>
      <c r="D84" t="s">
        <v>1095</v>
      </c>
      <c r="E84" s="205">
        <v>15</v>
      </c>
      <c r="F84" s="205">
        <v>15</v>
      </c>
      <c r="G84" s="205">
        <v>15</v>
      </c>
      <c r="H84" s="205">
        <v>15</v>
      </c>
      <c r="I84" s="205">
        <v>15</v>
      </c>
      <c r="J84" s="205">
        <v>15</v>
      </c>
      <c r="K84" s="205">
        <v>15</v>
      </c>
      <c r="L84" s="205">
        <v>15</v>
      </c>
      <c r="M84" s="205">
        <v>15</v>
      </c>
      <c r="N84" s="205">
        <v>15</v>
      </c>
      <c r="O84" s="205">
        <v>15</v>
      </c>
      <c r="P84" s="205">
        <v>15</v>
      </c>
      <c r="Q84" s="205">
        <v>15</v>
      </c>
      <c r="R84" s="205">
        <v>15</v>
      </c>
      <c r="S84" s="205">
        <v>15</v>
      </c>
      <c r="T84" s="205">
        <v>15</v>
      </c>
      <c r="U84" s="205">
        <v>15</v>
      </c>
      <c r="V84" s="205">
        <v>15</v>
      </c>
    </row>
    <row r="85" spans="1:22" x14ac:dyDescent="0.25">
      <c r="A85" t="s">
        <v>1084</v>
      </c>
      <c r="B85" t="s">
        <v>1096</v>
      </c>
      <c r="C85" t="s">
        <v>494</v>
      </c>
      <c r="D85" t="s">
        <v>1095</v>
      </c>
      <c r="E85" s="205"/>
      <c r="F85" s="205"/>
      <c r="G85" s="205"/>
      <c r="H85" s="205"/>
      <c r="I85" s="205"/>
      <c r="J85" s="205"/>
      <c r="K85" s="205"/>
      <c r="L85" s="205"/>
      <c r="M85" s="205"/>
      <c r="N85" s="205"/>
      <c r="O85" s="205"/>
      <c r="P85" s="205"/>
      <c r="Q85" s="205"/>
      <c r="R85" s="205"/>
      <c r="S85" s="205"/>
      <c r="T85" s="205"/>
      <c r="U85" s="205"/>
      <c r="V85" s="205"/>
    </row>
    <row r="86" spans="1:22" s="23" customFormat="1" x14ac:dyDescent="0.25"/>
    <row r="87" spans="1:22" x14ac:dyDescent="0.25">
      <c r="A87" t="s">
        <v>1084</v>
      </c>
      <c r="B87" t="s">
        <v>1091</v>
      </c>
      <c r="C87" t="s">
        <v>498</v>
      </c>
      <c r="E87" s="205"/>
      <c r="F87" s="205"/>
      <c r="G87" s="205"/>
      <c r="H87" s="205"/>
      <c r="I87" s="205"/>
      <c r="J87" s="205"/>
      <c r="K87" s="205"/>
      <c r="L87" s="205"/>
      <c r="M87" s="205"/>
      <c r="N87" s="205"/>
      <c r="O87" s="205"/>
      <c r="P87" s="205"/>
      <c r="Q87" s="205"/>
      <c r="R87" s="205"/>
      <c r="S87" s="205"/>
      <c r="T87" s="205"/>
      <c r="U87" s="205"/>
      <c r="V87" s="205"/>
    </row>
    <row r="88" spans="1:22" x14ac:dyDescent="0.25">
      <c r="A88" t="s">
        <v>1084</v>
      </c>
      <c r="B88" t="s">
        <v>1092</v>
      </c>
      <c r="C88" t="s">
        <v>498</v>
      </c>
      <c r="D88" t="s">
        <v>1093</v>
      </c>
      <c r="E88" s="205">
        <v>15</v>
      </c>
      <c r="F88" s="205">
        <v>15</v>
      </c>
      <c r="G88" s="205">
        <v>15</v>
      </c>
      <c r="H88" s="205">
        <v>15</v>
      </c>
      <c r="I88" s="205">
        <v>15</v>
      </c>
      <c r="J88" s="205">
        <v>15</v>
      </c>
      <c r="K88" s="205">
        <v>15</v>
      </c>
      <c r="L88" s="205">
        <v>15</v>
      </c>
      <c r="M88" s="205">
        <v>15</v>
      </c>
      <c r="N88" s="205">
        <v>15</v>
      </c>
      <c r="O88" s="205">
        <v>15</v>
      </c>
      <c r="P88" s="205">
        <v>15</v>
      </c>
      <c r="Q88" s="205">
        <v>15</v>
      </c>
      <c r="R88" s="205">
        <v>15</v>
      </c>
      <c r="S88" s="205">
        <v>15</v>
      </c>
      <c r="T88" s="205">
        <v>15</v>
      </c>
      <c r="U88" s="205">
        <v>15</v>
      </c>
      <c r="V88" s="205">
        <v>15</v>
      </c>
    </row>
    <row r="89" spans="1:22" x14ac:dyDescent="0.25">
      <c r="A89" t="s">
        <v>1084</v>
      </c>
      <c r="B89" t="s">
        <v>1094</v>
      </c>
      <c r="C89" t="s">
        <v>498</v>
      </c>
      <c r="D89" t="s">
        <v>1095</v>
      </c>
      <c r="E89" s="205">
        <v>15</v>
      </c>
      <c r="F89" s="205">
        <v>15</v>
      </c>
      <c r="G89" s="205">
        <v>15</v>
      </c>
      <c r="H89" s="205">
        <v>15</v>
      </c>
      <c r="I89" s="205">
        <v>15</v>
      </c>
      <c r="J89" s="205">
        <v>15</v>
      </c>
      <c r="K89" s="205">
        <v>15</v>
      </c>
      <c r="L89" s="205">
        <v>15</v>
      </c>
      <c r="M89" s="205">
        <v>15</v>
      </c>
      <c r="N89" s="205">
        <v>15</v>
      </c>
      <c r="O89" s="205">
        <v>15</v>
      </c>
      <c r="P89" s="205">
        <v>15</v>
      </c>
      <c r="Q89" s="205">
        <v>15</v>
      </c>
      <c r="R89" s="205">
        <v>15</v>
      </c>
      <c r="S89" s="205">
        <v>15</v>
      </c>
      <c r="T89" s="205">
        <v>15</v>
      </c>
      <c r="U89" s="205">
        <v>15</v>
      </c>
      <c r="V89" s="205">
        <v>15</v>
      </c>
    </row>
    <row r="90" spans="1:22" x14ac:dyDescent="0.25">
      <c r="A90" t="s">
        <v>1084</v>
      </c>
      <c r="B90" t="s">
        <v>1096</v>
      </c>
      <c r="C90" t="s">
        <v>498</v>
      </c>
      <c r="D90" t="s">
        <v>1095</v>
      </c>
      <c r="E90" s="205"/>
      <c r="F90" s="205"/>
      <c r="G90" s="205"/>
      <c r="H90" s="205"/>
      <c r="I90" s="205"/>
      <c r="J90" s="205"/>
      <c r="K90" s="205"/>
      <c r="L90" s="205"/>
      <c r="M90" s="205"/>
      <c r="N90" s="205"/>
      <c r="O90" s="205"/>
      <c r="P90" s="205"/>
      <c r="Q90" s="205"/>
      <c r="R90" s="205"/>
      <c r="S90" s="205"/>
      <c r="T90" s="205"/>
      <c r="U90" s="205"/>
      <c r="V90" s="205"/>
    </row>
    <row r="91" spans="1:22" s="23" customFormat="1" x14ac:dyDescent="0.25"/>
    <row r="92" spans="1:22" x14ac:dyDescent="0.25">
      <c r="A92" t="s">
        <v>1084</v>
      </c>
      <c r="B92" t="s">
        <v>1091</v>
      </c>
      <c r="C92" t="s">
        <v>495</v>
      </c>
      <c r="E92" s="205"/>
      <c r="F92" s="205"/>
      <c r="G92" s="205"/>
      <c r="H92" s="205"/>
      <c r="I92" s="205"/>
      <c r="J92" s="205"/>
      <c r="K92" s="205"/>
      <c r="L92" s="205"/>
      <c r="M92" s="205"/>
      <c r="N92" s="205"/>
      <c r="O92" s="205"/>
      <c r="P92" s="205"/>
      <c r="Q92" s="205"/>
      <c r="R92" s="205"/>
      <c r="S92" s="205"/>
      <c r="T92" s="205"/>
      <c r="U92" s="205"/>
      <c r="V92" s="205"/>
    </row>
    <row r="93" spans="1:22" x14ac:dyDescent="0.25">
      <c r="A93" t="s">
        <v>1084</v>
      </c>
      <c r="B93" t="s">
        <v>1092</v>
      </c>
      <c r="C93" t="s">
        <v>495</v>
      </c>
      <c r="D93" t="s">
        <v>1093</v>
      </c>
      <c r="E93" s="205">
        <v>15</v>
      </c>
      <c r="F93" s="205">
        <v>15</v>
      </c>
      <c r="G93" s="205">
        <v>15</v>
      </c>
      <c r="H93" s="205">
        <v>15</v>
      </c>
      <c r="I93" s="205">
        <v>15</v>
      </c>
      <c r="J93" s="205">
        <v>15</v>
      </c>
      <c r="K93" s="205">
        <v>15</v>
      </c>
      <c r="L93" s="205">
        <v>15</v>
      </c>
      <c r="M93" s="205">
        <v>15</v>
      </c>
      <c r="N93" s="205">
        <v>15</v>
      </c>
      <c r="O93" s="205">
        <v>15</v>
      </c>
      <c r="P93" s="205">
        <v>15</v>
      </c>
      <c r="Q93" s="205">
        <v>15</v>
      </c>
      <c r="R93" s="205">
        <v>15</v>
      </c>
      <c r="S93" s="205">
        <v>15</v>
      </c>
      <c r="T93" s="205">
        <v>15</v>
      </c>
      <c r="U93" s="205">
        <v>15</v>
      </c>
      <c r="V93" s="205">
        <v>15</v>
      </c>
    </row>
    <row r="94" spans="1:22" x14ac:dyDescent="0.25">
      <c r="A94" t="s">
        <v>1084</v>
      </c>
      <c r="B94" t="s">
        <v>1094</v>
      </c>
      <c r="C94" t="s">
        <v>495</v>
      </c>
      <c r="D94" t="s">
        <v>1095</v>
      </c>
      <c r="E94" s="205">
        <v>15</v>
      </c>
      <c r="F94" s="205">
        <v>15</v>
      </c>
      <c r="G94" s="205">
        <v>15</v>
      </c>
      <c r="H94" s="205">
        <v>15</v>
      </c>
      <c r="I94" s="205">
        <v>15</v>
      </c>
      <c r="J94" s="205">
        <v>15</v>
      </c>
      <c r="K94" s="205">
        <v>15</v>
      </c>
      <c r="L94" s="205">
        <v>15</v>
      </c>
      <c r="M94" s="205">
        <v>15</v>
      </c>
      <c r="N94" s="205">
        <v>15</v>
      </c>
      <c r="O94" s="205">
        <v>15</v>
      </c>
      <c r="P94" s="205">
        <v>15</v>
      </c>
      <c r="Q94" s="205">
        <v>15</v>
      </c>
      <c r="R94" s="205">
        <v>15</v>
      </c>
      <c r="S94" s="205">
        <v>15</v>
      </c>
      <c r="T94" s="205">
        <v>15</v>
      </c>
      <c r="U94" s="205">
        <v>15</v>
      </c>
      <c r="V94" s="205">
        <v>15</v>
      </c>
    </row>
    <row r="95" spans="1:22" x14ac:dyDescent="0.25">
      <c r="A95" t="s">
        <v>1084</v>
      </c>
      <c r="B95" t="s">
        <v>1096</v>
      </c>
      <c r="C95" t="s">
        <v>495</v>
      </c>
      <c r="D95" t="s">
        <v>1095</v>
      </c>
      <c r="E95" s="205"/>
      <c r="F95" s="205"/>
      <c r="G95" s="205"/>
      <c r="H95" s="205"/>
      <c r="I95" s="205"/>
      <c r="J95" s="205"/>
      <c r="K95" s="205"/>
      <c r="L95" s="205"/>
      <c r="M95" s="205"/>
      <c r="N95" s="205"/>
      <c r="O95" s="205"/>
      <c r="P95" s="205"/>
      <c r="Q95" s="205"/>
      <c r="R95" s="205"/>
      <c r="S95" s="205"/>
      <c r="T95" s="205"/>
      <c r="U95" s="205"/>
      <c r="V95" s="205"/>
    </row>
    <row r="97" spans="1:23" s="102" customFormat="1" x14ac:dyDescent="0.25">
      <c r="A97" s="102" t="s">
        <v>1088</v>
      </c>
      <c r="W97" s="120"/>
    </row>
    <row r="98" spans="1:23" x14ac:dyDescent="0.25">
      <c r="A98" t="s">
        <v>1088</v>
      </c>
      <c r="B98" t="s">
        <v>1091</v>
      </c>
      <c r="C98" t="s">
        <v>491</v>
      </c>
      <c r="E98" s="205"/>
      <c r="F98" s="205"/>
      <c r="G98" s="205"/>
      <c r="H98" s="205"/>
      <c r="I98" s="205"/>
      <c r="J98" s="205"/>
      <c r="K98" s="205"/>
      <c r="L98" s="205"/>
      <c r="M98" s="205"/>
      <c r="N98" s="205"/>
      <c r="O98" s="205"/>
      <c r="P98" s="205"/>
      <c r="Q98" s="205"/>
      <c r="R98" s="205"/>
      <c r="S98" s="205"/>
      <c r="T98" s="205"/>
      <c r="U98" s="205"/>
      <c r="V98" s="205"/>
    </row>
    <row r="99" spans="1:23" x14ac:dyDescent="0.25">
      <c r="A99" t="s">
        <v>1088</v>
      </c>
      <c r="B99" t="s">
        <v>1092</v>
      </c>
      <c r="C99" t="s">
        <v>491</v>
      </c>
      <c r="D99" t="s">
        <v>1093</v>
      </c>
      <c r="E99" s="205"/>
      <c r="F99" s="205"/>
      <c r="G99" s="205"/>
      <c r="H99" s="205"/>
      <c r="I99" s="205"/>
      <c r="J99" s="205"/>
      <c r="K99" s="205"/>
      <c r="L99" s="205"/>
      <c r="M99" s="205"/>
      <c r="N99" s="205"/>
      <c r="O99" s="205"/>
      <c r="P99" s="205"/>
      <c r="Q99" s="205"/>
      <c r="R99" s="205"/>
      <c r="S99" s="205"/>
      <c r="T99" s="205"/>
      <c r="U99" s="205"/>
      <c r="V99" s="205"/>
    </row>
    <row r="100" spans="1:23" x14ac:dyDescent="0.25">
      <c r="A100" t="s">
        <v>1088</v>
      </c>
      <c r="B100" t="s">
        <v>1094</v>
      </c>
      <c r="C100" t="s">
        <v>491</v>
      </c>
      <c r="D100" t="s">
        <v>1095</v>
      </c>
      <c r="E100" s="205"/>
      <c r="F100" s="205"/>
      <c r="G100" s="205"/>
      <c r="H100" s="205"/>
      <c r="I100" s="205"/>
      <c r="J100" s="205"/>
      <c r="K100" s="205"/>
      <c r="L100" s="205"/>
      <c r="M100" s="205"/>
      <c r="N100" s="205"/>
      <c r="O100" s="205"/>
      <c r="P100" s="205"/>
      <c r="Q100" s="205"/>
      <c r="R100" s="205"/>
      <c r="S100" s="205"/>
      <c r="T100" s="205"/>
      <c r="U100" s="205"/>
      <c r="V100" s="205"/>
    </row>
    <row r="101" spans="1:23" x14ac:dyDescent="0.25">
      <c r="A101" t="s">
        <v>1088</v>
      </c>
      <c r="B101" t="s">
        <v>1096</v>
      </c>
      <c r="C101" t="s">
        <v>491</v>
      </c>
      <c r="D101" t="s">
        <v>1095</v>
      </c>
      <c r="E101" s="205"/>
      <c r="F101" s="205"/>
      <c r="G101" s="205"/>
      <c r="H101" s="205"/>
      <c r="I101" s="205"/>
      <c r="J101" s="205"/>
      <c r="K101" s="205"/>
      <c r="L101" s="205"/>
      <c r="M101" s="205"/>
      <c r="N101" s="205"/>
      <c r="O101" s="205"/>
      <c r="P101" s="205"/>
      <c r="Q101" s="205"/>
      <c r="R101" s="205"/>
      <c r="S101" s="205"/>
      <c r="T101" s="205"/>
      <c r="U101" s="205"/>
      <c r="V101" s="205"/>
    </row>
    <row r="102" spans="1:23" s="23" customFormat="1" x14ac:dyDescent="0.25"/>
    <row r="103" spans="1:23" x14ac:dyDescent="0.25">
      <c r="A103" t="s">
        <v>1088</v>
      </c>
      <c r="B103" t="s">
        <v>1091</v>
      </c>
      <c r="C103" t="s">
        <v>492</v>
      </c>
      <c r="E103" s="205"/>
      <c r="F103" s="205"/>
      <c r="G103" s="205"/>
      <c r="H103" s="205"/>
      <c r="I103" s="205"/>
      <c r="J103" s="205"/>
      <c r="K103" s="205"/>
      <c r="L103" s="205"/>
      <c r="M103" s="205"/>
      <c r="N103" s="205"/>
      <c r="O103" s="205"/>
      <c r="P103" s="205"/>
      <c r="Q103" s="205"/>
      <c r="R103" s="205"/>
      <c r="S103" s="205"/>
      <c r="T103" s="205"/>
      <c r="U103" s="205"/>
      <c r="V103" s="205"/>
    </row>
    <row r="104" spans="1:23" x14ac:dyDescent="0.25">
      <c r="A104" t="s">
        <v>1088</v>
      </c>
      <c r="B104" t="s">
        <v>1092</v>
      </c>
      <c r="C104" t="s">
        <v>492</v>
      </c>
      <c r="D104" t="s">
        <v>1093</v>
      </c>
      <c r="E104" s="205"/>
      <c r="F104" s="205"/>
      <c r="G104" s="205"/>
      <c r="H104" s="205"/>
      <c r="I104" s="205"/>
      <c r="J104" s="205"/>
      <c r="K104" s="205"/>
      <c r="L104" s="205"/>
      <c r="M104" s="205"/>
      <c r="N104" s="205"/>
      <c r="O104" s="205"/>
      <c r="P104" s="205"/>
      <c r="Q104" s="205"/>
      <c r="R104" s="205"/>
      <c r="S104" s="205"/>
      <c r="T104" s="205"/>
      <c r="U104" s="205"/>
      <c r="V104" s="205"/>
    </row>
    <row r="105" spans="1:23" x14ac:dyDescent="0.25">
      <c r="A105" t="s">
        <v>1088</v>
      </c>
      <c r="B105" t="s">
        <v>1094</v>
      </c>
      <c r="C105" t="s">
        <v>492</v>
      </c>
      <c r="D105" t="s">
        <v>1095</v>
      </c>
      <c r="E105" s="205"/>
      <c r="F105" s="205"/>
      <c r="G105" s="205"/>
      <c r="H105" s="205"/>
      <c r="I105" s="205"/>
      <c r="J105" s="205"/>
      <c r="K105" s="205"/>
      <c r="L105" s="205"/>
      <c r="M105" s="205"/>
      <c r="N105" s="205"/>
      <c r="O105" s="205"/>
      <c r="P105" s="205"/>
      <c r="Q105" s="205"/>
      <c r="R105" s="205"/>
      <c r="S105" s="205"/>
      <c r="T105" s="205"/>
      <c r="U105" s="205"/>
      <c r="V105" s="205"/>
    </row>
    <row r="106" spans="1:23" x14ac:dyDescent="0.25">
      <c r="A106" t="s">
        <v>1088</v>
      </c>
      <c r="B106" t="s">
        <v>1096</v>
      </c>
      <c r="C106" t="s">
        <v>492</v>
      </c>
      <c r="D106" t="s">
        <v>1095</v>
      </c>
      <c r="E106" s="205"/>
      <c r="F106" s="205"/>
      <c r="G106" s="205"/>
      <c r="H106" s="205"/>
      <c r="I106" s="205"/>
      <c r="J106" s="205"/>
      <c r="K106" s="205"/>
      <c r="L106" s="205"/>
      <c r="M106" s="205"/>
      <c r="N106" s="205"/>
      <c r="O106" s="205"/>
      <c r="P106" s="205"/>
      <c r="Q106" s="205"/>
      <c r="R106" s="205"/>
      <c r="S106" s="205"/>
      <c r="T106" s="205"/>
      <c r="U106" s="205"/>
      <c r="V106" s="205"/>
    </row>
    <row r="107" spans="1:23" s="23" customFormat="1" x14ac:dyDescent="0.25"/>
    <row r="108" spans="1:23" x14ac:dyDescent="0.25">
      <c r="A108" t="s">
        <v>1088</v>
      </c>
      <c r="B108" t="s">
        <v>1091</v>
      </c>
      <c r="C108" t="s">
        <v>493</v>
      </c>
      <c r="E108" s="205"/>
      <c r="F108" s="205"/>
      <c r="G108" s="205"/>
      <c r="H108" s="205"/>
      <c r="I108" s="205"/>
      <c r="J108" s="205"/>
      <c r="K108" s="205"/>
      <c r="L108" s="205"/>
      <c r="M108" s="205"/>
      <c r="N108" s="205"/>
      <c r="O108" s="205"/>
      <c r="P108" s="205"/>
      <c r="Q108" s="205"/>
      <c r="R108" s="205"/>
      <c r="S108" s="205"/>
      <c r="T108" s="205"/>
      <c r="U108" s="205"/>
      <c r="V108" s="205"/>
    </row>
    <row r="109" spans="1:23" x14ac:dyDescent="0.25">
      <c r="A109" t="s">
        <v>1088</v>
      </c>
      <c r="B109" t="s">
        <v>1092</v>
      </c>
      <c r="C109" t="s">
        <v>493</v>
      </c>
      <c r="D109" t="s">
        <v>1093</v>
      </c>
      <c r="E109" s="205"/>
      <c r="F109" s="205"/>
      <c r="G109" s="205"/>
      <c r="H109" s="205"/>
      <c r="I109" s="205"/>
      <c r="J109" s="205"/>
      <c r="K109" s="205"/>
      <c r="L109" s="205"/>
      <c r="M109" s="205"/>
      <c r="N109" s="205"/>
      <c r="O109" s="205"/>
      <c r="P109" s="205"/>
      <c r="Q109" s="205"/>
      <c r="R109" s="205"/>
      <c r="S109" s="205"/>
      <c r="T109" s="205"/>
      <c r="U109" s="205"/>
      <c r="V109" s="205"/>
    </row>
    <row r="110" spans="1:23" x14ac:dyDescent="0.25">
      <c r="A110" t="s">
        <v>1088</v>
      </c>
      <c r="B110" t="s">
        <v>1094</v>
      </c>
      <c r="C110" t="s">
        <v>493</v>
      </c>
      <c r="D110" t="s">
        <v>1095</v>
      </c>
      <c r="E110" s="205"/>
      <c r="F110" s="205"/>
      <c r="G110" s="205"/>
      <c r="H110" s="205"/>
      <c r="I110" s="205"/>
      <c r="J110" s="205"/>
      <c r="K110" s="205"/>
      <c r="L110" s="205"/>
      <c r="M110" s="205"/>
      <c r="N110" s="205"/>
      <c r="O110" s="205"/>
      <c r="P110" s="205"/>
      <c r="Q110" s="205"/>
      <c r="R110" s="205"/>
      <c r="S110" s="205"/>
      <c r="T110" s="205"/>
      <c r="U110" s="205"/>
      <c r="V110" s="205"/>
    </row>
    <row r="111" spans="1:23" x14ac:dyDescent="0.25">
      <c r="A111" t="s">
        <v>1088</v>
      </c>
      <c r="B111" t="s">
        <v>1096</v>
      </c>
      <c r="C111" t="s">
        <v>493</v>
      </c>
      <c r="D111" t="s">
        <v>1095</v>
      </c>
      <c r="E111" s="205"/>
      <c r="F111" s="205"/>
      <c r="G111" s="205"/>
      <c r="H111" s="205"/>
      <c r="I111" s="205"/>
      <c r="J111" s="205"/>
      <c r="K111" s="205"/>
      <c r="L111" s="205"/>
      <c r="M111" s="205"/>
      <c r="N111" s="205"/>
      <c r="O111" s="205"/>
      <c r="P111" s="205"/>
      <c r="Q111" s="205"/>
      <c r="R111" s="205"/>
      <c r="S111" s="205"/>
      <c r="T111" s="205"/>
      <c r="U111" s="205"/>
      <c r="V111" s="205"/>
    </row>
    <row r="112" spans="1:23" s="23" customFormat="1" x14ac:dyDescent="0.25"/>
    <row r="113" spans="1:22" x14ac:dyDescent="0.25">
      <c r="A113" t="s">
        <v>1088</v>
      </c>
      <c r="B113" t="s">
        <v>1091</v>
      </c>
      <c r="C113" t="s">
        <v>494</v>
      </c>
      <c r="E113" s="205"/>
      <c r="F113" s="205"/>
      <c r="G113" s="205"/>
      <c r="H113" s="205"/>
      <c r="I113" s="205"/>
      <c r="J113" s="205"/>
      <c r="K113" s="205"/>
      <c r="L113" s="205"/>
      <c r="M113" s="205"/>
      <c r="N113" s="205"/>
      <c r="O113" s="205"/>
      <c r="P113" s="205"/>
      <c r="Q113" s="205"/>
      <c r="R113" s="205"/>
      <c r="S113" s="205"/>
      <c r="T113" s="205"/>
      <c r="U113" s="205"/>
      <c r="V113" s="205"/>
    </row>
    <row r="114" spans="1:22" x14ac:dyDescent="0.25">
      <c r="A114" t="s">
        <v>1088</v>
      </c>
      <c r="B114" t="s">
        <v>1092</v>
      </c>
      <c r="C114" t="s">
        <v>494</v>
      </c>
      <c r="D114" t="s">
        <v>1093</v>
      </c>
      <c r="E114" s="205"/>
      <c r="F114" s="205"/>
      <c r="G114" s="205"/>
      <c r="H114" s="205"/>
      <c r="I114" s="205"/>
      <c r="J114" s="205"/>
      <c r="K114" s="205"/>
      <c r="L114" s="205"/>
      <c r="M114" s="205"/>
      <c r="N114" s="205"/>
      <c r="O114" s="205"/>
      <c r="P114" s="205"/>
      <c r="Q114" s="205"/>
      <c r="R114" s="205"/>
      <c r="S114" s="205"/>
      <c r="T114" s="205"/>
      <c r="U114" s="205"/>
      <c r="V114" s="205"/>
    </row>
    <row r="115" spans="1:22" x14ac:dyDescent="0.25">
      <c r="A115" t="s">
        <v>1088</v>
      </c>
      <c r="B115" t="s">
        <v>1094</v>
      </c>
      <c r="C115" t="s">
        <v>494</v>
      </c>
      <c r="D115" t="s">
        <v>1095</v>
      </c>
      <c r="E115" s="205"/>
      <c r="F115" s="205"/>
      <c r="G115" s="205"/>
      <c r="H115" s="205"/>
      <c r="I115" s="205"/>
      <c r="J115" s="205"/>
      <c r="K115" s="205"/>
      <c r="L115" s="205"/>
      <c r="M115" s="205"/>
      <c r="N115" s="205"/>
      <c r="O115" s="205"/>
      <c r="P115" s="205"/>
      <c r="Q115" s="205"/>
      <c r="R115" s="205"/>
      <c r="S115" s="205"/>
      <c r="T115" s="205"/>
      <c r="U115" s="205"/>
      <c r="V115" s="205"/>
    </row>
    <row r="116" spans="1:22" x14ac:dyDescent="0.25">
      <c r="A116" t="s">
        <v>1088</v>
      </c>
      <c r="B116" t="s">
        <v>1096</v>
      </c>
      <c r="C116" t="s">
        <v>494</v>
      </c>
      <c r="D116" t="s">
        <v>1095</v>
      </c>
      <c r="E116" s="205"/>
      <c r="F116" s="205"/>
      <c r="G116" s="205"/>
      <c r="H116" s="205"/>
      <c r="I116" s="205"/>
      <c r="J116" s="205"/>
      <c r="K116" s="205"/>
      <c r="L116" s="205"/>
      <c r="M116" s="205"/>
      <c r="N116" s="205"/>
      <c r="O116" s="205"/>
      <c r="P116" s="205"/>
      <c r="Q116" s="205"/>
      <c r="R116" s="205"/>
      <c r="S116" s="205"/>
      <c r="T116" s="205"/>
      <c r="U116" s="205"/>
      <c r="V116" s="205"/>
    </row>
    <row r="117" spans="1:22" s="23" customFormat="1" x14ac:dyDescent="0.25"/>
    <row r="118" spans="1:22" x14ac:dyDescent="0.25">
      <c r="A118" t="s">
        <v>1088</v>
      </c>
      <c r="B118" t="s">
        <v>1091</v>
      </c>
      <c r="C118" t="s">
        <v>498</v>
      </c>
      <c r="E118" s="205"/>
      <c r="F118" s="205"/>
      <c r="G118" s="205"/>
      <c r="H118" s="205"/>
      <c r="I118" s="205"/>
      <c r="J118" s="205"/>
      <c r="K118" s="205"/>
      <c r="L118" s="205"/>
      <c r="M118" s="205"/>
      <c r="N118" s="205"/>
      <c r="O118" s="205"/>
      <c r="P118" s="205"/>
      <c r="Q118" s="205"/>
      <c r="R118" s="205"/>
      <c r="S118" s="205"/>
      <c r="T118" s="205"/>
      <c r="U118" s="205"/>
      <c r="V118" s="205"/>
    </row>
    <row r="119" spans="1:22" x14ac:dyDescent="0.25">
      <c r="A119" t="s">
        <v>1088</v>
      </c>
      <c r="B119" t="s">
        <v>1092</v>
      </c>
      <c r="C119" t="s">
        <v>498</v>
      </c>
      <c r="D119" t="s">
        <v>1093</v>
      </c>
      <c r="E119" s="205"/>
      <c r="F119" s="205"/>
      <c r="G119" s="205"/>
      <c r="H119" s="205"/>
      <c r="I119" s="205"/>
      <c r="J119" s="205"/>
      <c r="K119" s="205"/>
      <c r="L119" s="205"/>
      <c r="M119" s="205"/>
      <c r="N119" s="205"/>
      <c r="O119" s="205"/>
      <c r="P119" s="205"/>
      <c r="Q119" s="205"/>
      <c r="R119" s="205"/>
      <c r="S119" s="205"/>
      <c r="T119" s="205"/>
      <c r="U119" s="205"/>
      <c r="V119" s="205"/>
    </row>
    <row r="120" spans="1:22" x14ac:dyDescent="0.25">
      <c r="A120" t="s">
        <v>1088</v>
      </c>
      <c r="B120" t="s">
        <v>1094</v>
      </c>
      <c r="C120" t="s">
        <v>498</v>
      </c>
      <c r="D120" t="s">
        <v>1095</v>
      </c>
      <c r="E120" s="205"/>
      <c r="F120" s="205"/>
      <c r="G120" s="205"/>
      <c r="H120" s="205"/>
      <c r="I120" s="205"/>
      <c r="J120" s="205"/>
      <c r="K120" s="205"/>
      <c r="L120" s="205"/>
      <c r="M120" s="205"/>
      <c r="N120" s="205"/>
      <c r="O120" s="205"/>
      <c r="P120" s="205"/>
      <c r="Q120" s="205"/>
      <c r="R120" s="205"/>
      <c r="S120" s="205"/>
      <c r="T120" s="205"/>
      <c r="U120" s="205"/>
      <c r="V120" s="205"/>
    </row>
    <row r="121" spans="1:22" x14ac:dyDescent="0.25">
      <c r="A121" t="s">
        <v>1088</v>
      </c>
      <c r="B121" t="s">
        <v>1096</v>
      </c>
      <c r="C121" t="s">
        <v>498</v>
      </c>
      <c r="D121" t="s">
        <v>1095</v>
      </c>
      <c r="E121" s="205"/>
      <c r="F121" s="205"/>
      <c r="G121" s="205"/>
      <c r="H121" s="205"/>
      <c r="I121" s="205"/>
      <c r="J121" s="205"/>
      <c r="K121" s="205"/>
      <c r="L121" s="205"/>
      <c r="M121" s="205"/>
      <c r="N121" s="205"/>
      <c r="O121" s="205"/>
      <c r="P121" s="205"/>
      <c r="Q121" s="205"/>
      <c r="R121" s="205"/>
      <c r="S121" s="205"/>
      <c r="T121" s="205"/>
      <c r="U121" s="205"/>
      <c r="V121" s="205"/>
    </row>
    <row r="122" spans="1:22" s="23" customFormat="1" x14ac:dyDescent="0.25"/>
    <row r="123" spans="1:22" x14ac:dyDescent="0.25">
      <c r="A123" t="s">
        <v>1088</v>
      </c>
      <c r="B123" t="s">
        <v>1091</v>
      </c>
      <c r="C123" t="s">
        <v>495</v>
      </c>
      <c r="E123" s="205"/>
      <c r="F123" s="205"/>
      <c r="G123" s="205"/>
      <c r="H123" s="205"/>
      <c r="I123" s="205"/>
      <c r="J123" s="205"/>
      <c r="K123" s="205"/>
      <c r="L123" s="205"/>
      <c r="M123" s="205"/>
      <c r="N123" s="205"/>
      <c r="O123" s="205"/>
      <c r="P123" s="205"/>
      <c r="Q123" s="205"/>
      <c r="R123" s="205"/>
      <c r="S123" s="205"/>
      <c r="T123" s="205"/>
      <c r="U123" s="205"/>
      <c r="V123" s="205"/>
    </row>
    <row r="124" spans="1:22" x14ac:dyDescent="0.25">
      <c r="A124" t="s">
        <v>1088</v>
      </c>
      <c r="B124" t="s">
        <v>1092</v>
      </c>
      <c r="C124" t="s">
        <v>495</v>
      </c>
      <c r="D124" t="s">
        <v>1093</v>
      </c>
      <c r="E124" s="205"/>
      <c r="F124" s="205"/>
      <c r="G124" s="205"/>
      <c r="H124" s="205"/>
      <c r="I124" s="205"/>
      <c r="J124" s="205"/>
      <c r="K124" s="205"/>
      <c r="L124" s="205"/>
      <c r="M124" s="205"/>
      <c r="N124" s="205"/>
      <c r="O124" s="205"/>
      <c r="P124" s="205"/>
      <c r="Q124" s="205"/>
      <c r="R124" s="205"/>
      <c r="S124" s="205"/>
      <c r="T124" s="205"/>
      <c r="U124" s="205"/>
      <c r="V124" s="205"/>
    </row>
    <row r="125" spans="1:22" x14ac:dyDescent="0.25">
      <c r="A125" t="s">
        <v>1088</v>
      </c>
      <c r="B125" t="s">
        <v>1094</v>
      </c>
      <c r="C125" t="s">
        <v>495</v>
      </c>
      <c r="D125" t="s">
        <v>1095</v>
      </c>
      <c r="E125" s="205"/>
      <c r="F125" s="205"/>
      <c r="G125" s="205"/>
      <c r="H125" s="205"/>
      <c r="I125" s="205"/>
      <c r="J125" s="205"/>
      <c r="K125" s="205"/>
      <c r="L125" s="205"/>
      <c r="M125" s="205"/>
      <c r="N125" s="205"/>
      <c r="O125" s="205"/>
      <c r="P125" s="205"/>
      <c r="Q125" s="205"/>
      <c r="R125" s="205"/>
      <c r="S125" s="205"/>
      <c r="T125" s="205"/>
      <c r="U125" s="205"/>
      <c r="V125" s="205"/>
    </row>
    <row r="126" spans="1:22" x14ac:dyDescent="0.25">
      <c r="A126" t="s">
        <v>1088</v>
      </c>
      <c r="B126" t="s">
        <v>1096</v>
      </c>
      <c r="C126" t="s">
        <v>495</v>
      </c>
      <c r="D126" t="s">
        <v>1095</v>
      </c>
      <c r="E126" s="205"/>
      <c r="F126" s="205"/>
      <c r="G126" s="205"/>
      <c r="H126" s="205"/>
      <c r="I126" s="205"/>
      <c r="J126" s="205"/>
      <c r="K126" s="205"/>
      <c r="L126" s="205"/>
      <c r="M126" s="205"/>
      <c r="N126" s="205"/>
      <c r="O126" s="205"/>
      <c r="P126" s="205"/>
      <c r="Q126" s="205"/>
      <c r="R126" s="205"/>
      <c r="S126" s="205"/>
      <c r="T126" s="205"/>
      <c r="U126" s="205"/>
      <c r="V126" s="205"/>
    </row>
    <row r="128" spans="1:22" s="5" customFormat="1" ht="21" x14ac:dyDescent="0.35">
      <c r="B128" s="6" t="s">
        <v>619</v>
      </c>
      <c r="E128" s="5" t="s">
        <v>881</v>
      </c>
    </row>
    <row r="130" spans="1:25" s="102" customFormat="1" x14ac:dyDescent="0.25">
      <c r="A130" s="102" t="s">
        <v>1084</v>
      </c>
      <c r="W130" s="120"/>
      <c r="Y130" t="s">
        <v>159</v>
      </c>
    </row>
    <row r="131" spans="1:25" x14ac:dyDescent="0.25">
      <c r="A131" t="s">
        <v>1084</v>
      </c>
      <c r="B131" t="s">
        <v>619</v>
      </c>
      <c r="C131" t="s">
        <v>491</v>
      </c>
      <c r="D131" t="s">
        <v>892</v>
      </c>
      <c r="E131" s="114">
        <v>0</v>
      </c>
      <c r="F131" s="114">
        <v>0</v>
      </c>
      <c r="G131" s="114">
        <v>0</v>
      </c>
      <c r="H131" s="114">
        <v>0</v>
      </c>
      <c r="I131" s="114">
        <v>0</v>
      </c>
      <c r="J131" s="114">
        <v>0.5</v>
      </c>
      <c r="K131" s="114">
        <v>4</v>
      </c>
      <c r="L131" s="114">
        <v>0</v>
      </c>
      <c r="M131" s="114">
        <v>2.2999999999999998</v>
      </c>
      <c r="N131" s="114">
        <v>0</v>
      </c>
      <c r="O131" s="114">
        <v>0.8</v>
      </c>
      <c r="P131" s="114">
        <v>6.2729400000000005E-2</v>
      </c>
      <c r="Q131" s="114">
        <v>8.9730699999999997E-2</v>
      </c>
      <c r="R131" s="114">
        <v>0.22508945</v>
      </c>
      <c r="S131" s="114">
        <v>0.36675619999999998</v>
      </c>
      <c r="T131" s="114">
        <v>0.26447144</v>
      </c>
      <c r="U131" s="114">
        <f>0.0681*6-0.0024</f>
        <v>0.40619999999999995</v>
      </c>
      <c r="V131" s="114">
        <f>0.0681*7-0.0024</f>
        <v>0.47429999999999994</v>
      </c>
      <c r="Y131" t="s">
        <v>156</v>
      </c>
    </row>
    <row r="132" spans="1:25" x14ac:dyDescent="0.25">
      <c r="A132" t="s">
        <v>1084</v>
      </c>
      <c r="B132" t="s">
        <v>619</v>
      </c>
      <c r="C132" t="s">
        <v>492</v>
      </c>
      <c r="D132" t="s">
        <v>892</v>
      </c>
      <c r="E132" s="114">
        <v>0</v>
      </c>
      <c r="F132" s="114">
        <v>0</v>
      </c>
      <c r="G132" s="114">
        <v>0</v>
      </c>
      <c r="H132" s="114">
        <v>0</v>
      </c>
      <c r="I132" s="114">
        <v>0</v>
      </c>
      <c r="J132" s="114">
        <v>0</v>
      </c>
      <c r="K132" s="114">
        <v>0</v>
      </c>
      <c r="L132" s="114">
        <v>0</v>
      </c>
      <c r="M132" s="114">
        <v>0</v>
      </c>
      <c r="N132" s="114">
        <v>0</v>
      </c>
      <c r="O132" s="114">
        <v>0</v>
      </c>
      <c r="P132" s="114">
        <v>7.4282724</v>
      </c>
      <c r="Q132" s="114">
        <v>9.7598354900000004</v>
      </c>
      <c r="R132" s="114">
        <v>13.850998000000001</v>
      </c>
      <c r="S132" s="114">
        <v>20.473245599999998</v>
      </c>
      <c r="T132" s="114">
        <v>27.0194486</v>
      </c>
      <c r="U132" s="114">
        <f>4.9896*6+0.7376</f>
        <v>30.675200000000004</v>
      </c>
      <c r="V132" s="114">
        <f>4.9896*7+0.7376</f>
        <v>35.6648</v>
      </c>
      <c r="Y132" t="s">
        <v>156</v>
      </c>
    </row>
    <row r="133" spans="1:25" x14ac:dyDescent="0.25">
      <c r="A133" t="s">
        <v>1084</v>
      </c>
      <c r="B133" t="s">
        <v>619</v>
      </c>
      <c r="C133" t="s">
        <v>493</v>
      </c>
      <c r="D133" t="s">
        <v>892</v>
      </c>
      <c r="E133" s="114">
        <v>0</v>
      </c>
      <c r="F133" s="114">
        <v>0</v>
      </c>
      <c r="G133" s="114">
        <v>0</v>
      </c>
      <c r="H133" s="114">
        <v>0</v>
      </c>
      <c r="I133" s="114">
        <v>0</v>
      </c>
      <c r="J133" s="114">
        <v>0</v>
      </c>
      <c r="K133" s="114">
        <v>39.200000000000003</v>
      </c>
      <c r="L133" s="114">
        <v>12.3</v>
      </c>
      <c r="M133" s="114">
        <v>3.8</v>
      </c>
      <c r="N133" s="114">
        <v>1</v>
      </c>
      <c r="O133" s="114">
        <v>13.1</v>
      </c>
      <c r="P133" s="114">
        <v>30.791641599999998</v>
      </c>
      <c r="Q133" s="114">
        <v>42.4169348</v>
      </c>
      <c r="R133" s="114">
        <v>56.865404300000002</v>
      </c>
      <c r="S133" s="114">
        <v>76.913263599999993</v>
      </c>
      <c r="T133" s="114">
        <v>98.971485799999996</v>
      </c>
      <c r="U133" s="114">
        <f>17.086*6+9.9349</f>
        <v>112.45089999999999</v>
      </c>
      <c r="V133" s="114">
        <f>17.086*7+9.9349</f>
        <v>129.5369</v>
      </c>
      <c r="Y133" t="s">
        <v>156</v>
      </c>
    </row>
    <row r="134" spans="1:25" x14ac:dyDescent="0.25">
      <c r="A134" t="s">
        <v>1084</v>
      </c>
      <c r="B134" t="s">
        <v>619</v>
      </c>
      <c r="C134" t="s">
        <v>494</v>
      </c>
      <c r="D134" t="s">
        <v>892</v>
      </c>
      <c r="E134" s="114">
        <v>0</v>
      </c>
      <c r="F134" s="114">
        <v>0</v>
      </c>
      <c r="G134" s="114">
        <v>0</v>
      </c>
      <c r="H134" s="114">
        <v>0</v>
      </c>
      <c r="I134" s="114">
        <v>0</v>
      </c>
      <c r="J134" s="114">
        <v>643</v>
      </c>
      <c r="K134" s="114">
        <v>442</v>
      </c>
      <c r="L134" s="114">
        <v>750</v>
      </c>
      <c r="M134" s="114">
        <v>696</v>
      </c>
      <c r="N134" s="114">
        <v>744</v>
      </c>
      <c r="O134" s="114">
        <v>1423</v>
      </c>
      <c r="P134" s="114">
        <v>334.01256699999999</v>
      </c>
      <c r="Q134" s="114">
        <v>403.31958700000001</v>
      </c>
      <c r="R134" s="114">
        <v>473.98182600000001</v>
      </c>
      <c r="S134" s="114">
        <v>483.54310700000002</v>
      </c>
      <c r="T134" s="114">
        <v>555.68247199999996</v>
      </c>
      <c r="U134" s="114">
        <f>52.356*6+293.04</f>
        <v>607.17600000000004</v>
      </c>
      <c r="V134" s="114">
        <f>52.356*7+293.04</f>
        <v>659.53200000000004</v>
      </c>
      <c r="Y134" t="s">
        <v>156</v>
      </c>
    </row>
    <row r="135" spans="1:25" x14ac:dyDescent="0.25">
      <c r="A135" t="s">
        <v>1084</v>
      </c>
      <c r="B135" t="s">
        <v>619</v>
      </c>
      <c r="C135" t="s">
        <v>498</v>
      </c>
      <c r="D135" t="s">
        <v>892</v>
      </c>
      <c r="E135" s="114">
        <v>0</v>
      </c>
      <c r="F135" s="114">
        <v>0</v>
      </c>
      <c r="G135" s="114">
        <v>0</v>
      </c>
      <c r="H135" s="114">
        <v>0</v>
      </c>
      <c r="I135" s="114">
        <v>0</v>
      </c>
      <c r="J135" s="114">
        <v>0</v>
      </c>
      <c r="K135" s="114">
        <v>100</v>
      </c>
      <c r="L135" s="114">
        <v>0</v>
      </c>
      <c r="M135" s="114">
        <v>0</v>
      </c>
      <c r="N135" s="114">
        <v>0</v>
      </c>
      <c r="O135" s="114">
        <v>0</v>
      </c>
      <c r="P135" s="114">
        <v>0</v>
      </c>
      <c r="Q135" s="114">
        <v>0</v>
      </c>
      <c r="R135" s="114">
        <v>0</v>
      </c>
      <c r="S135" s="114">
        <v>0</v>
      </c>
      <c r="T135" s="114">
        <v>0</v>
      </c>
      <c r="U135" s="114">
        <v>0</v>
      </c>
      <c r="V135" s="114">
        <v>0</v>
      </c>
      <c r="Y135" t="s">
        <v>156</v>
      </c>
    </row>
    <row r="136" spans="1:25" x14ac:dyDescent="0.25">
      <c r="A136" t="s">
        <v>1084</v>
      </c>
      <c r="B136" t="s">
        <v>619</v>
      </c>
      <c r="C136" t="s">
        <v>495</v>
      </c>
      <c r="D136" t="s">
        <v>892</v>
      </c>
      <c r="E136" s="114">
        <v>0</v>
      </c>
      <c r="F136" s="114">
        <v>0</v>
      </c>
      <c r="G136" s="114">
        <v>0</v>
      </c>
      <c r="H136" s="114">
        <v>0</v>
      </c>
      <c r="I136" s="114">
        <v>0</v>
      </c>
      <c r="J136" s="114">
        <v>0</v>
      </c>
      <c r="K136" s="114">
        <v>79</v>
      </c>
      <c r="L136" s="114">
        <v>14.2</v>
      </c>
      <c r="M136" s="114">
        <v>22</v>
      </c>
      <c r="N136" s="114">
        <v>5.8</v>
      </c>
      <c r="O136" s="114">
        <v>44.7</v>
      </c>
      <c r="P136" s="114">
        <v>52.6104603</v>
      </c>
      <c r="Q136" s="114">
        <v>67.579682700000006</v>
      </c>
      <c r="R136" s="114">
        <v>87.971174399999995</v>
      </c>
      <c r="S136" s="114">
        <v>103.67568900000001</v>
      </c>
      <c r="T136" s="114">
        <v>141.83149499999999</v>
      </c>
      <c r="U136" s="114">
        <f>21.454*6+26.372</f>
        <v>155.096</v>
      </c>
      <c r="V136" s="114">
        <f>21.454*7+26.372</f>
        <v>176.55</v>
      </c>
      <c r="Y136" t="s">
        <v>156</v>
      </c>
    </row>
    <row r="138" spans="1:25" x14ac:dyDescent="0.25">
      <c r="A138" t="s">
        <v>1084</v>
      </c>
      <c r="B138" t="s">
        <v>619</v>
      </c>
      <c r="C138" t="s">
        <v>491</v>
      </c>
      <c r="D138" s="118" t="s">
        <v>1097</v>
      </c>
      <c r="E138" s="117">
        <f>+(E131*0.001)*'Conversion factors'!$B$9</f>
        <v>0</v>
      </c>
      <c r="F138" s="117">
        <f>+(F131*0.001)*'Conversion factors'!$B$9</f>
        <v>0</v>
      </c>
      <c r="G138" s="117">
        <f>+(G131*0.001)*'Conversion factors'!$B$9</f>
        <v>0</v>
      </c>
      <c r="H138" s="117">
        <f>+(H131*0.001)*'Conversion factors'!$B$9</f>
        <v>0</v>
      </c>
      <c r="I138" s="117">
        <f>+(I131*0.001)*'Conversion factors'!$B$9</f>
        <v>0</v>
      </c>
      <c r="J138" s="117">
        <f>+(J131*0.001)*'Conversion factors'!$B$9</f>
        <v>5.8500000000000005</v>
      </c>
      <c r="K138" s="117">
        <f>+(K131*0.001)*'Conversion factors'!$B$9</f>
        <v>46.800000000000004</v>
      </c>
      <c r="L138" s="117">
        <f>+(L131*0.001)*'Conversion factors'!$B$9</f>
        <v>0</v>
      </c>
      <c r="M138" s="117">
        <f>+(M131*0.001)*'Conversion factors'!$B$9</f>
        <v>26.91</v>
      </c>
      <c r="N138" s="117">
        <f>+(N131*0.001)*'Conversion factors'!$B$9</f>
        <v>0</v>
      </c>
      <c r="O138" s="117">
        <f>+(O131*0.001)*'Conversion factors'!$B$9</f>
        <v>9.3600000000000012</v>
      </c>
      <c r="P138" s="117">
        <f>+(P131*0.001)*'Conversion factors'!$B$9</f>
        <v>0.73393397999999999</v>
      </c>
      <c r="Q138" s="117">
        <f>+(Q131*0.001)*'Conversion factors'!$B$9</f>
        <v>1.04984919</v>
      </c>
      <c r="R138" s="117">
        <f>+(R131*0.001)*'Conversion factors'!$B$9</f>
        <v>2.6335465650000001</v>
      </c>
      <c r="S138" s="117">
        <f>+(S131*0.001)*'Conversion factors'!$B$9</f>
        <v>4.2910475400000001</v>
      </c>
      <c r="T138" s="117">
        <f>+(T131*0.001)*'Conversion factors'!$B$9</f>
        <v>3.0943158479999999</v>
      </c>
      <c r="U138" s="117">
        <f>+(U131*0.001)*'Conversion factors'!$B$9</f>
        <v>4.7525399999999998</v>
      </c>
      <c r="V138" s="117">
        <f>+(V131*0.001)*'Conversion factors'!$B$9</f>
        <v>5.5493099999999993</v>
      </c>
    </row>
    <row r="139" spans="1:25" x14ac:dyDescent="0.25">
      <c r="A139" t="s">
        <v>1084</v>
      </c>
      <c r="B139" t="s">
        <v>619</v>
      </c>
      <c r="C139" t="s">
        <v>492</v>
      </c>
      <c r="D139" s="118" t="s">
        <v>1097</v>
      </c>
      <c r="E139" s="117">
        <f>+(E132*0.001)*'Conversion factors'!$B$10</f>
        <v>0</v>
      </c>
      <c r="F139" s="117">
        <f>+(F132*0.001)*'Conversion factors'!$B$10</f>
        <v>0</v>
      </c>
      <c r="G139" s="117">
        <f>+(G132*0.001)*'Conversion factors'!$B$10</f>
        <v>0</v>
      </c>
      <c r="H139" s="117">
        <f>+(H132*0.001)*'Conversion factors'!$B$10</f>
        <v>0</v>
      </c>
      <c r="I139" s="117">
        <f>+(I132*0.001)*'Conversion factors'!$B$10</f>
        <v>0</v>
      </c>
      <c r="J139" s="117">
        <f>+(J132*0.001)*'Conversion factors'!$B$10</f>
        <v>0</v>
      </c>
      <c r="K139" s="117">
        <f>+(K132*0.001)*'Conversion factors'!$B$10</f>
        <v>0</v>
      </c>
      <c r="L139" s="117">
        <f>+(L132*0.001)*'Conversion factors'!$B$10</f>
        <v>0</v>
      </c>
      <c r="M139" s="117">
        <f>+(M132*0.001)*'Conversion factors'!$B$10</f>
        <v>0</v>
      </c>
      <c r="N139" s="117">
        <f>+(N132*0.001)*'Conversion factors'!$B$10</f>
        <v>0</v>
      </c>
      <c r="O139" s="117">
        <f>+(O132*0.001)*'Conversion factors'!$B$10</f>
        <v>0</v>
      </c>
      <c r="P139" s="117">
        <f>+(P132*0.001)*'Conversion factors'!$B$10</f>
        <v>4.8283770600000002</v>
      </c>
      <c r="Q139" s="117">
        <f>+(Q132*0.001)*'Conversion factors'!$B$10</f>
        <v>6.3438930684999999</v>
      </c>
      <c r="R139" s="117">
        <f>+(R132*0.001)*'Conversion factors'!$B$10</f>
        <v>9.0031487000000006</v>
      </c>
      <c r="S139" s="117">
        <f>+(S132*0.001)*'Conversion factors'!$B$10</f>
        <v>13.307609639999999</v>
      </c>
      <c r="T139" s="117">
        <f>+(T132*0.001)*'Conversion factors'!$B$10</f>
        <v>17.562641590000002</v>
      </c>
      <c r="U139" s="117">
        <f>+(U132*0.001)*'Conversion factors'!$B$10</f>
        <v>19.938880000000001</v>
      </c>
      <c r="V139" s="117">
        <f>+(V132*0.001)*'Conversion factors'!$B$10</f>
        <v>23.182120000000001</v>
      </c>
    </row>
    <row r="140" spans="1:25" x14ac:dyDescent="0.25">
      <c r="A140" t="s">
        <v>1084</v>
      </c>
      <c r="B140" t="s">
        <v>619</v>
      </c>
      <c r="C140" t="s">
        <v>493</v>
      </c>
      <c r="D140" s="118" t="s">
        <v>1097</v>
      </c>
      <c r="E140" s="117">
        <f>+(E133*0.001)*'Conversion factors'!$B$11</f>
        <v>0</v>
      </c>
      <c r="F140" s="117">
        <f>+(F133*0.001)*'Conversion factors'!$B$11</f>
        <v>0</v>
      </c>
      <c r="G140" s="117">
        <f>+(G133*0.001)*'Conversion factors'!$B$11</f>
        <v>0</v>
      </c>
      <c r="H140" s="117">
        <f>+(H133*0.001)*'Conversion factors'!$B$11</f>
        <v>0</v>
      </c>
      <c r="I140" s="117">
        <f>+(I133*0.001)*'Conversion factors'!$B$11</f>
        <v>0</v>
      </c>
      <c r="J140" s="117">
        <f>+(J133*0.001)*'Conversion factors'!$B$11</f>
        <v>0</v>
      </c>
      <c r="K140" s="117">
        <f>+(K133*0.001)*'Conversion factors'!$B$11</f>
        <v>109.76000000000002</v>
      </c>
      <c r="L140" s="117">
        <f>+(L133*0.001)*'Conversion factors'!$B$11</f>
        <v>34.44</v>
      </c>
      <c r="M140" s="117">
        <f>+(M133*0.001)*'Conversion factors'!$B$11</f>
        <v>10.64</v>
      </c>
      <c r="N140" s="117">
        <f>+(N133*0.001)*'Conversion factors'!$B$11</f>
        <v>2.8000000000000003</v>
      </c>
      <c r="O140" s="117">
        <f>+(O133*0.001)*'Conversion factors'!$B$11</f>
        <v>36.68</v>
      </c>
      <c r="P140" s="117">
        <f>+(P133*0.001)*'Conversion factors'!$B$11</f>
        <v>86.216596479999993</v>
      </c>
      <c r="Q140" s="117">
        <f>+(Q133*0.001)*'Conversion factors'!$B$11</f>
        <v>118.76741744</v>
      </c>
      <c r="R140" s="117">
        <f>+(R133*0.001)*'Conversion factors'!$B$11</f>
        <v>159.22313204000002</v>
      </c>
      <c r="S140" s="117">
        <f>+(S133*0.001)*'Conversion factors'!$B$11</f>
        <v>215.35713807999997</v>
      </c>
      <c r="T140" s="117">
        <f>+(T133*0.001)*'Conversion factors'!$B$11</f>
        <v>277.12016023999996</v>
      </c>
      <c r="U140" s="117">
        <f>+(U133*0.001)*'Conversion factors'!$B$11</f>
        <v>314.86251999999996</v>
      </c>
      <c r="V140" s="117">
        <f>+(V133*0.001)*'Conversion factors'!$B$11</f>
        <v>362.70332000000002</v>
      </c>
    </row>
    <row r="141" spans="1:25" x14ac:dyDescent="0.25">
      <c r="A141" t="s">
        <v>1084</v>
      </c>
      <c r="B141" t="s">
        <v>619</v>
      </c>
      <c r="C141" t="s">
        <v>494</v>
      </c>
      <c r="D141" s="118" t="s">
        <v>1097</v>
      </c>
      <c r="E141" s="117">
        <f>+(E134*0.001)*'Conversion factors'!$B$12</f>
        <v>0</v>
      </c>
      <c r="F141" s="117">
        <f>+(F134*0.001)*'Conversion factors'!$B$12</f>
        <v>0</v>
      </c>
      <c r="G141" s="117">
        <f>+(G134*0.001)*'Conversion factors'!$B$12</f>
        <v>0</v>
      </c>
      <c r="H141" s="117">
        <f>+(H134*0.001)*'Conversion factors'!$B$12</f>
        <v>0</v>
      </c>
      <c r="I141" s="117">
        <f>+(I134*0.001)*'Conversion factors'!$B$12</f>
        <v>0</v>
      </c>
      <c r="J141" s="117">
        <f>+(J134*0.001)*'Conversion factors'!$B$12</f>
        <v>835.9</v>
      </c>
      <c r="K141" s="117">
        <f>+(K134*0.001)*'Conversion factors'!$B$12</f>
        <v>574.6</v>
      </c>
      <c r="L141" s="117">
        <f>+(L134*0.001)*'Conversion factors'!$B$12</f>
        <v>975</v>
      </c>
      <c r="M141" s="117">
        <f>+(M134*0.001)*'Conversion factors'!$B$12</f>
        <v>904.80000000000007</v>
      </c>
      <c r="N141" s="117">
        <f>+(N134*0.001)*'Conversion factors'!$B$12</f>
        <v>967.2</v>
      </c>
      <c r="O141" s="117">
        <f>+(O134*0.001)*'Conversion factors'!$B$12</f>
        <v>1849.9</v>
      </c>
      <c r="P141" s="117">
        <f>+(P134*0.001)*'Conversion factors'!$B$12</f>
        <v>434.21633709999998</v>
      </c>
      <c r="Q141" s="117">
        <f>+(Q134*0.001)*'Conversion factors'!$B$12</f>
        <v>524.3154631000001</v>
      </c>
      <c r="R141" s="117">
        <f>+(R134*0.001)*'Conversion factors'!$B$12</f>
        <v>616.17637379999996</v>
      </c>
      <c r="S141" s="117">
        <f>+(S134*0.001)*'Conversion factors'!$B$12</f>
        <v>628.60603910000009</v>
      </c>
      <c r="T141" s="117">
        <f>+(T134*0.001)*'Conversion factors'!$B$12</f>
        <v>722.3872136</v>
      </c>
      <c r="U141" s="117">
        <f>+(U134*0.001)*'Conversion factors'!$B$12</f>
        <v>789.32880000000011</v>
      </c>
      <c r="V141" s="117">
        <f>+(V134*0.001)*'Conversion factors'!$B$12</f>
        <v>857.39160000000004</v>
      </c>
    </row>
    <row r="142" spans="1:25" x14ac:dyDescent="0.25">
      <c r="A142" t="s">
        <v>1084</v>
      </c>
      <c r="B142" t="s">
        <v>619</v>
      </c>
      <c r="C142" t="s">
        <v>498</v>
      </c>
      <c r="D142" s="118" t="s">
        <v>1097</v>
      </c>
      <c r="E142" s="117">
        <f>+(E135*0.001)*'Conversion factors'!$B$16</f>
        <v>0</v>
      </c>
      <c r="F142" s="117">
        <f>+(F135*0.001)*'Conversion factors'!$B$16</f>
        <v>0</v>
      </c>
      <c r="G142" s="117">
        <f>+(G135*0.001)*'Conversion factors'!$B$16</f>
        <v>0</v>
      </c>
      <c r="H142" s="117">
        <f>+(H135*0.001)*'Conversion factors'!$B$16</f>
        <v>0</v>
      </c>
      <c r="I142" s="117">
        <f>+(I135*0.001)*'Conversion factors'!$B$16</f>
        <v>0</v>
      </c>
      <c r="J142" s="117">
        <f>+(J135*0.001)*'Conversion factors'!$B$16</f>
        <v>0</v>
      </c>
      <c r="K142" s="117">
        <f>+(K135*0.001)*'Conversion factors'!$B$16</f>
        <v>14</v>
      </c>
      <c r="L142" s="117">
        <f>+(L135*0.001)*'Conversion factors'!$B$16</f>
        <v>0</v>
      </c>
      <c r="M142" s="117">
        <f>+(M135*0.001)*'Conversion factors'!$B$16</f>
        <v>0</v>
      </c>
      <c r="N142" s="117">
        <f>+(N135*0.001)*'Conversion factors'!$B$16</f>
        <v>0</v>
      </c>
      <c r="O142" s="117">
        <f>+(O135*0.001)*'Conversion factors'!$B$16</f>
        <v>0</v>
      </c>
      <c r="P142" s="117">
        <f>+(P135*0.001)*'Conversion factors'!$B$16</f>
        <v>0</v>
      </c>
      <c r="Q142" s="117">
        <f>+(Q135*0.001)*'Conversion factors'!$B$16</f>
        <v>0</v>
      </c>
      <c r="R142" s="117">
        <f>+(R135*0.001)*'Conversion factors'!$B$16</f>
        <v>0</v>
      </c>
      <c r="S142" s="117">
        <f>+(S135*0.001)*'Conversion factors'!$B$16</f>
        <v>0</v>
      </c>
      <c r="T142" s="117">
        <f>+(T135*0.001)*'Conversion factors'!$B$16</f>
        <v>0</v>
      </c>
      <c r="U142" s="117">
        <f>+(U135*0.001)*'Conversion factors'!$B$16</f>
        <v>0</v>
      </c>
      <c r="V142" s="117">
        <f>+(V135*0.001)*'Conversion factors'!$B$16</f>
        <v>0</v>
      </c>
    </row>
    <row r="143" spans="1:25" x14ac:dyDescent="0.25">
      <c r="A143" t="s">
        <v>1084</v>
      </c>
      <c r="B143" t="s">
        <v>619</v>
      </c>
      <c r="C143" t="s">
        <v>495</v>
      </c>
      <c r="D143" s="118" t="s">
        <v>1097</v>
      </c>
      <c r="E143" s="117">
        <f>+(E136*0.001)*'Conversion factors'!$B$13</f>
        <v>0</v>
      </c>
      <c r="F143" s="117">
        <f>+(F136*0.001)*'Conversion factors'!$B$13</f>
        <v>0</v>
      </c>
      <c r="G143" s="117">
        <f>+(G136*0.001)*'Conversion factors'!$B$13</f>
        <v>0</v>
      </c>
      <c r="H143" s="117">
        <f>+(H136*0.001)*'Conversion factors'!$B$13</f>
        <v>0</v>
      </c>
      <c r="I143" s="117">
        <f>+(I136*0.001)*'Conversion factors'!$B$13</f>
        <v>0</v>
      </c>
      <c r="J143" s="117">
        <f>+(J136*0.001)*'Conversion factors'!$B$13</f>
        <v>0</v>
      </c>
      <c r="K143" s="117">
        <f>+(K136*0.001)*'Conversion factors'!$B$13</f>
        <v>300.2</v>
      </c>
      <c r="L143" s="117">
        <f>+(L136*0.001)*'Conversion factors'!$B$13</f>
        <v>53.959999999999994</v>
      </c>
      <c r="M143" s="117">
        <f>+(M136*0.001)*'Conversion factors'!$B$13</f>
        <v>83.6</v>
      </c>
      <c r="N143" s="117">
        <f>+(N136*0.001)*'Conversion factors'!$B$13</f>
        <v>22.04</v>
      </c>
      <c r="O143" s="117">
        <f>+(O136*0.001)*'Conversion factors'!$B$13</f>
        <v>169.86</v>
      </c>
      <c r="P143" s="117">
        <f>+(P136*0.001)*'Conversion factors'!$B$13</f>
        <v>199.91974913999999</v>
      </c>
      <c r="Q143" s="117">
        <f>+(Q136*0.001)*'Conversion factors'!$B$13</f>
        <v>256.80279426000004</v>
      </c>
      <c r="R143" s="117">
        <f>+(R136*0.001)*'Conversion factors'!$B$13</f>
        <v>334.29046271999994</v>
      </c>
      <c r="S143" s="117">
        <f>+(S136*0.001)*'Conversion factors'!$B$13</f>
        <v>393.9676182</v>
      </c>
      <c r="T143" s="117">
        <f>+(T136*0.001)*'Conversion factors'!$B$13</f>
        <v>538.95968100000005</v>
      </c>
      <c r="U143" s="117">
        <f>+(U136*0.001)*'Conversion factors'!$B$13</f>
        <v>589.36480000000006</v>
      </c>
      <c r="V143" s="117">
        <f>+(V136*0.001)*'Conversion factors'!$B$13</f>
        <v>670.8900000000001</v>
      </c>
    </row>
    <row r="144" spans="1:25" x14ac:dyDescent="0.25">
      <c r="D144" s="118"/>
      <c r="E144" s="23"/>
    </row>
    <row r="145" spans="1:25" s="102" customFormat="1" x14ac:dyDescent="0.25">
      <c r="A145" s="102" t="s">
        <v>1088</v>
      </c>
      <c r="W145" s="120"/>
    </row>
    <row r="146" spans="1:25" x14ac:dyDescent="0.25">
      <c r="A146" t="s">
        <v>1088</v>
      </c>
      <c r="B146" t="s">
        <v>619</v>
      </c>
      <c r="C146" t="s">
        <v>491</v>
      </c>
      <c r="D146" t="s">
        <v>892</v>
      </c>
      <c r="E146" s="114">
        <v>0</v>
      </c>
      <c r="F146" s="114">
        <v>0</v>
      </c>
      <c r="G146" s="114">
        <v>0</v>
      </c>
      <c r="H146" s="114">
        <v>0</v>
      </c>
      <c r="I146" s="114">
        <v>0</v>
      </c>
      <c r="J146" s="114">
        <v>0</v>
      </c>
      <c r="K146" s="114">
        <v>0</v>
      </c>
      <c r="L146" s="114">
        <v>0</v>
      </c>
      <c r="M146" s="114">
        <v>0</v>
      </c>
      <c r="N146" s="114">
        <v>0</v>
      </c>
      <c r="O146" s="114">
        <v>0</v>
      </c>
      <c r="P146" s="114">
        <v>0</v>
      </c>
      <c r="Q146" s="114">
        <v>0</v>
      </c>
      <c r="R146" s="114">
        <v>0</v>
      </c>
      <c r="S146" s="114">
        <v>0</v>
      </c>
      <c r="T146" s="114">
        <v>0</v>
      </c>
      <c r="U146" s="114">
        <v>0</v>
      </c>
      <c r="V146" s="114">
        <v>0</v>
      </c>
      <c r="Y146" t="s">
        <v>156</v>
      </c>
    </row>
    <row r="147" spans="1:25" x14ac:dyDescent="0.25">
      <c r="A147" t="s">
        <v>1088</v>
      </c>
      <c r="B147" t="s">
        <v>619</v>
      </c>
      <c r="C147" t="s">
        <v>492</v>
      </c>
      <c r="D147" t="s">
        <v>892</v>
      </c>
      <c r="E147" s="114">
        <v>0</v>
      </c>
      <c r="F147" s="114">
        <v>0</v>
      </c>
      <c r="G147" s="114">
        <v>0</v>
      </c>
      <c r="H147" s="114">
        <v>0</v>
      </c>
      <c r="I147" s="114">
        <v>0</v>
      </c>
      <c r="J147" s="114">
        <v>0</v>
      </c>
      <c r="K147" s="114">
        <v>0</v>
      </c>
      <c r="L147" s="114">
        <v>0</v>
      </c>
      <c r="M147" s="114">
        <v>0</v>
      </c>
      <c r="N147" s="114">
        <v>0</v>
      </c>
      <c r="O147" s="114">
        <v>0</v>
      </c>
      <c r="P147" s="114">
        <v>0</v>
      </c>
      <c r="Q147" s="114">
        <v>0</v>
      </c>
      <c r="R147" s="114">
        <v>0</v>
      </c>
      <c r="S147" s="114">
        <v>0</v>
      </c>
      <c r="T147" s="114">
        <v>0</v>
      </c>
      <c r="U147" s="114">
        <v>0</v>
      </c>
      <c r="V147" s="114">
        <v>0</v>
      </c>
      <c r="Y147" t="s">
        <v>156</v>
      </c>
    </row>
    <row r="148" spans="1:25" x14ac:dyDescent="0.25">
      <c r="A148" t="s">
        <v>1088</v>
      </c>
      <c r="B148" t="s">
        <v>619</v>
      </c>
      <c r="C148" t="s">
        <v>493</v>
      </c>
      <c r="D148" t="s">
        <v>892</v>
      </c>
      <c r="E148" s="114">
        <v>0</v>
      </c>
      <c r="F148" s="114">
        <v>0</v>
      </c>
      <c r="G148" s="114">
        <v>0</v>
      </c>
      <c r="H148" s="114">
        <v>0</v>
      </c>
      <c r="I148" s="114">
        <v>0</v>
      </c>
      <c r="J148" s="114">
        <v>0</v>
      </c>
      <c r="K148" s="114">
        <v>0</v>
      </c>
      <c r="L148" s="114">
        <v>0</v>
      </c>
      <c r="M148" s="114">
        <v>0</v>
      </c>
      <c r="N148" s="114">
        <v>0</v>
      </c>
      <c r="O148" s="114">
        <v>0</v>
      </c>
      <c r="P148" s="114">
        <v>7.2385829399999997</v>
      </c>
      <c r="Q148" s="114">
        <v>7.2132803599999997</v>
      </c>
      <c r="R148" s="114">
        <v>9.1125019700000003</v>
      </c>
      <c r="S148" s="114">
        <v>10.956079799999999</v>
      </c>
      <c r="T148" s="114">
        <v>11.750213</v>
      </c>
      <c r="U148" s="114">
        <v>13.62161272</v>
      </c>
      <c r="V148" s="114">
        <v>15.167050294999999</v>
      </c>
      <c r="Y148" t="s">
        <v>156</v>
      </c>
    </row>
    <row r="149" spans="1:25" x14ac:dyDescent="0.25">
      <c r="A149" t="s">
        <v>1088</v>
      </c>
      <c r="B149" t="s">
        <v>619</v>
      </c>
      <c r="C149" t="s">
        <v>494</v>
      </c>
      <c r="D149" t="s">
        <v>892</v>
      </c>
      <c r="E149" s="114">
        <v>0</v>
      </c>
      <c r="F149" s="114">
        <v>0</v>
      </c>
      <c r="G149" s="114">
        <v>0</v>
      </c>
      <c r="H149" s="114">
        <v>0</v>
      </c>
      <c r="I149" s="114">
        <v>0</v>
      </c>
      <c r="J149" s="114">
        <v>0</v>
      </c>
      <c r="K149" s="114">
        <v>0</v>
      </c>
      <c r="L149" s="114">
        <v>0</v>
      </c>
      <c r="M149" s="114">
        <v>0</v>
      </c>
      <c r="N149" s="114">
        <v>0</v>
      </c>
      <c r="O149" s="114">
        <v>0</v>
      </c>
      <c r="P149" s="114">
        <v>1118.30897</v>
      </c>
      <c r="Q149" s="114">
        <v>1171.4694</v>
      </c>
      <c r="R149" s="114">
        <v>1242.0266300000001</v>
      </c>
      <c r="S149" s="114">
        <v>1289.1615899999999</v>
      </c>
      <c r="T149" s="114">
        <v>1365.33061</v>
      </c>
      <c r="U149" s="114">
        <v>1424.1767050000001</v>
      </c>
      <c r="V149" s="114">
        <v>1487.0485639999999</v>
      </c>
      <c r="Y149" t="s">
        <v>156</v>
      </c>
    </row>
    <row r="150" spans="1:25" x14ac:dyDescent="0.25">
      <c r="A150" t="s">
        <v>1088</v>
      </c>
      <c r="B150" t="s">
        <v>619</v>
      </c>
      <c r="C150" t="s">
        <v>498</v>
      </c>
      <c r="D150" t="s">
        <v>892</v>
      </c>
      <c r="E150" s="114">
        <v>0</v>
      </c>
      <c r="F150" s="114">
        <v>0</v>
      </c>
      <c r="G150" s="114">
        <v>0</v>
      </c>
      <c r="H150" s="114">
        <v>0</v>
      </c>
      <c r="I150" s="114">
        <v>0</v>
      </c>
      <c r="J150" s="114">
        <v>0</v>
      </c>
      <c r="K150" s="114">
        <v>0</v>
      </c>
      <c r="L150" s="114">
        <v>0</v>
      </c>
      <c r="M150" s="114">
        <v>0</v>
      </c>
      <c r="N150" s="114">
        <v>0</v>
      </c>
      <c r="O150" s="114">
        <v>0</v>
      </c>
      <c r="P150" s="114">
        <v>0</v>
      </c>
      <c r="Q150" s="114">
        <v>0</v>
      </c>
      <c r="R150" s="114">
        <v>0</v>
      </c>
      <c r="S150" s="114">
        <v>0</v>
      </c>
      <c r="T150" s="114">
        <v>0</v>
      </c>
      <c r="U150" s="114">
        <v>0</v>
      </c>
      <c r="V150" s="114">
        <v>0</v>
      </c>
      <c r="Y150" t="s">
        <v>156</v>
      </c>
    </row>
    <row r="151" spans="1:25" x14ac:dyDescent="0.25">
      <c r="A151" t="s">
        <v>1088</v>
      </c>
      <c r="B151" t="s">
        <v>619</v>
      </c>
      <c r="C151" t="s">
        <v>495</v>
      </c>
      <c r="D151" t="s">
        <v>892</v>
      </c>
      <c r="E151" s="114">
        <v>0</v>
      </c>
      <c r="F151" s="114">
        <v>0</v>
      </c>
      <c r="G151" s="114">
        <v>0</v>
      </c>
      <c r="H151" s="114">
        <v>0</v>
      </c>
      <c r="I151" s="114">
        <v>0</v>
      </c>
      <c r="J151" s="114">
        <v>0</v>
      </c>
      <c r="K151" s="114">
        <v>0</v>
      </c>
      <c r="L151" s="114">
        <v>0</v>
      </c>
      <c r="M151" s="114">
        <v>0</v>
      </c>
      <c r="N151" s="114">
        <v>0</v>
      </c>
      <c r="O151" s="114">
        <v>0</v>
      </c>
      <c r="P151" s="114">
        <v>8.5568892999999999</v>
      </c>
      <c r="Q151" s="114">
        <v>8.5247858799999996</v>
      </c>
      <c r="R151" s="114">
        <v>10.769320499999999</v>
      </c>
      <c r="S151" s="114">
        <v>12.948094299999999</v>
      </c>
      <c r="T151" s="114">
        <v>13.886615300000001</v>
      </c>
      <c r="U151" s="114">
        <v>16.098269510000002</v>
      </c>
      <c r="V151" s="114">
        <v>17.924695715999999</v>
      </c>
      <c r="Y151" t="s">
        <v>156</v>
      </c>
    </row>
    <row r="153" spans="1:25" x14ac:dyDescent="0.25">
      <c r="A153" t="s">
        <v>1088</v>
      </c>
      <c r="B153" t="s">
        <v>619</v>
      </c>
      <c r="C153" t="s">
        <v>491</v>
      </c>
      <c r="D153" s="118" t="s">
        <v>1097</v>
      </c>
      <c r="E153" s="117">
        <f>+(E146*0.001)*'Conversion factors'!$B$9</f>
        <v>0</v>
      </c>
      <c r="F153" s="117">
        <f>+(F146*0.001)*'Conversion factors'!$B$9</f>
        <v>0</v>
      </c>
      <c r="G153" s="117">
        <f>+(G146*0.001)*'Conversion factors'!$B$9</f>
        <v>0</v>
      </c>
      <c r="H153" s="117">
        <f>+(H146*0.001)*'Conversion factors'!$B$9</f>
        <v>0</v>
      </c>
      <c r="I153" s="117">
        <f>+(I146*0.001)*'Conversion factors'!$B$9</f>
        <v>0</v>
      </c>
      <c r="J153" s="117">
        <f>+(J146*0.001)*'Conversion factors'!$B$9</f>
        <v>0</v>
      </c>
      <c r="K153" s="117">
        <f>+(K146*0.001)*'Conversion factors'!$B$9</f>
        <v>0</v>
      </c>
      <c r="L153" s="117">
        <f>+(L146*0.001)*'Conversion factors'!$B$9</f>
        <v>0</v>
      </c>
      <c r="M153" s="117">
        <f>+(M146*0.001)*'Conversion factors'!$B$9</f>
        <v>0</v>
      </c>
      <c r="N153" s="117">
        <f>+(N146*0.001)*'Conversion factors'!$B$9</f>
        <v>0</v>
      </c>
      <c r="O153" s="117">
        <f>+(O146*0.001)*'Conversion factors'!$B$9</f>
        <v>0</v>
      </c>
      <c r="P153" s="117">
        <f>+(P146*0.001)*'Conversion factors'!$B$9</f>
        <v>0</v>
      </c>
      <c r="Q153" s="117">
        <f>+(Q146*0.001)*'Conversion factors'!$B$9</f>
        <v>0</v>
      </c>
      <c r="R153" s="117">
        <f>+(R146*0.001)*'Conversion factors'!$B$9</f>
        <v>0</v>
      </c>
      <c r="S153" s="117">
        <f>+(S146*0.001)*'Conversion factors'!$B$9</f>
        <v>0</v>
      </c>
      <c r="T153" s="117">
        <f>+(T146*0.001)*'Conversion factors'!$B$9</f>
        <v>0</v>
      </c>
      <c r="U153" s="117">
        <f>+(U146*0.001)*'Conversion factors'!$B$9</f>
        <v>0</v>
      </c>
      <c r="V153" s="117">
        <f>+(V146*0.001)*'Conversion factors'!$B$9</f>
        <v>0</v>
      </c>
    </row>
    <row r="154" spans="1:25" x14ac:dyDescent="0.25">
      <c r="A154" t="s">
        <v>1088</v>
      </c>
      <c r="B154" t="s">
        <v>619</v>
      </c>
      <c r="C154" t="s">
        <v>492</v>
      </c>
      <c r="D154" s="118" t="s">
        <v>1097</v>
      </c>
      <c r="E154" s="117">
        <f>+(E147*0.001)*'Conversion factors'!$B$10</f>
        <v>0</v>
      </c>
      <c r="F154" s="117">
        <f>+(F147*0.001)*'Conversion factors'!$B$10</f>
        <v>0</v>
      </c>
      <c r="G154" s="117">
        <f>+(G147*0.001)*'Conversion factors'!$B$10</f>
        <v>0</v>
      </c>
      <c r="H154" s="117">
        <f>+(H147*0.001)*'Conversion factors'!$B$10</f>
        <v>0</v>
      </c>
      <c r="I154" s="117">
        <f>+(I147*0.001)*'Conversion factors'!$B$10</f>
        <v>0</v>
      </c>
      <c r="J154" s="117">
        <f>+(J147*0.001)*'Conversion factors'!$B$10</f>
        <v>0</v>
      </c>
      <c r="K154" s="117">
        <f>+(K147*0.001)*'Conversion factors'!$B$10</f>
        <v>0</v>
      </c>
      <c r="L154" s="117">
        <f>+(L147*0.001)*'Conversion factors'!$B$10</f>
        <v>0</v>
      </c>
      <c r="M154" s="117">
        <f>+(M147*0.001)*'Conversion factors'!$B$10</f>
        <v>0</v>
      </c>
      <c r="N154" s="117">
        <f>+(N147*0.001)*'Conversion factors'!$B$10</f>
        <v>0</v>
      </c>
      <c r="O154" s="117">
        <f>+(O147*0.001)*'Conversion factors'!$B$10</f>
        <v>0</v>
      </c>
      <c r="P154" s="117">
        <f>+(P147*0.001)*'Conversion factors'!$B$10</f>
        <v>0</v>
      </c>
      <c r="Q154" s="117">
        <f>+(Q147*0.001)*'Conversion factors'!$B$10</f>
        <v>0</v>
      </c>
      <c r="R154" s="117">
        <f>+(R147*0.001)*'Conversion factors'!$B$10</f>
        <v>0</v>
      </c>
      <c r="S154" s="117">
        <f>+(S147*0.001)*'Conversion factors'!$B$10</f>
        <v>0</v>
      </c>
      <c r="T154" s="117">
        <f>+(T147*0.001)*'Conversion factors'!$B$10</f>
        <v>0</v>
      </c>
      <c r="U154" s="117">
        <f>+(U147*0.001)*'Conversion factors'!$B$10</f>
        <v>0</v>
      </c>
      <c r="V154" s="117">
        <f>+(V147*0.001)*'Conversion factors'!$B$10</f>
        <v>0</v>
      </c>
    </row>
    <row r="155" spans="1:25" x14ac:dyDescent="0.25">
      <c r="A155" t="s">
        <v>1088</v>
      </c>
      <c r="B155" t="s">
        <v>619</v>
      </c>
      <c r="C155" t="s">
        <v>493</v>
      </c>
      <c r="D155" s="118" t="s">
        <v>1097</v>
      </c>
      <c r="E155" s="117">
        <f>+(E148*0.001)*'Conversion factors'!$B$11</f>
        <v>0</v>
      </c>
      <c r="F155" s="117">
        <f>+(F148*0.001)*'Conversion factors'!$B$11</f>
        <v>0</v>
      </c>
      <c r="G155" s="117">
        <f>+(G148*0.001)*'Conversion factors'!$B$11</f>
        <v>0</v>
      </c>
      <c r="H155" s="117">
        <f>+(H148*0.001)*'Conversion factors'!$B$11</f>
        <v>0</v>
      </c>
      <c r="I155" s="117">
        <f>+(I148*0.001)*'Conversion factors'!$B$11</f>
        <v>0</v>
      </c>
      <c r="J155" s="117">
        <f>+(J148*0.001)*'Conversion factors'!$B$11</f>
        <v>0</v>
      </c>
      <c r="K155" s="117">
        <f>+(K148*0.001)*'Conversion factors'!$B$11</f>
        <v>0</v>
      </c>
      <c r="L155" s="117">
        <f>+(L148*0.001)*'Conversion factors'!$B$11</f>
        <v>0</v>
      </c>
      <c r="M155" s="117">
        <f>+(M148*0.001)*'Conversion factors'!$B$11</f>
        <v>0</v>
      </c>
      <c r="N155" s="117">
        <f>+(N148*0.001)*'Conversion factors'!$B$11</f>
        <v>0</v>
      </c>
      <c r="O155" s="117">
        <f>+(O148*0.001)*'Conversion factors'!$B$11</f>
        <v>0</v>
      </c>
      <c r="P155" s="117">
        <f>+(P148*0.001)*'Conversion factors'!$B$11</f>
        <v>20.268032231999999</v>
      </c>
      <c r="Q155" s="117">
        <f>+(Q148*0.001)*'Conversion factors'!$B$11</f>
        <v>20.197185008000002</v>
      </c>
      <c r="R155" s="117">
        <f>+(R148*0.001)*'Conversion factors'!$B$11</f>
        <v>25.515005516000002</v>
      </c>
      <c r="S155" s="117">
        <f>+(S148*0.001)*'Conversion factors'!$B$11</f>
        <v>30.677023439999996</v>
      </c>
      <c r="T155" s="117">
        <f>+(T148*0.001)*'Conversion factors'!$B$11</f>
        <v>32.900596400000005</v>
      </c>
      <c r="U155" s="117">
        <f>+(U148*0.001)*'Conversion factors'!$B$11</f>
        <v>38.140515616000002</v>
      </c>
      <c r="V155" s="117">
        <f>+(V148*0.001)*'Conversion factors'!$B$11</f>
        <v>42.467740825999996</v>
      </c>
    </row>
    <row r="156" spans="1:25" x14ac:dyDescent="0.25">
      <c r="A156" t="s">
        <v>1088</v>
      </c>
      <c r="B156" t="s">
        <v>619</v>
      </c>
      <c r="C156" t="s">
        <v>494</v>
      </c>
      <c r="D156" s="118" t="s">
        <v>1097</v>
      </c>
      <c r="E156" s="117">
        <f>+(E149*0.001)*'Conversion factors'!$B$12</f>
        <v>0</v>
      </c>
      <c r="F156" s="117">
        <f>+(F149*0.001)*'Conversion factors'!$B$12</f>
        <v>0</v>
      </c>
      <c r="G156" s="117">
        <f>+(G149*0.001)*'Conversion factors'!$B$12</f>
        <v>0</v>
      </c>
      <c r="H156" s="117">
        <f>+(H149*0.001)*'Conversion factors'!$B$12</f>
        <v>0</v>
      </c>
      <c r="I156" s="117">
        <f>+(I149*0.001)*'Conversion factors'!$B$12</f>
        <v>0</v>
      </c>
      <c r="J156" s="117">
        <f>+(J149*0.001)*'Conversion factors'!$B$12</f>
        <v>0</v>
      </c>
      <c r="K156" s="117">
        <f>+(K149*0.001)*'Conversion factors'!$B$12</f>
        <v>0</v>
      </c>
      <c r="L156" s="117">
        <f>+(L149*0.001)*'Conversion factors'!$B$12</f>
        <v>0</v>
      </c>
      <c r="M156" s="117">
        <f>+(M149*0.001)*'Conversion factors'!$B$12</f>
        <v>0</v>
      </c>
      <c r="N156" s="117">
        <f>+(N149*0.001)*'Conversion factors'!$B$12</f>
        <v>0</v>
      </c>
      <c r="O156" s="117">
        <f>+(O149*0.001)*'Conversion factors'!$B$12</f>
        <v>0</v>
      </c>
      <c r="P156" s="117">
        <f>+(P149*0.001)*'Conversion factors'!$B$12</f>
        <v>1453.801661</v>
      </c>
      <c r="Q156" s="117">
        <f>+(Q149*0.001)*'Conversion factors'!$B$12</f>
        <v>1522.9102199999998</v>
      </c>
      <c r="R156" s="117">
        <f>+(R149*0.001)*'Conversion factors'!$B$12</f>
        <v>1614.6346189999999</v>
      </c>
      <c r="S156" s="117">
        <f>+(S149*0.001)*'Conversion factors'!$B$12</f>
        <v>1675.910067</v>
      </c>
      <c r="T156" s="117">
        <f>+(T149*0.001)*'Conversion factors'!$B$12</f>
        <v>1774.929793</v>
      </c>
      <c r="U156" s="117">
        <f>+(U149*0.001)*'Conversion factors'!$B$12</f>
        <v>1851.4297165</v>
      </c>
      <c r="V156" s="117">
        <f>+(V149*0.001)*'Conversion factors'!$B$12</f>
        <v>1933.1631331999999</v>
      </c>
    </row>
    <row r="157" spans="1:25" x14ac:dyDescent="0.25">
      <c r="A157" t="s">
        <v>1088</v>
      </c>
      <c r="B157" t="s">
        <v>619</v>
      </c>
      <c r="C157" t="s">
        <v>498</v>
      </c>
      <c r="D157" s="118" t="s">
        <v>1097</v>
      </c>
      <c r="E157" s="117">
        <f>+(E150*0.001)*'Conversion factors'!$B$16</f>
        <v>0</v>
      </c>
      <c r="F157" s="117">
        <f>+(F150*0.001)*'Conversion factors'!$B$16</f>
        <v>0</v>
      </c>
      <c r="G157" s="117">
        <f>+(G150*0.001)*'Conversion factors'!$B$16</f>
        <v>0</v>
      </c>
      <c r="H157" s="117">
        <f>+(H150*0.001)*'Conversion factors'!$B$16</f>
        <v>0</v>
      </c>
      <c r="I157" s="117">
        <f>+(I150*0.001)*'Conversion factors'!$B$16</f>
        <v>0</v>
      </c>
      <c r="J157" s="117">
        <f>+(J150*0.001)*'Conversion factors'!$B$16</f>
        <v>0</v>
      </c>
      <c r="K157" s="117">
        <f>+(K150*0.001)*'Conversion factors'!$B$16</f>
        <v>0</v>
      </c>
      <c r="L157" s="117">
        <f>+(L150*0.001)*'Conversion factors'!$B$16</f>
        <v>0</v>
      </c>
      <c r="M157" s="117">
        <f>+(M150*0.001)*'Conversion factors'!$B$16</f>
        <v>0</v>
      </c>
      <c r="N157" s="117">
        <f>+(N150*0.001)*'Conversion factors'!$B$16</f>
        <v>0</v>
      </c>
      <c r="O157" s="117">
        <f>+(O150*0.001)*'Conversion factors'!$B$16</f>
        <v>0</v>
      </c>
      <c r="P157" s="117">
        <f>+(P150*0.001)*'Conversion factors'!$B$16</f>
        <v>0</v>
      </c>
      <c r="Q157" s="117">
        <f>+(Q150*0.001)*'Conversion factors'!$B$16</f>
        <v>0</v>
      </c>
      <c r="R157" s="117">
        <f>+(R150*0.001)*'Conversion factors'!$B$16</f>
        <v>0</v>
      </c>
      <c r="S157" s="117">
        <f>+(S150*0.001)*'Conversion factors'!$B$16</f>
        <v>0</v>
      </c>
      <c r="T157" s="117">
        <f>+(T150*0.001)*'Conversion factors'!$B$16</f>
        <v>0</v>
      </c>
      <c r="U157" s="117">
        <f>+(U150*0.001)*'Conversion factors'!$B$16</f>
        <v>0</v>
      </c>
      <c r="V157" s="117">
        <f>+(V150*0.001)*'Conversion factors'!$B$16</f>
        <v>0</v>
      </c>
    </row>
    <row r="158" spans="1:25" x14ac:dyDescent="0.25">
      <c r="A158" t="s">
        <v>1088</v>
      </c>
      <c r="B158" t="s">
        <v>619</v>
      </c>
      <c r="C158" t="s">
        <v>495</v>
      </c>
      <c r="D158" s="118" t="s">
        <v>1097</v>
      </c>
      <c r="E158" s="117">
        <f>+(E151*0.001)*'Conversion factors'!$B$13</f>
        <v>0</v>
      </c>
      <c r="F158" s="117">
        <f>+(F151*0.001)*'Conversion factors'!$B$13</f>
        <v>0</v>
      </c>
      <c r="G158" s="117">
        <f>+(G151*0.001)*'Conversion factors'!$B$13</f>
        <v>0</v>
      </c>
      <c r="H158" s="117">
        <f>+(H151*0.001)*'Conversion factors'!$B$13</f>
        <v>0</v>
      </c>
      <c r="I158" s="117">
        <f>+(I151*0.001)*'Conversion factors'!$B$13</f>
        <v>0</v>
      </c>
      <c r="J158" s="117">
        <f>+(J151*0.001)*'Conversion factors'!$B$13</f>
        <v>0</v>
      </c>
      <c r="K158" s="117">
        <f>+(K151*0.001)*'Conversion factors'!$B$13</f>
        <v>0</v>
      </c>
      <c r="L158" s="117">
        <f>+(L151*0.001)*'Conversion factors'!$B$13</f>
        <v>0</v>
      </c>
      <c r="M158" s="117">
        <f>+(M151*0.001)*'Conversion factors'!$B$13</f>
        <v>0</v>
      </c>
      <c r="N158" s="117">
        <f>+(N151*0.001)*'Conversion factors'!$B$13</f>
        <v>0</v>
      </c>
      <c r="O158" s="117">
        <f>+(O151*0.001)*'Conversion factors'!$B$13</f>
        <v>0</v>
      </c>
      <c r="P158" s="117">
        <f>+(P151*0.001)*'Conversion factors'!$B$13</f>
        <v>32.516179340000001</v>
      </c>
      <c r="Q158" s="117">
        <f>+(Q151*0.001)*'Conversion factors'!$B$13</f>
        <v>32.394186343999998</v>
      </c>
      <c r="R158" s="117">
        <f>+(R151*0.001)*'Conversion factors'!$B$13</f>
        <v>40.923417899999997</v>
      </c>
      <c r="S158" s="117">
        <f>+(S151*0.001)*'Conversion factors'!$B$13</f>
        <v>49.202758339999995</v>
      </c>
      <c r="T158" s="117">
        <f>+(T151*0.001)*'Conversion factors'!$B$13</f>
        <v>52.769138140000003</v>
      </c>
      <c r="U158" s="117">
        <f>+(U151*0.001)*'Conversion factors'!$B$13</f>
        <v>61.173424138000009</v>
      </c>
      <c r="V158" s="117">
        <f>+(V151*0.001)*'Conversion factors'!$B$13</f>
        <v>68.113843720800006</v>
      </c>
    </row>
    <row r="159" spans="1:25" x14ac:dyDescent="0.25">
      <c r="D159" s="118"/>
      <c r="E159" s="23"/>
      <c r="F159" s="23"/>
      <c r="G159" s="23"/>
      <c r="H159" s="23"/>
      <c r="I159" s="23"/>
      <c r="J159" s="23"/>
      <c r="K159" s="23"/>
      <c r="L159" s="23"/>
      <c r="M159" s="23"/>
      <c r="N159" s="23"/>
      <c r="O159" s="23"/>
      <c r="P159" s="23"/>
      <c r="Q159" s="23"/>
      <c r="R159" s="23"/>
      <c r="S159" s="23"/>
      <c r="T159" s="23"/>
      <c r="U159" s="23"/>
      <c r="V159" s="23"/>
    </row>
    <row r="160" spans="1:25" x14ac:dyDescent="0.25">
      <c r="A160" s="7" t="s">
        <v>1098</v>
      </c>
      <c r="B160" s="7" t="s">
        <v>1067</v>
      </c>
      <c r="C160" s="7" t="s">
        <v>836</v>
      </c>
      <c r="D160" s="7" t="s">
        <v>1097</v>
      </c>
      <c r="E160" s="116">
        <f>+SUM(E138:E143)+SUM(E153:E158)</f>
        <v>0</v>
      </c>
      <c r="F160" s="116">
        <f t="shared" ref="F160:T160" si="0">+SUM(F138:F143)+SUM(F153:F158)</f>
        <v>0</v>
      </c>
      <c r="G160" s="116">
        <f t="shared" si="0"/>
        <v>0</v>
      </c>
      <c r="H160" s="116">
        <f t="shared" si="0"/>
        <v>0</v>
      </c>
      <c r="I160" s="116">
        <f t="shared" si="0"/>
        <v>0</v>
      </c>
      <c r="J160" s="116">
        <f t="shared" si="0"/>
        <v>841.75</v>
      </c>
      <c r="K160" s="116">
        <f t="shared" si="0"/>
        <v>1045.3600000000001</v>
      </c>
      <c r="L160" s="116">
        <f t="shared" si="0"/>
        <v>1063.4000000000001</v>
      </c>
      <c r="M160" s="116">
        <f t="shared" si="0"/>
        <v>1025.95</v>
      </c>
      <c r="N160" s="116">
        <f t="shared" si="0"/>
        <v>992.04</v>
      </c>
      <c r="O160" s="116">
        <f t="shared" si="0"/>
        <v>2065.8000000000002</v>
      </c>
      <c r="P160" s="116">
        <f t="shared" si="0"/>
        <v>2232.500866332</v>
      </c>
      <c r="Q160" s="116">
        <f t="shared" si="0"/>
        <v>2482.7810084104999</v>
      </c>
      <c r="R160" s="116">
        <f t="shared" si="0"/>
        <v>2802.3997062409999</v>
      </c>
      <c r="S160" s="116">
        <f t="shared" si="0"/>
        <v>3011.31930134</v>
      </c>
      <c r="T160" s="116">
        <f t="shared" si="0"/>
        <v>3419.7235398180001</v>
      </c>
      <c r="U160" s="116">
        <f t="shared" ref="U160:V160" si="1">+SUM(U138:U143)+SUM(U153:U158)</f>
        <v>3668.991196254</v>
      </c>
      <c r="V160" s="116">
        <f t="shared" si="1"/>
        <v>3963.4610677467999</v>
      </c>
    </row>
    <row r="162" spans="1:13" s="5" customFormat="1" ht="21" x14ac:dyDescent="0.35">
      <c r="B162" s="6" t="s">
        <v>885</v>
      </c>
      <c r="E162" s="5" t="s">
        <v>886</v>
      </c>
      <c r="M162" s="5" t="s">
        <v>900</v>
      </c>
    </row>
    <row r="164" spans="1:13" x14ac:dyDescent="0.25">
      <c r="A164" s="27"/>
      <c r="B164" s="26"/>
      <c r="C164" s="26"/>
      <c r="D164" s="26"/>
      <c r="E164" s="26"/>
      <c r="F164" s="26"/>
      <c r="G164" s="26"/>
      <c r="H164" s="26"/>
    </row>
    <row r="185" spans="1:23" ht="21" x14ac:dyDescent="0.35">
      <c r="A185" s="5"/>
      <c r="B185" s="6" t="s">
        <v>346</v>
      </c>
      <c r="C185" s="5"/>
      <c r="D185" s="5"/>
      <c r="E185" s="5" t="s">
        <v>887</v>
      </c>
      <c r="F185" s="5"/>
      <c r="G185" s="5"/>
      <c r="H185" s="5"/>
      <c r="I185" s="5"/>
      <c r="J185" s="5"/>
      <c r="K185" s="5"/>
      <c r="L185" s="5"/>
      <c r="M185" s="5"/>
      <c r="N185" s="5"/>
      <c r="O185" s="5"/>
      <c r="P185" s="5"/>
      <c r="Q185" s="5"/>
      <c r="R185" s="5"/>
      <c r="S185" s="5"/>
      <c r="T185" s="5"/>
      <c r="U185" s="5"/>
      <c r="V185" s="5"/>
      <c r="W185" s="5"/>
    </row>
    <row r="186" spans="1:23" ht="18.75" x14ac:dyDescent="0.3">
      <c r="A186" s="12" t="s">
        <v>844</v>
      </c>
      <c r="E186" t="s">
        <v>888</v>
      </c>
    </row>
    <row r="187" spans="1:23" x14ac:dyDescent="0.25">
      <c r="A187" s="8"/>
      <c r="B187" s="9" t="s">
        <v>865</v>
      </c>
      <c r="C187" s="8"/>
      <c r="D187" s="8"/>
      <c r="E187" s="8"/>
      <c r="F187" s="8"/>
      <c r="G187" s="8"/>
      <c r="H187" s="8"/>
      <c r="I187" s="8"/>
      <c r="J187" s="8"/>
      <c r="K187" s="8"/>
      <c r="L187" s="8"/>
      <c r="M187" s="8"/>
      <c r="N187" s="8"/>
      <c r="O187" s="8"/>
      <c r="P187" s="8"/>
      <c r="Q187" s="8"/>
      <c r="R187" s="8"/>
      <c r="S187" s="8"/>
      <c r="T187" s="8"/>
      <c r="U187" s="8"/>
      <c r="V187" s="8"/>
      <c r="W187" s="8"/>
    </row>
    <row r="189" spans="1:23" x14ac:dyDescent="0.25">
      <c r="A189" s="10" t="s">
        <v>867</v>
      </c>
      <c r="B189" s="10" t="s">
        <v>868</v>
      </c>
      <c r="C189" s="10" t="s">
        <v>482</v>
      </c>
      <c r="D189" s="10" t="s">
        <v>740</v>
      </c>
      <c r="E189" s="10">
        <v>2000</v>
      </c>
      <c r="F189" s="10">
        <v>2001</v>
      </c>
      <c r="G189" s="10">
        <v>2002</v>
      </c>
      <c r="H189" s="10">
        <v>2003</v>
      </c>
      <c r="I189" s="10">
        <v>2004</v>
      </c>
      <c r="J189" s="10">
        <v>2005</v>
      </c>
      <c r="K189" s="10">
        <v>2006</v>
      </c>
      <c r="L189" s="10">
        <v>2007</v>
      </c>
      <c r="M189" s="10">
        <v>2008</v>
      </c>
      <c r="N189" s="10">
        <v>2009</v>
      </c>
      <c r="O189" s="10">
        <v>2010</v>
      </c>
      <c r="P189" s="10">
        <v>2011</v>
      </c>
      <c r="Q189" s="10">
        <v>2012</v>
      </c>
      <c r="R189" s="10">
        <v>2013</v>
      </c>
      <c r="S189" s="10">
        <v>2014</v>
      </c>
      <c r="T189" s="10">
        <v>2015</v>
      </c>
      <c r="U189" s="10">
        <v>2016</v>
      </c>
      <c r="V189" s="10">
        <v>2017</v>
      </c>
      <c r="W189" s="10" t="s">
        <v>741</v>
      </c>
    </row>
    <row r="190" spans="1:23" s="124" customFormat="1" x14ac:dyDescent="0.25">
      <c r="A190" s="124" t="s">
        <v>1084</v>
      </c>
      <c r="W190" s="125"/>
    </row>
    <row r="191" spans="1:23" x14ac:dyDescent="0.25">
      <c r="A191" s="11" t="s">
        <v>1098</v>
      </c>
      <c r="B191" s="11" t="s">
        <v>1085</v>
      </c>
      <c r="C191" s="11" t="s">
        <v>491</v>
      </c>
      <c r="D191" s="11" t="s">
        <v>892</v>
      </c>
      <c r="E191" s="29"/>
      <c r="F191" s="29"/>
      <c r="G191" s="29"/>
      <c r="H191" s="29"/>
      <c r="I191" s="29"/>
      <c r="J191" s="29"/>
      <c r="K191" s="29"/>
      <c r="L191" s="29"/>
      <c r="M191" s="29"/>
      <c r="N191" s="29"/>
      <c r="O191" s="29"/>
      <c r="P191" s="29"/>
      <c r="Q191" s="29"/>
      <c r="R191" s="29"/>
      <c r="S191" s="29"/>
      <c r="T191" s="29"/>
      <c r="U191" s="4"/>
      <c r="V191" s="4"/>
    </row>
    <row r="192" spans="1:23" x14ac:dyDescent="0.25">
      <c r="A192" s="11" t="s">
        <v>1098</v>
      </c>
      <c r="B192" s="11" t="s">
        <v>1086</v>
      </c>
      <c r="C192" s="11" t="s">
        <v>491</v>
      </c>
      <c r="D192" s="11" t="s">
        <v>892</v>
      </c>
      <c r="E192" s="29"/>
      <c r="F192" s="29"/>
      <c r="G192" s="29"/>
      <c r="H192" s="29"/>
      <c r="I192" s="29"/>
      <c r="J192" s="29"/>
      <c r="K192" s="29"/>
      <c r="L192" s="29"/>
      <c r="M192" s="29"/>
      <c r="N192" s="29"/>
      <c r="O192" s="29"/>
      <c r="P192" s="29"/>
      <c r="Q192" s="29"/>
      <c r="R192" s="29"/>
      <c r="S192" s="29"/>
      <c r="T192" s="29"/>
      <c r="U192" s="4"/>
      <c r="V192" s="4"/>
    </row>
    <row r="193" spans="1:23" x14ac:dyDescent="0.25">
      <c r="A193" s="11" t="s">
        <v>1098</v>
      </c>
      <c r="B193" s="11" t="s">
        <v>1087</v>
      </c>
      <c r="C193" s="11" t="s">
        <v>491</v>
      </c>
      <c r="D193" s="11" t="s">
        <v>892</v>
      </c>
      <c r="E193" s="29"/>
      <c r="F193" s="29"/>
      <c r="G193" s="29"/>
      <c r="H193" s="29"/>
      <c r="I193" s="29"/>
      <c r="J193" s="29"/>
      <c r="K193" s="29"/>
      <c r="L193" s="29"/>
      <c r="M193" s="29"/>
      <c r="N193" s="29"/>
      <c r="O193" s="29"/>
      <c r="P193" s="29"/>
      <c r="Q193" s="29"/>
      <c r="R193" s="29"/>
      <c r="S193" s="29"/>
      <c r="T193" s="29"/>
      <c r="U193" s="4"/>
      <c r="V193" s="4"/>
    </row>
    <row r="194" spans="1:23" x14ac:dyDescent="0.25">
      <c r="A194" s="11"/>
      <c r="B194" s="11"/>
      <c r="C194" s="11"/>
      <c r="D194" s="11"/>
      <c r="E194" s="30"/>
      <c r="F194" s="30"/>
      <c r="G194" s="30"/>
      <c r="H194" s="30"/>
      <c r="I194" s="30"/>
      <c r="J194" s="30"/>
      <c r="K194" s="30"/>
      <c r="L194" s="30"/>
      <c r="M194" s="30"/>
      <c r="N194" s="30"/>
      <c r="O194" s="30"/>
      <c r="P194" s="30"/>
      <c r="Q194" s="30"/>
      <c r="R194" s="30"/>
      <c r="S194" s="30"/>
      <c r="T194" s="30"/>
      <c r="U194" s="23"/>
      <c r="V194" s="23"/>
      <c r="W194" s="23"/>
    </row>
    <row r="195" spans="1:23" x14ac:dyDescent="0.25">
      <c r="A195" s="11" t="s">
        <v>1098</v>
      </c>
      <c r="B195" s="11" t="s">
        <v>1085</v>
      </c>
      <c r="C195" s="11" t="s">
        <v>492</v>
      </c>
      <c r="D195" s="11" t="s">
        <v>892</v>
      </c>
      <c r="E195" s="29"/>
      <c r="F195" s="29"/>
      <c r="G195" s="29"/>
      <c r="H195" s="29"/>
      <c r="I195" s="29"/>
      <c r="J195" s="29"/>
      <c r="K195" s="29"/>
      <c r="L195" s="29"/>
      <c r="M195" s="29"/>
      <c r="N195" s="29"/>
      <c r="O195" s="29"/>
      <c r="P195" s="29"/>
      <c r="Q195" s="29"/>
      <c r="R195" s="29"/>
      <c r="S195" s="29"/>
      <c r="T195" s="29"/>
      <c r="U195" s="4"/>
      <c r="V195" s="4"/>
    </row>
    <row r="196" spans="1:23" x14ac:dyDescent="0.25">
      <c r="A196" s="11" t="s">
        <v>1098</v>
      </c>
      <c r="B196" s="11" t="s">
        <v>1086</v>
      </c>
      <c r="C196" s="11" t="s">
        <v>492</v>
      </c>
      <c r="D196" s="11" t="s">
        <v>892</v>
      </c>
      <c r="E196" s="29"/>
      <c r="F196" s="29"/>
      <c r="G196" s="29"/>
      <c r="H196" s="29"/>
      <c r="I196" s="29"/>
      <c r="J196" s="29"/>
      <c r="K196" s="29"/>
      <c r="L196" s="29"/>
      <c r="M196" s="29"/>
      <c r="N196" s="29"/>
      <c r="O196" s="29"/>
      <c r="P196" s="29"/>
      <c r="Q196" s="29"/>
      <c r="R196" s="29"/>
      <c r="S196" s="29"/>
      <c r="T196" s="29"/>
      <c r="U196" s="4"/>
      <c r="V196" s="4"/>
    </row>
    <row r="197" spans="1:23" x14ac:dyDescent="0.25">
      <c r="A197" s="11" t="s">
        <v>1098</v>
      </c>
      <c r="B197" s="11" t="s">
        <v>1087</v>
      </c>
      <c r="C197" s="11" t="s">
        <v>492</v>
      </c>
      <c r="D197" s="11" t="s">
        <v>892</v>
      </c>
      <c r="E197" s="29"/>
      <c r="F197" s="29"/>
      <c r="G197" s="29"/>
      <c r="H197" s="29"/>
      <c r="I197" s="29"/>
      <c r="J197" s="29"/>
      <c r="K197" s="29"/>
      <c r="L197" s="29"/>
      <c r="M197" s="29"/>
      <c r="N197" s="29"/>
      <c r="O197" s="29"/>
      <c r="P197" s="29"/>
      <c r="Q197" s="29"/>
      <c r="R197" s="29"/>
      <c r="S197" s="29"/>
      <c r="T197" s="29"/>
      <c r="U197" s="4"/>
      <c r="V197" s="4"/>
    </row>
    <row r="198" spans="1:23" x14ac:dyDescent="0.25">
      <c r="A198" s="11"/>
      <c r="B198" s="11"/>
      <c r="C198" s="11"/>
      <c r="D198" s="11"/>
      <c r="E198" s="30"/>
      <c r="F198" s="30"/>
      <c r="G198" s="30"/>
      <c r="H198" s="30"/>
      <c r="I198" s="30"/>
      <c r="J198" s="30"/>
      <c r="K198" s="30"/>
      <c r="L198" s="30"/>
      <c r="M198" s="30"/>
      <c r="N198" s="30"/>
      <c r="O198" s="30"/>
      <c r="P198" s="30"/>
      <c r="Q198" s="30"/>
      <c r="R198" s="30"/>
      <c r="S198" s="30"/>
      <c r="T198" s="30"/>
      <c r="U198" s="23"/>
      <c r="V198" s="23"/>
      <c r="W198" s="23"/>
    </row>
    <row r="199" spans="1:23" x14ac:dyDescent="0.25">
      <c r="A199" s="11" t="s">
        <v>1098</v>
      </c>
      <c r="B199" s="11" t="s">
        <v>1085</v>
      </c>
      <c r="C199" s="11" t="s">
        <v>493</v>
      </c>
      <c r="D199" s="11" t="s">
        <v>892</v>
      </c>
      <c r="E199" s="29"/>
      <c r="F199" s="29"/>
      <c r="G199" s="29"/>
      <c r="H199" s="29"/>
      <c r="I199" s="29"/>
      <c r="J199" s="29"/>
      <c r="K199" s="29"/>
      <c r="L199" s="29"/>
      <c r="M199" s="29"/>
      <c r="N199" s="29"/>
      <c r="O199" s="29"/>
      <c r="P199" s="29"/>
      <c r="Q199" s="29"/>
      <c r="R199" s="29"/>
      <c r="S199" s="29"/>
      <c r="T199" s="29"/>
      <c r="U199" s="4"/>
      <c r="V199" s="4"/>
    </row>
    <row r="200" spans="1:23" x14ac:dyDescent="0.25">
      <c r="A200" s="11" t="s">
        <v>1098</v>
      </c>
      <c r="B200" s="11" t="s">
        <v>1086</v>
      </c>
      <c r="C200" s="11" t="s">
        <v>493</v>
      </c>
      <c r="D200" s="11" t="s">
        <v>892</v>
      </c>
      <c r="E200" s="29"/>
      <c r="F200" s="29"/>
      <c r="G200" s="29"/>
      <c r="H200" s="29"/>
      <c r="I200" s="29"/>
      <c r="J200" s="29"/>
      <c r="K200" s="29"/>
      <c r="L200" s="29"/>
      <c r="M200" s="29"/>
      <c r="N200" s="29"/>
      <c r="O200" s="29"/>
      <c r="P200" s="29"/>
      <c r="Q200" s="29"/>
      <c r="R200" s="29"/>
      <c r="S200" s="29"/>
      <c r="T200" s="29"/>
      <c r="U200" s="4"/>
      <c r="V200" s="4"/>
    </row>
    <row r="201" spans="1:23" x14ac:dyDescent="0.25">
      <c r="A201" s="11" t="s">
        <v>1098</v>
      </c>
      <c r="B201" s="11" t="s">
        <v>1087</v>
      </c>
      <c r="C201" s="11" t="s">
        <v>493</v>
      </c>
      <c r="D201" s="11" t="s">
        <v>892</v>
      </c>
      <c r="E201" s="29"/>
      <c r="F201" s="29"/>
      <c r="G201" s="29"/>
      <c r="H201" s="29"/>
      <c r="I201" s="29"/>
      <c r="J201" s="29"/>
      <c r="K201" s="29"/>
      <c r="L201" s="29"/>
      <c r="M201" s="29"/>
      <c r="N201" s="29"/>
      <c r="O201" s="29"/>
      <c r="P201" s="29"/>
      <c r="Q201" s="29"/>
      <c r="R201" s="29"/>
      <c r="S201" s="29"/>
      <c r="T201" s="29"/>
      <c r="U201" s="4"/>
      <c r="V201" s="4"/>
    </row>
    <row r="202" spans="1:23" x14ac:dyDescent="0.25">
      <c r="A202" s="11"/>
      <c r="B202" s="11"/>
      <c r="C202" s="11"/>
      <c r="D202" s="11"/>
      <c r="E202" s="30"/>
      <c r="F202" s="30"/>
      <c r="G202" s="30"/>
      <c r="H202" s="30"/>
      <c r="I202" s="30"/>
      <c r="J202" s="30"/>
      <c r="K202" s="30"/>
      <c r="L202" s="30"/>
      <c r="M202" s="30"/>
      <c r="N202" s="30"/>
      <c r="O202" s="30"/>
      <c r="P202" s="30"/>
      <c r="Q202" s="30"/>
      <c r="R202" s="30"/>
      <c r="S202" s="30"/>
      <c r="T202" s="30"/>
      <c r="U202" s="23"/>
      <c r="V202" s="23"/>
      <c r="W202" s="23"/>
    </row>
    <row r="203" spans="1:23" x14ac:dyDescent="0.25">
      <c r="A203" s="11" t="s">
        <v>1098</v>
      </c>
      <c r="B203" s="11" t="s">
        <v>1085</v>
      </c>
      <c r="C203" s="11" t="s">
        <v>494</v>
      </c>
      <c r="D203" s="11" t="s">
        <v>892</v>
      </c>
      <c r="E203" s="29"/>
      <c r="F203" s="29"/>
      <c r="G203" s="29"/>
      <c r="H203" s="29"/>
      <c r="I203" s="29"/>
      <c r="J203" s="29"/>
      <c r="K203" s="29"/>
      <c r="L203" s="29"/>
      <c r="M203" s="29"/>
      <c r="N203" s="29"/>
      <c r="O203" s="29"/>
      <c r="P203" s="29"/>
      <c r="Q203" s="29"/>
      <c r="R203" s="29"/>
      <c r="S203" s="29"/>
      <c r="T203" s="29"/>
      <c r="U203" s="4"/>
      <c r="V203" s="4"/>
    </row>
    <row r="204" spans="1:23" x14ac:dyDescent="0.25">
      <c r="A204" s="11" t="s">
        <v>1098</v>
      </c>
      <c r="B204" s="11" t="s">
        <v>1086</v>
      </c>
      <c r="C204" s="11" t="s">
        <v>494</v>
      </c>
      <c r="D204" s="11" t="s">
        <v>892</v>
      </c>
      <c r="E204" s="29"/>
      <c r="F204" s="29"/>
      <c r="G204" s="29"/>
      <c r="H204" s="29"/>
      <c r="I204" s="29"/>
      <c r="J204" s="29"/>
      <c r="K204" s="29"/>
      <c r="L204" s="29"/>
      <c r="M204" s="29"/>
      <c r="N204" s="29"/>
      <c r="O204" s="29"/>
      <c r="P204" s="29"/>
      <c r="Q204" s="29"/>
      <c r="R204" s="29"/>
      <c r="S204" s="29"/>
      <c r="T204" s="29"/>
      <c r="U204" s="4"/>
      <c r="V204" s="4"/>
    </row>
    <row r="205" spans="1:23" x14ac:dyDescent="0.25">
      <c r="A205" s="11" t="s">
        <v>1098</v>
      </c>
      <c r="B205" s="11" t="s">
        <v>1087</v>
      </c>
      <c r="C205" s="11" t="s">
        <v>494</v>
      </c>
      <c r="D205" s="11" t="s">
        <v>892</v>
      </c>
      <c r="E205" s="29"/>
      <c r="F205" s="29"/>
      <c r="G205" s="29"/>
      <c r="H205" s="29"/>
      <c r="I205" s="29"/>
      <c r="J205" s="29"/>
      <c r="K205" s="29"/>
      <c r="L205" s="29"/>
      <c r="M205" s="29"/>
      <c r="N205" s="29"/>
      <c r="O205" s="29"/>
      <c r="P205" s="29"/>
      <c r="Q205" s="29"/>
      <c r="R205" s="29"/>
      <c r="S205" s="29"/>
      <c r="T205" s="29"/>
      <c r="U205" s="4"/>
      <c r="V205" s="4"/>
    </row>
    <row r="206" spans="1:23" x14ac:dyDescent="0.25">
      <c r="E206" s="11"/>
      <c r="F206" s="11"/>
      <c r="G206" s="11"/>
      <c r="H206" s="11"/>
      <c r="I206" s="11"/>
      <c r="J206" s="11"/>
      <c r="K206" s="11"/>
      <c r="L206" s="11"/>
      <c r="M206" s="11"/>
      <c r="N206" s="11"/>
      <c r="O206" s="11"/>
      <c r="P206" s="11"/>
      <c r="Q206" s="11"/>
      <c r="R206" s="11"/>
      <c r="S206" s="11"/>
      <c r="T206" s="11"/>
      <c r="W206" s="23"/>
    </row>
    <row r="207" spans="1:23" x14ac:dyDescent="0.25">
      <c r="A207" s="11" t="s">
        <v>1098</v>
      </c>
      <c r="B207" s="11" t="s">
        <v>1085</v>
      </c>
      <c r="C207" s="11" t="s">
        <v>498</v>
      </c>
      <c r="D207" s="11" t="s">
        <v>892</v>
      </c>
      <c r="E207" s="29"/>
      <c r="F207" s="29"/>
      <c r="G207" s="29"/>
      <c r="H207" s="29"/>
      <c r="I207" s="29"/>
      <c r="J207" s="29"/>
      <c r="K207" s="29"/>
      <c r="L207" s="29"/>
      <c r="M207" s="29"/>
      <c r="N207" s="29"/>
      <c r="O207" s="29"/>
      <c r="P207" s="29"/>
      <c r="Q207" s="29"/>
      <c r="R207" s="29"/>
      <c r="S207" s="29"/>
      <c r="T207" s="29"/>
      <c r="U207" s="4"/>
      <c r="V207" s="4"/>
    </row>
    <row r="208" spans="1:23" x14ac:dyDescent="0.25">
      <c r="A208" s="11" t="s">
        <v>1098</v>
      </c>
      <c r="B208" s="11" t="s">
        <v>1086</v>
      </c>
      <c r="C208" s="11" t="s">
        <v>498</v>
      </c>
      <c r="D208" s="11" t="s">
        <v>892</v>
      </c>
      <c r="E208" s="29"/>
      <c r="F208" s="29"/>
      <c r="G208" s="29"/>
      <c r="H208" s="29"/>
      <c r="I208" s="29"/>
      <c r="J208" s="29"/>
      <c r="K208" s="29"/>
      <c r="L208" s="29"/>
      <c r="M208" s="29"/>
      <c r="N208" s="29"/>
      <c r="O208" s="29"/>
      <c r="P208" s="29"/>
      <c r="Q208" s="29"/>
      <c r="R208" s="29"/>
      <c r="S208" s="29"/>
      <c r="T208" s="29"/>
      <c r="U208" s="4"/>
      <c r="V208" s="4"/>
    </row>
    <row r="209" spans="1:23" x14ac:dyDescent="0.25">
      <c r="A209" s="11" t="s">
        <v>1098</v>
      </c>
      <c r="B209" s="11" t="s">
        <v>1087</v>
      </c>
      <c r="C209" s="11" t="s">
        <v>498</v>
      </c>
      <c r="D209" s="11" t="s">
        <v>892</v>
      </c>
      <c r="E209" s="29"/>
      <c r="F209" s="29"/>
      <c r="G209" s="29"/>
      <c r="H209" s="29"/>
      <c r="I209" s="29"/>
      <c r="J209" s="29"/>
      <c r="K209" s="29"/>
      <c r="L209" s="29"/>
      <c r="M209" s="29"/>
      <c r="N209" s="29"/>
      <c r="O209" s="29"/>
      <c r="P209" s="29"/>
      <c r="Q209" s="29"/>
      <c r="R209" s="29"/>
      <c r="S209" s="29"/>
      <c r="T209" s="29"/>
      <c r="U209" s="4"/>
      <c r="V209" s="4"/>
    </row>
    <row r="210" spans="1:23" x14ac:dyDescent="0.25">
      <c r="E210" s="11"/>
      <c r="F210" s="11"/>
      <c r="G210" s="11"/>
      <c r="H210" s="11"/>
      <c r="I210" s="11"/>
      <c r="J210" s="11"/>
      <c r="K210" s="11"/>
      <c r="L210" s="11"/>
      <c r="M210" s="11"/>
      <c r="N210" s="11"/>
      <c r="O210" s="11"/>
      <c r="P210" s="11"/>
      <c r="Q210" s="11"/>
      <c r="R210" s="11"/>
      <c r="S210" s="11"/>
      <c r="T210" s="11"/>
      <c r="W210" s="23"/>
    </row>
    <row r="211" spans="1:23" x14ac:dyDescent="0.25">
      <c r="A211" s="11" t="s">
        <v>1098</v>
      </c>
      <c r="B211" s="11" t="s">
        <v>1085</v>
      </c>
      <c r="C211" s="11" t="s">
        <v>495</v>
      </c>
      <c r="D211" s="11" t="s">
        <v>892</v>
      </c>
      <c r="E211" s="29"/>
      <c r="F211" s="29"/>
      <c r="G211" s="29"/>
      <c r="H211" s="29"/>
      <c r="I211" s="29"/>
      <c r="J211" s="29"/>
      <c r="K211" s="29"/>
      <c r="L211" s="29"/>
      <c r="M211" s="29"/>
      <c r="N211" s="29"/>
      <c r="O211" s="29"/>
      <c r="P211" s="29"/>
      <c r="Q211" s="29"/>
      <c r="R211" s="29"/>
      <c r="S211" s="29"/>
      <c r="T211" s="29"/>
      <c r="U211" s="4"/>
      <c r="V211" s="4"/>
    </row>
    <row r="212" spans="1:23" x14ac:dyDescent="0.25">
      <c r="A212" s="11" t="s">
        <v>1098</v>
      </c>
      <c r="B212" s="11" t="s">
        <v>1086</v>
      </c>
      <c r="C212" s="11" t="s">
        <v>495</v>
      </c>
      <c r="D212" s="11" t="s">
        <v>892</v>
      </c>
      <c r="E212" s="29"/>
      <c r="F212" s="29"/>
      <c r="G212" s="29"/>
      <c r="H212" s="29"/>
      <c r="I212" s="29"/>
      <c r="J212" s="29"/>
      <c r="K212" s="29"/>
      <c r="L212" s="29"/>
      <c r="M212" s="29"/>
      <c r="N212" s="29"/>
      <c r="O212" s="29"/>
      <c r="P212" s="29"/>
      <c r="Q212" s="29"/>
      <c r="R212" s="29"/>
      <c r="S212" s="29"/>
      <c r="T212" s="29"/>
      <c r="U212" s="4"/>
      <c r="V212" s="4"/>
    </row>
    <row r="213" spans="1:23" x14ac:dyDescent="0.25">
      <c r="A213" s="11" t="s">
        <v>1098</v>
      </c>
      <c r="B213" s="11" t="s">
        <v>1087</v>
      </c>
      <c r="C213" s="11" t="s">
        <v>495</v>
      </c>
      <c r="D213" s="11" t="s">
        <v>892</v>
      </c>
      <c r="E213" s="29"/>
      <c r="F213" s="29"/>
      <c r="G213" s="29"/>
      <c r="H213" s="29"/>
      <c r="I213" s="29"/>
      <c r="J213" s="29"/>
      <c r="K213" s="29"/>
      <c r="L213" s="29"/>
      <c r="M213" s="29"/>
      <c r="N213" s="29"/>
      <c r="O213" s="29"/>
      <c r="P213" s="29"/>
      <c r="Q213" s="29"/>
      <c r="R213" s="29"/>
      <c r="S213" s="29"/>
      <c r="T213" s="29"/>
      <c r="U213" s="4"/>
      <c r="V213" s="4"/>
    </row>
    <row r="214" spans="1:23" x14ac:dyDescent="0.25">
      <c r="E214" s="11"/>
      <c r="F214" s="11"/>
      <c r="G214" s="11"/>
      <c r="H214" s="11"/>
      <c r="I214" s="11"/>
      <c r="J214" s="11"/>
      <c r="K214" s="11"/>
      <c r="L214" s="11"/>
      <c r="M214" s="11"/>
      <c r="N214" s="11"/>
      <c r="O214" s="11"/>
      <c r="P214" s="11"/>
      <c r="Q214" s="11"/>
      <c r="R214" s="11"/>
      <c r="S214" s="11"/>
      <c r="T214" s="11"/>
    </row>
    <row r="215" spans="1:23" s="124" customFormat="1" x14ac:dyDescent="0.25">
      <c r="A215" s="124" t="s">
        <v>1088</v>
      </c>
      <c r="W215" s="120"/>
    </row>
    <row r="216" spans="1:23" x14ac:dyDescent="0.25">
      <c r="A216" s="11" t="s">
        <v>1088</v>
      </c>
      <c r="B216" s="11" t="s">
        <v>1085</v>
      </c>
      <c r="C216" s="11" t="s">
        <v>491</v>
      </c>
      <c r="D216" s="11" t="s">
        <v>892</v>
      </c>
      <c r="E216" s="29"/>
      <c r="F216" s="29"/>
      <c r="G216" s="29"/>
      <c r="H216" s="29"/>
      <c r="I216" s="29"/>
      <c r="J216" s="29"/>
      <c r="K216" s="29"/>
      <c r="L216" s="29"/>
      <c r="M216" s="29"/>
      <c r="N216" s="29"/>
      <c r="O216" s="29"/>
      <c r="P216" s="29"/>
      <c r="Q216" s="29"/>
      <c r="R216" s="29"/>
      <c r="S216" s="29"/>
      <c r="T216" s="29"/>
      <c r="U216" s="4"/>
      <c r="V216" s="4"/>
    </row>
    <row r="217" spans="1:23" x14ac:dyDescent="0.25">
      <c r="A217" s="11" t="s">
        <v>1088</v>
      </c>
      <c r="B217" s="11" t="s">
        <v>1086</v>
      </c>
      <c r="C217" s="11" t="s">
        <v>491</v>
      </c>
      <c r="D217" s="11" t="s">
        <v>892</v>
      </c>
      <c r="E217" s="29"/>
      <c r="F217" s="29"/>
      <c r="G217" s="29"/>
      <c r="H217" s="29"/>
      <c r="I217" s="29"/>
      <c r="J217" s="29"/>
      <c r="K217" s="29"/>
      <c r="L217" s="29"/>
      <c r="M217" s="29"/>
      <c r="N217" s="29"/>
      <c r="O217" s="29"/>
      <c r="P217" s="29"/>
      <c r="Q217" s="29"/>
      <c r="R217" s="29"/>
      <c r="S217" s="29"/>
      <c r="T217" s="29"/>
      <c r="U217" s="4"/>
      <c r="V217" s="4"/>
    </row>
    <row r="218" spans="1:23" x14ac:dyDescent="0.25">
      <c r="A218" s="11" t="s">
        <v>1088</v>
      </c>
      <c r="B218" s="11" t="s">
        <v>1087</v>
      </c>
      <c r="C218" s="11" t="s">
        <v>491</v>
      </c>
      <c r="D218" s="11" t="s">
        <v>892</v>
      </c>
      <c r="E218" s="29"/>
      <c r="F218" s="29"/>
      <c r="G218" s="29"/>
      <c r="H218" s="29"/>
      <c r="I218" s="29"/>
      <c r="J218" s="29"/>
      <c r="K218" s="29"/>
      <c r="L218" s="29"/>
      <c r="M218" s="29"/>
      <c r="N218" s="29"/>
      <c r="O218" s="29"/>
      <c r="P218" s="29"/>
      <c r="Q218" s="29"/>
      <c r="R218" s="29"/>
      <c r="S218" s="29"/>
      <c r="T218" s="29"/>
      <c r="U218" s="4"/>
      <c r="V218" s="4"/>
    </row>
    <row r="219" spans="1:23" x14ac:dyDescent="0.25">
      <c r="A219" s="11"/>
      <c r="B219" s="11"/>
      <c r="C219" s="11"/>
      <c r="D219" s="11"/>
      <c r="E219" s="30"/>
      <c r="F219" s="30"/>
      <c r="G219" s="30"/>
      <c r="H219" s="30"/>
      <c r="I219" s="30"/>
      <c r="J219" s="30"/>
      <c r="K219" s="30"/>
      <c r="L219" s="30"/>
      <c r="M219" s="30"/>
      <c r="N219" s="30"/>
      <c r="O219" s="30"/>
      <c r="P219" s="30"/>
      <c r="Q219" s="30"/>
      <c r="R219" s="30"/>
      <c r="S219" s="30"/>
      <c r="T219" s="30"/>
      <c r="U219" s="23"/>
      <c r="V219" s="23"/>
      <c r="W219" s="23"/>
    </row>
    <row r="220" spans="1:23" x14ac:dyDescent="0.25">
      <c r="A220" s="11" t="s">
        <v>1088</v>
      </c>
      <c r="B220" s="11" t="s">
        <v>1085</v>
      </c>
      <c r="C220" s="11" t="s">
        <v>492</v>
      </c>
      <c r="D220" s="11" t="s">
        <v>892</v>
      </c>
      <c r="E220" s="29"/>
      <c r="F220" s="29"/>
      <c r="G220" s="29"/>
      <c r="H220" s="29"/>
      <c r="I220" s="29"/>
      <c r="J220" s="29"/>
      <c r="K220" s="29"/>
      <c r="L220" s="29"/>
      <c r="M220" s="29"/>
      <c r="N220" s="29"/>
      <c r="O220" s="29"/>
      <c r="P220" s="29"/>
      <c r="Q220" s="29"/>
      <c r="R220" s="29"/>
      <c r="S220" s="29"/>
      <c r="T220" s="29"/>
      <c r="U220" s="4"/>
      <c r="V220" s="4"/>
    </row>
    <row r="221" spans="1:23" x14ac:dyDescent="0.25">
      <c r="A221" s="11" t="s">
        <v>1088</v>
      </c>
      <c r="B221" s="11" t="s">
        <v>1086</v>
      </c>
      <c r="C221" s="11" t="s">
        <v>492</v>
      </c>
      <c r="D221" s="11" t="s">
        <v>892</v>
      </c>
      <c r="E221" s="29"/>
      <c r="F221" s="29"/>
      <c r="G221" s="29"/>
      <c r="H221" s="29"/>
      <c r="I221" s="29"/>
      <c r="J221" s="29"/>
      <c r="K221" s="29"/>
      <c r="L221" s="29"/>
      <c r="M221" s="29"/>
      <c r="N221" s="29"/>
      <c r="O221" s="29"/>
      <c r="P221" s="29"/>
      <c r="Q221" s="29"/>
      <c r="R221" s="29"/>
      <c r="S221" s="29"/>
      <c r="T221" s="29"/>
      <c r="U221" s="4"/>
      <c r="V221" s="4"/>
    </row>
    <row r="222" spans="1:23" x14ac:dyDescent="0.25">
      <c r="A222" s="11" t="s">
        <v>1088</v>
      </c>
      <c r="B222" s="11" t="s">
        <v>1087</v>
      </c>
      <c r="C222" s="11" t="s">
        <v>492</v>
      </c>
      <c r="D222" s="11" t="s">
        <v>892</v>
      </c>
      <c r="E222" s="29"/>
      <c r="F222" s="29"/>
      <c r="G222" s="29"/>
      <c r="H222" s="29"/>
      <c r="I222" s="29"/>
      <c r="J222" s="29"/>
      <c r="K222" s="29"/>
      <c r="L222" s="29"/>
      <c r="M222" s="29"/>
      <c r="N222" s="29"/>
      <c r="O222" s="29"/>
      <c r="P222" s="29"/>
      <c r="Q222" s="29"/>
      <c r="R222" s="29"/>
      <c r="S222" s="29"/>
      <c r="T222" s="29"/>
      <c r="U222" s="4"/>
      <c r="V222" s="4"/>
    </row>
    <row r="223" spans="1:23" x14ac:dyDescent="0.25">
      <c r="A223" s="11"/>
      <c r="B223" s="11"/>
      <c r="C223" s="11"/>
      <c r="D223" s="11"/>
      <c r="E223" s="30"/>
      <c r="F223" s="30"/>
      <c r="G223" s="30"/>
      <c r="H223" s="30"/>
      <c r="I223" s="30"/>
      <c r="J223" s="30"/>
      <c r="K223" s="30"/>
      <c r="L223" s="30"/>
      <c r="M223" s="30"/>
      <c r="N223" s="30"/>
      <c r="O223" s="30"/>
      <c r="P223" s="30"/>
      <c r="Q223" s="30"/>
      <c r="R223" s="30"/>
      <c r="S223" s="30"/>
      <c r="T223" s="30"/>
      <c r="U223" s="23"/>
      <c r="V223" s="23"/>
      <c r="W223" s="23"/>
    </row>
    <row r="224" spans="1:23" x14ac:dyDescent="0.25">
      <c r="A224" s="11" t="s">
        <v>1088</v>
      </c>
      <c r="B224" s="11" t="s">
        <v>1085</v>
      </c>
      <c r="C224" s="11" t="s">
        <v>493</v>
      </c>
      <c r="D224" s="11" t="s">
        <v>892</v>
      </c>
      <c r="E224" s="29"/>
      <c r="F224" s="29"/>
      <c r="G224" s="29"/>
      <c r="H224" s="29"/>
      <c r="I224" s="29"/>
      <c r="J224" s="29"/>
      <c r="K224" s="29"/>
      <c r="L224" s="29"/>
      <c r="M224" s="29"/>
      <c r="N224" s="29"/>
      <c r="O224" s="29"/>
      <c r="P224" s="29"/>
      <c r="Q224" s="29"/>
      <c r="R224" s="29"/>
      <c r="S224" s="29"/>
      <c r="T224" s="29"/>
      <c r="U224" s="4"/>
      <c r="V224" s="4"/>
    </row>
    <row r="225" spans="1:23" x14ac:dyDescent="0.25">
      <c r="A225" s="11" t="s">
        <v>1088</v>
      </c>
      <c r="B225" s="11" t="s">
        <v>1086</v>
      </c>
      <c r="C225" s="11" t="s">
        <v>493</v>
      </c>
      <c r="D225" s="11" t="s">
        <v>892</v>
      </c>
      <c r="E225" s="29"/>
      <c r="F225" s="29"/>
      <c r="G225" s="29"/>
      <c r="H225" s="29"/>
      <c r="I225" s="29"/>
      <c r="J225" s="29"/>
      <c r="K225" s="29"/>
      <c r="L225" s="29"/>
      <c r="M225" s="29"/>
      <c r="N225" s="29"/>
      <c r="O225" s="29"/>
      <c r="P225" s="29"/>
      <c r="Q225" s="29"/>
      <c r="R225" s="29"/>
      <c r="S225" s="29"/>
      <c r="T225" s="29"/>
      <c r="U225" s="4"/>
      <c r="V225" s="4"/>
    </row>
    <row r="226" spans="1:23" x14ac:dyDescent="0.25">
      <c r="A226" s="11" t="s">
        <v>1088</v>
      </c>
      <c r="B226" s="11" t="s">
        <v>1087</v>
      </c>
      <c r="C226" s="11" t="s">
        <v>493</v>
      </c>
      <c r="D226" s="11" t="s">
        <v>892</v>
      </c>
      <c r="E226" s="29"/>
      <c r="F226" s="29"/>
      <c r="G226" s="29"/>
      <c r="H226" s="29"/>
      <c r="I226" s="29"/>
      <c r="J226" s="29"/>
      <c r="K226" s="29"/>
      <c r="L226" s="29"/>
      <c r="M226" s="29"/>
      <c r="N226" s="29"/>
      <c r="O226" s="29"/>
      <c r="P226" s="29"/>
      <c r="Q226" s="29"/>
      <c r="R226" s="29"/>
      <c r="S226" s="29"/>
      <c r="T226" s="29"/>
      <c r="U226" s="4"/>
      <c r="V226" s="4"/>
    </row>
    <row r="227" spans="1:23" x14ac:dyDescent="0.25">
      <c r="A227" s="11"/>
      <c r="B227" s="11"/>
      <c r="C227" s="11"/>
      <c r="D227" s="11"/>
      <c r="E227" s="30"/>
      <c r="F227" s="30"/>
      <c r="G227" s="30"/>
      <c r="H227" s="30"/>
      <c r="I227" s="30"/>
      <c r="J227" s="30"/>
      <c r="K227" s="30"/>
      <c r="L227" s="30"/>
      <c r="M227" s="30"/>
      <c r="N227" s="30"/>
      <c r="O227" s="30"/>
      <c r="P227" s="30"/>
      <c r="Q227" s="30"/>
      <c r="R227" s="30"/>
      <c r="S227" s="30"/>
      <c r="T227" s="30"/>
      <c r="U227" s="23"/>
      <c r="V227" s="23"/>
      <c r="W227" s="23"/>
    </row>
    <row r="228" spans="1:23" x14ac:dyDescent="0.25">
      <c r="A228" s="11" t="s">
        <v>1088</v>
      </c>
      <c r="B228" s="11" t="s">
        <v>1085</v>
      </c>
      <c r="C228" s="11" t="s">
        <v>494</v>
      </c>
      <c r="D228" s="11" t="s">
        <v>892</v>
      </c>
      <c r="E228" s="29"/>
      <c r="F228" s="29"/>
      <c r="G228" s="29"/>
      <c r="H228" s="29"/>
      <c r="I228" s="29"/>
      <c r="J228" s="29"/>
      <c r="K228" s="29"/>
      <c r="L228" s="29"/>
      <c r="M228" s="29"/>
      <c r="N228" s="29"/>
      <c r="O228" s="29"/>
      <c r="P228" s="29"/>
      <c r="Q228" s="29"/>
      <c r="R228" s="29"/>
      <c r="S228" s="29"/>
      <c r="T228" s="29"/>
      <c r="U228" s="4"/>
      <c r="V228" s="4"/>
    </row>
    <row r="229" spans="1:23" x14ac:dyDescent="0.25">
      <c r="A229" s="11" t="s">
        <v>1088</v>
      </c>
      <c r="B229" s="11" t="s">
        <v>1086</v>
      </c>
      <c r="C229" s="11" t="s">
        <v>494</v>
      </c>
      <c r="D229" s="11" t="s">
        <v>892</v>
      </c>
      <c r="E229" s="29"/>
      <c r="F229" s="29"/>
      <c r="G229" s="29"/>
      <c r="H229" s="29"/>
      <c r="I229" s="29"/>
      <c r="J229" s="29"/>
      <c r="K229" s="29"/>
      <c r="L229" s="29"/>
      <c r="M229" s="29"/>
      <c r="N229" s="29"/>
      <c r="O229" s="29"/>
      <c r="P229" s="29"/>
      <c r="Q229" s="29"/>
      <c r="R229" s="29"/>
      <c r="S229" s="29"/>
      <c r="T229" s="29"/>
      <c r="U229" s="4"/>
      <c r="V229" s="4"/>
    </row>
    <row r="230" spans="1:23" x14ac:dyDescent="0.25">
      <c r="A230" s="11" t="s">
        <v>1088</v>
      </c>
      <c r="B230" s="11" t="s">
        <v>1087</v>
      </c>
      <c r="C230" s="11" t="s">
        <v>494</v>
      </c>
      <c r="D230" s="11" t="s">
        <v>892</v>
      </c>
      <c r="E230" s="29"/>
      <c r="F230" s="29"/>
      <c r="G230" s="29"/>
      <c r="H230" s="29"/>
      <c r="I230" s="29"/>
      <c r="J230" s="29"/>
      <c r="K230" s="29"/>
      <c r="L230" s="29"/>
      <c r="M230" s="29"/>
      <c r="N230" s="29"/>
      <c r="O230" s="29"/>
      <c r="P230" s="29"/>
      <c r="Q230" s="29"/>
      <c r="R230" s="29"/>
      <c r="S230" s="29"/>
      <c r="T230" s="29"/>
      <c r="U230" s="4"/>
      <c r="V230" s="4"/>
    </row>
    <row r="231" spans="1:23" x14ac:dyDescent="0.25">
      <c r="E231" s="11"/>
      <c r="F231" s="11"/>
      <c r="G231" s="11"/>
      <c r="H231" s="11"/>
      <c r="I231" s="11"/>
      <c r="J231" s="11"/>
      <c r="K231" s="11"/>
      <c r="L231" s="11"/>
      <c r="M231" s="11"/>
      <c r="N231" s="11"/>
      <c r="O231" s="11"/>
      <c r="P231" s="11"/>
      <c r="Q231" s="11"/>
      <c r="R231" s="11"/>
      <c r="S231" s="11"/>
      <c r="T231" s="11"/>
      <c r="W231" s="23"/>
    </row>
    <row r="232" spans="1:23" x14ac:dyDescent="0.25">
      <c r="A232" s="11" t="s">
        <v>1088</v>
      </c>
      <c r="B232" s="11" t="s">
        <v>1085</v>
      </c>
      <c r="C232" s="11" t="s">
        <v>498</v>
      </c>
      <c r="D232" s="11" t="s">
        <v>892</v>
      </c>
      <c r="E232" s="29"/>
      <c r="F232" s="29"/>
      <c r="G232" s="29"/>
      <c r="H232" s="29"/>
      <c r="I232" s="29"/>
      <c r="J232" s="29"/>
      <c r="K232" s="29"/>
      <c r="L232" s="29"/>
      <c r="M232" s="29"/>
      <c r="N232" s="29"/>
      <c r="O232" s="29"/>
      <c r="P232" s="29"/>
      <c r="Q232" s="29"/>
      <c r="R232" s="29"/>
      <c r="S232" s="29"/>
      <c r="T232" s="29"/>
      <c r="U232" s="4"/>
      <c r="V232" s="4"/>
    </row>
    <row r="233" spans="1:23" x14ac:dyDescent="0.25">
      <c r="A233" s="11" t="s">
        <v>1088</v>
      </c>
      <c r="B233" s="11" t="s">
        <v>1086</v>
      </c>
      <c r="C233" s="11" t="s">
        <v>498</v>
      </c>
      <c r="D233" s="11" t="s">
        <v>892</v>
      </c>
      <c r="E233" s="29"/>
      <c r="F233" s="29"/>
      <c r="G233" s="29"/>
      <c r="H233" s="29"/>
      <c r="I233" s="29"/>
      <c r="J233" s="29"/>
      <c r="K233" s="29"/>
      <c r="L233" s="29"/>
      <c r="M233" s="29"/>
      <c r="N233" s="29"/>
      <c r="O233" s="29"/>
      <c r="P233" s="29"/>
      <c r="Q233" s="29"/>
      <c r="R233" s="29"/>
      <c r="S233" s="29"/>
      <c r="T233" s="29"/>
      <c r="U233" s="4"/>
      <c r="V233" s="4"/>
    </row>
    <row r="234" spans="1:23" x14ac:dyDescent="0.25">
      <c r="A234" s="11" t="s">
        <v>1088</v>
      </c>
      <c r="B234" s="11" t="s">
        <v>1087</v>
      </c>
      <c r="C234" s="11" t="s">
        <v>498</v>
      </c>
      <c r="D234" s="11" t="s">
        <v>892</v>
      </c>
      <c r="E234" s="29"/>
      <c r="F234" s="29"/>
      <c r="G234" s="29"/>
      <c r="H234" s="29"/>
      <c r="I234" s="29"/>
      <c r="J234" s="29"/>
      <c r="K234" s="29"/>
      <c r="L234" s="29"/>
      <c r="M234" s="29"/>
      <c r="N234" s="29"/>
      <c r="O234" s="29"/>
      <c r="P234" s="29"/>
      <c r="Q234" s="29"/>
      <c r="R234" s="29"/>
      <c r="S234" s="29"/>
      <c r="T234" s="29"/>
      <c r="U234" s="4"/>
      <c r="V234" s="4"/>
    </row>
    <row r="235" spans="1:23" x14ac:dyDescent="0.25">
      <c r="E235" s="11"/>
      <c r="F235" s="11"/>
      <c r="G235" s="11"/>
      <c r="H235" s="11"/>
      <c r="I235" s="11"/>
      <c r="J235" s="11"/>
      <c r="K235" s="11"/>
      <c r="L235" s="11"/>
      <c r="M235" s="11"/>
      <c r="N235" s="11"/>
      <c r="O235" s="11"/>
      <c r="P235" s="11"/>
      <c r="Q235" s="11"/>
      <c r="R235" s="11"/>
      <c r="S235" s="11"/>
      <c r="T235" s="11"/>
      <c r="W235" s="23"/>
    </row>
    <row r="236" spans="1:23" x14ac:dyDescent="0.25">
      <c r="A236" s="11" t="s">
        <v>1088</v>
      </c>
      <c r="B236" s="11" t="s">
        <v>1085</v>
      </c>
      <c r="C236" s="11" t="s">
        <v>495</v>
      </c>
      <c r="D236" s="11" t="s">
        <v>892</v>
      </c>
      <c r="E236" s="29"/>
      <c r="F236" s="29"/>
      <c r="G236" s="29"/>
      <c r="H236" s="29"/>
      <c r="I236" s="29"/>
      <c r="J236" s="29"/>
      <c r="K236" s="29"/>
      <c r="L236" s="29"/>
      <c r="M236" s="29"/>
      <c r="N236" s="29"/>
      <c r="O236" s="29"/>
      <c r="P236" s="29"/>
      <c r="Q236" s="29"/>
      <c r="R236" s="29"/>
      <c r="S236" s="29"/>
      <c r="T236" s="29"/>
      <c r="U236" s="4"/>
      <c r="V236" s="4"/>
    </row>
    <row r="237" spans="1:23" x14ac:dyDescent="0.25">
      <c r="A237" s="11" t="s">
        <v>1088</v>
      </c>
      <c r="B237" s="11" t="s">
        <v>1086</v>
      </c>
      <c r="C237" s="11" t="s">
        <v>495</v>
      </c>
      <c r="D237" s="11" t="s">
        <v>892</v>
      </c>
      <c r="E237" s="29"/>
      <c r="F237" s="29"/>
      <c r="G237" s="29"/>
      <c r="H237" s="29"/>
      <c r="I237" s="29"/>
      <c r="J237" s="29"/>
      <c r="K237" s="29"/>
      <c r="L237" s="29"/>
      <c r="M237" s="29"/>
      <c r="N237" s="29"/>
      <c r="O237" s="29"/>
      <c r="P237" s="29"/>
      <c r="Q237" s="29"/>
      <c r="R237" s="29"/>
      <c r="S237" s="29"/>
      <c r="T237" s="29"/>
      <c r="U237" s="4"/>
      <c r="V237" s="4"/>
    </row>
    <row r="238" spans="1:23" x14ac:dyDescent="0.25">
      <c r="A238" s="11" t="s">
        <v>1088</v>
      </c>
      <c r="B238" s="11" t="s">
        <v>1087</v>
      </c>
      <c r="C238" s="11" t="s">
        <v>495</v>
      </c>
      <c r="D238" s="11" t="s">
        <v>892</v>
      </c>
      <c r="E238" s="29"/>
      <c r="F238" s="29"/>
      <c r="G238" s="29"/>
      <c r="H238" s="29"/>
      <c r="I238" s="29"/>
      <c r="J238" s="29"/>
      <c r="K238" s="29"/>
      <c r="L238" s="29"/>
      <c r="M238" s="29"/>
      <c r="N238" s="29"/>
      <c r="O238" s="29"/>
      <c r="P238" s="29"/>
      <c r="Q238" s="29"/>
      <c r="R238" s="29"/>
      <c r="S238" s="29"/>
      <c r="T238" s="29"/>
      <c r="U238" s="4"/>
      <c r="V238" s="4"/>
    </row>
    <row r="239" spans="1:23" x14ac:dyDescent="0.25">
      <c r="E239" s="11"/>
      <c r="F239" s="11"/>
      <c r="G239" s="11"/>
      <c r="H239" s="11"/>
      <c r="I239" s="11"/>
      <c r="J239" s="11"/>
      <c r="K239" s="11"/>
      <c r="L239" s="11"/>
      <c r="M239" s="11"/>
      <c r="N239" s="11"/>
      <c r="O239" s="11"/>
      <c r="P239" s="11"/>
      <c r="Q239" s="11"/>
      <c r="R239" s="11"/>
      <c r="S239" s="11"/>
      <c r="T239" s="11"/>
    </row>
    <row r="240" spans="1:23" x14ac:dyDescent="0.25">
      <c r="A240" s="8"/>
      <c r="B240" s="9" t="s">
        <v>877</v>
      </c>
      <c r="C240" s="8"/>
      <c r="D240" s="8"/>
      <c r="E240" s="197" t="s">
        <v>1090</v>
      </c>
      <c r="F240" s="197"/>
      <c r="G240" s="197"/>
      <c r="H240" s="197"/>
      <c r="I240" s="197"/>
      <c r="J240" s="197"/>
      <c r="K240" s="197"/>
      <c r="L240" s="197"/>
      <c r="M240" s="197"/>
      <c r="N240" s="197"/>
      <c r="O240" s="197"/>
      <c r="P240" s="197"/>
      <c r="Q240" s="197"/>
      <c r="R240" s="197"/>
      <c r="S240" s="197"/>
      <c r="T240" s="197"/>
      <c r="U240" s="8"/>
      <c r="V240" s="8"/>
      <c r="W240" s="8"/>
    </row>
    <row r="241" spans="1:23" x14ac:dyDescent="0.25">
      <c r="E241" s="11"/>
      <c r="F241" s="11"/>
      <c r="G241" s="11"/>
      <c r="H241" s="11"/>
      <c r="I241" s="11"/>
      <c r="J241" s="11"/>
      <c r="K241" s="11"/>
      <c r="L241" s="11"/>
      <c r="M241" s="11"/>
      <c r="N241" s="11"/>
      <c r="O241" s="11"/>
      <c r="P241" s="11"/>
      <c r="Q241" s="11"/>
      <c r="R241" s="11"/>
      <c r="S241" s="11"/>
      <c r="T241" s="11"/>
    </row>
    <row r="242" spans="1:23" s="124" customFormat="1" x14ac:dyDescent="0.25">
      <c r="A242" s="124" t="s">
        <v>1084</v>
      </c>
      <c r="W242" s="120"/>
    </row>
    <row r="243" spans="1:23" x14ac:dyDescent="0.25">
      <c r="A243" s="11" t="s">
        <v>1098</v>
      </c>
      <c r="B243" s="11" t="s">
        <v>1091</v>
      </c>
      <c r="C243" s="11" t="s">
        <v>491</v>
      </c>
      <c r="D243" s="11"/>
      <c r="E243" s="29"/>
      <c r="F243" s="29"/>
      <c r="G243" s="29"/>
      <c r="H243" s="29"/>
      <c r="I243" s="29"/>
      <c r="J243" s="29"/>
      <c r="K243" s="29"/>
      <c r="L243" s="29"/>
      <c r="M243" s="29"/>
      <c r="N243" s="29"/>
      <c r="O243" s="29"/>
      <c r="P243" s="29"/>
      <c r="Q243" s="29"/>
      <c r="R243" s="29"/>
      <c r="S243" s="29"/>
      <c r="T243" s="29"/>
      <c r="U243" s="4"/>
      <c r="V243" s="4"/>
    </row>
    <row r="244" spans="1:23" x14ac:dyDescent="0.25">
      <c r="A244" s="11" t="s">
        <v>1098</v>
      </c>
      <c r="B244" s="11" t="s">
        <v>1092</v>
      </c>
      <c r="C244" s="11" t="s">
        <v>491</v>
      </c>
      <c r="D244" s="11" t="s">
        <v>1093</v>
      </c>
      <c r="E244" s="29">
        <v>15</v>
      </c>
      <c r="F244" s="29">
        <v>15</v>
      </c>
      <c r="G244" s="29">
        <v>15</v>
      </c>
      <c r="H244" s="29">
        <v>15</v>
      </c>
      <c r="I244" s="29">
        <v>15</v>
      </c>
      <c r="J244" s="29">
        <v>15</v>
      </c>
      <c r="K244" s="29">
        <v>15</v>
      </c>
      <c r="L244" s="29">
        <v>15</v>
      </c>
      <c r="M244" s="29">
        <v>15</v>
      </c>
      <c r="N244" s="29">
        <v>15</v>
      </c>
      <c r="O244" s="29">
        <v>15</v>
      </c>
      <c r="P244" s="29">
        <v>15</v>
      </c>
      <c r="Q244" s="29">
        <v>15</v>
      </c>
      <c r="R244" s="29">
        <v>15</v>
      </c>
      <c r="S244" s="29">
        <v>15</v>
      </c>
      <c r="T244" s="29">
        <v>15</v>
      </c>
      <c r="U244" s="4"/>
      <c r="V244" s="4"/>
    </row>
    <row r="245" spans="1:23" x14ac:dyDescent="0.25">
      <c r="A245" s="11" t="s">
        <v>1098</v>
      </c>
      <c r="B245" s="11" t="s">
        <v>1094</v>
      </c>
      <c r="C245" s="11" t="s">
        <v>491</v>
      </c>
      <c r="D245" s="11" t="s">
        <v>1095</v>
      </c>
      <c r="E245" s="29">
        <v>15</v>
      </c>
      <c r="F245" s="29">
        <v>15</v>
      </c>
      <c r="G245" s="29">
        <v>15</v>
      </c>
      <c r="H245" s="29">
        <v>15</v>
      </c>
      <c r="I245" s="29">
        <v>15</v>
      </c>
      <c r="J245" s="29">
        <v>15</v>
      </c>
      <c r="K245" s="29">
        <v>15</v>
      </c>
      <c r="L245" s="29">
        <v>15</v>
      </c>
      <c r="M245" s="29">
        <v>15</v>
      </c>
      <c r="N245" s="29">
        <v>15</v>
      </c>
      <c r="O245" s="29">
        <v>15</v>
      </c>
      <c r="P245" s="29">
        <v>15</v>
      </c>
      <c r="Q245" s="29">
        <v>15</v>
      </c>
      <c r="R245" s="29">
        <v>15</v>
      </c>
      <c r="S245" s="29">
        <v>15</v>
      </c>
      <c r="T245" s="29">
        <v>15</v>
      </c>
      <c r="U245" s="4"/>
      <c r="V245" s="4"/>
    </row>
    <row r="246" spans="1:23" x14ac:dyDescent="0.25">
      <c r="A246" s="11" t="s">
        <v>1098</v>
      </c>
      <c r="B246" s="11" t="s">
        <v>1096</v>
      </c>
      <c r="C246" s="11" t="s">
        <v>491</v>
      </c>
      <c r="D246" s="11" t="s">
        <v>1095</v>
      </c>
      <c r="E246" s="29"/>
      <c r="F246" s="29"/>
      <c r="G246" s="29"/>
      <c r="H246" s="29"/>
      <c r="I246" s="29"/>
      <c r="J246" s="29"/>
      <c r="K246" s="29"/>
      <c r="L246" s="29"/>
      <c r="M246" s="29"/>
      <c r="N246" s="29"/>
      <c r="O246" s="29"/>
      <c r="P246" s="29"/>
      <c r="Q246" s="29"/>
      <c r="R246" s="29"/>
      <c r="S246" s="29"/>
      <c r="T246" s="29"/>
      <c r="U246" s="4"/>
      <c r="V246" s="4"/>
    </row>
    <row r="247" spans="1:23" x14ac:dyDescent="0.25">
      <c r="A247" s="11"/>
      <c r="B247" s="11"/>
      <c r="C247" s="11"/>
      <c r="D247" s="11"/>
      <c r="E247" s="30"/>
      <c r="F247" s="30"/>
      <c r="G247" s="30"/>
      <c r="H247" s="30"/>
      <c r="I247" s="30"/>
      <c r="J247" s="30"/>
      <c r="K247" s="30"/>
      <c r="L247" s="30"/>
      <c r="M247" s="30"/>
      <c r="N247" s="30"/>
      <c r="O247" s="30"/>
      <c r="P247" s="30"/>
      <c r="Q247" s="30"/>
      <c r="R247" s="30"/>
      <c r="S247" s="30"/>
      <c r="T247" s="30"/>
      <c r="U247" s="23"/>
      <c r="V247" s="23"/>
      <c r="W247" s="23"/>
    </row>
    <row r="248" spans="1:23" x14ac:dyDescent="0.25">
      <c r="A248" s="11" t="s">
        <v>1098</v>
      </c>
      <c r="B248" s="11" t="s">
        <v>1091</v>
      </c>
      <c r="C248" s="11" t="s">
        <v>492</v>
      </c>
      <c r="D248" s="11"/>
      <c r="E248" s="29"/>
      <c r="F248" s="29"/>
      <c r="G248" s="29"/>
      <c r="H248" s="29"/>
      <c r="I248" s="29"/>
      <c r="J248" s="29"/>
      <c r="K248" s="29"/>
      <c r="L248" s="29"/>
      <c r="M248" s="29"/>
      <c r="N248" s="29"/>
      <c r="O248" s="29"/>
      <c r="P248" s="29"/>
      <c r="Q248" s="29"/>
      <c r="R248" s="29"/>
      <c r="S248" s="29"/>
      <c r="T248" s="29"/>
      <c r="U248" s="4"/>
      <c r="V248" s="4"/>
    </row>
    <row r="249" spans="1:23" x14ac:dyDescent="0.25">
      <c r="A249" s="11" t="s">
        <v>1098</v>
      </c>
      <c r="B249" s="11" t="s">
        <v>1092</v>
      </c>
      <c r="C249" s="11" t="s">
        <v>492</v>
      </c>
      <c r="D249" s="11" t="s">
        <v>1093</v>
      </c>
      <c r="E249" s="29">
        <v>15</v>
      </c>
      <c r="F249" s="29">
        <v>15</v>
      </c>
      <c r="G249" s="29">
        <v>15</v>
      </c>
      <c r="H249" s="29">
        <v>15</v>
      </c>
      <c r="I249" s="29">
        <v>15</v>
      </c>
      <c r="J249" s="29">
        <v>15</v>
      </c>
      <c r="K249" s="29">
        <v>15</v>
      </c>
      <c r="L249" s="29">
        <v>15</v>
      </c>
      <c r="M249" s="29">
        <v>15</v>
      </c>
      <c r="N249" s="29">
        <v>15</v>
      </c>
      <c r="O249" s="29">
        <v>15</v>
      </c>
      <c r="P249" s="29">
        <v>15</v>
      </c>
      <c r="Q249" s="29">
        <v>15</v>
      </c>
      <c r="R249" s="29">
        <v>15</v>
      </c>
      <c r="S249" s="29">
        <v>15</v>
      </c>
      <c r="T249" s="29">
        <v>15</v>
      </c>
      <c r="U249" s="4"/>
      <c r="V249" s="4"/>
    </row>
    <row r="250" spans="1:23" x14ac:dyDescent="0.25">
      <c r="A250" s="11" t="s">
        <v>1098</v>
      </c>
      <c r="B250" s="11" t="s">
        <v>1094</v>
      </c>
      <c r="C250" s="11" t="s">
        <v>492</v>
      </c>
      <c r="D250" s="11" t="s">
        <v>1095</v>
      </c>
      <c r="E250" s="29">
        <v>15</v>
      </c>
      <c r="F250" s="29">
        <v>15</v>
      </c>
      <c r="G250" s="29">
        <v>15</v>
      </c>
      <c r="H250" s="29">
        <v>15</v>
      </c>
      <c r="I250" s="29">
        <v>15</v>
      </c>
      <c r="J250" s="29">
        <v>15</v>
      </c>
      <c r="K250" s="29">
        <v>15</v>
      </c>
      <c r="L250" s="29">
        <v>15</v>
      </c>
      <c r="M250" s="29">
        <v>15</v>
      </c>
      <c r="N250" s="29">
        <v>15</v>
      </c>
      <c r="O250" s="29">
        <v>15</v>
      </c>
      <c r="P250" s="29">
        <v>15</v>
      </c>
      <c r="Q250" s="29">
        <v>15</v>
      </c>
      <c r="R250" s="29">
        <v>15</v>
      </c>
      <c r="S250" s="29">
        <v>15</v>
      </c>
      <c r="T250" s="29">
        <v>15</v>
      </c>
      <c r="U250" s="4"/>
      <c r="V250" s="4"/>
    </row>
    <row r="251" spans="1:23" x14ac:dyDescent="0.25">
      <c r="A251" s="11" t="s">
        <v>1098</v>
      </c>
      <c r="B251" s="11" t="s">
        <v>1096</v>
      </c>
      <c r="C251" s="11" t="s">
        <v>492</v>
      </c>
      <c r="D251" s="11" t="s">
        <v>1095</v>
      </c>
      <c r="E251" s="29"/>
      <c r="F251" s="29"/>
      <c r="G251" s="29"/>
      <c r="H251" s="29"/>
      <c r="I251" s="29"/>
      <c r="J251" s="29"/>
      <c r="K251" s="29"/>
      <c r="L251" s="29"/>
      <c r="M251" s="29"/>
      <c r="N251" s="29"/>
      <c r="O251" s="29"/>
      <c r="P251" s="29"/>
      <c r="Q251" s="29"/>
      <c r="R251" s="29"/>
      <c r="S251" s="29"/>
      <c r="T251" s="29"/>
      <c r="U251" s="4"/>
      <c r="V251" s="4"/>
    </row>
    <row r="252" spans="1:23" x14ac:dyDescent="0.25">
      <c r="A252" s="11"/>
      <c r="B252" s="11"/>
      <c r="C252" s="11"/>
      <c r="D252" s="11"/>
      <c r="E252" s="30"/>
      <c r="F252" s="30"/>
      <c r="G252" s="30"/>
      <c r="H252" s="30"/>
      <c r="I252" s="30"/>
      <c r="J252" s="30"/>
      <c r="K252" s="30"/>
      <c r="L252" s="30"/>
      <c r="M252" s="30"/>
      <c r="N252" s="30"/>
      <c r="O252" s="30"/>
      <c r="P252" s="30"/>
      <c r="Q252" s="30"/>
      <c r="R252" s="30"/>
      <c r="S252" s="30"/>
      <c r="T252" s="30"/>
      <c r="U252" s="23"/>
      <c r="V252" s="23"/>
      <c r="W252" s="23"/>
    </row>
    <row r="253" spans="1:23" x14ac:dyDescent="0.25">
      <c r="A253" s="11" t="s">
        <v>1098</v>
      </c>
      <c r="B253" s="11" t="s">
        <v>1091</v>
      </c>
      <c r="C253" s="11" t="s">
        <v>493</v>
      </c>
      <c r="D253" s="11"/>
      <c r="E253" s="29"/>
      <c r="F253" s="29"/>
      <c r="G253" s="29"/>
      <c r="H253" s="29"/>
      <c r="I253" s="29"/>
      <c r="J253" s="29"/>
      <c r="K253" s="29"/>
      <c r="L253" s="29"/>
      <c r="M253" s="29"/>
      <c r="N253" s="29"/>
      <c r="O253" s="29"/>
      <c r="P253" s="29"/>
      <c r="Q253" s="29"/>
      <c r="R253" s="29"/>
      <c r="S253" s="29"/>
      <c r="T253" s="29"/>
      <c r="U253" s="4"/>
      <c r="V253" s="4"/>
    </row>
    <row r="254" spans="1:23" x14ac:dyDescent="0.25">
      <c r="A254" s="11" t="s">
        <v>1098</v>
      </c>
      <c r="B254" s="11" t="s">
        <v>1092</v>
      </c>
      <c r="C254" s="11" t="s">
        <v>493</v>
      </c>
      <c r="D254" s="11" t="s">
        <v>1093</v>
      </c>
      <c r="E254" s="29">
        <v>15</v>
      </c>
      <c r="F254" s="29">
        <v>15</v>
      </c>
      <c r="G254" s="29">
        <v>15</v>
      </c>
      <c r="H254" s="29">
        <v>15</v>
      </c>
      <c r="I254" s="29">
        <v>15</v>
      </c>
      <c r="J254" s="29">
        <v>15</v>
      </c>
      <c r="K254" s="29">
        <v>15</v>
      </c>
      <c r="L254" s="29">
        <v>15</v>
      </c>
      <c r="M254" s="29">
        <v>15</v>
      </c>
      <c r="N254" s="29">
        <v>15</v>
      </c>
      <c r="O254" s="29">
        <v>15</v>
      </c>
      <c r="P254" s="29">
        <v>15</v>
      </c>
      <c r="Q254" s="29">
        <v>15</v>
      </c>
      <c r="R254" s="29">
        <v>15</v>
      </c>
      <c r="S254" s="29">
        <v>15</v>
      </c>
      <c r="T254" s="29">
        <v>15</v>
      </c>
      <c r="U254" s="4"/>
      <c r="V254" s="4"/>
    </row>
    <row r="255" spans="1:23" x14ac:dyDescent="0.25">
      <c r="A255" s="11" t="s">
        <v>1098</v>
      </c>
      <c r="B255" s="11" t="s">
        <v>1094</v>
      </c>
      <c r="C255" s="11" t="s">
        <v>493</v>
      </c>
      <c r="D255" s="11" t="s">
        <v>1095</v>
      </c>
      <c r="E255" s="29">
        <v>15</v>
      </c>
      <c r="F255" s="29">
        <v>15</v>
      </c>
      <c r="G255" s="29">
        <v>15</v>
      </c>
      <c r="H255" s="29">
        <v>15</v>
      </c>
      <c r="I255" s="29">
        <v>15</v>
      </c>
      <c r="J255" s="29">
        <v>15</v>
      </c>
      <c r="K255" s="29">
        <v>15</v>
      </c>
      <c r="L255" s="29">
        <v>15</v>
      </c>
      <c r="M255" s="29">
        <v>15</v>
      </c>
      <c r="N255" s="29">
        <v>15</v>
      </c>
      <c r="O255" s="29">
        <v>15</v>
      </c>
      <c r="P255" s="29">
        <v>15</v>
      </c>
      <c r="Q255" s="29">
        <v>15</v>
      </c>
      <c r="R255" s="29">
        <v>15</v>
      </c>
      <c r="S255" s="29">
        <v>15</v>
      </c>
      <c r="T255" s="29">
        <v>15</v>
      </c>
      <c r="U255" s="4"/>
      <c r="V255" s="4"/>
    </row>
    <row r="256" spans="1:23" x14ac:dyDescent="0.25">
      <c r="A256" s="11" t="s">
        <v>1098</v>
      </c>
      <c r="B256" s="11" t="s">
        <v>1096</v>
      </c>
      <c r="C256" s="11" t="s">
        <v>493</v>
      </c>
      <c r="D256" s="11" t="s">
        <v>1095</v>
      </c>
      <c r="E256" s="29"/>
      <c r="F256" s="29"/>
      <c r="G256" s="29"/>
      <c r="H256" s="29"/>
      <c r="I256" s="29"/>
      <c r="J256" s="29"/>
      <c r="K256" s="29"/>
      <c r="L256" s="29"/>
      <c r="M256" s="29"/>
      <c r="N256" s="29"/>
      <c r="O256" s="29"/>
      <c r="P256" s="29"/>
      <c r="Q256" s="29"/>
      <c r="R256" s="29"/>
      <c r="S256" s="29"/>
      <c r="T256" s="29"/>
      <c r="U256" s="4"/>
      <c r="V256" s="4"/>
    </row>
    <row r="257" spans="1:23" x14ac:dyDescent="0.25">
      <c r="A257" s="11"/>
      <c r="B257" s="11"/>
      <c r="C257" s="11"/>
      <c r="D257" s="11"/>
      <c r="E257" s="30"/>
      <c r="F257" s="30"/>
      <c r="G257" s="30"/>
      <c r="H257" s="30"/>
      <c r="I257" s="30"/>
      <c r="J257" s="30"/>
      <c r="K257" s="30"/>
      <c r="L257" s="30"/>
      <c r="M257" s="30"/>
      <c r="N257" s="30"/>
      <c r="O257" s="30"/>
      <c r="P257" s="30"/>
      <c r="Q257" s="30"/>
      <c r="R257" s="30"/>
      <c r="S257" s="30"/>
      <c r="T257" s="30"/>
      <c r="U257" s="23"/>
      <c r="V257" s="23"/>
      <c r="W257" s="23"/>
    </row>
    <row r="258" spans="1:23" x14ac:dyDescent="0.25">
      <c r="A258" s="11" t="s">
        <v>1098</v>
      </c>
      <c r="B258" s="11" t="s">
        <v>1091</v>
      </c>
      <c r="C258" s="11" t="s">
        <v>494</v>
      </c>
      <c r="D258" s="11"/>
      <c r="E258" s="29"/>
      <c r="F258" s="29"/>
      <c r="G258" s="29"/>
      <c r="H258" s="29"/>
      <c r="I258" s="29"/>
      <c r="J258" s="29"/>
      <c r="K258" s="29"/>
      <c r="L258" s="29"/>
      <c r="M258" s="29"/>
      <c r="N258" s="29"/>
      <c r="O258" s="29"/>
      <c r="P258" s="29"/>
      <c r="Q258" s="29"/>
      <c r="R258" s="29"/>
      <c r="S258" s="29"/>
      <c r="T258" s="29"/>
      <c r="U258" s="4"/>
      <c r="V258" s="4"/>
    </row>
    <row r="259" spans="1:23" x14ac:dyDescent="0.25">
      <c r="A259" s="11" t="s">
        <v>1098</v>
      </c>
      <c r="B259" s="11" t="s">
        <v>1092</v>
      </c>
      <c r="C259" s="11" t="s">
        <v>494</v>
      </c>
      <c r="D259" s="11" t="s">
        <v>1093</v>
      </c>
      <c r="E259" s="29">
        <v>15</v>
      </c>
      <c r="F259" s="29">
        <v>15</v>
      </c>
      <c r="G259" s="29">
        <v>15</v>
      </c>
      <c r="H259" s="29">
        <v>15</v>
      </c>
      <c r="I259" s="29">
        <v>15</v>
      </c>
      <c r="J259" s="29">
        <v>15</v>
      </c>
      <c r="K259" s="29">
        <v>15</v>
      </c>
      <c r="L259" s="29">
        <v>15</v>
      </c>
      <c r="M259" s="29">
        <v>15</v>
      </c>
      <c r="N259" s="29">
        <v>15</v>
      </c>
      <c r="O259" s="29">
        <v>15</v>
      </c>
      <c r="P259" s="29">
        <v>15</v>
      </c>
      <c r="Q259" s="29">
        <v>15</v>
      </c>
      <c r="R259" s="29">
        <v>15</v>
      </c>
      <c r="S259" s="29">
        <v>15</v>
      </c>
      <c r="T259" s="29">
        <v>15</v>
      </c>
      <c r="U259" s="4"/>
      <c r="V259" s="4"/>
    </row>
    <row r="260" spans="1:23" x14ac:dyDescent="0.25">
      <c r="A260" s="11" t="s">
        <v>1098</v>
      </c>
      <c r="B260" s="11" t="s">
        <v>1094</v>
      </c>
      <c r="C260" s="11" t="s">
        <v>494</v>
      </c>
      <c r="D260" s="11" t="s">
        <v>1095</v>
      </c>
      <c r="E260" s="29">
        <v>15</v>
      </c>
      <c r="F260" s="29">
        <v>15</v>
      </c>
      <c r="G260" s="29">
        <v>15</v>
      </c>
      <c r="H260" s="29">
        <v>15</v>
      </c>
      <c r="I260" s="29">
        <v>15</v>
      </c>
      <c r="J260" s="29">
        <v>15</v>
      </c>
      <c r="K260" s="29">
        <v>15</v>
      </c>
      <c r="L260" s="29">
        <v>15</v>
      </c>
      <c r="M260" s="29">
        <v>15</v>
      </c>
      <c r="N260" s="29">
        <v>15</v>
      </c>
      <c r="O260" s="29">
        <v>15</v>
      </c>
      <c r="P260" s="29">
        <v>15</v>
      </c>
      <c r="Q260" s="29">
        <v>15</v>
      </c>
      <c r="R260" s="29">
        <v>15</v>
      </c>
      <c r="S260" s="29">
        <v>15</v>
      </c>
      <c r="T260" s="29">
        <v>15</v>
      </c>
      <c r="U260" s="4"/>
      <c r="V260" s="4"/>
    </row>
    <row r="261" spans="1:23" x14ac:dyDescent="0.25">
      <c r="A261" s="11" t="s">
        <v>1098</v>
      </c>
      <c r="B261" s="11" t="s">
        <v>1096</v>
      </c>
      <c r="C261" s="11" t="s">
        <v>494</v>
      </c>
      <c r="D261" s="11" t="s">
        <v>1095</v>
      </c>
      <c r="E261" s="29"/>
      <c r="F261" s="29"/>
      <c r="G261" s="29"/>
      <c r="H261" s="29"/>
      <c r="I261" s="29"/>
      <c r="J261" s="29"/>
      <c r="K261" s="29"/>
      <c r="L261" s="29"/>
      <c r="M261" s="29"/>
      <c r="N261" s="29"/>
      <c r="O261" s="29"/>
      <c r="P261" s="29"/>
      <c r="Q261" s="29"/>
      <c r="R261" s="29"/>
      <c r="S261" s="29"/>
      <c r="T261" s="29"/>
      <c r="U261" s="4"/>
      <c r="V261" s="4"/>
    </row>
    <row r="262" spans="1:23" x14ac:dyDescent="0.25">
      <c r="E262" s="11"/>
      <c r="F262" s="11"/>
      <c r="G262" s="11"/>
      <c r="H262" s="11"/>
      <c r="I262" s="11"/>
      <c r="J262" s="11"/>
      <c r="K262" s="11"/>
      <c r="L262" s="11"/>
      <c r="M262" s="11"/>
      <c r="N262" s="11"/>
      <c r="O262" s="11"/>
      <c r="P262" s="11"/>
      <c r="Q262" s="11"/>
      <c r="R262" s="11"/>
      <c r="S262" s="11"/>
      <c r="T262" s="11"/>
      <c r="W262" s="23"/>
    </row>
    <row r="263" spans="1:23" x14ac:dyDescent="0.25">
      <c r="A263" s="11" t="s">
        <v>1098</v>
      </c>
      <c r="B263" s="11" t="s">
        <v>1091</v>
      </c>
      <c r="C263" s="11" t="s">
        <v>498</v>
      </c>
      <c r="D263" s="11"/>
      <c r="E263" s="29"/>
      <c r="F263" s="29"/>
      <c r="G263" s="29"/>
      <c r="H263" s="29"/>
      <c r="I263" s="29"/>
      <c r="J263" s="29"/>
      <c r="K263" s="29"/>
      <c r="L263" s="29"/>
      <c r="M263" s="29"/>
      <c r="N263" s="29"/>
      <c r="O263" s="29"/>
      <c r="P263" s="29"/>
      <c r="Q263" s="29"/>
      <c r="R263" s="29"/>
      <c r="S263" s="29"/>
      <c r="T263" s="29"/>
      <c r="U263" s="4"/>
      <c r="V263" s="4"/>
    </row>
    <row r="264" spans="1:23" x14ac:dyDescent="0.25">
      <c r="A264" s="11" t="s">
        <v>1098</v>
      </c>
      <c r="B264" s="11" t="s">
        <v>1092</v>
      </c>
      <c r="C264" s="11" t="s">
        <v>498</v>
      </c>
      <c r="D264" s="11" t="s">
        <v>1093</v>
      </c>
      <c r="E264" s="29">
        <v>15</v>
      </c>
      <c r="F264" s="29">
        <v>15</v>
      </c>
      <c r="G264" s="29">
        <v>15</v>
      </c>
      <c r="H264" s="29">
        <v>15</v>
      </c>
      <c r="I264" s="29">
        <v>15</v>
      </c>
      <c r="J264" s="29">
        <v>15</v>
      </c>
      <c r="K264" s="29">
        <v>15</v>
      </c>
      <c r="L264" s="29">
        <v>15</v>
      </c>
      <c r="M264" s="29">
        <v>15</v>
      </c>
      <c r="N264" s="29">
        <v>15</v>
      </c>
      <c r="O264" s="29">
        <v>15</v>
      </c>
      <c r="P264" s="29">
        <v>15</v>
      </c>
      <c r="Q264" s="29">
        <v>15</v>
      </c>
      <c r="R264" s="29">
        <v>15</v>
      </c>
      <c r="S264" s="29">
        <v>15</v>
      </c>
      <c r="T264" s="29">
        <v>15</v>
      </c>
      <c r="U264" s="4"/>
      <c r="V264" s="4"/>
    </row>
    <row r="265" spans="1:23" x14ac:dyDescent="0.25">
      <c r="A265" s="11" t="s">
        <v>1098</v>
      </c>
      <c r="B265" s="11" t="s">
        <v>1094</v>
      </c>
      <c r="C265" s="11" t="s">
        <v>498</v>
      </c>
      <c r="D265" s="11" t="s">
        <v>1095</v>
      </c>
      <c r="E265" s="29">
        <v>15</v>
      </c>
      <c r="F265" s="29">
        <v>15</v>
      </c>
      <c r="G265" s="29">
        <v>15</v>
      </c>
      <c r="H265" s="29">
        <v>15</v>
      </c>
      <c r="I265" s="29">
        <v>15</v>
      </c>
      <c r="J265" s="29">
        <v>15</v>
      </c>
      <c r="K265" s="29">
        <v>15</v>
      </c>
      <c r="L265" s="29">
        <v>15</v>
      </c>
      <c r="M265" s="29">
        <v>15</v>
      </c>
      <c r="N265" s="29">
        <v>15</v>
      </c>
      <c r="O265" s="29">
        <v>15</v>
      </c>
      <c r="P265" s="29">
        <v>15</v>
      </c>
      <c r="Q265" s="29">
        <v>15</v>
      </c>
      <c r="R265" s="29">
        <v>15</v>
      </c>
      <c r="S265" s="29">
        <v>15</v>
      </c>
      <c r="T265" s="29">
        <v>15</v>
      </c>
      <c r="U265" s="4"/>
      <c r="V265" s="4"/>
    </row>
    <row r="266" spans="1:23" x14ac:dyDescent="0.25">
      <c r="A266" s="11" t="s">
        <v>1098</v>
      </c>
      <c r="B266" s="11" t="s">
        <v>1096</v>
      </c>
      <c r="C266" s="11" t="s">
        <v>498</v>
      </c>
      <c r="D266" s="11" t="s">
        <v>1095</v>
      </c>
      <c r="E266" s="29"/>
      <c r="F266" s="29"/>
      <c r="G266" s="29"/>
      <c r="H266" s="29"/>
      <c r="I266" s="29"/>
      <c r="J266" s="29"/>
      <c r="K266" s="29"/>
      <c r="L266" s="29"/>
      <c r="M266" s="29"/>
      <c r="N266" s="29"/>
      <c r="O266" s="29"/>
      <c r="P266" s="29"/>
      <c r="Q266" s="29"/>
      <c r="R266" s="29"/>
      <c r="S266" s="29"/>
      <c r="T266" s="29"/>
      <c r="U266" s="4"/>
      <c r="V266" s="4"/>
    </row>
    <row r="267" spans="1:23" x14ac:dyDescent="0.25">
      <c r="E267" s="11"/>
      <c r="F267" s="11"/>
      <c r="G267" s="11"/>
      <c r="H267" s="11"/>
      <c r="I267" s="11"/>
      <c r="J267" s="11"/>
      <c r="K267" s="11"/>
      <c r="L267" s="11"/>
      <c r="M267" s="11"/>
      <c r="N267" s="11"/>
      <c r="O267" s="11"/>
      <c r="P267" s="11"/>
      <c r="Q267" s="11"/>
      <c r="R267" s="11"/>
      <c r="S267" s="11"/>
      <c r="T267" s="11"/>
      <c r="W267" s="23"/>
    </row>
    <row r="268" spans="1:23" x14ac:dyDescent="0.25">
      <c r="A268" s="11" t="s">
        <v>1098</v>
      </c>
      <c r="B268" s="11" t="s">
        <v>1091</v>
      </c>
      <c r="C268" s="11" t="s">
        <v>495</v>
      </c>
      <c r="D268" s="11"/>
      <c r="E268" s="29"/>
      <c r="F268" s="29"/>
      <c r="G268" s="29"/>
      <c r="H268" s="29"/>
      <c r="I268" s="29"/>
      <c r="J268" s="29"/>
      <c r="K268" s="29"/>
      <c r="L268" s="29"/>
      <c r="M268" s="29"/>
      <c r="N268" s="29"/>
      <c r="O268" s="29"/>
      <c r="P268" s="29"/>
      <c r="Q268" s="29"/>
      <c r="R268" s="29"/>
      <c r="S268" s="29"/>
      <c r="T268" s="29"/>
      <c r="U268" s="4"/>
      <c r="V268" s="4"/>
    </row>
    <row r="269" spans="1:23" x14ac:dyDescent="0.25">
      <c r="A269" s="11" t="s">
        <v>1098</v>
      </c>
      <c r="B269" s="11" t="s">
        <v>1092</v>
      </c>
      <c r="C269" s="11" t="s">
        <v>495</v>
      </c>
      <c r="D269" s="11" t="s">
        <v>1093</v>
      </c>
      <c r="E269" s="29">
        <v>15</v>
      </c>
      <c r="F269" s="29">
        <v>15</v>
      </c>
      <c r="G269" s="29">
        <v>15</v>
      </c>
      <c r="H269" s="29">
        <v>15</v>
      </c>
      <c r="I269" s="29">
        <v>15</v>
      </c>
      <c r="J269" s="29">
        <v>15</v>
      </c>
      <c r="K269" s="29">
        <v>15</v>
      </c>
      <c r="L269" s="29">
        <v>15</v>
      </c>
      <c r="M269" s="29">
        <v>15</v>
      </c>
      <c r="N269" s="29">
        <v>15</v>
      </c>
      <c r="O269" s="29">
        <v>15</v>
      </c>
      <c r="P269" s="29">
        <v>15</v>
      </c>
      <c r="Q269" s="29">
        <v>15</v>
      </c>
      <c r="R269" s="29">
        <v>15</v>
      </c>
      <c r="S269" s="29">
        <v>15</v>
      </c>
      <c r="T269" s="29">
        <v>15</v>
      </c>
      <c r="U269" s="4"/>
      <c r="V269" s="4"/>
    </row>
    <row r="270" spans="1:23" x14ac:dyDescent="0.25">
      <c r="A270" s="11" t="s">
        <v>1098</v>
      </c>
      <c r="B270" s="11" t="s">
        <v>1094</v>
      </c>
      <c r="C270" s="11" t="s">
        <v>495</v>
      </c>
      <c r="D270" s="11" t="s">
        <v>1095</v>
      </c>
      <c r="E270" s="29">
        <v>15</v>
      </c>
      <c r="F270" s="29">
        <v>15</v>
      </c>
      <c r="G270" s="29">
        <v>15</v>
      </c>
      <c r="H270" s="29">
        <v>15</v>
      </c>
      <c r="I270" s="29">
        <v>15</v>
      </c>
      <c r="J270" s="29">
        <v>15</v>
      </c>
      <c r="K270" s="29">
        <v>15</v>
      </c>
      <c r="L270" s="29">
        <v>15</v>
      </c>
      <c r="M270" s="29">
        <v>15</v>
      </c>
      <c r="N270" s="29">
        <v>15</v>
      </c>
      <c r="O270" s="29">
        <v>15</v>
      </c>
      <c r="P270" s="29">
        <v>15</v>
      </c>
      <c r="Q270" s="29">
        <v>15</v>
      </c>
      <c r="R270" s="29">
        <v>15</v>
      </c>
      <c r="S270" s="29">
        <v>15</v>
      </c>
      <c r="T270" s="29">
        <v>15</v>
      </c>
      <c r="U270" s="4"/>
      <c r="V270" s="4"/>
    </row>
    <row r="271" spans="1:23" x14ac:dyDescent="0.25">
      <c r="A271" s="11" t="s">
        <v>1098</v>
      </c>
      <c r="B271" s="11" t="s">
        <v>1096</v>
      </c>
      <c r="C271" s="11" t="s">
        <v>495</v>
      </c>
      <c r="D271" s="11" t="s">
        <v>1095</v>
      </c>
      <c r="E271" s="29"/>
      <c r="F271" s="29"/>
      <c r="G271" s="29"/>
      <c r="H271" s="29"/>
      <c r="I271" s="29"/>
      <c r="J271" s="29"/>
      <c r="K271" s="29"/>
      <c r="L271" s="29"/>
      <c r="M271" s="29"/>
      <c r="N271" s="29"/>
      <c r="O271" s="29"/>
      <c r="P271" s="29"/>
      <c r="Q271" s="29"/>
      <c r="R271" s="29"/>
      <c r="S271" s="29"/>
      <c r="T271" s="29"/>
      <c r="U271" s="4"/>
      <c r="V271" s="4"/>
    </row>
    <row r="272" spans="1:23" x14ac:dyDescent="0.25">
      <c r="E272" s="11"/>
      <c r="F272" s="11"/>
      <c r="G272" s="11"/>
      <c r="H272" s="11"/>
      <c r="I272" s="11"/>
      <c r="J272" s="11"/>
      <c r="K272" s="11"/>
      <c r="L272" s="11"/>
      <c r="M272" s="11"/>
      <c r="N272" s="11"/>
      <c r="O272" s="11"/>
      <c r="P272" s="11"/>
      <c r="Q272" s="11"/>
      <c r="R272" s="11"/>
      <c r="S272" s="11"/>
      <c r="T272" s="11"/>
    </row>
    <row r="273" spans="1:23" s="124" customFormat="1" x14ac:dyDescent="0.25">
      <c r="A273" s="124" t="s">
        <v>1088</v>
      </c>
      <c r="W273" s="120"/>
    </row>
    <row r="274" spans="1:23" x14ac:dyDescent="0.25">
      <c r="A274" s="11" t="s">
        <v>1088</v>
      </c>
      <c r="B274" s="11" t="s">
        <v>1091</v>
      </c>
      <c r="C274" s="11" t="s">
        <v>491</v>
      </c>
      <c r="D274" s="11"/>
      <c r="E274" s="29"/>
      <c r="F274" s="29"/>
      <c r="G274" s="29"/>
      <c r="H274" s="29"/>
      <c r="I274" s="29"/>
      <c r="J274" s="29"/>
      <c r="K274" s="29"/>
      <c r="L274" s="29"/>
      <c r="M274" s="29"/>
      <c r="N274" s="29"/>
      <c r="O274" s="29"/>
      <c r="P274" s="29"/>
      <c r="Q274" s="29"/>
      <c r="R274" s="29"/>
      <c r="S274" s="29"/>
      <c r="T274" s="29"/>
      <c r="U274" s="4"/>
      <c r="V274" s="4"/>
    </row>
    <row r="275" spans="1:23" x14ac:dyDescent="0.25">
      <c r="A275" s="11" t="s">
        <v>1088</v>
      </c>
      <c r="B275" s="11" t="s">
        <v>1092</v>
      </c>
      <c r="C275" s="11" t="s">
        <v>491</v>
      </c>
      <c r="D275" s="11" t="s">
        <v>1093</v>
      </c>
      <c r="E275" s="29"/>
      <c r="F275" s="29"/>
      <c r="G275" s="29"/>
      <c r="H275" s="29"/>
      <c r="I275" s="29"/>
      <c r="J275" s="29"/>
      <c r="K275" s="29"/>
      <c r="L275" s="29"/>
      <c r="M275" s="29"/>
      <c r="N275" s="29"/>
      <c r="O275" s="29"/>
      <c r="P275" s="29"/>
      <c r="Q275" s="29"/>
      <c r="R275" s="29"/>
      <c r="S275" s="29"/>
      <c r="T275" s="29"/>
      <c r="U275" s="4"/>
      <c r="V275" s="4"/>
    </row>
    <row r="276" spans="1:23" x14ac:dyDescent="0.25">
      <c r="A276" s="11" t="s">
        <v>1088</v>
      </c>
      <c r="B276" s="11" t="s">
        <v>1094</v>
      </c>
      <c r="C276" s="11" t="s">
        <v>491</v>
      </c>
      <c r="D276" s="11" t="s">
        <v>1095</v>
      </c>
      <c r="E276" s="29"/>
      <c r="F276" s="29"/>
      <c r="G276" s="29"/>
      <c r="H276" s="29"/>
      <c r="I276" s="29"/>
      <c r="J276" s="29"/>
      <c r="K276" s="29"/>
      <c r="L276" s="29"/>
      <c r="M276" s="29"/>
      <c r="N276" s="29"/>
      <c r="O276" s="29"/>
      <c r="P276" s="29"/>
      <c r="Q276" s="29"/>
      <c r="R276" s="29"/>
      <c r="S276" s="29"/>
      <c r="T276" s="29"/>
      <c r="U276" s="4"/>
      <c r="V276" s="4"/>
    </row>
    <row r="277" spans="1:23" x14ac:dyDescent="0.25">
      <c r="A277" s="11" t="s">
        <v>1088</v>
      </c>
      <c r="B277" s="11" t="s">
        <v>1096</v>
      </c>
      <c r="C277" s="11" t="s">
        <v>491</v>
      </c>
      <c r="D277" s="11" t="s">
        <v>1095</v>
      </c>
      <c r="E277" s="29"/>
      <c r="F277" s="29"/>
      <c r="G277" s="29"/>
      <c r="H277" s="29"/>
      <c r="I277" s="29"/>
      <c r="J277" s="29"/>
      <c r="K277" s="29"/>
      <c r="L277" s="29"/>
      <c r="M277" s="29"/>
      <c r="N277" s="29"/>
      <c r="O277" s="29"/>
      <c r="P277" s="29"/>
      <c r="Q277" s="29"/>
      <c r="R277" s="29"/>
      <c r="S277" s="29"/>
      <c r="T277" s="29"/>
      <c r="U277" s="4"/>
      <c r="V277" s="4"/>
    </row>
    <row r="278" spans="1:23" x14ac:dyDescent="0.25">
      <c r="A278" s="11"/>
      <c r="B278" s="11"/>
      <c r="C278" s="11"/>
      <c r="D278" s="11"/>
      <c r="E278" s="30"/>
      <c r="F278" s="30"/>
      <c r="G278" s="30"/>
      <c r="H278" s="30"/>
      <c r="I278" s="30"/>
      <c r="J278" s="30"/>
      <c r="K278" s="30"/>
      <c r="L278" s="30"/>
      <c r="M278" s="30"/>
      <c r="N278" s="30"/>
      <c r="O278" s="30"/>
      <c r="P278" s="30"/>
      <c r="Q278" s="30"/>
      <c r="R278" s="30"/>
      <c r="S278" s="30"/>
      <c r="T278" s="30"/>
      <c r="U278" s="23"/>
      <c r="V278" s="23"/>
      <c r="W278" s="23"/>
    </row>
    <row r="279" spans="1:23" x14ac:dyDescent="0.25">
      <c r="A279" s="11" t="s">
        <v>1088</v>
      </c>
      <c r="B279" s="11" t="s">
        <v>1091</v>
      </c>
      <c r="C279" s="11" t="s">
        <v>492</v>
      </c>
      <c r="D279" s="11"/>
      <c r="E279" s="29"/>
      <c r="F279" s="29"/>
      <c r="G279" s="29"/>
      <c r="H279" s="29"/>
      <c r="I279" s="29"/>
      <c r="J279" s="29"/>
      <c r="K279" s="29"/>
      <c r="L279" s="29"/>
      <c r="M279" s="29"/>
      <c r="N279" s="29"/>
      <c r="O279" s="29"/>
      <c r="P279" s="29"/>
      <c r="Q279" s="29"/>
      <c r="R279" s="29"/>
      <c r="S279" s="29"/>
      <c r="T279" s="29"/>
      <c r="U279" s="4"/>
      <c r="V279" s="4"/>
    </row>
    <row r="280" spans="1:23" x14ac:dyDescent="0.25">
      <c r="A280" s="11" t="s">
        <v>1088</v>
      </c>
      <c r="B280" s="11" t="s">
        <v>1092</v>
      </c>
      <c r="C280" s="11" t="s">
        <v>492</v>
      </c>
      <c r="D280" s="11" t="s">
        <v>1093</v>
      </c>
      <c r="E280" s="29"/>
      <c r="F280" s="29"/>
      <c r="G280" s="29"/>
      <c r="H280" s="29"/>
      <c r="I280" s="29"/>
      <c r="J280" s="29"/>
      <c r="K280" s="29"/>
      <c r="L280" s="29"/>
      <c r="M280" s="29"/>
      <c r="N280" s="29"/>
      <c r="O280" s="29"/>
      <c r="P280" s="29"/>
      <c r="Q280" s="29"/>
      <c r="R280" s="29"/>
      <c r="S280" s="29"/>
      <c r="T280" s="29"/>
      <c r="U280" s="4"/>
      <c r="V280" s="4"/>
    </row>
    <row r="281" spans="1:23" x14ac:dyDescent="0.25">
      <c r="A281" s="11" t="s">
        <v>1088</v>
      </c>
      <c r="B281" s="11" t="s">
        <v>1094</v>
      </c>
      <c r="C281" s="11" t="s">
        <v>492</v>
      </c>
      <c r="D281" s="11" t="s">
        <v>1095</v>
      </c>
      <c r="E281" s="29"/>
      <c r="F281" s="29"/>
      <c r="G281" s="29"/>
      <c r="H281" s="29"/>
      <c r="I281" s="29"/>
      <c r="J281" s="29"/>
      <c r="K281" s="29"/>
      <c r="L281" s="29"/>
      <c r="M281" s="29"/>
      <c r="N281" s="29"/>
      <c r="O281" s="29"/>
      <c r="P281" s="29"/>
      <c r="Q281" s="29"/>
      <c r="R281" s="29"/>
      <c r="S281" s="29"/>
      <c r="T281" s="29"/>
      <c r="U281" s="4"/>
      <c r="V281" s="4"/>
    </row>
    <row r="282" spans="1:23" x14ac:dyDescent="0.25">
      <c r="A282" s="11" t="s">
        <v>1088</v>
      </c>
      <c r="B282" s="11" t="s">
        <v>1096</v>
      </c>
      <c r="C282" s="11" t="s">
        <v>492</v>
      </c>
      <c r="D282" s="11" t="s">
        <v>1095</v>
      </c>
      <c r="E282" s="29"/>
      <c r="F282" s="29"/>
      <c r="G282" s="29"/>
      <c r="H282" s="29"/>
      <c r="I282" s="29"/>
      <c r="J282" s="29"/>
      <c r="K282" s="29"/>
      <c r="L282" s="29"/>
      <c r="M282" s="29"/>
      <c r="N282" s="29"/>
      <c r="O282" s="29"/>
      <c r="P282" s="29"/>
      <c r="Q282" s="29"/>
      <c r="R282" s="29"/>
      <c r="S282" s="29"/>
      <c r="T282" s="29"/>
      <c r="U282" s="4"/>
      <c r="V282" s="4"/>
    </row>
    <row r="283" spans="1:23" x14ac:dyDescent="0.25">
      <c r="A283" s="11"/>
      <c r="B283" s="11"/>
      <c r="C283" s="11"/>
      <c r="D283" s="11"/>
      <c r="E283" s="30"/>
      <c r="F283" s="30"/>
      <c r="G283" s="30"/>
      <c r="H283" s="30"/>
      <c r="I283" s="30"/>
      <c r="J283" s="30"/>
      <c r="K283" s="30"/>
      <c r="L283" s="30"/>
      <c r="M283" s="30"/>
      <c r="N283" s="30"/>
      <c r="O283" s="30"/>
      <c r="P283" s="30"/>
      <c r="Q283" s="30"/>
      <c r="R283" s="30"/>
      <c r="S283" s="30"/>
      <c r="T283" s="30"/>
      <c r="U283" s="23"/>
      <c r="V283" s="23"/>
      <c r="W283" s="23"/>
    </row>
    <row r="284" spans="1:23" x14ac:dyDescent="0.25">
      <c r="A284" s="11" t="s">
        <v>1088</v>
      </c>
      <c r="B284" s="11" t="s">
        <v>1091</v>
      </c>
      <c r="C284" s="11" t="s">
        <v>493</v>
      </c>
      <c r="D284" s="11"/>
      <c r="E284" s="29"/>
      <c r="F284" s="29"/>
      <c r="G284" s="29"/>
      <c r="H284" s="29"/>
      <c r="I284" s="29"/>
      <c r="J284" s="29"/>
      <c r="K284" s="29"/>
      <c r="L284" s="29"/>
      <c r="M284" s="29"/>
      <c r="N284" s="29"/>
      <c r="O284" s="29"/>
      <c r="P284" s="29"/>
      <c r="Q284" s="29"/>
      <c r="R284" s="29"/>
      <c r="S284" s="29"/>
      <c r="T284" s="29"/>
      <c r="U284" s="4"/>
      <c r="V284" s="4"/>
    </row>
    <row r="285" spans="1:23" x14ac:dyDescent="0.25">
      <c r="A285" s="11" t="s">
        <v>1088</v>
      </c>
      <c r="B285" s="11" t="s">
        <v>1092</v>
      </c>
      <c r="C285" s="11" t="s">
        <v>493</v>
      </c>
      <c r="D285" s="11" t="s">
        <v>1093</v>
      </c>
      <c r="E285" s="29"/>
      <c r="F285" s="29"/>
      <c r="G285" s="29"/>
      <c r="H285" s="29"/>
      <c r="I285" s="29"/>
      <c r="J285" s="29"/>
      <c r="K285" s="29"/>
      <c r="L285" s="29"/>
      <c r="M285" s="29"/>
      <c r="N285" s="29"/>
      <c r="O285" s="29"/>
      <c r="P285" s="29"/>
      <c r="Q285" s="29"/>
      <c r="R285" s="29"/>
      <c r="S285" s="29"/>
      <c r="T285" s="29"/>
      <c r="U285" s="4"/>
      <c r="V285" s="4"/>
    </row>
    <row r="286" spans="1:23" x14ac:dyDescent="0.25">
      <c r="A286" s="11" t="s">
        <v>1088</v>
      </c>
      <c r="B286" s="11" t="s">
        <v>1094</v>
      </c>
      <c r="C286" s="11" t="s">
        <v>493</v>
      </c>
      <c r="D286" s="11" t="s">
        <v>1095</v>
      </c>
      <c r="E286" s="29"/>
      <c r="F286" s="29"/>
      <c r="G286" s="29"/>
      <c r="H286" s="29"/>
      <c r="I286" s="29"/>
      <c r="J286" s="29"/>
      <c r="K286" s="29"/>
      <c r="L286" s="29"/>
      <c r="M286" s="29"/>
      <c r="N286" s="29"/>
      <c r="O286" s="29"/>
      <c r="P286" s="29"/>
      <c r="Q286" s="29"/>
      <c r="R286" s="29"/>
      <c r="S286" s="29"/>
      <c r="T286" s="29"/>
      <c r="U286" s="4"/>
      <c r="V286" s="4"/>
    </row>
    <row r="287" spans="1:23" x14ac:dyDescent="0.25">
      <c r="A287" s="11" t="s">
        <v>1088</v>
      </c>
      <c r="B287" s="11" t="s">
        <v>1096</v>
      </c>
      <c r="C287" s="11" t="s">
        <v>493</v>
      </c>
      <c r="D287" s="11" t="s">
        <v>1095</v>
      </c>
      <c r="E287" s="29"/>
      <c r="F287" s="29"/>
      <c r="G287" s="29"/>
      <c r="H287" s="29"/>
      <c r="I287" s="29"/>
      <c r="J287" s="29"/>
      <c r="K287" s="29"/>
      <c r="L287" s="29"/>
      <c r="M287" s="29"/>
      <c r="N287" s="29"/>
      <c r="O287" s="29"/>
      <c r="P287" s="29"/>
      <c r="Q287" s="29"/>
      <c r="R287" s="29"/>
      <c r="S287" s="29"/>
      <c r="T287" s="29"/>
      <c r="U287" s="4"/>
      <c r="V287" s="4"/>
    </row>
    <row r="288" spans="1:23" x14ac:dyDescent="0.25">
      <c r="A288" s="11"/>
      <c r="B288" s="11"/>
      <c r="C288" s="11"/>
      <c r="D288" s="11"/>
      <c r="E288" s="30"/>
      <c r="F288" s="30"/>
      <c r="G288" s="30"/>
      <c r="H288" s="30"/>
      <c r="I288" s="30"/>
      <c r="J288" s="30"/>
      <c r="K288" s="30"/>
      <c r="L288" s="30"/>
      <c r="M288" s="30"/>
      <c r="N288" s="30"/>
      <c r="O288" s="30"/>
      <c r="P288" s="30"/>
      <c r="Q288" s="30"/>
      <c r="R288" s="30"/>
      <c r="S288" s="30"/>
      <c r="T288" s="30"/>
      <c r="U288" s="23"/>
      <c r="V288" s="23"/>
      <c r="W288" s="23"/>
    </row>
    <row r="289" spans="1:23" x14ac:dyDescent="0.25">
      <c r="A289" s="11" t="s">
        <v>1088</v>
      </c>
      <c r="B289" s="11" t="s">
        <v>1091</v>
      </c>
      <c r="C289" s="11" t="s">
        <v>494</v>
      </c>
      <c r="D289" s="11"/>
      <c r="E289" s="29"/>
      <c r="F289" s="29"/>
      <c r="G289" s="29"/>
      <c r="H289" s="29"/>
      <c r="I289" s="29"/>
      <c r="J289" s="29"/>
      <c r="K289" s="29"/>
      <c r="L289" s="29"/>
      <c r="M289" s="29"/>
      <c r="N289" s="29"/>
      <c r="O289" s="29"/>
      <c r="P289" s="29"/>
      <c r="Q289" s="29"/>
      <c r="R289" s="29"/>
      <c r="S289" s="29"/>
      <c r="T289" s="29"/>
      <c r="U289" s="4"/>
      <c r="V289" s="4"/>
    </row>
    <row r="290" spans="1:23" x14ac:dyDescent="0.25">
      <c r="A290" s="11" t="s">
        <v>1088</v>
      </c>
      <c r="B290" s="11" t="s">
        <v>1092</v>
      </c>
      <c r="C290" s="11" t="s">
        <v>494</v>
      </c>
      <c r="D290" s="11" t="s">
        <v>1093</v>
      </c>
      <c r="E290" s="29"/>
      <c r="F290" s="29"/>
      <c r="G290" s="29"/>
      <c r="H290" s="29"/>
      <c r="I290" s="29"/>
      <c r="J290" s="29"/>
      <c r="K290" s="29"/>
      <c r="L290" s="29"/>
      <c r="M290" s="29"/>
      <c r="N290" s="29"/>
      <c r="O290" s="29"/>
      <c r="P290" s="29"/>
      <c r="Q290" s="29"/>
      <c r="R290" s="29"/>
      <c r="S290" s="29"/>
      <c r="T290" s="29"/>
      <c r="U290" s="4"/>
      <c r="V290" s="4"/>
    </row>
    <row r="291" spans="1:23" x14ac:dyDescent="0.25">
      <c r="A291" s="11" t="s">
        <v>1088</v>
      </c>
      <c r="B291" s="11" t="s">
        <v>1094</v>
      </c>
      <c r="C291" s="11" t="s">
        <v>494</v>
      </c>
      <c r="D291" s="11" t="s">
        <v>1095</v>
      </c>
      <c r="E291" s="29"/>
      <c r="F291" s="29"/>
      <c r="G291" s="29"/>
      <c r="H291" s="29"/>
      <c r="I291" s="29"/>
      <c r="J291" s="29"/>
      <c r="K291" s="29"/>
      <c r="L291" s="29"/>
      <c r="M291" s="29"/>
      <c r="N291" s="29"/>
      <c r="O291" s="29"/>
      <c r="P291" s="29"/>
      <c r="Q291" s="29"/>
      <c r="R291" s="29"/>
      <c r="S291" s="29"/>
      <c r="T291" s="29"/>
      <c r="U291" s="4"/>
      <c r="V291" s="4"/>
    </row>
    <row r="292" spans="1:23" x14ac:dyDescent="0.25">
      <c r="A292" s="11" t="s">
        <v>1088</v>
      </c>
      <c r="B292" s="11" t="s">
        <v>1096</v>
      </c>
      <c r="C292" s="11" t="s">
        <v>494</v>
      </c>
      <c r="D292" s="11" t="s">
        <v>1095</v>
      </c>
      <c r="E292" s="29"/>
      <c r="F292" s="29"/>
      <c r="G292" s="29"/>
      <c r="H292" s="29"/>
      <c r="I292" s="29"/>
      <c r="J292" s="29"/>
      <c r="K292" s="29"/>
      <c r="L292" s="29"/>
      <c r="M292" s="29"/>
      <c r="N292" s="29"/>
      <c r="O292" s="29"/>
      <c r="P292" s="29"/>
      <c r="Q292" s="29"/>
      <c r="R292" s="29"/>
      <c r="S292" s="29"/>
      <c r="T292" s="29"/>
      <c r="U292" s="4"/>
      <c r="V292" s="4"/>
    </row>
    <row r="293" spans="1:23" x14ac:dyDescent="0.25">
      <c r="E293" s="11"/>
      <c r="F293" s="11"/>
      <c r="G293" s="11"/>
      <c r="H293" s="11"/>
      <c r="I293" s="11"/>
      <c r="J293" s="11"/>
      <c r="K293" s="11"/>
      <c r="L293" s="11"/>
      <c r="M293" s="11"/>
      <c r="N293" s="11"/>
      <c r="O293" s="11"/>
      <c r="P293" s="11"/>
      <c r="Q293" s="11"/>
      <c r="R293" s="11"/>
      <c r="S293" s="11"/>
      <c r="T293" s="11"/>
      <c r="W293" s="23"/>
    </row>
    <row r="294" spans="1:23" x14ac:dyDescent="0.25">
      <c r="A294" s="11" t="s">
        <v>1088</v>
      </c>
      <c r="B294" s="11" t="s">
        <v>1091</v>
      </c>
      <c r="C294" s="11" t="s">
        <v>498</v>
      </c>
      <c r="D294" s="11"/>
      <c r="E294" s="29"/>
      <c r="F294" s="29"/>
      <c r="G294" s="29"/>
      <c r="H294" s="29"/>
      <c r="I294" s="29"/>
      <c r="J294" s="29"/>
      <c r="K294" s="29"/>
      <c r="L294" s="29"/>
      <c r="M294" s="29"/>
      <c r="N294" s="29"/>
      <c r="O294" s="29"/>
      <c r="P294" s="29"/>
      <c r="Q294" s="29"/>
      <c r="R294" s="29"/>
      <c r="S294" s="29"/>
      <c r="T294" s="29"/>
      <c r="U294" s="4"/>
      <c r="V294" s="4"/>
    </row>
    <row r="295" spans="1:23" x14ac:dyDescent="0.25">
      <c r="A295" s="11" t="s">
        <v>1088</v>
      </c>
      <c r="B295" s="11" t="s">
        <v>1092</v>
      </c>
      <c r="C295" s="11" t="s">
        <v>498</v>
      </c>
      <c r="D295" s="11" t="s">
        <v>1093</v>
      </c>
      <c r="E295" s="29"/>
      <c r="F295" s="29"/>
      <c r="G295" s="29"/>
      <c r="H295" s="29"/>
      <c r="I295" s="29"/>
      <c r="J295" s="29"/>
      <c r="K295" s="29"/>
      <c r="L295" s="29"/>
      <c r="M295" s="29"/>
      <c r="N295" s="29"/>
      <c r="O295" s="29"/>
      <c r="P295" s="29"/>
      <c r="Q295" s="29"/>
      <c r="R295" s="29"/>
      <c r="S295" s="29"/>
      <c r="T295" s="29"/>
      <c r="U295" s="4"/>
      <c r="V295" s="4"/>
    </row>
    <row r="296" spans="1:23" x14ac:dyDescent="0.25">
      <c r="A296" s="11" t="s">
        <v>1088</v>
      </c>
      <c r="B296" s="11" t="s">
        <v>1094</v>
      </c>
      <c r="C296" s="11" t="s">
        <v>498</v>
      </c>
      <c r="D296" s="11" t="s">
        <v>1095</v>
      </c>
      <c r="E296" s="29"/>
      <c r="F296" s="29"/>
      <c r="G296" s="29"/>
      <c r="H296" s="29"/>
      <c r="I296" s="29"/>
      <c r="J296" s="29"/>
      <c r="K296" s="29"/>
      <c r="L296" s="29"/>
      <c r="M296" s="29"/>
      <c r="N296" s="29"/>
      <c r="O296" s="29"/>
      <c r="P296" s="29"/>
      <c r="Q296" s="29"/>
      <c r="R296" s="29"/>
      <c r="S296" s="29"/>
      <c r="T296" s="29"/>
      <c r="U296" s="4"/>
      <c r="V296" s="4"/>
    </row>
    <row r="297" spans="1:23" x14ac:dyDescent="0.25">
      <c r="A297" s="11" t="s">
        <v>1088</v>
      </c>
      <c r="B297" s="11" t="s">
        <v>1096</v>
      </c>
      <c r="C297" s="11" t="s">
        <v>498</v>
      </c>
      <c r="D297" s="11" t="s">
        <v>1095</v>
      </c>
      <c r="E297" s="29"/>
      <c r="F297" s="29"/>
      <c r="G297" s="29"/>
      <c r="H297" s="29"/>
      <c r="I297" s="29"/>
      <c r="J297" s="29"/>
      <c r="K297" s="29"/>
      <c r="L297" s="29"/>
      <c r="M297" s="29"/>
      <c r="N297" s="29"/>
      <c r="O297" s="29"/>
      <c r="P297" s="29"/>
      <c r="Q297" s="29"/>
      <c r="R297" s="29"/>
      <c r="S297" s="29"/>
      <c r="T297" s="29"/>
      <c r="U297" s="4"/>
      <c r="V297" s="4"/>
    </row>
    <row r="298" spans="1:23" x14ac:dyDescent="0.25">
      <c r="E298" s="11"/>
      <c r="F298" s="11"/>
      <c r="G298" s="11"/>
      <c r="H298" s="11"/>
      <c r="I298" s="11"/>
      <c r="J298" s="11"/>
      <c r="K298" s="11"/>
      <c r="L298" s="11"/>
      <c r="M298" s="11"/>
      <c r="N298" s="11"/>
      <c r="O298" s="11"/>
      <c r="P298" s="11"/>
      <c r="Q298" s="11"/>
      <c r="R298" s="11"/>
      <c r="S298" s="11"/>
      <c r="T298" s="11"/>
      <c r="W298" s="23"/>
    </row>
    <row r="299" spans="1:23" x14ac:dyDescent="0.25">
      <c r="A299" s="11" t="s">
        <v>1088</v>
      </c>
      <c r="B299" s="11" t="s">
        <v>1091</v>
      </c>
      <c r="C299" s="11" t="s">
        <v>495</v>
      </c>
      <c r="D299" s="11"/>
      <c r="E299" s="29"/>
      <c r="F299" s="29"/>
      <c r="G299" s="29"/>
      <c r="H299" s="29"/>
      <c r="I299" s="29"/>
      <c r="J299" s="29"/>
      <c r="K299" s="29"/>
      <c r="L299" s="29"/>
      <c r="M299" s="29"/>
      <c r="N299" s="29"/>
      <c r="O299" s="29"/>
      <c r="P299" s="29"/>
      <c r="Q299" s="29"/>
      <c r="R299" s="29"/>
      <c r="S299" s="29"/>
      <c r="T299" s="29"/>
      <c r="U299" s="4"/>
      <c r="V299" s="4"/>
    </row>
    <row r="300" spans="1:23" x14ac:dyDescent="0.25">
      <c r="A300" s="11" t="s">
        <v>1088</v>
      </c>
      <c r="B300" s="11" t="s">
        <v>1092</v>
      </c>
      <c r="C300" s="11" t="s">
        <v>495</v>
      </c>
      <c r="D300" s="11" t="s">
        <v>1093</v>
      </c>
      <c r="E300" s="29"/>
      <c r="F300" s="29"/>
      <c r="G300" s="29"/>
      <c r="H300" s="29"/>
      <c r="I300" s="29"/>
      <c r="J300" s="29"/>
      <c r="K300" s="29"/>
      <c r="L300" s="29"/>
      <c r="M300" s="29"/>
      <c r="N300" s="29"/>
      <c r="O300" s="29"/>
      <c r="P300" s="29"/>
      <c r="Q300" s="29"/>
      <c r="R300" s="29"/>
      <c r="S300" s="29"/>
      <c r="T300" s="29"/>
      <c r="U300" s="4"/>
      <c r="V300" s="4"/>
    </row>
    <row r="301" spans="1:23" x14ac:dyDescent="0.25">
      <c r="A301" s="11" t="s">
        <v>1088</v>
      </c>
      <c r="B301" s="11" t="s">
        <v>1094</v>
      </c>
      <c r="C301" s="11" t="s">
        <v>495</v>
      </c>
      <c r="D301" s="11" t="s">
        <v>1095</v>
      </c>
      <c r="E301" s="29"/>
      <c r="F301" s="29"/>
      <c r="G301" s="29"/>
      <c r="H301" s="29"/>
      <c r="I301" s="29"/>
      <c r="J301" s="29"/>
      <c r="K301" s="29"/>
      <c r="L301" s="29"/>
      <c r="M301" s="29"/>
      <c r="N301" s="29"/>
      <c r="O301" s="29"/>
      <c r="P301" s="29"/>
      <c r="Q301" s="29"/>
      <c r="R301" s="29"/>
      <c r="S301" s="29"/>
      <c r="T301" s="29"/>
      <c r="U301" s="4"/>
      <c r="V301" s="4"/>
    </row>
    <row r="302" spans="1:23" x14ac:dyDescent="0.25">
      <c r="A302" s="11" t="s">
        <v>1088</v>
      </c>
      <c r="B302" s="11" t="s">
        <v>1096</v>
      </c>
      <c r="C302" s="11" t="s">
        <v>495</v>
      </c>
      <c r="D302" s="11" t="s">
        <v>1095</v>
      </c>
      <c r="E302" s="29"/>
      <c r="F302" s="29"/>
      <c r="G302" s="29"/>
      <c r="H302" s="29"/>
      <c r="I302" s="29"/>
      <c r="J302" s="29"/>
      <c r="K302" s="29"/>
      <c r="L302" s="29"/>
      <c r="M302" s="29"/>
      <c r="N302" s="29"/>
      <c r="O302" s="29"/>
      <c r="P302" s="29"/>
      <c r="Q302" s="29"/>
      <c r="R302" s="29"/>
      <c r="S302" s="29"/>
      <c r="T302" s="29"/>
      <c r="U302" s="4"/>
      <c r="V302" s="4"/>
    </row>
    <row r="303" spans="1:23" x14ac:dyDescent="0.25">
      <c r="E303" s="11"/>
      <c r="F303" s="11"/>
      <c r="G303" s="11"/>
      <c r="H303" s="11"/>
      <c r="I303" s="11"/>
      <c r="J303" s="11"/>
      <c r="K303" s="11"/>
      <c r="L303" s="11"/>
      <c r="M303" s="11"/>
      <c r="N303" s="11"/>
      <c r="O303" s="11"/>
      <c r="P303" s="11"/>
      <c r="Q303" s="11"/>
      <c r="R303" s="11"/>
      <c r="S303" s="11"/>
      <c r="T303" s="11"/>
    </row>
    <row r="304" spans="1:23" x14ac:dyDescent="0.25">
      <c r="A304" s="8"/>
      <c r="B304" s="9" t="s">
        <v>619</v>
      </c>
      <c r="C304" s="8"/>
      <c r="D304" s="8"/>
      <c r="E304" s="197" t="s">
        <v>881</v>
      </c>
      <c r="F304" s="197"/>
      <c r="G304" s="197"/>
      <c r="H304" s="197"/>
      <c r="I304" s="197"/>
      <c r="J304" s="197"/>
      <c r="K304" s="197"/>
      <c r="L304" s="197"/>
      <c r="M304" s="197"/>
      <c r="N304" s="197"/>
      <c r="O304" s="197"/>
      <c r="P304" s="197"/>
      <c r="Q304" s="197"/>
      <c r="R304" s="197"/>
      <c r="S304" s="197"/>
      <c r="T304" s="197"/>
      <c r="U304" s="8"/>
      <c r="V304" s="8"/>
      <c r="W304" s="8"/>
    </row>
    <row r="305" spans="1:23" x14ac:dyDescent="0.25">
      <c r="E305" s="11"/>
      <c r="F305" s="11"/>
      <c r="G305" s="11"/>
      <c r="H305" s="11"/>
      <c r="I305" s="11"/>
      <c r="J305" s="11"/>
      <c r="K305" s="11"/>
      <c r="L305" s="11"/>
      <c r="M305" s="11"/>
      <c r="N305" s="11"/>
      <c r="O305" s="11"/>
      <c r="P305" s="11"/>
      <c r="Q305" s="11"/>
      <c r="R305" s="11"/>
      <c r="S305" s="11"/>
      <c r="T305" s="11"/>
    </row>
    <row r="306" spans="1:23" s="102" customFormat="1" x14ac:dyDescent="0.25">
      <c r="A306" s="124" t="s">
        <v>1084</v>
      </c>
      <c r="B306" s="124"/>
      <c r="C306" s="124"/>
      <c r="D306" s="124"/>
      <c r="E306" s="124"/>
      <c r="F306" s="124"/>
      <c r="G306" s="124"/>
      <c r="H306" s="124"/>
      <c r="I306" s="124"/>
      <c r="J306" s="124"/>
      <c r="K306" s="124"/>
      <c r="L306" s="124"/>
      <c r="M306" s="124"/>
      <c r="N306" s="124"/>
      <c r="O306" s="124"/>
      <c r="P306" s="124"/>
      <c r="Q306" s="124"/>
      <c r="R306" s="124"/>
      <c r="S306" s="124"/>
      <c r="T306" s="124"/>
      <c r="W306" s="120"/>
    </row>
    <row r="307" spans="1:23" x14ac:dyDescent="0.25">
      <c r="A307" s="11" t="s">
        <v>1084</v>
      </c>
      <c r="B307" s="11" t="s">
        <v>619</v>
      </c>
      <c r="C307" s="11" t="s">
        <v>491</v>
      </c>
      <c r="D307" s="11" t="s">
        <v>892</v>
      </c>
      <c r="E307" s="29">
        <v>0</v>
      </c>
      <c r="F307" s="29">
        <v>0</v>
      </c>
      <c r="G307" s="29">
        <v>0</v>
      </c>
      <c r="H307" s="29">
        <v>0</v>
      </c>
      <c r="I307" s="29">
        <v>0</v>
      </c>
      <c r="J307" s="29">
        <v>0.5</v>
      </c>
      <c r="K307" s="29">
        <v>4</v>
      </c>
      <c r="L307" s="29">
        <v>0</v>
      </c>
      <c r="M307" s="29">
        <v>2.2999999999999998</v>
      </c>
      <c r="N307" s="29">
        <v>0</v>
      </c>
      <c r="O307" s="29">
        <v>0.8</v>
      </c>
      <c r="P307" s="29">
        <v>6.2729400000000005E-2</v>
      </c>
      <c r="Q307" s="29">
        <v>8.9730699999999997E-2</v>
      </c>
      <c r="R307" s="29">
        <v>0.22508945</v>
      </c>
      <c r="S307" s="29">
        <v>0.36675619999999998</v>
      </c>
      <c r="T307" s="29">
        <v>0.26447144</v>
      </c>
      <c r="U307" s="29"/>
      <c r="V307" s="29"/>
    </row>
    <row r="308" spans="1:23" x14ac:dyDescent="0.25">
      <c r="A308" s="11" t="s">
        <v>1084</v>
      </c>
      <c r="B308" s="11" t="s">
        <v>619</v>
      </c>
      <c r="C308" s="11" t="s">
        <v>492</v>
      </c>
      <c r="D308" s="11" t="s">
        <v>892</v>
      </c>
      <c r="E308" s="29">
        <v>0</v>
      </c>
      <c r="F308" s="29">
        <v>0</v>
      </c>
      <c r="G308" s="29">
        <v>0</v>
      </c>
      <c r="H308" s="29">
        <v>0</v>
      </c>
      <c r="I308" s="29">
        <v>0</v>
      </c>
      <c r="J308" s="29">
        <v>0</v>
      </c>
      <c r="K308" s="29">
        <v>0</v>
      </c>
      <c r="L308" s="29">
        <v>0</v>
      </c>
      <c r="M308" s="29">
        <v>0</v>
      </c>
      <c r="N308" s="29">
        <v>0</v>
      </c>
      <c r="O308" s="29">
        <v>0</v>
      </c>
      <c r="P308" s="29">
        <v>7.4282724</v>
      </c>
      <c r="Q308" s="29">
        <v>9.7598354900000004</v>
      </c>
      <c r="R308" s="29">
        <v>13.850998000000001</v>
      </c>
      <c r="S308" s="29">
        <v>20.473245599999998</v>
      </c>
      <c r="T308" s="29">
        <v>27.0194486</v>
      </c>
      <c r="U308" s="29"/>
      <c r="V308" s="29"/>
    </row>
    <row r="309" spans="1:23" x14ac:dyDescent="0.25">
      <c r="A309" s="11" t="s">
        <v>1084</v>
      </c>
      <c r="B309" s="11" t="s">
        <v>619</v>
      </c>
      <c r="C309" s="11" t="s">
        <v>493</v>
      </c>
      <c r="D309" s="11" t="s">
        <v>892</v>
      </c>
      <c r="E309" s="29">
        <v>0</v>
      </c>
      <c r="F309" s="29">
        <v>0</v>
      </c>
      <c r="G309" s="29">
        <v>0</v>
      </c>
      <c r="H309" s="29">
        <v>0</v>
      </c>
      <c r="I309" s="29">
        <v>0</v>
      </c>
      <c r="J309" s="29">
        <v>0</v>
      </c>
      <c r="K309" s="29">
        <v>39.200000000000003</v>
      </c>
      <c r="L309" s="29">
        <v>12.3</v>
      </c>
      <c r="M309" s="29">
        <v>3.8</v>
      </c>
      <c r="N309" s="29">
        <v>1</v>
      </c>
      <c r="O309" s="29">
        <v>13.1</v>
      </c>
      <c r="P309" s="29">
        <v>30.791641599999998</v>
      </c>
      <c r="Q309" s="29">
        <v>42.4169348</v>
      </c>
      <c r="R309" s="29">
        <v>56.865404300000002</v>
      </c>
      <c r="S309" s="29">
        <v>76.913263599999993</v>
      </c>
      <c r="T309" s="29">
        <v>98.971485799999996</v>
      </c>
      <c r="U309" s="29"/>
      <c r="V309" s="29"/>
    </row>
    <row r="310" spans="1:23" x14ac:dyDescent="0.25">
      <c r="A310" s="11" t="s">
        <v>1084</v>
      </c>
      <c r="B310" s="11" t="s">
        <v>619</v>
      </c>
      <c r="C310" s="11" t="s">
        <v>494</v>
      </c>
      <c r="D310" s="11" t="s">
        <v>892</v>
      </c>
      <c r="E310" s="29">
        <v>0</v>
      </c>
      <c r="F310" s="29">
        <v>0</v>
      </c>
      <c r="G310" s="29">
        <v>0</v>
      </c>
      <c r="H310" s="29">
        <v>0</v>
      </c>
      <c r="I310" s="29">
        <v>0</v>
      </c>
      <c r="J310" s="29">
        <v>643</v>
      </c>
      <c r="K310" s="29">
        <v>442</v>
      </c>
      <c r="L310" s="29">
        <v>750</v>
      </c>
      <c r="M310" s="29">
        <v>696</v>
      </c>
      <c r="N310" s="29">
        <v>744</v>
      </c>
      <c r="O310" s="29">
        <v>1423</v>
      </c>
      <c r="P310" s="29">
        <v>334.01256699999999</v>
      </c>
      <c r="Q310" s="29">
        <v>403.31958700000001</v>
      </c>
      <c r="R310" s="29">
        <v>473.98182600000001</v>
      </c>
      <c r="S310" s="29">
        <v>483.54310700000002</v>
      </c>
      <c r="T310" s="29">
        <v>555.68247199999996</v>
      </c>
      <c r="U310" s="29"/>
      <c r="V310" s="29"/>
    </row>
    <row r="311" spans="1:23" x14ac:dyDescent="0.25">
      <c r="A311" s="11" t="s">
        <v>1084</v>
      </c>
      <c r="B311" s="11" t="s">
        <v>619</v>
      </c>
      <c r="C311" s="11" t="s">
        <v>498</v>
      </c>
      <c r="D311" s="11" t="s">
        <v>892</v>
      </c>
      <c r="E311" s="29">
        <v>0</v>
      </c>
      <c r="F311" s="29">
        <v>0</v>
      </c>
      <c r="G311" s="29">
        <v>0</v>
      </c>
      <c r="H311" s="29">
        <v>0</v>
      </c>
      <c r="I311" s="29">
        <v>0</v>
      </c>
      <c r="J311" s="29">
        <v>0</v>
      </c>
      <c r="K311" s="29">
        <v>100</v>
      </c>
      <c r="L311" s="29">
        <v>0</v>
      </c>
      <c r="M311" s="29">
        <v>0</v>
      </c>
      <c r="N311" s="29">
        <v>0</v>
      </c>
      <c r="O311" s="29">
        <v>0</v>
      </c>
      <c r="P311" s="29">
        <v>0</v>
      </c>
      <c r="Q311" s="29">
        <v>0</v>
      </c>
      <c r="R311" s="29">
        <v>0</v>
      </c>
      <c r="S311" s="29">
        <v>0</v>
      </c>
      <c r="T311" s="29">
        <v>0</v>
      </c>
      <c r="U311" s="29"/>
      <c r="V311" s="29"/>
    </row>
    <row r="312" spans="1:23" x14ac:dyDescent="0.25">
      <c r="A312" s="11" t="s">
        <v>1084</v>
      </c>
      <c r="B312" s="11" t="s">
        <v>619</v>
      </c>
      <c r="C312" s="11" t="s">
        <v>495</v>
      </c>
      <c r="D312" s="11" t="s">
        <v>892</v>
      </c>
      <c r="E312" s="29">
        <v>0</v>
      </c>
      <c r="F312" s="29">
        <v>0</v>
      </c>
      <c r="G312" s="29">
        <v>0</v>
      </c>
      <c r="H312" s="29">
        <v>0</v>
      </c>
      <c r="I312" s="29">
        <v>0</v>
      </c>
      <c r="J312" s="29">
        <v>0</v>
      </c>
      <c r="K312" s="29">
        <v>79</v>
      </c>
      <c r="L312" s="29">
        <v>14.2</v>
      </c>
      <c r="M312" s="29">
        <v>22</v>
      </c>
      <c r="N312" s="29">
        <v>5.8</v>
      </c>
      <c r="O312" s="29">
        <v>44.7</v>
      </c>
      <c r="P312" s="29">
        <v>52.6104603</v>
      </c>
      <c r="Q312" s="29">
        <v>67.579682700000006</v>
      </c>
      <c r="R312" s="29">
        <v>87.971174399999995</v>
      </c>
      <c r="S312" s="29">
        <v>103.67568900000001</v>
      </c>
      <c r="T312" s="29">
        <v>141.83149499999999</v>
      </c>
      <c r="U312" s="29"/>
      <c r="V312" s="29"/>
    </row>
    <row r="313" spans="1:23" x14ac:dyDescent="0.25">
      <c r="A313" s="11"/>
      <c r="B313" s="11"/>
      <c r="C313" s="11"/>
      <c r="D313" s="11"/>
      <c r="E313" s="30"/>
      <c r="F313" s="30"/>
      <c r="G313" s="30"/>
      <c r="H313" s="30"/>
      <c r="I313" s="30"/>
      <c r="J313" s="30"/>
      <c r="K313" s="30"/>
      <c r="L313" s="30"/>
      <c r="M313" s="30"/>
      <c r="N313" s="30"/>
      <c r="O313" s="30"/>
      <c r="P313" s="30"/>
      <c r="Q313" s="30"/>
      <c r="R313" s="30"/>
      <c r="S313" s="30"/>
      <c r="T313" s="30"/>
      <c r="U313" s="30"/>
      <c r="V313" s="30"/>
    </row>
    <row r="314" spans="1:23" x14ac:dyDescent="0.25">
      <c r="A314" s="11" t="s">
        <v>1084</v>
      </c>
      <c r="B314" s="11" t="s">
        <v>619</v>
      </c>
      <c r="C314" s="11" t="s">
        <v>491</v>
      </c>
      <c r="D314" s="11" t="s">
        <v>1097</v>
      </c>
      <c r="E314" s="29">
        <v>0</v>
      </c>
      <c r="F314" s="29">
        <v>0</v>
      </c>
      <c r="G314" s="29">
        <v>0</v>
      </c>
      <c r="H314" s="29">
        <v>0</v>
      </c>
      <c r="I314" s="29">
        <v>0</v>
      </c>
      <c r="J314" s="29">
        <v>5.8500000000000005</v>
      </c>
      <c r="K314" s="29">
        <v>46.800000000000004</v>
      </c>
      <c r="L314" s="29">
        <v>0</v>
      </c>
      <c r="M314" s="29">
        <v>26.91</v>
      </c>
      <c r="N314" s="29">
        <v>0</v>
      </c>
      <c r="O314" s="29">
        <v>9.3600000000000012</v>
      </c>
      <c r="P314" s="29">
        <v>0.73393397999999999</v>
      </c>
      <c r="Q314" s="29">
        <v>1.04984919</v>
      </c>
      <c r="R314" s="29">
        <v>2.6335465650000001</v>
      </c>
      <c r="S314" s="29">
        <v>4.2910475400000001</v>
      </c>
      <c r="T314" s="29">
        <v>3.0943158479999999</v>
      </c>
      <c r="U314" s="29"/>
      <c r="V314" s="29"/>
    </row>
    <row r="315" spans="1:23" x14ac:dyDescent="0.25">
      <c r="A315" s="11" t="s">
        <v>1084</v>
      </c>
      <c r="B315" s="11" t="s">
        <v>619</v>
      </c>
      <c r="C315" s="11" t="s">
        <v>492</v>
      </c>
      <c r="D315" s="11" t="s">
        <v>1097</v>
      </c>
      <c r="E315" s="29">
        <v>0</v>
      </c>
      <c r="F315" s="29">
        <v>0</v>
      </c>
      <c r="G315" s="29">
        <v>0</v>
      </c>
      <c r="H315" s="29">
        <v>0</v>
      </c>
      <c r="I315" s="29">
        <v>0</v>
      </c>
      <c r="J315" s="29">
        <v>0</v>
      </c>
      <c r="K315" s="29">
        <v>0</v>
      </c>
      <c r="L315" s="29">
        <v>0</v>
      </c>
      <c r="M315" s="29">
        <v>0</v>
      </c>
      <c r="N315" s="29">
        <v>0</v>
      </c>
      <c r="O315" s="29">
        <v>0</v>
      </c>
      <c r="P315" s="29">
        <v>4.8283770600000002</v>
      </c>
      <c r="Q315" s="29">
        <v>6.3438930684999999</v>
      </c>
      <c r="R315" s="29">
        <v>9.0031487000000006</v>
      </c>
      <c r="S315" s="29">
        <v>13.307609639999999</v>
      </c>
      <c r="T315" s="29">
        <v>17.562641590000002</v>
      </c>
      <c r="U315" s="29"/>
      <c r="V315" s="29"/>
    </row>
    <row r="316" spans="1:23" x14ac:dyDescent="0.25">
      <c r="A316" s="11" t="s">
        <v>1084</v>
      </c>
      <c r="B316" s="11" t="s">
        <v>619</v>
      </c>
      <c r="C316" s="11" t="s">
        <v>493</v>
      </c>
      <c r="D316" s="11" t="s">
        <v>1097</v>
      </c>
      <c r="E316" s="29">
        <v>0</v>
      </c>
      <c r="F316" s="29">
        <v>0</v>
      </c>
      <c r="G316" s="29">
        <v>0</v>
      </c>
      <c r="H316" s="29">
        <v>0</v>
      </c>
      <c r="I316" s="29">
        <v>0</v>
      </c>
      <c r="J316" s="29">
        <v>0</v>
      </c>
      <c r="K316" s="29">
        <v>109.76000000000002</v>
      </c>
      <c r="L316" s="29">
        <v>34.44</v>
      </c>
      <c r="M316" s="29">
        <v>10.64</v>
      </c>
      <c r="N316" s="29">
        <v>2.8000000000000003</v>
      </c>
      <c r="O316" s="29">
        <v>36.68</v>
      </c>
      <c r="P316" s="29">
        <v>86.216596479999993</v>
      </c>
      <c r="Q316" s="29">
        <v>118.76741744</v>
      </c>
      <c r="R316" s="29">
        <v>159.22313204000002</v>
      </c>
      <c r="S316" s="29">
        <v>215.35713807999997</v>
      </c>
      <c r="T316" s="29">
        <v>277.12016023999996</v>
      </c>
      <c r="U316" s="29"/>
      <c r="V316" s="29"/>
    </row>
    <row r="317" spans="1:23" x14ac:dyDescent="0.25">
      <c r="A317" s="11" t="s">
        <v>1084</v>
      </c>
      <c r="B317" s="11" t="s">
        <v>619</v>
      </c>
      <c r="C317" s="11" t="s">
        <v>494</v>
      </c>
      <c r="D317" s="11" t="s">
        <v>1097</v>
      </c>
      <c r="E317" s="29">
        <v>0</v>
      </c>
      <c r="F317" s="29">
        <v>0</v>
      </c>
      <c r="G317" s="29">
        <v>0</v>
      </c>
      <c r="H317" s="29">
        <v>0</v>
      </c>
      <c r="I317" s="29">
        <v>0</v>
      </c>
      <c r="J317" s="29">
        <v>835.9</v>
      </c>
      <c r="K317" s="29">
        <v>574.6</v>
      </c>
      <c r="L317" s="29">
        <v>975</v>
      </c>
      <c r="M317" s="29">
        <v>904.80000000000007</v>
      </c>
      <c r="N317" s="29">
        <v>967.2</v>
      </c>
      <c r="O317" s="29">
        <v>1849.9</v>
      </c>
      <c r="P317" s="29">
        <v>434.21633709999998</v>
      </c>
      <c r="Q317" s="29">
        <v>524.3154631000001</v>
      </c>
      <c r="R317" s="29">
        <v>616.17637379999996</v>
      </c>
      <c r="S317" s="29">
        <v>628.60603910000009</v>
      </c>
      <c r="T317" s="29">
        <v>722.3872136</v>
      </c>
      <c r="U317" s="29"/>
      <c r="V317" s="29"/>
    </row>
    <row r="318" spans="1:23" x14ac:dyDescent="0.25">
      <c r="A318" s="11" t="s">
        <v>1084</v>
      </c>
      <c r="B318" s="11" t="s">
        <v>619</v>
      </c>
      <c r="C318" s="11" t="s">
        <v>498</v>
      </c>
      <c r="D318" s="11" t="s">
        <v>1097</v>
      </c>
      <c r="E318" s="29">
        <v>0</v>
      </c>
      <c r="F318" s="29">
        <v>0</v>
      </c>
      <c r="G318" s="29">
        <v>0</v>
      </c>
      <c r="H318" s="29">
        <v>0</v>
      </c>
      <c r="I318" s="29">
        <v>0</v>
      </c>
      <c r="J318" s="29">
        <v>0</v>
      </c>
      <c r="K318" s="29">
        <v>14</v>
      </c>
      <c r="L318" s="29">
        <v>0</v>
      </c>
      <c r="M318" s="29">
        <v>0</v>
      </c>
      <c r="N318" s="29">
        <v>0</v>
      </c>
      <c r="O318" s="29">
        <v>0</v>
      </c>
      <c r="P318" s="29">
        <v>0</v>
      </c>
      <c r="Q318" s="29">
        <v>0</v>
      </c>
      <c r="R318" s="29">
        <v>0</v>
      </c>
      <c r="S318" s="29">
        <v>0</v>
      </c>
      <c r="T318" s="29">
        <v>0</v>
      </c>
      <c r="U318" s="29"/>
      <c r="V318" s="29"/>
    </row>
    <row r="319" spans="1:23" x14ac:dyDescent="0.25">
      <c r="A319" s="11" t="s">
        <v>1084</v>
      </c>
      <c r="B319" s="11" t="s">
        <v>619</v>
      </c>
      <c r="C319" s="11" t="s">
        <v>495</v>
      </c>
      <c r="D319" s="11" t="s">
        <v>1097</v>
      </c>
      <c r="E319" s="29">
        <v>0</v>
      </c>
      <c r="F319" s="29">
        <v>0</v>
      </c>
      <c r="G319" s="29">
        <v>0</v>
      </c>
      <c r="H319" s="29">
        <v>0</v>
      </c>
      <c r="I319" s="29">
        <v>0</v>
      </c>
      <c r="J319" s="29">
        <v>0</v>
      </c>
      <c r="K319" s="29">
        <v>300.2</v>
      </c>
      <c r="L319" s="29">
        <v>53.959999999999994</v>
      </c>
      <c r="M319" s="29">
        <v>83.6</v>
      </c>
      <c r="N319" s="29">
        <v>22.04</v>
      </c>
      <c r="O319" s="29">
        <v>169.86</v>
      </c>
      <c r="P319" s="29">
        <v>199.91974913999999</v>
      </c>
      <c r="Q319" s="29">
        <v>256.80279426000004</v>
      </c>
      <c r="R319" s="29">
        <v>334.29046271999994</v>
      </c>
      <c r="S319" s="29">
        <v>393.9676182</v>
      </c>
      <c r="T319" s="29">
        <v>538.95968100000005</v>
      </c>
      <c r="U319" s="29"/>
      <c r="V319" s="29"/>
    </row>
    <row r="320" spans="1:23" x14ac:dyDescent="0.25">
      <c r="A320" s="7"/>
      <c r="B320" s="7"/>
      <c r="C320" s="7"/>
      <c r="D320" s="7"/>
      <c r="E320" s="11"/>
      <c r="F320" s="11"/>
      <c r="G320" s="11"/>
      <c r="H320" s="11"/>
      <c r="I320" s="11"/>
      <c r="J320" s="11"/>
      <c r="K320" s="11"/>
      <c r="L320" s="11"/>
      <c r="M320" s="11"/>
      <c r="N320" s="11"/>
      <c r="O320" s="11"/>
      <c r="P320" s="11"/>
      <c r="Q320" s="11"/>
      <c r="R320" s="11"/>
      <c r="S320" s="11"/>
      <c r="T320" s="11"/>
    </row>
    <row r="321" spans="1:23" s="124" customFormat="1" x14ac:dyDescent="0.25">
      <c r="A321" s="124" t="s">
        <v>1088</v>
      </c>
      <c r="W321" s="120"/>
    </row>
    <row r="322" spans="1:23" s="11" customFormat="1" x14ac:dyDescent="0.25">
      <c r="A322" s="11" t="s">
        <v>1088</v>
      </c>
      <c r="B322" s="11" t="s">
        <v>619</v>
      </c>
      <c r="C322" s="11" t="s">
        <v>491</v>
      </c>
      <c r="D322" s="11" t="s">
        <v>892</v>
      </c>
      <c r="E322" s="29">
        <v>0</v>
      </c>
      <c r="F322" s="29">
        <v>0</v>
      </c>
      <c r="G322" s="29">
        <v>0</v>
      </c>
      <c r="H322" s="29">
        <v>0</v>
      </c>
      <c r="I322" s="29">
        <v>0</v>
      </c>
      <c r="J322" s="29">
        <v>0</v>
      </c>
      <c r="K322" s="29">
        <v>0</v>
      </c>
      <c r="L322" s="29">
        <v>0</v>
      </c>
      <c r="M322" s="29">
        <v>0</v>
      </c>
      <c r="N322" s="29">
        <v>0</v>
      </c>
      <c r="O322" s="29">
        <v>0</v>
      </c>
      <c r="P322" s="29">
        <v>0</v>
      </c>
      <c r="Q322" s="29">
        <v>0</v>
      </c>
      <c r="R322" s="29">
        <v>0</v>
      </c>
      <c r="S322" s="29">
        <v>0</v>
      </c>
      <c r="T322" s="29">
        <v>0</v>
      </c>
      <c r="U322" s="29"/>
      <c r="V322" s="29"/>
      <c r="W322"/>
    </row>
    <row r="323" spans="1:23" s="11" customFormat="1" x14ac:dyDescent="0.25">
      <c r="A323" s="11" t="s">
        <v>1088</v>
      </c>
      <c r="B323" s="11" t="s">
        <v>619</v>
      </c>
      <c r="C323" s="11" t="s">
        <v>492</v>
      </c>
      <c r="D323" s="11" t="s">
        <v>892</v>
      </c>
      <c r="E323" s="29">
        <v>0</v>
      </c>
      <c r="F323" s="29">
        <v>0</v>
      </c>
      <c r="G323" s="29">
        <v>0</v>
      </c>
      <c r="H323" s="29">
        <v>0</v>
      </c>
      <c r="I323" s="29">
        <v>0</v>
      </c>
      <c r="J323" s="29">
        <v>0</v>
      </c>
      <c r="K323" s="29">
        <v>0</v>
      </c>
      <c r="L323" s="29">
        <v>0</v>
      </c>
      <c r="M323" s="29">
        <v>0</v>
      </c>
      <c r="N323" s="29">
        <v>0</v>
      </c>
      <c r="O323" s="29">
        <v>0</v>
      </c>
      <c r="P323" s="29">
        <v>0</v>
      </c>
      <c r="Q323" s="29">
        <v>0</v>
      </c>
      <c r="R323" s="29">
        <v>0</v>
      </c>
      <c r="S323" s="29">
        <v>0</v>
      </c>
      <c r="T323" s="29">
        <v>0</v>
      </c>
      <c r="U323" s="29"/>
      <c r="V323" s="29"/>
      <c r="W323"/>
    </row>
    <row r="324" spans="1:23" s="11" customFormat="1" x14ac:dyDescent="0.25">
      <c r="A324" s="11" t="s">
        <v>1088</v>
      </c>
      <c r="B324" s="11" t="s">
        <v>619</v>
      </c>
      <c r="C324" s="11" t="s">
        <v>493</v>
      </c>
      <c r="D324" s="11" t="s">
        <v>892</v>
      </c>
      <c r="E324" s="29">
        <v>0</v>
      </c>
      <c r="F324" s="29">
        <v>0</v>
      </c>
      <c r="G324" s="29">
        <v>0</v>
      </c>
      <c r="H324" s="29">
        <v>0</v>
      </c>
      <c r="I324" s="29">
        <v>0</v>
      </c>
      <c r="J324" s="29">
        <v>0</v>
      </c>
      <c r="K324" s="29">
        <v>0</v>
      </c>
      <c r="L324" s="29">
        <v>0</v>
      </c>
      <c r="M324" s="29">
        <v>0</v>
      </c>
      <c r="N324" s="29">
        <v>0</v>
      </c>
      <c r="O324" s="29">
        <v>0</v>
      </c>
      <c r="P324" s="29">
        <v>7.2385829399999997</v>
      </c>
      <c r="Q324" s="29">
        <v>7.2132803599999997</v>
      </c>
      <c r="R324" s="29">
        <v>9.1125019700000003</v>
      </c>
      <c r="S324" s="29">
        <v>10.956079799999999</v>
      </c>
      <c r="T324" s="29">
        <v>11.750213</v>
      </c>
      <c r="U324" s="29"/>
      <c r="V324" s="29"/>
      <c r="W324"/>
    </row>
    <row r="325" spans="1:23" s="11" customFormat="1" x14ac:dyDescent="0.25">
      <c r="A325" s="11" t="s">
        <v>1088</v>
      </c>
      <c r="B325" s="11" t="s">
        <v>619</v>
      </c>
      <c r="C325" s="11" t="s">
        <v>494</v>
      </c>
      <c r="D325" s="11" t="s">
        <v>892</v>
      </c>
      <c r="E325" s="29">
        <v>0</v>
      </c>
      <c r="F325" s="29">
        <v>0</v>
      </c>
      <c r="G325" s="29">
        <v>0</v>
      </c>
      <c r="H325" s="29">
        <v>0</v>
      </c>
      <c r="I325" s="29">
        <v>0</v>
      </c>
      <c r="J325" s="29">
        <v>0</v>
      </c>
      <c r="K325" s="29">
        <v>0</v>
      </c>
      <c r="L325" s="29">
        <v>0</v>
      </c>
      <c r="M325" s="29">
        <v>0</v>
      </c>
      <c r="N325" s="29">
        <v>0</v>
      </c>
      <c r="O325" s="29">
        <v>0</v>
      </c>
      <c r="P325" s="29">
        <v>1118.30897</v>
      </c>
      <c r="Q325" s="29">
        <v>1171.4694</v>
      </c>
      <c r="R325" s="29">
        <v>1242.0266300000001</v>
      </c>
      <c r="S325" s="29">
        <v>1289.1615899999999</v>
      </c>
      <c r="T325" s="29">
        <v>1365.33061</v>
      </c>
      <c r="U325" s="29"/>
      <c r="V325" s="29"/>
      <c r="W325"/>
    </row>
    <row r="326" spans="1:23" s="11" customFormat="1" x14ac:dyDescent="0.25">
      <c r="A326" s="11" t="s">
        <v>1088</v>
      </c>
      <c r="B326" s="11" t="s">
        <v>619</v>
      </c>
      <c r="C326" s="11" t="s">
        <v>498</v>
      </c>
      <c r="D326" s="11" t="s">
        <v>892</v>
      </c>
      <c r="E326" s="29">
        <v>0</v>
      </c>
      <c r="F326" s="29">
        <v>0</v>
      </c>
      <c r="G326" s="29">
        <v>0</v>
      </c>
      <c r="H326" s="29">
        <v>0</v>
      </c>
      <c r="I326" s="29">
        <v>0</v>
      </c>
      <c r="J326" s="29">
        <v>0</v>
      </c>
      <c r="K326" s="29">
        <v>0</v>
      </c>
      <c r="L326" s="29">
        <v>0</v>
      </c>
      <c r="M326" s="29">
        <v>0</v>
      </c>
      <c r="N326" s="29">
        <v>0</v>
      </c>
      <c r="O326" s="29">
        <v>0</v>
      </c>
      <c r="P326" s="29">
        <v>0</v>
      </c>
      <c r="Q326" s="29">
        <v>0</v>
      </c>
      <c r="R326" s="29">
        <v>0</v>
      </c>
      <c r="S326" s="29">
        <v>0</v>
      </c>
      <c r="T326" s="29">
        <v>0</v>
      </c>
      <c r="U326" s="29"/>
      <c r="V326" s="29"/>
      <c r="W326"/>
    </row>
    <row r="327" spans="1:23" s="11" customFormat="1" x14ac:dyDescent="0.25">
      <c r="A327" s="11" t="s">
        <v>1088</v>
      </c>
      <c r="B327" s="11" t="s">
        <v>619</v>
      </c>
      <c r="C327" s="11" t="s">
        <v>495</v>
      </c>
      <c r="D327" s="11" t="s">
        <v>892</v>
      </c>
      <c r="E327" s="29">
        <v>0</v>
      </c>
      <c r="F327" s="29">
        <v>0</v>
      </c>
      <c r="G327" s="29">
        <v>0</v>
      </c>
      <c r="H327" s="29">
        <v>0</v>
      </c>
      <c r="I327" s="29">
        <v>0</v>
      </c>
      <c r="J327" s="29">
        <v>0</v>
      </c>
      <c r="K327" s="29">
        <v>0</v>
      </c>
      <c r="L327" s="29">
        <v>0</v>
      </c>
      <c r="M327" s="29">
        <v>0</v>
      </c>
      <c r="N327" s="29">
        <v>0</v>
      </c>
      <c r="O327" s="29">
        <v>0</v>
      </c>
      <c r="P327" s="29">
        <v>8.5568892999999999</v>
      </c>
      <c r="Q327" s="29">
        <v>8.5247858799999996</v>
      </c>
      <c r="R327" s="29">
        <v>10.769320499999999</v>
      </c>
      <c r="S327" s="29">
        <v>12.948094299999999</v>
      </c>
      <c r="T327" s="29">
        <v>13.886615300000001</v>
      </c>
      <c r="U327" s="29"/>
      <c r="V327" s="29"/>
      <c r="W327"/>
    </row>
    <row r="328" spans="1:23" s="11" customFormat="1" x14ac:dyDescent="0.25">
      <c r="W328"/>
    </row>
    <row r="329" spans="1:23" s="11" customFormat="1" x14ac:dyDescent="0.25">
      <c r="A329" s="11" t="s">
        <v>1088</v>
      </c>
      <c r="B329" s="11" t="s">
        <v>619</v>
      </c>
      <c r="C329" s="11" t="s">
        <v>491</v>
      </c>
      <c r="D329" s="11" t="s">
        <v>1097</v>
      </c>
      <c r="E329" s="29">
        <v>0</v>
      </c>
      <c r="F329" s="29">
        <v>0</v>
      </c>
      <c r="G329" s="29">
        <v>0</v>
      </c>
      <c r="H329" s="29">
        <v>0</v>
      </c>
      <c r="I329" s="29">
        <v>0</v>
      </c>
      <c r="J329" s="29">
        <v>0</v>
      </c>
      <c r="K329" s="29">
        <v>0</v>
      </c>
      <c r="L329" s="29">
        <v>0</v>
      </c>
      <c r="M329" s="29">
        <v>0</v>
      </c>
      <c r="N329" s="29">
        <v>0</v>
      </c>
      <c r="O329" s="29">
        <v>0</v>
      </c>
      <c r="P329" s="29">
        <v>0</v>
      </c>
      <c r="Q329" s="29">
        <v>0</v>
      </c>
      <c r="R329" s="29">
        <v>0</v>
      </c>
      <c r="S329" s="29">
        <v>0</v>
      </c>
      <c r="T329" s="29">
        <v>0</v>
      </c>
      <c r="U329" s="29"/>
      <c r="V329" s="29"/>
      <c r="W329"/>
    </row>
    <row r="330" spans="1:23" s="11" customFormat="1" x14ac:dyDescent="0.25">
      <c r="A330" s="11" t="s">
        <v>1088</v>
      </c>
      <c r="B330" s="11" t="s">
        <v>619</v>
      </c>
      <c r="C330" s="11" t="s">
        <v>492</v>
      </c>
      <c r="D330" s="11" t="s">
        <v>1097</v>
      </c>
      <c r="E330" s="29">
        <v>0</v>
      </c>
      <c r="F330" s="29">
        <v>0</v>
      </c>
      <c r="G330" s="29">
        <v>0</v>
      </c>
      <c r="H330" s="29">
        <v>0</v>
      </c>
      <c r="I330" s="29">
        <v>0</v>
      </c>
      <c r="J330" s="29">
        <v>0</v>
      </c>
      <c r="K330" s="29">
        <v>0</v>
      </c>
      <c r="L330" s="29">
        <v>0</v>
      </c>
      <c r="M330" s="29">
        <v>0</v>
      </c>
      <c r="N330" s="29">
        <v>0</v>
      </c>
      <c r="O330" s="29">
        <v>0</v>
      </c>
      <c r="P330" s="29">
        <v>0</v>
      </c>
      <c r="Q330" s="29">
        <v>0</v>
      </c>
      <c r="R330" s="29">
        <v>0</v>
      </c>
      <c r="S330" s="29">
        <v>0</v>
      </c>
      <c r="T330" s="29">
        <v>0</v>
      </c>
      <c r="U330" s="29"/>
      <c r="V330" s="29"/>
      <c r="W330"/>
    </row>
    <row r="331" spans="1:23" s="11" customFormat="1" x14ac:dyDescent="0.25">
      <c r="A331" s="11" t="s">
        <v>1088</v>
      </c>
      <c r="B331" s="11" t="s">
        <v>619</v>
      </c>
      <c r="C331" s="11" t="s">
        <v>493</v>
      </c>
      <c r="D331" s="11" t="s">
        <v>1097</v>
      </c>
      <c r="E331" s="29">
        <v>0</v>
      </c>
      <c r="F331" s="29">
        <v>0</v>
      </c>
      <c r="G331" s="29">
        <v>0</v>
      </c>
      <c r="H331" s="29">
        <v>0</v>
      </c>
      <c r="I331" s="29">
        <v>0</v>
      </c>
      <c r="J331" s="29">
        <v>0</v>
      </c>
      <c r="K331" s="29">
        <v>0</v>
      </c>
      <c r="L331" s="29">
        <v>0</v>
      </c>
      <c r="M331" s="29">
        <v>0</v>
      </c>
      <c r="N331" s="29">
        <v>0</v>
      </c>
      <c r="O331" s="29">
        <v>0</v>
      </c>
      <c r="P331" s="29">
        <v>20.268032231999999</v>
      </c>
      <c r="Q331" s="29">
        <v>20.197185008000002</v>
      </c>
      <c r="R331" s="29">
        <v>25.515005516000002</v>
      </c>
      <c r="S331" s="29">
        <v>30.677023439999996</v>
      </c>
      <c r="T331" s="29">
        <v>32.900596400000005</v>
      </c>
      <c r="U331" s="29"/>
      <c r="V331" s="29"/>
      <c r="W331"/>
    </row>
    <row r="332" spans="1:23" s="11" customFormat="1" x14ac:dyDescent="0.25">
      <c r="A332" s="11" t="s">
        <v>1088</v>
      </c>
      <c r="B332" s="11" t="s">
        <v>619</v>
      </c>
      <c r="C332" s="11" t="s">
        <v>494</v>
      </c>
      <c r="D332" s="11" t="s">
        <v>1097</v>
      </c>
      <c r="E332" s="29">
        <v>0</v>
      </c>
      <c r="F332" s="29">
        <v>0</v>
      </c>
      <c r="G332" s="29">
        <v>0</v>
      </c>
      <c r="H332" s="29">
        <v>0</v>
      </c>
      <c r="I332" s="29">
        <v>0</v>
      </c>
      <c r="J332" s="29">
        <v>0</v>
      </c>
      <c r="K332" s="29">
        <v>0</v>
      </c>
      <c r="L332" s="29">
        <v>0</v>
      </c>
      <c r="M332" s="29">
        <v>0</v>
      </c>
      <c r="N332" s="29">
        <v>0</v>
      </c>
      <c r="O332" s="29">
        <v>0</v>
      </c>
      <c r="P332" s="29">
        <v>1453.801661</v>
      </c>
      <c r="Q332" s="29">
        <v>1522.9102199999998</v>
      </c>
      <c r="R332" s="29">
        <v>1614.6346189999999</v>
      </c>
      <c r="S332" s="29">
        <v>1675.910067</v>
      </c>
      <c r="T332" s="29">
        <v>1774.929793</v>
      </c>
      <c r="U332" s="29"/>
      <c r="V332" s="29"/>
      <c r="W332"/>
    </row>
    <row r="333" spans="1:23" s="11" customFormat="1" x14ac:dyDescent="0.25">
      <c r="A333" s="11" t="s">
        <v>1088</v>
      </c>
      <c r="B333" s="11" t="s">
        <v>619</v>
      </c>
      <c r="C333" s="11" t="s">
        <v>498</v>
      </c>
      <c r="D333" s="11" t="s">
        <v>1097</v>
      </c>
      <c r="E333" s="29">
        <v>0</v>
      </c>
      <c r="F333" s="29">
        <v>0</v>
      </c>
      <c r="G333" s="29">
        <v>0</v>
      </c>
      <c r="H333" s="29">
        <v>0</v>
      </c>
      <c r="I333" s="29">
        <v>0</v>
      </c>
      <c r="J333" s="29">
        <v>0</v>
      </c>
      <c r="K333" s="29">
        <v>0</v>
      </c>
      <c r="L333" s="29">
        <v>0</v>
      </c>
      <c r="M333" s="29">
        <v>0</v>
      </c>
      <c r="N333" s="29">
        <v>0</v>
      </c>
      <c r="O333" s="29">
        <v>0</v>
      </c>
      <c r="P333" s="29">
        <v>0</v>
      </c>
      <c r="Q333" s="29">
        <v>0</v>
      </c>
      <c r="R333" s="29">
        <v>0</v>
      </c>
      <c r="S333" s="29">
        <v>0</v>
      </c>
      <c r="T333" s="29">
        <v>0</v>
      </c>
      <c r="U333" s="29"/>
      <c r="V333" s="29"/>
      <c r="W333"/>
    </row>
    <row r="334" spans="1:23" s="11" customFormat="1" x14ac:dyDescent="0.25">
      <c r="A334" s="11" t="s">
        <v>1088</v>
      </c>
      <c r="B334" s="11" t="s">
        <v>619</v>
      </c>
      <c r="C334" s="11" t="s">
        <v>495</v>
      </c>
      <c r="D334" s="11" t="s">
        <v>1097</v>
      </c>
      <c r="E334" s="29">
        <v>0</v>
      </c>
      <c r="F334" s="29">
        <v>0</v>
      </c>
      <c r="G334" s="29">
        <v>0</v>
      </c>
      <c r="H334" s="29">
        <v>0</v>
      </c>
      <c r="I334" s="29">
        <v>0</v>
      </c>
      <c r="J334" s="29">
        <v>0</v>
      </c>
      <c r="K334" s="29">
        <v>0</v>
      </c>
      <c r="L334" s="29">
        <v>0</v>
      </c>
      <c r="M334" s="29">
        <v>0</v>
      </c>
      <c r="N334" s="29">
        <v>0</v>
      </c>
      <c r="O334" s="29">
        <v>0</v>
      </c>
      <c r="P334" s="29">
        <v>32.516179340000001</v>
      </c>
      <c r="Q334" s="29">
        <v>32.394186343999998</v>
      </c>
      <c r="R334" s="29">
        <v>40.923417899999997</v>
      </c>
      <c r="S334" s="29">
        <v>49.202758339999995</v>
      </c>
      <c r="T334" s="29">
        <v>52.769138140000003</v>
      </c>
      <c r="U334" s="29"/>
      <c r="V334" s="29"/>
      <c r="W334"/>
    </row>
    <row r="335" spans="1:23" s="11" customFormat="1" x14ac:dyDescent="0.25">
      <c r="W335"/>
    </row>
    <row r="336" spans="1:23" s="10" customFormat="1" x14ac:dyDescent="0.25">
      <c r="A336" s="10" t="s">
        <v>1098</v>
      </c>
      <c r="B336" s="10" t="s">
        <v>1067</v>
      </c>
      <c r="C336" s="10" t="s">
        <v>836</v>
      </c>
      <c r="D336" s="10" t="s">
        <v>1097</v>
      </c>
      <c r="E336" s="126">
        <v>0</v>
      </c>
      <c r="F336" s="126">
        <v>0</v>
      </c>
      <c r="G336" s="126">
        <v>0</v>
      </c>
      <c r="H336" s="126">
        <v>0</v>
      </c>
      <c r="I336" s="126">
        <v>0</v>
      </c>
      <c r="J336" s="126">
        <v>841.75</v>
      </c>
      <c r="K336" s="126">
        <v>1045.3600000000001</v>
      </c>
      <c r="L336" s="126">
        <v>1063.4000000000001</v>
      </c>
      <c r="M336" s="126">
        <v>1025.95</v>
      </c>
      <c r="N336" s="126">
        <v>992.04</v>
      </c>
      <c r="O336" s="126">
        <v>2065.8000000000002</v>
      </c>
      <c r="P336" s="126">
        <v>2232.500866332</v>
      </c>
      <c r="Q336" s="126">
        <v>2482.7810084104999</v>
      </c>
      <c r="R336" s="126">
        <v>2802.3997062409999</v>
      </c>
      <c r="S336" s="126">
        <v>3011.31930134</v>
      </c>
      <c r="T336" s="126">
        <v>3419.7235398180001</v>
      </c>
      <c r="U336" s="126"/>
      <c r="V336" s="126"/>
      <c r="W336"/>
    </row>
    <row r="337" spans="1:23" x14ac:dyDescent="0.25">
      <c r="A337" s="7"/>
      <c r="B337" s="7"/>
      <c r="C337" s="7"/>
      <c r="D337" s="7"/>
    </row>
    <row r="338" spans="1:23" ht="18.75" x14ac:dyDescent="0.3">
      <c r="A338" s="13" t="s">
        <v>346</v>
      </c>
    </row>
    <row r="339" spans="1:23" x14ac:dyDescent="0.25">
      <c r="A339" s="8"/>
      <c r="B339" s="9" t="s">
        <v>865</v>
      </c>
      <c r="C339" s="8"/>
      <c r="D339" s="8" t="s">
        <v>852</v>
      </c>
      <c r="E339" s="8"/>
      <c r="F339" s="8"/>
      <c r="G339" s="8"/>
      <c r="H339" s="8"/>
      <c r="I339" s="8"/>
      <c r="J339" s="8"/>
      <c r="K339" s="8"/>
      <c r="L339" s="8"/>
      <c r="M339" s="8"/>
      <c r="N339" s="8"/>
      <c r="O339" s="8"/>
      <c r="P339" s="8"/>
      <c r="Q339" s="8"/>
      <c r="R339" s="8"/>
      <c r="S339" s="8"/>
      <c r="T339" s="8"/>
      <c r="U339" s="8"/>
      <c r="V339" s="8"/>
      <c r="W339" s="22"/>
    </row>
    <row r="341" spans="1:23" x14ac:dyDescent="0.25">
      <c r="A341" s="10" t="s">
        <v>867</v>
      </c>
      <c r="B341" s="10" t="s">
        <v>868</v>
      </c>
      <c r="C341" s="10" t="s">
        <v>482</v>
      </c>
      <c r="D341" s="10" t="s">
        <v>740</v>
      </c>
      <c r="E341" s="10">
        <v>2000</v>
      </c>
      <c r="F341" s="10">
        <v>2001</v>
      </c>
      <c r="G341" s="10">
        <v>2002</v>
      </c>
      <c r="H341" s="10">
        <v>2003</v>
      </c>
      <c r="I341" s="10">
        <v>2004</v>
      </c>
      <c r="J341" s="10">
        <v>2005</v>
      </c>
      <c r="K341" s="10">
        <v>2006</v>
      </c>
      <c r="L341" s="10">
        <v>2007</v>
      </c>
      <c r="M341" s="10">
        <v>2008</v>
      </c>
      <c r="N341" s="10">
        <v>2009</v>
      </c>
      <c r="O341" s="10">
        <v>2010</v>
      </c>
      <c r="P341" s="10">
        <v>2011</v>
      </c>
      <c r="Q341" s="10">
        <v>2012</v>
      </c>
      <c r="R341" s="10">
        <v>2013</v>
      </c>
      <c r="S341" s="10">
        <v>2014</v>
      </c>
      <c r="T341" s="10">
        <v>2015</v>
      </c>
      <c r="U341" s="10"/>
      <c r="V341" s="10"/>
    </row>
    <row r="342" spans="1:23" s="22" customFormat="1" x14ac:dyDescent="0.25">
      <c r="A342" s="124" t="s">
        <v>1084</v>
      </c>
      <c r="B342" s="124"/>
      <c r="C342" s="124"/>
      <c r="D342" s="124"/>
      <c r="E342" s="124"/>
      <c r="F342" s="124"/>
      <c r="G342" s="124"/>
      <c r="H342" s="124"/>
      <c r="I342" s="124"/>
      <c r="J342" s="124"/>
      <c r="K342" s="124"/>
      <c r="L342" s="124"/>
      <c r="M342" s="124"/>
      <c r="N342" s="124"/>
      <c r="O342" s="124"/>
      <c r="P342" s="124"/>
      <c r="Q342" s="124"/>
      <c r="R342" s="124"/>
      <c r="S342" s="124"/>
      <c r="T342" s="124"/>
      <c r="U342" s="124"/>
      <c r="V342" s="124"/>
    </row>
    <row r="343" spans="1:23" x14ac:dyDescent="0.25">
      <c r="A343" s="11" t="s">
        <v>1098</v>
      </c>
      <c r="B343" s="11" t="s">
        <v>1085</v>
      </c>
      <c r="C343" s="11" t="s">
        <v>491</v>
      </c>
      <c r="D343" s="11" t="s">
        <v>892</v>
      </c>
      <c r="E343" s="41" t="str">
        <f>IFERROR(((E15/E191)-1),"CHECK")</f>
        <v>CHECK</v>
      </c>
      <c r="F343" s="41" t="str">
        <f t="shared" ref="F343:T343" si="2">IFERROR(((F15/F191)-1),"CHECK")</f>
        <v>CHECK</v>
      </c>
      <c r="G343" s="41" t="str">
        <f t="shared" si="2"/>
        <v>CHECK</v>
      </c>
      <c r="H343" s="41" t="str">
        <f t="shared" si="2"/>
        <v>CHECK</v>
      </c>
      <c r="I343" s="41" t="str">
        <f t="shared" si="2"/>
        <v>CHECK</v>
      </c>
      <c r="J343" s="41" t="str">
        <f t="shared" si="2"/>
        <v>CHECK</v>
      </c>
      <c r="K343" s="41" t="str">
        <f t="shared" si="2"/>
        <v>CHECK</v>
      </c>
      <c r="L343" s="41" t="str">
        <f t="shared" si="2"/>
        <v>CHECK</v>
      </c>
      <c r="M343" s="41" t="str">
        <f t="shared" si="2"/>
        <v>CHECK</v>
      </c>
      <c r="N343" s="41" t="str">
        <f t="shared" si="2"/>
        <v>CHECK</v>
      </c>
      <c r="O343" s="41" t="str">
        <f t="shared" si="2"/>
        <v>CHECK</v>
      </c>
      <c r="P343" s="41" t="str">
        <f t="shared" si="2"/>
        <v>CHECK</v>
      </c>
      <c r="Q343" s="41" t="str">
        <f t="shared" si="2"/>
        <v>CHECK</v>
      </c>
      <c r="R343" s="41" t="str">
        <f t="shared" si="2"/>
        <v>CHECK</v>
      </c>
      <c r="S343" s="41" t="str">
        <f t="shared" si="2"/>
        <v>CHECK</v>
      </c>
      <c r="T343" s="41" t="str">
        <f t="shared" si="2"/>
        <v>CHECK</v>
      </c>
      <c r="U343" s="41"/>
      <c r="V343" s="41"/>
    </row>
    <row r="344" spans="1:23" x14ac:dyDescent="0.25">
      <c r="A344" s="11" t="s">
        <v>1098</v>
      </c>
      <c r="B344" s="11" t="s">
        <v>1086</v>
      </c>
      <c r="C344" s="11" t="s">
        <v>491</v>
      </c>
      <c r="D344" s="11" t="s">
        <v>892</v>
      </c>
      <c r="E344" s="41" t="str">
        <f t="shared" ref="E344:T344" si="3">IFERROR(((E16/E192)-1),"CHECK")</f>
        <v>CHECK</v>
      </c>
      <c r="F344" s="41" t="str">
        <f t="shared" si="3"/>
        <v>CHECK</v>
      </c>
      <c r="G344" s="41" t="str">
        <f t="shared" si="3"/>
        <v>CHECK</v>
      </c>
      <c r="H344" s="41" t="str">
        <f t="shared" si="3"/>
        <v>CHECK</v>
      </c>
      <c r="I344" s="41" t="str">
        <f t="shared" si="3"/>
        <v>CHECK</v>
      </c>
      <c r="J344" s="41" t="str">
        <f t="shared" si="3"/>
        <v>CHECK</v>
      </c>
      <c r="K344" s="41" t="str">
        <f t="shared" si="3"/>
        <v>CHECK</v>
      </c>
      <c r="L344" s="41" t="str">
        <f t="shared" si="3"/>
        <v>CHECK</v>
      </c>
      <c r="M344" s="41" t="str">
        <f t="shared" si="3"/>
        <v>CHECK</v>
      </c>
      <c r="N344" s="41" t="str">
        <f t="shared" si="3"/>
        <v>CHECK</v>
      </c>
      <c r="O344" s="41" t="str">
        <f t="shared" si="3"/>
        <v>CHECK</v>
      </c>
      <c r="P344" s="41" t="str">
        <f t="shared" si="3"/>
        <v>CHECK</v>
      </c>
      <c r="Q344" s="41" t="str">
        <f t="shared" si="3"/>
        <v>CHECK</v>
      </c>
      <c r="R344" s="41" t="str">
        <f t="shared" si="3"/>
        <v>CHECK</v>
      </c>
      <c r="S344" s="41" t="str">
        <f t="shared" si="3"/>
        <v>CHECK</v>
      </c>
      <c r="T344" s="41" t="str">
        <f t="shared" si="3"/>
        <v>CHECK</v>
      </c>
      <c r="U344" s="41"/>
      <c r="V344" s="41"/>
    </row>
    <row r="345" spans="1:23" x14ac:dyDescent="0.25">
      <c r="A345" s="11" t="s">
        <v>1098</v>
      </c>
      <c r="B345" s="11" t="s">
        <v>1087</v>
      </c>
      <c r="C345" s="11" t="s">
        <v>491</v>
      </c>
      <c r="D345" s="11" t="s">
        <v>892</v>
      </c>
      <c r="E345" s="41" t="str">
        <f t="shared" ref="E345:T345" si="4">IFERROR(((E17/E193)-1),"CHECK")</f>
        <v>CHECK</v>
      </c>
      <c r="F345" s="41" t="str">
        <f t="shared" si="4"/>
        <v>CHECK</v>
      </c>
      <c r="G345" s="41" t="str">
        <f t="shared" si="4"/>
        <v>CHECK</v>
      </c>
      <c r="H345" s="41" t="str">
        <f t="shared" si="4"/>
        <v>CHECK</v>
      </c>
      <c r="I345" s="41" t="str">
        <f t="shared" si="4"/>
        <v>CHECK</v>
      </c>
      <c r="J345" s="41" t="str">
        <f t="shared" si="4"/>
        <v>CHECK</v>
      </c>
      <c r="K345" s="41" t="str">
        <f t="shared" si="4"/>
        <v>CHECK</v>
      </c>
      <c r="L345" s="41" t="str">
        <f t="shared" si="4"/>
        <v>CHECK</v>
      </c>
      <c r="M345" s="41" t="str">
        <f t="shared" si="4"/>
        <v>CHECK</v>
      </c>
      <c r="N345" s="41" t="str">
        <f t="shared" si="4"/>
        <v>CHECK</v>
      </c>
      <c r="O345" s="41" t="str">
        <f t="shared" si="4"/>
        <v>CHECK</v>
      </c>
      <c r="P345" s="41" t="str">
        <f t="shared" si="4"/>
        <v>CHECK</v>
      </c>
      <c r="Q345" s="41" t="str">
        <f t="shared" si="4"/>
        <v>CHECK</v>
      </c>
      <c r="R345" s="41" t="str">
        <f t="shared" si="4"/>
        <v>CHECK</v>
      </c>
      <c r="S345" s="41" t="str">
        <f t="shared" si="4"/>
        <v>CHECK</v>
      </c>
      <c r="T345" s="41" t="str">
        <f t="shared" si="4"/>
        <v>CHECK</v>
      </c>
      <c r="U345" s="41"/>
      <c r="V345" s="41"/>
    </row>
    <row r="346" spans="1:23" x14ac:dyDescent="0.25">
      <c r="A346" s="11"/>
      <c r="B346" s="11"/>
      <c r="C346" s="11"/>
      <c r="D346" s="11"/>
      <c r="E346" s="41"/>
      <c r="F346" s="41"/>
      <c r="G346" s="41"/>
      <c r="H346" s="41"/>
      <c r="I346" s="41"/>
      <c r="J346" s="41"/>
      <c r="K346" s="41"/>
      <c r="L346" s="41"/>
      <c r="M346" s="41"/>
      <c r="N346" s="41"/>
      <c r="O346" s="41"/>
      <c r="P346" s="41"/>
      <c r="Q346" s="41"/>
      <c r="R346" s="41"/>
      <c r="S346" s="41"/>
      <c r="T346" s="41"/>
      <c r="U346" s="41"/>
      <c r="V346" s="41"/>
    </row>
    <row r="347" spans="1:23" x14ac:dyDescent="0.25">
      <c r="A347" s="11" t="s">
        <v>1098</v>
      </c>
      <c r="B347" s="11" t="s">
        <v>1085</v>
      </c>
      <c r="C347" s="11" t="s">
        <v>492</v>
      </c>
      <c r="D347" s="11" t="s">
        <v>892</v>
      </c>
      <c r="E347" s="41" t="str">
        <f t="shared" ref="E347:T347" si="5">IFERROR(((E19/E195)-1),"CHECK")</f>
        <v>CHECK</v>
      </c>
      <c r="F347" s="41" t="str">
        <f t="shared" si="5"/>
        <v>CHECK</v>
      </c>
      <c r="G347" s="41" t="str">
        <f t="shared" si="5"/>
        <v>CHECK</v>
      </c>
      <c r="H347" s="41" t="str">
        <f t="shared" si="5"/>
        <v>CHECK</v>
      </c>
      <c r="I347" s="41" t="str">
        <f t="shared" si="5"/>
        <v>CHECK</v>
      </c>
      <c r="J347" s="41" t="str">
        <f t="shared" si="5"/>
        <v>CHECK</v>
      </c>
      <c r="K347" s="41" t="str">
        <f t="shared" si="5"/>
        <v>CHECK</v>
      </c>
      <c r="L347" s="41" t="str">
        <f t="shared" si="5"/>
        <v>CHECK</v>
      </c>
      <c r="M347" s="41" t="str">
        <f t="shared" si="5"/>
        <v>CHECK</v>
      </c>
      <c r="N347" s="41" t="str">
        <f t="shared" si="5"/>
        <v>CHECK</v>
      </c>
      <c r="O347" s="41" t="str">
        <f t="shared" si="5"/>
        <v>CHECK</v>
      </c>
      <c r="P347" s="41" t="str">
        <f t="shared" si="5"/>
        <v>CHECK</v>
      </c>
      <c r="Q347" s="41" t="str">
        <f t="shared" si="5"/>
        <v>CHECK</v>
      </c>
      <c r="R347" s="41" t="str">
        <f t="shared" si="5"/>
        <v>CHECK</v>
      </c>
      <c r="S347" s="41" t="str">
        <f t="shared" si="5"/>
        <v>CHECK</v>
      </c>
      <c r="T347" s="41" t="str">
        <f t="shared" si="5"/>
        <v>CHECK</v>
      </c>
      <c r="U347" s="41"/>
      <c r="V347" s="41"/>
    </row>
    <row r="348" spans="1:23" x14ac:dyDescent="0.25">
      <c r="A348" s="11" t="s">
        <v>1098</v>
      </c>
      <c r="B348" s="11" t="s">
        <v>1086</v>
      </c>
      <c r="C348" s="11" t="s">
        <v>492</v>
      </c>
      <c r="D348" s="11" t="s">
        <v>892</v>
      </c>
      <c r="E348" s="41" t="str">
        <f t="shared" ref="E348:T348" si="6">IFERROR(((E20/E196)-1),"CHECK")</f>
        <v>CHECK</v>
      </c>
      <c r="F348" s="41" t="str">
        <f t="shared" si="6"/>
        <v>CHECK</v>
      </c>
      <c r="G348" s="41" t="str">
        <f t="shared" si="6"/>
        <v>CHECK</v>
      </c>
      <c r="H348" s="41" t="str">
        <f t="shared" si="6"/>
        <v>CHECK</v>
      </c>
      <c r="I348" s="41" t="str">
        <f t="shared" si="6"/>
        <v>CHECK</v>
      </c>
      <c r="J348" s="41" t="str">
        <f t="shared" si="6"/>
        <v>CHECK</v>
      </c>
      <c r="K348" s="41" t="str">
        <f t="shared" si="6"/>
        <v>CHECK</v>
      </c>
      <c r="L348" s="41" t="str">
        <f t="shared" si="6"/>
        <v>CHECK</v>
      </c>
      <c r="M348" s="41" t="str">
        <f t="shared" si="6"/>
        <v>CHECK</v>
      </c>
      <c r="N348" s="41" t="str">
        <f t="shared" si="6"/>
        <v>CHECK</v>
      </c>
      <c r="O348" s="41" t="str">
        <f t="shared" si="6"/>
        <v>CHECK</v>
      </c>
      <c r="P348" s="41" t="str">
        <f t="shared" si="6"/>
        <v>CHECK</v>
      </c>
      <c r="Q348" s="41" t="str">
        <f t="shared" si="6"/>
        <v>CHECK</v>
      </c>
      <c r="R348" s="41" t="str">
        <f t="shared" si="6"/>
        <v>CHECK</v>
      </c>
      <c r="S348" s="41" t="str">
        <f t="shared" si="6"/>
        <v>CHECK</v>
      </c>
      <c r="T348" s="41" t="str">
        <f t="shared" si="6"/>
        <v>CHECK</v>
      </c>
      <c r="U348" s="41"/>
      <c r="V348" s="41"/>
    </row>
    <row r="349" spans="1:23" x14ac:dyDescent="0.25">
      <c r="A349" s="11" t="s">
        <v>1098</v>
      </c>
      <c r="B349" s="11" t="s">
        <v>1087</v>
      </c>
      <c r="C349" s="11" t="s">
        <v>492</v>
      </c>
      <c r="D349" s="11" t="s">
        <v>892</v>
      </c>
      <c r="E349" s="41" t="str">
        <f t="shared" ref="E349:T349" si="7">IFERROR(((E21/E197)-1),"CHECK")</f>
        <v>CHECK</v>
      </c>
      <c r="F349" s="41" t="str">
        <f t="shared" si="7"/>
        <v>CHECK</v>
      </c>
      <c r="G349" s="41" t="str">
        <f t="shared" si="7"/>
        <v>CHECK</v>
      </c>
      <c r="H349" s="41" t="str">
        <f t="shared" si="7"/>
        <v>CHECK</v>
      </c>
      <c r="I349" s="41" t="str">
        <f t="shared" si="7"/>
        <v>CHECK</v>
      </c>
      <c r="J349" s="41" t="str">
        <f t="shared" si="7"/>
        <v>CHECK</v>
      </c>
      <c r="K349" s="41" t="str">
        <f t="shared" si="7"/>
        <v>CHECK</v>
      </c>
      <c r="L349" s="41" t="str">
        <f t="shared" si="7"/>
        <v>CHECK</v>
      </c>
      <c r="M349" s="41" t="str">
        <f t="shared" si="7"/>
        <v>CHECK</v>
      </c>
      <c r="N349" s="41" t="str">
        <f t="shared" si="7"/>
        <v>CHECK</v>
      </c>
      <c r="O349" s="41" t="str">
        <f t="shared" si="7"/>
        <v>CHECK</v>
      </c>
      <c r="P349" s="41" t="str">
        <f t="shared" si="7"/>
        <v>CHECK</v>
      </c>
      <c r="Q349" s="41" t="str">
        <f t="shared" si="7"/>
        <v>CHECK</v>
      </c>
      <c r="R349" s="41" t="str">
        <f t="shared" si="7"/>
        <v>CHECK</v>
      </c>
      <c r="S349" s="41" t="str">
        <f t="shared" si="7"/>
        <v>CHECK</v>
      </c>
      <c r="T349" s="41" t="str">
        <f t="shared" si="7"/>
        <v>CHECK</v>
      </c>
      <c r="U349" s="41"/>
      <c r="V349" s="41"/>
    </row>
    <row r="350" spans="1:23" x14ac:dyDescent="0.25">
      <c r="A350" s="11"/>
      <c r="B350" s="11"/>
      <c r="C350" s="11"/>
      <c r="D350" s="11"/>
      <c r="E350" s="41"/>
      <c r="F350" s="41"/>
      <c r="G350" s="41"/>
      <c r="H350" s="41"/>
      <c r="I350" s="41"/>
      <c r="J350" s="41"/>
      <c r="K350" s="41"/>
      <c r="L350" s="41"/>
      <c r="M350" s="41"/>
      <c r="N350" s="41"/>
      <c r="O350" s="41"/>
      <c r="P350" s="41"/>
      <c r="Q350" s="41"/>
      <c r="R350" s="41"/>
      <c r="S350" s="41"/>
      <c r="T350" s="41"/>
      <c r="U350" s="41"/>
      <c r="V350" s="41"/>
    </row>
    <row r="351" spans="1:23" x14ac:dyDescent="0.25">
      <c r="A351" s="11" t="s">
        <v>1098</v>
      </c>
      <c r="B351" s="11" t="s">
        <v>1085</v>
      </c>
      <c r="C351" s="11" t="s">
        <v>493</v>
      </c>
      <c r="D351" s="11" t="s">
        <v>892</v>
      </c>
      <c r="E351" s="41" t="str">
        <f t="shared" ref="E351:T351" si="8">IFERROR(((E23/E199)-1),"CHECK")</f>
        <v>CHECK</v>
      </c>
      <c r="F351" s="41" t="str">
        <f t="shared" si="8"/>
        <v>CHECK</v>
      </c>
      <c r="G351" s="41" t="str">
        <f t="shared" si="8"/>
        <v>CHECK</v>
      </c>
      <c r="H351" s="41" t="str">
        <f t="shared" si="8"/>
        <v>CHECK</v>
      </c>
      <c r="I351" s="41" t="str">
        <f t="shared" si="8"/>
        <v>CHECK</v>
      </c>
      <c r="J351" s="41" t="str">
        <f t="shared" si="8"/>
        <v>CHECK</v>
      </c>
      <c r="K351" s="41" t="str">
        <f t="shared" si="8"/>
        <v>CHECK</v>
      </c>
      <c r="L351" s="41" t="str">
        <f t="shared" si="8"/>
        <v>CHECK</v>
      </c>
      <c r="M351" s="41" t="str">
        <f t="shared" si="8"/>
        <v>CHECK</v>
      </c>
      <c r="N351" s="41" t="str">
        <f t="shared" si="8"/>
        <v>CHECK</v>
      </c>
      <c r="O351" s="41" t="str">
        <f t="shared" si="8"/>
        <v>CHECK</v>
      </c>
      <c r="P351" s="41" t="str">
        <f t="shared" si="8"/>
        <v>CHECK</v>
      </c>
      <c r="Q351" s="41" t="str">
        <f t="shared" si="8"/>
        <v>CHECK</v>
      </c>
      <c r="R351" s="41" t="str">
        <f t="shared" si="8"/>
        <v>CHECK</v>
      </c>
      <c r="S351" s="41" t="str">
        <f t="shared" si="8"/>
        <v>CHECK</v>
      </c>
      <c r="T351" s="41" t="str">
        <f t="shared" si="8"/>
        <v>CHECK</v>
      </c>
      <c r="U351" s="41"/>
      <c r="V351" s="41"/>
    </row>
    <row r="352" spans="1:23" x14ac:dyDescent="0.25">
      <c r="A352" s="11" t="s">
        <v>1098</v>
      </c>
      <c r="B352" s="11" t="s">
        <v>1086</v>
      </c>
      <c r="C352" s="11" t="s">
        <v>493</v>
      </c>
      <c r="D352" s="11" t="s">
        <v>892</v>
      </c>
      <c r="E352" s="41" t="str">
        <f t="shared" ref="E352:T352" si="9">IFERROR(((E24/E200)-1),"CHECK")</f>
        <v>CHECK</v>
      </c>
      <c r="F352" s="41" t="str">
        <f t="shared" si="9"/>
        <v>CHECK</v>
      </c>
      <c r="G352" s="41" t="str">
        <f t="shared" si="9"/>
        <v>CHECK</v>
      </c>
      <c r="H352" s="41" t="str">
        <f t="shared" si="9"/>
        <v>CHECK</v>
      </c>
      <c r="I352" s="41" t="str">
        <f t="shared" si="9"/>
        <v>CHECK</v>
      </c>
      <c r="J352" s="41" t="str">
        <f t="shared" si="9"/>
        <v>CHECK</v>
      </c>
      <c r="K352" s="41" t="str">
        <f t="shared" si="9"/>
        <v>CHECK</v>
      </c>
      <c r="L352" s="41" t="str">
        <f t="shared" si="9"/>
        <v>CHECK</v>
      </c>
      <c r="M352" s="41" t="str">
        <f t="shared" si="9"/>
        <v>CHECK</v>
      </c>
      <c r="N352" s="41" t="str">
        <f t="shared" si="9"/>
        <v>CHECK</v>
      </c>
      <c r="O352" s="41" t="str">
        <f t="shared" si="9"/>
        <v>CHECK</v>
      </c>
      <c r="P352" s="41" t="str">
        <f t="shared" si="9"/>
        <v>CHECK</v>
      </c>
      <c r="Q352" s="41" t="str">
        <f t="shared" si="9"/>
        <v>CHECK</v>
      </c>
      <c r="R352" s="41" t="str">
        <f t="shared" si="9"/>
        <v>CHECK</v>
      </c>
      <c r="S352" s="41" t="str">
        <f t="shared" si="9"/>
        <v>CHECK</v>
      </c>
      <c r="T352" s="41" t="str">
        <f t="shared" si="9"/>
        <v>CHECK</v>
      </c>
      <c r="U352" s="41"/>
      <c r="V352" s="41"/>
    </row>
    <row r="353" spans="1:22" x14ac:dyDescent="0.25">
      <c r="A353" s="11" t="s">
        <v>1098</v>
      </c>
      <c r="B353" s="11" t="s">
        <v>1087</v>
      </c>
      <c r="C353" s="11" t="s">
        <v>493</v>
      </c>
      <c r="D353" s="11" t="s">
        <v>892</v>
      </c>
      <c r="E353" s="41" t="str">
        <f t="shared" ref="E353:T353" si="10">IFERROR(((E25/E201)-1),"CHECK")</f>
        <v>CHECK</v>
      </c>
      <c r="F353" s="41" t="str">
        <f t="shared" si="10"/>
        <v>CHECK</v>
      </c>
      <c r="G353" s="41" t="str">
        <f t="shared" si="10"/>
        <v>CHECK</v>
      </c>
      <c r="H353" s="41" t="str">
        <f t="shared" si="10"/>
        <v>CHECK</v>
      </c>
      <c r="I353" s="41" t="str">
        <f t="shared" si="10"/>
        <v>CHECK</v>
      </c>
      <c r="J353" s="41" t="str">
        <f t="shared" si="10"/>
        <v>CHECK</v>
      </c>
      <c r="K353" s="41" t="str">
        <f t="shared" si="10"/>
        <v>CHECK</v>
      </c>
      <c r="L353" s="41" t="str">
        <f t="shared" si="10"/>
        <v>CHECK</v>
      </c>
      <c r="M353" s="41" t="str">
        <f t="shared" si="10"/>
        <v>CHECK</v>
      </c>
      <c r="N353" s="41" t="str">
        <f t="shared" si="10"/>
        <v>CHECK</v>
      </c>
      <c r="O353" s="41" t="str">
        <f t="shared" si="10"/>
        <v>CHECK</v>
      </c>
      <c r="P353" s="41" t="str">
        <f t="shared" si="10"/>
        <v>CHECK</v>
      </c>
      <c r="Q353" s="41" t="str">
        <f t="shared" si="10"/>
        <v>CHECK</v>
      </c>
      <c r="R353" s="41" t="str">
        <f t="shared" si="10"/>
        <v>CHECK</v>
      </c>
      <c r="S353" s="41" t="str">
        <f t="shared" si="10"/>
        <v>CHECK</v>
      </c>
      <c r="T353" s="41" t="str">
        <f t="shared" si="10"/>
        <v>CHECK</v>
      </c>
      <c r="U353" s="41"/>
      <c r="V353" s="41"/>
    </row>
    <row r="354" spans="1:22" x14ac:dyDescent="0.25">
      <c r="A354" s="11"/>
      <c r="B354" s="11"/>
      <c r="C354" s="11"/>
      <c r="D354" s="11"/>
      <c r="E354" s="41"/>
      <c r="F354" s="41"/>
      <c r="G354" s="41"/>
      <c r="H354" s="41"/>
      <c r="I354" s="41"/>
      <c r="J354" s="41"/>
      <c r="K354" s="41"/>
      <c r="L354" s="41"/>
      <c r="M354" s="41"/>
      <c r="N354" s="41"/>
      <c r="O354" s="41"/>
      <c r="P354" s="41"/>
      <c r="Q354" s="41"/>
      <c r="R354" s="41"/>
      <c r="S354" s="41"/>
      <c r="T354" s="41"/>
      <c r="U354" s="41"/>
      <c r="V354" s="41"/>
    </row>
    <row r="355" spans="1:22" x14ac:dyDescent="0.25">
      <c r="A355" s="11" t="s">
        <v>1098</v>
      </c>
      <c r="B355" s="11" t="s">
        <v>1085</v>
      </c>
      <c r="C355" s="11" t="s">
        <v>494</v>
      </c>
      <c r="D355" s="11" t="s">
        <v>892</v>
      </c>
      <c r="E355" s="41" t="str">
        <f t="shared" ref="E355:T355" si="11">IFERROR(((E27/E203)-1),"CHECK")</f>
        <v>CHECK</v>
      </c>
      <c r="F355" s="41" t="str">
        <f t="shared" si="11"/>
        <v>CHECK</v>
      </c>
      <c r="G355" s="41" t="str">
        <f t="shared" si="11"/>
        <v>CHECK</v>
      </c>
      <c r="H355" s="41" t="str">
        <f t="shared" si="11"/>
        <v>CHECK</v>
      </c>
      <c r="I355" s="41" t="str">
        <f t="shared" si="11"/>
        <v>CHECK</v>
      </c>
      <c r="J355" s="41" t="str">
        <f t="shared" si="11"/>
        <v>CHECK</v>
      </c>
      <c r="K355" s="41" t="str">
        <f t="shared" si="11"/>
        <v>CHECK</v>
      </c>
      <c r="L355" s="41" t="str">
        <f t="shared" si="11"/>
        <v>CHECK</v>
      </c>
      <c r="M355" s="41" t="str">
        <f t="shared" si="11"/>
        <v>CHECK</v>
      </c>
      <c r="N355" s="41" t="str">
        <f t="shared" si="11"/>
        <v>CHECK</v>
      </c>
      <c r="O355" s="41" t="str">
        <f t="shared" si="11"/>
        <v>CHECK</v>
      </c>
      <c r="P355" s="41" t="str">
        <f t="shared" si="11"/>
        <v>CHECK</v>
      </c>
      <c r="Q355" s="41" t="str">
        <f t="shared" si="11"/>
        <v>CHECK</v>
      </c>
      <c r="R355" s="41" t="str">
        <f t="shared" si="11"/>
        <v>CHECK</v>
      </c>
      <c r="S355" s="41" t="str">
        <f t="shared" si="11"/>
        <v>CHECK</v>
      </c>
      <c r="T355" s="41" t="str">
        <f t="shared" si="11"/>
        <v>CHECK</v>
      </c>
      <c r="U355" s="41"/>
      <c r="V355" s="41"/>
    </row>
    <row r="356" spans="1:22" x14ac:dyDescent="0.25">
      <c r="A356" s="11" t="s">
        <v>1098</v>
      </c>
      <c r="B356" s="11" t="s">
        <v>1086</v>
      </c>
      <c r="C356" s="11" t="s">
        <v>494</v>
      </c>
      <c r="D356" s="11" t="s">
        <v>892</v>
      </c>
      <c r="E356" s="41" t="str">
        <f t="shared" ref="E356:T356" si="12">IFERROR(((E28/E204)-1),"CHECK")</f>
        <v>CHECK</v>
      </c>
      <c r="F356" s="41" t="str">
        <f t="shared" si="12"/>
        <v>CHECK</v>
      </c>
      <c r="G356" s="41" t="str">
        <f t="shared" si="12"/>
        <v>CHECK</v>
      </c>
      <c r="H356" s="41" t="str">
        <f t="shared" si="12"/>
        <v>CHECK</v>
      </c>
      <c r="I356" s="41" t="str">
        <f t="shared" si="12"/>
        <v>CHECK</v>
      </c>
      <c r="J356" s="41" t="str">
        <f t="shared" si="12"/>
        <v>CHECK</v>
      </c>
      <c r="K356" s="41" t="str">
        <f t="shared" si="12"/>
        <v>CHECK</v>
      </c>
      <c r="L356" s="41" t="str">
        <f t="shared" si="12"/>
        <v>CHECK</v>
      </c>
      <c r="M356" s="41" t="str">
        <f t="shared" si="12"/>
        <v>CHECK</v>
      </c>
      <c r="N356" s="41" t="str">
        <f t="shared" si="12"/>
        <v>CHECK</v>
      </c>
      <c r="O356" s="41" t="str">
        <f t="shared" si="12"/>
        <v>CHECK</v>
      </c>
      <c r="P356" s="41" t="str">
        <f t="shared" si="12"/>
        <v>CHECK</v>
      </c>
      <c r="Q356" s="41" t="str">
        <f t="shared" si="12"/>
        <v>CHECK</v>
      </c>
      <c r="R356" s="41" t="str">
        <f t="shared" si="12"/>
        <v>CHECK</v>
      </c>
      <c r="S356" s="41" t="str">
        <f t="shared" si="12"/>
        <v>CHECK</v>
      </c>
      <c r="T356" s="41" t="str">
        <f t="shared" si="12"/>
        <v>CHECK</v>
      </c>
      <c r="U356" s="41"/>
      <c r="V356" s="41"/>
    </row>
    <row r="357" spans="1:22" x14ac:dyDescent="0.25">
      <c r="A357" s="11" t="s">
        <v>1098</v>
      </c>
      <c r="B357" s="11" t="s">
        <v>1087</v>
      </c>
      <c r="C357" s="11" t="s">
        <v>494</v>
      </c>
      <c r="D357" s="11" t="s">
        <v>892</v>
      </c>
      <c r="E357" s="41" t="str">
        <f t="shared" ref="E357:T357" si="13">IFERROR(((E29/E205)-1),"CHECK")</f>
        <v>CHECK</v>
      </c>
      <c r="F357" s="41" t="str">
        <f t="shared" si="13"/>
        <v>CHECK</v>
      </c>
      <c r="G357" s="41" t="str">
        <f t="shared" si="13"/>
        <v>CHECK</v>
      </c>
      <c r="H357" s="41" t="str">
        <f t="shared" si="13"/>
        <v>CHECK</v>
      </c>
      <c r="I357" s="41" t="str">
        <f t="shared" si="13"/>
        <v>CHECK</v>
      </c>
      <c r="J357" s="41" t="str">
        <f t="shared" si="13"/>
        <v>CHECK</v>
      </c>
      <c r="K357" s="41" t="str">
        <f t="shared" si="13"/>
        <v>CHECK</v>
      </c>
      <c r="L357" s="41" t="str">
        <f t="shared" si="13"/>
        <v>CHECK</v>
      </c>
      <c r="M357" s="41" t="str">
        <f t="shared" si="13"/>
        <v>CHECK</v>
      </c>
      <c r="N357" s="41" t="str">
        <f t="shared" si="13"/>
        <v>CHECK</v>
      </c>
      <c r="O357" s="41" t="str">
        <f t="shared" si="13"/>
        <v>CHECK</v>
      </c>
      <c r="P357" s="41" t="str">
        <f t="shared" si="13"/>
        <v>CHECK</v>
      </c>
      <c r="Q357" s="41" t="str">
        <f t="shared" si="13"/>
        <v>CHECK</v>
      </c>
      <c r="R357" s="41" t="str">
        <f t="shared" si="13"/>
        <v>CHECK</v>
      </c>
      <c r="S357" s="41" t="str">
        <f t="shared" si="13"/>
        <v>CHECK</v>
      </c>
      <c r="T357" s="41" t="str">
        <f t="shared" si="13"/>
        <v>CHECK</v>
      </c>
      <c r="U357" s="41"/>
      <c r="V357" s="41"/>
    </row>
    <row r="359" spans="1:22" x14ac:dyDescent="0.25">
      <c r="A359" s="11" t="s">
        <v>1098</v>
      </c>
      <c r="B359" s="11" t="s">
        <v>1085</v>
      </c>
      <c r="C359" s="11" t="s">
        <v>498</v>
      </c>
      <c r="D359" s="11" t="s">
        <v>892</v>
      </c>
      <c r="E359" s="41" t="str">
        <f t="shared" ref="E359:T359" si="14">IFERROR(((E31/E207)-1),"CHECK")</f>
        <v>CHECK</v>
      </c>
      <c r="F359" s="41" t="str">
        <f t="shared" si="14"/>
        <v>CHECK</v>
      </c>
      <c r="G359" s="41" t="str">
        <f t="shared" si="14"/>
        <v>CHECK</v>
      </c>
      <c r="H359" s="41" t="str">
        <f t="shared" si="14"/>
        <v>CHECK</v>
      </c>
      <c r="I359" s="41" t="str">
        <f t="shared" si="14"/>
        <v>CHECK</v>
      </c>
      <c r="J359" s="41" t="str">
        <f t="shared" si="14"/>
        <v>CHECK</v>
      </c>
      <c r="K359" s="41" t="str">
        <f t="shared" si="14"/>
        <v>CHECK</v>
      </c>
      <c r="L359" s="41" t="str">
        <f t="shared" si="14"/>
        <v>CHECK</v>
      </c>
      <c r="M359" s="41" t="str">
        <f t="shared" si="14"/>
        <v>CHECK</v>
      </c>
      <c r="N359" s="41" t="str">
        <f t="shared" si="14"/>
        <v>CHECK</v>
      </c>
      <c r="O359" s="41" t="str">
        <f t="shared" si="14"/>
        <v>CHECK</v>
      </c>
      <c r="P359" s="41" t="str">
        <f t="shared" si="14"/>
        <v>CHECK</v>
      </c>
      <c r="Q359" s="41" t="str">
        <f t="shared" si="14"/>
        <v>CHECK</v>
      </c>
      <c r="R359" s="41" t="str">
        <f t="shared" si="14"/>
        <v>CHECK</v>
      </c>
      <c r="S359" s="41" t="str">
        <f t="shared" si="14"/>
        <v>CHECK</v>
      </c>
      <c r="T359" s="41" t="str">
        <f t="shared" si="14"/>
        <v>CHECK</v>
      </c>
      <c r="U359" s="41"/>
      <c r="V359" s="41"/>
    </row>
    <row r="360" spans="1:22" x14ac:dyDescent="0.25">
      <c r="A360" s="11" t="s">
        <v>1098</v>
      </c>
      <c r="B360" s="11" t="s">
        <v>1086</v>
      </c>
      <c r="C360" s="11" t="s">
        <v>498</v>
      </c>
      <c r="D360" s="11" t="s">
        <v>892</v>
      </c>
      <c r="E360" s="41" t="str">
        <f t="shared" ref="E360:T360" si="15">IFERROR(((E32/E208)-1),"CHECK")</f>
        <v>CHECK</v>
      </c>
      <c r="F360" s="41" t="str">
        <f t="shared" si="15"/>
        <v>CHECK</v>
      </c>
      <c r="G360" s="41" t="str">
        <f t="shared" si="15"/>
        <v>CHECK</v>
      </c>
      <c r="H360" s="41" t="str">
        <f t="shared" si="15"/>
        <v>CHECK</v>
      </c>
      <c r="I360" s="41" t="str">
        <f t="shared" si="15"/>
        <v>CHECK</v>
      </c>
      <c r="J360" s="41" t="str">
        <f t="shared" si="15"/>
        <v>CHECK</v>
      </c>
      <c r="K360" s="41" t="str">
        <f t="shared" si="15"/>
        <v>CHECK</v>
      </c>
      <c r="L360" s="41" t="str">
        <f t="shared" si="15"/>
        <v>CHECK</v>
      </c>
      <c r="M360" s="41" t="str">
        <f t="shared" si="15"/>
        <v>CHECK</v>
      </c>
      <c r="N360" s="41" t="str">
        <f t="shared" si="15"/>
        <v>CHECK</v>
      </c>
      <c r="O360" s="41" t="str">
        <f t="shared" si="15"/>
        <v>CHECK</v>
      </c>
      <c r="P360" s="41" t="str">
        <f t="shared" si="15"/>
        <v>CHECK</v>
      </c>
      <c r="Q360" s="41" t="str">
        <f t="shared" si="15"/>
        <v>CHECK</v>
      </c>
      <c r="R360" s="41" t="str">
        <f t="shared" si="15"/>
        <v>CHECK</v>
      </c>
      <c r="S360" s="41" t="str">
        <f t="shared" si="15"/>
        <v>CHECK</v>
      </c>
      <c r="T360" s="41" t="str">
        <f t="shared" si="15"/>
        <v>CHECK</v>
      </c>
      <c r="U360" s="41"/>
      <c r="V360" s="41"/>
    </row>
    <row r="361" spans="1:22" x14ac:dyDescent="0.25">
      <c r="A361" s="11" t="s">
        <v>1098</v>
      </c>
      <c r="B361" s="11" t="s">
        <v>1087</v>
      </c>
      <c r="C361" s="11" t="s">
        <v>498</v>
      </c>
      <c r="D361" s="11" t="s">
        <v>892</v>
      </c>
      <c r="E361" s="41" t="str">
        <f t="shared" ref="E361:T361" si="16">IFERROR(((E33/E209)-1),"CHECK")</f>
        <v>CHECK</v>
      </c>
      <c r="F361" s="41" t="str">
        <f t="shared" si="16"/>
        <v>CHECK</v>
      </c>
      <c r="G361" s="41" t="str">
        <f t="shared" si="16"/>
        <v>CHECK</v>
      </c>
      <c r="H361" s="41" t="str">
        <f t="shared" si="16"/>
        <v>CHECK</v>
      </c>
      <c r="I361" s="41" t="str">
        <f t="shared" si="16"/>
        <v>CHECK</v>
      </c>
      <c r="J361" s="41" t="str">
        <f t="shared" si="16"/>
        <v>CHECK</v>
      </c>
      <c r="K361" s="41" t="str">
        <f t="shared" si="16"/>
        <v>CHECK</v>
      </c>
      <c r="L361" s="41" t="str">
        <f t="shared" si="16"/>
        <v>CHECK</v>
      </c>
      <c r="M361" s="41" t="str">
        <f t="shared" si="16"/>
        <v>CHECK</v>
      </c>
      <c r="N361" s="41" t="str">
        <f t="shared" si="16"/>
        <v>CHECK</v>
      </c>
      <c r="O361" s="41" t="str">
        <f t="shared" si="16"/>
        <v>CHECK</v>
      </c>
      <c r="P361" s="41" t="str">
        <f t="shared" si="16"/>
        <v>CHECK</v>
      </c>
      <c r="Q361" s="41" t="str">
        <f t="shared" si="16"/>
        <v>CHECK</v>
      </c>
      <c r="R361" s="41" t="str">
        <f t="shared" si="16"/>
        <v>CHECK</v>
      </c>
      <c r="S361" s="41" t="str">
        <f t="shared" si="16"/>
        <v>CHECK</v>
      </c>
      <c r="T361" s="41" t="str">
        <f t="shared" si="16"/>
        <v>CHECK</v>
      </c>
      <c r="U361" s="41"/>
      <c r="V361" s="41"/>
    </row>
    <row r="363" spans="1:22" x14ac:dyDescent="0.25">
      <c r="A363" s="11" t="s">
        <v>1098</v>
      </c>
      <c r="B363" s="11" t="s">
        <v>1085</v>
      </c>
      <c r="C363" s="11" t="s">
        <v>495</v>
      </c>
      <c r="D363" s="11" t="s">
        <v>892</v>
      </c>
      <c r="E363" s="41" t="str">
        <f t="shared" ref="E363:T363" si="17">IFERROR(((E35/E211)-1),"CHECK")</f>
        <v>CHECK</v>
      </c>
      <c r="F363" s="41" t="str">
        <f t="shared" si="17"/>
        <v>CHECK</v>
      </c>
      <c r="G363" s="41" t="str">
        <f t="shared" si="17"/>
        <v>CHECK</v>
      </c>
      <c r="H363" s="41" t="str">
        <f t="shared" si="17"/>
        <v>CHECK</v>
      </c>
      <c r="I363" s="41" t="str">
        <f t="shared" si="17"/>
        <v>CHECK</v>
      </c>
      <c r="J363" s="41" t="str">
        <f t="shared" si="17"/>
        <v>CHECK</v>
      </c>
      <c r="K363" s="41" t="str">
        <f t="shared" si="17"/>
        <v>CHECK</v>
      </c>
      <c r="L363" s="41" t="str">
        <f t="shared" si="17"/>
        <v>CHECK</v>
      </c>
      <c r="M363" s="41" t="str">
        <f t="shared" si="17"/>
        <v>CHECK</v>
      </c>
      <c r="N363" s="41" t="str">
        <f t="shared" si="17"/>
        <v>CHECK</v>
      </c>
      <c r="O363" s="41" t="str">
        <f t="shared" si="17"/>
        <v>CHECK</v>
      </c>
      <c r="P363" s="41" t="str">
        <f t="shared" si="17"/>
        <v>CHECK</v>
      </c>
      <c r="Q363" s="41" t="str">
        <f t="shared" si="17"/>
        <v>CHECK</v>
      </c>
      <c r="R363" s="41" t="str">
        <f t="shared" si="17"/>
        <v>CHECK</v>
      </c>
      <c r="S363" s="41" t="str">
        <f t="shared" si="17"/>
        <v>CHECK</v>
      </c>
      <c r="T363" s="41" t="str">
        <f t="shared" si="17"/>
        <v>CHECK</v>
      </c>
      <c r="U363" s="41"/>
      <c r="V363" s="41"/>
    </row>
    <row r="364" spans="1:22" x14ac:dyDescent="0.25">
      <c r="A364" s="11" t="s">
        <v>1098</v>
      </c>
      <c r="B364" s="11" t="s">
        <v>1086</v>
      </c>
      <c r="C364" s="11" t="s">
        <v>495</v>
      </c>
      <c r="D364" s="11" t="s">
        <v>892</v>
      </c>
      <c r="E364" s="41" t="str">
        <f t="shared" ref="E364:T364" si="18">IFERROR(((E36/E212)-1),"CHECK")</f>
        <v>CHECK</v>
      </c>
      <c r="F364" s="41" t="str">
        <f t="shared" si="18"/>
        <v>CHECK</v>
      </c>
      <c r="G364" s="41" t="str">
        <f t="shared" si="18"/>
        <v>CHECK</v>
      </c>
      <c r="H364" s="41" t="str">
        <f t="shared" si="18"/>
        <v>CHECK</v>
      </c>
      <c r="I364" s="41" t="str">
        <f t="shared" si="18"/>
        <v>CHECK</v>
      </c>
      <c r="J364" s="41" t="str">
        <f t="shared" si="18"/>
        <v>CHECK</v>
      </c>
      <c r="K364" s="41" t="str">
        <f t="shared" si="18"/>
        <v>CHECK</v>
      </c>
      <c r="L364" s="41" t="str">
        <f t="shared" si="18"/>
        <v>CHECK</v>
      </c>
      <c r="M364" s="41" t="str">
        <f t="shared" si="18"/>
        <v>CHECK</v>
      </c>
      <c r="N364" s="41" t="str">
        <f t="shared" si="18"/>
        <v>CHECK</v>
      </c>
      <c r="O364" s="41" t="str">
        <f t="shared" si="18"/>
        <v>CHECK</v>
      </c>
      <c r="P364" s="41" t="str">
        <f t="shared" si="18"/>
        <v>CHECK</v>
      </c>
      <c r="Q364" s="41" t="str">
        <f t="shared" si="18"/>
        <v>CHECK</v>
      </c>
      <c r="R364" s="41" t="str">
        <f t="shared" si="18"/>
        <v>CHECK</v>
      </c>
      <c r="S364" s="41" t="str">
        <f t="shared" si="18"/>
        <v>CHECK</v>
      </c>
      <c r="T364" s="41" t="str">
        <f t="shared" si="18"/>
        <v>CHECK</v>
      </c>
      <c r="U364" s="41"/>
      <c r="V364" s="41"/>
    </row>
    <row r="365" spans="1:22" x14ac:dyDescent="0.25">
      <c r="A365" s="11" t="s">
        <v>1098</v>
      </c>
      <c r="B365" s="11" t="s">
        <v>1087</v>
      </c>
      <c r="C365" s="11" t="s">
        <v>495</v>
      </c>
      <c r="D365" s="11" t="s">
        <v>892</v>
      </c>
      <c r="E365" s="41" t="str">
        <f t="shared" ref="E365:T365" si="19">IFERROR(((E37/E213)-1),"CHECK")</f>
        <v>CHECK</v>
      </c>
      <c r="F365" s="41" t="str">
        <f t="shared" si="19"/>
        <v>CHECK</v>
      </c>
      <c r="G365" s="41" t="str">
        <f t="shared" si="19"/>
        <v>CHECK</v>
      </c>
      <c r="H365" s="41" t="str">
        <f t="shared" si="19"/>
        <v>CHECK</v>
      </c>
      <c r="I365" s="41" t="str">
        <f t="shared" si="19"/>
        <v>CHECK</v>
      </c>
      <c r="J365" s="41" t="str">
        <f t="shared" si="19"/>
        <v>CHECK</v>
      </c>
      <c r="K365" s="41" t="str">
        <f t="shared" si="19"/>
        <v>CHECK</v>
      </c>
      <c r="L365" s="41" t="str">
        <f t="shared" si="19"/>
        <v>CHECK</v>
      </c>
      <c r="M365" s="41" t="str">
        <f t="shared" si="19"/>
        <v>CHECK</v>
      </c>
      <c r="N365" s="41" t="str">
        <f t="shared" si="19"/>
        <v>CHECK</v>
      </c>
      <c r="O365" s="41" t="str">
        <f t="shared" si="19"/>
        <v>CHECK</v>
      </c>
      <c r="P365" s="41" t="str">
        <f t="shared" si="19"/>
        <v>CHECK</v>
      </c>
      <c r="Q365" s="41" t="str">
        <f t="shared" si="19"/>
        <v>CHECK</v>
      </c>
      <c r="R365" s="41" t="str">
        <f t="shared" si="19"/>
        <v>CHECK</v>
      </c>
      <c r="S365" s="41" t="str">
        <f t="shared" si="19"/>
        <v>CHECK</v>
      </c>
      <c r="T365" s="41" t="str">
        <f t="shared" si="19"/>
        <v>CHECK</v>
      </c>
      <c r="U365" s="41"/>
      <c r="V365" s="41"/>
    </row>
    <row r="367" spans="1:22" s="22" customFormat="1" x14ac:dyDescent="0.25">
      <c r="A367" s="124" t="s">
        <v>1088</v>
      </c>
      <c r="B367" s="124"/>
      <c r="C367" s="124"/>
      <c r="D367" s="124"/>
      <c r="E367" s="124"/>
      <c r="F367" s="124"/>
      <c r="G367" s="124"/>
      <c r="H367" s="124"/>
      <c r="I367" s="124"/>
      <c r="J367" s="124"/>
      <c r="K367" s="124"/>
      <c r="L367" s="124"/>
      <c r="M367" s="124"/>
      <c r="N367" s="124"/>
      <c r="O367" s="124"/>
      <c r="P367" s="124"/>
      <c r="Q367" s="124"/>
      <c r="R367" s="124"/>
      <c r="S367" s="124"/>
      <c r="T367" s="124"/>
      <c r="U367" s="124"/>
      <c r="V367" s="124"/>
    </row>
    <row r="368" spans="1:22" x14ac:dyDescent="0.25">
      <c r="A368" s="11" t="s">
        <v>1088</v>
      </c>
      <c r="B368" s="11" t="s">
        <v>1085</v>
      </c>
      <c r="C368" s="11" t="s">
        <v>491</v>
      </c>
      <c r="D368" s="11" t="s">
        <v>892</v>
      </c>
      <c r="E368" s="41" t="str">
        <f t="shared" ref="E368:T368" si="20">IFERROR(((E40/E216)-1),"CHECK")</f>
        <v>CHECK</v>
      </c>
      <c r="F368" s="41" t="str">
        <f t="shared" si="20"/>
        <v>CHECK</v>
      </c>
      <c r="G368" s="41" t="str">
        <f t="shared" si="20"/>
        <v>CHECK</v>
      </c>
      <c r="H368" s="41" t="str">
        <f t="shared" si="20"/>
        <v>CHECK</v>
      </c>
      <c r="I368" s="41" t="str">
        <f t="shared" si="20"/>
        <v>CHECK</v>
      </c>
      <c r="J368" s="41" t="str">
        <f t="shared" si="20"/>
        <v>CHECK</v>
      </c>
      <c r="K368" s="41" t="str">
        <f t="shared" si="20"/>
        <v>CHECK</v>
      </c>
      <c r="L368" s="41" t="str">
        <f t="shared" si="20"/>
        <v>CHECK</v>
      </c>
      <c r="M368" s="41" t="str">
        <f t="shared" si="20"/>
        <v>CHECK</v>
      </c>
      <c r="N368" s="41" t="str">
        <f t="shared" si="20"/>
        <v>CHECK</v>
      </c>
      <c r="O368" s="41" t="str">
        <f t="shared" si="20"/>
        <v>CHECK</v>
      </c>
      <c r="P368" s="41" t="str">
        <f t="shared" si="20"/>
        <v>CHECK</v>
      </c>
      <c r="Q368" s="41" t="str">
        <f t="shared" si="20"/>
        <v>CHECK</v>
      </c>
      <c r="R368" s="41" t="str">
        <f t="shared" si="20"/>
        <v>CHECK</v>
      </c>
      <c r="S368" s="41" t="str">
        <f t="shared" si="20"/>
        <v>CHECK</v>
      </c>
      <c r="T368" s="41" t="str">
        <f t="shared" si="20"/>
        <v>CHECK</v>
      </c>
      <c r="U368" s="41"/>
      <c r="V368" s="41"/>
    </row>
    <row r="369" spans="1:22" x14ac:dyDescent="0.25">
      <c r="A369" s="11" t="s">
        <v>1088</v>
      </c>
      <c r="B369" s="11" t="s">
        <v>1086</v>
      </c>
      <c r="C369" s="11" t="s">
        <v>491</v>
      </c>
      <c r="D369" s="11" t="s">
        <v>892</v>
      </c>
      <c r="E369" s="41" t="str">
        <f t="shared" ref="E369:T369" si="21">IFERROR(((E41/E217)-1),"CHECK")</f>
        <v>CHECK</v>
      </c>
      <c r="F369" s="41" t="str">
        <f t="shared" si="21"/>
        <v>CHECK</v>
      </c>
      <c r="G369" s="41" t="str">
        <f t="shared" si="21"/>
        <v>CHECK</v>
      </c>
      <c r="H369" s="41" t="str">
        <f t="shared" si="21"/>
        <v>CHECK</v>
      </c>
      <c r="I369" s="41" t="str">
        <f t="shared" si="21"/>
        <v>CHECK</v>
      </c>
      <c r="J369" s="41" t="str">
        <f t="shared" si="21"/>
        <v>CHECK</v>
      </c>
      <c r="K369" s="41" t="str">
        <f t="shared" si="21"/>
        <v>CHECK</v>
      </c>
      <c r="L369" s="41" t="str">
        <f t="shared" si="21"/>
        <v>CHECK</v>
      </c>
      <c r="M369" s="41" t="str">
        <f t="shared" si="21"/>
        <v>CHECK</v>
      </c>
      <c r="N369" s="41" t="str">
        <f t="shared" si="21"/>
        <v>CHECK</v>
      </c>
      <c r="O369" s="41" t="str">
        <f t="shared" si="21"/>
        <v>CHECK</v>
      </c>
      <c r="P369" s="41" t="str">
        <f t="shared" si="21"/>
        <v>CHECK</v>
      </c>
      <c r="Q369" s="41" t="str">
        <f t="shared" si="21"/>
        <v>CHECK</v>
      </c>
      <c r="R369" s="41" t="str">
        <f t="shared" si="21"/>
        <v>CHECK</v>
      </c>
      <c r="S369" s="41" t="str">
        <f t="shared" si="21"/>
        <v>CHECK</v>
      </c>
      <c r="T369" s="41" t="str">
        <f t="shared" si="21"/>
        <v>CHECK</v>
      </c>
      <c r="U369" s="41"/>
      <c r="V369" s="41"/>
    </row>
    <row r="370" spans="1:22" x14ac:dyDescent="0.25">
      <c r="A370" s="11" t="s">
        <v>1088</v>
      </c>
      <c r="B370" s="11" t="s">
        <v>1087</v>
      </c>
      <c r="C370" s="11" t="s">
        <v>491</v>
      </c>
      <c r="D370" s="11" t="s">
        <v>892</v>
      </c>
      <c r="E370" s="41" t="str">
        <f t="shared" ref="E370:T370" si="22">IFERROR(((E42/E218)-1),"CHECK")</f>
        <v>CHECK</v>
      </c>
      <c r="F370" s="41" t="str">
        <f t="shared" si="22"/>
        <v>CHECK</v>
      </c>
      <c r="G370" s="41" t="str">
        <f t="shared" si="22"/>
        <v>CHECK</v>
      </c>
      <c r="H370" s="41" t="str">
        <f t="shared" si="22"/>
        <v>CHECK</v>
      </c>
      <c r="I370" s="41" t="str">
        <f t="shared" si="22"/>
        <v>CHECK</v>
      </c>
      <c r="J370" s="41" t="str">
        <f t="shared" si="22"/>
        <v>CHECK</v>
      </c>
      <c r="K370" s="41" t="str">
        <f t="shared" si="22"/>
        <v>CHECK</v>
      </c>
      <c r="L370" s="41" t="str">
        <f t="shared" si="22"/>
        <v>CHECK</v>
      </c>
      <c r="M370" s="41" t="str">
        <f t="shared" si="22"/>
        <v>CHECK</v>
      </c>
      <c r="N370" s="41" t="str">
        <f t="shared" si="22"/>
        <v>CHECK</v>
      </c>
      <c r="O370" s="41" t="str">
        <f t="shared" si="22"/>
        <v>CHECK</v>
      </c>
      <c r="P370" s="41" t="str">
        <f t="shared" si="22"/>
        <v>CHECK</v>
      </c>
      <c r="Q370" s="41" t="str">
        <f t="shared" si="22"/>
        <v>CHECK</v>
      </c>
      <c r="R370" s="41" t="str">
        <f t="shared" si="22"/>
        <v>CHECK</v>
      </c>
      <c r="S370" s="41" t="str">
        <f t="shared" si="22"/>
        <v>CHECK</v>
      </c>
      <c r="T370" s="41" t="str">
        <f t="shared" si="22"/>
        <v>CHECK</v>
      </c>
      <c r="U370" s="41"/>
      <c r="V370" s="41"/>
    </row>
    <row r="371" spans="1:22" x14ac:dyDescent="0.25">
      <c r="A371" s="11"/>
      <c r="B371" s="11"/>
      <c r="C371" s="11"/>
      <c r="D371" s="11"/>
      <c r="E371" s="41"/>
      <c r="F371" s="41"/>
      <c r="G371" s="41"/>
      <c r="H371" s="41"/>
      <c r="I371" s="41"/>
      <c r="J371" s="41"/>
      <c r="K371" s="41"/>
      <c r="L371" s="41"/>
      <c r="M371" s="41"/>
      <c r="N371" s="41"/>
      <c r="O371" s="41"/>
      <c r="P371" s="41"/>
      <c r="Q371" s="41"/>
      <c r="R371" s="41"/>
      <c r="S371" s="41"/>
      <c r="T371" s="41"/>
      <c r="U371" s="41"/>
      <c r="V371" s="41"/>
    </row>
    <row r="372" spans="1:22" x14ac:dyDescent="0.25">
      <c r="A372" s="11" t="s">
        <v>1088</v>
      </c>
      <c r="B372" s="11" t="s">
        <v>1085</v>
      </c>
      <c r="C372" s="11" t="s">
        <v>492</v>
      </c>
      <c r="D372" s="11" t="s">
        <v>892</v>
      </c>
      <c r="E372" s="41" t="str">
        <f t="shared" ref="E372:T372" si="23">IFERROR(((E44/E220)-1),"CHECK")</f>
        <v>CHECK</v>
      </c>
      <c r="F372" s="41" t="str">
        <f t="shared" si="23"/>
        <v>CHECK</v>
      </c>
      <c r="G372" s="41" t="str">
        <f t="shared" si="23"/>
        <v>CHECK</v>
      </c>
      <c r="H372" s="41" t="str">
        <f t="shared" si="23"/>
        <v>CHECK</v>
      </c>
      <c r="I372" s="41" t="str">
        <f t="shared" si="23"/>
        <v>CHECK</v>
      </c>
      <c r="J372" s="41" t="str">
        <f t="shared" si="23"/>
        <v>CHECK</v>
      </c>
      <c r="K372" s="41" t="str">
        <f t="shared" si="23"/>
        <v>CHECK</v>
      </c>
      <c r="L372" s="41" t="str">
        <f t="shared" si="23"/>
        <v>CHECK</v>
      </c>
      <c r="M372" s="41" t="str">
        <f t="shared" si="23"/>
        <v>CHECK</v>
      </c>
      <c r="N372" s="41" t="str">
        <f t="shared" si="23"/>
        <v>CHECK</v>
      </c>
      <c r="O372" s="41" t="str">
        <f t="shared" si="23"/>
        <v>CHECK</v>
      </c>
      <c r="P372" s="41" t="str">
        <f t="shared" si="23"/>
        <v>CHECK</v>
      </c>
      <c r="Q372" s="41" t="str">
        <f t="shared" si="23"/>
        <v>CHECK</v>
      </c>
      <c r="R372" s="41" t="str">
        <f t="shared" si="23"/>
        <v>CHECK</v>
      </c>
      <c r="S372" s="41" t="str">
        <f t="shared" si="23"/>
        <v>CHECK</v>
      </c>
      <c r="T372" s="41" t="str">
        <f t="shared" si="23"/>
        <v>CHECK</v>
      </c>
      <c r="U372" s="41"/>
      <c r="V372" s="41"/>
    </row>
    <row r="373" spans="1:22" x14ac:dyDescent="0.25">
      <c r="A373" s="11" t="s">
        <v>1088</v>
      </c>
      <c r="B373" s="11" t="s">
        <v>1086</v>
      </c>
      <c r="C373" s="11" t="s">
        <v>492</v>
      </c>
      <c r="D373" s="11" t="s">
        <v>892</v>
      </c>
      <c r="E373" s="41" t="str">
        <f t="shared" ref="E373:T373" si="24">IFERROR(((E45/E221)-1),"CHECK")</f>
        <v>CHECK</v>
      </c>
      <c r="F373" s="41" t="str">
        <f t="shared" si="24"/>
        <v>CHECK</v>
      </c>
      <c r="G373" s="41" t="str">
        <f t="shared" si="24"/>
        <v>CHECK</v>
      </c>
      <c r="H373" s="41" t="str">
        <f t="shared" si="24"/>
        <v>CHECK</v>
      </c>
      <c r="I373" s="41" t="str">
        <f t="shared" si="24"/>
        <v>CHECK</v>
      </c>
      <c r="J373" s="41" t="str">
        <f t="shared" si="24"/>
        <v>CHECK</v>
      </c>
      <c r="K373" s="41" t="str">
        <f t="shared" si="24"/>
        <v>CHECK</v>
      </c>
      <c r="L373" s="41" t="str">
        <f t="shared" si="24"/>
        <v>CHECK</v>
      </c>
      <c r="M373" s="41" t="str">
        <f t="shared" si="24"/>
        <v>CHECK</v>
      </c>
      <c r="N373" s="41" t="str">
        <f t="shared" si="24"/>
        <v>CHECK</v>
      </c>
      <c r="O373" s="41" t="str">
        <f t="shared" si="24"/>
        <v>CHECK</v>
      </c>
      <c r="P373" s="41" t="str">
        <f t="shared" si="24"/>
        <v>CHECK</v>
      </c>
      <c r="Q373" s="41" t="str">
        <f t="shared" si="24"/>
        <v>CHECK</v>
      </c>
      <c r="R373" s="41" t="str">
        <f t="shared" si="24"/>
        <v>CHECK</v>
      </c>
      <c r="S373" s="41" t="str">
        <f t="shared" si="24"/>
        <v>CHECK</v>
      </c>
      <c r="T373" s="41" t="str">
        <f t="shared" si="24"/>
        <v>CHECK</v>
      </c>
      <c r="U373" s="41"/>
      <c r="V373" s="41"/>
    </row>
    <row r="374" spans="1:22" x14ac:dyDescent="0.25">
      <c r="A374" s="11" t="s">
        <v>1088</v>
      </c>
      <c r="B374" s="11" t="s">
        <v>1087</v>
      </c>
      <c r="C374" s="11" t="s">
        <v>492</v>
      </c>
      <c r="D374" s="11" t="s">
        <v>892</v>
      </c>
      <c r="E374" s="41" t="str">
        <f t="shared" ref="E374:T374" si="25">IFERROR(((E46/E222)-1),"CHECK")</f>
        <v>CHECK</v>
      </c>
      <c r="F374" s="41" t="str">
        <f t="shared" si="25"/>
        <v>CHECK</v>
      </c>
      <c r="G374" s="41" t="str">
        <f t="shared" si="25"/>
        <v>CHECK</v>
      </c>
      <c r="H374" s="41" t="str">
        <f t="shared" si="25"/>
        <v>CHECK</v>
      </c>
      <c r="I374" s="41" t="str">
        <f t="shared" si="25"/>
        <v>CHECK</v>
      </c>
      <c r="J374" s="41" t="str">
        <f t="shared" si="25"/>
        <v>CHECK</v>
      </c>
      <c r="K374" s="41" t="str">
        <f t="shared" si="25"/>
        <v>CHECK</v>
      </c>
      <c r="L374" s="41" t="str">
        <f t="shared" si="25"/>
        <v>CHECK</v>
      </c>
      <c r="M374" s="41" t="str">
        <f t="shared" si="25"/>
        <v>CHECK</v>
      </c>
      <c r="N374" s="41" t="str">
        <f t="shared" si="25"/>
        <v>CHECK</v>
      </c>
      <c r="O374" s="41" t="str">
        <f t="shared" si="25"/>
        <v>CHECK</v>
      </c>
      <c r="P374" s="41" t="str">
        <f t="shared" si="25"/>
        <v>CHECK</v>
      </c>
      <c r="Q374" s="41" t="str">
        <f t="shared" si="25"/>
        <v>CHECK</v>
      </c>
      <c r="R374" s="41" t="str">
        <f t="shared" si="25"/>
        <v>CHECK</v>
      </c>
      <c r="S374" s="41" t="str">
        <f t="shared" si="25"/>
        <v>CHECK</v>
      </c>
      <c r="T374" s="41" t="str">
        <f t="shared" si="25"/>
        <v>CHECK</v>
      </c>
      <c r="U374" s="41"/>
      <c r="V374" s="41"/>
    </row>
    <row r="375" spans="1:22" x14ac:dyDescent="0.25">
      <c r="A375" s="11"/>
      <c r="B375" s="11"/>
      <c r="C375" s="11"/>
      <c r="D375" s="11"/>
      <c r="E375" s="41"/>
      <c r="F375" s="41"/>
      <c r="G375" s="41"/>
      <c r="H375" s="41"/>
      <c r="I375" s="41"/>
      <c r="J375" s="41"/>
      <c r="K375" s="41"/>
      <c r="L375" s="41"/>
      <c r="M375" s="41"/>
      <c r="N375" s="41"/>
      <c r="O375" s="41"/>
      <c r="P375" s="41"/>
      <c r="Q375" s="41"/>
      <c r="R375" s="41"/>
      <c r="S375" s="41"/>
      <c r="T375" s="41"/>
      <c r="U375" s="41"/>
      <c r="V375" s="41"/>
    </row>
    <row r="376" spans="1:22" x14ac:dyDescent="0.25">
      <c r="A376" s="11" t="s">
        <v>1088</v>
      </c>
      <c r="B376" s="11" t="s">
        <v>1085</v>
      </c>
      <c r="C376" s="11" t="s">
        <v>493</v>
      </c>
      <c r="D376" s="11" t="s">
        <v>892</v>
      </c>
      <c r="E376" s="41" t="str">
        <f t="shared" ref="E376:T376" si="26">IFERROR(((E48/E224)-1),"CHECK")</f>
        <v>CHECK</v>
      </c>
      <c r="F376" s="41" t="str">
        <f t="shared" si="26"/>
        <v>CHECK</v>
      </c>
      <c r="G376" s="41" t="str">
        <f t="shared" si="26"/>
        <v>CHECK</v>
      </c>
      <c r="H376" s="41" t="str">
        <f t="shared" si="26"/>
        <v>CHECK</v>
      </c>
      <c r="I376" s="41" t="str">
        <f t="shared" si="26"/>
        <v>CHECK</v>
      </c>
      <c r="J376" s="41" t="str">
        <f t="shared" si="26"/>
        <v>CHECK</v>
      </c>
      <c r="K376" s="41" t="str">
        <f t="shared" si="26"/>
        <v>CHECK</v>
      </c>
      <c r="L376" s="41" t="str">
        <f t="shared" si="26"/>
        <v>CHECK</v>
      </c>
      <c r="M376" s="41" t="str">
        <f t="shared" si="26"/>
        <v>CHECK</v>
      </c>
      <c r="N376" s="41" t="str">
        <f t="shared" si="26"/>
        <v>CHECK</v>
      </c>
      <c r="O376" s="41" t="str">
        <f t="shared" si="26"/>
        <v>CHECK</v>
      </c>
      <c r="P376" s="41" t="str">
        <f t="shared" si="26"/>
        <v>CHECK</v>
      </c>
      <c r="Q376" s="41" t="str">
        <f t="shared" si="26"/>
        <v>CHECK</v>
      </c>
      <c r="R376" s="41" t="str">
        <f t="shared" si="26"/>
        <v>CHECK</v>
      </c>
      <c r="S376" s="41" t="str">
        <f t="shared" si="26"/>
        <v>CHECK</v>
      </c>
      <c r="T376" s="41" t="str">
        <f t="shared" si="26"/>
        <v>CHECK</v>
      </c>
      <c r="U376" s="41"/>
      <c r="V376" s="41"/>
    </row>
    <row r="377" spans="1:22" x14ac:dyDescent="0.25">
      <c r="A377" s="11" t="s">
        <v>1088</v>
      </c>
      <c r="B377" s="11" t="s">
        <v>1086</v>
      </c>
      <c r="C377" s="11" t="s">
        <v>493</v>
      </c>
      <c r="D377" s="11" t="s">
        <v>892</v>
      </c>
      <c r="E377" s="41" t="str">
        <f t="shared" ref="E377:T377" si="27">IFERROR(((E49/E225)-1),"CHECK")</f>
        <v>CHECK</v>
      </c>
      <c r="F377" s="41" t="str">
        <f t="shared" si="27"/>
        <v>CHECK</v>
      </c>
      <c r="G377" s="41" t="str">
        <f t="shared" si="27"/>
        <v>CHECK</v>
      </c>
      <c r="H377" s="41" t="str">
        <f t="shared" si="27"/>
        <v>CHECK</v>
      </c>
      <c r="I377" s="41" t="str">
        <f t="shared" si="27"/>
        <v>CHECK</v>
      </c>
      <c r="J377" s="41" t="str">
        <f t="shared" si="27"/>
        <v>CHECK</v>
      </c>
      <c r="K377" s="41" t="str">
        <f t="shared" si="27"/>
        <v>CHECK</v>
      </c>
      <c r="L377" s="41" t="str">
        <f t="shared" si="27"/>
        <v>CHECK</v>
      </c>
      <c r="M377" s="41" t="str">
        <f t="shared" si="27"/>
        <v>CHECK</v>
      </c>
      <c r="N377" s="41" t="str">
        <f t="shared" si="27"/>
        <v>CHECK</v>
      </c>
      <c r="O377" s="41" t="str">
        <f t="shared" si="27"/>
        <v>CHECK</v>
      </c>
      <c r="P377" s="41" t="str">
        <f t="shared" si="27"/>
        <v>CHECK</v>
      </c>
      <c r="Q377" s="41" t="str">
        <f t="shared" si="27"/>
        <v>CHECK</v>
      </c>
      <c r="R377" s="41" t="str">
        <f t="shared" si="27"/>
        <v>CHECK</v>
      </c>
      <c r="S377" s="41" t="str">
        <f t="shared" si="27"/>
        <v>CHECK</v>
      </c>
      <c r="T377" s="41" t="str">
        <f t="shared" si="27"/>
        <v>CHECK</v>
      </c>
      <c r="U377" s="41"/>
      <c r="V377" s="41"/>
    </row>
    <row r="378" spans="1:22" x14ac:dyDescent="0.25">
      <c r="A378" s="11" t="s">
        <v>1088</v>
      </c>
      <c r="B378" s="11" t="s">
        <v>1087</v>
      </c>
      <c r="C378" s="11" t="s">
        <v>493</v>
      </c>
      <c r="D378" s="11" t="s">
        <v>892</v>
      </c>
      <c r="E378" s="41" t="str">
        <f t="shared" ref="E378:T378" si="28">IFERROR(((E50/E226)-1),"CHECK")</f>
        <v>CHECK</v>
      </c>
      <c r="F378" s="41" t="str">
        <f t="shared" si="28"/>
        <v>CHECK</v>
      </c>
      <c r="G378" s="41" t="str">
        <f t="shared" si="28"/>
        <v>CHECK</v>
      </c>
      <c r="H378" s="41" t="str">
        <f t="shared" si="28"/>
        <v>CHECK</v>
      </c>
      <c r="I378" s="41" t="str">
        <f t="shared" si="28"/>
        <v>CHECK</v>
      </c>
      <c r="J378" s="41" t="str">
        <f t="shared" si="28"/>
        <v>CHECK</v>
      </c>
      <c r="K378" s="41" t="str">
        <f t="shared" si="28"/>
        <v>CHECK</v>
      </c>
      <c r="L378" s="41" t="str">
        <f t="shared" si="28"/>
        <v>CHECK</v>
      </c>
      <c r="M378" s="41" t="str">
        <f t="shared" si="28"/>
        <v>CHECK</v>
      </c>
      <c r="N378" s="41" t="str">
        <f t="shared" si="28"/>
        <v>CHECK</v>
      </c>
      <c r="O378" s="41" t="str">
        <f t="shared" si="28"/>
        <v>CHECK</v>
      </c>
      <c r="P378" s="41" t="str">
        <f t="shared" si="28"/>
        <v>CHECK</v>
      </c>
      <c r="Q378" s="41" t="str">
        <f t="shared" si="28"/>
        <v>CHECK</v>
      </c>
      <c r="R378" s="41" t="str">
        <f t="shared" si="28"/>
        <v>CHECK</v>
      </c>
      <c r="S378" s="41" t="str">
        <f t="shared" si="28"/>
        <v>CHECK</v>
      </c>
      <c r="T378" s="41" t="str">
        <f t="shared" si="28"/>
        <v>CHECK</v>
      </c>
      <c r="U378" s="41"/>
      <c r="V378" s="41"/>
    </row>
    <row r="379" spans="1:22" x14ac:dyDescent="0.25">
      <c r="A379" s="11"/>
      <c r="B379" s="11"/>
      <c r="C379" s="11"/>
      <c r="D379" s="11"/>
      <c r="E379" s="41"/>
      <c r="F379" s="41"/>
      <c r="G379" s="41"/>
      <c r="H379" s="41"/>
      <c r="I379" s="41"/>
      <c r="J379" s="41"/>
      <c r="K379" s="41"/>
      <c r="L379" s="41"/>
      <c r="M379" s="41"/>
      <c r="N379" s="41"/>
      <c r="O379" s="41"/>
      <c r="P379" s="41"/>
      <c r="Q379" s="41"/>
      <c r="R379" s="41"/>
      <c r="S379" s="41"/>
      <c r="T379" s="41"/>
      <c r="U379" s="41"/>
      <c r="V379" s="41"/>
    </row>
    <row r="380" spans="1:22" x14ac:dyDescent="0.25">
      <c r="A380" s="11" t="s">
        <v>1088</v>
      </c>
      <c r="B380" s="11" t="s">
        <v>1085</v>
      </c>
      <c r="C380" s="11" t="s">
        <v>494</v>
      </c>
      <c r="D380" s="11" t="s">
        <v>892</v>
      </c>
      <c r="E380" s="41" t="str">
        <f t="shared" ref="E380:T380" si="29">IFERROR(((E52/E228)-1),"CHECK")</f>
        <v>CHECK</v>
      </c>
      <c r="F380" s="41" t="str">
        <f t="shared" si="29"/>
        <v>CHECK</v>
      </c>
      <c r="G380" s="41" t="str">
        <f t="shared" si="29"/>
        <v>CHECK</v>
      </c>
      <c r="H380" s="41" t="str">
        <f t="shared" si="29"/>
        <v>CHECK</v>
      </c>
      <c r="I380" s="41" t="str">
        <f t="shared" si="29"/>
        <v>CHECK</v>
      </c>
      <c r="J380" s="41" t="str">
        <f t="shared" si="29"/>
        <v>CHECK</v>
      </c>
      <c r="K380" s="41" t="str">
        <f t="shared" si="29"/>
        <v>CHECK</v>
      </c>
      <c r="L380" s="41" t="str">
        <f t="shared" si="29"/>
        <v>CHECK</v>
      </c>
      <c r="M380" s="41" t="str">
        <f t="shared" si="29"/>
        <v>CHECK</v>
      </c>
      <c r="N380" s="41" t="str">
        <f t="shared" si="29"/>
        <v>CHECK</v>
      </c>
      <c r="O380" s="41" t="str">
        <f t="shared" si="29"/>
        <v>CHECK</v>
      </c>
      <c r="P380" s="41" t="str">
        <f t="shared" si="29"/>
        <v>CHECK</v>
      </c>
      <c r="Q380" s="41" t="str">
        <f t="shared" si="29"/>
        <v>CHECK</v>
      </c>
      <c r="R380" s="41" t="str">
        <f t="shared" si="29"/>
        <v>CHECK</v>
      </c>
      <c r="S380" s="41" t="str">
        <f t="shared" si="29"/>
        <v>CHECK</v>
      </c>
      <c r="T380" s="41" t="str">
        <f t="shared" si="29"/>
        <v>CHECK</v>
      </c>
      <c r="U380" s="41"/>
      <c r="V380" s="41"/>
    </row>
    <row r="381" spans="1:22" x14ac:dyDescent="0.25">
      <c r="A381" s="11" t="s">
        <v>1088</v>
      </c>
      <c r="B381" s="11" t="s">
        <v>1086</v>
      </c>
      <c r="C381" s="11" t="s">
        <v>494</v>
      </c>
      <c r="D381" s="11" t="s">
        <v>892</v>
      </c>
      <c r="E381" s="41" t="str">
        <f t="shared" ref="E381:T381" si="30">IFERROR(((E53/E229)-1),"CHECK")</f>
        <v>CHECK</v>
      </c>
      <c r="F381" s="41" t="str">
        <f t="shared" si="30"/>
        <v>CHECK</v>
      </c>
      <c r="G381" s="41" t="str">
        <f t="shared" si="30"/>
        <v>CHECK</v>
      </c>
      <c r="H381" s="41" t="str">
        <f t="shared" si="30"/>
        <v>CHECK</v>
      </c>
      <c r="I381" s="41" t="str">
        <f t="shared" si="30"/>
        <v>CHECK</v>
      </c>
      <c r="J381" s="41" t="str">
        <f t="shared" si="30"/>
        <v>CHECK</v>
      </c>
      <c r="K381" s="41" t="str">
        <f t="shared" si="30"/>
        <v>CHECK</v>
      </c>
      <c r="L381" s="41" t="str">
        <f t="shared" si="30"/>
        <v>CHECK</v>
      </c>
      <c r="M381" s="41" t="str">
        <f t="shared" si="30"/>
        <v>CHECK</v>
      </c>
      <c r="N381" s="41" t="str">
        <f t="shared" si="30"/>
        <v>CHECK</v>
      </c>
      <c r="O381" s="41" t="str">
        <f t="shared" si="30"/>
        <v>CHECK</v>
      </c>
      <c r="P381" s="41" t="str">
        <f t="shared" si="30"/>
        <v>CHECK</v>
      </c>
      <c r="Q381" s="41" t="str">
        <f t="shared" si="30"/>
        <v>CHECK</v>
      </c>
      <c r="R381" s="41" t="str">
        <f t="shared" si="30"/>
        <v>CHECK</v>
      </c>
      <c r="S381" s="41" t="str">
        <f t="shared" si="30"/>
        <v>CHECK</v>
      </c>
      <c r="T381" s="41" t="str">
        <f t="shared" si="30"/>
        <v>CHECK</v>
      </c>
      <c r="U381" s="41"/>
      <c r="V381" s="41"/>
    </row>
    <row r="382" spans="1:22" x14ac:dyDescent="0.25">
      <c r="A382" s="11" t="s">
        <v>1088</v>
      </c>
      <c r="B382" s="11" t="s">
        <v>1087</v>
      </c>
      <c r="C382" s="11" t="s">
        <v>494</v>
      </c>
      <c r="D382" s="11" t="s">
        <v>892</v>
      </c>
      <c r="E382" s="41" t="str">
        <f t="shared" ref="E382:T382" si="31">IFERROR(((E54/E230)-1),"CHECK")</f>
        <v>CHECK</v>
      </c>
      <c r="F382" s="41" t="str">
        <f t="shared" si="31"/>
        <v>CHECK</v>
      </c>
      <c r="G382" s="41" t="str">
        <f t="shared" si="31"/>
        <v>CHECK</v>
      </c>
      <c r="H382" s="41" t="str">
        <f t="shared" si="31"/>
        <v>CHECK</v>
      </c>
      <c r="I382" s="41" t="str">
        <f t="shared" si="31"/>
        <v>CHECK</v>
      </c>
      <c r="J382" s="41" t="str">
        <f t="shared" si="31"/>
        <v>CHECK</v>
      </c>
      <c r="K382" s="41" t="str">
        <f t="shared" si="31"/>
        <v>CHECK</v>
      </c>
      <c r="L382" s="41" t="str">
        <f t="shared" si="31"/>
        <v>CHECK</v>
      </c>
      <c r="M382" s="41" t="str">
        <f t="shared" si="31"/>
        <v>CHECK</v>
      </c>
      <c r="N382" s="41" t="str">
        <f t="shared" si="31"/>
        <v>CHECK</v>
      </c>
      <c r="O382" s="41" t="str">
        <f t="shared" si="31"/>
        <v>CHECK</v>
      </c>
      <c r="P382" s="41" t="str">
        <f t="shared" si="31"/>
        <v>CHECK</v>
      </c>
      <c r="Q382" s="41" t="str">
        <f t="shared" si="31"/>
        <v>CHECK</v>
      </c>
      <c r="R382" s="41" t="str">
        <f t="shared" si="31"/>
        <v>CHECK</v>
      </c>
      <c r="S382" s="41" t="str">
        <f t="shared" si="31"/>
        <v>CHECK</v>
      </c>
      <c r="T382" s="41" t="str">
        <f t="shared" si="31"/>
        <v>CHECK</v>
      </c>
      <c r="U382" s="41"/>
      <c r="V382" s="41"/>
    </row>
    <row r="384" spans="1:22" x14ac:dyDescent="0.25">
      <c r="A384" s="11" t="s">
        <v>1088</v>
      </c>
      <c r="B384" s="11" t="s">
        <v>1085</v>
      </c>
      <c r="C384" s="11" t="s">
        <v>498</v>
      </c>
      <c r="D384" s="11" t="s">
        <v>892</v>
      </c>
      <c r="E384" s="41" t="str">
        <f t="shared" ref="E384:T384" si="32">IFERROR(((E56/E232)-1),"CHECK")</f>
        <v>CHECK</v>
      </c>
      <c r="F384" s="41" t="str">
        <f t="shared" si="32"/>
        <v>CHECK</v>
      </c>
      <c r="G384" s="41" t="str">
        <f t="shared" si="32"/>
        <v>CHECK</v>
      </c>
      <c r="H384" s="41" t="str">
        <f t="shared" si="32"/>
        <v>CHECK</v>
      </c>
      <c r="I384" s="41" t="str">
        <f t="shared" si="32"/>
        <v>CHECK</v>
      </c>
      <c r="J384" s="41" t="str">
        <f t="shared" si="32"/>
        <v>CHECK</v>
      </c>
      <c r="K384" s="41" t="str">
        <f t="shared" si="32"/>
        <v>CHECK</v>
      </c>
      <c r="L384" s="41" t="str">
        <f t="shared" si="32"/>
        <v>CHECK</v>
      </c>
      <c r="M384" s="41" t="str">
        <f t="shared" si="32"/>
        <v>CHECK</v>
      </c>
      <c r="N384" s="41" t="str">
        <f t="shared" si="32"/>
        <v>CHECK</v>
      </c>
      <c r="O384" s="41" t="str">
        <f t="shared" si="32"/>
        <v>CHECK</v>
      </c>
      <c r="P384" s="41" t="str">
        <f t="shared" si="32"/>
        <v>CHECK</v>
      </c>
      <c r="Q384" s="41" t="str">
        <f t="shared" si="32"/>
        <v>CHECK</v>
      </c>
      <c r="R384" s="41" t="str">
        <f t="shared" si="32"/>
        <v>CHECK</v>
      </c>
      <c r="S384" s="41" t="str">
        <f t="shared" si="32"/>
        <v>CHECK</v>
      </c>
      <c r="T384" s="41" t="str">
        <f t="shared" si="32"/>
        <v>CHECK</v>
      </c>
      <c r="U384" s="41"/>
      <c r="V384" s="41"/>
    </row>
    <row r="385" spans="1:22" x14ac:dyDescent="0.25">
      <c r="A385" s="11" t="s">
        <v>1088</v>
      </c>
      <c r="B385" s="11" t="s">
        <v>1086</v>
      </c>
      <c r="C385" s="11" t="s">
        <v>498</v>
      </c>
      <c r="D385" s="11" t="s">
        <v>892</v>
      </c>
      <c r="E385" s="41" t="str">
        <f t="shared" ref="E385:T385" si="33">IFERROR(((E57/E233)-1),"CHECK")</f>
        <v>CHECK</v>
      </c>
      <c r="F385" s="41" t="str">
        <f t="shared" si="33"/>
        <v>CHECK</v>
      </c>
      <c r="G385" s="41" t="str">
        <f t="shared" si="33"/>
        <v>CHECK</v>
      </c>
      <c r="H385" s="41" t="str">
        <f t="shared" si="33"/>
        <v>CHECK</v>
      </c>
      <c r="I385" s="41" t="str">
        <f t="shared" si="33"/>
        <v>CHECK</v>
      </c>
      <c r="J385" s="41" t="str">
        <f t="shared" si="33"/>
        <v>CHECK</v>
      </c>
      <c r="K385" s="41" t="str">
        <f t="shared" si="33"/>
        <v>CHECK</v>
      </c>
      <c r="L385" s="41" t="str">
        <f t="shared" si="33"/>
        <v>CHECK</v>
      </c>
      <c r="M385" s="41" t="str">
        <f t="shared" si="33"/>
        <v>CHECK</v>
      </c>
      <c r="N385" s="41" t="str">
        <f t="shared" si="33"/>
        <v>CHECK</v>
      </c>
      <c r="O385" s="41" t="str">
        <f t="shared" si="33"/>
        <v>CHECK</v>
      </c>
      <c r="P385" s="41" t="str">
        <f t="shared" si="33"/>
        <v>CHECK</v>
      </c>
      <c r="Q385" s="41" t="str">
        <f t="shared" si="33"/>
        <v>CHECK</v>
      </c>
      <c r="R385" s="41" t="str">
        <f t="shared" si="33"/>
        <v>CHECK</v>
      </c>
      <c r="S385" s="41" t="str">
        <f t="shared" si="33"/>
        <v>CHECK</v>
      </c>
      <c r="T385" s="41" t="str">
        <f t="shared" si="33"/>
        <v>CHECK</v>
      </c>
      <c r="U385" s="41"/>
      <c r="V385" s="41"/>
    </row>
    <row r="386" spans="1:22" x14ac:dyDescent="0.25">
      <c r="A386" s="11" t="s">
        <v>1088</v>
      </c>
      <c r="B386" s="11" t="s">
        <v>1087</v>
      </c>
      <c r="C386" s="11" t="s">
        <v>498</v>
      </c>
      <c r="D386" s="11" t="s">
        <v>892</v>
      </c>
      <c r="E386" s="41" t="str">
        <f t="shared" ref="E386:T386" si="34">IFERROR(((E58/E234)-1),"CHECK")</f>
        <v>CHECK</v>
      </c>
      <c r="F386" s="41" t="str">
        <f t="shared" si="34"/>
        <v>CHECK</v>
      </c>
      <c r="G386" s="41" t="str">
        <f t="shared" si="34"/>
        <v>CHECK</v>
      </c>
      <c r="H386" s="41" t="str">
        <f t="shared" si="34"/>
        <v>CHECK</v>
      </c>
      <c r="I386" s="41" t="str">
        <f t="shared" si="34"/>
        <v>CHECK</v>
      </c>
      <c r="J386" s="41" t="str">
        <f t="shared" si="34"/>
        <v>CHECK</v>
      </c>
      <c r="K386" s="41" t="str">
        <f t="shared" si="34"/>
        <v>CHECK</v>
      </c>
      <c r="L386" s="41" t="str">
        <f t="shared" si="34"/>
        <v>CHECK</v>
      </c>
      <c r="M386" s="41" t="str">
        <f t="shared" si="34"/>
        <v>CHECK</v>
      </c>
      <c r="N386" s="41" t="str">
        <f t="shared" si="34"/>
        <v>CHECK</v>
      </c>
      <c r="O386" s="41" t="str">
        <f t="shared" si="34"/>
        <v>CHECK</v>
      </c>
      <c r="P386" s="41" t="str">
        <f t="shared" si="34"/>
        <v>CHECK</v>
      </c>
      <c r="Q386" s="41" t="str">
        <f t="shared" si="34"/>
        <v>CHECK</v>
      </c>
      <c r="R386" s="41" t="str">
        <f t="shared" si="34"/>
        <v>CHECK</v>
      </c>
      <c r="S386" s="41" t="str">
        <f t="shared" si="34"/>
        <v>CHECK</v>
      </c>
      <c r="T386" s="41" t="str">
        <f t="shared" si="34"/>
        <v>CHECK</v>
      </c>
      <c r="U386" s="41"/>
      <c r="V386" s="41"/>
    </row>
    <row r="388" spans="1:22" x14ac:dyDescent="0.25">
      <c r="A388" s="11" t="s">
        <v>1088</v>
      </c>
      <c r="B388" s="11" t="s">
        <v>1085</v>
      </c>
      <c r="C388" s="11" t="s">
        <v>495</v>
      </c>
      <c r="D388" s="11" t="s">
        <v>892</v>
      </c>
      <c r="E388" s="41" t="str">
        <f t="shared" ref="E388:T388" si="35">IFERROR(((E60/E236)-1),"CHECK")</f>
        <v>CHECK</v>
      </c>
      <c r="F388" s="41" t="str">
        <f t="shared" si="35"/>
        <v>CHECK</v>
      </c>
      <c r="G388" s="41" t="str">
        <f t="shared" si="35"/>
        <v>CHECK</v>
      </c>
      <c r="H388" s="41" t="str">
        <f t="shared" si="35"/>
        <v>CHECK</v>
      </c>
      <c r="I388" s="41" t="str">
        <f t="shared" si="35"/>
        <v>CHECK</v>
      </c>
      <c r="J388" s="41" t="str">
        <f t="shared" si="35"/>
        <v>CHECK</v>
      </c>
      <c r="K388" s="41" t="str">
        <f t="shared" si="35"/>
        <v>CHECK</v>
      </c>
      <c r="L388" s="41" t="str">
        <f t="shared" si="35"/>
        <v>CHECK</v>
      </c>
      <c r="M388" s="41" t="str">
        <f t="shared" si="35"/>
        <v>CHECK</v>
      </c>
      <c r="N388" s="41" t="str">
        <f t="shared" si="35"/>
        <v>CHECK</v>
      </c>
      <c r="O388" s="41" t="str">
        <f t="shared" si="35"/>
        <v>CHECK</v>
      </c>
      <c r="P388" s="41" t="str">
        <f t="shared" si="35"/>
        <v>CHECK</v>
      </c>
      <c r="Q388" s="41" t="str">
        <f t="shared" si="35"/>
        <v>CHECK</v>
      </c>
      <c r="R388" s="41" t="str">
        <f t="shared" si="35"/>
        <v>CHECK</v>
      </c>
      <c r="S388" s="41" t="str">
        <f t="shared" si="35"/>
        <v>CHECK</v>
      </c>
      <c r="T388" s="41" t="str">
        <f t="shared" si="35"/>
        <v>CHECK</v>
      </c>
      <c r="U388" s="41"/>
      <c r="V388" s="41"/>
    </row>
    <row r="389" spans="1:22" x14ac:dyDescent="0.25">
      <c r="A389" s="11" t="s">
        <v>1088</v>
      </c>
      <c r="B389" s="11" t="s">
        <v>1086</v>
      </c>
      <c r="C389" s="11" t="s">
        <v>495</v>
      </c>
      <c r="D389" s="11" t="s">
        <v>892</v>
      </c>
      <c r="E389" s="41" t="str">
        <f t="shared" ref="E389:T389" si="36">IFERROR(((E61/E237)-1),"CHECK")</f>
        <v>CHECK</v>
      </c>
      <c r="F389" s="41" t="str">
        <f t="shared" si="36"/>
        <v>CHECK</v>
      </c>
      <c r="G389" s="41" t="str">
        <f t="shared" si="36"/>
        <v>CHECK</v>
      </c>
      <c r="H389" s="41" t="str">
        <f t="shared" si="36"/>
        <v>CHECK</v>
      </c>
      <c r="I389" s="41" t="str">
        <f t="shared" si="36"/>
        <v>CHECK</v>
      </c>
      <c r="J389" s="41" t="str">
        <f t="shared" si="36"/>
        <v>CHECK</v>
      </c>
      <c r="K389" s="41" t="str">
        <f t="shared" si="36"/>
        <v>CHECK</v>
      </c>
      <c r="L389" s="41" t="str">
        <f t="shared" si="36"/>
        <v>CHECK</v>
      </c>
      <c r="M389" s="41" t="str">
        <f t="shared" si="36"/>
        <v>CHECK</v>
      </c>
      <c r="N389" s="41" t="str">
        <f t="shared" si="36"/>
        <v>CHECK</v>
      </c>
      <c r="O389" s="41" t="str">
        <f t="shared" si="36"/>
        <v>CHECK</v>
      </c>
      <c r="P389" s="41" t="str">
        <f t="shared" si="36"/>
        <v>CHECK</v>
      </c>
      <c r="Q389" s="41" t="str">
        <f t="shared" si="36"/>
        <v>CHECK</v>
      </c>
      <c r="R389" s="41" t="str">
        <f t="shared" si="36"/>
        <v>CHECK</v>
      </c>
      <c r="S389" s="41" t="str">
        <f t="shared" si="36"/>
        <v>CHECK</v>
      </c>
      <c r="T389" s="41" t="str">
        <f t="shared" si="36"/>
        <v>CHECK</v>
      </c>
      <c r="U389" s="41"/>
      <c r="V389" s="41"/>
    </row>
    <row r="390" spans="1:22" x14ac:dyDescent="0.25">
      <c r="A390" s="11" t="s">
        <v>1088</v>
      </c>
      <c r="B390" s="11" t="s">
        <v>1087</v>
      </c>
      <c r="C390" s="11" t="s">
        <v>495</v>
      </c>
      <c r="D390" s="11" t="s">
        <v>892</v>
      </c>
      <c r="E390" s="41" t="str">
        <f t="shared" ref="E390:T390" si="37">IFERROR(((E62/E238)-1),"CHECK")</f>
        <v>CHECK</v>
      </c>
      <c r="F390" s="41" t="str">
        <f t="shared" si="37"/>
        <v>CHECK</v>
      </c>
      <c r="G390" s="41" t="str">
        <f t="shared" si="37"/>
        <v>CHECK</v>
      </c>
      <c r="H390" s="41" t="str">
        <f t="shared" si="37"/>
        <v>CHECK</v>
      </c>
      <c r="I390" s="41" t="str">
        <f t="shared" si="37"/>
        <v>CHECK</v>
      </c>
      <c r="J390" s="41" t="str">
        <f t="shared" si="37"/>
        <v>CHECK</v>
      </c>
      <c r="K390" s="41" t="str">
        <f t="shared" si="37"/>
        <v>CHECK</v>
      </c>
      <c r="L390" s="41" t="str">
        <f t="shared" si="37"/>
        <v>CHECK</v>
      </c>
      <c r="M390" s="41" t="str">
        <f t="shared" si="37"/>
        <v>CHECK</v>
      </c>
      <c r="N390" s="41" t="str">
        <f t="shared" si="37"/>
        <v>CHECK</v>
      </c>
      <c r="O390" s="41" t="str">
        <f t="shared" si="37"/>
        <v>CHECK</v>
      </c>
      <c r="P390" s="41" t="str">
        <f t="shared" si="37"/>
        <v>CHECK</v>
      </c>
      <c r="Q390" s="41" t="str">
        <f t="shared" si="37"/>
        <v>CHECK</v>
      </c>
      <c r="R390" s="41" t="str">
        <f t="shared" si="37"/>
        <v>CHECK</v>
      </c>
      <c r="S390" s="41" t="str">
        <f t="shared" si="37"/>
        <v>CHECK</v>
      </c>
      <c r="T390" s="41" t="str">
        <f t="shared" si="37"/>
        <v>CHECK</v>
      </c>
      <c r="U390" s="41"/>
      <c r="V390" s="41"/>
    </row>
    <row r="392" spans="1:22" x14ac:dyDescent="0.25">
      <c r="A392" s="8"/>
      <c r="B392" s="9" t="s">
        <v>877</v>
      </c>
      <c r="C392" s="8"/>
      <c r="D392" s="8"/>
      <c r="E392" s="8"/>
      <c r="F392" s="8"/>
      <c r="G392" s="8"/>
      <c r="H392" s="8"/>
      <c r="I392" s="8"/>
      <c r="J392" s="8"/>
      <c r="K392" s="8"/>
      <c r="L392" s="8"/>
      <c r="M392" s="8"/>
      <c r="N392" s="8"/>
      <c r="O392" s="8"/>
      <c r="P392" s="8"/>
      <c r="Q392" s="8"/>
      <c r="R392" s="8"/>
      <c r="S392" s="8"/>
      <c r="T392" s="8"/>
      <c r="U392" s="8"/>
      <c r="V392" s="8"/>
    </row>
    <row r="394" spans="1:22" s="22" customFormat="1" x14ac:dyDescent="0.25">
      <c r="A394" s="124" t="s">
        <v>1084</v>
      </c>
    </row>
    <row r="395" spans="1:22" x14ac:dyDescent="0.25">
      <c r="A395" s="11" t="s">
        <v>1098</v>
      </c>
      <c r="B395" s="11" t="s">
        <v>1091</v>
      </c>
      <c r="C395" s="11" t="s">
        <v>491</v>
      </c>
      <c r="D395" s="11"/>
      <c r="E395" s="41" t="str">
        <f t="shared" ref="E395:T395" si="38">IFERROR(((E67/E243)-1),"CHECK")</f>
        <v>CHECK</v>
      </c>
      <c r="F395" s="41" t="str">
        <f t="shared" si="38"/>
        <v>CHECK</v>
      </c>
      <c r="G395" s="41" t="str">
        <f t="shared" si="38"/>
        <v>CHECK</v>
      </c>
      <c r="H395" s="41" t="str">
        <f t="shared" si="38"/>
        <v>CHECK</v>
      </c>
      <c r="I395" s="41" t="str">
        <f t="shared" si="38"/>
        <v>CHECK</v>
      </c>
      <c r="J395" s="41" t="str">
        <f t="shared" si="38"/>
        <v>CHECK</v>
      </c>
      <c r="K395" s="41" t="str">
        <f t="shared" si="38"/>
        <v>CHECK</v>
      </c>
      <c r="L395" s="41" t="str">
        <f t="shared" si="38"/>
        <v>CHECK</v>
      </c>
      <c r="M395" s="41" t="str">
        <f t="shared" si="38"/>
        <v>CHECK</v>
      </c>
      <c r="N395" s="41" t="str">
        <f t="shared" si="38"/>
        <v>CHECK</v>
      </c>
      <c r="O395" s="41" t="str">
        <f t="shared" si="38"/>
        <v>CHECK</v>
      </c>
      <c r="P395" s="41" t="str">
        <f t="shared" si="38"/>
        <v>CHECK</v>
      </c>
      <c r="Q395" s="41" t="str">
        <f t="shared" si="38"/>
        <v>CHECK</v>
      </c>
      <c r="R395" s="41" t="str">
        <f t="shared" si="38"/>
        <v>CHECK</v>
      </c>
      <c r="S395" s="41" t="str">
        <f t="shared" si="38"/>
        <v>CHECK</v>
      </c>
      <c r="T395" s="41" t="str">
        <f t="shared" si="38"/>
        <v>CHECK</v>
      </c>
      <c r="U395" s="41"/>
      <c r="V395" s="41"/>
    </row>
    <row r="396" spans="1:22" x14ac:dyDescent="0.25">
      <c r="A396" s="11" t="s">
        <v>1098</v>
      </c>
      <c r="B396" s="11" t="s">
        <v>1092</v>
      </c>
      <c r="C396" s="11" t="s">
        <v>491</v>
      </c>
      <c r="D396" s="11" t="s">
        <v>1093</v>
      </c>
      <c r="E396" s="41">
        <f t="shared" ref="E396:T396" si="39">IFERROR(((E68/E244)-1),"CHECK")</f>
        <v>0</v>
      </c>
      <c r="F396" s="41">
        <f t="shared" si="39"/>
        <v>0</v>
      </c>
      <c r="G396" s="41">
        <f t="shared" si="39"/>
        <v>0</v>
      </c>
      <c r="H396" s="41">
        <f t="shared" si="39"/>
        <v>0</v>
      </c>
      <c r="I396" s="41">
        <f t="shared" si="39"/>
        <v>0</v>
      </c>
      <c r="J396" s="41">
        <f t="shared" si="39"/>
        <v>0</v>
      </c>
      <c r="K396" s="41">
        <f t="shared" si="39"/>
        <v>0</v>
      </c>
      <c r="L396" s="41">
        <f t="shared" si="39"/>
        <v>0</v>
      </c>
      <c r="M396" s="41">
        <f t="shared" si="39"/>
        <v>0</v>
      </c>
      <c r="N396" s="41">
        <f t="shared" si="39"/>
        <v>0</v>
      </c>
      <c r="O396" s="41">
        <f t="shared" si="39"/>
        <v>0</v>
      </c>
      <c r="P396" s="41">
        <f t="shared" si="39"/>
        <v>0</v>
      </c>
      <c r="Q396" s="41">
        <f t="shared" si="39"/>
        <v>0</v>
      </c>
      <c r="R396" s="41">
        <f t="shared" si="39"/>
        <v>0</v>
      </c>
      <c r="S396" s="41">
        <f t="shared" si="39"/>
        <v>0</v>
      </c>
      <c r="T396" s="41">
        <f t="shared" si="39"/>
        <v>0</v>
      </c>
      <c r="U396" s="41"/>
      <c r="V396" s="41"/>
    </row>
    <row r="397" spans="1:22" x14ac:dyDescent="0.25">
      <c r="A397" s="11" t="s">
        <v>1098</v>
      </c>
      <c r="B397" s="11" t="s">
        <v>1094</v>
      </c>
      <c r="C397" s="11" t="s">
        <v>491</v>
      </c>
      <c r="D397" s="11" t="s">
        <v>1095</v>
      </c>
      <c r="E397" s="41">
        <f t="shared" ref="E397:T397" si="40">IFERROR(((E69/E245)-1),"CHECK")</f>
        <v>0</v>
      </c>
      <c r="F397" s="41">
        <f t="shared" si="40"/>
        <v>0</v>
      </c>
      <c r="G397" s="41">
        <f t="shared" si="40"/>
        <v>0</v>
      </c>
      <c r="H397" s="41">
        <f t="shared" si="40"/>
        <v>0</v>
      </c>
      <c r="I397" s="41">
        <f t="shared" si="40"/>
        <v>0</v>
      </c>
      <c r="J397" s="41">
        <f t="shared" si="40"/>
        <v>0</v>
      </c>
      <c r="K397" s="41">
        <f t="shared" si="40"/>
        <v>0</v>
      </c>
      <c r="L397" s="41">
        <f t="shared" si="40"/>
        <v>0</v>
      </c>
      <c r="M397" s="41">
        <f t="shared" si="40"/>
        <v>0</v>
      </c>
      <c r="N397" s="41">
        <f t="shared" si="40"/>
        <v>0</v>
      </c>
      <c r="O397" s="41">
        <f t="shared" si="40"/>
        <v>0</v>
      </c>
      <c r="P397" s="41">
        <f t="shared" si="40"/>
        <v>0</v>
      </c>
      <c r="Q397" s="41">
        <f t="shared" si="40"/>
        <v>0</v>
      </c>
      <c r="R397" s="41">
        <f t="shared" si="40"/>
        <v>0</v>
      </c>
      <c r="S397" s="41">
        <f t="shared" si="40"/>
        <v>0</v>
      </c>
      <c r="T397" s="41">
        <f t="shared" si="40"/>
        <v>0</v>
      </c>
      <c r="U397" s="41"/>
      <c r="V397" s="41"/>
    </row>
    <row r="398" spans="1:22" x14ac:dyDescent="0.25">
      <c r="A398" s="11" t="s">
        <v>1098</v>
      </c>
      <c r="B398" s="11" t="s">
        <v>1096</v>
      </c>
      <c r="C398" s="11" t="s">
        <v>491</v>
      </c>
      <c r="D398" s="11" t="s">
        <v>1095</v>
      </c>
      <c r="E398" s="41" t="str">
        <f t="shared" ref="E398:T398" si="41">IFERROR(((E70/E246)-1),"CHECK")</f>
        <v>CHECK</v>
      </c>
      <c r="F398" s="41" t="str">
        <f t="shared" si="41"/>
        <v>CHECK</v>
      </c>
      <c r="G398" s="41" t="str">
        <f t="shared" si="41"/>
        <v>CHECK</v>
      </c>
      <c r="H398" s="41" t="str">
        <f t="shared" si="41"/>
        <v>CHECK</v>
      </c>
      <c r="I398" s="41" t="str">
        <f t="shared" si="41"/>
        <v>CHECK</v>
      </c>
      <c r="J398" s="41" t="str">
        <f t="shared" si="41"/>
        <v>CHECK</v>
      </c>
      <c r="K398" s="41" t="str">
        <f t="shared" si="41"/>
        <v>CHECK</v>
      </c>
      <c r="L398" s="41" t="str">
        <f t="shared" si="41"/>
        <v>CHECK</v>
      </c>
      <c r="M398" s="41" t="str">
        <f t="shared" si="41"/>
        <v>CHECK</v>
      </c>
      <c r="N398" s="41" t="str">
        <f t="shared" si="41"/>
        <v>CHECK</v>
      </c>
      <c r="O398" s="41" t="str">
        <f t="shared" si="41"/>
        <v>CHECK</v>
      </c>
      <c r="P398" s="41" t="str">
        <f t="shared" si="41"/>
        <v>CHECK</v>
      </c>
      <c r="Q398" s="41" t="str">
        <f t="shared" si="41"/>
        <v>CHECK</v>
      </c>
      <c r="R398" s="41" t="str">
        <f t="shared" si="41"/>
        <v>CHECK</v>
      </c>
      <c r="S398" s="41" t="str">
        <f t="shared" si="41"/>
        <v>CHECK</v>
      </c>
      <c r="T398" s="41" t="str">
        <f t="shared" si="41"/>
        <v>CHECK</v>
      </c>
      <c r="U398" s="41"/>
      <c r="V398" s="41"/>
    </row>
    <row r="399" spans="1:22" x14ac:dyDescent="0.25">
      <c r="A399" s="11"/>
      <c r="B399" s="11"/>
      <c r="C399" s="11"/>
      <c r="D399" s="11"/>
      <c r="E399" s="41"/>
      <c r="F399" s="41"/>
      <c r="G399" s="41"/>
      <c r="H399" s="41"/>
      <c r="I399" s="41"/>
      <c r="J399" s="41"/>
      <c r="K399" s="41"/>
      <c r="L399" s="41"/>
      <c r="M399" s="41"/>
      <c r="N399" s="41"/>
      <c r="O399" s="41"/>
      <c r="P399" s="41"/>
      <c r="Q399" s="41"/>
      <c r="R399" s="41"/>
      <c r="S399" s="41"/>
      <c r="T399" s="41"/>
      <c r="U399" s="41"/>
      <c r="V399" s="41"/>
    </row>
    <row r="400" spans="1:22" x14ac:dyDescent="0.25">
      <c r="A400" s="11" t="s">
        <v>1098</v>
      </c>
      <c r="B400" s="11" t="s">
        <v>1091</v>
      </c>
      <c r="C400" s="11" t="s">
        <v>492</v>
      </c>
      <c r="D400" s="11"/>
      <c r="E400" s="41" t="str">
        <f t="shared" ref="E400:T400" si="42">IFERROR(((E72/E248)-1),"CHECK")</f>
        <v>CHECK</v>
      </c>
      <c r="F400" s="41" t="str">
        <f t="shared" si="42"/>
        <v>CHECK</v>
      </c>
      <c r="G400" s="41" t="str">
        <f t="shared" si="42"/>
        <v>CHECK</v>
      </c>
      <c r="H400" s="41" t="str">
        <f t="shared" si="42"/>
        <v>CHECK</v>
      </c>
      <c r="I400" s="41" t="str">
        <f t="shared" si="42"/>
        <v>CHECK</v>
      </c>
      <c r="J400" s="41" t="str">
        <f t="shared" si="42"/>
        <v>CHECK</v>
      </c>
      <c r="K400" s="41" t="str">
        <f t="shared" si="42"/>
        <v>CHECK</v>
      </c>
      <c r="L400" s="41" t="str">
        <f t="shared" si="42"/>
        <v>CHECK</v>
      </c>
      <c r="M400" s="41" t="str">
        <f t="shared" si="42"/>
        <v>CHECK</v>
      </c>
      <c r="N400" s="41" t="str">
        <f t="shared" si="42"/>
        <v>CHECK</v>
      </c>
      <c r="O400" s="41" t="str">
        <f t="shared" si="42"/>
        <v>CHECK</v>
      </c>
      <c r="P400" s="41" t="str">
        <f t="shared" si="42"/>
        <v>CHECK</v>
      </c>
      <c r="Q400" s="41" t="str">
        <f t="shared" si="42"/>
        <v>CHECK</v>
      </c>
      <c r="R400" s="41" t="str">
        <f t="shared" si="42"/>
        <v>CHECK</v>
      </c>
      <c r="S400" s="41" t="str">
        <f t="shared" si="42"/>
        <v>CHECK</v>
      </c>
      <c r="T400" s="41" t="str">
        <f t="shared" si="42"/>
        <v>CHECK</v>
      </c>
      <c r="U400" s="41"/>
      <c r="V400" s="41"/>
    </row>
    <row r="401" spans="1:22" x14ac:dyDescent="0.25">
      <c r="A401" s="11" t="s">
        <v>1098</v>
      </c>
      <c r="B401" s="11" t="s">
        <v>1092</v>
      </c>
      <c r="C401" s="11" t="s">
        <v>492</v>
      </c>
      <c r="D401" s="11" t="s">
        <v>1093</v>
      </c>
      <c r="E401" s="41">
        <f t="shared" ref="E401:T401" si="43">IFERROR(((E73/E249)-1),"CHECK")</f>
        <v>0</v>
      </c>
      <c r="F401" s="41">
        <f t="shared" si="43"/>
        <v>0</v>
      </c>
      <c r="G401" s="41">
        <f t="shared" si="43"/>
        <v>0</v>
      </c>
      <c r="H401" s="41">
        <f t="shared" si="43"/>
        <v>0</v>
      </c>
      <c r="I401" s="41">
        <f t="shared" si="43"/>
        <v>0</v>
      </c>
      <c r="J401" s="41">
        <f t="shared" si="43"/>
        <v>0</v>
      </c>
      <c r="K401" s="41">
        <f t="shared" si="43"/>
        <v>0</v>
      </c>
      <c r="L401" s="41">
        <f t="shared" si="43"/>
        <v>0</v>
      </c>
      <c r="M401" s="41">
        <f t="shared" si="43"/>
        <v>0</v>
      </c>
      <c r="N401" s="41">
        <f t="shared" si="43"/>
        <v>0</v>
      </c>
      <c r="O401" s="41">
        <f t="shared" si="43"/>
        <v>0</v>
      </c>
      <c r="P401" s="41">
        <f t="shared" si="43"/>
        <v>0</v>
      </c>
      <c r="Q401" s="41">
        <f t="shared" si="43"/>
        <v>0</v>
      </c>
      <c r="R401" s="41">
        <f t="shared" si="43"/>
        <v>0</v>
      </c>
      <c r="S401" s="41">
        <f t="shared" si="43"/>
        <v>0</v>
      </c>
      <c r="T401" s="41">
        <f t="shared" si="43"/>
        <v>0</v>
      </c>
      <c r="U401" s="41"/>
      <c r="V401" s="41"/>
    </row>
    <row r="402" spans="1:22" x14ac:dyDescent="0.25">
      <c r="A402" s="11" t="s">
        <v>1098</v>
      </c>
      <c r="B402" s="11" t="s">
        <v>1094</v>
      </c>
      <c r="C402" s="11" t="s">
        <v>492</v>
      </c>
      <c r="D402" s="11" t="s">
        <v>1095</v>
      </c>
      <c r="E402" s="41">
        <f t="shared" ref="E402:T402" si="44">IFERROR(((E74/E250)-1),"CHECK")</f>
        <v>0</v>
      </c>
      <c r="F402" s="41">
        <f t="shared" si="44"/>
        <v>0</v>
      </c>
      <c r="G402" s="41">
        <f t="shared" si="44"/>
        <v>0</v>
      </c>
      <c r="H402" s="41">
        <f t="shared" si="44"/>
        <v>0</v>
      </c>
      <c r="I402" s="41">
        <f t="shared" si="44"/>
        <v>0</v>
      </c>
      <c r="J402" s="41">
        <f t="shared" si="44"/>
        <v>0</v>
      </c>
      <c r="K402" s="41">
        <f t="shared" si="44"/>
        <v>0</v>
      </c>
      <c r="L402" s="41">
        <f t="shared" si="44"/>
        <v>0</v>
      </c>
      <c r="M402" s="41">
        <f t="shared" si="44"/>
        <v>0</v>
      </c>
      <c r="N402" s="41">
        <f t="shared" si="44"/>
        <v>0</v>
      </c>
      <c r="O402" s="41">
        <f t="shared" si="44"/>
        <v>0</v>
      </c>
      <c r="P402" s="41">
        <f t="shared" si="44"/>
        <v>0</v>
      </c>
      <c r="Q402" s="41">
        <f t="shared" si="44"/>
        <v>0</v>
      </c>
      <c r="R402" s="41">
        <f t="shared" si="44"/>
        <v>0</v>
      </c>
      <c r="S402" s="41">
        <f t="shared" si="44"/>
        <v>0</v>
      </c>
      <c r="T402" s="41">
        <f t="shared" si="44"/>
        <v>0</v>
      </c>
      <c r="U402" s="41"/>
      <c r="V402" s="41"/>
    </row>
    <row r="403" spans="1:22" x14ac:dyDescent="0.25">
      <c r="A403" s="11" t="s">
        <v>1098</v>
      </c>
      <c r="B403" s="11" t="s">
        <v>1096</v>
      </c>
      <c r="C403" s="11" t="s">
        <v>492</v>
      </c>
      <c r="D403" s="11" t="s">
        <v>1095</v>
      </c>
      <c r="E403" s="41" t="str">
        <f t="shared" ref="E403:T403" si="45">IFERROR(((E75/E251)-1),"CHECK")</f>
        <v>CHECK</v>
      </c>
      <c r="F403" s="41" t="str">
        <f t="shared" si="45"/>
        <v>CHECK</v>
      </c>
      <c r="G403" s="41" t="str">
        <f t="shared" si="45"/>
        <v>CHECK</v>
      </c>
      <c r="H403" s="41" t="str">
        <f t="shared" si="45"/>
        <v>CHECK</v>
      </c>
      <c r="I403" s="41" t="str">
        <f t="shared" si="45"/>
        <v>CHECK</v>
      </c>
      <c r="J403" s="41" t="str">
        <f t="shared" si="45"/>
        <v>CHECK</v>
      </c>
      <c r="K403" s="41" t="str">
        <f t="shared" si="45"/>
        <v>CHECK</v>
      </c>
      <c r="L403" s="41" t="str">
        <f t="shared" si="45"/>
        <v>CHECK</v>
      </c>
      <c r="M403" s="41" t="str">
        <f t="shared" si="45"/>
        <v>CHECK</v>
      </c>
      <c r="N403" s="41" t="str">
        <f t="shared" si="45"/>
        <v>CHECK</v>
      </c>
      <c r="O403" s="41" t="str">
        <f t="shared" si="45"/>
        <v>CHECK</v>
      </c>
      <c r="P403" s="41" t="str">
        <f t="shared" si="45"/>
        <v>CHECK</v>
      </c>
      <c r="Q403" s="41" t="str">
        <f t="shared" si="45"/>
        <v>CHECK</v>
      </c>
      <c r="R403" s="41" t="str">
        <f t="shared" si="45"/>
        <v>CHECK</v>
      </c>
      <c r="S403" s="41" t="str">
        <f t="shared" si="45"/>
        <v>CHECK</v>
      </c>
      <c r="T403" s="41" t="str">
        <f t="shared" si="45"/>
        <v>CHECK</v>
      </c>
      <c r="U403" s="41"/>
      <c r="V403" s="41"/>
    </row>
    <row r="404" spans="1:22" x14ac:dyDescent="0.25">
      <c r="A404" s="11"/>
      <c r="B404" s="11"/>
      <c r="C404" s="11"/>
      <c r="D404" s="11"/>
      <c r="E404" s="41"/>
      <c r="F404" s="41"/>
      <c r="G404" s="41"/>
      <c r="H404" s="41"/>
      <c r="I404" s="41"/>
      <c r="J404" s="41"/>
      <c r="K404" s="41"/>
      <c r="L404" s="41"/>
      <c r="M404" s="41"/>
      <c r="N404" s="41"/>
      <c r="O404" s="41"/>
      <c r="P404" s="41"/>
      <c r="Q404" s="41"/>
      <c r="R404" s="41"/>
      <c r="S404" s="41"/>
      <c r="T404" s="41"/>
      <c r="U404" s="41"/>
      <c r="V404" s="41"/>
    </row>
    <row r="405" spans="1:22" x14ac:dyDescent="0.25">
      <c r="A405" s="11" t="s">
        <v>1098</v>
      </c>
      <c r="B405" s="11" t="s">
        <v>1091</v>
      </c>
      <c r="C405" s="11" t="s">
        <v>493</v>
      </c>
      <c r="D405" s="11"/>
      <c r="E405" s="41" t="str">
        <f t="shared" ref="E405:T405" si="46">IFERROR(((E77/E253)-1),"CHECK")</f>
        <v>CHECK</v>
      </c>
      <c r="F405" s="41" t="str">
        <f t="shared" si="46"/>
        <v>CHECK</v>
      </c>
      <c r="G405" s="41" t="str">
        <f t="shared" si="46"/>
        <v>CHECK</v>
      </c>
      <c r="H405" s="41" t="str">
        <f t="shared" si="46"/>
        <v>CHECK</v>
      </c>
      <c r="I405" s="41" t="str">
        <f t="shared" si="46"/>
        <v>CHECK</v>
      </c>
      <c r="J405" s="41" t="str">
        <f t="shared" si="46"/>
        <v>CHECK</v>
      </c>
      <c r="K405" s="41" t="str">
        <f t="shared" si="46"/>
        <v>CHECK</v>
      </c>
      <c r="L405" s="41" t="str">
        <f t="shared" si="46"/>
        <v>CHECK</v>
      </c>
      <c r="M405" s="41" t="str">
        <f t="shared" si="46"/>
        <v>CHECK</v>
      </c>
      <c r="N405" s="41" t="str">
        <f t="shared" si="46"/>
        <v>CHECK</v>
      </c>
      <c r="O405" s="41" t="str">
        <f t="shared" si="46"/>
        <v>CHECK</v>
      </c>
      <c r="P405" s="41" t="str">
        <f t="shared" si="46"/>
        <v>CHECK</v>
      </c>
      <c r="Q405" s="41" t="str">
        <f t="shared" si="46"/>
        <v>CHECK</v>
      </c>
      <c r="R405" s="41" t="str">
        <f t="shared" si="46"/>
        <v>CHECK</v>
      </c>
      <c r="S405" s="41" t="str">
        <f t="shared" si="46"/>
        <v>CHECK</v>
      </c>
      <c r="T405" s="41" t="str">
        <f t="shared" si="46"/>
        <v>CHECK</v>
      </c>
      <c r="U405" s="41"/>
      <c r="V405" s="41"/>
    </row>
    <row r="406" spans="1:22" x14ac:dyDescent="0.25">
      <c r="A406" s="11" t="s">
        <v>1098</v>
      </c>
      <c r="B406" s="11" t="s">
        <v>1092</v>
      </c>
      <c r="C406" s="11" t="s">
        <v>493</v>
      </c>
      <c r="D406" s="11" t="s">
        <v>1093</v>
      </c>
      <c r="E406" s="41">
        <f t="shared" ref="E406:T406" si="47">IFERROR(((E78/E254)-1),"CHECK")</f>
        <v>0</v>
      </c>
      <c r="F406" s="41">
        <f t="shared" si="47"/>
        <v>0</v>
      </c>
      <c r="G406" s="41">
        <f t="shared" si="47"/>
        <v>0</v>
      </c>
      <c r="H406" s="41">
        <f t="shared" si="47"/>
        <v>0</v>
      </c>
      <c r="I406" s="41">
        <f t="shared" si="47"/>
        <v>0</v>
      </c>
      <c r="J406" s="41">
        <f t="shared" si="47"/>
        <v>0</v>
      </c>
      <c r="K406" s="41">
        <f t="shared" si="47"/>
        <v>0</v>
      </c>
      <c r="L406" s="41">
        <f t="shared" si="47"/>
        <v>0</v>
      </c>
      <c r="M406" s="41">
        <f t="shared" si="47"/>
        <v>0</v>
      </c>
      <c r="N406" s="41">
        <f t="shared" si="47"/>
        <v>0</v>
      </c>
      <c r="O406" s="41">
        <f t="shared" si="47"/>
        <v>0</v>
      </c>
      <c r="P406" s="41">
        <f t="shared" si="47"/>
        <v>0</v>
      </c>
      <c r="Q406" s="41">
        <f t="shared" si="47"/>
        <v>0</v>
      </c>
      <c r="R406" s="41">
        <f t="shared" si="47"/>
        <v>0</v>
      </c>
      <c r="S406" s="41">
        <f t="shared" si="47"/>
        <v>0</v>
      </c>
      <c r="T406" s="41">
        <f t="shared" si="47"/>
        <v>0</v>
      </c>
      <c r="U406" s="41"/>
      <c r="V406" s="41"/>
    </row>
    <row r="407" spans="1:22" x14ac:dyDescent="0.25">
      <c r="A407" s="11" t="s">
        <v>1098</v>
      </c>
      <c r="B407" s="11" t="s">
        <v>1094</v>
      </c>
      <c r="C407" s="11" t="s">
        <v>493</v>
      </c>
      <c r="D407" s="11" t="s">
        <v>1095</v>
      </c>
      <c r="E407" s="41">
        <f t="shared" ref="E407:T407" si="48">IFERROR(((E79/E255)-1),"CHECK")</f>
        <v>0</v>
      </c>
      <c r="F407" s="41">
        <f t="shared" si="48"/>
        <v>0</v>
      </c>
      <c r="G407" s="41">
        <f t="shared" si="48"/>
        <v>0</v>
      </c>
      <c r="H407" s="41">
        <f t="shared" si="48"/>
        <v>0</v>
      </c>
      <c r="I407" s="41">
        <f t="shared" si="48"/>
        <v>0</v>
      </c>
      <c r="J407" s="41">
        <f t="shared" si="48"/>
        <v>0</v>
      </c>
      <c r="K407" s="41">
        <f t="shared" si="48"/>
        <v>0</v>
      </c>
      <c r="L407" s="41">
        <f t="shared" si="48"/>
        <v>0</v>
      </c>
      <c r="M407" s="41">
        <f t="shared" si="48"/>
        <v>0</v>
      </c>
      <c r="N407" s="41">
        <f t="shared" si="48"/>
        <v>0</v>
      </c>
      <c r="O407" s="41">
        <f t="shared" si="48"/>
        <v>0</v>
      </c>
      <c r="P407" s="41">
        <f t="shared" si="48"/>
        <v>0</v>
      </c>
      <c r="Q407" s="41">
        <f t="shared" si="48"/>
        <v>0</v>
      </c>
      <c r="R407" s="41">
        <f t="shared" si="48"/>
        <v>0</v>
      </c>
      <c r="S407" s="41">
        <f t="shared" si="48"/>
        <v>0</v>
      </c>
      <c r="T407" s="41">
        <f t="shared" si="48"/>
        <v>0</v>
      </c>
      <c r="U407" s="41"/>
      <c r="V407" s="41"/>
    </row>
    <row r="408" spans="1:22" x14ac:dyDescent="0.25">
      <c r="A408" s="11" t="s">
        <v>1098</v>
      </c>
      <c r="B408" s="11" t="s">
        <v>1096</v>
      </c>
      <c r="C408" s="11" t="s">
        <v>493</v>
      </c>
      <c r="D408" s="11" t="s">
        <v>1095</v>
      </c>
      <c r="E408" s="41" t="str">
        <f t="shared" ref="E408:T408" si="49">IFERROR(((E80/E256)-1),"CHECK")</f>
        <v>CHECK</v>
      </c>
      <c r="F408" s="41" t="str">
        <f t="shared" si="49"/>
        <v>CHECK</v>
      </c>
      <c r="G408" s="41" t="str">
        <f t="shared" si="49"/>
        <v>CHECK</v>
      </c>
      <c r="H408" s="41" t="str">
        <f t="shared" si="49"/>
        <v>CHECK</v>
      </c>
      <c r="I408" s="41" t="str">
        <f t="shared" si="49"/>
        <v>CHECK</v>
      </c>
      <c r="J408" s="41" t="str">
        <f t="shared" si="49"/>
        <v>CHECK</v>
      </c>
      <c r="K408" s="41" t="str">
        <f t="shared" si="49"/>
        <v>CHECK</v>
      </c>
      <c r="L408" s="41" t="str">
        <f t="shared" si="49"/>
        <v>CHECK</v>
      </c>
      <c r="M408" s="41" t="str">
        <f t="shared" si="49"/>
        <v>CHECK</v>
      </c>
      <c r="N408" s="41" t="str">
        <f t="shared" si="49"/>
        <v>CHECK</v>
      </c>
      <c r="O408" s="41" t="str">
        <f t="shared" si="49"/>
        <v>CHECK</v>
      </c>
      <c r="P408" s="41" t="str">
        <f t="shared" si="49"/>
        <v>CHECK</v>
      </c>
      <c r="Q408" s="41" t="str">
        <f t="shared" si="49"/>
        <v>CHECK</v>
      </c>
      <c r="R408" s="41" t="str">
        <f t="shared" si="49"/>
        <v>CHECK</v>
      </c>
      <c r="S408" s="41" t="str">
        <f t="shared" si="49"/>
        <v>CHECK</v>
      </c>
      <c r="T408" s="41" t="str">
        <f t="shared" si="49"/>
        <v>CHECK</v>
      </c>
      <c r="U408" s="41"/>
      <c r="V408" s="41"/>
    </row>
    <row r="409" spans="1:22" x14ac:dyDescent="0.25">
      <c r="A409" s="11"/>
      <c r="B409" s="11"/>
      <c r="C409" s="11"/>
      <c r="D409" s="11"/>
      <c r="E409" s="41"/>
      <c r="F409" s="41"/>
      <c r="G409" s="41"/>
      <c r="H409" s="41"/>
      <c r="I409" s="41"/>
      <c r="J409" s="41"/>
      <c r="K409" s="41"/>
      <c r="L409" s="41"/>
      <c r="M409" s="41"/>
      <c r="N409" s="41"/>
      <c r="O409" s="41"/>
      <c r="P409" s="41"/>
      <c r="Q409" s="41"/>
      <c r="R409" s="41"/>
      <c r="S409" s="41"/>
      <c r="T409" s="41"/>
      <c r="U409" s="41"/>
      <c r="V409" s="41"/>
    </row>
    <row r="410" spans="1:22" x14ac:dyDescent="0.25">
      <c r="A410" s="11" t="s">
        <v>1098</v>
      </c>
      <c r="B410" s="11" t="s">
        <v>1091</v>
      </c>
      <c r="C410" s="11" t="s">
        <v>494</v>
      </c>
      <c r="D410" s="11"/>
      <c r="E410" s="41" t="str">
        <f t="shared" ref="E410:T410" si="50">IFERROR(((E82/E258)-1),"CHECK")</f>
        <v>CHECK</v>
      </c>
      <c r="F410" s="41" t="str">
        <f t="shared" si="50"/>
        <v>CHECK</v>
      </c>
      <c r="G410" s="41" t="str">
        <f t="shared" si="50"/>
        <v>CHECK</v>
      </c>
      <c r="H410" s="41" t="str">
        <f t="shared" si="50"/>
        <v>CHECK</v>
      </c>
      <c r="I410" s="41" t="str">
        <f t="shared" si="50"/>
        <v>CHECK</v>
      </c>
      <c r="J410" s="41" t="str">
        <f t="shared" si="50"/>
        <v>CHECK</v>
      </c>
      <c r="K410" s="41" t="str">
        <f t="shared" si="50"/>
        <v>CHECK</v>
      </c>
      <c r="L410" s="41" t="str">
        <f t="shared" si="50"/>
        <v>CHECK</v>
      </c>
      <c r="M410" s="41" t="str">
        <f t="shared" si="50"/>
        <v>CHECK</v>
      </c>
      <c r="N410" s="41" t="str">
        <f t="shared" si="50"/>
        <v>CHECK</v>
      </c>
      <c r="O410" s="41" t="str">
        <f t="shared" si="50"/>
        <v>CHECK</v>
      </c>
      <c r="P410" s="41" t="str">
        <f t="shared" si="50"/>
        <v>CHECK</v>
      </c>
      <c r="Q410" s="41" t="str">
        <f t="shared" si="50"/>
        <v>CHECK</v>
      </c>
      <c r="R410" s="41" t="str">
        <f t="shared" si="50"/>
        <v>CHECK</v>
      </c>
      <c r="S410" s="41" t="str">
        <f t="shared" si="50"/>
        <v>CHECK</v>
      </c>
      <c r="T410" s="41" t="str">
        <f t="shared" si="50"/>
        <v>CHECK</v>
      </c>
      <c r="U410" s="41"/>
      <c r="V410" s="41"/>
    </row>
    <row r="411" spans="1:22" x14ac:dyDescent="0.25">
      <c r="A411" s="11" t="s">
        <v>1098</v>
      </c>
      <c r="B411" s="11" t="s">
        <v>1092</v>
      </c>
      <c r="C411" s="11" t="s">
        <v>494</v>
      </c>
      <c r="D411" s="11" t="s">
        <v>1093</v>
      </c>
      <c r="E411" s="41">
        <f t="shared" ref="E411:T411" si="51">IFERROR(((E83/E259)-1),"CHECK")</f>
        <v>0</v>
      </c>
      <c r="F411" s="41">
        <f t="shared" si="51"/>
        <v>0</v>
      </c>
      <c r="G411" s="41">
        <f t="shared" si="51"/>
        <v>0</v>
      </c>
      <c r="H411" s="41">
        <f t="shared" si="51"/>
        <v>0</v>
      </c>
      <c r="I411" s="41">
        <f t="shared" si="51"/>
        <v>0</v>
      </c>
      <c r="J411" s="41">
        <f t="shared" si="51"/>
        <v>0</v>
      </c>
      <c r="K411" s="41">
        <f t="shared" si="51"/>
        <v>0</v>
      </c>
      <c r="L411" s="41">
        <f t="shared" si="51"/>
        <v>0</v>
      </c>
      <c r="M411" s="41">
        <f t="shared" si="51"/>
        <v>0</v>
      </c>
      <c r="N411" s="41">
        <f t="shared" si="51"/>
        <v>0</v>
      </c>
      <c r="O411" s="41">
        <f t="shared" si="51"/>
        <v>0</v>
      </c>
      <c r="P411" s="41">
        <f t="shared" si="51"/>
        <v>0</v>
      </c>
      <c r="Q411" s="41">
        <f t="shared" si="51"/>
        <v>0</v>
      </c>
      <c r="R411" s="41">
        <f t="shared" si="51"/>
        <v>0</v>
      </c>
      <c r="S411" s="41">
        <f t="shared" si="51"/>
        <v>0</v>
      </c>
      <c r="T411" s="41">
        <f t="shared" si="51"/>
        <v>0</v>
      </c>
      <c r="U411" s="41"/>
      <c r="V411" s="41"/>
    </row>
    <row r="412" spans="1:22" x14ac:dyDescent="0.25">
      <c r="A412" s="11" t="s">
        <v>1098</v>
      </c>
      <c r="B412" s="11" t="s">
        <v>1094</v>
      </c>
      <c r="C412" s="11" t="s">
        <v>494</v>
      </c>
      <c r="D412" s="11" t="s">
        <v>1095</v>
      </c>
      <c r="E412" s="41">
        <f t="shared" ref="E412:T412" si="52">IFERROR(((E84/E260)-1),"CHECK")</f>
        <v>0</v>
      </c>
      <c r="F412" s="41">
        <f t="shared" si="52"/>
        <v>0</v>
      </c>
      <c r="G412" s="41">
        <f t="shared" si="52"/>
        <v>0</v>
      </c>
      <c r="H412" s="41">
        <f t="shared" si="52"/>
        <v>0</v>
      </c>
      <c r="I412" s="41">
        <f t="shared" si="52"/>
        <v>0</v>
      </c>
      <c r="J412" s="41">
        <f t="shared" si="52"/>
        <v>0</v>
      </c>
      <c r="K412" s="41">
        <f t="shared" si="52"/>
        <v>0</v>
      </c>
      <c r="L412" s="41">
        <f t="shared" si="52"/>
        <v>0</v>
      </c>
      <c r="M412" s="41">
        <f t="shared" si="52"/>
        <v>0</v>
      </c>
      <c r="N412" s="41">
        <f t="shared" si="52"/>
        <v>0</v>
      </c>
      <c r="O412" s="41">
        <f t="shared" si="52"/>
        <v>0</v>
      </c>
      <c r="P412" s="41">
        <f t="shared" si="52"/>
        <v>0</v>
      </c>
      <c r="Q412" s="41">
        <f t="shared" si="52"/>
        <v>0</v>
      </c>
      <c r="R412" s="41">
        <f t="shared" si="52"/>
        <v>0</v>
      </c>
      <c r="S412" s="41">
        <f t="shared" si="52"/>
        <v>0</v>
      </c>
      <c r="T412" s="41">
        <f t="shared" si="52"/>
        <v>0</v>
      </c>
      <c r="U412" s="41"/>
      <c r="V412" s="41"/>
    </row>
    <row r="413" spans="1:22" x14ac:dyDescent="0.25">
      <c r="A413" s="11" t="s">
        <v>1098</v>
      </c>
      <c r="B413" s="11" t="s">
        <v>1096</v>
      </c>
      <c r="C413" s="11" t="s">
        <v>494</v>
      </c>
      <c r="D413" s="11" t="s">
        <v>1095</v>
      </c>
      <c r="E413" s="41" t="str">
        <f t="shared" ref="E413:T413" si="53">IFERROR(((E85/E261)-1),"CHECK")</f>
        <v>CHECK</v>
      </c>
      <c r="F413" s="41" t="str">
        <f t="shared" si="53"/>
        <v>CHECK</v>
      </c>
      <c r="G413" s="41" t="str">
        <f t="shared" si="53"/>
        <v>CHECK</v>
      </c>
      <c r="H413" s="41" t="str">
        <f t="shared" si="53"/>
        <v>CHECK</v>
      </c>
      <c r="I413" s="41" t="str">
        <f t="shared" si="53"/>
        <v>CHECK</v>
      </c>
      <c r="J413" s="41" t="str">
        <f t="shared" si="53"/>
        <v>CHECK</v>
      </c>
      <c r="K413" s="41" t="str">
        <f t="shared" si="53"/>
        <v>CHECK</v>
      </c>
      <c r="L413" s="41" t="str">
        <f t="shared" si="53"/>
        <v>CHECK</v>
      </c>
      <c r="M413" s="41" t="str">
        <f t="shared" si="53"/>
        <v>CHECK</v>
      </c>
      <c r="N413" s="41" t="str">
        <f t="shared" si="53"/>
        <v>CHECK</v>
      </c>
      <c r="O413" s="41" t="str">
        <f t="shared" si="53"/>
        <v>CHECK</v>
      </c>
      <c r="P413" s="41" t="str">
        <f t="shared" si="53"/>
        <v>CHECK</v>
      </c>
      <c r="Q413" s="41" t="str">
        <f t="shared" si="53"/>
        <v>CHECK</v>
      </c>
      <c r="R413" s="41" t="str">
        <f t="shared" si="53"/>
        <v>CHECK</v>
      </c>
      <c r="S413" s="41" t="str">
        <f t="shared" si="53"/>
        <v>CHECK</v>
      </c>
      <c r="T413" s="41" t="str">
        <f t="shared" si="53"/>
        <v>CHECK</v>
      </c>
      <c r="U413" s="41"/>
      <c r="V413" s="41"/>
    </row>
    <row r="414" spans="1:22" x14ac:dyDescent="0.25">
      <c r="A414" s="11"/>
      <c r="B414" s="11"/>
      <c r="D414" s="11"/>
      <c r="E414" s="41"/>
      <c r="F414" s="41"/>
      <c r="G414" s="41"/>
      <c r="H414" s="41"/>
      <c r="I414" s="41"/>
      <c r="J414" s="41"/>
      <c r="K414" s="41"/>
      <c r="L414" s="41"/>
      <c r="M414" s="41"/>
      <c r="N414" s="41"/>
      <c r="O414" s="41"/>
      <c r="P414" s="41"/>
      <c r="Q414" s="41"/>
      <c r="R414" s="41"/>
      <c r="S414" s="41"/>
      <c r="T414" s="41"/>
      <c r="U414" s="41"/>
      <c r="V414" s="41"/>
    </row>
    <row r="415" spans="1:22" x14ac:dyDescent="0.25">
      <c r="A415" s="11" t="s">
        <v>1098</v>
      </c>
      <c r="B415" s="11" t="s">
        <v>1091</v>
      </c>
      <c r="C415" s="11" t="s">
        <v>498</v>
      </c>
      <c r="D415" s="11"/>
      <c r="E415" s="41" t="str">
        <f t="shared" ref="E415:T415" si="54">IFERROR(((E87/E263)-1),"CHECK")</f>
        <v>CHECK</v>
      </c>
      <c r="F415" s="41" t="str">
        <f t="shared" si="54"/>
        <v>CHECK</v>
      </c>
      <c r="G415" s="41" t="str">
        <f t="shared" si="54"/>
        <v>CHECK</v>
      </c>
      <c r="H415" s="41" t="str">
        <f t="shared" si="54"/>
        <v>CHECK</v>
      </c>
      <c r="I415" s="41" t="str">
        <f t="shared" si="54"/>
        <v>CHECK</v>
      </c>
      <c r="J415" s="41" t="str">
        <f t="shared" si="54"/>
        <v>CHECK</v>
      </c>
      <c r="K415" s="41" t="str">
        <f t="shared" si="54"/>
        <v>CHECK</v>
      </c>
      <c r="L415" s="41" t="str">
        <f t="shared" si="54"/>
        <v>CHECK</v>
      </c>
      <c r="M415" s="41" t="str">
        <f t="shared" si="54"/>
        <v>CHECK</v>
      </c>
      <c r="N415" s="41" t="str">
        <f t="shared" si="54"/>
        <v>CHECK</v>
      </c>
      <c r="O415" s="41" t="str">
        <f t="shared" si="54"/>
        <v>CHECK</v>
      </c>
      <c r="P415" s="41" t="str">
        <f t="shared" si="54"/>
        <v>CHECK</v>
      </c>
      <c r="Q415" s="41" t="str">
        <f t="shared" si="54"/>
        <v>CHECK</v>
      </c>
      <c r="R415" s="41" t="str">
        <f t="shared" si="54"/>
        <v>CHECK</v>
      </c>
      <c r="S415" s="41" t="str">
        <f t="shared" si="54"/>
        <v>CHECK</v>
      </c>
      <c r="T415" s="41" t="str">
        <f t="shared" si="54"/>
        <v>CHECK</v>
      </c>
      <c r="U415" s="41"/>
      <c r="V415" s="41"/>
    </row>
    <row r="416" spans="1:22" x14ac:dyDescent="0.25">
      <c r="A416" s="11" t="s">
        <v>1098</v>
      </c>
      <c r="B416" s="11" t="s">
        <v>1092</v>
      </c>
      <c r="C416" s="11" t="s">
        <v>498</v>
      </c>
      <c r="D416" s="11" t="s">
        <v>1093</v>
      </c>
      <c r="E416" s="41">
        <f t="shared" ref="E416:T416" si="55">IFERROR(((E88/E264)-1),"CHECK")</f>
        <v>0</v>
      </c>
      <c r="F416" s="41">
        <f t="shared" si="55"/>
        <v>0</v>
      </c>
      <c r="G416" s="41">
        <f t="shared" si="55"/>
        <v>0</v>
      </c>
      <c r="H416" s="41">
        <f t="shared" si="55"/>
        <v>0</v>
      </c>
      <c r="I416" s="41">
        <f t="shared" si="55"/>
        <v>0</v>
      </c>
      <c r="J416" s="41">
        <f t="shared" si="55"/>
        <v>0</v>
      </c>
      <c r="K416" s="41">
        <f t="shared" si="55"/>
        <v>0</v>
      </c>
      <c r="L416" s="41">
        <f t="shared" si="55"/>
        <v>0</v>
      </c>
      <c r="M416" s="41">
        <f t="shared" si="55"/>
        <v>0</v>
      </c>
      <c r="N416" s="41">
        <f t="shared" si="55"/>
        <v>0</v>
      </c>
      <c r="O416" s="41">
        <f t="shared" si="55"/>
        <v>0</v>
      </c>
      <c r="P416" s="41">
        <f t="shared" si="55"/>
        <v>0</v>
      </c>
      <c r="Q416" s="41">
        <f t="shared" si="55"/>
        <v>0</v>
      </c>
      <c r="R416" s="41">
        <f t="shared" si="55"/>
        <v>0</v>
      </c>
      <c r="S416" s="41">
        <f t="shared" si="55"/>
        <v>0</v>
      </c>
      <c r="T416" s="41">
        <f t="shared" si="55"/>
        <v>0</v>
      </c>
      <c r="U416" s="41"/>
      <c r="V416" s="41"/>
    </row>
    <row r="417" spans="1:22" x14ac:dyDescent="0.25">
      <c r="A417" s="11" t="s">
        <v>1098</v>
      </c>
      <c r="B417" s="11" t="s">
        <v>1094</v>
      </c>
      <c r="C417" s="11" t="s">
        <v>498</v>
      </c>
      <c r="D417" s="11" t="s">
        <v>1095</v>
      </c>
      <c r="E417" s="41">
        <f t="shared" ref="E417:T417" si="56">IFERROR(((E89/E265)-1),"CHECK")</f>
        <v>0</v>
      </c>
      <c r="F417" s="41">
        <f t="shared" si="56"/>
        <v>0</v>
      </c>
      <c r="G417" s="41">
        <f t="shared" si="56"/>
        <v>0</v>
      </c>
      <c r="H417" s="41">
        <f t="shared" si="56"/>
        <v>0</v>
      </c>
      <c r="I417" s="41">
        <f t="shared" si="56"/>
        <v>0</v>
      </c>
      <c r="J417" s="41">
        <f t="shared" si="56"/>
        <v>0</v>
      </c>
      <c r="K417" s="41">
        <f t="shared" si="56"/>
        <v>0</v>
      </c>
      <c r="L417" s="41">
        <f t="shared" si="56"/>
        <v>0</v>
      </c>
      <c r="M417" s="41">
        <f t="shared" si="56"/>
        <v>0</v>
      </c>
      <c r="N417" s="41">
        <f t="shared" si="56"/>
        <v>0</v>
      </c>
      <c r="O417" s="41">
        <f t="shared" si="56"/>
        <v>0</v>
      </c>
      <c r="P417" s="41">
        <f t="shared" si="56"/>
        <v>0</v>
      </c>
      <c r="Q417" s="41">
        <f t="shared" si="56"/>
        <v>0</v>
      </c>
      <c r="R417" s="41">
        <f t="shared" si="56"/>
        <v>0</v>
      </c>
      <c r="S417" s="41">
        <f t="shared" si="56"/>
        <v>0</v>
      </c>
      <c r="T417" s="41">
        <f t="shared" si="56"/>
        <v>0</v>
      </c>
      <c r="U417" s="41"/>
      <c r="V417" s="41"/>
    </row>
    <row r="418" spans="1:22" x14ac:dyDescent="0.25">
      <c r="A418" s="11" t="s">
        <v>1098</v>
      </c>
      <c r="B418" s="11" t="s">
        <v>1096</v>
      </c>
      <c r="C418" s="11" t="s">
        <v>498</v>
      </c>
      <c r="D418" s="11" t="s">
        <v>1095</v>
      </c>
      <c r="E418" s="41" t="str">
        <f t="shared" ref="E418:T418" si="57">IFERROR(((E90/E266)-1),"CHECK")</f>
        <v>CHECK</v>
      </c>
      <c r="F418" s="41" t="str">
        <f t="shared" si="57"/>
        <v>CHECK</v>
      </c>
      <c r="G418" s="41" t="str">
        <f t="shared" si="57"/>
        <v>CHECK</v>
      </c>
      <c r="H418" s="41" t="str">
        <f t="shared" si="57"/>
        <v>CHECK</v>
      </c>
      <c r="I418" s="41" t="str">
        <f t="shared" si="57"/>
        <v>CHECK</v>
      </c>
      <c r="J418" s="41" t="str">
        <f t="shared" si="57"/>
        <v>CHECK</v>
      </c>
      <c r="K418" s="41" t="str">
        <f t="shared" si="57"/>
        <v>CHECK</v>
      </c>
      <c r="L418" s="41" t="str">
        <f t="shared" si="57"/>
        <v>CHECK</v>
      </c>
      <c r="M418" s="41" t="str">
        <f t="shared" si="57"/>
        <v>CHECK</v>
      </c>
      <c r="N418" s="41" t="str">
        <f t="shared" si="57"/>
        <v>CHECK</v>
      </c>
      <c r="O418" s="41" t="str">
        <f t="shared" si="57"/>
        <v>CHECK</v>
      </c>
      <c r="P418" s="41" t="str">
        <f t="shared" si="57"/>
        <v>CHECK</v>
      </c>
      <c r="Q418" s="41" t="str">
        <f t="shared" si="57"/>
        <v>CHECK</v>
      </c>
      <c r="R418" s="41" t="str">
        <f t="shared" si="57"/>
        <v>CHECK</v>
      </c>
      <c r="S418" s="41" t="str">
        <f t="shared" si="57"/>
        <v>CHECK</v>
      </c>
      <c r="T418" s="41" t="str">
        <f t="shared" si="57"/>
        <v>CHECK</v>
      </c>
      <c r="U418" s="41"/>
      <c r="V418" s="41"/>
    </row>
    <row r="419" spans="1:22" x14ac:dyDescent="0.25">
      <c r="A419" s="11"/>
      <c r="B419" s="11"/>
      <c r="D419" s="11"/>
      <c r="E419" s="41"/>
      <c r="F419" s="41"/>
      <c r="G419" s="41"/>
      <c r="H419" s="41"/>
      <c r="I419" s="41"/>
      <c r="J419" s="41"/>
      <c r="K419" s="41"/>
      <c r="L419" s="41"/>
      <c r="M419" s="41"/>
      <c r="N419" s="41"/>
      <c r="O419" s="41"/>
      <c r="P419" s="41"/>
      <c r="Q419" s="41"/>
      <c r="R419" s="41"/>
      <c r="S419" s="41"/>
      <c r="T419" s="41"/>
      <c r="U419" s="41"/>
      <c r="V419" s="41"/>
    </row>
    <row r="420" spans="1:22" x14ac:dyDescent="0.25">
      <c r="A420" s="11" t="s">
        <v>1098</v>
      </c>
      <c r="B420" s="11" t="s">
        <v>1091</v>
      </c>
      <c r="C420" s="11" t="s">
        <v>495</v>
      </c>
      <c r="D420" s="11"/>
      <c r="E420" s="41" t="str">
        <f t="shared" ref="E420:T420" si="58">IFERROR(((E92/E268)-1),"CHECK")</f>
        <v>CHECK</v>
      </c>
      <c r="F420" s="41" t="str">
        <f t="shared" si="58"/>
        <v>CHECK</v>
      </c>
      <c r="G420" s="41" t="str">
        <f t="shared" si="58"/>
        <v>CHECK</v>
      </c>
      <c r="H420" s="41" t="str">
        <f t="shared" si="58"/>
        <v>CHECK</v>
      </c>
      <c r="I420" s="41" t="str">
        <f t="shared" si="58"/>
        <v>CHECK</v>
      </c>
      <c r="J420" s="41" t="str">
        <f t="shared" si="58"/>
        <v>CHECK</v>
      </c>
      <c r="K420" s="41" t="str">
        <f t="shared" si="58"/>
        <v>CHECK</v>
      </c>
      <c r="L420" s="41" t="str">
        <f t="shared" si="58"/>
        <v>CHECK</v>
      </c>
      <c r="M420" s="41" t="str">
        <f t="shared" si="58"/>
        <v>CHECK</v>
      </c>
      <c r="N420" s="41" t="str">
        <f t="shared" si="58"/>
        <v>CHECK</v>
      </c>
      <c r="O420" s="41" t="str">
        <f t="shared" si="58"/>
        <v>CHECK</v>
      </c>
      <c r="P420" s="41" t="str">
        <f t="shared" si="58"/>
        <v>CHECK</v>
      </c>
      <c r="Q420" s="41" t="str">
        <f t="shared" si="58"/>
        <v>CHECK</v>
      </c>
      <c r="R420" s="41" t="str">
        <f t="shared" si="58"/>
        <v>CHECK</v>
      </c>
      <c r="S420" s="41" t="str">
        <f t="shared" si="58"/>
        <v>CHECK</v>
      </c>
      <c r="T420" s="41" t="str">
        <f t="shared" si="58"/>
        <v>CHECK</v>
      </c>
      <c r="U420" s="41"/>
      <c r="V420" s="41"/>
    </row>
    <row r="421" spans="1:22" x14ac:dyDescent="0.25">
      <c r="A421" s="11" t="s">
        <v>1098</v>
      </c>
      <c r="B421" s="11" t="s">
        <v>1092</v>
      </c>
      <c r="C421" s="11" t="s">
        <v>495</v>
      </c>
      <c r="D421" s="11" t="s">
        <v>1093</v>
      </c>
      <c r="E421" s="41">
        <f t="shared" ref="E421:T421" si="59">IFERROR(((E93/E269)-1),"CHECK")</f>
        <v>0</v>
      </c>
      <c r="F421" s="41">
        <f t="shared" si="59"/>
        <v>0</v>
      </c>
      <c r="G421" s="41">
        <f t="shared" si="59"/>
        <v>0</v>
      </c>
      <c r="H421" s="41">
        <f t="shared" si="59"/>
        <v>0</v>
      </c>
      <c r="I421" s="41">
        <f t="shared" si="59"/>
        <v>0</v>
      </c>
      <c r="J421" s="41">
        <f t="shared" si="59"/>
        <v>0</v>
      </c>
      <c r="K421" s="41">
        <f t="shared" si="59"/>
        <v>0</v>
      </c>
      <c r="L421" s="41">
        <f t="shared" si="59"/>
        <v>0</v>
      </c>
      <c r="M421" s="41">
        <f t="shared" si="59"/>
        <v>0</v>
      </c>
      <c r="N421" s="41">
        <f t="shared" si="59"/>
        <v>0</v>
      </c>
      <c r="O421" s="41">
        <f t="shared" si="59"/>
        <v>0</v>
      </c>
      <c r="P421" s="41">
        <f t="shared" si="59"/>
        <v>0</v>
      </c>
      <c r="Q421" s="41">
        <f t="shared" si="59"/>
        <v>0</v>
      </c>
      <c r="R421" s="41">
        <f t="shared" si="59"/>
        <v>0</v>
      </c>
      <c r="S421" s="41">
        <f t="shared" si="59"/>
        <v>0</v>
      </c>
      <c r="T421" s="41">
        <f t="shared" si="59"/>
        <v>0</v>
      </c>
      <c r="U421" s="41"/>
      <c r="V421" s="41"/>
    </row>
    <row r="422" spans="1:22" x14ac:dyDescent="0.25">
      <c r="A422" s="11" t="s">
        <v>1098</v>
      </c>
      <c r="B422" s="11" t="s">
        <v>1094</v>
      </c>
      <c r="C422" s="11" t="s">
        <v>495</v>
      </c>
      <c r="D422" s="11" t="s">
        <v>1095</v>
      </c>
      <c r="E422" s="41">
        <f t="shared" ref="E422:T422" si="60">IFERROR(((E94/E270)-1),"CHECK")</f>
        <v>0</v>
      </c>
      <c r="F422" s="41">
        <f t="shared" si="60"/>
        <v>0</v>
      </c>
      <c r="G422" s="41">
        <f t="shared" si="60"/>
        <v>0</v>
      </c>
      <c r="H422" s="41">
        <f t="shared" si="60"/>
        <v>0</v>
      </c>
      <c r="I422" s="41">
        <f t="shared" si="60"/>
        <v>0</v>
      </c>
      <c r="J422" s="41">
        <f t="shared" si="60"/>
        <v>0</v>
      </c>
      <c r="K422" s="41">
        <f t="shared" si="60"/>
        <v>0</v>
      </c>
      <c r="L422" s="41">
        <f t="shared" si="60"/>
        <v>0</v>
      </c>
      <c r="M422" s="41">
        <f t="shared" si="60"/>
        <v>0</v>
      </c>
      <c r="N422" s="41">
        <f t="shared" si="60"/>
        <v>0</v>
      </c>
      <c r="O422" s="41">
        <f t="shared" si="60"/>
        <v>0</v>
      </c>
      <c r="P422" s="41">
        <f t="shared" si="60"/>
        <v>0</v>
      </c>
      <c r="Q422" s="41">
        <f t="shared" si="60"/>
        <v>0</v>
      </c>
      <c r="R422" s="41">
        <f t="shared" si="60"/>
        <v>0</v>
      </c>
      <c r="S422" s="41">
        <f t="shared" si="60"/>
        <v>0</v>
      </c>
      <c r="T422" s="41">
        <f t="shared" si="60"/>
        <v>0</v>
      </c>
      <c r="U422" s="41"/>
      <c r="V422" s="41"/>
    </row>
    <row r="423" spans="1:22" x14ac:dyDescent="0.25">
      <c r="A423" s="11" t="s">
        <v>1098</v>
      </c>
      <c r="B423" s="11" t="s">
        <v>1096</v>
      </c>
      <c r="C423" s="11" t="s">
        <v>495</v>
      </c>
      <c r="D423" s="11" t="s">
        <v>1095</v>
      </c>
      <c r="E423" s="41" t="str">
        <f t="shared" ref="E423:T423" si="61">IFERROR(((E95/E271)-1),"CHECK")</f>
        <v>CHECK</v>
      </c>
      <c r="F423" s="41" t="str">
        <f t="shared" si="61"/>
        <v>CHECK</v>
      </c>
      <c r="G423" s="41" t="str">
        <f t="shared" si="61"/>
        <v>CHECK</v>
      </c>
      <c r="H423" s="41" t="str">
        <f t="shared" si="61"/>
        <v>CHECK</v>
      </c>
      <c r="I423" s="41" t="str">
        <f t="shared" si="61"/>
        <v>CHECK</v>
      </c>
      <c r="J423" s="41" t="str">
        <f t="shared" si="61"/>
        <v>CHECK</v>
      </c>
      <c r="K423" s="41" t="str">
        <f t="shared" si="61"/>
        <v>CHECK</v>
      </c>
      <c r="L423" s="41" t="str">
        <f t="shared" si="61"/>
        <v>CHECK</v>
      </c>
      <c r="M423" s="41" t="str">
        <f t="shared" si="61"/>
        <v>CHECK</v>
      </c>
      <c r="N423" s="41" t="str">
        <f t="shared" si="61"/>
        <v>CHECK</v>
      </c>
      <c r="O423" s="41" t="str">
        <f t="shared" si="61"/>
        <v>CHECK</v>
      </c>
      <c r="P423" s="41" t="str">
        <f t="shared" si="61"/>
        <v>CHECK</v>
      </c>
      <c r="Q423" s="41" t="str">
        <f t="shared" si="61"/>
        <v>CHECK</v>
      </c>
      <c r="R423" s="41" t="str">
        <f t="shared" si="61"/>
        <v>CHECK</v>
      </c>
      <c r="S423" s="41" t="str">
        <f t="shared" si="61"/>
        <v>CHECK</v>
      </c>
      <c r="T423" s="41" t="str">
        <f t="shared" si="61"/>
        <v>CHECK</v>
      </c>
      <c r="U423" s="41"/>
      <c r="V423" s="41"/>
    </row>
    <row r="425" spans="1:22" s="22" customFormat="1" x14ac:dyDescent="0.25">
      <c r="A425" s="124" t="s">
        <v>1088</v>
      </c>
    </row>
    <row r="426" spans="1:22" x14ac:dyDescent="0.25">
      <c r="A426" s="11" t="s">
        <v>1088</v>
      </c>
      <c r="B426" s="11" t="s">
        <v>1091</v>
      </c>
      <c r="C426" s="11" t="s">
        <v>491</v>
      </c>
      <c r="D426" s="11"/>
      <c r="E426" s="41" t="str">
        <f t="shared" ref="E426:T426" si="62">IFERROR(((E98/E274)-1),"CHECK")</f>
        <v>CHECK</v>
      </c>
      <c r="F426" s="41" t="str">
        <f t="shared" si="62"/>
        <v>CHECK</v>
      </c>
      <c r="G426" s="41" t="str">
        <f t="shared" si="62"/>
        <v>CHECK</v>
      </c>
      <c r="H426" s="41" t="str">
        <f t="shared" si="62"/>
        <v>CHECK</v>
      </c>
      <c r="I426" s="41" t="str">
        <f t="shared" si="62"/>
        <v>CHECK</v>
      </c>
      <c r="J426" s="41" t="str">
        <f t="shared" si="62"/>
        <v>CHECK</v>
      </c>
      <c r="K426" s="41" t="str">
        <f t="shared" si="62"/>
        <v>CHECK</v>
      </c>
      <c r="L426" s="41" t="str">
        <f t="shared" si="62"/>
        <v>CHECK</v>
      </c>
      <c r="M426" s="41" t="str">
        <f t="shared" si="62"/>
        <v>CHECK</v>
      </c>
      <c r="N426" s="41" t="str">
        <f t="shared" si="62"/>
        <v>CHECK</v>
      </c>
      <c r="O426" s="41" t="str">
        <f t="shared" si="62"/>
        <v>CHECK</v>
      </c>
      <c r="P426" s="41" t="str">
        <f t="shared" si="62"/>
        <v>CHECK</v>
      </c>
      <c r="Q426" s="41" t="str">
        <f t="shared" si="62"/>
        <v>CHECK</v>
      </c>
      <c r="R426" s="41" t="str">
        <f t="shared" si="62"/>
        <v>CHECK</v>
      </c>
      <c r="S426" s="41" t="str">
        <f t="shared" si="62"/>
        <v>CHECK</v>
      </c>
      <c r="T426" s="41" t="str">
        <f t="shared" si="62"/>
        <v>CHECK</v>
      </c>
      <c r="U426" s="41"/>
      <c r="V426" s="41"/>
    </row>
    <row r="427" spans="1:22" x14ac:dyDescent="0.25">
      <c r="A427" s="11" t="s">
        <v>1088</v>
      </c>
      <c r="B427" s="11" t="s">
        <v>1092</v>
      </c>
      <c r="C427" s="11" t="s">
        <v>491</v>
      </c>
      <c r="D427" s="11" t="s">
        <v>1093</v>
      </c>
      <c r="E427" s="41" t="str">
        <f t="shared" ref="E427:T427" si="63">IFERROR(((E99/E275)-1),"CHECK")</f>
        <v>CHECK</v>
      </c>
      <c r="F427" s="41" t="str">
        <f t="shared" si="63"/>
        <v>CHECK</v>
      </c>
      <c r="G427" s="41" t="str">
        <f t="shared" si="63"/>
        <v>CHECK</v>
      </c>
      <c r="H427" s="41" t="str">
        <f t="shared" si="63"/>
        <v>CHECK</v>
      </c>
      <c r="I427" s="41" t="str">
        <f t="shared" si="63"/>
        <v>CHECK</v>
      </c>
      <c r="J427" s="41" t="str">
        <f t="shared" si="63"/>
        <v>CHECK</v>
      </c>
      <c r="K427" s="41" t="str">
        <f t="shared" si="63"/>
        <v>CHECK</v>
      </c>
      <c r="L427" s="41" t="str">
        <f t="shared" si="63"/>
        <v>CHECK</v>
      </c>
      <c r="M427" s="41" t="str">
        <f t="shared" si="63"/>
        <v>CHECK</v>
      </c>
      <c r="N427" s="41" t="str">
        <f t="shared" si="63"/>
        <v>CHECK</v>
      </c>
      <c r="O427" s="41" t="str">
        <f t="shared" si="63"/>
        <v>CHECK</v>
      </c>
      <c r="P427" s="41" t="str">
        <f t="shared" si="63"/>
        <v>CHECK</v>
      </c>
      <c r="Q427" s="41" t="str">
        <f t="shared" si="63"/>
        <v>CHECK</v>
      </c>
      <c r="R427" s="41" t="str">
        <f t="shared" si="63"/>
        <v>CHECK</v>
      </c>
      <c r="S427" s="41" t="str">
        <f t="shared" si="63"/>
        <v>CHECK</v>
      </c>
      <c r="T427" s="41" t="str">
        <f t="shared" si="63"/>
        <v>CHECK</v>
      </c>
      <c r="U427" s="41"/>
      <c r="V427" s="41"/>
    </row>
    <row r="428" spans="1:22" x14ac:dyDescent="0.25">
      <c r="A428" s="11" t="s">
        <v>1088</v>
      </c>
      <c r="B428" s="11" t="s">
        <v>1094</v>
      </c>
      <c r="C428" s="11" t="s">
        <v>491</v>
      </c>
      <c r="D428" s="11" t="s">
        <v>1095</v>
      </c>
      <c r="E428" s="41" t="str">
        <f t="shared" ref="E428:T428" si="64">IFERROR(((E100/E276)-1),"CHECK")</f>
        <v>CHECK</v>
      </c>
      <c r="F428" s="41" t="str">
        <f t="shared" si="64"/>
        <v>CHECK</v>
      </c>
      <c r="G428" s="41" t="str">
        <f t="shared" si="64"/>
        <v>CHECK</v>
      </c>
      <c r="H428" s="41" t="str">
        <f t="shared" si="64"/>
        <v>CHECK</v>
      </c>
      <c r="I428" s="41" t="str">
        <f t="shared" si="64"/>
        <v>CHECK</v>
      </c>
      <c r="J428" s="41" t="str">
        <f t="shared" si="64"/>
        <v>CHECK</v>
      </c>
      <c r="K428" s="41" t="str">
        <f t="shared" si="64"/>
        <v>CHECK</v>
      </c>
      <c r="L428" s="41" t="str">
        <f t="shared" si="64"/>
        <v>CHECK</v>
      </c>
      <c r="M428" s="41" t="str">
        <f t="shared" si="64"/>
        <v>CHECK</v>
      </c>
      <c r="N428" s="41" t="str">
        <f t="shared" si="64"/>
        <v>CHECK</v>
      </c>
      <c r="O428" s="41" t="str">
        <f t="shared" si="64"/>
        <v>CHECK</v>
      </c>
      <c r="P428" s="41" t="str">
        <f t="shared" si="64"/>
        <v>CHECK</v>
      </c>
      <c r="Q428" s="41" t="str">
        <f t="shared" si="64"/>
        <v>CHECK</v>
      </c>
      <c r="R428" s="41" t="str">
        <f t="shared" si="64"/>
        <v>CHECK</v>
      </c>
      <c r="S428" s="41" t="str">
        <f t="shared" si="64"/>
        <v>CHECK</v>
      </c>
      <c r="T428" s="41" t="str">
        <f t="shared" si="64"/>
        <v>CHECK</v>
      </c>
      <c r="U428" s="41"/>
      <c r="V428" s="41"/>
    </row>
    <row r="429" spans="1:22" x14ac:dyDescent="0.25">
      <c r="A429" s="11" t="s">
        <v>1088</v>
      </c>
      <c r="B429" s="11" t="s">
        <v>1096</v>
      </c>
      <c r="C429" s="11" t="s">
        <v>491</v>
      </c>
      <c r="D429" s="11" t="s">
        <v>1095</v>
      </c>
      <c r="E429" s="41" t="str">
        <f t="shared" ref="E429:T429" si="65">IFERROR(((E101/E277)-1),"CHECK")</f>
        <v>CHECK</v>
      </c>
      <c r="F429" s="41" t="str">
        <f t="shared" si="65"/>
        <v>CHECK</v>
      </c>
      <c r="G429" s="41" t="str">
        <f t="shared" si="65"/>
        <v>CHECK</v>
      </c>
      <c r="H429" s="41" t="str">
        <f t="shared" si="65"/>
        <v>CHECK</v>
      </c>
      <c r="I429" s="41" t="str">
        <f t="shared" si="65"/>
        <v>CHECK</v>
      </c>
      <c r="J429" s="41" t="str">
        <f t="shared" si="65"/>
        <v>CHECK</v>
      </c>
      <c r="K429" s="41" t="str">
        <f t="shared" si="65"/>
        <v>CHECK</v>
      </c>
      <c r="L429" s="41" t="str">
        <f t="shared" si="65"/>
        <v>CHECK</v>
      </c>
      <c r="M429" s="41" t="str">
        <f t="shared" si="65"/>
        <v>CHECK</v>
      </c>
      <c r="N429" s="41" t="str">
        <f t="shared" si="65"/>
        <v>CHECK</v>
      </c>
      <c r="O429" s="41" t="str">
        <f t="shared" si="65"/>
        <v>CHECK</v>
      </c>
      <c r="P429" s="41" t="str">
        <f t="shared" si="65"/>
        <v>CHECK</v>
      </c>
      <c r="Q429" s="41" t="str">
        <f t="shared" si="65"/>
        <v>CHECK</v>
      </c>
      <c r="R429" s="41" t="str">
        <f t="shared" si="65"/>
        <v>CHECK</v>
      </c>
      <c r="S429" s="41" t="str">
        <f t="shared" si="65"/>
        <v>CHECK</v>
      </c>
      <c r="T429" s="41" t="str">
        <f t="shared" si="65"/>
        <v>CHECK</v>
      </c>
      <c r="U429" s="41"/>
      <c r="V429" s="41"/>
    </row>
    <row r="430" spans="1:22" x14ac:dyDescent="0.25">
      <c r="A430" s="11"/>
      <c r="B430" s="11"/>
      <c r="C430" s="11"/>
      <c r="D430" s="11"/>
      <c r="E430" s="41"/>
      <c r="F430" s="41"/>
      <c r="G430" s="41"/>
      <c r="H430" s="41"/>
      <c r="I430" s="41"/>
      <c r="J430" s="41"/>
      <c r="K430" s="41"/>
      <c r="L430" s="41"/>
      <c r="M430" s="41"/>
      <c r="N430" s="41"/>
      <c r="O430" s="41"/>
      <c r="P430" s="41"/>
      <c r="Q430" s="41"/>
      <c r="R430" s="41"/>
      <c r="S430" s="41"/>
      <c r="T430" s="41"/>
      <c r="U430" s="41"/>
      <c r="V430" s="41"/>
    </row>
    <row r="431" spans="1:22" x14ac:dyDescent="0.25">
      <c r="A431" s="11" t="s">
        <v>1088</v>
      </c>
      <c r="B431" s="11" t="s">
        <v>1091</v>
      </c>
      <c r="C431" s="11" t="s">
        <v>492</v>
      </c>
      <c r="D431" s="11"/>
      <c r="E431" s="41" t="str">
        <f t="shared" ref="E431:T431" si="66">IFERROR(((E103/E279)-1),"CHECK")</f>
        <v>CHECK</v>
      </c>
      <c r="F431" s="41" t="str">
        <f t="shared" si="66"/>
        <v>CHECK</v>
      </c>
      <c r="G431" s="41" t="str">
        <f t="shared" si="66"/>
        <v>CHECK</v>
      </c>
      <c r="H431" s="41" t="str">
        <f t="shared" si="66"/>
        <v>CHECK</v>
      </c>
      <c r="I431" s="41" t="str">
        <f t="shared" si="66"/>
        <v>CHECK</v>
      </c>
      <c r="J431" s="41" t="str">
        <f t="shared" si="66"/>
        <v>CHECK</v>
      </c>
      <c r="K431" s="41" t="str">
        <f t="shared" si="66"/>
        <v>CHECK</v>
      </c>
      <c r="L431" s="41" t="str">
        <f t="shared" si="66"/>
        <v>CHECK</v>
      </c>
      <c r="M431" s="41" t="str">
        <f t="shared" si="66"/>
        <v>CHECK</v>
      </c>
      <c r="N431" s="41" t="str">
        <f t="shared" si="66"/>
        <v>CHECK</v>
      </c>
      <c r="O431" s="41" t="str">
        <f t="shared" si="66"/>
        <v>CHECK</v>
      </c>
      <c r="P431" s="41" t="str">
        <f t="shared" si="66"/>
        <v>CHECK</v>
      </c>
      <c r="Q431" s="41" t="str">
        <f t="shared" si="66"/>
        <v>CHECK</v>
      </c>
      <c r="R431" s="41" t="str">
        <f t="shared" si="66"/>
        <v>CHECK</v>
      </c>
      <c r="S431" s="41" t="str">
        <f t="shared" si="66"/>
        <v>CHECK</v>
      </c>
      <c r="T431" s="41" t="str">
        <f t="shared" si="66"/>
        <v>CHECK</v>
      </c>
      <c r="U431" s="41"/>
      <c r="V431" s="41"/>
    </row>
    <row r="432" spans="1:22" x14ac:dyDescent="0.25">
      <c r="A432" s="11" t="s">
        <v>1088</v>
      </c>
      <c r="B432" s="11" t="s">
        <v>1092</v>
      </c>
      <c r="C432" s="11" t="s">
        <v>492</v>
      </c>
      <c r="D432" s="11" t="s">
        <v>1093</v>
      </c>
      <c r="E432" s="41" t="str">
        <f t="shared" ref="E432:T432" si="67">IFERROR(((E104/E280)-1),"CHECK")</f>
        <v>CHECK</v>
      </c>
      <c r="F432" s="41" t="str">
        <f t="shared" si="67"/>
        <v>CHECK</v>
      </c>
      <c r="G432" s="41" t="str">
        <f t="shared" si="67"/>
        <v>CHECK</v>
      </c>
      <c r="H432" s="41" t="str">
        <f t="shared" si="67"/>
        <v>CHECK</v>
      </c>
      <c r="I432" s="41" t="str">
        <f t="shared" si="67"/>
        <v>CHECK</v>
      </c>
      <c r="J432" s="41" t="str">
        <f t="shared" si="67"/>
        <v>CHECK</v>
      </c>
      <c r="K432" s="41" t="str">
        <f t="shared" si="67"/>
        <v>CHECK</v>
      </c>
      <c r="L432" s="41" t="str">
        <f t="shared" si="67"/>
        <v>CHECK</v>
      </c>
      <c r="M432" s="41" t="str">
        <f t="shared" si="67"/>
        <v>CHECK</v>
      </c>
      <c r="N432" s="41" t="str">
        <f t="shared" si="67"/>
        <v>CHECK</v>
      </c>
      <c r="O432" s="41" t="str">
        <f t="shared" si="67"/>
        <v>CHECK</v>
      </c>
      <c r="P432" s="41" t="str">
        <f t="shared" si="67"/>
        <v>CHECK</v>
      </c>
      <c r="Q432" s="41" t="str">
        <f t="shared" si="67"/>
        <v>CHECK</v>
      </c>
      <c r="R432" s="41" t="str">
        <f t="shared" si="67"/>
        <v>CHECK</v>
      </c>
      <c r="S432" s="41" t="str">
        <f t="shared" si="67"/>
        <v>CHECK</v>
      </c>
      <c r="T432" s="41" t="str">
        <f t="shared" si="67"/>
        <v>CHECK</v>
      </c>
      <c r="U432" s="41"/>
      <c r="V432" s="41"/>
    </row>
    <row r="433" spans="1:22" x14ac:dyDescent="0.25">
      <c r="A433" s="11" t="s">
        <v>1088</v>
      </c>
      <c r="B433" s="11" t="s">
        <v>1094</v>
      </c>
      <c r="C433" s="11" t="s">
        <v>492</v>
      </c>
      <c r="D433" s="11" t="s">
        <v>1095</v>
      </c>
      <c r="E433" s="41" t="str">
        <f t="shared" ref="E433:T433" si="68">IFERROR(((E105/E281)-1),"CHECK")</f>
        <v>CHECK</v>
      </c>
      <c r="F433" s="41" t="str">
        <f t="shared" si="68"/>
        <v>CHECK</v>
      </c>
      <c r="G433" s="41" t="str">
        <f t="shared" si="68"/>
        <v>CHECK</v>
      </c>
      <c r="H433" s="41" t="str">
        <f t="shared" si="68"/>
        <v>CHECK</v>
      </c>
      <c r="I433" s="41" t="str">
        <f t="shared" si="68"/>
        <v>CHECK</v>
      </c>
      <c r="J433" s="41" t="str">
        <f t="shared" si="68"/>
        <v>CHECK</v>
      </c>
      <c r="K433" s="41" t="str">
        <f t="shared" si="68"/>
        <v>CHECK</v>
      </c>
      <c r="L433" s="41" t="str">
        <f t="shared" si="68"/>
        <v>CHECK</v>
      </c>
      <c r="M433" s="41" t="str">
        <f t="shared" si="68"/>
        <v>CHECK</v>
      </c>
      <c r="N433" s="41" t="str">
        <f t="shared" si="68"/>
        <v>CHECK</v>
      </c>
      <c r="O433" s="41" t="str">
        <f t="shared" si="68"/>
        <v>CHECK</v>
      </c>
      <c r="P433" s="41" t="str">
        <f t="shared" si="68"/>
        <v>CHECK</v>
      </c>
      <c r="Q433" s="41" t="str">
        <f t="shared" si="68"/>
        <v>CHECK</v>
      </c>
      <c r="R433" s="41" t="str">
        <f t="shared" si="68"/>
        <v>CHECK</v>
      </c>
      <c r="S433" s="41" t="str">
        <f t="shared" si="68"/>
        <v>CHECK</v>
      </c>
      <c r="T433" s="41" t="str">
        <f t="shared" si="68"/>
        <v>CHECK</v>
      </c>
      <c r="U433" s="41"/>
      <c r="V433" s="41"/>
    </row>
    <row r="434" spans="1:22" x14ac:dyDescent="0.25">
      <c r="A434" s="11" t="s">
        <v>1088</v>
      </c>
      <c r="B434" s="11" t="s">
        <v>1096</v>
      </c>
      <c r="C434" s="11" t="s">
        <v>492</v>
      </c>
      <c r="D434" s="11" t="s">
        <v>1095</v>
      </c>
      <c r="E434" s="41" t="str">
        <f t="shared" ref="E434:T434" si="69">IFERROR(((E106/E282)-1),"CHECK")</f>
        <v>CHECK</v>
      </c>
      <c r="F434" s="41" t="str">
        <f t="shared" si="69"/>
        <v>CHECK</v>
      </c>
      <c r="G434" s="41" t="str">
        <f t="shared" si="69"/>
        <v>CHECK</v>
      </c>
      <c r="H434" s="41" t="str">
        <f t="shared" si="69"/>
        <v>CHECK</v>
      </c>
      <c r="I434" s="41" t="str">
        <f t="shared" si="69"/>
        <v>CHECK</v>
      </c>
      <c r="J434" s="41" t="str">
        <f t="shared" si="69"/>
        <v>CHECK</v>
      </c>
      <c r="K434" s="41" t="str">
        <f t="shared" si="69"/>
        <v>CHECK</v>
      </c>
      <c r="L434" s="41" t="str">
        <f t="shared" si="69"/>
        <v>CHECK</v>
      </c>
      <c r="M434" s="41" t="str">
        <f t="shared" si="69"/>
        <v>CHECK</v>
      </c>
      <c r="N434" s="41" t="str">
        <f t="shared" si="69"/>
        <v>CHECK</v>
      </c>
      <c r="O434" s="41" t="str">
        <f t="shared" si="69"/>
        <v>CHECK</v>
      </c>
      <c r="P434" s="41" t="str">
        <f t="shared" si="69"/>
        <v>CHECK</v>
      </c>
      <c r="Q434" s="41" t="str">
        <f t="shared" si="69"/>
        <v>CHECK</v>
      </c>
      <c r="R434" s="41" t="str">
        <f t="shared" si="69"/>
        <v>CHECK</v>
      </c>
      <c r="S434" s="41" t="str">
        <f t="shared" si="69"/>
        <v>CHECK</v>
      </c>
      <c r="T434" s="41" t="str">
        <f t="shared" si="69"/>
        <v>CHECK</v>
      </c>
      <c r="U434" s="41"/>
      <c r="V434" s="41"/>
    </row>
    <row r="435" spans="1:22" x14ac:dyDescent="0.25">
      <c r="A435" s="11"/>
      <c r="B435" s="11"/>
      <c r="C435" s="11"/>
      <c r="D435" s="11"/>
      <c r="E435" s="41"/>
      <c r="F435" s="41"/>
      <c r="G435" s="41"/>
      <c r="H435" s="41"/>
      <c r="I435" s="41"/>
      <c r="J435" s="41"/>
      <c r="K435" s="41"/>
      <c r="L435" s="41"/>
      <c r="M435" s="41"/>
      <c r="N435" s="41"/>
      <c r="O435" s="41"/>
      <c r="P435" s="41"/>
      <c r="Q435" s="41"/>
      <c r="R435" s="41"/>
      <c r="S435" s="41"/>
      <c r="T435" s="41"/>
      <c r="U435" s="41"/>
      <c r="V435" s="41"/>
    </row>
    <row r="436" spans="1:22" x14ac:dyDescent="0.25">
      <c r="A436" s="11" t="s">
        <v>1088</v>
      </c>
      <c r="B436" s="11" t="s">
        <v>1091</v>
      </c>
      <c r="C436" s="11" t="s">
        <v>493</v>
      </c>
      <c r="D436" s="11"/>
      <c r="E436" s="41" t="str">
        <f t="shared" ref="E436:T436" si="70">IFERROR(((E108/E284)-1),"CHECK")</f>
        <v>CHECK</v>
      </c>
      <c r="F436" s="41" t="str">
        <f t="shared" si="70"/>
        <v>CHECK</v>
      </c>
      <c r="G436" s="41" t="str">
        <f t="shared" si="70"/>
        <v>CHECK</v>
      </c>
      <c r="H436" s="41" t="str">
        <f t="shared" si="70"/>
        <v>CHECK</v>
      </c>
      <c r="I436" s="41" t="str">
        <f t="shared" si="70"/>
        <v>CHECK</v>
      </c>
      <c r="J436" s="41" t="str">
        <f t="shared" si="70"/>
        <v>CHECK</v>
      </c>
      <c r="K436" s="41" t="str">
        <f t="shared" si="70"/>
        <v>CHECK</v>
      </c>
      <c r="L436" s="41" t="str">
        <f t="shared" si="70"/>
        <v>CHECK</v>
      </c>
      <c r="M436" s="41" t="str">
        <f t="shared" si="70"/>
        <v>CHECK</v>
      </c>
      <c r="N436" s="41" t="str">
        <f t="shared" si="70"/>
        <v>CHECK</v>
      </c>
      <c r="O436" s="41" t="str">
        <f t="shared" si="70"/>
        <v>CHECK</v>
      </c>
      <c r="P436" s="41" t="str">
        <f t="shared" si="70"/>
        <v>CHECK</v>
      </c>
      <c r="Q436" s="41" t="str">
        <f t="shared" si="70"/>
        <v>CHECK</v>
      </c>
      <c r="R436" s="41" t="str">
        <f t="shared" si="70"/>
        <v>CHECK</v>
      </c>
      <c r="S436" s="41" t="str">
        <f t="shared" si="70"/>
        <v>CHECK</v>
      </c>
      <c r="T436" s="41" t="str">
        <f t="shared" si="70"/>
        <v>CHECK</v>
      </c>
      <c r="U436" s="41"/>
      <c r="V436" s="41"/>
    </row>
    <row r="437" spans="1:22" x14ac:dyDescent="0.25">
      <c r="A437" s="11" t="s">
        <v>1088</v>
      </c>
      <c r="B437" s="11" t="s">
        <v>1092</v>
      </c>
      <c r="C437" s="11" t="s">
        <v>493</v>
      </c>
      <c r="D437" s="11" t="s">
        <v>1093</v>
      </c>
      <c r="E437" s="41" t="str">
        <f t="shared" ref="E437:T437" si="71">IFERROR(((E109/E285)-1),"CHECK")</f>
        <v>CHECK</v>
      </c>
      <c r="F437" s="41" t="str">
        <f t="shared" si="71"/>
        <v>CHECK</v>
      </c>
      <c r="G437" s="41" t="str">
        <f t="shared" si="71"/>
        <v>CHECK</v>
      </c>
      <c r="H437" s="41" t="str">
        <f t="shared" si="71"/>
        <v>CHECK</v>
      </c>
      <c r="I437" s="41" t="str">
        <f t="shared" si="71"/>
        <v>CHECK</v>
      </c>
      <c r="J437" s="41" t="str">
        <f t="shared" si="71"/>
        <v>CHECK</v>
      </c>
      <c r="K437" s="41" t="str">
        <f t="shared" si="71"/>
        <v>CHECK</v>
      </c>
      <c r="L437" s="41" t="str">
        <f t="shared" si="71"/>
        <v>CHECK</v>
      </c>
      <c r="M437" s="41" t="str">
        <f t="shared" si="71"/>
        <v>CHECK</v>
      </c>
      <c r="N437" s="41" t="str">
        <f t="shared" si="71"/>
        <v>CHECK</v>
      </c>
      <c r="O437" s="41" t="str">
        <f t="shared" si="71"/>
        <v>CHECK</v>
      </c>
      <c r="P437" s="41" t="str">
        <f t="shared" si="71"/>
        <v>CHECK</v>
      </c>
      <c r="Q437" s="41" t="str">
        <f t="shared" si="71"/>
        <v>CHECK</v>
      </c>
      <c r="R437" s="41" t="str">
        <f t="shared" si="71"/>
        <v>CHECK</v>
      </c>
      <c r="S437" s="41" t="str">
        <f t="shared" si="71"/>
        <v>CHECK</v>
      </c>
      <c r="T437" s="41" t="str">
        <f t="shared" si="71"/>
        <v>CHECK</v>
      </c>
      <c r="U437" s="41"/>
      <c r="V437" s="41"/>
    </row>
    <row r="438" spans="1:22" x14ac:dyDescent="0.25">
      <c r="A438" s="11" t="s">
        <v>1088</v>
      </c>
      <c r="B438" s="11" t="s">
        <v>1094</v>
      </c>
      <c r="C438" s="11" t="s">
        <v>493</v>
      </c>
      <c r="D438" s="11" t="s">
        <v>1095</v>
      </c>
      <c r="E438" s="41" t="str">
        <f t="shared" ref="E438:T438" si="72">IFERROR(((E110/E286)-1),"CHECK")</f>
        <v>CHECK</v>
      </c>
      <c r="F438" s="41" t="str">
        <f t="shared" si="72"/>
        <v>CHECK</v>
      </c>
      <c r="G438" s="41" t="str">
        <f t="shared" si="72"/>
        <v>CHECK</v>
      </c>
      <c r="H438" s="41" t="str">
        <f t="shared" si="72"/>
        <v>CHECK</v>
      </c>
      <c r="I438" s="41" t="str">
        <f t="shared" si="72"/>
        <v>CHECK</v>
      </c>
      <c r="J438" s="41" t="str">
        <f t="shared" si="72"/>
        <v>CHECK</v>
      </c>
      <c r="K438" s="41" t="str">
        <f t="shared" si="72"/>
        <v>CHECK</v>
      </c>
      <c r="L438" s="41" t="str">
        <f t="shared" si="72"/>
        <v>CHECK</v>
      </c>
      <c r="M438" s="41" t="str">
        <f t="shared" si="72"/>
        <v>CHECK</v>
      </c>
      <c r="N438" s="41" t="str">
        <f t="shared" si="72"/>
        <v>CHECK</v>
      </c>
      <c r="O438" s="41" t="str">
        <f t="shared" si="72"/>
        <v>CHECK</v>
      </c>
      <c r="P438" s="41" t="str">
        <f t="shared" si="72"/>
        <v>CHECK</v>
      </c>
      <c r="Q438" s="41" t="str">
        <f t="shared" si="72"/>
        <v>CHECK</v>
      </c>
      <c r="R438" s="41" t="str">
        <f t="shared" si="72"/>
        <v>CHECK</v>
      </c>
      <c r="S438" s="41" t="str">
        <f t="shared" si="72"/>
        <v>CHECK</v>
      </c>
      <c r="T438" s="41" t="str">
        <f t="shared" si="72"/>
        <v>CHECK</v>
      </c>
      <c r="U438" s="41"/>
      <c r="V438" s="41"/>
    </row>
    <row r="439" spans="1:22" x14ac:dyDescent="0.25">
      <c r="A439" s="11" t="s">
        <v>1088</v>
      </c>
      <c r="B439" s="11" t="s">
        <v>1096</v>
      </c>
      <c r="C439" s="11" t="s">
        <v>493</v>
      </c>
      <c r="D439" s="11" t="s">
        <v>1095</v>
      </c>
      <c r="E439" s="41" t="str">
        <f t="shared" ref="E439:T439" si="73">IFERROR(((E111/E287)-1),"CHECK")</f>
        <v>CHECK</v>
      </c>
      <c r="F439" s="41" t="str">
        <f t="shared" si="73"/>
        <v>CHECK</v>
      </c>
      <c r="G439" s="41" t="str">
        <f t="shared" si="73"/>
        <v>CHECK</v>
      </c>
      <c r="H439" s="41" t="str">
        <f t="shared" si="73"/>
        <v>CHECK</v>
      </c>
      <c r="I439" s="41" t="str">
        <f t="shared" si="73"/>
        <v>CHECK</v>
      </c>
      <c r="J439" s="41" t="str">
        <f t="shared" si="73"/>
        <v>CHECK</v>
      </c>
      <c r="K439" s="41" t="str">
        <f t="shared" si="73"/>
        <v>CHECK</v>
      </c>
      <c r="L439" s="41" t="str">
        <f t="shared" si="73"/>
        <v>CHECK</v>
      </c>
      <c r="M439" s="41" t="str">
        <f t="shared" si="73"/>
        <v>CHECK</v>
      </c>
      <c r="N439" s="41" t="str">
        <f t="shared" si="73"/>
        <v>CHECK</v>
      </c>
      <c r="O439" s="41" t="str">
        <f t="shared" si="73"/>
        <v>CHECK</v>
      </c>
      <c r="P439" s="41" t="str">
        <f t="shared" si="73"/>
        <v>CHECK</v>
      </c>
      <c r="Q439" s="41" t="str">
        <f t="shared" si="73"/>
        <v>CHECK</v>
      </c>
      <c r="R439" s="41" t="str">
        <f t="shared" si="73"/>
        <v>CHECK</v>
      </c>
      <c r="S439" s="41" t="str">
        <f t="shared" si="73"/>
        <v>CHECK</v>
      </c>
      <c r="T439" s="41" t="str">
        <f t="shared" si="73"/>
        <v>CHECK</v>
      </c>
      <c r="U439" s="41"/>
      <c r="V439" s="41"/>
    </row>
    <row r="440" spans="1:22" x14ac:dyDescent="0.25">
      <c r="A440" s="11"/>
      <c r="B440" s="11"/>
      <c r="C440" s="11"/>
      <c r="D440" s="11"/>
      <c r="E440" s="41"/>
      <c r="F440" s="41"/>
      <c r="G440" s="41"/>
      <c r="H440" s="41"/>
      <c r="I440" s="41"/>
      <c r="J440" s="41"/>
      <c r="K440" s="41"/>
      <c r="L440" s="41"/>
      <c r="M440" s="41"/>
      <c r="N440" s="41"/>
      <c r="O440" s="41"/>
      <c r="P440" s="41"/>
      <c r="Q440" s="41"/>
      <c r="R440" s="41"/>
      <c r="S440" s="41"/>
      <c r="T440" s="41"/>
      <c r="U440" s="41"/>
      <c r="V440" s="41"/>
    </row>
    <row r="441" spans="1:22" x14ac:dyDescent="0.25">
      <c r="A441" s="11" t="s">
        <v>1088</v>
      </c>
      <c r="B441" s="11" t="s">
        <v>1091</v>
      </c>
      <c r="C441" s="11" t="s">
        <v>494</v>
      </c>
      <c r="D441" s="11"/>
      <c r="E441" s="41" t="str">
        <f t="shared" ref="E441:T441" si="74">IFERROR(((E113/E289)-1),"CHECK")</f>
        <v>CHECK</v>
      </c>
      <c r="F441" s="41" t="str">
        <f t="shared" si="74"/>
        <v>CHECK</v>
      </c>
      <c r="G441" s="41" t="str">
        <f t="shared" si="74"/>
        <v>CHECK</v>
      </c>
      <c r="H441" s="41" t="str">
        <f t="shared" si="74"/>
        <v>CHECK</v>
      </c>
      <c r="I441" s="41" t="str">
        <f t="shared" si="74"/>
        <v>CHECK</v>
      </c>
      <c r="J441" s="41" t="str">
        <f t="shared" si="74"/>
        <v>CHECK</v>
      </c>
      <c r="K441" s="41" t="str">
        <f t="shared" si="74"/>
        <v>CHECK</v>
      </c>
      <c r="L441" s="41" t="str">
        <f t="shared" si="74"/>
        <v>CHECK</v>
      </c>
      <c r="M441" s="41" t="str">
        <f t="shared" si="74"/>
        <v>CHECK</v>
      </c>
      <c r="N441" s="41" t="str">
        <f t="shared" si="74"/>
        <v>CHECK</v>
      </c>
      <c r="O441" s="41" t="str">
        <f t="shared" si="74"/>
        <v>CHECK</v>
      </c>
      <c r="P441" s="41" t="str">
        <f t="shared" si="74"/>
        <v>CHECK</v>
      </c>
      <c r="Q441" s="41" t="str">
        <f t="shared" si="74"/>
        <v>CHECK</v>
      </c>
      <c r="R441" s="41" t="str">
        <f t="shared" si="74"/>
        <v>CHECK</v>
      </c>
      <c r="S441" s="41" t="str">
        <f t="shared" si="74"/>
        <v>CHECK</v>
      </c>
      <c r="T441" s="41" t="str">
        <f t="shared" si="74"/>
        <v>CHECK</v>
      </c>
      <c r="U441" s="41"/>
      <c r="V441" s="41"/>
    </row>
    <row r="442" spans="1:22" x14ac:dyDescent="0.25">
      <c r="A442" s="11" t="s">
        <v>1088</v>
      </c>
      <c r="B442" s="11" t="s">
        <v>1092</v>
      </c>
      <c r="C442" s="11" t="s">
        <v>494</v>
      </c>
      <c r="D442" s="11" t="s">
        <v>1093</v>
      </c>
      <c r="E442" s="41" t="str">
        <f t="shared" ref="E442:T442" si="75">IFERROR(((E114/E290)-1),"CHECK")</f>
        <v>CHECK</v>
      </c>
      <c r="F442" s="41" t="str">
        <f t="shared" si="75"/>
        <v>CHECK</v>
      </c>
      <c r="G442" s="41" t="str">
        <f t="shared" si="75"/>
        <v>CHECK</v>
      </c>
      <c r="H442" s="41" t="str">
        <f t="shared" si="75"/>
        <v>CHECK</v>
      </c>
      <c r="I442" s="41" t="str">
        <f t="shared" si="75"/>
        <v>CHECK</v>
      </c>
      <c r="J442" s="41" t="str">
        <f t="shared" si="75"/>
        <v>CHECK</v>
      </c>
      <c r="K442" s="41" t="str">
        <f t="shared" si="75"/>
        <v>CHECK</v>
      </c>
      <c r="L442" s="41" t="str">
        <f t="shared" si="75"/>
        <v>CHECK</v>
      </c>
      <c r="M442" s="41" t="str">
        <f t="shared" si="75"/>
        <v>CHECK</v>
      </c>
      <c r="N442" s="41" t="str">
        <f t="shared" si="75"/>
        <v>CHECK</v>
      </c>
      <c r="O442" s="41" t="str">
        <f t="shared" si="75"/>
        <v>CHECK</v>
      </c>
      <c r="P442" s="41" t="str">
        <f t="shared" si="75"/>
        <v>CHECK</v>
      </c>
      <c r="Q442" s="41" t="str">
        <f t="shared" si="75"/>
        <v>CHECK</v>
      </c>
      <c r="R442" s="41" t="str">
        <f t="shared" si="75"/>
        <v>CHECK</v>
      </c>
      <c r="S442" s="41" t="str">
        <f t="shared" si="75"/>
        <v>CHECK</v>
      </c>
      <c r="T442" s="41" t="str">
        <f t="shared" si="75"/>
        <v>CHECK</v>
      </c>
      <c r="U442" s="41"/>
      <c r="V442" s="41"/>
    </row>
    <row r="443" spans="1:22" x14ac:dyDescent="0.25">
      <c r="A443" s="11" t="s">
        <v>1088</v>
      </c>
      <c r="B443" s="11" t="s">
        <v>1094</v>
      </c>
      <c r="C443" s="11" t="s">
        <v>494</v>
      </c>
      <c r="D443" s="11" t="s">
        <v>1095</v>
      </c>
      <c r="E443" s="41" t="str">
        <f t="shared" ref="E443:T443" si="76">IFERROR(((E115/E291)-1),"CHECK")</f>
        <v>CHECK</v>
      </c>
      <c r="F443" s="41" t="str">
        <f t="shared" si="76"/>
        <v>CHECK</v>
      </c>
      <c r="G443" s="41" t="str">
        <f t="shared" si="76"/>
        <v>CHECK</v>
      </c>
      <c r="H443" s="41" t="str">
        <f t="shared" si="76"/>
        <v>CHECK</v>
      </c>
      <c r="I443" s="41" t="str">
        <f t="shared" si="76"/>
        <v>CHECK</v>
      </c>
      <c r="J443" s="41" t="str">
        <f t="shared" si="76"/>
        <v>CHECK</v>
      </c>
      <c r="K443" s="41" t="str">
        <f t="shared" si="76"/>
        <v>CHECK</v>
      </c>
      <c r="L443" s="41" t="str">
        <f t="shared" si="76"/>
        <v>CHECK</v>
      </c>
      <c r="M443" s="41" t="str">
        <f t="shared" si="76"/>
        <v>CHECK</v>
      </c>
      <c r="N443" s="41" t="str">
        <f t="shared" si="76"/>
        <v>CHECK</v>
      </c>
      <c r="O443" s="41" t="str">
        <f t="shared" si="76"/>
        <v>CHECK</v>
      </c>
      <c r="P443" s="41" t="str">
        <f t="shared" si="76"/>
        <v>CHECK</v>
      </c>
      <c r="Q443" s="41" t="str">
        <f t="shared" si="76"/>
        <v>CHECK</v>
      </c>
      <c r="R443" s="41" t="str">
        <f t="shared" si="76"/>
        <v>CHECK</v>
      </c>
      <c r="S443" s="41" t="str">
        <f t="shared" si="76"/>
        <v>CHECK</v>
      </c>
      <c r="T443" s="41" t="str">
        <f t="shared" si="76"/>
        <v>CHECK</v>
      </c>
      <c r="U443" s="41"/>
      <c r="V443" s="41"/>
    </row>
    <row r="444" spans="1:22" x14ac:dyDescent="0.25">
      <c r="A444" s="11" t="s">
        <v>1088</v>
      </c>
      <c r="B444" s="11" t="s">
        <v>1096</v>
      </c>
      <c r="C444" s="11" t="s">
        <v>494</v>
      </c>
      <c r="D444" s="11" t="s">
        <v>1095</v>
      </c>
      <c r="E444" s="41" t="str">
        <f t="shared" ref="E444:T444" si="77">IFERROR(((E116/E292)-1),"CHECK")</f>
        <v>CHECK</v>
      </c>
      <c r="F444" s="41" t="str">
        <f t="shared" si="77"/>
        <v>CHECK</v>
      </c>
      <c r="G444" s="41" t="str">
        <f t="shared" si="77"/>
        <v>CHECK</v>
      </c>
      <c r="H444" s="41" t="str">
        <f t="shared" si="77"/>
        <v>CHECK</v>
      </c>
      <c r="I444" s="41" t="str">
        <f t="shared" si="77"/>
        <v>CHECK</v>
      </c>
      <c r="J444" s="41" t="str">
        <f t="shared" si="77"/>
        <v>CHECK</v>
      </c>
      <c r="K444" s="41" t="str">
        <f t="shared" si="77"/>
        <v>CHECK</v>
      </c>
      <c r="L444" s="41" t="str">
        <f t="shared" si="77"/>
        <v>CHECK</v>
      </c>
      <c r="M444" s="41" t="str">
        <f t="shared" si="77"/>
        <v>CHECK</v>
      </c>
      <c r="N444" s="41" t="str">
        <f t="shared" si="77"/>
        <v>CHECK</v>
      </c>
      <c r="O444" s="41" t="str">
        <f t="shared" si="77"/>
        <v>CHECK</v>
      </c>
      <c r="P444" s="41" t="str">
        <f t="shared" si="77"/>
        <v>CHECK</v>
      </c>
      <c r="Q444" s="41" t="str">
        <f t="shared" si="77"/>
        <v>CHECK</v>
      </c>
      <c r="R444" s="41" t="str">
        <f t="shared" si="77"/>
        <v>CHECK</v>
      </c>
      <c r="S444" s="41" t="str">
        <f t="shared" si="77"/>
        <v>CHECK</v>
      </c>
      <c r="T444" s="41" t="str">
        <f t="shared" si="77"/>
        <v>CHECK</v>
      </c>
      <c r="U444" s="41"/>
      <c r="V444" s="41"/>
    </row>
    <row r="445" spans="1:22" x14ac:dyDescent="0.25">
      <c r="B445" s="11"/>
      <c r="D445" s="11"/>
      <c r="E445" s="41"/>
      <c r="F445" s="41"/>
      <c r="G445" s="41"/>
      <c r="H445" s="41"/>
      <c r="I445" s="41"/>
      <c r="J445" s="41"/>
      <c r="K445" s="41"/>
      <c r="L445" s="41"/>
      <c r="M445" s="41"/>
      <c r="N445" s="41"/>
      <c r="O445" s="41"/>
      <c r="P445" s="41"/>
      <c r="Q445" s="41"/>
      <c r="R445" s="41"/>
      <c r="S445" s="41"/>
      <c r="T445" s="41"/>
      <c r="U445" s="41"/>
      <c r="V445" s="41"/>
    </row>
    <row r="446" spans="1:22" x14ac:dyDescent="0.25">
      <c r="A446" s="11" t="s">
        <v>1088</v>
      </c>
      <c r="B446" s="11" t="s">
        <v>1091</v>
      </c>
      <c r="C446" s="11" t="s">
        <v>498</v>
      </c>
      <c r="D446" s="11"/>
      <c r="E446" s="41" t="str">
        <f t="shared" ref="E446:T446" si="78">IFERROR(((E118/E294)-1),"CHECK")</f>
        <v>CHECK</v>
      </c>
      <c r="F446" s="41" t="str">
        <f t="shared" si="78"/>
        <v>CHECK</v>
      </c>
      <c r="G446" s="41" t="str">
        <f t="shared" si="78"/>
        <v>CHECK</v>
      </c>
      <c r="H446" s="41" t="str">
        <f t="shared" si="78"/>
        <v>CHECK</v>
      </c>
      <c r="I446" s="41" t="str">
        <f t="shared" si="78"/>
        <v>CHECK</v>
      </c>
      <c r="J446" s="41" t="str">
        <f t="shared" si="78"/>
        <v>CHECK</v>
      </c>
      <c r="K446" s="41" t="str">
        <f t="shared" si="78"/>
        <v>CHECK</v>
      </c>
      <c r="L446" s="41" t="str">
        <f t="shared" si="78"/>
        <v>CHECK</v>
      </c>
      <c r="M446" s="41" t="str">
        <f t="shared" si="78"/>
        <v>CHECK</v>
      </c>
      <c r="N446" s="41" t="str">
        <f t="shared" si="78"/>
        <v>CHECK</v>
      </c>
      <c r="O446" s="41" t="str">
        <f t="shared" si="78"/>
        <v>CHECK</v>
      </c>
      <c r="P446" s="41" t="str">
        <f t="shared" si="78"/>
        <v>CHECK</v>
      </c>
      <c r="Q446" s="41" t="str">
        <f t="shared" si="78"/>
        <v>CHECK</v>
      </c>
      <c r="R446" s="41" t="str">
        <f t="shared" si="78"/>
        <v>CHECK</v>
      </c>
      <c r="S446" s="41" t="str">
        <f t="shared" si="78"/>
        <v>CHECK</v>
      </c>
      <c r="T446" s="41" t="str">
        <f t="shared" si="78"/>
        <v>CHECK</v>
      </c>
      <c r="U446" s="41"/>
      <c r="V446" s="41"/>
    </row>
    <row r="447" spans="1:22" x14ac:dyDescent="0.25">
      <c r="A447" s="11" t="s">
        <v>1088</v>
      </c>
      <c r="B447" s="11" t="s">
        <v>1092</v>
      </c>
      <c r="C447" s="11" t="s">
        <v>498</v>
      </c>
      <c r="D447" s="11" t="s">
        <v>1093</v>
      </c>
      <c r="E447" s="41" t="str">
        <f t="shared" ref="E447:T447" si="79">IFERROR(((E119/E295)-1),"CHECK")</f>
        <v>CHECK</v>
      </c>
      <c r="F447" s="41" t="str">
        <f t="shared" si="79"/>
        <v>CHECK</v>
      </c>
      <c r="G447" s="41" t="str">
        <f t="shared" si="79"/>
        <v>CHECK</v>
      </c>
      <c r="H447" s="41" t="str">
        <f t="shared" si="79"/>
        <v>CHECK</v>
      </c>
      <c r="I447" s="41" t="str">
        <f t="shared" si="79"/>
        <v>CHECK</v>
      </c>
      <c r="J447" s="41" t="str">
        <f t="shared" si="79"/>
        <v>CHECK</v>
      </c>
      <c r="K447" s="41" t="str">
        <f t="shared" si="79"/>
        <v>CHECK</v>
      </c>
      <c r="L447" s="41" t="str">
        <f t="shared" si="79"/>
        <v>CHECK</v>
      </c>
      <c r="M447" s="41" t="str">
        <f t="shared" si="79"/>
        <v>CHECK</v>
      </c>
      <c r="N447" s="41" t="str">
        <f t="shared" si="79"/>
        <v>CHECK</v>
      </c>
      <c r="O447" s="41" t="str">
        <f t="shared" si="79"/>
        <v>CHECK</v>
      </c>
      <c r="P447" s="41" t="str">
        <f t="shared" si="79"/>
        <v>CHECK</v>
      </c>
      <c r="Q447" s="41" t="str">
        <f t="shared" si="79"/>
        <v>CHECK</v>
      </c>
      <c r="R447" s="41" t="str">
        <f t="shared" si="79"/>
        <v>CHECK</v>
      </c>
      <c r="S447" s="41" t="str">
        <f t="shared" si="79"/>
        <v>CHECK</v>
      </c>
      <c r="T447" s="41" t="str">
        <f t="shared" si="79"/>
        <v>CHECK</v>
      </c>
      <c r="U447" s="41"/>
      <c r="V447" s="41"/>
    </row>
    <row r="448" spans="1:22" x14ac:dyDescent="0.25">
      <c r="A448" s="11" t="s">
        <v>1088</v>
      </c>
      <c r="B448" s="11" t="s">
        <v>1094</v>
      </c>
      <c r="C448" s="11" t="s">
        <v>498</v>
      </c>
      <c r="D448" s="11" t="s">
        <v>1095</v>
      </c>
      <c r="E448" s="41" t="str">
        <f t="shared" ref="E448:T448" si="80">IFERROR(((E120/E296)-1),"CHECK")</f>
        <v>CHECK</v>
      </c>
      <c r="F448" s="41" t="str">
        <f t="shared" si="80"/>
        <v>CHECK</v>
      </c>
      <c r="G448" s="41" t="str">
        <f t="shared" si="80"/>
        <v>CHECK</v>
      </c>
      <c r="H448" s="41" t="str">
        <f t="shared" si="80"/>
        <v>CHECK</v>
      </c>
      <c r="I448" s="41" t="str">
        <f t="shared" si="80"/>
        <v>CHECK</v>
      </c>
      <c r="J448" s="41" t="str">
        <f t="shared" si="80"/>
        <v>CHECK</v>
      </c>
      <c r="K448" s="41" t="str">
        <f t="shared" si="80"/>
        <v>CHECK</v>
      </c>
      <c r="L448" s="41" t="str">
        <f t="shared" si="80"/>
        <v>CHECK</v>
      </c>
      <c r="M448" s="41" t="str">
        <f t="shared" si="80"/>
        <v>CHECK</v>
      </c>
      <c r="N448" s="41" t="str">
        <f t="shared" si="80"/>
        <v>CHECK</v>
      </c>
      <c r="O448" s="41" t="str">
        <f t="shared" si="80"/>
        <v>CHECK</v>
      </c>
      <c r="P448" s="41" t="str">
        <f t="shared" si="80"/>
        <v>CHECK</v>
      </c>
      <c r="Q448" s="41" t="str">
        <f t="shared" si="80"/>
        <v>CHECK</v>
      </c>
      <c r="R448" s="41" t="str">
        <f t="shared" si="80"/>
        <v>CHECK</v>
      </c>
      <c r="S448" s="41" t="str">
        <f t="shared" si="80"/>
        <v>CHECK</v>
      </c>
      <c r="T448" s="41" t="str">
        <f t="shared" si="80"/>
        <v>CHECK</v>
      </c>
      <c r="U448" s="41"/>
      <c r="V448" s="41"/>
    </row>
    <row r="449" spans="1:22" x14ac:dyDescent="0.25">
      <c r="A449" s="11" t="s">
        <v>1088</v>
      </c>
      <c r="B449" s="11" t="s">
        <v>1096</v>
      </c>
      <c r="C449" s="11" t="s">
        <v>498</v>
      </c>
      <c r="D449" s="11" t="s">
        <v>1095</v>
      </c>
      <c r="E449" s="41" t="str">
        <f t="shared" ref="E449:T449" si="81">IFERROR(((E121/E297)-1),"CHECK")</f>
        <v>CHECK</v>
      </c>
      <c r="F449" s="41" t="str">
        <f t="shared" si="81"/>
        <v>CHECK</v>
      </c>
      <c r="G449" s="41" t="str">
        <f t="shared" si="81"/>
        <v>CHECK</v>
      </c>
      <c r="H449" s="41" t="str">
        <f t="shared" si="81"/>
        <v>CHECK</v>
      </c>
      <c r="I449" s="41" t="str">
        <f t="shared" si="81"/>
        <v>CHECK</v>
      </c>
      <c r="J449" s="41" t="str">
        <f t="shared" si="81"/>
        <v>CHECK</v>
      </c>
      <c r="K449" s="41" t="str">
        <f t="shared" si="81"/>
        <v>CHECK</v>
      </c>
      <c r="L449" s="41" t="str">
        <f t="shared" si="81"/>
        <v>CHECK</v>
      </c>
      <c r="M449" s="41" t="str">
        <f t="shared" si="81"/>
        <v>CHECK</v>
      </c>
      <c r="N449" s="41" t="str">
        <f t="shared" si="81"/>
        <v>CHECK</v>
      </c>
      <c r="O449" s="41" t="str">
        <f t="shared" si="81"/>
        <v>CHECK</v>
      </c>
      <c r="P449" s="41" t="str">
        <f t="shared" si="81"/>
        <v>CHECK</v>
      </c>
      <c r="Q449" s="41" t="str">
        <f t="shared" si="81"/>
        <v>CHECK</v>
      </c>
      <c r="R449" s="41" t="str">
        <f t="shared" si="81"/>
        <v>CHECK</v>
      </c>
      <c r="S449" s="41" t="str">
        <f t="shared" si="81"/>
        <v>CHECK</v>
      </c>
      <c r="T449" s="41" t="str">
        <f t="shared" si="81"/>
        <v>CHECK</v>
      </c>
      <c r="U449" s="41"/>
      <c r="V449" s="41"/>
    </row>
    <row r="450" spans="1:22" x14ac:dyDescent="0.25">
      <c r="B450" s="11"/>
      <c r="D450" s="11"/>
      <c r="E450" s="41"/>
      <c r="F450" s="41"/>
      <c r="G450" s="41"/>
      <c r="H450" s="41"/>
      <c r="I450" s="41"/>
      <c r="J450" s="41"/>
      <c r="K450" s="41"/>
      <c r="L450" s="41"/>
      <c r="M450" s="41"/>
      <c r="N450" s="41"/>
      <c r="O450" s="41"/>
      <c r="P450" s="41"/>
      <c r="Q450" s="41"/>
      <c r="R450" s="41"/>
      <c r="S450" s="41"/>
      <c r="T450" s="41"/>
      <c r="U450" s="41"/>
      <c r="V450" s="41"/>
    </row>
    <row r="451" spans="1:22" x14ac:dyDescent="0.25">
      <c r="A451" s="11" t="s">
        <v>1088</v>
      </c>
      <c r="B451" s="11" t="s">
        <v>1091</v>
      </c>
      <c r="C451" s="11" t="s">
        <v>495</v>
      </c>
      <c r="D451" s="11"/>
      <c r="E451" s="41" t="str">
        <f t="shared" ref="E451:T451" si="82">IFERROR(((E123/E299)-1),"CHECK")</f>
        <v>CHECK</v>
      </c>
      <c r="F451" s="41" t="str">
        <f t="shared" si="82"/>
        <v>CHECK</v>
      </c>
      <c r="G451" s="41" t="str">
        <f t="shared" si="82"/>
        <v>CHECK</v>
      </c>
      <c r="H451" s="41" t="str">
        <f t="shared" si="82"/>
        <v>CHECK</v>
      </c>
      <c r="I451" s="41" t="str">
        <f t="shared" si="82"/>
        <v>CHECK</v>
      </c>
      <c r="J451" s="41" t="str">
        <f t="shared" si="82"/>
        <v>CHECK</v>
      </c>
      <c r="K451" s="41" t="str">
        <f t="shared" si="82"/>
        <v>CHECK</v>
      </c>
      <c r="L451" s="41" t="str">
        <f t="shared" si="82"/>
        <v>CHECK</v>
      </c>
      <c r="M451" s="41" t="str">
        <f t="shared" si="82"/>
        <v>CHECK</v>
      </c>
      <c r="N451" s="41" t="str">
        <f t="shared" si="82"/>
        <v>CHECK</v>
      </c>
      <c r="O451" s="41" t="str">
        <f t="shared" si="82"/>
        <v>CHECK</v>
      </c>
      <c r="P451" s="41" t="str">
        <f t="shared" si="82"/>
        <v>CHECK</v>
      </c>
      <c r="Q451" s="41" t="str">
        <f t="shared" si="82"/>
        <v>CHECK</v>
      </c>
      <c r="R451" s="41" t="str">
        <f t="shared" si="82"/>
        <v>CHECK</v>
      </c>
      <c r="S451" s="41" t="str">
        <f t="shared" si="82"/>
        <v>CHECK</v>
      </c>
      <c r="T451" s="41" t="str">
        <f t="shared" si="82"/>
        <v>CHECK</v>
      </c>
      <c r="U451" s="41"/>
      <c r="V451" s="41"/>
    </row>
    <row r="452" spans="1:22" x14ac:dyDescent="0.25">
      <c r="A452" s="11" t="s">
        <v>1088</v>
      </c>
      <c r="B452" s="11" t="s">
        <v>1092</v>
      </c>
      <c r="C452" s="11" t="s">
        <v>495</v>
      </c>
      <c r="D452" s="11" t="s">
        <v>1093</v>
      </c>
      <c r="E452" s="41" t="str">
        <f t="shared" ref="E452:T452" si="83">IFERROR(((E124/E300)-1),"CHECK")</f>
        <v>CHECK</v>
      </c>
      <c r="F452" s="41" t="str">
        <f t="shared" si="83"/>
        <v>CHECK</v>
      </c>
      <c r="G452" s="41" t="str">
        <f t="shared" si="83"/>
        <v>CHECK</v>
      </c>
      <c r="H452" s="41" t="str">
        <f t="shared" si="83"/>
        <v>CHECK</v>
      </c>
      <c r="I452" s="41" t="str">
        <f t="shared" si="83"/>
        <v>CHECK</v>
      </c>
      <c r="J452" s="41" t="str">
        <f t="shared" si="83"/>
        <v>CHECK</v>
      </c>
      <c r="K452" s="41" t="str">
        <f t="shared" si="83"/>
        <v>CHECK</v>
      </c>
      <c r="L452" s="41" t="str">
        <f t="shared" si="83"/>
        <v>CHECK</v>
      </c>
      <c r="M452" s="41" t="str">
        <f t="shared" si="83"/>
        <v>CHECK</v>
      </c>
      <c r="N452" s="41" t="str">
        <f t="shared" si="83"/>
        <v>CHECK</v>
      </c>
      <c r="O452" s="41" t="str">
        <f t="shared" si="83"/>
        <v>CHECK</v>
      </c>
      <c r="P452" s="41" t="str">
        <f t="shared" si="83"/>
        <v>CHECK</v>
      </c>
      <c r="Q452" s="41" t="str">
        <f t="shared" si="83"/>
        <v>CHECK</v>
      </c>
      <c r="R452" s="41" t="str">
        <f t="shared" si="83"/>
        <v>CHECK</v>
      </c>
      <c r="S452" s="41" t="str">
        <f t="shared" si="83"/>
        <v>CHECK</v>
      </c>
      <c r="T452" s="41" t="str">
        <f t="shared" si="83"/>
        <v>CHECK</v>
      </c>
      <c r="U452" s="41"/>
      <c r="V452" s="41"/>
    </row>
    <row r="453" spans="1:22" x14ac:dyDescent="0.25">
      <c r="A453" s="11" t="s">
        <v>1088</v>
      </c>
      <c r="B453" s="11" t="s">
        <v>1094</v>
      </c>
      <c r="C453" s="11" t="s">
        <v>495</v>
      </c>
      <c r="D453" s="11" t="s">
        <v>1095</v>
      </c>
      <c r="E453" s="41" t="str">
        <f t="shared" ref="E453:T453" si="84">IFERROR(((E125/E301)-1),"CHECK")</f>
        <v>CHECK</v>
      </c>
      <c r="F453" s="41" t="str">
        <f t="shared" si="84"/>
        <v>CHECK</v>
      </c>
      <c r="G453" s="41" t="str">
        <f t="shared" si="84"/>
        <v>CHECK</v>
      </c>
      <c r="H453" s="41" t="str">
        <f t="shared" si="84"/>
        <v>CHECK</v>
      </c>
      <c r="I453" s="41" t="str">
        <f t="shared" si="84"/>
        <v>CHECK</v>
      </c>
      <c r="J453" s="41" t="str">
        <f t="shared" si="84"/>
        <v>CHECK</v>
      </c>
      <c r="K453" s="41" t="str">
        <f t="shared" si="84"/>
        <v>CHECK</v>
      </c>
      <c r="L453" s="41" t="str">
        <f t="shared" si="84"/>
        <v>CHECK</v>
      </c>
      <c r="M453" s="41" t="str">
        <f t="shared" si="84"/>
        <v>CHECK</v>
      </c>
      <c r="N453" s="41" t="str">
        <f t="shared" si="84"/>
        <v>CHECK</v>
      </c>
      <c r="O453" s="41" t="str">
        <f t="shared" si="84"/>
        <v>CHECK</v>
      </c>
      <c r="P453" s="41" t="str">
        <f t="shared" si="84"/>
        <v>CHECK</v>
      </c>
      <c r="Q453" s="41" t="str">
        <f t="shared" si="84"/>
        <v>CHECK</v>
      </c>
      <c r="R453" s="41" t="str">
        <f t="shared" si="84"/>
        <v>CHECK</v>
      </c>
      <c r="S453" s="41" t="str">
        <f t="shared" si="84"/>
        <v>CHECK</v>
      </c>
      <c r="T453" s="41" t="str">
        <f t="shared" si="84"/>
        <v>CHECK</v>
      </c>
      <c r="U453" s="41"/>
      <c r="V453" s="41"/>
    </row>
    <row r="454" spans="1:22" x14ac:dyDescent="0.25">
      <c r="A454" s="11" t="s">
        <v>1088</v>
      </c>
      <c r="B454" s="11" t="s">
        <v>1096</v>
      </c>
      <c r="C454" s="11" t="s">
        <v>495</v>
      </c>
      <c r="D454" s="11" t="s">
        <v>1095</v>
      </c>
      <c r="E454" s="41" t="str">
        <f t="shared" ref="E454:T454" si="85">IFERROR(((E126/E302)-1),"CHECK")</f>
        <v>CHECK</v>
      </c>
      <c r="F454" s="41" t="str">
        <f t="shared" si="85"/>
        <v>CHECK</v>
      </c>
      <c r="G454" s="41" t="str">
        <f t="shared" si="85"/>
        <v>CHECK</v>
      </c>
      <c r="H454" s="41" t="str">
        <f t="shared" si="85"/>
        <v>CHECK</v>
      </c>
      <c r="I454" s="41" t="str">
        <f t="shared" si="85"/>
        <v>CHECK</v>
      </c>
      <c r="J454" s="41" t="str">
        <f t="shared" si="85"/>
        <v>CHECK</v>
      </c>
      <c r="K454" s="41" t="str">
        <f t="shared" si="85"/>
        <v>CHECK</v>
      </c>
      <c r="L454" s="41" t="str">
        <f t="shared" si="85"/>
        <v>CHECK</v>
      </c>
      <c r="M454" s="41" t="str">
        <f t="shared" si="85"/>
        <v>CHECK</v>
      </c>
      <c r="N454" s="41" t="str">
        <f t="shared" si="85"/>
        <v>CHECK</v>
      </c>
      <c r="O454" s="41" t="str">
        <f t="shared" si="85"/>
        <v>CHECK</v>
      </c>
      <c r="P454" s="41" t="str">
        <f t="shared" si="85"/>
        <v>CHECK</v>
      </c>
      <c r="Q454" s="41" t="str">
        <f t="shared" si="85"/>
        <v>CHECK</v>
      </c>
      <c r="R454" s="41" t="str">
        <f t="shared" si="85"/>
        <v>CHECK</v>
      </c>
      <c r="S454" s="41" t="str">
        <f t="shared" si="85"/>
        <v>CHECK</v>
      </c>
      <c r="T454" s="41" t="str">
        <f t="shared" si="85"/>
        <v>CHECK</v>
      </c>
      <c r="U454" s="41"/>
      <c r="V454" s="41"/>
    </row>
    <row r="456" spans="1:22" x14ac:dyDescent="0.25">
      <c r="A456" s="8"/>
      <c r="B456" s="9" t="s">
        <v>619</v>
      </c>
      <c r="C456" s="8"/>
      <c r="D456" s="8"/>
      <c r="E456" s="8"/>
      <c r="F456" s="8"/>
      <c r="G456" s="8"/>
      <c r="H456" s="8"/>
      <c r="I456" s="8"/>
      <c r="J456" s="8"/>
      <c r="K456" s="8"/>
      <c r="L456" s="8"/>
      <c r="M456" s="8"/>
      <c r="N456" s="8"/>
      <c r="O456" s="8"/>
      <c r="P456" s="8"/>
      <c r="Q456" s="8"/>
      <c r="R456" s="8"/>
      <c r="S456" s="8"/>
      <c r="T456" s="8"/>
      <c r="U456" s="8"/>
      <c r="V456" s="8"/>
    </row>
    <row r="458" spans="1:22" s="22" customFormat="1" x14ac:dyDescent="0.25">
      <c r="A458" s="124" t="s">
        <v>1084</v>
      </c>
      <c r="B458" s="124"/>
      <c r="C458" s="124"/>
      <c r="D458" s="124"/>
      <c r="E458" s="128"/>
      <c r="F458" s="128"/>
      <c r="G458" s="128"/>
      <c r="H458" s="128"/>
      <c r="I458" s="128"/>
      <c r="J458" s="128"/>
      <c r="K458" s="128"/>
      <c r="L458" s="128"/>
      <c r="M458" s="128"/>
      <c r="N458" s="128"/>
      <c r="O458" s="128"/>
      <c r="P458" s="128"/>
      <c r="Q458" s="128"/>
      <c r="R458" s="128"/>
      <c r="S458" s="128"/>
      <c r="T458" s="128"/>
      <c r="U458" s="128"/>
      <c r="V458" s="128"/>
    </row>
    <row r="459" spans="1:22" x14ac:dyDescent="0.25">
      <c r="A459" s="11" t="s">
        <v>1084</v>
      </c>
      <c r="B459" s="11" t="s">
        <v>619</v>
      </c>
      <c r="C459" s="11" t="s">
        <v>491</v>
      </c>
      <c r="D459" s="11" t="s">
        <v>892</v>
      </c>
      <c r="E459" s="41" t="str">
        <f t="shared" ref="E459:T459" si="86">IFERROR(((E131/E307)-1),"CHECK")</f>
        <v>CHECK</v>
      </c>
      <c r="F459" s="41" t="str">
        <f t="shared" si="86"/>
        <v>CHECK</v>
      </c>
      <c r="G459" s="41" t="str">
        <f t="shared" si="86"/>
        <v>CHECK</v>
      </c>
      <c r="H459" s="41" t="str">
        <f t="shared" si="86"/>
        <v>CHECK</v>
      </c>
      <c r="I459" s="41" t="str">
        <f t="shared" si="86"/>
        <v>CHECK</v>
      </c>
      <c r="J459" s="41">
        <f t="shared" si="86"/>
        <v>0</v>
      </c>
      <c r="K459" s="41">
        <f t="shared" si="86"/>
        <v>0</v>
      </c>
      <c r="L459" s="41" t="str">
        <f t="shared" si="86"/>
        <v>CHECK</v>
      </c>
      <c r="M459" s="41">
        <f t="shared" si="86"/>
        <v>0</v>
      </c>
      <c r="N459" s="41" t="str">
        <f t="shared" si="86"/>
        <v>CHECK</v>
      </c>
      <c r="O459" s="41">
        <f t="shared" si="86"/>
        <v>0</v>
      </c>
      <c r="P459" s="41">
        <f t="shared" si="86"/>
        <v>0</v>
      </c>
      <c r="Q459" s="41">
        <f t="shared" si="86"/>
        <v>0</v>
      </c>
      <c r="R459" s="41">
        <f t="shared" si="86"/>
        <v>0</v>
      </c>
      <c r="S459" s="41">
        <f t="shared" si="86"/>
        <v>0</v>
      </c>
      <c r="T459" s="41">
        <f t="shared" si="86"/>
        <v>0</v>
      </c>
      <c r="U459" s="41"/>
      <c r="V459" s="41"/>
    </row>
    <row r="460" spans="1:22" x14ac:dyDescent="0.25">
      <c r="A460" s="11" t="s">
        <v>1084</v>
      </c>
      <c r="B460" s="11" t="s">
        <v>619</v>
      </c>
      <c r="C460" s="11" t="s">
        <v>492</v>
      </c>
      <c r="D460" s="11" t="s">
        <v>892</v>
      </c>
      <c r="E460" s="41" t="str">
        <f t="shared" ref="E460:T460" si="87">IFERROR(((E132/E308)-1),"CHECK")</f>
        <v>CHECK</v>
      </c>
      <c r="F460" s="41" t="str">
        <f t="shared" si="87"/>
        <v>CHECK</v>
      </c>
      <c r="G460" s="41" t="str">
        <f t="shared" si="87"/>
        <v>CHECK</v>
      </c>
      <c r="H460" s="41" t="str">
        <f t="shared" si="87"/>
        <v>CHECK</v>
      </c>
      <c r="I460" s="41" t="str">
        <f t="shared" si="87"/>
        <v>CHECK</v>
      </c>
      <c r="J460" s="41" t="str">
        <f t="shared" si="87"/>
        <v>CHECK</v>
      </c>
      <c r="K460" s="41" t="str">
        <f t="shared" si="87"/>
        <v>CHECK</v>
      </c>
      <c r="L460" s="41" t="str">
        <f t="shared" si="87"/>
        <v>CHECK</v>
      </c>
      <c r="M460" s="41" t="str">
        <f t="shared" si="87"/>
        <v>CHECK</v>
      </c>
      <c r="N460" s="41" t="str">
        <f t="shared" si="87"/>
        <v>CHECK</v>
      </c>
      <c r="O460" s="41" t="str">
        <f t="shared" si="87"/>
        <v>CHECK</v>
      </c>
      <c r="P460" s="41">
        <f t="shared" si="87"/>
        <v>0</v>
      </c>
      <c r="Q460" s="41">
        <f t="shared" si="87"/>
        <v>0</v>
      </c>
      <c r="R460" s="41">
        <f t="shared" si="87"/>
        <v>0</v>
      </c>
      <c r="S460" s="41">
        <f t="shared" si="87"/>
        <v>0</v>
      </c>
      <c r="T460" s="41">
        <f t="shared" si="87"/>
        <v>0</v>
      </c>
      <c r="U460" s="41"/>
      <c r="V460" s="41"/>
    </row>
    <row r="461" spans="1:22" x14ac:dyDescent="0.25">
      <c r="A461" s="11" t="s">
        <v>1084</v>
      </c>
      <c r="B461" s="11" t="s">
        <v>619</v>
      </c>
      <c r="C461" s="11" t="s">
        <v>493</v>
      </c>
      <c r="D461" s="11" t="s">
        <v>892</v>
      </c>
      <c r="E461" s="41" t="str">
        <f t="shared" ref="E461:T461" si="88">IFERROR(((E133/E309)-1),"CHECK")</f>
        <v>CHECK</v>
      </c>
      <c r="F461" s="41" t="str">
        <f t="shared" si="88"/>
        <v>CHECK</v>
      </c>
      <c r="G461" s="41" t="str">
        <f t="shared" si="88"/>
        <v>CHECK</v>
      </c>
      <c r="H461" s="41" t="str">
        <f t="shared" si="88"/>
        <v>CHECK</v>
      </c>
      <c r="I461" s="41" t="str">
        <f t="shared" si="88"/>
        <v>CHECK</v>
      </c>
      <c r="J461" s="41" t="str">
        <f t="shared" si="88"/>
        <v>CHECK</v>
      </c>
      <c r="K461" s="41">
        <f t="shared" si="88"/>
        <v>0</v>
      </c>
      <c r="L461" s="41">
        <f t="shared" si="88"/>
        <v>0</v>
      </c>
      <c r="M461" s="41">
        <f t="shared" si="88"/>
        <v>0</v>
      </c>
      <c r="N461" s="41">
        <f t="shared" si="88"/>
        <v>0</v>
      </c>
      <c r="O461" s="41">
        <f t="shared" si="88"/>
        <v>0</v>
      </c>
      <c r="P461" s="41">
        <f t="shared" si="88"/>
        <v>0</v>
      </c>
      <c r="Q461" s="41">
        <f t="shared" si="88"/>
        <v>0</v>
      </c>
      <c r="R461" s="41">
        <f t="shared" si="88"/>
        <v>0</v>
      </c>
      <c r="S461" s="41">
        <f t="shared" si="88"/>
        <v>0</v>
      </c>
      <c r="T461" s="41">
        <f t="shared" si="88"/>
        <v>0</v>
      </c>
      <c r="U461" s="41"/>
      <c r="V461" s="41"/>
    </row>
    <row r="462" spans="1:22" x14ac:dyDescent="0.25">
      <c r="A462" s="11" t="s">
        <v>1084</v>
      </c>
      <c r="B462" s="11" t="s">
        <v>619</v>
      </c>
      <c r="C462" s="11" t="s">
        <v>494</v>
      </c>
      <c r="D462" s="11" t="s">
        <v>892</v>
      </c>
      <c r="E462" s="41" t="str">
        <f t="shared" ref="E462:T462" si="89">IFERROR(((E134/E310)-1),"CHECK")</f>
        <v>CHECK</v>
      </c>
      <c r="F462" s="41" t="str">
        <f t="shared" si="89"/>
        <v>CHECK</v>
      </c>
      <c r="G462" s="41" t="str">
        <f t="shared" si="89"/>
        <v>CHECK</v>
      </c>
      <c r="H462" s="41" t="str">
        <f t="shared" si="89"/>
        <v>CHECK</v>
      </c>
      <c r="I462" s="41" t="str">
        <f t="shared" si="89"/>
        <v>CHECK</v>
      </c>
      <c r="J462" s="41">
        <f t="shared" si="89"/>
        <v>0</v>
      </c>
      <c r="K462" s="41">
        <f t="shared" si="89"/>
        <v>0</v>
      </c>
      <c r="L462" s="41">
        <f t="shared" si="89"/>
        <v>0</v>
      </c>
      <c r="M462" s="41">
        <f t="shared" si="89"/>
        <v>0</v>
      </c>
      <c r="N462" s="41">
        <f t="shared" si="89"/>
        <v>0</v>
      </c>
      <c r="O462" s="41">
        <f t="shared" si="89"/>
        <v>0</v>
      </c>
      <c r="P462" s="41">
        <f t="shared" si="89"/>
        <v>0</v>
      </c>
      <c r="Q462" s="41">
        <f t="shared" si="89"/>
        <v>0</v>
      </c>
      <c r="R462" s="41">
        <f t="shared" si="89"/>
        <v>0</v>
      </c>
      <c r="S462" s="41">
        <f t="shared" si="89"/>
        <v>0</v>
      </c>
      <c r="T462" s="41">
        <f t="shared" si="89"/>
        <v>0</v>
      </c>
      <c r="U462" s="41"/>
      <c r="V462" s="41"/>
    </row>
    <row r="463" spans="1:22" x14ac:dyDescent="0.25">
      <c r="A463" s="11" t="s">
        <v>1084</v>
      </c>
      <c r="B463" s="11" t="s">
        <v>619</v>
      </c>
      <c r="C463" s="11" t="s">
        <v>498</v>
      </c>
      <c r="D463" s="11" t="s">
        <v>892</v>
      </c>
      <c r="E463" s="41" t="str">
        <f t="shared" ref="E463:T463" si="90">IFERROR(((E135/E311)-1),"CHECK")</f>
        <v>CHECK</v>
      </c>
      <c r="F463" s="41" t="str">
        <f t="shared" si="90"/>
        <v>CHECK</v>
      </c>
      <c r="G463" s="41" t="str">
        <f t="shared" si="90"/>
        <v>CHECK</v>
      </c>
      <c r="H463" s="41" t="str">
        <f t="shared" si="90"/>
        <v>CHECK</v>
      </c>
      <c r="I463" s="41" t="str">
        <f t="shared" si="90"/>
        <v>CHECK</v>
      </c>
      <c r="J463" s="41" t="str">
        <f t="shared" si="90"/>
        <v>CHECK</v>
      </c>
      <c r="K463" s="41">
        <f t="shared" si="90"/>
        <v>0</v>
      </c>
      <c r="L463" s="41" t="str">
        <f t="shared" si="90"/>
        <v>CHECK</v>
      </c>
      <c r="M463" s="41" t="str">
        <f t="shared" si="90"/>
        <v>CHECK</v>
      </c>
      <c r="N463" s="41" t="str">
        <f t="shared" si="90"/>
        <v>CHECK</v>
      </c>
      <c r="O463" s="41" t="str">
        <f t="shared" si="90"/>
        <v>CHECK</v>
      </c>
      <c r="P463" s="41" t="str">
        <f t="shared" si="90"/>
        <v>CHECK</v>
      </c>
      <c r="Q463" s="41" t="str">
        <f t="shared" si="90"/>
        <v>CHECK</v>
      </c>
      <c r="R463" s="41" t="str">
        <f t="shared" si="90"/>
        <v>CHECK</v>
      </c>
      <c r="S463" s="41" t="str">
        <f t="shared" si="90"/>
        <v>CHECK</v>
      </c>
      <c r="T463" s="41" t="str">
        <f t="shared" si="90"/>
        <v>CHECK</v>
      </c>
      <c r="U463" s="41"/>
      <c r="V463" s="41"/>
    </row>
    <row r="464" spans="1:22" x14ac:dyDescent="0.25">
      <c r="A464" s="11" t="s">
        <v>1084</v>
      </c>
      <c r="B464" s="11" t="s">
        <v>619</v>
      </c>
      <c r="C464" s="11" t="s">
        <v>495</v>
      </c>
      <c r="D464" s="11" t="s">
        <v>892</v>
      </c>
      <c r="E464" s="41" t="str">
        <f t="shared" ref="E464:T464" si="91">IFERROR(((E136/E312)-1),"CHECK")</f>
        <v>CHECK</v>
      </c>
      <c r="F464" s="41" t="str">
        <f t="shared" si="91"/>
        <v>CHECK</v>
      </c>
      <c r="G464" s="41" t="str">
        <f t="shared" si="91"/>
        <v>CHECK</v>
      </c>
      <c r="H464" s="41" t="str">
        <f t="shared" si="91"/>
        <v>CHECK</v>
      </c>
      <c r="I464" s="41" t="str">
        <f t="shared" si="91"/>
        <v>CHECK</v>
      </c>
      <c r="J464" s="41" t="str">
        <f t="shared" si="91"/>
        <v>CHECK</v>
      </c>
      <c r="K464" s="41">
        <f t="shared" si="91"/>
        <v>0</v>
      </c>
      <c r="L464" s="41">
        <f t="shared" si="91"/>
        <v>0</v>
      </c>
      <c r="M464" s="41">
        <f t="shared" si="91"/>
        <v>0</v>
      </c>
      <c r="N464" s="41">
        <f t="shared" si="91"/>
        <v>0</v>
      </c>
      <c r="O464" s="41">
        <f t="shared" si="91"/>
        <v>0</v>
      </c>
      <c r="P464" s="41">
        <f t="shared" si="91"/>
        <v>0</v>
      </c>
      <c r="Q464" s="41">
        <f t="shared" si="91"/>
        <v>0</v>
      </c>
      <c r="R464" s="41">
        <f t="shared" si="91"/>
        <v>0</v>
      </c>
      <c r="S464" s="41">
        <f t="shared" si="91"/>
        <v>0</v>
      </c>
      <c r="T464" s="41">
        <f t="shared" si="91"/>
        <v>0</v>
      </c>
      <c r="U464" s="41"/>
      <c r="V464" s="41"/>
    </row>
    <row r="465" spans="1:22" x14ac:dyDescent="0.25">
      <c r="A465" s="11"/>
      <c r="B465" s="11"/>
      <c r="C465" s="11"/>
      <c r="D465" s="11"/>
    </row>
    <row r="466" spans="1:22" x14ac:dyDescent="0.25">
      <c r="A466" s="11" t="s">
        <v>1084</v>
      </c>
      <c r="B466" s="11" t="s">
        <v>619</v>
      </c>
      <c r="C466" s="11" t="s">
        <v>491</v>
      </c>
      <c r="D466" s="11" t="s">
        <v>1097</v>
      </c>
      <c r="E466" s="41" t="str">
        <f t="shared" ref="E466:T466" si="92">IFERROR(((E138/E314)-1),"CHECK")</f>
        <v>CHECK</v>
      </c>
      <c r="F466" s="41" t="str">
        <f t="shared" si="92"/>
        <v>CHECK</v>
      </c>
      <c r="G466" s="41" t="str">
        <f t="shared" si="92"/>
        <v>CHECK</v>
      </c>
      <c r="H466" s="41" t="str">
        <f t="shared" si="92"/>
        <v>CHECK</v>
      </c>
      <c r="I466" s="41" t="str">
        <f t="shared" si="92"/>
        <v>CHECK</v>
      </c>
      <c r="J466" s="41">
        <f t="shared" si="92"/>
        <v>0</v>
      </c>
      <c r="K466" s="41">
        <f t="shared" si="92"/>
        <v>0</v>
      </c>
      <c r="L466" s="41" t="str">
        <f t="shared" si="92"/>
        <v>CHECK</v>
      </c>
      <c r="M466" s="41">
        <f t="shared" si="92"/>
        <v>0</v>
      </c>
      <c r="N466" s="41" t="str">
        <f t="shared" si="92"/>
        <v>CHECK</v>
      </c>
      <c r="O466" s="41">
        <f t="shared" si="92"/>
        <v>0</v>
      </c>
      <c r="P466" s="41">
        <f t="shared" si="92"/>
        <v>0</v>
      </c>
      <c r="Q466" s="41">
        <f t="shared" si="92"/>
        <v>0</v>
      </c>
      <c r="R466" s="41">
        <f t="shared" si="92"/>
        <v>0</v>
      </c>
      <c r="S466" s="41">
        <f t="shared" si="92"/>
        <v>0</v>
      </c>
      <c r="T466" s="41">
        <f t="shared" si="92"/>
        <v>0</v>
      </c>
      <c r="U466" s="41"/>
      <c r="V466" s="41"/>
    </row>
    <row r="467" spans="1:22" x14ac:dyDescent="0.25">
      <c r="A467" s="11" t="s">
        <v>1084</v>
      </c>
      <c r="B467" s="11" t="s">
        <v>619</v>
      </c>
      <c r="C467" s="11" t="s">
        <v>492</v>
      </c>
      <c r="D467" s="11" t="s">
        <v>1097</v>
      </c>
      <c r="E467" s="41" t="str">
        <f t="shared" ref="E467:T467" si="93">IFERROR(((E139/E315)-1),"CHECK")</f>
        <v>CHECK</v>
      </c>
      <c r="F467" s="41" t="str">
        <f t="shared" si="93"/>
        <v>CHECK</v>
      </c>
      <c r="G467" s="41" t="str">
        <f t="shared" si="93"/>
        <v>CHECK</v>
      </c>
      <c r="H467" s="41" t="str">
        <f t="shared" si="93"/>
        <v>CHECK</v>
      </c>
      <c r="I467" s="41" t="str">
        <f t="shared" si="93"/>
        <v>CHECK</v>
      </c>
      <c r="J467" s="41" t="str">
        <f t="shared" si="93"/>
        <v>CHECK</v>
      </c>
      <c r="K467" s="41" t="str">
        <f t="shared" si="93"/>
        <v>CHECK</v>
      </c>
      <c r="L467" s="41" t="str">
        <f t="shared" si="93"/>
        <v>CHECK</v>
      </c>
      <c r="M467" s="41" t="str">
        <f t="shared" si="93"/>
        <v>CHECK</v>
      </c>
      <c r="N467" s="41" t="str">
        <f t="shared" si="93"/>
        <v>CHECK</v>
      </c>
      <c r="O467" s="41" t="str">
        <f t="shared" si="93"/>
        <v>CHECK</v>
      </c>
      <c r="P467" s="41">
        <f t="shared" si="93"/>
        <v>0</v>
      </c>
      <c r="Q467" s="41">
        <f t="shared" si="93"/>
        <v>0</v>
      </c>
      <c r="R467" s="41">
        <f t="shared" si="93"/>
        <v>0</v>
      </c>
      <c r="S467" s="41">
        <f t="shared" si="93"/>
        <v>0</v>
      </c>
      <c r="T467" s="41">
        <f t="shared" si="93"/>
        <v>0</v>
      </c>
      <c r="U467" s="41"/>
      <c r="V467" s="41"/>
    </row>
    <row r="468" spans="1:22" x14ac:dyDescent="0.25">
      <c r="A468" s="11" t="s">
        <v>1084</v>
      </c>
      <c r="B468" s="11" t="s">
        <v>619</v>
      </c>
      <c r="C468" s="11" t="s">
        <v>493</v>
      </c>
      <c r="D468" s="11" t="s">
        <v>1097</v>
      </c>
      <c r="E468" s="41" t="str">
        <f t="shared" ref="E468:T468" si="94">IFERROR(((E140/E316)-1),"CHECK")</f>
        <v>CHECK</v>
      </c>
      <c r="F468" s="41" t="str">
        <f t="shared" si="94"/>
        <v>CHECK</v>
      </c>
      <c r="G468" s="41" t="str">
        <f t="shared" si="94"/>
        <v>CHECK</v>
      </c>
      <c r="H468" s="41" t="str">
        <f t="shared" si="94"/>
        <v>CHECK</v>
      </c>
      <c r="I468" s="41" t="str">
        <f t="shared" si="94"/>
        <v>CHECK</v>
      </c>
      <c r="J468" s="41" t="str">
        <f t="shared" si="94"/>
        <v>CHECK</v>
      </c>
      <c r="K468" s="41">
        <f t="shared" si="94"/>
        <v>0</v>
      </c>
      <c r="L468" s="41">
        <f t="shared" si="94"/>
        <v>0</v>
      </c>
      <c r="M468" s="41">
        <f t="shared" si="94"/>
        <v>0</v>
      </c>
      <c r="N468" s="41">
        <f t="shared" si="94"/>
        <v>0</v>
      </c>
      <c r="O468" s="41">
        <f t="shared" si="94"/>
        <v>0</v>
      </c>
      <c r="P468" s="41">
        <f t="shared" si="94"/>
        <v>0</v>
      </c>
      <c r="Q468" s="41">
        <f t="shared" si="94"/>
        <v>0</v>
      </c>
      <c r="R468" s="41">
        <f t="shared" si="94"/>
        <v>0</v>
      </c>
      <c r="S468" s="41">
        <f t="shared" si="94"/>
        <v>0</v>
      </c>
      <c r="T468" s="41">
        <f t="shared" si="94"/>
        <v>0</v>
      </c>
      <c r="U468" s="41"/>
      <c r="V468" s="41"/>
    </row>
    <row r="469" spans="1:22" x14ac:dyDescent="0.25">
      <c r="A469" s="11" t="s">
        <v>1084</v>
      </c>
      <c r="B469" s="11" t="s">
        <v>619</v>
      </c>
      <c r="C469" s="11" t="s">
        <v>494</v>
      </c>
      <c r="D469" s="11" t="s">
        <v>1097</v>
      </c>
      <c r="E469" s="41" t="str">
        <f t="shared" ref="E469:T469" si="95">IFERROR(((E141/E317)-1),"CHECK")</f>
        <v>CHECK</v>
      </c>
      <c r="F469" s="41" t="str">
        <f t="shared" si="95"/>
        <v>CHECK</v>
      </c>
      <c r="G469" s="41" t="str">
        <f t="shared" si="95"/>
        <v>CHECK</v>
      </c>
      <c r="H469" s="41" t="str">
        <f t="shared" si="95"/>
        <v>CHECK</v>
      </c>
      <c r="I469" s="41" t="str">
        <f t="shared" si="95"/>
        <v>CHECK</v>
      </c>
      <c r="J469" s="41">
        <f t="shared" si="95"/>
        <v>0</v>
      </c>
      <c r="K469" s="41">
        <f t="shared" si="95"/>
        <v>0</v>
      </c>
      <c r="L469" s="41">
        <f t="shared" si="95"/>
        <v>0</v>
      </c>
      <c r="M469" s="41">
        <f t="shared" si="95"/>
        <v>0</v>
      </c>
      <c r="N469" s="41">
        <f t="shared" si="95"/>
        <v>0</v>
      </c>
      <c r="O469" s="41">
        <f t="shared" si="95"/>
        <v>0</v>
      </c>
      <c r="P469" s="41">
        <f t="shared" si="95"/>
        <v>0</v>
      </c>
      <c r="Q469" s="41">
        <f t="shared" si="95"/>
        <v>0</v>
      </c>
      <c r="R469" s="41">
        <f t="shared" si="95"/>
        <v>0</v>
      </c>
      <c r="S469" s="41">
        <f t="shared" si="95"/>
        <v>0</v>
      </c>
      <c r="T469" s="41">
        <f t="shared" si="95"/>
        <v>0</v>
      </c>
      <c r="U469" s="41"/>
      <c r="V469" s="41"/>
    </row>
    <row r="470" spans="1:22" x14ac:dyDescent="0.25">
      <c r="A470" s="11" t="s">
        <v>1084</v>
      </c>
      <c r="B470" s="11" t="s">
        <v>619</v>
      </c>
      <c r="C470" s="11" t="s">
        <v>498</v>
      </c>
      <c r="D470" s="11" t="s">
        <v>1097</v>
      </c>
      <c r="E470" s="41" t="str">
        <f t="shared" ref="E470:T470" si="96">IFERROR(((E142/E318)-1),"CHECK")</f>
        <v>CHECK</v>
      </c>
      <c r="F470" s="41" t="str">
        <f t="shared" si="96"/>
        <v>CHECK</v>
      </c>
      <c r="G470" s="41" t="str">
        <f t="shared" si="96"/>
        <v>CHECK</v>
      </c>
      <c r="H470" s="41" t="str">
        <f t="shared" si="96"/>
        <v>CHECK</v>
      </c>
      <c r="I470" s="41" t="str">
        <f t="shared" si="96"/>
        <v>CHECK</v>
      </c>
      <c r="J470" s="41" t="str">
        <f t="shared" si="96"/>
        <v>CHECK</v>
      </c>
      <c r="K470" s="41">
        <f t="shared" si="96"/>
        <v>0</v>
      </c>
      <c r="L470" s="41" t="str">
        <f t="shared" si="96"/>
        <v>CHECK</v>
      </c>
      <c r="M470" s="41" t="str">
        <f t="shared" si="96"/>
        <v>CHECK</v>
      </c>
      <c r="N470" s="41" t="str">
        <f t="shared" si="96"/>
        <v>CHECK</v>
      </c>
      <c r="O470" s="41" t="str">
        <f t="shared" si="96"/>
        <v>CHECK</v>
      </c>
      <c r="P470" s="41" t="str">
        <f t="shared" si="96"/>
        <v>CHECK</v>
      </c>
      <c r="Q470" s="41" t="str">
        <f t="shared" si="96"/>
        <v>CHECK</v>
      </c>
      <c r="R470" s="41" t="str">
        <f t="shared" si="96"/>
        <v>CHECK</v>
      </c>
      <c r="S470" s="41" t="str">
        <f t="shared" si="96"/>
        <v>CHECK</v>
      </c>
      <c r="T470" s="41" t="str">
        <f t="shared" si="96"/>
        <v>CHECK</v>
      </c>
      <c r="U470" s="41"/>
      <c r="V470" s="41"/>
    </row>
    <row r="471" spans="1:22" x14ac:dyDescent="0.25">
      <c r="A471" s="11" t="s">
        <v>1084</v>
      </c>
      <c r="B471" s="11" t="s">
        <v>619</v>
      </c>
      <c r="C471" s="11" t="s">
        <v>495</v>
      </c>
      <c r="D471" s="11" t="s">
        <v>1097</v>
      </c>
      <c r="E471" s="41" t="str">
        <f t="shared" ref="E471:T471" si="97">IFERROR(((E143/E319)-1),"CHECK")</f>
        <v>CHECK</v>
      </c>
      <c r="F471" s="41" t="str">
        <f t="shared" si="97"/>
        <v>CHECK</v>
      </c>
      <c r="G471" s="41" t="str">
        <f t="shared" si="97"/>
        <v>CHECK</v>
      </c>
      <c r="H471" s="41" t="str">
        <f t="shared" si="97"/>
        <v>CHECK</v>
      </c>
      <c r="I471" s="41" t="str">
        <f t="shared" si="97"/>
        <v>CHECK</v>
      </c>
      <c r="J471" s="41" t="str">
        <f t="shared" si="97"/>
        <v>CHECK</v>
      </c>
      <c r="K471" s="41">
        <f t="shared" si="97"/>
        <v>0</v>
      </c>
      <c r="L471" s="41">
        <f t="shared" si="97"/>
        <v>0</v>
      </c>
      <c r="M471" s="41">
        <f t="shared" si="97"/>
        <v>0</v>
      </c>
      <c r="N471" s="41">
        <f t="shared" si="97"/>
        <v>0</v>
      </c>
      <c r="O471" s="41">
        <f t="shared" si="97"/>
        <v>0</v>
      </c>
      <c r="P471" s="41">
        <f t="shared" si="97"/>
        <v>0</v>
      </c>
      <c r="Q471" s="41">
        <f t="shared" si="97"/>
        <v>0</v>
      </c>
      <c r="R471" s="41">
        <f t="shared" si="97"/>
        <v>0</v>
      </c>
      <c r="S471" s="41">
        <f t="shared" si="97"/>
        <v>0</v>
      </c>
      <c r="T471" s="41">
        <f t="shared" si="97"/>
        <v>0</v>
      </c>
      <c r="U471" s="41"/>
      <c r="V471" s="41"/>
    </row>
    <row r="472" spans="1:22" x14ac:dyDescent="0.25">
      <c r="A472" s="7"/>
      <c r="B472" s="7"/>
      <c r="C472" s="7"/>
      <c r="D472" s="7"/>
    </row>
    <row r="473" spans="1:22" s="22" customFormat="1" x14ac:dyDescent="0.25">
      <c r="A473" s="124" t="s">
        <v>1088</v>
      </c>
      <c r="B473" s="124"/>
      <c r="C473" s="124"/>
      <c r="D473" s="124"/>
    </row>
    <row r="474" spans="1:22" x14ac:dyDescent="0.25">
      <c r="A474" s="11" t="s">
        <v>1088</v>
      </c>
      <c r="B474" s="11" t="s">
        <v>619</v>
      </c>
      <c r="C474" s="11" t="s">
        <v>491</v>
      </c>
      <c r="D474" s="11" t="s">
        <v>892</v>
      </c>
      <c r="E474" s="41" t="str">
        <f t="shared" ref="E474:T474" si="98">IFERROR(((E146/E322)-1),"CHECK")</f>
        <v>CHECK</v>
      </c>
      <c r="F474" s="41" t="str">
        <f t="shared" si="98"/>
        <v>CHECK</v>
      </c>
      <c r="G474" s="41" t="str">
        <f t="shared" si="98"/>
        <v>CHECK</v>
      </c>
      <c r="H474" s="41" t="str">
        <f t="shared" si="98"/>
        <v>CHECK</v>
      </c>
      <c r="I474" s="41" t="str">
        <f t="shared" si="98"/>
        <v>CHECK</v>
      </c>
      <c r="J474" s="41" t="str">
        <f t="shared" si="98"/>
        <v>CHECK</v>
      </c>
      <c r="K474" s="41" t="str">
        <f t="shared" si="98"/>
        <v>CHECK</v>
      </c>
      <c r="L474" s="41" t="str">
        <f t="shared" si="98"/>
        <v>CHECK</v>
      </c>
      <c r="M474" s="41" t="str">
        <f t="shared" si="98"/>
        <v>CHECK</v>
      </c>
      <c r="N474" s="41" t="str">
        <f t="shared" si="98"/>
        <v>CHECK</v>
      </c>
      <c r="O474" s="41" t="str">
        <f t="shared" si="98"/>
        <v>CHECK</v>
      </c>
      <c r="P474" s="41" t="str">
        <f t="shared" si="98"/>
        <v>CHECK</v>
      </c>
      <c r="Q474" s="41" t="str">
        <f t="shared" si="98"/>
        <v>CHECK</v>
      </c>
      <c r="R474" s="41" t="str">
        <f t="shared" si="98"/>
        <v>CHECK</v>
      </c>
      <c r="S474" s="41" t="str">
        <f t="shared" si="98"/>
        <v>CHECK</v>
      </c>
      <c r="T474" s="41" t="str">
        <f t="shared" si="98"/>
        <v>CHECK</v>
      </c>
      <c r="U474" s="41"/>
      <c r="V474" s="41"/>
    </row>
    <row r="475" spans="1:22" x14ac:dyDescent="0.25">
      <c r="A475" s="11" t="s">
        <v>1088</v>
      </c>
      <c r="B475" s="11" t="s">
        <v>619</v>
      </c>
      <c r="C475" s="11" t="s">
        <v>492</v>
      </c>
      <c r="D475" s="11" t="s">
        <v>892</v>
      </c>
      <c r="E475" s="41" t="str">
        <f t="shared" ref="E475:T475" si="99">IFERROR(((E147/E323)-1),"CHECK")</f>
        <v>CHECK</v>
      </c>
      <c r="F475" s="41" t="str">
        <f t="shared" si="99"/>
        <v>CHECK</v>
      </c>
      <c r="G475" s="41" t="str">
        <f t="shared" si="99"/>
        <v>CHECK</v>
      </c>
      <c r="H475" s="41" t="str">
        <f t="shared" si="99"/>
        <v>CHECK</v>
      </c>
      <c r="I475" s="41" t="str">
        <f t="shared" si="99"/>
        <v>CHECK</v>
      </c>
      <c r="J475" s="41" t="str">
        <f t="shared" si="99"/>
        <v>CHECK</v>
      </c>
      <c r="K475" s="41" t="str">
        <f t="shared" si="99"/>
        <v>CHECK</v>
      </c>
      <c r="L475" s="41" t="str">
        <f t="shared" si="99"/>
        <v>CHECK</v>
      </c>
      <c r="M475" s="41" t="str">
        <f t="shared" si="99"/>
        <v>CHECK</v>
      </c>
      <c r="N475" s="41" t="str">
        <f t="shared" si="99"/>
        <v>CHECK</v>
      </c>
      <c r="O475" s="41" t="str">
        <f t="shared" si="99"/>
        <v>CHECK</v>
      </c>
      <c r="P475" s="41" t="str">
        <f t="shared" si="99"/>
        <v>CHECK</v>
      </c>
      <c r="Q475" s="41" t="str">
        <f t="shared" si="99"/>
        <v>CHECK</v>
      </c>
      <c r="R475" s="41" t="str">
        <f t="shared" si="99"/>
        <v>CHECK</v>
      </c>
      <c r="S475" s="41" t="str">
        <f t="shared" si="99"/>
        <v>CHECK</v>
      </c>
      <c r="T475" s="41" t="str">
        <f t="shared" si="99"/>
        <v>CHECK</v>
      </c>
      <c r="U475" s="41"/>
      <c r="V475" s="41"/>
    </row>
    <row r="476" spans="1:22" x14ac:dyDescent="0.25">
      <c r="A476" s="11" t="s">
        <v>1088</v>
      </c>
      <c r="B476" s="11" t="s">
        <v>619</v>
      </c>
      <c r="C476" s="11" t="s">
        <v>493</v>
      </c>
      <c r="D476" s="11" t="s">
        <v>892</v>
      </c>
      <c r="E476" s="41" t="str">
        <f t="shared" ref="E476:T476" si="100">IFERROR(((E148/E324)-1),"CHECK")</f>
        <v>CHECK</v>
      </c>
      <c r="F476" s="41" t="str">
        <f t="shared" si="100"/>
        <v>CHECK</v>
      </c>
      <c r="G476" s="41" t="str">
        <f t="shared" si="100"/>
        <v>CHECK</v>
      </c>
      <c r="H476" s="41" t="str">
        <f t="shared" si="100"/>
        <v>CHECK</v>
      </c>
      <c r="I476" s="41" t="str">
        <f t="shared" si="100"/>
        <v>CHECK</v>
      </c>
      <c r="J476" s="41" t="str">
        <f t="shared" si="100"/>
        <v>CHECK</v>
      </c>
      <c r="K476" s="41" t="str">
        <f t="shared" si="100"/>
        <v>CHECK</v>
      </c>
      <c r="L476" s="41" t="str">
        <f t="shared" si="100"/>
        <v>CHECK</v>
      </c>
      <c r="M476" s="41" t="str">
        <f t="shared" si="100"/>
        <v>CHECK</v>
      </c>
      <c r="N476" s="41" t="str">
        <f t="shared" si="100"/>
        <v>CHECK</v>
      </c>
      <c r="O476" s="41" t="str">
        <f t="shared" si="100"/>
        <v>CHECK</v>
      </c>
      <c r="P476" s="41">
        <f t="shared" si="100"/>
        <v>0</v>
      </c>
      <c r="Q476" s="41">
        <f t="shared" si="100"/>
        <v>0</v>
      </c>
      <c r="R476" s="41">
        <f t="shared" si="100"/>
        <v>0</v>
      </c>
      <c r="S476" s="41">
        <f t="shared" si="100"/>
        <v>0</v>
      </c>
      <c r="T476" s="41">
        <f t="shared" si="100"/>
        <v>0</v>
      </c>
      <c r="U476" s="41"/>
      <c r="V476" s="41"/>
    </row>
    <row r="477" spans="1:22" x14ac:dyDescent="0.25">
      <c r="A477" s="11" t="s">
        <v>1088</v>
      </c>
      <c r="B477" s="11" t="s">
        <v>619</v>
      </c>
      <c r="C477" s="11" t="s">
        <v>494</v>
      </c>
      <c r="D477" s="11" t="s">
        <v>892</v>
      </c>
      <c r="E477" s="41" t="str">
        <f t="shared" ref="E477:T477" si="101">IFERROR(((E149/E325)-1),"CHECK")</f>
        <v>CHECK</v>
      </c>
      <c r="F477" s="41" t="str">
        <f t="shared" si="101"/>
        <v>CHECK</v>
      </c>
      <c r="G477" s="41" t="str">
        <f t="shared" si="101"/>
        <v>CHECK</v>
      </c>
      <c r="H477" s="41" t="str">
        <f t="shared" si="101"/>
        <v>CHECK</v>
      </c>
      <c r="I477" s="41" t="str">
        <f t="shared" si="101"/>
        <v>CHECK</v>
      </c>
      <c r="J477" s="41" t="str">
        <f t="shared" si="101"/>
        <v>CHECK</v>
      </c>
      <c r="K477" s="41" t="str">
        <f t="shared" si="101"/>
        <v>CHECK</v>
      </c>
      <c r="L477" s="41" t="str">
        <f t="shared" si="101"/>
        <v>CHECK</v>
      </c>
      <c r="M477" s="41" t="str">
        <f t="shared" si="101"/>
        <v>CHECK</v>
      </c>
      <c r="N477" s="41" t="str">
        <f t="shared" si="101"/>
        <v>CHECK</v>
      </c>
      <c r="O477" s="41" t="str">
        <f t="shared" si="101"/>
        <v>CHECK</v>
      </c>
      <c r="P477" s="41">
        <f t="shared" si="101"/>
        <v>0</v>
      </c>
      <c r="Q477" s="41">
        <f t="shared" si="101"/>
        <v>0</v>
      </c>
      <c r="R477" s="41">
        <f t="shared" si="101"/>
        <v>0</v>
      </c>
      <c r="S477" s="41">
        <f t="shared" si="101"/>
        <v>0</v>
      </c>
      <c r="T477" s="41">
        <f t="shared" si="101"/>
        <v>0</v>
      </c>
      <c r="U477" s="41"/>
      <c r="V477" s="41"/>
    </row>
    <row r="478" spans="1:22" x14ac:dyDescent="0.25">
      <c r="A478" s="11" t="s">
        <v>1088</v>
      </c>
      <c r="B478" s="11" t="s">
        <v>619</v>
      </c>
      <c r="C478" s="11" t="s">
        <v>498</v>
      </c>
      <c r="D478" s="11" t="s">
        <v>892</v>
      </c>
      <c r="E478" s="41" t="str">
        <f t="shared" ref="E478:T478" si="102">IFERROR(((E150/E326)-1),"CHECK")</f>
        <v>CHECK</v>
      </c>
      <c r="F478" s="41" t="str">
        <f t="shared" si="102"/>
        <v>CHECK</v>
      </c>
      <c r="G478" s="41" t="str">
        <f t="shared" si="102"/>
        <v>CHECK</v>
      </c>
      <c r="H478" s="41" t="str">
        <f t="shared" si="102"/>
        <v>CHECK</v>
      </c>
      <c r="I478" s="41" t="str">
        <f t="shared" si="102"/>
        <v>CHECK</v>
      </c>
      <c r="J478" s="41" t="str">
        <f t="shared" si="102"/>
        <v>CHECK</v>
      </c>
      <c r="K478" s="41" t="str">
        <f t="shared" si="102"/>
        <v>CHECK</v>
      </c>
      <c r="L478" s="41" t="str">
        <f t="shared" si="102"/>
        <v>CHECK</v>
      </c>
      <c r="M478" s="41" t="str">
        <f t="shared" si="102"/>
        <v>CHECK</v>
      </c>
      <c r="N478" s="41" t="str">
        <f t="shared" si="102"/>
        <v>CHECK</v>
      </c>
      <c r="O478" s="41" t="str">
        <f t="shared" si="102"/>
        <v>CHECK</v>
      </c>
      <c r="P478" s="41" t="str">
        <f t="shared" si="102"/>
        <v>CHECK</v>
      </c>
      <c r="Q478" s="41" t="str">
        <f t="shared" si="102"/>
        <v>CHECK</v>
      </c>
      <c r="R478" s="41" t="str">
        <f t="shared" si="102"/>
        <v>CHECK</v>
      </c>
      <c r="S478" s="41" t="str">
        <f t="shared" si="102"/>
        <v>CHECK</v>
      </c>
      <c r="T478" s="41" t="str">
        <f t="shared" si="102"/>
        <v>CHECK</v>
      </c>
      <c r="U478" s="41"/>
      <c r="V478" s="41"/>
    </row>
    <row r="479" spans="1:22" x14ac:dyDescent="0.25">
      <c r="A479" s="11" t="s">
        <v>1088</v>
      </c>
      <c r="B479" s="11" t="s">
        <v>619</v>
      </c>
      <c r="C479" s="11" t="s">
        <v>495</v>
      </c>
      <c r="D479" s="11" t="s">
        <v>892</v>
      </c>
      <c r="E479" s="41" t="str">
        <f t="shared" ref="E479:T479" si="103">IFERROR(((E151/E327)-1),"CHECK")</f>
        <v>CHECK</v>
      </c>
      <c r="F479" s="41" t="str">
        <f t="shared" si="103"/>
        <v>CHECK</v>
      </c>
      <c r="G479" s="41" t="str">
        <f t="shared" si="103"/>
        <v>CHECK</v>
      </c>
      <c r="H479" s="41" t="str">
        <f t="shared" si="103"/>
        <v>CHECK</v>
      </c>
      <c r="I479" s="41" t="str">
        <f t="shared" si="103"/>
        <v>CHECK</v>
      </c>
      <c r="J479" s="41" t="str">
        <f t="shared" si="103"/>
        <v>CHECK</v>
      </c>
      <c r="K479" s="41" t="str">
        <f t="shared" si="103"/>
        <v>CHECK</v>
      </c>
      <c r="L479" s="41" t="str">
        <f t="shared" si="103"/>
        <v>CHECK</v>
      </c>
      <c r="M479" s="41" t="str">
        <f t="shared" si="103"/>
        <v>CHECK</v>
      </c>
      <c r="N479" s="41" t="str">
        <f t="shared" si="103"/>
        <v>CHECK</v>
      </c>
      <c r="O479" s="41" t="str">
        <f t="shared" si="103"/>
        <v>CHECK</v>
      </c>
      <c r="P479" s="41">
        <f t="shared" si="103"/>
        <v>0</v>
      </c>
      <c r="Q479" s="41">
        <f t="shared" si="103"/>
        <v>0</v>
      </c>
      <c r="R479" s="41">
        <f t="shared" si="103"/>
        <v>0</v>
      </c>
      <c r="S479" s="41">
        <f t="shared" si="103"/>
        <v>0</v>
      </c>
      <c r="T479" s="41">
        <f t="shared" si="103"/>
        <v>0</v>
      </c>
      <c r="U479" s="41"/>
      <c r="V479" s="41"/>
    </row>
    <row r="480" spans="1:22" x14ac:dyDescent="0.25">
      <c r="A480" s="11"/>
      <c r="B480" s="11"/>
      <c r="C480" s="11"/>
      <c r="D480" s="11"/>
    </row>
    <row r="481" spans="1:22" x14ac:dyDescent="0.25">
      <c r="A481" s="11" t="s">
        <v>1088</v>
      </c>
      <c r="B481" s="11" t="s">
        <v>619</v>
      </c>
      <c r="C481" s="11" t="s">
        <v>491</v>
      </c>
      <c r="D481" s="11" t="s">
        <v>1097</v>
      </c>
      <c r="E481" s="41" t="str">
        <f t="shared" ref="E481:T481" si="104">IFERROR(((E153/E329)-1),"CHECK")</f>
        <v>CHECK</v>
      </c>
      <c r="F481" s="41" t="str">
        <f t="shared" si="104"/>
        <v>CHECK</v>
      </c>
      <c r="G481" s="41" t="str">
        <f t="shared" si="104"/>
        <v>CHECK</v>
      </c>
      <c r="H481" s="41" t="str">
        <f t="shared" si="104"/>
        <v>CHECK</v>
      </c>
      <c r="I481" s="41" t="str">
        <f t="shared" si="104"/>
        <v>CHECK</v>
      </c>
      <c r="J481" s="41" t="str">
        <f t="shared" si="104"/>
        <v>CHECK</v>
      </c>
      <c r="K481" s="41" t="str">
        <f t="shared" si="104"/>
        <v>CHECK</v>
      </c>
      <c r="L481" s="41" t="str">
        <f t="shared" si="104"/>
        <v>CHECK</v>
      </c>
      <c r="M481" s="41" t="str">
        <f t="shared" si="104"/>
        <v>CHECK</v>
      </c>
      <c r="N481" s="41" t="str">
        <f t="shared" si="104"/>
        <v>CHECK</v>
      </c>
      <c r="O481" s="41" t="str">
        <f t="shared" si="104"/>
        <v>CHECK</v>
      </c>
      <c r="P481" s="41" t="str">
        <f t="shared" si="104"/>
        <v>CHECK</v>
      </c>
      <c r="Q481" s="41" t="str">
        <f t="shared" si="104"/>
        <v>CHECK</v>
      </c>
      <c r="R481" s="41" t="str">
        <f t="shared" si="104"/>
        <v>CHECK</v>
      </c>
      <c r="S481" s="41" t="str">
        <f t="shared" si="104"/>
        <v>CHECK</v>
      </c>
      <c r="T481" s="41" t="str">
        <f t="shared" si="104"/>
        <v>CHECK</v>
      </c>
      <c r="U481" s="41"/>
      <c r="V481" s="41"/>
    </row>
    <row r="482" spans="1:22" x14ac:dyDescent="0.25">
      <c r="A482" s="11" t="s">
        <v>1088</v>
      </c>
      <c r="B482" s="11" t="s">
        <v>619</v>
      </c>
      <c r="C482" s="11" t="s">
        <v>492</v>
      </c>
      <c r="D482" s="11" t="s">
        <v>1097</v>
      </c>
      <c r="E482" s="41" t="str">
        <f t="shared" ref="E482:T482" si="105">IFERROR(((E154/E330)-1),"CHECK")</f>
        <v>CHECK</v>
      </c>
      <c r="F482" s="41" t="str">
        <f t="shared" si="105"/>
        <v>CHECK</v>
      </c>
      <c r="G482" s="41" t="str">
        <f t="shared" si="105"/>
        <v>CHECK</v>
      </c>
      <c r="H482" s="41" t="str">
        <f t="shared" si="105"/>
        <v>CHECK</v>
      </c>
      <c r="I482" s="41" t="str">
        <f t="shared" si="105"/>
        <v>CHECK</v>
      </c>
      <c r="J482" s="41" t="str">
        <f t="shared" si="105"/>
        <v>CHECK</v>
      </c>
      <c r="K482" s="41" t="str">
        <f t="shared" si="105"/>
        <v>CHECK</v>
      </c>
      <c r="L482" s="41" t="str">
        <f t="shared" si="105"/>
        <v>CHECK</v>
      </c>
      <c r="M482" s="41" t="str">
        <f t="shared" si="105"/>
        <v>CHECK</v>
      </c>
      <c r="N482" s="41" t="str">
        <f t="shared" si="105"/>
        <v>CHECK</v>
      </c>
      <c r="O482" s="41" t="str">
        <f t="shared" si="105"/>
        <v>CHECK</v>
      </c>
      <c r="P482" s="41" t="str">
        <f t="shared" si="105"/>
        <v>CHECK</v>
      </c>
      <c r="Q482" s="41" t="str">
        <f t="shared" si="105"/>
        <v>CHECK</v>
      </c>
      <c r="R482" s="41" t="str">
        <f t="shared" si="105"/>
        <v>CHECK</v>
      </c>
      <c r="S482" s="41" t="str">
        <f t="shared" si="105"/>
        <v>CHECK</v>
      </c>
      <c r="T482" s="41" t="str">
        <f t="shared" si="105"/>
        <v>CHECK</v>
      </c>
      <c r="U482" s="41"/>
      <c r="V482" s="41"/>
    </row>
    <row r="483" spans="1:22" x14ac:dyDescent="0.25">
      <c r="A483" s="11" t="s">
        <v>1088</v>
      </c>
      <c r="B483" s="11" t="s">
        <v>619</v>
      </c>
      <c r="C483" s="11" t="s">
        <v>493</v>
      </c>
      <c r="D483" s="11" t="s">
        <v>1097</v>
      </c>
      <c r="E483" s="41" t="str">
        <f t="shared" ref="E483:T483" si="106">IFERROR(((E155/E331)-1),"CHECK")</f>
        <v>CHECK</v>
      </c>
      <c r="F483" s="41" t="str">
        <f t="shared" si="106"/>
        <v>CHECK</v>
      </c>
      <c r="G483" s="41" t="str">
        <f t="shared" si="106"/>
        <v>CHECK</v>
      </c>
      <c r="H483" s="41" t="str">
        <f t="shared" si="106"/>
        <v>CHECK</v>
      </c>
      <c r="I483" s="41" t="str">
        <f t="shared" si="106"/>
        <v>CHECK</v>
      </c>
      <c r="J483" s="41" t="str">
        <f t="shared" si="106"/>
        <v>CHECK</v>
      </c>
      <c r="K483" s="41" t="str">
        <f t="shared" si="106"/>
        <v>CHECK</v>
      </c>
      <c r="L483" s="41" t="str">
        <f t="shared" si="106"/>
        <v>CHECK</v>
      </c>
      <c r="M483" s="41" t="str">
        <f t="shared" si="106"/>
        <v>CHECK</v>
      </c>
      <c r="N483" s="41" t="str">
        <f t="shared" si="106"/>
        <v>CHECK</v>
      </c>
      <c r="O483" s="41" t="str">
        <f t="shared" si="106"/>
        <v>CHECK</v>
      </c>
      <c r="P483" s="41">
        <f t="shared" si="106"/>
        <v>0</v>
      </c>
      <c r="Q483" s="41">
        <f t="shared" si="106"/>
        <v>0</v>
      </c>
      <c r="R483" s="41">
        <f t="shared" si="106"/>
        <v>0</v>
      </c>
      <c r="S483" s="41">
        <f t="shared" si="106"/>
        <v>0</v>
      </c>
      <c r="T483" s="41">
        <f t="shared" si="106"/>
        <v>0</v>
      </c>
      <c r="U483" s="41"/>
      <c r="V483" s="41"/>
    </row>
    <row r="484" spans="1:22" x14ac:dyDescent="0.25">
      <c r="A484" s="11" t="s">
        <v>1088</v>
      </c>
      <c r="B484" s="11" t="s">
        <v>619</v>
      </c>
      <c r="C484" s="11" t="s">
        <v>494</v>
      </c>
      <c r="D484" s="11" t="s">
        <v>1097</v>
      </c>
      <c r="E484" s="41" t="str">
        <f t="shared" ref="E484:T484" si="107">IFERROR(((E156/E332)-1),"CHECK")</f>
        <v>CHECK</v>
      </c>
      <c r="F484" s="41" t="str">
        <f t="shared" si="107"/>
        <v>CHECK</v>
      </c>
      <c r="G484" s="41" t="str">
        <f t="shared" si="107"/>
        <v>CHECK</v>
      </c>
      <c r="H484" s="41" t="str">
        <f t="shared" si="107"/>
        <v>CHECK</v>
      </c>
      <c r="I484" s="41" t="str">
        <f t="shared" si="107"/>
        <v>CHECK</v>
      </c>
      <c r="J484" s="41" t="str">
        <f t="shared" si="107"/>
        <v>CHECK</v>
      </c>
      <c r="K484" s="41" t="str">
        <f t="shared" si="107"/>
        <v>CHECK</v>
      </c>
      <c r="L484" s="41" t="str">
        <f t="shared" si="107"/>
        <v>CHECK</v>
      </c>
      <c r="M484" s="41" t="str">
        <f t="shared" si="107"/>
        <v>CHECK</v>
      </c>
      <c r="N484" s="41" t="str">
        <f t="shared" si="107"/>
        <v>CHECK</v>
      </c>
      <c r="O484" s="41" t="str">
        <f t="shared" si="107"/>
        <v>CHECK</v>
      </c>
      <c r="P484" s="41">
        <f t="shared" si="107"/>
        <v>0</v>
      </c>
      <c r="Q484" s="41">
        <f t="shared" si="107"/>
        <v>0</v>
      </c>
      <c r="R484" s="41">
        <f t="shared" si="107"/>
        <v>0</v>
      </c>
      <c r="S484" s="41">
        <f t="shared" si="107"/>
        <v>0</v>
      </c>
      <c r="T484" s="41">
        <f t="shared" si="107"/>
        <v>0</v>
      </c>
      <c r="U484" s="41"/>
      <c r="V484" s="41"/>
    </row>
    <row r="485" spans="1:22" x14ac:dyDescent="0.25">
      <c r="A485" s="11" t="s">
        <v>1088</v>
      </c>
      <c r="B485" s="11" t="s">
        <v>619</v>
      </c>
      <c r="C485" s="11" t="s">
        <v>498</v>
      </c>
      <c r="D485" s="11" t="s">
        <v>1097</v>
      </c>
      <c r="E485" s="41" t="str">
        <f t="shared" ref="E485:T485" si="108">IFERROR(((E157/E333)-1),"CHECK")</f>
        <v>CHECK</v>
      </c>
      <c r="F485" s="41" t="str">
        <f t="shared" si="108"/>
        <v>CHECK</v>
      </c>
      <c r="G485" s="41" t="str">
        <f t="shared" si="108"/>
        <v>CHECK</v>
      </c>
      <c r="H485" s="41" t="str">
        <f t="shared" si="108"/>
        <v>CHECK</v>
      </c>
      <c r="I485" s="41" t="str">
        <f t="shared" si="108"/>
        <v>CHECK</v>
      </c>
      <c r="J485" s="41" t="str">
        <f t="shared" si="108"/>
        <v>CHECK</v>
      </c>
      <c r="K485" s="41" t="str">
        <f t="shared" si="108"/>
        <v>CHECK</v>
      </c>
      <c r="L485" s="41" t="str">
        <f t="shared" si="108"/>
        <v>CHECK</v>
      </c>
      <c r="M485" s="41" t="str">
        <f t="shared" si="108"/>
        <v>CHECK</v>
      </c>
      <c r="N485" s="41" t="str">
        <f t="shared" si="108"/>
        <v>CHECK</v>
      </c>
      <c r="O485" s="41" t="str">
        <f t="shared" si="108"/>
        <v>CHECK</v>
      </c>
      <c r="P485" s="41" t="str">
        <f t="shared" si="108"/>
        <v>CHECK</v>
      </c>
      <c r="Q485" s="41" t="str">
        <f t="shared" si="108"/>
        <v>CHECK</v>
      </c>
      <c r="R485" s="41" t="str">
        <f t="shared" si="108"/>
        <v>CHECK</v>
      </c>
      <c r="S485" s="41" t="str">
        <f t="shared" si="108"/>
        <v>CHECK</v>
      </c>
      <c r="T485" s="41" t="str">
        <f t="shared" si="108"/>
        <v>CHECK</v>
      </c>
      <c r="U485" s="41"/>
      <c r="V485" s="41"/>
    </row>
    <row r="486" spans="1:22" x14ac:dyDescent="0.25">
      <c r="A486" s="11" t="s">
        <v>1088</v>
      </c>
      <c r="B486" s="11" t="s">
        <v>619</v>
      </c>
      <c r="C486" s="11" t="s">
        <v>495</v>
      </c>
      <c r="D486" s="11" t="s">
        <v>1097</v>
      </c>
      <c r="E486" s="41" t="str">
        <f t="shared" ref="E486:T486" si="109">IFERROR(((E158/E334)-1),"CHECK")</f>
        <v>CHECK</v>
      </c>
      <c r="F486" s="41" t="str">
        <f t="shared" si="109"/>
        <v>CHECK</v>
      </c>
      <c r="G486" s="41" t="str">
        <f t="shared" si="109"/>
        <v>CHECK</v>
      </c>
      <c r="H486" s="41" t="str">
        <f t="shared" si="109"/>
        <v>CHECK</v>
      </c>
      <c r="I486" s="41" t="str">
        <f t="shared" si="109"/>
        <v>CHECK</v>
      </c>
      <c r="J486" s="41" t="str">
        <f t="shared" si="109"/>
        <v>CHECK</v>
      </c>
      <c r="K486" s="41" t="str">
        <f t="shared" si="109"/>
        <v>CHECK</v>
      </c>
      <c r="L486" s="41" t="str">
        <f t="shared" si="109"/>
        <v>CHECK</v>
      </c>
      <c r="M486" s="41" t="str">
        <f t="shared" si="109"/>
        <v>CHECK</v>
      </c>
      <c r="N486" s="41" t="str">
        <f t="shared" si="109"/>
        <v>CHECK</v>
      </c>
      <c r="O486" s="41" t="str">
        <f t="shared" si="109"/>
        <v>CHECK</v>
      </c>
      <c r="P486" s="41">
        <f t="shared" si="109"/>
        <v>0</v>
      </c>
      <c r="Q486" s="41">
        <f t="shared" si="109"/>
        <v>0</v>
      </c>
      <c r="R486" s="41">
        <f t="shared" si="109"/>
        <v>0</v>
      </c>
      <c r="S486" s="41">
        <f t="shared" si="109"/>
        <v>0</v>
      </c>
      <c r="T486" s="41">
        <f t="shared" si="109"/>
        <v>0</v>
      </c>
      <c r="U486" s="41"/>
      <c r="V486" s="41"/>
    </row>
    <row r="487" spans="1:22" x14ac:dyDescent="0.25">
      <c r="A487" s="11"/>
      <c r="B487" s="11"/>
      <c r="C487" s="11"/>
      <c r="D487" s="11"/>
    </row>
    <row r="488" spans="1:22" x14ac:dyDescent="0.25">
      <c r="A488" s="10" t="s">
        <v>1098</v>
      </c>
      <c r="B488" s="10" t="s">
        <v>1067</v>
      </c>
      <c r="C488" s="10" t="s">
        <v>836</v>
      </c>
      <c r="D488" s="10" t="s">
        <v>1097</v>
      </c>
      <c r="E488" s="41" t="str">
        <f>IFERROR(((E160/E336)-1),"CHECK")</f>
        <v>CHECK</v>
      </c>
      <c r="F488" s="41" t="str">
        <f t="shared" ref="F488:T488" si="110">IFERROR(((F160/F336)-1),"CHECK")</f>
        <v>CHECK</v>
      </c>
      <c r="G488" s="41" t="str">
        <f t="shared" si="110"/>
        <v>CHECK</v>
      </c>
      <c r="H488" s="41" t="str">
        <f t="shared" si="110"/>
        <v>CHECK</v>
      </c>
      <c r="I488" s="41" t="str">
        <f t="shared" si="110"/>
        <v>CHECK</v>
      </c>
      <c r="J488" s="41">
        <f t="shared" si="110"/>
        <v>0</v>
      </c>
      <c r="K488" s="41">
        <f t="shared" si="110"/>
        <v>0</v>
      </c>
      <c r="L488" s="41">
        <f t="shared" si="110"/>
        <v>0</v>
      </c>
      <c r="M488" s="41">
        <f t="shared" si="110"/>
        <v>0</v>
      </c>
      <c r="N488" s="41">
        <f t="shared" si="110"/>
        <v>0</v>
      </c>
      <c r="O488" s="41">
        <f t="shared" si="110"/>
        <v>0</v>
      </c>
      <c r="P488" s="41">
        <f t="shared" si="110"/>
        <v>0</v>
      </c>
      <c r="Q488" s="41">
        <f t="shared" si="110"/>
        <v>0</v>
      </c>
      <c r="R488" s="41">
        <f t="shared" si="110"/>
        <v>0</v>
      </c>
      <c r="S488" s="41">
        <f t="shared" si="110"/>
        <v>0</v>
      </c>
      <c r="T488" s="41">
        <f t="shared" si="110"/>
        <v>0</v>
      </c>
      <c r="U488" s="41"/>
      <c r="V488" s="41"/>
    </row>
  </sheetData>
  <mergeCells count="2">
    <mergeCell ref="C1:J1"/>
    <mergeCell ref="C2:J2"/>
  </mergeCells>
  <conditionalFormatting sqref="K2">
    <cfRule type="expression" dxfId="7" priority="43">
      <formula>(UPPER(LEFT(SUBSTITUTE($Z2,"#",""),5))="FIXCH")</formula>
    </cfRule>
    <cfRule type="expression" dxfId="6" priority="44">
      <formula>(UPPER(SUBSTITUTE($Z2,"#",""))="OK")</formula>
    </cfRule>
  </conditionalFormatting>
  <conditionalFormatting sqref="E458:V458 E414:V414 E343:V357 E395:V409 E420:V423">
    <cfRule type="colorScale" priority="59">
      <colorScale>
        <cfvo type="min"/>
        <cfvo type="num" val="0"/>
        <cfvo type="max"/>
        <color theme="3" tint="0.59999389629810485"/>
        <color theme="0"/>
        <color rgb="FFEE9CA4"/>
      </colorScale>
    </cfRule>
  </conditionalFormatting>
  <conditionalFormatting sqref="E371:V371 E375:V375 E379:V379">
    <cfRule type="colorScale" priority="41">
      <colorScale>
        <cfvo type="min"/>
        <cfvo type="num" val="0"/>
        <cfvo type="max"/>
        <color theme="3" tint="0.59999389629810485"/>
        <color theme="0"/>
        <color rgb="FFEE9CA4"/>
      </colorScale>
    </cfRule>
  </conditionalFormatting>
  <conditionalFormatting sqref="E430:V430 E445:V445 E435:V435 E440:V440">
    <cfRule type="colorScale" priority="38">
      <colorScale>
        <cfvo type="min"/>
        <cfvo type="num" val="0"/>
        <cfvo type="max"/>
        <color theme="3" tint="0.59999389629810485"/>
        <color theme="0"/>
        <color rgb="FFEE9CA4"/>
      </colorScale>
    </cfRule>
  </conditionalFormatting>
  <conditionalFormatting sqref="E384:V386">
    <cfRule type="colorScale" priority="15">
      <colorScale>
        <cfvo type="min"/>
        <cfvo type="num" val="0"/>
        <cfvo type="max"/>
        <color theme="3" tint="0.59999389629810485"/>
        <color theme="0"/>
        <color rgb="FFEE9CA4"/>
      </colorScale>
    </cfRule>
  </conditionalFormatting>
  <conditionalFormatting sqref="E419:V419">
    <cfRule type="colorScale" priority="29">
      <colorScale>
        <cfvo type="min"/>
        <cfvo type="num" val="0"/>
        <cfvo type="max"/>
        <color theme="3" tint="0.59999389629810485"/>
        <color theme="0"/>
        <color rgb="FFEE9CA4"/>
      </colorScale>
    </cfRule>
  </conditionalFormatting>
  <conditionalFormatting sqref="E450:V450">
    <cfRule type="colorScale" priority="27">
      <colorScale>
        <cfvo type="min"/>
        <cfvo type="num" val="0"/>
        <cfvo type="max"/>
        <color theme="3" tint="0.59999389629810485"/>
        <color theme="0"/>
        <color rgb="FFEE9CA4"/>
      </colorScale>
    </cfRule>
  </conditionalFormatting>
  <conditionalFormatting sqref="E359:V361">
    <cfRule type="colorScale" priority="21">
      <colorScale>
        <cfvo type="min"/>
        <cfvo type="num" val="0"/>
        <cfvo type="max"/>
        <color theme="3" tint="0.59999389629810485"/>
        <color theme="0"/>
        <color rgb="FFEE9CA4"/>
      </colorScale>
    </cfRule>
  </conditionalFormatting>
  <conditionalFormatting sqref="E363:V365">
    <cfRule type="colorScale" priority="20">
      <colorScale>
        <cfvo type="min"/>
        <cfvo type="num" val="0"/>
        <cfvo type="max"/>
        <color theme="3" tint="0.59999389629810485"/>
        <color theme="0"/>
        <color rgb="FFEE9CA4"/>
      </colorScale>
    </cfRule>
  </conditionalFormatting>
  <conditionalFormatting sqref="E368:V370">
    <cfRule type="colorScale" priority="19">
      <colorScale>
        <cfvo type="min"/>
        <cfvo type="num" val="0"/>
        <cfvo type="max"/>
        <color theme="3" tint="0.59999389629810485"/>
        <color theme="0"/>
        <color rgb="FFEE9CA4"/>
      </colorScale>
    </cfRule>
  </conditionalFormatting>
  <conditionalFormatting sqref="E372:V374">
    <cfRule type="colorScale" priority="18">
      <colorScale>
        <cfvo type="min"/>
        <cfvo type="num" val="0"/>
        <cfvo type="max"/>
        <color theme="3" tint="0.59999389629810485"/>
        <color theme="0"/>
        <color rgb="FFEE9CA4"/>
      </colorScale>
    </cfRule>
  </conditionalFormatting>
  <conditionalFormatting sqref="E376:V378">
    <cfRule type="colorScale" priority="17">
      <colorScale>
        <cfvo type="min"/>
        <cfvo type="num" val="0"/>
        <cfvo type="max"/>
        <color theme="3" tint="0.59999389629810485"/>
        <color theme="0"/>
        <color rgb="FFEE9CA4"/>
      </colorScale>
    </cfRule>
  </conditionalFormatting>
  <conditionalFormatting sqref="E380:V382">
    <cfRule type="colorScale" priority="16">
      <colorScale>
        <cfvo type="min"/>
        <cfvo type="num" val="0"/>
        <cfvo type="max"/>
        <color theme="3" tint="0.59999389629810485"/>
        <color theme="0"/>
        <color rgb="FFEE9CA4"/>
      </colorScale>
    </cfRule>
  </conditionalFormatting>
  <conditionalFormatting sqref="E388:V390">
    <cfRule type="colorScale" priority="14">
      <colorScale>
        <cfvo type="min"/>
        <cfvo type="num" val="0"/>
        <cfvo type="max"/>
        <color theme="3" tint="0.59999389629810485"/>
        <color theme="0"/>
        <color rgb="FFEE9CA4"/>
      </colorScale>
    </cfRule>
  </conditionalFormatting>
  <conditionalFormatting sqref="E410:V413">
    <cfRule type="colorScale" priority="13">
      <colorScale>
        <cfvo type="min"/>
        <cfvo type="num" val="0"/>
        <cfvo type="max"/>
        <color theme="3" tint="0.59999389629810485"/>
        <color theme="0"/>
        <color rgb="FFEE9CA4"/>
      </colorScale>
    </cfRule>
  </conditionalFormatting>
  <conditionalFormatting sqref="E415:V418">
    <cfRule type="colorScale" priority="12">
      <colorScale>
        <cfvo type="min"/>
        <cfvo type="num" val="0"/>
        <cfvo type="max"/>
        <color theme="3" tint="0.59999389629810485"/>
        <color theme="0"/>
        <color rgb="FFEE9CA4"/>
      </colorScale>
    </cfRule>
  </conditionalFormatting>
  <conditionalFormatting sqref="E426:V429">
    <cfRule type="colorScale" priority="11">
      <colorScale>
        <cfvo type="min"/>
        <cfvo type="num" val="0"/>
        <cfvo type="max"/>
        <color theme="3" tint="0.59999389629810485"/>
        <color theme="0"/>
        <color rgb="FFEE9CA4"/>
      </colorScale>
    </cfRule>
  </conditionalFormatting>
  <conditionalFormatting sqref="E431:V434">
    <cfRule type="colorScale" priority="10">
      <colorScale>
        <cfvo type="min"/>
        <cfvo type="num" val="0"/>
        <cfvo type="max"/>
        <color theme="3" tint="0.59999389629810485"/>
        <color theme="0"/>
        <color rgb="FFEE9CA4"/>
      </colorScale>
    </cfRule>
  </conditionalFormatting>
  <conditionalFormatting sqref="E436:V439">
    <cfRule type="colorScale" priority="9">
      <colorScale>
        <cfvo type="min"/>
        <cfvo type="num" val="0"/>
        <cfvo type="max"/>
        <color theme="3" tint="0.59999389629810485"/>
        <color theme="0"/>
        <color rgb="FFEE9CA4"/>
      </colorScale>
    </cfRule>
  </conditionalFormatting>
  <conditionalFormatting sqref="E441:V444">
    <cfRule type="colorScale" priority="8">
      <colorScale>
        <cfvo type="min"/>
        <cfvo type="num" val="0"/>
        <cfvo type="max"/>
        <color theme="3" tint="0.59999389629810485"/>
        <color theme="0"/>
        <color rgb="FFEE9CA4"/>
      </colorScale>
    </cfRule>
  </conditionalFormatting>
  <conditionalFormatting sqref="E446:V449">
    <cfRule type="colorScale" priority="7">
      <colorScale>
        <cfvo type="min"/>
        <cfvo type="num" val="0"/>
        <cfvo type="max"/>
        <color theme="3" tint="0.59999389629810485"/>
        <color theme="0"/>
        <color rgb="FFEE9CA4"/>
      </colorScale>
    </cfRule>
  </conditionalFormatting>
  <conditionalFormatting sqref="E459:V464">
    <cfRule type="colorScale" priority="6">
      <colorScale>
        <cfvo type="min"/>
        <cfvo type="num" val="0"/>
        <cfvo type="max"/>
        <color theme="3" tint="0.59999389629810485"/>
        <color theme="0"/>
        <color rgb="FFEE9CA4"/>
      </colorScale>
    </cfRule>
  </conditionalFormatting>
  <conditionalFormatting sqref="E466:V471">
    <cfRule type="colorScale" priority="5">
      <colorScale>
        <cfvo type="min"/>
        <cfvo type="num" val="0"/>
        <cfvo type="max"/>
        <color theme="3" tint="0.59999389629810485"/>
        <color theme="0"/>
        <color rgb="FFEE9CA4"/>
      </colorScale>
    </cfRule>
  </conditionalFormatting>
  <conditionalFormatting sqref="E474:V479">
    <cfRule type="colorScale" priority="4">
      <colorScale>
        <cfvo type="min"/>
        <cfvo type="num" val="0"/>
        <cfvo type="max"/>
        <color theme="3" tint="0.59999389629810485"/>
        <color theme="0"/>
        <color rgb="FFEE9CA4"/>
      </colorScale>
    </cfRule>
  </conditionalFormatting>
  <conditionalFormatting sqref="E481:V486">
    <cfRule type="colorScale" priority="3">
      <colorScale>
        <cfvo type="min"/>
        <cfvo type="num" val="0"/>
        <cfvo type="max"/>
        <color theme="3" tint="0.59999389629810485"/>
        <color theme="0"/>
        <color rgb="FFEE9CA4"/>
      </colorScale>
    </cfRule>
  </conditionalFormatting>
  <conditionalFormatting sqref="E488:V488">
    <cfRule type="colorScale" priority="2">
      <colorScale>
        <cfvo type="min"/>
        <cfvo type="num" val="0"/>
        <cfvo type="max"/>
        <color theme="3" tint="0.59999389629810485"/>
        <color theme="0"/>
        <color rgb="FFEE9CA4"/>
      </colorScale>
    </cfRule>
  </conditionalFormatting>
  <conditionalFormatting sqref="E451:V45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800-000000000000}">
      <formula1>"Draft - not checked, Undergoing QA/QC, Checked, Final"</formula1>
    </dataValidation>
  </dataValidations>
  <pageMargins left="0.7" right="0.7" top="0.75" bottom="0.75" header="0.3" footer="0.3"/>
  <pageSetup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2800-000096000000}">
          <x14:colorSeries rgb="FF376092"/>
          <x14:colorNegative rgb="FFD00000"/>
          <x14:colorAxis rgb="FF000000"/>
          <x14:colorMarkers rgb="FFD00000"/>
          <x14:colorFirst rgb="FFD00000"/>
          <x14:colorLast rgb="FFD00000"/>
          <x14:colorHigh rgb="FFD00000"/>
          <x14:colorLow rgb="FFD00000"/>
          <x14:sparklines>
            <x14:sparkline>
              <xm:f>'2F1 Refrigeration and AC'!E98:T98</xm:f>
              <xm:sqref>W98</xm:sqref>
            </x14:sparkline>
            <x14:sparkline>
              <xm:f>'2F1 Refrigeration and AC'!E99:T99</xm:f>
              <xm:sqref>W99</xm:sqref>
            </x14:sparkline>
            <x14:sparkline>
              <xm:f>'2F1 Refrigeration and AC'!E100:T100</xm:f>
              <xm:sqref>W100</xm:sqref>
            </x14:sparkline>
            <x14:sparkline>
              <xm:f>'2F1 Refrigeration and AC'!E101:T101</xm:f>
              <xm:sqref>W101</xm:sqref>
            </x14:sparkline>
            <x14:sparkline>
              <xm:f>'2F1 Refrigeration and AC'!E102:T102</xm:f>
              <xm:sqref>W102</xm:sqref>
            </x14:sparkline>
            <x14:sparkline>
              <xm:f>'2F1 Refrigeration and AC'!E103:T103</xm:f>
              <xm:sqref>W103</xm:sqref>
            </x14:sparkline>
            <x14:sparkline>
              <xm:f>'2F1 Refrigeration and AC'!E104:T104</xm:f>
              <xm:sqref>W104</xm:sqref>
            </x14:sparkline>
            <x14:sparkline>
              <xm:f>'2F1 Refrigeration and AC'!E105:T105</xm:f>
              <xm:sqref>W105</xm:sqref>
            </x14:sparkline>
            <x14:sparkline>
              <xm:f>'2F1 Refrigeration and AC'!E106:T106</xm:f>
              <xm:sqref>W106</xm:sqref>
            </x14:sparkline>
            <x14:sparkline>
              <xm:f>'2F1 Refrigeration and AC'!E107:T107</xm:f>
              <xm:sqref>W107</xm:sqref>
            </x14:sparkline>
            <x14:sparkline>
              <xm:f>'2F1 Refrigeration and AC'!E108:T108</xm:f>
              <xm:sqref>W108</xm:sqref>
            </x14:sparkline>
            <x14:sparkline>
              <xm:f>'2F1 Refrigeration and AC'!E109:T109</xm:f>
              <xm:sqref>W109</xm:sqref>
            </x14:sparkline>
            <x14:sparkline>
              <xm:f>'2F1 Refrigeration and AC'!E110:T110</xm:f>
              <xm:sqref>W110</xm:sqref>
            </x14:sparkline>
            <x14:sparkline>
              <xm:f>'2F1 Refrigeration and AC'!E111:T111</xm:f>
              <xm:sqref>W111</xm:sqref>
            </x14:sparkline>
            <x14:sparkline>
              <xm:f>'2F1 Refrigeration and AC'!E112:T112</xm:f>
              <xm:sqref>W112</xm:sqref>
            </x14:sparkline>
            <x14:sparkline>
              <xm:f>'2F1 Refrigeration and AC'!E113:T113</xm:f>
              <xm:sqref>W113</xm:sqref>
            </x14:sparkline>
            <x14:sparkline>
              <xm:f>'2F1 Refrigeration and AC'!E114:T114</xm:f>
              <xm:sqref>W114</xm:sqref>
            </x14:sparkline>
            <x14:sparkline>
              <xm:f>'2F1 Refrigeration and AC'!E115:T115</xm:f>
              <xm:sqref>W115</xm:sqref>
            </x14:sparkline>
            <x14:sparkline>
              <xm:f>'2F1 Refrigeration and AC'!E116:T116</xm:f>
              <xm:sqref>W116</xm:sqref>
            </x14:sparkline>
            <x14:sparkline>
              <xm:f>'2F1 Refrigeration and AC'!E117:T117</xm:f>
              <xm:sqref>W117</xm:sqref>
            </x14:sparkline>
            <x14:sparkline>
              <xm:f>'2F1 Refrigeration and AC'!E118:T118</xm:f>
              <xm:sqref>W118</xm:sqref>
            </x14:sparkline>
            <x14:sparkline>
              <xm:f>'2F1 Refrigeration and AC'!E119:T119</xm:f>
              <xm:sqref>W119</xm:sqref>
            </x14:sparkline>
            <x14:sparkline>
              <xm:f>'2F1 Refrigeration and AC'!E120:T120</xm:f>
              <xm:sqref>W120</xm:sqref>
            </x14:sparkline>
            <x14:sparkline>
              <xm:f>'2F1 Refrigeration and AC'!E121:T121</xm:f>
              <xm:sqref>W121</xm:sqref>
            </x14:sparkline>
            <x14:sparkline>
              <xm:f>'2F1 Refrigeration and AC'!E122:T122</xm:f>
              <xm:sqref>W122</xm:sqref>
            </x14:sparkline>
            <x14:sparkline>
              <xm:f>'2F1 Refrigeration and AC'!E123:T123</xm:f>
              <xm:sqref>W123</xm:sqref>
            </x14:sparkline>
            <x14:sparkline>
              <xm:f>'2F1 Refrigeration and AC'!E124:T124</xm:f>
              <xm:sqref>W124</xm:sqref>
            </x14:sparkline>
            <x14:sparkline>
              <xm:f>'2F1 Refrigeration and AC'!E125:T125</xm:f>
              <xm:sqref>W125</xm:sqref>
            </x14:sparkline>
            <x14:sparkline>
              <xm:f>'2F1 Refrigeration and AC'!E126:T126</xm:f>
              <xm:sqref>W126</xm:sqref>
            </x14:sparkline>
          </x14:sparklines>
        </x14:sparklineGroup>
        <x14:sparklineGroup manualMax="0" manualMin="0" displayEmptyCellsAs="gap" xr2:uid="{00000000-0003-0000-2800-000095000000}">
          <x14:colorSeries rgb="FF376092"/>
          <x14:colorNegative rgb="FFD00000"/>
          <x14:colorAxis rgb="FF000000"/>
          <x14:colorMarkers rgb="FFD00000"/>
          <x14:colorFirst rgb="FFD00000"/>
          <x14:colorLast rgb="FFD00000"/>
          <x14:colorHigh rgb="FFD00000"/>
          <x14:colorLow rgb="FFD00000"/>
          <x14:sparklines>
            <x14:sparkline>
              <xm:f>'2F1 Refrigeration and AC'!E40:T40</xm:f>
              <xm:sqref>W40</xm:sqref>
            </x14:sparkline>
            <x14:sparkline>
              <xm:f>'2F1 Refrigeration and AC'!E41:T41</xm:f>
              <xm:sqref>W41</xm:sqref>
            </x14:sparkline>
            <x14:sparkline>
              <xm:f>'2F1 Refrigeration and AC'!E42:T42</xm:f>
              <xm:sqref>W42</xm:sqref>
            </x14:sparkline>
            <x14:sparkline>
              <xm:f>'2F1 Refrigeration and AC'!E43:T43</xm:f>
              <xm:sqref>W43</xm:sqref>
            </x14:sparkline>
            <x14:sparkline>
              <xm:f>'2F1 Refrigeration and AC'!E44:T44</xm:f>
              <xm:sqref>W44</xm:sqref>
            </x14:sparkline>
            <x14:sparkline>
              <xm:f>'2F1 Refrigeration and AC'!E45:T45</xm:f>
              <xm:sqref>W45</xm:sqref>
            </x14:sparkline>
            <x14:sparkline>
              <xm:f>'2F1 Refrigeration and AC'!E46:T46</xm:f>
              <xm:sqref>W46</xm:sqref>
            </x14:sparkline>
            <x14:sparkline>
              <xm:f>'2F1 Refrigeration and AC'!E47:T47</xm:f>
              <xm:sqref>W47</xm:sqref>
            </x14:sparkline>
            <x14:sparkline>
              <xm:f>'2F1 Refrigeration and AC'!E48:T48</xm:f>
              <xm:sqref>W48</xm:sqref>
            </x14:sparkline>
            <x14:sparkline>
              <xm:f>'2F1 Refrigeration and AC'!E49:T49</xm:f>
              <xm:sqref>W49</xm:sqref>
            </x14:sparkline>
            <x14:sparkline>
              <xm:f>'2F1 Refrigeration and AC'!E50:T50</xm:f>
              <xm:sqref>W50</xm:sqref>
            </x14:sparkline>
            <x14:sparkline>
              <xm:f>'2F1 Refrigeration and AC'!E51:T51</xm:f>
              <xm:sqref>W51</xm:sqref>
            </x14:sparkline>
            <x14:sparkline>
              <xm:f>'2F1 Refrigeration and AC'!E52:T52</xm:f>
              <xm:sqref>W52</xm:sqref>
            </x14:sparkline>
            <x14:sparkline>
              <xm:f>'2F1 Refrigeration and AC'!E53:T53</xm:f>
              <xm:sqref>W53</xm:sqref>
            </x14:sparkline>
            <x14:sparkline>
              <xm:f>'2F1 Refrigeration and AC'!E54:T54</xm:f>
              <xm:sqref>W54</xm:sqref>
            </x14:sparkline>
            <x14:sparkline>
              <xm:f>'2F1 Refrigeration and AC'!E55:T55</xm:f>
              <xm:sqref>W55</xm:sqref>
            </x14:sparkline>
            <x14:sparkline>
              <xm:f>'2F1 Refrigeration and AC'!E56:T56</xm:f>
              <xm:sqref>W56</xm:sqref>
            </x14:sparkline>
            <x14:sparkline>
              <xm:f>'2F1 Refrigeration and AC'!E57:T57</xm:f>
              <xm:sqref>W57</xm:sqref>
            </x14:sparkline>
            <x14:sparkline>
              <xm:f>'2F1 Refrigeration and AC'!E58:T58</xm:f>
              <xm:sqref>W58</xm:sqref>
            </x14:sparkline>
            <x14:sparkline>
              <xm:f>'2F1 Refrigeration and AC'!E59:T59</xm:f>
              <xm:sqref>W59</xm:sqref>
            </x14:sparkline>
            <x14:sparkline>
              <xm:f>'2F1 Refrigeration and AC'!E60:T60</xm:f>
              <xm:sqref>W60</xm:sqref>
            </x14:sparkline>
            <x14:sparkline>
              <xm:f>'2F1 Refrigeration and AC'!E61:T61</xm:f>
              <xm:sqref>W61</xm:sqref>
            </x14:sparkline>
            <x14:sparkline>
              <xm:f>'2F1 Refrigeration and AC'!E62:T62</xm:f>
              <xm:sqref>W62</xm:sqref>
            </x14:sparkline>
          </x14:sparklines>
        </x14:sparklineGroup>
        <x14:sparklineGroup manualMax="0" manualMin="0" displayEmptyCellsAs="gap" xr2:uid="{00000000-0003-0000-2800-000094000000}">
          <x14:colorSeries rgb="FF376092"/>
          <x14:colorNegative rgb="FFD00000"/>
          <x14:colorAxis rgb="FF000000"/>
          <x14:colorMarkers rgb="FFD00000"/>
          <x14:colorFirst rgb="FFD00000"/>
          <x14:colorLast rgb="FFD00000"/>
          <x14:colorHigh rgb="FFD00000"/>
          <x14:colorLow rgb="FFD00000"/>
          <x14:sparklines>
            <x14:sparkline>
              <xm:f>'2F1 Refrigeration and AC'!E160:V160</xm:f>
              <xm:sqref>W160</xm:sqref>
            </x14:sparkline>
          </x14:sparklines>
        </x14:sparklineGroup>
        <x14:sparklineGroup manualMax="0" manualMin="0" displayEmptyCellsAs="gap" xr2:uid="{00000000-0003-0000-2800-000093000000}">
          <x14:colorSeries rgb="FF376092"/>
          <x14:colorNegative rgb="FFD00000"/>
          <x14:colorAxis rgb="FF000000"/>
          <x14:colorMarkers rgb="FFD00000"/>
          <x14:colorFirst rgb="FFD00000"/>
          <x14:colorLast rgb="FFD00000"/>
          <x14:colorHigh rgb="FFD00000"/>
          <x14:colorLow rgb="FFD00000"/>
          <x14:sparklines>
            <x14:sparkline>
              <xm:f>'2F1 Refrigeration and AC'!E15:T15</xm:f>
              <xm:sqref>W15</xm:sqref>
            </x14:sparkline>
            <x14:sparkline>
              <xm:f>'2F1 Refrigeration and AC'!E16:T16</xm:f>
              <xm:sqref>W16</xm:sqref>
            </x14:sparkline>
            <x14:sparkline>
              <xm:f>'2F1 Refrigeration and AC'!E17:T17</xm:f>
              <xm:sqref>W17</xm:sqref>
            </x14:sparkline>
            <x14:sparkline>
              <xm:f>'2F1 Refrigeration and AC'!E18:T18</xm:f>
              <xm:sqref>W18</xm:sqref>
            </x14:sparkline>
            <x14:sparkline>
              <xm:f>'2F1 Refrigeration and AC'!E19:T19</xm:f>
              <xm:sqref>W19</xm:sqref>
            </x14:sparkline>
            <x14:sparkline>
              <xm:f>'2F1 Refrigeration and AC'!E20:T20</xm:f>
              <xm:sqref>W20</xm:sqref>
            </x14:sparkline>
            <x14:sparkline>
              <xm:f>'2F1 Refrigeration and AC'!E21:T21</xm:f>
              <xm:sqref>W21</xm:sqref>
            </x14:sparkline>
            <x14:sparkline>
              <xm:f>'2F1 Refrigeration and AC'!E22:T22</xm:f>
              <xm:sqref>W22</xm:sqref>
            </x14:sparkline>
            <x14:sparkline>
              <xm:f>'2F1 Refrigeration and AC'!E23:T23</xm:f>
              <xm:sqref>W23</xm:sqref>
            </x14:sparkline>
            <x14:sparkline>
              <xm:f>'2F1 Refrigeration and AC'!E24:T24</xm:f>
              <xm:sqref>W24</xm:sqref>
            </x14:sparkline>
            <x14:sparkline>
              <xm:f>'2F1 Refrigeration and AC'!E25:T25</xm:f>
              <xm:sqref>W25</xm:sqref>
            </x14:sparkline>
            <x14:sparkline>
              <xm:f>'2F1 Refrigeration and AC'!E26:T26</xm:f>
              <xm:sqref>W26</xm:sqref>
            </x14:sparkline>
            <x14:sparkline>
              <xm:f>'2F1 Refrigeration and AC'!E27:T27</xm:f>
              <xm:sqref>W27</xm:sqref>
            </x14:sparkline>
            <x14:sparkline>
              <xm:f>'2F1 Refrigeration and AC'!E28:T28</xm:f>
              <xm:sqref>W28</xm:sqref>
            </x14:sparkline>
            <x14:sparkline>
              <xm:f>'2F1 Refrigeration and AC'!E29:T29</xm:f>
              <xm:sqref>W29</xm:sqref>
            </x14:sparkline>
            <x14:sparkline>
              <xm:f>'2F1 Refrigeration and AC'!E30:T30</xm:f>
              <xm:sqref>W30</xm:sqref>
            </x14:sparkline>
            <x14:sparkline>
              <xm:f>'2F1 Refrigeration and AC'!E31:T31</xm:f>
              <xm:sqref>W31</xm:sqref>
            </x14:sparkline>
            <x14:sparkline>
              <xm:f>'2F1 Refrigeration and AC'!E32:T32</xm:f>
              <xm:sqref>W32</xm:sqref>
            </x14:sparkline>
            <x14:sparkline>
              <xm:f>'2F1 Refrigeration and AC'!E33:T33</xm:f>
              <xm:sqref>W33</xm:sqref>
            </x14:sparkline>
            <x14:sparkline>
              <xm:f>'2F1 Refrigeration and AC'!E34:T34</xm:f>
              <xm:sqref>W34</xm:sqref>
            </x14:sparkline>
            <x14:sparkline>
              <xm:f>'2F1 Refrigeration and AC'!E35:T35</xm:f>
              <xm:sqref>W35</xm:sqref>
            </x14:sparkline>
            <x14:sparkline>
              <xm:f>'2F1 Refrigeration and AC'!E36:T36</xm:f>
              <xm:sqref>W36</xm:sqref>
            </x14:sparkline>
            <x14:sparkline>
              <xm:f>'2F1 Refrigeration and AC'!E37:T37</xm:f>
              <xm:sqref>W37</xm:sqref>
            </x14:sparkline>
          </x14:sparklines>
        </x14:sparklineGroup>
        <x14:sparklineGroup manualMax="0" manualMin="0" displayEmptyCellsAs="gap" xr2:uid="{00000000-0003-0000-2800-000092000000}">
          <x14:colorSeries rgb="FF376092"/>
          <x14:colorNegative rgb="FFD00000"/>
          <x14:colorAxis rgb="FF000000"/>
          <x14:colorMarkers rgb="FFD00000"/>
          <x14:colorFirst rgb="FFD00000"/>
          <x14:colorLast rgb="FFD00000"/>
          <x14:colorHigh rgb="FFD00000"/>
          <x14:colorLow rgb="FFD00000"/>
          <x14:sparklines>
            <x14:sparkline>
              <xm:f>'2F1 Refrigeration and AC'!E67:T67</xm:f>
              <xm:sqref>W67</xm:sqref>
            </x14:sparkline>
            <x14:sparkline>
              <xm:f>'2F1 Refrigeration and AC'!E68:T68</xm:f>
              <xm:sqref>W68</xm:sqref>
            </x14:sparkline>
            <x14:sparkline>
              <xm:f>'2F1 Refrigeration and AC'!E69:T69</xm:f>
              <xm:sqref>W69</xm:sqref>
            </x14:sparkline>
            <x14:sparkline>
              <xm:f>'2F1 Refrigeration and AC'!E70:T70</xm:f>
              <xm:sqref>W70</xm:sqref>
            </x14:sparkline>
            <x14:sparkline>
              <xm:f>'2F1 Refrigeration and AC'!E71:T71</xm:f>
              <xm:sqref>W71</xm:sqref>
            </x14:sparkline>
            <x14:sparkline>
              <xm:f>'2F1 Refrigeration and AC'!E72:T72</xm:f>
              <xm:sqref>W72</xm:sqref>
            </x14:sparkline>
            <x14:sparkline>
              <xm:f>'2F1 Refrigeration and AC'!E73:T73</xm:f>
              <xm:sqref>W73</xm:sqref>
            </x14:sparkline>
            <x14:sparkline>
              <xm:f>'2F1 Refrigeration and AC'!E74:T74</xm:f>
              <xm:sqref>W74</xm:sqref>
            </x14:sparkline>
            <x14:sparkline>
              <xm:f>'2F1 Refrigeration and AC'!E75:T75</xm:f>
              <xm:sqref>W75</xm:sqref>
            </x14:sparkline>
            <x14:sparkline>
              <xm:f>'2F1 Refrigeration and AC'!E76:T76</xm:f>
              <xm:sqref>W76</xm:sqref>
            </x14:sparkline>
            <x14:sparkline>
              <xm:f>'2F1 Refrigeration and AC'!E77:T77</xm:f>
              <xm:sqref>W77</xm:sqref>
            </x14:sparkline>
            <x14:sparkline>
              <xm:f>'2F1 Refrigeration and AC'!E78:T78</xm:f>
              <xm:sqref>W78</xm:sqref>
            </x14:sparkline>
            <x14:sparkline>
              <xm:f>'2F1 Refrigeration and AC'!E79:T79</xm:f>
              <xm:sqref>W79</xm:sqref>
            </x14:sparkline>
            <x14:sparkline>
              <xm:f>'2F1 Refrigeration and AC'!E80:T80</xm:f>
              <xm:sqref>W80</xm:sqref>
            </x14:sparkline>
            <x14:sparkline>
              <xm:f>'2F1 Refrigeration and AC'!E81:T81</xm:f>
              <xm:sqref>W81</xm:sqref>
            </x14:sparkline>
            <x14:sparkline>
              <xm:f>'2F1 Refrigeration and AC'!E82:T82</xm:f>
              <xm:sqref>W82</xm:sqref>
            </x14:sparkline>
            <x14:sparkline>
              <xm:f>'2F1 Refrigeration and AC'!E83:T83</xm:f>
              <xm:sqref>W83</xm:sqref>
            </x14:sparkline>
            <x14:sparkline>
              <xm:f>'2F1 Refrigeration and AC'!E84:T84</xm:f>
              <xm:sqref>W84</xm:sqref>
            </x14:sparkline>
            <x14:sparkline>
              <xm:f>'2F1 Refrigeration and AC'!E85:T85</xm:f>
              <xm:sqref>W85</xm:sqref>
            </x14:sparkline>
            <x14:sparkline>
              <xm:f>'2F1 Refrigeration and AC'!E86:T86</xm:f>
              <xm:sqref>W86</xm:sqref>
            </x14:sparkline>
            <x14:sparkline>
              <xm:f>'2F1 Refrigeration and AC'!E87:T87</xm:f>
              <xm:sqref>W87</xm:sqref>
            </x14:sparkline>
            <x14:sparkline>
              <xm:f>'2F1 Refrigeration and AC'!E88:T88</xm:f>
              <xm:sqref>W88</xm:sqref>
            </x14:sparkline>
            <x14:sparkline>
              <xm:f>'2F1 Refrigeration and AC'!E89:T89</xm:f>
              <xm:sqref>W89</xm:sqref>
            </x14:sparkline>
            <x14:sparkline>
              <xm:f>'2F1 Refrigeration and AC'!E90:T90</xm:f>
              <xm:sqref>W90</xm:sqref>
            </x14:sparkline>
            <x14:sparkline>
              <xm:f>'2F1 Refrigeration and AC'!E91:T91</xm:f>
              <xm:sqref>W91</xm:sqref>
            </x14:sparkline>
            <x14:sparkline>
              <xm:f>'2F1 Refrigeration and AC'!E92:T92</xm:f>
              <xm:sqref>W92</xm:sqref>
            </x14:sparkline>
            <x14:sparkline>
              <xm:f>'2F1 Refrigeration and AC'!E93:T93</xm:f>
              <xm:sqref>W93</xm:sqref>
            </x14:sparkline>
            <x14:sparkline>
              <xm:f>'2F1 Refrigeration and AC'!E94:T94</xm:f>
              <xm:sqref>W94</xm:sqref>
            </x14:sparkline>
            <x14:sparkline>
              <xm:f>'2F1 Refrigeration and AC'!E95:T95</xm:f>
              <xm:sqref>W95</xm:sqref>
            </x14:sparkline>
          </x14:sparklines>
        </x14:sparklineGroup>
        <x14:sparklineGroup manualMax="0" manualMin="0" displayEmptyCellsAs="gap" xr2:uid="{00000000-0003-0000-2800-000091000000}">
          <x14:colorSeries rgb="FF376092"/>
          <x14:colorNegative rgb="FFD00000"/>
          <x14:colorAxis rgb="FF000000"/>
          <x14:colorMarkers rgb="FFD00000"/>
          <x14:colorFirst rgb="FFD00000"/>
          <x14:colorLast rgb="FFD00000"/>
          <x14:colorHigh rgb="FFD00000"/>
          <x14:colorLow rgb="FFD00000"/>
          <x14:sparklines>
            <x14:sparkline>
              <xm:f>'2F1 Refrigeration and AC'!E146:V146</xm:f>
              <xm:sqref>W146</xm:sqref>
            </x14:sparkline>
            <x14:sparkline>
              <xm:f>'2F1 Refrigeration and AC'!E147:V147</xm:f>
              <xm:sqref>W147</xm:sqref>
            </x14:sparkline>
            <x14:sparkline>
              <xm:f>'2F1 Refrigeration and AC'!E148:V148</xm:f>
              <xm:sqref>W148</xm:sqref>
            </x14:sparkline>
            <x14:sparkline>
              <xm:f>'2F1 Refrigeration and AC'!E149:V149</xm:f>
              <xm:sqref>W149</xm:sqref>
            </x14:sparkline>
            <x14:sparkline>
              <xm:f>'2F1 Refrigeration and AC'!E150:V150</xm:f>
              <xm:sqref>W150</xm:sqref>
            </x14:sparkline>
            <x14:sparkline>
              <xm:f>'2F1 Refrigeration and AC'!E151:V151</xm:f>
              <xm:sqref>W151</xm:sqref>
            </x14:sparkline>
          </x14:sparklines>
        </x14:sparklineGroup>
        <x14:sparklineGroup manualMax="0" manualMin="0" displayEmptyCellsAs="gap" xr2:uid="{00000000-0003-0000-2800-000090000000}">
          <x14:colorSeries rgb="FF376092"/>
          <x14:colorNegative rgb="FFD00000"/>
          <x14:colorAxis rgb="FF000000"/>
          <x14:colorMarkers rgb="FFD00000"/>
          <x14:colorFirst rgb="FFD00000"/>
          <x14:colorLast rgb="FFD00000"/>
          <x14:colorHigh rgb="FFD00000"/>
          <x14:colorLow rgb="FFD00000"/>
          <x14:sparklines>
            <x14:sparkline>
              <xm:f>'2F1 Refrigeration and AC'!E138:V138</xm:f>
              <xm:sqref>W138</xm:sqref>
            </x14:sparkline>
            <x14:sparkline>
              <xm:f>'2F1 Refrigeration and AC'!E139:V139</xm:f>
              <xm:sqref>W139</xm:sqref>
            </x14:sparkline>
            <x14:sparkline>
              <xm:f>'2F1 Refrigeration and AC'!E140:V140</xm:f>
              <xm:sqref>W140</xm:sqref>
            </x14:sparkline>
            <x14:sparkline>
              <xm:f>'2F1 Refrigeration and AC'!E141:V141</xm:f>
              <xm:sqref>W141</xm:sqref>
            </x14:sparkline>
            <x14:sparkline>
              <xm:f>'2F1 Refrigeration and AC'!E142:V142</xm:f>
              <xm:sqref>W142</xm:sqref>
            </x14:sparkline>
            <x14:sparkline>
              <xm:f>'2F1 Refrigeration and AC'!E143:V143</xm:f>
              <xm:sqref>W143</xm:sqref>
            </x14:sparkline>
          </x14:sparklines>
        </x14:sparklineGroup>
        <x14:sparklineGroup manualMax="0" manualMin="0" displayEmptyCellsAs="gap" xr2:uid="{00000000-0003-0000-2800-00008F000000}">
          <x14:colorSeries rgb="FF376092"/>
          <x14:colorNegative rgb="FFD00000"/>
          <x14:colorAxis rgb="FF000000"/>
          <x14:colorMarkers rgb="FFD00000"/>
          <x14:colorFirst rgb="FFD00000"/>
          <x14:colorLast rgb="FFD00000"/>
          <x14:colorHigh rgb="FFD00000"/>
          <x14:colorLow rgb="FFD00000"/>
          <x14:sparklines>
            <x14:sparkline>
              <xm:f>'2F1 Refrigeration and AC'!E153:V153</xm:f>
              <xm:sqref>W153</xm:sqref>
            </x14:sparkline>
            <x14:sparkline>
              <xm:f>'2F1 Refrigeration and AC'!E154:V154</xm:f>
              <xm:sqref>W154</xm:sqref>
            </x14:sparkline>
            <x14:sparkline>
              <xm:f>'2F1 Refrigeration and AC'!E155:V155</xm:f>
              <xm:sqref>W155</xm:sqref>
            </x14:sparkline>
            <x14:sparkline>
              <xm:f>'2F1 Refrigeration and AC'!E156:V156</xm:f>
              <xm:sqref>W156</xm:sqref>
            </x14:sparkline>
            <x14:sparkline>
              <xm:f>'2F1 Refrigeration and AC'!E157:V157</xm:f>
              <xm:sqref>W157</xm:sqref>
            </x14:sparkline>
            <x14:sparkline>
              <xm:f>'2F1 Refrigeration and AC'!E158:V158</xm:f>
              <xm:sqref>W158</xm:sqref>
            </x14:sparkline>
          </x14:sparklines>
        </x14:sparklineGroup>
        <x14:sparklineGroup manualMax="0" manualMin="0" displayEmptyCellsAs="gap" xr2:uid="{00000000-0003-0000-2800-00008E000000}">
          <x14:colorSeries rgb="FF376092"/>
          <x14:colorNegative rgb="FFD00000"/>
          <x14:colorAxis rgb="FF000000"/>
          <x14:colorMarkers rgb="FFD00000"/>
          <x14:colorFirst rgb="FFD00000"/>
          <x14:colorLast rgb="FFD00000"/>
          <x14:colorHigh rgb="FFD00000"/>
          <x14:colorLow rgb="FFD00000"/>
          <x14:sparklines>
            <x14:sparkline>
              <xm:f>'2F1 Refrigeration and AC'!E307:T307</xm:f>
              <xm:sqref>W307</xm:sqref>
            </x14:sparkline>
            <x14:sparkline>
              <xm:f>'2F1 Refrigeration and AC'!E308:T308</xm:f>
              <xm:sqref>W308</xm:sqref>
            </x14:sparkline>
            <x14:sparkline>
              <xm:f>'2F1 Refrigeration and AC'!E309:T309</xm:f>
              <xm:sqref>W309</xm:sqref>
            </x14:sparkline>
            <x14:sparkline>
              <xm:f>'2F1 Refrigeration and AC'!E310:T310</xm:f>
              <xm:sqref>W310</xm:sqref>
            </x14:sparkline>
            <x14:sparkline>
              <xm:f>'2F1 Refrigeration and AC'!E311:T311</xm:f>
              <xm:sqref>W311</xm:sqref>
            </x14:sparkline>
            <x14:sparkline>
              <xm:f>'2F1 Refrigeration and AC'!E312:T312</xm:f>
              <xm:sqref>W312</xm:sqref>
            </x14:sparkline>
          </x14:sparklines>
        </x14:sparklineGroup>
        <x14:sparklineGroup manualMax="0" manualMin="0" displayEmptyCellsAs="gap" xr2:uid="{00000000-0003-0000-2800-00008D000000}">
          <x14:colorSeries rgb="FF376092"/>
          <x14:colorNegative rgb="FFD00000"/>
          <x14:colorAxis rgb="FF000000"/>
          <x14:colorMarkers rgb="FFD00000"/>
          <x14:colorFirst rgb="FFD00000"/>
          <x14:colorLast rgb="FFD00000"/>
          <x14:colorHigh rgb="FFD00000"/>
          <x14:colorLow rgb="FFD00000"/>
          <x14:sparklines>
            <x14:sparkline>
              <xm:f>'2F1 Refrigeration and AC'!E329:T329</xm:f>
              <xm:sqref>W329</xm:sqref>
            </x14:sparkline>
            <x14:sparkline>
              <xm:f>'2F1 Refrigeration and AC'!E330:T330</xm:f>
              <xm:sqref>W330</xm:sqref>
            </x14:sparkline>
            <x14:sparkline>
              <xm:f>'2F1 Refrigeration and AC'!E331:T331</xm:f>
              <xm:sqref>W331</xm:sqref>
            </x14:sparkline>
            <x14:sparkline>
              <xm:f>'2F1 Refrigeration and AC'!E332:T332</xm:f>
              <xm:sqref>W332</xm:sqref>
            </x14:sparkline>
            <x14:sparkline>
              <xm:f>'2F1 Refrigeration and AC'!E333:T333</xm:f>
              <xm:sqref>W333</xm:sqref>
            </x14:sparkline>
            <x14:sparkline>
              <xm:f>'2F1 Refrigeration and AC'!E334:T334</xm:f>
              <xm:sqref>W334</xm:sqref>
            </x14:sparkline>
          </x14:sparklines>
        </x14:sparklineGroup>
        <x14:sparklineGroup manualMax="0" manualMin="0" displayEmptyCellsAs="gap" xr2:uid="{00000000-0003-0000-2800-00008C000000}">
          <x14:colorSeries rgb="FF376092"/>
          <x14:colorNegative rgb="FFD00000"/>
          <x14:colorAxis rgb="FF000000"/>
          <x14:colorMarkers rgb="FFD00000"/>
          <x14:colorFirst rgb="FFD00000"/>
          <x14:colorLast rgb="FFD00000"/>
          <x14:colorHigh rgb="FFD00000"/>
          <x14:colorLow rgb="FFD00000"/>
          <x14:sparklines>
            <x14:sparkline>
              <xm:f>'2F1 Refrigeration and AC'!E314:T314</xm:f>
              <xm:sqref>W314</xm:sqref>
            </x14:sparkline>
            <x14:sparkline>
              <xm:f>'2F1 Refrigeration and AC'!E315:T315</xm:f>
              <xm:sqref>W315</xm:sqref>
            </x14:sparkline>
            <x14:sparkline>
              <xm:f>'2F1 Refrigeration and AC'!E316:T316</xm:f>
              <xm:sqref>W316</xm:sqref>
            </x14:sparkline>
            <x14:sparkline>
              <xm:f>'2F1 Refrigeration and AC'!E317:T317</xm:f>
              <xm:sqref>W317</xm:sqref>
            </x14:sparkline>
            <x14:sparkline>
              <xm:f>'2F1 Refrigeration and AC'!E318:T318</xm:f>
              <xm:sqref>W318</xm:sqref>
            </x14:sparkline>
            <x14:sparkline>
              <xm:f>'2F1 Refrigeration and AC'!E319:T319</xm:f>
              <xm:sqref>W319</xm:sqref>
            </x14:sparkline>
          </x14:sparklines>
        </x14:sparklineGroup>
        <x14:sparklineGroup manualMax="0" manualMin="0" displayEmptyCellsAs="gap" xr2:uid="{00000000-0003-0000-2800-00008B000000}">
          <x14:colorSeries rgb="FF376092"/>
          <x14:colorNegative rgb="FFD00000"/>
          <x14:colorAxis rgb="FF000000"/>
          <x14:colorMarkers rgb="FFD00000"/>
          <x14:colorFirst rgb="FFD00000"/>
          <x14:colorLast rgb="FFD00000"/>
          <x14:colorHigh rgb="FFD00000"/>
          <x14:colorLow rgb="FFD00000"/>
          <x14:sparklines>
            <x14:sparkline>
              <xm:f>'2F1 Refrigeration and AC'!E322:T322</xm:f>
              <xm:sqref>W322</xm:sqref>
            </x14:sparkline>
            <x14:sparkline>
              <xm:f>'2F1 Refrigeration and AC'!E323:T323</xm:f>
              <xm:sqref>W323</xm:sqref>
            </x14:sparkline>
            <x14:sparkline>
              <xm:f>'2F1 Refrigeration and AC'!E324:T324</xm:f>
              <xm:sqref>W324</xm:sqref>
            </x14:sparkline>
            <x14:sparkline>
              <xm:f>'2F1 Refrigeration and AC'!E325:T325</xm:f>
              <xm:sqref>W325</xm:sqref>
            </x14:sparkline>
            <x14:sparkline>
              <xm:f>'2F1 Refrigeration and AC'!E326:T326</xm:f>
              <xm:sqref>W326</xm:sqref>
            </x14:sparkline>
            <x14:sparkline>
              <xm:f>'2F1 Refrigeration and AC'!E327:T327</xm:f>
              <xm:sqref>W327</xm:sqref>
            </x14:sparkline>
          </x14:sparklines>
        </x14:sparklineGroup>
        <x14:sparklineGroup manualMax="0" manualMin="0" displayEmptyCellsAs="gap" xr2:uid="{00000000-0003-0000-2800-00008A000000}">
          <x14:colorSeries rgb="FF376092"/>
          <x14:colorNegative rgb="FFD00000"/>
          <x14:colorAxis rgb="FF000000"/>
          <x14:colorMarkers rgb="FFD00000"/>
          <x14:colorFirst rgb="FFD00000"/>
          <x14:colorLast rgb="FFD00000"/>
          <x14:colorHigh rgb="FFD00000"/>
          <x14:colorLow rgb="FFD00000"/>
          <x14:sparklines>
            <x14:sparkline>
              <xm:f>'2F1 Refrigeration and AC'!E243:T243</xm:f>
              <xm:sqref>W243</xm:sqref>
            </x14:sparkline>
            <x14:sparkline>
              <xm:f>'2F1 Refrigeration and AC'!E244:T244</xm:f>
              <xm:sqref>W244</xm:sqref>
            </x14:sparkline>
            <x14:sparkline>
              <xm:f>'2F1 Refrigeration and AC'!E245:T245</xm:f>
              <xm:sqref>W245</xm:sqref>
            </x14:sparkline>
            <x14:sparkline>
              <xm:f>'2F1 Refrigeration and AC'!E246:T246</xm:f>
              <xm:sqref>W246</xm:sqref>
            </x14:sparkline>
            <x14:sparkline>
              <xm:f>'2F1 Refrigeration and AC'!E247:T247</xm:f>
              <xm:sqref>W247</xm:sqref>
            </x14:sparkline>
            <x14:sparkline>
              <xm:f>'2F1 Refrigeration and AC'!E248:T248</xm:f>
              <xm:sqref>W248</xm:sqref>
            </x14:sparkline>
            <x14:sparkline>
              <xm:f>'2F1 Refrigeration and AC'!E249:T249</xm:f>
              <xm:sqref>W249</xm:sqref>
            </x14:sparkline>
            <x14:sparkline>
              <xm:f>'2F1 Refrigeration and AC'!E250:T250</xm:f>
              <xm:sqref>W250</xm:sqref>
            </x14:sparkline>
            <x14:sparkline>
              <xm:f>'2F1 Refrigeration and AC'!E251:T251</xm:f>
              <xm:sqref>W251</xm:sqref>
            </x14:sparkline>
            <x14:sparkline>
              <xm:f>'2F1 Refrigeration and AC'!E252:T252</xm:f>
              <xm:sqref>W252</xm:sqref>
            </x14:sparkline>
            <x14:sparkline>
              <xm:f>'2F1 Refrigeration and AC'!E253:T253</xm:f>
              <xm:sqref>W253</xm:sqref>
            </x14:sparkline>
            <x14:sparkline>
              <xm:f>'2F1 Refrigeration and AC'!E254:T254</xm:f>
              <xm:sqref>W254</xm:sqref>
            </x14:sparkline>
            <x14:sparkline>
              <xm:f>'2F1 Refrigeration and AC'!E255:T255</xm:f>
              <xm:sqref>W255</xm:sqref>
            </x14:sparkline>
            <x14:sparkline>
              <xm:f>'2F1 Refrigeration and AC'!E256:T256</xm:f>
              <xm:sqref>W256</xm:sqref>
            </x14:sparkline>
            <x14:sparkline>
              <xm:f>'2F1 Refrigeration and AC'!E257:T257</xm:f>
              <xm:sqref>W257</xm:sqref>
            </x14:sparkline>
            <x14:sparkline>
              <xm:f>'2F1 Refrigeration and AC'!E258:T258</xm:f>
              <xm:sqref>W258</xm:sqref>
            </x14:sparkline>
            <x14:sparkline>
              <xm:f>'2F1 Refrigeration and AC'!E259:T259</xm:f>
              <xm:sqref>W259</xm:sqref>
            </x14:sparkline>
            <x14:sparkline>
              <xm:f>'2F1 Refrigeration and AC'!E260:T260</xm:f>
              <xm:sqref>W260</xm:sqref>
            </x14:sparkline>
            <x14:sparkline>
              <xm:f>'2F1 Refrigeration and AC'!E261:T261</xm:f>
              <xm:sqref>W261</xm:sqref>
            </x14:sparkline>
            <x14:sparkline>
              <xm:f>'2F1 Refrigeration and AC'!E262:T262</xm:f>
              <xm:sqref>W262</xm:sqref>
            </x14:sparkline>
            <x14:sparkline>
              <xm:f>'2F1 Refrigeration and AC'!E263:T263</xm:f>
              <xm:sqref>W263</xm:sqref>
            </x14:sparkline>
            <x14:sparkline>
              <xm:f>'2F1 Refrigeration and AC'!E264:T264</xm:f>
              <xm:sqref>W264</xm:sqref>
            </x14:sparkline>
            <x14:sparkline>
              <xm:f>'2F1 Refrigeration and AC'!E265:T265</xm:f>
              <xm:sqref>W265</xm:sqref>
            </x14:sparkline>
            <x14:sparkline>
              <xm:f>'2F1 Refrigeration and AC'!E266:T266</xm:f>
              <xm:sqref>W266</xm:sqref>
            </x14:sparkline>
            <x14:sparkline>
              <xm:f>'2F1 Refrigeration and AC'!E267:T267</xm:f>
              <xm:sqref>W267</xm:sqref>
            </x14:sparkline>
            <x14:sparkline>
              <xm:f>'2F1 Refrigeration and AC'!E268:T268</xm:f>
              <xm:sqref>W268</xm:sqref>
            </x14:sparkline>
            <x14:sparkline>
              <xm:f>'2F1 Refrigeration and AC'!E269:T269</xm:f>
              <xm:sqref>W269</xm:sqref>
            </x14:sparkline>
            <x14:sparkline>
              <xm:f>'2F1 Refrigeration and AC'!E270:T270</xm:f>
              <xm:sqref>W270</xm:sqref>
            </x14:sparkline>
            <x14:sparkline>
              <xm:f>'2F1 Refrigeration and AC'!E271:T271</xm:f>
              <xm:sqref>W271</xm:sqref>
            </x14:sparkline>
          </x14:sparklines>
        </x14:sparklineGroup>
        <x14:sparklineGroup manualMax="0" manualMin="0" displayEmptyCellsAs="gap" xr2:uid="{00000000-0003-0000-2800-000089000000}">
          <x14:colorSeries rgb="FF376092"/>
          <x14:colorNegative rgb="FFD00000"/>
          <x14:colorAxis rgb="FF000000"/>
          <x14:colorMarkers rgb="FFD00000"/>
          <x14:colorFirst rgb="FFD00000"/>
          <x14:colorLast rgb="FFD00000"/>
          <x14:colorHigh rgb="FFD00000"/>
          <x14:colorLow rgb="FFD00000"/>
          <x14:sparklines>
            <x14:sparkline>
              <xm:f>'2F1 Refrigeration and AC'!E191:T191</xm:f>
              <xm:sqref>W191</xm:sqref>
            </x14:sparkline>
            <x14:sparkline>
              <xm:f>'2F1 Refrigeration and AC'!E192:T192</xm:f>
              <xm:sqref>W192</xm:sqref>
            </x14:sparkline>
            <x14:sparkline>
              <xm:f>'2F1 Refrigeration and AC'!E193:T193</xm:f>
              <xm:sqref>W193</xm:sqref>
            </x14:sparkline>
            <x14:sparkline>
              <xm:f>'2F1 Refrigeration and AC'!E194:T194</xm:f>
              <xm:sqref>W194</xm:sqref>
            </x14:sparkline>
            <x14:sparkline>
              <xm:f>'2F1 Refrigeration and AC'!E195:T195</xm:f>
              <xm:sqref>W195</xm:sqref>
            </x14:sparkline>
            <x14:sparkline>
              <xm:f>'2F1 Refrigeration and AC'!E196:T196</xm:f>
              <xm:sqref>W196</xm:sqref>
            </x14:sparkline>
            <x14:sparkline>
              <xm:f>'2F1 Refrigeration and AC'!E197:T197</xm:f>
              <xm:sqref>W197</xm:sqref>
            </x14:sparkline>
            <x14:sparkline>
              <xm:f>'2F1 Refrigeration and AC'!E198:T198</xm:f>
              <xm:sqref>W198</xm:sqref>
            </x14:sparkline>
            <x14:sparkline>
              <xm:f>'2F1 Refrigeration and AC'!E199:T199</xm:f>
              <xm:sqref>W199</xm:sqref>
            </x14:sparkline>
            <x14:sparkline>
              <xm:f>'2F1 Refrigeration and AC'!E200:T200</xm:f>
              <xm:sqref>W200</xm:sqref>
            </x14:sparkline>
            <x14:sparkline>
              <xm:f>'2F1 Refrigeration and AC'!E201:T201</xm:f>
              <xm:sqref>W201</xm:sqref>
            </x14:sparkline>
            <x14:sparkline>
              <xm:f>'2F1 Refrigeration and AC'!E202:T202</xm:f>
              <xm:sqref>W202</xm:sqref>
            </x14:sparkline>
            <x14:sparkline>
              <xm:f>'2F1 Refrigeration and AC'!E203:T203</xm:f>
              <xm:sqref>W203</xm:sqref>
            </x14:sparkline>
            <x14:sparkline>
              <xm:f>'2F1 Refrigeration and AC'!E204:T204</xm:f>
              <xm:sqref>W204</xm:sqref>
            </x14:sparkline>
            <x14:sparkline>
              <xm:f>'2F1 Refrigeration and AC'!E205:T205</xm:f>
              <xm:sqref>W205</xm:sqref>
            </x14:sparkline>
            <x14:sparkline>
              <xm:f>'2F1 Refrigeration and AC'!E206:T206</xm:f>
              <xm:sqref>W206</xm:sqref>
            </x14:sparkline>
            <x14:sparkline>
              <xm:f>'2F1 Refrigeration and AC'!E207:T207</xm:f>
              <xm:sqref>W207</xm:sqref>
            </x14:sparkline>
            <x14:sparkline>
              <xm:f>'2F1 Refrigeration and AC'!E208:T208</xm:f>
              <xm:sqref>W208</xm:sqref>
            </x14:sparkline>
            <x14:sparkline>
              <xm:f>'2F1 Refrigeration and AC'!E209:T209</xm:f>
              <xm:sqref>W209</xm:sqref>
            </x14:sparkline>
            <x14:sparkline>
              <xm:f>'2F1 Refrigeration and AC'!E210:T210</xm:f>
              <xm:sqref>W210</xm:sqref>
            </x14:sparkline>
            <x14:sparkline>
              <xm:f>'2F1 Refrigeration and AC'!E211:T211</xm:f>
              <xm:sqref>W211</xm:sqref>
            </x14:sparkline>
            <x14:sparkline>
              <xm:f>'2F1 Refrigeration and AC'!E212:T212</xm:f>
              <xm:sqref>W212</xm:sqref>
            </x14:sparkline>
            <x14:sparkline>
              <xm:f>'2F1 Refrigeration and AC'!E213:T213</xm:f>
              <xm:sqref>W213</xm:sqref>
            </x14:sparkline>
          </x14:sparklines>
        </x14:sparklineGroup>
        <x14:sparklineGroup manualMax="0" manualMin="0" displayEmptyCellsAs="gap" xr2:uid="{00000000-0003-0000-2800-000088000000}">
          <x14:colorSeries rgb="FF376092"/>
          <x14:colorNegative rgb="FFD00000"/>
          <x14:colorAxis rgb="FF000000"/>
          <x14:colorMarkers rgb="FFD00000"/>
          <x14:colorFirst rgb="FFD00000"/>
          <x14:colorLast rgb="FFD00000"/>
          <x14:colorHigh rgb="FFD00000"/>
          <x14:colorLow rgb="FFD00000"/>
          <x14:sparklines>
            <x14:sparkline>
              <xm:f>'2F1 Refrigeration and AC'!E336:T336</xm:f>
              <xm:sqref>W336</xm:sqref>
            </x14:sparkline>
          </x14:sparklines>
        </x14:sparklineGroup>
        <x14:sparklineGroup manualMax="0" manualMin="0" displayEmptyCellsAs="gap" xr2:uid="{00000000-0003-0000-2800-000087000000}">
          <x14:colorSeries rgb="FF376092"/>
          <x14:colorNegative rgb="FFD00000"/>
          <x14:colorAxis rgb="FF000000"/>
          <x14:colorMarkers rgb="FFD00000"/>
          <x14:colorFirst rgb="FFD00000"/>
          <x14:colorLast rgb="FFD00000"/>
          <x14:colorHigh rgb="FFD00000"/>
          <x14:colorLow rgb="FFD00000"/>
          <x14:sparklines>
            <x14:sparkline>
              <xm:f>'2F1 Refrigeration and AC'!E216:T216</xm:f>
              <xm:sqref>W216</xm:sqref>
            </x14:sparkline>
            <x14:sparkline>
              <xm:f>'2F1 Refrigeration and AC'!E217:T217</xm:f>
              <xm:sqref>W217</xm:sqref>
            </x14:sparkline>
            <x14:sparkline>
              <xm:f>'2F1 Refrigeration and AC'!E218:T218</xm:f>
              <xm:sqref>W218</xm:sqref>
            </x14:sparkline>
            <x14:sparkline>
              <xm:f>'2F1 Refrigeration and AC'!E219:T219</xm:f>
              <xm:sqref>W219</xm:sqref>
            </x14:sparkline>
            <x14:sparkline>
              <xm:f>'2F1 Refrigeration and AC'!E220:T220</xm:f>
              <xm:sqref>W220</xm:sqref>
            </x14:sparkline>
            <x14:sparkline>
              <xm:f>'2F1 Refrigeration and AC'!E221:T221</xm:f>
              <xm:sqref>W221</xm:sqref>
            </x14:sparkline>
            <x14:sparkline>
              <xm:f>'2F1 Refrigeration and AC'!E222:T222</xm:f>
              <xm:sqref>W222</xm:sqref>
            </x14:sparkline>
            <x14:sparkline>
              <xm:f>'2F1 Refrigeration and AC'!E223:T223</xm:f>
              <xm:sqref>W223</xm:sqref>
            </x14:sparkline>
            <x14:sparkline>
              <xm:f>'2F1 Refrigeration and AC'!E224:T224</xm:f>
              <xm:sqref>W224</xm:sqref>
            </x14:sparkline>
            <x14:sparkline>
              <xm:f>'2F1 Refrigeration and AC'!E225:T225</xm:f>
              <xm:sqref>W225</xm:sqref>
            </x14:sparkline>
            <x14:sparkline>
              <xm:f>'2F1 Refrigeration and AC'!E226:T226</xm:f>
              <xm:sqref>W226</xm:sqref>
            </x14:sparkline>
            <x14:sparkline>
              <xm:f>'2F1 Refrigeration and AC'!E227:T227</xm:f>
              <xm:sqref>W227</xm:sqref>
            </x14:sparkline>
            <x14:sparkline>
              <xm:f>'2F1 Refrigeration and AC'!E228:T228</xm:f>
              <xm:sqref>W228</xm:sqref>
            </x14:sparkline>
            <x14:sparkline>
              <xm:f>'2F1 Refrigeration and AC'!E229:T229</xm:f>
              <xm:sqref>W229</xm:sqref>
            </x14:sparkline>
            <x14:sparkline>
              <xm:f>'2F1 Refrigeration and AC'!E230:T230</xm:f>
              <xm:sqref>W230</xm:sqref>
            </x14:sparkline>
            <x14:sparkline>
              <xm:f>'2F1 Refrigeration and AC'!E231:T231</xm:f>
              <xm:sqref>W231</xm:sqref>
            </x14:sparkline>
            <x14:sparkline>
              <xm:f>'2F1 Refrigeration and AC'!E232:T232</xm:f>
              <xm:sqref>W232</xm:sqref>
            </x14:sparkline>
            <x14:sparkline>
              <xm:f>'2F1 Refrigeration and AC'!E233:T233</xm:f>
              <xm:sqref>W233</xm:sqref>
            </x14:sparkline>
            <x14:sparkline>
              <xm:f>'2F1 Refrigeration and AC'!E234:T234</xm:f>
              <xm:sqref>W234</xm:sqref>
            </x14:sparkline>
            <x14:sparkline>
              <xm:f>'2F1 Refrigeration and AC'!E235:T235</xm:f>
              <xm:sqref>W235</xm:sqref>
            </x14:sparkline>
            <x14:sparkline>
              <xm:f>'2F1 Refrigeration and AC'!E236:T236</xm:f>
              <xm:sqref>W236</xm:sqref>
            </x14:sparkline>
            <x14:sparkline>
              <xm:f>'2F1 Refrigeration and AC'!E237:T237</xm:f>
              <xm:sqref>W237</xm:sqref>
            </x14:sparkline>
            <x14:sparkline>
              <xm:f>'2F1 Refrigeration and AC'!E238:T238</xm:f>
              <xm:sqref>W238</xm:sqref>
            </x14:sparkline>
          </x14:sparklines>
        </x14:sparklineGroup>
        <x14:sparklineGroup manualMax="0" manualMin="0" displayEmptyCellsAs="gap" xr2:uid="{00000000-0003-0000-2800-000086000000}">
          <x14:colorSeries rgb="FF376092"/>
          <x14:colorNegative rgb="FFD00000"/>
          <x14:colorAxis rgb="FF000000"/>
          <x14:colorMarkers rgb="FFD00000"/>
          <x14:colorFirst rgb="FFD00000"/>
          <x14:colorLast rgb="FFD00000"/>
          <x14:colorHigh rgb="FFD00000"/>
          <x14:colorLow rgb="FFD00000"/>
          <x14:sparklines>
            <x14:sparkline>
              <xm:f>'2F1 Refrigeration and AC'!E274:T274</xm:f>
              <xm:sqref>W274</xm:sqref>
            </x14:sparkline>
            <x14:sparkline>
              <xm:f>'2F1 Refrigeration and AC'!E275:T275</xm:f>
              <xm:sqref>W275</xm:sqref>
            </x14:sparkline>
            <x14:sparkline>
              <xm:f>'2F1 Refrigeration and AC'!E276:T276</xm:f>
              <xm:sqref>W276</xm:sqref>
            </x14:sparkline>
            <x14:sparkline>
              <xm:f>'2F1 Refrigeration and AC'!E277:T277</xm:f>
              <xm:sqref>W277</xm:sqref>
            </x14:sparkline>
            <x14:sparkline>
              <xm:f>'2F1 Refrigeration and AC'!E278:T278</xm:f>
              <xm:sqref>W278</xm:sqref>
            </x14:sparkline>
            <x14:sparkline>
              <xm:f>'2F1 Refrigeration and AC'!E279:T279</xm:f>
              <xm:sqref>W279</xm:sqref>
            </x14:sparkline>
            <x14:sparkline>
              <xm:f>'2F1 Refrigeration and AC'!E280:T280</xm:f>
              <xm:sqref>W280</xm:sqref>
            </x14:sparkline>
            <x14:sparkline>
              <xm:f>'2F1 Refrigeration and AC'!E281:T281</xm:f>
              <xm:sqref>W281</xm:sqref>
            </x14:sparkline>
            <x14:sparkline>
              <xm:f>'2F1 Refrigeration and AC'!E282:T282</xm:f>
              <xm:sqref>W282</xm:sqref>
            </x14:sparkline>
            <x14:sparkline>
              <xm:f>'2F1 Refrigeration and AC'!E283:T283</xm:f>
              <xm:sqref>W283</xm:sqref>
            </x14:sparkline>
            <x14:sparkline>
              <xm:f>'2F1 Refrigeration and AC'!E284:T284</xm:f>
              <xm:sqref>W284</xm:sqref>
            </x14:sparkline>
            <x14:sparkline>
              <xm:f>'2F1 Refrigeration and AC'!E285:T285</xm:f>
              <xm:sqref>W285</xm:sqref>
            </x14:sparkline>
            <x14:sparkline>
              <xm:f>'2F1 Refrigeration and AC'!E286:T286</xm:f>
              <xm:sqref>W286</xm:sqref>
            </x14:sparkline>
            <x14:sparkline>
              <xm:f>'2F1 Refrigeration and AC'!E287:T287</xm:f>
              <xm:sqref>W287</xm:sqref>
            </x14:sparkline>
            <x14:sparkline>
              <xm:f>'2F1 Refrigeration and AC'!E288:T288</xm:f>
              <xm:sqref>W288</xm:sqref>
            </x14:sparkline>
            <x14:sparkline>
              <xm:f>'2F1 Refrigeration and AC'!E289:T289</xm:f>
              <xm:sqref>W289</xm:sqref>
            </x14:sparkline>
            <x14:sparkline>
              <xm:f>'2F1 Refrigeration and AC'!E290:T290</xm:f>
              <xm:sqref>W290</xm:sqref>
            </x14:sparkline>
            <x14:sparkline>
              <xm:f>'2F1 Refrigeration and AC'!E291:T291</xm:f>
              <xm:sqref>W291</xm:sqref>
            </x14:sparkline>
            <x14:sparkline>
              <xm:f>'2F1 Refrigeration and AC'!E292:T292</xm:f>
              <xm:sqref>W292</xm:sqref>
            </x14:sparkline>
            <x14:sparkline>
              <xm:f>'2F1 Refrigeration and AC'!E293:T293</xm:f>
              <xm:sqref>W293</xm:sqref>
            </x14:sparkline>
            <x14:sparkline>
              <xm:f>'2F1 Refrigeration and AC'!E294:T294</xm:f>
              <xm:sqref>W294</xm:sqref>
            </x14:sparkline>
            <x14:sparkline>
              <xm:f>'2F1 Refrigeration and AC'!E295:T295</xm:f>
              <xm:sqref>W295</xm:sqref>
            </x14:sparkline>
            <x14:sparkline>
              <xm:f>'2F1 Refrigeration and AC'!E296:T296</xm:f>
              <xm:sqref>W296</xm:sqref>
            </x14:sparkline>
            <x14:sparkline>
              <xm:f>'2F1 Refrigeration and AC'!E297:T297</xm:f>
              <xm:sqref>W297</xm:sqref>
            </x14:sparkline>
            <x14:sparkline>
              <xm:f>'2F1 Refrigeration and AC'!E298:T298</xm:f>
              <xm:sqref>W298</xm:sqref>
            </x14:sparkline>
            <x14:sparkline>
              <xm:f>'2F1 Refrigeration and AC'!E299:T299</xm:f>
              <xm:sqref>W299</xm:sqref>
            </x14:sparkline>
            <x14:sparkline>
              <xm:f>'2F1 Refrigeration and AC'!E300:T300</xm:f>
              <xm:sqref>W300</xm:sqref>
            </x14:sparkline>
            <x14:sparkline>
              <xm:f>'2F1 Refrigeration and AC'!E301:T301</xm:f>
              <xm:sqref>W301</xm:sqref>
            </x14:sparkline>
            <x14:sparkline>
              <xm:f>'2F1 Refrigeration and AC'!E302:T302</xm:f>
              <xm:sqref>W302</xm:sqref>
            </x14:sparkline>
          </x14:sparklines>
        </x14:sparklineGroup>
        <x14:sparklineGroup manualMax="0" manualMin="0" displayEmptyCellsAs="gap" xr2:uid="{00000000-0003-0000-2800-000085000000}">
          <x14:colorSeries rgb="FF376092"/>
          <x14:colorNegative rgb="FFD00000"/>
          <x14:colorAxis rgb="FF000000"/>
          <x14:colorMarkers rgb="FFD00000"/>
          <x14:colorFirst rgb="FFD00000"/>
          <x14:colorLast rgb="FFD00000"/>
          <x14:colorHigh rgb="FFD00000"/>
          <x14:colorLow rgb="FFD00000"/>
          <x14:sparklines>
            <x14:sparkline>
              <xm:f>'2F1 Refrigeration and AC'!E131:V131</xm:f>
              <xm:sqref>W131</xm:sqref>
            </x14:sparkline>
            <x14:sparkline>
              <xm:f>'2F1 Refrigeration and AC'!E132:V132</xm:f>
              <xm:sqref>W132</xm:sqref>
            </x14:sparkline>
            <x14:sparkline>
              <xm:f>'2F1 Refrigeration and AC'!E133:V133</xm:f>
              <xm:sqref>W133</xm:sqref>
            </x14:sparkline>
            <x14:sparkline>
              <xm:f>'2F1 Refrigeration and AC'!E134:V134</xm:f>
              <xm:sqref>W134</xm:sqref>
            </x14:sparkline>
            <x14:sparkline>
              <xm:f>'2F1 Refrigeration and AC'!E135:V135</xm:f>
              <xm:sqref>W135</xm:sqref>
            </x14:sparkline>
            <x14:sparkline>
              <xm:f>'2F1 Refrigeration and AC'!E136:V136</xm:f>
              <xm:sqref>W136</xm:sqref>
            </x14:sparkline>
          </x14:sparklines>
        </x14:sparklineGroup>
      </x14:sparklineGroup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8">
    <tabColor theme="3" tint="0.79998168889431442"/>
  </sheetPr>
  <dimension ref="A1:Y164"/>
  <sheetViews>
    <sheetView topLeftCell="A21" workbookViewId="0">
      <selection activeCell="E49" sqref="E49"/>
    </sheetView>
  </sheetViews>
  <sheetFormatPr defaultRowHeight="15" x14ac:dyDescent="0.25"/>
  <cols>
    <col min="1" max="1" width="35.5703125" bestFit="1" customWidth="1"/>
    <col min="2" max="2" width="56.140625" customWidth="1"/>
    <col min="3" max="3" width="11.85546875" customWidth="1"/>
    <col min="4" max="4" width="19" customWidth="1"/>
    <col min="5" max="25" width="10.42578125" customWidth="1"/>
  </cols>
  <sheetData>
    <row r="1" spans="1:25" x14ac:dyDescent="0.25">
      <c r="A1" s="15" t="s">
        <v>855</v>
      </c>
      <c r="B1" s="4" t="str">
        <f ca="1">MID(CELL("filename",A1),FIND("]",CELL("filename",A1))+1,256)</f>
        <v>2F2 Foam blowing agents</v>
      </c>
      <c r="C1" s="261" t="s">
        <v>856</v>
      </c>
      <c r="D1" s="262"/>
      <c r="E1" s="262"/>
      <c r="F1" s="262"/>
      <c r="G1" s="262"/>
      <c r="H1" s="262"/>
      <c r="I1" s="262"/>
      <c r="J1" s="263"/>
      <c r="K1" s="14"/>
    </row>
    <row r="2" spans="1:25" x14ac:dyDescent="0.25">
      <c r="A2" s="15" t="s">
        <v>736</v>
      </c>
      <c r="B2" s="33" t="s">
        <v>857</v>
      </c>
      <c r="C2" s="264"/>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1083</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ht="21" x14ac:dyDescent="0.35">
      <c r="A11" s="5"/>
      <c r="B11" s="6" t="s">
        <v>865</v>
      </c>
      <c r="C11" s="5"/>
      <c r="D11" s="5"/>
      <c r="E11" s="5" t="s">
        <v>866</v>
      </c>
      <c r="F11" s="5"/>
      <c r="G11" s="5"/>
      <c r="H11" s="5"/>
      <c r="I11" s="5"/>
      <c r="J11" s="5"/>
      <c r="K11" s="5"/>
      <c r="L11" s="5"/>
      <c r="M11" s="5"/>
      <c r="N11" s="5"/>
      <c r="O11" s="5"/>
      <c r="P11" s="5"/>
      <c r="Q11" s="5"/>
      <c r="R11" s="5"/>
      <c r="S11" s="5"/>
      <c r="T11" s="5"/>
      <c r="U11" s="5"/>
      <c r="V11" s="5"/>
      <c r="W11" s="5"/>
      <c r="X11" s="5"/>
      <c r="Y11" s="5"/>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172</v>
      </c>
      <c r="B14" t="s">
        <v>1085</v>
      </c>
      <c r="C14" t="s">
        <v>494</v>
      </c>
      <c r="D14" t="s">
        <v>892</v>
      </c>
      <c r="E14" s="114"/>
      <c r="F14" s="114"/>
      <c r="G14" s="114"/>
      <c r="H14" s="114"/>
      <c r="I14" s="114"/>
      <c r="J14" s="114"/>
      <c r="K14" s="114"/>
      <c r="L14" s="114"/>
      <c r="M14" s="114"/>
      <c r="N14" s="114"/>
      <c r="O14" s="114"/>
      <c r="P14" s="114"/>
      <c r="Q14" s="114"/>
      <c r="R14" s="114"/>
      <c r="S14" s="114"/>
      <c r="T14" s="114"/>
      <c r="U14" s="114"/>
      <c r="V14" s="114"/>
    </row>
    <row r="15" spans="1:25" x14ac:dyDescent="0.25">
      <c r="A15" t="s">
        <v>172</v>
      </c>
      <c r="B15" t="s">
        <v>1086</v>
      </c>
      <c r="C15" t="s">
        <v>494</v>
      </c>
      <c r="D15" t="s">
        <v>892</v>
      </c>
      <c r="E15" s="114"/>
      <c r="F15" s="114"/>
      <c r="G15" s="114"/>
      <c r="H15" s="114"/>
      <c r="I15" s="114"/>
      <c r="J15" s="114"/>
      <c r="K15" s="114"/>
      <c r="L15" s="114"/>
      <c r="M15" s="114"/>
      <c r="N15" s="114"/>
      <c r="O15" s="114"/>
      <c r="P15" s="114"/>
      <c r="Q15" s="114"/>
      <c r="R15" s="114"/>
      <c r="S15" s="114"/>
      <c r="T15" s="114"/>
      <c r="U15" s="114"/>
      <c r="V15" s="114"/>
    </row>
    <row r="16" spans="1:25" x14ac:dyDescent="0.25">
      <c r="A16" t="s">
        <v>172</v>
      </c>
      <c r="B16" t="s">
        <v>1087</v>
      </c>
      <c r="C16" t="s">
        <v>494</v>
      </c>
      <c r="D16" t="s">
        <v>892</v>
      </c>
      <c r="E16" s="114"/>
      <c r="F16" s="114"/>
      <c r="G16" s="114"/>
      <c r="H16" s="114"/>
      <c r="I16" s="114"/>
      <c r="J16" s="114"/>
      <c r="K16" s="114"/>
      <c r="L16" s="114"/>
      <c r="M16" s="114"/>
      <c r="N16" s="114"/>
      <c r="O16" s="114"/>
      <c r="P16" s="114"/>
      <c r="Q16" s="114"/>
      <c r="R16" s="114"/>
      <c r="S16" s="114"/>
      <c r="T16" s="114"/>
      <c r="U16" s="114"/>
      <c r="V16" s="114"/>
    </row>
    <row r="17" spans="1:25" s="23" customFormat="1" x14ac:dyDescent="0.25"/>
    <row r="18" spans="1:25" x14ac:dyDescent="0.25">
      <c r="A18" t="s">
        <v>172</v>
      </c>
      <c r="B18" t="s">
        <v>1085</v>
      </c>
      <c r="C18" t="s">
        <v>496</v>
      </c>
      <c r="D18" t="s">
        <v>892</v>
      </c>
      <c r="E18" s="114"/>
      <c r="F18" s="114"/>
      <c r="G18" s="114"/>
      <c r="H18" s="114"/>
      <c r="I18" s="114"/>
      <c r="J18" s="114"/>
      <c r="K18" s="114"/>
      <c r="L18" s="114"/>
      <c r="M18" s="114"/>
      <c r="N18" s="114"/>
      <c r="O18" s="114"/>
      <c r="P18" s="114"/>
      <c r="Q18" s="114"/>
      <c r="R18" s="114"/>
      <c r="S18" s="114"/>
      <c r="T18" s="114"/>
      <c r="U18" s="114"/>
      <c r="V18" s="114"/>
    </row>
    <row r="19" spans="1:25" x14ac:dyDescent="0.25">
      <c r="A19" t="s">
        <v>172</v>
      </c>
      <c r="B19" t="s">
        <v>1086</v>
      </c>
      <c r="C19" t="s">
        <v>496</v>
      </c>
      <c r="D19" t="s">
        <v>892</v>
      </c>
      <c r="E19" s="114"/>
      <c r="F19" s="114"/>
      <c r="G19" s="114"/>
      <c r="H19" s="114"/>
      <c r="I19" s="114"/>
      <c r="J19" s="114"/>
      <c r="K19" s="114"/>
      <c r="L19" s="114"/>
      <c r="M19" s="114"/>
      <c r="N19" s="114"/>
      <c r="O19" s="114"/>
      <c r="P19" s="114"/>
      <c r="Q19" s="114"/>
      <c r="R19" s="114"/>
      <c r="S19" s="114"/>
      <c r="T19" s="114"/>
      <c r="U19" s="114"/>
      <c r="V19" s="114"/>
    </row>
    <row r="20" spans="1:25" x14ac:dyDescent="0.25">
      <c r="A20" t="s">
        <v>172</v>
      </c>
      <c r="B20" t="s">
        <v>1087</v>
      </c>
      <c r="C20" t="s">
        <v>496</v>
      </c>
      <c r="D20" t="s">
        <v>892</v>
      </c>
      <c r="E20" s="114"/>
      <c r="F20" s="114"/>
      <c r="G20" s="114"/>
      <c r="H20" s="114"/>
      <c r="I20" s="114"/>
      <c r="J20" s="114"/>
      <c r="K20" s="114"/>
      <c r="L20" s="114"/>
      <c r="M20" s="114"/>
      <c r="N20" s="114"/>
      <c r="O20" s="114"/>
      <c r="P20" s="114"/>
      <c r="Q20" s="114"/>
      <c r="R20" s="114"/>
      <c r="S20" s="114"/>
      <c r="T20" s="114"/>
      <c r="U20" s="114"/>
      <c r="V20" s="114"/>
    </row>
    <row r="21" spans="1:25" s="23" customFormat="1" x14ac:dyDescent="0.25"/>
    <row r="22" spans="1:25" x14ac:dyDescent="0.25">
      <c r="A22" t="s">
        <v>172</v>
      </c>
      <c r="B22" t="s">
        <v>1085</v>
      </c>
      <c r="C22" t="s">
        <v>497</v>
      </c>
      <c r="D22" t="s">
        <v>892</v>
      </c>
      <c r="E22" s="114"/>
      <c r="F22" s="114"/>
      <c r="G22" s="114"/>
      <c r="H22" s="114"/>
      <c r="I22" s="114"/>
      <c r="J22" s="114"/>
      <c r="K22" s="114"/>
      <c r="L22" s="114"/>
      <c r="M22" s="114"/>
      <c r="N22" s="114"/>
      <c r="O22" s="114"/>
      <c r="P22" s="114"/>
      <c r="Q22" s="114"/>
      <c r="R22" s="114"/>
      <c r="S22" s="114"/>
      <c r="T22" s="114"/>
      <c r="U22" s="114"/>
      <c r="V22" s="114"/>
    </row>
    <row r="23" spans="1:25" x14ac:dyDescent="0.25">
      <c r="A23" t="s">
        <v>172</v>
      </c>
      <c r="B23" t="s">
        <v>1086</v>
      </c>
      <c r="C23" t="s">
        <v>497</v>
      </c>
      <c r="D23" t="s">
        <v>892</v>
      </c>
      <c r="E23" s="114"/>
      <c r="F23" s="114"/>
      <c r="G23" s="114"/>
      <c r="H23" s="114"/>
      <c r="I23" s="114"/>
      <c r="J23" s="114"/>
      <c r="K23" s="114"/>
      <c r="L23" s="114"/>
      <c r="M23" s="114"/>
      <c r="N23" s="114"/>
      <c r="O23" s="114"/>
      <c r="P23" s="114"/>
      <c r="Q23" s="114"/>
      <c r="R23" s="114"/>
      <c r="S23" s="114"/>
      <c r="T23" s="114"/>
      <c r="U23" s="114"/>
      <c r="V23" s="114"/>
    </row>
    <row r="24" spans="1:25" x14ac:dyDescent="0.25">
      <c r="A24" t="s">
        <v>172</v>
      </c>
      <c r="B24" t="s">
        <v>1087</v>
      </c>
      <c r="C24" t="s">
        <v>497</v>
      </c>
      <c r="D24" t="s">
        <v>892</v>
      </c>
      <c r="E24" s="114"/>
      <c r="F24" s="114"/>
      <c r="G24" s="114"/>
      <c r="H24" s="114"/>
      <c r="I24" s="114"/>
      <c r="J24" s="114"/>
      <c r="K24" s="114"/>
      <c r="L24" s="114"/>
      <c r="M24" s="114"/>
      <c r="N24" s="114"/>
      <c r="O24" s="114"/>
      <c r="P24" s="114"/>
      <c r="Q24" s="114"/>
      <c r="R24" s="114"/>
      <c r="S24" s="114"/>
      <c r="T24" s="114"/>
      <c r="U24" s="114"/>
      <c r="V24" s="114"/>
    </row>
    <row r="26" spans="1:25" ht="21" x14ac:dyDescent="0.35">
      <c r="A26" s="5"/>
      <c r="B26" s="6" t="s">
        <v>1089</v>
      </c>
      <c r="C26" s="5"/>
      <c r="D26" s="5"/>
      <c r="E26" s="5" t="s">
        <v>1090</v>
      </c>
      <c r="F26" s="5"/>
      <c r="G26" s="5"/>
      <c r="H26" s="5"/>
      <c r="I26" s="5"/>
      <c r="J26" s="5"/>
      <c r="K26" s="5"/>
      <c r="L26" s="5"/>
      <c r="M26" s="5"/>
      <c r="N26" s="5"/>
      <c r="O26" s="5"/>
      <c r="P26" s="5"/>
      <c r="Q26" s="5"/>
      <c r="R26" s="5"/>
      <c r="S26" s="5"/>
      <c r="T26" s="5"/>
      <c r="U26" s="5"/>
      <c r="V26" s="5"/>
      <c r="W26" s="5"/>
      <c r="X26" s="5"/>
      <c r="Y26" s="5"/>
    </row>
    <row r="28" spans="1:25" x14ac:dyDescent="0.25">
      <c r="A28" t="s">
        <v>172</v>
      </c>
      <c r="B28" t="s">
        <v>1091</v>
      </c>
      <c r="C28" t="s">
        <v>494</v>
      </c>
      <c r="E28" s="205"/>
      <c r="F28" s="205"/>
      <c r="G28" s="205"/>
      <c r="H28" s="205"/>
      <c r="I28" s="205"/>
      <c r="J28" s="205"/>
      <c r="K28" s="205"/>
      <c r="L28" s="205"/>
      <c r="M28" s="205"/>
      <c r="N28" s="205"/>
      <c r="O28" s="205"/>
      <c r="P28" s="205"/>
      <c r="Q28" s="205"/>
      <c r="R28" s="205"/>
      <c r="S28" s="205"/>
      <c r="T28" s="205"/>
      <c r="U28" s="205"/>
      <c r="V28" s="205"/>
    </row>
    <row r="29" spans="1:25" x14ac:dyDescent="0.25">
      <c r="A29" t="s">
        <v>172</v>
      </c>
      <c r="B29" t="s">
        <v>1092</v>
      </c>
      <c r="C29" t="s">
        <v>494</v>
      </c>
      <c r="D29" t="s">
        <v>1093</v>
      </c>
      <c r="E29" s="205"/>
      <c r="F29" s="205"/>
      <c r="G29" s="205"/>
      <c r="H29" s="205"/>
      <c r="I29" s="205"/>
      <c r="J29" s="205"/>
      <c r="K29" s="205"/>
      <c r="L29" s="205"/>
      <c r="M29" s="205"/>
      <c r="N29" s="205"/>
      <c r="O29" s="205"/>
      <c r="P29" s="205"/>
      <c r="Q29" s="205"/>
      <c r="R29" s="205"/>
      <c r="S29" s="205"/>
      <c r="T29" s="205"/>
      <c r="U29" s="205"/>
      <c r="V29" s="205"/>
    </row>
    <row r="30" spans="1:25" x14ac:dyDescent="0.25">
      <c r="A30" t="s">
        <v>172</v>
      </c>
      <c r="B30" t="s">
        <v>1094</v>
      </c>
      <c r="C30" t="s">
        <v>494</v>
      </c>
      <c r="D30" t="s">
        <v>1095</v>
      </c>
      <c r="E30" s="205"/>
      <c r="F30" s="205"/>
      <c r="G30" s="205"/>
      <c r="H30" s="205"/>
      <c r="I30" s="205"/>
      <c r="J30" s="205"/>
      <c r="K30" s="205"/>
      <c r="L30" s="205"/>
      <c r="M30" s="205"/>
      <c r="N30" s="205"/>
      <c r="O30" s="205"/>
      <c r="P30" s="205"/>
      <c r="Q30" s="205"/>
      <c r="R30" s="205"/>
      <c r="S30" s="205"/>
      <c r="T30" s="205"/>
      <c r="U30" s="205"/>
      <c r="V30" s="205"/>
    </row>
    <row r="31" spans="1:25" x14ac:dyDescent="0.25">
      <c r="A31" t="s">
        <v>172</v>
      </c>
      <c r="B31" t="s">
        <v>1096</v>
      </c>
      <c r="C31" t="s">
        <v>494</v>
      </c>
      <c r="D31" t="s">
        <v>1095</v>
      </c>
      <c r="E31" s="205"/>
      <c r="F31" s="205"/>
      <c r="G31" s="205"/>
      <c r="H31" s="205"/>
      <c r="I31" s="205"/>
      <c r="J31" s="205"/>
      <c r="K31" s="205"/>
      <c r="L31" s="205"/>
      <c r="M31" s="205"/>
      <c r="N31" s="205"/>
      <c r="O31" s="205"/>
      <c r="P31" s="205"/>
      <c r="Q31" s="205"/>
      <c r="R31" s="205"/>
      <c r="S31" s="205"/>
      <c r="T31" s="205"/>
      <c r="U31" s="205"/>
      <c r="V31" s="205"/>
    </row>
    <row r="32" spans="1:25" s="23" customFormat="1" x14ac:dyDescent="0.25"/>
    <row r="33" spans="1:25" x14ac:dyDescent="0.25">
      <c r="A33" t="s">
        <v>172</v>
      </c>
      <c r="B33" t="s">
        <v>1091</v>
      </c>
      <c r="C33" t="s">
        <v>496</v>
      </c>
      <c r="E33" s="205"/>
      <c r="F33" s="205"/>
      <c r="G33" s="205"/>
      <c r="H33" s="205"/>
      <c r="I33" s="205"/>
      <c r="J33" s="205"/>
      <c r="K33" s="205"/>
      <c r="L33" s="205"/>
      <c r="M33" s="205"/>
      <c r="N33" s="205"/>
      <c r="O33" s="205"/>
      <c r="P33" s="205"/>
      <c r="Q33" s="205"/>
      <c r="R33" s="205"/>
      <c r="S33" s="205"/>
      <c r="T33" s="205"/>
      <c r="U33" s="205"/>
      <c r="V33" s="205"/>
    </row>
    <row r="34" spans="1:25" x14ac:dyDescent="0.25">
      <c r="A34" t="s">
        <v>172</v>
      </c>
      <c r="B34" t="s">
        <v>1092</v>
      </c>
      <c r="C34" t="s">
        <v>496</v>
      </c>
      <c r="D34" t="s">
        <v>1093</v>
      </c>
      <c r="E34" s="205"/>
      <c r="F34" s="205"/>
      <c r="G34" s="205"/>
      <c r="H34" s="205"/>
      <c r="I34" s="205"/>
      <c r="J34" s="205"/>
      <c r="K34" s="205"/>
      <c r="L34" s="205"/>
      <c r="M34" s="205"/>
      <c r="N34" s="205"/>
      <c r="O34" s="205"/>
      <c r="P34" s="205"/>
      <c r="Q34" s="205"/>
      <c r="R34" s="205"/>
      <c r="S34" s="205"/>
      <c r="T34" s="205"/>
      <c r="U34" s="205"/>
      <c r="V34" s="205"/>
    </row>
    <row r="35" spans="1:25" x14ac:dyDescent="0.25">
      <c r="A35" t="s">
        <v>172</v>
      </c>
      <c r="B35" t="s">
        <v>1094</v>
      </c>
      <c r="C35" t="s">
        <v>496</v>
      </c>
      <c r="D35" t="s">
        <v>1095</v>
      </c>
      <c r="E35" s="205"/>
      <c r="F35" s="205"/>
      <c r="G35" s="205"/>
      <c r="H35" s="205"/>
      <c r="I35" s="205"/>
      <c r="J35" s="205"/>
      <c r="K35" s="205"/>
      <c r="L35" s="205"/>
      <c r="M35" s="205"/>
      <c r="N35" s="205"/>
      <c r="O35" s="205"/>
      <c r="P35" s="205"/>
      <c r="Q35" s="205"/>
      <c r="R35" s="205"/>
      <c r="S35" s="205"/>
      <c r="T35" s="205"/>
      <c r="U35" s="205"/>
      <c r="V35" s="205"/>
    </row>
    <row r="36" spans="1:25" x14ac:dyDescent="0.25">
      <c r="A36" t="s">
        <v>172</v>
      </c>
      <c r="B36" t="s">
        <v>1096</v>
      </c>
      <c r="C36" t="s">
        <v>496</v>
      </c>
      <c r="D36" t="s">
        <v>1095</v>
      </c>
      <c r="E36" s="205"/>
      <c r="F36" s="205"/>
      <c r="G36" s="205"/>
      <c r="H36" s="205"/>
      <c r="I36" s="205"/>
      <c r="J36" s="205"/>
      <c r="K36" s="205"/>
      <c r="L36" s="205"/>
      <c r="M36" s="205"/>
      <c r="N36" s="205"/>
      <c r="O36" s="205"/>
      <c r="P36" s="205"/>
      <c r="Q36" s="205"/>
      <c r="R36" s="205"/>
      <c r="S36" s="205"/>
      <c r="T36" s="205"/>
      <c r="U36" s="205"/>
      <c r="V36" s="205"/>
    </row>
    <row r="37" spans="1:25" s="23" customFormat="1" x14ac:dyDescent="0.25"/>
    <row r="38" spans="1:25" x14ac:dyDescent="0.25">
      <c r="A38" t="s">
        <v>172</v>
      </c>
      <c r="B38" t="s">
        <v>1091</v>
      </c>
      <c r="C38" t="s">
        <v>497</v>
      </c>
      <c r="E38" s="205"/>
      <c r="F38" s="205"/>
      <c r="G38" s="205"/>
      <c r="H38" s="205"/>
      <c r="I38" s="205"/>
      <c r="J38" s="205"/>
      <c r="K38" s="205"/>
      <c r="L38" s="205"/>
      <c r="M38" s="205"/>
      <c r="N38" s="205"/>
      <c r="O38" s="205"/>
      <c r="P38" s="205"/>
      <c r="Q38" s="205"/>
      <c r="R38" s="205"/>
      <c r="S38" s="205"/>
      <c r="T38" s="205"/>
      <c r="U38" s="205"/>
      <c r="V38" s="205"/>
    </row>
    <row r="39" spans="1:25" x14ac:dyDescent="0.25">
      <c r="A39" t="s">
        <v>172</v>
      </c>
      <c r="B39" t="s">
        <v>1092</v>
      </c>
      <c r="C39" t="s">
        <v>497</v>
      </c>
      <c r="D39" t="s">
        <v>1093</v>
      </c>
      <c r="E39" s="205"/>
      <c r="F39" s="205"/>
      <c r="G39" s="205"/>
      <c r="H39" s="205"/>
      <c r="I39" s="205"/>
      <c r="J39" s="205"/>
      <c r="K39" s="205"/>
      <c r="L39" s="205"/>
      <c r="M39" s="205"/>
      <c r="N39" s="205"/>
      <c r="O39" s="205"/>
      <c r="P39" s="205"/>
      <c r="Q39" s="205"/>
      <c r="R39" s="205"/>
      <c r="S39" s="205"/>
      <c r="T39" s="205"/>
      <c r="U39" s="205"/>
      <c r="V39" s="205"/>
    </row>
    <row r="40" spans="1:25" x14ac:dyDescent="0.25">
      <c r="A40" t="s">
        <v>172</v>
      </c>
      <c r="B40" t="s">
        <v>1094</v>
      </c>
      <c r="C40" t="s">
        <v>497</v>
      </c>
      <c r="D40" t="s">
        <v>1095</v>
      </c>
      <c r="E40" s="205"/>
      <c r="F40" s="205"/>
      <c r="G40" s="205"/>
      <c r="H40" s="205"/>
      <c r="I40" s="205"/>
      <c r="J40" s="205"/>
      <c r="K40" s="205"/>
      <c r="L40" s="205"/>
      <c r="M40" s="205"/>
      <c r="N40" s="205"/>
      <c r="O40" s="205"/>
      <c r="P40" s="205"/>
      <c r="Q40" s="205"/>
      <c r="R40" s="205"/>
      <c r="S40" s="205"/>
      <c r="T40" s="205"/>
      <c r="U40" s="205"/>
      <c r="V40" s="205"/>
    </row>
    <row r="41" spans="1:25" x14ac:dyDescent="0.25">
      <c r="A41" t="s">
        <v>172</v>
      </c>
      <c r="B41" t="s">
        <v>1096</v>
      </c>
      <c r="C41" t="s">
        <v>497</v>
      </c>
      <c r="D41" t="s">
        <v>1095</v>
      </c>
      <c r="E41" s="205"/>
      <c r="F41" s="205"/>
      <c r="G41" s="205"/>
      <c r="H41" s="205"/>
      <c r="I41" s="205"/>
      <c r="J41" s="205"/>
      <c r="K41" s="205"/>
      <c r="L41" s="205"/>
      <c r="M41" s="205"/>
      <c r="N41" s="205"/>
      <c r="O41" s="205"/>
      <c r="P41" s="205"/>
      <c r="Q41" s="205"/>
      <c r="R41" s="205"/>
      <c r="S41" s="205"/>
      <c r="T41" s="205"/>
      <c r="U41" s="205"/>
      <c r="V41" s="205"/>
    </row>
    <row r="43" spans="1:25" ht="21" x14ac:dyDescent="0.35">
      <c r="A43" s="5"/>
      <c r="B43" s="6" t="s">
        <v>619</v>
      </c>
      <c r="C43" s="5"/>
      <c r="D43" s="5"/>
      <c r="E43" s="5" t="s">
        <v>881</v>
      </c>
      <c r="F43" s="5"/>
      <c r="G43" s="5"/>
      <c r="H43" s="5"/>
      <c r="I43" s="5"/>
      <c r="J43" s="5"/>
      <c r="K43" s="5"/>
      <c r="L43" s="5"/>
      <c r="M43" s="5"/>
      <c r="N43" s="5"/>
      <c r="O43" s="5"/>
      <c r="P43" s="5"/>
      <c r="Q43" s="5"/>
      <c r="R43" s="5"/>
      <c r="S43" s="5"/>
      <c r="T43" s="5"/>
      <c r="U43" s="5"/>
      <c r="V43" s="5"/>
      <c r="W43" s="5"/>
      <c r="X43" s="5"/>
      <c r="Y43" s="5"/>
    </row>
    <row r="44" spans="1:25" x14ac:dyDescent="0.25">
      <c r="U44" t="s">
        <v>174</v>
      </c>
      <c r="Y44" t="s">
        <v>43</v>
      </c>
    </row>
    <row r="45" spans="1:25" x14ac:dyDescent="0.25">
      <c r="A45" t="s">
        <v>172</v>
      </c>
      <c r="B45" t="s">
        <v>619</v>
      </c>
      <c r="C45" t="s">
        <v>494</v>
      </c>
      <c r="D45" t="s">
        <v>892</v>
      </c>
      <c r="E45" s="114">
        <v>0</v>
      </c>
      <c r="F45" s="114">
        <v>0</v>
      </c>
      <c r="G45" s="114">
        <v>0</v>
      </c>
      <c r="H45" s="114">
        <v>0</v>
      </c>
      <c r="I45" s="114">
        <v>0</v>
      </c>
      <c r="J45" s="114">
        <v>0</v>
      </c>
      <c r="K45" s="114">
        <v>0</v>
      </c>
      <c r="L45" s="114">
        <v>0</v>
      </c>
      <c r="M45" s="114">
        <v>0</v>
      </c>
      <c r="N45" s="114">
        <v>0</v>
      </c>
      <c r="O45" s="114">
        <v>0</v>
      </c>
      <c r="P45" s="114">
        <v>0.65508500000000003</v>
      </c>
      <c r="Q45" s="114">
        <v>0.48491440000000002</v>
      </c>
      <c r="R45" s="114">
        <v>0.45838109999999999</v>
      </c>
      <c r="S45" s="114">
        <v>0.85830280000000003</v>
      </c>
      <c r="T45" s="114">
        <v>0.4285987</v>
      </c>
      <c r="U45" s="202">
        <v>0.4285987</v>
      </c>
      <c r="V45" s="202">
        <v>0.4285987</v>
      </c>
      <c r="Y45" t="s">
        <v>175</v>
      </c>
    </row>
    <row r="46" spans="1:25" x14ac:dyDescent="0.25">
      <c r="A46" t="s">
        <v>172</v>
      </c>
      <c r="B46" t="s">
        <v>619</v>
      </c>
      <c r="C46" t="s">
        <v>496</v>
      </c>
      <c r="D46" t="s">
        <v>892</v>
      </c>
      <c r="E46" s="114">
        <v>0</v>
      </c>
      <c r="F46" s="114">
        <v>0</v>
      </c>
      <c r="G46" s="114">
        <v>0</v>
      </c>
      <c r="H46" s="114">
        <v>0</v>
      </c>
      <c r="I46" s="114">
        <v>0</v>
      </c>
      <c r="J46" s="114">
        <v>0</v>
      </c>
      <c r="K46" s="114">
        <v>0</v>
      </c>
      <c r="L46" s="114">
        <v>0</v>
      </c>
      <c r="M46" s="114">
        <v>0</v>
      </c>
      <c r="N46" s="114">
        <v>0</v>
      </c>
      <c r="O46" s="114">
        <v>0</v>
      </c>
      <c r="P46" s="114">
        <v>0.39894669999999999</v>
      </c>
      <c r="Q46" s="114">
        <v>0.38618950000000002</v>
      </c>
      <c r="R46" s="114">
        <v>0.22599449999999999</v>
      </c>
      <c r="S46" s="114">
        <v>0.13658500000000001</v>
      </c>
      <c r="T46" s="114">
        <v>0.24084340000000001</v>
      </c>
      <c r="U46" s="202">
        <v>0.24084340000000001</v>
      </c>
      <c r="V46" s="202">
        <v>0.24084340000000001</v>
      </c>
      <c r="Y46" t="s">
        <v>175</v>
      </c>
    </row>
    <row r="47" spans="1:25" x14ac:dyDescent="0.25">
      <c r="A47" t="s">
        <v>172</v>
      </c>
      <c r="B47" t="s">
        <v>619</v>
      </c>
      <c r="C47" t="s">
        <v>497</v>
      </c>
      <c r="D47" t="s">
        <v>892</v>
      </c>
      <c r="E47" s="114">
        <v>0</v>
      </c>
      <c r="F47" s="114">
        <v>0</v>
      </c>
      <c r="G47" s="114">
        <v>0</v>
      </c>
      <c r="H47" s="114">
        <v>0</v>
      </c>
      <c r="I47" s="114">
        <v>0</v>
      </c>
      <c r="J47" s="114">
        <v>0</v>
      </c>
      <c r="K47" s="114">
        <v>0</v>
      </c>
      <c r="L47" s="114">
        <v>0</v>
      </c>
      <c r="M47" s="114">
        <v>0</v>
      </c>
      <c r="N47" s="114">
        <v>0</v>
      </c>
      <c r="O47" s="114">
        <v>0</v>
      </c>
      <c r="P47" s="114">
        <v>1.9938659999999999</v>
      </c>
      <c r="Q47" s="114">
        <v>1.9129525999999999</v>
      </c>
      <c r="R47" s="114">
        <v>0.84531049999999996</v>
      </c>
      <c r="S47" s="114">
        <v>0.25135790000000002</v>
      </c>
      <c r="T47" s="114">
        <v>0.95346089999999994</v>
      </c>
      <c r="U47" s="202">
        <v>0.95346089999999994</v>
      </c>
      <c r="V47" s="202">
        <v>0.95346089999999994</v>
      </c>
      <c r="Y47" t="s">
        <v>175</v>
      </c>
    </row>
    <row r="49" spans="1:25" x14ac:dyDescent="0.25">
      <c r="A49" t="s">
        <v>172</v>
      </c>
      <c r="B49" t="s">
        <v>619</v>
      </c>
      <c r="C49" t="s">
        <v>494</v>
      </c>
      <c r="D49" s="118" t="s">
        <v>1097</v>
      </c>
      <c r="E49" s="117">
        <f>+(E45*0.001)*'Conversion factors'!$B$12</f>
        <v>0</v>
      </c>
      <c r="F49" s="117">
        <f>+(F45*0.001)*'Conversion factors'!$B$12</f>
        <v>0</v>
      </c>
      <c r="G49" s="117">
        <f>+(G45*0.001)*'Conversion factors'!$B$12</f>
        <v>0</v>
      </c>
      <c r="H49" s="117">
        <f>+(H45*0.001)*'Conversion factors'!$B$12</f>
        <v>0</v>
      </c>
      <c r="I49" s="117">
        <f>+(I45*0.001)*'Conversion factors'!$B$12</f>
        <v>0</v>
      </c>
      <c r="J49" s="117">
        <f>+(J45*0.001)*'Conversion factors'!$B$12</f>
        <v>0</v>
      </c>
      <c r="K49" s="117">
        <f>+(K45*0.001)*'Conversion factors'!$B$12</f>
        <v>0</v>
      </c>
      <c r="L49" s="117">
        <f>+(L45*0.001)*'Conversion factors'!$B$12</f>
        <v>0</v>
      </c>
      <c r="M49" s="117">
        <f>+(M45*0.001)*'Conversion factors'!$B$12</f>
        <v>0</v>
      </c>
      <c r="N49" s="117">
        <f>+(N45*0.001)*'Conversion factors'!$B$12</f>
        <v>0</v>
      </c>
      <c r="O49" s="117">
        <f>+(O45*0.001)*'Conversion factors'!$B$12</f>
        <v>0</v>
      </c>
      <c r="P49" s="117">
        <f>+(P45*0.001)*'Conversion factors'!$B$12</f>
        <v>0.85161050000000005</v>
      </c>
      <c r="Q49" s="117">
        <f>+(Q45*0.001)*'Conversion factors'!$B$12</f>
        <v>0.63038872000000012</v>
      </c>
      <c r="R49" s="117">
        <f>+(R45*0.001)*'Conversion factors'!$B$12</f>
        <v>0.59589543</v>
      </c>
      <c r="S49" s="117">
        <f>+(S45*0.001)*'Conversion factors'!$B$12</f>
        <v>1.1157936400000001</v>
      </c>
      <c r="T49" s="117">
        <f>+(T45*0.001)*'Conversion factors'!$B$12</f>
        <v>0.55717830999999995</v>
      </c>
      <c r="U49" s="117">
        <f>+(U45*0.001)*'Conversion factors'!$B$12</f>
        <v>0.55717830999999995</v>
      </c>
      <c r="V49" s="117">
        <f>+(V45*0.001)*'Conversion factors'!$B$12</f>
        <v>0.55717830999999995</v>
      </c>
    </row>
    <row r="50" spans="1:25" x14ac:dyDescent="0.25">
      <c r="A50" t="s">
        <v>172</v>
      </c>
      <c r="B50" t="s">
        <v>619</v>
      </c>
      <c r="C50" t="s">
        <v>496</v>
      </c>
      <c r="D50" s="118" t="s">
        <v>1097</v>
      </c>
      <c r="E50" s="117">
        <f>+(E46*0.001)*'Conversion factors'!$B$14</f>
        <v>0</v>
      </c>
      <c r="F50" s="117">
        <f>+(F46*0.001)*'Conversion factors'!$B$14</f>
        <v>0</v>
      </c>
      <c r="G50" s="117">
        <f>+(G46*0.001)*'Conversion factors'!$B$14</f>
        <v>0</v>
      </c>
      <c r="H50" s="117">
        <f>+(H46*0.001)*'Conversion factors'!$B$14</f>
        <v>0</v>
      </c>
      <c r="I50" s="117">
        <f>+(I46*0.001)*'Conversion factors'!$B$14</f>
        <v>0</v>
      </c>
      <c r="J50" s="117">
        <f>+(J46*0.001)*'Conversion factors'!$B$14</f>
        <v>0</v>
      </c>
      <c r="K50" s="117">
        <f>+(K46*0.001)*'Conversion factors'!$B$14</f>
        <v>0</v>
      </c>
      <c r="L50" s="117">
        <f>+(L46*0.001)*'Conversion factors'!$B$14</f>
        <v>0</v>
      </c>
      <c r="M50" s="117">
        <f>+(M46*0.001)*'Conversion factors'!$B$14</f>
        <v>0</v>
      </c>
      <c r="N50" s="117">
        <f>+(N46*0.001)*'Conversion factors'!$B$14</f>
        <v>0</v>
      </c>
      <c r="O50" s="117">
        <f>+(O46*0.001)*'Conversion factors'!$B$14</f>
        <v>0</v>
      </c>
      <c r="P50" s="117">
        <f>+(P46*0.001)*'Conversion factors'!$B$14</f>
        <v>1.1569454299999999</v>
      </c>
      <c r="Q50" s="117">
        <f>+(Q46*0.001)*'Conversion factors'!$B$14</f>
        <v>1.1199495500000001</v>
      </c>
      <c r="R50" s="117">
        <f>+(R46*0.001)*'Conversion factors'!$B$14</f>
        <v>0.65538405</v>
      </c>
      <c r="S50" s="117">
        <f>+(S46*0.001)*'Conversion factors'!$B$14</f>
        <v>0.39609650000000007</v>
      </c>
      <c r="T50" s="117">
        <f>+(T46*0.001)*'Conversion factors'!$B$14</f>
        <v>0.69844586000000008</v>
      </c>
      <c r="U50" s="117">
        <f>+(U46*0.001)*'Conversion factors'!$B$14</f>
        <v>0.69844586000000008</v>
      </c>
      <c r="V50" s="117">
        <f>+(V46*0.001)*'Conversion factors'!$B$14</f>
        <v>0.69844586000000008</v>
      </c>
    </row>
    <row r="51" spans="1:25" x14ac:dyDescent="0.25">
      <c r="A51" t="s">
        <v>172</v>
      </c>
      <c r="B51" t="s">
        <v>619</v>
      </c>
      <c r="C51" t="s">
        <v>497</v>
      </c>
      <c r="D51" s="118" t="s">
        <v>1097</v>
      </c>
      <c r="E51" s="117">
        <f>+(E47*0.001)*'Conversion factors'!$B$15</f>
        <v>0</v>
      </c>
      <c r="F51" s="117">
        <f>+(F47*0.001)*'Conversion factors'!$B$15</f>
        <v>0</v>
      </c>
      <c r="G51" s="117">
        <f>+(G47*0.001)*'Conversion factors'!$B$15</f>
        <v>0</v>
      </c>
      <c r="H51" s="117">
        <f>+(H47*0.001)*'Conversion factors'!$B$15</f>
        <v>0</v>
      </c>
      <c r="I51" s="117">
        <f>+(I47*0.001)*'Conversion factors'!$B$15</f>
        <v>0</v>
      </c>
      <c r="J51" s="117">
        <f>+(J47*0.001)*'Conversion factors'!$B$15</f>
        <v>0</v>
      </c>
      <c r="K51" s="117">
        <f>+(K47*0.001)*'Conversion factors'!$B$15</f>
        <v>0</v>
      </c>
      <c r="L51" s="117">
        <f>+(L47*0.001)*'Conversion factors'!$B$15</f>
        <v>0</v>
      </c>
      <c r="M51" s="117">
        <f>+(M47*0.001)*'Conversion factors'!$B$15</f>
        <v>0</v>
      </c>
      <c r="N51" s="117">
        <f>+(N47*0.001)*'Conversion factors'!$B$15</f>
        <v>0</v>
      </c>
      <c r="O51" s="117">
        <f>+(O47*0.001)*'Conversion factors'!$B$15</f>
        <v>0</v>
      </c>
      <c r="P51" s="117">
        <f>+(P47*0.001)*'Conversion factors'!$B$15</f>
        <v>1.7745407399999999</v>
      </c>
      <c r="Q51" s="117">
        <f>+(Q47*0.001)*'Conversion factors'!$B$15</f>
        <v>1.702527814</v>
      </c>
      <c r="R51" s="117">
        <f>+(R47*0.001)*'Conversion factors'!$B$15</f>
        <v>0.75232634499999995</v>
      </c>
      <c r="S51" s="117">
        <f>+(S47*0.001)*'Conversion factors'!$B$15</f>
        <v>0.22370853100000004</v>
      </c>
      <c r="T51" s="117">
        <f>+(T47*0.001)*'Conversion factors'!$B$15</f>
        <v>0.84858020099999998</v>
      </c>
      <c r="U51" s="117">
        <f>+(U47*0.001)*'Conversion factors'!$B$15</f>
        <v>0.84858020099999998</v>
      </c>
      <c r="V51" s="117">
        <f>+(V47*0.001)*'Conversion factors'!$B$15</f>
        <v>0.84858020099999998</v>
      </c>
    </row>
    <row r="52" spans="1:25" x14ac:dyDescent="0.25">
      <c r="A52" s="7" t="s">
        <v>172</v>
      </c>
      <c r="B52" s="7" t="s">
        <v>1067</v>
      </c>
      <c r="C52" s="7" t="s">
        <v>836</v>
      </c>
      <c r="D52" s="7" t="s">
        <v>1097</v>
      </c>
      <c r="E52" s="116">
        <f>+SUM(E49:E51)</f>
        <v>0</v>
      </c>
      <c r="F52" s="116">
        <f t="shared" ref="F52:T52" si="0">+SUM(F49:F51)</f>
        <v>0</v>
      </c>
      <c r="G52" s="116">
        <f t="shared" si="0"/>
        <v>0</v>
      </c>
      <c r="H52" s="116">
        <f t="shared" si="0"/>
        <v>0</v>
      </c>
      <c r="I52" s="116">
        <f t="shared" si="0"/>
        <v>0</v>
      </c>
      <c r="J52" s="116">
        <f t="shared" si="0"/>
        <v>0</v>
      </c>
      <c r="K52" s="116">
        <f t="shared" si="0"/>
        <v>0</v>
      </c>
      <c r="L52" s="116">
        <f t="shared" si="0"/>
        <v>0</v>
      </c>
      <c r="M52" s="116">
        <f t="shared" si="0"/>
        <v>0</v>
      </c>
      <c r="N52" s="116">
        <f t="shared" si="0"/>
        <v>0</v>
      </c>
      <c r="O52" s="116">
        <f t="shared" si="0"/>
        <v>0</v>
      </c>
      <c r="P52" s="116">
        <f t="shared" si="0"/>
        <v>3.7830966699999999</v>
      </c>
      <c r="Q52" s="116">
        <f t="shared" si="0"/>
        <v>3.4528660840000001</v>
      </c>
      <c r="R52" s="116">
        <f t="shared" si="0"/>
        <v>2.0036058250000002</v>
      </c>
      <c r="S52" s="116">
        <f t="shared" si="0"/>
        <v>1.7355986710000002</v>
      </c>
      <c r="T52" s="116">
        <f t="shared" si="0"/>
        <v>2.1042043709999998</v>
      </c>
      <c r="U52" s="116">
        <f t="shared" ref="U52:V52" si="1">+SUM(U49:U51)</f>
        <v>2.1042043709999998</v>
      </c>
      <c r="V52" s="116">
        <f t="shared" si="1"/>
        <v>2.1042043709999998</v>
      </c>
    </row>
    <row r="54" spans="1:25" ht="21" x14ac:dyDescent="0.35">
      <c r="A54" s="5"/>
      <c r="B54" s="6" t="s">
        <v>885</v>
      </c>
      <c r="C54" s="5"/>
      <c r="D54" s="5"/>
      <c r="E54" s="5" t="s">
        <v>886</v>
      </c>
      <c r="F54" s="5"/>
      <c r="G54" s="5"/>
      <c r="H54" s="5"/>
      <c r="I54" s="5"/>
      <c r="J54" s="5"/>
      <c r="K54" s="5"/>
      <c r="L54" s="5"/>
      <c r="M54" s="5" t="s">
        <v>900</v>
      </c>
      <c r="N54" s="5"/>
      <c r="O54" s="5"/>
      <c r="P54" s="5"/>
      <c r="Q54" s="5"/>
      <c r="R54" s="5"/>
      <c r="S54" s="5"/>
      <c r="T54" s="5"/>
      <c r="U54" s="5"/>
      <c r="V54" s="5"/>
      <c r="W54" s="5"/>
      <c r="X54" s="5"/>
      <c r="Y54" s="5"/>
    </row>
    <row r="56" spans="1:25" x14ac:dyDescent="0.25">
      <c r="A56" s="27"/>
      <c r="B56" s="26"/>
      <c r="C56" s="26"/>
      <c r="D56" s="26"/>
      <c r="E56" s="26"/>
      <c r="F56" s="26"/>
      <c r="G56" s="26"/>
      <c r="H56" s="26"/>
    </row>
    <row r="77" spans="1:23" ht="21" x14ac:dyDescent="0.35">
      <c r="A77" s="5"/>
      <c r="B77" s="6" t="s">
        <v>346</v>
      </c>
      <c r="C77" s="5"/>
      <c r="D77" s="5"/>
      <c r="E77" s="5" t="s">
        <v>887</v>
      </c>
      <c r="F77" s="5"/>
      <c r="G77" s="5"/>
      <c r="H77" s="5"/>
      <c r="I77" s="5"/>
      <c r="J77" s="5"/>
      <c r="K77" s="5"/>
      <c r="L77" s="5"/>
      <c r="M77" s="5"/>
      <c r="N77" s="5"/>
      <c r="O77" s="5"/>
      <c r="P77" s="5"/>
      <c r="Q77" s="5"/>
      <c r="R77" s="5"/>
      <c r="S77" s="5"/>
      <c r="T77" s="5"/>
      <c r="U77" s="5"/>
      <c r="V77" s="5"/>
      <c r="W77" s="5"/>
    </row>
    <row r="78" spans="1:23" ht="18.75" x14ac:dyDescent="0.3">
      <c r="A78" s="12" t="s">
        <v>844</v>
      </c>
      <c r="E78" t="s">
        <v>888</v>
      </c>
    </row>
    <row r="79" spans="1:23" x14ac:dyDescent="0.25">
      <c r="A79" s="8"/>
      <c r="B79" s="9" t="s">
        <v>865</v>
      </c>
      <c r="C79" s="8"/>
      <c r="D79" s="8"/>
      <c r="E79" s="8"/>
      <c r="F79" s="8"/>
      <c r="G79" s="8"/>
      <c r="H79" s="8"/>
      <c r="I79" s="8"/>
      <c r="J79" s="8"/>
      <c r="K79" s="8"/>
      <c r="L79" s="8"/>
      <c r="M79" s="8"/>
      <c r="N79" s="8"/>
      <c r="O79" s="8"/>
      <c r="P79" s="8"/>
      <c r="Q79" s="8"/>
      <c r="R79" s="8"/>
      <c r="S79" s="8"/>
      <c r="T79" s="8"/>
      <c r="U79" s="8"/>
      <c r="V79" s="8"/>
      <c r="W79" s="8"/>
    </row>
    <row r="81" spans="1:23" x14ac:dyDescent="0.25">
      <c r="A81" s="10" t="s">
        <v>867</v>
      </c>
      <c r="B81" s="10" t="s">
        <v>868</v>
      </c>
      <c r="C81" s="10" t="s">
        <v>482</v>
      </c>
      <c r="D81" s="10" t="s">
        <v>740</v>
      </c>
      <c r="E81" s="10">
        <v>2000</v>
      </c>
      <c r="F81" s="10">
        <v>2001</v>
      </c>
      <c r="G81" s="10">
        <v>2002</v>
      </c>
      <c r="H81" s="10">
        <v>2003</v>
      </c>
      <c r="I81" s="10">
        <v>2004</v>
      </c>
      <c r="J81" s="10">
        <v>2005</v>
      </c>
      <c r="K81" s="10">
        <v>2006</v>
      </c>
      <c r="L81" s="10">
        <v>2007</v>
      </c>
      <c r="M81" s="10">
        <v>2008</v>
      </c>
      <c r="N81" s="10">
        <v>2009</v>
      </c>
      <c r="O81" s="10">
        <v>2010</v>
      </c>
      <c r="P81" s="10">
        <v>2011</v>
      </c>
      <c r="Q81" s="10">
        <v>2012</v>
      </c>
      <c r="R81" s="10">
        <v>2013</v>
      </c>
      <c r="S81" s="10">
        <v>2014</v>
      </c>
      <c r="T81" s="10">
        <v>2015</v>
      </c>
      <c r="U81" s="10"/>
      <c r="V81" s="10"/>
      <c r="W81" s="129" t="s">
        <v>741</v>
      </c>
    </row>
    <row r="82" spans="1:23" x14ac:dyDescent="0.25">
      <c r="A82" s="11" t="s">
        <v>172</v>
      </c>
      <c r="B82" s="11" t="s">
        <v>1085</v>
      </c>
      <c r="C82" s="11" t="s">
        <v>494</v>
      </c>
      <c r="D82" s="11" t="s">
        <v>892</v>
      </c>
      <c r="E82" s="29"/>
      <c r="F82" s="29"/>
      <c r="G82" s="29"/>
      <c r="H82" s="29"/>
      <c r="I82" s="29"/>
      <c r="J82" s="29"/>
      <c r="K82" s="29"/>
      <c r="L82" s="29"/>
      <c r="M82" s="29"/>
      <c r="N82" s="29"/>
      <c r="O82" s="29"/>
      <c r="P82" s="29"/>
      <c r="Q82" s="29"/>
      <c r="R82" s="29"/>
      <c r="S82" s="29"/>
      <c r="T82" s="29"/>
      <c r="U82" s="4"/>
      <c r="V82" s="4"/>
    </row>
    <row r="83" spans="1:23" x14ac:dyDescent="0.25">
      <c r="A83" s="11" t="s">
        <v>172</v>
      </c>
      <c r="B83" s="11" t="s">
        <v>1086</v>
      </c>
      <c r="C83" s="11" t="s">
        <v>494</v>
      </c>
      <c r="D83" s="11" t="s">
        <v>892</v>
      </c>
      <c r="E83" s="29"/>
      <c r="F83" s="29"/>
      <c r="G83" s="29"/>
      <c r="H83" s="29"/>
      <c r="I83" s="29"/>
      <c r="J83" s="29"/>
      <c r="K83" s="29"/>
      <c r="L83" s="29"/>
      <c r="M83" s="29"/>
      <c r="N83" s="29"/>
      <c r="O83" s="29"/>
      <c r="P83" s="29"/>
      <c r="Q83" s="29"/>
      <c r="R83" s="29"/>
      <c r="S83" s="29"/>
      <c r="T83" s="29"/>
      <c r="U83" s="4"/>
      <c r="V83" s="4"/>
    </row>
    <row r="84" spans="1:23" x14ac:dyDescent="0.25">
      <c r="A84" s="11" t="s">
        <v>172</v>
      </c>
      <c r="B84" s="11" t="s">
        <v>1087</v>
      </c>
      <c r="C84" s="11" t="s">
        <v>494</v>
      </c>
      <c r="D84" s="11" t="s">
        <v>892</v>
      </c>
      <c r="E84" s="29"/>
      <c r="F84" s="29"/>
      <c r="G84" s="29"/>
      <c r="H84" s="29"/>
      <c r="I84" s="29"/>
      <c r="J84" s="29"/>
      <c r="K84" s="29"/>
      <c r="L84" s="29"/>
      <c r="M84" s="29"/>
      <c r="N84" s="29"/>
      <c r="O84" s="29"/>
      <c r="P84" s="29"/>
      <c r="Q84" s="29"/>
      <c r="R84" s="29"/>
      <c r="S84" s="29"/>
      <c r="T84" s="29"/>
      <c r="U84" s="4"/>
      <c r="V84" s="4"/>
    </row>
    <row r="85" spans="1:23" x14ac:dyDescent="0.25">
      <c r="A85" s="11"/>
      <c r="B85" s="11"/>
      <c r="C85" s="11"/>
      <c r="D85" s="11"/>
      <c r="E85" s="30"/>
      <c r="F85" s="30"/>
      <c r="G85" s="30"/>
      <c r="H85" s="30"/>
      <c r="I85" s="30"/>
      <c r="J85" s="30"/>
      <c r="K85" s="30"/>
      <c r="L85" s="30"/>
      <c r="M85" s="30"/>
      <c r="N85" s="30"/>
      <c r="O85" s="30"/>
      <c r="P85" s="30"/>
      <c r="Q85" s="30"/>
      <c r="R85" s="30"/>
      <c r="S85" s="30"/>
      <c r="T85" s="30"/>
      <c r="U85" s="23"/>
      <c r="V85" s="23"/>
      <c r="W85" s="23"/>
    </row>
    <row r="86" spans="1:23" x14ac:dyDescent="0.25">
      <c r="A86" s="11" t="s">
        <v>172</v>
      </c>
      <c r="B86" s="11" t="s">
        <v>1085</v>
      </c>
      <c r="C86" s="11" t="s">
        <v>496</v>
      </c>
      <c r="D86" s="11" t="s">
        <v>892</v>
      </c>
      <c r="E86" s="29"/>
      <c r="F86" s="29"/>
      <c r="G86" s="29"/>
      <c r="H86" s="29"/>
      <c r="I86" s="29"/>
      <c r="J86" s="29"/>
      <c r="K86" s="29"/>
      <c r="L86" s="29"/>
      <c r="M86" s="29"/>
      <c r="N86" s="29"/>
      <c r="O86" s="29"/>
      <c r="P86" s="29"/>
      <c r="Q86" s="29"/>
      <c r="R86" s="29"/>
      <c r="S86" s="29"/>
      <c r="T86" s="29"/>
      <c r="U86" s="4"/>
      <c r="V86" s="4"/>
    </row>
    <row r="87" spans="1:23" x14ac:dyDescent="0.25">
      <c r="A87" s="11" t="s">
        <v>172</v>
      </c>
      <c r="B87" s="11" t="s">
        <v>1086</v>
      </c>
      <c r="C87" s="11" t="s">
        <v>496</v>
      </c>
      <c r="D87" s="11" t="s">
        <v>892</v>
      </c>
      <c r="E87" s="29"/>
      <c r="F87" s="29"/>
      <c r="G87" s="29"/>
      <c r="H87" s="29"/>
      <c r="I87" s="29"/>
      <c r="J87" s="29"/>
      <c r="K87" s="29"/>
      <c r="L87" s="29"/>
      <c r="M87" s="29"/>
      <c r="N87" s="29"/>
      <c r="O87" s="29"/>
      <c r="P87" s="29"/>
      <c r="Q87" s="29"/>
      <c r="R87" s="29"/>
      <c r="S87" s="29"/>
      <c r="T87" s="29"/>
      <c r="U87" s="4"/>
      <c r="V87" s="4"/>
    </row>
    <row r="88" spans="1:23" x14ac:dyDescent="0.25">
      <c r="A88" s="11" t="s">
        <v>172</v>
      </c>
      <c r="B88" s="11" t="s">
        <v>1087</v>
      </c>
      <c r="C88" s="11" t="s">
        <v>496</v>
      </c>
      <c r="D88" s="11" t="s">
        <v>892</v>
      </c>
      <c r="E88" s="29"/>
      <c r="F88" s="29"/>
      <c r="G88" s="29"/>
      <c r="H88" s="29"/>
      <c r="I88" s="29"/>
      <c r="J88" s="29"/>
      <c r="K88" s="29"/>
      <c r="L88" s="29"/>
      <c r="M88" s="29"/>
      <c r="N88" s="29"/>
      <c r="O88" s="29"/>
      <c r="P88" s="29"/>
      <c r="Q88" s="29"/>
      <c r="R88" s="29"/>
      <c r="S88" s="29"/>
      <c r="T88" s="29"/>
      <c r="U88" s="4"/>
      <c r="V88" s="4"/>
    </row>
    <row r="89" spans="1:23" x14ac:dyDescent="0.25">
      <c r="A89" s="11"/>
      <c r="B89" s="11"/>
      <c r="C89" s="11"/>
      <c r="D89" s="11"/>
      <c r="E89" s="30"/>
      <c r="F89" s="30"/>
      <c r="G89" s="30"/>
      <c r="H89" s="30"/>
      <c r="I89" s="30"/>
      <c r="J89" s="30"/>
      <c r="K89" s="30"/>
      <c r="L89" s="30"/>
      <c r="M89" s="30"/>
      <c r="N89" s="30"/>
      <c r="O89" s="30"/>
      <c r="P89" s="30"/>
      <c r="Q89" s="30"/>
      <c r="R89" s="30"/>
      <c r="S89" s="30"/>
      <c r="T89" s="30"/>
      <c r="U89" s="23"/>
      <c r="V89" s="23"/>
      <c r="W89" s="23"/>
    </row>
    <row r="90" spans="1:23" x14ac:dyDescent="0.25">
      <c r="A90" s="11" t="s">
        <v>172</v>
      </c>
      <c r="B90" s="11" t="s">
        <v>1085</v>
      </c>
      <c r="C90" s="11" t="s">
        <v>497</v>
      </c>
      <c r="D90" s="11" t="s">
        <v>892</v>
      </c>
      <c r="E90" s="29"/>
      <c r="F90" s="29"/>
      <c r="G90" s="29"/>
      <c r="H90" s="29"/>
      <c r="I90" s="29"/>
      <c r="J90" s="29"/>
      <c r="K90" s="29"/>
      <c r="L90" s="29"/>
      <c r="M90" s="29"/>
      <c r="N90" s="29"/>
      <c r="O90" s="29"/>
      <c r="P90" s="29"/>
      <c r="Q90" s="29"/>
      <c r="R90" s="29"/>
      <c r="S90" s="29"/>
      <c r="T90" s="29"/>
      <c r="U90" s="4"/>
      <c r="V90" s="4"/>
    </row>
    <row r="91" spans="1:23" x14ac:dyDescent="0.25">
      <c r="A91" s="11" t="s">
        <v>172</v>
      </c>
      <c r="B91" s="11" t="s">
        <v>1086</v>
      </c>
      <c r="C91" s="11" t="s">
        <v>497</v>
      </c>
      <c r="D91" s="11" t="s">
        <v>892</v>
      </c>
      <c r="E91" s="29"/>
      <c r="F91" s="29"/>
      <c r="G91" s="29"/>
      <c r="H91" s="29"/>
      <c r="I91" s="29"/>
      <c r="J91" s="29"/>
      <c r="K91" s="29"/>
      <c r="L91" s="29"/>
      <c r="M91" s="29"/>
      <c r="N91" s="29"/>
      <c r="O91" s="29"/>
      <c r="P91" s="29"/>
      <c r="Q91" s="29"/>
      <c r="R91" s="29"/>
      <c r="S91" s="29"/>
      <c r="T91" s="29"/>
      <c r="U91" s="4"/>
      <c r="V91" s="4"/>
    </row>
    <row r="92" spans="1:23" x14ac:dyDescent="0.25">
      <c r="A92" s="11" t="s">
        <v>172</v>
      </c>
      <c r="B92" s="11" t="s">
        <v>1087</v>
      </c>
      <c r="C92" s="11" t="s">
        <v>497</v>
      </c>
      <c r="D92" s="11" t="s">
        <v>892</v>
      </c>
      <c r="E92" s="29"/>
      <c r="F92" s="29"/>
      <c r="G92" s="29"/>
      <c r="H92" s="29"/>
      <c r="I92" s="29"/>
      <c r="J92" s="29"/>
      <c r="K92" s="29"/>
      <c r="L92" s="29"/>
      <c r="M92" s="29"/>
      <c r="N92" s="29"/>
      <c r="O92" s="29"/>
      <c r="P92" s="29"/>
      <c r="Q92" s="29"/>
      <c r="R92" s="29"/>
      <c r="S92" s="29"/>
      <c r="T92" s="29"/>
      <c r="U92" s="4"/>
      <c r="V92" s="4"/>
    </row>
    <row r="93" spans="1:23" x14ac:dyDescent="0.25">
      <c r="A93" s="11"/>
      <c r="B93" s="11"/>
      <c r="C93" s="11"/>
      <c r="D93" s="11"/>
      <c r="E93" s="30"/>
      <c r="F93" s="30"/>
      <c r="G93" s="30"/>
      <c r="H93" s="30"/>
      <c r="I93" s="30"/>
      <c r="J93" s="30"/>
      <c r="K93" s="30"/>
      <c r="L93" s="30"/>
      <c r="M93" s="30"/>
      <c r="N93" s="30"/>
      <c r="O93" s="30"/>
      <c r="P93" s="30"/>
      <c r="Q93" s="30"/>
      <c r="R93" s="30"/>
      <c r="S93" s="30"/>
      <c r="T93" s="30"/>
      <c r="U93" s="23"/>
      <c r="V93" s="23"/>
    </row>
    <row r="94" spans="1:23" x14ac:dyDescent="0.25">
      <c r="A94" s="8"/>
      <c r="B94" s="9" t="s">
        <v>877</v>
      </c>
      <c r="C94" s="8"/>
      <c r="D94" s="8"/>
      <c r="E94" s="197"/>
      <c r="F94" s="197"/>
      <c r="G94" s="197"/>
      <c r="H94" s="197"/>
      <c r="I94" s="197"/>
      <c r="J94" s="197"/>
      <c r="K94" s="197"/>
      <c r="L94" s="197"/>
      <c r="M94" s="197"/>
      <c r="N94" s="197"/>
      <c r="O94" s="197"/>
      <c r="P94" s="197"/>
      <c r="Q94" s="197"/>
      <c r="R94" s="197"/>
      <c r="S94" s="197"/>
      <c r="T94" s="197"/>
      <c r="U94" s="8"/>
      <c r="V94" s="8"/>
      <c r="W94" s="8"/>
    </row>
    <row r="95" spans="1:23" x14ac:dyDescent="0.25">
      <c r="E95" s="11"/>
      <c r="F95" s="11"/>
      <c r="G95" s="11"/>
      <c r="H95" s="11"/>
      <c r="I95" s="11"/>
      <c r="J95" s="11"/>
      <c r="K95" s="11"/>
      <c r="L95" s="11"/>
      <c r="M95" s="11"/>
      <c r="N95" s="11"/>
      <c r="O95" s="11"/>
      <c r="P95" s="11"/>
      <c r="Q95" s="11"/>
      <c r="R95" s="11"/>
      <c r="S95" s="11"/>
      <c r="T95" s="11"/>
    </row>
    <row r="96" spans="1:23" x14ac:dyDescent="0.25">
      <c r="A96" s="11" t="s">
        <v>172</v>
      </c>
      <c r="B96" s="11" t="s">
        <v>1091</v>
      </c>
      <c r="C96" s="11" t="s">
        <v>494</v>
      </c>
      <c r="D96" s="11"/>
      <c r="E96" s="29"/>
      <c r="F96" s="29"/>
      <c r="G96" s="29"/>
      <c r="H96" s="29"/>
      <c r="I96" s="29"/>
      <c r="J96" s="29"/>
      <c r="K96" s="29"/>
      <c r="L96" s="29"/>
      <c r="M96" s="29"/>
      <c r="N96" s="29"/>
      <c r="O96" s="29"/>
      <c r="P96" s="29"/>
      <c r="Q96" s="29"/>
      <c r="R96" s="29"/>
      <c r="S96" s="29"/>
      <c r="T96" s="29"/>
      <c r="U96" s="4"/>
      <c r="V96" s="4"/>
    </row>
    <row r="97" spans="1:23" x14ac:dyDescent="0.25">
      <c r="A97" s="11" t="s">
        <v>172</v>
      </c>
      <c r="B97" s="11" t="s">
        <v>1092</v>
      </c>
      <c r="C97" s="11" t="s">
        <v>494</v>
      </c>
      <c r="D97" s="11" t="s">
        <v>1093</v>
      </c>
      <c r="E97" s="29"/>
      <c r="F97" s="29"/>
      <c r="G97" s="29"/>
      <c r="H97" s="29"/>
      <c r="I97" s="29"/>
      <c r="J97" s="29"/>
      <c r="K97" s="29"/>
      <c r="L97" s="29"/>
      <c r="M97" s="29"/>
      <c r="N97" s="29"/>
      <c r="O97" s="29"/>
      <c r="P97" s="29"/>
      <c r="Q97" s="29"/>
      <c r="R97" s="29"/>
      <c r="S97" s="29"/>
      <c r="T97" s="29"/>
      <c r="U97" s="4"/>
      <c r="V97" s="4"/>
    </row>
    <row r="98" spans="1:23" x14ac:dyDescent="0.25">
      <c r="A98" s="11" t="s">
        <v>172</v>
      </c>
      <c r="B98" s="11" t="s">
        <v>1094</v>
      </c>
      <c r="C98" s="11" t="s">
        <v>494</v>
      </c>
      <c r="D98" s="11" t="s">
        <v>1095</v>
      </c>
      <c r="E98" s="29"/>
      <c r="F98" s="29"/>
      <c r="G98" s="29"/>
      <c r="H98" s="29"/>
      <c r="I98" s="29"/>
      <c r="J98" s="29"/>
      <c r="K98" s="29"/>
      <c r="L98" s="29"/>
      <c r="M98" s="29"/>
      <c r="N98" s="29"/>
      <c r="O98" s="29"/>
      <c r="P98" s="29"/>
      <c r="Q98" s="29"/>
      <c r="R98" s="29"/>
      <c r="S98" s="29"/>
      <c r="T98" s="29"/>
      <c r="U98" s="4"/>
      <c r="V98" s="4"/>
    </row>
    <row r="99" spans="1:23" x14ac:dyDescent="0.25">
      <c r="A99" s="11" t="s">
        <v>172</v>
      </c>
      <c r="B99" s="11" t="s">
        <v>1096</v>
      </c>
      <c r="C99" s="11" t="s">
        <v>494</v>
      </c>
      <c r="D99" s="11" t="s">
        <v>1095</v>
      </c>
      <c r="E99" s="29"/>
      <c r="F99" s="29"/>
      <c r="G99" s="29"/>
      <c r="H99" s="29"/>
      <c r="I99" s="29"/>
      <c r="J99" s="29"/>
      <c r="K99" s="29"/>
      <c r="L99" s="29"/>
      <c r="M99" s="29"/>
      <c r="N99" s="29"/>
      <c r="O99" s="29"/>
      <c r="P99" s="29"/>
      <c r="Q99" s="29"/>
      <c r="R99" s="29"/>
      <c r="S99" s="29"/>
      <c r="T99" s="29"/>
      <c r="U99" s="4"/>
      <c r="V99" s="4"/>
    </row>
    <row r="100" spans="1:23" x14ac:dyDescent="0.25">
      <c r="A100" s="11"/>
      <c r="B100" s="11"/>
      <c r="C100" s="11"/>
      <c r="D100" s="11"/>
      <c r="E100" s="30"/>
      <c r="F100" s="30"/>
      <c r="G100" s="30"/>
      <c r="H100" s="30"/>
      <c r="I100" s="30"/>
      <c r="J100" s="30"/>
      <c r="K100" s="30"/>
      <c r="L100" s="30"/>
      <c r="M100" s="30"/>
      <c r="N100" s="30"/>
      <c r="O100" s="30"/>
      <c r="P100" s="30"/>
      <c r="Q100" s="30"/>
      <c r="R100" s="30"/>
      <c r="S100" s="30"/>
      <c r="T100" s="30"/>
      <c r="U100" s="23"/>
      <c r="V100" s="23"/>
      <c r="W100" s="23"/>
    </row>
    <row r="101" spans="1:23" x14ac:dyDescent="0.25">
      <c r="A101" s="11" t="s">
        <v>172</v>
      </c>
      <c r="B101" s="11" t="s">
        <v>1091</v>
      </c>
      <c r="C101" s="11" t="s">
        <v>496</v>
      </c>
      <c r="D101" s="11"/>
      <c r="E101" s="29"/>
      <c r="F101" s="29"/>
      <c r="G101" s="29"/>
      <c r="H101" s="29"/>
      <c r="I101" s="29"/>
      <c r="J101" s="29"/>
      <c r="K101" s="29"/>
      <c r="L101" s="29"/>
      <c r="M101" s="29"/>
      <c r="N101" s="29"/>
      <c r="O101" s="29"/>
      <c r="P101" s="29"/>
      <c r="Q101" s="29"/>
      <c r="R101" s="29"/>
      <c r="S101" s="29"/>
      <c r="T101" s="29"/>
      <c r="U101" s="4"/>
      <c r="V101" s="4"/>
    </row>
    <row r="102" spans="1:23" x14ac:dyDescent="0.25">
      <c r="A102" s="11" t="s">
        <v>172</v>
      </c>
      <c r="B102" s="11" t="s">
        <v>1092</v>
      </c>
      <c r="C102" s="11" t="s">
        <v>496</v>
      </c>
      <c r="D102" s="11" t="s">
        <v>1093</v>
      </c>
      <c r="E102" s="29"/>
      <c r="F102" s="29"/>
      <c r="G102" s="29"/>
      <c r="H102" s="29"/>
      <c r="I102" s="29"/>
      <c r="J102" s="29"/>
      <c r="K102" s="29"/>
      <c r="L102" s="29"/>
      <c r="M102" s="29"/>
      <c r="N102" s="29"/>
      <c r="O102" s="29"/>
      <c r="P102" s="29"/>
      <c r="Q102" s="29"/>
      <c r="R102" s="29"/>
      <c r="S102" s="29"/>
      <c r="T102" s="29"/>
      <c r="U102" s="4"/>
      <c r="V102" s="4"/>
    </row>
    <row r="103" spans="1:23" x14ac:dyDescent="0.25">
      <c r="A103" s="11" t="s">
        <v>172</v>
      </c>
      <c r="B103" s="11" t="s">
        <v>1094</v>
      </c>
      <c r="C103" s="11" t="s">
        <v>496</v>
      </c>
      <c r="D103" s="11" t="s">
        <v>1095</v>
      </c>
      <c r="E103" s="29"/>
      <c r="F103" s="29"/>
      <c r="G103" s="29"/>
      <c r="H103" s="29"/>
      <c r="I103" s="29"/>
      <c r="J103" s="29"/>
      <c r="K103" s="29"/>
      <c r="L103" s="29"/>
      <c r="M103" s="29"/>
      <c r="N103" s="29"/>
      <c r="O103" s="29"/>
      <c r="P103" s="29"/>
      <c r="Q103" s="29"/>
      <c r="R103" s="29"/>
      <c r="S103" s="29"/>
      <c r="T103" s="29"/>
      <c r="U103" s="4"/>
      <c r="V103" s="4"/>
    </row>
    <row r="104" spans="1:23" x14ac:dyDescent="0.25">
      <c r="A104" s="11" t="s">
        <v>172</v>
      </c>
      <c r="B104" s="11" t="s">
        <v>1096</v>
      </c>
      <c r="C104" s="11" t="s">
        <v>496</v>
      </c>
      <c r="D104" s="11" t="s">
        <v>1095</v>
      </c>
      <c r="E104" s="29"/>
      <c r="F104" s="29"/>
      <c r="G104" s="29"/>
      <c r="H104" s="29"/>
      <c r="I104" s="29"/>
      <c r="J104" s="29"/>
      <c r="K104" s="29"/>
      <c r="L104" s="29"/>
      <c r="M104" s="29"/>
      <c r="N104" s="29"/>
      <c r="O104" s="29"/>
      <c r="P104" s="29"/>
      <c r="Q104" s="29"/>
      <c r="R104" s="29"/>
      <c r="S104" s="29"/>
      <c r="T104" s="29"/>
      <c r="U104" s="4"/>
      <c r="V104" s="4"/>
    </row>
    <row r="105" spans="1:23" x14ac:dyDescent="0.25">
      <c r="A105" s="11"/>
      <c r="B105" s="11"/>
      <c r="C105" s="11"/>
      <c r="D105" s="11"/>
      <c r="E105" s="30"/>
      <c r="F105" s="30"/>
      <c r="G105" s="30"/>
      <c r="H105" s="30"/>
      <c r="I105" s="30"/>
      <c r="J105" s="30"/>
      <c r="K105" s="30"/>
      <c r="L105" s="30"/>
      <c r="M105" s="30"/>
      <c r="N105" s="30"/>
      <c r="O105" s="30"/>
      <c r="P105" s="30"/>
      <c r="Q105" s="30"/>
      <c r="R105" s="30"/>
      <c r="S105" s="30"/>
      <c r="T105" s="30"/>
      <c r="U105" s="23"/>
      <c r="V105" s="23"/>
      <c r="W105" s="23"/>
    </row>
    <row r="106" spans="1:23" x14ac:dyDescent="0.25">
      <c r="A106" s="11" t="s">
        <v>172</v>
      </c>
      <c r="B106" s="11" t="s">
        <v>1091</v>
      </c>
      <c r="C106" s="11" t="s">
        <v>497</v>
      </c>
      <c r="D106" s="11"/>
      <c r="E106" s="29"/>
      <c r="F106" s="29"/>
      <c r="G106" s="29"/>
      <c r="H106" s="29"/>
      <c r="I106" s="29"/>
      <c r="J106" s="29"/>
      <c r="K106" s="29"/>
      <c r="L106" s="29"/>
      <c r="M106" s="29"/>
      <c r="N106" s="29"/>
      <c r="O106" s="29"/>
      <c r="P106" s="29"/>
      <c r="Q106" s="29"/>
      <c r="R106" s="29"/>
      <c r="S106" s="29"/>
      <c r="T106" s="29"/>
      <c r="U106" s="4"/>
      <c r="V106" s="4"/>
    </row>
    <row r="107" spans="1:23" x14ac:dyDescent="0.25">
      <c r="A107" s="11" t="s">
        <v>172</v>
      </c>
      <c r="B107" s="11" t="s">
        <v>1092</v>
      </c>
      <c r="C107" s="11" t="s">
        <v>497</v>
      </c>
      <c r="D107" s="11" t="s">
        <v>1093</v>
      </c>
      <c r="E107" s="29"/>
      <c r="F107" s="29"/>
      <c r="G107" s="29"/>
      <c r="H107" s="29"/>
      <c r="I107" s="29"/>
      <c r="J107" s="29"/>
      <c r="K107" s="29"/>
      <c r="L107" s="29"/>
      <c r="M107" s="29"/>
      <c r="N107" s="29"/>
      <c r="O107" s="29"/>
      <c r="P107" s="29"/>
      <c r="Q107" s="29"/>
      <c r="R107" s="29"/>
      <c r="S107" s="29"/>
      <c r="T107" s="29"/>
      <c r="U107" s="4"/>
      <c r="V107" s="4"/>
    </row>
    <row r="108" spans="1:23" x14ac:dyDescent="0.25">
      <c r="A108" s="11" t="s">
        <v>172</v>
      </c>
      <c r="B108" s="11" t="s">
        <v>1094</v>
      </c>
      <c r="C108" s="11" t="s">
        <v>497</v>
      </c>
      <c r="D108" s="11" t="s">
        <v>1095</v>
      </c>
      <c r="E108" s="29"/>
      <c r="F108" s="29"/>
      <c r="G108" s="29"/>
      <c r="H108" s="29"/>
      <c r="I108" s="29"/>
      <c r="J108" s="29"/>
      <c r="K108" s="29"/>
      <c r="L108" s="29"/>
      <c r="M108" s="29"/>
      <c r="N108" s="29"/>
      <c r="O108" s="29"/>
      <c r="P108" s="29"/>
      <c r="Q108" s="29"/>
      <c r="R108" s="29"/>
      <c r="S108" s="29"/>
      <c r="T108" s="29"/>
      <c r="U108" s="4"/>
      <c r="V108" s="4"/>
    </row>
    <row r="109" spans="1:23" x14ac:dyDescent="0.25">
      <c r="A109" s="11" t="s">
        <v>172</v>
      </c>
      <c r="B109" s="11" t="s">
        <v>1096</v>
      </c>
      <c r="C109" s="11" t="s">
        <v>497</v>
      </c>
      <c r="D109" s="11" t="s">
        <v>1095</v>
      </c>
      <c r="E109" s="29"/>
      <c r="F109" s="29"/>
      <c r="G109" s="29"/>
      <c r="H109" s="29"/>
      <c r="I109" s="29"/>
      <c r="J109" s="29"/>
      <c r="K109" s="29"/>
      <c r="L109" s="29"/>
      <c r="M109" s="29"/>
      <c r="N109" s="29"/>
      <c r="O109" s="29"/>
      <c r="P109" s="29"/>
      <c r="Q109" s="29"/>
      <c r="R109" s="29"/>
      <c r="S109" s="29"/>
      <c r="T109" s="29"/>
      <c r="U109" s="4"/>
      <c r="V109" s="4"/>
    </row>
    <row r="110" spans="1:23" x14ac:dyDescent="0.25">
      <c r="A110" s="11"/>
      <c r="B110" s="11"/>
      <c r="C110" s="11"/>
      <c r="D110" s="11"/>
      <c r="E110" s="30"/>
      <c r="F110" s="30"/>
      <c r="G110" s="30"/>
      <c r="H110" s="30"/>
      <c r="I110" s="30"/>
      <c r="J110" s="30"/>
      <c r="K110" s="30"/>
      <c r="L110" s="30"/>
      <c r="M110" s="30"/>
      <c r="N110" s="30"/>
      <c r="O110" s="30"/>
      <c r="P110" s="30"/>
      <c r="Q110" s="30"/>
      <c r="R110" s="30"/>
      <c r="S110" s="30"/>
      <c r="T110" s="30"/>
      <c r="U110" s="23"/>
      <c r="V110" s="23"/>
    </row>
    <row r="111" spans="1:23" x14ac:dyDescent="0.25">
      <c r="A111" s="8"/>
      <c r="B111" s="9" t="s">
        <v>619</v>
      </c>
      <c r="C111" s="8"/>
      <c r="D111" s="8"/>
      <c r="E111" s="197"/>
      <c r="F111" s="197"/>
      <c r="G111" s="197"/>
      <c r="H111" s="197"/>
      <c r="I111" s="197"/>
      <c r="J111" s="197"/>
      <c r="K111" s="197"/>
      <c r="L111" s="197"/>
      <c r="M111" s="197"/>
      <c r="N111" s="197"/>
      <c r="O111" s="197"/>
      <c r="P111" s="197"/>
      <c r="Q111" s="197"/>
      <c r="R111" s="197"/>
      <c r="S111" s="197"/>
      <c r="T111" s="197"/>
      <c r="U111" s="8"/>
      <c r="V111" s="8"/>
      <c r="W111" s="8"/>
    </row>
    <row r="112" spans="1:23" x14ac:dyDescent="0.25">
      <c r="E112" s="11"/>
      <c r="F112" s="11"/>
      <c r="G112" s="11"/>
      <c r="H112" s="11"/>
      <c r="I112" s="11"/>
      <c r="J112" s="11"/>
      <c r="K112" s="11"/>
      <c r="L112" s="11"/>
      <c r="M112" s="11"/>
      <c r="N112" s="11"/>
      <c r="O112" s="11"/>
      <c r="P112" s="11"/>
      <c r="Q112" s="11"/>
      <c r="R112" s="11"/>
      <c r="S112" s="11"/>
      <c r="T112" s="11"/>
    </row>
    <row r="113" spans="1:23" x14ac:dyDescent="0.25">
      <c r="A113" s="11" t="s">
        <v>172</v>
      </c>
      <c r="B113" s="11" t="s">
        <v>619</v>
      </c>
      <c r="C113" s="11" t="s">
        <v>494</v>
      </c>
      <c r="D113" s="11" t="s">
        <v>892</v>
      </c>
      <c r="E113" s="29">
        <v>0</v>
      </c>
      <c r="F113" s="29">
        <v>0</v>
      </c>
      <c r="G113" s="29">
        <v>0</v>
      </c>
      <c r="H113" s="29">
        <v>0</v>
      </c>
      <c r="I113" s="29">
        <v>0</v>
      </c>
      <c r="J113" s="29">
        <v>0</v>
      </c>
      <c r="K113" s="29">
        <v>0</v>
      </c>
      <c r="L113" s="29">
        <v>0</v>
      </c>
      <c r="M113" s="29">
        <v>0</v>
      </c>
      <c r="N113" s="29">
        <v>0</v>
      </c>
      <c r="O113" s="29">
        <v>0</v>
      </c>
      <c r="P113" s="29">
        <v>0.65508500000000003</v>
      </c>
      <c r="Q113" s="29">
        <v>0.48491440000000002</v>
      </c>
      <c r="R113" s="29">
        <v>0.45838109999999999</v>
      </c>
      <c r="S113" s="29">
        <v>0.85830280000000003</v>
      </c>
      <c r="T113" s="29">
        <v>0.4285987</v>
      </c>
      <c r="U113" s="4"/>
      <c r="V113" s="4"/>
    </row>
    <row r="114" spans="1:23" x14ac:dyDescent="0.25">
      <c r="A114" s="11" t="s">
        <v>172</v>
      </c>
      <c r="B114" s="11" t="s">
        <v>619</v>
      </c>
      <c r="C114" s="11" t="s">
        <v>496</v>
      </c>
      <c r="D114" s="11" t="s">
        <v>892</v>
      </c>
      <c r="E114" s="29">
        <v>0</v>
      </c>
      <c r="F114" s="29">
        <v>0</v>
      </c>
      <c r="G114" s="29">
        <v>0</v>
      </c>
      <c r="H114" s="29">
        <v>0</v>
      </c>
      <c r="I114" s="29">
        <v>0</v>
      </c>
      <c r="J114" s="29">
        <v>0</v>
      </c>
      <c r="K114" s="29">
        <v>0</v>
      </c>
      <c r="L114" s="29">
        <v>0</v>
      </c>
      <c r="M114" s="29">
        <v>0</v>
      </c>
      <c r="N114" s="29">
        <v>0</v>
      </c>
      <c r="O114" s="29">
        <v>0</v>
      </c>
      <c r="P114" s="29">
        <v>0.39894669999999999</v>
      </c>
      <c r="Q114" s="29">
        <v>0.38618950000000002</v>
      </c>
      <c r="R114" s="29">
        <v>0.22599449999999999</v>
      </c>
      <c r="S114" s="29">
        <v>0.13658500000000001</v>
      </c>
      <c r="T114" s="29">
        <v>0.24084340000000001</v>
      </c>
      <c r="U114" s="4"/>
      <c r="V114" s="4"/>
    </row>
    <row r="115" spans="1:23" x14ac:dyDescent="0.25">
      <c r="A115" s="11" t="s">
        <v>172</v>
      </c>
      <c r="B115" s="11" t="s">
        <v>619</v>
      </c>
      <c r="C115" s="11" t="s">
        <v>497</v>
      </c>
      <c r="D115" s="11" t="s">
        <v>892</v>
      </c>
      <c r="E115" s="29">
        <v>0</v>
      </c>
      <c r="F115" s="29">
        <v>0</v>
      </c>
      <c r="G115" s="29">
        <v>0</v>
      </c>
      <c r="H115" s="29">
        <v>0</v>
      </c>
      <c r="I115" s="29">
        <v>0</v>
      </c>
      <c r="J115" s="29">
        <v>0</v>
      </c>
      <c r="K115" s="29">
        <v>0</v>
      </c>
      <c r="L115" s="29">
        <v>0</v>
      </c>
      <c r="M115" s="29">
        <v>0</v>
      </c>
      <c r="N115" s="29">
        <v>0</v>
      </c>
      <c r="O115" s="29">
        <v>0</v>
      </c>
      <c r="P115" s="29">
        <v>1.9938659999999999</v>
      </c>
      <c r="Q115" s="29">
        <v>1.9129525999999999</v>
      </c>
      <c r="R115" s="29">
        <v>0.84531049999999996</v>
      </c>
      <c r="S115" s="29">
        <v>0.25135790000000002</v>
      </c>
      <c r="T115" s="29">
        <v>0.95346089999999994</v>
      </c>
      <c r="U115" s="4"/>
      <c r="V115" s="4"/>
    </row>
    <row r="116" spans="1:23" x14ac:dyDescent="0.25">
      <c r="A116" s="11"/>
      <c r="B116" s="11"/>
      <c r="C116" s="11"/>
      <c r="D116" s="11"/>
      <c r="E116" s="30"/>
      <c r="F116" s="30"/>
      <c r="G116" s="30"/>
      <c r="H116" s="30"/>
      <c r="I116" s="30"/>
      <c r="J116" s="30"/>
      <c r="K116" s="30"/>
      <c r="L116" s="30"/>
      <c r="M116" s="30"/>
      <c r="N116" s="30"/>
      <c r="O116" s="30"/>
      <c r="P116" s="30"/>
      <c r="Q116" s="30"/>
      <c r="R116" s="30"/>
      <c r="S116" s="30"/>
      <c r="T116" s="30"/>
      <c r="U116" s="23"/>
      <c r="V116" s="23"/>
    </row>
    <row r="117" spans="1:23" x14ac:dyDescent="0.25">
      <c r="A117" s="11" t="s">
        <v>172</v>
      </c>
      <c r="B117" s="11" t="s">
        <v>619</v>
      </c>
      <c r="C117" s="11" t="s">
        <v>494</v>
      </c>
      <c r="D117" s="11" t="s">
        <v>1097</v>
      </c>
      <c r="E117" s="29">
        <v>0</v>
      </c>
      <c r="F117" s="29">
        <v>0</v>
      </c>
      <c r="G117" s="29">
        <v>0</v>
      </c>
      <c r="H117" s="29">
        <v>0</v>
      </c>
      <c r="I117" s="29">
        <v>0</v>
      </c>
      <c r="J117" s="29">
        <v>0</v>
      </c>
      <c r="K117" s="29">
        <v>0</v>
      </c>
      <c r="L117" s="29">
        <v>0</v>
      </c>
      <c r="M117" s="29">
        <v>0</v>
      </c>
      <c r="N117" s="29">
        <v>0</v>
      </c>
      <c r="O117" s="29">
        <v>0</v>
      </c>
      <c r="P117" s="29">
        <v>0.85161050000000005</v>
      </c>
      <c r="Q117" s="29">
        <v>0.63038872000000012</v>
      </c>
      <c r="R117" s="29">
        <v>0.59589543</v>
      </c>
      <c r="S117" s="29">
        <v>1.1157936400000001</v>
      </c>
      <c r="T117" s="29">
        <v>0.55717830999999995</v>
      </c>
      <c r="U117" s="4"/>
      <c r="V117" s="4"/>
    </row>
    <row r="118" spans="1:23" x14ac:dyDescent="0.25">
      <c r="A118" s="11" t="s">
        <v>172</v>
      </c>
      <c r="B118" s="11" t="s">
        <v>619</v>
      </c>
      <c r="C118" s="11" t="s">
        <v>496</v>
      </c>
      <c r="D118" s="11" t="s">
        <v>1097</v>
      </c>
      <c r="E118" s="29">
        <v>0</v>
      </c>
      <c r="F118" s="29">
        <v>0</v>
      </c>
      <c r="G118" s="29">
        <v>0</v>
      </c>
      <c r="H118" s="29">
        <v>0</v>
      </c>
      <c r="I118" s="29">
        <v>0</v>
      </c>
      <c r="J118" s="29">
        <v>0</v>
      </c>
      <c r="K118" s="29">
        <v>0</v>
      </c>
      <c r="L118" s="29">
        <v>0</v>
      </c>
      <c r="M118" s="29">
        <v>0</v>
      </c>
      <c r="N118" s="29">
        <v>0</v>
      </c>
      <c r="O118" s="29">
        <v>0</v>
      </c>
      <c r="P118" s="29">
        <v>1.1569454299999999</v>
      </c>
      <c r="Q118" s="29">
        <v>1.1199495500000001</v>
      </c>
      <c r="R118" s="29">
        <v>0.65538405</v>
      </c>
      <c r="S118" s="29">
        <v>0.39609650000000007</v>
      </c>
      <c r="T118" s="29">
        <v>0.69844586000000008</v>
      </c>
      <c r="U118" s="4"/>
      <c r="V118" s="4"/>
    </row>
    <row r="119" spans="1:23" x14ac:dyDescent="0.25">
      <c r="A119" s="11" t="s">
        <v>172</v>
      </c>
      <c r="B119" s="11" t="s">
        <v>619</v>
      </c>
      <c r="C119" s="11" t="s">
        <v>497</v>
      </c>
      <c r="D119" s="11" t="s">
        <v>1097</v>
      </c>
      <c r="E119" s="29">
        <v>0</v>
      </c>
      <c r="F119" s="29">
        <v>0</v>
      </c>
      <c r="G119" s="29">
        <v>0</v>
      </c>
      <c r="H119" s="29">
        <v>0</v>
      </c>
      <c r="I119" s="29">
        <v>0</v>
      </c>
      <c r="J119" s="29">
        <v>0</v>
      </c>
      <c r="K119" s="29">
        <v>0</v>
      </c>
      <c r="L119" s="29">
        <v>0</v>
      </c>
      <c r="M119" s="29">
        <v>0</v>
      </c>
      <c r="N119" s="29">
        <v>0</v>
      </c>
      <c r="O119" s="29">
        <v>0</v>
      </c>
      <c r="P119" s="29">
        <v>1.7745407399999999</v>
      </c>
      <c r="Q119" s="29">
        <v>1.702527814</v>
      </c>
      <c r="R119" s="29">
        <v>0.75232634499999995</v>
      </c>
      <c r="S119" s="29">
        <v>0.22370853100000004</v>
      </c>
      <c r="T119" s="29">
        <v>0.84858020099999998</v>
      </c>
      <c r="U119" s="4"/>
      <c r="V119" s="4"/>
    </row>
    <row r="120" spans="1:23" s="7" customFormat="1" x14ac:dyDescent="0.25">
      <c r="A120" s="10" t="s">
        <v>172</v>
      </c>
      <c r="B120" s="10" t="s">
        <v>1067</v>
      </c>
      <c r="C120" s="10" t="s">
        <v>836</v>
      </c>
      <c r="D120" s="10" t="s">
        <v>1097</v>
      </c>
      <c r="E120" s="126">
        <v>0</v>
      </c>
      <c r="F120" s="126">
        <v>0</v>
      </c>
      <c r="G120" s="126">
        <v>0</v>
      </c>
      <c r="H120" s="126">
        <v>0</v>
      </c>
      <c r="I120" s="126">
        <v>0</v>
      </c>
      <c r="J120" s="126">
        <v>0</v>
      </c>
      <c r="K120" s="126">
        <v>0</v>
      </c>
      <c r="L120" s="126">
        <v>0</v>
      </c>
      <c r="M120" s="126">
        <v>0</v>
      </c>
      <c r="N120" s="126">
        <v>0</v>
      </c>
      <c r="O120" s="126">
        <v>0</v>
      </c>
      <c r="P120" s="126">
        <v>3.7830966699999999</v>
      </c>
      <c r="Q120" s="126">
        <v>3.4528660840000001</v>
      </c>
      <c r="R120" s="126">
        <v>2.0036058250000002</v>
      </c>
      <c r="S120" s="126">
        <v>1.7355986710000002</v>
      </c>
      <c r="T120" s="126">
        <v>2.1042043709999998</v>
      </c>
      <c r="U120" s="127"/>
      <c r="V120" s="127"/>
    </row>
    <row r="121" spans="1:23" x14ac:dyDescent="0.25">
      <c r="A121" s="7"/>
      <c r="B121" s="7"/>
      <c r="C121" s="7"/>
      <c r="D121" s="7"/>
    </row>
    <row r="122" spans="1:23" ht="18.75" x14ac:dyDescent="0.3">
      <c r="A122" s="13" t="s">
        <v>346</v>
      </c>
    </row>
    <row r="123" spans="1:23" x14ac:dyDescent="0.25">
      <c r="A123" s="8"/>
      <c r="B123" s="9" t="s">
        <v>865</v>
      </c>
      <c r="C123" s="8"/>
      <c r="D123" s="8" t="s">
        <v>852</v>
      </c>
      <c r="E123" s="8"/>
      <c r="F123" s="8"/>
      <c r="G123" s="8"/>
      <c r="H123" s="8"/>
      <c r="I123" s="8"/>
      <c r="J123" s="8"/>
      <c r="K123" s="8"/>
      <c r="L123" s="8"/>
      <c r="M123" s="8"/>
      <c r="N123" s="8"/>
      <c r="O123" s="8"/>
      <c r="P123" s="8"/>
      <c r="Q123" s="8"/>
      <c r="R123" s="8"/>
      <c r="S123" s="8"/>
      <c r="T123" s="8"/>
      <c r="U123" s="8"/>
      <c r="V123" s="8"/>
      <c r="W123" s="22"/>
    </row>
    <row r="125" spans="1:23" x14ac:dyDescent="0.25">
      <c r="A125" s="10" t="s">
        <v>867</v>
      </c>
      <c r="B125" s="10" t="s">
        <v>868</v>
      </c>
      <c r="C125" s="10" t="s">
        <v>482</v>
      </c>
      <c r="D125" s="10" t="s">
        <v>740</v>
      </c>
      <c r="E125" s="10">
        <v>2000</v>
      </c>
      <c r="F125" s="10">
        <v>2001</v>
      </c>
      <c r="G125" s="10">
        <v>2002</v>
      </c>
      <c r="H125" s="10">
        <v>2003</v>
      </c>
      <c r="I125" s="10">
        <v>2004</v>
      </c>
      <c r="J125" s="10">
        <v>2005</v>
      </c>
      <c r="K125" s="10">
        <v>2006</v>
      </c>
      <c r="L125" s="10">
        <v>2007</v>
      </c>
      <c r="M125" s="10">
        <v>2008</v>
      </c>
      <c r="N125" s="10">
        <v>2009</v>
      </c>
      <c r="O125" s="10">
        <v>2010</v>
      </c>
      <c r="P125" s="10">
        <v>2011</v>
      </c>
      <c r="Q125" s="10">
        <v>2012</v>
      </c>
      <c r="R125" s="10">
        <v>2013</v>
      </c>
      <c r="S125" s="10">
        <v>2014</v>
      </c>
      <c r="T125" s="10">
        <v>2015</v>
      </c>
      <c r="U125" s="10"/>
      <c r="V125" s="10"/>
    </row>
    <row r="126" spans="1:23" x14ac:dyDescent="0.25">
      <c r="A126" s="11" t="s">
        <v>172</v>
      </c>
      <c r="B126" s="11" t="s">
        <v>1085</v>
      </c>
      <c r="C126" s="11" t="s">
        <v>494</v>
      </c>
      <c r="D126" s="11" t="s">
        <v>892</v>
      </c>
      <c r="E126" s="41" t="str">
        <f t="shared" ref="E126" si="2">IFERROR(((E14/E82)-1),"CHECK")</f>
        <v>CHECK</v>
      </c>
      <c r="F126" s="41" t="str">
        <f t="shared" ref="F126:T126" si="3">IFERROR(((F14/F82)-1),"CHECK")</f>
        <v>CHECK</v>
      </c>
      <c r="G126" s="41" t="str">
        <f t="shared" si="3"/>
        <v>CHECK</v>
      </c>
      <c r="H126" s="41" t="str">
        <f t="shared" si="3"/>
        <v>CHECK</v>
      </c>
      <c r="I126" s="41" t="str">
        <f t="shared" si="3"/>
        <v>CHECK</v>
      </c>
      <c r="J126" s="41" t="str">
        <f t="shared" si="3"/>
        <v>CHECK</v>
      </c>
      <c r="K126" s="41" t="str">
        <f t="shared" si="3"/>
        <v>CHECK</v>
      </c>
      <c r="L126" s="41" t="str">
        <f t="shared" si="3"/>
        <v>CHECK</v>
      </c>
      <c r="M126" s="41" t="str">
        <f t="shared" si="3"/>
        <v>CHECK</v>
      </c>
      <c r="N126" s="41" t="str">
        <f t="shared" si="3"/>
        <v>CHECK</v>
      </c>
      <c r="O126" s="41" t="str">
        <f t="shared" si="3"/>
        <v>CHECK</v>
      </c>
      <c r="P126" s="41" t="str">
        <f t="shared" si="3"/>
        <v>CHECK</v>
      </c>
      <c r="Q126" s="41" t="str">
        <f t="shared" si="3"/>
        <v>CHECK</v>
      </c>
      <c r="R126" s="41" t="str">
        <f t="shared" si="3"/>
        <v>CHECK</v>
      </c>
      <c r="S126" s="41" t="str">
        <f t="shared" si="3"/>
        <v>CHECK</v>
      </c>
      <c r="T126" s="41" t="str">
        <f t="shared" si="3"/>
        <v>CHECK</v>
      </c>
      <c r="U126" s="41"/>
      <c r="V126" s="41"/>
    </row>
    <row r="127" spans="1:23" x14ac:dyDescent="0.25">
      <c r="A127" s="11" t="s">
        <v>172</v>
      </c>
      <c r="B127" s="11" t="s">
        <v>1086</v>
      </c>
      <c r="C127" s="11" t="s">
        <v>494</v>
      </c>
      <c r="D127" s="11" t="s">
        <v>892</v>
      </c>
      <c r="E127" s="41" t="str">
        <f t="shared" ref="E127:T127" si="4">IFERROR(((E15/E83)-1),"CHECK")</f>
        <v>CHECK</v>
      </c>
      <c r="F127" s="41" t="str">
        <f t="shared" si="4"/>
        <v>CHECK</v>
      </c>
      <c r="G127" s="41" t="str">
        <f t="shared" si="4"/>
        <v>CHECK</v>
      </c>
      <c r="H127" s="41" t="str">
        <f t="shared" si="4"/>
        <v>CHECK</v>
      </c>
      <c r="I127" s="41" t="str">
        <f t="shared" si="4"/>
        <v>CHECK</v>
      </c>
      <c r="J127" s="41" t="str">
        <f t="shared" si="4"/>
        <v>CHECK</v>
      </c>
      <c r="K127" s="41" t="str">
        <f t="shared" si="4"/>
        <v>CHECK</v>
      </c>
      <c r="L127" s="41" t="str">
        <f t="shared" si="4"/>
        <v>CHECK</v>
      </c>
      <c r="M127" s="41" t="str">
        <f t="shared" si="4"/>
        <v>CHECK</v>
      </c>
      <c r="N127" s="41" t="str">
        <f t="shared" si="4"/>
        <v>CHECK</v>
      </c>
      <c r="O127" s="41" t="str">
        <f t="shared" si="4"/>
        <v>CHECK</v>
      </c>
      <c r="P127" s="41" t="str">
        <f t="shared" si="4"/>
        <v>CHECK</v>
      </c>
      <c r="Q127" s="41" t="str">
        <f t="shared" si="4"/>
        <v>CHECK</v>
      </c>
      <c r="R127" s="41" t="str">
        <f t="shared" si="4"/>
        <v>CHECK</v>
      </c>
      <c r="S127" s="41" t="str">
        <f t="shared" si="4"/>
        <v>CHECK</v>
      </c>
      <c r="T127" s="41" t="str">
        <f t="shared" si="4"/>
        <v>CHECK</v>
      </c>
      <c r="U127" s="41"/>
      <c r="V127" s="41"/>
    </row>
    <row r="128" spans="1:23" x14ac:dyDescent="0.25">
      <c r="A128" s="11" t="s">
        <v>172</v>
      </c>
      <c r="B128" s="11" t="s">
        <v>1087</v>
      </c>
      <c r="C128" s="11" t="s">
        <v>494</v>
      </c>
      <c r="D128" s="11" t="s">
        <v>892</v>
      </c>
      <c r="E128" s="41" t="str">
        <f t="shared" ref="E128:T128" si="5">IFERROR(((E16/E84)-1),"CHECK")</f>
        <v>CHECK</v>
      </c>
      <c r="F128" s="41" t="str">
        <f t="shared" si="5"/>
        <v>CHECK</v>
      </c>
      <c r="G128" s="41" t="str">
        <f t="shared" si="5"/>
        <v>CHECK</v>
      </c>
      <c r="H128" s="41" t="str">
        <f t="shared" si="5"/>
        <v>CHECK</v>
      </c>
      <c r="I128" s="41" t="str">
        <f t="shared" si="5"/>
        <v>CHECK</v>
      </c>
      <c r="J128" s="41" t="str">
        <f t="shared" si="5"/>
        <v>CHECK</v>
      </c>
      <c r="K128" s="41" t="str">
        <f t="shared" si="5"/>
        <v>CHECK</v>
      </c>
      <c r="L128" s="41" t="str">
        <f t="shared" si="5"/>
        <v>CHECK</v>
      </c>
      <c r="M128" s="41" t="str">
        <f t="shared" si="5"/>
        <v>CHECK</v>
      </c>
      <c r="N128" s="41" t="str">
        <f t="shared" si="5"/>
        <v>CHECK</v>
      </c>
      <c r="O128" s="41" t="str">
        <f t="shared" si="5"/>
        <v>CHECK</v>
      </c>
      <c r="P128" s="41" t="str">
        <f t="shared" si="5"/>
        <v>CHECK</v>
      </c>
      <c r="Q128" s="41" t="str">
        <f t="shared" si="5"/>
        <v>CHECK</v>
      </c>
      <c r="R128" s="41" t="str">
        <f t="shared" si="5"/>
        <v>CHECK</v>
      </c>
      <c r="S128" s="41" t="str">
        <f t="shared" si="5"/>
        <v>CHECK</v>
      </c>
      <c r="T128" s="41" t="str">
        <f t="shared" si="5"/>
        <v>CHECK</v>
      </c>
      <c r="U128" s="41"/>
      <c r="V128" s="41"/>
    </row>
    <row r="129" spans="1:22" x14ac:dyDescent="0.25">
      <c r="A129" s="11"/>
      <c r="B129" s="11"/>
      <c r="C129" s="11"/>
      <c r="D129" s="11"/>
      <c r="E129" s="41"/>
      <c r="F129" s="41"/>
      <c r="G129" s="41"/>
      <c r="H129" s="41"/>
      <c r="I129" s="41"/>
      <c r="J129" s="41"/>
      <c r="K129" s="41"/>
      <c r="L129" s="41"/>
      <c r="M129" s="41"/>
      <c r="N129" s="41"/>
      <c r="O129" s="41"/>
      <c r="P129" s="41"/>
      <c r="Q129" s="41"/>
      <c r="R129" s="41"/>
      <c r="S129" s="41"/>
      <c r="T129" s="41"/>
      <c r="U129" s="41"/>
      <c r="V129" s="41"/>
    </row>
    <row r="130" spans="1:22" x14ac:dyDescent="0.25">
      <c r="A130" s="11" t="s">
        <v>172</v>
      </c>
      <c r="B130" s="11" t="s">
        <v>1085</v>
      </c>
      <c r="C130" s="11" t="s">
        <v>496</v>
      </c>
      <c r="D130" s="11" t="s">
        <v>892</v>
      </c>
      <c r="E130" s="41" t="str">
        <f t="shared" ref="E130:T130" si="6">IFERROR(((E18/E86)-1),"CHECK")</f>
        <v>CHECK</v>
      </c>
      <c r="F130" s="41" t="str">
        <f t="shared" si="6"/>
        <v>CHECK</v>
      </c>
      <c r="G130" s="41" t="str">
        <f t="shared" si="6"/>
        <v>CHECK</v>
      </c>
      <c r="H130" s="41" t="str">
        <f t="shared" si="6"/>
        <v>CHECK</v>
      </c>
      <c r="I130" s="41" t="str">
        <f t="shared" si="6"/>
        <v>CHECK</v>
      </c>
      <c r="J130" s="41" t="str">
        <f t="shared" si="6"/>
        <v>CHECK</v>
      </c>
      <c r="K130" s="41" t="str">
        <f t="shared" si="6"/>
        <v>CHECK</v>
      </c>
      <c r="L130" s="41" t="str">
        <f t="shared" si="6"/>
        <v>CHECK</v>
      </c>
      <c r="M130" s="41" t="str">
        <f t="shared" si="6"/>
        <v>CHECK</v>
      </c>
      <c r="N130" s="41" t="str">
        <f t="shared" si="6"/>
        <v>CHECK</v>
      </c>
      <c r="O130" s="41" t="str">
        <f t="shared" si="6"/>
        <v>CHECK</v>
      </c>
      <c r="P130" s="41" t="str">
        <f t="shared" si="6"/>
        <v>CHECK</v>
      </c>
      <c r="Q130" s="41" t="str">
        <f t="shared" si="6"/>
        <v>CHECK</v>
      </c>
      <c r="R130" s="41" t="str">
        <f t="shared" si="6"/>
        <v>CHECK</v>
      </c>
      <c r="S130" s="41" t="str">
        <f t="shared" si="6"/>
        <v>CHECK</v>
      </c>
      <c r="T130" s="41" t="str">
        <f t="shared" si="6"/>
        <v>CHECK</v>
      </c>
      <c r="U130" s="41"/>
      <c r="V130" s="41"/>
    </row>
    <row r="131" spans="1:22" x14ac:dyDescent="0.25">
      <c r="A131" s="11" t="s">
        <v>172</v>
      </c>
      <c r="B131" s="11" t="s">
        <v>1086</v>
      </c>
      <c r="C131" s="11" t="s">
        <v>496</v>
      </c>
      <c r="D131" s="11" t="s">
        <v>892</v>
      </c>
      <c r="E131" s="41" t="str">
        <f t="shared" ref="E131:T131" si="7">IFERROR(((E19/E87)-1),"CHECK")</f>
        <v>CHECK</v>
      </c>
      <c r="F131" s="41" t="str">
        <f t="shared" si="7"/>
        <v>CHECK</v>
      </c>
      <c r="G131" s="41" t="str">
        <f t="shared" si="7"/>
        <v>CHECK</v>
      </c>
      <c r="H131" s="41" t="str">
        <f t="shared" si="7"/>
        <v>CHECK</v>
      </c>
      <c r="I131" s="41" t="str">
        <f t="shared" si="7"/>
        <v>CHECK</v>
      </c>
      <c r="J131" s="41" t="str">
        <f t="shared" si="7"/>
        <v>CHECK</v>
      </c>
      <c r="K131" s="41" t="str">
        <f t="shared" si="7"/>
        <v>CHECK</v>
      </c>
      <c r="L131" s="41" t="str">
        <f t="shared" si="7"/>
        <v>CHECK</v>
      </c>
      <c r="M131" s="41" t="str">
        <f t="shared" si="7"/>
        <v>CHECK</v>
      </c>
      <c r="N131" s="41" t="str">
        <f t="shared" si="7"/>
        <v>CHECK</v>
      </c>
      <c r="O131" s="41" t="str">
        <f t="shared" si="7"/>
        <v>CHECK</v>
      </c>
      <c r="P131" s="41" t="str">
        <f t="shared" si="7"/>
        <v>CHECK</v>
      </c>
      <c r="Q131" s="41" t="str">
        <f t="shared" si="7"/>
        <v>CHECK</v>
      </c>
      <c r="R131" s="41" t="str">
        <f t="shared" si="7"/>
        <v>CHECK</v>
      </c>
      <c r="S131" s="41" t="str">
        <f t="shared" si="7"/>
        <v>CHECK</v>
      </c>
      <c r="T131" s="41" t="str">
        <f t="shared" si="7"/>
        <v>CHECK</v>
      </c>
      <c r="U131" s="41"/>
      <c r="V131" s="41"/>
    </row>
    <row r="132" spans="1:22" x14ac:dyDescent="0.25">
      <c r="A132" s="11" t="s">
        <v>172</v>
      </c>
      <c r="B132" s="11" t="s">
        <v>1087</v>
      </c>
      <c r="C132" s="11" t="s">
        <v>496</v>
      </c>
      <c r="D132" s="11" t="s">
        <v>892</v>
      </c>
      <c r="E132" s="41" t="str">
        <f t="shared" ref="E132:T132" si="8">IFERROR(((E20/E88)-1),"CHECK")</f>
        <v>CHECK</v>
      </c>
      <c r="F132" s="41" t="str">
        <f t="shared" si="8"/>
        <v>CHECK</v>
      </c>
      <c r="G132" s="41" t="str">
        <f t="shared" si="8"/>
        <v>CHECK</v>
      </c>
      <c r="H132" s="41" t="str">
        <f t="shared" si="8"/>
        <v>CHECK</v>
      </c>
      <c r="I132" s="41" t="str">
        <f t="shared" si="8"/>
        <v>CHECK</v>
      </c>
      <c r="J132" s="41" t="str">
        <f t="shared" si="8"/>
        <v>CHECK</v>
      </c>
      <c r="K132" s="41" t="str">
        <f t="shared" si="8"/>
        <v>CHECK</v>
      </c>
      <c r="L132" s="41" t="str">
        <f t="shared" si="8"/>
        <v>CHECK</v>
      </c>
      <c r="M132" s="41" t="str">
        <f t="shared" si="8"/>
        <v>CHECK</v>
      </c>
      <c r="N132" s="41" t="str">
        <f t="shared" si="8"/>
        <v>CHECK</v>
      </c>
      <c r="O132" s="41" t="str">
        <f t="shared" si="8"/>
        <v>CHECK</v>
      </c>
      <c r="P132" s="41" t="str">
        <f t="shared" si="8"/>
        <v>CHECK</v>
      </c>
      <c r="Q132" s="41" t="str">
        <f t="shared" si="8"/>
        <v>CHECK</v>
      </c>
      <c r="R132" s="41" t="str">
        <f t="shared" si="8"/>
        <v>CHECK</v>
      </c>
      <c r="S132" s="41" t="str">
        <f t="shared" si="8"/>
        <v>CHECK</v>
      </c>
      <c r="T132" s="41" t="str">
        <f t="shared" si="8"/>
        <v>CHECK</v>
      </c>
      <c r="U132" s="41"/>
      <c r="V132" s="41"/>
    </row>
    <row r="133" spans="1:22" x14ac:dyDescent="0.25">
      <c r="A133" s="11"/>
      <c r="B133" s="11"/>
      <c r="C133" s="11"/>
      <c r="D133" s="11"/>
      <c r="E133" s="41"/>
      <c r="F133" s="41"/>
      <c r="G133" s="41"/>
      <c r="H133" s="41"/>
      <c r="I133" s="41"/>
      <c r="J133" s="41"/>
      <c r="K133" s="41"/>
      <c r="L133" s="41"/>
      <c r="M133" s="41"/>
      <c r="N133" s="41"/>
      <c r="O133" s="41"/>
      <c r="P133" s="41"/>
      <c r="Q133" s="41"/>
      <c r="R133" s="41"/>
      <c r="S133" s="41"/>
      <c r="T133" s="41"/>
      <c r="U133" s="41"/>
      <c r="V133" s="41"/>
    </row>
    <row r="134" spans="1:22" x14ac:dyDescent="0.25">
      <c r="A134" s="11" t="s">
        <v>172</v>
      </c>
      <c r="B134" s="11" t="s">
        <v>1085</v>
      </c>
      <c r="C134" s="11" t="s">
        <v>497</v>
      </c>
      <c r="D134" s="11" t="s">
        <v>892</v>
      </c>
      <c r="E134" s="41" t="str">
        <f t="shared" ref="E134:T134" si="9">IFERROR(((E22/E90)-1),"CHECK")</f>
        <v>CHECK</v>
      </c>
      <c r="F134" s="41" t="str">
        <f t="shared" si="9"/>
        <v>CHECK</v>
      </c>
      <c r="G134" s="41" t="str">
        <f t="shared" si="9"/>
        <v>CHECK</v>
      </c>
      <c r="H134" s="41" t="str">
        <f t="shared" si="9"/>
        <v>CHECK</v>
      </c>
      <c r="I134" s="41" t="str">
        <f t="shared" si="9"/>
        <v>CHECK</v>
      </c>
      <c r="J134" s="41" t="str">
        <f t="shared" si="9"/>
        <v>CHECK</v>
      </c>
      <c r="K134" s="41" t="str">
        <f t="shared" si="9"/>
        <v>CHECK</v>
      </c>
      <c r="L134" s="41" t="str">
        <f t="shared" si="9"/>
        <v>CHECK</v>
      </c>
      <c r="M134" s="41" t="str">
        <f t="shared" si="9"/>
        <v>CHECK</v>
      </c>
      <c r="N134" s="41" t="str">
        <f t="shared" si="9"/>
        <v>CHECK</v>
      </c>
      <c r="O134" s="41" t="str">
        <f t="shared" si="9"/>
        <v>CHECK</v>
      </c>
      <c r="P134" s="41" t="str">
        <f t="shared" si="9"/>
        <v>CHECK</v>
      </c>
      <c r="Q134" s="41" t="str">
        <f t="shared" si="9"/>
        <v>CHECK</v>
      </c>
      <c r="R134" s="41" t="str">
        <f t="shared" si="9"/>
        <v>CHECK</v>
      </c>
      <c r="S134" s="41" t="str">
        <f t="shared" si="9"/>
        <v>CHECK</v>
      </c>
      <c r="T134" s="41" t="str">
        <f t="shared" si="9"/>
        <v>CHECK</v>
      </c>
      <c r="U134" s="41"/>
      <c r="V134" s="41"/>
    </row>
    <row r="135" spans="1:22" x14ac:dyDescent="0.25">
      <c r="A135" s="11" t="s">
        <v>172</v>
      </c>
      <c r="B135" s="11" t="s">
        <v>1086</v>
      </c>
      <c r="C135" s="11" t="s">
        <v>497</v>
      </c>
      <c r="D135" s="11" t="s">
        <v>892</v>
      </c>
      <c r="E135" s="41" t="str">
        <f t="shared" ref="E135:T135" si="10">IFERROR(((E23/E91)-1),"CHECK")</f>
        <v>CHECK</v>
      </c>
      <c r="F135" s="41" t="str">
        <f t="shared" si="10"/>
        <v>CHECK</v>
      </c>
      <c r="G135" s="41" t="str">
        <f t="shared" si="10"/>
        <v>CHECK</v>
      </c>
      <c r="H135" s="41" t="str">
        <f t="shared" si="10"/>
        <v>CHECK</v>
      </c>
      <c r="I135" s="41" t="str">
        <f t="shared" si="10"/>
        <v>CHECK</v>
      </c>
      <c r="J135" s="41" t="str">
        <f t="shared" si="10"/>
        <v>CHECK</v>
      </c>
      <c r="K135" s="41" t="str">
        <f t="shared" si="10"/>
        <v>CHECK</v>
      </c>
      <c r="L135" s="41" t="str">
        <f t="shared" si="10"/>
        <v>CHECK</v>
      </c>
      <c r="M135" s="41" t="str">
        <f t="shared" si="10"/>
        <v>CHECK</v>
      </c>
      <c r="N135" s="41" t="str">
        <f t="shared" si="10"/>
        <v>CHECK</v>
      </c>
      <c r="O135" s="41" t="str">
        <f t="shared" si="10"/>
        <v>CHECK</v>
      </c>
      <c r="P135" s="41" t="str">
        <f t="shared" si="10"/>
        <v>CHECK</v>
      </c>
      <c r="Q135" s="41" t="str">
        <f t="shared" si="10"/>
        <v>CHECK</v>
      </c>
      <c r="R135" s="41" t="str">
        <f t="shared" si="10"/>
        <v>CHECK</v>
      </c>
      <c r="S135" s="41" t="str">
        <f t="shared" si="10"/>
        <v>CHECK</v>
      </c>
      <c r="T135" s="41" t="str">
        <f t="shared" si="10"/>
        <v>CHECK</v>
      </c>
      <c r="U135" s="41"/>
      <c r="V135" s="41"/>
    </row>
    <row r="136" spans="1:22" x14ac:dyDescent="0.25">
      <c r="A136" s="11" t="s">
        <v>172</v>
      </c>
      <c r="B136" s="11" t="s">
        <v>1087</v>
      </c>
      <c r="C136" s="11" t="s">
        <v>497</v>
      </c>
      <c r="D136" s="11" t="s">
        <v>892</v>
      </c>
      <c r="E136" s="41" t="str">
        <f t="shared" ref="E136:T136" si="11">IFERROR(((E24/E92)-1),"CHECK")</f>
        <v>CHECK</v>
      </c>
      <c r="F136" s="41" t="str">
        <f t="shared" si="11"/>
        <v>CHECK</v>
      </c>
      <c r="G136" s="41" t="str">
        <f t="shared" si="11"/>
        <v>CHECK</v>
      </c>
      <c r="H136" s="41" t="str">
        <f t="shared" si="11"/>
        <v>CHECK</v>
      </c>
      <c r="I136" s="41" t="str">
        <f t="shared" si="11"/>
        <v>CHECK</v>
      </c>
      <c r="J136" s="41" t="str">
        <f t="shared" si="11"/>
        <v>CHECK</v>
      </c>
      <c r="K136" s="41" t="str">
        <f t="shared" si="11"/>
        <v>CHECK</v>
      </c>
      <c r="L136" s="41" t="str">
        <f t="shared" si="11"/>
        <v>CHECK</v>
      </c>
      <c r="M136" s="41" t="str">
        <f t="shared" si="11"/>
        <v>CHECK</v>
      </c>
      <c r="N136" s="41" t="str">
        <f t="shared" si="11"/>
        <v>CHECK</v>
      </c>
      <c r="O136" s="41" t="str">
        <f t="shared" si="11"/>
        <v>CHECK</v>
      </c>
      <c r="P136" s="41" t="str">
        <f t="shared" si="11"/>
        <v>CHECK</v>
      </c>
      <c r="Q136" s="41" t="str">
        <f t="shared" si="11"/>
        <v>CHECK</v>
      </c>
      <c r="R136" s="41" t="str">
        <f t="shared" si="11"/>
        <v>CHECK</v>
      </c>
      <c r="S136" s="41" t="str">
        <f t="shared" si="11"/>
        <v>CHECK</v>
      </c>
      <c r="T136" s="41" t="str">
        <f t="shared" si="11"/>
        <v>CHECK</v>
      </c>
      <c r="U136" s="41"/>
      <c r="V136" s="41"/>
    </row>
    <row r="137" spans="1:22" x14ac:dyDescent="0.25">
      <c r="A137" s="11"/>
      <c r="B137" s="11"/>
      <c r="C137" s="11"/>
      <c r="D137" s="11"/>
      <c r="E137" s="41"/>
      <c r="F137" s="41"/>
      <c r="G137" s="41"/>
      <c r="H137" s="41"/>
      <c r="I137" s="41"/>
      <c r="J137" s="41"/>
      <c r="K137" s="41"/>
      <c r="L137" s="41"/>
      <c r="M137" s="41"/>
      <c r="N137" s="41"/>
      <c r="O137" s="41"/>
      <c r="P137" s="41"/>
      <c r="Q137" s="41"/>
      <c r="R137" s="41"/>
      <c r="S137" s="41"/>
      <c r="T137" s="41"/>
      <c r="U137" s="41"/>
      <c r="V137" s="41"/>
    </row>
    <row r="138" spans="1:22" x14ac:dyDescent="0.25">
      <c r="A138" s="8"/>
      <c r="B138" s="9" t="s">
        <v>877</v>
      </c>
      <c r="C138" s="8"/>
      <c r="D138" s="8"/>
      <c r="E138" s="8"/>
      <c r="F138" s="8"/>
      <c r="G138" s="8"/>
      <c r="H138" s="8"/>
      <c r="I138" s="8"/>
      <c r="J138" s="8"/>
      <c r="K138" s="8"/>
      <c r="L138" s="8"/>
      <c r="M138" s="8"/>
      <c r="N138" s="8"/>
      <c r="O138" s="8"/>
      <c r="P138" s="8"/>
      <c r="Q138" s="8"/>
      <c r="R138" s="8"/>
      <c r="S138" s="8"/>
      <c r="T138" s="8"/>
      <c r="U138" s="8"/>
      <c r="V138" s="8"/>
    </row>
    <row r="140" spans="1:22" x14ac:dyDescent="0.25">
      <c r="A140" s="11" t="s">
        <v>172</v>
      </c>
      <c r="B140" s="11" t="s">
        <v>1091</v>
      </c>
      <c r="C140" s="11" t="s">
        <v>494</v>
      </c>
      <c r="D140" s="11"/>
      <c r="E140" s="41" t="str">
        <f t="shared" ref="E140:T140" si="12">IFERROR(((E28/E96)-1),"CHECK")</f>
        <v>CHECK</v>
      </c>
      <c r="F140" s="41" t="str">
        <f t="shared" si="12"/>
        <v>CHECK</v>
      </c>
      <c r="G140" s="41" t="str">
        <f t="shared" si="12"/>
        <v>CHECK</v>
      </c>
      <c r="H140" s="41" t="str">
        <f t="shared" si="12"/>
        <v>CHECK</v>
      </c>
      <c r="I140" s="41" t="str">
        <f t="shared" si="12"/>
        <v>CHECK</v>
      </c>
      <c r="J140" s="41" t="str">
        <f t="shared" si="12"/>
        <v>CHECK</v>
      </c>
      <c r="K140" s="41" t="str">
        <f t="shared" si="12"/>
        <v>CHECK</v>
      </c>
      <c r="L140" s="41" t="str">
        <f t="shared" si="12"/>
        <v>CHECK</v>
      </c>
      <c r="M140" s="41" t="str">
        <f t="shared" si="12"/>
        <v>CHECK</v>
      </c>
      <c r="N140" s="41" t="str">
        <f t="shared" si="12"/>
        <v>CHECK</v>
      </c>
      <c r="O140" s="41" t="str">
        <f t="shared" si="12"/>
        <v>CHECK</v>
      </c>
      <c r="P140" s="41" t="str">
        <f t="shared" si="12"/>
        <v>CHECK</v>
      </c>
      <c r="Q140" s="41" t="str">
        <f t="shared" si="12"/>
        <v>CHECK</v>
      </c>
      <c r="R140" s="41" t="str">
        <f t="shared" si="12"/>
        <v>CHECK</v>
      </c>
      <c r="S140" s="41" t="str">
        <f t="shared" si="12"/>
        <v>CHECK</v>
      </c>
      <c r="T140" s="41" t="str">
        <f t="shared" si="12"/>
        <v>CHECK</v>
      </c>
      <c r="U140" s="41"/>
      <c r="V140" s="41"/>
    </row>
    <row r="141" spans="1:22" x14ac:dyDescent="0.25">
      <c r="A141" s="11" t="s">
        <v>172</v>
      </c>
      <c r="B141" s="11" t="s">
        <v>1092</v>
      </c>
      <c r="C141" s="11" t="s">
        <v>494</v>
      </c>
      <c r="D141" s="11" t="s">
        <v>1093</v>
      </c>
      <c r="E141" s="41" t="str">
        <f t="shared" ref="E141:T141" si="13">IFERROR(((E29/E97)-1),"CHECK")</f>
        <v>CHECK</v>
      </c>
      <c r="F141" s="41" t="str">
        <f t="shared" si="13"/>
        <v>CHECK</v>
      </c>
      <c r="G141" s="41" t="str">
        <f t="shared" si="13"/>
        <v>CHECK</v>
      </c>
      <c r="H141" s="41" t="str">
        <f t="shared" si="13"/>
        <v>CHECK</v>
      </c>
      <c r="I141" s="41" t="str">
        <f t="shared" si="13"/>
        <v>CHECK</v>
      </c>
      <c r="J141" s="41" t="str">
        <f t="shared" si="13"/>
        <v>CHECK</v>
      </c>
      <c r="K141" s="41" t="str">
        <f t="shared" si="13"/>
        <v>CHECK</v>
      </c>
      <c r="L141" s="41" t="str">
        <f t="shared" si="13"/>
        <v>CHECK</v>
      </c>
      <c r="M141" s="41" t="str">
        <f t="shared" si="13"/>
        <v>CHECK</v>
      </c>
      <c r="N141" s="41" t="str">
        <f t="shared" si="13"/>
        <v>CHECK</v>
      </c>
      <c r="O141" s="41" t="str">
        <f t="shared" si="13"/>
        <v>CHECK</v>
      </c>
      <c r="P141" s="41" t="str">
        <f t="shared" si="13"/>
        <v>CHECK</v>
      </c>
      <c r="Q141" s="41" t="str">
        <f t="shared" si="13"/>
        <v>CHECK</v>
      </c>
      <c r="R141" s="41" t="str">
        <f t="shared" si="13"/>
        <v>CHECK</v>
      </c>
      <c r="S141" s="41" t="str">
        <f t="shared" si="13"/>
        <v>CHECK</v>
      </c>
      <c r="T141" s="41" t="str">
        <f t="shared" si="13"/>
        <v>CHECK</v>
      </c>
      <c r="U141" s="41"/>
      <c r="V141" s="41"/>
    </row>
    <row r="142" spans="1:22" x14ac:dyDescent="0.25">
      <c r="A142" s="11" t="s">
        <v>172</v>
      </c>
      <c r="B142" s="11" t="s">
        <v>1094</v>
      </c>
      <c r="C142" s="11" t="s">
        <v>494</v>
      </c>
      <c r="D142" s="11" t="s">
        <v>1095</v>
      </c>
      <c r="E142" s="41" t="str">
        <f t="shared" ref="E142:T142" si="14">IFERROR(((E30/E98)-1),"CHECK")</f>
        <v>CHECK</v>
      </c>
      <c r="F142" s="41" t="str">
        <f t="shared" si="14"/>
        <v>CHECK</v>
      </c>
      <c r="G142" s="41" t="str">
        <f t="shared" si="14"/>
        <v>CHECK</v>
      </c>
      <c r="H142" s="41" t="str">
        <f t="shared" si="14"/>
        <v>CHECK</v>
      </c>
      <c r="I142" s="41" t="str">
        <f t="shared" si="14"/>
        <v>CHECK</v>
      </c>
      <c r="J142" s="41" t="str">
        <f t="shared" si="14"/>
        <v>CHECK</v>
      </c>
      <c r="K142" s="41" t="str">
        <f t="shared" si="14"/>
        <v>CHECK</v>
      </c>
      <c r="L142" s="41" t="str">
        <f t="shared" si="14"/>
        <v>CHECK</v>
      </c>
      <c r="M142" s="41" t="str">
        <f t="shared" si="14"/>
        <v>CHECK</v>
      </c>
      <c r="N142" s="41" t="str">
        <f t="shared" si="14"/>
        <v>CHECK</v>
      </c>
      <c r="O142" s="41" t="str">
        <f t="shared" si="14"/>
        <v>CHECK</v>
      </c>
      <c r="P142" s="41" t="str">
        <f t="shared" si="14"/>
        <v>CHECK</v>
      </c>
      <c r="Q142" s="41" t="str">
        <f t="shared" si="14"/>
        <v>CHECK</v>
      </c>
      <c r="R142" s="41" t="str">
        <f t="shared" si="14"/>
        <v>CHECK</v>
      </c>
      <c r="S142" s="41" t="str">
        <f t="shared" si="14"/>
        <v>CHECK</v>
      </c>
      <c r="T142" s="41" t="str">
        <f t="shared" si="14"/>
        <v>CHECK</v>
      </c>
      <c r="U142" s="41"/>
      <c r="V142" s="41"/>
    </row>
    <row r="143" spans="1:22" x14ac:dyDescent="0.25">
      <c r="A143" s="11" t="s">
        <v>172</v>
      </c>
      <c r="B143" s="11" t="s">
        <v>1096</v>
      </c>
      <c r="C143" s="11" t="s">
        <v>494</v>
      </c>
      <c r="D143" s="11" t="s">
        <v>1095</v>
      </c>
      <c r="E143" s="41" t="str">
        <f t="shared" ref="E143:T143" si="15">IFERROR(((E31/E99)-1),"CHECK")</f>
        <v>CHECK</v>
      </c>
      <c r="F143" s="41" t="str">
        <f t="shared" si="15"/>
        <v>CHECK</v>
      </c>
      <c r="G143" s="41" t="str">
        <f t="shared" si="15"/>
        <v>CHECK</v>
      </c>
      <c r="H143" s="41" t="str">
        <f t="shared" si="15"/>
        <v>CHECK</v>
      </c>
      <c r="I143" s="41" t="str">
        <f t="shared" si="15"/>
        <v>CHECK</v>
      </c>
      <c r="J143" s="41" t="str">
        <f t="shared" si="15"/>
        <v>CHECK</v>
      </c>
      <c r="K143" s="41" t="str">
        <f t="shared" si="15"/>
        <v>CHECK</v>
      </c>
      <c r="L143" s="41" t="str">
        <f t="shared" si="15"/>
        <v>CHECK</v>
      </c>
      <c r="M143" s="41" t="str">
        <f t="shared" si="15"/>
        <v>CHECK</v>
      </c>
      <c r="N143" s="41" t="str">
        <f t="shared" si="15"/>
        <v>CHECK</v>
      </c>
      <c r="O143" s="41" t="str">
        <f t="shared" si="15"/>
        <v>CHECK</v>
      </c>
      <c r="P143" s="41" t="str">
        <f t="shared" si="15"/>
        <v>CHECK</v>
      </c>
      <c r="Q143" s="41" t="str">
        <f t="shared" si="15"/>
        <v>CHECK</v>
      </c>
      <c r="R143" s="41" t="str">
        <f t="shared" si="15"/>
        <v>CHECK</v>
      </c>
      <c r="S143" s="41" t="str">
        <f t="shared" si="15"/>
        <v>CHECK</v>
      </c>
      <c r="T143" s="41" t="str">
        <f t="shared" si="15"/>
        <v>CHECK</v>
      </c>
      <c r="U143" s="41"/>
      <c r="V143" s="41"/>
    </row>
    <row r="144" spans="1:22" x14ac:dyDescent="0.25">
      <c r="A144" s="11"/>
      <c r="B144" s="11"/>
      <c r="C144" s="11"/>
      <c r="D144" s="11"/>
      <c r="E144" s="41"/>
      <c r="F144" s="41"/>
      <c r="G144" s="41"/>
      <c r="H144" s="41"/>
      <c r="I144" s="41"/>
      <c r="J144" s="41"/>
      <c r="K144" s="41"/>
      <c r="L144" s="41"/>
      <c r="M144" s="41"/>
      <c r="N144" s="41"/>
      <c r="O144" s="41"/>
      <c r="P144" s="41"/>
      <c r="Q144" s="41"/>
      <c r="R144" s="41"/>
      <c r="S144" s="41"/>
      <c r="T144" s="41"/>
      <c r="U144" s="41"/>
      <c r="V144" s="41"/>
    </row>
    <row r="145" spans="1:22" x14ac:dyDescent="0.25">
      <c r="A145" s="11" t="s">
        <v>172</v>
      </c>
      <c r="B145" s="11" t="s">
        <v>1091</v>
      </c>
      <c r="C145" s="11" t="s">
        <v>496</v>
      </c>
      <c r="D145" s="11"/>
      <c r="E145" s="41" t="str">
        <f t="shared" ref="E145:T145" si="16">IFERROR(((E33/E101)-1),"CHECK")</f>
        <v>CHECK</v>
      </c>
      <c r="F145" s="41" t="str">
        <f t="shared" si="16"/>
        <v>CHECK</v>
      </c>
      <c r="G145" s="41" t="str">
        <f t="shared" si="16"/>
        <v>CHECK</v>
      </c>
      <c r="H145" s="41" t="str">
        <f t="shared" si="16"/>
        <v>CHECK</v>
      </c>
      <c r="I145" s="41" t="str">
        <f t="shared" si="16"/>
        <v>CHECK</v>
      </c>
      <c r="J145" s="41" t="str">
        <f t="shared" si="16"/>
        <v>CHECK</v>
      </c>
      <c r="K145" s="41" t="str">
        <f t="shared" si="16"/>
        <v>CHECK</v>
      </c>
      <c r="L145" s="41" t="str">
        <f t="shared" si="16"/>
        <v>CHECK</v>
      </c>
      <c r="M145" s="41" t="str">
        <f t="shared" si="16"/>
        <v>CHECK</v>
      </c>
      <c r="N145" s="41" t="str">
        <f t="shared" si="16"/>
        <v>CHECK</v>
      </c>
      <c r="O145" s="41" t="str">
        <f t="shared" si="16"/>
        <v>CHECK</v>
      </c>
      <c r="P145" s="41" t="str">
        <f t="shared" si="16"/>
        <v>CHECK</v>
      </c>
      <c r="Q145" s="41" t="str">
        <f t="shared" si="16"/>
        <v>CHECK</v>
      </c>
      <c r="R145" s="41" t="str">
        <f t="shared" si="16"/>
        <v>CHECK</v>
      </c>
      <c r="S145" s="41" t="str">
        <f t="shared" si="16"/>
        <v>CHECK</v>
      </c>
      <c r="T145" s="41" t="str">
        <f t="shared" si="16"/>
        <v>CHECK</v>
      </c>
      <c r="U145" s="41"/>
      <c r="V145" s="41"/>
    </row>
    <row r="146" spans="1:22" x14ac:dyDescent="0.25">
      <c r="A146" s="11" t="s">
        <v>172</v>
      </c>
      <c r="B146" s="11" t="s">
        <v>1092</v>
      </c>
      <c r="C146" s="11" t="s">
        <v>496</v>
      </c>
      <c r="D146" s="11" t="s">
        <v>1093</v>
      </c>
      <c r="E146" s="41" t="str">
        <f t="shared" ref="E146:T146" si="17">IFERROR(((E34/E102)-1),"CHECK")</f>
        <v>CHECK</v>
      </c>
      <c r="F146" s="41" t="str">
        <f t="shared" si="17"/>
        <v>CHECK</v>
      </c>
      <c r="G146" s="41" t="str">
        <f t="shared" si="17"/>
        <v>CHECK</v>
      </c>
      <c r="H146" s="41" t="str">
        <f t="shared" si="17"/>
        <v>CHECK</v>
      </c>
      <c r="I146" s="41" t="str">
        <f t="shared" si="17"/>
        <v>CHECK</v>
      </c>
      <c r="J146" s="41" t="str">
        <f t="shared" si="17"/>
        <v>CHECK</v>
      </c>
      <c r="K146" s="41" t="str">
        <f t="shared" si="17"/>
        <v>CHECK</v>
      </c>
      <c r="L146" s="41" t="str">
        <f t="shared" si="17"/>
        <v>CHECK</v>
      </c>
      <c r="M146" s="41" t="str">
        <f t="shared" si="17"/>
        <v>CHECK</v>
      </c>
      <c r="N146" s="41" t="str">
        <f t="shared" si="17"/>
        <v>CHECK</v>
      </c>
      <c r="O146" s="41" t="str">
        <f t="shared" si="17"/>
        <v>CHECK</v>
      </c>
      <c r="P146" s="41" t="str">
        <f t="shared" si="17"/>
        <v>CHECK</v>
      </c>
      <c r="Q146" s="41" t="str">
        <f t="shared" si="17"/>
        <v>CHECK</v>
      </c>
      <c r="R146" s="41" t="str">
        <f t="shared" si="17"/>
        <v>CHECK</v>
      </c>
      <c r="S146" s="41" t="str">
        <f t="shared" si="17"/>
        <v>CHECK</v>
      </c>
      <c r="T146" s="41" t="str">
        <f t="shared" si="17"/>
        <v>CHECK</v>
      </c>
      <c r="U146" s="41"/>
      <c r="V146" s="41"/>
    </row>
    <row r="147" spans="1:22" x14ac:dyDescent="0.25">
      <c r="A147" s="11" t="s">
        <v>172</v>
      </c>
      <c r="B147" s="11" t="s">
        <v>1094</v>
      </c>
      <c r="C147" s="11" t="s">
        <v>496</v>
      </c>
      <c r="D147" s="11" t="s">
        <v>1095</v>
      </c>
      <c r="E147" s="41" t="str">
        <f t="shared" ref="E147:T147" si="18">IFERROR(((E35/E103)-1),"CHECK")</f>
        <v>CHECK</v>
      </c>
      <c r="F147" s="41" t="str">
        <f t="shared" si="18"/>
        <v>CHECK</v>
      </c>
      <c r="G147" s="41" t="str">
        <f t="shared" si="18"/>
        <v>CHECK</v>
      </c>
      <c r="H147" s="41" t="str">
        <f t="shared" si="18"/>
        <v>CHECK</v>
      </c>
      <c r="I147" s="41" t="str">
        <f t="shared" si="18"/>
        <v>CHECK</v>
      </c>
      <c r="J147" s="41" t="str">
        <f t="shared" si="18"/>
        <v>CHECK</v>
      </c>
      <c r="K147" s="41" t="str">
        <f t="shared" si="18"/>
        <v>CHECK</v>
      </c>
      <c r="L147" s="41" t="str">
        <f t="shared" si="18"/>
        <v>CHECK</v>
      </c>
      <c r="M147" s="41" t="str">
        <f t="shared" si="18"/>
        <v>CHECK</v>
      </c>
      <c r="N147" s="41" t="str">
        <f t="shared" si="18"/>
        <v>CHECK</v>
      </c>
      <c r="O147" s="41" t="str">
        <f t="shared" si="18"/>
        <v>CHECK</v>
      </c>
      <c r="P147" s="41" t="str">
        <f t="shared" si="18"/>
        <v>CHECK</v>
      </c>
      <c r="Q147" s="41" t="str">
        <f t="shared" si="18"/>
        <v>CHECK</v>
      </c>
      <c r="R147" s="41" t="str">
        <f t="shared" si="18"/>
        <v>CHECK</v>
      </c>
      <c r="S147" s="41" t="str">
        <f t="shared" si="18"/>
        <v>CHECK</v>
      </c>
      <c r="T147" s="41" t="str">
        <f t="shared" si="18"/>
        <v>CHECK</v>
      </c>
      <c r="U147" s="41"/>
      <c r="V147" s="41"/>
    </row>
    <row r="148" spans="1:22" x14ac:dyDescent="0.25">
      <c r="A148" s="11" t="s">
        <v>172</v>
      </c>
      <c r="B148" s="11" t="s">
        <v>1096</v>
      </c>
      <c r="C148" s="11" t="s">
        <v>496</v>
      </c>
      <c r="D148" s="11" t="s">
        <v>1095</v>
      </c>
      <c r="E148" s="41" t="str">
        <f t="shared" ref="E148:T148" si="19">IFERROR(((E36/E104)-1),"CHECK")</f>
        <v>CHECK</v>
      </c>
      <c r="F148" s="41" t="str">
        <f t="shared" si="19"/>
        <v>CHECK</v>
      </c>
      <c r="G148" s="41" t="str">
        <f t="shared" si="19"/>
        <v>CHECK</v>
      </c>
      <c r="H148" s="41" t="str">
        <f t="shared" si="19"/>
        <v>CHECK</v>
      </c>
      <c r="I148" s="41" t="str">
        <f t="shared" si="19"/>
        <v>CHECK</v>
      </c>
      <c r="J148" s="41" t="str">
        <f t="shared" si="19"/>
        <v>CHECK</v>
      </c>
      <c r="K148" s="41" t="str">
        <f t="shared" si="19"/>
        <v>CHECK</v>
      </c>
      <c r="L148" s="41" t="str">
        <f t="shared" si="19"/>
        <v>CHECK</v>
      </c>
      <c r="M148" s="41" t="str">
        <f t="shared" si="19"/>
        <v>CHECK</v>
      </c>
      <c r="N148" s="41" t="str">
        <f t="shared" si="19"/>
        <v>CHECK</v>
      </c>
      <c r="O148" s="41" t="str">
        <f t="shared" si="19"/>
        <v>CHECK</v>
      </c>
      <c r="P148" s="41" t="str">
        <f t="shared" si="19"/>
        <v>CHECK</v>
      </c>
      <c r="Q148" s="41" t="str">
        <f t="shared" si="19"/>
        <v>CHECK</v>
      </c>
      <c r="R148" s="41" t="str">
        <f t="shared" si="19"/>
        <v>CHECK</v>
      </c>
      <c r="S148" s="41" t="str">
        <f t="shared" si="19"/>
        <v>CHECK</v>
      </c>
      <c r="T148" s="41" t="str">
        <f t="shared" si="19"/>
        <v>CHECK</v>
      </c>
      <c r="U148" s="41"/>
      <c r="V148" s="41"/>
    </row>
    <row r="149" spans="1:22" x14ac:dyDescent="0.25">
      <c r="A149" s="11"/>
      <c r="B149" s="11"/>
      <c r="C149" s="11"/>
      <c r="D149" s="11"/>
      <c r="E149" s="41"/>
      <c r="F149" s="41"/>
      <c r="G149" s="41"/>
      <c r="H149" s="41"/>
      <c r="I149" s="41"/>
      <c r="J149" s="41"/>
      <c r="K149" s="41"/>
      <c r="L149" s="41"/>
      <c r="M149" s="41"/>
      <c r="N149" s="41"/>
      <c r="O149" s="41"/>
      <c r="P149" s="41"/>
      <c r="Q149" s="41"/>
      <c r="R149" s="41"/>
      <c r="S149" s="41"/>
      <c r="T149" s="41"/>
      <c r="U149" s="41"/>
      <c r="V149" s="41"/>
    </row>
    <row r="150" spans="1:22" x14ac:dyDescent="0.25">
      <c r="A150" s="11" t="s">
        <v>172</v>
      </c>
      <c r="B150" s="11" t="s">
        <v>1091</v>
      </c>
      <c r="C150" s="11" t="s">
        <v>497</v>
      </c>
      <c r="D150" s="11"/>
      <c r="E150" s="41" t="str">
        <f t="shared" ref="E150:T150" si="20">IFERROR(((E38/E106)-1),"CHECK")</f>
        <v>CHECK</v>
      </c>
      <c r="F150" s="41" t="str">
        <f t="shared" si="20"/>
        <v>CHECK</v>
      </c>
      <c r="G150" s="41" t="str">
        <f t="shared" si="20"/>
        <v>CHECK</v>
      </c>
      <c r="H150" s="41" t="str">
        <f t="shared" si="20"/>
        <v>CHECK</v>
      </c>
      <c r="I150" s="41" t="str">
        <f t="shared" si="20"/>
        <v>CHECK</v>
      </c>
      <c r="J150" s="41" t="str">
        <f t="shared" si="20"/>
        <v>CHECK</v>
      </c>
      <c r="K150" s="41" t="str">
        <f t="shared" si="20"/>
        <v>CHECK</v>
      </c>
      <c r="L150" s="41" t="str">
        <f t="shared" si="20"/>
        <v>CHECK</v>
      </c>
      <c r="M150" s="41" t="str">
        <f t="shared" si="20"/>
        <v>CHECK</v>
      </c>
      <c r="N150" s="41" t="str">
        <f t="shared" si="20"/>
        <v>CHECK</v>
      </c>
      <c r="O150" s="41" t="str">
        <f t="shared" si="20"/>
        <v>CHECK</v>
      </c>
      <c r="P150" s="41" t="str">
        <f t="shared" si="20"/>
        <v>CHECK</v>
      </c>
      <c r="Q150" s="41" t="str">
        <f t="shared" si="20"/>
        <v>CHECK</v>
      </c>
      <c r="R150" s="41" t="str">
        <f t="shared" si="20"/>
        <v>CHECK</v>
      </c>
      <c r="S150" s="41" t="str">
        <f t="shared" si="20"/>
        <v>CHECK</v>
      </c>
      <c r="T150" s="41" t="str">
        <f t="shared" si="20"/>
        <v>CHECK</v>
      </c>
      <c r="U150" s="41"/>
      <c r="V150" s="41"/>
    </row>
    <row r="151" spans="1:22" x14ac:dyDescent="0.25">
      <c r="A151" s="11" t="s">
        <v>172</v>
      </c>
      <c r="B151" s="11" t="s">
        <v>1092</v>
      </c>
      <c r="C151" s="11" t="s">
        <v>497</v>
      </c>
      <c r="D151" s="11" t="s">
        <v>1093</v>
      </c>
      <c r="E151" s="41" t="str">
        <f t="shared" ref="E151:T151" si="21">IFERROR(((E39/E107)-1),"CHECK")</f>
        <v>CHECK</v>
      </c>
      <c r="F151" s="41" t="str">
        <f t="shared" si="21"/>
        <v>CHECK</v>
      </c>
      <c r="G151" s="41" t="str">
        <f t="shared" si="21"/>
        <v>CHECK</v>
      </c>
      <c r="H151" s="41" t="str">
        <f t="shared" si="21"/>
        <v>CHECK</v>
      </c>
      <c r="I151" s="41" t="str">
        <f t="shared" si="21"/>
        <v>CHECK</v>
      </c>
      <c r="J151" s="41" t="str">
        <f t="shared" si="21"/>
        <v>CHECK</v>
      </c>
      <c r="K151" s="41" t="str">
        <f t="shared" si="21"/>
        <v>CHECK</v>
      </c>
      <c r="L151" s="41" t="str">
        <f t="shared" si="21"/>
        <v>CHECK</v>
      </c>
      <c r="M151" s="41" t="str">
        <f t="shared" si="21"/>
        <v>CHECK</v>
      </c>
      <c r="N151" s="41" t="str">
        <f t="shared" si="21"/>
        <v>CHECK</v>
      </c>
      <c r="O151" s="41" t="str">
        <f t="shared" si="21"/>
        <v>CHECK</v>
      </c>
      <c r="P151" s="41" t="str">
        <f t="shared" si="21"/>
        <v>CHECK</v>
      </c>
      <c r="Q151" s="41" t="str">
        <f t="shared" si="21"/>
        <v>CHECK</v>
      </c>
      <c r="R151" s="41" t="str">
        <f t="shared" si="21"/>
        <v>CHECK</v>
      </c>
      <c r="S151" s="41" t="str">
        <f t="shared" si="21"/>
        <v>CHECK</v>
      </c>
      <c r="T151" s="41" t="str">
        <f t="shared" si="21"/>
        <v>CHECK</v>
      </c>
      <c r="U151" s="41"/>
      <c r="V151" s="41"/>
    </row>
    <row r="152" spans="1:22" x14ac:dyDescent="0.25">
      <c r="A152" s="11" t="s">
        <v>172</v>
      </c>
      <c r="B152" s="11" t="s">
        <v>1094</v>
      </c>
      <c r="C152" s="11" t="s">
        <v>497</v>
      </c>
      <c r="D152" s="11" t="s">
        <v>1095</v>
      </c>
      <c r="E152" s="41" t="str">
        <f t="shared" ref="E152:T152" si="22">IFERROR(((E40/E108)-1),"CHECK")</f>
        <v>CHECK</v>
      </c>
      <c r="F152" s="41" t="str">
        <f t="shared" si="22"/>
        <v>CHECK</v>
      </c>
      <c r="G152" s="41" t="str">
        <f t="shared" si="22"/>
        <v>CHECK</v>
      </c>
      <c r="H152" s="41" t="str">
        <f t="shared" si="22"/>
        <v>CHECK</v>
      </c>
      <c r="I152" s="41" t="str">
        <f t="shared" si="22"/>
        <v>CHECK</v>
      </c>
      <c r="J152" s="41" t="str">
        <f t="shared" si="22"/>
        <v>CHECK</v>
      </c>
      <c r="K152" s="41" t="str">
        <f t="shared" si="22"/>
        <v>CHECK</v>
      </c>
      <c r="L152" s="41" t="str">
        <f t="shared" si="22"/>
        <v>CHECK</v>
      </c>
      <c r="M152" s="41" t="str">
        <f t="shared" si="22"/>
        <v>CHECK</v>
      </c>
      <c r="N152" s="41" t="str">
        <f t="shared" si="22"/>
        <v>CHECK</v>
      </c>
      <c r="O152" s="41" t="str">
        <f t="shared" si="22"/>
        <v>CHECK</v>
      </c>
      <c r="P152" s="41" t="str">
        <f t="shared" si="22"/>
        <v>CHECK</v>
      </c>
      <c r="Q152" s="41" t="str">
        <f t="shared" si="22"/>
        <v>CHECK</v>
      </c>
      <c r="R152" s="41" t="str">
        <f t="shared" si="22"/>
        <v>CHECK</v>
      </c>
      <c r="S152" s="41" t="str">
        <f t="shared" si="22"/>
        <v>CHECK</v>
      </c>
      <c r="T152" s="41" t="str">
        <f t="shared" si="22"/>
        <v>CHECK</v>
      </c>
      <c r="U152" s="41"/>
      <c r="V152" s="41"/>
    </row>
    <row r="153" spans="1:22" x14ac:dyDescent="0.25">
      <c r="A153" s="11" t="s">
        <v>172</v>
      </c>
      <c r="B153" s="11" t="s">
        <v>1096</v>
      </c>
      <c r="C153" s="11" t="s">
        <v>497</v>
      </c>
      <c r="D153" s="11" t="s">
        <v>1095</v>
      </c>
      <c r="E153" s="41" t="str">
        <f t="shared" ref="E153:T153" si="23">IFERROR(((E41/E109)-1),"CHECK")</f>
        <v>CHECK</v>
      </c>
      <c r="F153" s="41" t="str">
        <f t="shared" si="23"/>
        <v>CHECK</v>
      </c>
      <c r="G153" s="41" t="str">
        <f t="shared" si="23"/>
        <v>CHECK</v>
      </c>
      <c r="H153" s="41" t="str">
        <f t="shared" si="23"/>
        <v>CHECK</v>
      </c>
      <c r="I153" s="41" t="str">
        <f t="shared" si="23"/>
        <v>CHECK</v>
      </c>
      <c r="J153" s="41" t="str">
        <f t="shared" si="23"/>
        <v>CHECK</v>
      </c>
      <c r="K153" s="41" t="str">
        <f t="shared" si="23"/>
        <v>CHECK</v>
      </c>
      <c r="L153" s="41" t="str">
        <f t="shared" si="23"/>
        <v>CHECK</v>
      </c>
      <c r="M153" s="41" t="str">
        <f t="shared" si="23"/>
        <v>CHECK</v>
      </c>
      <c r="N153" s="41" t="str">
        <f t="shared" si="23"/>
        <v>CHECK</v>
      </c>
      <c r="O153" s="41" t="str">
        <f t="shared" si="23"/>
        <v>CHECK</v>
      </c>
      <c r="P153" s="41" t="str">
        <f t="shared" si="23"/>
        <v>CHECK</v>
      </c>
      <c r="Q153" s="41" t="str">
        <f t="shared" si="23"/>
        <v>CHECK</v>
      </c>
      <c r="R153" s="41" t="str">
        <f t="shared" si="23"/>
        <v>CHECK</v>
      </c>
      <c r="S153" s="41" t="str">
        <f t="shared" si="23"/>
        <v>CHECK</v>
      </c>
      <c r="T153" s="41" t="str">
        <f t="shared" si="23"/>
        <v>CHECK</v>
      </c>
      <c r="U153" s="41"/>
      <c r="V153" s="41"/>
    </row>
    <row r="154" spans="1:22" x14ac:dyDescent="0.25">
      <c r="A154" s="11"/>
      <c r="B154" s="11"/>
      <c r="C154" s="11"/>
      <c r="D154" s="11"/>
      <c r="E154" s="41"/>
      <c r="F154" s="41"/>
      <c r="G154" s="41"/>
      <c r="H154" s="41"/>
      <c r="I154" s="41"/>
      <c r="J154" s="41"/>
      <c r="K154" s="41"/>
      <c r="L154" s="41"/>
      <c r="M154" s="41"/>
      <c r="N154" s="41"/>
      <c r="O154" s="41"/>
      <c r="P154" s="41"/>
      <c r="Q154" s="41"/>
      <c r="R154" s="41"/>
      <c r="S154" s="41"/>
      <c r="T154" s="41"/>
      <c r="U154" s="41"/>
      <c r="V154" s="41"/>
    </row>
    <row r="155" spans="1:22" x14ac:dyDescent="0.25">
      <c r="A155" s="8"/>
      <c r="B155" s="9" t="s">
        <v>619</v>
      </c>
      <c r="C155" s="8"/>
      <c r="D155" s="8"/>
      <c r="E155" s="8"/>
      <c r="F155" s="8"/>
      <c r="G155" s="8"/>
      <c r="H155" s="8"/>
      <c r="I155" s="8"/>
      <c r="J155" s="8"/>
      <c r="K155" s="8"/>
      <c r="L155" s="8"/>
      <c r="M155" s="8"/>
      <c r="N155" s="8"/>
      <c r="O155" s="8"/>
      <c r="P155" s="8"/>
      <c r="Q155" s="8"/>
      <c r="R155" s="8"/>
      <c r="S155" s="8"/>
      <c r="T155" s="8"/>
      <c r="U155" s="8"/>
      <c r="V155" s="8"/>
    </row>
    <row r="157" spans="1:22" x14ac:dyDescent="0.25">
      <c r="A157" s="11" t="s">
        <v>172</v>
      </c>
      <c r="B157" s="11" t="s">
        <v>619</v>
      </c>
      <c r="C157" s="11" t="s">
        <v>494</v>
      </c>
      <c r="D157" s="11" t="s">
        <v>892</v>
      </c>
      <c r="E157" s="41" t="str">
        <f t="shared" ref="E157:T157" si="24">IFERROR(((E45/E113)-1),"CHECK")</f>
        <v>CHECK</v>
      </c>
      <c r="F157" s="41" t="str">
        <f t="shared" si="24"/>
        <v>CHECK</v>
      </c>
      <c r="G157" s="41" t="str">
        <f t="shared" si="24"/>
        <v>CHECK</v>
      </c>
      <c r="H157" s="41" t="str">
        <f t="shared" si="24"/>
        <v>CHECK</v>
      </c>
      <c r="I157" s="41" t="str">
        <f t="shared" si="24"/>
        <v>CHECK</v>
      </c>
      <c r="J157" s="41" t="str">
        <f t="shared" si="24"/>
        <v>CHECK</v>
      </c>
      <c r="K157" s="41" t="str">
        <f t="shared" si="24"/>
        <v>CHECK</v>
      </c>
      <c r="L157" s="41" t="str">
        <f t="shared" si="24"/>
        <v>CHECK</v>
      </c>
      <c r="M157" s="41" t="str">
        <f t="shared" si="24"/>
        <v>CHECK</v>
      </c>
      <c r="N157" s="41" t="str">
        <f t="shared" si="24"/>
        <v>CHECK</v>
      </c>
      <c r="O157" s="41" t="str">
        <f t="shared" si="24"/>
        <v>CHECK</v>
      </c>
      <c r="P157" s="41">
        <f t="shared" si="24"/>
        <v>0</v>
      </c>
      <c r="Q157" s="41">
        <f t="shared" si="24"/>
        <v>0</v>
      </c>
      <c r="R157" s="41">
        <f t="shared" si="24"/>
        <v>0</v>
      </c>
      <c r="S157" s="41">
        <f t="shared" si="24"/>
        <v>0</v>
      </c>
      <c r="T157" s="41">
        <f t="shared" si="24"/>
        <v>0</v>
      </c>
      <c r="U157" s="41"/>
      <c r="V157" s="41"/>
    </row>
    <row r="158" spans="1:22" x14ac:dyDescent="0.25">
      <c r="A158" s="11" t="s">
        <v>172</v>
      </c>
      <c r="B158" s="11" t="s">
        <v>619</v>
      </c>
      <c r="C158" s="11" t="s">
        <v>496</v>
      </c>
      <c r="D158" s="11" t="s">
        <v>892</v>
      </c>
      <c r="E158" s="41" t="str">
        <f t="shared" ref="E158:T158" si="25">IFERROR(((E46/E114)-1),"CHECK")</f>
        <v>CHECK</v>
      </c>
      <c r="F158" s="41" t="str">
        <f t="shared" si="25"/>
        <v>CHECK</v>
      </c>
      <c r="G158" s="41" t="str">
        <f t="shared" si="25"/>
        <v>CHECK</v>
      </c>
      <c r="H158" s="41" t="str">
        <f t="shared" si="25"/>
        <v>CHECK</v>
      </c>
      <c r="I158" s="41" t="str">
        <f t="shared" si="25"/>
        <v>CHECK</v>
      </c>
      <c r="J158" s="41" t="str">
        <f t="shared" si="25"/>
        <v>CHECK</v>
      </c>
      <c r="K158" s="41" t="str">
        <f t="shared" si="25"/>
        <v>CHECK</v>
      </c>
      <c r="L158" s="41" t="str">
        <f t="shared" si="25"/>
        <v>CHECK</v>
      </c>
      <c r="M158" s="41" t="str">
        <f t="shared" si="25"/>
        <v>CHECK</v>
      </c>
      <c r="N158" s="41" t="str">
        <f t="shared" si="25"/>
        <v>CHECK</v>
      </c>
      <c r="O158" s="41" t="str">
        <f t="shared" si="25"/>
        <v>CHECK</v>
      </c>
      <c r="P158" s="41">
        <f t="shared" si="25"/>
        <v>0</v>
      </c>
      <c r="Q158" s="41">
        <f t="shared" si="25"/>
        <v>0</v>
      </c>
      <c r="R158" s="41">
        <f t="shared" si="25"/>
        <v>0</v>
      </c>
      <c r="S158" s="41">
        <f t="shared" si="25"/>
        <v>0</v>
      </c>
      <c r="T158" s="41">
        <f t="shared" si="25"/>
        <v>0</v>
      </c>
      <c r="U158" s="41"/>
      <c r="V158" s="41"/>
    </row>
    <row r="159" spans="1:22" x14ac:dyDescent="0.25">
      <c r="A159" s="11" t="s">
        <v>172</v>
      </c>
      <c r="B159" s="11" t="s">
        <v>619</v>
      </c>
      <c r="C159" s="11" t="s">
        <v>497</v>
      </c>
      <c r="D159" s="11" t="s">
        <v>892</v>
      </c>
      <c r="E159" s="41" t="str">
        <f t="shared" ref="E159:T159" si="26">IFERROR(((E47/E115)-1),"CHECK")</f>
        <v>CHECK</v>
      </c>
      <c r="F159" s="41" t="str">
        <f t="shared" si="26"/>
        <v>CHECK</v>
      </c>
      <c r="G159" s="41" t="str">
        <f t="shared" si="26"/>
        <v>CHECK</v>
      </c>
      <c r="H159" s="41" t="str">
        <f t="shared" si="26"/>
        <v>CHECK</v>
      </c>
      <c r="I159" s="41" t="str">
        <f t="shared" si="26"/>
        <v>CHECK</v>
      </c>
      <c r="J159" s="41" t="str">
        <f t="shared" si="26"/>
        <v>CHECK</v>
      </c>
      <c r="K159" s="41" t="str">
        <f t="shared" si="26"/>
        <v>CHECK</v>
      </c>
      <c r="L159" s="41" t="str">
        <f t="shared" si="26"/>
        <v>CHECK</v>
      </c>
      <c r="M159" s="41" t="str">
        <f t="shared" si="26"/>
        <v>CHECK</v>
      </c>
      <c r="N159" s="41" t="str">
        <f t="shared" si="26"/>
        <v>CHECK</v>
      </c>
      <c r="O159" s="41" t="str">
        <f t="shared" si="26"/>
        <v>CHECK</v>
      </c>
      <c r="P159" s="41">
        <f t="shared" si="26"/>
        <v>0</v>
      </c>
      <c r="Q159" s="41">
        <f t="shared" si="26"/>
        <v>0</v>
      </c>
      <c r="R159" s="41">
        <f t="shared" si="26"/>
        <v>0</v>
      </c>
      <c r="S159" s="41">
        <f t="shared" si="26"/>
        <v>0</v>
      </c>
      <c r="T159" s="41">
        <f t="shared" si="26"/>
        <v>0</v>
      </c>
      <c r="U159" s="41"/>
      <c r="V159" s="41"/>
    </row>
    <row r="160" spans="1:22" x14ac:dyDescent="0.25">
      <c r="A160" s="11"/>
      <c r="B160" s="11"/>
      <c r="C160" s="11"/>
      <c r="D160" s="11"/>
    </row>
    <row r="161" spans="1:22" x14ac:dyDescent="0.25">
      <c r="A161" s="11" t="s">
        <v>172</v>
      </c>
      <c r="B161" s="11" t="s">
        <v>619</v>
      </c>
      <c r="C161" s="11" t="s">
        <v>494</v>
      </c>
      <c r="D161" s="11" t="s">
        <v>1097</v>
      </c>
      <c r="E161" s="41" t="str">
        <f t="shared" ref="E161:T161" si="27">IFERROR(((E49/E117)-1),"CHECK")</f>
        <v>CHECK</v>
      </c>
      <c r="F161" s="41" t="str">
        <f t="shared" si="27"/>
        <v>CHECK</v>
      </c>
      <c r="G161" s="41" t="str">
        <f t="shared" si="27"/>
        <v>CHECK</v>
      </c>
      <c r="H161" s="41" t="str">
        <f t="shared" si="27"/>
        <v>CHECK</v>
      </c>
      <c r="I161" s="41" t="str">
        <f t="shared" si="27"/>
        <v>CHECK</v>
      </c>
      <c r="J161" s="41" t="str">
        <f t="shared" si="27"/>
        <v>CHECK</v>
      </c>
      <c r="K161" s="41" t="str">
        <f t="shared" si="27"/>
        <v>CHECK</v>
      </c>
      <c r="L161" s="41" t="str">
        <f t="shared" si="27"/>
        <v>CHECK</v>
      </c>
      <c r="M161" s="41" t="str">
        <f t="shared" si="27"/>
        <v>CHECK</v>
      </c>
      <c r="N161" s="41" t="str">
        <f t="shared" si="27"/>
        <v>CHECK</v>
      </c>
      <c r="O161" s="41" t="str">
        <f t="shared" si="27"/>
        <v>CHECK</v>
      </c>
      <c r="P161" s="41">
        <f t="shared" si="27"/>
        <v>0</v>
      </c>
      <c r="Q161" s="41">
        <f t="shared" si="27"/>
        <v>0</v>
      </c>
      <c r="R161" s="41">
        <f t="shared" si="27"/>
        <v>0</v>
      </c>
      <c r="S161" s="41">
        <f t="shared" si="27"/>
        <v>0</v>
      </c>
      <c r="T161" s="41">
        <f t="shared" si="27"/>
        <v>0</v>
      </c>
      <c r="U161" s="41"/>
      <c r="V161" s="41"/>
    </row>
    <row r="162" spans="1:22" x14ac:dyDescent="0.25">
      <c r="A162" s="11" t="s">
        <v>172</v>
      </c>
      <c r="B162" s="11" t="s">
        <v>619</v>
      </c>
      <c r="C162" s="11" t="s">
        <v>496</v>
      </c>
      <c r="D162" s="11" t="s">
        <v>1097</v>
      </c>
      <c r="E162" s="41" t="str">
        <f t="shared" ref="E162:T162" si="28">IFERROR(((E50/E118)-1),"CHECK")</f>
        <v>CHECK</v>
      </c>
      <c r="F162" s="41" t="str">
        <f t="shared" si="28"/>
        <v>CHECK</v>
      </c>
      <c r="G162" s="41" t="str">
        <f t="shared" si="28"/>
        <v>CHECK</v>
      </c>
      <c r="H162" s="41" t="str">
        <f t="shared" si="28"/>
        <v>CHECK</v>
      </c>
      <c r="I162" s="41" t="str">
        <f t="shared" si="28"/>
        <v>CHECK</v>
      </c>
      <c r="J162" s="41" t="str">
        <f t="shared" si="28"/>
        <v>CHECK</v>
      </c>
      <c r="K162" s="41" t="str">
        <f t="shared" si="28"/>
        <v>CHECK</v>
      </c>
      <c r="L162" s="41" t="str">
        <f t="shared" si="28"/>
        <v>CHECK</v>
      </c>
      <c r="M162" s="41" t="str">
        <f t="shared" si="28"/>
        <v>CHECK</v>
      </c>
      <c r="N162" s="41" t="str">
        <f t="shared" si="28"/>
        <v>CHECK</v>
      </c>
      <c r="O162" s="41" t="str">
        <f t="shared" si="28"/>
        <v>CHECK</v>
      </c>
      <c r="P162" s="41">
        <f t="shared" si="28"/>
        <v>0</v>
      </c>
      <c r="Q162" s="41">
        <f t="shared" si="28"/>
        <v>0</v>
      </c>
      <c r="R162" s="41">
        <f t="shared" si="28"/>
        <v>0</v>
      </c>
      <c r="S162" s="41">
        <f t="shared" si="28"/>
        <v>0</v>
      </c>
      <c r="T162" s="41">
        <f t="shared" si="28"/>
        <v>0</v>
      </c>
      <c r="U162" s="41"/>
      <c r="V162" s="41"/>
    </row>
    <row r="163" spans="1:22" x14ac:dyDescent="0.25">
      <c r="A163" s="11" t="s">
        <v>172</v>
      </c>
      <c r="B163" s="11" t="s">
        <v>619</v>
      </c>
      <c r="C163" s="11" t="s">
        <v>497</v>
      </c>
      <c r="D163" s="11" t="s">
        <v>1097</v>
      </c>
      <c r="E163" s="41" t="str">
        <f t="shared" ref="E163:T163" si="29">IFERROR(((E51/E119)-1),"CHECK")</f>
        <v>CHECK</v>
      </c>
      <c r="F163" s="41" t="str">
        <f t="shared" si="29"/>
        <v>CHECK</v>
      </c>
      <c r="G163" s="41" t="str">
        <f t="shared" si="29"/>
        <v>CHECK</v>
      </c>
      <c r="H163" s="41" t="str">
        <f t="shared" si="29"/>
        <v>CHECK</v>
      </c>
      <c r="I163" s="41" t="str">
        <f t="shared" si="29"/>
        <v>CHECK</v>
      </c>
      <c r="J163" s="41" t="str">
        <f t="shared" si="29"/>
        <v>CHECK</v>
      </c>
      <c r="K163" s="41" t="str">
        <f t="shared" si="29"/>
        <v>CHECK</v>
      </c>
      <c r="L163" s="41" t="str">
        <f t="shared" si="29"/>
        <v>CHECK</v>
      </c>
      <c r="M163" s="41" t="str">
        <f t="shared" si="29"/>
        <v>CHECK</v>
      </c>
      <c r="N163" s="41" t="str">
        <f t="shared" si="29"/>
        <v>CHECK</v>
      </c>
      <c r="O163" s="41" t="str">
        <f t="shared" si="29"/>
        <v>CHECK</v>
      </c>
      <c r="P163" s="41">
        <f t="shared" si="29"/>
        <v>0</v>
      </c>
      <c r="Q163" s="41">
        <f t="shared" si="29"/>
        <v>0</v>
      </c>
      <c r="R163" s="41">
        <f t="shared" si="29"/>
        <v>0</v>
      </c>
      <c r="S163" s="41">
        <f t="shared" si="29"/>
        <v>0</v>
      </c>
      <c r="T163" s="41">
        <f t="shared" si="29"/>
        <v>0</v>
      </c>
      <c r="U163" s="41"/>
      <c r="V163" s="41"/>
    </row>
    <row r="164" spans="1:22" x14ac:dyDescent="0.25">
      <c r="A164" s="10" t="s">
        <v>172</v>
      </c>
      <c r="B164" s="10" t="s">
        <v>1067</v>
      </c>
      <c r="C164" s="10" t="s">
        <v>836</v>
      </c>
      <c r="D164" s="10" t="s">
        <v>1097</v>
      </c>
      <c r="E164" s="41" t="str">
        <f t="shared" ref="E164:T164" si="30">IFERROR(((E52/E120)-1),"CHECK")</f>
        <v>CHECK</v>
      </c>
      <c r="F164" s="41" t="str">
        <f t="shared" si="30"/>
        <v>CHECK</v>
      </c>
      <c r="G164" s="41" t="str">
        <f t="shared" si="30"/>
        <v>CHECK</v>
      </c>
      <c r="H164" s="41" t="str">
        <f t="shared" si="30"/>
        <v>CHECK</v>
      </c>
      <c r="I164" s="41" t="str">
        <f t="shared" si="30"/>
        <v>CHECK</v>
      </c>
      <c r="J164" s="41" t="str">
        <f t="shared" si="30"/>
        <v>CHECK</v>
      </c>
      <c r="K164" s="41" t="str">
        <f t="shared" si="30"/>
        <v>CHECK</v>
      </c>
      <c r="L164" s="41" t="str">
        <f t="shared" si="30"/>
        <v>CHECK</v>
      </c>
      <c r="M164" s="41" t="str">
        <f t="shared" si="30"/>
        <v>CHECK</v>
      </c>
      <c r="N164" s="41" t="str">
        <f t="shared" si="30"/>
        <v>CHECK</v>
      </c>
      <c r="O164" s="41" t="str">
        <f t="shared" si="30"/>
        <v>CHECK</v>
      </c>
      <c r="P164" s="41">
        <f t="shared" si="30"/>
        <v>0</v>
      </c>
      <c r="Q164" s="41">
        <f t="shared" si="30"/>
        <v>0</v>
      </c>
      <c r="R164" s="41">
        <f t="shared" si="30"/>
        <v>0</v>
      </c>
      <c r="S164" s="41">
        <f t="shared" si="30"/>
        <v>0</v>
      </c>
      <c r="T164" s="41">
        <f t="shared" si="30"/>
        <v>0</v>
      </c>
      <c r="U164" s="41"/>
      <c r="V164" s="41"/>
    </row>
  </sheetData>
  <mergeCells count="2">
    <mergeCell ref="C1:J1"/>
    <mergeCell ref="C2:J2"/>
  </mergeCells>
  <conditionalFormatting sqref="E126:T128 E129:S129 E137:S137 E130:T136 E154:S154 E140:T153">
    <cfRule type="colorScale" priority="14">
      <colorScale>
        <cfvo type="min"/>
        <cfvo type="num" val="0"/>
        <cfvo type="max"/>
        <color theme="3" tint="0.59999389629810485"/>
        <color theme="0"/>
        <color rgb="FFEE9CA4"/>
      </colorScale>
    </cfRule>
  </conditionalFormatting>
  <conditionalFormatting sqref="T154:V154 U157:V157 T129:V129 U126:V128 T137:V137 U130:V136 U140:V153">
    <cfRule type="colorScale" priority="8">
      <colorScale>
        <cfvo type="min"/>
        <cfvo type="num" val="0"/>
        <cfvo type="max"/>
        <color theme="3" tint="0.59999389629810485"/>
        <color theme="0"/>
        <color rgb="FFEE9CA4"/>
      </colorScale>
    </cfRule>
  </conditionalFormatting>
  <conditionalFormatting sqref="U158:V159">
    <cfRule type="colorScale" priority="7">
      <colorScale>
        <cfvo type="min"/>
        <cfvo type="num" val="0"/>
        <cfvo type="max"/>
        <color theme="3" tint="0.59999389629810485"/>
        <color theme="0"/>
        <color rgb="FFEE9CA4"/>
      </colorScale>
    </cfRule>
  </conditionalFormatting>
  <conditionalFormatting sqref="U161:V163">
    <cfRule type="colorScale" priority="6">
      <colorScale>
        <cfvo type="min"/>
        <cfvo type="num" val="0"/>
        <cfvo type="max"/>
        <color theme="3" tint="0.59999389629810485"/>
        <color theme="0"/>
        <color rgb="FFEE9CA4"/>
      </colorScale>
    </cfRule>
  </conditionalFormatting>
  <conditionalFormatting sqref="U164:V164">
    <cfRule type="colorScale" priority="3">
      <colorScale>
        <cfvo type="min"/>
        <cfvo type="num" val="0"/>
        <cfvo type="max"/>
        <color theme="3" tint="0.59999389629810485"/>
        <color theme="0"/>
        <color rgb="FFEE9CA4"/>
      </colorScale>
    </cfRule>
  </conditionalFormatting>
  <conditionalFormatting sqref="E157:T159">
    <cfRule type="colorScale" priority="2">
      <colorScale>
        <cfvo type="min"/>
        <cfvo type="num" val="0"/>
        <cfvo type="max"/>
        <color theme="3" tint="0.59999389629810485"/>
        <color theme="0"/>
        <color rgb="FFEE9CA4"/>
      </colorScale>
    </cfRule>
  </conditionalFormatting>
  <conditionalFormatting sqref="E161:T16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900-000000000000}">
      <formula1>"Draft - not checked, Undergoing QA/QC, Checked, Final"</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 id="{1157AA86-1394-4616-A70C-D6DCBD47819D}">
            <xm:f>(UPPER(LEFT(SUBSTITUTE('2F1 Refrigeration and AC'!$Z2,"#",""),5))="FIXCH")</xm:f>
            <x14:dxf>
              <fill>
                <patternFill>
                  <bgColor rgb="FF99CC00"/>
                </patternFill>
              </fill>
            </x14:dxf>
          </x14:cfRule>
          <x14:cfRule type="expression" priority="13" id="{866208EA-E67A-4501-AC81-9802BB387F2A}">
            <xm:f>(UPPER(SUBSTITUTE('2F1 Refrigeration and AC'!$Z2,"#",""))="OK")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900-00009D000000}">
          <x14:colorSeries rgb="FF376092"/>
          <x14:colorNegative rgb="FFD00000"/>
          <x14:colorAxis rgb="FF000000"/>
          <x14:colorMarkers rgb="FFD00000"/>
          <x14:colorFirst rgb="FFD00000"/>
          <x14:colorLast rgb="FFD00000"/>
          <x14:colorHigh rgb="FFD00000"/>
          <x14:colorLow rgb="FFD00000"/>
          <x14:sparklines>
            <x14:sparkline>
              <xm:f>'2F2 Foam blowing agents'!E28:T28</xm:f>
              <xm:sqref>W28</xm:sqref>
            </x14:sparkline>
            <x14:sparkline>
              <xm:f>'2F2 Foam blowing agents'!E29:T29</xm:f>
              <xm:sqref>W29</xm:sqref>
            </x14:sparkline>
            <x14:sparkline>
              <xm:f>'2F2 Foam blowing agents'!E30:T30</xm:f>
              <xm:sqref>W30</xm:sqref>
            </x14:sparkline>
            <x14:sparkline>
              <xm:f>'2F2 Foam blowing agents'!E31:T31</xm:f>
              <xm:sqref>W31</xm:sqref>
            </x14:sparkline>
            <x14:sparkline>
              <xm:f>'2F2 Foam blowing agents'!E32:T32</xm:f>
              <xm:sqref>W32</xm:sqref>
            </x14:sparkline>
            <x14:sparkline>
              <xm:f>'2F2 Foam blowing agents'!E33:T33</xm:f>
              <xm:sqref>W33</xm:sqref>
            </x14:sparkline>
            <x14:sparkline>
              <xm:f>'2F2 Foam blowing agents'!E34:T34</xm:f>
              <xm:sqref>W34</xm:sqref>
            </x14:sparkline>
            <x14:sparkline>
              <xm:f>'2F2 Foam blowing agents'!E35:T35</xm:f>
              <xm:sqref>W35</xm:sqref>
            </x14:sparkline>
            <x14:sparkline>
              <xm:f>'2F2 Foam blowing agents'!E36:T36</xm:f>
              <xm:sqref>W36</xm:sqref>
            </x14:sparkline>
            <x14:sparkline>
              <xm:f>'2F2 Foam blowing agents'!E37:T37</xm:f>
              <xm:sqref>W37</xm:sqref>
            </x14:sparkline>
            <x14:sparkline>
              <xm:f>'2F2 Foam blowing agents'!E38:T38</xm:f>
              <xm:sqref>W38</xm:sqref>
            </x14:sparkline>
            <x14:sparkline>
              <xm:f>'2F2 Foam blowing agents'!E39:T39</xm:f>
              <xm:sqref>W39</xm:sqref>
            </x14:sparkline>
            <x14:sparkline>
              <xm:f>'2F2 Foam blowing agents'!E40:T40</xm:f>
              <xm:sqref>W40</xm:sqref>
            </x14:sparkline>
            <x14:sparkline>
              <xm:f>'2F2 Foam blowing agents'!E41:T41</xm:f>
              <xm:sqref>W41</xm:sqref>
            </x14:sparkline>
          </x14:sparklines>
        </x14:sparklineGroup>
        <x14:sparklineGroup manualMax="0" manualMin="0" displayEmptyCellsAs="gap" xr2:uid="{00000000-0003-0000-2900-00009C000000}">
          <x14:colorSeries rgb="FF376092"/>
          <x14:colorNegative rgb="FFD00000"/>
          <x14:colorAxis rgb="FF000000"/>
          <x14:colorMarkers rgb="FFD00000"/>
          <x14:colorFirst rgb="FFD00000"/>
          <x14:colorLast rgb="FFD00000"/>
          <x14:colorHigh rgb="FFD00000"/>
          <x14:colorLow rgb="FFD00000"/>
          <x14:sparklines>
            <x14:sparkline>
              <xm:f>'2F2 Foam blowing agents'!E14:T14</xm:f>
              <xm:sqref>W14</xm:sqref>
            </x14:sparkline>
            <x14:sparkline>
              <xm:f>'2F2 Foam blowing agents'!E15:T15</xm:f>
              <xm:sqref>W15</xm:sqref>
            </x14:sparkline>
            <x14:sparkline>
              <xm:f>'2F2 Foam blowing agents'!E16:T16</xm:f>
              <xm:sqref>W16</xm:sqref>
            </x14:sparkline>
            <x14:sparkline>
              <xm:f>'2F2 Foam blowing agents'!E17:T17</xm:f>
              <xm:sqref>W17</xm:sqref>
            </x14:sparkline>
            <x14:sparkline>
              <xm:f>'2F2 Foam blowing agents'!E18:T18</xm:f>
              <xm:sqref>W18</xm:sqref>
            </x14:sparkline>
            <x14:sparkline>
              <xm:f>'2F2 Foam blowing agents'!E19:T19</xm:f>
              <xm:sqref>W19</xm:sqref>
            </x14:sparkline>
            <x14:sparkline>
              <xm:f>'2F2 Foam blowing agents'!E20:T20</xm:f>
              <xm:sqref>W20</xm:sqref>
            </x14:sparkline>
            <x14:sparkline>
              <xm:f>'2F2 Foam blowing agents'!E21:T21</xm:f>
              <xm:sqref>W21</xm:sqref>
            </x14:sparkline>
            <x14:sparkline>
              <xm:f>'2F2 Foam blowing agents'!E22:T22</xm:f>
              <xm:sqref>W22</xm:sqref>
            </x14:sparkline>
            <x14:sparkline>
              <xm:f>'2F2 Foam blowing agents'!E23:T23</xm:f>
              <xm:sqref>W23</xm:sqref>
            </x14:sparkline>
            <x14:sparkline>
              <xm:f>'2F2 Foam blowing agents'!E24:T24</xm:f>
              <xm:sqref>W24</xm:sqref>
            </x14:sparkline>
          </x14:sparklines>
        </x14:sparklineGroup>
        <x14:sparklineGroup manualMax="0" manualMin="0" displayEmptyCellsAs="gap" xr2:uid="{00000000-0003-0000-2900-00009B000000}">
          <x14:colorSeries rgb="FF376092"/>
          <x14:colorNegative rgb="FFD00000"/>
          <x14:colorAxis rgb="FF000000"/>
          <x14:colorMarkers rgb="FFD00000"/>
          <x14:colorFirst rgb="FFD00000"/>
          <x14:colorLast rgb="FFD00000"/>
          <x14:colorHigh rgb="FFD00000"/>
          <x14:colorLow rgb="FFD00000"/>
          <x14:sparklines>
            <x14:sparkline>
              <xm:f>'2F2 Foam blowing agents'!E119:T119</xm:f>
              <xm:sqref>W119</xm:sqref>
            </x14:sparkline>
            <x14:sparkline>
              <xm:f>'2F2 Foam blowing agents'!E118:T118</xm:f>
              <xm:sqref>W118</xm:sqref>
            </x14:sparkline>
            <x14:sparkline>
              <xm:f>'2F2 Foam blowing agents'!E117:T117</xm:f>
              <xm:sqref>W117</xm:sqref>
            </x14:sparkline>
            <x14:sparkline>
              <xm:f>'2F2 Foam blowing agents'!E116:T116</xm:f>
              <xm:sqref>W116</xm:sqref>
            </x14:sparkline>
            <x14:sparkline>
              <xm:f>'2F2 Foam blowing agents'!E115:T115</xm:f>
              <xm:sqref>W115</xm:sqref>
            </x14:sparkline>
            <x14:sparkline>
              <xm:f>'2F2 Foam blowing agents'!E114:T114</xm:f>
              <xm:sqref>W114</xm:sqref>
            </x14:sparkline>
            <x14:sparkline>
              <xm:f>'2F2 Foam blowing agents'!E113:T113</xm:f>
              <xm:sqref>W113</xm:sqref>
            </x14:sparkline>
          </x14:sparklines>
        </x14:sparklineGroup>
        <x14:sparklineGroup manualMax="0" manualMin="0" displayEmptyCellsAs="gap" xr2:uid="{00000000-0003-0000-2900-00009A000000}">
          <x14:colorSeries rgb="FF376092"/>
          <x14:colorNegative rgb="FFD00000"/>
          <x14:colorAxis rgb="FF000000"/>
          <x14:colorMarkers rgb="FFD00000"/>
          <x14:colorFirst rgb="FFD00000"/>
          <x14:colorLast rgb="FFD00000"/>
          <x14:colorHigh rgb="FFD00000"/>
          <x14:colorLow rgb="FFD00000"/>
          <x14:sparklines>
            <x14:sparkline>
              <xm:f>'2F2 Foam blowing agents'!E120:T120</xm:f>
              <xm:sqref>W120</xm:sqref>
            </x14:sparkline>
          </x14:sparklines>
        </x14:sparklineGroup>
        <x14:sparklineGroup manualMax="0" manualMin="0" displayEmptyCellsAs="gap" xr2:uid="{00000000-0003-0000-2900-000099000000}">
          <x14:colorSeries rgb="FF376092"/>
          <x14:colorNegative rgb="FFD00000"/>
          <x14:colorAxis rgb="FF000000"/>
          <x14:colorMarkers rgb="FFD00000"/>
          <x14:colorFirst rgb="FFD00000"/>
          <x14:colorLast rgb="FFD00000"/>
          <x14:colorHigh rgb="FFD00000"/>
          <x14:colorLow rgb="FFD00000"/>
          <x14:sparklines>
            <x14:sparkline>
              <xm:f>'2F2 Foam blowing agents'!E96:T96</xm:f>
              <xm:sqref>W96</xm:sqref>
            </x14:sparkline>
            <x14:sparkline>
              <xm:f>'2F2 Foam blowing agents'!E97:T97</xm:f>
              <xm:sqref>W97</xm:sqref>
            </x14:sparkline>
            <x14:sparkline>
              <xm:f>'2F2 Foam blowing agents'!E98:T98</xm:f>
              <xm:sqref>W98</xm:sqref>
            </x14:sparkline>
            <x14:sparkline>
              <xm:f>'2F2 Foam blowing agents'!E99:T99</xm:f>
              <xm:sqref>W99</xm:sqref>
            </x14:sparkline>
            <x14:sparkline>
              <xm:f>'2F2 Foam blowing agents'!E100:T100</xm:f>
              <xm:sqref>W100</xm:sqref>
            </x14:sparkline>
            <x14:sparkline>
              <xm:f>'2F2 Foam blowing agents'!E101:T101</xm:f>
              <xm:sqref>W101</xm:sqref>
            </x14:sparkline>
            <x14:sparkline>
              <xm:f>'2F2 Foam blowing agents'!E102:T102</xm:f>
              <xm:sqref>W102</xm:sqref>
            </x14:sparkline>
            <x14:sparkline>
              <xm:f>'2F2 Foam blowing agents'!E103:T103</xm:f>
              <xm:sqref>W103</xm:sqref>
            </x14:sparkline>
            <x14:sparkline>
              <xm:f>'2F2 Foam blowing agents'!E104:T104</xm:f>
              <xm:sqref>W104</xm:sqref>
            </x14:sparkline>
            <x14:sparkline>
              <xm:f>'2F2 Foam blowing agents'!E105:T105</xm:f>
              <xm:sqref>W105</xm:sqref>
            </x14:sparkline>
            <x14:sparkline>
              <xm:f>'2F2 Foam blowing agents'!E106:T106</xm:f>
              <xm:sqref>W106</xm:sqref>
            </x14:sparkline>
            <x14:sparkline>
              <xm:f>'2F2 Foam blowing agents'!E107:T107</xm:f>
              <xm:sqref>W107</xm:sqref>
            </x14:sparkline>
            <x14:sparkline>
              <xm:f>'2F2 Foam blowing agents'!E108:T108</xm:f>
              <xm:sqref>W108</xm:sqref>
            </x14:sparkline>
            <x14:sparkline>
              <xm:f>'2F2 Foam blowing agents'!E109:T109</xm:f>
              <xm:sqref>W109</xm:sqref>
            </x14:sparkline>
          </x14:sparklines>
        </x14:sparklineGroup>
        <x14:sparklineGroup manualMax="0" manualMin="0" displayEmptyCellsAs="gap" xr2:uid="{00000000-0003-0000-2900-000098000000}">
          <x14:colorSeries rgb="FF376092"/>
          <x14:colorNegative rgb="FFD00000"/>
          <x14:colorAxis rgb="FF000000"/>
          <x14:colorMarkers rgb="FFD00000"/>
          <x14:colorFirst rgb="FFD00000"/>
          <x14:colorLast rgb="FFD00000"/>
          <x14:colorHigh rgb="FFD00000"/>
          <x14:colorLow rgb="FFD00000"/>
          <x14:sparklines>
            <x14:sparkline>
              <xm:f>'2F2 Foam blowing agents'!E82:T82</xm:f>
              <xm:sqref>W82</xm:sqref>
            </x14:sparkline>
            <x14:sparkline>
              <xm:f>'2F2 Foam blowing agents'!E83:T83</xm:f>
              <xm:sqref>W83</xm:sqref>
            </x14:sparkline>
            <x14:sparkline>
              <xm:f>'2F2 Foam blowing agents'!E84:T84</xm:f>
              <xm:sqref>W84</xm:sqref>
            </x14:sparkline>
            <x14:sparkline>
              <xm:f>'2F2 Foam blowing agents'!E85:T85</xm:f>
              <xm:sqref>W85</xm:sqref>
            </x14:sparkline>
            <x14:sparkline>
              <xm:f>'2F2 Foam blowing agents'!E86:T86</xm:f>
              <xm:sqref>W86</xm:sqref>
            </x14:sparkline>
            <x14:sparkline>
              <xm:f>'2F2 Foam blowing agents'!E87:T87</xm:f>
              <xm:sqref>W87</xm:sqref>
            </x14:sparkline>
            <x14:sparkline>
              <xm:f>'2F2 Foam blowing agents'!E88:T88</xm:f>
              <xm:sqref>W88</xm:sqref>
            </x14:sparkline>
            <x14:sparkline>
              <xm:f>'2F2 Foam blowing agents'!E89:T89</xm:f>
              <xm:sqref>W89</xm:sqref>
            </x14:sparkline>
            <x14:sparkline>
              <xm:f>'2F2 Foam blowing agents'!E90:T90</xm:f>
              <xm:sqref>W90</xm:sqref>
            </x14:sparkline>
            <x14:sparkline>
              <xm:f>'2F2 Foam blowing agents'!E91:T91</xm:f>
              <xm:sqref>W91</xm:sqref>
            </x14:sparkline>
            <x14:sparkline>
              <xm:f>'2F2 Foam blowing agents'!E92:T92</xm:f>
              <xm:sqref>W92</xm:sqref>
            </x14:sparkline>
          </x14:sparklines>
        </x14:sparklineGroup>
        <x14:sparklineGroup manualMax="0" manualMin="0" displayEmptyCellsAs="gap" xr2:uid="{00000000-0003-0000-2900-000097000000}">
          <x14:colorSeries rgb="FF376092"/>
          <x14:colorNegative rgb="FFD00000"/>
          <x14:colorAxis rgb="FF000000"/>
          <x14:colorMarkers rgb="FFD00000"/>
          <x14:colorFirst rgb="FFD00000"/>
          <x14:colorLast rgb="FFD00000"/>
          <x14:colorHigh rgb="FFD00000"/>
          <x14:colorLow rgb="FFD00000"/>
          <x14:sparklines>
            <x14:sparkline>
              <xm:f>'2F2 Foam blowing agents'!E45:V45</xm:f>
              <xm:sqref>W45</xm:sqref>
            </x14:sparkline>
            <x14:sparkline>
              <xm:f>'2F2 Foam blowing agents'!E46:V46</xm:f>
              <xm:sqref>W46</xm:sqref>
            </x14:sparkline>
            <x14:sparkline>
              <xm:f>'2F2 Foam blowing agents'!E47:V47</xm:f>
              <xm:sqref>W47</xm:sqref>
            </x14:sparkline>
            <x14:sparkline>
              <xm:f>'2F2 Foam blowing agents'!E48:V48</xm:f>
              <xm:sqref>W48</xm:sqref>
            </x14:sparkline>
            <x14:sparkline>
              <xm:f>'2F2 Foam blowing agents'!E49:V49</xm:f>
              <xm:sqref>W49</xm:sqref>
            </x14:sparkline>
            <x14:sparkline>
              <xm:f>'2F2 Foam blowing agents'!E50:V50</xm:f>
              <xm:sqref>W50</xm:sqref>
            </x14:sparkline>
            <x14:sparkline>
              <xm:f>'2F2 Foam blowing agents'!E51:V51</xm:f>
              <xm:sqref>W51</xm:sqref>
            </x14:sparkline>
            <x14:sparkline>
              <xm:f>'2F2 Foam blowing agents'!E52:V52</xm:f>
              <xm:sqref>W52</xm:sqref>
            </x14:sparkline>
          </x14:sparklines>
        </x14:sparklineGroup>
      </x14:sparklineGroup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9">
    <tabColor theme="3" tint="0.79998168889431442"/>
  </sheetPr>
  <dimension ref="A1:Y131"/>
  <sheetViews>
    <sheetView topLeftCell="B3" zoomScale="86" zoomScaleNormal="86" workbookViewId="0">
      <selection activeCell="C36" sqref="C36:C37"/>
    </sheetView>
  </sheetViews>
  <sheetFormatPr defaultRowHeight="15" x14ac:dyDescent="0.25"/>
  <cols>
    <col min="1" max="1" width="35.5703125" bestFit="1" customWidth="1"/>
    <col min="2" max="2" width="56.140625" customWidth="1"/>
    <col min="3" max="3" width="10.42578125" customWidth="1"/>
    <col min="4" max="4" width="19" customWidth="1"/>
    <col min="5" max="25" width="10.42578125" customWidth="1"/>
  </cols>
  <sheetData>
    <row r="1" spans="1:25" x14ac:dyDescent="0.25">
      <c r="A1" s="15" t="s">
        <v>855</v>
      </c>
      <c r="B1" s="4" t="str">
        <f ca="1">MID(CELL("filename",A1),FIND("]",CELL("filename",A1))+1,256)</f>
        <v>2F3 Fire protection</v>
      </c>
      <c r="C1" s="261" t="s">
        <v>856</v>
      </c>
      <c r="D1" s="262"/>
      <c r="E1" s="262"/>
      <c r="F1" s="262"/>
      <c r="G1" s="262"/>
      <c r="H1" s="262"/>
      <c r="I1" s="262"/>
      <c r="J1" s="263"/>
      <c r="K1" s="14"/>
    </row>
    <row r="2" spans="1:25" x14ac:dyDescent="0.25">
      <c r="A2" s="15" t="s">
        <v>736</v>
      </c>
      <c r="B2" s="33" t="s">
        <v>857</v>
      </c>
      <c r="C2" s="264"/>
      <c r="D2" s="265"/>
      <c r="E2" s="265"/>
      <c r="F2" s="265"/>
      <c r="G2" s="265"/>
      <c r="H2" s="265"/>
      <c r="I2" s="265"/>
      <c r="J2" s="266"/>
      <c r="K2" s="14"/>
    </row>
    <row r="3" spans="1:25" x14ac:dyDescent="0.25">
      <c r="A3" s="15" t="s">
        <v>858</v>
      </c>
      <c r="B3" s="33" t="s">
        <v>859</v>
      </c>
      <c r="C3" s="16"/>
      <c r="D3" s="17"/>
      <c r="E3" s="17"/>
      <c r="F3" s="17"/>
      <c r="G3" s="17"/>
      <c r="H3" s="17"/>
      <c r="I3" s="17"/>
      <c r="J3" s="18"/>
    </row>
    <row r="4" spans="1:25" x14ac:dyDescent="0.25">
      <c r="A4" s="15" t="s">
        <v>860</v>
      </c>
      <c r="B4" s="33" t="s">
        <v>1083</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ht="21" x14ac:dyDescent="0.35">
      <c r="A11" s="5"/>
      <c r="B11" s="6" t="s">
        <v>865</v>
      </c>
      <c r="C11" s="5"/>
      <c r="D11" s="5"/>
      <c r="E11" s="5" t="s">
        <v>866</v>
      </c>
      <c r="F11" s="5"/>
      <c r="G11" s="5"/>
      <c r="H11" s="5"/>
      <c r="I11" s="5"/>
      <c r="J11" s="5"/>
      <c r="K11" s="5"/>
      <c r="L11" s="5"/>
      <c r="M11" s="5"/>
      <c r="N11" s="5"/>
      <c r="O11" s="5"/>
      <c r="P11" s="5"/>
      <c r="Q11" s="5"/>
      <c r="R11" s="5"/>
      <c r="S11" s="5"/>
      <c r="T11" s="5"/>
      <c r="U11" s="5"/>
      <c r="V11" s="5"/>
      <c r="W11" s="5"/>
      <c r="X11" s="5"/>
      <c r="Y11" s="5"/>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177</v>
      </c>
      <c r="B14" t="s">
        <v>1085</v>
      </c>
      <c r="C14" t="s">
        <v>493</v>
      </c>
      <c r="D14" t="s">
        <v>892</v>
      </c>
      <c r="E14" s="114"/>
      <c r="F14" s="114"/>
      <c r="G14" s="114"/>
      <c r="H14" s="114"/>
      <c r="I14" s="114"/>
      <c r="J14" s="114"/>
      <c r="K14" s="114"/>
      <c r="L14" s="114"/>
      <c r="M14" s="114"/>
      <c r="N14" s="114"/>
      <c r="O14" s="114"/>
      <c r="P14" s="114"/>
      <c r="Q14" s="114"/>
      <c r="R14" s="114"/>
      <c r="S14" s="114"/>
      <c r="T14" s="114"/>
      <c r="U14" s="114"/>
      <c r="V14" s="114"/>
    </row>
    <row r="15" spans="1:25" x14ac:dyDescent="0.25">
      <c r="A15" t="s">
        <v>177</v>
      </c>
      <c r="B15" t="s">
        <v>1086</v>
      </c>
      <c r="C15" t="s">
        <v>493</v>
      </c>
      <c r="D15" t="s">
        <v>892</v>
      </c>
      <c r="E15" s="114"/>
      <c r="F15" s="114"/>
      <c r="G15" s="114"/>
      <c r="H15" s="114"/>
      <c r="I15" s="114"/>
      <c r="J15" s="114"/>
      <c r="K15" s="114"/>
      <c r="L15" s="114"/>
      <c r="M15" s="114"/>
      <c r="N15" s="114"/>
      <c r="O15" s="114"/>
      <c r="P15" s="114"/>
      <c r="Q15" s="114"/>
      <c r="R15" s="114"/>
      <c r="S15" s="114"/>
      <c r="T15" s="114"/>
      <c r="U15" s="114"/>
      <c r="V15" s="114"/>
    </row>
    <row r="16" spans="1:25" x14ac:dyDescent="0.25">
      <c r="A16" t="s">
        <v>177</v>
      </c>
      <c r="B16" t="s">
        <v>1087</v>
      </c>
      <c r="C16" t="s">
        <v>493</v>
      </c>
      <c r="D16" t="s">
        <v>892</v>
      </c>
      <c r="E16" s="114"/>
      <c r="F16" s="114"/>
      <c r="G16" s="114"/>
      <c r="H16" s="114"/>
      <c r="I16" s="114"/>
      <c r="J16" s="114"/>
      <c r="K16" s="114"/>
      <c r="L16" s="114"/>
      <c r="M16" s="114"/>
      <c r="N16" s="114"/>
      <c r="O16" s="114"/>
      <c r="P16" s="114"/>
      <c r="Q16" s="114"/>
      <c r="R16" s="114"/>
      <c r="S16" s="114"/>
      <c r="T16" s="114"/>
      <c r="U16" s="114"/>
      <c r="V16" s="114"/>
    </row>
    <row r="17" spans="1:25" s="23" customFormat="1" x14ac:dyDescent="0.25"/>
    <row r="18" spans="1:25" x14ac:dyDescent="0.25">
      <c r="A18" t="s">
        <v>177</v>
      </c>
      <c r="B18" t="s">
        <v>1085</v>
      </c>
      <c r="C18" t="s">
        <v>496</v>
      </c>
      <c r="D18" t="s">
        <v>892</v>
      </c>
      <c r="E18" s="114"/>
      <c r="F18" s="114"/>
      <c r="G18" s="114"/>
      <c r="H18" s="114"/>
      <c r="I18" s="114"/>
      <c r="J18" s="114"/>
      <c r="K18" s="114"/>
      <c r="L18" s="114"/>
      <c r="M18" s="114"/>
      <c r="N18" s="114"/>
      <c r="O18" s="114"/>
      <c r="P18" s="114"/>
      <c r="Q18" s="114"/>
      <c r="R18" s="114"/>
      <c r="S18" s="114"/>
      <c r="T18" s="114"/>
      <c r="U18" s="114"/>
      <c r="V18" s="114"/>
    </row>
    <row r="19" spans="1:25" x14ac:dyDescent="0.25">
      <c r="A19" t="s">
        <v>177</v>
      </c>
      <c r="B19" t="s">
        <v>1086</v>
      </c>
      <c r="C19" t="s">
        <v>496</v>
      </c>
      <c r="D19" t="s">
        <v>892</v>
      </c>
      <c r="E19" s="114"/>
      <c r="F19" s="114"/>
      <c r="G19" s="114"/>
      <c r="H19" s="114"/>
      <c r="I19" s="114"/>
      <c r="J19" s="114"/>
      <c r="K19" s="114"/>
      <c r="L19" s="114"/>
      <c r="M19" s="114"/>
      <c r="N19" s="114"/>
      <c r="O19" s="114"/>
      <c r="P19" s="114"/>
      <c r="Q19" s="114"/>
      <c r="R19" s="114"/>
      <c r="S19" s="114"/>
      <c r="T19" s="114"/>
      <c r="U19" s="114"/>
      <c r="V19" s="114"/>
    </row>
    <row r="20" spans="1:25" x14ac:dyDescent="0.25">
      <c r="A20" t="s">
        <v>177</v>
      </c>
      <c r="B20" t="s">
        <v>1087</v>
      </c>
      <c r="C20" t="s">
        <v>496</v>
      </c>
      <c r="D20" t="s">
        <v>892</v>
      </c>
      <c r="E20" s="114"/>
      <c r="F20" s="114"/>
      <c r="G20" s="114"/>
      <c r="H20" s="114"/>
      <c r="I20" s="114"/>
      <c r="J20" s="114"/>
      <c r="K20" s="114"/>
      <c r="L20" s="114"/>
      <c r="M20" s="114"/>
      <c r="N20" s="114"/>
      <c r="O20" s="114"/>
      <c r="P20" s="114"/>
      <c r="Q20" s="114"/>
      <c r="R20" s="114"/>
      <c r="S20" s="114"/>
      <c r="T20" s="114"/>
      <c r="U20" s="114"/>
      <c r="V20" s="114"/>
    </row>
    <row r="21" spans="1:25" s="23" customFormat="1" x14ac:dyDescent="0.25"/>
    <row r="22" spans="1:25" ht="21" x14ac:dyDescent="0.35">
      <c r="A22" s="5"/>
      <c r="B22" s="6" t="s">
        <v>1089</v>
      </c>
      <c r="C22" s="5"/>
      <c r="D22" s="5"/>
      <c r="E22" s="5" t="s">
        <v>1090</v>
      </c>
      <c r="F22" s="5"/>
      <c r="G22" s="5"/>
      <c r="H22" s="5"/>
      <c r="I22" s="5"/>
      <c r="J22" s="5"/>
      <c r="K22" s="5"/>
      <c r="L22" s="5"/>
      <c r="M22" s="5"/>
      <c r="N22" s="5"/>
      <c r="O22" s="5"/>
      <c r="P22" s="5"/>
      <c r="Q22" s="5"/>
      <c r="R22" s="5"/>
      <c r="S22" s="5"/>
      <c r="T22" s="5"/>
      <c r="U22" s="5"/>
      <c r="V22" s="5"/>
      <c r="W22" s="5"/>
      <c r="X22" s="5"/>
      <c r="Y22" s="5"/>
    </row>
    <row r="24" spans="1:25" x14ac:dyDescent="0.25">
      <c r="A24" t="s">
        <v>177</v>
      </c>
      <c r="B24" t="s">
        <v>1091</v>
      </c>
      <c r="C24" t="s">
        <v>493</v>
      </c>
      <c r="E24" s="205"/>
      <c r="F24" s="205"/>
      <c r="G24" s="205"/>
      <c r="H24" s="205"/>
      <c r="I24" s="205"/>
      <c r="J24" s="205"/>
      <c r="K24" s="205"/>
      <c r="L24" s="205"/>
      <c r="M24" s="205"/>
      <c r="N24" s="205"/>
      <c r="O24" s="205"/>
      <c r="P24" s="205"/>
      <c r="Q24" s="205"/>
      <c r="R24" s="205"/>
      <c r="S24" s="205"/>
      <c r="T24" s="205"/>
      <c r="U24" s="205"/>
      <c r="V24" s="205"/>
    </row>
    <row r="25" spans="1:25" x14ac:dyDescent="0.25">
      <c r="A25" t="s">
        <v>177</v>
      </c>
      <c r="B25" t="s">
        <v>1092</v>
      </c>
      <c r="C25" t="s">
        <v>493</v>
      </c>
      <c r="D25" t="s">
        <v>1093</v>
      </c>
      <c r="E25" s="205"/>
      <c r="F25" s="205"/>
      <c r="G25" s="205"/>
      <c r="H25" s="205"/>
      <c r="I25" s="205"/>
      <c r="J25" s="205"/>
      <c r="K25" s="205"/>
      <c r="L25" s="205"/>
      <c r="M25" s="205"/>
      <c r="N25" s="205"/>
      <c r="O25" s="205"/>
      <c r="P25" s="205"/>
      <c r="Q25" s="205"/>
      <c r="R25" s="205"/>
      <c r="S25" s="205"/>
      <c r="T25" s="205"/>
      <c r="U25" s="205"/>
      <c r="V25" s="205"/>
    </row>
    <row r="26" spans="1:25" x14ac:dyDescent="0.25">
      <c r="A26" t="s">
        <v>177</v>
      </c>
      <c r="B26" t="s">
        <v>1094</v>
      </c>
      <c r="C26" t="s">
        <v>493</v>
      </c>
      <c r="D26" t="s">
        <v>1095</v>
      </c>
      <c r="E26" s="205"/>
      <c r="F26" s="205"/>
      <c r="G26" s="205"/>
      <c r="H26" s="205"/>
      <c r="I26" s="205"/>
      <c r="J26" s="205"/>
      <c r="K26" s="205"/>
      <c r="L26" s="205"/>
      <c r="M26" s="205"/>
      <c r="N26" s="205"/>
      <c r="O26" s="205"/>
      <c r="P26" s="205"/>
      <c r="Q26" s="205"/>
      <c r="R26" s="205"/>
      <c r="S26" s="205"/>
      <c r="T26" s="205"/>
      <c r="U26" s="205"/>
      <c r="V26" s="205"/>
    </row>
    <row r="27" spans="1:25" x14ac:dyDescent="0.25">
      <c r="A27" t="s">
        <v>177</v>
      </c>
      <c r="B27" t="s">
        <v>1096</v>
      </c>
      <c r="C27" t="s">
        <v>493</v>
      </c>
      <c r="D27" t="s">
        <v>1095</v>
      </c>
      <c r="E27" s="205"/>
      <c r="F27" s="205"/>
      <c r="G27" s="205"/>
      <c r="H27" s="205"/>
      <c r="I27" s="205"/>
      <c r="J27" s="205"/>
      <c r="K27" s="205"/>
      <c r="L27" s="205"/>
      <c r="M27" s="205"/>
      <c r="N27" s="205"/>
      <c r="O27" s="205"/>
      <c r="P27" s="205"/>
      <c r="Q27" s="205"/>
      <c r="R27" s="205"/>
      <c r="S27" s="205"/>
      <c r="T27" s="205"/>
      <c r="U27" s="205"/>
      <c r="V27" s="205"/>
    </row>
    <row r="28" spans="1:25" s="23" customFormat="1" x14ac:dyDescent="0.25">
      <c r="W28"/>
    </row>
    <row r="29" spans="1:25" x14ac:dyDescent="0.25">
      <c r="A29" t="s">
        <v>177</v>
      </c>
      <c r="B29" t="s">
        <v>1091</v>
      </c>
      <c r="C29" t="s">
        <v>496</v>
      </c>
      <c r="E29" s="205"/>
      <c r="F29" s="205"/>
      <c r="G29" s="205"/>
      <c r="H29" s="205"/>
      <c r="I29" s="205"/>
      <c r="J29" s="205"/>
      <c r="K29" s="205"/>
      <c r="L29" s="205"/>
      <c r="M29" s="205"/>
      <c r="N29" s="205"/>
      <c r="O29" s="205"/>
      <c r="P29" s="205"/>
      <c r="Q29" s="205"/>
      <c r="R29" s="205"/>
      <c r="S29" s="205"/>
      <c r="T29" s="205"/>
      <c r="U29" s="205"/>
      <c r="V29" s="205"/>
    </row>
    <row r="30" spans="1:25" x14ac:dyDescent="0.25">
      <c r="A30" t="s">
        <v>177</v>
      </c>
      <c r="B30" t="s">
        <v>1092</v>
      </c>
      <c r="C30" t="s">
        <v>496</v>
      </c>
      <c r="D30" t="s">
        <v>1093</v>
      </c>
      <c r="E30" s="205"/>
      <c r="F30" s="205"/>
      <c r="G30" s="205"/>
      <c r="H30" s="205"/>
      <c r="I30" s="205"/>
      <c r="J30" s="205"/>
      <c r="K30" s="205"/>
      <c r="L30" s="205"/>
      <c r="M30" s="205"/>
      <c r="N30" s="205"/>
      <c r="O30" s="205"/>
      <c r="P30" s="205"/>
      <c r="Q30" s="205"/>
      <c r="R30" s="205"/>
      <c r="S30" s="205"/>
      <c r="T30" s="205"/>
      <c r="U30" s="205"/>
      <c r="V30" s="205"/>
    </row>
    <row r="31" spans="1:25" x14ac:dyDescent="0.25">
      <c r="A31" t="s">
        <v>177</v>
      </c>
      <c r="B31" t="s">
        <v>1094</v>
      </c>
      <c r="C31" t="s">
        <v>496</v>
      </c>
      <c r="D31" t="s">
        <v>1095</v>
      </c>
      <c r="E31" s="205"/>
      <c r="F31" s="205"/>
      <c r="G31" s="205"/>
      <c r="H31" s="205"/>
      <c r="I31" s="205"/>
      <c r="J31" s="205"/>
      <c r="K31" s="205"/>
      <c r="L31" s="205"/>
      <c r="M31" s="205"/>
      <c r="N31" s="205"/>
      <c r="O31" s="205"/>
      <c r="P31" s="205"/>
      <c r="Q31" s="205"/>
      <c r="R31" s="205"/>
      <c r="S31" s="205"/>
      <c r="T31" s="205"/>
      <c r="U31" s="205"/>
      <c r="V31" s="205"/>
    </row>
    <row r="32" spans="1:25" x14ac:dyDescent="0.25">
      <c r="A32" t="s">
        <v>177</v>
      </c>
      <c r="B32" t="s">
        <v>1096</v>
      </c>
      <c r="C32" t="s">
        <v>496</v>
      </c>
      <c r="D32" t="s">
        <v>1095</v>
      </c>
      <c r="E32" s="205"/>
      <c r="F32" s="205"/>
      <c r="G32" s="205"/>
      <c r="H32" s="205"/>
      <c r="I32" s="205"/>
      <c r="J32" s="205"/>
      <c r="K32" s="205"/>
      <c r="L32" s="205"/>
      <c r="M32" s="205"/>
      <c r="N32" s="205"/>
      <c r="O32" s="205"/>
      <c r="P32" s="205"/>
      <c r="Q32" s="205"/>
      <c r="R32" s="205"/>
      <c r="S32" s="205"/>
      <c r="T32" s="205"/>
      <c r="U32" s="205"/>
      <c r="V32" s="205"/>
    </row>
    <row r="33" spans="1:25" s="23" customFormat="1" x14ac:dyDescent="0.25"/>
    <row r="34" spans="1:25" ht="21" x14ac:dyDescent="0.35">
      <c r="A34" s="5"/>
      <c r="B34" s="6" t="s">
        <v>619</v>
      </c>
      <c r="C34" s="5"/>
      <c r="D34" s="5"/>
      <c r="E34" s="5" t="s">
        <v>881</v>
      </c>
      <c r="F34" s="5"/>
      <c r="G34" s="5"/>
      <c r="H34" s="5"/>
      <c r="I34" s="5"/>
      <c r="J34" s="5"/>
      <c r="K34" s="5"/>
      <c r="L34" s="5"/>
      <c r="M34" s="5"/>
      <c r="N34" s="5"/>
      <c r="O34" s="5"/>
      <c r="P34" s="5"/>
      <c r="Q34" s="5"/>
      <c r="R34" s="5"/>
      <c r="S34" s="5"/>
      <c r="T34" s="5"/>
      <c r="U34" s="5"/>
      <c r="V34" s="5"/>
      <c r="W34" s="5"/>
      <c r="X34" s="5"/>
      <c r="Y34" s="5"/>
    </row>
    <row r="35" spans="1:25" x14ac:dyDescent="0.25">
      <c r="X35" t="s">
        <v>43</v>
      </c>
    </row>
    <row r="36" spans="1:25" x14ac:dyDescent="0.25">
      <c r="A36" t="s">
        <v>177</v>
      </c>
      <c r="B36" t="s">
        <v>619</v>
      </c>
      <c r="C36" t="s">
        <v>493</v>
      </c>
      <c r="D36" t="s">
        <v>892</v>
      </c>
      <c r="E36" s="114">
        <v>0</v>
      </c>
      <c r="F36" s="114">
        <v>0</v>
      </c>
      <c r="G36" s="114">
        <v>0</v>
      </c>
      <c r="H36" s="114">
        <v>0</v>
      </c>
      <c r="I36" s="114">
        <v>0</v>
      </c>
      <c r="J36" s="114">
        <v>0</v>
      </c>
      <c r="K36" s="114">
        <v>0</v>
      </c>
      <c r="L36" s="114">
        <v>0</v>
      </c>
      <c r="M36" s="114">
        <v>0</v>
      </c>
      <c r="N36" s="114">
        <v>0</v>
      </c>
      <c r="O36" s="114">
        <v>0</v>
      </c>
      <c r="P36" s="114">
        <v>0</v>
      </c>
      <c r="Q36" s="114">
        <v>9.6000000000000002E-4</v>
      </c>
      <c r="R36" s="114">
        <v>8.1201599999999999E-2</v>
      </c>
      <c r="S36" s="114">
        <v>0.2025535</v>
      </c>
      <c r="T36" s="114">
        <v>0.30421140000000002</v>
      </c>
      <c r="U36" s="114">
        <f>0.1031*5-0.1105</f>
        <v>0.40499999999999997</v>
      </c>
      <c r="V36" s="114">
        <f>0.1031*6-0.1105</f>
        <v>0.5081</v>
      </c>
      <c r="X36" t="s">
        <v>175</v>
      </c>
    </row>
    <row r="37" spans="1:25" x14ac:dyDescent="0.25">
      <c r="A37" t="s">
        <v>177</v>
      </c>
      <c r="B37" t="s">
        <v>619</v>
      </c>
      <c r="C37" t="s">
        <v>496</v>
      </c>
      <c r="D37" t="s">
        <v>892</v>
      </c>
      <c r="E37" s="114">
        <v>0</v>
      </c>
      <c r="F37" s="114">
        <v>0</v>
      </c>
      <c r="G37" s="114">
        <v>0</v>
      </c>
      <c r="H37" s="114">
        <v>0</v>
      </c>
      <c r="I37" s="114">
        <v>0</v>
      </c>
      <c r="J37" s="114">
        <v>0</v>
      </c>
      <c r="K37" s="114">
        <v>0</v>
      </c>
      <c r="L37" s="114">
        <v>0</v>
      </c>
      <c r="M37" s="114">
        <v>0</v>
      </c>
      <c r="N37" s="114">
        <v>0</v>
      </c>
      <c r="O37" s="114">
        <v>0</v>
      </c>
      <c r="P37" s="114">
        <v>7.924207</v>
      </c>
      <c r="Q37" s="114">
        <v>8.7341786999999993</v>
      </c>
      <c r="R37" s="114">
        <v>10.449911999999999</v>
      </c>
      <c r="S37" s="114">
        <v>12.191855</v>
      </c>
      <c r="T37" s="114">
        <v>14.221817</v>
      </c>
      <c r="U37" s="114">
        <f>1.6053*6+5.8885</f>
        <v>15.520299999999999</v>
      </c>
      <c r="V37" s="114">
        <f>1.6053*7+5.8885</f>
        <v>17.125599999999999</v>
      </c>
      <c r="X37" t="s">
        <v>175</v>
      </c>
    </row>
    <row r="39" spans="1:25" x14ac:dyDescent="0.25">
      <c r="A39" t="s">
        <v>177</v>
      </c>
      <c r="B39" t="s">
        <v>619</v>
      </c>
      <c r="C39" t="s">
        <v>493</v>
      </c>
      <c r="D39" s="118" t="s">
        <v>1097</v>
      </c>
      <c r="E39" s="117">
        <f>+(E36*0.001)*'Conversion factors'!$B$11</f>
        <v>0</v>
      </c>
      <c r="F39" s="117">
        <f>+(F36*0.001)*'Conversion factors'!$B$11</f>
        <v>0</v>
      </c>
      <c r="G39" s="117">
        <f>+(G36*0.001)*'Conversion factors'!$B$11</f>
        <v>0</v>
      </c>
      <c r="H39" s="117">
        <f>+(H36*0.001)*'Conversion factors'!$B$11</f>
        <v>0</v>
      </c>
      <c r="I39" s="117">
        <f>+(I36*0.001)*'Conversion factors'!$B$11</f>
        <v>0</v>
      </c>
      <c r="J39" s="117">
        <f>+(J36*0.001)*'Conversion factors'!$B$11</f>
        <v>0</v>
      </c>
      <c r="K39" s="117">
        <f>+(K36*0.001)*'Conversion factors'!$B$11</f>
        <v>0</v>
      </c>
      <c r="L39" s="117">
        <f>+(L36*0.001)*'Conversion factors'!$B$11</f>
        <v>0</v>
      </c>
      <c r="M39" s="117">
        <f>+(M36*0.001)*'Conversion factors'!$B$11</f>
        <v>0</v>
      </c>
      <c r="N39" s="117">
        <f>+(N36*0.001)*'Conversion factors'!$B$11</f>
        <v>0</v>
      </c>
      <c r="O39" s="117">
        <f>+(O36*0.001)*'Conversion factors'!$B$11</f>
        <v>0</v>
      </c>
      <c r="P39" s="117">
        <f>+(P36*0.001)*'Conversion factors'!$B$11</f>
        <v>0</v>
      </c>
      <c r="Q39" s="117">
        <f>+(Q36*0.001)*'Conversion factors'!$B$11</f>
        <v>2.6880000000000003E-3</v>
      </c>
      <c r="R39" s="117">
        <f>+(R36*0.001)*'Conversion factors'!$B$11</f>
        <v>0.22736448000000001</v>
      </c>
      <c r="S39" s="117">
        <f>+(S36*0.001)*'Conversion factors'!$B$11</f>
        <v>0.56714979999999993</v>
      </c>
      <c r="T39" s="117">
        <f>+(T36*0.001)*'Conversion factors'!$B$11</f>
        <v>0.85179192000000004</v>
      </c>
      <c r="U39" s="117">
        <f>+(U36*0.001)*'Conversion factors'!$B$11</f>
        <v>1.1339999999999999</v>
      </c>
      <c r="V39" s="117">
        <f>+(V36*0.001)*'Conversion factors'!$B$11</f>
        <v>1.4226800000000002</v>
      </c>
    </row>
    <row r="40" spans="1:25" x14ac:dyDescent="0.25">
      <c r="A40" t="s">
        <v>177</v>
      </c>
      <c r="B40" t="s">
        <v>619</v>
      </c>
      <c r="C40" t="s">
        <v>496</v>
      </c>
      <c r="D40" s="118" t="s">
        <v>1097</v>
      </c>
      <c r="E40" s="117">
        <f>+(E37*0.001)*'Conversion factors'!$B$14</f>
        <v>0</v>
      </c>
      <c r="F40" s="117">
        <f>+(F37*0.001)*'Conversion factors'!$B$14</f>
        <v>0</v>
      </c>
      <c r="G40" s="117">
        <f>+(G37*0.001)*'Conversion factors'!$B$14</f>
        <v>0</v>
      </c>
      <c r="H40" s="117">
        <f>+(H37*0.001)*'Conversion factors'!$B$14</f>
        <v>0</v>
      </c>
      <c r="I40" s="117">
        <f>+(I37*0.001)*'Conversion factors'!$B$14</f>
        <v>0</v>
      </c>
      <c r="J40" s="117">
        <f>+(J37*0.001)*'Conversion factors'!$B$14</f>
        <v>0</v>
      </c>
      <c r="K40" s="117">
        <f>+(K37*0.001)*'Conversion factors'!$B$14</f>
        <v>0</v>
      </c>
      <c r="L40" s="117">
        <f>+(L37*0.001)*'Conversion factors'!$B$14</f>
        <v>0</v>
      </c>
      <c r="M40" s="117">
        <f>+(M37*0.001)*'Conversion factors'!$B$14</f>
        <v>0</v>
      </c>
      <c r="N40" s="117">
        <f>+(N37*0.001)*'Conversion factors'!$B$14</f>
        <v>0</v>
      </c>
      <c r="O40" s="117">
        <f>+(O37*0.001)*'Conversion factors'!$B$14</f>
        <v>0</v>
      </c>
      <c r="P40" s="117">
        <f>+(P37*0.001)*'Conversion factors'!$B$14</f>
        <v>22.980200300000003</v>
      </c>
      <c r="Q40" s="117">
        <f>+(Q37*0.001)*'Conversion factors'!$B$14</f>
        <v>25.329118229999999</v>
      </c>
      <c r="R40" s="117">
        <f>+(R37*0.001)*'Conversion factors'!$B$14</f>
        <v>30.304744800000002</v>
      </c>
      <c r="S40" s="117">
        <f>+(S37*0.001)*'Conversion factors'!$B$14</f>
        <v>35.356379500000003</v>
      </c>
      <c r="T40" s="117">
        <f>+(T37*0.001)*'Conversion factors'!$B$14</f>
        <v>41.243269300000001</v>
      </c>
      <c r="U40" s="117">
        <f>+(U37*0.001)*'Conversion factors'!$B$14</f>
        <v>45.008869999999995</v>
      </c>
      <c r="V40" s="117">
        <f>+(V37*0.001)*'Conversion factors'!$B$14</f>
        <v>49.664239999999992</v>
      </c>
    </row>
    <row r="41" spans="1:25" x14ac:dyDescent="0.25">
      <c r="A41" s="7" t="s">
        <v>177</v>
      </c>
      <c r="B41" s="7" t="s">
        <v>1067</v>
      </c>
      <c r="C41" s="7" t="s">
        <v>836</v>
      </c>
      <c r="D41" s="7" t="s">
        <v>1097</v>
      </c>
      <c r="E41" s="116">
        <f>+SUM(E39:E40)</f>
        <v>0</v>
      </c>
      <c r="F41" s="116">
        <f t="shared" ref="F41:V41" si="0">+SUM(F39:F40)</f>
        <v>0</v>
      </c>
      <c r="G41" s="116">
        <f t="shared" si="0"/>
        <v>0</v>
      </c>
      <c r="H41" s="116">
        <f t="shared" si="0"/>
        <v>0</v>
      </c>
      <c r="I41" s="116">
        <f t="shared" si="0"/>
        <v>0</v>
      </c>
      <c r="J41" s="116">
        <f t="shared" si="0"/>
        <v>0</v>
      </c>
      <c r="K41" s="116">
        <f t="shared" si="0"/>
        <v>0</v>
      </c>
      <c r="L41" s="116">
        <f t="shared" si="0"/>
        <v>0</v>
      </c>
      <c r="M41" s="116">
        <f t="shared" si="0"/>
        <v>0</v>
      </c>
      <c r="N41" s="116">
        <f t="shared" si="0"/>
        <v>0</v>
      </c>
      <c r="O41" s="116">
        <f t="shared" si="0"/>
        <v>0</v>
      </c>
      <c r="P41" s="116">
        <f t="shared" si="0"/>
        <v>22.980200300000003</v>
      </c>
      <c r="Q41" s="116">
        <f t="shared" si="0"/>
        <v>25.331806229999998</v>
      </c>
      <c r="R41" s="116">
        <f t="shared" si="0"/>
        <v>30.53210928</v>
      </c>
      <c r="S41" s="116">
        <f t="shared" si="0"/>
        <v>35.923529300000006</v>
      </c>
      <c r="T41" s="116">
        <f t="shared" si="0"/>
        <v>42.095061219999998</v>
      </c>
      <c r="U41" s="116">
        <f t="shared" si="0"/>
        <v>46.142869999999995</v>
      </c>
      <c r="V41" s="116">
        <f t="shared" si="0"/>
        <v>51.086919999999992</v>
      </c>
    </row>
    <row r="43" spans="1:25" ht="21" x14ac:dyDescent="0.35">
      <c r="A43" s="5"/>
      <c r="B43" s="6" t="s">
        <v>885</v>
      </c>
      <c r="C43" s="5"/>
      <c r="D43" s="5"/>
      <c r="E43" s="5" t="s">
        <v>886</v>
      </c>
      <c r="F43" s="5"/>
      <c r="G43" s="5"/>
      <c r="H43" s="5"/>
      <c r="I43" s="5"/>
      <c r="J43" s="5"/>
      <c r="K43" s="5"/>
      <c r="L43" s="5"/>
      <c r="M43" s="5" t="s">
        <v>900</v>
      </c>
      <c r="N43" s="5"/>
      <c r="O43" s="5"/>
      <c r="P43" s="5"/>
      <c r="Q43" s="5"/>
      <c r="R43" s="5"/>
      <c r="S43" s="5"/>
      <c r="T43" s="5"/>
      <c r="U43" s="5"/>
      <c r="V43" s="5"/>
      <c r="W43" s="5"/>
      <c r="X43" s="5"/>
      <c r="Y43" s="5"/>
    </row>
    <row r="45" spans="1:25" x14ac:dyDescent="0.25">
      <c r="A45" s="27"/>
      <c r="B45" s="26"/>
      <c r="C45" s="26"/>
      <c r="D45" s="26"/>
      <c r="E45" s="26"/>
      <c r="F45" s="26"/>
      <c r="G45" s="26"/>
      <c r="H45" s="26"/>
    </row>
    <row r="66" spans="1:23" ht="21" x14ac:dyDescent="0.35">
      <c r="A66" s="5"/>
      <c r="B66" s="6" t="s">
        <v>346</v>
      </c>
      <c r="C66" s="5"/>
      <c r="D66" s="5"/>
      <c r="E66" s="5" t="s">
        <v>887</v>
      </c>
      <c r="F66" s="5"/>
      <c r="G66" s="5"/>
      <c r="H66" s="5"/>
      <c r="I66" s="5"/>
      <c r="J66" s="5"/>
      <c r="K66" s="5"/>
      <c r="L66" s="5"/>
      <c r="M66" s="5"/>
      <c r="N66" s="5"/>
      <c r="O66" s="5"/>
      <c r="P66" s="5"/>
      <c r="Q66" s="5"/>
      <c r="R66" s="5"/>
      <c r="S66" s="5"/>
      <c r="T66" s="5"/>
      <c r="U66" s="5"/>
      <c r="V66" s="5"/>
      <c r="W66" s="5"/>
    </row>
    <row r="67" spans="1:23" ht="18.75" x14ac:dyDescent="0.3">
      <c r="A67" s="12" t="s">
        <v>844</v>
      </c>
      <c r="E67" t="s">
        <v>888</v>
      </c>
    </row>
    <row r="68" spans="1:23" x14ac:dyDescent="0.25">
      <c r="A68" s="8"/>
      <c r="B68" s="9" t="s">
        <v>865</v>
      </c>
      <c r="C68" s="8"/>
      <c r="D68" s="8"/>
      <c r="E68" s="8"/>
      <c r="F68" s="8"/>
      <c r="G68" s="8"/>
      <c r="H68" s="8"/>
      <c r="I68" s="8"/>
      <c r="J68" s="8"/>
      <c r="K68" s="8"/>
      <c r="L68" s="8"/>
      <c r="M68" s="8"/>
      <c r="N68" s="8"/>
      <c r="O68" s="8"/>
      <c r="P68" s="8"/>
      <c r="Q68" s="8"/>
      <c r="R68" s="8"/>
      <c r="S68" s="8"/>
      <c r="T68" s="8"/>
      <c r="U68" s="8"/>
      <c r="V68" s="8"/>
      <c r="W68" s="8"/>
    </row>
    <row r="70" spans="1:23" x14ac:dyDescent="0.25">
      <c r="A70" s="10" t="s">
        <v>867</v>
      </c>
      <c r="B70" s="10" t="s">
        <v>868</v>
      </c>
      <c r="C70" s="10" t="s">
        <v>482</v>
      </c>
      <c r="D70" s="10" t="s">
        <v>740</v>
      </c>
      <c r="E70" s="10">
        <v>2000</v>
      </c>
      <c r="F70" s="10">
        <v>2001</v>
      </c>
      <c r="G70" s="10">
        <v>2002</v>
      </c>
      <c r="H70" s="10">
        <v>2003</v>
      </c>
      <c r="I70" s="10">
        <v>2004</v>
      </c>
      <c r="J70" s="10">
        <v>2005</v>
      </c>
      <c r="K70" s="10">
        <v>2006</v>
      </c>
      <c r="L70" s="10">
        <v>2007</v>
      </c>
      <c r="M70" s="10">
        <v>2008</v>
      </c>
      <c r="N70" s="10">
        <v>2009</v>
      </c>
      <c r="O70" s="10">
        <v>2010</v>
      </c>
      <c r="P70" s="10">
        <v>2011</v>
      </c>
      <c r="Q70" s="10">
        <v>2012</v>
      </c>
      <c r="R70" s="10">
        <v>2013</v>
      </c>
      <c r="S70" s="10">
        <v>2014</v>
      </c>
      <c r="T70" s="10">
        <v>2015</v>
      </c>
      <c r="U70" s="10"/>
      <c r="V70" s="10"/>
      <c r="W70" s="10" t="s">
        <v>741</v>
      </c>
    </row>
    <row r="71" spans="1:23" x14ac:dyDescent="0.25">
      <c r="A71" s="11" t="s">
        <v>177</v>
      </c>
      <c r="B71" s="11" t="s">
        <v>1085</v>
      </c>
      <c r="C71" s="11" t="s">
        <v>493</v>
      </c>
      <c r="D71" s="11" t="s">
        <v>892</v>
      </c>
      <c r="E71" s="29"/>
      <c r="F71" s="29"/>
      <c r="G71" s="29"/>
      <c r="H71" s="29"/>
      <c r="I71" s="29"/>
      <c r="J71" s="29"/>
      <c r="K71" s="29"/>
      <c r="L71" s="29"/>
      <c r="M71" s="29"/>
      <c r="N71" s="29"/>
      <c r="O71" s="29"/>
      <c r="P71" s="29"/>
      <c r="Q71" s="29"/>
      <c r="R71" s="29"/>
      <c r="S71" s="29"/>
      <c r="T71" s="29"/>
      <c r="U71" s="4"/>
      <c r="V71" s="4"/>
    </row>
    <row r="72" spans="1:23" x14ac:dyDescent="0.25">
      <c r="A72" s="11" t="s">
        <v>177</v>
      </c>
      <c r="B72" s="11" t="s">
        <v>1086</v>
      </c>
      <c r="C72" s="11" t="s">
        <v>493</v>
      </c>
      <c r="D72" s="11" t="s">
        <v>892</v>
      </c>
      <c r="E72" s="29"/>
      <c r="F72" s="29"/>
      <c r="G72" s="29"/>
      <c r="H72" s="29"/>
      <c r="I72" s="29"/>
      <c r="J72" s="29"/>
      <c r="K72" s="29"/>
      <c r="L72" s="29"/>
      <c r="M72" s="29"/>
      <c r="N72" s="29"/>
      <c r="O72" s="29"/>
      <c r="P72" s="29"/>
      <c r="Q72" s="29"/>
      <c r="R72" s="29"/>
      <c r="S72" s="29"/>
      <c r="T72" s="29"/>
      <c r="U72" s="4"/>
      <c r="V72" s="4"/>
    </row>
    <row r="73" spans="1:23" x14ac:dyDescent="0.25">
      <c r="A73" s="11" t="s">
        <v>177</v>
      </c>
      <c r="B73" s="11" t="s">
        <v>1087</v>
      </c>
      <c r="C73" s="11" t="s">
        <v>493</v>
      </c>
      <c r="D73" s="11" t="s">
        <v>892</v>
      </c>
      <c r="E73" s="29"/>
      <c r="F73" s="29"/>
      <c r="G73" s="29"/>
      <c r="H73" s="29"/>
      <c r="I73" s="29"/>
      <c r="J73" s="29"/>
      <c r="K73" s="29"/>
      <c r="L73" s="29"/>
      <c r="M73" s="29"/>
      <c r="N73" s="29"/>
      <c r="O73" s="29"/>
      <c r="P73" s="29"/>
      <c r="Q73" s="29"/>
      <c r="R73" s="29"/>
      <c r="S73" s="29"/>
      <c r="T73" s="29"/>
      <c r="U73" s="4"/>
      <c r="V73" s="4"/>
    </row>
    <row r="74" spans="1:23" x14ac:dyDescent="0.25">
      <c r="A74" s="11"/>
      <c r="B74" s="11"/>
      <c r="C74" s="11"/>
      <c r="D74" s="11"/>
      <c r="E74" s="30"/>
      <c r="F74" s="30"/>
      <c r="G74" s="30"/>
      <c r="H74" s="30"/>
      <c r="I74" s="30"/>
      <c r="J74" s="30"/>
      <c r="K74" s="30"/>
      <c r="L74" s="30"/>
      <c r="M74" s="30"/>
      <c r="N74" s="30"/>
      <c r="O74" s="30"/>
      <c r="P74" s="30"/>
      <c r="Q74" s="30"/>
      <c r="R74" s="30"/>
      <c r="S74" s="30"/>
      <c r="T74" s="30"/>
      <c r="U74" s="23"/>
      <c r="V74" s="23"/>
      <c r="W74" s="23"/>
    </row>
    <row r="75" spans="1:23" x14ac:dyDescent="0.25">
      <c r="A75" s="11" t="s">
        <v>177</v>
      </c>
      <c r="B75" s="11" t="s">
        <v>1085</v>
      </c>
      <c r="C75" s="11" t="s">
        <v>496</v>
      </c>
      <c r="D75" s="11" t="s">
        <v>892</v>
      </c>
      <c r="E75" s="29"/>
      <c r="F75" s="29"/>
      <c r="G75" s="29"/>
      <c r="H75" s="29"/>
      <c r="I75" s="29"/>
      <c r="J75" s="29"/>
      <c r="K75" s="29"/>
      <c r="L75" s="29"/>
      <c r="M75" s="29"/>
      <c r="N75" s="29"/>
      <c r="O75" s="29"/>
      <c r="P75" s="29"/>
      <c r="Q75" s="29"/>
      <c r="R75" s="29"/>
      <c r="S75" s="29"/>
      <c r="T75" s="29"/>
      <c r="U75" s="4"/>
      <c r="V75" s="4"/>
    </row>
    <row r="76" spans="1:23" x14ac:dyDescent="0.25">
      <c r="A76" s="11" t="s">
        <v>177</v>
      </c>
      <c r="B76" s="11" t="s">
        <v>1086</v>
      </c>
      <c r="C76" s="11" t="s">
        <v>496</v>
      </c>
      <c r="D76" s="11" t="s">
        <v>892</v>
      </c>
      <c r="E76" s="29"/>
      <c r="F76" s="29"/>
      <c r="G76" s="29"/>
      <c r="H76" s="29"/>
      <c r="I76" s="29"/>
      <c r="J76" s="29"/>
      <c r="K76" s="29"/>
      <c r="L76" s="29"/>
      <c r="M76" s="29"/>
      <c r="N76" s="29"/>
      <c r="O76" s="29"/>
      <c r="P76" s="29"/>
      <c r="Q76" s="29"/>
      <c r="R76" s="29"/>
      <c r="S76" s="29"/>
      <c r="T76" s="29"/>
      <c r="U76" s="4"/>
      <c r="V76" s="4"/>
    </row>
    <row r="77" spans="1:23" x14ac:dyDescent="0.25">
      <c r="A77" s="11" t="s">
        <v>177</v>
      </c>
      <c r="B77" s="11" t="s">
        <v>1087</v>
      </c>
      <c r="C77" s="11" t="s">
        <v>496</v>
      </c>
      <c r="D77" s="11" t="s">
        <v>892</v>
      </c>
      <c r="E77" s="29"/>
      <c r="F77" s="29"/>
      <c r="G77" s="29"/>
      <c r="H77" s="29"/>
      <c r="I77" s="29"/>
      <c r="J77" s="29"/>
      <c r="K77" s="29"/>
      <c r="L77" s="29"/>
      <c r="M77" s="29"/>
      <c r="N77" s="29"/>
      <c r="O77" s="29"/>
      <c r="P77" s="29"/>
      <c r="Q77" s="29"/>
      <c r="R77" s="29"/>
      <c r="S77" s="29"/>
      <c r="T77" s="29"/>
      <c r="U77" s="4"/>
      <c r="V77" s="4"/>
    </row>
    <row r="78" spans="1:23" x14ac:dyDescent="0.25">
      <c r="A78" s="11"/>
      <c r="B78" s="11"/>
      <c r="C78" s="11"/>
      <c r="D78" s="11"/>
      <c r="E78" s="30"/>
      <c r="F78" s="30"/>
      <c r="G78" s="30"/>
      <c r="H78" s="30"/>
      <c r="I78" s="30"/>
      <c r="J78" s="30"/>
      <c r="K78" s="30"/>
      <c r="L78" s="30"/>
      <c r="M78" s="30"/>
      <c r="N78" s="30"/>
      <c r="O78" s="30"/>
      <c r="P78" s="30"/>
      <c r="Q78" s="30"/>
      <c r="R78" s="30"/>
      <c r="S78" s="30"/>
      <c r="T78" s="30"/>
      <c r="U78" s="23"/>
      <c r="V78" s="23"/>
      <c r="W78" s="23"/>
    </row>
    <row r="79" spans="1:23" x14ac:dyDescent="0.25">
      <c r="A79" s="8"/>
      <c r="B79" s="9" t="s">
        <v>877</v>
      </c>
      <c r="C79" s="8"/>
      <c r="D79" s="8"/>
      <c r="E79" s="197"/>
      <c r="F79" s="197"/>
      <c r="G79" s="197"/>
      <c r="H79" s="197"/>
      <c r="I79" s="197"/>
      <c r="J79" s="197"/>
      <c r="K79" s="197"/>
      <c r="L79" s="197"/>
      <c r="M79" s="197"/>
      <c r="N79" s="197"/>
      <c r="O79" s="197"/>
      <c r="P79" s="197"/>
      <c r="Q79" s="197"/>
      <c r="R79" s="197"/>
      <c r="S79" s="197"/>
      <c r="T79" s="197"/>
      <c r="U79" s="8"/>
      <c r="V79" s="8"/>
      <c r="W79" s="8"/>
    </row>
    <row r="80" spans="1:23" x14ac:dyDescent="0.25">
      <c r="E80" s="11"/>
      <c r="F80" s="11"/>
      <c r="G80" s="11"/>
      <c r="H80" s="11"/>
      <c r="I80" s="11"/>
      <c r="J80" s="11"/>
      <c r="K80" s="11"/>
      <c r="L80" s="11"/>
      <c r="M80" s="11"/>
      <c r="N80" s="11"/>
      <c r="O80" s="11"/>
      <c r="P80" s="11"/>
      <c r="Q80" s="11"/>
      <c r="R80" s="11"/>
      <c r="S80" s="11"/>
      <c r="T80" s="11"/>
    </row>
    <row r="81" spans="1:23" x14ac:dyDescent="0.25">
      <c r="A81" s="11" t="s">
        <v>177</v>
      </c>
      <c r="B81" s="11" t="s">
        <v>1091</v>
      </c>
      <c r="C81" s="11" t="s">
        <v>493</v>
      </c>
      <c r="D81" s="11"/>
      <c r="E81" s="29"/>
      <c r="F81" s="29"/>
      <c r="G81" s="29"/>
      <c r="H81" s="29"/>
      <c r="I81" s="29"/>
      <c r="J81" s="29"/>
      <c r="K81" s="29"/>
      <c r="L81" s="29"/>
      <c r="M81" s="29"/>
      <c r="N81" s="29"/>
      <c r="O81" s="29"/>
      <c r="P81" s="29"/>
      <c r="Q81" s="29"/>
      <c r="R81" s="29"/>
      <c r="S81" s="29"/>
      <c r="T81" s="29"/>
      <c r="U81" s="4"/>
      <c r="V81" s="4"/>
    </row>
    <row r="82" spans="1:23" x14ac:dyDescent="0.25">
      <c r="A82" s="11" t="s">
        <v>177</v>
      </c>
      <c r="B82" s="11" t="s">
        <v>1092</v>
      </c>
      <c r="C82" s="11" t="s">
        <v>493</v>
      </c>
      <c r="D82" s="11" t="s">
        <v>1093</v>
      </c>
      <c r="E82" s="29"/>
      <c r="F82" s="29"/>
      <c r="G82" s="29"/>
      <c r="H82" s="29"/>
      <c r="I82" s="29"/>
      <c r="J82" s="29"/>
      <c r="K82" s="29"/>
      <c r="L82" s="29"/>
      <c r="M82" s="29"/>
      <c r="N82" s="29"/>
      <c r="O82" s="29"/>
      <c r="P82" s="29"/>
      <c r="Q82" s="29"/>
      <c r="R82" s="29"/>
      <c r="S82" s="29"/>
      <c r="T82" s="29"/>
      <c r="U82" s="4"/>
      <c r="V82" s="4"/>
    </row>
    <row r="83" spans="1:23" x14ac:dyDescent="0.25">
      <c r="A83" s="11" t="s">
        <v>177</v>
      </c>
      <c r="B83" s="11" t="s">
        <v>1094</v>
      </c>
      <c r="C83" s="11" t="s">
        <v>493</v>
      </c>
      <c r="D83" s="11" t="s">
        <v>1095</v>
      </c>
      <c r="E83" s="29"/>
      <c r="F83" s="29"/>
      <c r="G83" s="29"/>
      <c r="H83" s="29"/>
      <c r="I83" s="29"/>
      <c r="J83" s="29"/>
      <c r="K83" s="29"/>
      <c r="L83" s="29"/>
      <c r="M83" s="29"/>
      <c r="N83" s="29"/>
      <c r="O83" s="29"/>
      <c r="P83" s="29"/>
      <c r="Q83" s="29"/>
      <c r="R83" s="29"/>
      <c r="S83" s="29"/>
      <c r="T83" s="29"/>
      <c r="U83" s="4"/>
      <c r="V83" s="4"/>
    </row>
    <row r="84" spans="1:23" x14ac:dyDescent="0.25">
      <c r="A84" s="11" t="s">
        <v>177</v>
      </c>
      <c r="B84" s="11" t="s">
        <v>1096</v>
      </c>
      <c r="C84" s="11" t="s">
        <v>493</v>
      </c>
      <c r="D84" s="11" t="s">
        <v>1095</v>
      </c>
      <c r="E84" s="29"/>
      <c r="F84" s="29"/>
      <c r="G84" s="29"/>
      <c r="H84" s="29"/>
      <c r="I84" s="29"/>
      <c r="J84" s="29"/>
      <c r="K84" s="29"/>
      <c r="L84" s="29"/>
      <c r="M84" s="29"/>
      <c r="N84" s="29"/>
      <c r="O84" s="29"/>
      <c r="P84" s="29"/>
      <c r="Q84" s="29"/>
      <c r="R84" s="29"/>
      <c r="S84" s="29"/>
      <c r="T84" s="29"/>
      <c r="U84" s="4"/>
      <c r="V84" s="4"/>
    </row>
    <row r="85" spans="1:23" x14ac:dyDescent="0.25">
      <c r="A85" s="11"/>
      <c r="B85" s="11"/>
      <c r="C85" s="11"/>
      <c r="D85" s="11"/>
      <c r="E85" s="30"/>
      <c r="F85" s="30"/>
      <c r="G85" s="30"/>
      <c r="H85" s="30"/>
      <c r="I85" s="30"/>
      <c r="J85" s="30"/>
      <c r="K85" s="30"/>
      <c r="L85" s="30"/>
      <c r="M85" s="30"/>
      <c r="N85" s="30"/>
      <c r="O85" s="30"/>
      <c r="P85" s="30"/>
      <c r="Q85" s="30"/>
      <c r="R85" s="30"/>
      <c r="S85" s="30"/>
      <c r="T85" s="30"/>
      <c r="U85" s="23"/>
      <c r="V85" s="23"/>
    </row>
    <row r="86" spans="1:23" x14ac:dyDescent="0.25">
      <c r="A86" s="11" t="s">
        <v>177</v>
      </c>
      <c r="B86" s="11" t="s">
        <v>1091</v>
      </c>
      <c r="C86" s="11" t="s">
        <v>496</v>
      </c>
      <c r="D86" s="11"/>
      <c r="E86" s="29"/>
      <c r="F86" s="29"/>
      <c r="G86" s="29"/>
      <c r="H86" s="29"/>
      <c r="I86" s="29"/>
      <c r="J86" s="29"/>
      <c r="K86" s="29"/>
      <c r="L86" s="29"/>
      <c r="M86" s="29"/>
      <c r="N86" s="29"/>
      <c r="O86" s="29"/>
      <c r="P86" s="29"/>
      <c r="Q86" s="29"/>
      <c r="R86" s="29"/>
      <c r="S86" s="29"/>
      <c r="T86" s="29"/>
      <c r="U86" s="4"/>
      <c r="V86" s="4"/>
    </row>
    <row r="87" spans="1:23" x14ac:dyDescent="0.25">
      <c r="A87" s="11" t="s">
        <v>177</v>
      </c>
      <c r="B87" s="11" t="s">
        <v>1092</v>
      </c>
      <c r="C87" s="11" t="s">
        <v>496</v>
      </c>
      <c r="D87" s="11" t="s">
        <v>1093</v>
      </c>
      <c r="E87" s="29"/>
      <c r="F87" s="29"/>
      <c r="G87" s="29"/>
      <c r="H87" s="29"/>
      <c r="I87" s="29"/>
      <c r="J87" s="29"/>
      <c r="K87" s="29"/>
      <c r="L87" s="29"/>
      <c r="M87" s="29"/>
      <c r="N87" s="29"/>
      <c r="O87" s="29"/>
      <c r="P87" s="29"/>
      <c r="Q87" s="29"/>
      <c r="R87" s="29"/>
      <c r="S87" s="29"/>
      <c r="T87" s="29"/>
      <c r="U87" s="4"/>
      <c r="V87" s="4"/>
    </row>
    <row r="88" spans="1:23" x14ac:dyDescent="0.25">
      <c r="A88" s="11" t="s">
        <v>177</v>
      </c>
      <c r="B88" s="11" t="s">
        <v>1094</v>
      </c>
      <c r="C88" s="11" t="s">
        <v>496</v>
      </c>
      <c r="D88" s="11" t="s">
        <v>1095</v>
      </c>
      <c r="E88" s="29"/>
      <c r="F88" s="29"/>
      <c r="G88" s="29"/>
      <c r="H88" s="29"/>
      <c r="I88" s="29"/>
      <c r="J88" s="29"/>
      <c r="K88" s="29"/>
      <c r="L88" s="29"/>
      <c r="M88" s="29"/>
      <c r="N88" s="29"/>
      <c r="O88" s="29"/>
      <c r="P88" s="29"/>
      <c r="Q88" s="29"/>
      <c r="R88" s="29"/>
      <c r="S88" s="29"/>
      <c r="T88" s="29"/>
      <c r="U88" s="4"/>
      <c r="V88" s="4"/>
    </row>
    <row r="89" spans="1:23" x14ac:dyDescent="0.25">
      <c r="A89" s="11" t="s">
        <v>177</v>
      </c>
      <c r="B89" s="11" t="s">
        <v>1096</v>
      </c>
      <c r="C89" s="11" t="s">
        <v>496</v>
      </c>
      <c r="D89" s="11" t="s">
        <v>1095</v>
      </c>
      <c r="E89" s="29"/>
      <c r="F89" s="29"/>
      <c r="G89" s="29"/>
      <c r="H89" s="29"/>
      <c r="I89" s="29"/>
      <c r="J89" s="29"/>
      <c r="K89" s="29"/>
      <c r="L89" s="29"/>
      <c r="M89" s="29"/>
      <c r="N89" s="29"/>
      <c r="O89" s="29"/>
      <c r="P89" s="29"/>
      <c r="Q89" s="29"/>
      <c r="R89" s="29"/>
      <c r="S89" s="29"/>
      <c r="T89" s="29"/>
      <c r="U89" s="4"/>
      <c r="V89" s="4"/>
    </row>
    <row r="90" spans="1:23" x14ac:dyDescent="0.25">
      <c r="A90" s="11"/>
      <c r="B90" s="11"/>
      <c r="C90" s="11"/>
      <c r="D90" s="11"/>
      <c r="E90" s="30"/>
      <c r="F90" s="30"/>
      <c r="G90" s="30"/>
      <c r="H90" s="30"/>
      <c r="I90" s="30"/>
      <c r="J90" s="30"/>
      <c r="K90" s="30"/>
      <c r="L90" s="30"/>
      <c r="M90" s="30"/>
      <c r="N90" s="30"/>
      <c r="O90" s="30"/>
      <c r="P90" s="30"/>
      <c r="Q90" s="30"/>
      <c r="R90" s="30"/>
      <c r="S90" s="30"/>
      <c r="T90" s="30"/>
      <c r="U90" s="23"/>
      <c r="V90" s="23"/>
      <c r="W90" s="23"/>
    </row>
    <row r="91" spans="1:23" x14ac:dyDescent="0.25">
      <c r="A91" s="8"/>
      <c r="B91" s="9" t="s">
        <v>619</v>
      </c>
      <c r="C91" s="8"/>
      <c r="D91" s="8"/>
      <c r="E91" s="197"/>
      <c r="F91" s="197"/>
      <c r="G91" s="197"/>
      <c r="H91" s="197"/>
      <c r="I91" s="197"/>
      <c r="J91" s="197"/>
      <c r="K91" s="197"/>
      <c r="L91" s="197"/>
      <c r="M91" s="197"/>
      <c r="N91" s="197"/>
      <c r="O91" s="197"/>
      <c r="P91" s="197"/>
      <c r="Q91" s="197"/>
      <c r="R91" s="197"/>
      <c r="S91" s="197"/>
      <c r="T91" s="197"/>
      <c r="U91" s="8"/>
      <c r="V91" s="8"/>
      <c r="W91" s="8"/>
    </row>
    <row r="92" spans="1:23" x14ac:dyDescent="0.25">
      <c r="E92" s="11"/>
      <c r="F92" s="11"/>
      <c r="G92" s="11"/>
      <c r="H92" s="11"/>
      <c r="I92" s="11"/>
      <c r="J92" s="11"/>
      <c r="K92" s="11"/>
      <c r="L92" s="11"/>
      <c r="M92" s="11"/>
      <c r="N92" s="11"/>
      <c r="O92" s="11"/>
      <c r="P92" s="11"/>
      <c r="Q92" s="11"/>
      <c r="R92" s="11"/>
      <c r="S92" s="11"/>
      <c r="T92" s="11"/>
    </row>
    <row r="93" spans="1:23" x14ac:dyDescent="0.25">
      <c r="A93" s="11" t="s">
        <v>177</v>
      </c>
      <c r="B93" s="11" t="s">
        <v>619</v>
      </c>
      <c r="C93" s="11" t="s">
        <v>493</v>
      </c>
      <c r="D93" s="11" t="s">
        <v>892</v>
      </c>
      <c r="E93" s="29">
        <v>0</v>
      </c>
      <c r="F93" s="29">
        <v>0</v>
      </c>
      <c r="G93" s="29">
        <v>0</v>
      </c>
      <c r="H93" s="29">
        <v>0</v>
      </c>
      <c r="I93" s="29">
        <v>0</v>
      </c>
      <c r="J93" s="29">
        <v>0</v>
      </c>
      <c r="K93" s="29">
        <v>0</v>
      </c>
      <c r="L93" s="29">
        <v>0</v>
      </c>
      <c r="M93" s="29">
        <v>0</v>
      </c>
      <c r="N93" s="29">
        <v>0</v>
      </c>
      <c r="O93" s="29">
        <v>0</v>
      </c>
      <c r="P93" s="29">
        <v>0</v>
      </c>
      <c r="Q93" s="29">
        <v>9.6000000000000002E-4</v>
      </c>
      <c r="R93" s="29">
        <v>8.1201599999999999E-2</v>
      </c>
      <c r="S93" s="29">
        <v>0.2025535</v>
      </c>
      <c r="T93" s="29">
        <v>0.30421140000000002</v>
      </c>
      <c r="U93" s="4"/>
      <c r="V93" s="4"/>
    </row>
    <row r="94" spans="1:23" x14ac:dyDescent="0.25">
      <c r="A94" s="11" t="s">
        <v>177</v>
      </c>
      <c r="B94" s="11" t="s">
        <v>619</v>
      </c>
      <c r="C94" s="11" t="s">
        <v>496</v>
      </c>
      <c r="D94" s="11" t="s">
        <v>892</v>
      </c>
      <c r="E94" s="29">
        <v>0</v>
      </c>
      <c r="F94" s="29">
        <v>0</v>
      </c>
      <c r="G94" s="29">
        <v>0</v>
      </c>
      <c r="H94" s="29">
        <v>0</v>
      </c>
      <c r="I94" s="29">
        <v>0</v>
      </c>
      <c r="J94" s="29">
        <v>0</v>
      </c>
      <c r="K94" s="29">
        <v>0</v>
      </c>
      <c r="L94" s="29">
        <v>0</v>
      </c>
      <c r="M94" s="29">
        <v>0</v>
      </c>
      <c r="N94" s="29">
        <v>0</v>
      </c>
      <c r="O94" s="29">
        <v>0</v>
      </c>
      <c r="P94" s="29">
        <v>7.924207</v>
      </c>
      <c r="Q94" s="29">
        <v>8.7341786999999993</v>
      </c>
      <c r="R94" s="29">
        <v>10.449911999999999</v>
      </c>
      <c r="S94" s="29">
        <v>12.191855</v>
      </c>
      <c r="T94" s="29">
        <v>14.221817</v>
      </c>
      <c r="U94" s="4"/>
      <c r="V94" s="4"/>
    </row>
    <row r="95" spans="1:23" x14ac:dyDescent="0.25">
      <c r="A95" s="11"/>
      <c r="B95" s="11"/>
      <c r="C95" s="11"/>
      <c r="D95" s="11"/>
      <c r="E95" s="30"/>
      <c r="F95" s="30"/>
      <c r="G95" s="30"/>
      <c r="H95" s="30"/>
      <c r="I95" s="30"/>
      <c r="J95" s="30"/>
      <c r="K95" s="30"/>
      <c r="L95" s="30"/>
      <c r="M95" s="30"/>
      <c r="N95" s="30"/>
      <c r="O95" s="30"/>
      <c r="P95" s="30"/>
      <c r="Q95" s="30"/>
      <c r="R95" s="30"/>
      <c r="S95" s="30"/>
      <c r="T95" s="30"/>
      <c r="U95" s="23"/>
      <c r="V95" s="23"/>
    </row>
    <row r="96" spans="1:23" x14ac:dyDescent="0.25">
      <c r="A96" s="11" t="s">
        <v>177</v>
      </c>
      <c r="B96" s="11" t="s">
        <v>619</v>
      </c>
      <c r="C96" s="11" t="s">
        <v>493</v>
      </c>
      <c r="D96" s="11" t="s">
        <v>1097</v>
      </c>
      <c r="E96" s="29">
        <v>0</v>
      </c>
      <c r="F96" s="29">
        <v>0</v>
      </c>
      <c r="G96" s="29">
        <v>0</v>
      </c>
      <c r="H96" s="29">
        <v>0</v>
      </c>
      <c r="I96" s="29">
        <v>0</v>
      </c>
      <c r="J96" s="29">
        <v>0</v>
      </c>
      <c r="K96" s="29">
        <v>0</v>
      </c>
      <c r="L96" s="29">
        <v>0</v>
      </c>
      <c r="M96" s="29">
        <v>0</v>
      </c>
      <c r="N96" s="29">
        <v>0</v>
      </c>
      <c r="O96" s="29">
        <v>0</v>
      </c>
      <c r="P96" s="29">
        <v>0</v>
      </c>
      <c r="Q96" s="29">
        <v>2.6880000000000003E-3</v>
      </c>
      <c r="R96" s="29">
        <v>0.22736448000000001</v>
      </c>
      <c r="S96" s="29">
        <v>0.56714979999999993</v>
      </c>
      <c r="T96" s="29">
        <v>0.85179192000000004</v>
      </c>
      <c r="U96" s="4"/>
      <c r="V96" s="4"/>
    </row>
    <row r="97" spans="1:23" x14ac:dyDescent="0.25">
      <c r="A97" s="11" t="s">
        <v>177</v>
      </c>
      <c r="B97" s="11" t="s">
        <v>619</v>
      </c>
      <c r="C97" s="11" t="s">
        <v>496</v>
      </c>
      <c r="D97" s="11" t="s">
        <v>1097</v>
      </c>
      <c r="E97" s="29">
        <v>0</v>
      </c>
      <c r="F97" s="29">
        <v>0</v>
      </c>
      <c r="G97" s="29">
        <v>0</v>
      </c>
      <c r="H97" s="29">
        <v>0</v>
      </c>
      <c r="I97" s="29">
        <v>0</v>
      </c>
      <c r="J97" s="29">
        <v>0</v>
      </c>
      <c r="K97" s="29">
        <v>0</v>
      </c>
      <c r="L97" s="29">
        <v>0</v>
      </c>
      <c r="M97" s="29">
        <v>0</v>
      </c>
      <c r="N97" s="29">
        <v>0</v>
      </c>
      <c r="O97" s="29">
        <v>0</v>
      </c>
      <c r="P97" s="29">
        <v>22.980200300000003</v>
      </c>
      <c r="Q97" s="29">
        <v>25.329118229999999</v>
      </c>
      <c r="R97" s="29">
        <v>30.304744800000002</v>
      </c>
      <c r="S97" s="29">
        <v>35.356379500000003</v>
      </c>
      <c r="T97" s="29">
        <v>41.243269300000001</v>
      </c>
      <c r="U97" s="4"/>
      <c r="V97" s="4"/>
    </row>
    <row r="98" spans="1:23" s="7" customFormat="1" x14ac:dyDescent="0.25">
      <c r="A98" s="10" t="s">
        <v>177</v>
      </c>
      <c r="B98" s="10" t="s">
        <v>1067</v>
      </c>
      <c r="C98" s="10" t="s">
        <v>836</v>
      </c>
      <c r="D98" s="10" t="s">
        <v>1097</v>
      </c>
      <c r="E98" s="126">
        <v>0</v>
      </c>
      <c r="F98" s="126">
        <v>0</v>
      </c>
      <c r="G98" s="126">
        <v>0</v>
      </c>
      <c r="H98" s="126">
        <v>0</v>
      </c>
      <c r="I98" s="126">
        <v>0</v>
      </c>
      <c r="J98" s="126">
        <v>0</v>
      </c>
      <c r="K98" s="126">
        <v>0</v>
      </c>
      <c r="L98" s="126">
        <v>0</v>
      </c>
      <c r="M98" s="126">
        <v>0</v>
      </c>
      <c r="N98" s="126">
        <v>0</v>
      </c>
      <c r="O98" s="126">
        <v>0</v>
      </c>
      <c r="P98" s="126">
        <v>22.980200300000003</v>
      </c>
      <c r="Q98" s="126">
        <v>25.331806229999998</v>
      </c>
      <c r="R98" s="126">
        <v>30.53210928</v>
      </c>
      <c r="S98" s="126">
        <v>35.923529300000006</v>
      </c>
      <c r="T98" s="126">
        <v>42.095061219999998</v>
      </c>
      <c r="U98" s="127"/>
      <c r="V98" s="127"/>
      <c r="W98"/>
    </row>
    <row r="99" spans="1:23" x14ac:dyDescent="0.25">
      <c r="A99" s="7"/>
      <c r="B99" s="7"/>
      <c r="C99" s="7"/>
      <c r="D99" s="7"/>
    </row>
    <row r="100" spans="1:23" ht="18.75" x14ac:dyDescent="0.3">
      <c r="A100" s="13" t="s">
        <v>346</v>
      </c>
    </row>
    <row r="101" spans="1:23" x14ac:dyDescent="0.25">
      <c r="A101" s="8"/>
      <c r="B101" s="9" t="s">
        <v>865</v>
      </c>
      <c r="C101" s="8"/>
      <c r="D101" s="8" t="s">
        <v>852</v>
      </c>
      <c r="E101" s="8"/>
      <c r="F101" s="8"/>
      <c r="G101" s="8"/>
      <c r="H101" s="8"/>
      <c r="I101" s="8"/>
      <c r="J101" s="8"/>
      <c r="K101" s="8"/>
      <c r="L101" s="8"/>
      <c r="M101" s="8"/>
      <c r="N101" s="8"/>
      <c r="O101" s="8"/>
      <c r="P101" s="8"/>
      <c r="Q101" s="8"/>
      <c r="R101" s="8"/>
      <c r="S101" s="8"/>
      <c r="T101" s="8"/>
      <c r="U101" s="8"/>
      <c r="V101" s="8"/>
      <c r="W101" s="22"/>
    </row>
    <row r="103" spans="1:23" x14ac:dyDescent="0.25">
      <c r="A103" s="10" t="s">
        <v>867</v>
      </c>
      <c r="B103" s="10" t="s">
        <v>868</v>
      </c>
      <c r="C103" s="10" t="s">
        <v>482</v>
      </c>
      <c r="D103" s="10" t="s">
        <v>740</v>
      </c>
      <c r="E103" s="10">
        <v>2000</v>
      </c>
      <c r="F103" s="10">
        <v>2001</v>
      </c>
      <c r="G103" s="10">
        <v>2002</v>
      </c>
      <c r="H103" s="10">
        <v>2003</v>
      </c>
      <c r="I103" s="10">
        <v>2004</v>
      </c>
      <c r="J103" s="10">
        <v>2005</v>
      </c>
      <c r="K103" s="10">
        <v>2006</v>
      </c>
      <c r="L103" s="10">
        <v>2007</v>
      </c>
      <c r="M103" s="10">
        <v>2008</v>
      </c>
      <c r="N103" s="10">
        <v>2009</v>
      </c>
      <c r="O103" s="10">
        <v>2010</v>
      </c>
      <c r="P103" s="10">
        <v>2011</v>
      </c>
      <c r="Q103" s="10">
        <v>2012</v>
      </c>
      <c r="R103" s="10">
        <v>2013</v>
      </c>
      <c r="S103" s="10">
        <v>2014</v>
      </c>
      <c r="T103" s="10">
        <v>2015</v>
      </c>
      <c r="U103" s="10"/>
      <c r="V103" s="10"/>
    </row>
    <row r="104" spans="1:23" x14ac:dyDescent="0.25">
      <c r="A104" s="11" t="s">
        <v>177</v>
      </c>
      <c r="B104" s="11" t="s">
        <v>1085</v>
      </c>
      <c r="C104" s="11" t="s">
        <v>493</v>
      </c>
      <c r="D104" s="11" t="s">
        <v>892</v>
      </c>
      <c r="E104" s="41" t="str">
        <f t="shared" ref="E104" si="1">IFERROR(((E14/E71)-1),"CHECK")</f>
        <v>CHECK</v>
      </c>
      <c r="F104" s="41" t="str">
        <f t="shared" ref="F104:T104" si="2">IFERROR(((F14/F71)-1),"CHECK")</f>
        <v>CHECK</v>
      </c>
      <c r="G104" s="41" t="str">
        <f t="shared" si="2"/>
        <v>CHECK</v>
      </c>
      <c r="H104" s="41" t="str">
        <f t="shared" si="2"/>
        <v>CHECK</v>
      </c>
      <c r="I104" s="41" t="str">
        <f t="shared" si="2"/>
        <v>CHECK</v>
      </c>
      <c r="J104" s="41" t="str">
        <f t="shared" si="2"/>
        <v>CHECK</v>
      </c>
      <c r="K104" s="41" t="str">
        <f t="shared" si="2"/>
        <v>CHECK</v>
      </c>
      <c r="L104" s="41" t="str">
        <f t="shared" si="2"/>
        <v>CHECK</v>
      </c>
      <c r="M104" s="41" t="str">
        <f t="shared" si="2"/>
        <v>CHECK</v>
      </c>
      <c r="N104" s="41" t="str">
        <f t="shared" si="2"/>
        <v>CHECK</v>
      </c>
      <c r="O104" s="41" t="str">
        <f t="shared" si="2"/>
        <v>CHECK</v>
      </c>
      <c r="P104" s="41" t="str">
        <f t="shared" si="2"/>
        <v>CHECK</v>
      </c>
      <c r="Q104" s="41" t="str">
        <f t="shared" si="2"/>
        <v>CHECK</v>
      </c>
      <c r="R104" s="41" t="str">
        <f t="shared" si="2"/>
        <v>CHECK</v>
      </c>
      <c r="S104" s="41" t="str">
        <f t="shared" si="2"/>
        <v>CHECK</v>
      </c>
      <c r="T104" s="41" t="str">
        <f t="shared" si="2"/>
        <v>CHECK</v>
      </c>
      <c r="U104" s="41"/>
      <c r="V104" s="41"/>
    </row>
    <row r="105" spans="1:23" x14ac:dyDescent="0.25">
      <c r="A105" s="11" t="s">
        <v>177</v>
      </c>
      <c r="B105" s="11" t="s">
        <v>1086</v>
      </c>
      <c r="C105" s="11" t="s">
        <v>493</v>
      </c>
      <c r="D105" s="11" t="s">
        <v>892</v>
      </c>
      <c r="E105" s="41" t="str">
        <f t="shared" ref="E105:T105" si="3">IFERROR(((E15/E72)-1),"CHECK")</f>
        <v>CHECK</v>
      </c>
      <c r="F105" s="41" t="str">
        <f t="shared" si="3"/>
        <v>CHECK</v>
      </c>
      <c r="G105" s="41" t="str">
        <f t="shared" si="3"/>
        <v>CHECK</v>
      </c>
      <c r="H105" s="41" t="str">
        <f t="shared" si="3"/>
        <v>CHECK</v>
      </c>
      <c r="I105" s="41" t="str">
        <f t="shared" si="3"/>
        <v>CHECK</v>
      </c>
      <c r="J105" s="41" t="str">
        <f t="shared" si="3"/>
        <v>CHECK</v>
      </c>
      <c r="K105" s="41" t="str">
        <f t="shared" si="3"/>
        <v>CHECK</v>
      </c>
      <c r="L105" s="41" t="str">
        <f t="shared" si="3"/>
        <v>CHECK</v>
      </c>
      <c r="M105" s="41" t="str">
        <f t="shared" si="3"/>
        <v>CHECK</v>
      </c>
      <c r="N105" s="41" t="str">
        <f t="shared" si="3"/>
        <v>CHECK</v>
      </c>
      <c r="O105" s="41" t="str">
        <f t="shared" si="3"/>
        <v>CHECK</v>
      </c>
      <c r="P105" s="41" t="str">
        <f t="shared" si="3"/>
        <v>CHECK</v>
      </c>
      <c r="Q105" s="41" t="str">
        <f t="shared" si="3"/>
        <v>CHECK</v>
      </c>
      <c r="R105" s="41" t="str">
        <f t="shared" si="3"/>
        <v>CHECK</v>
      </c>
      <c r="S105" s="41" t="str">
        <f t="shared" si="3"/>
        <v>CHECK</v>
      </c>
      <c r="T105" s="41" t="str">
        <f t="shared" si="3"/>
        <v>CHECK</v>
      </c>
      <c r="U105" s="41"/>
      <c r="V105" s="41"/>
    </row>
    <row r="106" spans="1:23" x14ac:dyDescent="0.25">
      <c r="A106" s="11" t="s">
        <v>177</v>
      </c>
      <c r="B106" s="11" t="s">
        <v>1087</v>
      </c>
      <c r="C106" s="11" t="s">
        <v>493</v>
      </c>
      <c r="D106" s="11" t="s">
        <v>892</v>
      </c>
      <c r="E106" s="41" t="str">
        <f t="shared" ref="E106:T106" si="4">IFERROR(((E16/E73)-1),"CHECK")</f>
        <v>CHECK</v>
      </c>
      <c r="F106" s="41" t="str">
        <f t="shared" si="4"/>
        <v>CHECK</v>
      </c>
      <c r="G106" s="41" t="str">
        <f t="shared" si="4"/>
        <v>CHECK</v>
      </c>
      <c r="H106" s="41" t="str">
        <f t="shared" si="4"/>
        <v>CHECK</v>
      </c>
      <c r="I106" s="41" t="str">
        <f t="shared" si="4"/>
        <v>CHECK</v>
      </c>
      <c r="J106" s="41" t="str">
        <f t="shared" si="4"/>
        <v>CHECK</v>
      </c>
      <c r="K106" s="41" t="str">
        <f t="shared" si="4"/>
        <v>CHECK</v>
      </c>
      <c r="L106" s="41" t="str">
        <f t="shared" si="4"/>
        <v>CHECK</v>
      </c>
      <c r="M106" s="41" t="str">
        <f t="shared" si="4"/>
        <v>CHECK</v>
      </c>
      <c r="N106" s="41" t="str">
        <f t="shared" si="4"/>
        <v>CHECK</v>
      </c>
      <c r="O106" s="41" t="str">
        <f t="shared" si="4"/>
        <v>CHECK</v>
      </c>
      <c r="P106" s="41" t="str">
        <f t="shared" si="4"/>
        <v>CHECK</v>
      </c>
      <c r="Q106" s="41" t="str">
        <f t="shared" si="4"/>
        <v>CHECK</v>
      </c>
      <c r="R106" s="41" t="str">
        <f t="shared" si="4"/>
        <v>CHECK</v>
      </c>
      <c r="S106" s="41" t="str">
        <f t="shared" si="4"/>
        <v>CHECK</v>
      </c>
      <c r="T106" s="41" t="str">
        <f t="shared" si="4"/>
        <v>CHECK</v>
      </c>
      <c r="U106" s="41"/>
      <c r="V106" s="41"/>
    </row>
    <row r="107" spans="1:23" x14ac:dyDescent="0.25">
      <c r="A107" s="11"/>
      <c r="B107" s="11"/>
      <c r="C107" s="11"/>
      <c r="D107" s="11"/>
      <c r="E107" s="41"/>
      <c r="F107" s="41"/>
      <c r="G107" s="41"/>
      <c r="H107" s="41"/>
      <c r="I107" s="41"/>
      <c r="J107" s="41"/>
      <c r="K107" s="41"/>
      <c r="L107" s="41"/>
      <c r="M107" s="41"/>
      <c r="N107" s="41"/>
      <c r="O107" s="41"/>
      <c r="P107" s="41"/>
      <c r="Q107" s="41"/>
      <c r="R107" s="41"/>
      <c r="S107" s="41"/>
      <c r="T107" s="41"/>
      <c r="U107" s="41"/>
      <c r="V107" s="41"/>
    </row>
    <row r="108" spans="1:23" x14ac:dyDescent="0.25">
      <c r="A108" s="11" t="s">
        <v>177</v>
      </c>
      <c r="B108" s="11" t="s">
        <v>1085</v>
      </c>
      <c r="C108" s="11" t="s">
        <v>496</v>
      </c>
      <c r="D108" s="11" t="s">
        <v>892</v>
      </c>
      <c r="E108" s="41" t="str">
        <f t="shared" ref="E108:T108" si="5">IFERROR(((E18/E75)-1),"CHECK")</f>
        <v>CHECK</v>
      </c>
      <c r="F108" s="41" t="str">
        <f t="shared" si="5"/>
        <v>CHECK</v>
      </c>
      <c r="G108" s="41" t="str">
        <f t="shared" si="5"/>
        <v>CHECK</v>
      </c>
      <c r="H108" s="41" t="str">
        <f t="shared" si="5"/>
        <v>CHECK</v>
      </c>
      <c r="I108" s="41" t="str">
        <f t="shared" si="5"/>
        <v>CHECK</v>
      </c>
      <c r="J108" s="41" t="str">
        <f t="shared" si="5"/>
        <v>CHECK</v>
      </c>
      <c r="K108" s="41" t="str">
        <f t="shared" si="5"/>
        <v>CHECK</v>
      </c>
      <c r="L108" s="41" t="str">
        <f t="shared" si="5"/>
        <v>CHECK</v>
      </c>
      <c r="M108" s="41" t="str">
        <f t="shared" si="5"/>
        <v>CHECK</v>
      </c>
      <c r="N108" s="41" t="str">
        <f t="shared" si="5"/>
        <v>CHECK</v>
      </c>
      <c r="O108" s="41" t="str">
        <f t="shared" si="5"/>
        <v>CHECK</v>
      </c>
      <c r="P108" s="41" t="str">
        <f t="shared" si="5"/>
        <v>CHECK</v>
      </c>
      <c r="Q108" s="41" t="str">
        <f t="shared" si="5"/>
        <v>CHECK</v>
      </c>
      <c r="R108" s="41" t="str">
        <f t="shared" si="5"/>
        <v>CHECK</v>
      </c>
      <c r="S108" s="41" t="str">
        <f t="shared" si="5"/>
        <v>CHECK</v>
      </c>
      <c r="T108" s="41" t="str">
        <f t="shared" si="5"/>
        <v>CHECK</v>
      </c>
      <c r="U108" s="41"/>
      <c r="V108" s="41"/>
    </row>
    <row r="109" spans="1:23" x14ac:dyDescent="0.25">
      <c r="A109" s="11" t="s">
        <v>177</v>
      </c>
      <c r="B109" s="11" t="s">
        <v>1086</v>
      </c>
      <c r="C109" s="11" t="s">
        <v>496</v>
      </c>
      <c r="D109" s="11" t="s">
        <v>892</v>
      </c>
      <c r="E109" s="41" t="str">
        <f t="shared" ref="E109:T109" si="6">IFERROR(((E19/E76)-1),"CHECK")</f>
        <v>CHECK</v>
      </c>
      <c r="F109" s="41" t="str">
        <f t="shared" si="6"/>
        <v>CHECK</v>
      </c>
      <c r="G109" s="41" t="str">
        <f t="shared" si="6"/>
        <v>CHECK</v>
      </c>
      <c r="H109" s="41" t="str">
        <f t="shared" si="6"/>
        <v>CHECK</v>
      </c>
      <c r="I109" s="41" t="str">
        <f t="shared" si="6"/>
        <v>CHECK</v>
      </c>
      <c r="J109" s="41" t="str">
        <f t="shared" si="6"/>
        <v>CHECK</v>
      </c>
      <c r="K109" s="41" t="str">
        <f t="shared" si="6"/>
        <v>CHECK</v>
      </c>
      <c r="L109" s="41" t="str">
        <f t="shared" si="6"/>
        <v>CHECK</v>
      </c>
      <c r="M109" s="41" t="str">
        <f t="shared" si="6"/>
        <v>CHECK</v>
      </c>
      <c r="N109" s="41" t="str">
        <f t="shared" si="6"/>
        <v>CHECK</v>
      </c>
      <c r="O109" s="41" t="str">
        <f t="shared" si="6"/>
        <v>CHECK</v>
      </c>
      <c r="P109" s="41" t="str">
        <f t="shared" si="6"/>
        <v>CHECK</v>
      </c>
      <c r="Q109" s="41" t="str">
        <f t="shared" si="6"/>
        <v>CHECK</v>
      </c>
      <c r="R109" s="41" t="str">
        <f t="shared" si="6"/>
        <v>CHECK</v>
      </c>
      <c r="S109" s="41" t="str">
        <f t="shared" si="6"/>
        <v>CHECK</v>
      </c>
      <c r="T109" s="41" t="str">
        <f t="shared" si="6"/>
        <v>CHECK</v>
      </c>
      <c r="U109" s="41"/>
      <c r="V109" s="41"/>
    </row>
    <row r="110" spans="1:23" x14ac:dyDescent="0.25">
      <c r="A110" s="11" t="s">
        <v>177</v>
      </c>
      <c r="B110" s="11" t="s">
        <v>1087</v>
      </c>
      <c r="C110" s="11" t="s">
        <v>496</v>
      </c>
      <c r="D110" s="11" t="s">
        <v>892</v>
      </c>
      <c r="E110" s="41" t="str">
        <f t="shared" ref="E110:T110" si="7">IFERROR(((E20/E77)-1),"CHECK")</f>
        <v>CHECK</v>
      </c>
      <c r="F110" s="41" t="str">
        <f t="shared" si="7"/>
        <v>CHECK</v>
      </c>
      <c r="G110" s="41" t="str">
        <f t="shared" si="7"/>
        <v>CHECK</v>
      </c>
      <c r="H110" s="41" t="str">
        <f t="shared" si="7"/>
        <v>CHECK</v>
      </c>
      <c r="I110" s="41" t="str">
        <f t="shared" si="7"/>
        <v>CHECK</v>
      </c>
      <c r="J110" s="41" t="str">
        <f t="shared" si="7"/>
        <v>CHECK</v>
      </c>
      <c r="K110" s="41" t="str">
        <f t="shared" si="7"/>
        <v>CHECK</v>
      </c>
      <c r="L110" s="41" t="str">
        <f t="shared" si="7"/>
        <v>CHECK</v>
      </c>
      <c r="M110" s="41" t="str">
        <f t="shared" si="7"/>
        <v>CHECK</v>
      </c>
      <c r="N110" s="41" t="str">
        <f t="shared" si="7"/>
        <v>CHECK</v>
      </c>
      <c r="O110" s="41" t="str">
        <f t="shared" si="7"/>
        <v>CHECK</v>
      </c>
      <c r="P110" s="41" t="str">
        <f t="shared" si="7"/>
        <v>CHECK</v>
      </c>
      <c r="Q110" s="41" t="str">
        <f t="shared" si="7"/>
        <v>CHECK</v>
      </c>
      <c r="R110" s="41" t="str">
        <f t="shared" si="7"/>
        <v>CHECK</v>
      </c>
      <c r="S110" s="41" t="str">
        <f t="shared" si="7"/>
        <v>CHECK</v>
      </c>
      <c r="T110" s="41" t="str">
        <f t="shared" si="7"/>
        <v>CHECK</v>
      </c>
      <c r="U110" s="41"/>
      <c r="V110" s="41"/>
    </row>
    <row r="111" spans="1:23" x14ac:dyDescent="0.25">
      <c r="A111" s="11"/>
      <c r="B111" s="11"/>
      <c r="C111" s="11"/>
      <c r="D111" s="11"/>
      <c r="E111" s="41"/>
      <c r="F111" s="41"/>
      <c r="G111" s="41"/>
      <c r="H111" s="41"/>
      <c r="I111" s="41"/>
      <c r="J111" s="41"/>
      <c r="K111" s="41"/>
      <c r="L111" s="41"/>
      <c r="M111" s="41"/>
      <c r="N111" s="41"/>
      <c r="O111" s="41"/>
      <c r="P111" s="41"/>
      <c r="Q111" s="41"/>
      <c r="R111" s="41"/>
      <c r="S111" s="41"/>
      <c r="T111" s="41"/>
      <c r="U111" s="41"/>
      <c r="V111" s="41"/>
    </row>
    <row r="112" spans="1:23" x14ac:dyDescent="0.25">
      <c r="A112" s="8"/>
      <c r="B112" s="9" t="s">
        <v>877</v>
      </c>
      <c r="C112" s="8"/>
      <c r="D112" s="8"/>
      <c r="E112" s="8"/>
      <c r="F112" s="8"/>
      <c r="G112" s="8"/>
      <c r="H112" s="8"/>
      <c r="I112" s="8"/>
      <c r="J112" s="8"/>
      <c r="K112" s="8"/>
      <c r="L112" s="8"/>
      <c r="M112" s="8"/>
      <c r="N112" s="8"/>
      <c r="O112" s="8"/>
      <c r="P112" s="8"/>
      <c r="Q112" s="8"/>
      <c r="R112" s="8"/>
      <c r="S112" s="8"/>
      <c r="T112" s="8"/>
      <c r="U112" s="8"/>
      <c r="V112" s="8"/>
    </row>
    <row r="114" spans="1:22" x14ac:dyDescent="0.25">
      <c r="A114" s="11" t="s">
        <v>177</v>
      </c>
      <c r="B114" s="11" t="s">
        <v>1091</v>
      </c>
      <c r="C114" s="11" t="s">
        <v>493</v>
      </c>
      <c r="D114" s="11"/>
      <c r="E114" s="41" t="str">
        <f t="shared" ref="E114:T114" si="8">IFERROR(((E24/E81)-1),"CHECK")</f>
        <v>CHECK</v>
      </c>
      <c r="F114" s="41" t="str">
        <f t="shared" si="8"/>
        <v>CHECK</v>
      </c>
      <c r="G114" s="41" t="str">
        <f t="shared" si="8"/>
        <v>CHECK</v>
      </c>
      <c r="H114" s="41" t="str">
        <f t="shared" si="8"/>
        <v>CHECK</v>
      </c>
      <c r="I114" s="41" t="str">
        <f t="shared" si="8"/>
        <v>CHECK</v>
      </c>
      <c r="J114" s="41" t="str">
        <f t="shared" si="8"/>
        <v>CHECK</v>
      </c>
      <c r="K114" s="41" t="str">
        <f t="shared" si="8"/>
        <v>CHECK</v>
      </c>
      <c r="L114" s="41" t="str">
        <f t="shared" si="8"/>
        <v>CHECK</v>
      </c>
      <c r="M114" s="41" t="str">
        <f t="shared" si="8"/>
        <v>CHECK</v>
      </c>
      <c r="N114" s="41" t="str">
        <f t="shared" si="8"/>
        <v>CHECK</v>
      </c>
      <c r="O114" s="41" t="str">
        <f t="shared" si="8"/>
        <v>CHECK</v>
      </c>
      <c r="P114" s="41" t="str">
        <f t="shared" si="8"/>
        <v>CHECK</v>
      </c>
      <c r="Q114" s="41" t="str">
        <f t="shared" si="8"/>
        <v>CHECK</v>
      </c>
      <c r="R114" s="41" t="str">
        <f t="shared" si="8"/>
        <v>CHECK</v>
      </c>
      <c r="S114" s="41" t="str">
        <f t="shared" si="8"/>
        <v>CHECK</v>
      </c>
      <c r="T114" s="41" t="str">
        <f t="shared" si="8"/>
        <v>CHECK</v>
      </c>
      <c r="U114" s="41"/>
      <c r="V114" s="41"/>
    </row>
    <row r="115" spans="1:22" x14ac:dyDescent="0.25">
      <c r="A115" s="11" t="s">
        <v>177</v>
      </c>
      <c r="B115" s="11" t="s">
        <v>1092</v>
      </c>
      <c r="C115" s="11" t="s">
        <v>493</v>
      </c>
      <c r="D115" s="11" t="s">
        <v>1093</v>
      </c>
      <c r="E115" s="41" t="str">
        <f t="shared" ref="E115:T115" si="9">IFERROR(((E25/E82)-1),"CHECK")</f>
        <v>CHECK</v>
      </c>
      <c r="F115" s="41" t="str">
        <f t="shared" si="9"/>
        <v>CHECK</v>
      </c>
      <c r="G115" s="41" t="str">
        <f t="shared" si="9"/>
        <v>CHECK</v>
      </c>
      <c r="H115" s="41" t="str">
        <f t="shared" si="9"/>
        <v>CHECK</v>
      </c>
      <c r="I115" s="41" t="str">
        <f t="shared" si="9"/>
        <v>CHECK</v>
      </c>
      <c r="J115" s="41" t="str">
        <f t="shared" si="9"/>
        <v>CHECK</v>
      </c>
      <c r="K115" s="41" t="str">
        <f t="shared" si="9"/>
        <v>CHECK</v>
      </c>
      <c r="L115" s="41" t="str">
        <f t="shared" si="9"/>
        <v>CHECK</v>
      </c>
      <c r="M115" s="41" t="str">
        <f t="shared" si="9"/>
        <v>CHECK</v>
      </c>
      <c r="N115" s="41" t="str">
        <f t="shared" si="9"/>
        <v>CHECK</v>
      </c>
      <c r="O115" s="41" t="str">
        <f t="shared" si="9"/>
        <v>CHECK</v>
      </c>
      <c r="P115" s="41" t="str">
        <f t="shared" si="9"/>
        <v>CHECK</v>
      </c>
      <c r="Q115" s="41" t="str">
        <f t="shared" si="9"/>
        <v>CHECK</v>
      </c>
      <c r="R115" s="41" t="str">
        <f t="shared" si="9"/>
        <v>CHECK</v>
      </c>
      <c r="S115" s="41" t="str">
        <f t="shared" si="9"/>
        <v>CHECK</v>
      </c>
      <c r="T115" s="41" t="str">
        <f t="shared" si="9"/>
        <v>CHECK</v>
      </c>
      <c r="U115" s="41"/>
      <c r="V115" s="41"/>
    </row>
    <row r="116" spans="1:22" x14ac:dyDescent="0.25">
      <c r="A116" s="11" t="s">
        <v>177</v>
      </c>
      <c r="B116" s="11" t="s">
        <v>1094</v>
      </c>
      <c r="C116" s="11" t="s">
        <v>493</v>
      </c>
      <c r="D116" s="11" t="s">
        <v>1095</v>
      </c>
      <c r="E116" s="41" t="str">
        <f t="shared" ref="E116:T116" si="10">IFERROR(((E26/E83)-1),"CHECK")</f>
        <v>CHECK</v>
      </c>
      <c r="F116" s="41" t="str">
        <f t="shared" si="10"/>
        <v>CHECK</v>
      </c>
      <c r="G116" s="41" t="str">
        <f t="shared" si="10"/>
        <v>CHECK</v>
      </c>
      <c r="H116" s="41" t="str">
        <f t="shared" si="10"/>
        <v>CHECK</v>
      </c>
      <c r="I116" s="41" t="str">
        <f t="shared" si="10"/>
        <v>CHECK</v>
      </c>
      <c r="J116" s="41" t="str">
        <f t="shared" si="10"/>
        <v>CHECK</v>
      </c>
      <c r="K116" s="41" t="str">
        <f t="shared" si="10"/>
        <v>CHECK</v>
      </c>
      <c r="L116" s="41" t="str">
        <f t="shared" si="10"/>
        <v>CHECK</v>
      </c>
      <c r="M116" s="41" t="str">
        <f t="shared" si="10"/>
        <v>CHECK</v>
      </c>
      <c r="N116" s="41" t="str">
        <f t="shared" si="10"/>
        <v>CHECK</v>
      </c>
      <c r="O116" s="41" t="str">
        <f t="shared" si="10"/>
        <v>CHECK</v>
      </c>
      <c r="P116" s="41" t="str">
        <f t="shared" si="10"/>
        <v>CHECK</v>
      </c>
      <c r="Q116" s="41" t="str">
        <f t="shared" si="10"/>
        <v>CHECK</v>
      </c>
      <c r="R116" s="41" t="str">
        <f t="shared" si="10"/>
        <v>CHECK</v>
      </c>
      <c r="S116" s="41" t="str">
        <f t="shared" si="10"/>
        <v>CHECK</v>
      </c>
      <c r="T116" s="41" t="str">
        <f t="shared" si="10"/>
        <v>CHECK</v>
      </c>
      <c r="U116" s="41"/>
      <c r="V116" s="41"/>
    </row>
    <row r="117" spans="1:22" x14ac:dyDescent="0.25">
      <c r="A117" s="11" t="s">
        <v>177</v>
      </c>
      <c r="B117" s="11" t="s">
        <v>1096</v>
      </c>
      <c r="C117" s="11" t="s">
        <v>493</v>
      </c>
      <c r="D117" s="11" t="s">
        <v>1095</v>
      </c>
      <c r="E117" s="41" t="str">
        <f t="shared" ref="E117:T117" si="11">IFERROR(((E27/E84)-1),"CHECK")</f>
        <v>CHECK</v>
      </c>
      <c r="F117" s="41" t="str">
        <f t="shared" si="11"/>
        <v>CHECK</v>
      </c>
      <c r="G117" s="41" t="str">
        <f t="shared" si="11"/>
        <v>CHECK</v>
      </c>
      <c r="H117" s="41" t="str">
        <f t="shared" si="11"/>
        <v>CHECK</v>
      </c>
      <c r="I117" s="41" t="str">
        <f t="shared" si="11"/>
        <v>CHECK</v>
      </c>
      <c r="J117" s="41" t="str">
        <f t="shared" si="11"/>
        <v>CHECK</v>
      </c>
      <c r="K117" s="41" t="str">
        <f t="shared" si="11"/>
        <v>CHECK</v>
      </c>
      <c r="L117" s="41" t="str">
        <f t="shared" si="11"/>
        <v>CHECK</v>
      </c>
      <c r="M117" s="41" t="str">
        <f t="shared" si="11"/>
        <v>CHECK</v>
      </c>
      <c r="N117" s="41" t="str">
        <f t="shared" si="11"/>
        <v>CHECK</v>
      </c>
      <c r="O117" s="41" t="str">
        <f t="shared" si="11"/>
        <v>CHECK</v>
      </c>
      <c r="P117" s="41" t="str">
        <f t="shared" si="11"/>
        <v>CHECK</v>
      </c>
      <c r="Q117" s="41" t="str">
        <f t="shared" si="11"/>
        <v>CHECK</v>
      </c>
      <c r="R117" s="41" t="str">
        <f t="shared" si="11"/>
        <v>CHECK</v>
      </c>
      <c r="S117" s="41" t="str">
        <f t="shared" si="11"/>
        <v>CHECK</v>
      </c>
      <c r="T117" s="41" t="str">
        <f t="shared" si="11"/>
        <v>CHECK</v>
      </c>
      <c r="U117" s="41"/>
      <c r="V117" s="41"/>
    </row>
    <row r="118" spans="1:22" x14ac:dyDescent="0.25">
      <c r="A118" s="11"/>
      <c r="B118" s="11"/>
      <c r="C118" s="11"/>
      <c r="D118" s="11"/>
      <c r="E118" s="41"/>
      <c r="F118" s="41"/>
      <c r="G118" s="41"/>
      <c r="H118" s="41"/>
      <c r="I118" s="41"/>
      <c r="J118" s="41"/>
      <c r="K118" s="41"/>
      <c r="L118" s="41"/>
      <c r="M118" s="41"/>
      <c r="N118" s="41"/>
      <c r="O118" s="41"/>
      <c r="P118" s="41"/>
      <c r="Q118" s="41"/>
      <c r="R118" s="41"/>
      <c r="S118" s="41"/>
      <c r="T118" s="41"/>
      <c r="U118" s="41"/>
      <c r="V118" s="41"/>
    </row>
    <row r="119" spans="1:22" x14ac:dyDescent="0.25">
      <c r="A119" s="11" t="s">
        <v>177</v>
      </c>
      <c r="B119" s="11" t="s">
        <v>1091</v>
      </c>
      <c r="C119" s="11" t="s">
        <v>496</v>
      </c>
      <c r="D119" s="11"/>
      <c r="E119" s="41" t="str">
        <f t="shared" ref="E119:T119" si="12">IFERROR(((E29/E86)-1),"CHECK")</f>
        <v>CHECK</v>
      </c>
      <c r="F119" s="41" t="str">
        <f t="shared" si="12"/>
        <v>CHECK</v>
      </c>
      <c r="G119" s="41" t="str">
        <f t="shared" si="12"/>
        <v>CHECK</v>
      </c>
      <c r="H119" s="41" t="str">
        <f t="shared" si="12"/>
        <v>CHECK</v>
      </c>
      <c r="I119" s="41" t="str">
        <f t="shared" si="12"/>
        <v>CHECK</v>
      </c>
      <c r="J119" s="41" t="str">
        <f t="shared" si="12"/>
        <v>CHECK</v>
      </c>
      <c r="K119" s="41" t="str">
        <f t="shared" si="12"/>
        <v>CHECK</v>
      </c>
      <c r="L119" s="41" t="str">
        <f t="shared" si="12"/>
        <v>CHECK</v>
      </c>
      <c r="M119" s="41" t="str">
        <f t="shared" si="12"/>
        <v>CHECK</v>
      </c>
      <c r="N119" s="41" t="str">
        <f t="shared" si="12"/>
        <v>CHECK</v>
      </c>
      <c r="O119" s="41" t="str">
        <f t="shared" si="12"/>
        <v>CHECK</v>
      </c>
      <c r="P119" s="41" t="str">
        <f t="shared" si="12"/>
        <v>CHECK</v>
      </c>
      <c r="Q119" s="41" t="str">
        <f t="shared" si="12"/>
        <v>CHECK</v>
      </c>
      <c r="R119" s="41" t="str">
        <f t="shared" si="12"/>
        <v>CHECK</v>
      </c>
      <c r="S119" s="41" t="str">
        <f t="shared" si="12"/>
        <v>CHECK</v>
      </c>
      <c r="T119" s="41" t="str">
        <f t="shared" si="12"/>
        <v>CHECK</v>
      </c>
      <c r="U119" s="41"/>
      <c r="V119" s="41"/>
    </row>
    <row r="120" spans="1:22" x14ac:dyDescent="0.25">
      <c r="A120" s="11" t="s">
        <v>177</v>
      </c>
      <c r="B120" s="11" t="s">
        <v>1092</v>
      </c>
      <c r="C120" s="11" t="s">
        <v>496</v>
      </c>
      <c r="D120" s="11" t="s">
        <v>1093</v>
      </c>
      <c r="E120" s="41" t="str">
        <f t="shared" ref="E120:T120" si="13">IFERROR(((E30/E87)-1),"CHECK")</f>
        <v>CHECK</v>
      </c>
      <c r="F120" s="41" t="str">
        <f t="shared" si="13"/>
        <v>CHECK</v>
      </c>
      <c r="G120" s="41" t="str">
        <f t="shared" si="13"/>
        <v>CHECK</v>
      </c>
      <c r="H120" s="41" t="str">
        <f t="shared" si="13"/>
        <v>CHECK</v>
      </c>
      <c r="I120" s="41" t="str">
        <f t="shared" si="13"/>
        <v>CHECK</v>
      </c>
      <c r="J120" s="41" t="str">
        <f t="shared" si="13"/>
        <v>CHECK</v>
      </c>
      <c r="K120" s="41" t="str">
        <f t="shared" si="13"/>
        <v>CHECK</v>
      </c>
      <c r="L120" s="41" t="str">
        <f t="shared" si="13"/>
        <v>CHECK</v>
      </c>
      <c r="M120" s="41" t="str">
        <f t="shared" si="13"/>
        <v>CHECK</v>
      </c>
      <c r="N120" s="41" t="str">
        <f t="shared" si="13"/>
        <v>CHECK</v>
      </c>
      <c r="O120" s="41" t="str">
        <f t="shared" si="13"/>
        <v>CHECK</v>
      </c>
      <c r="P120" s="41" t="str">
        <f t="shared" si="13"/>
        <v>CHECK</v>
      </c>
      <c r="Q120" s="41" t="str">
        <f t="shared" si="13"/>
        <v>CHECK</v>
      </c>
      <c r="R120" s="41" t="str">
        <f t="shared" si="13"/>
        <v>CHECK</v>
      </c>
      <c r="S120" s="41" t="str">
        <f t="shared" si="13"/>
        <v>CHECK</v>
      </c>
      <c r="T120" s="41" t="str">
        <f t="shared" si="13"/>
        <v>CHECK</v>
      </c>
      <c r="U120" s="41"/>
      <c r="V120" s="41"/>
    </row>
    <row r="121" spans="1:22" x14ac:dyDescent="0.25">
      <c r="A121" s="11" t="s">
        <v>177</v>
      </c>
      <c r="B121" s="11" t="s">
        <v>1094</v>
      </c>
      <c r="C121" s="11" t="s">
        <v>496</v>
      </c>
      <c r="D121" s="11" t="s">
        <v>1095</v>
      </c>
      <c r="E121" s="41" t="str">
        <f t="shared" ref="E121:T121" si="14">IFERROR(((E31/E88)-1),"CHECK")</f>
        <v>CHECK</v>
      </c>
      <c r="F121" s="41" t="str">
        <f t="shared" si="14"/>
        <v>CHECK</v>
      </c>
      <c r="G121" s="41" t="str">
        <f t="shared" si="14"/>
        <v>CHECK</v>
      </c>
      <c r="H121" s="41" t="str">
        <f t="shared" si="14"/>
        <v>CHECK</v>
      </c>
      <c r="I121" s="41" t="str">
        <f t="shared" si="14"/>
        <v>CHECK</v>
      </c>
      <c r="J121" s="41" t="str">
        <f t="shared" si="14"/>
        <v>CHECK</v>
      </c>
      <c r="K121" s="41" t="str">
        <f t="shared" si="14"/>
        <v>CHECK</v>
      </c>
      <c r="L121" s="41" t="str">
        <f t="shared" si="14"/>
        <v>CHECK</v>
      </c>
      <c r="M121" s="41" t="str">
        <f t="shared" si="14"/>
        <v>CHECK</v>
      </c>
      <c r="N121" s="41" t="str">
        <f t="shared" si="14"/>
        <v>CHECK</v>
      </c>
      <c r="O121" s="41" t="str">
        <f t="shared" si="14"/>
        <v>CHECK</v>
      </c>
      <c r="P121" s="41" t="str">
        <f t="shared" si="14"/>
        <v>CHECK</v>
      </c>
      <c r="Q121" s="41" t="str">
        <f t="shared" si="14"/>
        <v>CHECK</v>
      </c>
      <c r="R121" s="41" t="str">
        <f t="shared" si="14"/>
        <v>CHECK</v>
      </c>
      <c r="S121" s="41" t="str">
        <f t="shared" si="14"/>
        <v>CHECK</v>
      </c>
      <c r="T121" s="41" t="str">
        <f t="shared" si="14"/>
        <v>CHECK</v>
      </c>
      <c r="U121" s="41"/>
      <c r="V121" s="41"/>
    </row>
    <row r="122" spans="1:22" x14ac:dyDescent="0.25">
      <c r="A122" s="11" t="s">
        <v>177</v>
      </c>
      <c r="B122" s="11" t="s">
        <v>1096</v>
      </c>
      <c r="C122" s="11" t="s">
        <v>496</v>
      </c>
      <c r="D122" s="11" t="s">
        <v>1095</v>
      </c>
      <c r="E122" s="41" t="str">
        <f t="shared" ref="E122:T122" si="15">IFERROR(((E32/E89)-1),"CHECK")</f>
        <v>CHECK</v>
      </c>
      <c r="F122" s="41" t="str">
        <f t="shared" si="15"/>
        <v>CHECK</v>
      </c>
      <c r="G122" s="41" t="str">
        <f t="shared" si="15"/>
        <v>CHECK</v>
      </c>
      <c r="H122" s="41" t="str">
        <f t="shared" si="15"/>
        <v>CHECK</v>
      </c>
      <c r="I122" s="41" t="str">
        <f t="shared" si="15"/>
        <v>CHECK</v>
      </c>
      <c r="J122" s="41" t="str">
        <f t="shared" si="15"/>
        <v>CHECK</v>
      </c>
      <c r="K122" s="41" t="str">
        <f t="shared" si="15"/>
        <v>CHECK</v>
      </c>
      <c r="L122" s="41" t="str">
        <f t="shared" si="15"/>
        <v>CHECK</v>
      </c>
      <c r="M122" s="41" t="str">
        <f t="shared" si="15"/>
        <v>CHECK</v>
      </c>
      <c r="N122" s="41" t="str">
        <f t="shared" si="15"/>
        <v>CHECK</v>
      </c>
      <c r="O122" s="41" t="str">
        <f t="shared" si="15"/>
        <v>CHECK</v>
      </c>
      <c r="P122" s="41" t="str">
        <f t="shared" si="15"/>
        <v>CHECK</v>
      </c>
      <c r="Q122" s="41" t="str">
        <f t="shared" si="15"/>
        <v>CHECK</v>
      </c>
      <c r="R122" s="41" t="str">
        <f t="shared" si="15"/>
        <v>CHECK</v>
      </c>
      <c r="S122" s="41" t="str">
        <f t="shared" si="15"/>
        <v>CHECK</v>
      </c>
      <c r="T122" s="41" t="str">
        <f t="shared" si="15"/>
        <v>CHECK</v>
      </c>
      <c r="U122" s="41"/>
      <c r="V122" s="41"/>
    </row>
    <row r="123" spans="1:22" x14ac:dyDescent="0.25">
      <c r="A123" s="11"/>
      <c r="B123" s="11"/>
      <c r="C123" s="11"/>
      <c r="D123" s="11"/>
      <c r="E123" s="41"/>
      <c r="F123" s="41"/>
      <c r="G123" s="41"/>
      <c r="H123" s="41"/>
      <c r="I123" s="41"/>
      <c r="J123" s="41"/>
      <c r="K123" s="41"/>
      <c r="L123" s="41"/>
      <c r="M123" s="41"/>
      <c r="N123" s="41"/>
      <c r="O123" s="41"/>
      <c r="P123" s="41"/>
      <c r="Q123" s="41"/>
      <c r="R123" s="41"/>
      <c r="S123" s="41"/>
      <c r="T123" s="41"/>
      <c r="U123" s="41"/>
      <c r="V123" s="41"/>
    </row>
    <row r="124" spans="1:22" x14ac:dyDescent="0.25">
      <c r="A124" s="8"/>
      <c r="B124" s="9" t="s">
        <v>619</v>
      </c>
      <c r="C124" s="8"/>
      <c r="D124" s="8"/>
      <c r="E124" s="8"/>
      <c r="F124" s="8"/>
      <c r="G124" s="8"/>
      <c r="H124" s="8"/>
      <c r="I124" s="8"/>
      <c r="J124" s="8"/>
      <c r="K124" s="8"/>
      <c r="L124" s="8"/>
      <c r="M124" s="8"/>
      <c r="N124" s="8"/>
      <c r="O124" s="8"/>
      <c r="P124" s="8"/>
      <c r="Q124" s="8"/>
      <c r="R124" s="8"/>
      <c r="S124" s="8"/>
      <c r="T124" s="8"/>
      <c r="U124" s="8"/>
      <c r="V124" s="8"/>
    </row>
    <row r="126" spans="1:22" x14ac:dyDescent="0.25">
      <c r="A126" s="11" t="s">
        <v>177</v>
      </c>
      <c r="B126" s="11" t="s">
        <v>619</v>
      </c>
      <c r="C126" s="11" t="s">
        <v>493</v>
      </c>
      <c r="D126" s="11" t="s">
        <v>892</v>
      </c>
      <c r="E126" s="41" t="str">
        <f t="shared" ref="E126:T126" si="16">IFERROR(((E36/E93)-1),"CHECK")</f>
        <v>CHECK</v>
      </c>
      <c r="F126" s="41" t="str">
        <f t="shared" si="16"/>
        <v>CHECK</v>
      </c>
      <c r="G126" s="41" t="str">
        <f t="shared" si="16"/>
        <v>CHECK</v>
      </c>
      <c r="H126" s="41" t="str">
        <f t="shared" si="16"/>
        <v>CHECK</v>
      </c>
      <c r="I126" s="41" t="str">
        <f t="shared" si="16"/>
        <v>CHECK</v>
      </c>
      <c r="J126" s="41" t="str">
        <f t="shared" si="16"/>
        <v>CHECK</v>
      </c>
      <c r="K126" s="41" t="str">
        <f t="shared" si="16"/>
        <v>CHECK</v>
      </c>
      <c r="L126" s="41" t="str">
        <f t="shared" si="16"/>
        <v>CHECK</v>
      </c>
      <c r="M126" s="41" t="str">
        <f t="shared" si="16"/>
        <v>CHECK</v>
      </c>
      <c r="N126" s="41" t="str">
        <f t="shared" si="16"/>
        <v>CHECK</v>
      </c>
      <c r="O126" s="41" t="str">
        <f t="shared" si="16"/>
        <v>CHECK</v>
      </c>
      <c r="P126" s="41" t="str">
        <f t="shared" si="16"/>
        <v>CHECK</v>
      </c>
      <c r="Q126" s="41">
        <f t="shared" si="16"/>
        <v>0</v>
      </c>
      <c r="R126" s="41">
        <f t="shared" si="16"/>
        <v>0</v>
      </c>
      <c r="S126" s="41">
        <f t="shared" si="16"/>
        <v>0</v>
      </c>
      <c r="T126" s="41">
        <f t="shared" si="16"/>
        <v>0</v>
      </c>
      <c r="U126" s="41"/>
      <c r="V126" s="41"/>
    </row>
    <row r="127" spans="1:22" x14ac:dyDescent="0.25">
      <c r="A127" s="11" t="s">
        <v>177</v>
      </c>
      <c r="B127" s="11" t="s">
        <v>619</v>
      </c>
      <c r="C127" s="11" t="s">
        <v>496</v>
      </c>
      <c r="D127" s="11" t="s">
        <v>892</v>
      </c>
      <c r="E127" s="41" t="str">
        <f t="shared" ref="E127:T127" si="17">IFERROR(((E37/E94)-1),"CHECK")</f>
        <v>CHECK</v>
      </c>
      <c r="F127" s="41" t="str">
        <f t="shared" si="17"/>
        <v>CHECK</v>
      </c>
      <c r="G127" s="41" t="str">
        <f t="shared" si="17"/>
        <v>CHECK</v>
      </c>
      <c r="H127" s="41" t="str">
        <f t="shared" si="17"/>
        <v>CHECK</v>
      </c>
      <c r="I127" s="41" t="str">
        <f t="shared" si="17"/>
        <v>CHECK</v>
      </c>
      <c r="J127" s="41" t="str">
        <f t="shared" si="17"/>
        <v>CHECK</v>
      </c>
      <c r="K127" s="41" t="str">
        <f t="shared" si="17"/>
        <v>CHECK</v>
      </c>
      <c r="L127" s="41" t="str">
        <f t="shared" si="17"/>
        <v>CHECK</v>
      </c>
      <c r="M127" s="41" t="str">
        <f t="shared" si="17"/>
        <v>CHECK</v>
      </c>
      <c r="N127" s="41" t="str">
        <f t="shared" si="17"/>
        <v>CHECK</v>
      </c>
      <c r="O127" s="41" t="str">
        <f t="shared" si="17"/>
        <v>CHECK</v>
      </c>
      <c r="P127" s="41">
        <f t="shared" si="17"/>
        <v>0</v>
      </c>
      <c r="Q127" s="41">
        <f t="shared" si="17"/>
        <v>0</v>
      </c>
      <c r="R127" s="41">
        <f t="shared" si="17"/>
        <v>0</v>
      </c>
      <c r="S127" s="41">
        <f t="shared" si="17"/>
        <v>0</v>
      </c>
      <c r="T127" s="41">
        <f t="shared" si="17"/>
        <v>0</v>
      </c>
      <c r="U127" s="41"/>
      <c r="V127" s="41"/>
    </row>
    <row r="128" spans="1:22" x14ac:dyDescent="0.25">
      <c r="A128" s="11"/>
      <c r="B128" s="11"/>
      <c r="C128" s="11"/>
      <c r="D128" s="11"/>
    </row>
    <row r="129" spans="1:22" x14ac:dyDescent="0.25">
      <c r="A129" s="11" t="s">
        <v>177</v>
      </c>
      <c r="B129" s="11" t="s">
        <v>619</v>
      </c>
      <c r="C129" s="11" t="s">
        <v>493</v>
      </c>
      <c r="D129" s="11" t="s">
        <v>1097</v>
      </c>
      <c r="E129" s="41" t="str">
        <f t="shared" ref="E129:T129" si="18">IFERROR(((E39/E96)-1),"CHECK")</f>
        <v>CHECK</v>
      </c>
      <c r="F129" s="41" t="str">
        <f t="shared" si="18"/>
        <v>CHECK</v>
      </c>
      <c r="G129" s="41" t="str">
        <f t="shared" si="18"/>
        <v>CHECK</v>
      </c>
      <c r="H129" s="41" t="str">
        <f t="shared" si="18"/>
        <v>CHECK</v>
      </c>
      <c r="I129" s="41" t="str">
        <f t="shared" si="18"/>
        <v>CHECK</v>
      </c>
      <c r="J129" s="41" t="str">
        <f t="shared" si="18"/>
        <v>CHECK</v>
      </c>
      <c r="K129" s="41" t="str">
        <f t="shared" si="18"/>
        <v>CHECK</v>
      </c>
      <c r="L129" s="41" t="str">
        <f t="shared" si="18"/>
        <v>CHECK</v>
      </c>
      <c r="M129" s="41" t="str">
        <f t="shared" si="18"/>
        <v>CHECK</v>
      </c>
      <c r="N129" s="41" t="str">
        <f t="shared" si="18"/>
        <v>CHECK</v>
      </c>
      <c r="O129" s="41" t="str">
        <f t="shared" si="18"/>
        <v>CHECK</v>
      </c>
      <c r="P129" s="41" t="str">
        <f t="shared" si="18"/>
        <v>CHECK</v>
      </c>
      <c r="Q129" s="41">
        <f t="shared" si="18"/>
        <v>0</v>
      </c>
      <c r="R129" s="41">
        <f t="shared" si="18"/>
        <v>0</v>
      </c>
      <c r="S129" s="41">
        <f t="shared" si="18"/>
        <v>0</v>
      </c>
      <c r="T129" s="41">
        <f t="shared" si="18"/>
        <v>0</v>
      </c>
      <c r="U129" s="41"/>
      <c r="V129" s="41"/>
    </row>
    <row r="130" spans="1:22" x14ac:dyDescent="0.25">
      <c r="A130" s="11" t="s">
        <v>177</v>
      </c>
      <c r="B130" s="11" t="s">
        <v>619</v>
      </c>
      <c r="C130" s="11" t="s">
        <v>496</v>
      </c>
      <c r="D130" s="11" t="s">
        <v>1097</v>
      </c>
      <c r="E130" s="41" t="str">
        <f t="shared" ref="E130:T130" si="19">IFERROR(((E40/E97)-1),"CHECK")</f>
        <v>CHECK</v>
      </c>
      <c r="F130" s="41" t="str">
        <f t="shared" si="19"/>
        <v>CHECK</v>
      </c>
      <c r="G130" s="41" t="str">
        <f t="shared" si="19"/>
        <v>CHECK</v>
      </c>
      <c r="H130" s="41" t="str">
        <f t="shared" si="19"/>
        <v>CHECK</v>
      </c>
      <c r="I130" s="41" t="str">
        <f t="shared" si="19"/>
        <v>CHECK</v>
      </c>
      <c r="J130" s="41" t="str">
        <f t="shared" si="19"/>
        <v>CHECK</v>
      </c>
      <c r="K130" s="41" t="str">
        <f t="shared" si="19"/>
        <v>CHECK</v>
      </c>
      <c r="L130" s="41" t="str">
        <f t="shared" si="19"/>
        <v>CHECK</v>
      </c>
      <c r="M130" s="41" t="str">
        <f t="shared" si="19"/>
        <v>CHECK</v>
      </c>
      <c r="N130" s="41" t="str">
        <f t="shared" si="19"/>
        <v>CHECK</v>
      </c>
      <c r="O130" s="41" t="str">
        <f t="shared" si="19"/>
        <v>CHECK</v>
      </c>
      <c r="P130" s="41">
        <f t="shared" si="19"/>
        <v>0</v>
      </c>
      <c r="Q130" s="41">
        <f t="shared" si="19"/>
        <v>0</v>
      </c>
      <c r="R130" s="41">
        <f t="shared" si="19"/>
        <v>0</v>
      </c>
      <c r="S130" s="41">
        <f t="shared" si="19"/>
        <v>0</v>
      </c>
      <c r="T130" s="41">
        <f t="shared" si="19"/>
        <v>0</v>
      </c>
      <c r="U130" s="41"/>
      <c r="V130" s="41"/>
    </row>
    <row r="131" spans="1:22" x14ac:dyDescent="0.25">
      <c r="A131" s="10" t="s">
        <v>177</v>
      </c>
      <c r="B131" s="10" t="s">
        <v>1067</v>
      </c>
      <c r="C131" s="10" t="s">
        <v>836</v>
      </c>
      <c r="D131" s="10" t="s">
        <v>1097</v>
      </c>
      <c r="E131" s="41" t="str">
        <f t="shared" ref="E131:T131" si="20">IFERROR(((E41/E98)-1),"CHECK")</f>
        <v>CHECK</v>
      </c>
      <c r="F131" s="41" t="str">
        <f t="shared" si="20"/>
        <v>CHECK</v>
      </c>
      <c r="G131" s="41" t="str">
        <f t="shared" si="20"/>
        <v>CHECK</v>
      </c>
      <c r="H131" s="41" t="str">
        <f t="shared" si="20"/>
        <v>CHECK</v>
      </c>
      <c r="I131" s="41" t="str">
        <f t="shared" si="20"/>
        <v>CHECK</v>
      </c>
      <c r="J131" s="41" t="str">
        <f t="shared" si="20"/>
        <v>CHECK</v>
      </c>
      <c r="K131" s="41" t="str">
        <f t="shared" si="20"/>
        <v>CHECK</v>
      </c>
      <c r="L131" s="41" t="str">
        <f t="shared" si="20"/>
        <v>CHECK</v>
      </c>
      <c r="M131" s="41" t="str">
        <f t="shared" si="20"/>
        <v>CHECK</v>
      </c>
      <c r="N131" s="41" t="str">
        <f t="shared" si="20"/>
        <v>CHECK</v>
      </c>
      <c r="O131" s="41" t="str">
        <f t="shared" si="20"/>
        <v>CHECK</v>
      </c>
      <c r="P131" s="41">
        <f t="shared" si="20"/>
        <v>0</v>
      </c>
      <c r="Q131" s="41">
        <f t="shared" si="20"/>
        <v>0</v>
      </c>
      <c r="R131" s="41">
        <f t="shared" si="20"/>
        <v>0</v>
      </c>
      <c r="S131" s="41">
        <f t="shared" si="20"/>
        <v>0</v>
      </c>
      <c r="T131" s="41">
        <f t="shared" si="20"/>
        <v>0</v>
      </c>
      <c r="U131" s="41"/>
      <c r="V131" s="41"/>
    </row>
  </sheetData>
  <mergeCells count="2">
    <mergeCell ref="C1:J1"/>
    <mergeCell ref="C2:J2"/>
  </mergeCells>
  <conditionalFormatting sqref="E104:T111 E114:T123">
    <cfRule type="colorScale" priority="10">
      <colorScale>
        <cfvo type="min"/>
        <cfvo type="num" val="0"/>
        <cfvo type="max"/>
        <color theme="3" tint="0.59999389629810485"/>
        <color theme="0"/>
        <color rgb="FFEE9CA4"/>
      </colorScale>
    </cfRule>
  </conditionalFormatting>
  <conditionalFormatting sqref="U114:V123 U126:V126 U104:V111">
    <cfRule type="colorScale" priority="5">
      <colorScale>
        <cfvo type="min"/>
        <cfvo type="num" val="0"/>
        <cfvo type="max"/>
        <color theme="3" tint="0.59999389629810485"/>
        <color theme="0"/>
        <color rgb="FFEE9CA4"/>
      </colorScale>
    </cfRule>
  </conditionalFormatting>
  <conditionalFormatting sqref="U127:V127">
    <cfRule type="colorScale" priority="4">
      <colorScale>
        <cfvo type="min"/>
        <cfvo type="num" val="0"/>
        <cfvo type="max"/>
        <color theme="3" tint="0.59999389629810485"/>
        <color theme="0"/>
        <color rgb="FFEE9CA4"/>
      </colorScale>
    </cfRule>
  </conditionalFormatting>
  <conditionalFormatting sqref="U129:V131">
    <cfRule type="colorScale" priority="3">
      <colorScale>
        <cfvo type="min"/>
        <cfvo type="num" val="0"/>
        <cfvo type="max"/>
        <color theme="3" tint="0.59999389629810485"/>
        <color theme="0"/>
        <color rgb="FFEE9CA4"/>
      </colorScale>
    </cfRule>
  </conditionalFormatting>
  <conditionalFormatting sqref="E126:T127">
    <cfRule type="colorScale" priority="2">
      <colorScale>
        <cfvo type="min"/>
        <cfvo type="num" val="0"/>
        <cfvo type="max"/>
        <color theme="3" tint="0.59999389629810485"/>
        <color theme="0"/>
        <color rgb="FFEE9CA4"/>
      </colorScale>
    </cfRule>
  </conditionalFormatting>
  <conditionalFormatting sqref="E129:T131">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A00-000000000000}">
      <formula1>"Draft - not checked, Undergoing QA/QC, Checked, Final"</formula1>
    </dataValidation>
  </dataValidations>
  <pageMargins left="0.7" right="0.7" top="0.75" bottom="0.75" header="0.3" footer="0.3"/>
  <pageSetup paperSize="9" orientation="portrait" verticalDpi="0" r:id="rId1"/>
  <drawing r:id="rId2"/>
  <extLst>
    <ext xmlns:x14="http://schemas.microsoft.com/office/spreadsheetml/2009/9/main" uri="{78C0D931-6437-407d-A8EE-F0AAD7539E65}">
      <x14:conditionalFormattings>
        <x14:conditionalFormatting xmlns:xm="http://schemas.microsoft.com/office/excel/2006/main">
          <x14:cfRule type="expression" priority="8" id="{4CE9770F-A356-4A68-B442-F784E2881B01}">
            <xm:f>(UPPER(LEFT(SUBSTITUTE('2F1 Refrigeration and AC'!$Z2,"#",""),5))="FIXCH")</xm:f>
            <x14:dxf>
              <fill>
                <patternFill>
                  <bgColor rgb="FF99CC00"/>
                </patternFill>
              </fill>
            </x14:dxf>
          </x14:cfRule>
          <x14:cfRule type="expression" priority="9" id="{E3006A4D-8B84-44DC-AFC8-BED082026F8A}">
            <xm:f>(UPPER(SUBSTITUTE('2F1 Refrigeration and AC'!$Z2,"#",""))="OK")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A00-0000A5000000}">
          <x14:colorSeries rgb="FF376092"/>
          <x14:colorNegative rgb="FFD00000"/>
          <x14:colorAxis rgb="FF000000"/>
          <x14:colorMarkers rgb="FFD00000"/>
          <x14:colorFirst rgb="FFD00000"/>
          <x14:colorLast rgb="FFD00000"/>
          <x14:colorHigh rgb="FFD00000"/>
          <x14:colorLow rgb="FFD00000"/>
          <x14:sparklines>
            <x14:sparkline>
              <xm:f>'2F3 Fire protection'!E81:T81</xm:f>
              <xm:sqref>W81</xm:sqref>
            </x14:sparkline>
            <x14:sparkline>
              <xm:f>'2F3 Fire protection'!E82:T82</xm:f>
              <xm:sqref>W82</xm:sqref>
            </x14:sparkline>
            <x14:sparkline>
              <xm:f>'2F3 Fire protection'!E83:T83</xm:f>
              <xm:sqref>W83</xm:sqref>
            </x14:sparkline>
            <x14:sparkline>
              <xm:f>'2F3 Fire protection'!E84:T84</xm:f>
              <xm:sqref>W84</xm:sqref>
            </x14:sparkline>
            <x14:sparkline>
              <xm:f>'2F3 Fire protection'!E85:T85</xm:f>
              <xm:sqref>W85</xm:sqref>
            </x14:sparkline>
            <x14:sparkline>
              <xm:f>'2F3 Fire protection'!E86:T86</xm:f>
              <xm:sqref>W86</xm:sqref>
            </x14:sparkline>
            <x14:sparkline>
              <xm:f>'2F3 Fire protection'!E87:T87</xm:f>
              <xm:sqref>W87</xm:sqref>
            </x14:sparkline>
            <x14:sparkline>
              <xm:f>'2F3 Fire protection'!E88:T88</xm:f>
              <xm:sqref>W88</xm:sqref>
            </x14:sparkline>
            <x14:sparkline>
              <xm:f>'2F3 Fire protection'!E89:T89</xm:f>
              <xm:sqref>W89</xm:sqref>
            </x14:sparkline>
          </x14:sparklines>
        </x14:sparklineGroup>
        <x14:sparklineGroup manualMax="0" manualMin="0" displayEmptyCellsAs="gap" xr2:uid="{00000000-0003-0000-2A00-0000A4000000}">
          <x14:colorSeries rgb="FF376092"/>
          <x14:colorNegative rgb="FFD00000"/>
          <x14:colorAxis rgb="FF000000"/>
          <x14:colorMarkers rgb="FFD00000"/>
          <x14:colorFirst rgb="FFD00000"/>
          <x14:colorLast rgb="FFD00000"/>
          <x14:colorHigh rgb="FFD00000"/>
          <x14:colorLow rgb="FFD00000"/>
          <x14:sparklines>
            <x14:sparkline>
              <xm:f>'2F3 Fire protection'!E93:V93</xm:f>
              <xm:sqref>W93</xm:sqref>
            </x14:sparkline>
            <x14:sparkline>
              <xm:f>'2F3 Fire protection'!E94:V94</xm:f>
              <xm:sqref>W94</xm:sqref>
            </x14:sparkline>
            <x14:sparkline>
              <xm:f>'2F3 Fire protection'!E95:V95</xm:f>
              <xm:sqref>W95</xm:sqref>
            </x14:sparkline>
            <x14:sparkline>
              <xm:f>'2F3 Fire protection'!E96:V96</xm:f>
              <xm:sqref>W96</xm:sqref>
            </x14:sparkline>
            <x14:sparkline>
              <xm:f>'2F3 Fire protection'!E97:V97</xm:f>
              <xm:sqref>W97</xm:sqref>
            </x14:sparkline>
            <x14:sparkline>
              <xm:f>'2F3 Fire protection'!E98:V98</xm:f>
              <xm:sqref>W98</xm:sqref>
            </x14:sparkline>
          </x14:sparklines>
        </x14:sparklineGroup>
        <x14:sparklineGroup manualMax="0" manualMin="0" displayEmptyCellsAs="gap" xr2:uid="{00000000-0003-0000-2A00-0000A3000000}">
          <x14:colorSeries rgb="FF376092"/>
          <x14:colorNegative rgb="FFD00000"/>
          <x14:colorAxis rgb="FF000000"/>
          <x14:colorMarkers rgb="FFD00000"/>
          <x14:colorFirst rgb="FFD00000"/>
          <x14:colorLast rgb="FFD00000"/>
          <x14:colorHigh rgb="FFD00000"/>
          <x14:colorLow rgb="FFD00000"/>
          <x14:sparklines>
            <x14:sparkline>
              <xm:f>'2F3 Fire protection'!E71:T71</xm:f>
              <xm:sqref>W71</xm:sqref>
            </x14:sparkline>
            <x14:sparkline>
              <xm:f>'2F3 Fire protection'!E72:T72</xm:f>
              <xm:sqref>W72</xm:sqref>
            </x14:sparkline>
            <x14:sparkline>
              <xm:f>'2F3 Fire protection'!E73:T73</xm:f>
              <xm:sqref>W73</xm:sqref>
            </x14:sparkline>
            <x14:sparkline>
              <xm:f>'2F3 Fire protection'!E74:T74</xm:f>
              <xm:sqref>W74</xm:sqref>
            </x14:sparkline>
            <x14:sparkline>
              <xm:f>'2F3 Fire protection'!E75:T75</xm:f>
              <xm:sqref>W75</xm:sqref>
            </x14:sparkline>
            <x14:sparkline>
              <xm:f>'2F3 Fire protection'!E76:T76</xm:f>
              <xm:sqref>W76</xm:sqref>
            </x14:sparkline>
            <x14:sparkline>
              <xm:f>'2F3 Fire protection'!E77:T77</xm:f>
              <xm:sqref>W77</xm:sqref>
            </x14:sparkline>
            <x14:sparkline>
              <xm:f>'2F3 Fire protection'!E78:T78</xm:f>
              <xm:sqref>W78</xm:sqref>
            </x14:sparkline>
          </x14:sparklines>
        </x14:sparklineGroup>
        <x14:sparklineGroup manualMax="0" manualMin="0" displayEmptyCellsAs="gap" xr2:uid="{00000000-0003-0000-2A00-0000A2000000}">
          <x14:colorSeries rgb="FF376092"/>
          <x14:colorNegative rgb="FFD00000"/>
          <x14:colorAxis rgb="FF000000"/>
          <x14:colorMarkers rgb="FFD00000"/>
          <x14:colorFirst rgb="FFD00000"/>
          <x14:colorLast rgb="FFD00000"/>
          <x14:colorHigh rgb="FFD00000"/>
          <x14:colorLow rgb="FFD00000"/>
          <x14:sparklines>
            <x14:sparkline>
              <xm:f>'2F3 Fire protection'!E90:S90</xm:f>
              <xm:sqref>W90</xm:sqref>
            </x14:sparkline>
          </x14:sparklines>
        </x14:sparklineGroup>
        <x14:sparklineGroup manualMax="0" manualMin="0" displayEmptyCellsAs="gap" xr2:uid="{00000000-0003-0000-2A00-0000A1000000}">
          <x14:colorSeries rgb="FF376092"/>
          <x14:colorNegative rgb="FFD00000"/>
          <x14:colorAxis rgb="FF000000"/>
          <x14:colorMarkers rgb="FFD00000"/>
          <x14:colorFirst rgb="FFD00000"/>
          <x14:colorLast rgb="FFD00000"/>
          <x14:colorHigh rgb="FFD00000"/>
          <x14:colorLow rgb="FFD00000"/>
          <x14:sparklines>
            <x14:sparkline>
              <xm:f>'2F3 Fire protection'!E33:S33</xm:f>
              <xm:sqref>W33</xm:sqref>
            </x14:sparkline>
          </x14:sparklines>
        </x14:sparklineGroup>
        <x14:sparklineGroup manualMax="0" manualMin="0" displayEmptyCellsAs="gap" xr2:uid="{00000000-0003-0000-2A00-0000A0000000}">
          <x14:colorSeries rgb="FF376092"/>
          <x14:colorNegative rgb="FFD00000"/>
          <x14:colorAxis rgb="FF000000"/>
          <x14:colorMarkers rgb="FFD00000"/>
          <x14:colorFirst rgb="FFD00000"/>
          <x14:colorLast rgb="FFD00000"/>
          <x14:colorHigh rgb="FFD00000"/>
          <x14:colorLow rgb="FFD00000"/>
          <x14:sparklines>
            <x14:sparkline>
              <xm:f>'2F3 Fire protection'!E14:T14</xm:f>
              <xm:sqref>W14</xm:sqref>
            </x14:sparkline>
            <x14:sparkline>
              <xm:f>'2F3 Fire protection'!E15:T15</xm:f>
              <xm:sqref>W15</xm:sqref>
            </x14:sparkline>
            <x14:sparkline>
              <xm:f>'2F3 Fire protection'!E16:T16</xm:f>
              <xm:sqref>W16</xm:sqref>
            </x14:sparkline>
            <x14:sparkline>
              <xm:f>'2F3 Fire protection'!E17:T17</xm:f>
              <xm:sqref>W17</xm:sqref>
            </x14:sparkline>
            <x14:sparkline>
              <xm:f>'2F3 Fire protection'!E18:T18</xm:f>
              <xm:sqref>W18</xm:sqref>
            </x14:sparkline>
            <x14:sparkline>
              <xm:f>'2F3 Fire protection'!E19:T19</xm:f>
              <xm:sqref>W19</xm:sqref>
            </x14:sparkline>
            <x14:sparkline>
              <xm:f>'2F3 Fire protection'!E20:T20</xm:f>
              <xm:sqref>W20</xm:sqref>
            </x14:sparkline>
            <x14:sparkline>
              <xm:f>'2F3 Fire protection'!E21:T21</xm:f>
              <xm:sqref>W21</xm:sqref>
            </x14:sparkline>
          </x14:sparklines>
        </x14:sparklineGroup>
        <x14:sparklineGroup manualMax="0" manualMin="0" displayEmptyCellsAs="gap" xr2:uid="{00000000-0003-0000-2A00-00009F000000}">
          <x14:colorSeries rgb="FF376092"/>
          <x14:colorNegative rgb="FFD00000"/>
          <x14:colorAxis rgb="FF000000"/>
          <x14:colorMarkers rgb="FFD00000"/>
          <x14:colorFirst rgb="FFD00000"/>
          <x14:colorLast rgb="FFD00000"/>
          <x14:colorHigh rgb="FFD00000"/>
          <x14:colorLow rgb="FFD00000"/>
          <x14:sparklines>
            <x14:sparkline>
              <xm:f>'2F3 Fire protection'!E36:V36</xm:f>
              <xm:sqref>W36</xm:sqref>
            </x14:sparkline>
            <x14:sparkline>
              <xm:f>'2F3 Fire protection'!E37:V37</xm:f>
              <xm:sqref>W37</xm:sqref>
            </x14:sparkline>
            <x14:sparkline>
              <xm:f>'2F3 Fire protection'!E38:V38</xm:f>
              <xm:sqref>W38</xm:sqref>
            </x14:sparkline>
            <x14:sparkline>
              <xm:f>'2F3 Fire protection'!E39:V39</xm:f>
              <xm:sqref>W39</xm:sqref>
            </x14:sparkline>
            <x14:sparkline>
              <xm:f>'2F3 Fire protection'!E40:V40</xm:f>
              <xm:sqref>W40</xm:sqref>
            </x14:sparkline>
            <x14:sparkline>
              <xm:f>'2F3 Fire protection'!E41:V41</xm:f>
              <xm:sqref>W41</xm:sqref>
            </x14:sparkline>
          </x14:sparklines>
        </x14:sparklineGroup>
        <x14:sparklineGroup manualMax="0" manualMin="0" displayEmptyCellsAs="gap" xr2:uid="{00000000-0003-0000-2A00-00009E000000}">
          <x14:colorSeries rgb="FF376092"/>
          <x14:colorNegative rgb="FFD00000"/>
          <x14:colorAxis rgb="FF000000"/>
          <x14:colorMarkers rgb="FFD00000"/>
          <x14:colorFirst rgb="FFD00000"/>
          <x14:colorLast rgb="FFD00000"/>
          <x14:colorHigh rgb="FFD00000"/>
          <x14:colorLow rgb="FFD00000"/>
          <x14:sparklines>
            <x14:sparkline>
              <xm:f>'2F3 Fire protection'!E24:T24</xm:f>
              <xm:sqref>W24</xm:sqref>
            </x14:sparkline>
            <x14:sparkline>
              <xm:f>'2F3 Fire protection'!E25:T25</xm:f>
              <xm:sqref>W25</xm:sqref>
            </x14:sparkline>
            <x14:sparkline>
              <xm:f>'2F3 Fire protection'!E26:T26</xm:f>
              <xm:sqref>W26</xm:sqref>
            </x14:sparkline>
            <x14:sparkline>
              <xm:f>'2F3 Fire protection'!E27:T27</xm:f>
              <xm:sqref>W27</xm:sqref>
            </x14:sparkline>
            <x14:sparkline>
              <xm:f>'2F3 Fire protection'!E28:T28</xm:f>
              <xm:sqref>W28</xm:sqref>
            </x14:sparkline>
            <x14:sparkline>
              <xm:f>'2F3 Fire protection'!E29:T29</xm:f>
              <xm:sqref>W29</xm:sqref>
            </x14:sparkline>
            <x14:sparkline>
              <xm:f>'2F3 Fire protection'!E30:T30</xm:f>
              <xm:sqref>W30</xm:sqref>
            </x14:sparkline>
            <x14:sparkline>
              <xm:f>'2F3 Fire protection'!E31:T31</xm:f>
              <xm:sqref>W31</xm:sqref>
            </x14:sparkline>
            <x14:sparkline>
              <xm:f>'2F3 Fire protection'!E32:T32</xm:f>
              <xm:sqref>W32</xm:sqref>
            </x14:sparkline>
          </x14:sparklines>
        </x14:sparklineGroup>
      </x14:sparklineGroup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0">
    <tabColor theme="3" tint="0.79998168889431442"/>
  </sheetPr>
  <dimension ref="A1:Y131"/>
  <sheetViews>
    <sheetView topLeftCell="C17" workbookViewId="0">
      <selection activeCell="C36" sqref="C36:C37"/>
    </sheetView>
  </sheetViews>
  <sheetFormatPr defaultRowHeight="15" x14ac:dyDescent="0.25"/>
  <cols>
    <col min="1" max="1" width="35.5703125" bestFit="1" customWidth="1"/>
    <col min="2" max="2" width="56.140625" customWidth="1"/>
    <col min="3" max="3" width="10.42578125" customWidth="1"/>
    <col min="4" max="4" width="19" customWidth="1"/>
    <col min="5" max="23" width="10.42578125" customWidth="1"/>
  </cols>
  <sheetData>
    <row r="1" spans="1:23" x14ac:dyDescent="0.25">
      <c r="A1" s="15" t="s">
        <v>855</v>
      </c>
      <c r="B1" s="4" t="str">
        <f ca="1">MID(CELL("filename",A1),FIND("]",CELL("filename",A1))+1,256)</f>
        <v>2F4 Aerosols</v>
      </c>
      <c r="C1" s="261" t="s">
        <v>856</v>
      </c>
      <c r="D1" s="262"/>
      <c r="E1" s="262"/>
      <c r="F1" s="262"/>
      <c r="G1" s="262"/>
      <c r="H1" s="262"/>
      <c r="I1" s="262"/>
      <c r="J1" s="263"/>
      <c r="K1" s="14"/>
    </row>
    <row r="2" spans="1:23" x14ac:dyDescent="0.25">
      <c r="A2" s="15" t="s">
        <v>736</v>
      </c>
      <c r="B2" s="33" t="s">
        <v>857</v>
      </c>
      <c r="C2" s="264"/>
      <c r="D2" s="265"/>
      <c r="E2" s="265"/>
      <c r="F2" s="265"/>
      <c r="G2" s="265"/>
      <c r="H2" s="265"/>
      <c r="I2" s="265"/>
      <c r="J2" s="266"/>
      <c r="K2" s="14"/>
    </row>
    <row r="3" spans="1:23" x14ac:dyDescent="0.25">
      <c r="A3" s="15" t="s">
        <v>858</v>
      </c>
      <c r="B3" s="33" t="s">
        <v>859</v>
      </c>
      <c r="C3" s="16"/>
      <c r="D3" s="17"/>
      <c r="E3" s="17"/>
      <c r="F3" s="17"/>
      <c r="G3" s="17"/>
      <c r="H3" s="17"/>
      <c r="I3" s="17"/>
      <c r="J3" s="18"/>
    </row>
    <row r="4" spans="1:23" x14ac:dyDescent="0.25">
      <c r="A4" s="15" t="s">
        <v>860</v>
      </c>
      <c r="B4" s="33" t="s">
        <v>1083</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1010</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ht="21" x14ac:dyDescent="0.35">
      <c r="A11" s="5"/>
      <c r="B11" s="6" t="s">
        <v>865</v>
      </c>
      <c r="C11" s="5"/>
      <c r="D11" s="5"/>
      <c r="E11" s="5" t="s">
        <v>866</v>
      </c>
      <c r="F11" s="5"/>
      <c r="G11" s="5"/>
      <c r="H11" s="5"/>
      <c r="I11" s="5"/>
      <c r="J11" s="5"/>
      <c r="K11" s="5"/>
      <c r="L11" s="5"/>
      <c r="M11" s="5"/>
      <c r="N11" s="5"/>
      <c r="O11" s="5"/>
      <c r="P11" s="5"/>
      <c r="Q11" s="5"/>
      <c r="R11" s="5"/>
      <c r="S11" s="5"/>
      <c r="T11" s="5"/>
      <c r="U11" s="5"/>
      <c r="V11" s="5"/>
      <c r="W11" s="5"/>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x14ac:dyDescent="0.25">
      <c r="A14" t="s">
        <v>181</v>
      </c>
      <c r="B14" t="s">
        <v>1085</v>
      </c>
      <c r="C14" t="s">
        <v>494</v>
      </c>
      <c r="D14" t="s">
        <v>892</v>
      </c>
      <c r="E14" s="114"/>
      <c r="F14" s="114"/>
      <c r="G14" s="114"/>
      <c r="H14" s="114"/>
      <c r="I14" s="114"/>
      <c r="J14" s="114"/>
      <c r="K14" s="114"/>
      <c r="L14" s="114"/>
      <c r="M14" s="114"/>
      <c r="N14" s="114"/>
      <c r="O14" s="114"/>
      <c r="P14" s="114"/>
      <c r="Q14" s="114"/>
      <c r="R14" s="114"/>
      <c r="S14" s="114"/>
      <c r="T14" s="114"/>
      <c r="U14" s="114"/>
      <c r="V14" s="114"/>
    </row>
    <row r="15" spans="1:23" x14ac:dyDescent="0.25">
      <c r="A15" t="s">
        <v>181</v>
      </c>
      <c r="B15" t="s">
        <v>1086</v>
      </c>
      <c r="C15" t="s">
        <v>494</v>
      </c>
      <c r="D15" t="s">
        <v>892</v>
      </c>
      <c r="E15" s="114"/>
      <c r="F15" s="114"/>
      <c r="G15" s="114"/>
      <c r="H15" s="114"/>
      <c r="I15" s="114"/>
      <c r="J15" s="114"/>
      <c r="K15" s="114"/>
      <c r="L15" s="114"/>
      <c r="M15" s="114"/>
      <c r="N15" s="114"/>
      <c r="O15" s="114"/>
      <c r="P15" s="114"/>
      <c r="Q15" s="114"/>
      <c r="R15" s="114"/>
      <c r="S15" s="114"/>
      <c r="T15" s="114"/>
      <c r="U15" s="114"/>
      <c r="V15" s="114"/>
    </row>
    <row r="16" spans="1:23" x14ac:dyDescent="0.25">
      <c r="A16" t="s">
        <v>181</v>
      </c>
      <c r="B16" t="s">
        <v>1087</v>
      </c>
      <c r="C16" t="s">
        <v>494</v>
      </c>
      <c r="D16" t="s">
        <v>892</v>
      </c>
      <c r="E16" s="114"/>
      <c r="F16" s="114"/>
      <c r="G16" s="114"/>
      <c r="H16" s="114"/>
      <c r="I16" s="114"/>
      <c r="J16" s="114"/>
      <c r="K16" s="114"/>
      <c r="L16" s="114"/>
      <c r="M16" s="114"/>
      <c r="N16" s="114"/>
      <c r="O16" s="114"/>
      <c r="P16" s="114"/>
      <c r="Q16" s="114"/>
      <c r="R16" s="114"/>
      <c r="S16" s="114"/>
      <c r="T16" s="114"/>
      <c r="U16" s="114"/>
      <c r="V16" s="114"/>
    </row>
    <row r="17" spans="1:23" x14ac:dyDescent="0.25">
      <c r="A17" s="23"/>
      <c r="B17" s="23"/>
      <c r="C17" s="23"/>
      <c r="D17" s="23"/>
      <c r="E17" s="23"/>
      <c r="F17" s="23"/>
      <c r="G17" s="23"/>
      <c r="H17" s="23"/>
      <c r="I17" s="23"/>
      <c r="J17" s="23"/>
      <c r="K17" s="23"/>
      <c r="L17" s="23"/>
      <c r="M17" s="23"/>
      <c r="N17" s="23"/>
      <c r="O17" s="23"/>
      <c r="P17" s="23"/>
      <c r="Q17" s="23"/>
      <c r="R17" s="23"/>
      <c r="S17" s="23"/>
      <c r="T17" s="23"/>
      <c r="U17" s="23"/>
      <c r="V17" s="23"/>
      <c r="W17" s="23"/>
    </row>
    <row r="18" spans="1:23" x14ac:dyDescent="0.25">
      <c r="A18" t="s">
        <v>181</v>
      </c>
      <c r="B18" t="s">
        <v>1085</v>
      </c>
      <c r="C18" t="s">
        <v>1099</v>
      </c>
      <c r="D18" t="s">
        <v>892</v>
      </c>
      <c r="E18" s="114"/>
      <c r="F18" s="114"/>
      <c r="G18" s="114"/>
      <c r="H18" s="114"/>
      <c r="I18" s="114"/>
      <c r="J18" s="114"/>
      <c r="K18" s="114"/>
      <c r="L18" s="114"/>
      <c r="M18" s="114"/>
      <c r="N18" s="114"/>
      <c r="O18" s="114"/>
      <c r="P18" s="114"/>
      <c r="Q18" s="114"/>
      <c r="R18" s="114"/>
      <c r="S18" s="114"/>
      <c r="T18" s="114"/>
      <c r="U18" s="114"/>
      <c r="V18" s="114"/>
    </row>
    <row r="19" spans="1:23" x14ac:dyDescent="0.25">
      <c r="A19" t="s">
        <v>181</v>
      </c>
      <c r="B19" t="s">
        <v>1086</v>
      </c>
      <c r="C19" t="s">
        <v>1099</v>
      </c>
      <c r="D19" t="s">
        <v>892</v>
      </c>
      <c r="E19" s="114"/>
      <c r="F19" s="114"/>
      <c r="G19" s="114"/>
      <c r="H19" s="114"/>
      <c r="I19" s="114"/>
      <c r="J19" s="114"/>
      <c r="K19" s="114"/>
      <c r="L19" s="114"/>
      <c r="M19" s="114"/>
      <c r="N19" s="114"/>
      <c r="O19" s="114"/>
      <c r="P19" s="114"/>
      <c r="Q19" s="114"/>
      <c r="R19" s="114"/>
      <c r="S19" s="114"/>
      <c r="T19" s="114"/>
      <c r="U19" s="114"/>
      <c r="V19" s="114"/>
    </row>
    <row r="20" spans="1:23" x14ac:dyDescent="0.25">
      <c r="A20" t="s">
        <v>181</v>
      </c>
      <c r="B20" t="s">
        <v>1087</v>
      </c>
      <c r="C20" t="s">
        <v>1099</v>
      </c>
      <c r="D20" t="s">
        <v>892</v>
      </c>
      <c r="E20" s="114"/>
      <c r="F20" s="114"/>
      <c r="G20" s="114"/>
      <c r="H20" s="114"/>
      <c r="I20" s="114"/>
      <c r="J20" s="114"/>
      <c r="K20" s="114"/>
      <c r="L20" s="114"/>
      <c r="M20" s="114"/>
      <c r="N20" s="114"/>
      <c r="O20" s="114"/>
      <c r="P20" s="114"/>
      <c r="Q20" s="114"/>
      <c r="R20" s="114"/>
      <c r="S20" s="114"/>
      <c r="T20" s="114"/>
      <c r="U20" s="114"/>
      <c r="V20" s="114"/>
    </row>
    <row r="21" spans="1:23" x14ac:dyDescent="0.25">
      <c r="A21" s="23"/>
      <c r="B21" s="23"/>
      <c r="C21" s="23"/>
      <c r="D21" s="23"/>
      <c r="E21" s="23"/>
      <c r="F21" s="23"/>
      <c r="G21" s="23"/>
      <c r="H21" s="23"/>
      <c r="I21" s="23"/>
      <c r="J21" s="23"/>
      <c r="K21" s="23"/>
      <c r="L21" s="23"/>
      <c r="M21" s="23"/>
      <c r="N21" s="23"/>
      <c r="O21" s="23"/>
      <c r="P21" s="23"/>
      <c r="Q21" s="23"/>
      <c r="R21" s="23"/>
      <c r="S21" s="23"/>
      <c r="T21" s="23"/>
      <c r="U21" s="23"/>
      <c r="V21" s="23"/>
      <c r="W21" s="23"/>
    </row>
    <row r="22" spans="1:23" ht="21" x14ac:dyDescent="0.35">
      <c r="A22" s="5"/>
      <c r="B22" s="6" t="s">
        <v>1089</v>
      </c>
      <c r="C22" s="5"/>
      <c r="D22" s="5"/>
      <c r="E22" s="5" t="s">
        <v>1090</v>
      </c>
      <c r="F22" s="5"/>
      <c r="G22" s="5"/>
      <c r="H22" s="5"/>
      <c r="I22" s="5"/>
      <c r="J22" s="5"/>
      <c r="K22" s="5"/>
      <c r="L22" s="5"/>
      <c r="M22" s="5"/>
      <c r="N22" s="5"/>
      <c r="O22" s="5"/>
      <c r="P22" s="5"/>
      <c r="Q22" s="5"/>
      <c r="R22" s="5"/>
      <c r="S22" s="5"/>
      <c r="T22" s="5"/>
      <c r="U22" s="5"/>
      <c r="V22" s="5"/>
      <c r="W22" s="5"/>
    </row>
    <row r="24" spans="1:23" x14ac:dyDescent="0.25">
      <c r="A24" t="s">
        <v>181</v>
      </c>
      <c r="B24" t="s">
        <v>1091</v>
      </c>
      <c r="C24" t="s">
        <v>494</v>
      </c>
      <c r="E24" s="205"/>
      <c r="F24" s="205"/>
      <c r="G24" s="205"/>
      <c r="H24" s="205"/>
      <c r="I24" s="205"/>
      <c r="J24" s="205"/>
      <c r="K24" s="205"/>
      <c r="L24" s="205"/>
      <c r="M24" s="205"/>
      <c r="N24" s="205"/>
      <c r="O24" s="205"/>
      <c r="P24" s="205"/>
      <c r="Q24" s="205"/>
      <c r="R24" s="205"/>
      <c r="S24" s="205"/>
      <c r="T24" s="205"/>
      <c r="U24" s="205"/>
      <c r="V24" s="205"/>
    </row>
    <row r="25" spans="1:23" x14ac:dyDescent="0.25">
      <c r="A25" t="s">
        <v>181</v>
      </c>
      <c r="B25" t="s">
        <v>1092</v>
      </c>
      <c r="C25" t="s">
        <v>494</v>
      </c>
      <c r="D25" t="s">
        <v>1093</v>
      </c>
      <c r="E25" s="205"/>
      <c r="F25" s="205"/>
      <c r="G25" s="205"/>
      <c r="H25" s="205"/>
      <c r="I25" s="205"/>
      <c r="J25" s="205"/>
      <c r="K25" s="205"/>
      <c r="L25" s="205"/>
      <c r="M25" s="205"/>
      <c r="N25" s="205"/>
      <c r="O25" s="205"/>
      <c r="P25" s="205"/>
      <c r="Q25" s="205"/>
      <c r="R25" s="205"/>
      <c r="S25" s="205"/>
      <c r="T25" s="205"/>
      <c r="U25" s="205"/>
      <c r="V25" s="205"/>
    </row>
    <row r="26" spans="1:23" x14ac:dyDescent="0.25">
      <c r="A26" t="s">
        <v>181</v>
      </c>
      <c r="B26" t="s">
        <v>1094</v>
      </c>
      <c r="C26" t="s">
        <v>494</v>
      </c>
      <c r="D26" t="s">
        <v>1095</v>
      </c>
      <c r="E26" s="205"/>
      <c r="F26" s="205"/>
      <c r="G26" s="205"/>
      <c r="H26" s="205"/>
      <c r="I26" s="205"/>
      <c r="J26" s="205"/>
      <c r="K26" s="205"/>
      <c r="L26" s="205"/>
      <c r="M26" s="205"/>
      <c r="N26" s="205"/>
      <c r="O26" s="205"/>
      <c r="P26" s="205"/>
      <c r="Q26" s="205"/>
      <c r="R26" s="205"/>
      <c r="S26" s="205"/>
      <c r="T26" s="205"/>
      <c r="U26" s="205"/>
      <c r="V26" s="205"/>
    </row>
    <row r="27" spans="1:23" x14ac:dyDescent="0.25">
      <c r="A27" t="s">
        <v>181</v>
      </c>
      <c r="B27" t="s">
        <v>1096</v>
      </c>
      <c r="C27" t="s">
        <v>494</v>
      </c>
      <c r="D27" t="s">
        <v>1095</v>
      </c>
      <c r="E27" s="205"/>
      <c r="F27" s="205"/>
      <c r="G27" s="205"/>
      <c r="H27" s="205"/>
      <c r="I27" s="205"/>
      <c r="J27" s="205"/>
      <c r="K27" s="205"/>
      <c r="L27" s="205"/>
      <c r="M27" s="205"/>
      <c r="N27" s="205"/>
      <c r="O27" s="205"/>
      <c r="P27" s="205"/>
      <c r="Q27" s="205"/>
      <c r="R27" s="205"/>
      <c r="S27" s="205"/>
      <c r="T27" s="205"/>
      <c r="U27" s="205"/>
      <c r="V27" s="205"/>
      <c r="W27" s="23"/>
    </row>
    <row r="28" spans="1:23" x14ac:dyDescent="0.25">
      <c r="A28" s="23"/>
      <c r="B28" s="23"/>
      <c r="C28" s="23"/>
      <c r="D28" s="23"/>
      <c r="E28" s="23"/>
      <c r="F28" s="23"/>
      <c r="G28" s="23"/>
      <c r="H28" s="23"/>
      <c r="I28" s="23"/>
      <c r="J28" s="23"/>
      <c r="K28" s="23"/>
      <c r="L28" s="23"/>
      <c r="M28" s="23"/>
      <c r="N28" s="23"/>
      <c r="O28" s="23"/>
      <c r="P28" s="23"/>
      <c r="Q28" s="23"/>
      <c r="R28" s="23"/>
      <c r="S28" s="23"/>
      <c r="T28" s="23"/>
      <c r="U28" s="23"/>
      <c r="V28" s="23"/>
      <c r="W28" s="23"/>
    </row>
    <row r="29" spans="1:23" x14ac:dyDescent="0.25">
      <c r="A29" t="s">
        <v>181</v>
      </c>
      <c r="B29" t="s">
        <v>1091</v>
      </c>
      <c r="C29" t="s">
        <v>1099</v>
      </c>
      <c r="E29" s="205"/>
      <c r="F29" s="205"/>
      <c r="G29" s="205"/>
      <c r="H29" s="205"/>
      <c r="I29" s="205"/>
      <c r="J29" s="205"/>
      <c r="K29" s="205"/>
      <c r="L29" s="205"/>
      <c r="M29" s="205"/>
      <c r="N29" s="205"/>
      <c r="O29" s="205"/>
      <c r="P29" s="205"/>
      <c r="Q29" s="205"/>
      <c r="R29" s="205"/>
      <c r="S29" s="205"/>
      <c r="T29" s="205"/>
      <c r="U29" s="205"/>
      <c r="V29" s="205"/>
    </row>
    <row r="30" spans="1:23" x14ac:dyDescent="0.25">
      <c r="A30" t="s">
        <v>181</v>
      </c>
      <c r="B30" t="s">
        <v>1092</v>
      </c>
      <c r="C30" t="s">
        <v>1099</v>
      </c>
      <c r="D30" t="s">
        <v>1093</v>
      </c>
      <c r="E30" s="205"/>
      <c r="F30" s="205"/>
      <c r="G30" s="205"/>
      <c r="H30" s="205"/>
      <c r="I30" s="205"/>
      <c r="J30" s="205"/>
      <c r="K30" s="205"/>
      <c r="L30" s="205"/>
      <c r="M30" s="205"/>
      <c r="N30" s="205"/>
      <c r="O30" s="205"/>
      <c r="P30" s="205"/>
      <c r="Q30" s="205"/>
      <c r="R30" s="205"/>
      <c r="S30" s="205"/>
      <c r="T30" s="205"/>
      <c r="U30" s="205"/>
      <c r="V30" s="205"/>
    </row>
    <row r="31" spans="1:23" x14ac:dyDescent="0.25">
      <c r="A31" t="s">
        <v>181</v>
      </c>
      <c r="B31" t="s">
        <v>1094</v>
      </c>
      <c r="C31" t="s">
        <v>1099</v>
      </c>
      <c r="D31" t="s">
        <v>1095</v>
      </c>
      <c r="E31" s="205"/>
      <c r="F31" s="205"/>
      <c r="G31" s="205"/>
      <c r="H31" s="205"/>
      <c r="I31" s="205"/>
      <c r="J31" s="205"/>
      <c r="K31" s="205"/>
      <c r="L31" s="205"/>
      <c r="M31" s="205"/>
      <c r="N31" s="205"/>
      <c r="O31" s="205"/>
      <c r="P31" s="205"/>
      <c r="Q31" s="205"/>
      <c r="R31" s="205"/>
      <c r="S31" s="205"/>
      <c r="T31" s="205"/>
      <c r="U31" s="205"/>
      <c r="V31" s="205"/>
    </row>
    <row r="32" spans="1:23" x14ac:dyDescent="0.25">
      <c r="A32" t="s">
        <v>181</v>
      </c>
      <c r="B32" t="s">
        <v>1096</v>
      </c>
      <c r="C32" t="s">
        <v>1099</v>
      </c>
      <c r="D32" t="s">
        <v>1095</v>
      </c>
      <c r="E32" s="205"/>
      <c r="F32" s="205"/>
      <c r="G32" s="205"/>
      <c r="H32" s="205"/>
      <c r="I32" s="205"/>
      <c r="J32" s="205"/>
      <c r="K32" s="205"/>
      <c r="L32" s="205"/>
      <c r="M32" s="205"/>
      <c r="N32" s="205"/>
      <c r="O32" s="205"/>
      <c r="P32" s="205"/>
      <c r="Q32" s="205"/>
      <c r="R32" s="205"/>
      <c r="S32" s="205"/>
      <c r="T32" s="205"/>
      <c r="U32" s="205"/>
      <c r="V32" s="205"/>
      <c r="W32" s="23"/>
    </row>
    <row r="33" spans="1:25" x14ac:dyDescent="0.25">
      <c r="A33" s="23"/>
      <c r="B33" s="23"/>
      <c r="C33" s="23"/>
      <c r="D33" s="23"/>
      <c r="E33" s="23"/>
      <c r="F33" s="23"/>
      <c r="G33" s="23"/>
      <c r="H33" s="23"/>
      <c r="I33" s="23"/>
      <c r="J33" s="23"/>
      <c r="K33" s="23"/>
      <c r="L33" s="23"/>
      <c r="M33" s="23"/>
      <c r="N33" s="23"/>
      <c r="O33" s="23"/>
      <c r="P33" s="23"/>
      <c r="Q33" s="23"/>
      <c r="R33" s="23"/>
      <c r="S33" s="23"/>
      <c r="T33" s="23"/>
      <c r="U33" s="23"/>
      <c r="V33" s="23"/>
      <c r="W33" s="23"/>
    </row>
    <row r="34" spans="1:25" ht="21" x14ac:dyDescent="0.35">
      <c r="A34" s="5"/>
      <c r="B34" s="6" t="s">
        <v>619</v>
      </c>
      <c r="C34" s="5"/>
      <c r="D34" s="5"/>
      <c r="E34" s="5" t="s">
        <v>881</v>
      </c>
      <c r="F34" s="5"/>
      <c r="G34" s="5"/>
      <c r="H34" s="5"/>
      <c r="I34" s="5"/>
      <c r="J34" s="5"/>
      <c r="K34" s="5"/>
      <c r="L34" s="5"/>
      <c r="M34" s="5"/>
      <c r="N34" s="5"/>
      <c r="O34" s="5"/>
      <c r="P34" s="5"/>
      <c r="Q34" s="5"/>
      <c r="R34" s="5"/>
      <c r="S34" s="5"/>
      <c r="T34" s="5"/>
      <c r="U34" s="5"/>
      <c r="V34" s="5"/>
      <c r="W34" s="5"/>
    </row>
    <row r="35" spans="1:25" x14ac:dyDescent="0.25">
      <c r="U35" t="s">
        <v>183</v>
      </c>
      <c r="Y35" t="s">
        <v>43</v>
      </c>
    </row>
    <row r="36" spans="1:25" x14ac:dyDescent="0.25">
      <c r="A36" t="s">
        <v>181</v>
      </c>
      <c r="B36" t="s">
        <v>619</v>
      </c>
      <c r="C36" t="s">
        <v>494</v>
      </c>
      <c r="D36" t="s">
        <v>892</v>
      </c>
      <c r="E36" s="114">
        <v>0</v>
      </c>
      <c r="F36" s="114">
        <v>0</v>
      </c>
      <c r="G36" s="114">
        <v>0</v>
      </c>
      <c r="H36" s="114">
        <v>0</v>
      </c>
      <c r="I36" s="114">
        <v>0</v>
      </c>
      <c r="J36" s="114">
        <v>0</v>
      </c>
      <c r="K36" s="114">
        <v>0</v>
      </c>
      <c r="L36" s="114">
        <v>0</v>
      </c>
      <c r="M36" s="114">
        <v>0</v>
      </c>
      <c r="N36" s="114">
        <v>0</v>
      </c>
      <c r="O36" s="114">
        <v>0</v>
      </c>
      <c r="P36" s="114">
        <v>11.640667000000001</v>
      </c>
      <c r="Q36" s="114">
        <v>12.32457</v>
      </c>
      <c r="R36" s="114">
        <v>13.539787</v>
      </c>
      <c r="S36" s="114">
        <v>12.717777</v>
      </c>
      <c r="T36" s="114">
        <v>13.740664000000001</v>
      </c>
      <c r="U36" s="202">
        <v>13.740664000000001</v>
      </c>
      <c r="V36" s="202">
        <v>13.740664000000001</v>
      </c>
      <c r="Y36" t="s">
        <v>175</v>
      </c>
    </row>
    <row r="37" spans="1:25" x14ac:dyDescent="0.25">
      <c r="A37" t="s">
        <v>181</v>
      </c>
      <c r="B37" t="s">
        <v>619</v>
      </c>
      <c r="C37" t="s">
        <v>1099</v>
      </c>
      <c r="D37" t="s">
        <v>892</v>
      </c>
      <c r="E37" s="114">
        <v>0</v>
      </c>
      <c r="F37" s="114">
        <v>0</v>
      </c>
      <c r="G37" s="114">
        <v>0</v>
      </c>
      <c r="H37" s="114">
        <v>0</v>
      </c>
      <c r="I37" s="114">
        <v>0</v>
      </c>
      <c r="J37" s="114">
        <v>0</v>
      </c>
      <c r="K37" s="114">
        <v>0</v>
      </c>
      <c r="L37" s="114">
        <v>0</v>
      </c>
      <c r="M37" s="114">
        <v>0</v>
      </c>
      <c r="N37" s="114">
        <v>0</v>
      </c>
      <c r="O37" s="114">
        <v>0</v>
      </c>
      <c r="P37" s="114">
        <v>0</v>
      </c>
      <c r="Q37" s="114">
        <v>0</v>
      </c>
      <c r="R37" s="114">
        <v>0</v>
      </c>
      <c r="S37" s="114">
        <v>2.8497000000000001E-2</v>
      </c>
      <c r="T37" s="114">
        <v>0.1169858</v>
      </c>
      <c r="U37" s="202">
        <v>0.1169858</v>
      </c>
      <c r="V37" s="202">
        <v>0.1169858</v>
      </c>
      <c r="Y37" t="s">
        <v>175</v>
      </c>
    </row>
    <row r="38" spans="1:25" x14ac:dyDescent="0.25">
      <c r="E38" s="23"/>
      <c r="F38" s="23"/>
      <c r="G38" s="23"/>
      <c r="H38" s="23"/>
      <c r="I38" s="23"/>
      <c r="J38" s="23"/>
      <c r="K38" s="23"/>
      <c r="L38" s="23"/>
      <c r="M38" s="23"/>
      <c r="N38" s="23"/>
      <c r="O38" s="23"/>
      <c r="P38" s="23"/>
      <c r="Q38" s="23"/>
      <c r="R38" s="23"/>
      <c r="S38" s="23"/>
      <c r="T38" s="23"/>
      <c r="U38" s="23"/>
      <c r="V38" s="23"/>
    </row>
    <row r="39" spans="1:25" x14ac:dyDescent="0.25">
      <c r="A39" t="s">
        <v>181</v>
      </c>
      <c r="B39" t="s">
        <v>619</v>
      </c>
      <c r="C39" t="s">
        <v>494</v>
      </c>
      <c r="D39" s="118" t="s">
        <v>1097</v>
      </c>
      <c r="E39" s="117">
        <f>+(E36*0.001)*'Conversion factors'!$B$12</f>
        <v>0</v>
      </c>
      <c r="F39" s="117">
        <f>+(F36*0.001)*'Conversion factors'!$B$12</f>
        <v>0</v>
      </c>
      <c r="G39" s="117">
        <f>+(G36*0.001)*'Conversion factors'!$B$12</f>
        <v>0</v>
      </c>
      <c r="H39" s="117">
        <f>+(H36*0.001)*'Conversion factors'!$B$12</f>
        <v>0</v>
      </c>
      <c r="I39" s="117">
        <f>+(I36*0.001)*'Conversion factors'!$B$12</f>
        <v>0</v>
      </c>
      <c r="J39" s="117">
        <f>+(J36*0.001)*'Conversion factors'!$B$12</f>
        <v>0</v>
      </c>
      <c r="K39" s="117">
        <f>+(K36*0.001)*'Conversion factors'!$B$12</f>
        <v>0</v>
      </c>
      <c r="L39" s="117">
        <f>+(L36*0.001)*'Conversion factors'!$B$12</f>
        <v>0</v>
      </c>
      <c r="M39" s="117">
        <f>+(M36*0.001)*'Conversion factors'!$B$12</f>
        <v>0</v>
      </c>
      <c r="N39" s="117">
        <f>+(N36*0.001)*'Conversion factors'!$B$12</f>
        <v>0</v>
      </c>
      <c r="O39" s="117">
        <f>+(O36*0.001)*'Conversion factors'!$B$12</f>
        <v>0</v>
      </c>
      <c r="P39" s="117">
        <f>+(P36*0.001)*'Conversion factors'!$B$12</f>
        <v>15.1328671</v>
      </c>
      <c r="Q39" s="117">
        <f>+(Q36*0.001)*'Conversion factors'!$B$12</f>
        <v>16.021940999999998</v>
      </c>
      <c r="R39" s="117">
        <f>+(R36*0.001)*'Conversion factors'!$B$12</f>
        <v>17.601723100000001</v>
      </c>
      <c r="S39" s="117">
        <f>+(S36*0.001)*'Conversion factors'!$B$12</f>
        <v>16.533110099999998</v>
      </c>
      <c r="T39" s="117">
        <f>+(T36*0.001)*'Conversion factors'!$B$12</f>
        <v>17.862863200000003</v>
      </c>
      <c r="U39" s="117">
        <f>+(U36*0.001)*'Conversion factors'!$B$12</f>
        <v>17.862863200000003</v>
      </c>
      <c r="V39" s="117">
        <f>+(V36*0.001)*'Conversion factors'!$B$12</f>
        <v>17.862863200000003</v>
      </c>
    </row>
    <row r="40" spans="1:25" x14ac:dyDescent="0.25">
      <c r="A40" t="s">
        <v>181</v>
      </c>
      <c r="B40" t="s">
        <v>619</v>
      </c>
      <c r="C40" t="s">
        <v>1099</v>
      </c>
      <c r="D40" s="118" t="s">
        <v>1097</v>
      </c>
      <c r="E40" s="117">
        <f>+(E37*0.001)*'Conversion factors'!$B$14</f>
        <v>0</v>
      </c>
      <c r="F40" s="117">
        <f>+(F37*0.001)*'Conversion factors'!$B$14</f>
        <v>0</v>
      </c>
      <c r="G40" s="117">
        <f>+(G37*0.001)*'Conversion factors'!$B$14</f>
        <v>0</v>
      </c>
      <c r="H40" s="117">
        <f>+(H37*0.001)*'Conversion factors'!$B$14</f>
        <v>0</v>
      </c>
      <c r="I40" s="117">
        <f>+(I37*0.001)*'Conversion factors'!$B$14</f>
        <v>0</v>
      </c>
      <c r="J40" s="117">
        <f>+(J37*0.001)*'Conversion factors'!$B$14</f>
        <v>0</v>
      </c>
      <c r="K40" s="117">
        <f>+(K37*0.001)*'Conversion factors'!$B$14</f>
        <v>0</v>
      </c>
      <c r="L40" s="117">
        <f>+(L37*0.001)*'Conversion factors'!$B$14</f>
        <v>0</v>
      </c>
      <c r="M40" s="117">
        <f>+(M37*0.001)*'Conversion factors'!$B$14</f>
        <v>0</v>
      </c>
      <c r="N40" s="117">
        <f>+(N37*0.001)*'Conversion factors'!$B$14</f>
        <v>0</v>
      </c>
      <c r="O40" s="117">
        <f>+(O37*0.001)*'Conversion factors'!$B$14</f>
        <v>0</v>
      </c>
      <c r="P40" s="117">
        <f>+(P37*0.001)*'Conversion factors'!$B$14</f>
        <v>0</v>
      </c>
      <c r="Q40" s="117">
        <f>+(Q37*0.001)*'Conversion factors'!$B$14</f>
        <v>0</v>
      </c>
      <c r="R40" s="117">
        <f>+(R37*0.001)*'Conversion factors'!$B$14</f>
        <v>0</v>
      </c>
      <c r="S40" s="117">
        <f>+(S37*0.001)*'Conversion factors'!$B$14</f>
        <v>8.2641300000000001E-2</v>
      </c>
      <c r="T40" s="117">
        <f>+(T37*0.001)*'Conversion factors'!$B$14</f>
        <v>0.33925882000000002</v>
      </c>
      <c r="U40" s="117">
        <f>+(U37*0.001)*'Conversion factors'!$B$14</f>
        <v>0.33925882000000002</v>
      </c>
      <c r="V40" s="117">
        <f>+(V37*0.001)*'Conversion factors'!$B$14</f>
        <v>0.33925882000000002</v>
      </c>
    </row>
    <row r="41" spans="1:25" s="7" customFormat="1" x14ac:dyDescent="0.25">
      <c r="A41" s="7" t="s">
        <v>181</v>
      </c>
      <c r="B41" s="7" t="s">
        <v>882</v>
      </c>
      <c r="C41" s="7" t="s">
        <v>836</v>
      </c>
      <c r="D41" s="7" t="s">
        <v>1097</v>
      </c>
      <c r="E41" s="116">
        <f>+E40+E39</f>
        <v>0</v>
      </c>
      <c r="F41" s="116">
        <f t="shared" ref="F41:T41" si="0">+F40+F39</f>
        <v>0</v>
      </c>
      <c r="G41" s="116">
        <f t="shared" si="0"/>
        <v>0</v>
      </c>
      <c r="H41" s="116">
        <f t="shared" si="0"/>
        <v>0</v>
      </c>
      <c r="I41" s="116">
        <f t="shared" si="0"/>
        <v>0</v>
      </c>
      <c r="J41" s="116">
        <f t="shared" si="0"/>
        <v>0</v>
      </c>
      <c r="K41" s="116">
        <f t="shared" si="0"/>
        <v>0</v>
      </c>
      <c r="L41" s="116">
        <f t="shared" si="0"/>
        <v>0</v>
      </c>
      <c r="M41" s="116">
        <f t="shared" si="0"/>
        <v>0</v>
      </c>
      <c r="N41" s="116">
        <f t="shared" si="0"/>
        <v>0</v>
      </c>
      <c r="O41" s="116">
        <f t="shared" si="0"/>
        <v>0</v>
      </c>
      <c r="P41" s="116">
        <f t="shared" si="0"/>
        <v>15.1328671</v>
      </c>
      <c r="Q41" s="116">
        <f t="shared" si="0"/>
        <v>16.021940999999998</v>
      </c>
      <c r="R41" s="116">
        <f t="shared" si="0"/>
        <v>17.601723100000001</v>
      </c>
      <c r="S41" s="116">
        <f t="shared" si="0"/>
        <v>16.615751399999997</v>
      </c>
      <c r="T41" s="116">
        <f t="shared" si="0"/>
        <v>18.202122020000004</v>
      </c>
      <c r="U41" s="116">
        <f t="shared" ref="U41:V41" si="1">+U40+U39</f>
        <v>18.202122020000004</v>
      </c>
      <c r="V41" s="116">
        <f t="shared" si="1"/>
        <v>18.202122020000004</v>
      </c>
    </row>
    <row r="43" spans="1:25" ht="21" x14ac:dyDescent="0.35">
      <c r="A43" s="5"/>
      <c r="B43" s="6" t="s">
        <v>885</v>
      </c>
      <c r="C43" s="5"/>
      <c r="D43" s="5"/>
      <c r="E43" s="5" t="s">
        <v>886</v>
      </c>
      <c r="F43" s="5"/>
      <c r="G43" s="5"/>
      <c r="H43" s="5"/>
      <c r="I43" s="5"/>
      <c r="J43" s="5"/>
      <c r="K43" s="5"/>
      <c r="L43" s="5"/>
      <c r="M43" s="5" t="s">
        <v>900</v>
      </c>
      <c r="N43" s="5"/>
      <c r="O43" s="5"/>
      <c r="P43" s="5"/>
      <c r="Q43" s="5"/>
      <c r="R43" s="5"/>
      <c r="S43" s="5"/>
      <c r="T43" s="5"/>
      <c r="U43" s="5"/>
      <c r="V43" s="5"/>
      <c r="W43" s="23"/>
    </row>
    <row r="45" spans="1:25" x14ac:dyDescent="0.25">
      <c r="A45" s="27"/>
      <c r="B45" s="26"/>
      <c r="C45" s="26"/>
      <c r="D45" s="26"/>
      <c r="E45" s="26"/>
      <c r="F45" s="26"/>
      <c r="G45" s="26"/>
      <c r="H45" s="26"/>
    </row>
    <row r="66" spans="1:23" ht="21" x14ac:dyDescent="0.35">
      <c r="A66" s="5"/>
      <c r="B66" s="6" t="s">
        <v>346</v>
      </c>
      <c r="C66" s="5"/>
      <c r="D66" s="5"/>
      <c r="E66" s="5" t="s">
        <v>887</v>
      </c>
      <c r="F66" s="5"/>
      <c r="G66" s="5"/>
      <c r="H66" s="5"/>
      <c r="I66" s="5"/>
      <c r="J66" s="5"/>
      <c r="K66" s="5"/>
      <c r="L66" s="5"/>
      <c r="M66" s="5"/>
      <c r="N66" s="5"/>
      <c r="O66" s="5"/>
      <c r="P66" s="5"/>
      <c r="Q66" s="5"/>
      <c r="R66" s="5"/>
      <c r="S66" s="5"/>
      <c r="T66" s="5"/>
      <c r="U66" s="5"/>
      <c r="V66" s="5"/>
      <c r="W66" s="5"/>
    </row>
    <row r="67" spans="1:23" ht="18.75" x14ac:dyDescent="0.3">
      <c r="A67" s="12" t="s">
        <v>844</v>
      </c>
      <c r="E67" t="s">
        <v>888</v>
      </c>
    </row>
    <row r="68" spans="1:23" x14ac:dyDescent="0.25">
      <c r="A68" s="8"/>
      <c r="B68" s="9" t="s">
        <v>865</v>
      </c>
      <c r="C68" s="8"/>
      <c r="D68" s="8"/>
      <c r="E68" s="8"/>
      <c r="F68" s="8"/>
      <c r="G68" s="8"/>
      <c r="H68" s="8"/>
      <c r="I68" s="8"/>
      <c r="J68" s="8"/>
      <c r="K68" s="8"/>
      <c r="L68" s="8"/>
      <c r="M68" s="8"/>
      <c r="N68" s="8"/>
      <c r="O68" s="8"/>
      <c r="P68" s="8"/>
      <c r="Q68" s="8"/>
      <c r="R68" s="8"/>
      <c r="S68" s="8"/>
      <c r="T68" s="8"/>
      <c r="U68" s="8"/>
      <c r="V68" s="8"/>
      <c r="W68" s="8"/>
    </row>
    <row r="70" spans="1:23" x14ac:dyDescent="0.25">
      <c r="A70" s="10" t="s">
        <v>867</v>
      </c>
      <c r="B70" s="10" t="s">
        <v>868</v>
      </c>
      <c r="C70" s="10" t="s">
        <v>482</v>
      </c>
      <c r="D70" s="10" t="s">
        <v>740</v>
      </c>
      <c r="E70" s="10">
        <v>2000</v>
      </c>
      <c r="F70" s="10">
        <v>2001</v>
      </c>
      <c r="G70" s="10">
        <v>2002</v>
      </c>
      <c r="H70" s="10">
        <v>2003</v>
      </c>
      <c r="I70" s="10">
        <v>2004</v>
      </c>
      <c r="J70" s="10">
        <v>2005</v>
      </c>
      <c r="K70" s="10">
        <v>2006</v>
      </c>
      <c r="L70" s="10">
        <v>2007</v>
      </c>
      <c r="M70" s="10">
        <v>2008</v>
      </c>
      <c r="N70" s="10">
        <v>2009</v>
      </c>
      <c r="O70" s="10">
        <v>2010</v>
      </c>
      <c r="P70" s="10">
        <v>2011</v>
      </c>
      <c r="Q70" s="10">
        <v>2012</v>
      </c>
      <c r="R70" s="10">
        <v>2013</v>
      </c>
      <c r="S70" s="10">
        <v>2014</v>
      </c>
      <c r="T70" s="10">
        <v>2015</v>
      </c>
      <c r="U70" s="10">
        <v>2016</v>
      </c>
      <c r="V70" s="10">
        <v>2017</v>
      </c>
      <c r="W70" s="10" t="s">
        <v>741</v>
      </c>
    </row>
    <row r="71" spans="1:23" x14ac:dyDescent="0.25">
      <c r="A71" s="11" t="s">
        <v>181</v>
      </c>
      <c r="B71" s="11" t="s">
        <v>1085</v>
      </c>
      <c r="C71" s="11" t="s">
        <v>494</v>
      </c>
      <c r="D71" s="11" t="s">
        <v>892</v>
      </c>
      <c r="E71" s="29"/>
      <c r="F71" s="29"/>
      <c r="G71" s="29"/>
      <c r="H71" s="29"/>
      <c r="I71" s="29"/>
      <c r="J71" s="29"/>
      <c r="K71" s="29"/>
      <c r="L71" s="29"/>
      <c r="M71" s="29"/>
      <c r="N71" s="29"/>
      <c r="O71" s="29"/>
      <c r="P71" s="29"/>
      <c r="Q71" s="29"/>
      <c r="R71" s="29"/>
      <c r="S71" s="29"/>
      <c r="T71" s="29"/>
      <c r="U71" s="4"/>
      <c r="V71" s="4"/>
    </row>
    <row r="72" spans="1:23" x14ac:dyDescent="0.25">
      <c r="A72" s="11" t="s">
        <v>181</v>
      </c>
      <c r="B72" s="11" t="s">
        <v>1086</v>
      </c>
      <c r="C72" s="11" t="s">
        <v>494</v>
      </c>
      <c r="D72" s="11" t="s">
        <v>892</v>
      </c>
      <c r="E72" s="29"/>
      <c r="F72" s="29"/>
      <c r="G72" s="29"/>
      <c r="H72" s="29"/>
      <c r="I72" s="29"/>
      <c r="J72" s="29"/>
      <c r="K72" s="29"/>
      <c r="L72" s="29"/>
      <c r="M72" s="29"/>
      <c r="N72" s="29"/>
      <c r="O72" s="29"/>
      <c r="P72" s="29"/>
      <c r="Q72" s="29"/>
      <c r="R72" s="29"/>
      <c r="S72" s="29"/>
      <c r="T72" s="29"/>
      <c r="U72" s="4"/>
      <c r="V72" s="4"/>
    </row>
    <row r="73" spans="1:23" x14ac:dyDescent="0.25">
      <c r="A73" s="11" t="s">
        <v>181</v>
      </c>
      <c r="B73" s="11" t="s">
        <v>1087</v>
      </c>
      <c r="C73" s="11" t="s">
        <v>494</v>
      </c>
      <c r="D73" s="11" t="s">
        <v>892</v>
      </c>
      <c r="E73" s="29"/>
      <c r="F73" s="29"/>
      <c r="G73" s="29"/>
      <c r="H73" s="29"/>
      <c r="I73" s="29"/>
      <c r="J73" s="29"/>
      <c r="K73" s="29"/>
      <c r="L73" s="29"/>
      <c r="M73" s="29"/>
      <c r="N73" s="29"/>
      <c r="O73" s="29"/>
      <c r="P73" s="29"/>
      <c r="Q73" s="29"/>
      <c r="R73" s="29"/>
      <c r="S73" s="29"/>
      <c r="T73" s="29"/>
      <c r="U73" s="4"/>
      <c r="V73" s="4"/>
    </row>
    <row r="74" spans="1:23" x14ac:dyDescent="0.25">
      <c r="A74" s="11"/>
      <c r="B74" s="11"/>
      <c r="C74" s="11"/>
      <c r="D74" s="11"/>
      <c r="E74" s="30"/>
      <c r="F74" s="30"/>
      <c r="G74" s="30"/>
      <c r="H74" s="30"/>
      <c r="I74" s="30"/>
      <c r="J74" s="30"/>
      <c r="K74" s="30"/>
      <c r="L74" s="30"/>
      <c r="M74" s="30"/>
      <c r="N74" s="30"/>
      <c r="O74" s="30"/>
      <c r="P74" s="30"/>
      <c r="Q74" s="30"/>
      <c r="R74" s="30"/>
      <c r="S74" s="30"/>
      <c r="T74" s="30"/>
      <c r="U74" s="23"/>
      <c r="V74" s="23"/>
      <c r="W74" s="23"/>
    </row>
    <row r="75" spans="1:23" x14ac:dyDescent="0.25">
      <c r="A75" s="11" t="s">
        <v>181</v>
      </c>
      <c r="B75" s="11" t="s">
        <v>1085</v>
      </c>
      <c r="C75" s="11" t="s">
        <v>1099</v>
      </c>
      <c r="D75" s="11" t="s">
        <v>892</v>
      </c>
      <c r="E75" s="29"/>
      <c r="F75" s="29"/>
      <c r="G75" s="29"/>
      <c r="H75" s="29"/>
      <c r="I75" s="29"/>
      <c r="J75" s="29"/>
      <c r="K75" s="29"/>
      <c r="L75" s="29"/>
      <c r="M75" s="29"/>
      <c r="N75" s="29"/>
      <c r="O75" s="29"/>
      <c r="P75" s="29"/>
      <c r="Q75" s="29"/>
      <c r="R75" s="29"/>
      <c r="S75" s="29"/>
      <c r="T75" s="29"/>
      <c r="U75" s="4"/>
      <c r="V75" s="4"/>
    </row>
    <row r="76" spans="1:23" x14ac:dyDescent="0.25">
      <c r="A76" s="11" t="s">
        <v>181</v>
      </c>
      <c r="B76" s="11" t="s">
        <v>1086</v>
      </c>
      <c r="C76" s="11" t="s">
        <v>1099</v>
      </c>
      <c r="D76" s="11" t="s">
        <v>892</v>
      </c>
      <c r="E76" s="29"/>
      <c r="F76" s="29"/>
      <c r="G76" s="29"/>
      <c r="H76" s="29"/>
      <c r="I76" s="29"/>
      <c r="J76" s="29"/>
      <c r="K76" s="29"/>
      <c r="L76" s="29"/>
      <c r="M76" s="29"/>
      <c r="N76" s="29"/>
      <c r="O76" s="29"/>
      <c r="P76" s="29"/>
      <c r="Q76" s="29"/>
      <c r="R76" s="29"/>
      <c r="S76" s="29"/>
      <c r="T76" s="29"/>
      <c r="U76" s="4"/>
      <c r="V76" s="4"/>
    </row>
    <row r="77" spans="1:23" x14ac:dyDescent="0.25">
      <c r="A77" s="11" t="s">
        <v>181</v>
      </c>
      <c r="B77" s="11" t="s">
        <v>1087</v>
      </c>
      <c r="C77" s="11" t="s">
        <v>1099</v>
      </c>
      <c r="D77" s="11" t="s">
        <v>892</v>
      </c>
      <c r="E77" s="29"/>
      <c r="F77" s="29"/>
      <c r="G77" s="29"/>
      <c r="H77" s="29"/>
      <c r="I77" s="29"/>
      <c r="J77" s="29"/>
      <c r="K77" s="29"/>
      <c r="L77" s="29"/>
      <c r="M77" s="29"/>
      <c r="N77" s="29"/>
      <c r="O77" s="29"/>
      <c r="P77" s="29"/>
      <c r="Q77" s="29"/>
      <c r="R77" s="29"/>
      <c r="S77" s="29"/>
      <c r="T77" s="29"/>
      <c r="U77" s="4"/>
      <c r="V77" s="4"/>
    </row>
    <row r="78" spans="1:23" x14ac:dyDescent="0.25">
      <c r="A78" s="11"/>
      <c r="B78" s="11"/>
      <c r="C78" s="11"/>
      <c r="D78" s="11"/>
      <c r="E78" s="30"/>
      <c r="F78" s="30"/>
      <c r="G78" s="30"/>
      <c r="H78" s="30"/>
      <c r="I78" s="30"/>
      <c r="J78" s="30"/>
      <c r="K78" s="30"/>
      <c r="L78" s="30"/>
      <c r="M78" s="30"/>
      <c r="N78" s="30"/>
      <c r="O78" s="30"/>
      <c r="P78" s="30"/>
      <c r="Q78" s="30"/>
      <c r="R78" s="30"/>
      <c r="S78" s="30"/>
      <c r="T78" s="30"/>
      <c r="U78" s="23"/>
      <c r="V78" s="23"/>
    </row>
    <row r="79" spans="1:23" x14ac:dyDescent="0.25">
      <c r="A79" s="8"/>
      <c r="B79" s="9" t="s">
        <v>877</v>
      </c>
      <c r="C79" s="8"/>
      <c r="D79" s="8"/>
      <c r="E79" s="197"/>
      <c r="F79" s="197"/>
      <c r="G79" s="197"/>
      <c r="H79" s="197"/>
      <c r="I79" s="197"/>
      <c r="J79" s="197"/>
      <c r="K79" s="197"/>
      <c r="L79" s="197"/>
      <c r="M79" s="197"/>
      <c r="N79" s="197"/>
      <c r="O79" s="197"/>
      <c r="P79" s="197"/>
      <c r="Q79" s="197"/>
      <c r="R79" s="197"/>
      <c r="S79" s="197"/>
      <c r="T79" s="197"/>
      <c r="U79" s="8"/>
      <c r="V79" s="8"/>
      <c r="W79" s="8"/>
    </row>
    <row r="80" spans="1:23" x14ac:dyDescent="0.25">
      <c r="E80" s="11"/>
      <c r="F80" s="11"/>
      <c r="G80" s="11"/>
      <c r="H80" s="11"/>
      <c r="I80" s="11"/>
      <c r="J80" s="11"/>
      <c r="K80" s="11"/>
      <c r="L80" s="11"/>
      <c r="M80" s="11"/>
      <c r="N80" s="11"/>
      <c r="O80" s="11"/>
      <c r="P80" s="11"/>
      <c r="Q80" s="11"/>
      <c r="R80" s="11"/>
      <c r="S80" s="11"/>
      <c r="T80" s="11"/>
    </row>
    <row r="81" spans="1:23" x14ac:dyDescent="0.25">
      <c r="A81" s="11" t="s">
        <v>181</v>
      </c>
      <c r="B81" s="11" t="s">
        <v>1091</v>
      </c>
      <c r="C81" s="11" t="s">
        <v>494</v>
      </c>
      <c r="D81" s="11"/>
      <c r="E81" s="29"/>
      <c r="F81" s="29"/>
      <c r="G81" s="29"/>
      <c r="H81" s="29"/>
      <c r="I81" s="29"/>
      <c r="J81" s="29"/>
      <c r="K81" s="29"/>
      <c r="L81" s="29"/>
      <c r="M81" s="29"/>
      <c r="N81" s="29"/>
      <c r="O81" s="29"/>
      <c r="P81" s="29"/>
      <c r="Q81" s="29"/>
      <c r="R81" s="29"/>
      <c r="S81" s="29"/>
      <c r="T81" s="29"/>
      <c r="U81" s="4"/>
      <c r="V81" s="4"/>
    </row>
    <row r="82" spans="1:23" x14ac:dyDescent="0.25">
      <c r="A82" s="11" t="s">
        <v>181</v>
      </c>
      <c r="B82" s="11" t="s">
        <v>1092</v>
      </c>
      <c r="C82" s="11" t="s">
        <v>494</v>
      </c>
      <c r="D82" s="11" t="s">
        <v>1093</v>
      </c>
      <c r="E82" s="29"/>
      <c r="F82" s="29"/>
      <c r="G82" s="29"/>
      <c r="H82" s="29"/>
      <c r="I82" s="29"/>
      <c r="J82" s="29"/>
      <c r="K82" s="29"/>
      <c r="L82" s="29"/>
      <c r="M82" s="29"/>
      <c r="N82" s="29"/>
      <c r="O82" s="29"/>
      <c r="P82" s="29"/>
      <c r="Q82" s="29"/>
      <c r="R82" s="29"/>
      <c r="S82" s="29"/>
      <c r="T82" s="29"/>
      <c r="U82" s="4"/>
      <c r="V82" s="4"/>
    </row>
    <row r="83" spans="1:23" x14ac:dyDescent="0.25">
      <c r="A83" s="11" t="s">
        <v>181</v>
      </c>
      <c r="B83" s="11" t="s">
        <v>1094</v>
      </c>
      <c r="C83" s="11" t="s">
        <v>494</v>
      </c>
      <c r="D83" s="11" t="s">
        <v>1095</v>
      </c>
      <c r="E83" s="29"/>
      <c r="F83" s="29"/>
      <c r="G83" s="29"/>
      <c r="H83" s="29"/>
      <c r="I83" s="29"/>
      <c r="J83" s="29"/>
      <c r="K83" s="29"/>
      <c r="L83" s="29"/>
      <c r="M83" s="29"/>
      <c r="N83" s="29"/>
      <c r="O83" s="29"/>
      <c r="P83" s="29"/>
      <c r="Q83" s="29"/>
      <c r="R83" s="29"/>
      <c r="S83" s="29"/>
      <c r="T83" s="29"/>
      <c r="U83" s="4"/>
      <c r="V83" s="4"/>
    </row>
    <row r="84" spans="1:23" x14ac:dyDescent="0.25">
      <c r="A84" s="11" t="s">
        <v>181</v>
      </c>
      <c r="B84" s="11" t="s">
        <v>1096</v>
      </c>
      <c r="C84" s="11" t="s">
        <v>494</v>
      </c>
      <c r="D84" s="11" t="s">
        <v>1095</v>
      </c>
      <c r="E84" s="29"/>
      <c r="F84" s="29"/>
      <c r="G84" s="29"/>
      <c r="H84" s="29"/>
      <c r="I84" s="29"/>
      <c r="J84" s="29"/>
      <c r="K84" s="29"/>
      <c r="L84" s="29"/>
      <c r="M84" s="29"/>
      <c r="N84" s="29"/>
      <c r="O84" s="29"/>
      <c r="P84" s="29"/>
      <c r="Q84" s="29"/>
      <c r="R84" s="29"/>
      <c r="S84" s="29"/>
      <c r="T84" s="29"/>
      <c r="U84" s="4"/>
      <c r="V84" s="4"/>
      <c r="W84" s="23"/>
    </row>
    <row r="85" spans="1:23" x14ac:dyDescent="0.25">
      <c r="A85" s="11"/>
      <c r="B85" s="11"/>
      <c r="C85" s="11"/>
      <c r="D85" s="11"/>
      <c r="E85" s="30"/>
      <c r="F85" s="30"/>
      <c r="G85" s="30"/>
      <c r="H85" s="30"/>
      <c r="I85" s="30"/>
      <c r="J85" s="30"/>
      <c r="K85" s="30"/>
      <c r="L85" s="30"/>
      <c r="M85" s="30"/>
      <c r="N85" s="30"/>
      <c r="O85" s="30"/>
      <c r="P85" s="30"/>
      <c r="Q85" s="30"/>
      <c r="R85" s="30"/>
      <c r="S85" s="30"/>
      <c r="T85" s="30"/>
      <c r="U85" s="23"/>
      <c r="V85" s="23"/>
      <c r="W85" s="23"/>
    </row>
    <row r="86" spans="1:23" x14ac:dyDescent="0.25">
      <c r="A86" s="11" t="s">
        <v>181</v>
      </c>
      <c r="B86" s="11" t="s">
        <v>1091</v>
      </c>
      <c r="C86" s="11" t="s">
        <v>1099</v>
      </c>
      <c r="D86" s="11"/>
      <c r="E86" s="29"/>
      <c r="F86" s="29"/>
      <c r="G86" s="29"/>
      <c r="H86" s="29"/>
      <c r="I86" s="29"/>
      <c r="J86" s="29"/>
      <c r="K86" s="29"/>
      <c r="L86" s="29"/>
      <c r="M86" s="29"/>
      <c r="N86" s="29"/>
      <c r="O86" s="29"/>
      <c r="P86" s="29"/>
      <c r="Q86" s="29"/>
      <c r="R86" s="29"/>
      <c r="S86" s="29"/>
      <c r="T86" s="29"/>
      <c r="U86" s="4"/>
      <c r="V86" s="4"/>
    </row>
    <row r="87" spans="1:23" x14ac:dyDescent="0.25">
      <c r="A87" s="11" t="s">
        <v>181</v>
      </c>
      <c r="B87" s="11" t="s">
        <v>1092</v>
      </c>
      <c r="C87" s="11" t="s">
        <v>1099</v>
      </c>
      <c r="D87" s="11" t="s">
        <v>1093</v>
      </c>
      <c r="E87" s="29"/>
      <c r="F87" s="29"/>
      <c r="G87" s="29"/>
      <c r="H87" s="29"/>
      <c r="I87" s="29"/>
      <c r="J87" s="29"/>
      <c r="K87" s="29"/>
      <c r="L87" s="29"/>
      <c r="M87" s="29"/>
      <c r="N87" s="29"/>
      <c r="O87" s="29"/>
      <c r="P87" s="29"/>
      <c r="Q87" s="29"/>
      <c r="R87" s="29"/>
      <c r="S87" s="29"/>
      <c r="T87" s="29"/>
      <c r="U87" s="4"/>
      <c r="V87" s="4"/>
    </row>
    <row r="88" spans="1:23" x14ac:dyDescent="0.25">
      <c r="A88" s="11" t="s">
        <v>181</v>
      </c>
      <c r="B88" s="11" t="s">
        <v>1094</v>
      </c>
      <c r="C88" s="11" t="s">
        <v>1099</v>
      </c>
      <c r="D88" s="11" t="s">
        <v>1095</v>
      </c>
      <c r="E88" s="29"/>
      <c r="F88" s="29"/>
      <c r="G88" s="29"/>
      <c r="H88" s="29"/>
      <c r="I88" s="29"/>
      <c r="J88" s="29"/>
      <c r="K88" s="29"/>
      <c r="L88" s="29"/>
      <c r="M88" s="29"/>
      <c r="N88" s="29"/>
      <c r="O88" s="29"/>
      <c r="P88" s="29"/>
      <c r="Q88" s="29"/>
      <c r="R88" s="29"/>
      <c r="S88" s="29"/>
      <c r="T88" s="29"/>
      <c r="U88" s="4"/>
      <c r="V88" s="4"/>
    </row>
    <row r="89" spans="1:23" x14ac:dyDescent="0.25">
      <c r="A89" s="11" t="s">
        <v>181</v>
      </c>
      <c r="B89" s="11" t="s">
        <v>1096</v>
      </c>
      <c r="C89" s="11" t="s">
        <v>1099</v>
      </c>
      <c r="D89" s="11" t="s">
        <v>1095</v>
      </c>
      <c r="E89" s="29"/>
      <c r="F89" s="29"/>
      <c r="G89" s="29"/>
      <c r="H89" s="29"/>
      <c r="I89" s="29"/>
      <c r="J89" s="29"/>
      <c r="K89" s="29"/>
      <c r="L89" s="29"/>
      <c r="M89" s="29"/>
      <c r="N89" s="29"/>
      <c r="O89" s="29"/>
      <c r="P89" s="29"/>
      <c r="Q89" s="29"/>
      <c r="R89" s="29"/>
      <c r="S89" s="29"/>
      <c r="T89" s="29"/>
      <c r="U89" s="4"/>
      <c r="V89" s="4"/>
      <c r="W89" s="23"/>
    </row>
    <row r="90" spans="1:23" x14ac:dyDescent="0.25">
      <c r="A90" s="11"/>
      <c r="B90" s="11"/>
      <c r="C90" s="11"/>
      <c r="D90" s="11"/>
      <c r="E90" s="30"/>
      <c r="F90" s="30"/>
      <c r="G90" s="30"/>
      <c r="H90" s="30"/>
      <c r="I90" s="30"/>
      <c r="J90" s="30"/>
      <c r="K90" s="30"/>
      <c r="L90" s="30"/>
      <c r="M90" s="30"/>
      <c r="N90" s="30"/>
      <c r="O90" s="30"/>
      <c r="P90" s="30"/>
      <c r="Q90" s="30"/>
      <c r="R90" s="30"/>
      <c r="S90" s="30"/>
      <c r="T90" s="30"/>
      <c r="U90" s="23"/>
      <c r="V90" s="23"/>
    </row>
    <row r="91" spans="1:23" x14ac:dyDescent="0.25">
      <c r="A91" s="8"/>
      <c r="B91" s="9" t="s">
        <v>619</v>
      </c>
      <c r="C91" s="8"/>
      <c r="D91" s="8"/>
      <c r="E91" s="197"/>
      <c r="F91" s="197"/>
      <c r="G91" s="197"/>
      <c r="H91" s="197"/>
      <c r="I91" s="197"/>
      <c r="J91" s="197"/>
      <c r="K91" s="197"/>
      <c r="L91" s="197"/>
      <c r="M91" s="197"/>
      <c r="N91" s="197"/>
      <c r="O91" s="197"/>
      <c r="P91" s="197"/>
      <c r="Q91" s="197"/>
      <c r="R91" s="197"/>
      <c r="S91" s="197"/>
      <c r="T91" s="197"/>
      <c r="U91" s="8"/>
      <c r="V91" s="8"/>
      <c r="W91" s="8"/>
    </row>
    <row r="92" spans="1:23" x14ac:dyDescent="0.25">
      <c r="E92" s="11"/>
      <c r="F92" s="11"/>
      <c r="G92" s="11"/>
      <c r="H92" s="11"/>
      <c r="I92" s="11"/>
      <c r="J92" s="11"/>
      <c r="K92" s="11"/>
      <c r="L92" s="11"/>
      <c r="M92" s="11"/>
      <c r="N92" s="11"/>
      <c r="O92" s="11"/>
      <c r="P92" s="11"/>
      <c r="Q92" s="11"/>
      <c r="R92" s="11"/>
      <c r="S92" s="11"/>
      <c r="T92" s="11"/>
    </row>
    <row r="93" spans="1:23" x14ac:dyDescent="0.25">
      <c r="A93" s="11" t="s">
        <v>181</v>
      </c>
      <c r="B93" s="11" t="s">
        <v>619</v>
      </c>
      <c r="C93" s="11" t="s">
        <v>494</v>
      </c>
      <c r="D93" s="11" t="s">
        <v>892</v>
      </c>
      <c r="E93" s="29">
        <v>0</v>
      </c>
      <c r="F93" s="29">
        <v>0</v>
      </c>
      <c r="G93" s="29">
        <v>0</v>
      </c>
      <c r="H93" s="29">
        <v>0</v>
      </c>
      <c r="I93" s="29">
        <v>0</v>
      </c>
      <c r="J93" s="29">
        <v>0</v>
      </c>
      <c r="K93" s="29">
        <v>0</v>
      </c>
      <c r="L93" s="29">
        <v>0</v>
      </c>
      <c r="M93" s="29">
        <v>0</v>
      </c>
      <c r="N93" s="29">
        <v>0</v>
      </c>
      <c r="O93" s="29">
        <v>0</v>
      </c>
      <c r="P93" s="29">
        <v>11.640667000000001</v>
      </c>
      <c r="Q93" s="29">
        <v>12.32457</v>
      </c>
      <c r="R93" s="29">
        <v>13.539787</v>
      </c>
      <c r="S93" s="29">
        <v>12.717777</v>
      </c>
      <c r="T93" s="29">
        <v>13.740664000000001</v>
      </c>
      <c r="U93" s="4"/>
      <c r="V93" s="4"/>
    </row>
    <row r="94" spans="1:23" x14ac:dyDescent="0.25">
      <c r="A94" s="11" t="s">
        <v>181</v>
      </c>
      <c r="B94" s="11" t="s">
        <v>619</v>
      </c>
      <c r="C94" s="11" t="s">
        <v>1099</v>
      </c>
      <c r="D94" s="11" t="s">
        <v>892</v>
      </c>
      <c r="E94" s="29">
        <v>0</v>
      </c>
      <c r="F94" s="29">
        <v>0</v>
      </c>
      <c r="G94" s="29">
        <v>0</v>
      </c>
      <c r="H94" s="29">
        <v>0</v>
      </c>
      <c r="I94" s="29">
        <v>0</v>
      </c>
      <c r="J94" s="29">
        <v>0</v>
      </c>
      <c r="K94" s="29">
        <v>0</v>
      </c>
      <c r="L94" s="29">
        <v>0</v>
      </c>
      <c r="M94" s="29">
        <v>0</v>
      </c>
      <c r="N94" s="29">
        <v>0</v>
      </c>
      <c r="O94" s="29">
        <v>0</v>
      </c>
      <c r="P94" s="29">
        <v>0</v>
      </c>
      <c r="Q94" s="29">
        <v>0</v>
      </c>
      <c r="R94" s="29">
        <v>0</v>
      </c>
      <c r="S94" s="29">
        <v>2.8497000000000001E-2</v>
      </c>
      <c r="T94" s="29">
        <v>0.1169858</v>
      </c>
      <c r="U94" s="4"/>
      <c r="V94" s="4"/>
    </row>
    <row r="95" spans="1:23" x14ac:dyDescent="0.25">
      <c r="A95" s="11"/>
      <c r="B95" s="11"/>
      <c r="C95" s="11"/>
      <c r="D95" s="11"/>
      <c r="E95" s="30"/>
      <c r="F95" s="30"/>
      <c r="G95" s="30"/>
      <c r="H95" s="30"/>
      <c r="I95" s="30"/>
      <c r="J95" s="30"/>
      <c r="K95" s="30"/>
      <c r="L95" s="30"/>
      <c r="M95" s="30"/>
      <c r="N95" s="30"/>
      <c r="O95" s="30"/>
      <c r="P95" s="30"/>
      <c r="Q95" s="30"/>
      <c r="R95" s="29"/>
      <c r="S95" s="29"/>
      <c r="T95" s="29"/>
      <c r="U95" s="4"/>
      <c r="V95" s="4"/>
    </row>
    <row r="96" spans="1:23" x14ac:dyDescent="0.25">
      <c r="A96" s="11" t="s">
        <v>181</v>
      </c>
      <c r="B96" s="11" t="s">
        <v>619</v>
      </c>
      <c r="C96" s="11" t="s">
        <v>494</v>
      </c>
      <c r="D96" s="11" t="s">
        <v>1097</v>
      </c>
      <c r="E96" s="29">
        <v>0</v>
      </c>
      <c r="F96" s="29">
        <v>0</v>
      </c>
      <c r="G96" s="29">
        <v>0</v>
      </c>
      <c r="H96" s="29">
        <v>0</v>
      </c>
      <c r="I96" s="29">
        <v>0</v>
      </c>
      <c r="J96" s="29">
        <v>0</v>
      </c>
      <c r="K96" s="29">
        <v>0</v>
      </c>
      <c r="L96" s="29">
        <v>0</v>
      </c>
      <c r="M96" s="29">
        <v>0</v>
      </c>
      <c r="N96" s="29">
        <v>0</v>
      </c>
      <c r="O96" s="29">
        <v>0</v>
      </c>
      <c r="P96" s="29">
        <v>15.1328671</v>
      </c>
      <c r="Q96" s="29">
        <v>16.021940999999998</v>
      </c>
      <c r="R96" s="29">
        <v>17.601723100000001</v>
      </c>
      <c r="S96" s="29">
        <v>16.533110099999998</v>
      </c>
      <c r="T96" s="29">
        <v>17.862863200000003</v>
      </c>
      <c r="U96" s="4"/>
      <c r="V96" s="4"/>
    </row>
    <row r="97" spans="1:23" x14ac:dyDescent="0.25">
      <c r="A97" s="11" t="s">
        <v>181</v>
      </c>
      <c r="B97" s="11" t="s">
        <v>619</v>
      </c>
      <c r="C97" s="11" t="s">
        <v>1099</v>
      </c>
      <c r="D97" s="11" t="s">
        <v>1097</v>
      </c>
      <c r="E97" s="29">
        <v>0</v>
      </c>
      <c r="F97" s="29">
        <v>0</v>
      </c>
      <c r="G97" s="29">
        <v>0</v>
      </c>
      <c r="H97" s="29">
        <v>0</v>
      </c>
      <c r="I97" s="29">
        <v>0</v>
      </c>
      <c r="J97" s="29">
        <v>0</v>
      </c>
      <c r="K97" s="29">
        <v>0</v>
      </c>
      <c r="L97" s="29">
        <v>0</v>
      </c>
      <c r="M97" s="29">
        <v>0</v>
      </c>
      <c r="N97" s="29">
        <v>0</v>
      </c>
      <c r="O97" s="29">
        <v>0</v>
      </c>
      <c r="P97" s="29">
        <v>0</v>
      </c>
      <c r="Q97" s="29">
        <v>0</v>
      </c>
      <c r="R97" s="29">
        <v>0</v>
      </c>
      <c r="S97" s="29">
        <v>8.2641300000000001E-2</v>
      </c>
      <c r="T97" s="29">
        <v>0.33925882000000002</v>
      </c>
      <c r="U97" s="4"/>
      <c r="V97" s="4"/>
    </row>
    <row r="98" spans="1:23" x14ac:dyDescent="0.25">
      <c r="A98" s="10" t="s">
        <v>181</v>
      </c>
      <c r="B98" s="10" t="s">
        <v>882</v>
      </c>
      <c r="C98" s="10" t="s">
        <v>836</v>
      </c>
      <c r="D98" s="10" t="s">
        <v>1097</v>
      </c>
      <c r="E98" s="126">
        <v>0</v>
      </c>
      <c r="F98" s="126">
        <v>0</v>
      </c>
      <c r="G98" s="126">
        <v>0</v>
      </c>
      <c r="H98" s="126">
        <v>0</v>
      </c>
      <c r="I98" s="126">
        <v>0</v>
      </c>
      <c r="J98" s="126">
        <v>0</v>
      </c>
      <c r="K98" s="126">
        <v>0</v>
      </c>
      <c r="L98" s="126">
        <v>0</v>
      </c>
      <c r="M98" s="126">
        <v>0</v>
      </c>
      <c r="N98" s="126">
        <v>0</v>
      </c>
      <c r="O98" s="126">
        <v>0</v>
      </c>
      <c r="P98" s="126">
        <v>15.1328671</v>
      </c>
      <c r="Q98" s="126">
        <v>16.021940999999998</v>
      </c>
      <c r="R98" s="29">
        <v>17.601723100000001</v>
      </c>
      <c r="S98" s="29">
        <v>16.615751399999997</v>
      </c>
      <c r="T98" s="29">
        <v>18.202122020000004</v>
      </c>
      <c r="U98" s="4"/>
      <c r="V98" s="4"/>
      <c r="W98" s="7"/>
    </row>
    <row r="99" spans="1:23" x14ac:dyDescent="0.25">
      <c r="A99" s="7"/>
      <c r="B99" s="7"/>
      <c r="C99" s="7"/>
      <c r="D99" s="7"/>
    </row>
    <row r="100" spans="1:23" ht="18.75" x14ac:dyDescent="0.3">
      <c r="A100" s="13" t="s">
        <v>346</v>
      </c>
    </row>
    <row r="101" spans="1:23" x14ac:dyDescent="0.25">
      <c r="A101" s="8"/>
      <c r="B101" s="9" t="s">
        <v>865</v>
      </c>
      <c r="C101" s="8"/>
      <c r="D101" s="8" t="s">
        <v>852</v>
      </c>
      <c r="E101" s="8"/>
      <c r="F101" s="8"/>
      <c r="G101" s="8"/>
      <c r="H101" s="8"/>
      <c r="I101" s="8"/>
      <c r="J101" s="8"/>
      <c r="K101" s="8"/>
      <c r="L101" s="8"/>
      <c r="M101" s="8"/>
      <c r="N101" s="8"/>
      <c r="O101" s="8"/>
      <c r="P101" s="8"/>
      <c r="Q101" s="8"/>
      <c r="R101" s="8"/>
      <c r="S101" s="8"/>
      <c r="T101" s="8"/>
      <c r="U101" s="8"/>
      <c r="V101" s="8"/>
      <c r="W101" s="22"/>
    </row>
    <row r="103" spans="1:23" x14ac:dyDescent="0.25">
      <c r="A103" s="10" t="s">
        <v>867</v>
      </c>
      <c r="B103" s="10" t="s">
        <v>868</v>
      </c>
      <c r="C103" s="10" t="s">
        <v>482</v>
      </c>
      <c r="D103" s="10" t="s">
        <v>740</v>
      </c>
      <c r="E103" s="10">
        <v>2000</v>
      </c>
      <c r="F103" s="10">
        <v>2001</v>
      </c>
      <c r="G103" s="10">
        <v>2002</v>
      </c>
      <c r="H103" s="10">
        <v>2003</v>
      </c>
      <c r="I103" s="10">
        <v>2004</v>
      </c>
      <c r="J103" s="10">
        <v>2005</v>
      </c>
      <c r="K103" s="10">
        <v>2006</v>
      </c>
      <c r="L103" s="10">
        <v>2007</v>
      </c>
      <c r="M103" s="10">
        <v>2008</v>
      </c>
      <c r="N103" s="10">
        <v>2009</v>
      </c>
      <c r="O103" s="10">
        <v>2010</v>
      </c>
      <c r="P103" s="10">
        <v>2011</v>
      </c>
      <c r="Q103" s="10">
        <v>2012</v>
      </c>
      <c r="R103" s="10">
        <v>2013</v>
      </c>
      <c r="S103" s="10">
        <v>2014</v>
      </c>
      <c r="T103" s="10">
        <v>2015</v>
      </c>
      <c r="U103" s="10"/>
      <c r="V103" s="10"/>
    </row>
    <row r="104" spans="1:23" x14ac:dyDescent="0.25">
      <c r="A104" s="11" t="s">
        <v>181</v>
      </c>
      <c r="B104" s="11" t="s">
        <v>1085</v>
      </c>
      <c r="C104" s="11" t="s">
        <v>494</v>
      </c>
      <c r="D104" s="11"/>
      <c r="E104" s="41" t="str">
        <f t="shared" ref="E104" si="2">IFERROR(((E14/E71)-1),"CHECK")</f>
        <v>CHECK</v>
      </c>
      <c r="F104" s="41" t="str">
        <f t="shared" ref="F104:T104" si="3">IFERROR(((F14/F71)-1),"CHECK")</f>
        <v>CHECK</v>
      </c>
      <c r="G104" s="41" t="str">
        <f t="shared" si="3"/>
        <v>CHECK</v>
      </c>
      <c r="H104" s="41" t="str">
        <f t="shared" si="3"/>
        <v>CHECK</v>
      </c>
      <c r="I104" s="41" t="str">
        <f t="shared" si="3"/>
        <v>CHECK</v>
      </c>
      <c r="J104" s="41" t="str">
        <f t="shared" si="3"/>
        <v>CHECK</v>
      </c>
      <c r="K104" s="41" t="str">
        <f t="shared" si="3"/>
        <v>CHECK</v>
      </c>
      <c r="L104" s="41" t="str">
        <f t="shared" si="3"/>
        <v>CHECK</v>
      </c>
      <c r="M104" s="41" t="str">
        <f t="shared" si="3"/>
        <v>CHECK</v>
      </c>
      <c r="N104" s="41" t="str">
        <f t="shared" si="3"/>
        <v>CHECK</v>
      </c>
      <c r="O104" s="41" t="str">
        <f t="shared" si="3"/>
        <v>CHECK</v>
      </c>
      <c r="P104" s="41" t="str">
        <f t="shared" si="3"/>
        <v>CHECK</v>
      </c>
      <c r="Q104" s="41" t="str">
        <f t="shared" si="3"/>
        <v>CHECK</v>
      </c>
      <c r="R104" s="41" t="str">
        <f t="shared" si="3"/>
        <v>CHECK</v>
      </c>
      <c r="S104" s="41" t="str">
        <f t="shared" si="3"/>
        <v>CHECK</v>
      </c>
      <c r="T104" s="41" t="str">
        <f t="shared" si="3"/>
        <v>CHECK</v>
      </c>
      <c r="U104" s="41"/>
      <c r="V104" s="41"/>
    </row>
    <row r="105" spans="1:23" x14ac:dyDescent="0.25">
      <c r="A105" s="11" t="s">
        <v>181</v>
      </c>
      <c r="B105" s="11" t="s">
        <v>1086</v>
      </c>
      <c r="C105" s="11" t="s">
        <v>494</v>
      </c>
      <c r="D105" s="11"/>
      <c r="E105" s="41" t="str">
        <f t="shared" ref="E105:T105" si="4">IFERROR(((E15/E72)-1),"CHECK")</f>
        <v>CHECK</v>
      </c>
      <c r="F105" s="41" t="str">
        <f t="shared" si="4"/>
        <v>CHECK</v>
      </c>
      <c r="G105" s="41" t="str">
        <f t="shared" si="4"/>
        <v>CHECK</v>
      </c>
      <c r="H105" s="41" t="str">
        <f t="shared" si="4"/>
        <v>CHECK</v>
      </c>
      <c r="I105" s="41" t="str">
        <f t="shared" si="4"/>
        <v>CHECK</v>
      </c>
      <c r="J105" s="41" t="str">
        <f t="shared" si="4"/>
        <v>CHECK</v>
      </c>
      <c r="K105" s="41" t="str">
        <f t="shared" si="4"/>
        <v>CHECK</v>
      </c>
      <c r="L105" s="41" t="str">
        <f t="shared" si="4"/>
        <v>CHECK</v>
      </c>
      <c r="M105" s="41" t="str">
        <f t="shared" si="4"/>
        <v>CHECK</v>
      </c>
      <c r="N105" s="41" t="str">
        <f t="shared" si="4"/>
        <v>CHECK</v>
      </c>
      <c r="O105" s="41" t="str">
        <f t="shared" si="4"/>
        <v>CHECK</v>
      </c>
      <c r="P105" s="41" t="str">
        <f t="shared" si="4"/>
        <v>CHECK</v>
      </c>
      <c r="Q105" s="41" t="str">
        <f t="shared" si="4"/>
        <v>CHECK</v>
      </c>
      <c r="R105" s="41" t="str">
        <f t="shared" si="4"/>
        <v>CHECK</v>
      </c>
      <c r="S105" s="41" t="str">
        <f t="shared" si="4"/>
        <v>CHECK</v>
      </c>
      <c r="T105" s="41" t="str">
        <f t="shared" si="4"/>
        <v>CHECK</v>
      </c>
      <c r="U105" s="41"/>
      <c r="V105" s="41"/>
    </row>
    <row r="106" spans="1:23" x14ac:dyDescent="0.25">
      <c r="A106" s="11" t="s">
        <v>181</v>
      </c>
      <c r="B106" s="11" t="s">
        <v>1087</v>
      </c>
      <c r="C106" s="11" t="s">
        <v>494</v>
      </c>
      <c r="D106" s="11"/>
      <c r="E106" s="41" t="str">
        <f t="shared" ref="E106:T106" si="5">IFERROR(((E16/E73)-1),"CHECK")</f>
        <v>CHECK</v>
      </c>
      <c r="F106" s="41" t="str">
        <f t="shared" si="5"/>
        <v>CHECK</v>
      </c>
      <c r="G106" s="41" t="str">
        <f t="shared" si="5"/>
        <v>CHECK</v>
      </c>
      <c r="H106" s="41" t="str">
        <f t="shared" si="5"/>
        <v>CHECK</v>
      </c>
      <c r="I106" s="41" t="str">
        <f t="shared" si="5"/>
        <v>CHECK</v>
      </c>
      <c r="J106" s="41" t="str">
        <f t="shared" si="5"/>
        <v>CHECK</v>
      </c>
      <c r="K106" s="41" t="str">
        <f t="shared" si="5"/>
        <v>CHECK</v>
      </c>
      <c r="L106" s="41" t="str">
        <f t="shared" si="5"/>
        <v>CHECK</v>
      </c>
      <c r="M106" s="41" t="str">
        <f t="shared" si="5"/>
        <v>CHECK</v>
      </c>
      <c r="N106" s="41" t="str">
        <f t="shared" si="5"/>
        <v>CHECK</v>
      </c>
      <c r="O106" s="41" t="str">
        <f t="shared" si="5"/>
        <v>CHECK</v>
      </c>
      <c r="P106" s="41" t="str">
        <f t="shared" si="5"/>
        <v>CHECK</v>
      </c>
      <c r="Q106" s="41" t="str">
        <f t="shared" si="5"/>
        <v>CHECK</v>
      </c>
      <c r="R106" s="41" t="str">
        <f t="shared" si="5"/>
        <v>CHECK</v>
      </c>
      <c r="S106" s="41" t="str">
        <f t="shared" si="5"/>
        <v>CHECK</v>
      </c>
      <c r="T106" s="41" t="str">
        <f t="shared" si="5"/>
        <v>CHECK</v>
      </c>
      <c r="U106" s="41"/>
      <c r="V106" s="41"/>
    </row>
    <row r="107" spans="1:23" x14ac:dyDescent="0.25">
      <c r="A107" s="11"/>
      <c r="B107" s="11"/>
      <c r="C107" s="11"/>
      <c r="D107" s="11"/>
      <c r="E107" s="41"/>
      <c r="F107" s="41"/>
      <c r="G107" s="41"/>
      <c r="H107" s="41"/>
      <c r="I107" s="41"/>
      <c r="J107" s="41"/>
      <c r="K107" s="41"/>
      <c r="L107" s="41"/>
      <c r="M107" s="41"/>
      <c r="N107" s="41"/>
      <c r="O107" s="41"/>
      <c r="P107" s="41"/>
      <c r="Q107" s="41"/>
      <c r="R107" s="41"/>
      <c r="S107" s="41"/>
      <c r="T107" s="41"/>
      <c r="U107" s="41"/>
      <c r="V107" s="41"/>
    </row>
    <row r="108" spans="1:23" x14ac:dyDescent="0.25">
      <c r="A108" s="11" t="s">
        <v>181</v>
      </c>
      <c r="B108" s="11" t="s">
        <v>1085</v>
      </c>
      <c r="C108" s="11" t="s">
        <v>1099</v>
      </c>
      <c r="D108" s="11"/>
      <c r="E108" s="41" t="str">
        <f t="shared" ref="E108:T108" si="6">IFERROR(((E18/E75)-1),"CHECK")</f>
        <v>CHECK</v>
      </c>
      <c r="F108" s="41" t="str">
        <f t="shared" si="6"/>
        <v>CHECK</v>
      </c>
      <c r="G108" s="41" t="str">
        <f t="shared" si="6"/>
        <v>CHECK</v>
      </c>
      <c r="H108" s="41" t="str">
        <f t="shared" si="6"/>
        <v>CHECK</v>
      </c>
      <c r="I108" s="41" t="str">
        <f t="shared" si="6"/>
        <v>CHECK</v>
      </c>
      <c r="J108" s="41" t="str">
        <f t="shared" si="6"/>
        <v>CHECK</v>
      </c>
      <c r="K108" s="41" t="str">
        <f t="shared" si="6"/>
        <v>CHECK</v>
      </c>
      <c r="L108" s="41" t="str">
        <f t="shared" si="6"/>
        <v>CHECK</v>
      </c>
      <c r="M108" s="41" t="str">
        <f t="shared" si="6"/>
        <v>CHECK</v>
      </c>
      <c r="N108" s="41" t="str">
        <f t="shared" si="6"/>
        <v>CHECK</v>
      </c>
      <c r="O108" s="41" t="str">
        <f t="shared" si="6"/>
        <v>CHECK</v>
      </c>
      <c r="P108" s="41" t="str">
        <f t="shared" si="6"/>
        <v>CHECK</v>
      </c>
      <c r="Q108" s="41" t="str">
        <f t="shared" si="6"/>
        <v>CHECK</v>
      </c>
      <c r="R108" s="41" t="str">
        <f t="shared" si="6"/>
        <v>CHECK</v>
      </c>
      <c r="S108" s="41" t="str">
        <f t="shared" si="6"/>
        <v>CHECK</v>
      </c>
      <c r="T108" s="41" t="str">
        <f t="shared" si="6"/>
        <v>CHECK</v>
      </c>
      <c r="U108" s="41"/>
      <c r="V108" s="41"/>
    </row>
    <row r="109" spans="1:23" x14ac:dyDescent="0.25">
      <c r="A109" s="11" t="s">
        <v>181</v>
      </c>
      <c r="B109" s="11" t="s">
        <v>1086</v>
      </c>
      <c r="C109" s="11" t="s">
        <v>1099</v>
      </c>
      <c r="D109" s="11"/>
      <c r="E109" s="41" t="str">
        <f t="shared" ref="E109:T109" si="7">IFERROR(((E19/E76)-1),"CHECK")</f>
        <v>CHECK</v>
      </c>
      <c r="F109" s="41" t="str">
        <f t="shared" si="7"/>
        <v>CHECK</v>
      </c>
      <c r="G109" s="41" t="str">
        <f t="shared" si="7"/>
        <v>CHECK</v>
      </c>
      <c r="H109" s="41" t="str">
        <f t="shared" si="7"/>
        <v>CHECK</v>
      </c>
      <c r="I109" s="41" t="str">
        <f t="shared" si="7"/>
        <v>CHECK</v>
      </c>
      <c r="J109" s="41" t="str">
        <f t="shared" si="7"/>
        <v>CHECK</v>
      </c>
      <c r="K109" s="41" t="str">
        <f t="shared" si="7"/>
        <v>CHECK</v>
      </c>
      <c r="L109" s="41" t="str">
        <f t="shared" si="7"/>
        <v>CHECK</v>
      </c>
      <c r="M109" s="41" t="str">
        <f t="shared" si="7"/>
        <v>CHECK</v>
      </c>
      <c r="N109" s="41" t="str">
        <f t="shared" si="7"/>
        <v>CHECK</v>
      </c>
      <c r="O109" s="41" t="str">
        <f t="shared" si="7"/>
        <v>CHECK</v>
      </c>
      <c r="P109" s="41" t="str">
        <f t="shared" si="7"/>
        <v>CHECK</v>
      </c>
      <c r="Q109" s="41" t="str">
        <f t="shared" si="7"/>
        <v>CHECK</v>
      </c>
      <c r="R109" s="41" t="str">
        <f t="shared" si="7"/>
        <v>CHECK</v>
      </c>
      <c r="S109" s="41" t="str">
        <f t="shared" si="7"/>
        <v>CHECK</v>
      </c>
      <c r="T109" s="41" t="str">
        <f t="shared" si="7"/>
        <v>CHECK</v>
      </c>
      <c r="U109" s="41"/>
      <c r="V109" s="41"/>
    </row>
    <row r="110" spans="1:23" x14ac:dyDescent="0.25">
      <c r="A110" s="11" t="s">
        <v>181</v>
      </c>
      <c r="B110" s="11" t="s">
        <v>1087</v>
      </c>
      <c r="C110" s="11" t="s">
        <v>1099</v>
      </c>
      <c r="D110" s="11"/>
      <c r="E110" s="41" t="str">
        <f t="shared" ref="E110:T110" si="8">IFERROR(((E20/E77)-1),"CHECK")</f>
        <v>CHECK</v>
      </c>
      <c r="F110" s="41" t="str">
        <f t="shared" si="8"/>
        <v>CHECK</v>
      </c>
      <c r="G110" s="41" t="str">
        <f t="shared" si="8"/>
        <v>CHECK</v>
      </c>
      <c r="H110" s="41" t="str">
        <f t="shared" si="8"/>
        <v>CHECK</v>
      </c>
      <c r="I110" s="41" t="str">
        <f t="shared" si="8"/>
        <v>CHECK</v>
      </c>
      <c r="J110" s="41" t="str">
        <f t="shared" si="8"/>
        <v>CHECK</v>
      </c>
      <c r="K110" s="41" t="str">
        <f t="shared" si="8"/>
        <v>CHECK</v>
      </c>
      <c r="L110" s="41" t="str">
        <f t="shared" si="8"/>
        <v>CHECK</v>
      </c>
      <c r="M110" s="41" t="str">
        <f t="shared" si="8"/>
        <v>CHECK</v>
      </c>
      <c r="N110" s="41" t="str">
        <f t="shared" si="8"/>
        <v>CHECK</v>
      </c>
      <c r="O110" s="41" t="str">
        <f t="shared" si="8"/>
        <v>CHECK</v>
      </c>
      <c r="P110" s="41" t="str">
        <f t="shared" si="8"/>
        <v>CHECK</v>
      </c>
      <c r="Q110" s="41" t="str">
        <f t="shared" si="8"/>
        <v>CHECK</v>
      </c>
      <c r="R110" s="41" t="str">
        <f t="shared" si="8"/>
        <v>CHECK</v>
      </c>
      <c r="S110" s="41" t="str">
        <f t="shared" si="8"/>
        <v>CHECK</v>
      </c>
      <c r="T110" s="41" t="str">
        <f t="shared" si="8"/>
        <v>CHECK</v>
      </c>
      <c r="U110" s="41"/>
      <c r="V110" s="41"/>
    </row>
    <row r="111" spans="1:23" x14ac:dyDescent="0.25">
      <c r="A111" s="11"/>
      <c r="B111" s="11"/>
      <c r="C111" s="11"/>
      <c r="D111" s="11"/>
      <c r="E111" s="41"/>
      <c r="F111" s="41"/>
      <c r="G111" s="41"/>
      <c r="H111" s="41"/>
      <c r="I111" s="41"/>
      <c r="J111" s="41"/>
      <c r="K111" s="41"/>
      <c r="L111" s="41"/>
      <c r="M111" s="41"/>
      <c r="N111" s="41"/>
      <c r="O111" s="41"/>
      <c r="P111" s="41"/>
      <c r="Q111" s="41"/>
      <c r="R111" s="41"/>
      <c r="S111" s="41"/>
      <c r="T111" s="41"/>
      <c r="U111" s="41"/>
      <c r="V111" s="41"/>
    </row>
    <row r="112" spans="1:23" x14ac:dyDescent="0.25">
      <c r="A112" s="8"/>
      <c r="B112" s="9" t="s">
        <v>877</v>
      </c>
      <c r="C112" s="8"/>
      <c r="D112" s="8"/>
      <c r="E112" s="8"/>
      <c r="F112" s="8"/>
      <c r="G112" s="8"/>
      <c r="H112" s="8"/>
      <c r="I112" s="8"/>
      <c r="J112" s="8"/>
      <c r="K112" s="8"/>
      <c r="L112" s="8"/>
      <c r="M112" s="8"/>
      <c r="N112" s="8"/>
      <c r="O112" s="8"/>
      <c r="P112" s="8"/>
      <c r="Q112" s="8"/>
      <c r="R112" s="8"/>
      <c r="S112" s="8"/>
      <c r="T112" s="8"/>
      <c r="U112" s="8"/>
      <c r="V112" s="8"/>
    </row>
    <row r="114" spans="1:22" x14ac:dyDescent="0.25">
      <c r="A114" s="11" t="s">
        <v>181</v>
      </c>
      <c r="B114" s="11" t="s">
        <v>1091</v>
      </c>
      <c r="C114" s="11" t="s">
        <v>494</v>
      </c>
      <c r="D114" s="11"/>
      <c r="E114" s="41" t="str">
        <f t="shared" ref="E114:T114" si="9">IFERROR(((E24/E81)-1),"CHECK")</f>
        <v>CHECK</v>
      </c>
      <c r="F114" s="41" t="str">
        <f t="shared" si="9"/>
        <v>CHECK</v>
      </c>
      <c r="G114" s="41" t="str">
        <f t="shared" si="9"/>
        <v>CHECK</v>
      </c>
      <c r="H114" s="41" t="str">
        <f t="shared" si="9"/>
        <v>CHECK</v>
      </c>
      <c r="I114" s="41" t="str">
        <f t="shared" si="9"/>
        <v>CHECK</v>
      </c>
      <c r="J114" s="41" t="str">
        <f t="shared" si="9"/>
        <v>CHECK</v>
      </c>
      <c r="K114" s="41" t="str">
        <f t="shared" si="9"/>
        <v>CHECK</v>
      </c>
      <c r="L114" s="41" t="str">
        <f t="shared" si="9"/>
        <v>CHECK</v>
      </c>
      <c r="M114" s="41" t="str">
        <f t="shared" si="9"/>
        <v>CHECK</v>
      </c>
      <c r="N114" s="41" t="str">
        <f t="shared" si="9"/>
        <v>CHECK</v>
      </c>
      <c r="O114" s="41" t="str">
        <f t="shared" si="9"/>
        <v>CHECK</v>
      </c>
      <c r="P114" s="41" t="str">
        <f t="shared" si="9"/>
        <v>CHECK</v>
      </c>
      <c r="Q114" s="41" t="str">
        <f t="shared" si="9"/>
        <v>CHECK</v>
      </c>
      <c r="R114" s="41" t="str">
        <f t="shared" si="9"/>
        <v>CHECK</v>
      </c>
      <c r="S114" s="41" t="str">
        <f t="shared" si="9"/>
        <v>CHECK</v>
      </c>
      <c r="T114" s="41" t="str">
        <f t="shared" si="9"/>
        <v>CHECK</v>
      </c>
      <c r="U114" s="41"/>
      <c r="V114" s="41"/>
    </row>
    <row r="115" spans="1:22" x14ac:dyDescent="0.25">
      <c r="A115" s="11" t="s">
        <v>181</v>
      </c>
      <c r="B115" s="11" t="s">
        <v>1092</v>
      </c>
      <c r="C115" s="11" t="s">
        <v>494</v>
      </c>
      <c r="D115" s="11" t="s">
        <v>1093</v>
      </c>
      <c r="E115" s="41" t="str">
        <f t="shared" ref="E115:T115" si="10">IFERROR(((E25/E82)-1),"CHECK")</f>
        <v>CHECK</v>
      </c>
      <c r="F115" s="41" t="str">
        <f t="shared" si="10"/>
        <v>CHECK</v>
      </c>
      <c r="G115" s="41" t="str">
        <f t="shared" si="10"/>
        <v>CHECK</v>
      </c>
      <c r="H115" s="41" t="str">
        <f t="shared" si="10"/>
        <v>CHECK</v>
      </c>
      <c r="I115" s="41" t="str">
        <f t="shared" si="10"/>
        <v>CHECK</v>
      </c>
      <c r="J115" s="41" t="str">
        <f t="shared" si="10"/>
        <v>CHECK</v>
      </c>
      <c r="K115" s="41" t="str">
        <f t="shared" si="10"/>
        <v>CHECK</v>
      </c>
      <c r="L115" s="41" t="str">
        <f t="shared" si="10"/>
        <v>CHECK</v>
      </c>
      <c r="M115" s="41" t="str">
        <f t="shared" si="10"/>
        <v>CHECK</v>
      </c>
      <c r="N115" s="41" t="str">
        <f t="shared" si="10"/>
        <v>CHECK</v>
      </c>
      <c r="O115" s="41" t="str">
        <f t="shared" si="10"/>
        <v>CHECK</v>
      </c>
      <c r="P115" s="41" t="str">
        <f t="shared" si="10"/>
        <v>CHECK</v>
      </c>
      <c r="Q115" s="41" t="str">
        <f t="shared" si="10"/>
        <v>CHECK</v>
      </c>
      <c r="R115" s="41" t="str">
        <f t="shared" si="10"/>
        <v>CHECK</v>
      </c>
      <c r="S115" s="41" t="str">
        <f t="shared" si="10"/>
        <v>CHECK</v>
      </c>
      <c r="T115" s="41" t="str">
        <f t="shared" si="10"/>
        <v>CHECK</v>
      </c>
      <c r="U115" s="41"/>
      <c r="V115" s="41"/>
    </row>
    <row r="116" spans="1:22" x14ac:dyDescent="0.25">
      <c r="A116" s="11" t="s">
        <v>181</v>
      </c>
      <c r="B116" s="11" t="s">
        <v>1094</v>
      </c>
      <c r="C116" s="11" t="s">
        <v>494</v>
      </c>
      <c r="D116" s="11" t="s">
        <v>1095</v>
      </c>
      <c r="E116" s="41" t="str">
        <f t="shared" ref="E116:T116" si="11">IFERROR(((E26/E83)-1),"CHECK")</f>
        <v>CHECK</v>
      </c>
      <c r="F116" s="41" t="str">
        <f t="shared" si="11"/>
        <v>CHECK</v>
      </c>
      <c r="G116" s="41" t="str">
        <f t="shared" si="11"/>
        <v>CHECK</v>
      </c>
      <c r="H116" s="41" t="str">
        <f t="shared" si="11"/>
        <v>CHECK</v>
      </c>
      <c r="I116" s="41" t="str">
        <f t="shared" si="11"/>
        <v>CHECK</v>
      </c>
      <c r="J116" s="41" t="str">
        <f t="shared" si="11"/>
        <v>CHECK</v>
      </c>
      <c r="K116" s="41" t="str">
        <f t="shared" si="11"/>
        <v>CHECK</v>
      </c>
      <c r="L116" s="41" t="str">
        <f t="shared" si="11"/>
        <v>CHECK</v>
      </c>
      <c r="M116" s="41" t="str">
        <f t="shared" si="11"/>
        <v>CHECK</v>
      </c>
      <c r="N116" s="41" t="str">
        <f t="shared" si="11"/>
        <v>CHECK</v>
      </c>
      <c r="O116" s="41" t="str">
        <f t="shared" si="11"/>
        <v>CHECK</v>
      </c>
      <c r="P116" s="41" t="str">
        <f t="shared" si="11"/>
        <v>CHECK</v>
      </c>
      <c r="Q116" s="41" t="str">
        <f t="shared" si="11"/>
        <v>CHECK</v>
      </c>
      <c r="R116" s="41" t="str">
        <f t="shared" si="11"/>
        <v>CHECK</v>
      </c>
      <c r="S116" s="41" t="str">
        <f t="shared" si="11"/>
        <v>CHECK</v>
      </c>
      <c r="T116" s="41" t="str">
        <f t="shared" si="11"/>
        <v>CHECK</v>
      </c>
      <c r="U116" s="41"/>
      <c r="V116" s="41"/>
    </row>
    <row r="117" spans="1:22" x14ac:dyDescent="0.25">
      <c r="A117" s="11" t="s">
        <v>181</v>
      </c>
      <c r="B117" s="11" t="s">
        <v>1096</v>
      </c>
      <c r="C117" s="11" t="s">
        <v>494</v>
      </c>
      <c r="D117" s="11" t="s">
        <v>1095</v>
      </c>
      <c r="E117" s="41" t="str">
        <f t="shared" ref="E117:T117" si="12">IFERROR(((E27/E84)-1),"CHECK")</f>
        <v>CHECK</v>
      </c>
      <c r="F117" s="41" t="str">
        <f t="shared" si="12"/>
        <v>CHECK</v>
      </c>
      <c r="G117" s="41" t="str">
        <f t="shared" si="12"/>
        <v>CHECK</v>
      </c>
      <c r="H117" s="41" t="str">
        <f t="shared" si="12"/>
        <v>CHECK</v>
      </c>
      <c r="I117" s="41" t="str">
        <f t="shared" si="12"/>
        <v>CHECK</v>
      </c>
      <c r="J117" s="41" t="str">
        <f t="shared" si="12"/>
        <v>CHECK</v>
      </c>
      <c r="K117" s="41" t="str">
        <f t="shared" si="12"/>
        <v>CHECK</v>
      </c>
      <c r="L117" s="41" t="str">
        <f t="shared" si="12"/>
        <v>CHECK</v>
      </c>
      <c r="M117" s="41" t="str">
        <f t="shared" si="12"/>
        <v>CHECK</v>
      </c>
      <c r="N117" s="41" t="str">
        <f t="shared" si="12"/>
        <v>CHECK</v>
      </c>
      <c r="O117" s="41" t="str">
        <f t="shared" si="12"/>
        <v>CHECK</v>
      </c>
      <c r="P117" s="41" t="str">
        <f t="shared" si="12"/>
        <v>CHECK</v>
      </c>
      <c r="Q117" s="41" t="str">
        <f t="shared" si="12"/>
        <v>CHECK</v>
      </c>
      <c r="R117" s="41" t="str">
        <f t="shared" si="12"/>
        <v>CHECK</v>
      </c>
      <c r="S117" s="41" t="str">
        <f t="shared" si="12"/>
        <v>CHECK</v>
      </c>
      <c r="T117" s="41" t="str">
        <f t="shared" si="12"/>
        <v>CHECK</v>
      </c>
      <c r="U117" s="41"/>
      <c r="V117" s="41"/>
    </row>
    <row r="118" spans="1:22" x14ac:dyDescent="0.25">
      <c r="A118" s="11"/>
      <c r="B118" s="11"/>
      <c r="C118" s="11"/>
      <c r="D118" s="11"/>
      <c r="E118" s="41"/>
      <c r="F118" s="41"/>
      <c r="G118" s="41"/>
      <c r="H118" s="41"/>
      <c r="I118" s="41"/>
      <c r="J118" s="41"/>
      <c r="K118" s="41"/>
      <c r="L118" s="41"/>
      <c r="M118" s="41"/>
      <c r="N118" s="41"/>
      <c r="O118" s="41"/>
      <c r="P118" s="41"/>
      <c r="Q118" s="41"/>
      <c r="R118" s="41"/>
      <c r="S118" s="41"/>
      <c r="T118" s="41"/>
      <c r="U118" s="41"/>
      <c r="V118" s="41"/>
    </row>
    <row r="119" spans="1:22" x14ac:dyDescent="0.25">
      <c r="A119" s="11" t="s">
        <v>181</v>
      </c>
      <c r="B119" s="11" t="s">
        <v>1091</v>
      </c>
      <c r="C119" s="11" t="s">
        <v>1099</v>
      </c>
      <c r="D119" s="11"/>
      <c r="E119" s="41" t="str">
        <f t="shared" ref="E119:T119" si="13">IFERROR(((E29/E86)-1),"CHECK")</f>
        <v>CHECK</v>
      </c>
      <c r="F119" s="41" t="str">
        <f t="shared" si="13"/>
        <v>CHECK</v>
      </c>
      <c r="G119" s="41" t="str">
        <f t="shared" si="13"/>
        <v>CHECK</v>
      </c>
      <c r="H119" s="41" t="str">
        <f t="shared" si="13"/>
        <v>CHECK</v>
      </c>
      <c r="I119" s="41" t="str">
        <f t="shared" si="13"/>
        <v>CHECK</v>
      </c>
      <c r="J119" s="41" t="str">
        <f t="shared" si="13"/>
        <v>CHECK</v>
      </c>
      <c r="K119" s="41" t="str">
        <f t="shared" si="13"/>
        <v>CHECK</v>
      </c>
      <c r="L119" s="41" t="str">
        <f t="shared" si="13"/>
        <v>CHECK</v>
      </c>
      <c r="M119" s="41" t="str">
        <f t="shared" si="13"/>
        <v>CHECK</v>
      </c>
      <c r="N119" s="41" t="str">
        <f t="shared" si="13"/>
        <v>CHECK</v>
      </c>
      <c r="O119" s="41" t="str">
        <f t="shared" si="13"/>
        <v>CHECK</v>
      </c>
      <c r="P119" s="41" t="str">
        <f t="shared" si="13"/>
        <v>CHECK</v>
      </c>
      <c r="Q119" s="41" t="str">
        <f t="shared" si="13"/>
        <v>CHECK</v>
      </c>
      <c r="R119" s="41" t="str">
        <f t="shared" si="13"/>
        <v>CHECK</v>
      </c>
      <c r="S119" s="41" t="str">
        <f t="shared" si="13"/>
        <v>CHECK</v>
      </c>
      <c r="T119" s="41" t="str">
        <f t="shared" si="13"/>
        <v>CHECK</v>
      </c>
      <c r="U119" s="41"/>
      <c r="V119" s="41"/>
    </row>
    <row r="120" spans="1:22" x14ac:dyDescent="0.25">
      <c r="A120" s="11" t="s">
        <v>181</v>
      </c>
      <c r="B120" s="11" t="s">
        <v>1092</v>
      </c>
      <c r="C120" s="11" t="s">
        <v>1099</v>
      </c>
      <c r="D120" s="11" t="s">
        <v>1093</v>
      </c>
      <c r="E120" s="41" t="str">
        <f t="shared" ref="E120:T120" si="14">IFERROR(((E30/E87)-1),"CHECK")</f>
        <v>CHECK</v>
      </c>
      <c r="F120" s="41" t="str">
        <f t="shared" si="14"/>
        <v>CHECK</v>
      </c>
      <c r="G120" s="41" t="str">
        <f t="shared" si="14"/>
        <v>CHECK</v>
      </c>
      <c r="H120" s="41" t="str">
        <f t="shared" si="14"/>
        <v>CHECK</v>
      </c>
      <c r="I120" s="41" t="str">
        <f t="shared" si="14"/>
        <v>CHECK</v>
      </c>
      <c r="J120" s="41" t="str">
        <f t="shared" si="14"/>
        <v>CHECK</v>
      </c>
      <c r="K120" s="41" t="str">
        <f t="shared" si="14"/>
        <v>CHECK</v>
      </c>
      <c r="L120" s="41" t="str">
        <f t="shared" si="14"/>
        <v>CHECK</v>
      </c>
      <c r="M120" s="41" t="str">
        <f t="shared" si="14"/>
        <v>CHECK</v>
      </c>
      <c r="N120" s="41" t="str">
        <f t="shared" si="14"/>
        <v>CHECK</v>
      </c>
      <c r="O120" s="41" t="str">
        <f t="shared" si="14"/>
        <v>CHECK</v>
      </c>
      <c r="P120" s="41" t="str">
        <f t="shared" si="14"/>
        <v>CHECK</v>
      </c>
      <c r="Q120" s="41" t="str">
        <f t="shared" si="14"/>
        <v>CHECK</v>
      </c>
      <c r="R120" s="41" t="str">
        <f t="shared" si="14"/>
        <v>CHECK</v>
      </c>
      <c r="S120" s="41" t="str">
        <f t="shared" si="14"/>
        <v>CHECK</v>
      </c>
      <c r="T120" s="41" t="str">
        <f t="shared" si="14"/>
        <v>CHECK</v>
      </c>
      <c r="U120" s="41"/>
      <c r="V120" s="41"/>
    </row>
    <row r="121" spans="1:22" x14ac:dyDescent="0.25">
      <c r="A121" s="11" t="s">
        <v>181</v>
      </c>
      <c r="B121" s="11" t="s">
        <v>1094</v>
      </c>
      <c r="C121" s="11" t="s">
        <v>1099</v>
      </c>
      <c r="D121" s="11" t="s">
        <v>1095</v>
      </c>
      <c r="E121" s="41" t="str">
        <f t="shared" ref="E121:T121" si="15">IFERROR(((E31/E88)-1),"CHECK")</f>
        <v>CHECK</v>
      </c>
      <c r="F121" s="41" t="str">
        <f t="shared" si="15"/>
        <v>CHECK</v>
      </c>
      <c r="G121" s="41" t="str">
        <f t="shared" si="15"/>
        <v>CHECK</v>
      </c>
      <c r="H121" s="41" t="str">
        <f t="shared" si="15"/>
        <v>CHECK</v>
      </c>
      <c r="I121" s="41" t="str">
        <f t="shared" si="15"/>
        <v>CHECK</v>
      </c>
      <c r="J121" s="41" t="str">
        <f t="shared" si="15"/>
        <v>CHECK</v>
      </c>
      <c r="K121" s="41" t="str">
        <f t="shared" si="15"/>
        <v>CHECK</v>
      </c>
      <c r="L121" s="41" t="str">
        <f t="shared" si="15"/>
        <v>CHECK</v>
      </c>
      <c r="M121" s="41" t="str">
        <f t="shared" si="15"/>
        <v>CHECK</v>
      </c>
      <c r="N121" s="41" t="str">
        <f t="shared" si="15"/>
        <v>CHECK</v>
      </c>
      <c r="O121" s="41" t="str">
        <f t="shared" si="15"/>
        <v>CHECK</v>
      </c>
      <c r="P121" s="41" t="str">
        <f t="shared" si="15"/>
        <v>CHECK</v>
      </c>
      <c r="Q121" s="41" t="str">
        <f t="shared" si="15"/>
        <v>CHECK</v>
      </c>
      <c r="R121" s="41" t="str">
        <f t="shared" si="15"/>
        <v>CHECK</v>
      </c>
      <c r="S121" s="41" t="str">
        <f t="shared" si="15"/>
        <v>CHECK</v>
      </c>
      <c r="T121" s="41" t="str">
        <f t="shared" si="15"/>
        <v>CHECK</v>
      </c>
      <c r="U121" s="41"/>
      <c r="V121" s="41"/>
    </row>
    <row r="122" spans="1:22" x14ac:dyDescent="0.25">
      <c r="A122" s="11" t="s">
        <v>181</v>
      </c>
      <c r="B122" s="11" t="s">
        <v>1096</v>
      </c>
      <c r="C122" s="11" t="s">
        <v>1099</v>
      </c>
      <c r="D122" s="11" t="s">
        <v>1095</v>
      </c>
      <c r="E122" s="41" t="str">
        <f t="shared" ref="E122:T122" si="16">IFERROR(((E32/E89)-1),"CHECK")</f>
        <v>CHECK</v>
      </c>
      <c r="F122" s="41" t="str">
        <f t="shared" si="16"/>
        <v>CHECK</v>
      </c>
      <c r="G122" s="41" t="str">
        <f t="shared" si="16"/>
        <v>CHECK</v>
      </c>
      <c r="H122" s="41" t="str">
        <f t="shared" si="16"/>
        <v>CHECK</v>
      </c>
      <c r="I122" s="41" t="str">
        <f t="shared" si="16"/>
        <v>CHECK</v>
      </c>
      <c r="J122" s="41" t="str">
        <f t="shared" si="16"/>
        <v>CHECK</v>
      </c>
      <c r="K122" s="41" t="str">
        <f t="shared" si="16"/>
        <v>CHECK</v>
      </c>
      <c r="L122" s="41" t="str">
        <f t="shared" si="16"/>
        <v>CHECK</v>
      </c>
      <c r="M122" s="41" t="str">
        <f t="shared" si="16"/>
        <v>CHECK</v>
      </c>
      <c r="N122" s="41" t="str">
        <f t="shared" si="16"/>
        <v>CHECK</v>
      </c>
      <c r="O122" s="41" t="str">
        <f t="shared" si="16"/>
        <v>CHECK</v>
      </c>
      <c r="P122" s="41" t="str">
        <f t="shared" si="16"/>
        <v>CHECK</v>
      </c>
      <c r="Q122" s="41" t="str">
        <f t="shared" si="16"/>
        <v>CHECK</v>
      </c>
      <c r="R122" s="41" t="str">
        <f t="shared" si="16"/>
        <v>CHECK</v>
      </c>
      <c r="S122" s="41" t="str">
        <f t="shared" si="16"/>
        <v>CHECK</v>
      </c>
      <c r="T122" s="41" t="str">
        <f t="shared" si="16"/>
        <v>CHECK</v>
      </c>
      <c r="U122" s="41"/>
      <c r="V122" s="41"/>
    </row>
    <row r="123" spans="1:22" x14ac:dyDescent="0.25">
      <c r="A123" s="11"/>
      <c r="B123" s="11"/>
      <c r="C123" s="11"/>
      <c r="D123" s="11"/>
      <c r="E123" s="41"/>
      <c r="F123" s="41"/>
      <c r="G123" s="41"/>
      <c r="H123" s="41"/>
      <c r="I123" s="41"/>
      <c r="J123" s="41"/>
      <c r="K123" s="41"/>
      <c r="L123" s="41"/>
      <c r="M123" s="41"/>
      <c r="N123" s="41"/>
      <c r="O123" s="41"/>
      <c r="P123" s="41"/>
      <c r="Q123" s="41"/>
      <c r="R123" s="41"/>
      <c r="S123" s="41"/>
      <c r="T123" s="41"/>
      <c r="U123" s="41"/>
      <c r="V123" s="41"/>
    </row>
    <row r="124" spans="1:22" x14ac:dyDescent="0.25">
      <c r="A124" s="8"/>
      <c r="B124" s="9" t="s">
        <v>619</v>
      </c>
      <c r="C124" s="8"/>
      <c r="D124" s="8"/>
      <c r="E124" s="8"/>
      <c r="F124" s="8"/>
      <c r="G124" s="8"/>
      <c r="H124" s="8"/>
      <c r="I124" s="8"/>
      <c r="J124" s="8"/>
      <c r="K124" s="8"/>
      <c r="L124" s="8"/>
      <c r="M124" s="8"/>
      <c r="N124" s="8"/>
      <c r="O124" s="8"/>
      <c r="P124" s="8"/>
      <c r="Q124" s="8"/>
      <c r="R124" s="8"/>
      <c r="S124" s="8"/>
      <c r="T124" s="8"/>
      <c r="U124" s="8"/>
      <c r="V124" s="8"/>
    </row>
    <row r="126" spans="1:22" x14ac:dyDescent="0.25">
      <c r="A126" s="11" t="s">
        <v>181</v>
      </c>
      <c r="B126" s="11" t="s">
        <v>619</v>
      </c>
      <c r="C126" s="11" t="s">
        <v>494</v>
      </c>
      <c r="D126" s="11" t="s">
        <v>892</v>
      </c>
      <c r="E126" s="41" t="str">
        <f t="shared" ref="E126:T126" si="17">IFERROR(((E36/E93)-1),"CHECK")</f>
        <v>CHECK</v>
      </c>
      <c r="F126" s="41" t="str">
        <f t="shared" si="17"/>
        <v>CHECK</v>
      </c>
      <c r="G126" s="41" t="str">
        <f t="shared" si="17"/>
        <v>CHECK</v>
      </c>
      <c r="H126" s="41" t="str">
        <f t="shared" si="17"/>
        <v>CHECK</v>
      </c>
      <c r="I126" s="41" t="str">
        <f t="shared" si="17"/>
        <v>CHECK</v>
      </c>
      <c r="J126" s="41" t="str">
        <f t="shared" si="17"/>
        <v>CHECK</v>
      </c>
      <c r="K126" s="41" t="str">
        <f t="shared" si="17"/>
        <v>CHECK</v>
      </c>
      <c r="L126" s="41" t="str">
        <f t="shared" si="17"/>
        <v>CHECK</v>
      </c>
      <c r="M126" s="41" t="str">
        <f t="shared" si="17"/>
        <v>CHECK</v>
      </c>
      <c r="N126" s="41" t="str">
        <f t="shared" si="17"/>
        <v>CHECK</v>
      </c>
      <c r="O126" s="41" t="str">
        <f t="shared" si="17"/>
        <v>CHECK</v>
      </c>
      <c r="P126" s="41">
        <f t="shared" si="17"/>
        <v>0</v>
      </c>
      <c r="Q126" s="41">
        <f t="shared" si="17"/>
        <v>0</v>
      </c>
      <c r="R126" s="41">
        <f t="shared" si="17"/>
        <v>0</v>
      </c>
      <c r="S126" s="41">
        <f t="shared" si="17"/>
        <v>0</v>
      </c>
      <c r="T126" s="41">
        <f t="shared" si="17"/>
        <v>0</v>
      </c>
      <c r="U126" s="41"/>
      <c r="V126" s="41"/>
    </row>
    <row r="127" spans="1:22" x14ac:dyDescent="0.25">
      <c r="A127" s="11" t="s">
        <v>181</v>
      </c>
      <c r="B127" s="11" t="s">
        <v>619</v>
      </c>
      <c r="C127" s="11" t="s">
        <v>1099</v>
      </c>
      <c r="D127" s="11" t="s">
        <v>892</v>
      </c>
      <c r="E127" s="41" t="str">
        <f t="shared" ref="E127:T127" si="18">IFERROR(((E37/E94)-1),"CHECK")</f>
        <v>CHECK</v>
      </c>
      <c r="F127" s="41" t="str">
        <f t="shared" si="18"/>
        <v>CHECK</v>
      </c>
      <c r="G127" s="41" t="str">
        <f t="shared" si="18"/>
        <v>CHECK</v>
      </c>
      <c r="H127" s="41" t="str">
        <f t="shared" si="18"/>
        <v>CHECK</v>
      </c>
      <c r="I127" s="41" t="str">
        <f t="shared" si="18"/>
        <v>CHECK</v>
      </c>
      <c r="J127" s="41" t="str">
        <f t="shared" si="18"/>
        <v>CHECK</v>
      </c>
      <c r="K127" s="41" t="str">
        <f t="shared" si="18"/>
        <v>CHECK</v>
      </c>
      <c r="L127" s="41" t="str">
        <f t="shared" si="18"/>
        <v>CHECK</v>
      </c>
      <c r="M127" s="41" t="str">
        <f t="shared" si="18"/>
        <v>CHECK</v>
      </c>
      <c r="N127" s="41" t="str">
        <f t="shared" si="18"/>
        <v>CHECK</v>
      </c>
      <c r="O127" s="41" t="str">
        <f t="shared" si="18"/>
        <v>CHECK</v>
      </c>
      <c r="P127" s="41" t="str">
        <f t="shared" si="18"/>
        <v>CHECK</v>
      </c>
      <c r="Q127" s="41" t="str">
        <f t="shared" si="18"/>
        <v>CHECK</v>
      </c>
      <c r="R127" s="41" t="str">
        <f t="shared" si="18"/>
        <v>CHECK</v>
      </c>
      <c r="S127" s="41">
        <f t="shared" si="18"/>
        <v>0</v>
      </c>
      <c r="T127" s="41">
        <f t="shared" si="18"/>
        <v>0</v>
      </c>
      <c r="U127" s="41"/>
      <c r="V127" s="41"/>
    </row>
    <row r="128" spans="1:22" x14ac:dyDescent="0.25">
      <c r="A128" s="11"/>
      <c r="B128" s="11"/>
      <c r="C128" s="11"/>
      <c r="D128" s="11"/>
      <c r="E128" s="41"/>
      <c r="F128" s="41"/>
      <c r="G128" s="41"/>
      <c r="H128" s="41"/>
      <c r="I128" s="41"/>
      <c r="J128" s="41"/>
      <c r="K128" s="41"/>
      <c r="L128" s="41"/>
      <c r="M128" s="41"/>
      <c r="N128" s="41"/>
      <c r="O128" s="41"/>
      <c r="P128" s="41"/>
      <c r="Q128" s="41"/>
      <c r="R128" s="41"/>
      <c r="S128" s="41"/>
      <c r="T128" s="41"/>
      <c r="U128" s="41"/>
      <c r="V128" s="41"/>
    </row>
    <row r="129" spans="1:22" x14ac:dyDescent="0.25">
      <c r="A129" s="11" t="s">
        <v>181</v>
      </c>
      <c r="B129" s="11" t="s">
        <v>619</v>
      </c>
      <c r="C129" s="11" t="s">
        <v>494</v>
      </c>
      <c r="D129" s="11" t="s">
        <v>1097</v>
      </c>
      <c r="E129" s="41" t="str">
        <f t="shared" ref="E129:T129" si="19">IFERROR(((E39/E96)-1),"CHECK")</f>
        <v>CHECK</v>
      </c>
      <c r="F129" s="41" t="str">
        <f t="shared" si="19"/>
        <v>CHECK</v>
      </c>
      <c r="G129" s="41" t="str">
        <f t="shared" si="19"/>
        <v>CHECK</v>
      </c>
      <c r="H129" s="41" t="str">
        <f t="shared" si="19"/>
        <v>CHECK</v>
      </c>
      <c r="I129" s="41" t="str">
        <f t="shared" si="19"/>
        <v>CHECK</v>
      </c>
      <c r="J129" s="41" t="str">
        <f t="shared" si="19"/>
        <v>CHECK</v>
      </c>
      <c r="K129" s="41" t="str">
        <f t="shared" si="19"/>
        <v>CHECK</v>
      </c>
      <c r="L129" s="41" t="str">
        <f t="shared" si="19"/>
        <v>CHECK</v>
      </c>
      <c r="M129" s="41" t="str">
        <f t="shared" si="19"/>
        <v>CHECK</v>
      </c>
      <c r="N129" s="41" t="str">
        <f t="shared" si="19"/>
        <v>CHECK</v>
      </c>
      <c r="O129" s="41" t="str">
        <f t="shared" si="19"/>
        <v>CHECK</v>
      </c>
      <c r="P129" s="41">
        <f t="shared" si="19"/>
        <v>0</v>
      </c>
      <c r="Q129" s="41">
        <f t="shared" si="19"/>
        <v>0</v>
      </c>
      <c r="R129" s="41">
        <f t="shared" si="19"/>
        <v>0</v>
      </c>
      <c r="S129" s="41">
        <f t="shared" si="19"/>
        <v>0</v>
      </c>
      <c r="T129" s="41">
        <f t="shared" si="19"/>
        <v>0</v>
      </c>
      <c r="U129" s="41"/>
      <c r="V129" s="41"/>
    </row>
    <row r="130" spans="1:22" x14ac:dyDescent="0.25">
      <c r="A130" s="11" t="s">
        <v>181</v>
      </c>
      <c r="B130" s="11" t="s">
        <v>619</v>
      </c>
      <c r="C130" s="11" t="s">
        <v>1099</v>
      </c>
      <c r="D130" s="11" t="s">
        <v>1097</v>
      </c>
      <c r="E130" s="41" t="str">
        <f t="shared" ref="E130:T130" si="20">IFERROR(((E40/E97)-1),"CHECK")</f>
        <v>CHECK</v>
      </c>
      <c r="F130" s="41" t="str">
        <f t="shared" si="20"/>
        <v>CHECK</v>
      </c>
      <c r="G130" s="41" t="str">
        <f t="shared" si="20"/>
        <v>CHECK</v>
      </c>
      <c r="H130" s="41" t="str">
        <f t="shared" si="20"/>
        <v>CHECK</v>
      </c>
      <c r="I130" s="41" t="str">
        <f t="shared" si="20"/>
        <v>CHECK</v>
      </c>
      <c r="J130" s="41" t="str">
        <f t="shared" si="20"/>
        <v>CHECK</v>
      </c>
      <c r="K130" s="41" t="str">
        <f t="shared" si="20"/>
        <v>CHECK</v>
      </c>
      <c r="L130" s="41" t="str">
        <f t="shared" si="20"/>
        <v>CHECK</v>
      </c>
      <c r="M130" s="41" t="str">
        <f t="shared" si="20"/>
        <v>CHECK</v>
      </c>
      <c r="N130" s="41" t="str">
        <f t="shared" si="20"/>
        <v>CHECK</v>
      </c>
      <c r="O130" s="41" t="str">
        <f t="shared" si="20"/>
        <v>CHECK</v>
      </c>
      <c r="P130" s="41" t="str">
        <f t="shared" si="20"/>
        <v>CHECK</v>
      </c>
      <c r="Q130" s="41" t="str">
        <f t="shared" si="20"/>
        <v>CHECK</v>
      </c>
      <c r="R130" s="41" t="str">
        <f t="shared" si="20"/>
        <v>CHECK</v>
      </c>
      <c r="S130" s="41">
        <f t="shared" si="20"/>
        <v>0</v>
      </c>
      <c r="T130" s="41">
        <f t="shared" si="20"/>
        <v>0</v>
      </c>
      <c r="U130" s="41"/>
      <c r="V130" s="41"/>
    </row>
    <row r="131" spans="1:22" x14ac:dyDescent="0.25">
      <c r="A131" s="10" t="s">
        <v>181</v>
      </c>
      <c r="B131" s="10" t="s">
        <v>882</v>
      </c>
      <c r="C131" s="10" t="s">
        <v>836</v>
      </c>
      <c r="D131" s="10" t="s">
        <v>1097</v>
      </c>
      <c r="E131" s="41" t="str">
        <f t="shared" ref="E131:T131" si="21">IFERROR(((E41/E98)-1),"CHECK")</f>
        <v>CHECK</v>
      </c>
      <c r="F131" s="41" t="str">
        <f t="shared" si="21"/>
        <v>CHECK</v>
      </c>
      <c r="G131" s="41" t="str">
        <f t="shared" si="21"/>
        <v>CHECK</v>
      </c>
      <c r="H131" s="41" t="str">
        <f t="shared" si="21"/>
        <v>CHECK</v>
      </c>
      <c r="I131" s="41" t="str">
        <f t="shared" si="21"/>
        <v>CHECK</v>
      </c>
      <c r="J131" s="41" t="str">
        <f t="shared" si="21"/>
        <v>CHECK</v>
      </c>
      <c r="K131" s="41" t="str">
        <f t="shared" si="21"/>
        <v>CHECK</v>
      </c>
      <c r="L131" s="41" t="str">
        <f t="shared" si="21"/>
        <v>CHECK</v>
      </c>
      <c r="M131" s="41" t="str">
        <f t="shared" si="21"/>
        <v>CHECK</v>
      </c>
      <c r="N131" s="41" t="str">
        <f t="shared" si="21"/>
        <v>CHECK</v>
      </c>
      <c r="O131" s="41" t="str">
        <f t="shared" si="21"/>
        <v>CHECK</v>
      </c>
      <c r="P131" s="41">
        <f t="shared" si="21"/>
        <v>0</v>
      </c>
      <c r="Q131" s="41">
        <f t="shared" si="21"/>
        <v>0</v>
      </c>
      <c r="R131" s="41">
        <f t="shared" si="21"/>
        <v>0</v>
      </c>
      <c r="S131" s="41">
        <f t="shared" si="21"/>
        <v>0</v>
      </c>
      <c r="T131" s="41">
        <f t="shared" si="21"/>
        <v>0</v>
      </c>
      <c r="U131" s="41"/>
      <c r="V131" s="41"/>
    </row>
  </sheetData>
  <mergeCells count="2">
    <mergeCell ref="C1:J1"/>
    <mergeCell ref="C2:J2"/>
  </mergeCells>
  <conditionalFormatting sqref="E104:T107 E114:T118">
    <cfRule type="colorScale" priority="20">
      <colorScale>
        <cfvo type="min"/>
        <cfvo type="num" val="0"/>
        <cfvo type="max"/>
        <color theme="3" tint="0.59999389629810485"/>
        <color theme="0"/>
        <color rgb="FFEE9CA4"/>
      </colorScale>
    </cfRule>
  </conditionalFormatting>
  <conditionalFormatting sqref="U114:V118 U126:V126 U104:V107">
    <cfRule type="colorScale" priority="16">
      <colorScale>
        <cfvo type="min"/>
        <cfvo type="num" val="0"/>
        <cfvo type="max"/>
        <color theme="3" tint="0.59999389629810485"/>
        <color theme="0"/>
        <color rgb="FFEE9CA4"/>
      </colorScale>
    </cfRule>
  </conditionalFormatting>
  <conditionalFormatting sqref="U129:V129">
    <cfRule type="colorScale" priority="15">
      <colorScale>
        <cfvo type="min"/>
        <cfvo type="num" val="0"/>
        <cfvo type="max"/>
        <color theme="3" tint="0.59999389629810485"/>
        <color theme="0"/>
        <color rgb="FFEE9CA4"/>
      </colorScale>
    </cfRule>
  </conditionalFormatting>
  <conditionalFormatting sqref="E111:T111">
    <cfRule type="colorScale" priority="14">
      <colorScale>
        <cfvo type="min"/>
        <cfvo type="num" val="0"/>
        <cfvo type="max"/>
        <color theme="3" tint="0.59999389629810485"/>
        <color theme="0"/>
        <color rgb="FFEE9CA4"/>
      </colorScale>
    </cfRule>
  </conditionalFormatting>
  <conditionalFormatting sqref="U108:V111">
    <cfRule type="colorScale" priority="13">
      <colorScale>
        <cfvo type="min"/>
        <cfvo type="num" val="0"/>
        <cfvo type="max"/>
        <color theme="3" tint="0.59999389629810485"/>
        <color theme="0"/>
        <color rgb="FFEE9CA4"/>
      </colorScale>
    </cfRule>
  </conditionalFormatting>
  <conditionalFormatting sqref="E123:T123">
    <cfRule type="colorScale" priority="12">
      <colorScale>
        <cfvo type="min"/>
        <cfvo type="num" val="0"/>
        <cfvo type="max"/>
        <color theme="3" tint="0.59999389629810485"/>
        <color theme="0"/>
        <color rgb="FFEE9CA4"/>
      </colorScale>
    </cfRule>
  </conditionalFormatting>
  <conditionalFormatting sqref="U119:V123">
    <cfRule type="colorScale" priority="11">
      <colorScale>
        <cfvo type="min"/>
        <cfvo type="num" val="0"/>
        <cfvo type="max"/>
        <color theme="3" tint="0.59999389629810485"/>
        <color theme="0"/>
        <color rgb="FFEE9CA4"/>
      </colorScale>
    </cfRule>
  </conditionalFormatting>
  <conditionalFormatting sqref="E128:T128">
    <cfRule type="colorScale" priority="10">
      <colorScale>
        <cfvo type="min"/>
        <cfvo type="num" val="0"/>
        <cfvo type="max"/>
        <color theme="3" tint="0.59999389629810485"/>
        <color theme="0"/>
        <color rgb="FFEE9CA4"/>
      </colorScale>
    </cfRule>
  </conditionalFormatting>
  <conditionalFormatting sqref="U127:V128">
    <cfRule type="colorScale" priority="9">
      <colorScale>
        <cfvo type="min"/>
        <cfvo type="num" val="0"/>
        <cfvo type="max"/>
        <color theme="3" tint="0.59999389629810485"/>
        <color theme="0"/>
        <color rgb="FFEE9CA4"/>
      </colorScale>
    </cfRule>
  </conditionalFormatting>
  <conditionalFormatting sqref="U130:V130">
    <cfRule type="colorScale" priority="7">
      <colorScale>
        <cfvo type="min"/>
        <cfvo type="num" val="0"/>
        <cfvo type="max"/>
        <color theme="3" tint="0.59999389629810485"/>
        <color theme="0"/>
        <color rgb="FFEE9CA4"/>
      </colorScale>
    </cfRule>
  </conditionalFormatting>
  <conditionalFormatting sqref="U131:V131">
    <cfRule type="colorScale" priority="5">
      <colorScale>
        <cfvo type="min"/>
        <cfvo type="num" val="0"/>
        <cfvo type="max"/>
        <color theme="3" tint="0.59999389629810485"/>
        <color theme="0"/>
        <color rgb="FFEE9CA4"/>
      </colorScale>
    </cfRule>
  </conditionalFormatting>
  <conditionalFormatting sqref="E108:T110">
    <cfRule type="colorScale" priority="4">
      <colorScale>
        <cfvo type="min"/>
        <cfvo type="num" val="0"/>
        <cfvo type="max"/>
        <color theme="3" tint="0.59999389629810485"/>
        <color theme="0"/>
        <color rgb="FFEE9CA4"/>
      </colorScale>
    </cfRule>
  </conditionalFormatting>
  <conditionalFormatting sqref="E119:T122">
    <cfRule type="colorScale" priority="3">
      <colorScale>
        <cfvo type="min"/>
        <cfvo type="num" val="0"/>
        <cfvo type="max"/>
        <color theme="3" tint="0.59999389629810485"/>
        <color theme="0"/>
        <color rgb="FFEE9CA4"/>
      </colorScale>
    </cfRule>
  </conditionalFormatting>
  <conditionalFormatting sqref="E126:T127">
    <cfRule type="colorScale" priority="2">
      <colorScale>
        <cfvo type="min"/>
        <cfvo type="num" val="0"/>
        <cfvo type="max"/>
        <color theme="3" tint="0.59999389629810485"/>
        <color theme="0"/>
        <color rgb="FFEE9CA4"/>
      </colorScale>
    </cfRule>
  </conditionalFormatting>
  <conditionalFormatting sqref="E129:T131">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B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8" id="{F3A60341-7DA2-4097-B249-935609FDF1BB}">
            <xm:f>(UPPER(LEFT(SUBSTITUTE('2F1 Refrigeration and AC'!$Z2,"#",""),5))="FIXCH")</xm:f>
            <x14:dxf>
              <fill>
                <patternFill>
                  <bgColor rgb="FF99CC00"/>
                </patternFill>
              </fill>
            </x14:dxf>
          </x14:cfRule>
          <x14:cfRule type="expression" priority="19" id="{618525FA-2072-4351-8FDC-5120E5871BBD}">
            <xm:f>(UPPER(SUBSTITUTE('2F1 Refrigeration and AC'!$Z2,"#",""))="OK")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B00-0000AE000000}">
          <x14:colorSeries rgb="FF376092"/>
          <x14:colorNegative rgb="FFD00000"/>
          <x14:colorAxis rgb="FF000000"/>
          <x14:colorMarkers rgb="FFD00000"/>
          <x14:colorFirst rgb="FFD00000"/>
          <x14:colorLast rgb="FFD00000"/>
          <x14:colorHigh rgb="FFD00000"/>
          <x14:colorLow rgb="FFD00000"/>
          <x14:sparklines>
            <x14:sparkline>
              <xm:f>'2F4 Aerosols'!E14:T14</xm:f>
              <xm:sqref>W14</xm:sqref>
            </x14:sparkline>
            <x14:sparkline>
              <xm:f>'2F4 Aerosols'!E15:T15</xm:f>
              <xm:sqref>W15</xm:sqref>
            </x14:sparkline>
            <x14:sparkline>
              <xm:f>'2F4 Aerosols'!E16:T16</xm:f>
              <xm:sqref>W16</xm:sqref>
            </x14:sparkline>
            <x14:sparkline>
              <xm:f>'2F4 Aerosols'!E17:T17</xm:f>
              <xm:sqref>W17</xm:sqref>
            </x14:sparkline>
            <x14:sparkline>
              <xm:f>'2F4 Aerosols'!E18:T18</xm:f>
              <xm:sqref>W18</xm:sqref>
            </x14:sparkline>
            <x14:sparkline>
              <xm:f>'2F4 Aerosols'!E19:T19</xm:f>
              <xm:sqref>W19</xm:sqref>
            </x14:sparkline>
            <x14:sparkline>
              <xm:f>'2F4 Aerosols'!E20:T20</xm:f>
              <xm:sqref>W20</xm:sqref>
            </x14:sparkline>
          </x14:sparklines>
        </x14:sparklineGroup>
        <x14:sparklineGroup manualMax="0" manualMin="0" displayEmptyCellsAs="gap" xr2:uid="{00000000-0003-0000-2B00-0000AD000000}">
          <x14:colorSeries rgb="FF376092"/>
          <x14:colorNegative rgb="FFD00000"/>
          <x14:colorAxis rgb="FF000000"/>
          <x14:colorMarkers rgb="FFD00000"/>
          <x14:colorFirst rgb="FFD00000"/>
          <x14:colorLast rgb="FFD00000"/>
          <x14:colorHigh rgb="FFD00000"/>
          <x14:colorLow rgb="FFD00000"/>
          <x14:sparklines>
            <x14:sparkline>
              <xm:f>'2F4 Aerosols'!E36:V36</xm:f>
              <xm:sqref>W36</xm:sqref>
            </x14:sparkline>
            <x14:sparkline>
              <xm:f>'2F4 Aerosols'!E37:V37</xm:f>
              <xm:sqref>W37</xm:sqref>
            </x14:sparkline>
            <x14:sparkline>
              <xm:f>'2F4 Aerosols'!E38:V38</xm:f>
              <xm:sqref>W38</xm:sqref>
            </x14:sparkline>
            <x14:sparkline>
              <xm:f>'2F4 Aerosols'!E39:V39</xm:f>
              <xm:sqref>W39</xm:sqref>
            </x14:sparkline>
            <x14:sparkline>
              <xm:f>'2F4 Aerosols'!E40:V40</xm:f>
              <xm:sqref>W40</xm:sqref>
            </x14:sparkline>
            <x14:sparkline>
              <xm:f>'2F4 Aerosols'!E41:V41</xm:f>
              <xm:sqref>W41</xm:sqref>
            </x14:sparkline>
          </x14:sparklines>
        </x14:sparklineGroup>
        <x14:sparklineGroup manualMax="0" manualMin="0" displayEmptyCellsAs="gap" xr2:uid="{00000000-0003-0000-2B00-0000AC000000}">
          <x14:colorSeries rgb="FF376092"/>
          <x14:colorNegative rgb="FFD00000"/>
          <x14:colorAxis rgb="FF000000"/>
          <x14:colorMarkers rgb="FFD00000"/>
          <x14:colorFirst rgb="FFD00000"/>
          <x14:colorLast rgb="FFD00000"/>
          <x14:colorHigh rgb="FFD00000"/>
          <x14:colorLow rgb="FFD00000"/>
          <x14:sparklines>
            <x14:sparkline>
              <xm:f>'2F4 Aerosols'!E24:T24</xm:f>
              <xm:sqref>W24</xm:sqref>
            </x14:sparkline>
            <x14:sparkline>
              <xm:f>'2F4 Aerosols'!E31:T31</xm:f>
              <xm:sqref>W31</xm:sqref>
            </x14:sparkline>
            <x14:sparkline>
              <xm:f>'2F4 Aerosols'!E30:T30</xm:f>
              <xm:sqref>W30</xm:sqref>
            </x14:sparkline>
            <x14:sparkline>
              <xm:f>'2F4 Aerosols'!E27:T27</xm:f>
              <xm:sqref>W27</xm:sqref>
            </x14:sparkline>
            <x14:sparkline>
              <xm:f>'2F4 Aerosols'!E26:T26</xm:f>
              <xm:sqref>W26</xm:sqref>
            </x14:sparkline>
            <x14:sparkline>
              <xm:f>'2F4 Aerosols'!E25:T25</xm:f>
              <xm:sqref>W25</xm:sqref>
            </x14:sparkline>
            <x14:sparkline>
              <xm:f>'2F4 Aerosols'!E32:T32</xm:f>
              <xm:sqref>W32</xm:sqref>
            </x14:sparkline>
            <x14:sparkline>
              <xm:f>'2F4 Aerosols'!E29:T29</xm:f>
              <xm:sqref>W29</xm:sqref>
            </x14:sparkline>
            <x14:sparkline>
              <xm:f>'2F4 Aerosols'!E28:S28</xm:f>
              <xm:sqref>W28</xm:sqref>
            </x14:sparkline>
          </x14:sparklines>
        </x14:sparklineGroup>
        <x14:sparklineGroup manualMax="0" manualMin="0" displayEmptyCellsAs="gap" xr2:uid="{00000000-0003-0000-2B00-0000AB000000}">
          <x14:colorSeries rgb="FF376092"/>
          <x14:colorNegative rgb="FFD00000"/>
          <x14:colorAxis rgb="FF000000"/>
          <x14:colorMarkers rgb="FFD00000"/>
          <x14:colorFirst rgb="FFD00000"/>
          <x14:colorLast rgb="FFD00000"/>
          <x14:colorHigh rgb="FFD00000"/>
          <x14:colorLow rgb="FFD00000"/>
          <x14:sparklines>
            <x14:sparkline>
              <xm:f>'2F4 Aerosols'!E33:S33</xm:f>
              <xm:sqref>W33</xm:sqref>
            </x14:sparkline>
          </x14:sparklines>
        </x14:sparklineGroup>
        <x14:sparklineGroup manualMax="0" manualMin="0" displayEmptyCellsAs="gap" xr2:uid="{00000000-0003-0000-2B00-0000AA000000}">
          <x14:colorSeries rgb="FF376092"/>
          <x14:colorNegative rgb="FFD00000"/>
          <x14:colorAxis rgb="FF000000"/>
          <x14:colorMarkers rgb="FFD00000"/>
          <x14:colorFirst rgb="FFD00000"/>
          <x14:colorLast rgb="FFD00000"/>
          <x14:colorHigh rgb="FFD00000"/>
          <x14:colorLow rgb="FFD00000"/>
          <x14:sparklines>
            <x14:sparkline>
              <xm:f>'2F4 Aerosols'!E21:T21</xm:f>
              <xm:sqref>W21</xm:sqref>
            </x14:sparkline>
          </x14:sparklines>
        </x14:sparklineGroup>
        <x14:sparklineGroup manualMax="0" manualMin="0" displayEmptyCellsAs="gap" xr2:uid="{00000000-0003-0000-2B00-0000A9000000}">
          <x14:colorSeries rgb="FF376092"/>
          <x14:colorNegative rgb="FFD00000"/>
          <x14:colorAxis rgb="FF000000"/>
          <x14:colorMarkers rgb="FFD00000"/>
          <x14:colorFirst rgb="FFD00000"/>
          <x14:colorLast rgb="FFD00000"/>
          <x14:colorHigh rgb="FFD00000"/>
          <x14:colorLow rgb="FFD00000"/>
          <x14:sparklines>
            <x14:sparkline>
              <xm:f>'2F4 Aerosols'!E93:T93</xm:f>
              <xm:sqref>W93</xm:sqref>
            </x14:sparkline>
            <x14:sparkline>
              <xm:f>'2F4 Aerosols'!E94:T94</xm:f>
              <xm:sqref>W94</xm:sqref>
            </x14:sparkline>
            <x14:sparkline>
              <xm:f>'2F4 Aerosols'!E95:T95</xm:f>
              <xm:sqref>W95</xm:sqref>
            </x14:sparkline>
            <x14:sparkline>
              <xm:f>'2F4 Aerosols'!E96:T96</xm:f>
              <xm:sqref>W96</xm:sqref>
            </x14:sparkline>
            <x14:sparkline>
              <xm:f>'2F4 Aerosols'!E97:T97</xm:f>
              <xm:sqref>W97</xm:sqref>
            </x14:sparkline>
            <x14:sparkline>
              <xm:f>'2F4 Aerosols'!E98:T98</xm:f>
              <xm:sqref>W98</xm:sqref>
            </x14:sparkline>
          </x14:sparklines>
        </x14:sparklineGroup>
        <x14:sparklineGroup manualMax="0" manualMin="0" displayEmptyCellsAs="gap" xr2:uid="{00000000-0003-0000-2B00-0000A8000000}">
          <x14:colorSeries rgb="FF376092"/>
          <x14:colorNegative rgb="FFD00000"/>
          <x14:colorAxis rgb="FF000000"/>
          <x14:colorMarkers rgb="FFD00000"/>
          <x14:colorFirst rgb="FFD00000"/>
          <x14:colorLast rgb="FFD00000"/>
          <x14:colorHigh rgb="FFD00000"/>
          <x14:colorLow rgb="FFD00000"/>
          <x14:sparklines>
            <x14:sparkline>
              <xm:f>'2F4 Aerosols'!E81:T81</xm:f>
              <xm:sqref>W81</xm:sqref>
            </x14:sparkline>
            <x14:sparkline>
              <xm:f>'2F4 Aerosols'!E88:T88</xm:f>
              <xm:sqref>W88</xm:sqref>
            </x14:sparkline>
            <x14:sparkline>
              <xm:f>'2F4 Aerosols'!E87:T87</xm:f>
              <xm:sqref>W87</xm:sqref>
            </x14:sparkline>
            <x14:sparkline>
              <xm:f>'2F4 Aerosols'!E84:T84</xm:f>
              <xm:sqref>W84</xm:sqref>
            </x14:sparkline>
            <x14:sparkline>
              <xm:f>'2F4 Aerosols'!E83:T83</xm:f>
              <xm:sqref>W83</xm:sqref>
            </x14:sparkline>
            <x14:sparkline>
              <xm:f>'2F4 Aerosols'!E82:T82</xm:f>
              <xm:sqref>W82</xm:sqref>
            </x14:sparkline>
            <x14:sparkline>
              <xm:f>'2F4 Aerosols'!E89:T89</xm:f>
              <xm:sqref>W89</xm:sqref>
            </x14:sparkline>
            <x14:sparkline>
              <xm:f>'2F4 Aerosols'!E86:T86</xm:f>
              <xm:sqref>W86</xm:sqref>
            </x14:sparkline>
            <x14:sparkline>
              <xm:f>'2F4 Aerosols'!E85:S85</xm:f>
              <xm:sqref>W85</xm:sqref>
            </x14:sparkline>
          </x14:sparklines>
        </x14:sparklineGroup>
        <x14:sparklineGroup manualMax="0" manualMin="0" displayEmptyCellsAs="gap" xr2:uid="{00000000-0003-0000-2B00-0000A7000000}">
          <x14:colorSeries rgb="FF376092"/>
          <x14:colorNegative rgb="FFD00000"/>
          <x14:colorAxis rgb="FF000000"/>
          <x14:colorMarkers rgb="FFD00000"/>
          <x14:colorFirst rgb="FFD00000"/>
          <x14:colorLast rgb="FFD00000"/>
          <x14:colorHigh rgb="FFD00000"/>
          <x14:colorLow rgb="FFD00000"/>
          <x14:sparklines>
            <x14:sparkline>
              <xm:f>'2F4 Aerosols'!E42:T42</xm:f>
              <xm:sqref>W42</xm:sqref>
            </x14:sparkline>
            <x14:sparkline>
              <xm:f>'2F4 Aerosols'!E43:T43</xm:f>
              <xm:sqref>W43</xm:sqref>
            </x14:sparkline>
          </x14:sparklines>
        </x14:sparklineGroup>
        <x14:sparklineGroup manualMax="0" manualMin="0" displayEmptyCellsAs="gap" xr2:uid="{00000000-0003-0000-2B00-0000A6000000}">
          <x14:colorSeries rgb="FF376092"/>
          <x14:colorNegative rgb="FFD00000"/>
          <x14:colorAxis rgb="FF000000"/>
          <x14:colorMarkers rgb="FFD00000"/>
          <x14:colorFirst rgb="FFD00000"/>
          <x14:colorLast rgb="FFD00000"/>
          <x14:colorHigh rgb="FFD00000"/>
          <x14:colorLow rgb="FFD00000"/>
          <x14:sparklines>
            <x14:sparkline>
              <xm:f>'2F4 Aerosols'!E71:T71</xm:f>
              <xm:sqref>W71</xm:sqref>
            </x14:sparkline>
            <x14:sparkline>
              <xm:f>'2F4 Aerosols'!E72:T72</xm:f>
              <xm:sqref>W72</xm:sqref>
            </x14:sparkline>
            <x14:sparkline>
              <xm:f>'2F4 Aerosols'!E73:T73</xm:f>
              <xm:sqref>W73</xm:sqref>
            </x14:sparkline>
            <x14:sparkline>
              <xm:f>'2F4 Aerosols'!E74:T74</xm:f>
              <xm:sqref>W74</xm:sqref>
            </x14:sparkline>
            <x14:sparkline>
              <xm:f>'2F4 Aerosols'!E75:T75</xm:f>
              <xm:sqref>W75</xm:sqref>
            </x14:sparkline>
            <x14:sparkline>
              <xm:f>'2F4 Aerosols'!E76:T76</xm:f>
              <xm:sqref>W76</xm:sqref>
            </x14:sparkline>
            <x14:sparkline>
              <xm:f>'2F4 Aerosols'!E77:T77</xm:f>
              <xm:sqref>W77</xm:sqref>
            </x14:sparkline>
          </x14:sparklines>
        </x14:sparklineGroup>
      </x14:sparklineGroup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5">
    <tabColor rgb="FF00B0F0"/>
  </sheetPr>
  <dimension ref="A1:X26"/>
  <sheetViews>
    <sheetView topLeftCell="J1" workbookViewId="0">
      <selection activeCell="S3" sqref="S3"/>
    </sheetView>
  </sheetViews>
  <sheetFormatPr defaultRowHeight="15" x14ac:dyDescent="0.25"/>
  <cols>
    <col min="1" max="1" width="34.140625" bestFit="1" customWidth="1"/>
    <col min="2" max="2" width="13.28515625" customWidth="1"/>
    <col min="3" max="3" width="34.5703125" customWidth="1"/>
    <col min="5" max="5" width="10.28515625" customWidth="1"/>
  </cols>
  <sheetData>
    <row r="1" spans="1:24" s="6" customFormat="1" ht="21" x14ac:dyDescent="0.35">
      <c r="A1" s="6" t="s">
        <v>734</v>
      </c>
      <c r="C1" s="28" t="s">
        <v>735</v>
      </c>
    </row>
    <row r="3" spans="1:24"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4" s="103" customFormat="1" x14ac:dyDescent="0.25">
      <c r="A4" s="7" t="s">
        <v>742</v>
      </c>
      <c r="B4" s="103" t="s">
        <v>821</v>
      </c>
      <c r="C4" s="103" t="s">
        <v>1100</v>
      </c>
      <c r="D4" s="7" t="s">
        <v>836</v>
      </c>
      <c r="E4" s="7" t="s">
        <v>745</v>
      </c>
      <c r="F4" s="116">
        <f>+SUM(F5:F8)</f>
        <v>0</v>
      </c>
      <c r="G4" s="116">
        <f t="shared" ref="G4:U4" si="0">+SUM(G5:G8)</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W4" si="1">+SUM(V5:V8)</f>
        <v>0</v>
      </c>
      <c r="W4" s="116">
        <f t="shared" si="1"/>
        <v>0</v>
      </c>
      <c r="X4"/>
    </row>
    <row r="5" spans="1:24" x14ac:dyDescent="0.25">
      <c r="A5" t="s">
        <v>742</v>
      </c>
      <c r="B5" t="s">
        <v>822</v>
      </c>
      <c r="C5" t="s">
        <v>823</v>
      </c>
      <c r="D5" t="s">
        <v>836</v>
      </c>
      <c r="E5" t="s">
        <v>745</v>
      </c>
      <c r="F5" s="119"/>
      <c r="G5" s="119"/>
      <c r="H5" s="119"/>
      <c r="I5" s="119"/>
      <c r="J5" s="119"/>
      <c r="K5" s="119"/>
      <c r="L5" s="119"/>
      <c r="M5" s="119"/>
      <c r="N5" s="119"/>
      <c r="O5" s="119"/>
      <c r="P5" s="119"/>
      <c r="Q5" s="119"/>
      <c r="R5" s="119"/>
      <c r="S5" s="119"/>
      <c r="T5" s="119"/>
      <c r="U5" s="119"/>
      <c r="V5" s="119"/>
      <c r="W5" s="119"/>
    </row>
    <row r="6" spans="1:24" x14ac:dyDescent="0.25">
      <c r="A6" t="s">
        <v>742</v>
      </c>
      <c r="B6" t="s">
        <v>824</v>
      </c>
      <c r="C6" t="s">
        <v>825</v>
      </c>
      <c r="D6" t="s">
        <v>836</v>
      </c>
      <c r="E6" t="s">
        <v>745</v>
      </c>
      <c r="F6" s="119"/>
      <c r="G6" s="119"/>
      <c r="H6" s="119"/>
      <c r="I6" s="119"/>
      <c r="J6" s="119"/>
      <c r="K6" s="119"/>
      <c r="L6" s="119"/>
      <c r="M6" s="119"/>
      <c r="N6" s="119"/>
      <c r="O6" s="119"/>
      <c r="P6" s="119"/>
      <c r="Q6" s="119"/>
      <c r="R6" s="119"/>
      <c r="S6" s="119"/>
      <c r="T6" s="119"/>
      <c r="U6" s="119"/>
      <c r="V6" s="119"/>
      <c r="W6" s="119"/>
    </row>
    <row r="7" spans="1:24" x14ac:dyDescent="0.25">
      <c r="A7" t="s">
        <v>742</v>
      </c>
      <c r="B7" t="s">
        <v>826</v>
      </c>
      <c r="C7" t="s">
        <v>827</v>
      </c>
      <c r="D7" t="s">
        <v>836</v>
      </c>
      <c r="E7" t="s">
        <v>745</v>
      </c>
      <c r="F7" s="119"/>
      <c r="G7" s="119"/>
      <c r="H7" s="119"/>
      <c r="I7" s="119"/>
      <c r="J7" s="119"/>
      <c r="K7" s="119"/>
      <c r="L7" s="119"/>
      <c r="M7" s="119"/>
      <c r="N7" s="119"/>
      <c r="O7" s="119"/>
      <c r="P7" s="119"/>
      <c r="Q7" s="119"/>
      <c r="R7" s="119"/>
      <c r="S7" s="119"/>
      <c r="T7" s="119"/>
      <c r="U7" s="119"/>
      <c r="V7" s="119"/>
      <c r="W7" s="119"/>
    </row>
    <row r="8" spans="1:24" x14ac:dyDescent="0.25">
      <c r="A8" t="s">
        <v>742</v>
      </c>
      <c r="B8" t="s">
        <v>828</v>
      </c>
      <c r="C8" t="s">
        <v>756</v>
      </c>
      <c r="D8" t="s">
        <v>836</v>
      </c>
      <c r="E8" t="s">
        <v>745</v>
      </c>
      <c r="F8" s="119"/>
      <c r="G8" s="119"/>
      <c r="H8" s="119"/>
      <c r="I8" s="119"/>
      <c r="J8" s="119"/>
      <c r="K8" s="119"/>
      <c r="L8" s="119"/>
      <c r="M8" s="119"/>
      <c r="N8" s="119"/>
      <c r="O8" s="119"/>
      <c r="P8" s="119"/>
      <c r="Q8" s="119"/>
      <c r="R8" s="119"/>
      <c r="S8" s="119"/>
      <c r="T8" s="119"/>
      <c r="U8" s="119"/>
      <c r="V8" s="119"/>
      <c r="W8" s="119"/>
    </row>
    <row r="10" spans="1:24" s="6" customFormat="1" ht="21" x14ac:dyDescent="0.35">
      <c r="A10" s="6" t="s">
        <v>346</v>
      </c>
      <c r="C10" s="32" t="s">
        <v>843</v>
      </c>
    </row>
    <row r="12" spans="1:24" s="22" customFormat="1" x14ac:dyDescent="0.25">
      <c r="A12" s="123" t="s">
        <v>844</v>
      </c>
    </row>
    <row r="13" spans="1:24" s="7" customFormat="1" x14ac:dyDescent="0.25">
      <c r="A13" s="110" t="s">
        <v>736</v>
      </c>
      <c r="B13" s="110" t="s">
        <v>737</v>
      </c>
      <c r="C13" s="110" t="s">
        <v>738</v>
      </c>
      <c r="D13" s="110" t="s">
        <v>739</v>
      </c>
      <c r="E13" s="110" t="s">
        <v>740</v>
      </c>
      <c r="F13" s="110">
        <v>2000</v>
      </c>
      <c r="G13" s="110">
        <v>2001</v>
      </c>
      <c r="H13" s="110">
        <v>2002</v>
      </c>
      <c r="I13" s="110">
        <v>2003</v>
      </c>
      <c r="J13" s="110">
        <v>2004</v>
      </c>
      <c r="K13" s="110">
        <v>2005</v>
      </c>
      <c r="L13" s="110">
        <v>2006</v>
      </c>
      <c r="M13" s="110">
        <v>2007</v>
      </c>
      <c r="N13" s="110">
        <v>2008</v>
      </c>
      <c r="O13" s="110">
        <v>2009</v>
      </c>
      <c r="P13" s="110">
        <v>2010</v>
      </c>
      <c r="Q13" s="110">
        <v>2011</v>
      </c>
      <c r="R13" s="110">
        <v>2012</v>
      </c>
      <c r="S13" s="110">
        <v>2013</v>
      </c>
      <c r="T13" s="110">
        <v>2014</v>
      </c>
      <c r="U13" s="110">
        <v>2015</v>
      </c>
      <c r="V13" s="110"/>
      <c r="W13" s="110"/>
      <c r="X13" s="10" t="s">
        <v>741</v>
      </c>
    </row>
    <row r="14" spans="1:24" s="7" customFormat="1" x14ac:dyDescent="0.25">
      <c r="A14" s="110" t="s">
        <v>742</v>
      </c>
      <c r="B14" s="110" t="s">
        <v>821</v>
      </c>
      <c r="C14" s="110" t="s">
        <v>1100</v>
      </c>
      <c r="D14" s="110" t="s">
        <v>836</v>
      </c>
      <c r="E14" s="110" t="s">
        <v>745</v>
      </c>
      <c r="F14" s="126">
        <v>0</v>
      </c>
      <c r="G14" s="126">
        <v>0</v>
      </c>
      <c r="H14" s="126">
        <v>0</v>
      </c>
      <c r="I14" s="126">
        <v>0</v>
      </c>
      <c r="J14" s="126">
        <v>0</v>
      </c>
      <c r="K14" s="126">
        <v>0</v>
      </c>
      <c r="L14" s="126">
        <v>0</v>
      </c>
      <c r="M14" s="126">
        <v>0</v>
      </c>
      <c r="N14" s="126">
        <v>0</v>
      </c>
      <c r="O14" s="126">
        <v>0</v>
      </c>
      <c r="P14" s="126">
        <v>0</v>
      </c>
      <c r="Q14" s="126">
        <v>0</v>
      </c>
      <c r="R14" s="126">
        <v>0</v>
      </c>
      <c r="S14" s="126">
        <v>0</v>
      </c>
      <c r="T14" s="126">
        <v>0</v>
      </c>
      <c r="U14" s="126">
        <v>0</v>
      </c>
      <c r="V14" s="126"/>
      <c r="W14" s="126"/>
      <c r="X14"/>
    </row>
    <row r="15" spans="1:24" x14ac:dyDescent="0.25">
      <c r="A15" s="11" t="s">
        <v>742</v>
      </c>
      <c r="B15" s="11" t="s">
        <v>822</v>
      </c>
      <c r="C15" s="11" t="s">
        <v>823</v>
      </c>
      <c r="D15" s="11" t="s">
        <v>836</v>
      </c>
      <c r="E15" s="11" t="s">
        <v>745</v>
      </c>
      <c r="F15" s="29"/>
      <c r="G15" s="29"/>
      <c r="H15" s="29"/>
      <c r="I15" s="29"/>
      <c r="J15" s="29"/>
      <c r="K15" s="29"/>
      <c r="L15" s="29"/>
      <c r="M15" s="29"/>
      <c r="N15" s="29"/>
      <c r="O15" s="29"/>
      <c r="P15" s="29"/>
      <c r="Q15" s="29"/>
      <c r="R15" s="29"/>
      <c r="S15" s="29"/>
      <c r="T15" s="29"/>
      <c r="U15" s="29"/>
      <c r="V15" s="29"/>
      <c r="W15" s="29"/>
    </row>
    <row r="16" spans="1:24" x14ac:dyDescent="0.25">
      <c r="A16" s="11" t="s">
        <v>742</v>
      </c>
      <c r="B16" s="11" t="s">
        <v>824</v>
      </c>
      <c r="C16" s="11" t="s">
        <v>825</v>
      </c>
      <c r="D16" s="11" t="s">
        <v>836</v>
      </c>
      <c r="E16" s="11" t="s">
        <v>745</v>
      </c>
      <c r="F16" s="29"/>
      <c r="G16" s="29"/>
      <c r="H16" s="29"/>
      <c r="I16" s="29"/>
      <c r="J16" s="29"/>
      <c r="K16" s="29"/>
      <c r="L16" s="29"/>
      <c r="M16" s="29"/>
      <c r="N16" s="29"/>
      <c r="O16" s="29"/>
      <c r="P16" s="29"/>
      <c r="Q16" s="29"/>
      <c r="R16" s="29"/>
      <c r="S16" s="29"/>
      <c r="T16" s="29"/>
      <c r="U16" s="29"/>
      <c r="V16" s="29"/>
      <c r="W16" s="29"/>
    </row>
    <row r="17" spans="1:23" x14ac:dyDescent="0.25">
      <c r="A17" s="11" t="s">
        <v>742</v>
      </c>
      <c r="B17" s="11" t="s">
        <v>826</v>
      </c>
      <c r="C17" s="11" t="s">
        <v>827</v>
      </c>
      <c r="D17" s="11" t="s">
        <v>836</v>
      </c>
      <c r="E17" s="11" t="s">
        <v>745</v>
      </c>
      <c r="F17" s="29"/>
      <c r="G17" s="29"/>
      <c r="H17" s="29"/>
      <c r="I17" s="29"/>
      <c r="J17" s="29"/>
      <c r="K17" s="29"/>
      <c r="L17" s="29"/>
      <c r="M17" s="29"/>
      <c r="N17" s="29"/>
      <c r="O17" s="29"/>
      <c r="P17" s="29"/>
      <c r="Q17" s="29"/>
      <c r="R17" s="29"/>
      <c r="S17" s="29"/>
      <c r="T17" s="29"/>
      <c r="U17" s="29"/>
      <c r="V17" s="29"/>
      <c r="W17" s="29"/>
    </row>
    <row r="18" spans="1:23" x14ac:dyDescent="0.25">
      <c r="A18" s="11" t="s">
        <v>742</v>
      </c>
      <c r="B18" s="11" t="s">
        <v>828</v>
      </c>
      <c r="C18" s="11" t="s">
        <v>756</v>
      </c>
      <c r="D18" s="11" t="s">
        <v>836</v>
      </c>
      <c r="E18" s="11" t="s">
        <v>745</v>
      </c>
      <c r="F18" s="29"/>
      <c r="G18" s="29"/>
      <c r="H18" s="29"/>
      <c r="I18" s="29"/>
      <c r="J18" s="29"/>
      <c r="K18" s="29"/>
      <c r="L18" s="29"/>
      <c r="M18" s="29"/>
      <c r="N18" s="29"/>
      <c r="O18" s="29"/>
      <c r="P18" s="29"/>
      <c r="Q18" s="29"/>
      <c r="R18" s="29"/>
      <c r="S18" s="29"/>
      <c r="T18" s="29"/>
      <c r="U18" s="29"/>
      <c r="V18" s="29"/>
      <c r="W18" s="29"/>
    </row>
    <row r="19" spans="1:23" s="23" customFormat="1" x14ac:dyDescent="0.25"/>
    <row r="20" spans="1:23" s="22" customFormat="1" x14ac:dyDescent="0.25">
      <c r="A20" s="123" t="s">
        <v>854</v>
      </c>
      <c r="D20" s="8" t="s">
        <v>852</v>
      </c>
    </row>
    <row r="21" spans="1:23" s="7" customFormat="1" x14ac:dyDescent="0.25">
      <c r="A21" s="110" t="s">
        <v>736</v>
      </c>
      <c r="B21" s="110" t="s">
        <v>737</v>
      </c>
      <c r="C21" s="110" t="s">
        <v>738</v>
      </c>
      <c r="D21" s="110" t="s">
        <v>739</v>
      </c>
      <c r="E21" s="110" t="s">
        <v>740</v>
      </c>
      <c r="F21" s="110">
        <v>2000</v>
      </c>
      <c r="G21" s="110">
        <v>2001</v>
      </c>
      <c r="H21" s="110">
        <v>2002</v>
      </c>
      <c r="I21" s="110">
        <v>2003</v>
      </c>
      <c r="J21" s="110">
        <v>2004</v>
      </c>
      <c r="K21" s="110">
        <v>2005</v>
      </c>
      <c r="L21" s="110">
        <v>2006</v>
      </c>
      <c r="M21" s="110">
        <v>2007</v>
      </c>
      <c r="N21" s="110">
        <v>2008</v>
      </c>
      <c r="O21" s="110">
        <v>2009</v>
      </c>
      <c r="P21" s="110">
        <v>2010</v>
      </c>
      <c r="Q21" s="110">
        <v>2011</v>
      </c>
      <c r="R21" s="110">
        <v>2012</v>
      </c>
      <c r="S21" s="110">
        <v>2013</v>
      </c>
      <c r="T21" s="110">
        <v>2014</v>
      </c>
      <c r="U21" s="110">
        <v>2015</v>
      </c>
      <c r="V21" s="110"/>
      <c r="W21" s="110"/>
    </row>
    <row r="22" spans="1:23" s="7" customFormat="1" x14ac:dyDescent="0.25">
      <c r="A22" s="110" t="s">
        <v>742</v>
      </c>
      <c r="B22" s="110" t="s">
        <v>821</v>
      </c>
      <c r="C22" s="110" t="s">
        <v>1100</v>
      </c>
      <c r="D22" s="110" t="s">
        <v>836</v>
      </c>
      <c r="E22" s="110" t="s">
        <v>745</v>
      </c>
      <c r="F22" s="66" t="str">
        <f t="shared" ref="F22:T23" si="2">IFERROR(((F4/F14)-1),"CHECK")</f>
        <v>CHECK</v>
      </c>
      <c r="G22" s="66" t="str">
        <f t="shared" si="2"/>
        <v>CHECK</v>
      </c>
      <c r="H22" s="66" t="str">
        <f t="shared" si="2"/>
        <v>CHECK</v>
      </c>
      <c r="I22" s="66" t="str">
        <f t="shared" si="2"/>
        <v>CHECK</v>
      </c>
      <c r="J22" s="66" t="str">
        <f t="shared" si="2"/>
        <v>CHECK</v>
      </c>
      <c r="K22" s="66" t="str">
        <f t="shared" si="2"/>
        <v>CHECK</v>
      </c>
      <c r="L22" s="66" t="str">
        <f t="shared" si="2"/>
        <v>CHECK</v>
      </c>
      <c r="M22" s="66" t="str">
        <f t="shared" si="2"/>
        <v>CHECK</v>
      </c>
      <c r="N22" s="66" t="str">
        <f t="shared" si="2"/>
        <v>CHECK</v>
      </c>
      <c r="O22" s="66" t="str">
        <f t="shared" si="2"/>
        <v>CHECK</v>
      </c>
      <c r="P22" s="66" t="str">
        <f t="shared" si="2"/>
        <v>CHECK</v>
      </c>
      <c r="Q22" s="66" t="str">
        <f t="shared" si="2"/>
        <v>CHECK</v>
      </c>
      <c r="R22" s="66" t="str">
        <f t="shared" si="2"/>
        <v>CHECK</v>
      </c>
      <c r="S22" s="66" t="str">
        <f t="shared" si="2"/>
        <v>CHECK</v>
      </c>
      <c r="T22" s="66" t="str">
        <f t="shared" si="2"/>
        <v>CHECK</v>
      </c>
      <c r="U22" s="66" t="str">
        <f>IFERROR(((U4/U14)-1),"CHECK")</f>
        <v>CHECK</v>
      </c>
      <c r="V22" s="66"/>
      <c r="W22" s="66"/>
    </row>
    <row r="23" spans="1:23" x14ac:dyDescent="0.25">
      <c r="A23" s="11" t="s">
        <v>742</v>
      </c>
      <c r="B23" s="11" t="s">
        <v>822</v>
      </c>
      <c r="C23" s="11" t="s">
        <v>823</v>
      </c>
      <c r="D23" s="11" t="s">
        <v>836</v>
      </c>
      <c r="E23" s="11" t="s">
        <v>745</v>
      </c>
      <c r="F23" s="66" t="str">
        <f t="shared" si="2"/>
        <v>CHECK</v>
      </c>
      <c r="G23" s="66" t="str">
        <f t="shared" si="2"/>
        <v>CHECK</v>
      </c>
      <c r="H23" s="66" t="str">
        <f t="shared" si="2"/>
        <v>CHECK</v>
      </c>
      <c r="I23" s="66" t="str">
        <f t="shared" si="2"/>
        <v>CHECK</v>
      </c>
      <c r="J23" s="66" t="str">
        <f t="shared" si="2"/>
        <v>CHECK</v>
      </c>
      <c r="K23" s="66" t="str">
        <f t="shared" si="2"/>
        <v>CHECK</v>
      </c>
      <c r="L23" s="66" t="str">
        <f t="shared" si="2"/>
        <v>CHECK</v>
      </c>
      <c r="M23" s="66" t="str">
        <f t="shared" si="2"/>
        <v>CHECK</v>
      </c>
      <c r="N23" s="66" t="str">
        <f t="shared" si="2"/>
        <v>CHECK</v>
      </c>
      <c r="O23" s="66" t="str">
        <f t="shared" si="2"/>
        <v>CHECK</v>
      </c>
      <c r="P23" s="66" t="str">
        <f t="shared" si="2"/>
        <v>CHECK</v>
      </c>
      <c r="Q23" s="66" t="str">
        <f t="shared" si="2"/>
        <v>CHECK</v>
      </c>
      <c r="R23" s="66" t="str">
        <f t="shared" si="2"/>
        <v>CHECK</v>
      </c>
      <c r="S23" s="66" t="str">
        <f t="shared" si="2"/>
        <v>CHECK</v>
      </c>
      <c r="T23" s="66" t="str">
        <f t="shared" si="2"/>
        <v>CHECK</v>
      </c>
      <c r="U23" s="66" t="str">
        <f>IFERROR(((U5/U15)-1),"CHECK")</f>
        <v>CHECK</v>
      </c>
      <c r="V23" s="66"/>
      <c r="W23" s="66"/>
    </row>
    <row r="24" spans="1:23" x14ac:dyDescent="0.25">
      <c r="A24" s="11" t="s">
        <v>742</v>
      </c>
      <c r="B24" s="11" t="s">
        <v>824</v>
      </c>
      <c r="C24" s="11" t="s">
        <v>825</v>
      </c>
      <c r="D24" s="11" t="s">
        <v>836</v>
      </c>
      <c r="E24" s="11" t="s">
        <v>745</v>
      </c>
      <c r="F24" s="66" t="str">
        <f t="shared" ref="F24:T24" si="3">IFERROR(((F6/F16)-1),"CHECK")</f>
        <v>CHECK</v>
      </c>
      <c r="G24" s="66" t="str">
        <f t="shared" si="3"/>
        <v>CHECK</v>
      </c>
      <c r="H24" s="66" t="str">
        <f t="shared" si="3"/>
        <v>CHECK</v>
      </c>
      <c r="I24" s="66" t="str">
        <f t="shared" si="3"/>
        <v>CHECK</v>
      </c>
      <c r="J24" s="66" t="str">
        <f t="shared" si="3"/>
        <v>CHECK</v>
      </c>
      <c r="K24" s="66" t="str">
        <f t="shared" si="3"/>
        <v>CHECK</v>
      </c>
      <c r="L24" s="66" t="str">
        <f t="shared" si="3"/>
        <v>CHECK</v>
      </c>
      <c r="M24" s="66" t="str">
        <f t="shared" si="3"/>
        <v>CHECK</v>
      </c>
      <c r="N24" s="66" t="str">
        <f t="shared" si="3"/>
        <v>CHECK</v>
      </c>
      <c r="O24" s="66" t="str">
        <f t="shared" si="3"/>
        <v>CHECK</v>
      </c>
      <c r="P24" s="66" t="str">
        <f t="shared" si="3"/>
        <v>CHECK</v>
      </c>
      <c r="Q24" s="66" t="str">
        <f t="shared" si="3"/>
        <v>CHECK</v>
      </c>
      <c r="R24" s="66" t="str">
        <f t="shared" si="3"/>
        <v>CHECK</v>
      </c>
      <c r="S24" s="66" t="str">
        <f t="shared" si="3"/>
        <v>CHECK</v>
      </c>
      <c r="T24" s="66" t="str">
        <f t="shared" si="3"/>
        <v>CHECK</v>
      </c>
      <c r="U24" s="66" t="str">
        <f>IFERROR(((U6/U16)-1),"CHECK")</f>
        <v>CHECK</v>
      </c>
      <c r="V24" s="66"/>
      <c r="W24" s="66"/>
    </row>
    <row r="25" spans="1:23" x14ac:dyDescent="0.25">
      <c r="A25" s="11" t="s">
        <v>742</v>
      </c>
      <c r="B25" s="11" t="s">
        <v>826</v>
      </c>
      <c r="C25" s="11" t="s">
        <v>827</v>
      </c>
      <c r="D25" s="11" t="s">
        <v>836</v>
      </c>
      <c r="E25" s="11" t="s">
        <v>745</v>
      </c>
      <c r="F25" s="66" t="str">
        <f t="shared" ref="F25:T25" si="4">IFERROR(((F7/F17)-1),"CHECK")</f>
        <v>CHECK</v>
      </c>
      <c r="G25" s="66" t="str">
        <f t="shared" si="4"/>
        <v>CHECK</v>
      </c>
      <c r="H25" s="66" t="str">
        <f t="shared" si="4"/>
        <v>CHECK</v>
      </c>
      <c r="I25" s="66" t="str">
        <f t="shared" si="4"/>
        <v>CHECK</v>
      </c>
      <c r="J25" s="66" t="str">
        <f t="shared" si="4"/>
        <v>CHECK</v>
      </c>
      <c r="K25" s="66" t="str">
        <f t="shared" si="4"/>
        <v>CHECK</v>
      </c>
      <c r="L25" s="66" t="str">
        <f t="shared" si="4"/>
        <v>CHECK</v>
      </c>
      <c r="M25" s="66" t="str">
        <f t="shared" si="4"/>
        <v>CHECK</v>
      </c>
      <c r="N25" s="66" t="str">
        <f t="shared" si="4"/>
        <v>CHECK</v>
      </c>
      <c r="O25" s="66" t="str">
        <f t="shared" si="4"/>
        <v>CHECK</v>
      </c>
      <c r="P25" s="66" t="str">
        <f t="shared" si="4"/>
        <v>CHECK</v>
      </c>
      <c r="Q25" s="66" t="str">
        <f t="shared" si="4"/>
        <v>CHECK</v>
      </c>
      <c r="R25" s="66" t="str">
        <f t="shared" si="4"/>
        <v>CHECK</v>
      </c>
      <c r="S25" s="66" t="str">
        <f t="shared" si="4"/>
        <v>CHECK</v>
      </c>
      <c r="T25" s="66" t="str">
        <f t="shared" si="4"/>
        <v>CHECK</v>
      </c>
      <c r="U25" s="66" t="str">
        <f>IFERROR(((U7/U17)-1),"CHECK")</f>
        <v>CHECK</v>
      </c>
      <c r="V25" s="66"/>
      <c r="W25" s="66"/>
    </row>
    <row r="26" spans="1:23" x14ac:dyDescent="0.25">
      <c r="A26" s="11" t="s">
        <v>742</v>
      </c>
      <c r="B26" s="11" t="s">
        <v>828</v>
      </c>
      <c r="C26" s="11" t="s">
        <v>756</v>
      </c>
      <c r="D26" s="11" t="s">
        <v>836</v>
      </c>
      <c r="E26" s="11" t="s">
        <v>745</v>
      </c>
      <c r="F26" s="66" t="str">
        <f t="shared" ref="F26:T26" si="5">IFERROR(((F8/F18)-1),"CHECK")</f>
        <v>CHECK</v>
      </c>
      <c r="G26" s="66" t="str">
        <f t="shared" si="5"/>
        <v>CHECK</v>
      </c>
      <c r="H26" s="66" t="str">
        <f t="shared" si="5"/>
        <v>CHECK</v>
      </c>
      <c r="I26" s="66" t="str">
        <f t="shared" si="5"/>
        <v>CHECK</v>
      </c>
      <c r="J26" s="66" t="str">
        <f t="shared" si="5"/>
        <v>CHECK</v>
      </c>
      <c r="K26" s="66" t="str">
        <f t="shared" si="5"/>
        <v>CHECK</v>
      </c>
      <c r="L26" s="66" t="str">
        <f t="shared" si="5"/>
        <v>CHECK</v>
      </c>
      <c r="M26" s="66" t="str">
        <f t="shared" si="5"/>
        <v>CHECK</v>
      </c>
      <c r="N26" s="66" t="str">
        <f t="shared" si="5"/>
        <v>CHECK</v>
      </c>
      <c r="O26" s="66" t="str">
        <f t="shared" si="5"/>
        <v>CHECK</v>
      </c>
      <c r="P26" s="66" t="str">
        <f t="shared" si="5"/>
        <v>CHECK</v>
      </c>
      <c r="Q26" s="66" t="str">
        <f t="shared" si="5"/>
        <v>CHECK</v>
      </c>
      <c r="R26" s="66" t="str">
        <f t="shared" si="5"/>
        <v>CHECK</v>
      </c>
      <c r="S26" s="66" t="str">
        <f t="shared" si="5"/>
        <v>CHECK</v>
      </c>
      <c r="T26" s="66" t="str">
        <f t="shared" si="5"/>
        <v>CHECK</v>
      </c>
      <c r="U26" s="66" t="str">
        <f>IFERROR(((U8/U18)-1),"CHECK")</f>
        <v>CHECK</v>
      </c>
      <c r="V26" s="66"/>
      <c r="W26" s="66"/>
    </row>
  </sheetData>
  <conditionalFormatting sqref="F23:T26">
    <cfRule type="colorScale" priority="18">
      <colorScale>
        <cfvo type="min"/>
        <cfvo type="num" val="0"/>
        <cfvo type="max"/>
        <color theme="3" tint="0.59999389629810485"/>
        <color theme="0"/>
        <color rgb="FFEE9CA4"/>
      </colorScale>
    </cfRule>
  </conditionalFormatting>
  <conditionalFormatting sqref="F22:T22">
    <cfRule type="colorScale" priority="3">
      <colorScale>
        <cfvo type="min"/>
        <cfvo type="num" val="0"/>
        <cfvo type="max"/>
        <color theme="3" tint="0.59999389629810485"/>
        <color theme="0"/>
        <color rgb="FFEE9CA4"/>
      </colorScale>
    </cfRule>
  </conditionalFormatting>
  <conditionalFormatting sqref="U23:W26">
    <cfRule type="colorScale" priority="2">
      <colorScale>
        <cfvo type="min"/>
        <cfvo type="num" val="0"/>
        <cfvo type="max"/>
        <color theme="3" tint="0.59999389629810485"/>
        <color theme="0"/>
        <color rgb="FFEE9CA4"/>
      </colorScale>
    </cfRule>
  </conditionalFormatting>
  <conditionalFormatting sqref="U22:W22">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C00-0000B0000000}">
          <x14:colorSeries rgb="FF376092"/>
          <x14:colorNegative rgb="FFD00000"/>
          <x14:colorAxis rgb="FF000000"/>
          <x14:colorMarkers rgb="FFD00000"/>
          <x14:colorFirst rgb="FFD00000"/>
          <x14:colorLast rgb="FFD00000"/>
          <x14:colorHigh rgb="FFD00000"/>
          <x14:colorLow rgb="FFD00000"/>
          <x14:sparklines>
            <x14:sparkline>
              <xm:f>'2G Summary'!F4:U4</xm:f>
              <xm:sqref>X4</xm:sqref>
            </x14:sparkline>
            <x14:sparkline>
              <xm:f>'2G Summary'!F5:U5</xm:f>
              <xm:sqref>X5</xm:sqref>
            </x14:sparkline>
            <x14:sparkline>
              <xm:f>'2G Summary'!F6:U6</xm:f>
              <xm:sqref>X6</xm:sqref>
            </x14:sparkline>
            <x14:sparkline>
              <xm:f>'2G Summary'!F7:U7</xm:f>
              <xm:sqref>X7</xm:sqref>
            </x14:sparkline>
            <x14:sparkline>
              <xm:f>'2G Summary'!F8:U8</xm:f>
              <xm:sqref>X8</xm:sqref>
            </x14:sparkline>
          </x14:sparklines>
        </x14:sparklineGroup>
        <x14:sparklineGroup manualMax="0" manualMin="0" displayEmptyCellsAs="gap" xr2:uid="{00000000-0003-0000-2C00-0000AF000000}">
          <x14:colorSeries rgb="FF376092"/>
          <x14:colorNegative rgb="FFD00000"/>
          <x14:colorAxis rgb="FF000000"/>
          <x14:colorMarkers rgb="FFD00000"/>
          <x14:colorFirst rgb="FFD00000"/>
          <x14:colorLast rgb="FFD00000"/>
          <x14:colorHigh rgb="FFD00000"/>
          <x14:colorLow rgb="FFD00000"/>
          <x14:sparklines>
            <x14:sparkline>
              <xm:f>'2G Summary'!F14:U14</xm:f>
              <xm:sqref>X14</xm:sqref>
            </x14:sparkline>
            <x14:sparkline>
              <xm:f>'2G Summary'!F15:U15</xm:f>
              <xm:sqref>X15</xm:sqref>
            </x14:sparkline>
            <x14:sparkline>
              <xm:f>'2G Summary'!F16:U16</xm:f>
              <xm:sqref>X16</xm:sqref>
            </x14:sparkline>
            <x14:sparkline>
              <xm:f>'2G Summary'!F17:U17</xm:f>
              <xm:sqref>X17</xm:sqref>
            </x14:sparkline>
            <x14:sparkline>
              <xm:f>'2G Summary'!F18:U18</xm:f>
              <xm:sqref>X18</xm:sqref>
            </x14:sparkline>
          </x14:sparklines>
        </x14:sparklineGroup>
      </x14:sparklineGroup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6">
    <tabColor rgb="FF00B0F0"/>
  </sheetPr>
  <dimension ref="A1:X23"/>
  <sheetViews>
    <sheetView topLeftCell="M1" workbookViewId="0">
      <selection activeCell="V4" sqref="V4"/>
    </sheetView>
  </sheetViews>
  <sheetFormatPr defaultRowHeight="15" x14ac:dyDescent="0.25"/>
  <cols>
    <col min="1" max="1" width="34.140625" bestFit="1" customWidth="1"/>
    <col min="2" max="2" width="13.28515625" customWidth="1"/>
    <col min="3" max="3" width="31.28515625" bestFit="1" customWidth="1"/>
    <col min="5" max="5" width="10.28515625" customWidth="1"/>
  </cols>
  <sheetData>
    <row r="1" spans="1:24" s="6" customFormat="1" ht="21" x14ac:dyDescent="0.35">
      <c r="A1" s="6" t="s">
        <v>734</v>
      </c>
      <c r="C1" s="28" t="s">
        <v>735</v>
      </c>
    </row>
    <row r="3" spans="1:24"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4" s="103" customFormat="1" x14ac:dyDescent="0.25">
      <c r="A4" s="7" t="s">
        <v>742</v>
      </c>
      <c r="B4" s="103" t="s">
        <v>829</v>
      </c>
      <c r="C4" s="103" t="s">
        <v>574</v>
      </c>
      <c r="D4" s="7" t="s">
        <v>836</v>
      </c>
      <c r="E4" s="7" t="s">
        <v>745</v>
      </c>
      <c r="F4" s="116">
        <f>+SUM(F5:F7)</f>
        <v>0</v>
      </c>
      <c r="G4" s="116">
        <f t="shared" ref="G4:U4" si="0">+SUM(G5:G7)</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W4" si="1">+SUM(V5:V7)</f>
        <v>0</v>
      </c>
      <c r="W4" s="116">
        <f t="shared" si="1"/>
        <v>0</v>
      </c>
      <c r="X4"/>
    </row>
    <row r="5" spans="1:24" x14ac:dyDescent="0.25">
      <c r="A5" t="s">
        <v>742</v>
      </c>
      <c r="B5" t="s">
        <v>830</v>
      </c>
      <c r="C5" t="s">
        <v>831</v>
      </c>
      <c r="D5" t="s">
        <v>836</v>
      </c>
      <c r="E5" t="s">
        <v>745</v>
      </c>
      <c r="F5" s="119"/>
      <c r="G5" s="119"/>
      <c r="H5" s="119"/>
      <c r="I5" s="119"/>
      <c r="J5" s="119"/>
      <c r="K5" s="119"/>
      <c r="L5" s="119"/>
      <c r="M5" s="119"/>
      <c r="N5" s="119"/>
      <c r="O5" s="119"/>
      <c r="P5" s="119"/>
      <c r="Q5" s="119"/>
      <c r="R5" s="119"/>
      <c r="S5" s="119"/>
      <c r="T5" s="119"/>
      <c r="U5" s="119"/>
      <c r="V5" s="119"/>
      <c r="W5" s="119"/>
    </row>
    <row r="6" spans="1:24" x14ac:dyDescent="0.25">
      <c r="A6" t="s">
        <v>742</v>
      </c>
      <c r="B6" t="s">
        <v>832</v>
      </c>
      <c r="C6" t="s">
        <v>833</v>
      </c>
      <c r="D6" t="s">
        <v>836</v>
      </c>
      <c r="E6" t="s">
        <v>745</v>
      </c>
      <c r="F6" s="119"/>
      <c r="G6" s="119"/>
      <c r="H6" s="119"/>
      <c r="I6" s="119"/>
      <c r="J6" s="119"/>
      <c r="K6" s="119"/>
      <c r="L6" s="119"/>
      <c r="M6" s="119"/>
      <c r="N6" s="119"/>
      <c r="O6" s="119"/>
      <c r="P6" s="119"/>
      <c r="Q6" s="119"/>
      <c r="R6" s="119"/>
      <c r="S6" s="119"/>
      <c r="T6" s="119"/>
      <c r="U6" s="119"/>
      <c r="V6" s="119"/>
      <c r="W6" s="119"/>
    </row>
    <row r="7" spans="1:24" x14ac:dyDescent="0.25">
      <c r="A7" t="s">
        <v>742</v>
      </c>
      <c r="B7" t="s">
        <v>834</v>
      </c>
      <c r="C7" t="s">
        <v>756</v>
      </c>
      <c r="D7" t="s">
        <v>836</v>
      </c>
      <c r="E7" t="s">
        <v>745</v>
      </c>
      <c r="F7" s="119"/>
      <c r="G7" s="119"/>
      <c r="H7" s="119"/>
      <c r="I7" s="119"/>
      <c r="J7" s="119"/>
      <c r="K7" s="119"/>
      <c r="L7" s="119"/>
      <c r="M7" s="119"/>
      <c r="N7" s="119"/>
      <c r="O7" s="119"/>
      <c r="P7" s="119"/>
      <c r="Q7" s="119"/>
      <c r="R7" s="119"/>
      <c r="S7" s="119"/>
      <c r="T7" s="119"/>
      <c r="U7" s="119"/>
      <c r="V7" s="119"/>
      <c r="W7" s="119"/>
    </row>
    <row r="9" spans="1:24" s="6" customFormat="1" ht="21" x14ac:dyDescent="0.35">
      <c r="A9" s="6" t="s">
        <v>346</v>
      </c>
      <c r="C9" s="32" t="s">
        <v>843</v>
      </c>
    </row>
    <row r="11" spans="1:24" s="22" customFormat="1" x14ac:dyDescent="0.25">
      <c r="A11" s="123" t="s">
        <v>844</v>
      </c>
    </row>
    <row r="12" spans="1:24" s="7" customFormat="1" x14ac:dyDescent="0.25">
      <c r="A12" s="110" t="s">
        <v>736</v>
      </c>
      <c r="B12" s="110" t="s">
        <v>737</v>
      </c>
      <c r="C12" s="110" t="s">
        <v>738</v>
      </c>
      <c r="D12" s="110" t="s">
        <v>739</v>
      </c>
      <c r="E12" s="110" t="s">
        <v>740</v>
      </c>
      <c r="F12" s="110">
        <v>2000</v>
      </c>
      <c r="G12" s="110">
        <v>2001</v>
      </c>
      <c r="H12" s="110">
        <v>2002</v>
      </c>
      <c r="I12" s="110">
        <v>2003</v>
      </c>
      <c r="J12" s="110">
        <v>2004</v>
      </c>
      <c r="K12" s="110">
        <v>2005</v>
      </c>
      <c r="L12" s="110">
        <v>2006</v>
      </c>
      <c r="M12" s="110">
        <v>2007</v>
      </c>
      <c r="N12" s="110">
        <v>2008</v>
      </c>
      <c r="O12" s="110">
        <v>2009</v>
      </c>
      <c r="P12" s="110">
        <v>2010</v>
      </c>
      <c r="Q12" s="110">
        <v>2011</v>
      </c>
      <c r="R12" s="110">
        <v>2012</v>
      </c>
      <c r="S12" s="110">
        <v>2013</v>
      </c>
      <c r="T12" s="110">
        <v>2014</v>
      </c>
      <c r="U12" s="110">
        <v>2015</v>
      </c>
      <c r="V12" s="110"/>
      <c r="W12" s="110"/>
      <c r="X12" s="10" t="s">
        <v>741</v>
      </c>
    </row>
    <row r="13" spans="1:24" s="7" customFormat="1" x14ac:dyDescent="0.25">
      <c r="A13" s="110" t="s">
        <v>742</v>
      </c>
      <c r="B13" s="110" t="s">
        <v>829</v>
      </c>
      <c r="C13" s="110" t="s">
        <v>574</v>
      </c>
      <c r="D13" s="110" t="s">
        <v>836</v>
      </c>
      <c r="E13" s="110" t="s">
        <v>745</v>
      </c>
      <c r="F13" s="126">
        <v>0</v>
      </c>
      <c r="G13" s="126">
        <v>0</v>
      </c>
      <c r="H13" s="126">
        <v>0</v>
      </c>
      <c r="I13" s="126">
        <v>0</v>
      </c>
      <c r="J13" s="126">
        <v>0</v>
      </c>
      <c r="K13" s="126">
        <v>0</v>
      </c>
      <c r="L13" s="126">
        <v>0</v>
      </c>
      <c r="M13" s="126">
        <v>0</v>
      </c>
      <c r="N13" s="126">
        <v>0</v>
      </c>
      <c r="O13" s="126">
        <v>0</v>
      </c>
      <c r="P13" s="126">
        <v>0</v>
      </c>
      <c r="Q13" s="126">
        <v>0</v>
      </c>
      <c r="R13" s="126">
        <v>0</v>
      </c>
      <c r="S13" s="126">
        <v>0</v>
      </c>
      <c r="T13" s="126">
        <v>0</v>
      </c>
      <c r="U13" s="126">
        <v>0</v>
      </c>
      <c r="V13" s="126"/>
      <c r="W13" s="126"/>
      <c r="X13"/>
    </row>
    <row r="14" spans="1:24" x14ac:dyDescent="0.25">
      <c r="A14" s="11" t="s">
        <v>742</v>
      </c>
      <c r="B14" s="11" t="s">
        <v>830</v>
      </c>
      <c r="C14" s="11" t="s">
        <v>831</v>
      </c>
      <c r="D14" s="11" t="s">
        <v>836</v>
      </c>
      <c r="E14" s="11" t="s">
        <v>745</v>
      </c>
      <c r="F14" s="29"/>
      <c r="G14" s="29"/>
      <c r="H14" s="29"/>
      <c r="I14" s="29"/>
      <c r="J14" s="29"/>
      <c r="K14" s="29"/>
      <c r="L14" s="29"/>
      <c r="M14" s="29"/>
      <c r="N14" s="29"/>
      <c r="O14" s="29"/>
      <c r="P14" s="29"/>
      <c r="Q14" s="29"/>
      <c r="R14" s="29"/>
      <c r="S14" s="29"/>
      <c r="T14" s="29"/>
      <c r="U14" s="29"/>
      <c r="V14" s="29"/>
      <c r="W14" s="29"/>
    </row>
    <row r="15" spans="1:24" x14ac:dyDescent="0.25">
      <c r="A15" s="11" t="s">
        <v>742</v>
      </c>
      <c r="B15" s="11" t="s">
        <v>832</v>
      </c>
      <c r="C15" s="11" t="s">
        <v>833</v>
      </c>
      <c r="D15" s="11" t="s">
        <v>836</v>
      </c>
      <c r="E15" s="11" t="s">
        <v>745</v>
      </c>
      <c r="F15" s="29"/>
      <c r="G15" s="29"/>
      <c r="H15" s="29"/>
      <c r="I15" s="29"/>
      <c r="J15" s="29"/>
      <c r="K15" s="29"/>
      <c r="L15" s="29"/>
      <c r="M15" s="29"/>
      <c r="N15" s="29"/>
      <c r="O15" s="29"/>
      <c r="P15" s="29"/>
      <c r="Q15" s="29"/>
      <c r="R15" s="29"/>
      <c r="S15" s="29"/>
      <c r="T15" s="29"/>
      <c r="U15" s="29"/>
      <c r="V15" s="29"/>
      <c r="W15" s="29"/>
    </row>
    <row r="16" spans="1:24" x14ac:dyDescent="0.25">
      <c r="A16" s="11" t="s">
        <v>742</v>
      </c>
      <c r="B16" s="11" t="s">
        <v>834</v>
      </c>
      <c r="C16" s="11" t="s">
        <v>756</v>
      </c>
      <c r="D16" s="11" t="s">
        <v>836</v>
      </c>
      <c r="E16" s="11" t="s">
        <v>745</v>
      </c>
      <c r="F16" s="29"/>
      <c r="G16" s="29"/>
      <c r="H16" s="29"/>
      <c r="I16" s="29"/>
      <c r="J16" s="29"/>
      <c r="K16" s="29"/>
      <c r="L16" s="29"/>
      <c r="M16" s="29"/>
      <c r="N16" s="29"/>
      <c r="O16" s="29"/>
      <c r="P16" s="29"/>
      <c r="Q16" s="29"/>
      <c r="R16" s="29"/>
      <c r="S16" s="29"/>
      <c r="T16" s="29"/>
      <c r="U16" s="29"/>
      <c r="V16" s="29"/>
      <c r="W16" s="29"/>
    </row>
    <row r="17" spans="1:23" s="23" customFormat="1" x14ac:dyDescent="0.25"/>
    <row r="18" spans="1:23" s="22" customFormat="1" x14ac:dyDescent="0.25">
      <c r="A18" s="123" t="s">
        <v>854</v>
      </c>
      <c r="D18" s="8" t="s">
        <v>852</v>
      </c>
    </row>
    <row r="19" spans="1:23" s="7" customFormat="1" x14ac:dyDescent="0.25">
      <c r="A19" s="110" t="s">
        <v>736</v>
      </c>
      <c r="B19" s="110" t="s">
        <v>737</v>
      </c>
      <c r="C19" s="110" t="s">
        <v>738</v>
      </c>
      <c r="D19" s="110" t="s">
        <v>739</v>
      </c>
      <c r="E19" s="110" t="s">
        <v>740</v>
      </c>
      <c r="F19" s="110">
        <v>2000</v>
      </c>
      <c r="G19" s="110">
        <v>2001</v>
      </c>
      <c r="H19" s="110">
        <v>2002</v>
      </c>
      <c r="I19" s="110">
        <v>2003</v>
      </c>
      <c r="J19" s="110">
        <v>2004</v>
      </c>
      <c r="K19" s="110">
        <v>2005</v>
      </c>
      <c r="L19" s="110">
        <v>2006</v>
      </c>
      <c r="M19" s="110">
        <v>2007</v>
      </c>
      <c r="N19" s="110">
        <v>2008</v>
      </c>
      <c r="O19" s="110">
        <v>2009</v>
      </c>
      <c r="P19" s="110">
        <v>2010</v>
      </c>
      <c r="Q19" s="110">
        <v>2011</v>
      </c>
      <c r="R19" s="110">
        <v>2012</v>
      </c>
      <c r="S19" s="110">
        <v>2013</v>
      </c>
      <c r="T19" s="110">
        <v>2014</v>
      </c>
      <c r="U19" s="110">
        <v>2015</v>
      </c>
      <c r="V19" s="110"/>
      <c r="W19" s="110"/>
    </row>
    <row r="20" spans="1:23" s="7" customFormat="1" x14ac:dyDescent="0.25">
      <c r="A20" s="110" t="s">
        <v>742</v>
      </c>
      <c r="B20" s="110" t="s">
        <v>829</v>
      </c>
      <c r="C20" s="110" t="s">
        <v>574</v>
      </c>
      <c r="D20" s="110" t="s">
        <v>836</v>
      </c>
      <c r="E20" s="110" t="s">
        <v>745</v>
      </c>
      <c r="F20" s="66" t="str">
        <f t="shared" ref="F20:T21" si="2">IFERROR(((F4/F13)-1),"CHECK")</f>
        <v>CHECK</v>
      </c>
      <c r="G20" s="66" t="str">
        <f t="shared" si="2"/>
        <v>CHECK</v>
      </c>
      <c r="H20" s="66" t="str">
        <f t="shared" si="2"/>
        <v>CHECK</v>
      </c>
      <c r="I20" s="66" t="str">
        <f t="shared" si="2"/>
        <v>CHECK</v>
      </c>
      <c r="J20" s="66" t="str">
        <f t="shared" si="2"/>
        <v>CHECK</v>
      </c>
      <c r="K20" s="66" t="str">
        <f t="shared" si="2"/>
        <v>CHECK</v>
      </c>
      <c r="L20" s="66" t="str">
        <f t="shared" si="2"/>
        <v>CHECK</v>
      </c>
      <c r="M20" s="66" t="str">
        <f t="shared" si="2"/>
        <v>CHECK</v>
      </c>
      <c r="N20" s="66" t="str">
        <f t="shared" si="2"/>
        <v>CHECK</v>
      </c>
      <c r="O20" s="66" t="str">
        <f t="shared" si="2"/>
        <v>CHECK</v>
      </c>
      <c r="P20" s="66" t="str">
        <f t="shared" si="2"/>
        <v>CHECK</v>
      </c>
      <c r="Q20" s="66" t="str">
        <f t="shared" si="2"/>
        <v>CHECK</v>
      </c>
      <c r="R20" s="66" t="str">
        <f t="shared" si="2"/>
        <v>CHECK</v>
      </c>
      <c r="S20" s="66" t="str">
        <f t="shared" si="2"/>
        <v>CHECK</v>
      </c>
      <c r="T20" s="66" t="str">
        <f t="shared" si="2"/>
        <v>CHECK</v>
      </c>
      <c r="U20" s="66" t="str">
        <f>IFERROR(((U4/U13)-1),"CHECK")</f>
        <v>CHECK</v>
      </c>
      <c r="V20" s="66"/>
      <c r="W20" s="66"/>
    </row>
    <row r="21" spans="1:23" x14ac:dyDescent="0.25">
      <c r="A21" s="11" t="s">
        <v>742</v>
      </c>
      <c r="B21" s="11" t="s">
        <v>830</v>
      </c>
      <c r="C21" s="11" t="s">
        <v>831</v>
      </c>
      <c r="D21" s="11" t="s">
        <v>836</v>
      </c>
      <c r="E21" s="11" t="s">
        <v>745</v>
      </c>
      <c r="F21" s="66" t="str">
        <f t="shared" si="2"/>
        <v>CHECK</v>
      </c>
      <c r="G21" s="66" t="str">
        <f t="shared" si="2"/>
        <v>CHECK</v>
      </c>
      <c r="H21" s="66" t="str">
        <f t="shared" si="2"/>
        <v>CHECK</v>
      </c>
      <c r="I21" s="66" t="str">
        <f t="shared" si="2"/>
        <v>CHECK</v>
      </c>
      <c r="J21" s="66" t="str">
        <f t="shared" si="2"/>
        <v>CHECK</v>
      </c>
      <c r="K21" s="66" t="str">
        <f t="shared" si="2"/>
        <v>CHECK</v>
      </c>
      <c r="L21" s="66" t="str">
        <f t="shared" si="2"/>
        <v>CHECK</v>
      </c>
      <c r="M21" s="66" t="str">
        <f t="shared" si="2"/>
        <v>CHECK</v>
      </c>
      <c r="N21" s="66" t="str">
        <f t="shared" si="2"/>
        <v>CHECK</v>
      </c>
      <c r="O21" s="66" t="str">
        <f t="shared" si="2"/>
        <v>CHECK</v>
      </c>
      <c r="P21" s="66" t="str">
        <f t="shared" si="2"/>
        <v>CHECK</v>
      </c>
      <c r="Q21" s="66" t="str">
        <f t="shared" si="2"/>
        <v>CHECK</v>
      </c>
      <c r="R21" s="66" t="str">
        <f t="shared" si="2"/>
        <v>CHECK</v>
      </c>
      <c r="S21" s="66" t="str">
        <f t="shared" si="2"/>
        <v>CHECK</v>
      </c>
      <c r="T21" s="66" t="str">
        <f t="shared" si="2"/>
        <v>CHECK</v>
      </c>
      <c r="U21" s="66" t="str">
        <f>IFERROR(((U5/U14)-1),"CHECK")</f>
        <v>CHECK</v>
      </c>
      <c r="V21" s="66"/>
      <c r="W21" s="66"/>
    </row>
    <row r="22" spans="1:23" x14ac:dyDescent="0.25">
      <c r="A22" s="11" t="s">
        <v>742</v>
      </c>
      <c r="B22" s="11" t="s">
        <v>832</v>
      </c>
      <c r="C22" s="11" t="s">
        <v>833</v>
      </c>
      <c r="D22" s="11" t="s">
        <v>836</v>
      </c>
      <c r="E22" s="11" t="s">
        <v>745</v>
      </c>
      <c r="F22" s="66" t="str">
        <f t="shared" ref="F22:T22" si="3">IFERROR(((F6/F15)-1),"CHECK")</f>
        <v>CHECK</v>
      </c>
      <c r="G22" s="66" t="str">
        <f t="shared" si="3"/>
        <v>CHECK</v>
      </c>
      <c r="H22" s="66" t="str">
        <f t="shared" si="3"/>
        <v>CHECK</v>
      </c>
      <c r="I22" s="66" t="str">
        <f t="shared" si="3"/>
        <v>CHECK</v>
      </c>
      <c r="J22" s="66" t="str">
        <f t="shared" si="3"/>
        <v>CHECK</v>
      </c>
      <c r="K22" s="66" t="str">
        <f t="shared" si="3"/>
        <v>CHECK</v>
      </c>
      <c r="L22" s="66" t="str">
        <f t="shared" si="3"/>
        <v>CHECK</v>
      </c>
      <c r="M22" s="66" t="str">
        <f t="shared" si="3"/>
        <v>CHECK</v>
      </c>
      <c r="N22" s="66" t="str">
        <f t="shared" si="3"/>
        <v>CHECK</v>
      </c>
      <c r="O22" s="66" t="str">
        <f t="shared" si="3"/>
        <v>CHECK</v>
      </c>
      <c r="P22" s="66" t="str">
        <f t="shared" si="3"/>
        <v>CHECK</v>
      </c>
      <c r="Q22" s="66" t="str">
        <f t="shared" si="3"/>
        <v>CHECK</v>
      </c>
      <c r="R22" s="66" t="str">
        <f t="shared" si="3"/>
        <v>CHECK</v>
      </c>
      <c r="S22" s="66" t="str">
        <f t="shared" si="3"/>
        <v>CHECK</v>
      </c>
      <c r="T22" s="66" t="str">
        <f t="shared" si="3"/>
        <v>CHECK</v>
      </c>
      <c r="U22" s="66" t="str">
        <f>IFERROR(((U6/U15)-1),"CHECK")</f>
        <v>CHECK</v>
      </c>
      <c r="V22" s="66"/>
      <c r="W22" s="66"/>
    </row>
    <row r="23" spans="1:23" x14ac:dyDescent="0.25">
      <c r="A23" s="11" t="s">
        <v>742</v>
      </c>
      <c r="B23" s="11" t="s">
        <v>834</v>
      </c>
      <c r="C23" s="11" t="s">
        <v>756</v>
      </c>
      <c r="D23" s="11" t="s">
        <v>836</v>
      </c>
      <c r="E23" s="11" t="s">
        <v>745</v>
      </c>
      <c r="F23" s="66" t="str">
        <f t="shared" ref="F23:T23" si="4">IFERROR(((F7/F16)-1),"CHECK")</f>
        <v>CHECK</v>
      </c>
      <c r="G23" s="66" t="str">
        <f t="shared" si="4"/>
        <v>CHECK</v>
      </c>
      <c r="H23" s="66" t="str">
        <f t="shared" si="4"/>
        <v>CHECK</v>
      </c>
      <c r="I23" s="66" t="str">
        <f t="shared" si="4"/>
        <v>CHECK</v>
      </c>
      <c r="J23" s="66" t="str">
        <f t="shared" si="4"/>
        <v>CHECK</v>
      </c>
      <c r="K23" s="66" t="str">
        <f t="shared" si="4"/>
        <v>CHECK</v>
      </c>
      <c r="L23" s="66" t="str">
        <f t="shared" si="4"/>
        <v>CHECK</v>
      </c>
      <c r="M23" s="66" t="str">
        <f t="shared" si="4"/>
        <v>CHECK</v>
      </c>
      <c r="N23" s="66" t="str">
        <f t="shared" si="4"/>
        <v>CHECK</v>
      </c>
      <c r="O23" s="66" t="str">
        <f t="shared" si="4"/>
        <v>CHECK</v>
      </c>
      <c r="P23" s="66" t="str">
        <f t="shared" si="4"/>
        <v>CHECK</v>
      </c>
      <c r="Q23" s="66" t="str">
        <f t="shared" si="4"/>
        <v>CHECK</v>
      </c>
      <c r="R23" s="66" t="str">
        <f t="shared" si="4"/>
        <v>CHECK</v>
      </c>
      <c r="S23" s="66" t="str">
        <f t="shared" si="4"/>
        <v>CHECK</v>
      </c>
      <c r="T23" s="66" t="str">
        <f t="shared" si="4"/>
        <v>CHECK</v>
      </c>
      <c r="U23" s="66" t="str">
        <f>IFERROR(((U7/U16)-1),"CHECK")</f>
        <v>CHECK</v>
      </c>
      <c r="V23" s="66"/>
      <c r="W23" s="66"/>
    </row>
  </sheetData>
  <conditionalFormatting sqref="F21:T23">
    <cfRule type="colorScale" priority="19">
      <colorScale>
        <cfvo type="min"/>
        <cfvo type="num" val="0"/>
        <cfvo type="max"/>
        <color theme="3" tint="0.59999389629810485"/>
        <color theme="0"/>
        <color rgb="FFEE9CA4"/>
      </colorScale>
    </cfRule>
  </conditionalFormatting>
  <conditionalFormatting sqref="F20:T20">
    <cfRule type="colorScale" priority="3">
      <colorScale>
        <cfvo type="min"/>
        <cfvo type="num" val="0"/>
        <cfvo type="max"/>
        <color theme="3" tint="0.59999389629810485"/>
        <color theme="0"/>
        <color rgb="FFEE9CA4"/>
      </colorScale>
    </cfRule>
  </conditionalFormatting>
  <conditionalFormatting sqref="U21:W23">
    <cfRule type="colorScale" priority="2">
      <colorScale>
        <cfvo type="min"/>
        <cfvo type="num" val="0"/>
        <cfvo type="max"/>
        <color theme="3" tint="0.59999389629810485"/>
        <color theme="0"/>
        <color rgb="FFEE9CA4"/>
      </colorScale>
    </cfRule>
  </conditionalFormatting>
  <conditionalFormatting sqref="U20:W20">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D00-0000B2000000}">
          <x14:colorSeries rgb="FF376092"/>
          <x14:colorNegative rgb="FFD00000"/>
          <x14:colorAxis rgb="FF000000"/>
          <x14:colorMarkers rgb="FFD00000"/>
          <x14:colorFirst rgb="FFD00000"/>
          <x14:colorLast rgb="FFD00000"/>
          <x14:colorHigh rgb="FFD00000"/>
          <x14:colorLow rgb="FFD00000"/>
          <x14:sparklines>
            <x14:sparkline>
              <xm:f>'2H Summary'!F4:T4</xm:f>
              <xm:sqref>X4</xm:sqref>
            </x14:sparkline>
            <x14:sparkline>
              <xm:f>'2H Summary'!F5:T5</xm:f>
              <xm:sqref>X5</xm:sqref>
            </x14:sparkline>
            <x14:sparkline>
              <xm:f>'2H Summary'!F6:T6</xm:f>
              <xm:sqref>X6</xm:sqref>
            </x14:sparkline>
            <x14:sparkline>
              <xm:f>'2H Summary'!F7:T7</xm:f>
              <xm:sqref>X7</xm:sqref>
            </x14:sparkline>
          </x14:sparklines>
        </x14:sparklineGroup>
        <x14:sparklineGroup manualMax="0" manualMin="0" displayEmptyCellsAs="gap" xr2:uid="{00000000-0003-0000-2D00-0000B1000000}">
          <x14:colorSeries rgb="FF376092"/>
          <x14:colorNegative rgb="FFD00000"/>
          <x14:colorAxis rgb="FF000000"/>
          <x14:colorMarkers rgb="FFD00000"/>
          <x14:colorFirst rgb="FFD00000"/>
          <x14:colorLast rgb="FFD00000"/>
          <x14:colorHigh rgb="FFD00000"/>
          <x14:colorLow rgb="FFD00000"/>
          <x14:sparklines>
            <x14:sparkline>
              <xm:f>'2H Summary'!F13:T13</xm:f>
              <xm:sqref>X13</xm:sqref>
            </x14:sparkline>
            <x14:sparkline>
              <xm:f>'2H Summary'!F14:T14</xm:f>
              <xm:sqref>X14</xm:sqref>
            </x14:sparkline>
            <x14:sparkline>
              <xm:f>'2H Summary'!F15:T15</xm:f>
              <xm:sqref>X15</xm:sqref>
            </x14:sparkline>
            <x14:sparkline>
              <xm:f>'2H Summary'!F16:T16</xm:f>
              <xm:sqref>X16</xm:sqref>
            </x14:sparkline>
          </x14:sparklines>
        </x14:sparklineGroup>
      </x14:sparklineGroup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1241A-0487-4772-990C-638FAA99E0AB}">
  <sheetPr>
    <tabColor theme="9"/>
  </sheetPr>
  <dimension ref="A1:N26"/>
  <sheetViews>
    <sheetView topLeftCell="E7" workbookViewId="0">
      <selection activeCell="G22" sqref="G22"/>
    </sheetView>
  </sheetViews>
  <sheetFormatPr defaultRowHeight="15" x14ac:dyDescent="0.25"/>
  <cols>
    <col min="2" max="2" width="33.42578125" bestFit="1" customWidth="1"/>
    <col min="3" max="3" width="13.42578125" bestFit="1" customWidth="1"/>
    <col min="4" max="4" width="17.85546875" bestFit="1" customWidth="1"/>
    <col min="5" max="5" width="8.85546875" bestFit="1" customWidth="1"/>
    <col min="6" max="6" width="16.85546875" bestFit="1" customWidth="1"/>
    <col min="7" max="7" width="20.28515625" bestFit="1" customWidth="1"/>
    <col min="8" max="8" width="33.5703125" bestFit="1" customWidth="1"/>
    <col min="9" max="9" width="33.5703125" customWidth="1"/>
    <col min="10" max="10" width="29" bestFit="1" customWidth="1"/>
  </cols>
  <sheetData>
    <row r="1" spans="1:14" x14ac:dyDescent="0.25">
      <c r="A1" s="7" t="s">
        <v>1101</v>
      </c>
      <c r="B1" s="7" t="s">
        <v>867</v>
      </c>
      <c r="C1" s="7" t="s">
        <v>868</v>
      </c>
      <c r="D1" s="7" t="s">
        <v>1102</v>
      </c>
      <c r="E1" s="7" t="s">
        <v>1103</v>
      </c>
      <c r="F1" s="7" t="s">
        <v>1104</v>
      </c>
      <c r="G1" s="7" t="s">
        <v>1105</v>
      </c>
      <c r="H1" s="7" t="s">
        <v>1106</v>
      </c>
      <c r="I1" s="7" t="s">
        <v>1145</v>
      </c>
      <c r="J1" s="7" t="s">
        <v>1107</v>
      </c>
      <c r="K1" s="7"/>
    </row>
    <row r="2" spans="1:14" x14ac:dyDescent="0.25">
      <c r="A2">
        <v>1</v>
      </c>
      <c r="B2" t="str">
        <f>'2A1 Cement Production'!A30</f>
        <v>2A1 Cement Production</v>
      </c>
      <c r="C2" t="str">
        <f>'2A1 Cement Production'!B30</f>
        <v>Total emissions</v>
      </c>
      <c r="E2" t="str">
        <f>'2A1 Cement Production'!C30</f>
        <v>CO2</v>
      </c>
      <c r="F2" t="s">
        <v>1110</v>
      </c>
      <c r="G2" t="s">
        <v>1111</v>
      </c>
      <c r="H2" t="str">
        <f>B2</f>
        <v>2A1 Cement Production</v>
      </c>
      <c r="I2" t="str">
        <f>H2</f>
        <v>2A1 Cement Production</v>
      </c>
      <c r="J2" s="176" t="s">
        <v>1115</v>
      </c>
      <c r="M2" t="s">
        <v>1108</v>
      </c>
      <c r="N2">
        <v>2012</v>
      </c>
    </row>
    <row r="3" spans="1:14" x14ac:dyDescent="0.25">
      <c r="A3">
        <f>A2+1</f>
        <v>2</v>
      </c>
      <c r="B3" t="str">
        <f>'2A2 Lime Production'!A29</f>
        <v>2A2 Lime Production</v>
      </c>
      <c r="C3" t="str">
        <f>'2A2 Lime Production'!B29</f>
        <v>Total emissions</v>
      </c>
      <c r="E3" t="str">
        <f>'2A2 Lime Production'!C29</f>
        <v>CO2</v>
      </c>
      <c r="F3" t="s">
        <v>1110</v>
      </c>
      <c r="G3" t="s">
        <v>1111</v>
      </c>
      <c r="H3" t="str">
        <f t="shared" ref="H3:H26" si="0">B3</f>
        <v>2A2 Lime Production</v>
      </c>
      <c r="I3" t="str">
        <f t="shared" ref="I3:I26" si="1">H3</f>
        <v>2A2 Lime Production</v>
      </c>
      <c r="J3" s="176" t="s">
        <v>1117</v>
      </c>
      <c r="M3" t="s">
        <v>1109</v>
      </c>
      <c r="N3">
        <v>2017</v>
      </c>
    </row>
    <row r="4" spans="1:14" x14ac:dyDescent="0.25">
      <c r="A4">
        <f>A3+1</f>
        <v>3</v>
      </c>
      <c r="B4" t="str">
        <f>'2A3 Glass Production'!A25</f>
        <v>2A3 Glass Production</v>
      </c>
      <c r="C4" t="str">
        <f>'2A3 Glass Production'!B25</f>
        <v>Total emissions</v>
      </c>
      <c r="E4" t="str">
        <f>'2A3 Glass Production'!C25</f>
        <v>CO2</v>
      </c>
      <c r="F4" t="s">
        <v>1110</v>
      </c>
      <c r="G4" t="s">
        <v>1111</v>
      </c>
      <c r="H4" t="str">
        <f t="shared" si="0"/>
        <v>2A3 Glass Production</v>
      </c>
      <c r="I4" t="str">
        <f t="shared" si="1"/>
        <v>2A3 Glass Production</v>
      </c>
      <c r="J4" s="176" t="s">
        <v>1118</v>
      </c>
    </row>
    <row r="5" spans="1:14" x14ac:dyDescent="0.25">
      <c r="A5">
        <f t="shared" ref="A5:A26" si="2">A4+1</f>
        <v>4</v>
      </c>
      <c r="B5" t="str">
        <f>'2B1 Ammonia Production'!A28</f>
        <v>2B1 Ammonia Production</v>
      </c>
      <c r="C5" t="str">
        <f>'2B1 Ammonia Production'!B28</f>
        <v>CO2 Emissions</v>
      </c>
      <c r="E5" t="str">
        <f>'2B1 Ammonia Production'!C28</f>
        <v>CO2</v>
      </c>
      <c r="F5" t="s">
        <v>1110</v>
      </c>
      <c r="G5" t="s">
        <v>1141</v>
      </c>
      <c r="H5" t="str">
        <f t="shared" si="0"/>
        <v>2B1 Ammonia Production</v>
      </c>
      <c r="I5" t="str">
        <f t="shared" si="1"/>
        <v>2B1 Ammonia Production</v>
      </c>
      <c r="J5" s="176" t="s">
        <v>1119</v>
      </c>
    </row>
    <row r="6" spans="1:14" x14ac:dyDescent="0.25">
      <c r="A6">
        <f t="shared" si="2"/>
        <v>5</v>
      </c>
      <c r="B6" t="str">
        <f>'2B1 Ammonia Production'!A29</f>
        <v>2B1 Ammonia Production</v>
      </c>
      <c r="C6" t="str">
        <f>'2B1 Ammonia Production'!B29</f>
        <v>CH4 emissions</v>
      </c>
      <c r="E6" t="str">
        <f>'2B1 Ammonia Production'!C29</f>
        <v>CH4</v>
      </c>
      <c r="F6" t="s">
        <v>1110</v>
      </c>
      <c r="G6" t="s">
        <v>1141</v>
      </c>
      <c r="H6" t="str">
        <f t="shared" si="0"/>
        <v>2B1 Ammonia Production</v>
      </c>
      <c r="I6" t="str">
        <f t="shared" si="1"/>
        <v>2B1 Ammonia Production</v>
      </c>
      <c r="J6" s="176" t="s">
        <v>1120</v>
      </c>
    </row>
    <row r="7" spans="1:14" x14ac:dyDescent="0.25">
      <c r="A7">
        <f t="shared" si="2"/>
        <v>6</v>
      </c>
      <c r="B7" t="str">
        <f>'2B2 Nitric Acid Production'!A25</f>
        <v>2B2 Nitric Acid Production</v>
      </c>
      <c r="C7" t="str">
        <f>'2B2 Nitric Acid Production'!B25</f>
        <v>N2O Emissions - Other Plants</v>
      </c>
      <c r="E7" t="str">
        <f>'2B2 Nitric Acid Production'!C25</f>
        <v>N2O</v>
      </c>
      <c r="F7" t="s">
        <v>1110</v>
      </c>
      <c r="G7" t="s">
        <v>1141</v>
      </c>
      <c r="H7" t="str">
        <f t="shared" si="0"/>
        <v>2B2 Nitric Acid Production</v>
      </c>
      <c r="I7" t="str">
        <f t="shared" si="1"/>
        <v>2B2 Nitric Acid Production</v>
      </c>
      <c r="J7" s="176" t="s">
        <v>1121</v>
      </c>
    </row>
    <row r="8" spans="1:14" x14ac:dyDescent="0.25">
      <c r="A8">
        <f t="shared" si="2"/>
        <v>7</v>
      </c>
      <c r="B8" t="str">
        <f>'2B2 Nitric Acid Production'!A27</f>
        <v>2B2 Nitric Acid Production</v>
      </c>
      <c r="C8" t="str">
        <f>'2B2 Nitric Acid Production'!B27</f>
        <v>N2O Emissions - Sasol</v>
      </c>
      <c r="E8" t="str">
        <f>'2B2 Nitric Acid Production'!C27</f>
        <v>N2O</v>
      </c>
      <c r="F8" t="s">
        <v>1110</v>
      </c>
      <c r="G8" t="s">
        <v>1141</v>
      </c>
      <c r="H8" t="str">
        <f t="shared" si="0"/>
        <v>2B2 Nitric Acid Production</v>
      </c>
      <c r="I8" t="str">
        <f t="shared" si="1"/>
        <v>2B2 Nitric Acid Production</v>
      </c>
      <c r="J8" s="176" t="s">
        <v>1122</v>
      </c>
    </row>
    <row r="9" spans="1:14" x14ac:dyDescent="0.25">
      <c r="A9">
        <f t="shared" si="2"/>
        <v>8</v>
      </c>
      <c r="B9" t="str">
        <f>'2B5 Carbide Production'!A30</f>
        <v>2B5 Carbide Production</v>
      </c>
      <c r="C9" t="str">
        <f>'2B5 Carbide Production'!B30</f>
        <v>CO2 emissions from calcium carbide production</v>
      </c>
      <c r="E9" t="str">
        <f>'2B5 Carbide Production'!C30</f>
        <v>CO2</v>
      </c>
      <c r="F9" t="s">
        <v>1110</v>
      </c>
      <c r="G9" t="s">
        <v>1141</v>
      </c>
      <c r="H9" t="str">
        <f t="shared" si="0"/>
        <v>2B5 Carbide Production</v>
      </c>
      <c r="I9" t="str">
        <f t="shared" si="1"/>
        <v>2B5 Carbide Production</v>
      </c>
      <c r="J9" s="176" t="s">
        <v>1123</v>
      </c>
    </row>
    <row r="10" spans="1:14" x14ac:dyDescent="0.25">
      <c r="A10">
        <f t="shared" si="2"/>
        <v>9</v>
      </c>
      <c r="B10" t="str">
        <f>'2B6 Titanium Dioxide Production'!A31</f>
        <v>2B6 Titanium Dioxide Production</v>
      </c>
      <c r="C10" t="str">
        <f>'2B6 Titanium Dioxide Production'!B31</f>
        <v>CO2 Emissions - Rutile TiO2</v>
      </c>
      <c r="E10" t="str">
        <f>'2B6 Titanium Dioxide Production'!C31</f>
        <v>CO2</v>
      </c>
      <c r="F10" t="s">
        <v>1110</v>
      </c>
      <c r="G10" t="s">
        <v>1141</v>
      </c>
      <c r="H10" t="str">
        <f t="shared" si="0"/>
        <v>2B6 Titanium Dioxide Production</v>
      </c>
      <c r="I10" t="str">
        <f t="shared" si="1"/>
        <v>2B6 Titanium Dioxide Production</v>
      </c>
      <c r="J10" s="176" t="s">
        <v>1124</v>
      </c>
    </row>
    <row r="11" spans="1:14" x14ac:dyDescent="0.25">
      <c r="A11">
        <f t="shared" si="2"/>
        <v>10</v>
      </c>
      <c r="B11" t="str">
        <f>'2B8 Carbon Black Production'!A24</f>
        <v>2B8 Carbon Black Production</v>
      </c>
      <c r="C11" t="str">
        <f>'2B8 Carbon Black Production'!B24</f>
        <v xml:space="preserve">Total CO2 emissions </v>
      </c>
      <c r="E11" t="str">
        <f>'2B8 Carbon Black Production'!C24</f>
        <v>CO2</v>
      </c>
      <c r="F11" t="s">
        <v>1110</v>
      </c>
      <c r="G11" t="s">
        <v>1141</v>
      </c>
      <c r="H11" t="str">
        <f t="shared" si="0"/>
        <v>2B8 Carbon Black Production</v>
      </c>
      <c r="I11" t="str">
        <f t="shared" si="1"/>
        <v>2B8 Carbon Black Production</v>
      </c>
      <c r="J11" s="176" t="s">
        <v>1125</v>
      </c>
    </row>
    <row r="12" spans="1:14" x14ac:dyDescent="0.25">
      <c r="A12">
        <f t="shared" si="2"/>
        <v>11</v>
      </c>
      <c r="B12" t="str">
        <f>'2B8 Carbon Black Production'!A26</f>
        <v>2B8 Carbon Black Production</v>
      </c>
      <c r="C12" t="str">
        <f>'2B8 Carbon Black Production'!B26</f>
        <v xml:space="preserve">Total CH4 emissions </v>
      </c>
      <c r="E12" t="str">
        <f>'2B8 Carbon Black Production'!C26</f>
        <v>CH4</v>
      </c>
      <c r="F12" t="s">
        <v>1110</v>
      </c>
      <c r="G12" t="s">
        <v>1141</v>
      </c>
      <c r="H12" t="str">
        <f t="shared" si="0"/>
        <v>2B8 Carbon Black Production</v>
      </c>
      <c r="I12" t="str">
        <f t="shared" si="1"/>
        <v>2B8 Carbon Black Production</v>
      </c>
      <c r="J12" s="176" t="s">
        <v>1126</v>
      </c>
    </row>
    <row r="13" spans="1:14" x14ac:dyDescent="0.25">
      <c r="A13">
        <f t="shared" si="2"/>
        <v>12</v>
      </c>
      <c r="B13" t="str">
        <f>'2C1 Iron and Steel Production'!A44</f>
        <v>2C1 Iron and Steel Production</v>
      </c>
      <c r="C13" t="str">
        <f>'2C1 Iron and Steel Production'!B44</f>
        <v>Total emissions</v>
      </c>
      <c r="E13" t="str">
        <f>'2C1 Iron and Steel Production'!C44</f>
        <v>CO2</v>
      </c>
      <c r="F13" t="s">
        <v>1110</v>
      </c>
      <c r="G13" t="s">
        <v>1142</v>
      </c>
      <c r="H13" t="str">
        <f t="shared" si="0"/>
        <v>2C1 Iron and Steel Production</v>
      </c>
      <c r="I13" t="str">
        <f t="shared" si="1"/>
        <v>2C1 Iron and Steel Production</v>
      </c>
      <c r="J13" s="176" t="s">
        <v>1127</v>
      </c>
    </row>
    <row r="14" spans="1:14" x14ac:dyDescent="0.25">
      <c r="A14">
        <f t="shared" si="2"/>
        <v>13</v>
      </c>
      <c r="B14" t="str">
        <f>'2C2 Ferroalloys Production'!A37</f>
        <v>2C2 Ferroalloys production</v>
      </c>
      <c r="C14" t="str">
        <f>'2C2 Ferroalloys Production'!B37</f>
        <v>Total CO2 emissions</v>
      </c>
      <c r="E14" t="str">
        <f>'2C2 Ferroalloys Production'!C37</f>
        <v>CO2</v>
      </c>
      <c r="F14" t="s">
        <v>1110</v>
      </c>
      <c r="G14" t="s">
        <v>1142</v>
      </c>
      <c r="H14" t="str">
        <f t="shared" si="0"/>
        <v>2C2 Ferroalloys production</v>
      </c>
      <c r="I14" t="str">
        <f t="shared" si="1"/>
        <v>2C2 Ferroalloys production</v>
      </c>
      <c r="J14" s="176" t="s">
        <v>1128</v>
      </c>
    </row>
    <row r="15" spans="1:14" x14ac:dyDescent="0.25">
      <c r="A15">
        <f t="shared" si="2"/>
        <v>14</v>
      </c>
      <c r="B15" t="str">
        <f>'2C2 Ferroalloys Production'!A40</f>
        <v>2C2 Ferroalloys production</v>
      </c>
      <c r="C15" t="str">
        <f>'2C2 Ferroalloys Production'!B40</f>
        <v>Total CH4 emissions</v>
      </c>
      <c r="E15" t="str">
        <f>'2C2 Ferroalloys Production'!C40</f>
        <v>CH4</v>
      </c>
      <c r="F15" t="s">
        <v>1110</v>
      </c>
      <c r="G15" t="s">
        <v>1142</v>
      </c>
      <c r="H15" t="str">
        <f t="shared" si="0"/>
        <v>2C2 Ferroalloys production</v>
      </c>
      <c r="I15" t="str">
        <f t="shared" si="1"/>
        <v>2C2 Ferroalloys production</v>
      </c>
      <c r="J15" s="176" t="s">
        <v>1129</v>
      </c>
    </row>
    <row r="16" spans="1:14" x14ac:dyDescent="0.25">
      <c r="A16">
        <f t="shared" si="2"/>
        <v>15</v>
      </c>
      <c r="B16" t="str">
        <f>'2C3 Aluminium Production'!A38</f>
        <v>2C3 Aluminium Production</v>
      </c>
      <c r="C16" t="str">
        <f>'2C3 Aluminium Production'!B38</f>
        <v>Total CO2 emissions</v>
      </c>
      <c r="E16" t="str">
        <f>'2C3 Aluminium Production'!C38</f>
        <v>CO2</v>
      </c>
      <c r="F16" t="s">
        <v>1110</v>
      </c>
      <c r="G16" t="s">
        <v>1142</v>
      </c>
      <c r="H16" t="str">
        <f t="shared" si="0"/>
        <v>2C3 Aluminium Production</v>
      </c>
      <c r="I16" t="str">
        <f t="shared" si="1"/>
        <v>2C3 Aluminium Production</v>
      </c>
      <c r="J16" s="176" t="s">
        <v>1130</v>
      </c>
    </row>
    <row r="17" spans="1:10" x14ac:dyDescent="0.25">
      <c r="A17">
        <f t="shared" si="2"/>
        <v>16</v>
      </c>
      <c r="B17" t="str">
        <f>'2C3 Aluminium Production'!A43</f>
        <v>2C3 Aluminium Production</v>
      </c>
      <c r="C17" t="str">
        <f>'2C3 Aluminium Production'!B43</f>
        <v>Total CF4 emissions</v>
      </c>
      <c r="E17" t="str">
        <f>'2C3 Aluminium Production'!C43</f>
        <v>CF4</v>
      </c>
      <c r="F17" t="s">
        <v>1110</v>
      </c>
      <c r="G17" t="s">
        <v>1142</v>
      </c>
      <c r="H17" t="str">
        <f t="shared" si="0"/>
        <v>2C3 Aluminium Production</v>
      </c>
      <c r="I17" t="str">
        <f t="shared" si="1"/>
        <v>2C3 Aluminium Production</v>
      </c>
      <c r="J17" s="176" t="s">
        <v>1131</v>
      </c>
    </row>
    <row r="18" spans="1:10" x14ac:dyDescent="0.25">
      <c r="A18">
        <f t="shared" si="2"/>
        <v>17</v>
      </c>
      <c r="B18" t="str">
        <f>'2C3 Aluminium Production'!A48</f>
        <v>2C3 Aluminium Production</v>
      </c>
      <c r="C18" t="str">
        <f>'2C3 Aluminium Production'!B48</f>
        <v>Total C2F6 emissions</v>
      </c>
      <c r="E18" t="str">
        <f>'2C3 Aluminium Production'!C48</f>
        <v>C2F6</v>
      </c>
      <c r="F18" t="s">
        <v>1110</v>
      </c>
      <c r="G18" t="s">
        <v>1142</v>
      </c>
      <c r="H18" t="str">
        <f t="shared" si="0"/>
        <v>2C3 Aluminium Production</v>
      </c>
      <c r="I18" t="str">
        <f t="shared" si="1"/>
        <v>2C3 Aluminium Production</v>
      </c>
      <c r="J18" s="176" t="s">
        <v>1132</v>
      </c>
    </row>
    <row r="19" spans="1:10" x14ac:dyDescent="0.25">
      <c r="A19">
        <f t="shared" si="2"/>
        <v>18</v>
      </c>
      <c r="B19" t="str">
        <f>'2C5 Lead Production'!A23</f>
        <v>2C5 Lead Production</v>
      </c>
      <c r="C19" t="str">
        <f>'2C5 Lead Production'!B23</f>
        <v xml:space="preserve">Total emissions </v>
      </c>
      <c r="E19" t="str">
        <f>'2C5 Lead Production'!C23</f>
        <v>CO2</v>
      </c>
      <c r="F19" t="s">
        <v>1110</v>
      </c>
      <c r="G19" t="s">
        <v>1142</v>
      </c>
      <c r="H19" t="str">
        <f t="shared" si="0"/>
        <v>2C5 Lead Production</v>
      </c>
      <c r="I19" t="str">
        <f t="shared" si="1"/>
        <v>2C5 Lead Production</v>
      </c>
      <c r="J19" s="176" t="s">
        <v>1133</v>
      </c>
    </row>
    <row r="20" spans="1:10" x14ac:dyDescent="0.25">
      <c r="A20">
        <f t="shared" si="2"/>
        <v>19</v>
      </c>
      <c r="B20" t="str">
        <f>'2C6 Zinc Production'!A23</f>
        <v>2C6 Zinc Production</v>
      </c>
      <c r="C20" t="str">
        <f>'2C6 Zinc Production'!B23</f>
        <v xml:space="preserve">Total emissions </v>
      </c>
      <c r="E20" t="str">
        <f>'2C6 Zinc Production'!C23</f>
        <v>CO2</v>
      </c>
      <c r="F20" t="s">
        <v>1110</v>
      </c>
      <c r="G20" t="s">
        <v>1142</v>
      </c>
      <c r="H20" t="str">
        <f t="shared" si="0"/>
        <v>2C6 Zinc Production</v>
      </c>
      <c r="I20" t="str">
        <f t="shared" si="1"/>
        <v>2C6 Zinc Production</v>
      </c>
      <c r="J20" s="176" t="s">
        <v>1134</v>
      </c>
    </row>
    <row r="21" spans="1:10" x14ac:dyDescent="0.25">
      <c r="A21">
        <f t="shared" si="2"/>
        <v>20</v>
      </c>
      <c r="B21" t="str">
        <f>'2D1 Lubricant Use'!A24</f>
        <v>2D1 Lubricant use</v>
      </c>
      <c r="C21" t="str">
        <f>'2D1 Lubricant Use'!B24</f>
        <v xml:space="preserve">Total emissions </v>
      </c>
      <c r="E21" t="str">
        <f>'2D1 Lubricant Use'!C24</f>
        <v>CO2</v>
      </c>
      <c r="F21" t="s">
        <v>1110</v>
      </c>
      <c r="G21" s="118" t="s">
        <v>1143</v>
      </c>
      <c r="H21" t="str">
        <f t="shared" si="0"/>
        <v>2D1 Lubricant use</v>
      </c>
      <c r="I21" t="str">
        <f t="shared" si="1"/>
        <v>2D1 Lubricant use</v>
      </c>
      <c r="J21" s="176" t="s">
        <v>1135</v>
      </c>
    </row>
    <row r="22" spans="1:10" x14ac:dyDescent="0.25">
      <c r="A22">
        <f t="shared" si="2"/>
        <v>21</v>
      </c>
      <c r="B22" t="str">
        <f>'2D2 Paraffin Wax Use'!A24</f>
        <v>2D2 Paraffin Wax Use</v>
      </c>
      <c r="C22" t="str">
        <f>'2D2 Paraffin Wax Use'!B24</f>
        <v xml:space="preserve">Total emissions </v>
      </c>
      <c r="E22" t="str">
        <f>'2D2 Paraffin Wax Use'!C24</f>
        <v>CO2</v>
      </c>
      <c r="F22" t="s">
        <v>1110</v>
      </c>
      <c r="G22" s="118" t="s">
        <v>1143</v>
      </c>
      <c r="H22" t="str">
        <f t="shared" si="0"/>
        <v>2D2 Paraffin Wax Use</v>
      </c>
      <c r="I22" t="str">
        <f t="shared" si="1"/>
        <v>2D2 Paraffin Wax Use</v>
      </c>
      <c r="J22" s="176" t="s">
        <v>1136</v>
      </c>
    </row>
    <row r="23" spans="1:10" x14ac:dyDescent="0.25">
      <c r="A23">
        <f t="shared" si="2"/>
        <v>22</v>
      </c>
      <c r="B23" t="str">
        <f>'2F1 Refrigeration and AC'!A160</f>
        <v>2F1 Refrigeration and Air Conditioning</v>
      </c>
      <c r="C23" t="str">
        <f>'2F1 Refrigeration and AC'!B160</f>
        <v xml:space="preserve">Total emissions </v>
      </c>
      <c r="E23" s="241" t="s">
        <v>1116</v>
      </c>
      <c r="F23" t="s">
        <v>1110</v>
      </c>
      <c r="G23" s="118" t="s">
        <v>1144</v>
      </c>
      <c r="H23" t="str">
        <f t="shared" si="0"/>
        <v>2F1 Refrigeration and Air Conditioning</v>
      </c>
      <c r="I23" t="str">
        <f t="shared" si="1"/>
        <v>2F1 Refrigeration and Air Conditioning</v>
      </c>
      <c r="J23" s="176" t="s">
        <v>1137</v>
      </c>
    </row>
    <row r="24" spans="1:10" x14ac:dyDescent="0.25">
      <c r="A24">
        <f t="shared" si="2"/>
        <v>23</v>
      </c>
      <c r="B24" t="str">
        <f>'2F2 Foam blowing agents'!A52</f>
        <v>2F2 Foam blowing agents</v>
      </c>
      <c r="C24" t="str">
        <f>'2F2 Foam blowing agents'!B52</f>
        <v xml:space="preserve">Total emissions </v>
      </c>
      <c r="E24" s="241" t="s">
        <v>1116</v>
      </c>
      <c r="F24" t="s">
        <v>1110</v>
      </c>
      <c r="G24" s="118" t="s">
        <v>1144</v>
      </c>
      <c r="H24" t="str">
        <f t="shared" si="0"/>
        <v>2F2 Foam blowing agents</v>
      </c>
      <c r="I24" t="str">
        <f t="shared" si="1"/>
        <v>2F2 Foam blowing agents</v>
      </c>
      <c r="J24" s="176" t="s">
        <v>1138</v>
      </c>
    </row>
    <row r="25" spans="1:10" x14ac:dyDescent="0.25">
      <c r="A25">
        <f t="shared" si="2"/>
        <v>24</v>
      </c>
      <c r="B25" t="str">
        <f>'2F3 Fire protection'!A41</f>
        <v>2F3 Fire protection</v>
      </c>
      <c r="C25" t="str">
        <f>'2F3 Fire protection'!B41</f>
        <v xml:space="preserve">Total emissions </v>
      </c>
      <c r="E25" s="241" t="s">
        <v>1116</v>
      </c>
      <c r="F25" t="s">
        <v>1110</v>
      </c>
      <c r="G25" s="118" t="s">
        <v>1144</v>
      </c>
      <c r="H25" t="str">
        <f t="shared" si="0"/>
        <v>2F3 Fire protection</v>
      </c>
      <c r="I25" t="str">
        <f t="shared" si="1"/>
        <v>2F3 Fire protection</v>
      </c>
      <c r="J25" s="176" t="s">
        <v>1139</v>
      </c>
    </row>
    <row r="26" spans="1:10" x14ac:dyDescent="0.25">
      <c r="A26">
        <f t="shared" si="2"/>
        <v>25</v>
      </c>
      <c r="B26" t="str">
        <f>'2F4 Aerosols'!A41</f>
        <v>2F4 Aerosols</v>
      </c>
      <c r="C26" t="str">
        <f>'2F4 Aerosols'!B41</f>
        <v>Total emissions</v>
      </c>
      <c r="E26" s="241" t="s">
        <v>1116</v>
      </c>
      <c r="F26" t="s">
        <v>1110</v>
      </c>
      <c r="G26" s="118" t="s">
        <v>1144</v>
      </c>
      <c r="H26" t="str">
        <f t="shared" si="0"/>
        <v>2F4 Aerosols</v>
      </c>
      <c r="I26" t="str">
        <f t="shared" si="1"/>
        <v>2F4 Aerosols</v>
      </c>
      <c r="J26" s="176" t="s">
        <v>1140</v>
      </c>
    </row>
  </sheetData>
  <phoneticPr fontId="65"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CD708-918E-4C5D-937D-D23EF2C09AB7}">
  <sheetPr>
    <tabColor theme="9"/>
  </sheetPr>
  <dimension ref="A1:J151"/>
  <sheetViews>
    <sheetView workbookViewId="0">
      <selection activeCell="D40" sqref="D40"/>
    </sheetView>
  </sheetViews>
  <sheetFormatPr defaultRowHeight="15" x14ac:dyDescent="0.25"/>
  <cols>
    <col min="1" max="1" width="5.7109375" bestFit="1" customWidth="1"/>
    <col min="2" max="2" width="6.28515625" bestFit="1" customWidth="1"/>
    <col min="3" max="3" width="16.85546875" bestFit="1" customWidth="1"/>
    <col min="4" max="4" width="20.28515625" bestFit="1" customWidth="1"/>
    <col min="5" max="5" width="33.5703125" bestFit="1" customWidth="1"/>
    <col min="6" max="6" width="33.5703125" customWidth="1"/>
    <col min="7" max="7" width="17.85546875" bestFit="1" customWidth="1"/>
    <col min="8" max="8" width="8.85546875" bestFit="1" customWidth="1"/>
    <col min="9" max="9" width="5" bestFit="1" customWidth="1"/>
    <col min="10" max="10" width="8.5703125" style="243" bestFit="1" customWidth="1"/>
  </cols>
  <sheetData>
    <row r="1" spans="1:10" x14ac:dyDescent="0.25">
      <c r="A1" s="7" t="s">
        <v>1101</v>
      </c>
      <c r="B1" s="7" t="s">
        <v>1112</v>
      </c>
      <c r="C1" s="7" t="s">
        <v>1104</v>
      </c>
      <c r="D1" s="7" t="s">
        <v>1105</v>
      </c>
      <c r="E1" s="7" t="s">
        <v>1106</v>
      </c>
      <c r="F1" s="7" t="s">
        <v>1145</v>
      </c>
      <c r="G1" s="7" t="s">
        <v>1102</v>
      </c>
      <c r="H1" s="7" t="s">
        <v>1103</v>
      </c>
      <c r="I1" s="7" t="s">
        <v>1113</v>
      </c>
      <c r="J1" s="242" t="s">
        <v>1114</v>
      </c>
    </row>
    <row r="2" spans="1:10" x14ac:dyDescent="0.25">
      <c r="A2">
        <v>1</v>
      </c>
      <c r="B2">
        <f>MATCH(A2,DbaseIndices!A:A,0)</f>
        <v>2</v>
      </c>
      <c r="C2" t="str">
        <f>INDEX(DbaseIndices!F:F,$B2)</f>
        <v xml:space="preserve">2 Industrial Processes and Product Use </v>
      </c>
      <c r="D2" t="str">
        <f>INDEX(DbaseIndices!G:G,$B2)</f>
        <v>2A Mineral Industry</v>
      </c>
      <c r="E2" t="str">
        <f>INDEX(DbaseIndices!H:H,$B2)</f>
        <v>2A1 Cement Production</v>
      </c>
      <c r="F2" t="str">
        <f>INDEX(DbaseIndices!I:I,$B2)</f>
        <v>2A1 Cement Production</v>
      </c>
      <c r="G2">
        <f>INDEX(DbaseIndices!D:D,$B2)</f>
        <v>0</v>
      </c>
      <c r="H2" t="str">
        <f>INDEX(DbaseIndices!E:E,$B2)</f>
        <v>CO2</v>
      </c>
      <c r="I2">
        <f>DbaseIndices!N2</f>
        <v>2012</v>
      </c>
      <c r="J2" s="243">
        <f ca="1">OFFSET(INDIRECT(INDEX(DbaseIndices!J:J,B2)),0,I2-2000+1)</f>
        <v>4414.4984000000004</v>
      </c>
    </row>
    <row r="3" spans="1:10" x14ac:dyDescent="0.25">
      <c r="A3">
        <f>IF(I2=DbaseIndices!$N$3,A2+1,A2)</f>
        <v>1</v>
      </c>
      <c r="B3">
        <f>MATCH(A3,DbaseIndices!A:A,0)</f>
        <v>2</v>
      </c>
      <c r="C3" t="str">
        <f>INDEX(DbaseIndices!F:F,$B3)</f>
        <v xml:space="preserve">2 Industrial Processes and Product Use </v>
      </c>
      <c r="D3" t="str">
        <f>INDEX(DbaseIndices!G:G,$B3)</f>
        <v>2A Mineral Industry</v>
      </c>
      <c r="E3" t="str">
        <f>INDEX(DbaseIndices!H:H,$B3)</f>
        <v>2A1 Cement Production</v>
      </c>
      <c r="F3" t="str">
        <f>INDEX(DbaseIndices!I:I,$B3)</f>
        <v>2A1 Cement Production</v>
      </c>
      <c r="G3">
        <f>INDEX(DbaseIndices!D:D,$B3)</f>
        <v>0</v>
      </c>
      <c r="H3" t="str">
        <f>INDEX(DbaseIndices!E:E,$B3)</f>
        <v>CO2</v>
      </c>
      <c r="I3">
        <f>IF(I2=DbaseIndices!$N$3,DbaseIndices!$N$2,I2+1)</f>
        <v>2013</v>
      </c>
      <c r="J3" s="243">
        <f ca="1">OFFSET(INDIRECT(INDEX(DbaseIndices!J:J,B3)),0,I3-2000+1)</f>
        <v>4659.2156000000004</v>
      </c>
    </row>
    <row r="4" spans="1:10" x14ac:dyDescent="0.25">
      <c r="A4">
        <f>IF(I3=DbaseIndices!$N$3,A3+1,A3)</f>
        <v>1</v>
      </c>
      <c r="B4">
        <f>MATCH(A4,DbaseIndices!A:A,0)</f>
        <v>2</v>
      </c>
      <c r="C4" t="str">
        <f>INDEX(DbaseIndices!F:F,$B4)</f>
        <v xml:space="preserve">2 Industrial Processes and Product Use </v>
      </c>
      <c r="D4" t="str">
        <f>INDEX(DbaseIndices!G:G,$B4)</f>
        <v>2A Mineral Industry</v>
      </c>
      <c r="E4" t="str">
        <f>INDEX(DbaseIndices!H:H,$B4)</f>
        <v>2A1 Cement Production</v>
      </c>
      <c r="F4" t="str">
        <f>INDEX(DbaseIndices!I:I,$B4)</f>
        <v>2A1 Cement Production</v>
      </c>
      <c r="G4">
        <f>INDEX(DbaseIndices!D:D,$B4)</f>
        <v>0</v>
      </c>
      <c r="H4" t="str">
        <f>INDEX(DbaseIndices!E:E,$B4)</f>
        <v>CO2</v>
      </c>
      <c r="I4">
        <f>IF(I3=DbaseIndices!$N$3,DbaseIndices!$N$2,I3+1)</f>
        <v>2014</v>
      </c>
      <c r="J4" s="243">
        <f ca="1">OFFSET(INDIRECT(INDEX(DbaseIndices!J:J,B4)),0,I4-2000+1)</f>
        <v>4678.1851999999999</v>
      </c>
    </row>
    <row r="5" spans="1:10" x14ac:dyDescent="0.25">
      <c r="A5">
        <f>IF(I4=DbaseIndices!$N$3,A4+1,A4)</f>
        <v>1</v>
      </c>
      <c r="B5">
        <f>MATCH(A5,DbaseIndices!A:A,0)</f>
        <v>2</v>
      </c>
      <c r="C5" t="str">
        <f>INDEX(DbaseIndices!F:F,$B5)</f>
        <v xml:space="preserve">2 Industrial Processes and Product Use </v>
      </c>
      <c r="D5" t="str">
        <f>INDEX(DbaseIndices!G:G,$B5)</f>
        <v>2A Mineral Industry</v>
      </c>
      <c r="E5" t="str">
        <f>INDEX(DbaseIndices!H:H,$B5)</f>
        <v>2A1 Cement Production</v>
      </c>
      <c r="F5" t="str">
        <f>INDEX(DbaseIndices!I:I,$B5)</f>
        <v>2A1 Cement Production</v>
      </c>
      <c r="G5">
        <f>INDEX(DbaseIndices!D:D,$B5)</f>
        <v>0</v>
      </c>
      <c r="H5" t="str">
        <f>INDEX(DbaseIndices!E:E,$B5)</f>
        <v>CO2</v>
      </c>
      <c r="I5">
        <f>IF(I4=DbaseIndices!$N$3,DbaseIndices!$N$2,I4+1)</f>
        <v>2015</v>
      </c>
      <c r="J5" s="243">
        <f ca="1">OFFSET(INDIRECT(INDEX(DbaseIndices!J:J,B5)),0,I5-2000+1)</f>
        <v>5204.8256000000001</v>
      </c>
    </row>
    <row r="6" spans="1:10" x14ac:dyDescent="0.25">
      <c r="A6">
        <f>IF(I5=DbaseIndices!$N$3,A5+1,A5)</f>
        <v>1</v>
      </c>
      <c r="B6">
        <f>MATCH(A6,DbaseIndices!A:A,0)</f>
        <v>2</v>
      </c>
      <c r="C6" t="str">
        <f>INDEX(DbaseIndices!F:F,$B6)</f>
        <v xml:space="preserve">2 Industrial Processes and Product Use </v>
      </c>
      <c r="D6" t="str">
        <f>INDEX(DbaseIndices!G:G,$B6)</f>
        <v>2A Mineral Industry</v>
      </c>
      <c r="E6" t="str">
        <f>INDEX(DbaseIndices!H:H,$B6)</f>
        <v>2A1 Cement Production</v>
      </c>
      <c r="F6" t="str">
        <f>INDEX(DbaseIndices!I:I,$B6)</f>
        <v>2A1 Cement Production</v>
      </c>
      <c r="G6">
        <f>INDEX(DbaseIndices!D:D,$B6)</f>
        <v>0</v>
      </c>
      <c r="H6" t="str">
        <f>INDEX(DbaseIndices!E:E,$B6)</f>
        <v>CO2</v>
      </c>
      <c r="I6">
        <f>IF(I5=DbaseIndices!$N$3,DbaseIndices!$N$2,I5+1)</f>
        <v>2016</v>
      </c>
      <c r="J6" s="243">
        <f ca="1">OFFSET(INDIRECT(INDEX(DbaseIndices!J:J,B6)),0,I6-2000+1)</f>
        <v>5255.2563310261185</v>
      </c>
    </row>
    <row r="7" spans="1:10" x14ac:dyDescent="0.25">
      <c r="A7">
        <f>IF(I6=DbaseIndices!$N$3,A6+1,A6)</f>
        <v>1</v>
      </c>
      <c r="B7">
        <f>MATCH(A7,DbaseIndices!A:A,0)</f>
        <v>2</v>
      </c>
      <c r="C7" t="str">
        <f>INDEX(DbaseIndices!F:F,$B7)</f>
        <v xml:space="preserve">2 Industrial Processes and Product Use </v>
      </c>
      <c r="D7" t="str">
        <f>INDEX(DbaseIndices!G:G,$B7)</f>
        <v>2A Mineral Industry</v>
      </c>
      <c r="E7" t="str">
        <f>INDEX(DbaseIndices!H:H,$B7)</f>
        <v>2A1 Cement Production</v>
      </c>
      <c r="F7" t="str">
        <f>INDEX(DbaseIndices!I:I,$B7)</f>
        <v>2A1 Cement Production</v>
      </c>
      <c r="G7">
        <f>INDEX(DbaseIndices!D:D,$B7)</f>
        <v>0</v>
      </c>
      <c r="H7" t="str">
        <f>INDEX(DbaseIndices!E:E,$B7)</f>
        <v>CO2</v>
      </c>
      <c r="I7">
        <f>IF(I6=DbaseIndices!$N$3,DbaseIndices!$N$2,I6+1)</f>
        <v>2017</v>
      </c>
      <c r="J7" s="243">
        <f ca="1">OFFSET(INDIRECT(INDEX(DbaseIndices!J:J,B7)),0,I7-2000+1)</f>
        <v>5295.8739638517654</v>
      </c>
    </row>
    <row r="8" spans="1:10" x14ac:dyDescent="0.25">
      <c r="A8">
        <f>IF(I7=DbaseIndices!$N$3,A7+1,A7)</f>
        <v>2</v>
      </c>
      <c r="B8">
        <f>MATCH(A8,DbaseIndices!A:A,0)</f>
        <v>3</v>
      </c>
      <c r="C8" t="str">
        <f>INDEX(DbaseIndices!F:F,$B8)</f>
        <v xml:space="preserve">2 Industrial Processes and Product Use </v>
      </c>
      <c r="D8" t="str">
        <f>INDEX(DbaseIndices!G:G,$B8)</f>
        <v>2A Mineral Industry</v>
      </c>
      <c r="E8" t="str">
        <f>INDEX(DbaseIndices!H:H,$B8)</f>
        <v>2A2 Lime Production</v>
      </c>
      <c r="F8" t="str">
        <f>INDEX(DbaseIndices!I:I,$B8)</f>
        <v>2A2 Lime Production</v>
      </c>
      <c r="G8">
        <f>INDEX(DbaseIndices!D:D,$B8)</f>
        <v>0</v>
      </c>
      <c r="H8" t="str">
        <f>INDEX(DbaseIndices!E:E,$B8)</f>
        <v>CO2</v>
      </c>
      <c r="I8">
        <f>IF(I7=DbaseIndices!$N$3,DbaseIndices!$N$2,I7+1)</f>
        <v>2012</v>
      </c>
      <c r="J8" s="243">
        <f ca="1">OFFSET(INDIRECT(INDEX(DbaseIndices!J:J,B8)),0,I8-2000+1)</f>
        <v>928.84</v>
      </c>
    </row>
    <row r="9" spans="1:10" x14ac:dyDescent="0.25">
      <c r="A9">
        <f>IF(I8=DbaseIndices!$N$3,A8+1,A8)</f>
        <v>2</v>
      </c>
      <c r="B9">
        <f>MATCH(A9,DbaseIndices!A:A,0)</f>
        <v>3</v>
      </c>
      <c r="C9" t="str">
        <f>INDEX(DbaseIndices!F:F,$B9)</f>
        <v xml:space="preserve">2 Industrial Processes and Product Use </v>
      </c>
      <c r="D9" t="str">
        <f>INDEX(DbaseIndices!G:G,$B9)</f>
        <v>2A Mineral Industry</v>
      </c>
      <c r="E9" t="str">
        <f>INDEX(DbaseIndices!H:H,$B9)</f>
        <v>2A2 Lime Production</v>
      </c>
      <c r="F9" t="str">
        <f>INDEX(DbaseIndices!I:I,$B9)</f>
        <v>2A2 Lime Production</v>
      </c>
      <c r="G9">
        <f>INDEX(DbaseIndices!D:D,$B9)</f>
        <v>0</v>
      </c>
      <c r="H9" t="str">
        <f>INDEX(DbaseIndices!E:E,$B9)</f>
        <v>CO2</v>
      </c>
      <c r="I9">
        <f>IF(I8=DbaseIndices!$N$3,DbaseIndices!$N$2,I8+1)</f>
        <v>2013</v>
      </c>
      <c r="J9" s="243">
        <f ca="1">OFFSET(INDIRECT(INDEX(DbaseIndices!J:J,B9)),0,I9-2000+1)</f>
        <v>915.25</v>
      </c>
    </row>
    <row r="10" spans="1:10" x14ac:dyDescent="0.25">
      <c r="A10">
        <f>IF(I9=DbaseIndices!$N$3,A9+1,A9)</f>
        <v>2</v>
      </c>
      <c r="B10">
        <f>MATCH(A10,DbaseIndices!A:A,0)</f>
        <v>3</v>
      </c>
      <c r="C10" t="str">
        <f>INDEX(DbaseIndices!F:F,$B10)</f>
        <v xml:space="preserve">2 Industrial Processes and Product Use </v>
      </c>
      <c r="D10" t="str">
        <f>INDEX(DbaseIndices!G:G,$B10)</f>
        <v>2A Mineral Industry</v>
      </c>
      <c r="E10" t="str">
        <f>INDEX(DbaseIndices!H:H,$B10)</f>
        <v>2A2 Lime Production</v>
      </c>
      <c r="F10" t="str">
        <f>INDEX(DbaseIndices!I:I,$B10)</f>
        <v>2A2 Lime Production</v>
      </c>
      <c r="G10">
        <f>INDEX(DbaseIndices!D:D,$B10)</f>
        <v>0</v>
      </c>
      <c r="H10" t="str">
        <f>INDEX(DbaseIndices!E:E,$B10)</f>
        <v>CO2</v>
      </c>
      <c r="I10">
        <f>IF(I9=DbaseIndices!$N$3,DbaseIndices!$N$2,I9+1)</f>
        <v>2014</v>
      </c>
      <c r="J10" s="243">
        <f ca="1">OFFSET(INDIRECT(INDEX(DbaseIndices!J:J,B10)),0,I10-2000+1)</f>
        <v>977.98145</v>
      </c>
    </row>
    <row r="11" spans="1:10" x14ac:dyDescent="0.25">
      <c r="A11">
        <f>IF(I10=DbaseIndices!$N$3,A10+1,A10)</f>
        <v>2</v>
      </c>
      <c r="B11">
        <f>MATCH(A11,DbaseIndices!A:A,0)</f>
        <v>3</v>
      </c>
      <c r="C11" t="str">
        <f>INDEX(DbaseIndices!F:F,$B11)</f>
        <v xml:space="preserve">2 Industrial Processes and Product Use </v>
      </c>
      <c r="D11" t="str">
        <f>INDEX(DbaseIndices!G:G,$B11)</f>
        <v>2A Mineral Industry</v>
      </c>
      <c r="E11" t="str">
        <f>INDEX(DbaseIndices!H:H,$B11)</f>
        <v>2A2 Lime Production</v>
      </c>
      <c r="F11" t="str">
        <f>INDEX(DbaseIndices!I:I,$B11)</f>
        <v>2A2 Lime Production</v>
      </c>
      <c r="G11">
        <f>INDEX(DbaseIndices!D:D,$B11)</f>
        <v>0</v>
      </c>
      <c r="H11" t="str">
        <f>INDEX(DbaseIndices!E:E,$B11)</f>
        <v>CO2</v>
      </c>
      <c r="I11">
        <f>IF(I10=DbaseIndices!$N$3,DbaseIndices!$N$2,I10+1)</f>
        <v>2015</v>
      </c>
      <c r="J11" s="243">
        <f ca="1">OFFSET(INDIRECT(INDEX(DbaseIndices!J:J,B11)),0,I11-2000+1)</f>
        <v>859.78755999999998</v>
      </c>
    </row>
    <row r="12" spans="1:10" x14ac:dyDescent="0.25">
      <c r="A12">
        <f>IF(I11=DbaseIndices!$N$3,A11+1,A11)</f>
        <v>2</v>
      </c>
      <c r="B12">
        <f>MATCH(A12,DbaseIndices!A:A,0)</f>
        <v>3</v>
      </c>
      <c r="C12" t="str">
        <f>INDEX(DbaseIndices!F:F,$B12)</f>
        <v xml:space="preserve">2 Industrial Processes and Product Use </v>
      </c>
      <c r="D12" t="str">
        <f>INDEX(DbaseIndices!G:G,$B12)</f>
        <v>2A Mineral Industry</v>
      </c>
      <c r="E12" t="str">
        <f>INDEX(DbaseIndices!H:H,$B12)</f>
        <v>2A2 Lime Production</v>
      </c>
      <c r="F12" t="str">
        <f>INDEX(DbaseIndices!I:I,$B12)</f>
        <v>2A2 Lime Production</v>
      </c>
      <c r="G12">
        <f>INDEX(DbaseIndices!D:D,$B12)</f>
        <v>0</v>
      </c>
      <c r="H12" t="str">
        <f>INDEX(DbaseIndices!E:E,$B12)</f>
        <v>CO2</v>
      </c>
      <c r="I12">
        <f>IF(I11=DbaseIndices!$N$3,DbaseIndices!$N$2,I11+1)</f>
        <v>2016</v>
      </c>
      <c r="J12" s="243">
        <f ca="1">OFFSET(INDIRECT(INDEX(DbaseIndices!J:J,B12)),0,I12-2000+1)</f>
        <v>1022.3607095203586</v>
      </c>
    </row>
    <row r="13" spans="1:10" x14ac:dyDescent="0.25">
      <c r="A13">
        <f>IF(I12=DbaseIndices!$N$3,A12+1,A12)</f>
        <v>2</v>
      </c>
      <c r="B13">
        <f>MATCH(A13,DbaseIndices!A:A,0)</f>
        <v>3</v>
      </c>
      <c r="C13" t="str">
        <f>INDEX(DbaseIndices!F:F,$B13)</f>
        <v xml:space="preserve">2 Industrial Processes and Product Use </v>
      </c>
      <c r="D13" t="str">
        <f>INDEX(DbaseIndices!G:G,$B13)</f>
        <v>2A Mineral Industry</v>
      </c>
      <c r="E13" t="str">
        <f>INDEX(DbaseIndices!H:H,$B13)</f>
        <v>2A2 Lime Production</v>
      </c>
      <c r="F13" t="str">
        <f>INDEX(DbaseIndices!I:I,$B13)</f>
        <v>2A2 Lime Production</v>
      </c>
      <c r="G13">
        <f>INDEX(DbaseIndices!D:D,$B13)</f>
        <v>0</v>
      </c>
      <c r="H13" t="str">
        <f>INDEX(DbaseIndices!E:E,$B13)</f>
        <v>CO2</v>
      </c>
      <c r="I13">
        <f>IF(I12=DbaseIndices!$N$3,DbaseIndices!$N$2,I12+1)</f>
        <v>2017</v>
      </c>
      <c r="J13" s="243">
        <f ca="1">OFFSET(INDIRECT(INDEX(DbaseIndices!J:J,B13)),0,I13-2000+1)</f>
        <v>1045.2890791883435</v>
      </c>
    </row>
    <row r="14" spans="1:10" x14ac:dyDescent="0.25">
      <c r="A14">
        <f>IF(I13=DbaseIndices!$N$3,A13+1,A13)</f>
        <v>3</v>
      </c>
      <c r="B14">
        <f>MATCH(A14,DbaseIndices!A:A,0)</f>
        <v>4</v>
      </c>
      <c r="C14" t="str">
        <f>INDEX(DbaseIndices!F:F,$B14)</f>
        <v xml:space="preserve">2 Industrial Processes and Product Use </v>
      </c>
      <c r="D14" t="str">
        <f>INDEX(DbaseIndices!G:G,$B14)</f>
        <v>2A Mineral Industry</v>
      </c>
      <c r="E14" t="str">
        <f>INDEX(DbaseIndices!H:H,$B14)</f>
        <v>2A3 Glass Production</v>
      </c>
      <c r="F14" t="str">
        <f>INDEX(DbaseIndices!I:I,$B14)</f>
        <v>2A3 Glass Production</v>
      </c>
      <c r="G14">
        <f>INDEX(DbaseIndices!D:D,$B14)</f>
        <v>0</v>
      </c>
      <c r="H14" t="str">
        <f>INDEX(DbaseIndices!E:E,$B14)</f>
        <v>CO2</v>
      </c>
      <c r="I14">
        <f>IF(I13=DbaseIndices!$N$3,DbaseIndices!$N$2,I13+1)</f>
        <v>2012</v>
      </c>
      <c r="J14" s="243">
        <f ca="1">OFFSET(INDIRECT(INDEX(DbaseIndices!J:J,B14)),0,I14-2000+1)</f>
        <v>113.90679884160002</v>
      </c>
    </row>
    <row r="15" spans="1:10" x14ac:dyDescent="0.25">
      <c r="A15">
        <f>IF(I14=DbaseIndices!$N$3,A14+1,A14)</f>
        <v>3</v>
      </c>
      <c r="B15">
        <f>MATCH(A15,DbaseIndices!A:A,0)</f>
        <v>4</v>
      </c>
      <c r="C15" t="str">
        <f>INDEX(DbaseIndices!F:F,$B15)</f>
        <v xml:space="preserve">2 Industrial Processes and Product Use </v>
      </c>
      <c r="D15" t="str">
        <f>INDEX(DbaseIndices!G:G,$B15)</f>
        <v>2A Mineral Industry</v>
      </c>
      <c r="E15" t="str">
        <f>INDEX(DbaseIndices!H:H,$B15)</f>
        <v>2A3 Glass Production</v>
      </c>
      <c r="F15" t="str">
        <f>INDEX(DbaseIndices!I:I,$B15)</f>
        <v>2A3 Glass Production</v>
      </c>
      <c r="G15">
        <f>INDEX(DbaseIndices!D:D,$B15)</f>
        <v>0</v>
      </c>
      <c r="H15" t="str">
        <f>INDEX(DbaseIndices!E:E,$B15)</f>
        <v>CO2</v>
      </c>
      <c r="I15">
        <f>IF(I14=DbaseIndices!$N$3,DbaseIndices!$N$2,I14+1)</f>
        <v>2013</v>
      </c>
      <c r="J15" s="243">
        <f ca="1">OFFSET(INDIRECT(INDEX(DbaseIndices!J:J,B15)),0,I15-2000+1)</f>
        <v>113.90679884160002</v>
      </c>
    </row>
    <row r="16" spans="1:10" x14ac:dyDescent="0.25">
      <c r="A16">
        <f>IF(I15=DbaseIndices!$N$3,A15+1,A15)</f>
        <v>3</v>
      </c>
      <c r="B16">
        <f>MATCH(A16,DbaseIndices!A:A,0)</f>
        <v>4</v>
      </c>
      <c r="C16" t="str">
        <f>INDEX(DbaseIndices!F:F,$B16)</f>
        <v xml:space="preserve">2 Industrial Processes and Product Use </v>
      </c>
      <c r="D16" t="str">
        <f>INDEX(DbaseIndices!G:G,$B16)</f>
        <v>2A Mineral Industry</v>
      </c>
      <c r="E16" t="str">
        <f>INDEX(DbaseIndices!H:H,$B16)</f>
        <v>2A3 Glass Production</v>
      </c>
      <c r="F16" t="str">
        <f>INDEX(DbaseIndices!I:I,$B16)</f>
        <v>2A3 Glass Production</v>
      </c>
      <c r="G16">
        <f>INDEX(DbaseIndices!D:D,$B16)</f>
        <v>0</v>
      </c>
      <c r="H16" t="str">
        <f>INDEX(DbaseIndices!E:E,$B16)</f>
        <v>CO2</v>
      </c>
      <c r="I16">
        <f>IF(I15=DbaseIndices!$N$3,DbaseIndices!$N$2,I15+1)</f>
        <v>2014</v>
      </c>
      <c r="J16" s="243">
        <f ca="1">OFFSET(INDIRECT(INDEX(DbaseIndices!J:J,B16)),0,I16-2000+1)</f>
        <v>113.90679884160002</v>
      </c>
    </row>
    <row r="17" spans="1:10" x14ac:dyDescent="0.25">
      <c r="A17">
        <f>IF(I16=DbaseIndices!$N$3,A16+1,A16)</f>
        <v>3</v>
      </c>
      <c r="B17">
        <f>MATCH(A17,DbaseIndices!A:A,0)</f>
        <v>4</v>
      </c>
      <c r="C17" t="str">
        <f>INDEX(DbaseIndices!F:F,$B17)</f>
        <v xml:space="preserve">2 Industrial Processes and Product Use </v>
      </c>
      <c r="D17" t="str">
        <f>INDEX(DbaseIndices!G:G,$B17)</f>
        <v>2A Mineral Industry</v>
      </c>
      <c r="E17" t="str">
        <f>INDEX(DbaseIndices!H:H,$B17)</f>
        <v>2A3 Glass Production</v>
      </c>
      <c r="F17" t="str">
        <f>INDEX(DbaseIndices!I:I,$B17)</f>
        <v>2A3 Glass Production</v>
      </c>
      <c r="G17">
        <f>INDEX(DbaseIndices!D:D,$B17)</f>
        <v>0</v>
      </c>
      <c r="H17" t="str">
        <f>INDEX(DbaseIndices!E:E,$B17)</f>
        <v>CO2</v>
      </c>
      <c r="I17">
        <f>IF(I16=DbaseIndices!$N$3,DbaseIndices!$N$2,I16+1)</f>
        <v>2015</v>
      </c>
      <c r="J17" s="243">
        <f ca="1">OFFSET(INDIRECT(INDEX(DbaseIndices!J:J,B17)),0,I17-2000+1)</f>
        <v>113.90679884160002</v>
      </c>
    </row>
    <row r="18" spans="1:10" x14ac:dyDescent="0.25">
      <c r="A18">
        <f>IF(I17=DbaseIndices!$N$3,A17+1,A17)</f>
        <v>3</v>
      </c>
      <c r="B18">
        <f>MATCH(A18,DbaseIndices!A:A,0)</f>
        <v>4</v>
      </c>
      <c r="C18" t="str">
        <f>INDEX(DbaseIndices!F:F,$B18)</f>
        <v xml:space="preserve">2 Industrial Processes and Product Use </v>
      </c>
      <c r="D18" t="str">
        <f>INDEX(DbaseIndices!G:G,$B18)</f>
        <v>2A Mineral Industry</v>
      </c>
      <c r="E18" t="str">
        <f>INDEX(DbaseIndices!H:H,$B18)</f>
        <v>2A3 Glass Production</v>
      </c>
      <c r="F18" t="str">
        <f>INDEX(DbaseIndices!I:I,$B18)</f>
        <v>2A3 Glass Production</v>
      </c>
      <c r="G18">
        <f>INDEX(DbaseIndices!D:D,$B18)</f>
        <v>0</v>
      </c>
      <c r="H18" t="str">
        <f>INDEX(DbaseIndices!E:E,$B18)</f>
        <v>CO2</v>
      </c>
      <c r="I18">
        <f>IF(I17=DbaseIndices!$N$3,DbaseIndices!$N$2,I17+1)</f>
        <v>2016</v>
      </c>
      <c r="J18" s="243">
        <f ca="1">OFFSET(INDIRECT(INDEX(DbaseIndices!J:J,B18)),0,I18-2000+1)</f>
        <v>119.21405462264002</v>
      </c>
    </row>
    <row r="19" spans="1:10" x14ac:dyDescent="0.25">
      <c r="A19">
        <f>IF(I18=DbaseIndices!$N$3,A18+1,A18)</f>
        <v>3</v>
      </c>
      <c r="B19">
        <f>MATCH(A19,DbaseIndices!A:A,0)</f>
        <v>4</v>
      </c>
      <c r="C19" t="str">
        <f>INDEX(DbaseIndices!F:F,$B19)</f>
        <v xml:space="preserve">2 Industrial Processes and Product Use </v>
      </c>
      <c r="D19" t="str">
        <f>INDEX(DbaseIndices!G:G,$B19)</f>
        <v>2A Mineral Industry</v>
      </c>
      <c r="E19" t="str">
        <f>INDEX(DbaseIndices!H:H,$B19)</f>
        <v>2A3 Glass Production</v>
      </c>
      <c r="F19" t="str">
        <f>INDEX(DbaseIndices!I:I,$B19)</f>
        <v>2A3 Glass Production</v>
      </c>
      <c r="G19">
        <f>INDEX(DbaseIndices!D:D,$B19)</f>
        <v>0</v>
      </c>
      <c r="H19" t="str">
        <f>INDEX(DbaseIndices!E:E,$B19)</f>
        <v>CO2</v>
      </c>
      <c r="I19">
        <f>IF(I18=DbaseIndices!$N$3,DbaseIndices!$N$2,I18+1)</f>
        <v>2017</v>
      </c>
      <c r="J19" s="243">
        <f ca="1">OFFSET(INDIRECT(INDEX(DbaseIndices!J:J,B19)),0,I19-2000+1)</f>
        <v>120.89260493864002</v>
      </c>
    </row>
    <row r="20" spans="1:10" x14ac:dyDescent="0.25">
      <c r="A20">
        <f>IF(I19=DbaseIndices!$N$3,A19+1,A19)</f>
        <v>4</v>
      </c>
      <c r="B20">
        <f>MATCH(A20,DbaseIndices!A:A,0)</f>
        <v>5</v>
      </c>
      <c r="C20" t="str">
        <f>INDEX(DbaseIndices!F:F,$B20)</f>
        <v xml:space="preserve">2 Industrial Processes and Product Use </v>
      </c>
      <c r="D20" t="str">
        <f>INDEX(DbaseIndices!G:G,$B20)</f>
        <v>2B Chemical Industry</v>
      </c>
      <c r="E20" t="str">
        <f>INDEX(DbaseIndices!H:H,$B20)</f>
        <v>2B1 Ammonia Production</v>
      </c>
      <c r="F20" t="str">
        <f>INDEX(DbaseIndices!I:I,$B20)</f>
        <v>2B1 Ammonia Production</v>
      </c>
      <c r="G20">
        <f>INDEX(DbaseIndices!D:D,$B20)</f>
        <v>0</v>
      </c>
      <c r="H20" t="str">
        <f>INDEX(DbaseIndices!E:E,$B20)</f>
        <v>CO2</v>
      </c>
      <c r="I20">
        <f>IF(I19=DbaseIndices!$N$3,DbaseIndices!$N$2,I19+1)</f>
        <v>2012</v>
      </c>
      <c r="J20" s="243">
        <f ca="1">OFFSET(INDIRECT(INDEX(DbaseIndices!J:J,B20)),0,I20-2000+1)</f>
        <v>217.79499999999999</v>
      </c>
    </row>
    <row r="21" spans="1:10" x14ac:dyDescent="0.25">
      <c r="A21">
        <f>IF(I20=DbaseIndices!$N$3,A20+1,A20)</f>
        <v>4</v>
      </c>
      <c r="B21">
        <f>MATCH(A21,DbaseIndices!A:A,0)</f>
        <v>5</v>
      </c>
      <c r="C21" t="str">
        <f>INDEX(DbaseIndices!F:F,$B21)</f>
        <v xml:space="preserve">2 Industrial Processes and Product Use </v>
      </c>
      <c r="D21" t="str">
        <f>INDEX(DbaseIndices!G:G,$B21)</f>
        <v>2B Chemical Industry</v>
      </c>
      <c r="E21" t="str">
        <f>INDEX(DbaseIndices!H:H,$B21)</f>
        <v>2B1 Ammonia Production</v>
      </c>
      <c r="F21" t="str">
        <f>INDEX(DbaseIndices!I:I,$B21)</f>
        <v>2B1 Ammonia Production</v>
      </c>
      <c r="G21">
        <f>INDEX(DbaseIndices!D:D,$B21)</f>
        <v>0</v>
      </c>
      <c r="H21" t="str">
        <f>INDEX(DbaseIndices!E:E,$B21)</f>
        <v>CO2</v>
      </c>
      <c r="I21">
        <f>IF(I20=DbaseIndices!$N$3,DbaseIndices!$N$2,I20+1)</f>
        <v>2013</v>
      </c>
      <c r="J21" s="243">
        <f ca="1">OFFSET(INDIRECT(INDEX(DbaseIndices!J:J,B21)),0,I21-2000+1)</f>
        <v>177.02</v>
      </c>
    </row>
    <row r="22" spans="1:10" x14ac:dyDescent="0.25">
      <c r="A22">
        <f>IF(I21=DbaseIndices!$N$3,A21+1,A21)</f>
        <v>4</v>
      </c>
      <c r="B22">
        <f>MATCH(A22,DbaseIndices!A:A,0)</f>
        <v>5</v>
      </c>
      <c r="C22" t="str">
        <f>INDEX(DbaseIndices!F:F,$B22)</f>
        <v xml:space="preserve">2 Industrial Processes and Product Use </v>
      </c>
      <c r="D22" t="str">
        <f>INDEX(DbaseIndices!G:G,$B22)</f>
        <v>2B Chemical Industry</v>
      </c>
      <c r="E22" t="str">
        <f>INDEX(DbaseIndices!H:H,$B22)</f>
        <v>2B1 Ammonia Production</v>
      </c>
      <c r="F22" t="str">
        <f>INDEX(DbaseIndices!I:I,$B22)</f>
        <v>2B1 Ammonia Production</v>
      </c>
      <c r="G22">
        <f>INDEX(DbaseIndices!D:D,$B22)</f>
        <v>0</v>
      </c>
      <c r="H22" t="str">
        <f>INDEX(DbaseIndices!E:E,$B22)</f>
        <v>CO2</v>
      </c>
      <c r="I22">
        <f>IF(I21=DbaseIndices!$N$3,DbaseIndices!$N$2,I21+1)</f>
        <v>2014</v>
      </c>
      <c r="J22" s="243">
        <f ca="1">OFFSET(INDIRECT(INDEX(DbaseIndices!J:J,B22)),0,I22-2000+1)</f>
        <v>185.98099999999999</v>
      </c>
    </row>
    <row r="23" spans="1:10" x14ac:dyDescent="0.25">
      <c r="A23">
        <f>IF(I22=DbaseIndices!$N$3,A22+1,A22)</f>
        <v>4</v>
      </c>
      <c r="B23">
        <f>MATCH(A23,DbaseIndices!A:A,0)</f>
        <v>5</v>
      </c>
      <c r="C23" t="str">
        <f>INDEX(DbaseIndices!F:F,$B23)</f>
        <v xml:space="preserve">2 Industrial Processes and Product Use </v>
      </c>
      <c r="D23" t="str">
        <f>INDEX(DbaseIndices!G:G,$B23)</f>
        <v>2B Chemical Industry</v>
      </c>
      <c r="E23" t="str">
        <f>INDEX(DbaseIndices!H:H,$B23)</f>
        <v>2B1 Ammonia Production</v>
      </c>
      <c r="F23" t="str">
        <f>INDEX(DbaseIndices!I:I,$B23)</f>
        <v>2B1 Ammonia Production</v>
      </c>
      <c r="G23">
        <f>INDEX(DbaseIndices!D:D,$B23)</f>
        <v>0</v>
      </c>
      <c r="H23" t="str">
        <f>INDEX(DbaseIndices!E:E,$B23)</f>
        <v>CO2</v>
      </c>
      <c r="I23">
        <f>IF(I22=DbaseIndices!$N$3,DbaseIndices!$N$2,I22+1)</f>
        <v>2015</v>
      </c>
      <c r="J23" s="243">
        <f ca="1">OFFSET(INDIRECT(INDEX(DbaseIndices!J:J,B23)),0,I23-2000+1)</f>
        <v>272.96300000000002</v>
      </c>
    </row>
    <row r="24" spans="1:10" x14ac:dyDescent="0.25">
      <c r="A24">
        <f>IF(I23=DbaseIndices!$N$3,A23+1,A23)</f>
        <v>4</v>
      </c>
      <c r="B24">
        <f>MATCH(A24,DbaseIndices!A:A,0)</f>
        <v>5</v>
      </c>
      <c r="C24" t="str">
        <f>INDEX(DbaseIndices!F:F,$B24)</f>
        <v xml:space="preserve">2 Industrial Processes and Product Use </v>
      </c>
      <c r="D24" t="str">
        <f>INDEX(DbaseIndices!G:G,$B24)</f>
        <v>2B Chemical Industry</v>
      </c>
      <c r="E24" t="str">
        <f>INDEX(DbaseIndices!H:H,$B24)</f>
        <v>2B1 Ammonia Production</v>
      </c>
      <c r="F24" t="str">
        <f>INDEX(DbaseIndices!I:I,$B24)</f>
        <v>2B1 Ammonia Production</v>
      </c>
      <c r="G24">
        <f>INDEX(DbaseIndices!D:D,$B24)</f>
        <v>0</v>
      </c>
      <c r="H24" t="str">
        <f>INDEX(DbaseIndices!E:E,$B24)</f>
        <v>CO2</v>
      </c>
      <c r="I24">
        <f>IF(I23=DbaseIndices!$N$3,DbaseIndices!$N$2,I23+1)</f>
        <v>2016</v>
      </c>
      <c r="J24" s="243">
        <f ca="1">OFFSET(INDIRECT(INDEX(DbaseIndices!J:J,B24)),0,I24-2000+1)</f>
        <v>310.45693749999998</v>
      </c>
    </row>
    <row r="25" spans="1:10" x14ac:dyDescent="0.25">
      <c r="A25">
        <f>IF(I24=DbaseIndices!$N$3,A24+1,A24)</f>
        <v>4</v>
      </c>
      <c r="B25">
        <f>MATCH(A25,DbaseIndices!A:A,0)</f>
        <v>5</v>
      </c>
      <c r="C25" t="str">
        <f>INDEX(DbaseIndices!F:F,$B25)</f>
        <v xml:space="preserve">2 Industrial Processes and Product Use </v>
      </c>
      <c r="D25" t="str">
        <f>INDEX(DbaseIndices!G:G,$B25)</f>
        <v>2B Chemical Industry</v>
      </c>
      <c r="E25" t="str">
        <f>INDEX(DbaseIndices!H:H,$B25)</f>
        <v>2B1 Ammonia Production</v>
      </c>
      <c r="F25" t="str">
        <f>INDEX(DbaseIndices!I:I,$B25)</f>
        <v>2B1 Ammonia Production</v>
      </c>
      <c r="G25">
        <f>INDEX(DbaseIndices!D:D,$B25)</f>
        <v>0</v>
      </c>
      <c r="H25" t="str">
        <f>INDEX(DbaseIndices!E:E,$B25)</f>
        <v>CO2</v>
      </c>
      <c r="I25">
        <f>IF(I24=DbaseIndices!$N$3,DbaseIndices!$N$2,I24+1)</f>
        <v>2017</v>
      </c>
      <c r="J25" s="243">
        <f ca="1">OFFSET(INDIRECT(INDEX(DbaseIndices!J:J,B25)),0,I25-2000+1)</f>
        <v>241.41499999999999</v>
      </c>
    </row>
    <row r="26" spans="1:10" x14ac:dyDescent="0.25">
      <c r="A26">
        <f>IF(I25=DbaseIndices!$N$3,A25+1,A25)</f>
        <v>5</v>
      </c>
      <c r="B26">
        <f>MATCH(A26,DbaseIndices!A:A,0)</f>
        <v>6</v>
      </c>
      <c r="C26" t="str">
        <f>INDEX(DbaseIndices!F:F,$B26)</f>
        <v xml:space="preserve">2 Industrial Processes and Product Use </v>
      </c>
      <c r="D26" t="str">
        <f>INDEX(DbaseIndices!G:G,$B26)</f>
        <v>2B Chemical Industry</v>
      </c>
      <c r="E26" t="str">
        <f>INDEX(DbaseIndices!H:H,$B26)</f>
        <v>2B1 Ammonia Production</v>
      </c>
      <c r="F26" t="str">
        <f>INDEX(DbaseIndices!I:I,$B26)</f>
        <v>2B1 Ammonia Production</v>
      </c>
      <c r="G26">
        <f>INDEX(DbaseIndices!D:D,$B26)</f>
        <v>0</v>
      </c>
      <c r="H26" t="str">
        <f>INDEX(DbaseIndices!E:E,$B26)</f>
        <v>CH4</v>
      </c>
      <c r="I26">
        <f>IF(I25=DbaseIndices!$N$3,DbaseIndices!$N$2,I25+1)</f>
        <v>2012</v>
      </c>
      <c r="J26" s="243">
        <f ca="1">OFFSET(INDIRECT(INDEX(DbaseIndices!J:J,B26)),0,I26-2000+1)</f>
        <v>3.048</v>
      </c>
    </row>
    <row r="27" spans="1:10" x14ac:dyDescent="0.25">
      <c r="A27">
        <f>IF(I26=DbaseIndices!$N$3,A26+1,A26)</f>
        <v>5</v>
      </c>
      <c r="B27">
        <f>MATCH(A27,DbaseIndices!A:A,0)</f>
        <v>6</v>
      </c>
      <c r="C27" t="str">
        <f>INDEX(DbaseIndices!F:F,$B27)</f>
        <v xml:space="preserve">2 Industrial Processes and Product Use </v>
      </c>
      <c r="D27" t="str">
        <f>INDEX(DbaseIndices!G:G,$B27)</f>
        <v>2B Chemical Industry</v>
      </c>
      <c r="E27" t="str">
        <f>INDEX(DbaseIndices!H:H,$B27)</f>
        <v>2B1 Ammonia Production</v>
      </c>
      <c r="F27" t="str">
        <f>INDEX(DbaseIndices!I:I,$B27)</f>
        <v>2B1 Ammonia Production</v>
      </c>
      <c r="G27">
        <f>INDEX(DbaseIndices!D:D,$B27)</f>
        <v>0</v>
      </c>
      <c r="H27" t="str">
        <f>INDEX(DbaseIndices!E:E,$B27)</f>
        <v>CH4</v>
      </c>
      <c r="I27">
        <f>IF(I26=DbaseIndices!$N$3,DbaseIndices!$N$2,I26+1)</f>
        <v>2013</v>
      </c>
      <c r="J27" s="243">
        <f ca="1">OFFSET(INDIRECT(INDEX(DbaseIndices!J:J,B27)),0,I27-2000+1)</f>
        <v>3.4630000000000001</v>
      </c>
    </row>
    <row r="28" spans="1:10" x14ac:dyDescent="0.25">
      <c r="A28">
        <f>IF(I27=DbaseIndices!$N$3,A27+1,A27)</f>
        <v>5</v>
      </c>
      <c r="B28">
        <f>MATCH(A28,DbaseIndices!A:A,0)</f>
        <v>6</v>
      </c>
      <c r="C28" t="str">
        <f>INDEX(DbaseIndices!F:F,$B28)</f>
        <v xml:space="preserve">2 Industrial Processes and Product Use </v>
      </c>
      <c r="D28" t="str">
        <f>INDEX(DbaseIndices!G:G,$B28)</f>
        <v>2B Chemical Industry</v>
      </c>
      <c r="E28" t="str">
        <f>INDEX(DbaseIndices!H:H,$B28)</f>
        <v>2B1 Ammonia Production</v>
      </c>
      <c r="F28" t="str">
        <f>INDEX(DbaseIndices!I:I,$B28)</f>
        <v>2B1 Ammonia Production</v>
      </c>
      <c r="G28">
        <f>INDEX(DbaseIndices!D:D,$B28)</f>
        <v>0</v>
      </c>
      <c r="H28" t="str">
        <f>INDEX(DbaseIndices!E:E,$B28)</f>
        <v>CH4</v>
      </c>
      <c r="I28">
        <f>IF(I27=DbaseIndices!$N$3,DbaseIndices!$N$2,I27+1)</f>
        <v>2014</v>
      </c>
      <c r="J28" s="243">
        <f ca="1">OFFSET(INDIRECT(INDEX(DbaseIndices!J:J,B28)),0,I28-2000+1)</f>
        <v>3.306</v>
      </c>
    </row>
    <row r="29" spans="1:10" x14ac:dyDescent="0.25">
      <c r="A29">
        <f>IF(I28=DbaseIndices!$N$3,A28+1,A28)</f>
        <v>5</v>
      </c>
      <c r="B29">
        <f>MATCH(A29,DbaseIndices!A:A,0)</f>
        <v>6</v>
      </c>
      <c r="C29" t="str">
        <f>INDEX(DbaseIndices!F:F,$B29)</f>
        <v xml:space="preserve">2 Industrial Processes and Product Use </v>
      </c>
      <c r="D29" t="str">
        <f>INDEX(DbaseIndices!G:G,$B29)</f>
        <v>2B Chemical Industry</v>
      </c>
      <c r="E29" t="str">
        <f>INDEX(DbaseIndices!H:H,$B29)</f>
        <v>2B1 Ammonia Production</v>
      </c>
      <c r="F29" t="str">
        <f>INDEX(DbaseIndices!I:I,$B29)</f>
        <v>2B1 Ammonia Production</v>
      </c>
      <c r="G29">
        <f>INDEX(DbaseIndices!D:D,$B29)</f>
        <v>0</v>
      </c>
      <c r="H29" t="str">
        <f>INDEX(DbaseIndices!E:E,$B29)</f>
        <v>CH4</v>
      </c>
      <c r="I29">
        <f>IF(I28=DbaseIndices!$N$3,DbaseIndices!$N$2,I28+1)</f>
        <v>2015</v>
      </c>
      <c r="J29" s="243">
        <f ca="1">OFFSET(INDIRECT(INDEX(DbaseIndices!J:J,B29)),0,I29-2000+1)</f>
        <v>4.1449999999999996</v>
      </c>
    </row>
    <row r="30" spans="1:10" x14ac:dyDescent="0.25">
      <c r="A30">
        <f>IF(I29=DbaseIndices!$N$3,A29+1,A29)</f>
        <v>5</v>
      </c>
      <c r="B30">
        <f>MATCH(A30,DbaseIndices!A:A,0)</f>
        <v>6</v>
      </c>
      <c r="C30" t="str">
        <f>INDEX(DbaseIndices!F:F,$B30)</f>
        <v xml:space="preserve">2 Industrial Processes and Product Use </v>
      </c>
      <c r="D30" t="str">
        <f>INDEX(DbaseIndices!G:G,$B30)</f>
        <v>2B Chemical Industry</v>
      </c>
      <c r="E30" t="str">
        <f>INDEX(DbaseIndices!H:H,$B30)</f>
        <v>2B1 Ammonia Production</v>
      </c>
      <c r="F30" t="str">
        <f>INDEX(DbaseIndices!I:I,$B30)</f>
        <v>2B1 Ammonia Production</v>
      </c>
      <c r="G30">
        <f>INDEX(DbaseIndices!D:D,$B30)</f>
        <v>0</v>
      </c>
      <c r="H30" t="str">
        <f>INDEX(DbaseIndices!E:E,$B30)</f>
        <v>CH4</v>
      </c>
      <c r="I30">
        <f>IF(I29=DbaseIndices!$N$3,DbaseIndices!$N$2,I29+1)</f>
        <v>2016</v>
      </c>
      <c r="J30" s="243">
        <f ca="1">OFFSET(INDIRECT(INDEX(DbaseIndices!J:J,B30)),0,I30-2000+1)</f>
        <v>3.5660625000000001</v>
      </c>
    </row>
    <row r="31" spans="1:10" x14ac:dyDescent="0.25">
      <c r="A31">
        <f>IF(I30=DbaseIndices!$N$3,A30+1,A30)</f>
        <v>5</v>
      </c>
      <c r="B31">
        <f>MATCH(A31,DbaseIndices!A:A,0)</f>
        <v>6</v>
      </c>
      <c r="C31" t="str">
        <f>INDEX(DbaseIndices!F:F,$B31)</f>
        <v xml:space="preserve">2 Industrial Processes and Product Use </v>
      </c>
      <c r="D31" t="str">
        <f>INDEX(DbaseIndices!G:G,$B31)</f>
        <v>2B Chemical Industry</v>
      </c>
      <c r="E31" t="str">
        <f>INDEX(DbaseIndices!H:H,$B31)</f>
        <v>2B1 Ammonia Production</v>
      </c>
      <c r="F31" t="str">
        <f>INDEX(DbaseIndices!I:I,$B31)</f>
        <v>2B1 Ammonia Production</v>
      </c>
      <c r="G31">
        <f>INDEX(DbaseIndices!D:D,$B31)</f>
        <v>0</v>
      </c>
      <c r="H31" t="str">
        <f>INDEX(DbaseIndices!E:E,$B31)</f>
        <v>CH4</v>
      </c>
      <c r="I31">
        <f>IF(I30=DbaseIndices!$N$3,DbaseIndices!$N$2,I30+1)</f>
        <v>2017</v>
      </c>
      <c r="J31" s="243">
        <f ca="1">OFFSET(INDIRECT(INDEX(DbaseIndices!J:J,B31)),0,I31-2000+1)</f>
        <v>7.9619999999999997</v>
      </c>
    </row>
    <row r="32" spans="1:10" x14ac:dyDescent="0.25">
      <c r="A32">
        <f>IF(I31=DbaseIndices!$N$3,A31+1,A31)</f>
        <v>6</v>
      </c>
      <c r="B32">
        <f>MATCH(A32,DbaseIndices!A:A,0)</f>
        <v>7</v>
      </c>
      <c r="C32" t="str">
        <f>INDEX(DbaseIndices!F:F,$B32)</f>
        <v xml:space="preserve">2 Industrial Processes and Product Use </v>
      </c>
      <c r="D32" t="str">
        <f>INDEX(DbaseIndices!G:G,$B32)</f>
        <v>2B Chemical Industry</v>
      </c>
      <c r="E32" t="str">
        <f>INDEX(DbaseIndices!H:H,$B32)</f>
        <v>2B2 Nitric Acid Production</v>
      </c>
      <c r="F32" t="str">
        <f>INDEX(DbaseIndices!I:I,$B32)</f>
        <v>2B2 Nitric Acid Production</v>
      </c>
      <c r="G32">
        <f>INDEX(DbaseIndices!D:D,$B32)</f>
        <v>0</v>
      </c>
      <c r="H32" t="str">
        <f>INDEX(DbaseIndices!E:E,$B32)</f>
        <v>N2O</v>
      </c>
      <c r="I32">
        <f>IF(I31=DbaseIndices!$N$3,DbaseIndices!$N$2,I31+1)</f>
        <v>2012</v>
      </c>
      <c r="J32" s="243">
        <f ca="1">OFFSET(INDIRECT(INDEX(DbaseIndices!J:J,B32)),0,I32-2000+1)</f>
        <v>0.54820999999999998</v>
      </c>
    </row>
    <row r="33" spans="1:10" x14ac:dyDescent="0.25">
      <c r="A33">
        <f>IF(I32=DbaseIndices!$N$3,A32+1,A32)</f>
        <v>6</v>
      </c>
      <c r="B33">
        <f>MATCH(A33,DbaseIndices!A:A,0)</f>
        <v>7</v>
      </c>
      <c r="C33" t="str">
        <f>INDEX(DbaseIndices!F:F,$B33)</f>
        <v xml:space="preserve">2 Industrial Processes and Product Use </v>
      </c>
      <c r="D33" t="str">
        <f>INDEX(DbaseIndices!G:G,$B33)</f>
        <v>2B Chemical Industry</v>
      </c>
      <c r="E33" t="str">
        <f>INDEX(DbaseIndices!H:H,$B33)</f>
        <v>2B2 Nitric Acid Production</v>
      </c>
      <c r="F33" t="str">
        <f>INDEX(DbaseIndices!I:I,$B33)</f>
        <v>2B2 Nitric Acid Production</v>
      </c>
      <c r="G33">
        <f>INDEX(DbaseIndices!D:D,$B33)</f>
        <v>0</v>
      </c>
      <c r="H33" t="str">
        <f>INDEX(DbaseIndices!E:E,$B33)</f>
        <v>N2O</v>
      </c>
      <c r="I33">
        <f>IF(I32=DbaseIndices!$N$3,DbaseIndices!$N$2,I32+1)</f>
        <v>2013</v>
      </c>
      <c r="J33" s="243">
        <f ca="1">OFFSET(INDIRECT(INDEX(DbaseIndices!J:J,B33)),0,I33-2000+1)</f>
        <v>0.54766999999999999</v>
      </c>
    </row>
    <row r="34" spans="1:10" x14ac:dyDescent="0.25">
      <c r="A34">
        <f>IF(I33=DbaseIndices!$N$3,A33+1,A33)</f>
        <v>6</v>
      </c>
      <c r="B34">
        <f>MATCH(A34,DbaseIndices!A:A,0)</f>
        <v>7</v>
      </c>
      <c r="C34" t="str">
        <f>INDEX(DbaseIndices!F:F,$B34)</f>
        <v xml:space="preserve">2 Industrial Processes and Product Use </v>
      </c>
      <c r="D34" t="str">
        <f>INDEX(DbaseIndices!G:G,$B34)</f>
        <v>2B Chemical Industry</v>
      </c>
      <c r="E34" t="str">
        <f>INDEX(DbaseIndices!H:H,$B34)</f>
        <v>2B2 Nitric Acid Production</v>
      </c>
      <c r="F34" t="str">
        <f>INDEX(DbaseIndices!I:I,$B34)</f>
        <v>2B2 Nitric Acid Production</v>
      </c>
      <c r="G34">
        <f>INDEX(DbaseIndices!D:D,$B34)</f>
        <v>0</v>
      </c>
      <c r="H34" t="str">
        <f>INDEX(DbaseIndices!E:E,$B34)</f>
        <v>N2O</v>
      </c>
      <c r="I34">
        <f>IF(I33=DbaseIndices!$N$3,DbaseIndices!$N$2,I33+1)</f>
        <v>2014</v>
      </c>
      <c r="J34" s="243">
        <f ca="1">OFFSET(INDIRECT(INDEX(DbaseIndices!J:J,B34)),0,I34-2000+1)</f>
        <v>0.51639999999999997</v>
      </c>
    </row>
    <row r="35" spans="1:10" x14ac:dyDescent="0.25">
      <c r="A35">
        <f>IF(I34=DbaseIndices!$N$3,A34+1,A34)</f>
        <v>6</v>
      </c>
      <c r="B35">
        <f>MATCH(A35,DbaseIndices!A:A,0)</f>
        <v>7</v>
      </c>
      <c r="C35" t="str">
        <f>INDEX(DbaseIndices!F:F,$B35)</f>
        <v xml:space="preserve">2 Industrial Processes and Product Use </v>
      </c>
      <c r="D35" t="str">
        <f>INDEX(DbaseIndices!G:G,$B35)</f>
        <v>2B Chemical Industry</v>
      </c>
      <c r="E35" t="str">
        <f>INDEX(DbaseIndices!H:H,$B35)</f>
        <v>2B2 Nitric Acid Production</v>
      </c>
      <c r="F35" t="str">
        <f>INDEX(DbaseIndices!I:I,$B35)</f>
        <v>2B2 Nitric Acid Production</v>
      </c>
      <c r="G35">
        <f>INDEX(DbaseIndices!D:D,$B35)</f>
        <v>0</v>
      </c>
      <c r="H35" t="str">
        <f>INDEX(DbaseIndices!E:E,$B35)</f>
        <v>N2O</v>
      </c>
      <c r="I35">
        <f>IF(I34=DbaseIndices!$N$3,DbaseIndices!$N$2,I34+1)</f>
        <v>2015</v>
      </c>
      <c r="J35" s="243">
        <f ca="1">OFFSET(INDIRECT(INDEX(DbaseIndices!J:J,B35)),0,I35-2000+1)</f>
        <v>0.51119999999999999</v>
      </c>
    </row>
    <row r="36" spans="1:10" x14ac:dyDescent="0.25">
      <c r="A36">
        <f>IF(I35=DbaseIndices!$N$3,A35+1,A35)</f>
        <v>6</v>
      </c>
      <c r="B36">
        <f>MATCH(A36,DbaseIndices!A:A,0)</f>
        <v>7</v>
      </c>
      <c r="C36" t="str">
        <f>INDEX(DbaseIndices!F:F,$B36)</f>
        <v xml:space="preserve">2 Industrial Processes and Product Use </v>
      </c>
      <c r="D36" t="str">
        <f>INDEX(DbaseIndices!G:G,$B36)</f>
        <v>2B Chemical Industry</v>
      </c>
      <c r="E36" t="str">
        <f>INDEX(DbaseIndices!H:H,$B36)</f>
        <v>2B2 Nitric Acid Production</v>
      </c>
      <c r="F36" t="str">
        <f>INDEX(DbaseIndices!I:I,$B36)</f>
        <v>2B2 Nitric Acid Production</v>
      </c>
      <c r="G36">
        <f>INDEX(DbaseIndices!D:D,$B36)</f>
        <v>0</v>
      </c>
      <c r="H36" t="str">
        <f>INDEX(DbaseIndices!E:E,$B36)</f>
        <v>N2O</v>
      </c>
      <c r="I36">
        <f>IF(I35=DbaseIndices!$N$3,DbaseIndices!$N$2,I35+1)</f>
        <v>2016</v>
      </c>
      <c r="J36" s="243">
        <f ca="1">OFFSET(INDIRECT(INDEX(DbaseIndices!J:J,B36)),0,I36-2000+1)</f>
        <v>0.50560000000000005</v>
      </c>
    </row>
    <row r="37" spans="1:10" x14ac:dyDescent="0.25">
      <c r="A37">
        <f>IF(I36=DbaseIndices!$N$3,A36+1,A36)</f>
        <v>6</v>
      </c>
      <c r="B37">
        <f>MATCH(A37,DbaseIndices!A:A,0)</f>
        <v>7</v>
      </c>
      <c r="C37" t="str">
        <f>INDEX(DbaseIndices!F:F,$B37)</f>
        <v xml:space="preserve">2 Industrial Processes and Product Use </v>
      </c>
      <c r="D37" t="str">
        <f>INDEX(DbaseIndices!G:G,$B37)</f>
        <v>2B Chemical Industry</v>
      </c>
      <c r="E37" t="str">
        <f>INDEX(DbaseIndices!H:H,$B37)</f>
        <v>2B2 Nitric Acid Production</v>
      </c>
      <c r="F37" t="str">
        <f>INDEX(DbaseIndices!I:I,$B37)</f>
        <v>2B2 Nitric Acid Production</v>
      </c>
      <c r="G37">
        <f>INDEX(DbaseIndices!D:D,$B37)</f>
        <v>0</v>
      </c>
      <c r="H37" t="str">
        <f>INDEX(DbaseIndices!E:E,$B37)</f>
        <v>N2O</v>
      </c>
      <c r="I37">
        <f>IF(I36=DbaseIndices!$N$3,DbaseIndices!$N$2,I36+1)</f>
        <v>2017</v>
      </c>
      <c r="J37" s="243">
        <f ca="1">OFFSET(INDIRECT(INDEX(DbaseIndices!J:J,B37)),0,I37-2000+1)</f>
        <v>0.49959999999999999</v>
      </c>
    </row>
    <row r="38" spans="1:10" x14ac:dyDescent="0.25">
      <c r="A38">
        <f>IF(I37=DbaseIndices!$N$3,A37+1,A37)</f>
        <v>7</v>
      </c>
      <c r="B38">
        <f>MATCH(A38,DbaseIndices!A:A,0)</f>
        <v>8</v>
      </c>
      <c r="C38" t="str">
        <f>INDEX(DbaseIndices!F:F,$B38)</f>
        <v xml:space="preserve">2 Industrial Processes and Product Use </v>
      </c>
      <c r="D38" t="str">
        <f>INDEX(DbaseIndices!G:G,$B38)</f>
        <v>2B Chemical Industry</v>
      </c>
      <c r="E38" t="str">
        <f>INDEX(DbaseIndices!H:H,$B38)</f>
        <v>2B2 Nitric Acid Production</v>
      </c>
      <c r="F38" t="str">
        <f>INDEX(DbaseIndices!I:I,$B38)</f>
        <v>2B2 Nitric Acid Production</v>
      </c>
      <c r="G38">
        <f>INDEX(DbaseIndices!D:D,$B38)</f>
        <v>0</v>
      </c>
      <c r="H38" t="str">
        <f>INDEX(DbaseIndices!E:E,$B38)</f>
        <v>N2O</v>
      </c>
      <c r="I38">
        <f>IF(I37=DbaseIndices!$N$3,DbaseIndices!$N$2,I37+1)</f>
        <v>2012</v>
      </c>
      <c r="J38" s="243">
        <f ca="1">OFFSET(INDIRECT(INDEX(DbaseIndices!J:J,B38)),0,I38-2000+1)</f>
        <v>0.58299999999999996</v>
      </c>
    </row>
    <row r="39" spans="1:10" x14ac:dyDescent="0.25">
      <c r="A39">
        <f>IF(I38=DbaseIndices!$N$3,A38+1,A38)</f>
        <v>7</v>
      </c>
      <c r="B39">
        <f>MATCH(A39,DbaseIndices!A:A,0)</f>
        <v>8</v>
      </c>
      <c r="C39" t="str">
        <f>INDEX(DbaseIndices!F:F,$B39)</f>
        <v xml:space="preserve">2 Industrial Processes and Product Use </v>
      </c>
      <c r="D39" t="str">
        <f>INDEX(DbaseIndices!G:G,$B39)</f>
        <v>2B Chemical Industry</v>
      </c>
      <c r="E39" t="str">
        <f>INDEX(DbaseIndices!H:H,$B39)</f>
        <v>2B2 Nitric Acid Production</v>
      </c>
      <c r="F39" t="str">
        <f>INDEX(DbaseIndices!I:I,$B39)</f>
        <v>2B2 Nitric Acid Production</v>
      </c>
      <c r="G39">
        <f>INDEX(DbaseIndices!D:D,$B39)</f>
        <v>0</v>
      </c>
      <c r="H39" t="str">
        <f>INDEX(DbaseIndices!E:E,$B39)</f>
        <v>N2O</v>
      </c>
      <c r="I39">
        <f>IF(I38=DbaseIndices!$N$3,DbaseIndices!$N$2,I38+1)</f>
        <v>2013</v>
      </c>
      <c r="J39" s="243">
        <f ca="1">OFFSET(INDIRECT(INDEX(DbaseIndices!J:J,B39)),0,I39-2000+1)</f>
        <v>1.4019999999999999</v>
      </c>
    </row>
    <row r="40" spans="1:10" x14ac:dyDescent="0.25">
      <c r="A40">
        <f>IF(I39=DbaseIndices!$N$3,A39+1,A39)</f>
        <v>7</v>
      </c>
      <c r="B40">
        <f>MATCH(A40,DbaseIndices!A:A,0)</f>
        <v>8</v>
      </c>
      <c r="C40" t="str">
        <f>INDEX(DbaseIndices!F:F,$B40)</f>
        <v xml:space="preserve">2 Industrial Processes and Product Use </v>
      </c>
      <c r="D40" t="str">
        <f>INDEX(DbaseIndices!G:G,$B40)</f>
        <v>2B Chemical Industry</v>
      </c>
      <c r="E40" t="str">
        <f>INDEX(DbaseIndices!H:H,$B40)</f>
        <v>2B2 Nitric Acid Production</v>
      </c>
      <c r="F40" t="str">
        <f>INDEX(DbaseIndices!I:I,$B40)</f>
        <v>2B2 Nitric Acid Production</v>
      </c>
      <c r="G40">
        <f>INDEX(DbaseIndices!D:D,$B40)</f>
        <v>0</v>
      </c>
      <c r="H40" t="str">
        <f>INDEX(DbaseIndices!E:E,$B40)</f>
        <v>N2O</v>
      </c>
      <c r="I40">
        <f>IF(I39=DbaseIndices!$N$3,DbaseIndices!$N$2,I39+1)</f>
        <v>2014</v>
      </c>
      <c r="J40" s="243">
        <f ca="1">OFFSET(INDIRECT(INDEX(DbaseIndices!J:J,B40)),0,I40-2000+1)</f>
        <v>0.67300000000000004</v>
      </c>
    </row>
    <row r="41" spans="1:10" x14ac:dyDescent="0.25">
      <c r="A41">
        <f>IF(I40=DbaseIndices!$N$3,A40+1,A40)</f>
        <v>7</v>
      </c>
      <c r="B41">
        <f>MATCH(A41,DbaseIndices!A:A,0)</f>
        <v>8</v>
      </c>
      <c r="C41" t="str">
        <f>INDEX(DbaseIndices!F:F,$B41)</f>
        <v xml:space="preserve">2 Industrial Processes and Product Use </v>
      </c>
      <c r="D41" t="str">
        <f>INDEX(DbaseIndices!G:G,$B41)</f>
        <v>2B Chemical Industry</v>
      </c>
      <c r="E41" t="str">
        <f>INDEX(DbaseIndices!H:H,$B41)</f>
        <v>2B2 Nitric Acid Production</v>
      </c>
      <c r="F41" t="str">
        <f>INDEX(DbaseIndices!I:I,$B41)</f>
        <v>2B2 Nitric Acid Production</v>
      </c>
      <c r="G41">
        <f>INDEX(DbaseIndices!D:D,$B41)</f>
        <v>0</v>
      </c>
      <c r="H41" t="str">
        <f>INDEX(DbaseIndices!E:E,$B41)</f>
        <v>N2O</v>
      </c>
      <c r="I41">
        <f>IF(I40=DbaseIndices!$N$3,DbaseIndices!$N$2,I40+1)</f>
        <v>2015</v>
      </c>
      <c r="J41" s="243">
        <f ca="1">OFFSET(INDIRECT(INDEX(DbaseIndices!J:J,B41)),0,I41-2000+1)</f>
        <v>0.60299999999999998</v>
      </c>
    </row>
    <row r="42" spans="1:10" x14ac:dyDescent="0.25">
      <c r="A42">
        <f>IF(I41=DbaseIndices!$N$3,A41+1,A41)</f>
        <v>7</v>
      </c>
      <c r="B42">
        <f>MATCH(A42,DbaseIndices!A:A,0)</f>
        <v>8</v>
      </c>
      <c r="C42" t="str">
        <f>INDEX(DbaseIndices!F:F,$B42)</f>
        <v xml:space="preserve">2 Industrial Processes and Product Use </v>
      </c>
      <c r="D42" t="str">
        <f>INDEX(DbaseIndices!G:G,$B42)</f>
        <v>2B Chemical Industry</v>
      </c>
      <c r="E42" t="str">
        <f>INDEX(DbaseIndices!H:H,$B42)</f>
        <v>2B2 Nitric Acid Production</v>
      </c>
      <c r="F42" t="str">
        <f>INDEX(DbaseIndices!I:I,$B42)</f>
        <v>2B2 Nitric Acid Production</v>
      </c>
      <c r="G42">
        <f>INDEX(DbaseIndices!D:D,$B42)</f>
        <v>0</v>
      </c>
      <c r="H42" t="str">
        <f>INDEX(DbaseIndices!E:E,$B42)</f>
        <v>N2O</v>
      </c>
      <c r="I42">
        <f>IF(I41=DbaseIndices!$N$3,DbaseIndices!$N$2,I41+1)</f>
        <v>2016</v>
      </c>
      <c r="J42" s="243">
        <f ca="1">OFFSET(INDIRECT(INDEX(DbaseIndices!J:J,B42)),0,I42-2000+1)</f>
        <v>0.4441259314873523</v>
      </c>
    </row>
    <row r="43" spans="1:10" x14ac:dyDescent="0.25">
      <c r="A43">
        <f>IF(I42=DbaseIndices!$N$3,A42+1,A42)</f>
        <v>7</v>
      </c>
      <c r="B43">
        <f>MATCH(A43,DbaseIndices!A:A,0)</f>
        <v>8</v>
      </c>
      <c r="C43" t="str">
        <f>INDEX(DbaseIndices!F:F,$B43)</f>
        <v xml:space="preserve">2 Industrial Processes and Product Use </v>
      </c>
      <c r="D43" t="str">
        <f>INDEX(DbaseIndices!G:G,$B43)</f>
        <v>2B Chemical Industry</v>
      </c>
      <c r="E43" t="str">
        <f>INDEX(DbaseIndices!H:H,$B43)</f>
        <v>2B2 Nitric Acid Production</v>
      </c>
      <c r="F43" t="str">
        <f>INDEX(DbaseIndices!I:I,$B43)</f>
        <v>2B2 Nitric Acid Production</v>
      </c>
      <c r="G43">
        <f>INDEX(DbaseIndices!D:D,$B43)</f>
        <v>0</v>
      </c>
      <c r="H43" t="str">
        <f>INDEX(DbaseIndices!E:E,$B43)</f>
        <v>N2O</v>
      </c>
      <c r="I43">
        <f>IF(I42=DbaseIndices!$N$3,DbaseIndices!$N$2,I42+1)</f>
        <v>2017</v>
      </c>
      <c r="J43" s="243">
        <f ca="1">OFFSET(INDIRECT(INDEX(DbaseIndices!J:J,B43)),0,I43-2000+1)</f>
        <v>0.4441259314873523</v>
      </c>
    </row>
    <row r="44" spans="1:10" x14ac:dyDescent="0.25">
      <c r="A44">
        <f>IF(I43=DbaseIndices!$N$3,A43+1,A43)</f>
        <v>8</v>
      </c>
      <c r="B44">
        <f>MATCH(A44,DbaseIndices!A:A,0)</f>
        <v>9</v>
      </c>
      <c r="C44" t="str">
        <f>INDEX(DbaseIndices!F:F,$B44)</f>
        <v xml:space="preserve">2 Industrial Processes and Product Use </v>
      </c>
      <c r="D44" t="str">
        <f>INDEX(DbaseIndices!G:G,$B44)</f>
        <v>2B Chemical Industry</v>
      </c>
      <c r="E44" t="str">
        <f>INDEX(DbaseIndices!H:H,$B44)</f>
        <v>2B5 Carbide Production</v>
      </c>
      <c r="F44" t="str">
        <f>INDEX(DbaseIndices!I:I,$B44)</f>
        <v>2B5 Carbide Production</v>
      </c>
      <c r="G44">
        <f>INDEX(DbaseIndices!D:D,$B44)</f>
        <v>0</v>
      </c>
      <c r="H44" t="str">
        <f>INDEX(DbaseIndices!E:E,$B44)</f>
        <v>CO2</v>
      </c>
      <c r="I44">
        <f>IF(I43=DbaseIndices!$N$3,DbaseIndices!$N$2,I43+1)</f>
        <v>2012</v>
      </c>
      <c r="J44" s="243">
        <f ca="1">OFFSET(INDIRECT(INDEX(DbaseIndices!J:J,B44)),0,I44-2000+1)</f>
        <v>5.2014800000000001</v>
      </c>
    </row>
    <row r="45" spans="1:10" x14ac:dyDescent="0.25">
      <c r="A45">
        <f>IF(I44=DbaseIndices!$N$3,A44+1,A44)</f>
        <v>8</v>
      </c>
      <c r="B45">
        <f>MATCH(A45,DbaseIndices!A:A,0)</f>
        <v>9</v>
      </c>
      <c r="C45" t="str">
        <f>INDEX(DbaseIndices!F:F,$B45)</f>
        <v xml:space="preserve">2 Industrial Processes and Product Use </v>
      </c>
      <c r="D45" t="str">
        <f>INDEX(DbaseIndices!G:G,$B45)</f>
        <v>2B Chemical Industry</v>
      </c>
      <c r="E45" t="str">
        <f>INDEX(DbaseIndices!H:H,$B45)</f>
        <v>2B5 Carbide Production</v>
      </c>
      <c r="F45" t="str">
        <f>INDEX(DbaseIndices!I:I,$B45)</f>
        <v>2B5 Carbide Production</v>
      </c>
      <c r="G45">
        <f>INDEX(DbaseIndices!D:D,$B45)</f>
        <v>0</v>
      </c>
      <c r="H45" t="str">
        <f>INDEX(DbaseIndices!E:E,$B45)</f>
        <v>CO2</v>
      </c>
      <c r="I45">
        <f>IF(I44=DbaseIndices!$N$3,DbaseIndices!$N$2,I44+1)</f>
        <v>2013</v>
      </c>
      <c r="J45" s="243">
        <f ca="1">OFFSET(INDIRECT(INDEX(DbaseIndices!J:J,B45)),0,I45-2000+1)</f>
        <v>5.1971200000000009</v>
      </c>
    </row>
    <row r="46" spans="1:10" x14ac:dyDescent="0.25">
      <c r="A46">
        <f>IF(I45=DbaseIndices!$N$3,A45+1,A45)</f>
        <v>8</v>
      </c>
      <c r="B46">
        <f>MATCH(A46,DbaseIndices!A:A,0)</f>
        <v>9</v>
      </c>
      <c r="C46" t="str">
        <f>INDEX(DbaseIndices!F:F,$B46)</f>
        <v xml:space="preserve">2 Industrial Processes and Product Use </v>
      </c>
      <c r="D46" t="str">
        <f>INDEX(DbaseIndices!G:G,$B46)</f>
        <v>2B Chemical Industry</v>
      </c>
      <c r="E46" t="str">
        <f>INDEX(DbaseIndices!H:H,$B46)</f>
        <v>2B5 Carbide Production</v>
      </c>
      <c r="F46" t="str">
        <f>INDEX(DbaseIndices!I:I,$B46)</f>
        <v>2B5 Carbide Production</v>
      </c>
      <c r="G46">
        <f>INDEX(DbaseIndices!D:D,$B46)</f>
        <v>0</v>
      </c>
      <c r="H46" t="str">
        <f>INDEX(DbaseIndices!E:E,$B46)</f>
        <v>CO2</v>
      </c>
      <c r="I46">
        <f>IF(I45=DbaseIndices!$N$3,DbaseIndices!$N$2,I45+1)</f>
        <v>2014</v>
      </c>
      <c r="J46" s="243">
        <f ca="1">OFFSET(INDIRECT(INDEX(DbaseIndices!J:J,B46)),0,I46-2000+1)</f>
        <v>4.450524500000002</v>
      </c>
    </row>
    <row r="47" spans="1:10" x14ac:dyDescent="0.25">
      <c r="A47">
        <f>IF(I46=DbaseIndices!$N$3,A46+1,A46)</f>
        <v>8</v>
      </c>
      <c r="B47">
        <f>MATCH(A47,DbaseIndices!A:A,0)</f>
        <v>9</v>
      </c>
      <c r="C47" t="str">
        <f>INDEX(DbaseIndices!F:F,$B47)</f>
        <v xml:space="preserve">2 Industrial Processes and Product Use </v>
      </c>
      <c r="D47" t="str">
        <f>INDEX(DbaseIndices!G:G,$B47)</f>
        <v>2B Chemical Industry</v>
      </c>
      <c r="E47" t="str">
        <f>INDEX(DbaseIndices!H:H,$B47)</f>
        <v>2B5 Carbide Production</v>
      </c>
      <c r="F47" t="str">
        <f>INDEX(DbaseIndices!I:I,$B47)</f>
        <v>2B5 Carbide Production</v>
      </c>
      <c r="G47">
        <f>INDEX(DbaseIndices!D:D,$B47)</f>
        <v>0</v>
      </c>
      <c r="H47" t="str">
        <f>INDEX(DbaseIndices!E:E,$B47)</f>
        <v>CO2</v>
      </c>
      <c r="I47">
        <f>IF(I46=DbaseIndices!$N$3,DbaseIndices!$N$2,I46+1)</f>
        <v>2015</v>
      </c>
      <c r="J47" s="243">
        <f ca="1">OFFSET(INDIRECT(INDEX(DbaseIndices!J:J,B47)),0,I47-2000+1)</f>
        <v>3.9892430400000007</v>
      </c>
    </row>
    <row r="48" spans="1:10" x14ac:dyDescent="0.25">
      <c r="A48">
        <f>IF(I47=DbaseIndices!$N$3,A47+1,A47)</f>
        <v>8</v>
      </c>
      <c r="B48">
        <f>MATCH(A48,DbaseIndices!A:A,0)</f>
        <v>9</v>
      </c>
      <c r="C48" t="str">
        <f>INDEX(DbaseIndices!F:F,$B48)</f>
        <v xml:space="preserve">2 Industrial Processes and Product Use </v>
      </c>
      <c r="D48" t="str">
        <f>INDEX(DbaseIndices!G:G,$B48)</f>
        <v>2B Chemical Industry</v>
      </c>
      <c r="E48" t="str">
        <f>INDEX(DbaseIndices!H:H,$B48)</f>
        <v>2B5 Carbide Production</v>
      </c>
      <c r="F48" t="str">
        <f>INDEX(DbaseIndices!I:I,$B48)</f>
        <v>2B5 Carbide Production</v>
      </c>
      <c r="G48">
        <f>INDEX(DbaseIndices!D:D,$B48)</f>
        <v>0</v>
      </c>
      <c r="H48" t="str">
        <f>INDEX(DbaseIndices!E:E,$B48)</f>
        <v>CO2</v>
      </c>
      <c r="I48">
        <f>IF(I47=DbaseIndices!$N$3,DbaseIndices!$N$2,I47+1)</f>
        <v>2016</v>
      </c>
      <c r="J48" s="243">
        <f ca="1">OFFSET(INDIRECT(INDEX(DbaseIndices!J:J,B48)),0,I48-2000+1)</f>
        <v>3.4449166599999987</v>
      </c>
    </row>
    <row r="49" spans="1:10" x14ac:dyDescent="0.25">
      <c r="A49">
        <f>IF(I48=DbaseIndices!$N$3,A48+1,A48)</f>
        <v>8</v>
      </c>
      <c r="B49">
        <f>MATCH(A49,DbaseIndices!A:A,0)</f>
        <v>9</v>
      </c>
      <c r="C49" t="str">
        <f>INDEX(DbaseIndices!F:F,$B49)</f>
        <v xml:space="preserve">2 Industrial Processes and Product Use </v>
      </c>
      <c r="D49" t="str">
        <f>INDEX(DbaseIndices!G:G,$B49)</f>
        <v>2B Chemical Industry</v>
      </c>
      <c r="E49" t="str">
        <f>INDEX(DbaseIndices!H:H,$B49)</f>
        <v>2B5 Carbide Production</v>
      </c>
      <c r="F49" t="str">
        <f>INDEX(DbaseIndices!I:I,$B49)</f>
        <v>2B5 Carbide Production</v>
      </c>
      <c r="G49">
        <f>INDEX(DbaseIndices!D:D,$B49)</f>
        <v>0</v>
      </c>
      <c r="H49" t="str">
        <f>INDEX(DbaseIndices!E:E,$B49)</f>
        <v>CO2</v>
      </c>
      <c r="I49">
        <f>IF(I48=DbaseIndices!$N$3,DbaseIndices!$N$2,I48+1)</f>
        <v>2017</v>
      </c>
      <c r="J49" s="243">
        <f ca="1">OFFSET(INDIRECT(INDEX(DbaseIndices!J:J,B49)),0,I49-2000+1)</f>
        <v>2.8175453600000009</v>
      </c>
    </row>
    <row r="50" spans="1:10" x14ac:dyDescent="0.25">
      <c r="A50">
        <f>IF(I49=DbaseIndices!$N$3,A49+1,A49)</f>
        <v>9</v>
      </c>
      <c r="B50">
        <f>MATCH(A50,DbaseIndices!A:A,0)</f>
        <v>10</v>
      </c>
      <c r="C50" t="str">
        <f>INDEX(DbaseIndices!F:F,$B50)</f>
        <v xml:space="preserve">2 Industrial Processes and Product Use </v>
      </c>
      <c r="D50" t="str">
        <f>INDEX(DbaseIndices!G:G,$B50)</f>
        <v>2B Chemical Industry</v>
      </c>
      <c r="E50" t="str">
        <f>INDEX(DbaseIndices!H:H,$B50)</f>
        <v>2B6 Titanium Dioxide Production</v>
      </c>
      <c r="F50" t="str">
        <f>INDEX(DbaseIndices!I:I,$B50)</f>
        <v>2B6 Titanium Dioxide Production</v>
      </c>
      <c r="G50">
        <f>INDEX(DbaseIndices!D:D,$B50)</f>
        <v>0</v>
      </c>
      <c r="H50" t="str">
        <f>INDEX(DbaseIndices!E:E,$B50)</f>
        <v>CO2</v>
      </c>
      <c r="I50">
        <f>IF(I49=DbaseIndices!$N$3,DbaseIndices!$N$2,I49+1)</f>
        <v>2012</v>
      </c>
      <c r="J50" s="243">
        <f ca="1">OFFSET(INDIRECT(INDEX(DbaseIndices!J:J,B50)),0,I50-2000+1)</f>
        <v>158.66399999999999</v>
      </c>
    </row>
    <row r="51" spans="1:10" x14ac:dyDescent="0.25">
      <c r="A51">
        <f>IF(I50=DbaseIndices!$N$3,A50+1,A50)</f>
        <v>9</v>
      </c>
      <c r="B51">
        <f>MATCH(A51,DbaseIndices!A:A,0)</f>
        <v>10</v>
      </c>
      <c r="C51" t="str">
        <f>INDEX(DbaseIndices!F:F,$B51)</f>
        <v xml:space="preserve">2 Industrial Processes and Product Use </v>
      </c>
      <c r="D51" t="str">
        <f>INDEX(DbaseIndices!G:G,$B51)</f>
        <v>2B Chemical Industry</v>
      </c>
      <c r="E51" t="str">
        <f>INDEX(DbaseIndices!H:H,$B51)</f>
        <v>2B6 Titanium Dioxide Production</v>
      </c>
      <c r="F51" t="str">
        <f>INDEX(DbaseIndices!I:I,$B51)</f>
        <v>2B6 Titanium Dioxide Production</v>
      </c>
      <c r="G51">
        <f>INDEX(DbaseIndices!D:D,$B51)</f>
        <v>0</v>
      </c>
      <c r="H51" t="str">
        <f>INDEX(DbaseIndices!E:E,$B51)</f>
        <v>CO2</v>
      </c>
      <c r="I51">
        <f>IF(I50=DbaseIndices!$N$3,DbaseIndices!$N$2,I50+1)</f>
        <v>2013</v>
      </c>
      <c r="J51" s="243">
        <f ca="1">OFFSET(INDIRECT(INDEX(DbaseIndices!J:J,B51)),0,I51-2000+1)</f>
        <v>158.506</v>
      </c>
    </row>
    <row r="52" spans="1:10" x14ac:dyDescent="0.25">
      <c r="A52">
        <f>IF(I51=DbaseIndices!$N$3,A51+1,A51)</f>
        <v>9</v>
      </c>
      <c r="B52">
        <f>MATCH(A52,DbaseIndices!A:A,0)</f>
        <v>10</v>
      </c>
      <c r="C52" t="str">
        <f>INDEX(DbaseIndices!F:F,$B52)</f>
        <v xml:space="preserve">2 Industrial Processes and Product Use </v>
      </c>
      <c r="D52" t="str">
        <f>INDEX(DbaseIndices!G:G,$B52)</f>
        <v>2B Chemical Industry</v>
      </c>
      <c r="E52" t="str">
        <f>INDEX(DbaseIndices!H:H,$B52)</f>
        <v>2B6 Titanium Dioxide Production</v>
      </c>
      <c r="F52" t="str">
        <f>INDEX(DbaseIndices!I:I,$B52)</f>
        <v>2B6 Titanium Dioxide Production</v>
      </c>
      <c r="G52">
        <f>INDEX(DbaseIndices!D:D,$B52)</f>
        <v>0</v>
      </c>
      <c r="H52" t="str">
        <f>INDEX(DbaseIndices!E:E,$B52)</f>
        <v>CO2</v>
      </c>
      <c r="I52">
        <f>IF(I51=DbaseIndices!$N$3,DbaseIndices!$N$2,I51+1)</f>
        <v>2014</v>
      </c>
      <c r="J52" s="243">
        <f ca="1">OFFSET(INDIRECT(INDEX(DbaseIndices!J:J,B52)),0,I52-2000+1)</f>
        <v>167.48546225441859</v>
      </c>
    </row>
    <row r="53" spans="1:10" x14ac:dyDescent="0.25">
      <c r="A53">
        <f>IF(I52=DbaseIndices!$N$3,A52+1,A52)</f>
        <v>9</v>
      </c>
      <c r="B53">
        <f>MATCH(A53,DbaseIndices!A:A,0)</f>
        <v>10</v>
      </c>
      <c r="C53" t="str">
        <f>INDEX(DbaseIndices!F:F,$B53)</f>
        <v xml:space="preserve">2 Industrial Processes and Product Use </v>
      </c>
      <c r="D53" t="str">
        <f>INDEX(DbaseIndices!G:G,$B53)</f>
        <v>2B Chemical Industry</v>
      </c>
      <c r="E53" t="str">
        <f>INDEX(DbaseIndices!H:H,$B53)</f>
        <v>2B6 Titanium Dioxide Production</v>
      </c>
      <c r="F53" t="str">
        <f>INDEX(DbaseIndices!I:I,$B53)</f>
        <v>2B6 Titanium Dioxide Production</v>
      </c>
      <c r="G53">
        <f>INDEX(DbaseIndices!D:D,$B53)</f>
        <v>0</v>
      </c>
      <c r="H53" t="str">
        <f>INDEX(DbaseIndices!E:E,$B53)</f>
        <v>CO2</v>
      </c>
      <c r="I53">
        <f>IF(I52=DbaseIndices!$N$3,DbaseIndices!$N$2,I52+1)</f>
        <v>2015</v>
      </c>
      <c r="J53" s="243">
        <f ca="1">OFFSET(INDIRECT(INDEX(DbaseIndices!J:J,B53)),0,I53-2000+1)</f>
        <v>161.97882244489372</v>
      </c>
    </row>
    <row r="54" spans="1:10" x14ac:dyDescent="0.25">
      <c r="A54">
        <f>IF(I53=DbaseIndices!$N$3,A53+1,A53)</f>
        <v>9</v>
      </c>
      <c r="B54">
        <f>MATCH(A54,DbaseIndices!A:A,0)</f>
        <v>10</v>
      </c>
      <c r="C54" t="str">
        <f>INDEX(DbaseIndices!F:F,$B54)</f>
        <v xml:space="preserve">2 Industrial Processes and Product Use </v>
      </c>
      <c r="D54" t="str">
        <f>INDEX(DbaseIndices!G:G,$B54)</f>
        <v>2B Chemical Industry</v>
      </c>
      <c r="E54" t="str">
        <f>INDEX(DbaseIndices!H:H,$B54)</f>
        <v>2B6 Titanium Dioxide Production</v>
      </c>
      <c r="F54" t="str">
        <f>INDEX(DbaseIndices!I:I,$B54)</f>
        <v>2B6 Titanium Dioxide Production</v>
      </c>
      <c r="G54">
        <f>INDEX(DbaseIndices!D:D,$B54)</f>
        <v>0</v>
      </c>
      <c r="H54" t="str">
        <f>INDEX(DbaseIndices!E:E,$B54)</f>
        <v>CO2</v>
      </c>
      <c r="I54">
        <f>IF(I53=DbaseIndices!$N$3,DbaseIndices!$N$2,I53+1)</f>
        <v>2016</v>
      </c>
      <c r="J54" s="243">
        <f ca="1">OFFSET(INDIRECT(INDEX(DbaseIndices!J:J,B54)),0,I54-2000+1)</f>
        <v>156.97115258003473</v>
      </c>
    </row>
    <row r="55" spans="1:10" x14ac:dyDescent="0.25">
      <c r="A55">
        <f>IF(I54=DbaseIndices!$N$3,A54+1,A54)</f>
        <v>9</v>
      </c>
      <c r="B55">
        <f>MATCH(A55,DbaseIndices!A:A,0)</f>
        <v>10</v>
      </c>
      <c r="C55" t="str">
        <f>INDEX(DbaseIndices!F:F,$B55)</f>
        <v xml:space="preserve">2 Industrial Processes and Product Use </v>
      </c>
      <c r="D55" t="str">
        <f>INDEX(DbaseIndices!G:G,$B55)</f>
        <v>2B Chemical Industry</v>
      </c>
      <c r="E55" t="str">
        <f>INDEX(DbaseIndices!H:H,$B55)</f>
        <v>2B6 Titanium Dioxide Production</v>
      </c>
      <c r="F55" t="str">
        <f>INDEX(DbaseIndices!I:I,$B55)</f>
        <v>2B6 Titanium Dioxide Production</v>
      </c>
      <c r="G55">
        <f>INDEX(DbaseIndices!D:D,$B55)</f>
        <v>0</v>
      </c>
      <c r="H55" t="str">
        <f>INDEX(DbaseIndices!E:E,$B55)</f>
        <v>CO2</v>
      </c>
      <c r="I55">
        <f>IF(I54=DbaseIndices!$N$3,DbaseIndices!$N$2,I54+1)</f>
        <v>2017</v>
      </c>
      <c r="J55" s="243">
        <f ca="1">OFFSET(INDIRECT(INDEX(DbaseIndices!J:J,B55)),0,I55-2000+1)</f>
        <v>152.39167085372586</v>
      </c>
    </row>
    <row r="56" spans="1:10" x14ac:dyDescent="0.25">
      <c r="A56">
        <f>IF(I55=DbaseIndices!$N$3,A55+1,A55)</f>
        <v>10</v>
      </c>
      <c r="B56">
        <f>MATCH(A56,DbaseIndices!A:A,0)</f>
        <v>11</v>
      </c>
      <c r="C56" t="str">
        <f>INDEX(DbaseIndices!F:F,$B56)</f>
        <v xml:space="preserve">2 Industrial Processes and Product Use </v>
      </c>
      <c r="D56" t="str">
        <f>INDEX(DbaseIndices!G:G,$B56)</f>
        <v>2B Chemical Industry</v>
      </c>
      <c r="E56" t="str">
        <f>INDEX(DbaseIndices!H:H,$B56)</f>
        <v>2B8 Carbon Black Production</v>
      </c>
      <c r="F56" t="str">
        <f>INDEX(DbaseIndices!I:I,$B56)</f>
        <v>2B8 Carbon Black Production</v>
      </c>
      <c r="G56">
        <f>INDEX(DbaseIndices!D:D,$B56)</f>
        <v>0</v>
      </c>
      <c r="H56" t="str">
        <f>INDEX(DbaseIndices!E:E,$B56)</f>
        <v>CO2</v>
      </c>
      <c r="I56">
        <f>IF(I55=DbaseIndices!$N$3,DbaseIndices!$N$2,I55+1)</f>
        <v>2012</v>
      </c>
      <c r="J56" s="243">
        <f ca="1">OFFSET(INDIRECT(INDEX(DbaseIndices!J:J,B56)),0,I56-2000+1)</f>
        <v>134.8776</v>
      </c>
    </row>
    <row r="57" spans="1:10" x14ac:dyDescent="0.25">
      <c r="A57">
        <f>IF(I56=DbaseIndices!$N$3,A56+1,A56)</f>
        <v>10</v>
      </c>
      <c r="B57">
        <f>MATCH(A57,DbaseIndices!A:A,0)</f>
        <v>11</v>
      </c>
      <c r="C57" t="str">
        <f>INDEX(DbaseIndices!F:F,$B57)</f>
        <v xml:space="preserve">2 Industrial Processes and Product Use </v>
      </c>
      <c r="D57" t="str">
        <f>INDEX(DbaseIndices!G:G,$B57)</f>
        <v>2B Chemical Industry</v>
      </c>
      <c r="E57" t="str">
        <f>INDEX(DbaseIndices!H:H,$B57)</f>
        <v>2B8 Carbon Black Production</v>
      </c>
      <c r="F57" t="str">
        <f>INDEX(DbaseIndices!I:I,$B57)</f>
        <v>2B8 Carbon Black Production</v>
      </c>
      <c r="G57">
        <f>INDEX(DbaseIndices!D:D,$B57)</f>
        <v>0</v>
      </c>
      <c r="H57" t="str">
        <f>INDEX(DbaseIndices!E:E,$B57)</f>
        <v>CO2</v>
      </c>
      <c r="I57">
        <f>IF(I56=DbaseIndices!$N$3,DbaseIndices!$N$2,I56+1)</f>
        <v>2013</v>
      </c>
      <c r="J57" s="243">
        <f ca="1">OFFSET(INDIRECT(INDEX(DbaseIndices!J:J,B57)),0,I57-2000+1)</f>
        <v>134.24350760000002</v>
      </c>
    </row>
    <row r="58" spans="1:10" x14ac:dyDescent="0.25">
      <c r="A58">
        <f>IF(I57=DbaseIndices!$N$3,A57+1,A57)</f>
        <v>10</v>
      </c>
      <c r="B58">
        <f>MATCH(A58,DbaseIndices!A:A,0)</f>
        <v>11</v>
      </c>
      <c r="C58" t="str">
        <f>INDEX(DbaseIndices!F:F,$B58)</f>
        <v xml:space="preserve">2 Industrial Processes and Product Use </v>
      </c>
      <c r="D58" t="str">
        <f>INDEX(DbaseIndices!G:G,$B58)</f>
        <v>2B Chemical Industry</v>
      </c>
      <c r="E58" t="str">
        <f>INDEX(DbaseIndices!H:H,$B58)</f>
        <v>2B8 Carbon Black Production</v>
      </c>
      <c r="F58" t="str">
        <f>INDEX(DbaseIndices!I:I,$B58)</f>
        <v>2B8 Carbon Black Production</v>
      </c>
      <c r="G58">
        <f>INDEX(DbaseIndices!D:D,$B58)</f>
        <v>0</v>
      </c>
      <c r="H58" t="str">
        <f>INDEX(DbaseIndices!E:E,$B58)</f>
        <v>CO2</v>
      </c>
      <c r="I58">
        <f>IF(I57=DbaseIndices!$N$3,DbaseIndices!$N$2,I57+1)</f>
        <v>2014</v>
      </c>
      <c r="J58" s="243">
        <f ca="1">OFFSET(INDIRECT(INDEX(DbaseIndices!J:J,B58)),0,I58-2000+1)</f>
        <v>131.50504063433797</v>
      </c>
    </row>
    <row r="59" spans="1:10" x14ac:dyDescent="0.25">
      <c r="A59">
        <f>IF(I58=DbaseIndices!$N$3,A58+1,A58)</f>
        <v>10</v>
      </c>
      <c r="B59">
        <f>MATCH(A59,DbaseIndices!A:A,0)</f>
        <v>11</v>
      </c>
      <c r="C59" t="str">
        <f>INDEX(DbaseIndices!F:F,$B59)</f>
        <v xml:space="preserve">2 Industrial Processes and Product Use </v>
      </c>
      <c r="D59" t="str">
        <f>INDEX(DbaseIndices!G:G,$B59)</f>
        <v>2B Chemical Industry</v>
      </c>
      <c r="E59" t="str">
        <f>INDEX(DbaseIndices!H:H,$B59)</f>
        <v>2B8 Carbon Black Production</v>
      </c>
      <c r="F59" t="str">
        <f>INDEX(DbaseIndices!I:I,$B59)</f>
        <v>2B8 Carbon Black Production</v>
      </c>
      <c r="G59">
        <f>INDEX(DbaseIndices!D:D,$B59)</f>
        <v>0</v>
      </c>
      <c r="H59" t="str">
        <f>INDEX(DbaseIndices!E:E,$B59)</f>
        <v>CO2</v>
      </c>
      <c r="I59">
        <f>IF(I58=DbaseIndices!$N$3,DbaseIndices!$N$2,I58+1)</f>
        <v>2015</v>
      </c>
      <c r="J59" s="243">
        <f ca="1">OFFSET(INDIRECT(INDEX(DbaseIndices!J:J,B59)),0,I59-2000+1)</f>
        <v>130.0664121501645</v>
      </c>
    </row>
    <row r="60" spans="1:10" x14ac:dyDescent="0.25">
      <c r="A60">
        <f>IF(I59=DbaseIndices!$N$3,A59+1,A59)</f>
        <v>10</v>
      </c>
      <c r="B60">
        <f>MATCH(A60,DbaseIndices!A:A,0)</f>
        <v>11</v>
      </c>
      <c r="C60" t="str">
        <f>INDEX(DbaseIndices!F:F,$B60)</f>
        <v xml:space="preserve">2 Industrial Processes and Product Use </v>
      </c>
      <c r="D60" t="str">
        <f>INDEX(DbaseIndices!G:G,$B60)</f>
        <v>2B Chemical Industry</v>
      </c>
      <c r="E60" t="str">
        <f>INDEX(DbaseIndices!H:H,$B60)</f>
        <v>2B8 Carbon Black Production</v>
      </c>
      <c r="F60" t="str">
        <f>INDEX(DbaseIndices!I:I,$B60)</f>
        <v>2B8 Carbon Black Production</v>
      </c>
      <c r="G60">
        <f>INDEX(DbaseIndices!D:D,$B60)</f>
        <v>0</v>
      </c>
      <c r="H60" t="str">
        <f>INDEX(DbaseIndices!E:E,$B60)</f>
        <v>CO2</v>
      </c>
      <c r="I60">
        <f>IF(I59=DbaseIndices!$N$3,DbaseIndices!$N$2,I59+1)</f>
        <v>2016</v>
      </c>
      <c r="J60" s="243">
        <f ca="1">OFFSET(INDIRECT(INDEX(DbaseIndices!J:J,B60)),0,I60-2000+1)</f>
        <v>128.6435218605537</v>
      </c>
    </row>
    <row r="61" spans="1:10" x14ac:dyDescent="0.25">
      <c r="A61">
        <f>IF(I60=DbaseIndices!$N$3,A60+1,A60)</f>
        <v>10</v>
      </c>
      <c r="B61">
        <f>MATCH(A61,DbaseIndices!A:A,0)</f>
        <v>11</v>
      </c>
      <c r="C61" t="str">
        <f>INDEX(DbaseIndices!F:F,$B61)</f>
        <v xml:space="preserve">2 Industrial Processes and Product Use </v>
      </c>
      <c r="D61" t="str">
        <f>INDEX(DbaseIndices!G:G,$B61)</f>
        <v>2B Chemical Industry</v>
      </c>
      <c r="E61" t="str">
        <f>INDEX(DbaseIndices!H:H,$B61)</f>
        <v>2B8 Carbon Black Production</v>
      </c>
      <c r="F61" t="str">
        <f>INDEX(DbaseIndices!I:I,$B61)</f>
        <v>2B8 Carbon Black Production</v>
      </c>
      <c r="G61">
        <f>INDEX(DbaseIndices!D:D,$B61)</f>
        <v>0</v>
      </c>
      <c r="H61" t="str">
        <f>INDEX(DbaseIndices!E:E,$B61)</f>
        <v>CO2</v>
      </c>
      <c r="I61">
        <f>IF(I60=DbaseIndices!$N$3,DbaseIndices!$N$2,I60+1)</f>
        <v>2017</v>
      </c>
      <c r="J61" s="243">
        <f ca="1">OFFSET(INDIRECT(INDEX(DbaseIndices!J:J,B61)),0,I61-2000+1)</f>
        <v>127.2361975940445</v>
      </c>
    </row>
    <row r="62" spans="1:10" x14ac:dyDescent="0.25">
      <c r="A62">
        <f>IF(I61=DbaseIndices!$N$3,A61+1,A61)</f>
        <v>11</v>
      </c>
      <c r="B62">
        <f>MATCH(A62,DbaseIndices!A:A,0)</f>
        <v>12</v>
      </c>
      <c r="C62" t="str">
        <f>INDEX(DbaseIndices!F:F,$B62)</f>
        <v xml:space="preserve">2 Industrial Processes and Product Use </v>
      </c>
      <c r="D62" t="str">
        <f>INDEX(DbaseIndices!G:G,$B62)</f>
        <v>2B Chemical Industry</v>
      </c>
      <c r="E62" t="str">
        <f>INDEX(DbaseIndices!H:H,$B62)</f>
        <v>2B8 Carbon Black Production</v>
      </c>
      <c r="F62" t="str">
        <f>INDEX(DbaseIndices!I:I,$B62)</f>
        <v>2B8 Carbon Black Production</v>
      </c>
      <c r="G62">
        <f>INDEX(DbaseIndices!D:D,$B62)</f>
        <v>0</v>
      </c>
      <c r="H62" t="str">
        <f>INDEX(DbaseIndices!E:E,$B62)</f>
        <v>CH4</v>
      </c>
      <c r="I62">
        <f>IF(I61=DbaseIndices!$N$3,DbaseIndices!$N$2,I61+1)</f>
        <v>2012</v>
      </c>
      <c r="J62" s="243">
        <f ca="1">OFFSET(INDIRECT(INDEX(DbaseIndices!J:J,B62)),0,I62-2000+1)</f>
        <v>3.0887999999999996E-3</v>
      </c>
    </row>
    <row r="63" spans="1:10" x14ac:dyDescent="0.25">
      <c r="A63">
        <f>IF(I62=DbaseIndices!$N$3,A62+1,A62)</f>
        <v>11</v>
      </c>
      <c r="B63">
        <f>MATCH(A63,DbaseIndices!A:A,0)</f>
        <v>12</v>
      </c>
      <c r="C63" t="str">
        <f>INDEX(DbaseIndices!F:F,$B63)</f>
        <v xml:space="preserve">2 Industrial Processes and Product Use </v>
      </c>
      <c r="D63" t="str">
        <f>INDEX(DbaseIndices!G:G,$B63)</f>
        <v>2B Chemical Industry</v>
      </c>
      <c r="E63" t="str">
        <f>INDEX(DbaseIndices!H:H,$B63)</f>
        <v>2B8 Carbon Black Production</v>
      </c>
      <c r="F63" t="str">
        <f>INDEX(DbaseIndices!I:I,$B63)</f>
        <v>2B8 Carbon Black Production</v>
      </c>
      <c r="G63">
        <f>INDEX(DbaseIndices!D:D,$B63)</f>
        <v>0</v>
      </c>
      <c r="H63" t="str">
        <f>INDEX(DbaseIndices!E:E,$B63)</f>
        <v>CH4</v>
      </c>
      <c r="I63">
        <f>IF(I62=DbaseIndices!$N$3,DbaseIndices!$N$2,I62+1)</f>
        <v>2013</v>
      </c>
      <c r="J63" s="243">
        <f ca="1">OFFSET(INDIRECT(INDEX(DbaseIndices!J:J,B63)),0,I63-2000+1)</f>
        <v>3.0742788E-3</v>
      </c>
    </row>
    <row r="64" spans="1:10" x14ac:dyDescent="0.25">
      <c r="A64">
        <f>IF(I63=DbaseIndices!$N$3,A63+1,A63)</f>
        <v>11</v>
      </c>
      <c r="B64">
        <f>MATCH(A64,DbaseIndices!A:A,0)</f>
        <v>12</v>
      </c>
      <c r="C64" t="str">
        <f>INDEX(DbaseIndices!F:F,$B64)</f>
        <v xml:space="preserve">2 Industrial Processes and Product Use </v>
      </c>
      <c r="D64" t="str">
        <f>INDEX(DbaseIndices!G:G,$B64)</f>
        <v>2B Chemical Industry</v>
      </c>
      <c r="E64" t="str">
        <f>INDEX(DbaseIndices!H:H,$B64)</f>
        <v>2B8 Carbon Black Production</v>
      </c>
      <c r="F64" t="str">
        <f>INDEX(DbaseIndices!I:I,$B64)</f>
        <v>2B8 Carbon Black Production</v>
      </c>
      <c r="G64">
        <f>INDEX(DbaseIndices!D:D,$B64)</f>
        <v>0</v>
      </c>
      <c r="H64" t="str">
        <f>INDEX(DbaseIndices!E:E,$B64)</f>
        <v>CH4</v>
      </c>
      <c r="I64">
        <f>IF(I63=DbaseIndices!$N$3,DbaseIndices!$N$2,I63+1)</f>
        <v>2014</v>
      </c>
      <c r="J64" s="243">
        <f ca="1">OFFSET(INDIRECT(INDEX(DbaseIndices!J:J,B64)),0,I64-2000+1)</f>
        <v>3.0115658160535415E-3</v>
      </c>
    </row>
    <row r="65" spans="1:10" x14ac:dyDescent="0.25">
      <c r="A65">
        <f>IF(I64=DbaseIndices!$N$3,A64+1,A64)</f>
        <v>11</v>
      </c>
      <c r="B65">
        <f>MATCH(A65,DbaseIndices!A:A,0)</f>
        <v>12</v>
      </c>
      <c r="C65" t="str">
        <f>INDEX(DbaseIndices!F:F,$B65)</f>
        <v xml:space="preserve">2 Industrial Processes and Product Use </v>
      </c>
      <c r="D65" t="str">
        <f>INDEX(DbaseIndices!G:G,$B65)</f>
        <v>2B Chemical Industry</v>
      </c>
      <c r="E65" t="str">
        <f>INDEX(DbaseIndices!H:H,$B65)</f>
        <v>2B8 Carbon Black Production</v>
      </c>
      <c r="F65" t="str">
        <f>INDEX(DbaseIndices!I:I,$B65)</f>
        <v>2B8 Carbon Black Production</v>
      </c>
      <c r="G65">
        <f>INDEX(DbaseIndices!D:D,$B65)</f>
        <v>0</v>
      </c>
      <c r="H65" t="str">
        <f>INDEX(DbaseIndices!E:E,$B65)</f>
        <v>CH4</v>
      </c>
      <c r="I65">
        <f>IF(I64=DbaseIndices!$N$3,DbaseIndices!$N$2,I64+1)</f>
        <v>2015</v>
      </c>
      <c r="J65" s="243">
        <f ca="1">OFFSET(INDIRECT(INDEX(DbaseIndices!J:J,B65)),0,I65-2000+1)</f>
        <v>2.9786201255762863E-3</v>
      </c>
    </row>
    <row r="66" spans="1:10" x14ac:dyDescent="0.25">
      <c r="A66">
        <f>IF(I65=DbaseIndices!$N$3,A65+1,A65)</f>
        <v>11</v>
      </c>
      <c r="B66">
        <f>MATCH(A66,DbaseIndices!A:A,0)</f>
        <v>12</v>
      </c>
      <c r="C66" t="str">
        <f>INDEX(DbaseIndices!F:F,$B66)</f>
        <v xml:space="preserve">2 Industrial Processes and Product Use </v>
      </c>
      <c r="D66" t="str">
        <f>INDEX(DbaseIndices!G:G,$B66)</f>
        <v>2B Chemical Industry</v>
      </c>
      <c r="E66" t="str">
        <f>INDEX(DbaseIndices!H:H,$B66)</f>
        <v>2B8 Carbon Black Production</v>
      </c>
      <c r="F66" t="str">
        <f>INDEX(DbaseIndices!I:I,$B66)</f>
        <v>2B8 Carbon Black Production</v>
      </c>
      <c r="G66">
        <f>INDEX(DbaseIndices!D:D,$B66)</f>
        <v>0</v>
      </c>
      <c r="H66" t="str">
        <f>INDEX(DbaseIndices!E:E,$B66)</f>
        <v>CH4</v>
      </c>
      <c r="I66">
        <f>IF(I65=DbaseIndices!$N$3,DbaseIndices!$N$2,I65+1)</f>
        <v>2016</v>
      </c>
      <c r="J66" s="243">
        <f ca="1">OFFSET(INDIRECT(INDEX(DbaseIndices!J:J,B66)),0,I66-2000+1)</f>
        <v>2.9460348517684051E-3</v>
      </c>
    </row>
    <row r="67" spans="1:10" x14ac:dyDescent="0.25">
      <c r="A67">
        <f>IF(I66=DbaseIndices!$N$3,A66+1,A66)</f>
        <v>11</v>
      </c>
      <c r="B67">
        <f>MATCH(A67,DbaseIndices!A:A,0)</f>
        <v>12</v>
      </c>
      <c r="C67" t="str">
        <f>INDEX(DbaseIndices!F:F,$B67)</f>
        <v xml:space="preserve">2 Industrial Processes and Product Use </v>
      </c>
      <c r="D67" t="str">
        <f>INDEX(DbaseIndices!G:G,$B67)</f>
        <v>2B Chemical Industry</v>
      </c>
      <c r="E67" t="str">
        <f>INDEX(DbaseIndices!H:H,$B67)</f>
        <v>2B8 Carbon Black Production</v>
      </c>
      <c r="F67" t="str">
        <f>INDEX(DbaseIndices!I:I,$B67)</f>
        <v>2B8 Carbon Black Production</v>
      </c>
      <c r="G67">
        <f>INDEX(DbaseIndices!D:D,$B67)</f>
        <v>0</v>
      </c>
      <c r="H67" t="str">
        <f>INDEX(DbaseIndices!E:E,$B67)</f>
        <v>CH4</v>
      </c>
      <c r="I67">
        <f>IF(I66=DbaseIndices!$N$3,DbaseIndices!$N$2,I66+1)</f>
        <v>2017</v>
      </c>
      <c r="J67" s="243">
        <f ca="1">OFFSET(INDIRECT(INDEX(DbaseIndices!J:J,B67)),0,I67-2000+1)</f>
        <v>2.9138060517720108E-3</v>
      </c>
    </row>
    <row r="68" spans="1:10" x14ac:dyDescent="0.25">
      <c r="A68">
        <f>IF(I67=DbaseIndices!$N$3,A67+1,A67)</f>
        <v>12</v>
      </c>
      <c r="B68">
        <f>MATCH(A68,DbaseIndices!A:A,0)</f>
        <v>13</v>
      </c>
      <c r="C68" t="str">
        <f>INDEX(DbaseIndices!F:F,$B68)</f>
        <v xml:space="preserve">2 Industrial Processes and Product Use </v>
      </c>
      <c r="D68" t="str">
        <f>INDEX(DbaseIndices!G:G,$B68)</f>
        <v>2C Metal Industry</v>
      </c>
      <c r="E68" t="str">
        <f>INDEX(DbaseIndices!H:H,$B68)</f>
        <v>2C1 Iron and Steel Production</v>
      </c>
      <c r="F68" t="str">
        <f>INDEX(DbaseIndices!I:I,$B68)</f>
        <v>2C1 Iron and Steel Production</v>
      </c>
      <c r="G68">
        <f>INDEX(DbaseIndices!D:D,$B68)</f>
        <v>0</v>
      </c>
      <c r="H68" t="str">
        <f>INDEX(DbaseIndices!E:E,$B68)</f>
        <v>CO2</v>
      </c>
      <c r="I68">
        <f>IF(I67=DbaseIndices!$N$3,DbaseIndices!$N$2,I67+1)</f>
        <v>2012</v>
      </c>
      <c r="J68" s="243">
        <f ca="1">OFFSET(INDIRECT(INDEX(DbaseIndices!J:J,B68)),0,I68-2000+1)</f>
        <v>15020.696860000002</v>
      </c>
    </row>
    <row r="69" spans="1:10" x14ac:dyDescent="0.25">
      <c r="A69">
        <f>IF(I68=DbaseIndices!$N$3,A68+1,A68)</f>
        <v>12</v>
      </c>
      <c r="B69">
        <f>MATCH(A69,DbaseIndices!A:A,0)</f>
        <v>13</v>
      </c>
      <c r="C69" t="str">
        <f>INDEX(DbaseIndices!F:F,$B69)</f>
        <v xml:space="preserve">2 Industrial Processes and Product Use </v>
      </c>
      <c r="D69" t="str">
        <f>INDEX(DbaseIndices!G:G,$B69)</f>
        <v>2C Metal Industry</v>
      </c>
      <c r="E69" t="str">
        <f>INDEX(DbaseIndices!H:H,$B69)</f>
        <v>2C1 Iron and Steel Production</v>
      </c>
      <c r="F69" t="str">
        <f>INDEX(DbaseIndices!I:I,$B69)</f>
        <v>2C1 Iron and Steel Production</v>
      </c>
      <c r="G69">
        <f>INDEX(DbaseIndices!D:D,$B69)</f>
        <v>0</v>
      </c>
      <c r="H69" t="str">
        <f>INDEX(DbaseIndices!E:E,$B69)</f>
        <v>CO2</v>
      </c>
      <c r="I69">
        <f>IF(I68=DbaseIndices!$N$3,DbaseIndices!$N$2,I68+1)</f>
        <v>2013</v>
      </c>
      <c r="J69" s="243">
        <f ca="1">OFFSET(INDIRECT(INDEX(DbaseIndices!J:J,B69)),0,I69-2000+1)</f>
        <v>15582.114970055352</v>
      </c>
    </row>
    <row r="70" spans="1:10" x14ac:dyDescent="0.25">
      <c r="A70">
        <f>IF(I69=DbaseIndices!$N$3,A69+1,A69)</f>
        <v>12</v>
      </c>
      <c r="B70">
        <f>MATCH(A70,DbaseIndices!A:A,0)</f>
        <v>13</v>
      </c>
      <c r="C70" t="str">
        <f>INDEX(DbaseIndices!F:F,$B70)</f>
        <v xml:space="preserve">2 Industrial Processes and Product Use </v>
      </c>
      <c r="D70" t="str">
        <f>INDEX(DbaseIndices!G:G,$B70)</f>
        <v>2C Metal Industry</v>
      </c>
      <c r="E70" t="str">
        <f>INDEX(DbaseIndices!H:H,$B70)</f>
        <v>2C1 Iron and Steel Production</v>
      </c>
      <c r="F70" t="str">
        <f>INDEX(DbaseIndices!I:I,$B70)</f>
        <v>2C1 Iron and Steel Production</v>
      </c>
      <c r="G70">
        <f>INDEX(DbaseIndices!D:D,$B70)</f>
        <v>0</v>
      </c>
      <c r="H70" t="str">
        <f>INDEX(DbaseIndices!E:E,$B70)</f>
        <v>CO2</v>
      </c>
      <c r="I70">
        <f>IF(I69=DbaseIndices!$N$3,DbaseIndices!$N$2,I69+1)</f>
        <v>2014</v>
      </c>
      <c r="J70" s="243">
        <f ca="1">OFFSET(INDIRECT(INDEX(DbaseIndices!J:J,B70)),0,I70-2000+1)</f>
        <v>14363.524995027368</v>
      </c>
    </row>
    <row r="71" spans="1:10" x14ac:dyDescent="0.25">
      <c r="A71">
        <f>IF(I70=DbaseIndices!$N$3,A70+1,A70)</f>
        <v>12</v>
      </c>
      <c r="B71">
        <f>MATCH(A71,DbaseIndices!A:A,0)</f>
        <v>13</v>
      </c>
      <c r="C71" t="str">
        <f>INDEX(DbaseIndices!F:F,$B71)</f>
        <v xml:space="preserve">2 Industrial Processes and Product Use </v>
      </c>
      <c r="D71" t="str">
        <f>INDEX(DbaseIndices!G:G,$B71)</f>
        <v>2C Metal Industry</v>
      </c>
      <c r="E71" t="str">
        <f>INDEX(DbaseIndices!H:H,$B71)</f>
        <v>2C1 Iron and Steel Production</v>
      </c>
      <c r="F71" t="str">
        <f>INDEX(DbaseIndices!I:I,$B71)</f>
        <v>2C1 Iron and Steel Production</v>
      </c>
      <c r="G71">
        <f>INDEX(DbaseIndices!D:D,$B71)</f>
        <v>0</v>
      </c>
      <c r="H71" t="str">
        <f>INDEX(DbaseIndices!E:E,$B71)</f>
        <v>CO2</v>
      </c>
      <c r="I71">
        <f>IF(I70=DbaseIndices!$N$3,DbaseIndices!$N$2,I70+1)</f>
        <v>2015</v>
      </c>
      <c r="J71" s="243">
        <f ca="1">OFFSET(INDIRECT(INDEX(DbaseIndices!J:J,B71)),0,I71-2000+1)</f>
        <v>14093.548470927624</v>
      </c>
    </row>
    <row r="72" spans="1:10" x14ac:dyDescent="0.25">
      <c r="A72">
        <f>IF(I71=DbaseIndices!$N$3,A71+1,A71)</f>
        <v>12</v>
      </c>
      <c r="B72">
        <f>MATCH(A72,DbaseIndices!A:A,0)</f>
        <v>13</v>
      </c>
      <c r="C72" t="str">
        <f>INDEX(DbaseIndices!F:F,$B72)</f>
        <v xml:space="preserve">2 Industrial Processes and Product Use </v>
      </c>
      <c r="D72" t="str">
        <f>INDEX(DbaseIndices!G:G,$B72)</f>
        <v>2C Metal Industry</v>
      </c>
      <c r="E72" t="str">
        <f>INDEX(DbaseIndices!H:H,$B72)</f>
        <v>2C1 Iron and Steel Production</v>
      </c>
      <c r="F72" t="str">
        <f>INDEX(DbaseIndices!I:I,$B72)</f>
        <v>2C1 Iron and Steel Production</v>
      </c>
      <c r="G72">
        <f>INDEX(DbaseIndices!D:D,$B72)</f>
        <v>0</v>
      </c>
      <c r="H72" t="str">
        <f>INDEX(DbaseIndices!E:E,$B72)</f>
        <v>CO2</v>
      </c>
      <c r="I72">
        <f>IF(I71=DbaseIndices!$N$3,DbaseIndices!$N$2,I71+1)</f>
        <v>2016</v>
      </c>
      <c r="J72" s="243">
        <f ca="1">OFFSET(INDIRECT(INDEX(DbaseIndices!J:J,B72)),0,I72-2000+1)</f>
        <v>14829.058053603329</v>
      </c>
    </row>
    <row r="73" spans="1:10" x14ac:dyDescent="0.25">
      <c r="A73">
        <f>IF(I72=DbaseIndices!$N$3,A72+1,A72)</f>
        <v>12</v>
      </c>
      <c r="B73">
        <f>MATCH(A73,DbaseIndices!A:A,0)</f>
        <v>13</v>
      </c>
      <c r="C73" t="str">
        <f>INDEX(DbaseIndices!F:F,$B73)</f>
        <v xml:space="preserve">2 Industrial Processes and Product Use </v>
      </c>
      <c r="D73" t="str">
        <f>INDEX(DbaseIndices!G:G,$B73)</f>
        <v>2C Metal Industry</v>
      </c>
      <c r="E73" t="str">
        <f>INDEX(DbaseIndices!H:H,$B73)</f>
        <v>2C1 Iron and Steel Production</v>
      </c>
      <c r="F73" t="str">
        <f>INDEX(DbaseIndices!I:I,$B73)</f>
        <v>2C1 Iron and Steel Production</v>
      </c>
      <c r="G73">
        <f>INDEX(DbaseIndices!D:D,$B73)</f>
        <v>0</v>
      </c>
      <c r="H73" t="str">
        <f>INDEX(DbaseIndices!E:E,$B73)</f>
        <v>CO2</v>
      </c>
      <c r="I73">
        <f>IF(I72=DbaseIndices!$N$3,DbaseIndices!$N$2,I72+1)</f>
        <v>2017</v>
      </c>
      <c r="J73" s="243">
        <f ca="1">OFFSET(INDIRECT(INDEX(DbaseIndices!J:J,B73)),0,I73-2000+1)</f>
        <v>15074.336748610733</v>
      </c>
    </row>
    <row r="74" spans="1:10" x14ac:dyDescent="0.25">
      <c r="A74">
        <f>IF(I73=DbaseIndices!$N$3,A73+1,A73)</f>
        <v>13</v>
      </c>
      <c r="B74">
        <f>MATCH(A74,DbaseIndices!A:A,0)</f>
        <v>14</v>
      </c>
      <c r="C74" t="str">
        <f>INDEX(DbaseIndices!F:F,$B74)</f>
        <v xml:space="preserve">2 Industrial Processes and Product Use </v>
      </c>
      <c r="D74" t="str">
        <f>INDEX(DbaseIndices!G:G,$B74)</f>
        <v>2C Metal Industry</v>
      </c>
      <c r="E74" t="str">
        <f>INDEX(DbaseIndices!H:H,$B74)</f>
        <v>2C2 Ferroalloys production</v>
      </c>
      <c r="F74" t="str">
        <f>INDEX(DbaseIndices!I:I,$B74)</f>
        <v>2C2 Ferroalloys production</v>
      </c>
      <c r="G74">
        <f>INDEX(DbaseIndices!D:D,$B74)</f>
        <v>0</v>
      </c>
      <c r="H74" t="str">
        <f>INDEX(DbaseIndices!E:E,$B74)</f>
        <v>CO2</v>
      </c>
      <c r="I74">
        <f>IF(I73=DbaseIndices!$N$3,DbaseIndices!$N$2,I73+1)</f>
        <v>2012</v>
      </c>
      <c r="J74" s="243">
        <f ca="1">OFFSET(INDIRECT(INDEX(DbaseIndices!J:J,B74)),0,I74-2000+1)</f>
        <v>11624.16476</v>
      </c>
    </row>
    <row r="75" spans="1:10" x14ac:dyDescent="0.25">
      <c r="A75">
        <f>IF(I74=DbaseIndices!$N$3,A74+1,A74)</f>
        <v>13</v>
      </c>
      <c r="B75">
        <f>MATCH(A75,DbaseIndices!A:A,0)</f>
        <v>14</v>
      </c>
      <c r="C75" t="str">
        <f>INDEX(DbaseIndices!F:F,$B75)</f>
        <v xml:space="preserve">2 Industrial Processes and Product Use </v>
      </c>
      <c r="D75" t="str">
        <f>INDEX(DbaseIndices!G:G,$B75)</f>
        <v>2C Metal Industry</v>
      </c>
      <c r="E75" t="str">
        <f>INDEX(DbaseIndices!H:H,$B75)</f>
        <v>2C2 Ferroalloys production</v>
      </c>
      <c r="F75" t="str">
        <f>INDEX(DbaseIndices!I:I,$B75)</f>
        <v>2C2 Ferroalloys production</v>
      </c>
      <c r="G75">
        <f>INDEX(DbaseIndices!D:D,$B75)</f>
        <v>0</v>
      </c>
      <c r="H75" t="str">
        <f>INDEX(DbaseIndices!E:E,$B75)</f>
        <v>CO2</v>
      </c>
      <c r="I75">
        <f>IF(I74=DbaseIndices!$N$3,DbaseIndices!$N$2,I74+1)</f>
        <v>2013</v>
      </c>
      <c r="J75" s="243">
        <f ca="1">OFFSET(INDIRECT(INDEX(DbaseIndices!J:J,B75)),0,I75-2000+1)</f>
        <v>11961.76988</v>
      </c>
    </row>
    <row r="76" spans="1:10" x14ac:dyDescent="0.25">
      <c r="A76">
        <f>IF(I75=DbaseIndices!$N$3,A75+1,A75)</f>
        <v>13</v>
      </c>
      <c r="B76">
        <f>MATCH(A76,DbaseIndices!A:A,0)</f>
        <v>14</v>
      </c>
      <c r="C76" t="str">
        <f>INDEX(DbaseIndices!F:F,$B76)</f>
        <v xml:space="preserve">2 Industrial Processes and Product Use </v>
      </c>
      <c r="D76" t="str">
        <f>INDEX(DbaseIndices!G:G,$B76)</f>
        <v>2C Metal Industry</v>
      </c>
      <c r="E76" t="str">
        <f>INDEX(DbaseIndices!H:H,$B76)</f>
        <v>2C2 Ferroalloys production</v>
      </c>
      <c r="F76" t="str">
        <f>INDEX(DbaseIndices!I:I,$B76)</f>
        <v>2C2 Ferroalloys production</v>
      </c>
      <c r="G76">
        <f>INDEX(DbaseIndices!D:D,$B76)</f>
        <v>0</v>
      </c>
      <c r="H76" t="str">
        <f>INDEX(DbaseIndices!E:E,$B76)</f>
        <v>CO2</v>
      </c>
      <c r="I76">
        <f>IF(I75=DbaseIndices!$N$3,DbaseIndices!$N$2,I75+1)</f>
        <v>2014</v>
      </c>
      <c r="J76" s="243">
        <f ca="1">OFFSET(INDIRECT(INDEX(DbaseIndices!J:J,B76)),0,I76-2000+1)</f>
        <v>13894.35728</v>
      </c>
    </row>
    <row r="77" spans="1:10" x14ac:dyDescent="0.25">
      <c r="A77">
        <f>IF(I76=DbaseIndices!$N$3,A76+1,A76)</f>
        <v>13</v>
      </c>
      <c r="B77">
        <f>MATCH(A77,DbaseIndices!A:A,0)</f>
        <v>14</v>
      </c>
      <c r="C77" t="str">
        <f>INDEX(DbaseIndices!F:F,$B77)</f>
        <v xml:space="preserve">2 Industrial Processes and Product Use </v>
      </c>
      <c r="D77" t="str">
        <f>INDEX(DbaseIndices!G:G,$B77)</f>
        <v>2C Metal Industry</v>
      </c>
      <c r="E77" t="str">
        <f>INDEX(DbaseIndices!H:H,$B77)</f>
        <v>2C2 Ferroalloys production</v>
      </c>
      <c r="F77" t="str">
        <f>INDEX(DbaseIndices!I:I,$B77)</f>
        <v>2C2 Ferroalloys production</v>
      </c>
      <c r="G77">
        <f>INDEX(DbaseIndices!D:D,$B77)</f>
        <v>0</v>
      </c>
      <c r="H77" t="str">
        <f>INDEX(DbaseIndices!E:E,$B77)</f>
        <v>CO2</v>
      </c>
      <c r="I77">
        <f>IF(I76=DbaseIndices!$N$3,DbaseIndices!$N$2,I76+1)</f>
        <v>2015</v>
      </c>
      <c r="J77" s="243">
        <f ca="1">OFFSET(INDIRECT(INDEX(DbaseIndices!J:J,B77)),0,I77-2000+1)</f>
        <v>13416.256200000002</v>
      </c>
    </row>
    <row r="78" spans="1:10" x14ac:dyDescent="0.25">
      <c r="A78">
        <f>IF(I77=DbaseIndices!$N$3,A77+1,A77)</f>
        <v>13</v>
      </c>
      <c r="B78">
        <f>MATCH(A78,DbaseIndices!A:A,0)</f>
        <v>14</v>
      </c>
      <c r="C78" t="str">
        <f>INDEX(DbaseIndices!F:F,$B78)</f>
        <v xml:space="preserve">2 Industrial Processes and Product Use </v>
      </c>
      <c r="D78" t="str">
        <f>INDEX(DbaseIndices!G:G,$B78)</f>
        <v>2C Metal Industry</v>
      </c>
      <c r="E78" t="str">
        <f>INDEX(DbaseIndices!H:H,$B78)</f>
        <v>2C2 Ferroalloys production</v>
      </c>
      <c r="F78" t="str">
        <f>INDEX(DbaseIndices!I:I,$B78)</f>
        <v>2C2 Ferroalloys production</v>
      </c>
      <c r="G78">
        <f>INDEX(DbaseIndices!D:D,$B78)</f>
        <v>0</v>
      </c>
      <c r="H78" t="str">
        <f>INDEX(DbaseIndices!E:E,$B78)</f>
        <v>CO2</v>
      </c>
      <c r="I78">
        <f>IF(I77=DbaseIndices!$N$3,DbaseIndices!$N$2,I77+1)</f>
        <v>2016</v>
      </c>
      <c r="J78" s="243">
        <f ca="1">OFFSET(INDIRECT(INDEX(DbaseIndices!J:J,B78)),0,I78-2000+1)</f>
        <v>12459.426799079587</v>
      </c>
    </row>
    <row r="79" spans="1:10" x14ac:dyDescent="0.25">
      <c r="A79">
        <f>IF(I78=DbaseIndices!$N$3,A78+1,A78)</f>
        <v>13</v>
      </c>
      <c r="B79">
        <f>MATCH(A79,DbaseIndices!A:A,0)</f>
        <v>14</v>
      </c>
      <c r="C79" t="str">
        <f>INDEX(DbaseIndices!F:F,$B79)</f>
        <v xml:space="preserve">2 Industrial Processes and Product Use </v>
      </c>
      <c r="D79" t="str">
        <f>INDEX(DbaseIndices!G:G,$B79)</f>
        <v>2C Metal Industry</v>
      </c>
      <c r="E79" t="str">
        <f>INDEX(DbaseIndices!H:H,$B79)</f>
        <v>2C2 Ferroalloys production</v>
      </c>
      <c r="F79" t="str">
        <f>INDEX(DbaseIndices!I:I,$B79)</f>
        <v>2C2 Ferroalloys production</v>
      </c>
      <c r="G79">
        <f>INDEX(DbaseIndices!D:D,$B79)</f>
        <v>0</v>
      </c>
      <c r="H79" t="str">
        <f>INDEX(DbaseIndices!E:E,$B79)</f>
        <v>CO2</v>
      </c>
      <c r="I79">
        <f>IF(I78=DbaseIndices!$N$3,DbaseIndices!$N$2,I78+1)</f>
        <v>2017</v>
      </c>
      <c r="J79" s="243">
        <f ca="1">OFFSET(INDIRECT(INDEX(DbaseIndices!J:J,B79)),0,I79-2000+1)</f>
        <v>12572.294614347698</v>
      </c>
    </row>
    <row r="80" spans="1:10" x14ac:dyDescent="0.25">
      <c r="A80">
        <f>IF(I79=DbaseIndices!$N$3,A79+1,A79)</f>
        <v>14</v>
      </c>
      <c r="B80">
        <f>MATCH(A80,DbaseIndices!A:A,0)</f>
        <v>15</v>
      </c>
      <c r="C80" t="str">
        <f>INDEX(DbaseIndices!F:F,$B80)</f>
        <v xml:space="preserve">2 Industrial Processes and Product Use </v>
      </c>
      <c r="D80" t="str">
        <f>INDEX(DbaseIndices!G:G,$B80)</f>
        <v>2C Metal Industry</v>
      </c>
      <c r="E80" t="str">
        <f>INDEX(DbaseIndices!H:H,$B80)</f>
        <v>2C2 Ferroalloys production</v>
      </c>
      <c r="F80" t="str">
        <f>INDEX(DbaseIndices!I:I,$B80)</f>
        <v>2C2 Ferroalloys production</v>
      </c>
      <c r="G80">
        <f>INDEX(DbaseIndices!D:D,$B80)</f>
        <v>0</v>
      </c>
      <c r="H80" t="str">
        <f>INDEX(DbaseIndices!E:E,$B80)</f>
        <v>CH4</v>
      </c>
      <c r="I80">
        <f>IF(I79=DbaseIndices!$N$3,DbaseIndices!$N$2,I79+1)</f>
        <v>2012</v>
      </c>
      <c r="J80" s="243">
        <f ca="1">OFFSET(INDIRECT(INDEX(DbaseIndices!J:J,B80)),0,I80-2000+1)</f>
        <v>0.1467</v>
      </c>
    </row>
    <row r="81" spans="1:10" x14ac:dyDescent="0.25">
      <c r="A81">
        <f>IF(I80=DbaseIndices!$N$3,A80+1,A80)</f>
        <v>14</v>
      </c>
      <c r="B81">
        <f>MATCH(A81,DbaseIndices!A:A,0)</f>
        <v>15</v>
      </c>
      <c r="C81" t="str">
        <f>INDEX(DbaseIndices!F:F,$B81)</f>
        <v xml:space="preserve">2 Industrial Processes and Product Use </v>
      </c>
      <c r="D81" t="str">
        <f>INDEX(DbaseIndices!G:G,$B81)</f>
        <v>2C Metal Industry</v>
      </c>
      <c r="E81" t="str">
        <f>INDEX(DbaseIndices!H:H,$B81)</f>
        <v>2C2 Ferroalloys production</v>
      </c>
      <c r="F81" t="str">
        <f>INDEX(DbaseIndices!I:I,$B81)</f>
        <v>2C2 Ferroalloys production</v>
      </c>
      <c r="G81">
        <f>INDEX(DbaseIndices!D:D,$B81)</f>
        <v>0</v>
      </c>
      <c r="H81" t="str">
        <f>INDEX(DbaseIndices!E:E,$B81)</f>
        <v>CH4</v>
      </c>
      <c r="I81">
        <f>IF(I80=DbaseIndices!$N$3,DbaseIndices!$N$2,I80+1)</f>
        <v>2013</v>
      </c>
      <c r="J81" s="243">
        <f ca="1">OFFSET(INDIRECT(INDEX(DbaseIndices!J:J,B81)),0,I81-2000+1)</f>
        <v>0.1192</v>
      </c>
    </row>
    <row r="82" spans="1:10" x14ac:dyDescent="0.25">
      <c r="A82">
        <f>IF(I81=DbaseIndices!$N$3,A81+1,A81)</f>
        <v>14</v>
      </c>
      <c r="B82">
        <f>MATCH(A82,DbaseIndices!A:A,0)</f>
        <v>15</v>
      </c>
      <c r="C82" t="str">
        <f>INDEX(DbaseIndices!F:F,$B82)</f>
        <v xml:space="preserve">2 Industrial Processes and Product Use </v>
      </c>
      <c r="D82" t="str">
        <f>INDEX(DbaseIndices!G:G,$B82)</f>
        <v>2C Metal Industry</v>
      </c>
      <c r="E82" t="str">
        <f>INDEX(DbaseIndices!H:H,$B82)</f>
        <v>2C2 Ferroalloys production</v>
      </c>
      <c r="F82" t="str">
        <f>INDEX(DbaseIndices!I:I,$B82)</f>
        <v>2C2 Ferroalloys production</v>
      </c>
      <c r="G82">
        <f>INDEX(DbaseIndices!D:D,$B82)</f>
        <v>0</v>
      </c>
      <c r="H82" t="str">
        <f>INDEX(DbaseIndices!E:E,$B82)</f>
        <v>CH4</v>
      </c>
      <c r="I82">
        <f>IF(I81=DbaseIndices!$N$3,DbaseIndices!$N$2,I81+1)</f>
        <v>2014</v>
      </c>
      <c r="J82" s="243">
        <f ca="1">OFFSET(INDIRECT(INDEX(DbaseIndices!J:J,B82)),0,I82-2000+1)</f>
        <v>0.14434</v>
      </c>
    </row>
    <row r="83" spans="1:10" x14ac:dyDescent="0.25">
      <c r="A83">
        <f>IF(I82=DbaseIndices!$N$3,A82+1,A82)</f>
        <v>14</v>
      </c>
      <c r="B83">
        <f>MATCH(A83,DbaseIndices!A:A,0)</f>
        <v>15</v>
      </c>
      <c r="C83" t="str">
        <f>INDEX(DbaseIndices!F:F,$B83)</f>
        <v xml:space="preserve">2 Industrial Processes and Product Use </v>
      </c>
      <c r="D83" t="str">
        <f>INDEX(DbaseIndices!G:G,$B83)</f>
        <v>2C Metal Industry</v>
      </c>
      <c r="E83" t="str">
        <f>INDEX(DbaseIndices!H:H,$B83)</f>
        <v>2C2 Ferroalloys production</v>
      </c>
      <c r="F83" t="str">
        <f>INDEX(DbaseIndices!I:I,$B83)</f>
        <v>2C2 Ferroalloys production</v>
      </c>
      <c r="G83">
        <f>INDEX(DbaseIndices!D:D,$B83)</f>
        <v>0</v>
      </c>
      <c r="H83" t="str">
        <f>INDEX(DbaseIndices!E:E,$B83)</f>
        <v>CH4</v>
      </c>
      <c r="I83">
        <f>IF(I82=DbaseIndices!$N$3,DbaseIndices!$N$2,I82+1)</f>
        <v>2015</v>
      </c>
      <c r="J83" s="243">
        <f ca="1">OFFSET(INDIRECT(INDEX(DbaseIndices!J:J,B83)),0,I83-2000+1)</f>
        <v>0.18912000000000001</v>
      </c>
    </row>
    <row r="84" spans="1:10" x14ac:dyDescent="0.25">
      <c r="A84">
        <f>IF(I83=DbaseIndices!$N$3,A83+1,A83)</f>
        <v>14</v>
      </c>
      <c r="B84">
        <f>MATCH(A84,DbaseIndices!A:A,0)</f>
        <v>15</v>
      </c>
      <c r="C84" t="str">
        <f>INDEX(DbaseIndices!F:F,$B84)</f>
        <v xml:space="preserve">2 Industrial Processes and Product Use </v>
      </c>
      <c r="D84" t="str">
        <f>INDEX(DbaseIndices!G:G,$B84)</f>
        <v>2C Metal Industry</v>
      </c>
      <c r="E84" t="str">
        <f>INDEX(DbaseIndices!H:H,$B84)</f>
        <v>2C2 Ferroalloys production</v>
      </c>
      <c r="F84" t="str">
        <f>INDEX(DbaseIndices!I:I,$B84)</f>
        <v>2C2 Ferroalloys production</v>
      </c>
      <c r="G84">
        <f>INDEX(DbaseIndices!D:D,$B84)</f>
        <v>0</v>
      </c>
      <c r="H84" t="str">
        <f>INDEX(DbaseIndices!E:E,$B84)</f>
        <v>CH4</v>
      </c>
      <c r="I84">
        <f>IF(I83=DbaseIndices!$N$3,DbaseIndices!$N$2,I83+1)</f>
        <v>2016</v>
      </c>
      <c r="J84" s="243">
        <f ca="1">OFFSET(INDIRECT(INDEX(DbaseIndices!J:J,B84)),0,I84-2000+1)</f>
        <v>0.15184999199999999</v>
      </c>
    </row>
    <row r="85" spans="1:10" x14ac:dyDescent="0.25">
      <c r="A85">
        <f>IF(I84=DbaseIndices!$N$3,A84+1,A84)</f>
        <v>14</v>
      </c>
      <c r="B85">
        <f>MATCH(A85,DbaseIndices!A:A,0)</f>
        <v>15</v>
      </c>
      <c r="C85" t="str">
        <f>INDEX(DbaseIndices!F:F,$B85)</f>
        <v xml:space="preserve">2 Industrial Processes and Product Use </v>
      </c>
      <c r="D85" t="str">
        <f>INDEX(DbaseIndices!G:G,$B85)</f>
        <v>2C Metal Industry</v>
      </c>
      <c r="E85" t="str">
        <f>INDEX(DbaseIndices!H:H,$B85)</f>
        <v>2C2 Ferroalloys production</v>
      </c>
      <c r="F85" t="str">
        <f>INDEX(DbaseIndices!I:I,$B85)</f>
        <v>2C2 Ferroalloys production</v>
      </c>
      <c r="G85">
        <f>INDEX(DbaseIndices!D:D,$B85)</f>
        <v>0</v>
      </c>
      <c r="H85" t="str">
        <f>INDEX(DbaseIndices!E:E,$B85)</f>
        <v>CH4</v>
      </c>
      <c r="I85">
        <f>IF(I84=DbaseIndices!$N$3,DbaseIndices!$N$2,I84+1)</f>
        <v>2017</v>
      </c>
      <c r="J85" s="243">
        <f ca="1">OFFSET(INDIRECT(INDEX(DbaseIndices!J:J,B85)),0,I85-2000+1)</f>
        <v>0.146199512</v>
      </c>
    </row>
    <row r="86" spans="1:10" x14ac:dyDescent="0.25">
      <c r="A86">
        <f>IF(I85=DbaseIndices!$N$3,A85+1,A85)</f>
        <v>15</v>
      </c>
      <c r="B86">
        <f>MATCH(A86,DbaseIndices!A:A,0)</f>
        <v>16</v>
      </c>
      <c r="C86" t="str">
        <f>INDEX(DbaseIndices!F:F,$B86)</f>
        <v xml:space="preserve">2 Industrial Processes and Product Use </v>
      </c>
      <c r="D86" t="str">
        <f>INDEX(DbaseIndices!G:G,$B86)</f>
        <v>2C Metal Industry</v>
      </c>
      <c r="E86" t="str">
        <f>INDEX(DbaseIndices!H:H,$B86)</f>
        <v>2C3 Aluminium Production</v>
      </c>
      <c r="F86" t="str">
        <f>INDEX(DbaseIndices!I:I,$B86)</f>
        <v>2C3 Aluminium Production</v>
      </c>
      <c r="G86">
        <f>INDEX(DbaseIndices!D:D,$B86)</f>
        <v>0</v>
      </c>
      <c r="H86" t="str">
        <f>INDEX(DbaseIndices!E:E,$B86)</f>
        <v>CO2</v>
      </c>
      <c r="I86">
        <f>IF(I85=DbaseIndices!$N$3,DbaseIndices!$N$2,I85+1)</f>
        <v>2012</v>
      </c>
      <c r="J86" s="243">
        <f ca="1">OFFSET(INDIRECT(INDEX(DbaseIndices!J:J,B86)),0,I86-2000+1)</f>
        <v>1066.864</v>
      </c>
    </row>
    <row r="87" spans="1:10" x14ac:dyDescent="0.25">
      <c r="A87">
        <f>IF(I86=DbaseIndices!$N$3,A86+1,A86)</f>
        <v>15</v>
      </c>
      <c r="B87">
        <f>MATCH(A87,DbaseIndices!A:A,0)</f>
        <v>16</v>
      </c>
      <c r="C87" t="str">
        <f>INDEX(DbaseIndices!F:F,$B87)</f>
        <v xml:space="preserve">2 Industrial Processes and Product Use </v>
      </c>
      <c r="D87" t="str">
        <f>INDEX(DbaseIndices!G:G,$B87)</f>
        <v>2C Metal Industry</v>
      </c>
      <c r="E87" t="str">
        <f>INDEX(DbaseIndices!H:H,$B87)</f>
        <v>2C3 Aluminium Production</v>
      </c>
      <c r="F87" t="str">
        <f>INDEX(DbaseIndices!I:I,$B87)</f>
        <v>2C3 Aluminium Production</v>
      </c>
      <c r="G87">
        <f>INDEX(DbaseIndices!D:D,$B87)</f>
        <v>0</v>
      </c>
      <c r="H87" t="str">
        <f>INDEX(DbaseIndices!E:E,$B87)</f>
        <v>CO2</v>
      </c>
      <c r="I87">
        <f>IF(I86=DbaseIndices!$N$3,DbaseIndices!$N$2,I86+1)</f>
        <v>2013</v>
      </c>
      <c r="J87" s="243">
        <f ca="1">OFFSET(INDIRECT(INDEX(DbaseIndices!J:J,B87)),0,I87-2000+1)</f>
        <v>1318.4</v>
      </c>
    </row>
    <row r="88" spans="1:10" x14ac:dyDescent="0.25">
      <c r="A88">
        <f>IF(I87=DbaseIndices!$N$3,A87+1,A87)</f>
        <v>15</v>
      </c>
      <c r="B88">
        <f>MATCH(A88,DbaseIndices!A:A,0)</f>
        <v>16</v>
      </c>
      <c r="C88" t="str">
        <f>INDEX(DbaseIndices!F:F,$B88)</f>
        <v xml:space="preserve">2 Industrial Processes and Product Use </v>
      </c>
      <c r="D88" t="str">
        <f>INDEX(DbaseIndices!G:G,$B88)</f>
        <v>2C Metal Industry</v>
      </c>
      <c r="E88" t="str">
        <f>INDEX(DbaseIndices!H:H,$B88)</f>
        <v>2C3 Aluminium Production</v>
      </c>
      <c r="F88" t="str">
        <f>INDEX(DbaseIndices!I:I,$B88)</f>
        <v>2C3 Aluminium Production</v>
      </c>
      <c r="G88">
        <f>INDEX(DbaseIndices!D:D,$B88)</f>
        <v>0</v>
      </c>
      <c r="H88" t="str">
        <f>INDEX(DbaseIndices!E:E,$B88)</f>
        <v>CO2</v>
      </c>
      <c r="I88">
        <f>IF(I87=DbaseIndices!$N$3,DbaseIndices!$N$2,I87+1)</f>
        <v>2014</v>
      </c>
      <c r="J88" s="243">
        <f ca="1">OFFSET(INDIRECT(INDEX(DbaseIndices!J:J,B88)),0,I88-2000+1)</f>
        <v>1230.8800000000001</v>
      </c>
    </row>
    <row r="89" spans="1:10" x14ac:dyDescent="0.25">
      <c r="A89">
        <f>IF(I88=DbaseIndices!$N$3,A88+1,A88)</f>
        <v>15</v>
      </c>
      <c r="B89">
        <f>MATCH(A89,DbaseIndices!A:A,0)</f>
        <v>16</v>
      </c>
      <c r="C89" t="str">
        <f>INDEX(DbaseIndices!F:F,$B89)</f>
        <v xml:space="preserve">2 Industrial Processes and Product Use </v>
      </c>
      <c r="D89" t="str">
        <f>INDEX(DbaseIndices!G:G,$B89)</f>
        <v>2C Metal Industry</v>
      </c>
      <c r="E89" t="str">
        <f>INDEX(DbaseIndices!H:H,$B89)</f>
        <v>2C3 Aluminium Production</v>
      </c>
      <c r="F89" t="str">
        <f>INDEX(DbaseIndices!I:I,$B89)</f>
        <v>2C3 Aluminium Production</v>
      </c>
      <c r="G89">
        <f>INDEX(DbaseIndices!D:D,$B89)</f>
        <v>0</v>
      </c>
      <c r="H89" t="str">
        <f>INDEX(DbaseIndices!E:E,$B89)</f>
        <v>CO2</v>
      </c>
      <c r="I89">
        <f>IF(I88=DbaseIndices!$N$3,DbaseIndices!$N$2,I88+1)</f>
        <v>2015</v>
      </c>
      <c r="J89" s="243">
        <f ca="1">OFFSET(INDIRECT(INDEX(DbaseIndices!J:J,B89)),0,I89-2000+1)</f>
        <v>1178.4000000000001</v>
      </c>
    </row>
    <row r="90" spans="1:10" x14ac:dyDescent="0.25">
      <c r="A90">
        <f>IF(I89=DbaseIndices!$N$3,A89+1,A89)</f>
        <v>15</v>
      </c>
      <c r="B90">
        <f>MATCH(A90,DbaseIndices!A:A,0)</f>
        <v>16</v>
      </c>
      <c r="C90" t="str">
        <f>INDEX(DbaseIndices!F:F,$B90)</f>
        <v xml:space="preserve">2 Industrial Processes and Product Use </v>
      </c>
      <c r="D90" t="str">
        <f>INDEX(DbaseIndices!G:G,$B90)</f>
        <v>2C Metal Industry</v>
      </c>
      <c r="E90" t="str">
        <f>INDEX(DbaseIndices!H:H,$B90)</f>
        <v>2C3 Aluminium Production</v>
      </c>
      <c r="F90" t="str">
        <f>INDEX(DbaseIndices!I:I,$B90)</f>
        <v>2C3 Aluminium Production</v>
      </c>
      <c r="G90">
        <f>INDEX(DbaseIndices!D:D,$B90)</f>
        <v>0</v>
      </c>
      <c r="H90" t="str">
        <f>INDEX(DbaseIndices!E:E,$B90)</f>
        <v>CO2</v>
      </c>
      <c r="I90">
        <f>IF(I89=DbaseIndices!$N$3,DbaseIndices!$N$2,I89+1)</f>
        <v>2016</v>
      </c>
      <c r="J90" s="243">
        <f ca="1">OFFSET(INDIRECT(INDEX(DbaseIndices!J:J,B90)),0,I90-2000+1)</f>
        <v>1313.0896853372371</v>
      </c>
    </row>
    <row r="91" spans="1:10" x14ac:dyDescent="0.25">
      <c r="A91">
        <f>IF(I90=DbaseIndices!$N$3,A90+1,A90)</f>
        <v>15</v>
      </c>
      <c r="B91">
        <f>MATCH(A91,DbaseIndices!A:A,0)</f>
        <v>16</v>
      </c>
      <c r="C91" t="str">
        <f>INDEX(DbaseIndices!F:F,$B91)</f>
        <v xml:space="preserve">2 Industrial Processes and Product Use </v>
      </c>
      <c r="D91" t="str">
        <f>INDEX(DbaseIndices!G:G,$B91)</f>
        <v>2C Metal Industry</v>
      </c>
      <c r="E91" t="str">
        <f>INDEX(DbaseIndices!H:H,$B91)</f>
        <v>2C3 Aluminium Production</v>
      </c>
      <c r="F91" t="str">
        <f>INDEX(DbaseIndices!I:I,$B91)</f>
        <v>2C3 Aluminium Production</v>
      </c>
      <c r="G91">
        <f>INDEX(DbaseIndices!D:D,$B91)</f>
        <v>0</v>
      </c>
      <c r="H91" t="str">
        <f>INDEX(DbaseIndices!E:E,$B91)</f>
        <v>CO2</v>
      </c>
      <c r="I91">
        <f>IF(I90=DbaseIndices!$N$3,DbaseIndices!$N$2,I90+1)</f>
        <v>2017</v>
      </c>
      <c r="J91" s="243">
        <f ca="1">OFFSET(INDIRECT(INDEX(DbaseIndices!J:J,B91)),0,I91-2000+1)</f>
        <v>1322.4596915861214</v>
      </c>
    </row>
    <row r="92" spans="1:10" x14ac:dyDescent="0.25">
      <c r="A92">
        <f>IF(I91=DbaseIndices!$N$3,A91+1,A91)</f>
        <v>16</v>
      </c>
      <c r="B92">
        <f>MATCH(A92,DbaseIndices!A:A,0)</f>
        <v>17</v>
      </c>
      <c r="C92" t="str">
        <f>INDEX(DbaseIndices!F:F,$B92)</f>
        <v xml:space="preserve">2 Industrial Processes and Product Use </v>
      </c>
      <c r="D92" t="str">
        <f>INDEX(DbaseIndices!G:G,$B92)</f>
        <v>2C Metal Industry</v>
      </c>
      <c r="E92" t="str">
        <f>INDEX(DbaseIndices!H:H,$B92)</f>
        <v>2C3 Aluminium Production</v>
      </c>
      <c r="F92" t="str">
        <f>INDEX(DbaseIndices!I:I,$B92)</f>
        <v>2C3 Aluminium Production</v>
      </c>
      <c r="G92">
        <f>INDEX(DbaseIndices!D:D,$B92)</f>
        <v>0</v>
      </c>
      <c r="H92" t="str">
        <f>INDEX(DbaseIndices!E:E,$B92)</f>
        <v>CF4</v>
      </c>
      <c r="I92">
        <f>IF(I91=DbaseIndices!$N$3,DbaseIndices!$N$2,I91+1)</f>
        <v>2012</v>
      </c>
      <c r="J92" s="243">
        <f ca="1">OFFSET(INDIRECT(INDEX(DbaseIndices!J:J,B92)),0,I92-2000+1)</f>
        <v>0.26669999999999999</v>
      </c>
    </row>
    <row r="93" spans="1:10" x14ac:dyDescent="0.25">
      <c r="A93">
        <f>IF(I92=DbaseIndices!$N$3,A92+1,A92)</f>
        <v>16</v>
      </c>
      <c r="B93">
        <f>MATCH(A93,DbaseIndices!A:A,0)</f>
        <v>17</v>
      </c>
      <c r="C93" t="str">
        <f>INDEX(DbaseIndices!F:F,$B93)</f>
        <v xml:space="preserve">2 Industrial Processes and Product Use </v>
      </c>
      <c r="D93" t="str">
        <f>INDEX(DbaseIndices!G:G,$B93)</f>
        <v>2C Metal Industry</v>
      </c>
      <c r="E93" t="str">
        <f>INDEX(DbaseIndices!H:H,$B93)</f>
        <v>2C3 Aluminium Production</v>
      </c>
      <c r="F93" t="str">
        <f>INDEX(DbaseIndices!I:I,$B93)</f>
        <v>2C3 Aluminium Production</v>
      </c>
      <c r="G93">
        <f>INDEX(DbaseIndices!D:D,$B93)</f>
        <v>0</v>
      </c>
      <c r="H93" t="str">
        <f>INDEX(DbaseIndices!E:E,$B93)</f>
        <v>CF4</v>
      </c>
      <c r="I93">
        <f>IF(I92=DbaseIndices!$N$3,DbaseIndices!$N$2,I92+1)</f>
        <v>2013</v>
      </c>
      <c r="J93" s="243">
        <f ca="1">OFFSET(INDIRECT(INDEX(DbaseIndices!J:J,B93)),0,I93-2000+1)</f>
        <v>0.32958022765788325</v>
      </c>
    </row>
    <row r="94" spans="1:10" x14ac:dyDescent="0.25">
      <c r="A94">
        <f>IF(I93=DbaseIndices!$N$3,A93+1,A93)</f>
        <v>16</v>
      </c>
      <c r="B94">
        <f>MATCH(A94,DbaseIndices!A:A,0)</f>
        <v>17</v>
      </c>
      <c r="C94" t="str">
        <f>INDEX(DbaseIndices!F:F,$B94)</f>
        <v xml:space="preserve">2 Industrial Processes and Product Use </v>
      </c>
      <c r="D94" t="str">
        <f>INDEX(DbaseIndices!G:G,$B94)</f>
        <v>2C Metal Industry</v>
      </c>
      <c r="E94" t="str">
        <f>INDEX(DbaseIndices!H:H,$B94)</f>
        <v>2C3 Aluminium Production</v>
      </c>
      <c r="F94" t="str">
        <f>INDEX(DbaseIndices!I:I,$B94)</f>
        <v>2C3 Aluminium Production</v>
      </c>
      <c r="G94">
        <f>INDEX(DbaseIndices!D:D,$B94)</f>
        <v>0</v>
      </c>
      <c r="H94" t="str">
        <f>INDEX(DbaseIndices!E:E,$B94)</f>
        <v>CF4</v>
      </c>
      <c r="I94">
        <f>IF(I93=DbaseIndices!$N$3,DbaseIndices!$N$2,I93+1)</f>
        <v>2014</v>
      </c>
      <c r="J94" s="243">
        <f ca="1">OFFSET(INDIRECT(INDEX(DbaseIndices!J:J,B94)),0,I94-2000+1)</f>
        <v>0.30770154021506019</v>
      </c>
    </row>
    <row r="95" spans="1:10" x14ac:dyDescent="0.25">
      <c r="A95">
        <f>IF(I94=DbaseIndices!$N$3,A94+1,A94)</f>
        <v>16</v>
      </c>
      <c r="B95">
        <f>MATCH(A95,DbaseIndices!A:A,0)</f>
        <v>17</v>
      </c>
      <c r="C95" t="str">
        <f>INDEX(DbaseIndices!F:F,$B95)</f>
        <v xml:space="preserve">2 Industrial Processes and Product Use </v>
      </c>
      <c r="D95" t="str">
        <f>INDEX(DbaseIndices!G:G,$B95)</f>
        <v>2C Metal Industry</v>
      </c>
      <c r="E95" t="str">
        <f>INDEX(DbaseIndices!H:H,$B95)</f>
        <v>2C3 Aluminium Production</v>
      </c>
      <c r="F95" t="str">
        <f>INDEX(DbaseIndices!I:I,$B95)</f>
        <v>2C3 Aluminium Production</v>
      </c>
      <c r="G95">
        <f>INDEX(DbaseIndices!D:D,$B95)</f>
        <v>0</v>
      </c>
      <c r="H95" t="str">
        <f>INDEX(DbaseIndices!E:E,$B95)</f>
        <v>CF4</v>
      </c>
      <c r="I95">
        <f>IF(I94=DbaseIndices!$N$3,DbaseIndices!$N$2,I94+1)</f>
        <v>2015</v>
      </c>
      <c r="J95" s="243">
        <f ca="1">OFFSET(INDIRECT(INDEX(DbaseIndices!J:J,B95)),0,I95-2000+1)</f>
        <v>0.2945823272694551</v>
      </c>
    </row>
    <row r="96" spans="1:10" x14ac:dyDescent="0.25">
      <c r="A96">
        <f>IF(I95=DbaseIndices!$N$3,A95+1,A95)</f>
        <v>16</v>
      </c>
      <c r="B96">
        <f>MATCH(A96,DbaseIndices!A:A,0)</f>
        <v>17</v>
      </c>
      <c r="C96" t="str">
        <f>INDEX(DbaseIndices!F:F,$B96)</f>
        <v xml:space="preserve">2 Industrial Processes and Product Use </v>
      </c>
      <c r="D96" t="str">
        <f>INDEX(DbaseIndices!G:G,$B96)</f>
        <v>2C Metal Industry</v>
      </c>
      <c r="E96" t="str">
        <f>INDEX(DbaseIndices!H:H,$B96)</f>
        <v>2C3 Aluminium Production</v>
      </c>
      <c r="F96" t="str">
        <f>INDEX(DbaseIndices!I:I,$B96)</f>
        <v>2C3 Aluminium Production</v>
      </c>
      <c r="G96">
        <f>INDEX(DbaseIndices!D:D,$B96)</f>
        <v>0</v>
      </c>
      <c r="H96" t="str">
        <f>INDEX(DbaseIndices!E:E,$B96)</f>
        <v>CF4</v>
      </c>
      <c r="I96">
        <f>IF(I95=DbaseIndices!$N$3,DbaseIndices!$N$2,I95+1)</f>
        <v>2016</v>
      </c>
      <c r="J96" s="243">
        <f ca="1">OFFSET(INDIRECT(INDEX(DbaseIndices!J:J,B96)),0,I96-2000+1)</f>
        <v>0.32825272863217936</v>
      </c>
    </row>
    <row r="97" spans="1:10" x14ac:dyDescent="0.25">
      <c r="A97">
        <f>IF(I96=DbaseIndices!$N$3,A96+1,A96)</f>
        <v>16</v>
      </c>
      <c r="B97">
        <f>MATCH(A97,DbaseIndices!A:A,0)</f>
        <v>17</v>
      </c>
      <c r="C97" t="str">
        <f>INDEX(DbaseIndices!F:F,$B97)</f>
        <v xml:space="preserve">2 Industrial Processes and Product Use </v>
      </c>
      <c r="D97" t="str">
        <f>INDEX(DbaseIndices!G:G,$B97)</f>
        <v>2C Metal Industry</v>
      </c>
      <c r="E97" t="str">
        <f>INDEX(DbaseIndices!H:H,$B97)</f>
        <v>2C3 Aluminium Production</v>
      </c>
      <c r="F97" t="str">
        <f>INDEX(DbaseIndices!I:I,$B97)</f>
        <v>2C3 Aluminium Production</v>
      </c>
      <c r="G97">
        <f>INDEX(DbaseIndices!D:D,$B97)</f>
        <v>0</v>
      </c>
      <c r="H97" t="str">
        <f>INDEX(DbaseIndices!E:E,$B97)</f>
        <v>CF4</v>
      </c>
      <c r="I97">
        <f>IF(I96=DbaseIndices!$N$3,DbaseIndices!$N$2,I96+1)</f>
        <v>2017</v>
      </c>
      <c r="J97" s="243">
        <f ca="1">OFFSET(INDIRECT(INDEX(DbaseIndices!J:J,B97)),0,I97-2000+1)</f>
        <v>0.33059508967030365</v>
      </c>
    </row>
    <row r="98" spans="1:10" x14ac:dyDescent="0.25">
      <c r="A98">
        <f>IF(I97=DbaseIndices!$N$3,A97+1,A97)</f>
        <v>17</v>
      </c>
      <c r="B98">
        <f>MATCH(A98,DbaseIndices!A:A,0)</f>
        <v>18</v>
      </c>
      <c r="C98" t="str">
        <f>INDEX(DbaseIndices!F:F,$B98)</f>
        <v xml:space="preserve">2 Industrial Processes and Product Use </v>
      </c>
      <c r="D98" t="str">
        <f>INDEX(DbaseIndices!G:G,$B98)</f>
        <v>2C Metal Industry</v>
      </c>
      <c r="E98" t="str">
        <f>INDEX(DbaseIndices!H:H,$B98)</f>
        <v>2C3 Aluminium Production</v>
      </c>
      <c r="F98" t="str">
        <f>INDEX(DbaseIndices!I:I,$B98)</f>
        <v>2C3 Aluminium Production</v>
      </c>
      <c r="G98">
        <f>INDEX(DbaseIndices!D:D,$B98)</f>
        <v>0</v>
      </c>
      <c r="H98" t="str">
        <f>INDEX(DbaseIndices!E:E,$B98)</f>
        <v>C2F6</v>
      </c>
      <c r="I98">
        <f>IF(I97=DbaseIndices!$N$3,DbaseIndices!$N$2,I97+1)</f>
        <v>2012</v>
      </c>
      <c r="J98" s="243">
        <f ca="1">OFFSET(INDIRECT(INDEX(DbaseIndices!J:J,B98)),0,I98-2000+1)</f>
        <v>2.6700000000000002E-2</v>
      </c>
    </row>
    <row r="99" spans="1:10" x14ac:dyDescent="0.25">
      <c r="A99">
        <f>IF(I98=DbaseIndices!$N$3,A98+1,A98)</f>
        <v>17</v>
      </c>
      <c r="B99">
        <f>MATCH(A99,DbaseIndices!A:A,0)</f>
        <v>18</v>
      </c>
      <c r="C99" t="str">
        <f>INDEX(DbaseIndices!F:F,$B99)</f>
        <v xml:space="preserve">2 Industrial Processes and Product Use </v>
      </c>
      <c r="D99" t="str">
        <f>INDEX(DbaseIndices!G:G,$B99)</f>
        <v>2C Metal Industry</v>
      </c>
      <c r="E99" t="str">
        <f>INDEX(DbaseIndices!H:H,$B99)</f>
        <v>2C3 Aluminium Production</v>
      </c>
      <c r="F99" t="str">
        <f>INDEX(DbaseIndices!I:I,$B99)</f>
        <v>2C3 Aluminium Production</v>
      </c>
      <c r="G99">
        <f>INDEX(DbaseIndices!D:D,$B99)</f>
        <v>0</v>
      </c>
      <c r="H99" t="str">
        <f>INDEX(DbaseIndices!E:E,$B99)</f>
        <v>C2F6</v>
      </c>
      <c r="I99">
        <f>IF(I98=DbaseIndices!$N$3,DbaseIndices!$N$2,I98+1)</f>
        <v>2013</v>
      </c>
      <c r="J99" s="243">
        <f ca="1">OFFSET(INDIRECT(INDEX(DbaseIndices!J:J,B99)),0,I99-2000+1)</f>
        <v>3.299509590725716E-2</v>
      </c>
    </row>
    <row r="100" spans="1:10" x14ac:dyDescent="0.25">
      <c r="A100">
        <f>IF(I99=DbaseIndices!$N$3,A99+1,A99)</f>
        <v>17</v>
      </c>
      <c r="B100">
        <f>MATCH(A100,DbaseIndices!A:A,0)</f>
        <v>18</v>
      </c>
      <c r="C100" t="str">
        <f>INDEX(DbaseIndices!F:F,$B100)</f>
        <v xml:space="preserve">2 Industrial Processes and Product Use </v>
      </c>
      <c r="D100" t="str">
        <f>INDEX(DbaseIndices!G:G,$B100)</f>
        <v>2C Metal Industry</v>
      </c>
      <c r="E100" t="str">
        <f>INDEX(DbaseIndices!H:H,$B100)</f>
        <v>2C3 Aluminium Production</v>
      </c>
      <c r="F100" t="str">
        <f>INDEX(DbaseIndices!I:I,$B100)</f>
        <v>2C3 Aluminium Production</v>
      </c>
      <c r="G100">
        <f>INDEX(DbaseIndices!D:D,$B100)</f>
        <v>0</v>
      </c>
      <c r="H100" t="str">
        <f>INDEX(DbaseIndices!E:E,$B100)</f>
        <v>C2F6</v>
      </c>
      <c r="I100">
        <f>IF(I99=DbaseIndices!$N$3,DbaseIndices!$N$2,I99+1)</f>
        <v>2014</v>
      </c>
      <c r="J100" s="243">
        <f ca="1">OFFSET(INDIRECT(INDEX(DbaseIndices!J:J,B100)),0,I100-2000+1)</f>
        <v>3.0804766118268122E-2</v>
      </c>
    </row>
    <row r="101" spans="1:10" x14ac:dyDescent="0.25">
      <c r="A101">
        <f>IF(I100=DbaseIndices!$N$3,A100+1,A100)</f>
        <v>17</v>
      </c>
      <c r="B101">
        <f>MATCH(A101,DbaseIndices!A:A,0)</f>
        <v>18</v>
      </c>
      <c r="C101" t="str">
        <f>INDEX(DbaseIndices!F:F,$B101)</f>
        <v xml:space="preserve">2 Industrial Processes and Product Use </v>
      </c>
      <c r="D101" t="str">
        <f>INDEX(DbaseIndices!G:G,$B101)</f>
        <v>2C Metal Industry</v>
      </c>
      <c r="E101" t="str">
        <f>INDEX(DbaseIndices!H:H,$B101)</f>
        <v>2C3 Aluminium Production</v>
      </c>
      <c r="F101" t="str">
        <f>INDEX(DbaseIndices!I:I,$B101)</f>
        <v>2C3 Aluminium Production</v>
      </c>
      <c r="G101">
        <f>INDEX(DbaseIndices!D:D,$B101)</f>
        <v>0</v>
      </c>
      <c r="H101" t="str">
        <f>INDEX(DbaseIndices!E:E,$B101)</f>
        <v>C2F6</v>
      </c>
      <c r="I101">
        <f>IF(I100=DbaseIndices!$N$3,DbaseIndices!$N$2,I100+1)</f>
        <v>2015</v>
      </c>
      <c r="J101" s="243">
        <f ca="1">OFFSET(INDIRECT(INDEX(DbaseIndices!J:J,B101)),0,I101-2000+1)</f>
        <v>2.949136909671711E-2</v>
      </c>
    </row>
    <row r="102" spans="1:10" x14ac:dyDescent="0.25">
      <c r="A102">
        <f>IF(I101=DbaseIndices!$N$3,A101+1,A101)</f>
        <v>17</v>
      </c>
      <c r="B102">
        <f>MATCH(A102,DbaseIndices!A:A,0)</f>
        <v>18</v>
      </c>
      <c r="C102" t="str">
        <f>INDEX(DbaseIndices!F:F,$B102)</f>
        <v xml:space="preserve">2 Industrial Processes and Product Use </v>
      </c>
      <c r="D102" t="str">
        <f>INDEX(DbaseIndices!G:G,$B102)</f>
        <v>2C Metal Industry</v>
      </c>
      <c r="E102" t="str">
        <f>INDEX(DbaseIndices!H:H,$B102)</f>
        <v>2C3 Aluminium Production</v>
      </c>
      <c r="F102" t="str">
        <f>INDEX(DbaseIndices!I:I,$B102)</f>
        <v>2C3 Aluminium Production</v>
      </c>
      <c r="G102">
        <f>INDEX(DbaseIndices!D:D,$B102)</f>
        <v>0</v>
      </c>
      <c r="H102" t="str">
        <f>INDEX(DbaseIndices!E:E,$B102)</f>
        <v>C2F6</v>
      </c>
      <c r="I102">
        <f>IF(I101=DbaseIndices!$N$3,DbaseIndices!$N$2,I101+1)</f>
        <v>2016</v>
      </c>
      <c r="J102" s="243">
        <f ca="1">OFFSET(INDIRECT(INDEX(DbaseIndices!J:J,B102)),0,I102-2000+1)</f>
        <v>3.2862196679711957E-2</v>
      </c>
    </row>
    <row r="103" spans="1:10" x14ac:dyDescent="0.25">
      <c r="A103">
        <f>IF(I102=DbaseIndices!$N$3,A102+1,A102)</f>
        <v>17</v>
      </c>
      <c r="B103">
        <f>MATCH(A103,DbaseIndices!A:A,0)</f>
        <v>18</v>
      </c>
      <c r="C103" t="str">
        <f>INDEX(DbaseIndices!F:F,$B103)</f>
        <v xml:space="preserve">2 Industrial Processes and Product Use </v>
      </c>
      <c r="D103" t="str">
        <f>INDEX(DbaseIndices!G:G,$B103)</f>
        <v>2C Metal Industry</v>
      </c>
      <c r="E103" t="str">
        <f>INDEX(DbaseIndices!H:H,$B103)</f>
        <v>2C3 Aluminium Production</v>
      </c>
      <c r="F103" t="str">
        <f>INDEX(DbaseIndices!I:I,$B103)</f>
        <v>2C3 Aluminium Production</v>
      </c>
      <c r="G103">
        <f>INDEX(DbaseIndices!D:D,$B103)</f>
        <v>0</v>
      </c>
      <c r="H103" t="str">
        <f>INDEX(DbaseIndices!E:E,$B103)</f>
        <v>C2F6</v>
      </c>
      <c r="I103">
        <f>IF(I102=DbaseIndices!$N$3,DbaseIndices!$N$2,I102+1)</f>
        <v>2017</v>
      </c>
      <c r="J103" s="243">
        <f ca="1">OFFSET(INDIRECT(INDEX(DbaseIndices!J:J,B103)),0,I103-2000+1)</f>
        <v>3.3096696266205837E-2</v>
      </c>
    </row>
    <row r="104" spans="1:10" x14ac:dyDescent="0.25">
      <c r="A104">
        <f>IF(I103=DbaseIndices!$N$3,A103+1,A103)</f>
        <v>18</v>
      </c>
      <c r="B104">
        <f>MATCH(A104,DbaseIndices!A:A,0)</f>
        <v>19</v>
      </c>
      <c r="C104" t="str">
        <f>INDEX(DbaseIndices!F:F,$B104)</f>
        <v xml:space="preserve">2 Industrial Processes and Product Use </v>
      </c>
      <c r="D104" t="str">
        <f>INDEX(DbaseIndices!G:G,$B104)</f>
        <v>2C Metal Industry</v>
      </c>
      <c r="E104" t="str">
        <f>INDEX(DbaseIndices!H:H,$B104)</f>
        <v>2C5 Lead Production</v>
      </c>
      <c r="F104" t="str">
        <f>INDEX(DbaseIndices!I:I,$B104)</f>
        <v>2C5 Lead Production</v>
      </c>
      <c r="G104">
        <f>INDEX(DbaseIndices!D:D,$B104)</f>
        <v>0</v>
      </c>
      <c r="H104" t="str">
        <f>INDEX(DbaseIndices!E:E,$B104)</f>
        <v>CO2</v>
      </c>
      <c r="I104">
        <f>IF(I103=DbaseIndices!$N$3,DbaseIndices!$N$2,I103+1)</f>
        <v>2012</v>
      </c>
      <c r="J104" s="243">
        <f ca="1">OFFSET(INDIRECT(INDEX(DbaseIndices!J:J,B104)),0,I104-2000+1)</f>
        <v>27.294280000000004</v>
      </c>
    </row>
    <row r="105" spans="1:10" x14ac:dyDescent="0.25">
      <c r="A105">
        <f>IF(I104=DbaseIndices!$N$3,A104+1,A104)</f>
        <v>18</v>
      </c>
      <c r="B105">
        <f>MATCH(A105,DbaseIndices!A:A,0)</f>
        <v>19</v>
      </c>
      <c r="C105" t="str">
        <f>INDEX(DbaseIndices!F:F,$B105)</f>
        <v xml:space="preserve">2 Industrial Processes and Product Use </v>
      </c>
      <c r="D105" t="str">
        <f>INDEX(DbaseIndices!G:G,$B105)</f>
        <v>2C Metal Industry</v>
      </c>
      <c r="E105" t="str">
        <f>INDEX(DbaseIndices!H:H,$B105)</f>
        <v>2C5 Lead Production</v>
      </c>
      <c r="F105" t="str">
        <f>INDEX(DbaseIndices!I:I,$B105)</f>
        <v>2C5 Lead Production</v>
      </c>
      <c r="G105">
        <f>INDEX(DbaseIndices!D:D,$B105)</f>
        <v>0</v>
      </c>
      <c r="H105" t="str">
        <f>INDEX(DbaseIndices!E:E,$B105)</f>
        <v>CO2</v>
      </c>
      <c r="I105">
        <f>IF(I104=DbaseIndices!$N$3,DbaseIndices!$N$2,I104+1)</f>
        <v>2013</v>
      </c>
      <c r="J105" s="243">
        <f ca="1">OFFSET(INDIRECT(INDEX(DbaseIndices!J:J,B105)),0,I105-2000+1)</f>
        <v>21.84</v>
      </c>
    </row>
    <row r="106" spans="1:10" x14ac:dyDescent="0.25">
      <c r="A106">
        <f>IF(I105=DbaseIndices!$N$3,A105+1,A105)</f>
        <v>18</v>
      </c>
      <c r="B106">
        <f>MATCH(A106,DbaseIndices!A:A,0)</f>
        <v>19</v>
      </c>
      <c r="C106" t="str">
        <f>INDEX(DbaseIndices!F:F,$B106)</f>
        <v xml:space="preserve">2 Industrial Processes and Product Use </v>
      </c>
      <c r="D106" t="str">
        <f>INDEX(DbaseIndices!G:G,$B106)</f>
        <v>2C Metal Industry</v>
      </c>
      <c r="E106" t="str">
        <f>INDEX(DbaseIndices!H:H,$B106)</f>
        <v>2C5 Lead Production</v>
      </c>
      <c r="F106" t="str">
        <f>INDEX(DbaseIndices!I:I,$B106)</f>
        <v>2C5 Lead Production</v>
      </c>
      <c r="G106">
        <f>INDEX(DbaseIndices!D:D,$B106)</f>
        <v>0</v>
      </c>
      <c r="H106" t="str">
        <f>INDEX(DbaseIndices!E:E,$B106)</f>
        <v>CO2</v>
      </c>
      <c r="I106">
        <f>IF(I105=DbaseIndices!$N$3,DbaseIndices!$N$2,I105+1)</f>
        <v>2014</v>
      </c>
      <c r="J106" s="243">
        <f ca="1">OFFSET(INDIRECT(INDEX(DbaseIndices!J:J,B106)),0,I106-2000+1)</f>
        <v>22.07208198804468</v>
      </c>
    </row>
    <row r="107" spans="1:10" x14ac:dyDescent="0.25">
      <c r="A107">
        <f>IF(I106=DbaseIndices!$N$3,A106+1,A106)</f>
        <v>18</v>
      </c>
      <c r="B107">
        <f>MATCH(A107,DbaseIndices!A:A,0)</f>
        <v>19</v>
      </c>
      <c r="C107" t="str">
        <f>INDEX(DbaseIndices!F:F,$B107)</f>
        <v xml:space="preserve">2 Industrial Processes and Product Use </v>
      </c>
      <c r="D107" t="str">
        <f>INDEX(DbaseIndices!G:G,$B107)</f>
        <v>2C Metal Industry</v>
      </c>
      <c r="E107" t="str">
        <f>INDEX(DbaseIndices!H:H,$B107)</f>
        <v>2C5 Lead Production</v>
      </c>
      <c r="F107" t="str">
        <f>INDEX(DbaseIndices!I:I,$B107)</f>
        <v>2C5 Lead Production</v>
      </c>
      <c r="G107">
        <f>INDEX(DbaseIndices!D:D,$B107)</f>
        <v>0</v>
      </c>
      <c r="H107" t="str">
        <f>INDEX(DbaseIndices!E:E,$B107)</f>
        <v>CO2</v>
      </c>
      <c r="I107">
        <f>IF(I106=DbaseIndices!$N$3,DbaseIndices!$N$2,I106+1)</f>
        <v>2015</v>
      </c>
      <c r="J107" s="243">
        <f ca="1">OFFSET(INDIRECT(INDEX(DbaseIndices!J:J,B107)),0,I107-2000+1)</f>
        <v>18.2</v>
      </c>
    </row>
    <row r="108" spans="1:10" x14ac:dyDescent="0.25">
      <c r="A108">
        <f>IF(I107=DbaseIndices!$N$3,A107+1,A107)</f>
        <v>18</v>
      </c>
      <c r="B108">
        <f>MATCH(A108,DbaseIndices!A:A,0)</f>
        <v>19</v>
      </c>
      <c r="C108" t="str">
        <f>INDEX(DbaseIndices!F:F,$B108)</f>
        <v xml:space="preserve">2 Industrial Processes and Product Use </v>
      </c>
      <c r="D108" t="str">
        <f>INDEX(DbaseIndices!G:G,$B108)</f>
        <v>2C Metal Industry</v>
      </c>
      <c r="E108" t="str">
        <f>INDEX(DbaseIndices!H:H,$B108)</f>
        <v>2C5 Lead Production</v>
      </c>
      <c r="F108" t="str">
        <f>INDEX(DbaseIndices!I:I,$B108)</f>
        <v>2C5 Lead Production</v>
      </c>
      <c r="G108">
        <f>INDEX(DbaseIndices!D:D,$B108)</f>
        <v>0</v>
      </c>
      <c r="H108" t="str">
        <f>INDEX(DbaseIndices!E:E,$B108)</f>
        <v>CO2</v>
      </c>
      <c r="I108">
        <f>IF(I107=DbaseIndices!$N$3,DbaseIndices!$N$2,I107+1)</f>
        <v>2016</v>
      </c>
      <c r="J108" s="243">
        <f ca="1">OFFSET(INDIRECT(INDEX(DbaseIndices!J:J,B108)),0,I108-2000+1)</f>
        <v>21.901802271619349</v>
      </c>
    </row>
    <row r="109" spans="1:10" x14ac:dyDescent="0.25">
      <c r="A109">
        <f>IF(I108=DbaseIndices!$N$3,A108+1,A108)</f>
        <v>18</v>
      </c>
      <c r="B109">
        <f>MATCH(A109,DbaseIndices!A:A,0)</f>
        <v>19</v>
      </c>
      <c r="C109" t="str">
        <f>INDEX(DbaseIndices!F:F,$B109)</f>
        <v xml:space="preserve">2 Industrial Processes and Product Use </v>
      </c>
      <c r="D109" t="str">
        <f>INDEX(DbaseIndices!G:G,$B109)</f>
        <v>2C Metal Industry</v>
      </c>
      <c r="E109" t="str">
        <f>INDEX(DbaseIndices!H:H,$B109)</f>
        <v>2C5 Lead Production</v>
      </c>
      <c r="F109" t="str">
        <f>INDEX(DbaseIndices!I:I,$B109)</f>
        <v>2C5 Lead Production</v>
      </c>
      <c r="G109">
        <f>INDEX(DbaseIndices!D:D,$B109)</f>
        <v>0</v>
      </c>
      <c r="H109" t="str">
        <f>INDEX(DbaseIndices!E:E,$B109)</f>
        <v>CO2</v>
      </c>
      <c r="I109">
        <f>IF(I108=DbaseIndices!$N$3,DbaseIndices!$N$2,I108+1)</f>
        <v>2017</v>
      </c>
      <c r="J109" s="243">
        <f ca="1">OFFSET(INDIRECT(INDEX(DbaseIndices!J:J,B109)),0,I109-2000+1)</f>
        <v>21.743045827186773</v>
      </c>
    </row>
    <row r="110" spans="1:10" x14ac:dyDescent="0.25">
      <c r="A110">
        <f>IF(I109=DbaseIndices!$N$3,A109+1,A109)</f>
        <v>19</v>
      </c>
      <c r="B110">
        <f>MATCH(A110,DbaseIndices!A:A,0)</f>
        <v>20</v>
      </c>
      <c r="C110" t="str">
        <f>INDEX(DbaseIndices!F:F,$B110)</f>
        <v xml:space="preserve">2 Industrial Processes and Product Use </v>
      </c>
      <c r="D110" t="str">
        <f>INDEX(DbaseIndices!G:G,$B110)</f>
        <v>2C Metal Industry</v>
      </c>
      <c r="E110" t="str">
        <f>INDEX(DbaseIndices!H:H,$B110)</f>
        <v>2C6 Zinc Production</v>
      </c>
      <c r="F110" t="str">
        <f>INDEX(DbaseIndices!I:I,$B110)</f>
        <v>2C6 Zinc Production</v>
      </c>
      <c r="G110">
        <f>INDEX(DbaseIndices!D:D,$B110)</f>
        <v>0</v>
      </c>
      <c r="H110" t="str">
        <f>INDEX(DbaseIndices!E:E,$B110)</f>
        <v>CO2</v>
      </c>
      <c r="I110">
        <f>IF(I109=DbaseIndices!$N$3,DbaseIndices!$N$2,I109+1)</f>
        <v>2012</v>
      </c>
      <c r="J110" s="243">
        <f ca="1">OFFSET(INDIRECT(INDEX(DbaseIndices!J:J,B110)),0,I110-2000+1)</f>
        <v>63.64</v>
      </c>
    </row>
    <row r="111" spans="1:10" x14ac:dyDescent="0.25">
      <c r="A111">
        <f>IF(I110=DbaseIndices!$N$3,A110+1,A110)</f>
        <v>19</v>
      </c>
      <c r="B111">
        <f>MATCH(A111,DbaseIndices!A:A,0)</f>
        <v>20</v>
      </c>
      <c r="C111" t="str">
        <f>INDEX(DbaseIndices!F:F,$B111)</f>
        <v xml:space="preserve">2 Industrial Processes and Product Use </v>
      </c>
      <c r="D111" t="str">
        <f>INDEX(DbaseIndices!G:G,$B111)</f>
        <v>2C Metal Industry</v>
      </c>
      <c r="E111" t="str">
        <f>INDEX(DbaseIndices!H:H,$B111)</f>
        <v>2C6 Zinc Production</v>
      </c>
      <c r="F111" t="str">
        <f>INDEX(DbaseIndices!I:I,$B111)</f>
        <v>2C6 Zinc Production</v>
      </c>
      <c r="G111">
        <f>INDEX(DbaseIndices!D:D,$B111)</f>
        <v>0</v>
      </c>
      <c r="H111" t="str">
        <f>INDEX(DbaseIndices!E:E,$B111)</f>
        <v>CO2</v>
      </c>
      <c r="I111">
        <f>IF(I110=DbaseIndices!$N$3,DbaseIndices!$N$2,I110+1)</f>
        <v>2013</v>
      </c>
      <c r="J111" s="243">
        <f ca="1">OFFSET(INDIRECT(INDEX(DbaseIndices!J:J,B111)),0,I111-2000+1)</f>
        <v>51.6</v>
      </c>
    </row>
    <row r="112" spans="1:10" x14ac:dyDescent="0.25">
      <c r="A112">
        <f>IF(I111=DbaseIndices!$N$3,A111+1,A111)</f>
        <v>19</v>
      </c>
      <c r="B112">
        <f>MATCH(A112,DbaseIndices!A:A,0)</f>
        <v>20</v>
      </c>
      <c r="C112" t="str">
        <f>INDEX(DbaseIndices!F:F,$B112)</f>
        <v xml:space="preserve">2 Industrial Processes and Product Use </v>
      </c>
      <c r="D112" t="str">
        <f>INDEX(DbaseIndices!G:G,$B112)</f>
        <v>2C Metal Industry</v>
      </c>
      <c r="E112" t="str">
        <f>INDEX(DbaseIndices!H:H,$B112)</f>
        <v>2C6 Zinc Production</v>
      </c>
      <c r="F112" t="str">
        <f>INDEX(DbaseIndices!I:I,$B112)</f>
        <v>2C6 Zinc Production</v>
      </c>
      <c r="G112">
        <f>INDEX(DbaseIndices!D:D,$B112)</f>
        <v>0</v>
      </c>
      <c r="H112" t="str">
        <f>INDEX(DbaseIndices!E:E,$B112)</f>
        <v>CO2</v>
      </c>
      <c r="I112">
        <f>IF(I111=DbaseIndices!$N$3,DbaseIndices!$N$2,I111+1)</f>
        <v>2014</v>
      </c>
      <c r="J112" s="243">
        <f ca="1">OFFSET(INDIRECT(INDEX(DbaseIndices!J:J,B112)),0,I112-2000+1)</f>
        <v>44.962519999999998</v>
      </c>
    </row>
    <row r="113" spans="1:10" x14ac:dyDescent="0.25">
      <c r="A113">
        <f>IF(I112=DbaseIndices!$N$3,A112+1,A112)</f>
        <v>19</v>
      </c>
      <c r="B113">
        <f>MATCH(A113,DbaseIndices!A:A,0)</f>
        <v>20</v>
      </c>
      <c r="C113" t="str">
        <f>INDEX(DbaseIndices!F:F,$B113)</f>
        <v xml:space="preserve">2 Industrial Processes and Product Use </v>
      </c>
      <c r="D113" t="str">
        <f>INDEX(DbaseIndices!G:G,$B113)</f>
        <v>2C Metal Industry</v>
      </c>
      <c r="E113" t="str">
        <f>INDEX(DbaseIndices!H:H,$B113)</f>
        <v>2C6 Zinc Production</v>
      </c>
      <c r="F113" t="str">
        <f>INDEX(DbaseIndices!I:I,$B113)</f>
        <v>2C6 Zinc Production</v>
      </c>
      <c r="G113">
        <f>INDEX(DbaseIndices!D:D,$B113)</f>
        <v>0</v>
      </c>
      <c r="H113" t="str">
        <f>INDEX(DbaseIndices!E:E,$B113)</f>
        <v>CO2</v>
      </c>
      <c r="I113">
        <f>IF(I112=DbaseIndices!$N$3,DbaseIndices!$N$2,I112+1)</f>
        <v>2015</v>
      </c>
      <c r="J113" s="243">
        <f ca="1">OFFSET(INDIRECT(INDEX(DbaseIndices!J:J,B113)),0,I113-2000+1)</f>
        <v>49.88</v>
      </c>
    </row>
    <row r="114" spans="1:10" x14ac:dyDescent="0.25">
      <c r="A114">
        <f>IF(I113=DbaseIndices!$N$3,A113+1,A113)</f>
        <v>19</v>
      </c>
      <c r="B114">
        <f>MATCH(A114,DbaseIndices!A:A,0)</f>
        <v>20</v>
      </c>
      <c r="C114" t="str">
        <f>INDEX(DbaseIndices!F:F,$B114)</f>
        <v xml:space="preserve">2 Industrial Processes and Product Use </v>
      </c>
      <c r="D114" t="str">
        <f>INDEX(DbaseIndices!G:G,$B114)</f>
        <v>2C Metal Industry</v>
      </c>
      <c r="E114" t="str">
        <f>INDEX(DbaseIndices!H:H,$B114)</f>
        <v>2C6 Zinc Production</v>
      </c>
      <c r="F114" t="str">
        <f>INDEX(DbaseIndices!I:I,$B114)</f>
        <v>2C6 Zinc Production</v>
      </c>
      <c r="G114">
        <f>INDEX(DbaseIndices!D:D,$B114)</f>
        <v>0</v>
      </c>
      <c r="H114" t="str">
        <f>INDEX(DbaseIndices!E:E,$B114)</f>
        <v>CO2</v>
      </c>
      <c r="I114">
        <f>IF(I113=DbaseIndices!$N$3,DbaseIndices!$N$2,I113+1)</f>
        <v>2016</v>
      </c>
      <c r="J114" s="243">
        <f ca="1">OFFSET(INDIRECT(INDEX(DbaseIndices!J:J,B114)),0,I114-2000+1)</f>
        <v>47.152020906125856</v>
      </c>
    </row>
    <row r="115" spans="1:10" x14ac:dyDescent="0.25">
      <c r="A115">
        <f>IF(I114=DbaseIndices!$N$3,A114+1,A114)</f>
        <v>19</v>
      </c>
      <c r="B115">
        <f>MATCH(A115,DbaseIndices!A:A,0)</f>
        <v>20</v>
      </c>
      <c r="C115" t="str">
        <f>INDEX(DbaseIndices!F:F,$B115)</f>
        <v xml:space="preserve">2 Industrial Processes and Product Use </v>
      </c>
      <c r="D115" t="str">
        <f>INDEX(DbaseIndices!G:G,$B115)</f>
        <v>2C Metal Industry</v>
      </c>
      <c r="E115" t="str">
        <f>INDEX(DbaseIndices!H:H,$B115)</f>
        <v>2C6 Zinc Production</v>
      </c>
      <c r="F115" t="str">
        <f>INDEX(DbaseIndices!I:I,$B115)</f>
        <v>2C6 Zinc Production</v>
      </c>
      <c r="G115">
        <f>INDEX(DbaseIndices!D:D,$B115)</f>
        <v>0</v>
      </c>
      <c r="H115" t="str">
        <f>INDEX(DbaseIndices!E:E,$B115)</f>
        <v>CO2</v>
      </c>
      <c r="I115">
        <f>IF(I114=DbaseIndices!$N$3,DbaseIndices!$N$2,I114+1)</f>
        <v>2017</v>
      </c>
      <c r="J115" s="243">
        <f ca="1">OFFSET(INDIRECT(INDEX(DbaseIndices!J:J,B115)),0,I115-2000+1)</f>
        <v>46.315944980820788</v>
      </c>
    </row>
    <row r="116" spans="1:10" x14ac:dyDescent="0.25">
      <c r="A116">
        <f>IF(I115=DbaseIndices!$N$3,A115+1,A115)</f>
        <v>20</v>
      </c>
      <c r="B116">
        <f>MATCH(A116,DbaseIndices!A:A,0)</f>
        <v>21</v>
      </c>
      <c r="C116" t="str">
        <f>INDEX(DbaseIndices!F:F,$B116)</f>
        <v xml:space="preserve">2 Industrial Processes and Product Use </v>
      </c>
      <c r="D116" t="str">
        <f>INDEX(DbaseIndices!G:G,$B116)</f>
        <v>2D Non-energy products from fuels and solvent use</v>
      </c>
      <c r="E116" t="str">
        <f>INDEX(DbaseIndices!H:H,$B116)</f>
        <v>2D1 Lubricant use</v>
      </c>
      <c r="F116" t="str">
        <f>INDEX(DbaseIndices!I:I,$B116)</f>
        <v>2D1 Lubricant use</v>
      </c>
      <c r="G116">
        <f>INDEX(DbaseIndices!D:D,$B116)</f>
        <v>0</v>
      </c>
      <c r="H116" t="str">
        <f>INDEX(DbaseIndices!E:E,$B116)</f>
        <v>CO2</v>
      </c>
      <c r="I116">
        <f>IF(I115=DbaseIndices!$N$3,DbaseIndices!$N$2,I115+1)</f>
        <v>2012</v>
      </c>
      <c r="J116" s="243">
        <f ca="1">OFFSET(INDIRECT(INDEX(DbaseIndices!J:J,B116)),0,I116-2000+1)</f>
        <v>250.58</v>
      </c>
    </row>
    <row r="117" spans="1:10" x14ac:dyDescent="0.25">
      <c r="A117">
        <f>IF(I116=DbaseIndices!$N$3,A116+1,A116)</f>
        <v>20</v>
      </c>
      <c r="B117">
        <f>MATCH(A117,DbaseIndices!A:A,0)</f>
        <v>21</v>
      </c>
      <c r="C117" t="str">
        <f>INDEX(DbaseIndices!F:F,$B117)</f>
        <v xml:space="preserve">2 Industrial Processes and Product Use </v>
      </c>
      <c r="D117" t="str">
        <f>INDEX(DbaseIndices!G:G,$B117)</f>
        <v>2D Non-energy products from fuels and solvent use</v>
      </c>
      <c r="E117" t="str">
        <f>INDEX(DbaseIndices!H:H,$B117)</f>
        <v>2D1 Lubricant use</v>
      </c>
      <c r="F117" t="str">
        <f>INDEX(DbaseIndices!I:I,$B117)</f>
        <v>2D1 Lubricant use</v>
      </c>
      <c r="G117">
        <f>INDEX(DbaseIndices!D:D,$B117)</f>
        <v>0</v>
      </c>
      <c r="H117" t="str">
        <f>INDEX(DbaseIndices!E:E,$B117)</f>
        <v>CO2</v>
      </c>
      <c r="I117">
        <f>IF(I116=DbaseIndices!$N$3,DbaseIndices!$N$2,I116+1)</f>
        <v>2013</v>
      </c>
      <c r="J117" s="243">
        <f ca="1">OFFSET(INDIRECT(INDEX(DbaseIndices!J:J,B117)),0,I117-2000+1)</f>
        <v>268.54593874595992</v>
      </c>
    </row>
    <row r="118" spans="1:10" x14ac:dyDescent="0.25">
      <c r="A118">
        <f>IF(I117=DbaseIndices!$N$3,A117+1,A117)</f>
        <v>20</v>
      </c>
      <c r="B118">
        <f>MATCH(A118,DbaseIndices!A:A,0)</f>
        <v>21</v>
      </c>
      <c r="C118" t="str">
        <f>INDEX(DbaseIndices!F:F,$B118)</f>
        <v xml:space="preserve">2 Industrial Processes and Product Use </v>
      </c>
      <c r="D118" t="str">
        <f>INDEX(DbaseIndices!G:G,$B118)</f>
        <v>2D Non-energy products from fuels and solvent use</v>
      </c>
      <c r="E118" t="str">
        <f>INDEX(DbaseIndices!H:H,$B118)</f>
        <v>2D1 Lubricant use</v>
      </c>
      <c r="F118" t="str">
        <f>INDEX(DbaseIndices!I:I,$B118)</f>
        <v>2D1 Lubricant use</v>
      </c>
      <c r="G118">
        <f>INDEX(DbaseIndices!D:D,$B118)</f>
        <v>0</v>
      </c>
      <c r="H118" t="str">
        <f>INDEX(DbaseIndices!E:E,$B118)</f>
        <v>CO2</v>
      </c>
      <c r="I118">
        <f>IF(I117=DbaseIndices!$N$3,DbaseIndices!$N$2,I117+1)</f>
        <v>2014</v>
      </c>
      <c r="J118" s="243">
        <f ca="1">OFFSET(INDIRECT(INDEX(DbaseIndices!J:J,B118)),0,I118-2000+1)</f>
        <v>269.74550295424086</v>
      </c>
    </row>
    <row r="119" spans="1:10" x14ac:dyDescent="0.25">
      <c r="A119">
        <f>IF(I118=DbaseIndices!$N$3,A118+1,A118)</f>
        <v>20</v>
      </c>
      <c r="B119">
        <f>MATCH(A119,DbaseIndices!A:A,0)</f>
        <v>21</v>
      </c>
      <c r="C119" t="str">
        <f>INDEX(DbaseIndices!F:F,$B119)</f>
        <v xml:space="preserve">2 Industrial Processes and Product Use </v>
      </c>
      <c r="D119" t="str">
        <f>INDEX(DbaseIndices!G:G,$B119)</f>
        <v>2D Non-energy products from fuels and solvent use</v>
      </c>
      <c r="E119" t="str">
        <f>INDEX(DbaseIndices!H:H,$B119)</f>
        <v>2D1 Lubricant use</v>
      </c>
      <c r="F119" t="str">
        <f>INDEX(DbaseIndices!I:I,$B119)</f>
        <v>2D1 Lubricant use</v>
      </c>
      <c r="G119">
        <f>INDEX(DbaseIndices!D:D,$B119)</f>
        <v>0</v>
      </c>
      <c r="H119" t="str">
        <f>INDEX(DbaseIndices!E:E,$B119)</f>
        <v>CO2</v>
      </c>
      <c r="I119">
        <f>IF(I118=DbaseIndices!$N$3,DbaseIndices!$N$2,I118+1)</f>
        <v>2015</v>
      </c>
      <c r="J119" s="243">
        <f ca="1">OFFSET(INDIRECT(INDEX(DbaseIndices!J:J,B119)),0,I119-2000+1)</f>
        <v>270.87247043125336</v>
      </c>
    </row>
    <row r="120" spans="1:10" x14ac:dyDescent="0.25">
      <c r="A120">
        <f>IF(I119=DbaseIndices!$N$3,A119+1,A119)</f>
        <v>20</v>
      </c>
      <c r="B120">
        <f>MATCH(A120,DbaseIndices!A:A,0)</f>
        <v>21</v>
      </c>
      <c r="C120" t="str">
        <f>INDEX(DbaseIndices!F:F,$B120)</f>
        <v xml:space="preserve">2 Industrial Processes and Product Use </v>
      </c>
      <c r="D120" t="str">
        <f>INDEX(DbaseIndices!G:G,$B120)</f>
        <v>2D Non-energy products from fuels and solvent use</v>
      </c>
      <c r="E120" t="str">
        <f>INDEX(DbaseIndices!H:H,$B120)</f>
        <v>2D1 Lubricant use</v>
      </c>
      <c r="F120" t="str">
        <f>INDEX(DbaseIndices!I:I,$B120)</f>
        <v>2D1 Lubricant use</v>
      </c>
      <c r="G120">
        <f>INDEX(DbaseIndices!D:D,$B120)</f>
        <v>0</v>
      </c>
      <c r="H120" t="str">
        <f>INDEX(DbaseIndices!E:E,$B120)</f>
        <v>CO2</v>
      </c>
      <c r="I120">
        <f>IF(I119=DbaseIndices!$N$3,DbaseIndices!$N$2,I119+1)</f>
        <v>2016</v>
      </c>
      <c r="J120" s="243">
        <f ca="1">OFFSET(INDIRECT(INDEX(DbaseIndices!J:J,B120)),0,I120-2000+1)</f>
        <v>271.93538199363684</v>
      </c>
    </row>
    <row r="121" spans="1:10" x14ac:dyDescent="0.25">
      <c r="A121">
        <f>IF(I120=DbaseIndices!$N$3,A120+1,A120)</f>
        <v>20</v>
      </c>
      <c r="B121">
        <f>MATCH(A121,DbaseIndices!A:A,0)</f>
        <v>21</v>
      </c>
      <c r="C121" t="str">
        <f>INDEX(DbaseIndices!F:F,$B121)</f>
        <v xml:space="preserve">2 Industrial Processes and Product Use </v>
      </c>
      <c r="D121" t="str">
        <f>INDEX(DbaseIndices!G:G,$B121)</f>
        <v>2D Non-energy products from fuels and solvent use</v>
      </c>
      <c r="E121" t="str">
        <f>INDEX(DbaseIndices!H:H,$B121)</f>
        <v>2D1 Lubricant use</v>
      </c>
      <c r="F121" t="str">
        <f>INDEX(DbaseIndices!I:I,$B121)</f>
        <v>2D1 Lubricant use</v>
      </c>
      <c r="G121">
        <f>INDEX(DbaseIndices!D:D,$B121)</f>
        <v>0</v>
      </c>
      <c r="H121" t="str">
        <f>INDEX(DbaseIndices!E:E,$B121)</f>
        <v>CO2</v>
      </c>
      <c r="I121">
        <f>IF(I120=DbaseIndices!$N$3,DbaseIndices!$N$2,I120+1)</f>
        <v>2017</v>
      </c>
      <c r="J121" s="243">
        <f ca="1">OFFSET(INDIRECT(INDEX(DbaseIndices!J:J,B121)),0,I121-2000+1)</f>
        <v>272.94134139337575</v>
      </c>
    </row>
    <row r="122" spans="1:10" x14ac:dyDescent="0.25">
      <c r="A122">
        <f>IF(I121=DbaseIndices!$N$3,A121+1,A121)</f>
        <v>21</v>
      </c>
      <c r="B122">
        <f>MATCH(A122,DbaseIndices!A:A,0)</f>
        <v>22</v>
      </c>
      <c r="C122" t="str">
        <f>INDEX(DbaseIndices!F:F,$B122)</f>
        <v xml:space="preserve">2 Industrial Processes and Product Use </v>
      </c>
      <c r="D122" t="str">
        <f>INDEX(DbaseIndices!G:G,$B122)</f>
        <v>2D Non-energy products from fuels and solvent use</v>
      </c>
      <c r="E122" t="str">
        <f>INDEX(DbaseIndices!H:H,$B122)</f>
        <v>2D2 Paraffin Wax Use</v>
      </c>
      <c r="F122" t="str">
        <f>INDEX(DbaseIndices!I:I,$B122)</f>
        <v>2D2 Paraffin Wax Use</v>
      </c>
      <c r="G122">
        <f>INDEX(DbaseIndices!D:D,$B122)</f>
        <v>0</v>
      </c>
      <c r="H122" t="str">
        <f>INDEX(DbaseIndices!E:E,$B122)</f>
        <v>CO2</v>
      </c>
      <c r="I122">
        <f>IF(I121=DbaseIndices!$N$3,DbaseIndices!$N$2,I121+1)</f>
        <v>2012</v>
      </c>
      <c r="J122" s="243">
        <f ca="1">OFFSET(INDIRECT(INDEX(DbaseIndices!J:J,B122)),0,I122-2000+1)</f>
        <v>3.2969107721929678</v>
      </c>
    </row>
    <row r="123" spans="1:10" x14ac:dyDescent="0.25">
      <c r="A123">
        <f>IF(I122=DbaseIndices!$N$3,A122+1,A122)</f>
        <v>21</v>
      </c>
      <c r="B123">
        <f>MATCH(A123,DbaseIndices!A:A,0)</f>
        <v>22</v>
      </c>
      <c r="C123" t="str">
        <f>INDEX(DbaseIndices!F:F,$B123)</f>
        <v xml:space="preserve">2 Industrial Processes and Product Use </v>
      </c>
      <c r="D123" t="str">
        <f>INDEX(DbaseIndices!G:G,$B123)</f>
        <v>2D Non-energy products from fuels and solvent use</v>
      </c>
      <c r="E123" t="str">
        <f>INDEX(DbaseIndices!H:H,$B123)</f>
        <v>2D2 Paraffin Wax Use</v>
      </c>
      <c r="F123" t="str">
        <f>INDEX(DbaseIndices!I:I,$B123)</f>
        <v>2D2 Paraffin Wax Use</v>
      </c>
      <c r="G123">
        <f>INDEX(DbaseIndices!D:D,$B123)</f>
        <v>0</v>
      </c>
      <c r="H123" t="str">
        <f>INDEX(DbaseIndices!E:E,$B123)</f>
        <v>CO2</v>
      </c>
      <c r="I123">
        <f>IF(I122=DbaseIndices!$N$3,DbaseIndices!$N$2,I122+1)</f>
        <v>2013</v>
      </c>
      <c r="J123" s="243">
        <f ca="1">OFFSET(INDIRECT(INDEX(DbaseIndices!J:J,B123)),0,I123-2000+1)</f>
        <v>3.1601766230378749</v>
      </c>
    </row>
    <row r="124" spans="1:10" x14ac:dyDescent="0.25">
      <c r="A124">
        <f>IF(I123=DbaseIndices!$N$3,A123+1,A123)</f>
        <v>21</v>
      </c>
      <c r="B124">
        <f>MATCH(A124,DbaseIndices!A:A,0)</f>
        <v>22</v>
      </c>
      <c r="C124" t="str">
        <f>INDEX(DbaseIndices!F:F,$B124)</f>
        <v xml:space="preserve">2 Industrial Processes and Product Use </v>
      </c>
      <c r="D124" t="str">
        <f>INDEX(DbaseIndices!G:G,$B124)</f>
        <v>2D Non-energy products from fuels and solvent use</v>
      </c>
      <c r="E124" t="str">
        <f>INDEX(DbaseIndices!H:H,$B124)</f>
        <v>2D2 Paraffin Wax Use</v>
      </c>
      <c r="F124" t="str">
        <f>INDEX(DbaseIndices!I:I,$B124)</f>
        <v>2D2 Paraffin Wax Use</v>
      </c>
      <c r="G124">
        <f>INDEX(DbaseIndices!D:D,$B124)</f>
        <v>0</v>
      </c>
      <c r="H124" t="str">
        <f>INDEX(DbaseIndices!E:E,$B124)</f>
        <v>CO2</v>
      </c>
      <c r="I124">
        <f>IF(I123=DbaseIndices!$N$3,DbaseIndices!$N$2,I123+1)</f>
        <v>2014</v>
      </c>
      <c r="J124" s="243">
        <f ca="1">OFFSET(INDIRECT(INDEX(DbaseIndices!J:J,B124)),0,I124-2000+1)</f>
        <v>3.0328801756196833</v>
      </c>
    </row>
    <row r="125" spans="1:10" x14ac:dyDescent="0.25">
      <c r="A125">
        <f>IF(I124=DbaseIndices!$N$3,A124+1,A124)</f>
        <v>21</v>
      </c>
      <c r="B125">
        <f>MATCH(A125,DbaseIndices!A:A,0)</f>
        <v>22</v>
      </c>
      <c r="C125" t="str">
        <f>INDEX(DbaseIndices!F:F,$B125)</f>
        <v xml:space="preserve">2 Industrial Processes and Product Use </v>
      </c>
      <c r="D125" t="str">
        <f>INDEX(DbaseIndices!G:G,$B125)</f>
        <v>2D Non-energy products from fuels and solvent use</v>
      </c>
      <c r="E125" t="str">
        <f>INDEX(DbaseIndices!H:H,$B125)</f>
        <v>2D2 Paraffin Wax Use</v>
      </c>
      <c r="F125" t="str">
        <f>INDEX(DbaseIndices!I:I,$B125)</f>
        <v>2D2 Paraffin Wax Use</v>
      </c>
      <c r="G125">
        <f>INDEX(DbaseIndices!D:D,$B125)</f>
        <v>0</v>
      </c>
      <c r="H125" t="str">
        <f>INDEX(DbaseIndices!E:E,$B125)</f>
        <v>CO2</v>
      </c>
      <c r="I125">
        <f>IF(I124=DbaseIndices!$N$3,DbaseIndices!$N$2,I124+1)</f>
        <v>2015</v>
      </c>
      <c r="J125" s="243">
        <f ca="1">OFFSET(INDIRECT(INDEX(DbaseIndices!J:J,B125)),0,I125-2000+1)</f>
        <v>2.9138023015527885</v>
      </c>
    </row>
    <row r="126" spans="1:10" x14ac:dyDescent="0.25">
      <c r="A126">
        <f>IF(I125=DbaseIndices!$N$3,A125+1,A125)</f>
        <v>21</v>
      </c>
      <c r="B126">
        <f>MATCH(A126,DbaseIndices!A:A,0)</f>
        <v>22</v>
      </c>
      <c r="C126" t="str">
        <f>INDEX(DbaseIndices!F:F,$B126)</f>
        <v xml:space="preserve">2 Industrial Processes and Product Use </v>
      </c>
      <c r="D126" t="str">
        <f>INDEX(DbaseIndices!G:G,$B126)</f>
        <v>2D Non-energy products from fuels and solvent use</v>
      </c>
      <c r="E126" t="str">
        <f>INDEX(DbaseIndices!H:H,$B126)</f>
        <v>2D2 Paraffin Wax Use</v>
      </c>
      <c r="F126" t="str">
        <f>INDEX(DbaseIndices!I:I,$B126)</f>
        <v>2D2 Paraffin Wax Use</v>
      </c>
      <c r="G126">
        <f>INDEX(DbaseIndices!D:D,$B126)</f>
        <v>0</v>
      </c>
      <c r="H126" t="str">
        <f>INDEX(DbaseIndices!E:E,$B126)</f>
        <v>CO2</v>
      </c>
      <c r="I126">
        <f>IF(I125=DbaseIndices!$N$3,DbaseIndices!$N$2,I125+1)</f>
        <v>2016</v>
      </c>
      <c r="J126" s="243">
        <f ca="1">OFFSET(INDIRECT(INDEX(DbaseIndices!J:J,B126)),0,I126-2000+1)</f>
        <v>2.8019458326600115</v>
      </c>
    </row>
    <row r="127" spans="1:10" x14ac:dyDescent="0.25">
      <c r="A127">
        <f>IF(I126=DbaseIndices!$N$3,A126+1,A126)</f>
        <v>21</v>
      </c>
      <c r="B127">
        <f>MATCH(A127,DbaseIndices!A:A,0)</f>
        <v>22</v>
      </c>
      <c r="C127" t="str">
        <f>INDEX(DbaseIndices!F:F,$B127)</f>
        <v xml:space="preserve">2 Industrial Processes and Product Use </v>
      </c>
      <c r="D127" t="str">
        <f>INDEX(DbaseIndices!G:G,$B127)</f>
        <v>2D Non-energy products from fuels and solvent use</v>
      </c>
      <c r="E127" t="str">
        <f>INDEX(DbaseIndices!H:H,$B127)</f>
        <v>2D2 Paraffin Wax Use</v>
      </c>
      <c r="F127" t="str">
        <f>INDEX(DbaseIndices!I:I,$B127)</f>
        <v>2D2 Paraffin Wax Use</v>
      </c>
      <c r="G127">
        <f>INDEX(DbaseIndices!D:D,$B127)</f>
        <v>0</v>
      </c>
      <c r="H127" t="str">
        <f>INDEX(DbaseIndices!E:E,$B127)</f>
        <v>CO2</v>
      </c>
      <c r="I127">
        <f>IF(I126=DbaseIndices!$N$3,DbaseIndices!$N$2,I126+1)</f>
        <v>2017</v>
      </c>
      <c r="J127" s="243">
        <f ca="1">OFFSET(INDIRECT(INDEX(DbaseIndices!J:J,B127)),0,I127-2000+1)</f>
        <v>2.6964847485643841</v>
      </c>
    </row>
    <row r="128" spans="1:10" x14ac:dyDescent="0.25">
      <c r="A128">
        <f>IF(I127=DbaseIndices!$N$3,A127+1,A127)</f>
        <v>22</v>
      </c>
      <c r="B128">
        <f>MATCH(A128,DbaseIndices!A:A,0)</f>
        <v>23</v>
      </c>
      <c r="C128" t="str">
        <f>INDEX(DbaseIndices!F:F,$B128)</f>
        <v xml:space="preserve">2 Industrial Processes and Product Use </v>
      </c>
      <c r="D128" t="str">
        <f>INDEX(DbaseIndices!G:G,$B128)</f>
        <v>2F Product uses as substitutes for ozone depleting substances</v>
      </c>
      <c r="E128" t="str">
        <f>INDEX(DbaseIndices!H:H,$B128)</f>
        <v>2F1 Refrigeration and Air Conditioning</v>
      </c>
      <c r="F128" t="str">
        <f>INDEX(DbaseIndices!I:I,$B128)</f>
        <v>2F1 Refrigeration and Air Conditioning</v>
      </c>
      <c r="G128">
        <f>INDEX(DbaseIndices!D:D,$B128)</f>
        <v>0</v>
      </c>
      <c r="H128" t="str">
        <f>INDEX(DbaseIndices!E:E,$B128)</f>
        <v>CO2eq</v>
      </c>
      <c r="I128">
        <f>IF(I127=DbaseIndices!$N$3,DbaseIndices!$N$2,I127+1)</f>
        <v>2012</v>
      </c>
      <c r="J128" s="243">
        <f ca="1">OFFSET(INDIRECT(INDEX(DbaseIndices!J:J,B128)),0,I128-2000+1)</f>
        <v>2482.7810084104999</v>
      </c>
    </row>
    <row r="129" spans="1:10" x14ac:dyDescent="0.25">
      <c r="A129">
        <f>IF(I128=DbaseIndices!$N$3,A128+1,A128)</f>
        <v>22</v>
      </c>
      <c r="B129">
        <f>MATCH(A129,DbaseIndices!A:A,0)</f>
        <v>23</v>
      </c>
      <c r="C129" t="str">
        <f>INDEX(DbaseIndices!F:F,$B129)</f>
        <v xml:space="preserve">2 Industrial Processes and Product Use </v>
      </c>
      <c r="D129" t="str">
        <f>INDEX(DbaseIndices!G:G,$B129)</f>
        <v>2F Product uses as substitutes for ozone depleting substances</v>
      </c>
      <c r="E129" t="str">
        <f>INDEX(DbaseIndices!H:H,$B129)</f>
        <v>2F1 Refrigeration and Air Conditioning</v>
      </c>
      <c r="F129" t="str">
        <f>INDEX(DbaseIndices!I:I,$B129)</f>
        <v>2F1 Refrigeration and Air Conditioning</v>
      </c>
      <c r="G129">
        <f>INDEX(DbaseIndices!D:D,$B129)</f>
        <v>0</v>
      </c>
      <c r="H129" t="str">
        <f>INDEX(DbaseIndices!E:E,$B129)</f>
        <v>CO2eq</v>
      </c>
      <c r="I129">
        <f>IF(I128=DbaseIndices!$N$3,DbaseIndices!$N$2,I128+1)</f>
        <v>2013</v>
      </c>
      <c r="J129" s="243">
        <f ca="1">OFFSET(INDIRECT(INDEX(DbaseIndices!J:J,B129)),0,I129-2000+1)</f>
        <v>2802.3997062409999</v>
      </c>
    </row>
    <row r="130" spans="1:10" x14ac:dyDescent="0.25">
      <c r="A130">
        <f>IF(I129=DbaseIndices!$N$3,A129+1,A129)</f>
        <v>22</v>
      </c>
      <c r="B130">
        <f>MATCH(A130,DbaseIndices!A:A,0)</f>
        <v>23</v>
      </c>
      <c r="C130" t="str">
        <f>INDEX(DbaseIndices!F:F,$B130)</f>
        <v xml:space="preserve">2 Industrial Processes and Product Use </v>
      </c>
      <c r="D130" t="str">
        <f>INDEX(DbaseIndices!G:G,$B130)</f>
        <v>2F Product uses as substitutes for ozone depleting substances</v>
      </c>
      <c r="E130" t="str">
        <f>INDEX(DbaseIndices!H:H,$B130)</f>
        <v>2F1 Refrigeration and Air Conditioning</v>
      </c>
      <c r="F130" t="str">
        <f>INDEX(DbaseIndices!I:I,$B130)</f>
        <v>2F1 Refrigeration and Air Conditioning</v>
      </c>
      <c r="G130">
        <f>INDEX(DbaseIndices!D:D,$B130)</f>
        <v>0</v>
      </c>
      <c r="H130" t="str">
        <f>INDEX(DbaseIndices!E:E,$B130)</f>
        <v>CO2eq</v>
      </c>
      <c r="I130">
        <f>IF(I129=DbaseIndices!$N$3,DbaseIndices!$N$2,I129+1)</f>
        <v>2014</v>
      </c>
      <c r="J130" s="243">
        <f ca="1">OFFSET(INDIRECT(INDEX(DbaseIndices!J:J,B130)),0,I130-2000+1)</f>
        <v>3011.31930134</v>
      </c>
    </row>
    <row r="131" spans="1:10" x14ac:dyDescent="0.25">
      <c r="A131">
        <f>IF(I130=DbaseIndices!$N$3,A130+1,A130)</f>
        <v>22</v>
      </c>
      <c r="B131">
        <f>MATCH(A131,DbaseIndices!A:A,0)</f>
        <v>23</v>
      </c>
      <c r="C131" t="str">
        <f>INDEX(DbaseIndices!F:F,$B131)</f>
        <v xml:space="preserve">2 Industrial Processes and Product Use </v>
      </c>
      <c r="D131" t="str">
        <f>INDEX(DbaseIndices!G:G,$B131)</f>
        <v>2F Product uses as substitutes for ozone depleting substances</v>
      </c>
      <c r="E131" t="str">
        <f>INDEX(DbaseIndices!H:H,$B131)</f>
        <v>2F1 Refrigeration and Air Conditioning</v>
      </c>
      <c r="F131" t="str">
        <f>INDEX(DbaseIndices!I:I,$B131)</f>
        <v>2F1 Refrigeration and Air Conditioning</v>
      </c>
      <c r="G131">
        <f>INDEX(DbaseIndices!D:D,$B131)</f>
        <v>0</v>
      </c>
      <c r="H131" t="str">
        <f>INDEX(DbaseIndices!E:E,$B131)</f>
        <v>CO2eq</v>
      </c>
      <c r="I131">
        <f>IF(I130=DbaseIndices!$N$3,DbaseIndices!$N$2,I130+1)</f>
        <v>2015</v>
      </c>
      <c r="J131" s="243">
        <f ca="1">OFFSET(INDIRECT(INDEX(DbaseIndices!J:J,B131)),0,I131-2000+1)</f>
        <v>3419.7235398180001</v>
      </c>
    </row>
    <row r="132" spans="1:10" x14ac:dyDescent="0.25">
      <c r="A132">
        <f>IF(I131=DbaseIndices!$N$3,A131+1,A131)</f>
        <v>22</v>
      </c>
      <c r="B132">
        <f>MATCH(A132,DbaseIndices!A:A,0)</f>
        <v>23</v>
      </c>
      <c r="C132" t="str">
        <f>INDEX(DbaseIndices!F:F,$B132)</f>
        <v xml:space="preserve">2 Industrial Processes and Product Use </v>
      </c>
      <c r="D132" t="str">
        <f>INDEX(DbaseIndices!G:G,$B132)</f>
        <v>2F Product uses as substitutes for ozone depleting substances</v>
      </c>
      <c r="E132" t="str">
        <f>INDEX(DbaseIndices!H:H,$B132)</f>
        <v>2F1 Refrigeration and Air Conditioning</v>
      </c>
      <c r="F132" t="str">
        <f>INDEX(DbaseIndices!I:I,$B132)</f>
        <v>2F1 Refrigeration and Air Conditioning</v>
      </c>
      <c r="G132">
        <f>INDEX(DbaseIndices!D:D,$B132)</f>
        <v>0</v>
      </c>
      <c r="H132" t="str">
        <f>INDEX(DbaseIndices!E:E,$B132)</f>
        <v>CO2eq</v>
      </c>
      <c r="I132">
        <f>IF(I131=DbaseIndices!$N$3,DbaseIndices!$N$2,I131+1)</f>
        <v>2016</v>
      </c>
      <c r="J132" s="243">
        <f ca="1">OFFSET(INDIRECT(INDEX(DbaseIndices!J:J,B132)),0,I132-2000+1)</f>
        <v>3668.991196254</v>
      </c>
    </row>
    <row r="133" spans="1:10" x14ac:dyDescent="0.25">
      <c r="A133">
        <f>IF(I132=DbaseIndices!$N$3,A132+1,A132)</f>
        <v>22</v>
      </c>
      <c r="B133">
        <f>MATCH(A133,DbaseIndices!A:A,0)</f>
        <v>23</v>
      </c>
      <c r="C133" t="str">
        <f>INDEX(DbaseIndices!F:F,$B133)</f>
        <v xml:space="preserve">2 Industrial Processes and Product Use </v>
      </c>
      <c r="D133" t="str">
        <f>INDEX(DbaseIndices!G:G,$B133)</f>
        <v>2F Product uses as substitutes for ozone depleting substances</v>
      </c>
      <c r="E133" t="str">
        <f>INDEX(DbaseIndices!H:H,$B133)</f>
        <v>2F1 Refrigeration and Air Conditioning</v>
      </c>
      <c r="F133" t="str">
        <f>INDEX(DbaseIndices!I:I,$B133)</f>
        <v>2F1 Refrigeration and Air Conditioning</v>
      </c>
      <c r="G133">
        <f>INDEX(DbaseIndices!D:D,$B133)</f>
        <v>0</v>
      </c>
      <c r="H133" t="str">
        <f>INDEX(DbaseIndices!E:E,$B133)</f>
        <v>CO2eq</v>
      </c>
      <c r="I133">
        <f>IF(I132=DbaseIndices!$N$3,DbaseIndices!$N$2,I132+1)</f>
        <v>2017</v>
      </c>
      <c r="J133" s="243">
        <f ca="1">OFFSET(INDIRECT(INDEX(DbaseIndices!J:J,B133)),0,I133-2000+1)</f>
        <v>3963.4610677467999</v>
      </c>
    </row>
    <row r="134" spans="1:10" x14ac:dyDescent="0.25">
      <c r="A134">
        <f>IF(I133=DbaseIndices!$N$3,A133+1,A133)</f>
        <v>23</v>
      </c>
      <c r="B134">
        <f>MATCH(A134,DbaseIndices!A:A,0)</f>
        <v>24</v>
      </c>
      <c r="C134" t="str">
        <f>INDEX(DbaseIndices!F:F,$B134)</f>
        <v xml:space="preserve">2 Industrial Processes and Product Use </v>
      </c>
      <c r="D134" t="str">
        <f>INDEX(DbaseIndices!G:G,$B134)</f>
        <v>2F Product uses as substitutes for ozone depleting substances</v>
      </c>
      <c r="E134" t="str">
        <f>INDEX(DbaseIndices!H:H,$B134)</f>
        <v>2F2 Foam blowing agents</v>
      </c>
      <c r="F134" t="str">
        <f>INDEX(DbaseIndices!I:I,$B134)</f>
        <v>2F2 Foam blowing agents</v>
      </c>
      <c r="G134">
        <f>INDEX(DbaseIndices!D:D,$B134)</f>
        <v>0</v>
      </c>
      <c r="H134" t="str">
        <f>INDEX(DbaseIndices!E:E,$B134)</f>
        <v>CO2eq</v>
      </c>
      <c r="I134">
        <f>IF(I133=DbaseIndices!$N$3,DbaseIndices!$N$2,I133+1)</f>
        <v>2012</v>
      </c>
      <c r="J134" s="243">
        <f ca="1">OFFSET(INDIRECT(INDEX(DbaseIndices!J:J,B134)),0,I134-2000+1)</f>
        <v>3.4528660840000001</v>
      </c>
    </row>
    <row r="135" spans="1:10" x14ac:dyDescent="0.25">
      <c r="A135">
        <f>IF(I134=DbaseIndices!$N$3,A134+1,A134)</f>
        <v>23</v>
      </c>
      <c r="B135">
        <f>MATCH(A135,DbaseIndices!A:A,0)</f>
        <v>24</v>
      </c>
      <c r="C135" t="str">
        <f>INDEX(DbaseIndices!F:F,$B135)</f>
        <v xml:space="preserve">2 Industrial Processes and Product Use </v>
      </c>
      <c r="D135" t="str">
        <f>INDEX(DbaseIndices!G:G,$B135)</f>
        <v>2F Product uses as substitutes for ozone depleting substances</v>
      </c>
      <c r="E135" t="str">
        <f>INDEX(DbaseIndices!H:H,$B135)</f>
        <v>2F2 Foam blowing agents</v>
      </c>
      <c r="F135" t="str">
        <f>INDEX(DbaseIndices!I:I,$B135)</f>
        <v>2F2 Foam blowing agents</v>
      </c>
      <c r="G135">
        <f>INDEX(DbaseIndices!D:D,$B135)</f>
        <v>0</v>
      </c>
      <c r="H135" t="str">
        <f>INDEX(DbaseIndices!E:E,$B135)</f>
        <v>CO2eq</v>
      </c>
      <c r="I135">
        <f>IF(I134=DbaseIndices!$N$3,DbaseIndices!$N$2,I134+1)</f>
        <v>2013</v>
      </c>
      <c r="J135" s="243">
        <f ca="1">OFFSET(INDIRECT(INDEX(DbaseIndices!J:J,B135)),0,I135-2000+1)</f>
        <v>2.0036058250000002</v>
      </c>
    </row>
    <row r="136" spans="1:10" x14ac:dyDescent="0.25">
      <c r="A136">
        <f>IF(I135=DbaseIndices!$N$3,A135+1,A135)</f>
        <v>23</v>
      </c>
      <c r="B136">
        <f>MATCH(A136,DbaseIndices!A:A,0)</f>
        <v>24</v>
      </c>
      <c r="C136" t="str">
        <f>INDEX(DbaseIndices!F:F,$B136)</f>
        <v xml:space="preserve">2 Industrial Processes and Product Use </v>
      </c>
      <c r="D136" t="str">
        <f>INDEX(DbaseIndices!G:G,$B136)</f>
        <v>2F Product uses as substitutes for ozone depleting substances</v>
      </c>
      <c r="E136" t="str">
        <f>INDEX(DbaseIndices!H:H,$B136)</f>
        <v>2F2 Foam blowing agents</v>
      </c>
      <c r="F136" t="str">
        <f>INDEX(DbaseIndices!I:I,$B136)</f>
        <v>2F2 Foam blowing agents</v>
      </c>
      <c r="G136">
        <f>INDEX(DbaseIndices!D:D,$B136)</f>
        <v>0</v>
      </c>
      <c r="H136" t="str">
        <f>INDEX(DbaseIndices!E:E,$B136)</f>
        <v>CO2eq</v>
      </c>
      <c r="I136">
        <f>IF(I135=DbaseIndices!$N$3,DbaseIndices!$N$2,I135+1)</f>
        <v>2014</v>
      </c>
      <c r="J136" s="243">
        <f ca="1">OFFSET(INDIRECT(INDEX(DbaseIndices!J:J,B136)),0,I136-2000+1)</f>
        <v>1.7355986710000002</v>
      </c>
    </row>
    <row r="137" spans="1:10" x14ac:dyDescent="0.25">
      <c r="A137">
        <f>IF(I136=DbaseIndices!$N$3,A136+1,A136)</f>
        <v>23</v>
      </c>
      <c r="B137">
        <f>MATCH(A137,DbaseIndices!A:A,0)</f>
        <v>24</v>
      </c>
      <c r="C137" t="str">
        <f>INDEX(DbaseIndices!F:F,$B137)</f>
        <v xml:space="preserve">2 Industrial Processes and Product Use </v>
      </c>
      <c r="D137" t="str">
        <f>INDEX(DbaseIndices!G:G,$B137)</f>
        <v>2F Product uses as substitutes for ozone depleting substances</v>
      </c>
      <c r="E137" t="str">
        <f>INDEX(DbaseIndices!H:H,$B137)</f>
        <v>2F2 Foam blowing agents</v>
      </c>
      <c r="F137" t="str">
        <f>INDEX(DbaseIndices!I:I,$B137)</f>
        <v>2F2 Foam blowing agents</v>
      </c>
      <c r="G137">
        <f>INDEX(DbaseIndices!D:D,$B137)</f>
        <v>0</v>
      </c>
      <c r="H137" t="str">
        <f>INDEX(DbaseIndices!E:E,$B137)</f>
        <v>CO2eq</v>
      </c>
      <c r="I137">
        <f>IF(I136=DbaseIndices!$N$3,DbaseIndices!$N$2,I136+1)</f>
        <v>2015</v>
      </c>
      <c r="J137" s="243">
        <f ca="1">OFFSET(INDIRECT(INDEX(DbaseIndices!J:J,B137)),0,I137-2000+1)</f>
        <v>2.1042043709999998</v>
      </c>
    </row>
    <row r="138" spans="1:10" x14ac:dyDescent="0.25">
      <c r="A138">
        <f>IF(I137=DbaseIndices!$N$3,A137+1,A137)</f>
        <v>23</v>
      </c>
      <c r="B138">
        <f>MATCH(A138,DbaseIndices!A:A,0)</f>
        <v>24</v>
      </c>
      <c r="C138" t="str">
        <f>INDEX(DbaseIndices!F:F,$B138)</f>
        <v xml:space="preserve">2 Industrial Processes and Product Use </v>
      </c>
      <c r="D138" t="str">
        <f>INDEX(DbaseIndices!G:G,$B138)</f>
        <v>2F Product uses as substitutes for ozone depleting substances</v>
      </c>
      <c r="E138" t="str">
        <f>INDEX(DbaseIndices!H:H,$B138)</f>
        <v>2F2 Foam blowing agents</v>
      </c>
      <c r="F138" t="str">
        <f>INDEX(DbaseIndices!I:I,$B138)</f>
        <v>2F2 Foam blowing agents</v>
      </c>
      <c r="G138">
        <f>INDEX(DbaseIndices!D:D,$B138)</f>
        <v>0</v>
      </c>
      <c r="H138" t="str">
        <f>INDEX(DbaseIndices!E:E,$B138)</f>
        <v>CO2eq</v>
      </c>
      <c r="I138">
        <f>IF(I137=DbaseIndices!$N$3,DbaseIndices!$N$2,I137+1)</f>
        <v>2016</v>
      </c>
      <c r="J138" s="243">
        <f ca="1">OFFSET(INDIRECT(INDEX(DbaseIndices!J:J,B138)),0,I138-2000+1)</f>
        <v>2.1042043709999998</v>
      </c>
    </row>
    <row r="139" spans="1:10" x14ac:dyDescent="0.25">
      <c r="A139">
        <f>IF(I138=DbaseIndices!$N$3,A138+1,A138)</f>
        <v>23</v>
      </c>
      <c r="B139">
        <f>MATCH(A139,DbaseIndices!A:A,0)</f>
        <v>24</v>
      </c>
      <c r="C139" t="str">
        <f>INDEX(DbaseIndices!F:F,$B139)</f>
        <v xml:space="preserve">2 Industrial Processes and Product Use </v>
      </c>
      <c r="D139" t="str">
        <f>INDEX(DbaseIndices!G:G,$B139)</f>
        <v>2F Product uses as substitutes for ozone depleting substances</v>
      </c>
      <c r="E139" t="str">
        <f>INDEX(DbaseIndices!H:H,$B139)</f>
        <v>2F2 Foam blowing agents</v>
      </c>
      <c r="F139" t="str">
        <f>INDEX(DbaseIndices!I:I,$B139)</f>
        <v>2F2 Foam blowing agents</v>
      </c>
      <c r="G139">
        <f>INDEX(DbaseIndices!D:D,$B139)</f>
        <v>0</v>
      </c>
      <c r="H139" t="str">
        <f>INDEX(DbaseIndices!E:E,$B139)</f>
        <v>CO2eq</v>
      </c>
      <c r="I139">
        <f>IF(I138=DbaseIndices!$N$3,DbaseIndices!$N$2,I138+1)</f>
        <v>2017</v>
      </c>
      <c r="J139" s="243">
        <f ca="1">OFFSET(INDIRECT(INDEX(DbaseIndices!J:J,B139)),0,I139-2000+1)</f>
        <v>2.1042043709999998</v>
      </c>
    </row>
    <row r="140" spans="1:10" x14ac:dyDescent="0.25">
      <c r="A140">
        <f>IF(I139=DbaseIndices!$N$3,A139+1,A139)</f>
        <v>24</v>
      </c>
      <c r="B140">
        <f>MATCH(A140,DbaseIndices!A:A,0)</f>
        <v>25</v>
      </c>
      <c r="C140" t="str">
        <f>INDEX(DbaseIndices!F:F,$B140)</f>
        <v xml:space="preserve">2 Industrial Processes and Product Use </v>
      </c>
      <c r="D140" t="str">
        <f>INDEX(DbaseIndices!G:G,$B140)</f>
        <v>2F Product uses as substitutes for ozone depleting substances</v>
      </c>
      <c r="E140" t="str">
        <f>INDEX(DbaseIndices!H:H,$B140)</f>
        <v>2F3 Fire protection</v>
      </c>
      <c r="F140" t="str">
        <f>INDEX(DbaseIndices!I:I,$B140)</f>
        <v>2F3 Fire protection</v>
      </c>
      <c r="G140">
        <f>INDEX(DbaseIndices!D:D,$B140)</f>
        <v>0</v>
      </c>
      <c r="H140" t="str">
        <f>INDEX(DbaseIndices!E:E,$B140)</f>
        <v>CO2eq</v>
      </c>
      <c r="I140">
        <f>IF(I139=DbaseIndices!$N$3,DbaseIndices!$N$2,I139+1)</f>
        <v>2012</v>
      </c>
      <c r="J140" s="243">
        <f ca="1">OFFSET(INDIRECT(INDEX(DbaseIndices!J:J,B140)),0,I140-2000+1)</f>
        <v>25.331806229999998</v>
      </c>
    </row>
    <row r="141" spans="1:10" x14ac:dyDescent="0.25">
      <c r="A141">
        <f>IF(I140=DbaseIndices!$N$3,A140+1,A140)</f>
        <v>24</v>
      </c>
      <c r="B141">
        <f>MATCH(A141,DbaseIndices!A:A,0)</f>
        <v>25</v>
      </c>
      <c r="C141" t="str">
        <f>INDEX(DbaseIndices!F:F,$B141)</f>
        <v xml:space="preserve">2 Industrial Processes and Product Use </v>
      </c>
      <c r="D141" t="str">
        <f>INDEX(DbaseIndices!G:G,$B141)</f>
        <v>2F Product uses as substitutes for ozone depleting substances</v>
      </c>
      <c r="E141" t="str">
        <f>INDEX(DbaseIndices!H:H,$B141)</f>
        <v>2F3 Fire protection</v>
      </c>
      <c r="F141" t="str">
        <f>INDEX(DbaseIndices!I:I,$B141)</f>
        <v>2F3 Fire protection</v>
      </c>
      <c r="G141">
        <f>INDEX(DbaseIndices!D:D,$B141)</f>
        <v>0</v>
      </c>
      <c r="H141" t="str">
        <f>INDEX(DbaseIndices!E:E,$B141)</f>
        <v>CO2eq</v>
      </c>
      <c r="I141">
        <f>IF(I140=DbaseIndices!$N$3,DbaseIndices!$N$2,I140+1)</f>
        <v>2013</v>
      </c>
      <c r="J141" s="243">
        <f ca="1">OFFSET(INDIRECT(INDEX(DbaseIndices!J:J,B141)),0,I141-2000+1)</f>
        <v>30.53210928</v>
      </c>
    </row>
    <row r="142" spans="1:10" x14ac:dyDescent="0.25">
      <c r="A142">
        <f>IF(I141=DbaseIndices!$N$3,A141+1,A141)</f>
        <v>24</v>
      </c>
      <c r="B142">
        <f>MATCH(A142,DbaseIndices!A:A,0)</f>
        <v>25</v>
      </c>
      <c r="C142" t="str">
        <f>INDEX(DbaseIndices!F:F,$B142)</f>
        <v xml:space="preserve">2 Industrial Processes and Product Use </v>
      </c>
      <c r="D142" t="str">
        <f>INDEX(DbaseIndices!G:G,$B142)</f>
        <v>2F Product uses as substitutes for ozone depleting substances</v>
      </c>
      <c r="E142" t="str">
        <f>INDEX(DbaseIndices!H:H,$B142)</f>
        <v>2F3 Fire protection</v>
      </c>
      <c r="F142" t="str">
        <f>INDEX(DbaseIndices!I:I,$B142)</f>
        <v>2F3 Fire protection</v>
      </c>
      <c r="G142">
        <f>INDEX(DbaseIndices!D:D,$B142)</f>
        <v>0</v>
      </c>
      <c r="H142" t="str">
        <f>INDEX(DbaseIndices!E:E,$B142)</f>
        <v>CO2eq</v>
      </c>
      <c r="I142">
        <f>IF(I141=DbaseIndices!$N$3,DbaseIndices!$N$2,I141+1)</f>
        <v>2014</v>
      </c>
      <c r="J142" s="243">
        <f ca="1">OFFSET(INDIRECT(INDEX(DbaseIndices!J:J,B142)),0,I142-2000+1)</f>
        <v>35.923529300000006</v>
      </c>
    </row>
    <row r="143" spans="1:10" x14ac:dyDescent="0.25">
      <c r="A143">
        <f>IF(I142=DbaseIndices!$N$3,A142+1,A142)</f>
        <v>24</v>
      </c>
      <c r="B143">
        <f>MATCH(A143,DbaseIndices!A:A,0)</f>
        <v>25</v>
      </c>
      <c r="C143" t="str">
        <f>INDEX(DbaseIndices!F:F,$B143)</f>
        <v xml:space="preserve">2 Industrial Processes and Product Use </v>
      </c>
      <c r="D143" t="str">
        <f>INDEX(DbaseIndices!G:G,$B143)</f>
        <v>2F Product uses as substitutes for ozone depleting substances</v>
      </c>
      <c r="E143" t="str">
        <f>INDEX(DbaseIndices!H:H,$B143)</f>
        <v>2F3 Fire protection</v>
      </c>
      <c r="F143" t="str">
        <f>INDEX(DbaseIndices!I:I,$B143)</f>
        <v>2F3 Fire protection</v>
      </c>
      <c r="G143">
        <f>INDEX(DbaseIndices!D:D,$B143)</f>
        <v>0</v>
      </c>
      <c r="H143" t="str">
        <f>INDEX(DbaseIndices!E:E,$B143)</f>
        <v>CO2eq</v>
      </c>
      <c r="I143">
        <f>IF(I142=DbaseIndices!$N$3,DbaseIndices!$N$2,I142+1)</f>
        <v>2015</v>
      </c>
      <c r="J143" s="243">
        <f ca="1">OFFSET(INDIRECT(INDEX(DbaseIndices!J:J,B143)),0,I143-2000+1)</f>
        <v>42.095061219999998</v>
      </c>
    </row>
    <row r="144" spans="1:10" x14ac:dyDescent="0.25">
      <c r="A144">
        <f>IF(I143=DbaseIndices!$N$3,A143+1,A143)</f>
        <v>24</v>
      </c>
      <c r="B144">
        <f>MATCH(A144,DbaseIndices!A:A,0)</f>
        <v>25</v>
      </c>
      <c r="C144" t="str">
        <f>INDEX(DbaseIndices!F:F,$B144)</f>
        <v xml:space="preserve">2 Industrial Processes and Product Use </v>
      </c>
      <c r="D144" t="str">
        <f>INDEX(DbaseIndices!G:G,$B144)</f>
        <v>2F Product uses as substitutes for ozone depleting substances</v>
      </c>
      <c r="E144" t="str">
        <f>INDEX(DbaseIndices!H:H,$B144)</f>
        <v>2F3 Fire protection</v>
      </c>
      <c r="F144" t="str">
        <f>INDEX(DbaseIndices!I:I,$B144)</f>
        <v>2F3 Fire protection</v>
      </c>
      <c r="G144">
        <f>INDEX(DbaseIndices!D:D,$B144)</f>
        <v>0</v>
      </c>
      <c r="H144" t="str">
        <f>INDEX(DbaseIndices!E:E,$B144)</f>
        <v>CO2eq</v>
      </c>
      <c r="I144">
        <f>IF(I143=DbaseIndices!$N$3,DbaseIndices!$N$2,I143+1)</f>
        <v>2016</v>
      </c>
      <c r="J144" s="243">
        <f ca="1">OFFSET(INDIRECT(INDEX(DbaseIndices!J:J,B144)),0,I144-2000+1)</f>
        <v>46.142869999999995</v>
      </c>
    </row>
    <row r="145" spans="1:10" x14ac:dyDescent="0.25">
      <c r="A145">
        <f>IF(I144=DbaseIndices!$N$3,A144+1,A144)</f>
        <v>24</v>
      </c>
      <c r="B145">
        <f>MATCH(A145,DbaseIndices!A:A,0)</f>
        <v>25</v>
      </c>
      <c r="C145" t="str">
        <f>INDEX(DbaseIndices!F:F,$B145)</f>
        <v xml:space="preserve">2 Industrial Processes and Product Use </v>
      </c>
      <c r="D145" t="str">
        <f>INDEX(DbaseIndices!G:G,$B145)</f>
        <v>2F Product uses as substitutes for ozone depleting substances</v>
      </c>
      <c r="E145" t="str">
        <f>INDEX(DbaseIndices!H:H,$B145)</f>
        <v>2F3 Fire protection</v>
      </c>
      <c r="F145" t="str">
        <f>INDEX(DbaseIndices!I:I,$B145)</f>
        <v>2F3 Fire protection</v>
      </c>
      <c r="G145">
        <f>INDEX(DbaseIndices!D:D,$B145)</f>
        <v>0</v>
      </c>
      <c r="H145" t="str">
        <f>INDEX(DbaseIndices!E:E,$B145)</f>
        <v>CO2eq</v>
      </c>
      <c r="I145">
        <f>IF(I144=DbaseIndices!$N$3,DbaseIndices!$N$2,I144+1)</f>
        <v>2017</v>
      </c>
      <c r="J145" s="243">
        <f ca="1">OFFSET(INDIRECT(INDEX(DbaseIndices!J:J,B145)),0,I145-2000+1)</f>
        <v>51.086919999999992</v>
      </c>
    </row>
    <row r="146" spans="1:10" x14ac:dyDescent="0.25">
      <c r="A146">
        <f>IF(I145=DbaseIndices!$N$3,A145+1,A145)</f>
        <v>25</v>
      </c>
      <c r="B146">
        <f>MATCH(A146,DbaseIndices!A:A,0)</f>
        <v>26</v>
      </c>
      <c r="C146" t="str">
        <f>INDEX(DbaseIndices!F:F,$B146)</f>
        <v xml:space="preserve">2 Industrial Processes and Product Use </v>
      </c>
      <c r="D146" t="str">
        <f>INDEX(DbaseIndices!G:G,$B146)</f>
        <v>2F Product uses as substitutes for ozone depleting substances</v>
      </c>
      <c r="E146" t="str">
        <f>INDEX(DbaseIndices!H:H,$B146)</f>
        <v>2F4 Aerosols</v>
      </c>
      <c r="F146" t="str">
        <f>INDEX(DbaseIndices!I:I,$B146)</f>
        <v>2F4 Aerosols</v>
      </c>
      <c r="G146">
        <f>INDEX(DbaseIndices!D:D,$B146)</f>
        <v>0</v>
      </c>
      <c r="H146" t="str">
        <f>INDEX(DbaseIndices!E:E,$B146)</f>
        <v>CO2eq</v>
      </c>
      <c r="I146">
        <f>IF(I145=DbaseIndices!$N$3,DbaseIndices!$N$2,I145+1)</f>
        <v>2012</v>
      </c>
      <c r="J146" s="243">
        <f ca="1">OFFSET(INDIRECT(INDEX(DbaseIndices!J:J,B146)),0,I146-2000+1)</f>
        <v>16.021940999999998</v>
      </c>
    </row>
    <row r="147" spans="1:10" x14ac:dyDescent="0.25">
      <c r="A147">
        <f>IF(I146=DbaseIndices!$N$3,A146+1,A146)</f>
        <v>25</v>
      </c>
      <c r="B147">
        <f>MATCH(A147,DbaseIndices!A:A,0)</f>
        <v>26</v>
      </c>
      <c r="C147" t="str">
        <f>INDEX(DbaseIndices!F:F,$B147)</f>
        <v xml:space="preserve">2 Industrial Processes and Product Use </v>
      </c>
      <c r="D147" t="str">
        <f>INDEX(DbaseIndices!G:G,$B147)</f>
        <v>2F Product uses as substitutes for ozone depleting substances</v>
      </c>
      <c r="E147" t="str">
        <f>INDEX(DbaseIndices!H:H,$B147)</f>
        <v>2F4 Aerosols</v>
      </c>
      <c r="F147" t="str">
        <f>INDEX(DbaseIndices!I:I,$B147)</f>
        <v>2F4 Aerosols</v>
      </c>
      <c r="G147">
        <f>INDEX(DbaseIndices!D:D,$B147)</f>
        <v>0</v>
      </c>
      <c r="H147" t="str">
        <f>INDEX(DbaseIndices!E:E,$B147)</f>
        <v>CO2eq</v>
      </c>
      <c r="I147">
        <f>IF(I146=DbaseIndices!$N$3,DbaseIndices!$N$2,I146+1)</f>
        <v>2013</v>
      </c>
      <c r="J147" s="243">
        <f ca="1">OFFSET(INDIRECT(INDEX(DbaseIndices!J:J,B147)),0,I147-2000+1)</f>
        <v>17.601723100000001</v>
      </c>
    </row>
    <row r="148" spans="1:10" x14ac:dyDescent="0.25">
      <c r="A148">
        <f>IF(I147=DbaseIndices!$N$3,A147+1,A147)</f>
        <v>25</v>
      </c>
      <c r="B148">
        <f>MATCH(A148,DbaseIndices!A:A,0)</f>
        <v>26</v>
      </c>
      <c r="C148" t="str">
        <f>INDEX(DbaseIndices!F:F,$B148)</f>
        <v xml:space="preserve">2 Industrial Processes and Product Use </v>
      </c>
      <c r="D148" t="str">
        <f>INDEX(DbaseIndices!G:G,$B148)</f>
        <v>2F Product uses as substitutes for ozone depleting substances</v>
      </c>
      <c r="E148" t="str">
        <f>INDEX(DbaseIndices!H:H,$B148)</f>
        <v>2F4 Aerosols</v>
      </c>
      <c r="F148" t="str">
        <f>INDEX(DbaseIndices!I:I,$B148)</f>
        <v>2F4 Aerosols</v>
      </c>
      <c r="G148">
        <f>INDEX(DbaseIndices!D:D,$B148)</f>
        <v>0</v>
      </c>
      <c r="H148" t="str">
        <f>INDEX(DbaseIndices!E:E,$B148)</f>
        <v>CO2eq</v>
      </c>
      <c r="I148">
        <f>IF(I147=DbaseIndices!$N$3,DbaseIndices!$N$2,I147+1)</f>
        <v>2014</v>
      </c>
      <c r="J148" s="243">
        <f ca="1">OFFSET(INDIRECT(INDEX(DbaseIndices!J:J,B148)),0,I148-2000+1)</f>
        <v>16.615751399999997</v>
      </c>
    </row>
    <row r="149" spans="1:10" x14ac:dyDescent="0.25">
      <c r="A149">
        <f>IF(I148=DbaseIndices!$N$3,A148+1,A148)</f>
        <v>25</v>
      </c>
      <c r="B149">
        <f>MATCH(A149,DbaseIndices!A:A,0)</f>
        <v>26</v>
      </c>
      <c r="C149" t="str">
        <f>INDEX(DbaseIndices!F:F,$B149)</f>
        <v xml:space="preserve">2 Industrial Processes and Product Use </v>
      </c>
      <c r="D149" t="str">
        <f>INDEX(DbaseIndices!G:G,$B149)</f>
        <v>2F Product uses as substitutes for ozone depleting substances</v>
      </c>
      <c r="E149" t="str">
        <f>INDEX(DbaseIndices!H:H,$B149)</f>
        <v>2F4 Aerosols</v>
      </c>
      <c r="F149" t="str">
        <f>INDEX(DbaseIndices!I:I,$B149)</f>
        <v>2F4 Aerosols</v>
      </c>
      <c r="G149">
        <f>INDEX(DbaseIndices!D:D,$B149)</f>
        <v>0</v>
      </c>
      <c r="H149" t="str">
        <f>INDEX(DbaseIndices!E:E,$B149)</f>
        <v>CO2eq</v>
      </c>
      <c r="I149">
        <f>IF(I148=DbaseIndices!$N$3,DbaseIndices!$N$2,I148+1)</f>
        <v>2015</v>
      </c>
      <c r="J149" s="243">
        <f ca="1">OFFSET(INDIRECT(INDEX(DbaseIndices!J:J,B149)),0,I149-2000+1)</f>
        <v>18.202122020000004</v>
      </c>
    </row>
    <row r="150" spans="1:10" x14ac:dyDescent="0.25">
      <c r="A150">
        <f>IF(I149=DbaseIndices!$N$3,A149+1,A149)</f>
        <v>25</v>
      </c>
      <c r="B150">
        <f>MATCH(A150,DbaseIndices!A:A,0)</f>
        <v>26</v>
      </c>
      <c r="C150" t="str">
        <f>INDEX(DbaseIndices!F:F,$B150)</f>
        <v xml:space="preserve">2 Industrial Processes and Product Use </v>
      </c>
      <c r="D150" t="str">
        <f>INDEX(DbaseIndices!G:G,$B150)</f>
        <v>2F Product uses as substitutes for ozone depleting substances</v>
      </c>
      <c r="E150" t="str">
        <f>INDEX(DbaseIndices!H:H,$B150)</f>
        <v>2F4 Aerosols</v>
      </c>
      <c r="F150" t="str">
        <f>INDEX(DbaseIndices!I:I,$B150)</f>
        <v>2F4 Aerosols</v>
      </c>
      <c r="G150">
        <f>INDEX(DbaseIndices!D:D,$B150)</f>
        <v>0</v>
      </c>
      <c r="H150" t="str">
        <f>INDEX(DbaseIndices!E:E,$B150)</f>
        <v>CO2eq</v>
      </c>
      <c r="I150">
        <f>IF(I149=DbaseIndices!$N$3,DbaseIndices!$N$2,I149+1)</f>
        <v>2016</v>
      </c>
      <c r="J150" s="243">
        <f ca="1">OFFSET(INDIRECT(INDEX(DbaseIndices!J:J,B150)),0,I150-2000+1)</f>
        <v>18.202122020000004</v>
      </c>
    </row>
    <row r="151" spans="1:10" x14ac:dyDescent="0.25">
      <c r="A151">
        <f>IF(I150=DbaseIndices!$N$3,A150+1,A150)</f>
        <v>25</v>
      </c>
      <c r="B151">
        <f>MATCH(A151,DbaseIndices!A:A,0)</f>
        <v>26</v>
      </c>
      <c r="C151" t="str">
        <f>INDEX(DbaseIndices!F:F,$B151)</f>
        <v xml:space="preserve">2 Industrial Processes and Product Use </v>
      </c>
      <c r="D151" t="str">
        <f>INDEX(DbaseIndices!G:G,$B151)</f>
        <v>2F Product uses as substitutes for ozone depleting substances</v>
      </c>
      <c r="E151" t="str">
        <f>INDEX(DbaseIndices!H:H,$B151)</f>
        <v>2F4 Aerosols</v>
      </c>
      <c r="F151" t="str">
        <f>INDEX(DbaseIndices!I:I,$B151)</f>
        <v>2F4 Aerosols</v>
      </c>
      <c r="G151">
        <f>INDEX(DbaseIndices!D:D,$B151)</f>
        <v>0</v>
      </c>
      <c r="H151" t="str">
        <f>INDEX(DbaseIndices!E:E,$B151)</f>
        <v>CO2eq</v>
      </c>
      <c r="I151">
        <f>IF(I150=DbaseIndices!$N$3,DbaseIndices!$N$2,I150+1)</f>
        <v>2017</v>
      </c>
      <c r="J151" s="243">
        <f ca="1">OFFSET(INDIRECT(INDEX(DbaseIndices!J:J,B151)),0,I151-2000+1)</f>
        <v>18.202122020000004</v>
      </c>
    </row>
  </sheetData>
  <phoneticPr fontId="65"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11F64247678E24189978FE865F6C1DF" ma:contentTypeVersion="8" ma:contentTypeDescription="Create a new document." ma:contentTypeScope="" ma:versionID="82044d1ab951af35fe7a3bddd0ef79c2">
  <xsd:schema xmlns:xsd="http://www.w3.org/2001/XMLSchema" xmlns:xs="http://www.w3.org/2001/XMLSchema" xmlns:p="http://schemas.microsoft.com/office/2006/metadata/properties" xmlns:ns2="72d14338-4c6f-470f-a774-e3fe7310860b" targetNamespace="http://schemas.microsoft.com/office/2006/metadata/properties" ma:root="true" ma:fieldsID="ce406488aaddb83834e82da1ca624cb7" ns2:_="">
    <xsd:import namespace="72d14338-4c6f-470f-a774-e3fe7310860b"/>
    <xsd:element name="properties">
      <xsd:complexType>
        <xsd:sequence>
          <xsd:element name="documentManagement">
            <xsd:complexType>
              <xsd:all>
                <xsd:element ref="ns2:MigrationWizId" minOccurs="0"/>
                <xsd:element ref="ns2:MigrationWizIdPermissions" minOccurs="0"/>
                <xsd:element ref="ns2:MigrationWizIdPermissionLevels" minOccurs="0"/>
                <xsd:element ref="ns2:MigrationWizIdDocumentLibraryPermissions" minOccurs="0"/>
                <xsd:element ref="ns2:MigrationWizIdSecurityGroups" minOccurs="0"/>
                <xsd:element ref="ns2:MediaServiceMetadata" minOccurs="0"/>
                <xsd:element ref="ns2:MediaServiceFastMetadata" minOccurs="0"/>
                <xsd:element ref="ns2:Comme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d14338-4c6f-470f-a774-e3fe7310860b"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Comments" ma:index="15" nillable="true" ma:displayName="Comments" ma:format="Dropdown" ma:internalName="Comment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mments xmlns="72d14338-4c6f-470f-a774-e3fe7310860b">31/03/2020 Final draft of 2017 inventory for public comment.</Comments>
    <MigrationWizIdPermissionLevels xmlns="72d14338-4c6f-470f-a774-e3fe7310860b" xsi:nil="true"/>
    <MigrationWizIdSecurityGroups xmlns="72d14338-4c6f-470f-a774-e3fe7310860b" xsi:nil="true"/>
    <MigrationWizIdPermissions xmlns="72d14338-4c6f-470f-a774-e3fe7310860b" xsi:nil="true"/>
    <MigrationWizIdDocumentLibraryPermissions xmlns="72d14338-4c6f-470f-a774-e3fe7310860b" xsi:nil="true"/>
    <MigrationWizId xmlns="72d14338-4c6f-470f-a774-e3fe7310860b" xsi:nil="true"/>
  </documentManagement>
</p:properties>
</file>

<file path=customXml/itemProps1.xml><?xml version="1.0" encoding="utf-8"?>
<ds:datastoreItem xmlns:ds="http://schemas.openxmlformats.org/officeDocument/2006/customXml" ds:itemID="{069BFD71-325B-4C33-85EC-6C9D4C79F6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d14338-4c6f-470f-a774-e3fe731086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2031ED-B21A-4D72-B1BC-E1807D4F872E}">
  <ds:schemaRefs>
    <ds:schemaRef ds:uri="http://schemas.microsoft.com/sharepoint/v3/contenttype/forms"/>
  </ds:schemaRefs>
</ds:datastoreItem>
</file>

<file path=customXml/itemProps3.xml><?xml version="1.0" encoding="utf-8"?>
<ds:datastoreItem xmlns:ds="http://schemas.openxmlformats.org/officeDocument/2006/customXml" ds:itemID="{E62A9998-8E5A-4EFD-8E8A-7D42A01B8EC8}">
  <ds:schemaRefs>
    <ds:schemaRef ds:uri="http://schemas.openxmlformats.org/package/2006/metadata/core-properties"/>
    <ds:schemaRef ds:uri="http://purl.org/dc/dcmitype/"/>
    <ds:schemaRef ds:uri="http://purl.org/dc/terms/"/>
    <ds:schemaRef ds:uri="http://schemas.microsoft.com/office/2006/documentManagement/types"/>
    <ds:schemaRef ds:uri="http://www.w3.org/XML/1998/namespace"/>
    <ds:schemaRef ds:uri="http://schemas.microsoft.com/office/infopath/2007/PartnerControls"/>
    <ds:schemaRef ds:uri="72d14338-4c6f-470f-a774-e3fe7310860b"/>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42</vt:i4>
      </vt:variant>
      <vt:variant>
        <vt:lpstr>Charts</vt:lpstr>
      </vt:variant>
      <vt:variant>
        <vt:i4>6</vt:i4>
      </vt:variant>
      <vt:variant>
        <vt:lpstr>Named Ranges</vt:lpstr>
      </vt:variant>
      <vt:variant>
        <vt:i4>18</vt:i4>
      </vt:variant>
    </vt:vector>
  </HeadingPairs>
  <TitlesOfParts>
    <vt:vector size="66" baseType="lpstr">
      <vt:lpstr>QA Log</vt:lpstr>
      <vt:lpstr>QA Sheet</vt:lpstr>
      <vt:lpstr># Lookup Table</vt:lpstr>
      <vt:lpstr>CheckLibrary</vt:lpstr>
      <vt:lpstr>Version notes</vt:lpstr>
      <vt:lpstr>Reviewer comments</vt:lpstr>
      <vt:lpstr>Conversion factors</vt:lpstr>
      <vt:lpstr>Completeness</vt:lpstr>
      <vt:lpstr>Data sources</vt:lpstr>
      <vt:lpstr>Sectoral table</vt:lpstr>
      <vt:lpstr>Trend tables</vt:lpstr>
      <vt:lpstr>IPPU Summary</vt:lpstr>
      <vt:lpstr>2A Summary</vt:lpstr>
      <vt:lpstr>2A1 Cement Production</vt:lpstr>
      <vt:lpstr>2A2 Lime Production</vt:lpstr>
      <vt:lpstr>2A3 Glass Production</vt:lpstr>
      <vt:lpstr>2A4 OPUC</vt:lpstr>
      <vt:lpstr>2B Summary</vt:lpstr>
      <vt:lpstr>2B1 Ammonia Production</vt:lpstr>
      <vt:lpstr>2B2 Nitric Acid Production</vt:lpstr>
      <vt:lpstr>2B5 Carbide Production</vt:lpstr>
      <vt:lpstr>2B6 Titanium Dioxide Production</vt:lpstr>
      <vt:lpstr>2B8 Carbon Black Production</vt:lpstr>
      <vt:lpstr>2C Summary</vt:lpstr>
      <vt:lpstr>2C1 Iron and Steel Production</vt:lpstr>
      <vt:lpstr>2C2 Ferroalloys Production</vt:lpstr>
      <vt:lpstr>2C3 Aluminium Production</vt:lpstr>
      <vt:lpstr>2C5 Lead Production</vt:lpstr>
      <vt:lpstr>2C6 Zinc Production</vt:lpstr>
      <vt:lpstr>2D Summary</vt:lpstr>
      <vt:lpstr>2D1 Lubricant Use</vt:lpstr>
      <vt:lpstr>2D2 Paraffin Wax Use</vt:lpstr>
      <vt:lpstr>2E Summary</vt:lpstr>
      <vt:lpstr>2F Summary</vt:lpstr>
      <vt:lpstr>2F1 Refrigeration and AC</vt:lpstr>
      <vt:lpstr>2F2 Foam blowing agents</vt:lpstr>
      <vt:lpstr>2F3 Fire protection</vt:lpstr>
      <vt:lpstr>2F4 Aerosols</vt:lpstr>
      <vt:lpstr>2G Summary</vt:lpstr>
      <vt:lpstr>2H Summary</vt:lpstr>
      <vt:lpstr>DbaseIndices</vt:lpstr>
      <vt:lpstr>Dbase</vt:lpstr>
      <vt:lpstr>Chart1</vt:lpstr>
      <vt:lpstr>Chart2</vt:lpstr>
      <vt:lpstr>Chart3</vt:lpstr>
      <vt:lpstr>Chart4</vt:lpstr>
      <vt:lpstr>Chart5</vt:lpstr>
      <vt:lpstr>Chart6</vt:lpstr>
      <vt:lpstr>'QA Log'!Cell_Range</vt:lpstr>
      <vt:lpstr>CH4GWP</vt:lpstr>
      <vt:lpstr>'QA Log'!Date_comment_added</vt:lpstr>
      <vt:lpstr>'QA Log'!Documentation</vt:lpstr>
      <vt:lpstr>'QA Log'!Fix_Status</vt:lpstr>
      <vt:lpstr>'QA Log'!Fix_Status_Analyst</vt:lpstr>
      <vt:lpstr>'QA Log'!Fix_Status_Date</vt:lpstr>
      <vt:lpstr>'QA Log'!Full_String</vt:lpstr>
      <vt:lpstr>N2OGWP</vt:lpstr>
      <vt:lpstr>'Sectoral table'!Print_Area</vt:lpstr>
      <vt:lpstr>'QA Log'!Problem</vt:lpstr>
      <vt:lpstr>'QA Log'!QA_analyst</vt:lpstr>
      <vt:lpstr>'QA Log'!QA_analysts_reference</vt:lpstr>
      <vt:lpstr>'QA Log'!QAAnalystCopyright</vt:lpstr>
      <vt:lpstr>'QA Log'!QAAnalystLicenceExpiry</vt:lpstr>
      <vt:lpstr>'QA Log'!QALogValues</vt:lpstr>
      <vt:lpstr>'QA Log'!Unknown_Hashtag</vt:lpstr>
      <vt:lpstr>'QA Log'!Worksheet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LBS</dc:creator>
  <cp:keywords/>
  <dc:description/>
  <cp:lastModifiedBy>Deepti Charitar</cp:lastModifiedBy>
  <cp:revision/>
  <dcterms:created xsi:type="dcterms:W3CDTF">2016-11-03T08:46:59Z</dcterms:created>
  <dcterms:modified xsi:type="dcterms:W3CDTF">2020-05-12T11:44:20Z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0x010100211F64247678E24189978FE865F6C1DF</vt:lpwstr>
  </property>
  <property fmtid="{D5CDD505-2E9C-101B-9397-08002B2CF9AE}" pid="3" name="Categories Included">
    <vt:lpwstr>130;#2: Industrial Processes and Product Use|16a6b179-7983-403a-934b-1ccce59def69</vt:lpwstr>
  </property>
  <property fmtid="{D5CDD505-2E9C-101B-9397-08002B2CF9AE}" pid="4" name="SaveCode">
    <vt:r8>551154613494873</vt:r8>
  </property>
</Properties>
</file>