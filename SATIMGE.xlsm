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1574E803-AA17-4C1F-B47E-A5779ECF4A5F}" xr6:coauthVersionLast="45" xr6:coauthVersionMax="45" xr10:uidLastSave="{00000000-0000-0000-0000-000000000000}"/>
  <bookViews>
    <workbookView xWindow="3600" yWindow="-19785" windowWidth="28770" windowHeight="1881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2" r:id="rId9"/>
    <pivotCache cacheId="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7" i="33" l="1"/>
  <c r="O17" i="33"/>
  <c r="N17" i="33"/>
  <c r="M17" i="33"/>
  <c r="L17" i="33"/>
  <c r="K17" i="33"/>
  <c r="K14" i="33" l="1"/>
  <c r="L14" i="33"/>
  <c r="M14" i="33"/>
  <c r="N14" i="33"/>
  <c r="O14" i="33"/>
  <c r="K15" i="33"/>
  <c r="L15" i="33"/>
  <c r="M15" i="33"/>
  <c r="N15" i="33"/>
  <c r="O15" i="33"/>
  <c r="K16" i="33"/>
  <c r="L16" i="33"/>
  <c r="M16" i="33"/>
  <c r="N16" i="33"/>
  <c r="O16" i="33"/>
  <c r="Q9" i="33"/>
  <c r="Q10" i="33"/>
  <c r="Q11" i="33"/>
  <c r="Q12" i="33"/>
  <c r="Q13" i="33"/>
  <c r="Q14" i="33"/>
  <c r="Q15" i="33"/>
  <c r="Q16" i="33"/>
  <c r="O13" i="33" l="1"/>
  <c r="K9" i="33"/>
  <c r="L9" i="33"/>
  <c r="M9" i="33"/>
  <c r="N9" i="33"/>
  <c r="O9" i="33"/>
  <c r="K10" i="33"/>
  <c r="L10" i="33"/>
  <c r="M10" i="33"/>
  <c r="N10" i="33"/>
  <c r="O10" i="33"/>
  <c r="K11" i="33"/>
  <c r="L11" i="33"/>
  <c r="M11" i="33"/>
  <c r="N11" i="33"/>
  <c r="O11" i="33"/>
  <c r="K12" i="33"/>
  <c r="L12" i="33"/>
  <c r="M12" i="33"/>
  <c r="N12" i="33"/>
  <c r="O12" i="33"/>
  <c r="H11" i="33"/>
  <c r="H10" i="33"/>
  <c r="K13" i="33" l="1"/>
  <c r="L13" i="33"/>
  <c r="M13" i="33"/>
  <c r="N13" i="33"/>
  <c r="H9" i="33" l="1"/>
  <c r="L8" i="33"/>
  <c r="M8" i="33"/>
  <c r="N8" i="33"/>
  <c r="O8" i="33"/>
  <c r="K8" i="33"/>
  <c r="H8" i="33"/>
  <c r="C18" i="4" l="1"/>
  <c r="C10" i="4" l="1"/>
  <c r="W7" i="5" l="1"/>
  <c r="W8" i="5" s="1"/>
  <c r="W9" i="5" s="1"/>
  <c r="W10" i="5" s="1"/>
  <c r="W11" i="5" s="1"/>
  <c r="W12" i="5" s="1"/>
  <c r="W13" i="5" s="1"/>
  <c r="C9" i="4"/>
  <c r="C13" i="4" l="1"/>
  <c r="C17" i="4" l="1"/>
  <c r="C16" i="4"/>
  <c r="C15" i="4" l="1"/>
  <c r="C14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tc={39ABC006-15FB-4E02-B0A6-1EAB74D0C6B6}</author>
    <author>tc={83CA511A-FBD5-43F7-B8F0-E5362C3DCE52}</author>
  </authors>
  <commentList>
    <comment ref="O1" authorId="0" shapeId="0" xr:uid="{39ABC006-15FB-4E02-B0A6-1EAB74D0C6B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in the case of Land, no PAMS has lower emissions than ambitious PAMS!!! so setting to 3 instead of 0</t>
      </text>
    </comment>
    <comment ref="D8" authorId="1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sharedStrings.xml><?xml version="1.0" encoding="utf-8"?>
<sst xmlns="http://schemas.openxmlformats.org/spreadsheetml/2006/main" count="418" uniqueCount="219">
  <si>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</si>
  <si>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</si>
  <si>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</si>
  <si>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</si>
  <si>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</si>
  <si>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</si>
  <si>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</si>
  <si>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</si>
  <si>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</si>
  <si>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</si>
  <si>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</si>
  <si>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</si>
  <si>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</si>
  <si>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</si>
  <si>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</si>
  <si>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</si>
  <si>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</si>
  <si>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</si>
  <si>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</si>
  <si>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</si>
  <si>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</si>
  <si>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</si>
  <si>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</si>
  <si>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</si>
  <si>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</si>
  <si>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</si>
  <si>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</si>
  <si>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</si>
  <si>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</si>
  <si>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</si>
  <si>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</si>
  <si>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</si>
  <si>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</si>
  <si>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</si>
  <si>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</si>
  <si>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</si>
  <si>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</si>
  <si>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</si>
  <si>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</si>
  <si>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</si>
  <si>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</si>
  <si>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</si>
  <si>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</si>
  <si>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</si>
  <si>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</si>
  <si>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</si>
  <si>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</si>
  <si>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</si>
  <si>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</si>
  <si>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</si>
  <si>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</si>
  <si>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</si>
  <si>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</si>
  <si>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</si>
  <si>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</si>
  <si>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</si>
  <si>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</si>
  <si>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</si>
  <si>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</si>
  <si>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</si>
  <si>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</si>
  <si>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</si>
  <si>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</si>
  <si>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</si>
  <si>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</si>
  <si>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</si>
  <si>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</si>
  <si>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</si>
  <si>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</si>
  <si>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</si>
  <si>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</si>
  <si>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</si>
  <si>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</si>
  <si>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</si>
  <si>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</si>
  <si>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</si>
  <si>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</si>
  <si>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</si>
  <si>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</si>
  <si>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</si>
  <si>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</si>
  <si>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</si>
  <si>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</si>
  <si>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</si>
  <si>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</si>
  <si>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</si>
  <si>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</si>
  <si>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</si>
  <si>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</si>
  <si>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</si>
  <si>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</si>
  <si>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</si>
  <si>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</si>
  <si>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</si>
  <si>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</si>
  <si>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</si>
  <si>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</si>
  <si>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</si>
  <si>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</si>
  <si>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</si>
  <si>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</si>
  <si>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</si>
  <si>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</si>
  <si>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</si>
  <si>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</si>
  <si>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</si>
  <si>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</si>
  <si>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</si>
  <si>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</si>
  <si>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</si>
  <si>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</si>
  <si>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</si>
  <si>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</si>
  <si>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</si>
  <si>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</si>
  <si>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</si>
  <si>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</si>
  <si>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</si>
  <si>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</si>
  <si>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</si>
  <si>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</si>
  <si>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</si>
  <si>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</si>
  <si>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</si>
  <si>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</si>
  <si>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</si>
  <si>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</si>
  <si>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</si>
  <si>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</si>
  <si>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</si>
  <si>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</si>
  <si>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</si>
  <si>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</si>
  <si>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</si>
  <si>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</si>
  <si>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</si>
  <si>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</si>
  <si>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</si>
  <si>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</si>
  <si>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</si>
  <si>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</si>
  <si>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</si>
  <si>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</si>
  <si>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</si>
  <si>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</si>
  <si>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</si>
  <si>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</si>
  <si>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</si>
  <si>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</si>
  <si>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</si>
  <si>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</si>
  <si>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</si>
  <si>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</si>
  <si>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</si>
  <si>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</si>
  <si>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</si>
  <si>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</si>
  <si>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</si>
  <si>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</si>
  <si>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</si>
  <si>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</si>
  <si>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</si>
  <si>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</si>
  <si>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</si>
  <si>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</si>
  <si>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</si>
  <si>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</si>
  <si>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</si>
  <si>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</si>
  <si>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</si>
  <si>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</si>
  <si>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</si>
  <si>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</si>
  <si>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</si>
  <si>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</si>
  <si>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</si>
  <si>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</si>
  <si>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</si>
  <si>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</si>
  <si>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RUNCENTRAL2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</si>
  <si>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</si>
  <si>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</si>
  <si>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</si>
  <si>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</si>
  <si>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</si>
  <si>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</si>
  <si>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</si>
  <si>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</si>
  <si>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</si>
  <si>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</si>
  <si>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</si>
  <si>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</si>
  <si>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</si>
  <si>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</si>
  <si>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</si>
  <si>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</si>
  <si>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CPAMS-REProg</t>
  </si>
  <si>
    <t>CPAMSREPROG</t>
  </si>
  <si>
    <t>(blank)</t>
  </si>
  <si>
    <t>NoPAMS</t>
  </si>
  <si>
    <t>NoPAMS-HiGr-FrcdCoal</t>
  </si>
  <si>
    <t>CPAMS-TrGr</t>
  </si>
  <si>
    <t>HiPam</t>
  </si>
  <si>
    <t>CPAMS-TrGr-REProg</t>
  </si>
  <si>
    <t>HPAMSIRP</t>
  </si>
  <si>
    <t>NOPAMS</t>
  </si>
  <si>
    <t>NoPAMS-TrGr-FrcdCoal</t>
  </si>
  <si>
    <t>CPAMSIRPTG</t>
  </si>
  <si>
    <t>NOPAMSFCTG</t>
  </si>
  <si>
    <t>HiPam-REProg</t>
  </si>
  <si>
    <t>HPAMSREPROG</t>
  </si>
  <si>
    <t>LoPAMS-FrcdCoal</t>
  </si>
  <si>
    <t>Configured in SATIM?</t>
  </si>
  <si>
    <t>yes tested</t>
  </si>
  <si>
    <t>no</t>
  </si>
  <si>
    <t>LPAMSFC</t>
  </si>
  <si>
    <t>NOPAMSFCHG</t>
  </si>
  <si>
    <t>Link to CGE? (SIM_esage)</t>
  </si>
  <si>
    <t>CPAMSREPROTG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</si>
</sst>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6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" fillId="12" borderId="0" xfId="0" applyFont="1" applyFill="1" applyAlignment="1">
      <alignment horizontal="center" wrapText="1"/>
    </xf>
  </cellXfs>
  <cellStyles count="86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3.843050810188" createdVersion="6" refreshedVersion="6" minRefreshableVersion="3" recordCount="11" xr:uid="{D229C3DF-142A-4D15-BB2C-2EA205AB0203}">
  <cacheSource type="worksheet">
    <worksheetSource ref="A7:P10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22">
        <s v="NoPAMS"/>
        <s v="CPAMS"/>
        <s v="CPAMS-TrGr"/>
        <s v="CPAMS-REProg"/>
        <s v="NoPAMS-HiGr-FrcdCoal"/>
        <s v="LoPAMS-FrcdCoal"/>
        <s v="HiPam"/>
        <s v="CPAMS-TrGr-REProg"/>
        <s v="NoPAMS-TrGr-FrcdCoal"/>
        <s v="HiPam-REProg"/>
        <m/>
        <s v="CPAMS-HiGr" u="1"/>
        <s v="TrGr-NoPams" u="1"/>
        <s v="CentralPAMSnoCoal" u="1"/>
        <s v="CPAMS-HIGrREProg" u="1"/>
        <s v="NoPAMSForcedCoal" u="1"/>
        <s v="NoPAMS-HiGr-FcdCoal" u="1"/>
        <s v="Run0" u="1"/>
        <s v="CentralPAMS" u="1"/>
        <s v="TrGr-NoPam" u="1"/>
        <s v="NoPAMS-HiGr" u="1"/>
        <s v="LoPAMS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063.843050810188" createdVersion="6" refreshedVersion="6" minRefreshableVersion="3" recordCount="11" xr:uid="{C0EB43E8-6CC6-4DE4-B7F1-02B09F7BA69A}">
  <cacheSource type="worksheet">
    <worksheetSource ref="A7:P10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9">
        <s v="NoPAMS"/>
        <s v="CPAMS"/>
        <s v="CPAMS-TrGr"/>
        <s v="CPAMS-REProg"/>
        <s v="NoPAMS-HiGr-FrcdCoal"/>
        <s v="LoPAMS-FrcdCoal"/>
        <s v="HiPam"/>
        <s v="CPAMS-TrGr-REProg"/>
        <s v="NoPAMS-TrGr-FrcdCoal"/>
        <s v="HiPam-REProg"/>
        <m/>
        <s v="CPAMS-HiGr" u="1"/>
        <s v="TrGr-NoPams" u="1"/>
        <s v="CPAMS-HIGrREProg" u="1"/>
        <s v="NoPAMS-HiGr-FcdCoal" u="1"/>
        <s v="Run0" u="1"/>
        <s v="TrGr-NoPam" u="1"/>
        <s v="NoPAMS-HiGr" u="1"/>
        <s v="LoPAMS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s v="sim2"/>
        <m/>
      </sharedItems>
    </cacheField>
    <cacheField name="SATIM (TIMES) Case" numFmtId="0">
      <sharedItems containsBlank="1" count="16">
        <s v="NOPAMS"/>
        <s v="CPAMSIRP"/>
        <s v="CPAMSIRPTG"/>
        <s v="CPAMSREPROG"/>
        <s v="NOPAMSFCHG"/>
        <s v="LPAMSFC"/>
        <s v="HPAMSIRP"/>
        <s v="CPAMSREPROTG"/>
        <s v="NOPAMSFCTG"/>
        <s v="HPAMSREPROG"/>
        <m/>
        <s v="CPAMSREPROGHG" u="1"/>
        <s v="CPAMSREPROGTG" u="1"/>
        <s v="NOPAMSFC" u="1"/>
        <s v="RUNCOAL" u="1"/>
        <s v="RUNZERO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1"/>
    </cacheField>
    <cacheField name="PAMS_COM" numFmtId="0">
      <sharedItems containsString="0" containsBlank="1" containsNumber="1" containsInteger="1" minValue="-1" maxValue="4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s v="yes tested"/>
    <s v="base"/>
    <s v="NOPAMS"/>
    <n v="1"/>
    <n v="1"/>
    <s v="No Pams"/>
    <n v="1"/>
    <n v="1"/>
    <n v="-1"/>
    <n v="-1"/>
    <n v="-1"/>
    <n v="1"/>
    <n v="3"/>
    <n v="100"/>
  </r>
  <r>
    <n v="0"/>
    <x v="1"/>
    <s v="yes tested"/>
    <s v="base"/>
    <s v="CPAMSIRP"/>
    <n v="1"/>
    <n v="1"/>
    <s v="Base Pams"/>
    <n v="1"/>
    <n v="1"/>
    <n v="1"/>
    <n v="2"/>
    <n v="1"/>
    <n v="2"/>
    <n v="1"/>
    <n v="100"/>
  </r>
  <r>
    <n v="0"/>
    <x v="2"/>
    <s v="yes tested"/>
    <s v="sim1"/>
    <s v="CPAMSIRPTG"/>
    <n v="1"/>
    <n v="1"/>
    <s v="Base Pams"/>
    <n v="1"/>
    <n v="1"/>
    <n v="1"/>
    <n v="2"/>
    <n v="1"/>
    <n v="2"/>
    <n v="1"/>
    <n v="100"/>
  </r>
  <r>
    <n v="0"/>
    <x v="3"/>
    <s v="yes tested"/>
    <s v="base"/>
    <s v="CPAMSREPROG"/>
    <n v="1"/>
    <n v="1"/>
    <s v="Base Pams"/>
    <n v="1"/>
    <n v="1"/>
    <n v="1"/>
    <n v="2"/>
    <n v="1"/>
    <n v="2"/>
    <n v="1"/>
    <n v="100"/>
  </r>
  <r>
    <n v="0"/>
    <x v="4"/>
    <s v="no"/>
    <s v="sim2"/>
    <s v="NOPAMSFCHG"/>
    <n v="1"/>
    <n v="1"/>
    <s v="No Pams"/>
    <n v="1"/>
    <n v="1"/>
    <n v="-1"/>
    <n v="-1"/>
    <n v="-1"/>
    <n v="1"/>
    <n v="3"/>
    <n v="100"/>
  </r>
  <r>
    <n v="0"/>
    <x v="5"/>
    <s v="yes tested"/>
    <s v="base"/>
    <s v="LPAMSFC"/>
    <n v="1"/>
    <n v="1"/>
    <s v="Lim Pams"/>
    <n v="1"/>
    <n v="1"/>
    <n v="-1"/>
    <n v="4"/>
    <n v="2"/>
    <n v="1"/>
    <n v="3"/>
    <n v="100"/>
  </r>
  <r>
    <n v="0"/>
    <x v="6"/>
    <s v="yes tested"/>
    <s v="base"/>
    <s v="HPAMSIRP"/>
    <n v="1"/>
    <n v="1"/>
    <s v="Ambitious Pams"/>
    <n v="1"/>
    <n v="1"/>
    <n v="1"/>
    <n v="1"/>
    <n v="3"/>
    <n v="3"/>
    <n v="2"/>
    <n v="100"/>
  </r>
  <r>
    <n v="0"/>
    <x v="7"/>
    <s v="yes tested"/>
    <s v="sim1"/>
    <s v="CPAMSREPROTG"/>
    <n v="1"/>
    <n v="1"/>
    <s v="Base Pams"/>
    <n v="1"/>
    <n v="1"/>
    <n v="1"/>
    <n v="2"/>
    <n v="1"/>
    <n v="2"/>
    <n v="1"/>
    <n v="100"/>
  </r>
  <r>
    <n v="1"/>
    <x v="8"/>
    <s v="yes tested"/>
    <s v="sim1"/>
    <s v="NOPAMSFCTG"/>
    <n v="1"/>
    <n v="1"/>
    <s v="No Pams"/>
    <n v="1"/>
    <n v="1"/>
    <n v="-1"/>
    <n v="-1"/>
    <n v="-1"/>
    <n v="1"/>
    <n v="3"/>
    <n v="100"/>
  </r>
  <r>
    <n v="0"/>
    <x v="9"/>
    <s v="yes tested"/>
    <s v="base"/>
    <s v="HPAMSREPROG"/>
    <n v="1"/>
    <n v="1"/>
    <s v="Ambitious Pams"/>
    <n v="1"/>
    <n v="1"/>
    <n v="1"/>
    <n v="1"/>
    <n v="3"/>
    <n v="3"/>
    <n v="2"/>
    <n v="100"/>
  </r>
  <r>
    <m/>
    <x v="10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n v="1"/>
    <x v="0"/>
    <s v="yes tested"/>
    <x v="0"/>
    <x v="0"/>
    <n v="1"/>
    <n v="1"/>
    <s v="No Pams"/>
    <n v="1"/>
    <n v="1"/>
    <n v="-1"/>
    <n v="-1"/>
    <n v="-1"/>
    <n v="1"/>
    <n v="3"/>
    <n v="100"/>
  </r>
  <r>
    <n v="0"/>
    <x v="1"/>
    <s v="yes tested"/>
    <x v="0"/>
    <x v="1"/>
    <n v="1"/>
    <n v="1"/>
    <s v="Base Pams"/>
    <n v="1"/>
    <n v="1"/>
    <n v="1"/>
    <n v="2"/>
    <n v="1"/>
    <n v="2"/>
    <n v="1"/>
    <n v="100"/>
  </r>
  <r>
    <n v="0"/>
    <x v="2"/>
    <s v="yes tested"/>
    <x v="1"/>
    <x v="2"/>
    <n v="1"/>
    <n v="1"/>
    <s v="Base Pams"/>
    <n v="1"/>
    <n v="1"/>
    <n v="1"/>
    <n v="2"/>
    <n v="1"/>
    <n v="2"/>
    <n v="1"/>
    <n v="100"/>
  </r>
  <r>
    <n v="0"/>
    <x v="3"/>
    <s v="yes tested"/>
    <x v="0"/>
    <x v="3"/>
    <n v="1"/>
    <n v="1"/>
    <s v="Base Pams"/>
    <n v="1"/>
    <n v="1"/>
    <n v="1"/>
    <n v="2"/>
    <n v="1"/>
    <n v="2"/>
    <n v="1"/>
    <n v="100"/>
  </r>
  <r>
    <n v="0"/>
    <x v="4"/>
    <s v="no"/>
    <x v="2"/>
    <x v="4"/>
    <n v="1"/>
    <n v="1"/>
    <s v="No Pams"/>
    <n v="1"/>
    <n v="1"/>
    <n v="-1"/>
    <n v="-1"/>
    <n v="-1"/>
    <n v="1"/>
    <n v="3"/>
    <n v="100"/>
  </r>
  <r>
    <n v="0"/>
    <x v="5"/>
    <s v="yes tested"/>
    <x v="0"/>
    <x v="5"/>
    <n v="1"/>
    <n v="1"/>
    <s v="Lim Pams"/>
    <n v="1"/>
    <n v="1"/>
    <n v="-1"/>
    <n v="4"/>
    <n v="2"/>
    <n v="1"/>
    <n v="3"/>
    <n v="100"/>
  </r>
  <r>
    <n v="0"/>
    <x v="6"/>
    <s v="yes tested"/>
    <x v="0"/>
    <x v="6"/>
    <n v="1"/>
    <n v="1"/>
    <s v="Ambitious Pams"/>
    <n v="1"/>
    <n v="1"/>
    <n v="1"/>
    <n v="1"/>
    <n v="3"/>
    <n v="3"/>
    <n v="2"/>
    <n v="100"/>
  </r>
  <r>
    <n v="0"/>
    <x v="7"/>
    <s v="yes tested"/>
    <x v="1"/>
    <x v="7"/>
    <n v="1"/>
    <n v="1"/>
    <s v="Base Pams"/>
    <n v="1"/>
    <n v="1"/>
    <n v="1"/>
    <n v="2"/>
    <n v="1"/>
    <n v="2"/>
    <n v="1"/>
    <n v="100"/>
  </r>
  <r>
    <n v="1"/>
    <x v="8"/>
    <s v="yes tested"/>
    <x v="1"/>
    <x v="8"/>
    <n v="1"/>
    <n v="1"/>
    <s v="No Pams"/>
    <n v="1"/>
    <n v="1"/>
    <n v="-1"/>
    <n v="-1"/>
    <n v="-1"/>
    <n v="1"/>
    <n v="3"/>
    <n v="100"/>
  </r>
  <r>
    <n v="0"/>
    <x v="9"/>
    <s v="yes tested"/>
    <x v="0"/>
    <x v="9"/>
    <n v="1"/>
    <n v="1"/>
    <s v="Ambitious Pams"/>
    <n v="1"/>
    <n v="1"/>
    <n v="1"/>
    <n v="1"/>
    <n v="3"/>
    <n v="3"/>
    <n v="2"/>
    <n v="100"/>
  </r>
  <r>
    <m/>
    <x v="10"/>
    <m/>
    <x v="3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17" firstHeaderRow="1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2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17" firstHeaderRow="1" firstDataRow="1" firstDataCol="1"/>
  <pivotFields count="16">
    <pivotField showAll="0"/>
    <pivotField axis="axisRow" showAll="0" sortType="ascending">
      <items count="23">
        <item m="1" x="18"/>
        <item m="1" x="13"/>
        <item x="1"/>
        <item m="1" x="11"/>
        <item m="1" x="14"/>
        <item x="3"/>
        <item x="2"/>
        <item x="7"/>
        <item x="6"/>
        <item x="9"/>
        <item m="1" x="21"/>
        <item x="5"/>
        <item x="0"/>
        <item m="1" x="15"/>
        <item m="1" x="20"/>
        <item m="1" x="16"/>
        <item x="4"/>
        <item x="8"/>
        <item m="1" x="17"/>
        <item m="1" x="19"/>
        <item m="1" x="12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2"/>
    </i>
    <i>
      <x v="5"/>
    </i>
    <i>
      <x v="6"/>
    </i>
    <i>
      <x v="7"/>
    </i>
    <i>
      <x v="8"/>
    </i>
    <i>
      <x v="9"/>
    </i>
    <i>
      <x v="11"/>
    </i>
    <i>
      <x v="12"/>
    </i>
    <i>
      <x v="16"/>
    </i>
    <i>
      <x v="17"/>
    </i>
    <i>
      <x v="2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7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17" firstHeaderRow="1" firstDataRow="1" firstDataCol="1"/>
  <pivotFields count="16">
    <pivotField dataField="1" showAll="0"/>
    <pivotField axis="axisRow" showAll="0" sortType="ascending">
      <items count="20">
        <item x="1"/>
        <item m="1" x="11"/>
        <item m="1" x="13"/>
        <item x="3"/>
        <item x="2"/>
        <item x="7"/>
        <item x="6"/>
        <item x="9"/>
        <item m="1" x="18"/>
        <item x="5"/>
        <item x="0"/>
        <item m="1" x="17"/>
        <item m="1" x="14"/>
        <item x="4"/>
        <item x="8"/>
        <item m="1" x="15"/>
        <item m="1" x="16"/>
        <item m="1" x="12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3"/>
    </i>
    <i>
      <x v="4"/>
    </i>
    <i>
      <x v="5"/>
    </i>
    <i>
      <x v="6"/>
    </i>
    <i>
      <x v="7"/>
    </i>
    <i>
      <x v="9"/>
    </i>
    <i>
      <x v="10"/>
    </i>
    <i>
      <x v="13"/>
    </i>
    <i>
      <x v="14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17" firstHeaderRow="1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O6:T17" firstHeaderRow="0" firstDataRow="1" firstDataCol="1"/>
  <pivotFields count="16">
    <pivotField showAll="0"/>
    <pivotField axis="axisRow" showAll="0">
      <items count="20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1">
    <i>
      <x v="1"/>
    </i>
    <i>
      <x v="3"/>
    </i>
    <i>
      <x v="5"/>
    </i>
    <i>
      <x v="6"/>
    </i>
    <i>
      <x v="9"/>
    </i>
    <i>
      <x v="10"/>
    </i>
    <i>
      <x v="12"/>
    </i>
    <i>
      <x v="13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10" firstHeaderRow="1" firstDataRow="1" firstDataCol="1"/>
  <pivotFields count="16"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M6:N1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1">
    <i>
      <x v="1"/>
      <x/>
    </i>
    <i>
      <x v="3"/>
      <x/>
    </i>
    <i>
      <x v="5"/>
      <x v="2"/>
    </i>
    <i>
      <x v="6"/>
      <x/>
    </i>
    <i>
      <x v="9"/>
      <x v="1"/>
    </i>
    <i>
      <x v="10"/>
      <x v="3"/>
    </i>
    <i>
      <x v="12"/>
      <x/>
    </i>
    <i>
      <x v="13"/>
      <x v="3"/>
    </i>
    <i>
      <x v="16"/>
      <x v="3"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K6:L1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m="1" x="15"/>
        <item x="1"/>
        <item m="1" x="11"/>
        <item x="3"/>
        <item m="1" x="13"/>
        <item x="10"/>
        <item x="0"/>
        <item m="1" x="17"/>
        <item m="1" x="14"/>
        <item x="4"/>
        <item x="2"/>
        <item m="1" x="18"/>
        <item x="6"/>
        <item x="7"/>
        <item m="1" x="16"/>
        <item m="1" x="12"/>
        <item x="8"/>
        <item x="9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x="1"/>
        <item x="3"/>
        <item x="10"/>
        <item m="1" x="14"/>
        <item x="4"/>
        <item x="6"/>
        <item x="0"/>
        <item m="1" x="13"/>
        <item x="2"/>
        <item x="8"/>
        <item m="1" x="12"/>
        <item m="1" x="11"/>
        <item x="9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1">
    <i>
      <x v="1"/>
      <x v="1"/>
    </i>
    <i>
      <x v="3"/>
      <x v="2"/>
    </i>
    <i>
      <x v="5"/>
      <x v="3"/>
    </i>
    <i>
      <x v="6"/>
      <x v="7"/>
    </i>
    <i>
      <x v="9"/>
      <x v="5"/>
    </i>
    <i>
      <x v="10"/>
      <x v="9"/>
    </i>
    <i>
      <x v="12"/>
      <x v="6"/>
    </i>
    <i>
      <x v="13"/>
      <x v="15"/>
    </i>
    <i>
      <x v="16"/>
      <x v="10"/>
    </i>
    <i>
      <x v="17"/>
      <x v="13"/>
    </i>
    <i>
      <x v="18"/>
      <x v="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7">
        <item m="1" x="15"/>
        <item x="1"/>
        <item x="3"/>
        <item x="10"/>
        <item m="1" x="14"/>
        <item x="4"/>
        <item x="6"/>
        <item x="0"/>
        <item m="1" x="13"/>
        <item x="2"/>
        <item x="8"/>
        <item m="1" x="12"/>
        <item m="1" x="11"/>
        <item x="9"/>
        <item x="5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1"/>
    </i>
    <i>
      <x v="2"/>
    </i>
    <i>
      <x v="3"/>
    </i>
    <i>
      <x v="5"/>
    </i>
    <i>
      <x v="6"/>
    </i>
    <i>
      <x v="7"/>
    </i>
    <i>
      <x v="9"/>
    </i>
    <i>
      <x v="10"/>
    </i>
    <i>
      <x v="13"/>
    </i>
    <i>
      <x v="14"/>
    </i>
    <i>
      <x v="1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" dT="2020-08-06T08:43:18.99" personId="{8A307EF1-062C-4DD1-801F-D45833AE4B68}" id="{39ABC006-15FB-4E02-B0A6-1EAB74D0C6B6}">
    <text>Note that in the case of Land, no PAMS has lower emissions than ambitious PAMS!!! so setting to 3 instead of 0</text>
  </threadedComment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18"/>
  <sheetViews>
    <sheetView workbookViewId="0">
      <selection activeCell="D18" sqref="D1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9" t="s">
        <v>3</v>
      </c>
      <c r="B9" s="9" t="s">
        <v>57</v>
      </c>
      <c r="C9" s="9" t="str">
        <f>"Sets!"&amp;ADDRESS(ROW(Sets!C7),COLUMN(Sets!C7),4)</f>
        <v>Sets!C7</v>
      </c>
      <c r="D9" s="9">
        <v>1</v>
      </c>
      <c r="E9" s="9"/>
    </row>
    <row r="10" spans="1:11" s="9" customFormat="1">
      <c r="A10" s="9" t="s">
        <v>4</v>
      </c>
      <c r="B10" s="9" t="s">
        <v>64</v>
      </c>
      <c r="C10" s="9" t="str">
        <f>"Sets!"&amp;ADDRESS(ROW(Sets!D7),COLUMN(Sets!D7),4)</f>
        <v>Sets!D7</v>
      </c>
      <c r="D10" s="9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9" customFormat="1">
      <c r="A12" s="9" t="s">
        <v>2</v>
      </c>
      <c r="B12" s="9" t="s">
        <v>59</v>
      </c>
      <c r="C12" s="9" t="str">
        <f>"Sets!"&amp;ADDRESS(ROW(Sets!G7),COLUMN(Sets!G7),4)</f>
        <v>Sets!G7</v>
      </c>
      <c r="D12" s="9">
        <v>1</v>
      </c>
    </row>
    <row r="13" spans="1:11" s="9" customFormat="1">
      <c r="A13" s="9" t="s">
        <v>2</v>
      </c>
      <c r="B13" s="9" t="s">
        <v>61</v>
      </c>
      <c r="C13" s="9" t="str">
        <f>"Sets!"&amp;ADDRESS(ROW(Sets!I7),COLUMN(Sets!I7),4)</f>
        <v>Sets!I7</v>
      </c>
      <c r="D13" s="9">
        <v>1</v>
      </c>
    </row>
    <row r="14" spans="1:11" s="9" customFormat="1">
      <c r="A14" t="s">
        <v>4</v>
      </c>
      <c r="B14" t="s">
        <v>8</v>
      </c>
      <c r="C14" t="str">
        <f>"Sets!"&amp;ADDRESS(ROW(Sets!K7),COLUMN(Sets!K7),4)</f>
        <v>Sets!K7</v>
      </c>
      <c r="D14">
        <v>2</v>
      </c>
      <c r="E14"/>
    </row>
    <row r="15" spans="1:11">
      <c r="A15" s="9" t="s">
        <v>4</v>
      </c>
      <c r="B15" s="9" t="s">
        <v>58</v>
      </c>
      <c r="C15" s="9" t="str">
        <f>"Sets!"&amp;ADDRESS(ROW(Sets!M7),COLUMN(Sets!M7),4)</f>
        <v>Sets!M7</v>
      </c>
      <c r="D15" s="9">
        <v>2</v>
      </c>
      <c r="E15" s="9"/>
      <c r="F15" s="9"/>
    </row>
    <row r="16" spans="1:11">
      <c r="A16" s="9" t="s">
        <v>3</v>
      </c>
      <c r="B16" s="9" t="s">
        <v>54</v>
      </c>
      <c r="C16" s="9" t="str">
        <f>"Sets!"&amp;ADDRESS(ROW(Sets!V7),COLUMN(Sets!V7),4)</f>
        <v>Sets!V7</v>
      </c>
      <c r="D16" s="9">
        <v>1</v>
      </c>
    </row>
    <row r="17" spans="1:5">
      <c r="A17" s="9" t="s">
        <v>3</v>
      </c>
      <c r="B17" s="9" t="s">
        <v>55</v>
      </c>
      <c r="C17" s="9" t="str">
        <f>"Sets!"&amp;ADDRESS(ROW(Sets!W7),COLUMN(Sets!W7),4)</f>
        <v>Sets!W7</v>
      </c>
      <c r="D17" s="9">
        <v>1</v>
      </c>
      <c r="E17" s="9"/>
    </row>
    <row r="18" spans="1:5">
      <c r="A18" t="s">
        <v>2</v>
      </c>
      <c r="B18" t="s">
        <v>163</v>
      </c>
      <c r="C18" t="str">
        <f>"Sets!"&amp;ADDRESS(ROW(Sets!O6),COLUMN(Sets!O6),4)</f>
        <v>Sets!O6</v>
      </c>
      <c r="D18">
        <v>1</v>
      </c>
      <c r="E1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E51"/>
  <sheetViews>
    <sheetView workbookViewId="0">
      <selection activeCell="I6" sqref="I6"/>
    </sheetView>
  </sheetViews>
  <sheetFormatPr defaultRowHeight="15"/>
  <cols>
    <col min="1" max="1" width="22" bestFit="1" customWidth="1"/>
    <col min="2" max="2" width="15.5703125" style="9" bestFit="1" customWidth="1"/>
    <col min="3" max="4" width="13.140625" style="9" customWidth="1"/>
    <col min="5" max="5" width="22" style="9" bestFit="1" customWidth="1"/>
    <col min="6" max="6" width="23" style="9" bestFit="1" customWidth="1"/>
    <col min="7" max="7" width="22" style="9" bestFit="1" customWidth="1"/>
    <col min="8" max="8" width="19.85546875" style="9" bestFit="1" customWidth="1"/>
    <col min="9" max="9" width="22" style="9" bestFit="1" customWidth="1"/>
    <col min="10" max="10" width="18.5703125" style="9" bestFit="1" customWidth="1"/>
    <col min="11" max="11" width="23.140625" style="9" customWidth="1"/>
    <col min="12" max="12" width="20.85546875" style="9" bestFit="1" customWidth="1"/>
    <col min="13" max="13" width="16.7109375" style="9" bestFit="1" customWidth="1"/>
    <col min="14" max="14" width="18" style="9" bestFit="1" customWidth="1"/>
    <col min="15" max="15" width="22" style="9" bestFit="1" customWidth="1"/>
    <col min="16" max="16" width="4.140625" style="9" bestFit="1" customWidth="1"/>
    <col min="17" max="17" width="5.28515625" style="9" bestFit="1" customWidth="1"/>
    <col min="18" max="18" width="4.42578125" style="9" bestFit="1" customWidth="1"/>
    <col min="19" max="19" width="7.140625" style="9" bestFit="1" customWidth="1"/>
    <col min="20" max="20" width="6.85546875" style="9" bestFit="1" customWidth="1"/>
    <col min="21" max="21" width="20.140625" style="9" customWidth="1"/>
    <col min="22" max="22" width="10" style="16" bestFit="1" customWidth="1"/>
    <col min="23" max="23" width="11.5703125" style="16" bestFit="1" customWidth="1"/>
    <col min="24" max="25" width="23.140625" style="9" customWidth="1"/>
    <col min="26" max="26" width="16.7109375" customWidth="1"/>
    <col min="27" max="27" width="19" customWidth="1"/>
    <col min="29" max="30" width="9.140625" style="9"/>
  </cols>
  <sheetData>
    <row r="5" spans="1:31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217</v>
      </c>
      <c r="K5" s="1" t="s">
        <v>66</v>
      </c>
      <c r="M5" s="1" t="s">
        <v>67</v>
      </c>
      <c r="O5" s="1" t="s">
        <v>163</v>
      </c>
      <c r="V5" s="1" t="s">
        <v>53</v>
      </c>
      <c r="W5" s="1" t="s">
        <v>56</v>
      </c>
      <c r="AE5" s="1" t="s">
        <v>27</v>
      </c>
    </row>
    <row r="6" spans="1:31">
      <c r="A6" s="14" t="s">
        <v>33</v>
      </c>
      <c r="B6" s="14" t="s">
        <v>33</v>
      </c>
      <c r="D6" s="14" t="s">
        <v>33</v>
      </c>
      <c r="E6" s="14" t="s">
        <v>33</v>
      </c>
      <c r="F6" t="s">
        <v>41</v>
      </c>
      <c r="G6" s="14" t="s">
        <v>33</v>
      </c>
      <c r="H6" t="s">
        <v>44</v>
      </c>
      <c r="I6" s="14" t="s">
        <v>33</v>
      </c>
      <c r="J6" t="s">
        <v>43</v>
      </c>
      <c r="K6" s="14" t="s">
        <v>35</v>
      </c>
      <c r="L6" s="14" t="s">
        <v>28</v>
      </c>
      <c r="M6" s="14" t="s">
        <v>35</v>
      </c>
      <c r="N6" s="14" t="s">
        <v>29</v>
      </c>
      <c r="O6" s="14" t="s">
        <v>33</v>
      </c>
      <c r="P6" s="9" t="s">
        <v>185</v>
      </c>
      <c r="Q6" s="9" t="s">
        <v>186</v>
      </c>
      <c r="R6" s="9" t="s">
        <v>187</v>
      </c>
      <c r="S6" s="9" t="s">
        <v>188</v>
      </c>
      <c r="T6" s="9" t="s">
        <v>39</v>
      </c>
      <c r="V6" s="16" t="s">
        <v>54</v>
      </c>
      <c r="W6" s="16" t="s">
        <v>55</v>
      </c>
      <c r="Z6" s="9"/>
    </row>
    <row r="7" spans="1:31">
      <c r="A7" s="15" t="s">
        <v>195</v>
      </c>
      <c r="B7" s="15" t="s">
        <v>194</v>
      </c>
      <c r="C7" s="14" t="s">
        <v>30</v>
      </c>
      <c r="D7" s="15" t="s">
        <v>30</v>
      </c>
      <c r="E7" s="15" t="s">
        <v>195</v>
      </c>
      <c r="F7" s="3">
        <v>0</v>
      </c>
      <c r="G7" s="15" t="s">
        <v>195</v>
      </c>
      <c r="H7" s="3">
        <v>1</v>
      </c>
      <c r="I7" s="15" t="s">
        <v>195</v>
      </c>
      <c r="J7" s="3">
        <v>1</v>
      </c>
      <c r="K7" s="9" t="s">
        <v>195</v>
      </c>
      <c r="L7" s="9" t="s">
        <v>194</v>
      </c>
      <c r="M7" s="9" t="s">
        <v>195</v>
      </c>
      <c r="N7" s="9" t="s">
        <v>30</v>
      </c>
      <c r="O7" s="15" t="s">
        <v>195</v>
      </c>
      <c r="P7" s="3">
        <v>1</v>
      </c>
      <c r="Q7" s="3">
        <v>2</v>
      </c>
      <c r="R7" s="3">
        <v>1</v>
      </c>
      <c r="S7" s="3">
        <v>2</v>
      </c>
      <c r="T7" s="3">
        <v>1</v>
      </c>
      <c r="U7" s="3"/>
      <c r="V7" s="16">
        <v>2012</v>
      </c>
      <c r="W7" s="16">
        <f>2051-Scenarios!G6</f>
        <v>2048</v>
      </c>
      <c r="Z7" s="9"/>
      <c r="AA7" s="9"/>
      <c r="AB7" s="9"/>
      <c r="AE7" t="s">
        <v>14</v>
      </c>
    </row>
    <row r="8" spans="1:31">
      <c r="A8" s="15" t="s">
        <v>196</v>
      </c>
      <c r="B8" s="15" t="s">
        <v>197</v>
      </c>
      <c r="C8" s="15" t="s">
        <v>31</v>
      </c>
      <c r="D8" s="15" t="s">
        <v>32</v>
      </c>
      <c r="E8" s="15" t="s">
        <v>196</v>
      </c>
      <c r="F8" s="3">
        <v>0</v>
      </c>
      <c r="G8" s="15" t="s">
        <v>196</v>
      </c>
      <c r="H8" s="3">
        <v>1</v>
      </c>
      <c r="I8" s="15" t="s">
        <v>196</v>
      </c>
      <c r="J8" s="3">
        <v>1</v>
      </c>
      <c r="K8" s="9" t="s">
        <v>196</v>
      </c>
      <c r="L8" s="9" t="s">
        <v>197</v>
      </c>
      <c r="M8" s="9" t="s">
        <v>196</v>
      </c>
      <c r="N8" s="9" t="s">
        <v>30</v>
      </c>
      <c r="O8" s="15" t="s">
        <v>196</v>
      </c>
      <c r="P8" s="3">
        <v>1</v>
      </c>
      <c r="Q8" s="3">
        <v>2</v>
      </c>
      <c r="R8" s="3">
        <v>1</v>
      </c>
      <c r="S8" s="3">
        <v>2</v>
      </c>
      <c r="T8" s="3">
        <v>1</v>
      </c>
      <c r="U8" s="3"/>
      <c r="V8" s="16">
        <v>2013</v>
      </c>
      <c r="W8" s="16">
        <f>IF(OR(W7=2050,W7=""),"",W7+1)</f>
        <v>2049</v>
      </c>
      <c r="Z8" s="9"/>
      <c r="AA8" s="9"/>
      <c r="AB8" s="9"/>
      <c r="AE8" s="9" t="s">
        <v>15</v>
      </c>
    </row>
    <row r="9" spans="1:31">
      <c r="A9" s="15" t="s">
        <v>201</v>
      </c>
      <c r="B9" s="15" t="s">
        <v>198</v>
      </c>
      <c r="C9" s="15" t="s">
        <v>32</v>
      </c>
      <c r="D9" s="15" t="s">
        <v>198</v>
      </c>
      <c r="E9" s="15" t="s">
        <v>201</v>
      </c>
      <c r="F9" s="3">
        <v>0</v>
      </c>
      <c r="G9" s="15" t="s">
        <v>198</v>
      </c>
      <c r="H9" s="3"/>
      <c r="I9" s="15" t="s">
        <v>198</v>
      </c>
      <c r="J9" s="3"/>
      <c r="K9" s="9" t="s">
        <v>198</v>
      </c>
      <c r="L9" s="9" t="s">
        <v>198</v>
      </c>
      <c r="M9" s="9" t="s">
        <v>198</v>
      </c>
      <c r="N9" s="9" t="s">
        <v>198</v>
      </c>
      <c r="O9" s="15" t="s">
        <v>198</v>
      </c>
      <c r="P9" s="3"/>
      <c r="Q9" s="3"/>
      <c r="R9" s="3"/>
      <c r="S9" s="3"/>
      <c r="T9" s="3"/>
      <c r="U9" s="3"/>
      <c r="V9" s="16">
        <v>2014</v>
      </c>
      <c r="W9" s="16">
        <f t="shared" ref="W9:W13" si="0">IF(OR(W8=2050,W8=""),"",W8+1)</f>
        <v>2050</v>
      </c>
      <c r="Z9" s="9"/>
      <c r="AA9" s="9"/>
      <c r="AB9" s="9"/>
      <c r="AE9" s="9" t="s">
        <v>16</v>
      </c>
    </row>
    <row r="10" spans="1:31">
      <c r="A10" s="15" t="s">
        <v>203</v>
      </c>
      <c r="B10" s="15" t="s">
        <v>216</v>
      </c>
      <c r="C10" s="15" t="s">
        <v>46</v>
      </c>
      <c r="D10" s="15" t="s">
        <v>31</v>
      </c>
      <c r="E10" s="15" t="s">
        <v>203</v>
      </c>
      <c r="F10" s="3">
        <v>0</v>
      </c>
      <c r="G10" s="15" t="s">
        <v>199</v>
      </c>
      <c r="H10" s="3">
        <v>1</v>
      </c>
      <c r="I10" s="15" t="s">
        <v>199</v>
      </c>
      <c r="J10" s="3">
        <v>1</v>
      </c>
      <c r="K10" s="9" t="s">
        <v>199</v>
      </c>
      <c r="L10" s="9" t="s">
        <v>205</v>
      </c>
      <c r="M10" s="9" t="s">
        <v>199</v>
      </c>
      <c r="N10" s="9" t="s">
        <v>30</v>
      </c>
      <c r="O10" s="15" t="s">
        <v>199</v>
      </c>
      <c r="P10" s="3">
        <v>-1</v>
      </c>
      <c r="Q10" s="3">
        <v>-1</v>
      </c>
      <c r="R10" s="3">
        <v>-1</v>
      </c>
      <c r="S10" s="3">
        <v>1</v>
      </c>
      <c r="T10" s="3">
        <v>3</v>
      </c>
      <c r="U10" s="3"/>
      <c r="V10" s="16">
        <v>2015</v>
      </c>
      <c r="W10" s="16" t="str">
        <f t="shared" si="0"/>
        <v/>
      </c>
      <c r="Z10" s="9"/>
      <c r="AA10" s="9"/>
      <c r="AB10" s="9"/>
      <c r="AE10" s="9" t="s">
        <v>17</v>
      </c>
    </row>
    <row r="11" spans="1:31">
      <c r="A11" s="15" t="s">
        <v>202</v>
      </c>
      <c r="B11" s="15" t="s">
        <v>204</v>
      </c>
      <c r="C11" s="15" t="s">
        <v>47</v>
      </c>
      <c r="D11"/>
      <c r="E11" s="15" t="s">
        <v>202</v>
      </c>
      <c r="F11" s="3">
        <v>0</v>
      </c>
      <c r="G11" s="15" t="s">
        <v>200</v>
      </c>
      <c r="H11" s="3">
        <v>1</v>
      </c>
      <c r="I11" s="15" t="s">
        <v>200</v>
      </c>
      <c r="J11" s="3">
        <v>1</v>
      </c>
      <c r="K11" s="9" t="s">
        <v>200</v>
      </c>
      <c r="L11" s="9" t="s">
        <v>216</v>
      </c>
      <c r="M11" s="9" t="s">
        <v>200</v>
      </c>
      <c r="N11" s="9" t="s">
        <v>32</v>
      </c>
      <c r="O11" s="15" t="s">
        <v>200</v>
      </c>
      <c r="P11" s="3">
        <v>-1</v>
      </c>
      <c r="Q11" s="3">
        <v>-1</v>
      </c>
      <c r="R11" s="3">
        <v>-1</v>
      </c>
      <c r="S11" s="3">
        <v>1</v>
      </c>
      <c r="T11" s="3">
        <v>3</v>
      </c>
      <c r="V11" s="16">
        <v>2016</v>
      </c>
      <c r="W11" s="16" t="str">
        <f t="shared" si="0"/>
        <v/>
      </c>
      <c r="Z11" s="9"/>
      <c r="AA11" s="9"/>
      <c r="AB11" s="9"/>
      <c r="AE11" s="9" t="s">
        <v>18</v>
      </c>
    </row>
    <row r="12" spans="1:31">
      <c r="A12" s="15" t="s">
        <v>209</v>
      </c>
      <c r="B12" s="15" t="s">
        <v>205</v>
      </c>
      <c r="C12" s="15" t="s">
        <v>48</v>
      </c>
      <c r="D12" s="15"/>
      <c r="E12" s="15" t="s">
        <v>209</v>
      </c>
      <c r="F12" s="3">
        <v>0</v>
      </c>
      <c r="G12" s="15" t="s">
        <v>201</v>
      </c>
      <c r="H12" s="3">
        <v>1</v>
      </c>
      <c r="I12" s="15" t="s">
        <v>201</v>
      </c>
      <c r="J12" s="3">
        <v>1</v>
      </c>
      <c r="K12" s="9" t="s">
        <v>201</v>
      </c>
      <c r="L12" s="9" t="s">
        <v>207</v>
      </c>
      <c r="M12" s="9" t="s">
        <v>201</v>
      </c>
      <c r="N12" s="9" t="s">
        <v>31</v>
      </c>
      <c r="O12" s="15" t="s">
        <v>201</v>
      </c>
      <c r="P12" s="3">
        <v>1</v>
      </c>
      <c r="Q12" s="3">
        <v>2</v>
      </c>
      <c r="R12" s="3">
        <v>1</v>
      </c>
      <c r="S12" s="3">
        <v>2</v>
      </c>
      <c r="T12" s="3">
        <v>1</v>
      </c>
      <c r="V12" s="16">
        <v>2017</v>
      </c>
      <c r="W12" s="16" t="str">
        <f t="shared" si="0"/>
        <v/>
      </c>
      <c r="Z12" s="9"/>
      <c r="AA12" s="9"/>
      <c r="AB12" s="9"/>
      <c r="AE12" s="9" t="s">
        <v>19</v>
      </c>
    </row>
    <row r="13" spans="1:31">
      <c r="A13" s="15" t="s">
        <v>211</v>
      </c>
      <c r="B13" s="15" t="s">
        <v>207</v>
      </c>
      <c r="C13" s="15" t="s">
        <v>49</v>
      </c>
      <c r="D13" s="15"/>
      <c r="E13" s="15" t="s">
        <v>211</v>
      </c>
      <c r="F13" s="3">
        <v>0</v>
      </c>
      <c r="G13" s="15" t="s">
        <v>202</v>
      </c>
      <c r="H13" s="3">
        <v>1</v>
      </c>
      <c r="I13" s="15" t="s">
        <v>202</v>
      </c>
      <c r="J13" s="3">
        <v>1</v>
      </c>
      <c r="K13" s="9" t="s">
        <v>202</v>
      </c>
      <c r="L13" s="9" t="s">
        <v>204</v>
      </c>
      <c r="M13" s="9" t="s">
        <v>202</v>
      </c>
      <c r="N13" s="9" t="s">
        <v>30</v>
      </c>
      <c r="O13" s="15" t="s">
        <v>202</v>
      </c>
      <c r="P13" s="3">
        <v>1</v>
      </c>
      <c r="Q13" s="3">
        <v>1</v>
      </c>
      <c r="R13" s="3">
        <v>3</v>
      </c>
      <c r="S13" s="3">
        <v>3</v>
      </c>
      <c r="T13" s="3">
        <v>2</v>
      </c>
      <c r="V13" s="16">
        <v>2018</v>
      </c>
      <c r="W13" s="16" t="str">
        <f t="shared" si="0"/>
        <v/>
      </c>
      <c r="Z13" s="9"/>
      <c r="AA13" s="9"/>
      <c r="AB13" s="9"/>
      <c r="AE13" s="9" t="s">
        <v>20</v>
      </c>
    </row>
    <row r="14" spans="1:31">
      <c r="A14" s="15" t="s">
        <v>199</v>
      </c>
      <c r="B14" s="15" t="s">
        <v>208</v>
      </c>
      <c r="C14" s="15" t="s">
        <v>50</v>
      </c>
      <c r="D14" s="15"/>
      <c r="E14" s="15" t="s">
        <v>199</v>
      </c>
      <c r="F14" s="3">
        <v>1</v>
      </c>
      <c r="G14" s="15" t="s">
        <v>203</v>
      </c>
      <c r="H14" s="3">
        <v>1</v>
      </c>
      <c r="I14" s="15" t="s">
        <v>203</v>
      </c>
      <c r="J14" s="3">
        <v>1</v>
      </c>
      <c r="K14" s="9" t="s">
        <v>203</v>
      </c>
      <c r="L14" s="9" t="s">
        <v>218</v>
      </c>
      <c r="M14" s="9" t="s">
        <v>203</v>
      </c>
      <c r="N14" s="9" t="s">
        <v>31</v>
      </c>
      <c r="O14" s="15" t="s">
        <v>203</v>
      </c>
      <c r="P14" s="3">
        <v>1</v>
      </c>
      <c r="Q14" s="3">
        <v>2</v>
      </c>
      <c r="R14" s="3">
        <v>1</v>
      </c>
      <c r="S14" s="3">
        <v>2</v>
      </c>
      <c r="T14" s="3">
        <v>1</v>
      </c>
      <c r="V14" s="16">
        <v>2019</v>
      </c>
      <c r="Z14" s="9"/>
      <c r="AA14" s="9"/>
      <c r="AB14" s="9"/>
      <c r="AE14" s="9" t="s">
        <v>21</v>
      </c>
    </row>
    <row r="15" spans="1:31">
      <c r="A15" s="15" t="s">
        <v>200</v>
      </c>
      <c r="B15" s="15" t="s">
        <v>210</v>
      </c>
      <c r="C15" s="15" t="s">
        <v>51</v>
      </c>
      <c r="D15" s="15"/>
      <c r="E15" s="15" t="s">
        <v>200</v>
      </c>
      <c r="F15" s="3">
        <v>0</v>
      </c>
      <c r="G15" s="15" t="s">
        <v>206</v>
      </c>
      <c r="H15" s="3">
        <v>1</v>
      </c>
      <c r="I15" s="15" t="s">
        <v>206</v>
      </c>
      <c r="J15" s="3">
        <v>1</v>
      </c>
      <c r="K15" s="9" t="s">
        <v>206</v>
      </c>
      <c r="L15" s="9" t="s">
        <v>208</v>
      </c>
      <c r="M15" s="9" t="s">
        <v>206</v>
      </c>
      <c r="N15" s="9" t="s">
        <v>31</v>
      </c>
      <c r="O15" s="15" t="s">
        <v>206</v>
      </c>
      <c r="P15" s="3">
        <v>-1</v>
      </c>
      <c r="Q15" s="3">
        <v>-1</v>
      </c>
      <c r="R15" s="3">
        <v>-1</v>
      </c>
      <c r="S15" s="3">
        <v>1</v>
      </c>
      <c r="T15" s="3">
        <v>3</v>
      </c>
      <c r="V15" s="16">
        <v>2020</v>
      </c>
      <c r="Z15" s="9"/>
      <c r="AA15" s="9"/>
      <c r="AB15" s="9"/>
      <c r="AE15" s="9" t="s">
        <v>22</v>
      </c>
    </row>
    <row r="16" spans="1:31">
      <c r="A16" s="15" t="s">
        <v>206</v>
      </c>
      <c r="B16" s="15" t="s">
        <v>215</v>
      </c>
      <c r="C16" s="15" t="s">
        <v>52</v>
      </c>
      <c r="D16" s="15"/>
      <c r="E16" s="15" t="s">
        <v>206</v>
      </c>
      <c r="F16" s="3">
        <v>1</v>
      </c>
      <c r="G16" s="15" t="s">
        <v>209</v>
      </c>
      <c r="H16" s="3">
        <v>1</v>
      </c>
      <c r="I16" s="15" t="s">
        <v>209</v>
      </c>
      <c r="J16" s="3">
        <v>1</v>
      </c>
      <c r="K16" s="9" t="s">
        <v>209</v>
      </c>
      <c r="L16" s="9" t="s">
        <v>210</v>
      </c>
      <c r="M16" s="9" t="s">
        <v>209</v>
      </c>
      <c r="N16" s="9" t="s">
        <v>30</v>
      </c>
      <c r="O16" s="15" t="s">
        <v>209</v>
      </c>
      <c r="P16" s="3">
        <v>1</v>
      </c>
      <c r="Q16" s="3">
        <v>1</v>
      </c>
      <c r="R16" s="3">
        <v>3</v>
      </c>
      <c r="S16" s="3">
        <v>3</v>
      </c>
      <c r="T16" s="3">
        <v>2</v>
      </c>
      <c r="V16" s="16">
        <v>2021</v>
      </c>
      <c r="Z16" s="9"/>
      <c r="AA16" s="9"/>
      <c r="AB16" s="9"/>
      <c r="AE16" s="9" t="s">
        <v>5</v>
      </c>
    </row>
    <row r="17" spans="1:31">
      <c r="A17" s="15" t="s">
        <v>198</v>
      </c>
      <c r="B17" s="15" t="s">
        <v>218</v>
      </c>
      <c r="E17" s="15" t="s">
        <v>198</v>
      </c>
      <c r="F17" s="3">
        <v>0</v>
      </c>
      <c r="G17" s="15" t="s">
        <v>211</v>
      </c>
      <c r="H17" s="3">
        <v>1</v>
      </c>
      <c r="I17" s="15" t="s">
        <v>211</v>
      </c>
      <c r="J17" s="3">
        <v>1</v>
      </c>
      <c r="K17" s="9" t="s">
        <v>211</v>
      </c>
      <c r="L17" s="9" t="s">
        <v>215</v>
      </c>
      <c r="M17" s="9" t="s">
        <v>211</v>
      </c>
      <c r="N17" s="9" t="s">
        <v>30</v>
      </c>
      <c r="O17" s="15" t="s">
        <v>211</v>
      </c>
      <c r="P17" s="3">
        <v>-1</v>
      </c>
      <c r="Q17" s="3">
        <v>4</v>
      </c>
      <c r="R17" s="3">
        <v>2</v>
      </c>
      <c r="S17" s="3">
        <v>1</v>
      </c>
      <c r="T17" s="3">
        <v>3</v>
      </c>
      <c r="V17" s="16">
        <v>2022</v>
      </c>
      <c r="X17"/>
      <c r="Z17" s="9"/>
      <c r="AA17" s="9"/>
      <c r="AB17" s="9"/>
      <c r="AE17" s="9" t="s">
        <v>23</v>
      </c>
    </row>
    <row r="18" spans="1:31">
      <c r="B18"/>
      <c r="E18"/>
      <c r="M18"/>
      <c r="N18"/>
      <c r="V18" s="16">
        <v>2023</v>
      </c>
      <c r="X18"/>
      <c r="Z18" s="9"/>
      <c r="AA18" s="9"/>
      <c r="AB18" s="9"/>
      <c r="AE18" s="9" t="s">
        <v>25</v>
      </c>
    </row>
    <row r="19" spans="1:31">
      <c r="B19"/>
      <c r="E19"/>
      <c r="M19"/>
      <c r="N19"/>
      <c r="V19" s="16">
        <v>2024</v>
      </c>
      <c r="Z19" s="9"/>
      <c r="AA19" s="9"/>
      <c r="AB19" s="9"/>
      <c r="AE19" s="9" t="s">
        <v>24</v>
      </c>
    </row>
    <row r="20" spans="1:31">
      <c r="B20"/>
      <c r="E20"/>
      <c r="M20"/>
      <c r="N20"/>
      <c r="V20" s="16">
        <v>2025</v>
      </c>
      <c r="Z20" s="9"/>
      <c r="AA20" s="9"/>
      <c r="AB20" s="9"/>
      <c r="AE20" s="9" t="s">
        <v>11</v>
      </c>
    </row>
    <row r="21" spans="1:31">
      <c r="B21"/>
      <c r="E21"/>
      <c r="M21"/>
      <c r="N21"/>
      <c r="V21" s="16">
        <v>2026</v>
      </c>
      <c r="Z21" s="9"/>
      <c r="AA21" s="9"/>
      <c r="AB21" s="9"/>
      <c r="AE21" s="9" t="s">
        <v>11</v>
      </c>
    </row>
    <row r="22" spans="1:31">
      <c r="B22"/>
      <c r="E22"/>
      <c r="M22"/>
      <c r="N22"/>
      <c r="V22" s="16">
        <v>2027</v>
      </c>
      <c r="Z22" s="9"/>
      <c r="AA22" s="9"/>
      <c r="AB22" s="9"/>
      <c r="AE22" s="9" t="s">
        <v>11</v>
      </c>
    </row>
    <row r="23" spans="1:31">
      <c r="B23"/>
      <c r="E23"/>
      <c r="M23"/>
      <c r="N23"/>
      <c r="V23" s="16">
        <v>2028</v>
      </c>
      <c r="Z23" s="9"/>
      <c r="AA23" s="9"/>
      <c r="AB23" s="9"/>
      <c r="AE23" s="9" t="s">
        <v>11</v>
      </c>
    </row>
    <row r="24" spans="1:31">
      <c r="A24" s="9"/>
      <c r="V24" s="16">
        <v>2029</v>
      </c>
      <c r="Z24" s="9"/>
      <c r="AA24" s="9"/>
      <c r="AB24" s="9"/>
      <c r="AE24" s="9"/>
    </row>
    <row r="25" spans="1:31">
      <c r="A25" s="9"/>
      <c r="V25" s="16">
        <v>2030</v>
      </c>
      <c r="Z25" s="9"/>
      <c r="AA25" s="9"/>
      <c r="AB25" s="9"/>
      <c r="AE25" s="9"/>
    </row>
    <row r="26" spans="1:31">
      <c r="A26" s="9"/>
      <c r="V26" s="16">
        <v>2031</v>
      </c>
      <c r="Z26" s="9"/>
      <c r="AA26" s="9"/>
      <c r="AB26" s="9"/>
      <c r="AE26" s="9"/>
    </row>
    <row r="27" spans="1:31">
      <c r="A27" s="9"/>
      <c r="V27" s="16">
        <v>2032</v>
      </c>
      <c r="Z27" s="9"/>
      <c r="AA27" s="9"/>
      <c r="AB27" s="9"/>
      <c r="AE27" s="9"/>
    </row>
    <row r="28" spans="1:31">
      <c r="A28" s="9"/>
      <c r="V28" s="16">
        <v>2033</v>
      </c>
      <c r="Z28" s="9"/>
      <c r="AA28" s="9"/>
      <c r="AB28" s="9"/>
      <c r="AE28" s="9"/>
    </row>
    <row r="29" spans="1:31">
      <c r="A29" s="9"/>
      <c r="V29" s="16">
        <v>2034</v>
      </c>
      <c r="Z29" s="9"/>
      <c r="AA29" s="9"/>
      <c r="AB29" s="9"/>
      <c r="AE29" s="9"/>
    </row>
    <row r="30" spans="1:31">
      <c r="A30" s="9"/>
      <c r="V30" s="16">
        <v>2035</v>
      </c>
      <c r="Z30" s="9"/>
      <c r="AA30" s="9"/>
      <c r="AB30" s="9"/>
      <c r="AE30" s="9"/>
    </row>
    <row r="31" spans="1:31">
      <c r="A31" s="9"/>
      <c r="V31" s="16">
        <v>2036</v>
      </c>
      <c r="Z31" s="9"/>
      <c r="AA31" s="9"/>
      <c r="AB31" s="9"/>
      <c r="AE31" s="9"/>
    </row>
    <row r="32" spans="1:31">
      <c r="A32" s="9"/>
      <c r="V32" s="16">
        <v>2037</v>
      </c>
      <c r="Z32" s="9"/>
      <c r="AA32" s="9"/>
      <c r="AB32" s="9"/>
      <c r="AE32" s="9"/>
    </row>
    <row r="33" spans="1:31">
      <c r="A33" s="9"/>
      <c r="V33" s="16">
        <v>2038</v>
      </c>
      <c r="Z33" s="9"/>
      <c r="AA33" s="9"/>
      <c r="AB33" s="9"/>
      <c r="AE33" s="9"/>
    </row>
    <row r="34" spans="1:31">
      <c r="A34" s="9"/>
      <c r="V34" s="16">
        <v>2039</v>
      </c>
      <c r="Z34" s="9"/>
      <c r="AA34" s="9"/>
      <c r="AB34" s="9"/>
      <c r="AE34" s="9"/>
    </row>
    <row r="35" spans="1:31">
      <c r="A35" s="9"/>
      <c r="V35" s="16">
        <v>2040</v>
      </c>
      <c r="Z35" s="9"/>
      <c r="AA35" s="9"/>
      <c r="AB35" s="9"/>
      <c r="AE35" s="9"/>
    </row>
    <row r="36" spans="1:31">
      <c r="A36" s="9"/>
      <c r="V36" s="16">
        <v>2041</v>
      </c>
      <c r="Z36" s="9"/>
      <c r="AA36" s="9"/>
      <c r="AB36" s="9"/>
      <c r="AE36" s="9"/>
    </row>
    <row r="37" spans="1:31">
      <c r="A37" s="9"/>
      <c r="V37" s="16">
        <v>2042</v>
      </c>
      <c r="Z37" s="9"/>
      <c r="AA37" s="9"/>
      <c r="AB37" s="9"/>
      <c r="AE37" s="9"/>
    </row>
    <row r="38" spans="1:31">
      <c r="A38" s="9"/>
      <c r="V38" s="16">
        <v>2043</v>
      </c>
      <c r="Z38" s="9"/>
      <c r="AA38" s="9"/>
      <c r="AB38" s="9"/>
      <c r="AE38" s="9"/>
    </row>
    <row r="39" spans="1:31">
      <c r="A39" s="9"/>
      <c r="V39" s="16">
        <v>2044</v>
      </c>
      <c r="Z39" s="9"/>
      <c r="AA39" s="9"/>
      <c r="AB39" s="9"/>
      <c r="AE39" s="9"/>
    </row>
    <row r="40" spans="1:31">
      <c r="A40" s="9"/>
      <c r="V40" s="16">
        <v>2045</v>
      </c>
      <c r="Z40" s="9"/>
      <c r="AA40" s="9"/>
      <c r="AB40" s="9"/>
      <c r="AE40" s="9"/>
    </row>
    <row r="41" spans="1:31">
      <c r="A41" s="9"/>
      <c r="V41" s="16">
        <v>2046</v>
      </c>
      <c r="Z41" s="9"/>
      <c r="AA41" s="9"/>
      <c r="AB41" s="9"/>
      <c r="AE41" s="9"/>
    </row>
    <row r="42" spans="1:31">
      <c r="A42" s="9"/>
      <c r="V42" s="16">
        <v>2047</v>
      </c>
      <c r="Z42" s="9"/>
      <c r="AA42" s="9"/>
      <c r="AB42" s="9"/>
      <c r="AE42" s="9"/>
    </row>
    <row r="43" spans="1:31">
      <c r="A43" s="9"/>
      <c r="V43" s="16">
        <v>2048</v>
      </c>
      <c r="Z43" s="9"/>
      <c r="AA43" s="9"/>
      <c r="AB43" s="9"/>
      <c r="AE43" s="9"/>
    </row>
    <row r="44" spans="1:31">
      <c r="A44" s="9"/>
      <c r="V44" s="16">
        <v>2049</v>
      </c>
      <c r="Z44" s="9"/>
      <c r="AA44" s="9"/>
      <c r="AB44" s="9"/>
      <c r="AE44" s="9"/>
    </row>
    <row r="45" spans="1:31">
      <c r="A45" s="9"/>
      <c r="V45" s="16">
        <v>2050</v>
      </c>
      <c r="Z45" s="9"/>
      <c r="AA45" s="9"/>
      <c r="AB45" s="9"/>
      <c r="AE45" s="9"/>
    </row>
    <row r="46" spans="1:31">
      <c r="A46" s="9"/>
      <c r="Z46" s="9"/>
      <c r="AA46" s="9"/>
      <c r="AB46" s="9"/>
    </row>
    <row r="47" spans="1:31">
      <c r="A47" s="9"/>
      <c r="Z47" s="9"/>
      <c r="AA47" s="9"/>
      <c r="AB47" s="9"/>
    </row>
    <row r="48" spans="1:31">
      <c r="A48" s="9"/>
      <c r="Z48" s="9"/>
      <c r="AA48" s="9"/>
      <c r="AB48" s="9"/>
    </row>
    <row r="49" spans="1:28">
      <c r="A49" s="9"/>
      <c r="Z49" s="9"/>
      <c r="AA49" s="9"/>
      <c r="AB49" s="9"/>
    </row>
    <row r="50" spans="1:28">
      <c r="A50" s="9"/>
      <c r="Z50" s="9"/>
      <c r="AA50" s="9"/>
      <c r="AB50" s="9"/>
    </row>
    <row r="51" spans="1:28">
      <c r="A51" s="9"/>
      <c r="Z51" s="9"/>
      <c r="AA51" s="9"/>
      <c r="AB51" s="9"/>
    </row>
  </sheetData>
  <phoneticPr fontId="34" type="noConversion"/>
  <pageMargins left="0.7" right="0.7" top="0.75" bottom="0.75" header="0.3" footer="0.3"/>
  <pageSetup paperSize="9" orientation="portrait" r:id="rId1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AY17"/>
  <sheetViews>
    <sheetView tabSelected="1" workbookViewId="0">
      <selection activeCell="A9" sqref="A9"/>
    </sheetView>
  </sheetViews>
  <sheetFormatPr defaultRowHeight="15"/>
  <cols>
    <col min="1" max="1" width="8.42578125" customWidth="1"/>
    <col min="2" max="2" width="20.85546875" customWidth="1"/>
    <col min="3" max="3" width="37.5703125" customWidth="1"/>
    <col min="4" max="4" width="20.5703125" style="9" customWidth="1"/>
    <col min="5" max="5" width="20.28515625" customWidth="1"/>
    <col min="6" max="6" width="20.28515625" style="9" customWidth="1"/>
    <col min="7" max="9" width="11.5703125" style="9" customWidth="1"/>
    <col min="10" max="10" width="15.85546875" style="9" customWidth="1"/>
    <col min="11" max="13" width="11.5703125" style="9" customWidth="1"/>
    <col min="14" max="14" width="7" style="9" customWidth="1"/>
    <col min="15" max="15" width="8.140625" style="9" customWidth="1"/>
    <col min="16" max="16" width="11.5703125" customWidth="1"/>
    <col min="19" max="31" width="5.5703125" customWidth="1"/>
    <col min="32" max="50" width="6.42578125" customWidth="1"/>
  </cols>
  <sheetData>
    <row r="1" spans="1:51">
      <c r="B1" s="9"/>
      <c r="C1" s="9"/>
      <c r="E1" s="9"/>
      <c r="J1" s="9" t="s">
        <v>189</v>
      </c>
      <c r="K1" s="9">
        <v>-1</v>
      </c>
      <c r="L1" s="9">
        <v>-1</v>
      </c>
      <c r="M1" s="9">
        <v>-1</v>
      </c>
      <c r="N1" s="9">
        <v>1</v>
      </c>
      <c r="O1" s="9">
        <v>3</v>
      </c>
    </row>
    <row r="2" spans="1:51">
      <c r="B2" s="9"/>
      <c r="E2" s="9"/>
      <c r="J2" s="9" t="s">
        <v>190</v>
      </c>
      <c r="K2" s="9">
        <v>1</v>
      </c>
      <c r="L2" s="9">
        <v>2</v>
      </c>
      <c r="M2" s="9">
        <v>1</v>
      </c>
      <c r="N2" s="9">
        <v>2</v>
      </c>
      <c r="O2" s="9">
        <v>1</v>
      </c>
    </row>
    <row r="3" spans="1:51">
      <c r="B3" s="9"/>
      <c r="E3" s="9"/>
      <c r="J3" s="9" t="s">
        <v>191</v>
      </c>
      <c r="K3" s="9">
        <v>-1</v>
      </c>
      <c r="L3" s="9">
        <v>4</v>
      </c>
      <c r="M3" s="9">
        <v>2</v>
      </c>
      <c r="N3" s="9">
        <v>1</v>
      </c>
      <c r="O3" s="9">
        <v>3</v>
      </c>
    </row>
    <row r="4" spans="1:51">
      <c r="B4" s="9"/>
      <c r="E4" s="9"/>
      <c r="J4" s="9" t="s">
        <v>192</v>
      </c>
      <c r="K4" s="9">
        <v>1</v>
      </c>
      <c r="L4" s="9">
        <v>1</v>
      </c>
      <c r="M4" s="9">
        <v>3</v>
      </c>
      <c r="N4" s="9">
        <v>3</v>
      </c>
      <c r="O4" s="9">
        <v>2</v>
      </c>
    </row>
    <row r="5" spans="1:51" ht="45">
      <c r="A5" s="8"/>
      <c r="G5" s="10" t="s">
        <v>62</v>
      </c>
      <c r="H5" s="12"/>
      <c r="I5" s="12"/>
      <c r="J5" s="12"/>
      <c r="K5" s="12"/>
      <c r="L5" s="12"/>
      <c r="M5" s="12"/>
      <c r="N5" s="12"/>
      <c r="O5" s="12"/>
    </row>
    <row r="6" spans="1:51">
      <c r="A6" s="6"/>
      <c r="B6" s="5"/>
      <c r="D6" s="11"/>
      <c r="E6" s="4"/>
      <c r="F6" s="13"/>
      <c r="G6" s="9">
        <v>3</v>
      </c>
      <c r="H6" s="13"/>
      <c r="I6" s="13"/>
      <c r="J6" s="13"/>
      <c r="K6" s="13"/>
      <c r="L6" s="13"/>
      <c r="M6" s="13"/>
      <c r="N6" s="13"/>
      <c r="O6" s="13"/>
      <c r="R6" s="18" t="s">
        <v>26</v>
      </c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</row>
    <row r="7" spans="1:51" ht="45">
      <c r="A7" s="7" t="s">
        <v>9</v>
      </c>
      <c r="B7" s="2" t="s">
        <v>35</v>
      </c>
      <c r="C7" s="2" t="s">
        <v>212</v>
      </c>
      <c r="D7" s="2" t="s">
        <v>29</v>
      </c>
      <c r="E7" s="2" t="s">
        <v>28</v>
      </c>
      <c r="F7" s="2" t="s">
        <v>34</v>
      </c>
      <c r="G7" s="10" t="s">
        <v>13</v>
      </c>
      <c r="H7" s="10" t="s">
        <v>193</v>
      </c>
      <c r="I7" s="10" t="s">
        <v>36</v>
      </c>
      <c r="J7" s="10" t="s">
        <v>37</v>
      </c>
      <c r="K7" s="10" t="s">
        <v>180</v>
      </c>
      <c r="L7" s="10" t="s">
        <v>181</v>
      </c>
      <c r="M7" s="10" t="s">
        <v>182</v>
      </c>
      <c r="N7" s="10" t="s">
        <v>184</v>
      </c>
      <c r="O7" s="10" t="s">
        <v>183</v>
      </c>
      <c r="P7" s="10" t="s">
        <v>12</v>
      </c>
      <c r="R7">
        <v>2018</v>
      </c>
      <c r="S7">
        <f>R7+1</f>
        <v>2019</v>
      </c>
      <c r="T7" s="9">
        <f t="shared" ref="T7:AX7" si="0">S7+1</f>
        <v>2020</v>
      </c>
      <c r="U7" s="9">
        <f t="shared" si="0"/>
        <v>2021</v>
      </c>
      <c r="V7" s="9">
        <f t="shared" si="0"/>
        <v>2022</v>
      </c>
      <c r="W7" s="9">
        <f t="shared" si="0"/>
        <v>2023</v>
      </c>
      <c r="X7" s="9">
        <f t="shared" si="0"/>
        <v>2024</v>
      </c>
      <c r="Y7" s="9">
        <f t="shared" si="0"/>
        <v>2025</v>
      </c>
      <c r="Z7" s="9">
        <f t="shared" si="0"/>
        <v>2026</v>
      </c>
      <c r="AA7" s="9">
        <f t="shared" si="0"/>
        <v>2027</v>
      </c>
      <c r="AB7" s="9">
        <f t="shared" si="0"/>
        <v>2028</v>
      </c>
      <c r="AC7" s="9">
        <f t="shared" si="0"/>
        <v>2029</v>
      </c>
      <c r="AD7" s="9">
        <f t="shared" si="0"/>
        <v>2030</v>
      </c>
      <c r="AE7" s="9">
        <f t="shared" si="0"/>
        <v>2031</v>
      </c>
      <c r="AF7" s="9">
        <f t="shared" si="0"/>
        <v>2032</v>
      </c>
      <c r="AG7" s="9">
        <f t="shared" si="0"/>
        <v>2033</v>
      </c>
      <c r="AH7" s="9">
        <f t="shared" si="0"/>
        <v>2034</v>
      </c>
      <c r="AI7" s="9">
        <f t="shared" si="0"/>
        <v>2035</v>
      </c>
      <c r="AJ7" s="9">
        <f t="shared" si="0"/>
        <v>2036</v>
      </c>
      <c r="AK7" s="9">
        <f t="shared" si="0"/>
        <v>2037</v>
      </c>
      <c r="AL7" s="9">
        <f t="shared" si="0"/>
        <v>2038</v>
      </c>
      <c r="AM7" s="9">
        <f t="shared" si="0"/>
        <v>2039</v>
      </c>
      <c r="AN7" s="9">
        <f t="shared" si="0"/>
        <v>2040</v>
      </c>
      <c r="AO7" s="9">
        <f t="shared" si="0"/>
        <v>2041</v>
      </c>
      <c r="AP7" s="9">
        <f t="shared" si="0"/>
        <v>2042</v>
      </c>
      <c r="AQ7" s="9">
        <f t="shared" si="0"/>
        <v>2043</v>
      </c>
      <c r="AR7" s="9">
        <f t="shared" si="0"/>
        <v>2044</v>
      </c>
      <c r="AS7" s="9">
        <f t="shared" si="0"/>
        <v>2045</v>
      </c>
      <c r="AT7" s="9">
        <f t="shared" si="0"/>
        <v>2046</v>
      </c>
      <c r="AU7" s="9">
        <f t="shared" si="0"/>
        <v>2047</v>
      </c>
      <c r="AV7" s="9">
        <f t="shared" si="0"/>
        <v>2048</v>
      </c>
      <c r="AW7" s="9">
        <f t="shared" si="0"/>
        <v>2049</v>
      </c>
      <c r="AX7" s="9">
        <f t="shared" si="0"/>
        <v>2050</v>
      </c>
    </row>
    <row r="8" spans="1:51" s="9" customFormat="1">
      <c r="A8" s="9">
        <v>1</v>
      </c>
      <c r="B8" s="9" t="s">
        <v>199</v>
      </c>
      <c r="C8" s="9" t="s">
        <v>213</v>
      </c>
      <c r="D8" s="9" t="s">
        <v>30</v>
      </c>
      <c r="E8" s="9" t="s">
        <v>205</v>
      </c>
      <c r="F8" s="9">
        <v>1</v>
      </c>
      <c r="G8" s="9">
        <v>1</v>
      </c>
      <c r="H8" s="9" t="str">
        <f>J1</f>
        <v>No Pams</v>
      </c>
      <c r="I8" s="9">
        <v>1</v>
      </c>
      <c r="J8" s="9">
        <v>1</v>
      </c>
      <c r="K8" s="9">
        <f>INDEX(K$1:K$4,MATCH($H8,$J$1:$J$4,0))</f>
        <v>-1</v>
      </c>
      <c r="L8" s="9">
        <f t="shared" ref="L8:O17" si="1">INDEX(L$1:L$4,MATCH($H8,$J$1:$J$4,0))</f>
        <v>-1</v>
      </c>
      <c r="M8" s="9">
        <f t="shared" si="1"/>
        <v>-1</v>
      </c>
      <c r="N8" s="9">
        <f t="shared" si="1"/>
        <v>1</v>
      </c>
      <c r="O8" s="9">
        <f t="shared" si="1"/>
        <v>3</v>
      </c>
      <c r="P8" s="9">
        <v>100</v>
      </c>
      <c r="Q8" s="9" t="str">
        <f>B8</f>
        <v>NoPAMS</v>
      </c>
    </row>
    <row r="9" spans="1:51" s="9" customFormat="1">
      <c r="A9" s="9">
        <v>0</v>
      </c>
      <c r="B9" s="9" t="s">
        <v>195</v>
      </c>
      <c r="C9" s="9" t="s">
        <v>213</v>
      </c>
      <c r="D9" s="9" t="s">
        <v>30</v>
      </c>
      <c r="E9" s="9" t="s">
        <v>194</v>
      </c>
      <c r="F9" s="9">
        <v>1</v>
      </c>
      <c r="G9" s="9">
        <v>1</v>
      </c>
      <c r="H9" s="9" t="str">
        <f t="shared" ref="H9" si="2">J2</f>
        <v>Base Pams</v>
      </c>
      <c r="I9" s="9">
        <v>1</v>
      </c>
      <c r="J9" s="9">
        <v>1</v>
      </c>
      <c r="K9" s="9">
        <f t="shared" ref="K9:K17" si="3">INDEX(K$1:K$4,MATCH($H9,$J$1:$J$4,0))</f>
        <v>1</v>
      </c>
      <c r="L9" s="9">
        <f t="shared" si="1"/>
        <v>2</v>
      </c>
      <c r="M9" s="9">
        <f t="shared" si="1"/>
        <v>1</v>
      </c>
      <c r="N9" s="9">
        <f t="shared" si="1"/>
        <v>2</v>
      </c>
      <c r="O9" s="9">
        <f t="shared" si="1"/>
        <v>1</v>
      </c>
      <c r="P9" s="9">
        <v>100</v>
      </c>
      <c r="Q9" s="9" t="str">
        <f t="shared" ref="Q9:Q16" si="4">B9</f>
        <v>CPAMS</v>
      </c>
    </row>
    <row r="10" spans="1:51" s="9" customFormat="1">
      <c r="A10" s="9">
        <v>0</v>
      </c>
      <c r="B10" s="9" t="s">
        <v>201</v>
      </c>
      <c r="C10" s="9" t="s">
        <v>213</v>
      </c>
      <c r="D10" s="9" t="s">
        <v>31</v>
      </c>
      <c r="E10" s="9" t="s">
        <v>207</v>
      </c>
      <c r="F10" s="9">
        <v>1</v>
      </c>
      <c r="G10" s="9">
        <v>1</v>
      </c>
      <c r="H10" s="9" t="str">
        <f>H9</f>
        <v>Base Pams</v>
      </c>
      <c r="I10" s="9">
        <v>1</v>
      </c>
      <c r="J10" s="9">
        <v>1</v>
      </c>
      <c r="K10" s="9">
        <f t="shared" si="3"/>
        <v>1</v>
      </c>
      <c r="L10" s="9">
        <f t="shared" si="1"/>
        <v>2</v>
      </c>
      <c r="M10" s="9">
        <f t="shared" si="1"/>
        <v>1</v>
      </c>
      <c r="N10" s="9">
        <f t="shared" si="1"/>
        <v>2</v>
      </c>
      <c r="O10" s="9">
        <f t="shared" si="1"/>
        <v>1</v>
      </c>
      <c r="P10" s="9">
        <v>100</v>
      </c>
      <c r="Q10" s="9" t="str">
        <f t="shared" si="4"/>
        <v>CPAMS-TrGr</v>
      </c>
      <c r="AY10" s="9" t="s">
        <v>179</v>
      </c>
    </row>
    <row r="11" spans="1:51" s="9" customFormat="1">
      <c r="A11" s="9">
        <v>0</v>
      </c>
      <c r="B11" s="9" t="s">
        <v>196</v>
      </c>
      <c r="C11" s="9" t="s">
        <v>213</v>
      </c>
      <c r="D11" s="9" t="s">
        <v>30</v>
      </c>
      <c r="E11" s="9" t="s">
        <v>197</v>
      </c>
      <c r="F11" s="9">
        <v>1</v>
      </c>
      <c r="G11" s="9">
        <v>1</v>
      </c>
      <c r="H11" s="9" t="str">
        <f>H10</f>
        <v>Base Pams</v>
      </c>
      <c r="I11" s="9">
        <v>1</v>
      </c>
      <c r="J11" s="9">
        <v>1</v>
      </c>
      <c r="K11" s="9">
        <f t="shared" si="3"/>
        <v>1</v>
      </c>
      <c r="L11" s="9">
        <f t="shared" si="1"/>
        <v>2</v>
      </c>
      <c r="M11" s="9">
        <f t="shared" si="1"/>
        <v>1</v>
      </c>
      <c r="N11" s="9">
        <f t="shared" si="1"/>
        <v>2</v>
      </c>
      <c r="O11" s="9">
        <f t="shared" si="1"/>
        <v>1</v>
      </c>
      <c r="P11" s="9">
        <v>100</v>
      </c>
      <c r="Q11" s="9" t="str">
        <f t="shared" si="4"/>
        <v>CPAMS-REProg</v>
      </c>
    </row>
    <row r="12" spans="1:51">
      <c r="A12" s="9">
        <v>0</v>
      </c>
      <c r="B12" s="9" t="s">
        <v>200</v>
      </c>
      <c r="C12" s="9" t="s">
        <v>214</v>
      </c>
      <c r="D12" s="9" t="s">
        <v>32</v>
      </c>
      <c r="E12" s="9" t="s">
        <v>216</v>
      </c>
      <c r="F12" s="9">
        <v>1</v>
      </c>
      <c r="G12" s="9">
        <v>1</v>
      </c>
      <c r="H12" s="9" t="s">
        <v>189</v>
      </c>
      <c r="I12" s="9">
        <v>1</v>
      </c>
      <c r="J12" s="9">
        <v>1</v>
      </c>
      <c r="K12" s="9">
        <f t="shared" si="3"/>
        <v>-1</v>
      </c>
      <c r="L12" s="9">
        <f t="shared" si="1"/>
        <v>-1</v>
      </c>
      <c r="M12" s="9">
        <f t="shared" si="1"/>
        <v>-1</v>
      </c>
      <c r="N12" s="9">
        <f t="shared" si="1"/>
        <v>1</v>
      </c>
      <c r="O12" s="9">
        <f t="shared" si="1"/>
        <v>3</v>
      </c>
      <c r="P12" s="9">
        <v>100</v>
      </c>
      <c r="Q12" s="9" t="str">
        <f t="shared" si="4"/>
        <v>NoPAMS-HiGr-FrcdCoal</v>
      </c>
    </row>
    <row r="13" spans="1:51" s="9" customFormat="1">
      <c r="A13" s="9">
        <v>0</v>
      </c>
      <c r="B13" t="s">
        <v>211</v>
      </c>
      <c r="C13" s="9" t="s">
        <v>213</v>
      </c>
      <c r="D13" s="9" t="s">
        <v>30</v>
      </c>
      <c r="E13" s="9" t="s">
        <v>215</v>
      </c>
      <c r="F13" s="9">
        <v>1</v>
      </c>
      <c r="G13" s="9">
        <v>1</v>
      </c>
      <c r="H13" s="9" t="s">
        <v>191</v>
      </c>
      <c r="I13" s="9">
        <v>1</v>
      </c>
      <c r="J13" s="9">
        <v>1</v>
      </c>
      <c r="K13" s="9">
        <f t="shared" si="3"/>
        <v>-1</v>
      </c>
      <c r="L13" s="9">
        <f t="shared" si="1"/>
        <v>4</v>
      </c>
      <c r="M13" s="9">
        <f t="shared" si="1"/>
        <v>2</v>
      </c>
      <c r="N13" s="9">
        <f t="shared" si="1"/>
        <v>1</v>
      </c>
      <c r="O13" s="9">
        <f t="shared" si="1"/>
        <v>3</v>
      </c>
      <c r="P13" s="9">
        <v>100</v>
      </c>
      <c r="Q13" s="9" t="str">
        <f t="shared" si="4"/>
        <v>LoPAMS-FrcdCoal</v>
      </c>
      <c r="AY13" s="9" t="s">
        <v>179</v>
      </c>
    </row>
    <row r="14" spans="1:51">
      <c r="A14" s="9">
        <v>0</v>
      </c>
      <c r="B14" t="s">
        <v>202</v>
      </c>
      <c r="C14" t="s">
        <v>213</v>
      </c>
      <c r="D14" s="9" t="s">
        <v>30</v>
      </c>
      <c r="E14" t="s">
        <v>204</v>
      </c>
      <c r="F14" s="9">
        <v>1</v>
      </c>
      <c r="G14" s="9">
        <v>1</v>
      </c>
      <c r="H14" s="9" t="s">
        <v>192</v>
      </c>
      <c r="I14" s="9">
        <v>1</v>
      </c>
      <c r="J14" s="9">
        <v>1</v>
      </c>
      <c r="K14" s="9">
        <f t="shared" si="3"/>
        <v>1</v>
      </c>
      <c r="L14" s="9">
        <f t="shared" si="1"/>
        <v>1</v>
      </c>
      <c r="M14" s="9">
        <f t="shared" si="1"/>
        <v>3</v>
      </c>
      <c r="N14" s="9">
        <f t="shared" si="1"/>
        <v>3</v>
      </c>
      <c r="O14" s="9">
        <f t="shared" si="1"/>
        <v>2</v>
      </c>
      <c r="P14" s="9">
        <v>100</v>
      </c>
      <c r="Q14" s="9" t="str">
        <f t="shared" si="4"/>
        <v>HiPam</v>
      </c>
    </row>
    <row r="15" spans="1:51">
      <c r="A15" s="9">
        <v>0</v>
      </c>
      <c r="B15" s="9" t="s">
        <v>203</v>
      </c>
      <c r="C15" t="s">
        <v>213</v>
      </c>
      <c r="D15" s="9" t="s">
        <v>31</v>
      </c>
      <c r="E15" t="s">
        <v>218</v>
      </c>
      <c r="F15" s="9">
        <v>1</v>
      </c>
      <c r="G15" s="9">
        <v>1</v>
      </c>
      <c r="H15" s="9" t="s">
        <v>190</v>
      </c>
      <c r="I15" s="9">
        <v>1</v>
      </c>
      <c r="J15" s="9">
        <v>1</v>
      </c>
      <c r="K15" s="9">
        <f t="shared" si="3"/>
        <v>1</v>
      </c>
      <c r="L15" s="9">
        <f t="shared" si="1"/>
        <v>2</v>
      </c>
      <c r="M15" s="9">
        <f t="shared" si="1"/>
        <v>1</v>
      </c>
      <c r="N15" s="9">
        <f t="shared" si="1"/>
        <v>2</v>
      </c>
      <c r="O15" s="9">
        <f t="shared" si="1"/>
        <v>1</v>
      </c>
      <c r="P15" s="9">
        <v>100</v>
      </c>
      <c r="Q15" s="9" t="str">
        <f t="shared" si="4"/>
        <v>CPAMS-TrGr-REProg</v>
      </c>
    </row>
    <row r="16" spans="1:51">
      <c r="A16" s="9">
        <v>1</v>
      </c>
      <c r="B16" t="s">
        <v>206</v>
      </c>
      <c r="C16" t="s">
        <v>213</v>
      </c>
      <c r="D16" s="9" t="s">
        <v>31</v>
      </c>
      <c r="E16" s="9" t="s">
        <v>208</v>
      </c>
      <c r="F16" s="9">
        <v>1</v>
      </c>
      <c r="G16" s="9">
        <v>1</v>
      </c>
      <c r="H16" s="9" t="s">
        <v>189</v>
      </c>
      <c r="I16" s="9">
        <v>1</v>
      </c>
      <c r="J16" s="9">
        <v>1</v>
      </c>
      <c r="K16" s="9">
        <f t="shared" si="3"/>
        <v>-1</v>
      </c>
      <c r="L16" s="9">
        <f t="shared" si="1"/>
        <v>-1</v>
      </c>
      <c r="M16" s="9">
        <f t="shared" si="1"/>
        <v>-1</v>
      </c>
      <c r="N16" s="9">
        <f t="shared" si="1"/>
        <v>1</v>
      </c>
      <c r="O16" s="9">
        <f t="shared" si="1"/>
        <v>3</v>
      </c>
      <c r="P16" s="9">
        <v>100</v>
      </c>
      <c r="Q16" s="9" t="str">
        <f t="shared" si="4"/>
        <v>NoPAMS-TrGr-FrcdCoal</v>
      </c>
    </row>
    <row r="17" spans="1:17" s="9" customFormat="1">
      <c r="A17" s="9">
        <v>0</v>
      </c>
      <c r="B17" s="9" t="s">
        <v>209</v>
      </c>
      <c r="C17" s="9" t="s">
        <v>213</v>
      </c>
      <c r="D17" s="9" t="s">
        <v>30</v>
      </c>
      <c r="E17" s="9" t="s">
        <v>210</v>
      </c>
      <c r="F17" s="9">
        <v>1</v>
      </c>
      <c r="G17" s="9">
        <v>1</v>
      </c>
      <c r="H17" s="9" t="s">
        <v>192</v>
      </c>
      <c r="I17" s="9">
        <v>1</v>
      </c>
      <c r="J17" s="9">
        <v>1</v>
      </c>
      <c r="K17" s="9">
        <f t="shared" si="3"/>
        <v>1</v>
      </c>
      <c r="L17" s="9">
        <f t="shared" si="1"/>
        <v>1</v>
      </c>
      <c r="M17" s="9">
        <f t="shared" si="1"/>
        <v>3</v>
      </c>
      <c r="N17" s="9">
        <f t="shared" si="1"/>
        <v>3</v>
      </c>
      <c r="O17" s="9">
        <f t="shared" si="1"/>
        <v>2</v>
      </c>
      <c r="P17" s="9">
        <v>100</v>
      </c>
      <c r="Q17" s="9" t="str">
        <f t="shared" ref="Q17" si="5">B17</f>
        <v>HiPam-REProg</v>
      </c>
    </row>
  </sheetData>
  <mergeCells count="1">
    <mergeCell ref="R6:AE6"/>
  </mergeCells>
  <phoneticPr fontId="34" type="noConversion"/>
  <conditionalFormatting sqref="A5">
    <cfRule type="expression" dxfId="1" priority="567">
      <formula>SUM($A$8:$A$11)&gt;4</formula>
    </cfRule>
    <cfRule type="expression" dxfId="0" priority="568">
      <formula>SUM($A$8:$A$11)&lt;1</formula>
    </cfRule>
  </conditionalFormatting>
  <dataValidations count="1">
    <dataValidation type="list" allowBlank="1" showInputMessage="1" showErrorMessage="1" sqref="H8:H17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D8:D12 D15:D16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9" customFormat="1">
      <c r="C1" s="2" t="s">
        <v>111</v>
      </c>
      <c r="D1" s="2" t="s">
        <v>106</v>
      </c>
    </row>
    <row r="2" spans="3:8" s="9" customFormat="1">
      <c r="C2" s="2" t="s">
        <v>108</v>
      </c>
    </row>
    <row r="3" spans="3:8" s="9" customFormat="1">
      <c r="C3" s="9" t="s">
        <v>110</v>
      </c>
      <c r="D3" s="9" t="s">
        <v>107</v>
      </c>
    </row>
    <row r="4" spans="3:8" s="9" customFormat="1">
      <c r="C4" s="9" t="s">
        <v>109</v>
      </c>
      <c r="D4" s="9" t="s">
        <v>107</v>
      </c>
      <c r="H4" s="2" t="s">
        <v>116</v>
      </c>
    </row>
    <row r="5" spans="3:8" s="9" customFormat="1">
      <c r="C5" s="9" t="s">
        <v>112</v>
      </c>
      <c r="D5" s="9" t="s">
        <v>107</v>
      </c>
      <c r="H5" t="s">
        <v>117</v>
      </c>
    </row>
    <row r="6" spans="3:8" s="9" customFormat="1">
      <c r="C6" s="9" t="s">
        <v>114</v>
      </c>
      <c r="D6" s="9" t="s">
        <v>107</v>
      </c>
      <c r="H6" t="s">
        <v>118</v>
      </c>
    </row>
    <row r="7" spans="3:8" s="9" customFormat="1">
      <c r="G7" s="9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9" t="s">
        <v>168</v>
      </c>
      <c r="H18" t="s">
        <v>128</v>
      </c>
    </row>
    <row r="19" spans="3:8">
      <c r="C19" t="s">
        <v>93</v>
      </c>
      <c r="G19" s="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7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9" customFormat="1">
      <c r="C32" s="9" t="s">
        <v>102</v>
      </c>
      <c r="D32" s="9" t="s">
        <v>107</v>
      </c>
      <c r="H32"/>
    </row>
    <row r="33" spans="3:8" s="9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9" t="s">
        <v>88</v>
      </c>
      <c r="H51" s="2" t="s">
        <v>150</v>
      </c>
    </row>
    <row r="52" spans="3:8">
      <c r="C52" s="9" t="s">
        <v>83</v>
      </c>
      <c r="D52" t="s">
        <v>107</v>
      </c>
      <c r="H52" t="s">
        <v>151</v>
      </c>
    </row>
    <row r="53" spans="3:8">
      <c r="C53" s="9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9" t="s">
        <v>89</v>
      </c>
      <c r="G57" t="s">
        <v>166</v>
      </c>
      <c r="H57" t="s">
        <v>154</v>
      </c>
    </row>
    <row r="58" spans="3:8">
      <c r="C58" s="9" t="s">
        <v>83</v>
      </c>
      <c r="D58" t="s">
        <v>107</v>
      </c>
    </row>
    <row r="59" spans="3:8">
      <c r="C59" s="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Sets</vt:lpstr>
      <vt:lpstr>Scenarios</vt:lpstr>
      <vt:lpstr>OtherSettings</vt:lpstr>
      <vt:lpstr>Todo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2020-08-20T19:01:04Z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