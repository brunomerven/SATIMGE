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BFBD8D98-23EE-44ED-BB97-F031448526F3}" xr6:coauthVersionLast="47" xr6:coauthVersionMax="47" xr10:uidLastSave="{00000000-0000-0000-0000-000000000000}"/>
  <bookViews>
    <workbookView xWindow="0" yWindow="390" windowWidth="28800" windowHeight="1474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Scenarios!$A$7:$BH$19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770" r:id="rId9"/>
    <pivotCache cacheId="77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7" i="33" l="1"/>
  <c r="Q17" i="33"/>
  <c r="N17" i="33"/>
  <c r="M17" i="33"/>
  <c r="L17" i="33"/>
  <c r="K17" i="33"/>
  <c r="AY9" i="33" l="1"/>
  <c r="Q9" i="33"/>
  <c r="L9" i="33"/>
  <c r="N9" i="33" l="1"/>
  <c r="O9" i="33"/>
  <c r="M9" i="33"/>
  <c r="K9" i="33"/>
  <c r="AY13" i="33" l="1"/>
  <c r="Q13" i="33"/>
  <c r="O13" i="33"/>
  <c r="N13" i="33"/>
  <c r="M13" i="33"/>
  <c r="L13" i="33"/>
  <c r="K13" i="33"/>
  <c r="AY12" i="33" l="1"/>
  <c r="Q12" i="33"/>
  <c r="O12" i="33"/>
  <c r="N12" i="33"/>
  <c r="M12" i="33"/>
  <c r="L12" i="33"/>
  <c r="K12" i="33"/>
  <c r="AY10" i="33" l="1"/>
  <c r="Q10" i="33"/>
  <c r="H10" i="33"/>
  <c r="L10" i="33" s="1"/>
  <c r="AY11" i="33"/>
  <c r="Q11" i="33"/>
  <c r="N11" i="33"/>
  <c r="O10" i="33" l="1"/>
  <c r="M10" i="33"/>
  <c r="N10" i="33"/>
  <c r="K10" i="33"/>
  <c r="K11" i="33"/>
  <c r="L11" i="33"/>
  <c r="M11" i="33"/>
  <c r="O11" i="33"/>
  <c r="AY14" i="33"/>
  <c r="AY15" i="33"/>
  <c r="AY16" i="33"/>
  <c r="AY18" i="33"/>
  <c r="AY19" i="33"/>
  <c r="AY8" i="33"/>
  <c r="A6" i="33" l="1"/>
  <c r="Q18" i="33" l="1"/>
  <c r="N18" i="33"/>
  <c r="M18" i="33"/>
  <c r="L18" i="33"/>
  <c r="K18" i="33"/>
  <c r="K16" i="33"/>
  <c r="L16" i="33"/>
  <c r="M16" i="33"/>
  <c r="N16" i="33"/>
  <c r="O16" i="33"/>
  <c r="Q16" i="33"/>
  <c r="C21" i="4"/>
  <c r="K15" i="33"/>
  <c r="L15" i="33"/>
  <c r="M15" i="33"/>
  <c r="N15" i="33"/>
  <c r="O15" i="33"/>
  <c r="Q15" i="33"/>
  <c r="C15" i="4"/>
  <c r="C14" i="4"/>
  <c r="B1" i="33" a="1"/>
  <c r="B1" i="33" s="1"/>
  <c r="K14" i="33"/>
  <c r="L14" i="33"/>
  <c r="M14" i="33"/>
  <c r="N14" i="33"/>
  <c r="O14" i="33"/>
  <c r="Q14" i="33"/>
  <c r="H8" i="33"/>
  <c r="M8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6" i="33" l="1"/>
  <c r="B6" i="33" s="1"/>
  <c r="K8" i="33"/>
  <c r="N8" i="33"/>
  <c r="O8" i="33"/>
  <c r="L8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tc={B0B4E6CE-63BB-47DC-A15C-D7359C6FCD5C}</author>
    <author>tc={3A629425-736C-49FF-8B83-3FBBBC12C4CE}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4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5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<sst xmlns="http://schemas.openxmlformats.org/spreadsheetml/2006/main" count="495" uniqueCount="239">
  <si>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</si>
  <si>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</si>
  <si>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</si>
  <si>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</si>
  <si>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</si>
  <si>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</si>
  <si>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</si>
  <si>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</si>
  <si>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</si>
  <si>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</si>
  <si>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</si>
  <si>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</si>
  <si>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</si>
  <si>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</si>
  <si>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</si>
  <si>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</si>
  <si>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</si>
  <si>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</si>
  <si>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</si>
  <si>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</si>
  <si>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</si>
  <si>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</si>
  <si>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</si>
  <si>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</si>
  <si>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</si>
  <si>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</si>
  <si>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</si>
  <si>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</si>
  <si>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</si>
  <si>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</si>
  <si>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</si>
  <si>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</si>
  <si>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</si>
  <si>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</si>
  <si>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</si>
  <si>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</si>
  <si>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</si>
  <si>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</si>
  <si>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</si>
  <si>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</si>
  <si>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</si>
  <si>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</si>
  <si>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</si>
  <si>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</si>
  <si>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</si>
  <si>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</si>
  <si>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</si>
  <si>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</si>
  <si>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</si>
  <si>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</si>
  <si>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</si>
  <si>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</si>
  <si>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</si>
  <si>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</si>
  <si>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</si>
  <si>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</si>
  <si>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</si>
  <si>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</si>
  <si>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</si>
  <si>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</si>
  <si>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</si>
  <si>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</si>
  <si>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</si>
  <si>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</si>
  <si>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</si>
  <si>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</si>
  <si>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</si>
  <si>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</si>
  <si>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</si>
  <si>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</si>
  <si>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</si>
  <si>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</si>
  <si>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</si>
  <si>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</si>
  <si>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</si>
  <si>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</si>
  <si>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</si>
  <si>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</si>
  <si>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</si>
  <si>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</si>
  <si>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</si>
  <si>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</si>
  <si>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</si>
  <si>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</si>
  <si>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</si>
  <si>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</si>
  <si>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</si>
  <si>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</si>
  <si>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</si>
  <si>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</si>
  <si>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</si>
  <si>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</si>
  <si>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</si>
  <si>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</si>
  <si>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</si>
  <si>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</si>
  <si>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</si>
  <si>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</si>
  <si>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</si>
  <si>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</si>
  <si>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</si>
  <si>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</si>
  <si>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</si>
  <si>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</si>
  <si>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</si>
  <si>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</si>
  <si>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</si>
  <si>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</si>
  <si>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</si>
  <si>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</si>
  <si>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</si>
  <si>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</si>
  <si>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</si>
  <si>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</si>
  <si>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</si>
  <si>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</si>
  <si>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</si>
  <si>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</si>
  <si>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</si>
  <si>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</si>
  <si>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</si>
  <si>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</si>
  <si>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</si>
  <si>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</si>
  <si>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</si>
  <si>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</si>
  <si>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</si>
  <si>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</si>
  <si>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</si>
  <si>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</si>
  <si>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</si>
  <si>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</si>
  <si>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</si>
  <si>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</si>
  <si>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</si>
  <si>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</si>
  <si>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</si>
  <si>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</si>
  <si>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</si>
  <si>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</si>
  <si>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</si>
  <si>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</si>
  <si>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</si>
  <si>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</si>
  <si>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</si>
  <si>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</si>
  <si>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</si>
  <si>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</si>
  <si>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</si>
  <si>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</si>
  <si>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</si>
  <si>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</si>
  <si>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</si>
  <si>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</si>
  <si>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</si>
  <si>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</si>
  <si>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</si>
  <si>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</si>
  <si>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</si>
  <si>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</si>
  <si>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</si>
  <si>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</si>
  <si>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</si>
  <si>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</si>
  <si>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</si>
  <si>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</si>
  <si>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</si>
  <si>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</si>
  <si>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</si>
  <si>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</si>
  <si>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</si>
  <si>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</si>
  <si>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</si>
  <si>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</si>
  <si>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</si>
  <si>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</si>
  <si>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</si>
  <si>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</si>
  <si>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</si>
  <si>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</si>
  <si>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</si>
  <si>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</si>
  <si>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</si>
  <si>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</si>
  <si>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</si>
  <si>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</si>
  <si>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</si>
  <si>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</si>
  <si>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</si>
  <si>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</si>
  <si>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</si>
  <si>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</si>
  <si>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</si>
  <si>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</si>
  <si>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HiPam</t>
  </si>
  <si>
    <t>HPAMSIRP</t>
  </si>
  <si>
    <t>Configured in SATIM?</t>
  </si>
  <si>
    <t>yes tested</t>
  </si>
  <si>
    <t>Link to CGE? (SIM_esage)</t>
  </si>
  <si>
    <t>Path</t>
  </si>
  <si>
    <t>CPAMS-NoIRP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</si>
  <si>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</si>
  <si>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</si>
  <si>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</si>
  <si>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</si>
  <si>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</si>
  <si>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</si>
  <si>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NOPAMSCAP</t>
  </si>
  <si>
    <t>CO2 Cumulative Cap (SIM_CO2CUMUL)</t>
  </si>
  <si>
    <t>Sum of CO2 CumCap</t>
  </si>
  <si>
    <t>SIM_CO2CUMUL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</si>
  <si>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</si>
  <si>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</si>
  <si>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</si>
  <si>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</si>
  <si>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</si>
  <si>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</si>
  <si>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</si>
  <si>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</si>
  <si>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</si>
  <si>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NZ-CO2S2050</t>
  </si>
  <si>
    <t>P4C</t>
  </si>
  <si>
    <t>SAREM</t>
  </si>
  <si>
    <t>NoPAMS-HiGr</t>
  </si>
  <si>
    <t>included runs</t>
  </si>
  <si>
    <t>CPAMSCAPIRP</t>
  </si>
  <si>
    <t>CPAMSCAPIRPL</t>
  </si>
  <si>
    <t>Name Check</t>
  </si>
  <si>
    <t>CPAMS-HiGr-IRP</t>
  </si>
  <si>
    <t>CPAMSCAPIRPN</t>
  </si>
  <si>
    <t>CPAMS-HiGr-IRPN</t>
  </si>
  <si>
    <t>CPAMS-HiGr-IRPL</t>
  </si>
  <si>
    <t>NoPams</t>
  </si>
  <si>
    <t>Eskom</t>
  </si>
  <si>
    <t>NZ-CO2S2050B</t>
  </si>
  <si>
    <t>NZ-CO2S2050-June</t>
  </si>
  <si>
    <t>NoPamsJuly</t>
  </si>
  <si>
    <t>CCG paper</t>
  </si>
  <si>
    <t>NOPAMSCAP2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</si>
</sst>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13.025849768521" createdVersion="6" refreshedVersion="7" minRefreshableVersion="3" recordCount="27" xr:uid="{D229C3DF-142A-4D15-BB2C-2EA205AB0203}">
  <cacheSource type="worksheet">
    <worksheetSource ref="A7:P6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3">
        <s v="NoPams"/>
        <s v="NoPamsJuly"/>
        <s v="CPAMS-NoIRP"/>
        <s v="CPAMS-HiGr-IRP"/>
        <s v="CPAMS-HiGr-IRPN"/>
        <s v="CPAMS-HiGr-IRPL"/>
        <s v="HiPam"/>
        <s v="NoPAMS-HiGr"/>
        <s v="NoPAMS-RR"/>
        <s v="NZ-CO2S2050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13.025849999998" createdVersion="6" refreshedVersion="7" minRefreshableVersion="3" recordCount="27" xr:uid="{C0EB43E8-6CC6-4DE4-B7F1-02B09F7BA69A}">
  <cacheSource type="worksheet">
    <worksheetSource ref="A7:P6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3">
        <s v="NoPams"/>
        <s v="NoPamsJuly"/>
        <s v="CPAMS-NoIRP"/>
        <s v="CPAMS-HiGr-IRP"/>
        <s v="CPAMS-HiGr-IRPN"/>
        <s v="CPAMS-HiGr-IRPL"/>
        <s v="HiPam"/>
        <s v="NoPAMS-HiGr"/>
        <s v="NoPAMS-RR"/>
        <s v="NZ-CO2S2050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93">
        <s v="NOPAMSCAP"/>
        <s v="NOPAMSCAP2"/>
        <s v="CPAMSCAP"/>
        <s v="CPAMSCAPIRP"/>
        <s v="CPAMSCAPIRPN"/>
        <s v="CPAMSCAPIRPL"/>
        <s v="HPAMSIRP"/>
        <s v="NOPAMS_EXP"/>
        <s v="NZ-CO2S2050"/>
        <s v="NZ-CO2S2050B"/>
        <m/>
        <s v="LPAMSFC" u="1"/>
        <s v="CPAMSREPROGHG" u="1"/>
        <s v="NOPAMSFGDA" u="1"/>
        <s v="CO2ACAP350" u="1"/>
        <s v="NOPAMS_LEAF" u="1"/>
        <s v="NOPAMSCAPCR2" u="1"/>
        <s v="NZ-REF-01P" u="1"/>
        <s v="NOPAMSCAPOC" u="1"/>
        <s v="NOPAMSFCHG" u="1"/>
        <s v="IRPRE" u="1"/>
        <s v="CPAMSRE_LEAF" u="1"/>
        <s v="NOPAMSCAPFCO" u="1"/>
        <s v="CPAMSCAPFC" u="1"/>
        <s v="NZ-REF-10P" u="1"/>
        <s v="CPAMSNOIRP" u="1"/>
        <s v="LPAMS" u="1"/>
        <s v="EECAP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CPAMSREPROG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IRPRE-05P" u="1"/>
        <s v="LPAMSMRE" u="1"/>
        <s v="LPAMSMRETG" u="1"/>
        <s v="NOPAMS_EXP2" u="1"/>
        <s v="NOPAMSCAPCRE" u="1"/>
        <s v="CPAMSMRE_LEAF" u="1"/>
        <s v="RUNZERO" u="1"/>
        <s v="IRPRE-10P" u="1"/>
        <s v="NOPAMSLOP" u="1"/>
        <s v="CPAMSNOIRPLE" u="1"/>
        <s v="NOPAMS" u="1"/>
        <s v="NZ-REF-OC" u="1"/>
        <s v="NOPAMCAPIRPF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NZ-REF-05P" u="1"/>
        <s v="CPAMSREPROTG" u="1"/>
        <s v="NOPAMSFGDC2" u="1"/>
        <s v="NOPAMSMRE_LE" u="1"/>
        <s v="NOPAMSFGDB3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1"/>
    <x v="0"/>
    <s v="yes tested"/>
    <s v="base"/>
    <s v="NOPAMSCAP"/>
    <n v="0"/>
    <n v="0"/>
    <s v="No Pams"/>
    <n v="1"/>
    <n v="1"/>
    <n v="-1"/>
    <n v="-1"/>
    <n v="-1"/>
    <n v="1"/>
    <n v="-1"/>
    <n v="100"/>
  </r>
  <r>
    <n v="1"/>
    <x v="1"/>
    <s v="yes tested"/>
    <s v="base"/>
    <s v="NOPAMSCAP2"/>
    <n v="0"/>
    <n v="0"/>
    <s v="No Pams"/>
    <n v="1"/>
    <n v="1"/>
    <n v="-1"/>
    <n v="-1"/>
    <n v="-1"/>
    <n v="1"/>
    <n v="-1"/>
    <n v="100"/>
  </r>
  <r>
    <n v="0"/>
    <x v="2"/>
    <s v="yes tested"/>
    <s v="base"/>
    <s v="CPAMSCAP"/>
    <n v="1"/>
    <n v="1"/>
    <s v="Base Pams"/>
    <n v="1"/>
    <n v="1"/>
    <n v="2"/>
    <n v="2"/>
    <n v="1"/>
    <n v="2"/>
    <n v="1"/>
    <n v="100"/>
  </r>
  <r>
    <n v="0"/>
    <x v="3"/>
    <s v="yes tested"/>
    <s v="sim1"/>
    <s v="CPAMSCAPIRP"/>
    <n v="1"/>
    <n v="1"/>
    <s v="Base Pams"/>
    <n v="1"/>
    <n v="1"/>
    <n v="2"/>
    <n v="2"/>
    <n v="1"/>
    <n v="2"/>
    <n v="1"/>
    <n v="100"/>
  </r>
  <r>
    <n v="0"/>
    <x v="4"/>
    <s v="yes tested"/>
    <s v="sim1"/>
    <s v="CPAMSCAPIRPN"/>
    <n v="1"/>
    <n v="1"/>
    <s v="Base Pams"/>
    <n v="1"/>
    <n v="1"/>
    <n v="2"/>
    <n v="2"/>
    <n v="1"/>
    <n v="2"/>
    <n v="1"/>
    <n v="100"/>
  </r>
  <r>
    <n v="0"/>
    <x v="5"/>
    <s v="yes tested"/>
    <s v="sim1"/>
    <s v="CPAMSCAPIRPL"/>
    <n v="1"/>
    <n v="1"/>
    <s v="Base Pams"/>
    <n v="1"/>
    <n v="1"/>
    <n v="2"/>
    <n v="2"/>
    <n v="1"/>
    <n v="2"/>
    <n v="1"/>
    <n v="100"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sim1"/>
    <s v="NOPAMSCAP"/>
    <n v="1"/>
    <n v="1"/>
    <s v="No Pams"/>
    <n v="1"/>
    <n v="1"/>
    <n v="-1"/>
    <n v="-1"/>
    <n v="-1"/>
    <n v="1"/>
    <n v="-1"/>
    <n v="100"/>
  </r>
  <r>
    <n v="1"/>
    <x v="8"/>
    <s v="yes tested"/>
    <s v="base"/>
    <s v="NOPAMS_EXP"/>
    <n v="0"/>
    <n v="0"/>
    <s v="No Pams"/>
    <n v="1"/>
    <n v="1"/>
    <n v="-1"/>
    <n v="-1"/>
    <n v="-1"/>
    <n v="1"/>
    <n v="-1"/>
    <m/>
  </r>
  <r>
    <n v="1"/>
    <x v="9"/>
    <s v="yes tested"/>
    <s v="base"/>
    <s v="NZ-CO2S2050"/>
    <n v="0"/>
    <n v="0"/>
    <s v="No Pams"/>
    <n v="1"/>
    <n v="1"/>
    <n v="-1"/>
    <n v="-1"/>
    <n v="-1"/>
    <n v="1"/>
    <n v="1"/>
    <m/>
  </r>
  <r>
    <n v="1"/>
    <x v="10"/>
    <s v="yes tested"/>
    <s v="base"/>
    <s v="NZ-CO2S2050B"/>
    <n v="0"/>
    <n v="0"/>
    <s v="No Pams"/>
    <n v="1"/>
    <n v="1"/>
    <n v="-1"/>
    <n v="-1"/>
    <n v="-1"/>
    <n v="1"/>
    <n v="1"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  <r>
    <m/>
    <x v="1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1"/>
    <x v="0"/>
    <s v="yes tested"/>
    <x v="0"/>
    <x v="0"/>
    <n v="0"/>
    <n v="0"/>
    <s v="No Pams"/>
    <n v="1"/>
    <n v="1"/>
    <n v="-1"/>
    <n v="-1"/>
    <n v="-1"/>
    <n v="1"/>
    <n v="-1"/>
    <n v="100"/>
  </r>
  <r>
    <n v="1"/>
    <x v="1"/>
    <s v="yes tested"/>
    <x v="0"/>
    <x v="1"/>
    <n v="0"/>
    <n v="0"/>
    <s v="No Pams"/>
    <n v="1"/>
    <n v="1"/>
    <n v="-1"/>
    <n v="-1"/>
    <n v="-1"/>
    <n v="1"/>
    <n v="-1"/>
    <n v="100"/>
  </r>
  <r>
    <n v="0"/>
    <x v="2"/>
    <s v="yes tested"/>
    <x v="0"/>
    <x v="2"/>
    <n v="1"/>
    <n v="1"/>
    <s v="Base Pams"/>
    <n v="1"/>
    <n v="1"/>
    <n v="2"/>
    <n v="2"/>
    <n v="1"/>
    <n v="2"/>
    <n v="1"/>
    <n v="100"/>
  </r>
  <r>
    <n v="0"/>
    <x v="3"/>
    <s v="yes tested"/>
    <x v="1"/>
    <x v="3"/>
    <n v="1"/>
    <n v="1"/>
    <s v="Base Pams"/>
    <n v="1"/>
    <n v="1"/>
    <n v="2"/>
    <n v="2"/>
    <n v="1"/>
    <n v="2"/>
    <n v="1"/>
    <n v="100"/>
  </r>
  <r>
    <n v="0"/>
    <x v="4"/>
    <s v="yes tested"/>
    <x v="1"/>
    <x v="4"/>
    <n v="1"/>
    <n v="1"/>
    <s v="Base Pams"/>
    <n v="1"/>
    <n v="1"/>
    <n v="2"/>
    <n v="2"/>
    <n v="1"/>
    <n v="2"/>
    <n v="1"/>
    <n v="100"/>
  </r>
  <r>
    <n v="0"/>
    <x v="5"/>
    <s v="yes tested"/>
    <x v="1"/>
    <x v="5"/>
    <n v="1"/>
    <n v="1"/>
    <s v="Base Pams"/>
    <n v="1"/>
    <n v="1"/>
    <n v="2"/>
    <n v="2"/>
    <n v="1"/>
    <n v="2"/>
    <n v="1"/>
    <n v="100"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1"/>
    <x v="0"/>
    <n v="1"/>
    <n v="1"/>
    <s v="No Pams"/>
    <n v="1"/>
    <n v="1"/>
    <n v="-1"/>
    <n v="-1"/>
    <n v="-1"/>
    <n v="1"/>
    <n v="-1"/>
    <n v="100"/>
  </r>
  <r>
    <n v="1"/>
    <x v="8"/>
    <s v="yes tested"/>
    <x v="0"/>
    <x v="7"/>
    <n v="0"/>
    <n v="0"/>
    <s v="No Pams"/>
    <n v="1"/>
    <n v="1"/>
    <n v="-1"/>
    <n v="-1"/>
    <n v="-1"/>
    <n v="1"/>
    <n v="-1"/>
    <m/>
  </r>
  <r>
    <n v="1"/>
    <x v="9"/>
    <s v="yes tested"/>
    <x v="0"/>
    <x v="8"/>
    <n v="0"/>
    <n v="0"/>
    <s v="No Pams"/>
    <n v="1"/>
    <n v="1"/>
    <n v="-1"/>
    <n v="-1"/>
    <n v="-1"/>
    <n v="1"/>
    <n v="1"/>
    <m/>
  </r>
  <r>
    <n v="1"/>
    <x v="10"/>
    <s v="yes tested"/>
    <x v="0"/>
    <x v="9"/>
    <n v="0"/>
    <n v="0"/>
    <s v="No Pams"/>
    <n v="1"/>
    <n v="1"/>
    <n v="-1"/>
    <n v="-1"/>
    <n v="-1"/>
    <n v="1"/>
    <n v="1"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  <r>
    <m/>
    <x v="11"/>
    <m/>
    <x v="2"/>
    <x v="1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1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2">
    <i>
      <x/>
      <x v="2"/>
    </i>
    <i>
      <x v="1"/>
      <x/>
    </i>
    <i>
      <x v="2"/>
      <x v="3"/>
    </i>
    <i>
      <x v="3"/>
      <x/>
    </i>
    <i>
      <x v="4"/>
      <x/>
    </i>
    <i>
      <x v="5"/>
      <x v="3"/>
    </i>
    <i>
      <x v="6"/>
      <x v="3"/>
    </i>
    <i>
      <x v="7"/>
      <x v="3"/>
    </i>
    <i>
      <x v="9"/>
      <x/>
    </i>
    <i>
      <x v="10"/>
      <x/>
    </i>
    <i>
      <x v="11"/>
      <x/>
    </i>
    <i>
      <x v="1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18" firstHeaderRow="1" firstDataRow="1" firstDataCol="1"/>
  <pivotFields count="16">
    <pivotField showAll="0"/>
    <pivotField axis="axisRow" showAll="0">
      <items count="14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75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18" firstHeaderRow="1" firstDataRow="1" firstDataCol="1"/>
  <pivotFields count="16">
    <pivotField dataField="1" showAll="0"/>
    <pivotField axis="axisRow" showAll="0">
      <items count="14">
        <item x="6"/>
        <item x="0"/>
        <item x="8"/>
        <item x="11"/>
        <item x="7"/>
        <item x="3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70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18" firstHeaderRow="1" firstDataRow="1" firstDataCol="1"/>
  <pivotFields count="16">
    <pivotField showAll="0"/>
    <pivotField axis="axisRow" showAll="0">
      <items count="14">
        <item x="0"/>
        <item x="6"/>
        <item x="11"/>
        <item x="8"/>
        <item x="3"/>
        <item x="7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94">
        <item m="1" x="58"/>
        <item m="1" x="42"/>
        <item m="1" x="36"/>
        <item x="10"/>
        <item m="1" x="41"/>
        <item m="1" x="19"/>
        <item x="6"/>
        <item m="1" x="62"/>
        <item m="1" x="38"/>
        <item m="1" x="43"/>
        <item m="1" x="39"/>
        <item m="1" x="29"/>
        <item m="1" x="12"/>
        <item m="1" x="50"/>
        <item m="1" x="11"/>
        <item m="1" x="84"/>
        <item m="1" x="25"/>
        <item m="1" x="72"/>
        <item m="1" x="81"/>
        <item m="1" x="30"/>
        <item m="1" x="26"/>
        <item m="1" x="75"/>
        <item m="1" x="53"/>
        <item m="1" x="54"/>
        <item m="1" x="73"/>
        <item m="1" x="35"/>
        <item m="1" x="69"/>
        <item m="1" x="15"/>
        <item m="1" x="21"/>
        <item m="1" x="90"/>
        <item m="1" x="60"/>
        <item m="1" x="82"/>
        <item m="1" x="45"/>
        <item x="0"/>
        <item m="1" x="86"/>
        <item m="1" x="48"/>
        <item m="1" x="61"/>
        <item m="1" x="57"/>
        <item m="1" x="80"/>
        <item m="1" x="78"/>
        <item x="2"/>
        <item x="7"/>
        <item m="1" x="55"/>
        <item m="1" x="68"/>
        <item m="1" x="77"/>
        <item m="1" x="88"/>
        <item m="1" x="92"/>
        <item m="1" x="46"/>
        <item m="1" x="37"/>
        <item x="8"/>
        <item m="1" x="63"/>
        <item m="1" x="40"/>
        <item m="1" x="66"/>
        <item m="1" x="20"/>
        <item m="1" x="49"/>
        <item m="1" x="65"/>
        <item m="1" x="79"/>
        <item m="1" x="47"/>
        <item m="1" x="44"/>
        <item m="1" x="17"/>
        <item m="1" x="83"/>
        <item m="1" x="24"/>
        <item m="1" x="31"/>
        <item m="1" x="52"/>
        <item m="1" x="59"/>
        <item m="1" x="32"/>
        <item m="1" x="14"/>
        <item x="3"/>
        <item x="5"/>
        <item m="1" x="27"/>
        <item m="1" x="71"/>
        <item x="4"/>
        <item m="1" x="51"/>
        <item m="1" x="28"/>
        <item m="1" x="33"/>
        <item m="1" x="23"/>
        <item m="1" x="64"/>
        <item m="1" x="13"/>
        <item m="1" x="67"/>
        <item m="1" x="76"/>
        <item m="1" x="87"/>
        <item m="1" x="74"/>
        <item m="1" x="85"/>
        <item m="1" x="91"/>
        <item m="1" x="34"/>
        <item m="1" x="70"/>
        <item m="1" x="89"/>
        <item m="1" x="18"/>
        <item m="1" x="22"/>
        <item x="9"/>
        <item m="1" x="56"/>
        <item m="1" x="1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6"/>
    </i>
    <i>
      <x v="33"/>
    </i>
    <i>
      <x v="40"/>
    </i>
    <i>
      <x v="41"/>
    </i>
    <i>
      <x v="49"/>
    </i>
    <i>
      <x v="67"/>
    </i>
    <i>
      <x v="68"/>
    </i>
    <i>
      <x v="71"/>
    </i>
    <i>
      <x v="89"/>
    </i>
    <i>
      <x v="9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18" firstHeaderRow="1" firstDataRow="1" firstDataCol="1"/>
  <pivotFields count="16">
    <pivotField showAll="0"/>
    <pivotField axis="axisRow" showAll="0">
      <items count="14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18" firstHeaderRow="1" firstDataRow="1" firstDataCol="1"/>
  <pivotFields count="16">
    <pivotField showAll="0"/>
    <pivotField axis="axisRow" showAll="0">
      <items count="14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18" firstHeaderRow="0" firstDataRow="1" firstDataCol="1"/>
  <pivotFields count="16">
    <pivotField showAll="0"/>
    <pivotField axis="axisRow" showAll="0">
      <items count="14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1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3">
        <item m="1" x="58"/>
        <item m="1" x="42"/>
        <item m="1" x="36"/>
        <item x="10"/>
        <item m="1" x="41"/>
        <item m="1" x="19"/>
        <item x="6"/>
        <item m="1" x="62"/>
        <item m="1" x="38"/>
        <item m="1" x="43"/>
        <item m="1" x="39"/>
        <item m="1" x="29"/>
        <item m="1" x="12"/>
        <item m="1" x="50"/>
        <item m="1" x="11"/>
        <item m="1" x="84"/>
        <item m="1" x="25"/>
        <item m="1" x="72"/>
        <item m="1" x="81"/>
        <item m="1" x="30"/>
        <item m="1" x="26"/>
        <item m="1" x="75"/>
        <item m="1" x="53"/>
        <item m="1" x="54"/>
        <item m="1" x="73"/>
        <item m="1" x="35"/>
        <item m="1" x="69"/>
        <item m="1" x="15"/>
        <item m="1" x="21"/>
        <item m="1" x="90"/>
        <item m="1" x="60"/>
        <item m="1" x="82"/>
        <item m="1" x="45"/>
        <item x="0"/>
        <item m="1" x="86"/>
        <item m="1" x="48"/>
        <item m="1" x="61"/>
        <item m="1" x="57"/>
        <item m="1" x="80"/>
        <item m="1" x="78"/>
        <item x="2"/>
        <item x="7"/>
        <item m="1" x="55"/>
        <item m="1" x="68"/>
        <item m="1" x="77"/>
        <item m="1" x="88"/>
        <item m="1" x="92"/>
        <item m="1" x="46"/>
        <item m="1" x="37"/>
        <item x="8"/>
        <item m="1" x="63"/>
        <item m="1" x="40"/>
        <item m="1" x="66"/>
        <item m="1" x="20"/>
        <item m="1" x="49"/>
        <item m="1" x="65"/>
        <item m="1" x="79"/>
        <item m="1" x="47"/>
        <item m="1" x="44"/>
        <item m="1" x="17"/>
        <item m="1" x="83"/>
        <item m="1" x="24"/>
        <item m="1" x="31"/>
        <item m="1" x="52"/>
        <item m="1" x="59"/>
        <item m="1" x="32"/>
        <item m="1" x="14"/>
        <item x="3"/>
        <item x="5"/>
        <item m="1" x="27"/>
        <item m="1" x="71"/>
        <item x="4"/>
        <item m="1" x="51"/>
        <item m="1" x="28"/>
        <item m="1" x="33"/>
        <item m="1" x="23"/>
        <item m="1" x="64"/>
        <item m="1" x="13"/>
        <item m="1" x="67"/>
        <item m="1" x="76"/>
        <item m="1" x="87"/>
        <item m="1" x="74"/>
        <item m="1" x="85"/>
        <item m="1" x="91"/>
        <item m="1" x="34"/>
        <item m="1" x="70"/>
        <item m="1" x="89"/>
        <item m="1" x="18"/>
        <item m="1" x="22"/>
        <item x="9"/>
        <item m="1" x="56"/>
        <item m="1" x="1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2">
    <i>
      <x/>
      <x v="3"/>
    </i>
    <i>
      <x v="1"/>
      <x v="33"/>
    </i>
    <i>
      <x v="2"/>
      <x v="33"/>
    </i>
    <i>
      <x v="3"/>
      <x v="6"/>
    </i>
    <i>
      <x v="4"/>
      <x v="41"/>
    </i>
    <i>
      <x v="5"/>
      <x v="67"/>
    </i>
    <i>
      <x v="6"/>
      <x v="71"/>
    </i>
    <i>
      <x v="7"/>
      <x v="68"/>
    </i>
    <i>
      <x v="9"/>
      <x v="92"/>
    </i>
    <i>
      <x v="10"/>
      <x v="40"/>
    </i>
    <i>
      <x v="11"/>
      <x v="49"/>
    </i>
    <i>
      <x v="12"/>
      <x v="8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18" firstHeaderRow="1" firstDataRow="1" firstDataCol="1"/>
  <pivotFields count="16">
    <pivotField showAll="0"/>
    <pivotField axis="axisRow" showAll="0">
      <items count="14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7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18" firstHeaderRow="1" firstDataRow="1" firstDataCol="1"/>
  <pivotFields count="16">
    <pivotField showAll="0"/>
    <pivotField axis="axisRow" showAll="0">
      <items count="14">
        <item x="11"/>
        <item x="0"/>
        <item x="7"/>
        <item x="6"/>
        <item x="8"/>
        <item x="3"/>
        <item x="4"/>
        <item x="5"/>
        <item m="1" x="12"/>
        <item x="1"/>
        <item x="2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B0B4E6CE-63BB-47DC-A15C-D7359C6FCD5C}">
    <text>Note that there is still a problem running with other cases here - still looking into it.</text>
  </threadedComment>
  <threadedComment ref="D16" dT="2020-08-07T12:32:29.60" personId="{8A307EF1-062C-4DD1-801F-D45833AE4B68}" id="{3A629425-736C-49FF-8B83-3FBBBC12C4CE}">
    <text>Note that there is still a problem running with other cases here - still looking into it.</text>
  </threadedComment>
  <threadedComment ref="D17" dT="2020-08-07T12:32:29.60" personId="{8A307EF1-062C-4DD1-801F-D45833AE4B68}" id="{E7CD9760-36B6-4582-99F8-DB90F7945B53}">
    <text>Note that there is still a problem running with other cases here - still looking into it.</text>
  </threadedComment>
  <threadedComment ref="D18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205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206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210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111" workbookViewId="0">
      <selection activeCell="A133" sqref="A133"/>
    </sheetView>
  </sheetViews>
  <sheetFormatPr defaultRowHeight="15"/>
  <cols>
    <col min="1" max="1" width="17.85546875" bestFit="1" customWidth="1"/>
    <col min="2" max="2" width="15.28515625" style="7" bestFit="1" customWidth="1"/>
    <col min="3" max="4" width="13.140625" style="7" customWidth="1"/>
    <col min="5" max="5" width="17.85546875" style="7" bestFit="1" customWidth="1"/>
    <col min="6" max="6" width="23" style="7" bestFit="1" customWidth="1"/>
    <col min="7" max="7" width="17.85546875" style="7" bestFit="1" customWidth="1"/>
    <col min="8" max="8" width="19.85546875" style="7" bestFit="1" customWidth="1"/>
    <col min="9" max="9" width="17.85546875" style="7" bestFit="1" customWidth="1"/>
    <col min="10" max="10" width="18.5703125" style="7" bestFit="1" customWidth="1"/>
    <col min="11" max="11" width="17.85546875" style="7" bestFit="1" customWidth="1"/>
    <col min="12" max="12" width="20.7109375" style="7" bestFit="1" customWidth="1"/>
    <col min="13" max="13" width="17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7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7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198</v>
      </c>
      <c r="K5" s="1" t="s">
        <v>201</v>
      </c>
      <c r="M5" s="1" t="s">
        <v>202</v>
      </c>
      <c r="O5" s="1" t="s">
        <v>66</v>
      </c>
      <c r="Q5" s="1" t="s">
        <v>67</v>
      </c>
      <c r="S5" s="1" t="s">
        <v>163</v>
      </c>
      <c r="AA5" s="1" t="s">
        <v>208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203</v>
      </c>
      <c r="M6" s="12" t="s">
        <v>33</v>
      </c>
      <c r="N6" t="s">
        <v>204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209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232</v>
      </c>
      <c r="B7" s="13" t="s">
        <v>193</v>
      </c>
      <c r="C7" s="12" t="s">
        <v>30</v>
      </c>
      <c r="D7" s="13" t="s">
        <v>30</v>
      </c>
      <c r="E7" s="13" t="s">
        <v>194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194</v>
      </c>
      <c r="B8" s="13" t="s">
        <v>195</v>
      </c>
      <c r="C8" s="13" t="s">
        <v>31</v>
      </c>
      <c r="D8" s="13" t="s">
        <v>193</v>
      </c>
      <c r="E8" s="13" t="s">
        <v>232</v>
      </c>
      <c r="F8" s="3">
        <v>1</v>
      </c>
      <c r="G8" s="13" t="s">
        <v>232</v>
      </c>
      <c r="H8" s="3">
        <v>0</v>
      </c>
      <c r="I8" s="13" t="s">
        <v>232</v>
      </c>
      <c r="J8" s="3">
        <v>0</v>
      </c>
      <c r="K8" s="13" t="s">
        <v>232</v>
      </c>
      <c r="L8" s="3">
        <v>1</v>
      </c>
      <c r="M8" s="13" t="s">
        <v>232</v>
      </c>
      <c r="N8" s="3">
        <v>1</v>
      </c>
      <c r="O8" s="7" t="s">
        <v>232</v>
      </c>
      <c r="P8" s="7" t="s">
        <v>207</v>
      </c>
      <c r="Q8" s="7" t="s">
        <v>232</v>
      </c>
      <c r="R8" s="7" t="s">
        <v>30</v>
      </c>
      <c r="S8" s="13" t="s">
        <v>232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232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193</v>
      </c>
      <c r="B9" s="13" t="s">
        <v>207</v>
      </c>
      <c r="C9" s="13" t="s">
        <v>32</v>
      </c>
      <c r="D9" s="13" t="s">
        <v>31</v>
      </c>
      <c r="E9" s="13" t="s">
        <v>213</v>
      </c>
      <c r="F9" s="3">
        <v>1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207</v>
      </c>
      <c r="Q9" s="7" t="s">
        <v>223</v>
      </c>
      <c r="R9" s="7" t="s">
        <v>31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213</v>
      </c>
      <c r="B10" s="13" t="s">
        <v>211</v>
      </c>
      <c r="C10" s="13" t="s">
        <v>46</v>
      </c>
      <c r="D10"/>
      <c r="E10" s="13" t="s">
        <v>193</v>
      </c>
      <c r="F10" s="3">
        <v>0</v>
      </c>
      <c r="G10" s="13" t="s">
        <v>194</v>
      </c>
      <c r="H10" s="3">
        <v>1</v>
      </c>
      <c r="I10" s="13" t="s">
        <v>194</v>
      </c>
      <c r="J10" s="3">
        <v>1</v>
      </c>
      <c r="K10" s="13" t="s">
        <v>194</v>
      </c>
      <c r="L10" s="3">
        <v>1</v>
      </c>
      <c r="M10" s="13" t="s">
        <v>194</v>
      </c>
      <c r="N10" s="3">
        <v>1</v>
      </c>
      <c r="O10" s="7" t="s">
        <v>194</v>
      </c>
      <c r="P10" s="7" t="s">
        <v>195</v>
      </c>
      <c r="Q10" s="7" t="s">
        <v>194</v>
      </c>
      <c r="R10" s="7" t="s">
        <v>30</v>
      </c>
      <c r="S10" s="13" t="s">
        <v>194</v>
      </c>
      <c r="T10" s="3">
        <v>1</v>
      </c>
      <c r="U10" s="3">
        <v>1</v>
      </c>
      <c r="V10" s="3">
        <v>3</v>
      </c>
      <c r="W10" s="3">
        <v>3</v>
      </c>
      <c r="X10" s="3">
        <v>3</v>
      </c>
      <c r="Y10" s="3"/>
      <c r="Z10" s="3"/>
      <c r="AA10" s="13" t="s">
        <v>194</v>
      </c>
      <c r="AB10" s="3"/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228</v>
      </c>
      <c r="B11" s="13" t="s">
        <v>212</v>
      </c>
      <c r="C11" s="13" t="s">
        <v>47</v>
      </c>
      <c r="D11"/>
      <c r="E11" s="13" t="s">
        <v>223</v>
      </c>
      <c r="F11" s="3">
        <v>0</v>
      </c>
      <c r="G11" s="13" t="s">
        <v>213</v>
      </c>
      <c r="H11" s="3">
        <v>0</v>
      </c>
      <c r="I11" s="13" t="s">
        <v>213</v>
      </c>
      <c r="J11" s="3">
        <v>0</v>
      </c>
      <c r="K11" s="13" t="s">
        <v>213</v>
      </c>
      <c r="L11" s="3">
        <v>1</v>
      </c>
      <c r="M11" s="13" t="s">
        <v>213</v>
      </c>
      <c r="N11" s="3">
        <v>1</v>
      </c>
      <c r="O11" s="7" t="s">
        <v>213</v>
      </c>
      <c r="P11" s="7" t="s">
        <v>212</v>
      </c>
      <c r="Q11" s="7" t="s">
        <v>213</v>
      </c>
      <c r="R11" s="7" t="s">
        <v>30</v>
      </c>
      <c r="S11" s="13" t="s">
        <v>213</v>
      </c>
      <c r="T11" s="3">
        <v>-1</v>
      </c>
      <c r="U11" s="3">
        <v>-1</v>
      </c>
      <c r="V11" s="3">
        <v>-1</v>
      </c>
      <c r="W11" s="3">
        <v>1</v>
      </c>
      <c r="X11" s="3">
        <v>-1</v>
      </c>
      <c r="Y11" s="3"/>
      <c r="Z11" s="3"/>
      <c r="AA11" s="13" t="s">
        <v>213</v>
      </c>
      <c r="AB11" s="3"/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223</v>
      </c>
      <c r="B12" s="13" t="s">
        <v>220</v>
      </c>
      <c r="C12" s="13" t="s">
        <v>48</v>
      </c>
      <c r="D12" s="13"/>
      <c r="E12" s="13" t="s">
        <v>228</v>
      </c>
      <c r="F12" s="3">
        <v>0</v>
      </c>
      <c r="G12" s="13" t="s">
        <v>228</v>
      </c>
      <c r="H12" s="3">
        <v>1</v>
      </c>
      <c r="I12" s="13" t="s">
        <v>228</v>
      </c>
      <c r="J12" s="3">
        <v>1</v>
      </c>
      <c r="K12" s="13" t="s">
        <v>228</v>
      </c>
      <c r="L12" s="3">
        <v>1</v>
      </c>
      <c r="M12" s="13" t="s">
        <v>228</v>
      </c>
      <c r="N12" s="3">
        <v>1</v>
      </c>
      <c r="O12" s="7" t="s">
        <v>228</v>
      </c>
      <c r="P12" s="7" t="s">
        <v>225</v>
      </c>
      <c r="Q12" s="7" t="s">
        <v>228</v>
      </c>
      <c r="R12" s="7" t="s">
        <v>31</v>
      </c>
      <c r="S12" s="13" t="s">
        <v>228</v>
      </c>
      <c r="T12" s="3">
        <v>2</v>
      </c>
      <c r="U12" s="3">
        <v>2</v>
      </c>
      <c r="V12" s="3">
        <v>1</v>
      </c>
      <c r="W12" s="3">
        <v>2</v>
      </c>
      <c r="X12" s="3">
        <v>1</v>
      </c>
      <c r="Y12" s="3"/>
      <c r="Z12" s="3"/>
      <c r="AA12" s="13" t="s">
        <v>228</v>
      </c>
      <c r="AB12" s="3">
        <v>100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230</v>
      </c>
      <c r="B13" s="13" t="s">
        <v>225</v>
      </c>
      <c r="C13" s="13" t="s">
        <v>49</v>
      </c>
      <c r="D13" s="13"/>
      <c r="E13" s="13" t="s">
        <v>230</v>
      </c>
      <c r="F13" s="3">
        <v>0</v>
      </c>
      <c r="G13" s="13" t="s">
        <v>230</v>
      </c>
      <c r="H13" s="3">
        <v>1</v>
      </c>
      <c r="I13" s="13" t="s">
        <v>230</v>
      </c>
      <c r="J13" s="3">
        <v>1</v>
      </c>
      <c r="K13" s="13" t="s">
        <v>230</v>
      </c>
      <c r="L13" s="3">
        <v>1</v>
      </c>
      <c r="M13" s="13" t="s">
        <v>230</v>
      </c>
      <c r="N13" s="3">
        <v>1</v>
      </c>
      <c r="O13" s="7" t="s">
        <v>230</v>
      </c>
      <c r="P13" s="7" t="s">
        <v>229</v>
      </c>
      <c r="Q13" s="7" t="s">
        <v>230</v>
      </c>
      <c r="R13" s="7" t="s">
        <v>31</v>
      </c>
      <c r="S13" s="13" t="s">
        <v>230</v>
      </c>
      <c r="T13" s="3">
        <v>2</v>
      </c>
      <c r="U13" s="3">
        <v>2</v>
      </c>
      <c r="V13" s="3">
        <v>1</v>
      </c>
      <c r="W13" s="3">
        <v>2</v>
      </c>
      <c r="X13" s="3">
        <v>1</v>
      </c>
      <c r="Y13" s="3"/>
      <c r="Z13" s="3"/>
      <c r="AA13" s="13" t="s">
        <v>230</v>
      </c>
      <c r="AB13" s="3">
        <v>100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231</v>
      </c>
      <c r="B14" s="13" t="s">
        <v>226</v>
      </c>
      <c r="C14" s="13" t="s">
        <v>50</v>
      </c>
      <c r="D14" s="13"/>
      <c r="E14" s="13" t="s">
        <v>231</v>
      </c>
      <c r="F14" s="3">
        <v>0</v>
      </c>
      <c r="G14" s="13" t="s">
        <v>231</v>
      </c>
      <c r="H14" s="3">
        <v>1</v>
      </c>
      <c r="I14" s="13" t="s">
        <v>231</v>
      </c>
      <c r="J14" s="3">
        <v>1</v>
      </c>
      <c r="K14" s="13" t="s">
        <v>231</v>
      </c>
      <c r="L14" s="3">
        <v>1</v>
      </c>
      <c r="M14" s="13" t="s">
        <v>231</v>
      </c>
      <c r="N14" s="3">
        <v>1</v>
      </c>
      <c r="O14" s="7" t="s">
        <v>231</v>
      </c>
      <c r="P14" s="7" t="s">
        <v>226</v>
      </c>
      <c r="Q14" s="7" t="s">
        <v>231</v>
      </c>
      <c r="R14" s="7" t="s">
        <v>31</v>
      </c>
      <c r="S14" s="13" t="s">
        <v>231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3" t="s">
        <v>231</v>
      </c>
      <c r="AB14" s="3">
        <v>100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236</v>
      </c>
      <c r="B15" s="13" t="s">
        <v>229</v>
      </c>
      <c r="C15" s="13" t="s">
        <v>51</v>
      </c>
      <c r="D15" s="13"/>
      <c r="E15" s="13" t="s">
        <v>236</v>
      </c>
      <c r="F15" s="3">
        <v>1</v>
      </c>
      <c r="G15" s="13" t="s">
        <v>236</v>
      </c>
      <c r="H15" s="3">
        <v>0</v>
      </c>
      <c r="I15" s="13" t="s">
        <v>236</v>
      </c>
      <c r="J15" s="3">
        <v>0</v>
      </c>
      <c r="K15" s="13" t="s">
        <v>236</v>
      </c>
      <c r="L15" s="3">
        <v>1</v>
      </c>
      <c r="M15" s="13" t="s">
        <v>236</v>
      </c>
      <c r="N15" s="3">
        <v>1</v>
      </c>
      <c r="O15" s="7" t="s">
        <v>236</v>
      </c>
      <c r="P15" s="7" t="s">
        <v>238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-1</v>
      </c>
      <c r="Y15" s="3"/>
      <c r="Z15" s="3"/>
      <c r="AA15" s="13" t="s">
        <v>236</v>
      </c>
      <c r="AB15" s="3">
        <v>100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200</v>
      </c>
      <c r="B16" s="13" t="s">
        <v>234</v>
      </c>
      <c r="C16" s="13" t="s">
        <v>52</v>
      </c>
      <c r="D16" s="13"/>
      <c r="E16" s="13" t="s">
        <v>200</v>
      </c>
      <c r="F16" s="3">
        <v>0</v>
      </c>
      <c r="G16" s="13" t="s">
        <v>200</v>
      </c>
      <c r="H16" s="3">
        <v>1</v>
      </c>
      <c r="I16" s="13" t="s">
        <v>200</v>
      </c>
      <c r="J16" s="3">
        <v>1</v>
      </c>
      <c r="K16" s="13" t="s">
        <v>200</v>
      </c>
      <c r="L16" s="3">
        <v>1</v>
      </c>
      <c r="M16" s="13" t="s">
        <v>200</v>
      </c>
      <c r="N16" s="3">
        <v>1</v>
      </c>
      <c r="O16" s="7" t="s">
        <v>200</v>
      </c>
      <c r="P16" s="7" t="s">
        <v>211</v>
      </c>
      <c r="Q16" s="7" t="s">
        <v>200</v>
      </c>
      <c r="R16" s="7" t="s">
        <v>30</v>
      </c>
      <c r="S16" s="13" t="s">
        <v>200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3" t="s">
        <v>200</v>
      </c>
      <c r="AB16" s="3">
        <v>100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220</v>
      </c>
      <c r="B17" s="13" t="s">
        <v>238</v>
      </c>
      <c r="E17" s="13" t="s">
        <v>220</v>
      </c>
      <c r="F17" s="3">
        <v>1</v>
      </c>
      <c r="G17" s="13" t="s">
        <v>220</v>
      </c>
      <c r="H17" s="3">
        <v>0</v>
      </c>
      <c r="I17" s="13" t="s">
        <v>220</v>
      </c>
      <c r="J17" s="3">
        <v>0</v>
      </c>
      <c r="K17" s="13" t="s">
        <v>220</v>
      </c>
      <c r="L17" s="3">
        <v>1</v>
      </c>
      <c r="M17" s="13" t="s">
        <v>220</v>
      </c>
      <c r="N17" s="3">
        <v>1</v>
      </c>
      <c r="O17" s="7" t="s">
        <v>220</v>
      </c>
      <c r="P17" s="7" t="s">
        <v>220</v>
      </c>
      <c r="Q17" s="7" t="s">
        <v>220</v>
      </c>
      <c r="R17" s="7" t="s">
        <v>30</v>
      </c>
      <c r="S17" s="13" t="s">
        <v>220</v>
      </c>
      <c r="T17" s="3">
        <v>-1</v>
      </c>
      <c r="U17" s="3">
        <v>-1</v>
      </c>
      <c r="V17" s="3">
        <v>-1</v>
      </c>
      <c r="W17" s="3">
        <v>1</v>
      </c>
      <c r="X17" s="3">
        <v>1</v>
      </c>
      <c r="Y17" s="3"/>
      <c r="Z17" s="3"/>
      <c r="AA17" s="13" t="s">
        <v>220</v>
      </c>
      <c r="AB17" s="3"/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235</v>
      </c>
      <c r="B18"/>
      <c r="E18" s="13" t="s">
        <v>235</v>
      </c>
      <c r="F18" s="3">
        <v>1</v>
      </c>
      <c r="G18" s="13" t="s">
        <v>235</v>
      </c>
      <c r="H18" s="3">
        <v>0</v>
      </c>
      <c r="I18" s="13" t="s">
        <v>235</v>
      </c>
      <c r="J18" s="3">
        <v>0</v>
      </c>
      <c r="K18" s="13" t="s">
        <v>235</v>
      </c>
      <c r="L18" s="3">
        <v>1</v>
      </c>
      <c r="M18" s="13" t="s">
        <v>235</v>
      </c>
      <c r="N18" s="3">
        <v>1</v>
      </c>
      <c r="O18" s="7" t="s">
        <v>235</v>
      </c>
      <c r="P18" s="7" t="s">
        <v>234</v>
      </c>
      <c r="Q18" s="7" t="s">
        <v>235</v>
      </c>
      <c r="R18" s="7" t="s">
        <v>30</v>
      </c>
      <c r="S18" s="13" t="s">
        <v>235</v>
      </c>
      <c r="T18" s="3">
        <v>-1</v>
      </c>
      <c r="U18" s="3">
        <v>-1</v>
      </c>
      <c r="V18" s="3">
        <v>-1</v>
      </c>
      <c r="W18" s="3">
        <v>1</v>
      </c>
      <c r="X18" s="3">
        <v>1</v>
      </c>
      <c r="Y18" s="3"/>
      <c r="Z18" s="3"/>
      <c r="AA18" s="13" t="s">
        <v>235</v>
      </c>
      <c r="AB18" s="3"/>
      <c r="AD18" s="14">
        <v>2023</v>
      </c>
      <c r="AF18"/>
      <c r="AH18" s="7"/>
      <c r="AI18" s="7"/>
      <c r="AJ18" s="7"/>
      <c r="AM18" s="7" t="s">
        <v>25</v>
      </c>
    </row>
    <row r="19" spans="1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2024</v>
      </c>
      <c r="AH19" s="7"/>
      <c r="AI19" s="7"/>
      <c r="AJ19" s="7"/>
      <c r="AM19" s="7" t="s">
        <v>24</v>
      </c>
    </row>
    <row r="20" spans="1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2025</v>
      </c>
      <c r="AH20" s="7"/>
      <c r="AI20" s="7"/>
      <c r="AJ20" s="7"/>
      <c r="AM20" s="7" t="s">
        <v>11</v>
      </c>
    </row>
    <row r="21" spans="1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2026</v>
      </c>
      <c r="AH21" s="7"/>
      <c r="AI21" s="7"/>
      <c r="AJ21" s="7"/>
      <c r="AM21" s="7" t="s">
        <v>11</v>
      </c>
    </row>
    <row r="22" spans="1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2027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2028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33"/>
  <sheetViews>
    <sheetView tabSelected="1"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15" sqref="A15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199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224</v>
      </c>
      <c r="G5" s="8" t="s">
        <v>62</v>
      </c>
      <c r="H5" s="10"/>
      <c r="I5" s="10"/>
      <c r="J5" s="10"/>
      <c r="K5" s="10"/>
      <c r="L5" s="10"/>
      <c r="M5" s="10"/>
      <c r="N5" s="10"/>
      <c r="O5" s="10"/>
      <c r="AZ5" t="s">
        <v>214</v>
      </c>
    </row>
    <row r="6" spans="1:60">
      <c r="A6" s="5">
        <f>SUM(A8:A18)</f>
        <v>5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1"/>
      <c r="K6" s="11"/>
      <c r="L6" s="11"/>
      <c r="M6" s="11"/>
      <c r="N6" s="11"/>
      <c r="O6" s="11"/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SUM(AY8:AY19)</f>
        <v>0</v>
      </c>
    </row>
    <row r="7" spans="1:60" ht="45">
      <c r="A7" s="6" t="s">
        <v>9</v>
      </c>
      <c r="B7" s="2" t="s">
        <v>35</v>
      </c>
      <c r="C7" s="2" t="s">
        <v>196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0">S7+1</f>
        <v>2020</v>
      </c>
      <c r="U7" s="7">
        <f t="shared" si="0"/>
        <v>2021</v>
      </c>
      <c r="V7" s="7">
        <f t="shared" si="0"/>
        <v>2022</v>
      </c>
      <c r="W7" s="7">
        <f t="shared" si="0"/>
        <v>2023</v>
      </c>
      <c r="X7" s="7">
        <f t="shared" si="0"/>
        <v>2024</v>
      </c>
      <c r="Y7" s="7">
        <f t="shared" si="0"/>
        <v>2025</v>
      </c>
      <c r="Z7" s="7">
        <f t="shared" si="0"/>
        <v>2026</v>
      </c>
      <c r="AA7" s="7">
        <f t="shared" si="0"/>
        <v>2027</v>
      </c>
      <c r="AB7" s="7">
        <f t="shared" si="0"/>
        <v>2028</v>
      </c>
      <c r="AC7" s="7">
        <f t="shared" si="0"/>
        <v>2029</v>
      </c>
      <c r="AD7" s="7">
        <f t="shared" si="0"/>
        <v>2030</v>
      </c>
      <c r="AE7" s="7">
        <f t="shared" si="0"/>
        <v>2031</v>
      </c>
      <c r="AF7" s="7">
        <f t="shared" si="0"/>
        <v>2032</v>
      </c>
      <c r="AG7" s="7">
        <f t="shared" si="0"/>
        <v>2033</v>
      </c>
      <c r="AH7" s="7">
        <f t="shared" si="0"/>
        <v>2034</v>
      </c>
      <c r="AI7" s="7">
        <f t="shared" si="0"/>
        <v>2035</v>
      </c>
      <c r="AJ7" s="7">
        <f t="shared" si="0"/>
        <v>2036</v>
      </c>
      <c r="AK7" s="7">
        <f t="shared" si="0"/>
        <v>2037</v>
      </c>
      <c r="AL7" s="7">
        <f t="shared" si="0"/>
        <v>2038</v>
      </c>
      <c r="AM7" s="7">
        <f t="shared" si="0"/>
        <v>2039</v>
      </c>
      <c r="AN7" s="7">
        <f t="shared" si="0"/>
        <v>2040</v>
      </c>
      <c r="AO7" s="7">
        <f t="shared" si="0"/>
        <v>2041</v>
      </c>
      <c r="AP7" s="7">
        <f t="shared" si="0"/>
        <v>2042</v>
      </c>
      <c r="AQ7" s="7">
        <f t="shared" si="0"/>
        <v>2043</v>
      </c>
      <c r="AR7" s="7">
        <f t="shared" si="0"/>
        <v>2044</v>
      </c>
      <c r="AS7" s="7">
        <f t="shared" si="0"/>
        <v>2045</v>
      </c>
      <c r="AT7" s="7">
        <f t="shared" si="0"/>
        <v>2046</v>
      </c>
      <c r="AU7" s="7">
        <f t="shared" si="0"/>
        <v>2047</v>
      </c>
      <c r="AV7" s="7">
        <f t="shared" si="0"/>
        <v>2048</v>
      </c>
      <c r="AW7" s="7">
        <f t="shared" si="0"/>
        <v>2049</v>
      </c>
      <c r="AX7" s="7">
        <f t="shared" si="0"/>
        <v>2050</v>
      </c>
      <c r="AY7" t="s">
        <v>227</v>
      </c>
      <c r="AZ7" t="s">
        <v>215</v>
      </c>
      <c r="BA7" t="s">
        <v>216</v>
      </c>
      <c r="BB7" t="s">
        <v>217</v>
      </c>
      <c r="BC7" t="s">
        <v>218</v>
      </c>
      <c r="BD7" t="s">
        <v>219</v>
      </c>
      <c r="BE7" t="s">
        <v>221</v>
      </c>
      <c r="BF7" t="s">
        <v>222</v>
      </c>
      <c r="BG7" t="s">
        <v>233</v>
      </c>
      <c r="BH7" t="s">
        <v>237</v>
      </c>
    </row>
    <row r="8" spans="1:60" s="7" customFormat="1">
      <c r="A8" s="17">
        <v>1</v>
      </c>
      <c r="B8" s="7" t="s">
        <v>232</v>
      </c>
      <c r="C8" s="7" t="s">
        <v>197</v>
      </c>
      <c r="D8" s="7" t="s">
        <v>30</v>
      </c>
      <c r="E8" s="7" t="s">
        <v>207</v>
      </c>
      <c r="F8" s="7">
        <v>0</v>
      </c>
      <c r="G8" s="7">
        <v>0</v>
      </c>
      <c r="H8" s="7" t="str">
        <f>J1</f>
        <v>No Pams</v>
      </c>
      <c r="I8" s="7">
        <v>1</v>
      </c>
      <c r="J8" s="7">
        <v>1</v>
      </c>
      <c r="K8" s="7">
        <f t="shared" ref="K8:O14" si="1">INDEX(K$1:K$4,MATCH($H8,$J$1:$J$4,0))</f>
        <v>-1</v>
      </c>
      <c r="L8" s="7">
        <f t="shared" ref="L8:O10" si="2">INDEX(L$1:L$4,MATCH($H8,$J$1:$J$4,0))</f>
        <v>-1</v>
      </c>
      <c r="M8" s="7">
        <f t="shared" si="2"/>
        <v>-1</v>
      </c>
      <c r="N8" s="7">
        <f t="shared" si="2"/>
        <v>1</v>
      </c>
      <c r="O8" s="7">
        <f t="shared" si="2"/>
        <v>-1</v>
      </c>
      <c r="P8" s="7">
        <v>100</v>
      </c>
      <c r="Q8" s="7" t="str">
        <f>B8</f>
        <v>NoPams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1</v>
      </c>
      <c r="B9" s="7" t="s">
        <v>236</v>
      </c>
      <c r="C9" s="7" t="s">
        <v>197</v>
      </c>
      <c r="D9" s="7" t="s">
        <v>30</v>
      </c>
      <c r="E9" s="7" t="s">
        <v>238</v>
      </c>
      <c r="F9" s="7">
        <v>0</v>
      </c>
      <c r="G9" s="7">
        <v>0</v>
      </c>
      <c r="H9" s="7" t="s">
        <v>188</v>
      </c>
      <c r="I9" s="7">
        <v>1</v>
      </c>
      <c r="J9" s="7">
        <v>1</v>
      </c>
      <c r="K9" s="7">
        <f t="shared" si="1"/>
        <v>-1</v>
      </c>
      <c r="L9" s="7">
        <f t="shared" si="2"/>
        <v>-1</v>
      </c>
      <c r="M9" s="7">
        <f t="shared" si="2"/>
        <v>-1</v>
      </c>
      <c r="N9" s="7">
        <f t="shared" si="2"/>
        <v>1</v>
      </c>
      <c r="O9" s="7">
        <f t="shared" si="2"/>
        <v>-1</v>
      </c>
      <c r="P9" s="7">
        <v>100</v>
      </c>
      <c r="Q9" s="7" t="str">
        <f>B9</f>
        <v>NoPamsJuly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0</v>
      </c>
      <c r="B10" s="7" t="s">
        <v>200</v>
      </c>
      <c r="C10" s="7" t="s">
        <v>197</v>
      </c>
      <c r="D10" s="7" t="s">
        <v>30</v>
      </c>
      <c r="E10" s="7" t="s">
        <v>211</v>
      </c>
      <c r="F10" s="7">
        <v>1</v>
      </c>
      <c r="G10" s="7">
        <v>1</v>
      </c>
      <c r="H10" s="7" t="str">
        <f>J2</f>
        <v>Base Pams</v>
      </c>
      <c r="I10" s="7">
        <v>1</v>
      </c>
      <c r="J10" s="7">
        <v>1</v>
      </c>
      <c r="K10" s="7">
        <f t="shared" si="1"/>
        <v>2</v>
      </c>
      <c r="L10" s="7">
        <f t="shared" si="2"/>
        <v>2</v>
      </c>
      <c r="M10" s="7">
        <f t="shared" si="2"/>
        <v>1</v>
      </c>
      <c r="N10" s="7">
        <f t="shared" si="2"/>
        <v>2</v>
      </c>
      <c r="O10" s="7">
        <f t="shared" si="2"/>
        <v>1</v>
      </c>
      <c r="P10" s="7">
        <v>100</v>
      </c>
      <c r="Q10" s="7" t="str">
        <f>B10</f>
        <v>CPAMS-NoIRP</v>
      </c>
      <c r="AY10" s="7">
        <f>IF(LEN(B10)&gt;30,1,0)</f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228</v>
      </c>
      <c r="C11" s="7" t="s">
        <v>197</v>
      </c>
      <c r="D11" s="7" t="s">
        <v>31</v>
      </c>
      <c r="E11" s="7" t="s">
        <v>225</v>
      </c>
      <c r="F11" s="7">
        <v>1</v>
      </c>
      <c r="G11" s="7">
        <v>1</v>
      </c>
      <c r="H11" s="7" t="s">
        <v>189</v>
      </c>
      <c r="I11" s="7">
        <v>1</v>
      </c>
      <c r="J11" s="7">
        <v>1</v>
      </c>
      <c r="K11" s="7">
        <f t="shared" si="1"/>
        <v>2</v>
      </c>
      <c r="L11" s="7">
        <f t="shared" ref="L11:O12" si="3">INDEX(L$1:L$4,MATCH($H11,$J$1:$J$4,0))</f>
        <v>2</v>
      </c>
      <c r="M11" s="7">
        <f t="shared" si="3"/>
        <v>1</v>
      </c>
      <c r="N11" s="7">
        <f t="shared" si="3"/>
        <v>2</v>
      </c>
      <c r="O11" s="7">
        <f t="shared" si="3"/>
        <v>1</v>
      </c>
      <c r="P11" s="7">
        <v>100</v>
      </c>
      <c r="Q11" s="7" t="str">
        <f>B11</f>
        <v>CPAMS-HiGr-IRP</v>
      </c>
      <c r="AY11" s="7">
        <f t="shared" ref="AY11" si="4">IF(LEN(B11)&gt;30,1,0)</f>
        <v>0</v>
      </c>
      <c r="AZ11" s="7">
        <v>1</v>
      </c>
      <c r="BA11" s="7">
        <v>1</v>
      </c>
      <c r="BE11" s="7">
        <v>1</v>
      </c>
    </row>
    <row r="12" spans="1:60" s="7" customFormat="1">
      <c r="A12" s="17">
        <v>0</v>
      </c>
      <c r="B12" s="7" t="s">
        <v>230</v>
      </c>
      <c r="C12" s="7" t="s">
        <v>197</v>
      </c>
      <c r="D12" s="7" t="s">
        <v>31</v>
      </c>
      <c r="E12" s="7" t="s">
        <v>229</v>
      </c>
      <c r="F12" s="7">
        <v>1</v>
      </c>
      <c r="G12" s="7">
        <v>1</v>
      </c>
      <c r="H12" s="7" t="s">
        <v>189</v>
      </c>
      <c r="I12" s="7">
        <v>1</v>
      </c>
      <c r="J12" s="7">
        <v>1</v>
      </c>
      <c r="K12" s="7">
        <f t="shared" si="1"/>
        <v>2</v>
      </c>
      <c r="L12" s="7">
        <f t="shared" si="3"/>
        <v>2</v>
      </c>
      <c r="M12" s="7">
        <f t="shared" si="3"/>
        <v>1</v>
      </c>
      <c r="N12" s="7">
        <f t="shared" si="3"/>
        <v>2</v>
      </c>
      <c r="O12" s="7">
        <f t="shared" si="3"/>
        <v>1</v>
      </c>
      <c r="P12" s="7">
        <v>100</v>
      </c>
      <c r="Q12" s="7" t="str">
        <f>B12</f>
        <v>CPAMS-HiGr-IRPN</v>
      </c>
      <c r="AY12" s="7">
        <f t="shared" ref="AY12:AY13" si="5">IF(LEN(B12)&gt;30,1,0)</f>
        <v>0</v>
      </c>
      <c r="AZ12" s="7">
        <v>1</v>
      </c>
      <c r="BA12" s="7">
        <v>1</v>
      </c>
      <c r="BE12" s="7">
        <v>1</v>
      </c>
    </row>
    <row r="13" spans="1:60" s="7" customFormat="1">
      <c r="A13" s="17">
        <v>0</v>
      </c>
      <c r="B13" s="7" t="s">
        <v>231</v>
      </c>
      <c r="C13" s="7" t="s">
        <v>197</v>
      </c>
      <c r="D13" s="7" t="s">
        <v>31</v>
      </c>
      <c r="E13" s="7" t="s">
        <v>226</v>
      </c>
      <c r="F13" s="7">
        <v>1</v>
      </c>
      <c r="G13" s="7">
        <v>1</v>
      </c>
      <c r="H13" s="7" t="s">
        <v>189</v>
      </c>
      <c r="I13" s="7">
        <v>1</v>
      </c>
      <c r="J13" s="7">
        <v>1</v>
      </c>
      <c r="K13" s="7">
        <f t="shared" si="1"/>
        <v>2</v>
      </c>
      <c r="L13" s="7">
        <f t="shared" si="1"/>
        <v>2</v>
      </c>
      <c r="M13" s="7">
        <f t="shared" si="1"/>
        <v>1</v>
      </c>
      <c r="N13" s="7">
        <f t="shared" si="1"/>
        <v>2</v>
      </c>
      <c r="O13" s="7">
        <f t="shared" si="1"/>
        <v>1</v>
      </c>
      <c r="P13" s="7">
        <v>100</v>
      </c>
      <c r="Q13" s="7" t="str">
        <f t="shared" ref="Q13" si="6">B13</f>
        <v>CPAMS-HiGr-IRPL</v>
      </c>
      <c r="AY13" s="7">
        <f t="shared" si="5"/>
        <v>0</v>
      </c>
      <c r="AZ13" s="7">
        <v>1</v>
      </c>
      <c r="BE13" s="7">
        <v>1</v>
      </c>
    </row>
    <row r="14" spans="1:60">
      <c r="A14" s="17">
        <v>0</v>
      </c>
      <c r="B14" t="s">
        <v>194</v>
      </c>
      <c r="C14" t="s">
        <v>197</v>
      </c>
      <c r="D14" s="7" t="s">
        <v>30</v>
      </c>
      <c r="E14" t="s">
        <v>195</v>
      </c>
      <c r="F14" s="7">
        <v>1</v>
      </c>
      <c r="G14" s="7">
        <v>1</v>
      </c>
      <c r="H14" s="7" t="s">
        <v>191</v>
      </c>
      <c r="I14" s="7">
        <v>1</v>
      </c>
      <c r="J14" s="7">
        <v>1</v>
      </c>
      <c r="K14" s="7">
        <f t="shared" si="1"/>
        <v>1</v>
      </c>
      <c r="L14" s="7">
        <f t="shared" ref="L14" si="7">INDEX(L$1:L$4,MATCH($H14,$J$1:$J$4,0))</f>
        <v>1</v>
      </c>
      <c r="M14" s="7">
        <f t="shared" ref="M14:O14" si="8">INDEX(M$1:M$4,MATCH($H14,$J$1:$J$4,0))</f>
        <v>3</v>
      </c>
      <c r="N14" s="7">
        <f t="shared" si="8"/>
        <v>3</v>
      </c>
      <c r="O14" s="7">
        <f t="shared" si="8"/>
        <v>3</v>
      </c>
      <c r="P14" s="7"/>
      <c r="Q14" s="7" t="str">
        <f>B14</f>
        <v>HiPam</v>
      </c>
      <c r="AY14" s="7">
        <f t="shared" ref="AY14:AY18" si="9">IF(LEN(B14)&gt;30,1,0)</f>
        <v>0</v>
      </c>
      <c r="AZ14" s="7">
        <v>1</v>
      </c>
    </row>
    <row r="15" spans="1:60" s="7" customFormat="1">
      <c r="A15" s="17">
        <v>0</v>
      </c>
      <c r="B15" s="7" t="s">
        <v>223</v>
      </c>
      <c r="C15" s="7" t="s">
        <v>197</v>
      </c>
      <c r="D15" s="7" t="s">
        <v>31</v>
      </c>
      <c r="E15" s="7" t="s">
        <v>207</v>
      </c>
      <c r="F15" s="7">
        <v>1</v>
      </c>
      <c r="G15" s="7">
        <v>1</v>
      </c>
      <c r="H15" s="7" t="s">
        <v>188</v>
      </c>
      <c r="I15" s="7">
        <v>1</v>
      </c>
      <c r="J15" s="7">
        <v>1</v>
      </c>
      <c r="K15" s="7">
        <f t="shared" ref="K15:O15" si="10">INDEX(K$1:K$4,MATCH($H15,$J$1:$J$4,0))</f>
        <v>-1</v>
      </c>
      <c r="L15" s="7">
        <f t="shared" si="10"/>
        <v>-1</v>
      </c>
      <c r="M15" s="7">
        <f t="shared" si="10"/>
        <v>-1</v>
      </c>
      <c r="N15" s="7">
        <f t="shared" si="10"/>
        <v>1</v>
      </c>
      <c r="O15" s="7">
        <f t="shared" si="10"/>
        <v>-1</v>
      </c>
      <c r="P15" s="7">
        <v>100</v>
      </c>
      <c r="Q15" s="7" t="str">
        <f t="shared" ref="Q15" si="11">B15</f>
        <v>NoPAMS-HiGr</v>
      </c>
      <c r="AY15" s="7">
        <f t="shared" si="9"/>
        <v>0</v>
      </c>
      <c r="AZ15" s="7">
        <v>1</v>
      </c>
      <c r="BE15" s="7">
        <v>1</v>
      </c>
    </row>
    <row r="16" spans="1:60" s="7" customFormat="1">
      <c r="A16" s="17">
        <v>1</v>
      </c>
      <c r="B16" s="7" t="s">
        <v>213</v>
      </c>
      <c r="C16" s="7" t="s">
        <v>197</v>
      </c>
      <c r="D16" s="7" t="s">
        <v>30</v>
      </c>
      <c r="E16" s="7" t="s">
        <v>212</v>
      </c>
      <c r="F16" s="7">
        <v>0</v>
      </c>
      <c r="G16" s="7">
        <v>0</v>
      </c>
      <c r="H16" s="7" t="s">
        <v>188</v>
      </c>
      <c r="I16" s="7">
        <v>1</v>
      </c>
      <c r="J16" s="7">
        <v>1</v>
      </c>
      <c r="K16" s="7">
        <f t="shared" ref="K16:K18" si="12">INDEX(K$1:K$4,MATCH($H16,$J$1:$J$4,0))</f>
        <v>-1</v>
      </c>
      <c r="L16" s="7">
        <f t="shared" ref="L16:O18" si="13">INDEX(L$1:L$4,MATCH($H16,$J$1:$J$4,0))</f>
        <v>-1</v>
      </c>
      <c r="M16" s="7">
        <f t="shared" si="13"/>
        <v>-1</v>
      </c>
      <c r="N16" s="7">
        <f t="shared" si="13"/>
        <v>1</v>
      </c>
      <c r="O16" s="7">
        <f t="shared" si="13"/>
        <v>-1</v>
      </c>
      <c r="Q16" s="7" t="str">
        <f t="shared" ref="Q16:Q18" si="14">B16</f>
        <v>NoPAMS-RR</v>
      </c>
      <c r="AY16" s="7">
        <f t="shared" si="9"/>
        <v>0</v>
      </c>
      <c r="AZ16" s="7">
        <v>1</v>
      </c>
    </row>
    <row r="17" spans="1:56" s="7" customFormat="1">
      <c r="A17" s="17">
        <v>1</v>
      </c>
      <c r="B17" s="7" t="s">
        <v>220</v>
      </c>
      <c r="C17" s="7" t="s">
        <v>197</v>
      </c>
      <c r="D17" s="7" t="s">
        <v>30</v>
      </c>
      <c r="E17" s="7" t="s">
        <v>220</v>
      </c>
      <c r="F17" s="7">
        <v>0</v>
      </c>
      <c r="G17" s="7">
        <v>0</v>
      </c>
      <c r="H17" s="7" t="s">
        <v>188</v>
      </c>
      <c r="I17" s="7">
        <v>1</v>
      </c>
      <c r="J17" s="7">
        <v>1</v>
      </c>
      <c r="K17" s="7">
        <f t="shared" si="12"/>
        <v>-1</v>
      </c>
      <c r="L17" s="7">
        <f t="shared" si="13"/>
        <v>-1</v>
      </c>
      <c r="M17" s="7">
        <f t="shared" si="13"/>
        <v>-1</v>
      </c>
      <c r="N17" s="7">
        <f t="shared" si="13"/>
        <v>1</v>
      </c>
      <c r="O17" s="18">
        <v>1</v>
      </c>
      <c r="Q17" s="7" t="str">
        <f t="shared" ref="Q17" si="15">B17</f>
        <v>NZ-CO2S2050</v>
      </c>
      <c r="AY17" s="7">
        <f t="shared" ref="AY17" si="16">IF(LEN(B17)&gt;30,1,0)</f>
        <v>0</v>
      </c>
      <c r="BD17" s="7">
        <v>1</v>
      </c>
    </row>
    <row r="18" spans="1:56" s="7" customFormat="1">
      <c r="A18" s="17">
        <v>1</v>
      </c>
      <c r="B18" s="7" t="s">
        <v>235</v>
      </c>
      <c r="C18" s="7" t="s">
        <v>197</v>
      </c>
      <c r="D18" s="7" t="s">
        <v>30</v>
      </c>
      <c r="E18" s="7" t="s">
        <v>234</v>
      </c>
      <c r="F18" s="7">
        <v>0</v>
      </c>
      <c r="G18" s="7">
        <v>0</v>
      </c>
      <c r="H18" s="7" t="s">
        <v>188</v>
      </c>
      <c r="I18" s="7">
        <v>1</v>
      </c>
      <c r="J18" s="7">
        <v>1</v>
      </c>
      <c r="K18" s="7">
        <f t="shared" si="12"/>
        <v>-1</v>
      </c>
      <c r="L18" s="7">
        <f t="shared" si="13"/>
        <v>-1</v>
      </c>
      <c r="M18" s="7">
        <f t="shared" si="13"/>
        <v>-1</v>
      </c>
      <c r="N18" s="7">
        <f t="shared" si="13"/>
        <v>1</v>
      </c>
      <c r="O18" s="18">
        <v>1</v>
      </c>
      <c r="Q18" s="7" t="str">
        <f t="shared" si="14"/>
        <v>NZ-CO2S2050-June</v>
      </c>
      <c r="AY18" s="7">
        <f t="shared" si="9"/>
        <v>0</v>
      </c>
      <c r="BD18" s="7">
        <v>1</v>
      </c>
    </row>
    <row r="19" spans="1:56">
      <c r="AY19" s="7">
        <f t="shared" ref="AY19" si="17">IF(LEN(B19)&gt;30,1,0)</f>
        <v>0</v>
      </c>
    </row>
    <row r="20" spans="1:56">
      <c r="A20" s="19"/>
    </row>
    <row r="21" spans="1:56">
      <c r="A21" s="19"/>
    </row>
    <row r="22" spans="1:56">
      <c r="A22" s="19"/>
    </row>
    <row r="23" spans="1:56">
      <c r="A23" s="19"/>
    </row>
    <row r="24" spans="1:56">
      <c r="A24" s="19"/>
    </row>
    <row r="25" spans="1:56">
      <c r="A25" s="19"/>
    </row>
    <row r="26" spans="1:56">
      <c r="A26" s="19"/>
    </row>
    <row r="27" spans="1:56">
      <c r="A27" s="19"/>
    </row>
    <row r="28" spans="1:56">
      <c r="A28" s="19"/>
    </row>
    <row r="29" spans="1:56">
      <c r="A29" s="19"/>
    </row>
    <row r="30" spans="1:56">
      <c r="A30" s="19"/>
    </row>
    <row r="31" spans="1:56">
      <c r="A31" s="19"/>
    </row>
    <row r="32" spans="1:56">
      <c r="A32" s="19"/>
    </row>
    <row r="33" spans="1:1">
      <c r="A33" s="19"/>
    </row>
  </sheetData>
  <autoFilter ref="A7:BH19" xr:uid="{00000000-0001-0000-0E00-000000000000}"/>
  <mergeCells count="1">
    <mergeCell ref="R6:AE6"/>
  </mergeCells>
  <phoneticPr fontId="34" type="noConversion"/>
  <conditionalFormatting sqref="A19:A1048576 A1:A7">
    <cfRule type="iconSet" priority="533">
      <iconSet>
        <cfvo type="percent" val="0"/>
        <cfvo type="percent" val="33"/>
        <cfvo type="percent" val="67"/>
      </iconSet>
    </cfRule>
  </conditionalFormatting>
  <conditionalFormatting sqref="A9">
    <cfRule type="iconSet" priority="14">
      <iconSet>
        <cfvo type="percent" val="0"/>
        <cfvo type="percent" val="33"/>
        <cfvo type="percent" val="67"/>
      </iconSet>
    </cfRule>
  </conditionalFormatting>
  <conditionalFormatting sqref="A9">
    <cfRule type="iconSet" priority="13">
      <iconSet>
        <cfvo type="percent" val="0"/>
        <cfvo type="percent" val="33"/>
        <cfvo type="percent" val="67"/>
      </iconSet>
    </cfRule>
  </conditionalFormatting>
  <conditionalFormatting sqref="A9">
    <cfRule type="iconSet" priority="12">
      <iconSet>
        <cfvo type="percent" val="0"/>
        <cfvo type="percent" val="33"/>
        <cfvo type="percent" val="67"/>
      </iconSet>
    </cfRule>
  </conditionalFormatting>
  <conditionalFormatting sqref="A9">
    <cfRule type="iconSet" priority="11">
      <iconSet>
        <cfvo type="percent" val="0"/>
        <cfvo type="percent" val="33"/>
        <cfvo type="percent" val="67"/>
      </iconSet>
    </cfRule>
  </conditionalFormatting>
  <conditionalFormatting sqref="A9">
    <cfRule type="iconSet" priority="10">
      <iconSet>
        <cfvo type="percent" val="0"/>
        <cfvo type="percent" val="33"/>
        <cfvo type="percent" val="67"/>
      </iconSet>
    </cfRule>
  </conditionalFormatting>
  <conditionalFormatting sqref="A8:A16 A18">
    <cfRule type="iconSet" priority="545">
      <iconSet>
        <cfvo type="percent" val="0"/>
        <cfvo type="percent" val="33"/>
        <cfvo type="percent" val="67"/>
      </iconSet>
    </cfRule>
  </conditionalFormatting>
  <conditionalFormatting sqref="A17">
    <cfRule type="iconSet" priority="2">
      <iconSet>
        <cfvo type="percent" val="0"/>
        <cfvo type="percent" val="33"/>
        <cfvo type="percent" val="67"/>
      </iconSet>
    </cfRule>
  </conditionalFormatting>
  <conditionalFormatting sqref="A8:A18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18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2021-08-04T22:37:16Z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