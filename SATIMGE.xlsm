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655EED90-F0F6-4F97-BE5E-41B2A91A29B9}" xr6:coauthVersionLast="47" xr6:coauthVersionMax="47" xr10:uidLastSave="{00000000-0000-0000-0000-000000000000}"/>
  <bookViews>
    <workbookView xWindow="-4125" yWindow="-21720" windowWidth="38640" windowHeight="21240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Scenarios!$A$7:$BH$26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52" r:id="rId9"/>
    <pivotCache cacheId="5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10" i="33" l="1"/>
  <c r="Q10" i="33"/>
  <c r="O10" i="33"/>
  <c r="N10" i="33"/>
  <c r="H18" i="33"/>
  <c r="N9" i="33"/>
  <c r="O9" i="33"/>
  <c r="N17" i="33"/>
  <c r="O17" i="33"/>
  <c r="H11" i="33"/>
  <c r="O11" i="33" s="1"/>
  <c r="N11" i="33" l="1"/>
  <c r="H19" i="33"/>
  <c r="H12" i="33"/>
  <c r="O18" i="33"/>
  <c r="N18" i="33"/>
  <c r="N19" i="33" l="1"/>
  <c r="H20" i="33"/>
  <c r="O19" i="33"/>
  <c r="H13" i="33"/>
  <c r="N12" i="33"/>
  <c r="O12" i="33"/>
  <c r="O20" i="33" l="1"/>
  <c r="H21" i="33"/>
  <c r="N20" i="33"/>
  <c r="H14" i="33"/>
  <c r="N13" i="33"/>
  <c r="O13" i="33"/>
  <c r="H22" i="33" l="1"/>
  <c r="O21" i="33"/>
  <c r="N21" i="33"/>
  <c r="H15" i="33"/>
  <c r="N14" i="33"/>
  <c r="O14" i="33"/>
  <c r="N22" i="33" l="1"/>
  <c r="H23" i="33"/>
  <c r="O22" i="33"/>
  <c r="H16" i="33"/>
  <c r="H24" i="33" s="1"/>
  <c r="N15" i="33"/>
  <c r="O15" i="33"/>
  <c r="N24" i="33" l="1"/>
  <c r="H25" i="33"/>
  <c r="O24" i="33"/>
  <c r="N23" i="33"/>
  <c r="O23" i="33"/>
  <c r="N16" i="33"/>
  <c r="O16" i="33"/>
  <c r="N25" i="33" l="1"/>
  <c r="O25" i="33"/>
  <c r="L6" i="33"/>
  <c r="M6" i="33"/>
  <c r="K6" i="33"/>
  <c r="L5" i="33"/>
  <c r="M5" i="33"/>
  <c r="K5" i="33"/>
  <c r="K25" i="33" s="1"/>
  <c r="AY23" i="33"/>
  <c r="Q23" i="33"/>
  <c r="AY22" i="33"/>
  <c r="Q22" i="33"/>
  <c r="AY21" i="33"/>
  <c r="Q21" i="33"/>
  <c r="AY20" i="33"/>
  <c r="Q20" i="33"/>
  <c r="AY19" i="33"/>
  <c r="Q19" i="33"/>
  <c r="AY18" i="33"/>
  <c r="Q18" i="33"/>
  <c r="L10" i="33" l="1"/>
  <c r="L9" i="33"/>
  <c r="L11" i="33"/>
  <c r="L12" i="33"/>
  <c r="L13" i="33"/>
  <c r="L14" i="33"/>
  <c r="L15" i="33"/>
  <c r="L16" i="33"/>
  <c r="L24" i="33"/>
  <c r="K17" i="33"/>
  <c r="K18" i="33"/>
  <c r="K19" i="33"/>
  <c r="K20" i="33"/>
  <c r="K21" i="33"/>
  <c r="K22" i="33"/>
  <c r="K23" i="33"/>
  <c r="M17" i="33"/>
  <c r="M18" i="33"/>
  <c r="M19" i="33"/>
  <c r="M20" i="33"/>
  <c r="M21" i="33"/>
  <c r="M22" i="33"/>
  <c r="M23" i="33"/>
  <c r="M9" i="33"/>
  <c r="M10" i="33"/>
  <c r="M11" i="33"/>
  <c r="M12" i="33"/>
  <c r="M13" i="33"/>
  <c r="M14" i="33"/>
  <c r="M15" i="33"/>
  <c r="M24" i="33"/>
  <c r="M16" i="33"/>
  <c r="L17" i="33"/>
  <c r="L18" i="33"/>
  <c r="L19" i="33"/>
  <c r="L20" i="33"/>
  <c r="L21" i="33"/>
  <c r="L22" i="33"/>
  <c r="L23" i="33"/>
  <c r="M25" i="33"/>
  <c r="L25" i="33"/>
  <c r="K10" i="33"/>
  <c r="K9" i="33"/>
  <c r="K11" i="33"/>
  <c r="K12" i="33"/>
  <c r="K13" i="33"/>
  <c r="K14" i="33"/>
  <c r="K15" i="33"/>
  <c r="K16" i="33"/>
  <c r="K24" i="33"/>
  <c r="AY24" i="33"/>
  <c r="Q24" i="33"/>
  <c r="AY9" i="33" l="1"/>
  <c r="Q9" i="33"/>
  <c r="AY14" i="33" l="1"/>
  <c r="Q14" i="33"/>
  <c r="AY13" i="33" l="1"/>
  <c r="Q13" i="33"/>
  <c r="AY12" i="33" l="1"/>
  <c r="Q12" i="33"/>
  <c r="AY15" i="33" l="1"/>
  <c r="AY16" i="33"/>
  <c r="AY17" i="33"/>
  <c r="AY25" i="33"/>
  <c r="AY26" i="33"/>
  <c r="AY8" i="33"/>
  <c r="A6" i="33" l="1"/>
  <c r="Q25" i="33" l="1"/>
  <c r="Q17" i="33"/>
  <c r="C21" i="4"/>
  <c r="Q16" i="33"/>
  <c r="C15" i="4"/>
  <c r="C14" i="4"/>
  <c r="B1" i="33" a="1"/>
  <c r="B1" i="33" s="1"/>
  <c r="Q15" i="33"/>
  <c r="H8" i="33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K8" i="33" l="1"/>
  <c r="L8" i="33"/>
  <c r="M8" i="33"/>
  <c r="N8" i="33"/>
  <c r="O8" i="33"/>
  <c r="AY11" i="33"/>
  <c r="AY6" i="33" s="1"/>
  <c r="B6" i="33" s="1"/>
  <c r="Q11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tc={5F67BAED-586E-4EF1-B7AE-ED835509C632}</author>
    <author>tc={B0B4E6CE-63BB-47DC-A15C-D7359C6FCD5C}</author>
    <author>tc={EBC61254-95DA-44F9-810D-99A6F9189750}</author>
    <author>tc={93ABDA6A-1652-4292-A131-C990EEA947E6}</author>
    <author>tc={DFD44EEA-977B-4ECB-876D-F5010E7D4804}</author>
    <author>tc={3A629425-736C-49FF-8B83-3FBBBC12C4CE}</author>
    <author>tc={1C864FC3-D9AD-41B0-BB83-5D59B158B6DC}</author>
    <author>tc={E2C58BA3-8E96-48DD-96F6-B312B36AF7B8}</author>
    <author>tc={D4F28829-6F06-4015-91A2-E5358698D356}</author>
    <author>tc={1560DC41-71ED-4C21-B2A0-F3EB01A6DD7A}</author>
    <author>tc={2D943B9D-EFD2-4173-B43D-CC9F5CA8E974}</author>
    <author>tc={9640B635-0C50-4136-8F3A-7FDE45142AC7}</author>
    <author>tc={E7CD9760-36B6-4582-99F8-DB90F7945B53}</author>
    <author>tc={B6604738-1FCC-41EE-B03D-9C4A5AEF52CE}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5F67BAED-586E-4EF1-B7AE-ED835509C63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EBC61254-95DA-44F9-810D-99A6F9189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5" shapeId="0" xr:uid="{93ABDA6A-1652-4292-A131-C990EEA947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6" shapeId="0" xr:uid="{DFD44EEA-977B-4ECB-876D-F5010E7D480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7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1C864FC3-D9AD-41B0-BB83-5D59B158B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E2C58BA3-8E96-48DD-96F6-B312B36AF7B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D4F28829-6F06-4015-91A2-E5358698D35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1560DC41-71ED-4C21-B2A0-F3EB01A6DD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2D943B9D-EFD2-4173-B43D-CC9F5CA8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9640B635-0C50-4136-8F3A-7FDE45142A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E7CD9760-36B6-4582-99F8-DB90F7945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<sst xmlns="http://schemas.openxmlformats.org/spreadsheetml/2006/main" count="599" uniqueCount="245">
  <si>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</si>
  <si>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</si>
  <si>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</si>
  <si>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</si>
  <si>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</si>
  <si>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</si>
  <si>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</si>
  <si>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</si>
  <si>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</si>
  <si>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</si>
  <si>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</si>
  <si>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</si>
  <si>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</si>
  <si>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</si>
  <si>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</si>
  <si>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</si>
  <si>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</si>
  <si>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</si>
  <si>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</si>
  <si>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</si>
  <si>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</si>
  <si>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</si>
  <si>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</si>
  <si>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</si>
  <si>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</si>
  <si>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</si>
  <si>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</si>
  <si>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</si>
  <si>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</si>
  <si>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</si>
  <si>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</si>
  <si>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</si>
  <si>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</si>
  <si>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</si>
  <si>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</si>
  <si>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</si>
  <si>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</si>
  <si>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</si>
  <si>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</si>
  <si>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</si>
  <si>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</si>
  <si>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</si>
  <si>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</si>
  <si>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</si>
  <si>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</si>
  <si>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</si>
  <si>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</si>
  <si>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</si>
  <si>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</si>
  <si>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</si>
  <si>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</si>
  <si>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</si>
  <si>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</si>
  <si>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</si>
  <si>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</si>
  <si>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</si>
  <si>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</si>
  <si>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</si>
  <si>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</si>
  <si>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</si>
  <si>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</si>
  <si>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</si>
  <si>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</si>
  <si>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</si>
  <si>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</si>
  <si>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</si>
  <si>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</si>
  <si>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</si>
  <si>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</si>
  <si>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</si>
  <si>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</si>
  <si>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</si>
  <si>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</si>
  <si>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</si>
  <si>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</si>
  <si>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</si>
  <si>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</si>
  <si>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</si>
  <si>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</si>
  <si>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</si>
  <si>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</si>
  <si>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</si>
  <si>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</si>
  <si>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</si>
  <si>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</si>
  <si>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</si>
  <si>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</si>
  <si>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</si>
  <si>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</si>
  <si>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</si>
  <si>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</si>
  <si>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</si>
  <si>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</si>
  <si>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</si>
  <si>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</si>
  <si>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</si>
  <si>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</si>
  <si>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</si>
  <si>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</si>
  <si>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</si>
  <si>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</si>
  <si>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</si>
  <si>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</si>
  <si>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</si>
  <si>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</si>
  <si>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</si>
  <si>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</si>
  <si>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</si>
  <si>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</si>
  <si>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</si>
  <si>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</si>
  <si>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</si>
  <si>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</si>
  <si>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</si>
  <si>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</si>
  <si>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</si>
  <si>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</si>
  <si>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</si>
  <si>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</si>
  <si>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</si>
  <si>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</si>
  <si>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</si>
  <si>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</si>
  <si>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</si>
  <si>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</si>
  <si>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</si>
  <si>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</si>
  <si>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</si>
  <si>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</si>
  <si>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</si>
  <si>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</si>
  <si>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</si>
  <si>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</si>
  <si>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</si>
  <si>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</si>
  <si>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</si>
  <si>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</si>
  <si>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</si>
  <si>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</si>
  <si>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</si>
  <si>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</si>
  <si>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</si>
  <si>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</si>
  <si>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</si>
  <si>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</si>
  <si>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</si>
  <si>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</si>
  <si>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</si>
  <si>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</si>
  <si>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</si>
  <si>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</si>
  <si>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</si>
  <si>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</si>
  <si>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</si>
  <si>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</si>
  <si>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</si>
  <si>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</si>
  <si>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</si>
  <si>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</si>
  <si>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</si>
  <si>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</si>
  <si>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</si>
  <si>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</si>
  <si>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</si>
  <si>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</si>
  <si>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</si>
  <si>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</si>
  <si>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</si>
  <si>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</si>
  <si>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</si>
  <si>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</si>
  <si>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</si>
  <si>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</si>
  <si>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</si>
  <si>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</si>
  <si>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</si>
  <si>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</si>
  <si>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</si>
  <si>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</si>
  <si>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</si>
  <si>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</si>
  <si>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</si>
  <si>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</si>
  <si>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</si>
  <si>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</si>
  <si>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</si>
  <si>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</si>
  <si>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</si>
  <si>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</si>
  <si>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</si>
  <si>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</si>
  <si>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</si>
  <si>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</si>
  <si>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</si>
  <si>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</si>
  <si>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</si>
  <si>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</si>
  <si>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</si>
  <si>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</si>
  <si>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</si>
  <si>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</si>
  <si>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</si>
  <si>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</si>
  <si>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</si>
  <si>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</si>
  <si>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</si>
  <si>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</si>
  <si>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</si>
  <si>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</si>
  <si>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</si>
  <si>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</si>
  <si>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</si>
  <si>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</si>
  <si>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</si>
  <si>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</si>
  <si>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</si>
  <si>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</si>
  <si>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</si>
  <si>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NZ-CO2S2050-June</t>
  </si>
  <si>
    <t>CCG paper</t>
  </si>
  <si>
    <t>NOPAMSREF</t>
  </si>
  <si>
    <t>NZ-CO2S_20</t>
  </si>
  <si>
    <t>NZ20_10</t>
  </si>
  <si>
    <t>NZ20_8.5</t>
  </si>
  <si>
    <t>NZ20_7</t>
  </si>
  <si>
    <t>NZ20_5.5</t>
  </si>
  <si>
    <t>NZ20_6</t>
  </si>
  <si>
    <t>NZ20_7DR</t>
  </si>
  <si>
    <t>NZ-CO2S_20DR</t>
  </si>
  <si>
    <t>NZ45_REF</t>
  </si>
  <si>
    <t>NZ-CO2S_45</t>
  </si>
  <si>
    <t>NZ45_10</t>
  </si>
  <si>
    <t>NZ45_8.5</t>
  </si>
  <si>
    <t>NZ45_7</t>
  </si>
  <si>
    <t>NZ45_5.5</t>
  </si>
  <si>
    <t>NZ45_6</t>
  </si>
  <si>
    <t>NZ45_7DR</t>
  </si>
  <si>
    <t>NZ-CO2S_45DR</t>
  </si>
  <si>
    <t>NZ-CO2S_20_5</t>
  </si>
  <si>
    <t>NZ20_5.5ans</t>
  </si>
  <si>
    <t>NetZeroLevel1</t>
  </si>
  <si>
    <t>NetZeroLevel2</t>
  </si>
  <si>
    <t>NZ-CO2S_TEST</t>
  </si>
  <si>
    <t>0RG_NZ20_REF</t>
  </si>
  <si>
    <t>1HG_NZ20_REF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</si>
</sst>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  <numFmt numFmtId="175" formatCode="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175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60.473923263889" createdVersion="6" refreshedVersion="7" minRefreshableVersion="3" recordCount="34" xr:uid="{D229C3DF-142A-4D15-BB2C-2EA205AB0203}">
  <cacheSource type="worksheet">
    <worksheetSource ref="A7:P7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0">
        <s v="NOPAMSREF"/>
        <s v="0RG_NZ20_REF"/>
        <s v="1HG_NZ20_REF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60.473923379628" createdVersion="6" refreshedVersion="7" minRefreshableVersion="3" recordCount="34" xr:uid="{C0EB43E8-6CC6-4DE4-B7F1-02B09F7BA69A}">
  <cacheSource type="worksheet">
    <worksheetSource ref="A7:P7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0">
        <s v="NOPAMSREF"/>
        <s v="0RG_NZ20_REF"/>
        <s v="1HG_NZ20_REF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102">
        <s v="NZ-CO2S_TEST"/>
        <s v="NZ-CO2S_20"/>
        <s v="NZ-CO2S_20DR"/>
        <s v="NZ-CO2S_45"/>
        <s v="NZ-CO2S_45DR"/>
        <s v="NZ-CO2S_20_5"/>
        <m/>
        <s v="NOPAMSREF" u="1"/>
        <s v="LPAMSFC" u="1"/>
        <s v="CPAMSREPROGHG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CPAMSRE_LEAF" u="1"/>
        <s v="NOPAMSCAPFCO" u="1"/>
        <s v="CPAMSCAP" u="1"/>
        <s v="CPAMSCAPFC" u="1"/>
        <s v="NZ-REF-10P" u="1"/>
        <s v="CPAMSNOIRP" u="1"/>
        <s v="LPAMS" u="1"/>
        <s v="EECAP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REF-05P" u="1"/>
        <s v="CPAMSREPROTG" u="1"/>
        <s v="NOPAMSREF0TX" u="1"/>
        <s v="NOPAMSFGDC2" u="1"/>
        <s v="NOPAMSMRE_LE" u="1"/>
        <s v="NOPAMSFGDB3" u="1"/>
        <s v="NOPAMS_EXP" u="1"/>
        <s v="NOPAMS_NF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0"/>
    <x v="0"/>
    <s v="yes tested"/>
    <s v="base"/>
    <s v="NZ-CO2S_TEST"/>
    <n v="0"/>
    <n v="1"/>
    <s v="No Pams"/>
    <n v="1"/>
    <n v="1"/>
    <n v="-1"/>
    <n v="-1"/>
    <n v="-1"/>
    <n v="1"/>
    <n v="-1"/>
    <n v="100"/>
  </r>
  <r>
    <n v="1"/>
    <x v="1"/>
    <s v="yes tested"/>
    <s v="base"/>
    <s v="NZ-CO2S_20"/>
    <n v="0"/>
    <n v="1"/>
    <s v="NetZeroLevel1"/>
    <n v="0"/>
    <n v="0"/>
    <n v="-1"/>
    <n v="-1"/>
    <n v="-1"/>
    <n v="3"/>
    <n v="4"/>
    <n v="100"/>
  </r>
  <r>
    <n v="0"/>
    <x v="2"/>
    <s v="yes tested"/>
    <s v="sim1"/>
    <s v="NZ-CO2S_20"/>
    <n v="0"/>
    <n v="1"/>
    <s v="NetZeroLevel1"/>
    <n v="0"/>
    <n v="0"/>
    <n v="-1"/>
    <n v="-1"/>
    <n v="-1"/>
    <n v="3"/>
    <n v="4"/>
    <n v="100"/>
  </r>
  <r>
    <n v="0"/>
    <x v="3"/>
    <s v="yes tested"/>
    <s v="base"/>
    <s v="NZ-CO2S_20"/>
    <n v="1"/>
    <n v="0"/>
    <s v="NetZeroLevel1"/>
    <n v="1"/>
    <n v="1"/>
    <n v="-1"/>
    <n v="-1"/>
    <n v="-1"/>
    <n v="3"/>
    <n v="4"/>
    <n v="9.3336672868147836"/>
  </r>
  <r>
    <n v="0"/>
    <x v="4"/>
    <s v="yes tested"/>
    <s v="base"/>
    <s v="NZ-CO2S_20"/>
    <n v="1"/>
    <n v="0"/>
    <s v="NetZeroLevel1"/>
    <n v="1"/>
    <n v="1"/>
    <n v="-1"/>
    <n v="-1"/>
    <n v="-1"/>
    <n v="3"/>
    <n v="4"/>
    <n v="7.8336672868147827"/>
  </r>
  <r>
    <n v="0"/>
    <x v="5"/>
    <s v="yes tested"/>
    <s v="base"/>
    <s v="NZ-CO2S_20"/>
    <n v="1"/>
    <n v="0"/>
    <s v="NetZeroLevel1"/>
    <n v="1"/>
    <n v="1"/>
    <n v="-1"/>
    <n v="-1"/>
    <n v="-1"/>
    <n v="3"/>
    <n v="4"/>
    <n v="6.3336672868147827"/>
  </r>
  <r>
    <n v="0"/>
    <x v="6"/>
    <s v="yes tested"/>
    <s v="base"/>
    <s v="NZ-CO2S_20"/>
    <n v="1"/>
    <n v="0"/>
    <s v="NetZeroLevel1"/>
    <n v="1"/>
    <n v="1"/>
    <n v="-1"/>
    <n v="-1"/>
    <n v="-1"/>
    <n v="3"/>
    <n v="4"/>
    <n v="4.8336672868147827"/>
  </r>
  <r>
    <n v="0"/>
    <x v="7"/>
    <s v="yes tested"/>
    <s v="base"/>
    <s v="NZ-CO2S_20"/>
    <n v="1"/>
    <n v="0"/>
    <s v="NetZeroLevel1"/>
    <n v="1"/>
    <n v="1"/>
    <n v="-1"/>
    <n v="-1"/>
    <n v="-1"/>
    <n v="3"/>
    <n v="4"/>
    <n v="5.3336672868147827"/>
  </r>
  <r>
    <n v="0"/>
    <x v="8"/>
    <s v="yes tested"/>
    <s v="base"/>
    <s v="NZ-CO2S_20DR"/>
    <n v="1"/>
    <n v="0"/>
    <s v="NetZeroLevel1"/>
    <n v="1"/>
    <n v="1"/>
    <n v="-1"/>
    <n v="-1"/>
    <n v="-1"/>
    <n v="3"/>
    <n v="4"/>
    <n v="6.3336672868147827"/>
  </r>
  <r>
    <n v="0"/>
    <x v="9"/>
    <s v="yes tested"/>
    <s v="base"/>
    <s v="NZ-CO2S_45"/>
    <n v="0"/>
    <n v="0"/>
    <s v="NetZeroLevel2"/>
    <n v="1"/>
    <n v="1"/>
    <n v="2"/>
    <n v="2"/>
    <n v="1"/>
    <n v="3"/>
    <n v="5"/>
    <n v="100"/>
  </r>
  <r>
    <n v="0"/>
    <x v="10"/>
    <s v="yes tested"/>
    <s v="base"/>
    <s v="NZ-CO2S_45"/>
    <n v="1"/>
    <n v="0"/>
    <s v="NetZeroLevel2"/>
    <n v="1"/>
    <n v="1"/>
    <n v="2"/>
    <n v="2"/>
    <n v="1"/>
    <n v="3"/>
    <n v="5"/>
    <n v="9.3336672868147836"/>
  </r>
  <r>
    <n v="0"/>
    <x v="11"/>
    <s v="yes tested"/>
    <s v="base"/>
    <s v="NZ-CO2S_45"/>
    <n v="1"/>
    <n v="0"/>
    <s v="NetZeroLevel2"/>
    <n v="1"/>
    <n v="1"/>
    <n v="2"/>
    <n v="2"/>
    <n v="1"/>
    <n v="3"/>
    <n v="5"/>
    <n v="7.8336672868147827"/>
  </r>
  <r>
    <n v="0"/>
    <x v="12"/>
    <s v="yes tested"/>
    <s v="base"/>
    <s v="NZ-CO2S_45"/>
    <n v="1"/>
    <n v="0"/>
    <s v="NetZeroLevel2"/>
    <n v="1"/>
    <n v="1"/>
    <n v="2"/>
    <n v="2"/>
    <n v="1"/>
    <n v="3"/>
    <n v="5"/>
    <n v="6.3336672868147827"/>
  </r>
  <r>
    <n v="0"/>
    <x v="13"/>
    <s v="yes tested"/>
    <s v="base"/>
    <s v="NZ-CO2S_45"/>
    <n v="1"/>
    <n v="0"/>
    <s v="NetZeroLevel2"/>
    <n v="1"/>
    <n v="1"/>
    <n v="2"/>
    <n v="2"/>
    <n v="1"/>
    <n v="3"/>
    <n v="5"/>
    <n v="4.8336672868147827"/>
  </r>
  <r>
    <n v="0"/>
    <x v="14"/>
    <s v="yes tested"/>
    <s v="base"/>
    <s v="NZ-CO2S_45"/>
    <n v="1"/>
    <n v="0"/>
    <s v="NetZeroLevel2"/>
    <n v="1"/>
    <n v="1"/>
    <n v="2"/>
    <n v="2"/>
    <n v="1"/>
    <n v="3"/>
    <n v="5"/>
    <n v="5.3336672868147827"/>
  </r>
  <r>
    <n v="0"/>
    <x v="15"/>
    <s v="yes tested"/>
    <s v="base"/>
    <s v="NZ-CO2S_45DR"/>
    <n v="1"/>
    <n v="0"/>
    <s v="NetZeroLevel2"/>
    <n v="1"/>
    <n v="1"/>
    <n v="2"/>
    <n v="2"/>
    <n v="1"/>
    <n v="3"/>
    <n v="5"/>
    <n v="6.3336672868147827"/>
  </r>
  <r>
    <n v="0"/>
    <x v="16"/>
    <s v="yes tested"/>
    <s v="base"/>
    <s v="NZ-CO2S_20_5"/>
    <n v="0"/>
    <n v="0"/>
    <s v="NetZeroLevel1"/>
    <n v="1"/>
    <n v="1"/>
    <n v="-1"/>
    <n v="-1"/>
    <n v="-1"/>
    <n v="3"/>
    <n v="4"/>
    <n v="5.3336672868147827"/>
  </r>
  <r>
    <n v="0"/>
    <x v="17"/>
    <s v="yes tested"/>
    <s v="base"/>
    <s v="NZ-CO2S_45"/>
    <n v="0"/>
    <n v="0"/>
    <s v="NetZeroLevel1"/>
    <n v="1"/>
    <n v="1"/>
    <n v="-1"/>
    <n v="-1"/>
    <n v="-1"/>
    <n v="3"/>
    <n v="4"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  <r>
    <m/>
    <x v="18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0"/>
    <x v="0"/>
    <s v="yes tested"/>
    <x v="0"/>
    <x v="0"/>
    <n v="0"/>
    <n v="1"/>
    <s v="No Pams"/>
    <n v="1"/>
    <n v="1"/>
    <n v="-1"/>
    <n v="-1"/>
    <n v="-1"/>
    <n v="1"/>
    <n v="-1"/>
    <n v="100"/>
  </r>
  <r>
    <n v="1"/>
    <x v="1"/>
    <s v="yes tested"/>
    <x v="0"/>
    <x v="1"/>
    <n v="0"/>
    <n v="1"/>
    <s v="NetZeroLevel1"/>
    <n v="0"/>
    <n v="0"/>
    <n v="-1"/>
    <n v="-1"/>
    <n v="-1"/>
    <n v="3"/>
    <n v="4"/>
    <n v="100"/>
  </r>
  <r>
    <n v="0"/>
    <x v="2"/>
    <s v="yes tested"/>
    <x v="1"/>
    <x v="1"/>
    <n v="0"/>
    <n v="1"/>
    <s v="NetZeroLevel1"/>
    <n v="0"/>
    <n v="0"/>
    <n v="-1"/>
    <n v="-1"/>
    <n v="-1"/>
    <n v="3"/>
    <n v="4"/>
    <n v="100"/>
  </r>
  <r>
    <n v="0"/>
    <x v="3"/>
    <s v="yes tested"/>
    <x v="0"/>
    <x v="1"/>
    <n v="1"/>
    <n v="0"/>
    <s v="NetZeroLevel1"/>
    <n v="1"/>
    <n v="1"/>
    <n v="-1"/>
    <n v="-1"/>
    <n v="-1"/>
    <n v="3"/>
    <n v="4"/>
    <n v="9.3336672868147836"/>
  </r>
  <r>
    <n v="0"/>
    <x v="4"/>
    <s v="yes tested"/>
    <x v="0"/>
    <x v="1"/>
    <n v="1"/>
    <n v="0"/>
    <s v="NetZeroLevel1"/>
    <n v="1"/>
    <n v="1"/>
    <n v="-1"/>
    <n v="-1"/>
    <n v="-1"/>
    <n v="3"/>
    <n v="4"/>
    <n v="7.8336672868147827"/>
  </r>
  <r>
    <n v="0"/>
    <x v="5"/>
    <s v="yes tested"/>
    <x v="0"/>
    <x v="1"/>
    <n v="1"/>
    <n v="0"/>
    <s v="NetZeroLevel1"/>
    <n v="1"/>
    <n v="1"/>
    <n v="-1"/>
    <n v="-1"/>
    <n v="-1"/>
    <n v="3"/>
    <n v="4"/>
    <n v="6.3336672868147827"/>
  </r>
  <r>
    <n v="0"/>
    <x v="6"/>
    <s v="yes tested"/>
    <x v="0"/>
    <x v="1"/>
    <n v="1"/>
    <n v="0"/>
    <s v="NetZeroLevel1"/>
    <n v="1"/>
    <n v="1"/>
    <n v="-1"/>
    <n v="-1"/>
    <n v="-1"/>
    <n v="3"/>
    <n v="4"/>
    <n v="4.8336672868147827"/>
  </r>
  <r>
    <n v="0"/>
    <x v="7"/>
    <s v="yes tested"/>
    <x v="0"/>
    <x v="1"/>
    <n v="1"/>
    <n v="0"/>
    <s v="NetZeroLevel1"/>
    <n v="1"/>
    <n v="1"/>
    <n v="-1"/>
    <n v="-1"/>
    <n v="-1"/>
    <n v="3"/>
    <n v="4"/>
    <n v="5.3336672868147827"/>
  </r>
  <r>
    <n v="0"/>
    <x v="8"/>
    <s v="yes tested"/>
    <x v="0"/>
    <x v="2"/>
    <n v="1"/>
    <n v="0"/>
    <s v="NetZeroLevel1"/>
    <n v="1"/>
    <n v="1"/>
    <n v="-1"/>
    <n v="-1"/>
    <n v="-1"/>
    <n v="3"/>
    <n v="4"/>
    <n v="6.3336672868147827"/>
  </r>
  <r>
    <n v="0"/>
    <x v="9"/>
    <s v="yes tested"/>
    <x v="0"/>
    <x v="3"/>
    <n v="0"/>
    <n v="0"/>
    <s v="NetZeroLevel2"/>
    <n v="1"/>
    <n v="1"/>
    <n v="2"/>
    <n v="2"/>
    <n v="1"/>
    <n v="3"/>
    <n v="5"/>
    <n v="100"/>
  </r>
  <r>
    <n v="0"/>
    <x v="10"/>
    <s v="yes tested"/>
    <x v="0"/>
    <x v="3"/>
    <n v="1"/>
    <n v="0"/>
    <s v="NetZeroLevel2"/>
    <n v="1"/>
    <n v="1"/>
    <n v="2"/>
    <n v="2"/>
    <n v="1"/>
    <n v="3"/>
    <n v="5"/>
    <n v="9.3336672868147836"/>
  </r>
  <r>
    <n v="0"/>
    <x v="11"/>
    <s v="yes tested"/>
    <x v="0"/>
    <x v="3"/>
    <n v="1"/>
    <n v="0"/>
    <s v="NetZeroLevel2"/>
    <n v="1"/>
    <n v="1"/>
    <n v="2"/>
    <n v="2"/>
    <n v="1"/>
    <n v="3"/>
    <n v="5"/>
    <n v="7.8336672868147827"/>
  </r>
  <r>
    <n v="0"/>
    <x v="12"/>
    <s v="yes tested"/>
    <x v="0"/>
    <x v="3"/>
    <n v="1"/>
    <n v="0"/>
    <s v="NetZeroLevel2"/>
    <n v="1"/>
    <n v="1"/>
    <n v="2"/>
    <n v="2"/>
    <n v="1"/>
    <n v="3"/>
    <n v="5"/>
    <n v="6.3336672868147827"/>
  </r>
  <r>
    <n v="0"/>
    <x v="13"/>
    <s v="yes tested"/>
    <x v="0"/>
    <x v="3"/>
    <n v="1"/>
    <n v="0"/>
    <s v="NetZeroLevel2"/>
    <n v="1"/>
    <n v="1"/>
    <n v="2"/>
    <n v="2"/>
    <n v="1"/>
    <n v="3"/>
    <n v="5"/>
    <n v="4.8336672868147827"/>
  </r>
  <r>
    <n v="0"/>
    <x v="14"/>
    <s v="yes tested"/>
    <x v="0"/>
    <x v="3"/>
    <n v="1"/>
    <n v="0"/>
    <s v="NetZeroLevel2"/>
    <n v="1"/>
    <n v="1"/>
    <n v="2"/>
    <n v="2"/>
    <n v="1"/>
    <n v="3"/>
    <n v="5"/>
    <n v="5.3336672868147827"/>
  </r>
  <r>
    <n v="0"/>
    <x v="15"/>
    <s v="yes tested"/>
    <x v="0"/>
    <x v="4"/>
    <n v="1"/>
    <n v="0"/>
    <s v="NetZeroLevel2"/>
    <n v="1"/>
    <n v="1"/>
    <n v="2"/>
    <n v="2"/>
    <n v="1"/>
    <n v="3"/>
    <n v="5"/>
    <n v="6.3336672868147827"/>
  </r>
  <r>
    <n v="0"/>
    <x v="16"/>
    <s v="yes tested"/>
    <x v="0"/>
    <x v="5"/>
    <n v="0"/>
    <n v="0"/>
    <s v="NetZeroLevel1"/>
    <n v="1"/>
    <n v="1"/>
    <n v="-1"/>
    <n v="-1"/>
    <n v="-1"/>
    <n v="3"/>
    <n v="4"/>
    <n v="5.3336672868147827"/>
  </r>
  <r>
    <n v="0"/>
    <x v="17"/>
    <s v="yes tested"/>
    <x v="0"/>
    <x v="3"/>
    <n v="0"/>
    <n v="0"/>
    <s v="NetZeroLevel1"/>
    <n v="1"/>
    <n v="1"/>
    <n v="-1"/>
    <n v="-1"/>
    <n v="-1"/>
    <n v="3"/>
    <n v="4"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  <r>
    <m/>
    <x v="18"/>
    <m/>
    <x v="2"/>
    <x v="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2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5" firstHeaderRow="1" firstDataRow="1" firstDataCol="1"/>
  <pivotFields count="16">
    <pivotField showAll="0"/>
    <pivotField axis="axisRow" showAll="0" sortType="ascending">
      <items count="21">
        <item m="1" x="19"/>
        <item x="1"/>
        <item x="2"/>
        <item x="0"/>
        <item x="3"/>
        <item x="6"/>
        <item x="16"/>
        <item x="7"/>
        <item x="5"/>
        <item x="8"/>
        <item x="4"/>
        <item x="10"/>
        <item x="13"/>
        <item x="14"/>
        <item x="12"/>
        <item x="15"/>
        <item x="11"/>
        <item x="9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3" firstHeaderRow="1" firstDataRow="1" firstDataCol="1"/>
  <pivotFields count="16">
    <pivotField showAll="0"/>
    <pivotField showAll="0"/>
    <pivotField showAll="0"/>
    <pivotField showAll="0"/>
    <pivotField axis="axisRow" showAll="0">
      <items count="103">
        <item m="1" x="61"/>
        <item m="1" x="43"/>
        <item m="1" x="36"/>
        <item x="6"/>
        <item m="1" x="42"/>
        <item m="1" x="17"/>
        <item m="1" x="53"/>
        <item m="1" x="66"/>
        <item m="1" x="39"/>
        <item m="1" x="44"/>
        <item m="1" x="40"/>
        <item m="1" x="28"/>
        <item m="1" x="9"/>
        <item m="1" x="51"/>
        <item m="1" x="8"/>
        <item m="1" x="91"/>
        <item m="1" x="24"/>
        <item m="1" x="77"/>
        <item m="1" x="86"/>
        <item m="1" x="29"/>
        <item m="1" x="25"/>
        <item m="1" x="80"/>
        <item m="1" x="55"/>
        <item m="1" x="56"/>
        <item m="1" x="78"/>
        <item m="1" x="34"/>
        <item m="1" x="74"/>
        <item m="1" x="12"/>
        <item m="1" x="19"/>
        <item m="1" x="99"/>
        <item m="1" x="63"/>
        <item m="1" x="87"/>
        <item m="1" x="46"/>
        <item m="1" x="89"/>
        <item m="1" x="94"/>
        <item m="1" x="49"/>
        <item m="1" x="64"/>
        <item m="1" x="60"/>
        <item m="1" x="85"/>
        <item m="1" x="83"/>
        <item m="1" x="21"/>
        <item m="1" x="96"/>
        <item m="1" x="58"/>
        <item m="1" x="73"/>
        <item m="1" x="82"/>
        <item m="1" x="97"/>
        <item m="1" x="101"/>
        <item m="1" x="47"/>
        <item m="1" x="38"/>
        <item m="1" x="37"/>
        <item m="1" x="67"/>
        <item m="1" x="41"/>
        <item m="1" x="71"/>
        <item m="1" x="18"/>
        <item m="1" x="50"/>
        <item m="1" x="70"/>
        <item m="1" x="84"/>
        <item m="1" x="48"/>
        <item m="1" x="45"/>
        <item m="1" x="15"/>
        <item m="1" x="90"/>
        <item m="1" x="23"/>
        <item m="1" x="30"/>
        <item m="1" x="54"/>
        <item m="1" x="62"/>
        <item m="1" x="31"/>
        <item m="1" x="11"/>
        <item m="1" x="57"/>
        <item m="1" x="65"/>
        <item m="1" x="26"/>
        <item m="1" x="76"/>
        <item m="1" x="88"/>
        <item m="1" x="52"/>
        <item m="1" x="27"/>
        <item m="1" x="32"/>
        <item m="1" x="22"/>
        <item m="1" x="68"/>
        <item m="1" x="10"/>
        <item m="1" x="72"/>
        <item m="1" x="81"/>
        <item m="1" x="95"/>
        <item m="1" x="79"/>
        <item m="1" x="93"/>
        <item m="1" x="100"/>
        <item m="1" x="33"/>
        <item m="1" x="75"/>
        <item m="1" x="98"/>
        <item m="1" x="16"/>
        <item m="1" x="20"/>
        <item m="1" x="35"/>
        <item m="1" x="59"/>
        <item m="1" x="13"/>
        <item m="1" x="14"/>
        <item m="1" x="7"/>
        <item x="1"/>
        <item m="1" x="92"/>
        <item x="2"/>
        <item x="3"/>
        <item x="4"/>
        <item x="5"/>
        <item m="1" x="69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 v="3"/>
    </i>
    <i>
      <x v="94"/>
    </i>
    <i>
      <x v="96"/>
    </i>
    <i>
      <x v="97"/>
    </i>
    <i>
      <x v="98"/>
    </i>
    <i>
      <x v="99"/>
    </i>
    <i>
      <x v="1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5" firstHeaderRow="1" firstDataRow="1" firstDataCol="1"/>
  <pivotFields count="16">
    <pivotField showAll="0"/>
    <pivotField axis="axisRow" showAll="0">
      <items count="21">
        <item x="18"/>
        <item m="1" x="19"/>
        <item x="17"/>
        <item x="0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6"/>
        <item x="16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5" firstHeaderRow="1" firstDataRow="1" firstDataCol="1"/>
  <pivotFields count="16">
    <pivotField showAll="0"/>
    <pivotField axis="axisRow" showAll="0">
      <items count="21">
        <item x="18"/>
        <item m="1" x="19"/>
        <item x="17"/>
        <item x="0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6"/>
        <item x="16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5" firstHeaderRow="1" firstDataRow="1" firstDataCol="1"/>
  <pivotFields count="16">
    <pivotField showAll="0"/>
    <pivotField axis="axisRow" showAll="0">
      <items count="21">
        <item x="18"/>
        <item m="1" x="19"/>
        <item x="17"/>
        <item x="0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6"/>
        <item x="16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5" firstHeaderRow="1" firstDataRow="1" firstDataCol="1"/>
  <pivotFields count="16">
    <pivotField showAll="0"/>
    <pivotField axis="axisRow" showAll="0">
      <items count="21">
        <item x="18"/>
        <item m="1" x="19"/>
        <item x="17"/>
        <item x="0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6"/>
        <item x="16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5" firstHeaderRow="1" firstDataRow="1" firstDataCol="1"/>
  <pivotFields count="16">
    <pivotField showAll="0"/>
    <pivotField axis="axisRow" showAll="0">
      <items count="21">
        <item x="18"/>
        <item m="1" x="19"/>
        <item x="17"/>
        <item x="0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6"/>
        <item x="16"/>
        <item x="1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57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5" firstHeaderRow="1" firstDataRow="1" firstDataCol="1"/>
  <pivotFields count="16">
    <pivotField dataField="1" showAll="0"/>
    <pivotField axis="axisRow" showAll="0">
      <items count="21">
        <item x="18"/>
        <item m="1" x="19"/>
        <item x="17"/>
        <item x="0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6"/>
        <item x="16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">
        <item x="18"/>
        <item m="1" x="19"/>
        <item x="17"/>
        <item x="0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6"/>
        <item x="16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9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">
        <item x="18"/>
        <item m="1" x="19"/>
        <item x="17"/>
        <item x="0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6"/>
        <item x="16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2">
        <item m="1" x="61"/>
        <item m="1" x="43"/>
        <item m="1" x="36"/>
        <item x="6"/>
        <item m="1" x="42"/>
        <item m="1" x="17"/>
        <item m="1" x="53"/>
        <item m="1" x="66"/>
        <item m="1" x="39"/>
        <item m="1" x="44"/>
        <item m="1" x="40"/>
        <item m="1" x="28"/>
        <item m="1" x="9"/>
        <item m="1" x="51"/>
        <item m="1" x="8"/>
        <item m="1" x="91"/>
        <item m="1" x="24"/>
        <item m="1" x="77"/>
        <item m="1" x="86"/>
        <item m="1" x="29"/>
        <item m="1" x="25"/>
        <item m="1" x="80"/>
        <item m="1" x="55"/>
        <item m="1" x="56"/>
        <item m="1" x="78"/>
        <item m="1" x="34"/>
        <item m="1" x="74"/>
        <item m="1" x="12"/>
        <item m="1" x="19"/>
        <item m="1" x="99"/>
        <item m="1" x="63"/>
        <item m="1" x="87"/>
        <item m="1" x="46"/>
        <item m="1" x="89"/>
        <item m="1" x="94"/>
        <item m="1" x="49"/>
        <item m="1" x="64"/>
        <item m="1" x="60"/>
        <item m="1" x="85"/>
        <item m="1" x="83"/>
        <item m="1" x="21"/>
        <item m="1" x="96"/>
        <item m="1" x="58"/>
        <item m="1" x="73"/>
        <item m="1" x="82"/>
        <item m="1" x="97"/>
        <item m="1" x="101"/>
        <item m="1" x="47"/>
        <item m="1" x="38"/>
        <item m="1" x="37"/>
        <item m="1" x="67"/>
        <item m="1" x="41"/>
        <item m="1" x="71"/>
        <item m="1" x="18"/>
        <item m="1" x="50"/>
        <item m="1" x="70"/>
        <item m="1" x="84"/>
        <item m="1" x="48"/>
        <item m="1" x="45"/>
        <item m="1" x="15"/>
        <item m="1" x="90"/>
        <item m="1" x="23"/>
        <item m="1" x="30"/>
        <item m="1" x="54"/>
        <item m="1" x="62"/>
        <item m="1" x="31"/>
        <item m="1" x="11"/>
        <item m="1" x="57"/>
        <item m="1" x="65"/>
        <item m="1" x="26"/>
        <item m="1" x="76"/>
        <item m="1" x="88"/>
        <item m="1" x="52"/>
        <item m="1" x="27"/>
        <item m="1" x="32"/>
        <item m="1" x="22"/>
        <item m="1" x="68"/>
        <item m="1" x="10"/>
        <item m="1" x="72"/>
        <item m="1" x="81"/>
        <item m="1" x="95"/>
        <item m="1" x="79"/>
        <item m="1" x="93"/>
        <item m="1" x="100"/>
        <item m="1" x="33"/>
        <item m="1" x="75"/>
        <item m="1" x="98"/>
        <item m="1" x="16"/>
        <item m="1" x="20"/>
        <item m="1" x="35"/>
        <item m="1" x="59"/>
        <item m="1" x="13"/>
        <item m="1" x="14"/>
        <item m="1" x="7"/>
        <item x="1"/>
        <item m="1" x="92"/>
        <item x="2"/>
        <item x="3"/>
        <item x="4"/>
        <item x="5"/>
        <item m="1" x="6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9">
    <i>
      <x/>
      <x v="3"/>
    </i>
    <i>
      <x v="2"/>
      <x v="97"/>
    </i>
    <i>
      <x v="3"/>
      <x v="101"/>
    </i>
    <i>
      <x v="4"/>
      <x v="94"/>
    </i>
    <i>
      <x v="5"/>
      <x v="94"/>
    </i>
    <i>
      <x v="6"/>
      <x v="94"/>
    </i>
    <i>
      <x v="7"/>
      <x v="94"/>
    </i>
    <i>
      <x v="8"/>
      <x v="96"/>
    </i>
    <i>
      <x v="9"/>
      <x v="97"/>
    </i>
    <i>
      <x v="10"/>
      <x v="97"/>
    </i>
    <i>
      <x v="11"/>
      <x v="97"/>
    </i>
    <i>
      <x v="12"/>
      <x v="97"/>
    </i>
    <i>
      <x v="13"/>
      <x v="97"/>
    </i>
    <i>
      <x v="14"/>
      <x v="97"/>
    </i>
    <i>
      <x v="15"/>
      <x v="98"/>
    </i>
    <i>
      <x v="16"/>
      <x v="94"/>
    </i>
    <i>
      <x v="17"/>
      <x v="99"/>
    </i>
    <i>
      <x v="18"/>
      <x v="94"/>
    </i>
    <i>
      <x v="19"/>
      <x v="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5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5" firstHeaderRow="0" firstDataRow="1" firstDataCol="1"/>
  <pivotFields count="16">
    <pivotField showAll="0"/>
    <pivotField axis="axisRow" showAll="0">
      <items count="21">
        <item x="18"/>
        <item m="1" x="19"/>
        <item x="17"/>
        <item x="0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6"/>
        <item x="16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5F67BAED-586E-4EF1-B7AE-ED835509C632}">
    <text>Note that there is still a problem running with other cases here - still looking into it.</text>
  </threadedComment>
  <threadedComment ref="D11" dT="2020-08-07T12:32:29.60" personId="{8A307EF1-062C-4DD1-801F-D45833AE4B68}" id="{B0B4E6CE-63BB-47DC-A15C-D7359C6FCD5C}">
    <text>Note that there is still a problem running with other cases here - still looking into it.</text>
  </threadedComment>
  <threadedComment ref="D12" dT="2020-08-07T12:32:29.60" personId="{8A307EF1-062C-4DD1-801F-D45833AE4B68}" id="{EBC61254-95DA-44F9-810D-99A6F9189750}">
    <text>Note that there is still a problem running with other cases here - still looking into it.</text>
  </threadedComment>
  <threadedComment ref="D13" dT="2020-08-07T12:32:29.60" personId="{8A307EF1-062C-4DD1-801F-D45833AE4B68}" id="{93ABDA6A-1652-4292-A131-C990EEA947E6}">
    <text>Note that there is still a problem running with other cases here - still looking into it.</text>
  </threadedComment>
  <threadedComment ref="D14" dT="2020-08-07T12:32:29.60" personId="{8A307EF1-062C-4DD1-801F-D45833AE4B68}" id="{DFD44EEA-977B-4ECB-876D-F5010E7D4804}">
    <text>Note that there is still a problem running with other cases here - still looking into it.</text>
  </threadedComment>
  <threadedComment ref="D17" dT="2020-08-07T12:32:29.60" personId="{8A307EF1-062C-4DD1-801F-D45833AE4B68}" id="{3A629425-736C-49FF-8B83-3FBBBC12C4CE}">
    <text>Note that there is still a problem running with other cases here - still looking into it.</text>
  </threadedComment>
  <threadedComment ref="D18" dT="2020-08-07T12:32:29.60" personId="{8A307EF1-062C-4DD1-801F-D45833AE4B68}" id="{1C864FC3-D9AD-41B0-BB83-5D59B158B6DC}">
    <text>Note that there is still a problem running with other cases here - still looking into it.</text>
  </threadedComment>
  <threadedComment ref="D19" dT="2020-08-07T12:32:29.60" personId="{8A307EF1-062C-4DD1-801F-D45833AE4B68}" id="{E2C58BA3-8E96-48DD-96F6-B312B36AF7B8}">
    <text>Note that there is still a problem running with other cases here - still looking into it.</text>
  </threadedComment>
  <threadedComment ref="D20" dT="2020-08-07T12:32:29.60" personId="{8A307EF1-062C-4DD1-801F-D45833AE4B68}" id="{D4F28829-6F06-4015-91A2-E5358698D356}">
    <text>Note that there is still a problem running with other cases here - still looking into it.</text>
  </threadedComment>
  <threadedComment ref="D21" dT="2020-08-07T12:32:29.60" personId="{8A307EF1-062C-4DD1-801F-D45833AE4B68}" id="{1560DC41-71ED-4C21-B2A0-F3EB01A6DD7A}">
    <text>Note that there is still a problem running with other cases here - still looking into it.</text>
  </threadedComment>
  <threadedComment ref="D22" dT="2020-08-07T12:32:29.60" personId="{8A307EF1-062C-4DD1-801F-D45833AE4B68}" id="{2D943B9D-EFD2-4173-B43D-CC9F5CA8E974}">
    <text>Note that there is still a problem running with other cases here - still looking into it.</text>
  </threadedComment>
  <threadedComment ref="D23" dT="2020-08-07T12:32:29.60" personId="{8A307EF1-062C-4DD1-801F-D45833AE4B68}" id="{9640B635-0C50-4136-8F3A-7FDE45142AC7}">
    <text>Note that there is still a problem running with other cases here - still looking into it.</text>
  </threadedComment>
  <threadedComment ref="D24" dT="2020-08-07T12:32:29.60" personId="{8A307EF1-062C-4DD1-801F-D45833AE4B68}" id="{E7CD9760-36B6-4582-99F8-DB90F7945B53}">
    <text>Note that there is still a problem running with other cases here - still looking into it.</text>
  </threadedComment>
  <threadedComment ref="D25" dT="2020-08-07T12:32:29.60" personId="{8A307EF1-062C-4DD1-801F-D45833AE4B68}" id="{B6604738-1FCC-41EE-B03D-9C4A5AEF52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abSelected="1" workbookViewId="0">
      <selection activeCell="A5" sqref="A5"/>
    </sheetView>
  </sheetViews>
  <sheetFormatPr defaultRowHeight="15"/>
  <cols>
    <col min="1" max="1" width="17.85546875" bestFit="1" customWidth="1"/>
    <col min="2" max="2" width="14.28515625" style="7" bestFit="1" customWidth="1"/>
    <col min="3" max="3" width="13.140625" style="7" customWidth="1"/>
    <col min="4" max="4" width="13.140625" style="7" bestFit="1" customWidth="1"/>
    <col min="5" max="5" width="17.85546875" style="7" bestFit="1" customWidth="1"/>
    <col min="6" max="6" width="23" style="7" bestFit="1" customWidth="1"/>
    <col min="7" max="7" width="17.85546875" style="7" bestFit="1" customWidth="1"/>
    <col min="8" max="8" width="19.85546875" style="7" bestFit="1" customWidth="1"/>
    <col min="9" max="9" width="17.85546875" style="7" bestFit="1" customWidth="1"/>
    <col min="10" max="10" width="18.5703125" style="7" bestFit="1" customWidth="1"/>
    <col min="11" max="11" width="17.85546875" style="7" bestFit="1" customWidth="1"/>
    <col min="12" max="12" width="20.7109375" style="7" bestFit="1" customWidth="1"/>
    <col min="13" max="13" width="17.855468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7.855468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7.855468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244</v>
      </c>
      <c r="B8" s="13" t="s">
        <v>221</v>
      </c>
      <c r="C8" s="13" t="s">
        <v>31</v>
      </c>
      <c r="D8" s="13" t="s">
        <v>193</v>
      </c>
      <c r="E8" s="13" t="s">
        <v>218</v>
      </c>
      <c r="F8" s="3">
        <v>0</v>
      </c>
      <c r="G8" s="13" t="s">
        <v>218</v>
      </c>
      <c r="H8" s="3">
        <v>0</v>
      </c>
      <c r="I8" s="13" t="s">
        <v>218</v>
      </c>
      <c r="J8" s="3">
        <v>0</v>
      </c>
      <c r="K8" s="13" t="s">
        <v>218</v>
      </c>
      <c r="L8" s="3">
        <v>1</v>
      </c>
      <c r="M8" s="13" t="s">
        <v>218</v>
      </c>
      <c r="N8" s="3">
        <v>1</v>
      </c>
      <c r="O8" s="7" t="s">
        <v>218</v>
      </c>
      <c r="P8" s="7" t="s">
        <v>230</v>
      </c>
      <c r="Q8" s="7" t="s">
        <v>218</v>
      </c>
      <c r="R8" s="7" t="s">
        <v>30</v>
      </c>
      <c r="S8" s="13" t="s">
        <v>218</v>
      </c>
      <c r="T8" s="3">
        <v>-1</v>
      </c>
      <c r="U8" s="3">
        <v>-1</v>
      </c>
      <c r="V8" s="3">
        <v>-1</v>
      </c>
      <c r="W8" s="3">
        <v>3</v>
      </c>
      <c r="X8" s="3">
        <v>4</v>
      </c>
      <c r="Y8" s="3"/>
      <c r="Z8" s="3"/>
      <c r="AA8" s="13" t="s">
        <v>218</v>
      </c>
      <c r="AB8" s="3"/>
      <c r="AC8" s="3"/>
      <c r="AD8" s="14">
        <v>2013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220</v>
      </c>
      <c r="B9" s="13" t="s">
        <v>228</v>
      </c>
      <c r="C9" s="13" t="s">
        <v>32</v>
      </c>
      <c r="D9" s="13" t="s">
        <v>31</v>
      </c>
      <c r="E9" s="13" t="s">
        <v>220</v>
      </c>
      <c r="F9" s="3">
        <v>0</v>
      </c>
      <c r="G9" s="13" t="s">
        <v>220</v>
      </c>
      <c r="H9" s="3">
        <v>0</v>
      </c>
      <c r="I9" s="13" t="s">
        <v>220</v>
      </c>
      <c r="J9" s="3">
        <v>1</v>
      </c>
      <c r="K9" s="13" t="s">
        <v>220</v>
      </c>
      <c r="L9" s="3">
        <v>1</v>
      </c>
      <c r="M9" s="13" t="s">
        <v>220</v>
      </c>
      <c r="N9" s="3">
        <v>1</v>
      </c>
      <c r="O9" s="7" t="s">
        <v>220</v>
      </c>
      <c r="P9" s="7" t="s">
        <v>242</v>
      </c>
      <c r="Q9" s="7" t="s">
        <v>220</v>
      </c>
      <c r="R9" s="7" t="s">
        <v>30</v>
      </c>
      <c r="S9" s="13" t="s">
        <v>220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220</v>
      </c>
      <c r="AB9" s="3">
        <v>100</v>
      </c>
      <c r="AC9" s="3"/>
      <c r="AD9" s="14">
        <v>2014</v>
      </c>
      <c r="AE9" s="14" t="str">
        <f t="shared" ref="AE9:AE13" si="0"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222</v>
      </c>
      <c r="B10" s="13" t="s">
        <v>230</v>
      </c>
      <c r="C10" s="13" t="s">
        <v>46</v>
      </c>
      <c r="D10"/>
      <c r="E10" s="13" t="s">
        <v>222</v>
      </c>
      <c r="F10" s="3">
        <v>0</v>
      </c>
      <c r="G10" s="13" t="s">
        <v>222</v>
      </c>
      <c r="H10" s="3">
        <v>1</v>
      </c>
      <c r="I10" s="13" t="s">
        <v>222</v>
      </c>
      <c r="J10" s="3">
        <v>0</v>
      </c>
      <c r="K10" s="13" t="s">
        <v>222</v>
      </c>
      <c r="L10" s="3">
        <v>1</v>
      </c>
      <c r="M10" s="13" t="s">
        <v>222</v>
      </c>
      <c r="N10" s="3">
        <v>1</v>
      </c>
      <c r="O10" s="7" t="s">
        <v>222</v>
      </c>
      <c r="P10" s="7" t="s">
        <v>221</v>
      </c>
      <c r="Q10" s="7" t="s">
        <v>222</v>
      </c>
      <c r="R10" s="7" t="s">
        <v>30</v>
      </c>
      <c r="S10" s="13" t="s">
        <v>222</v>
      </c>
      <c r="T10" s="3">
        <v>-1</v>
      </c>
      <c r="U10" s="3">
        <v>-1</v>
      </c>
      <c r="V10" s="3">
        <v>-1</v>
      </c>
      <c r="W10" s="3">
        <v>3</v>
      </c>
      <c r="X10" s="3">
        <v>4</v>
      </c>
      <c r="Y10" s="3"/>
      <c r="Z10" s="3"/>
      <c r="AA10" s="13" t="s">
        <v>222</v>
      </c>
      <c r="AB10" s="3">
        <v>9.3336672868147836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225</v>
      </c>
      <c r="B11" s="13" t="s">
        <v>237</v>
      </c>
      <c r="C11" s="13" t="s">
        <v>47</v>
      </c>
      <c r="D11"/>
      <c r="E11" s="13" t="s">
        <v>223</v>
      </c>
      <c r="F11" s="3">
        <v>0</v>
      </c>
      <c r="G11" s="13" t="s">
        <v>223</v>
      </c>
      <c r="H11" s="3">
        <v>1</v>
      </c>
      <c r="I11" s="13" t="s">
        <v>223</v>
      </c>
      <c r="J11" s="3">
        <v>0</v>
      </c>
      <c r="K11" s="13" t="s">
        <v>223</v>
      </c>
      <c r="L11" s="3">
        <v>1</v>
      </c>
      <c r="M11" s="13" t="s">
        <v>223</v>
      </c>
      <c r="N11" s="3">
        <v>1</v>
      </c>
      <c r="O11" s="7" t="s">
        <v>223</v>
      </c>
      <c r="P11" s="7" t="s">
        <v>221</v>
      </c>
      <c r="Q11" s="7" t="s">
        <v>223</v>
      </c>
      <c r="R11" s="7" t="s">
        <v>30</v>
      </c>
      <c r="S11" s="13" t="s">
        <v>223</v>
      </c>
      <c r="T11" s="3">
        <v>-1</v>
      </c>
      <c r="U11" s="3">
        <v>-1</v>
      </c>
      <c r="V11" s="3">
        <v>-1</v>
      </c>
      <c r="W11" s="3">
        <v>3</v>
      </c>
      <c r="X11" s="3">
        <v>4</v>
      </c>
      <c r="Y11" s="3"/>
      <c r="Z11" s="3"/>
      <c r="AA11" s="13" t="s">
        <v>223</v>
      </c>
      <c r="AB11" s="3">
        <v>7.8336672868147827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239</v>
      </c>
      <c r="B12" s="13" t="s">
        <v>238</v>
      </c>
      <c r="C12" s="13" t="s">
        <v>48</v>
      </c>
      <c r="D12" s="13"/>
      <c r="E12" s="13" t="s">
        <v>224</v>
      </c>
      <c r="F12" s="3">
        <v>0</v>
      </c>
      <c r="G12" s="13" t="s">
        <v>224</v>
      </c>
      <c r="H12" s="3">
        <v>1</v>
      </c>
      <c r="I12" s="13" t="s">
        <v>224</v>
      </c>
      <c r="J12" s="3">
        <v>0</v>
      </c>
      <c r="K12" s="13" t="s">
        <v>224</v>
      </c>
      <c r="L12" s="3">
        <v>1</v>
      </c>
      <c r="M12" s="13" t="s">
        <v>224</v>
      </c>
      <c r="N12" s="3">
        <v>1</v>
      </c>
      <c r="O12" s="7" t="s">
        <v>224</v>
      </c>
      <c r="P12" s="7" t="s">
        <v>221</v>
      </c>
      <c r="Q12" s="7" t="s">
        <v>224</v>
      </c>
      <c r="R12" s="7" t="s">
        <v>30</v>
      </c>
      <c r="S12" s="13" t="s">
        <v>224</v>
      </c>
      <c r="T12" s="3">
        <v>-1</v>
      </c>
      <c r="U12" s="3">
        <v>-1</v>
      </c>
      <c r="V12" s="3">
        <v>-1</v>
      </c>
      <c r="W12" s="3">
        <v>3</v>
      </c>
      <c r="X12" s="3">
        <v>4</v>
      </c>
      <c r="Y12" s="3"/>
      <c r="Z12" s="3"/>
      <c r="AA12" s="13" t="s">
        <v>224</v>
      </c>
      <c r="AB12" s="3">
        <v>6.3336672868147827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226</v>
      </c>
      <c r="B13" s="13" t="s">
        <v>242</v>
      </c>
      <c r="C13" s="13" t="s">
        <v>49</v>
      </c>
      <c r="D13" s="13"/>
      <c r="E13" s="13" t="s">
        <v>226</v>
      </c>
      <c r="F13" s="3">
        <v>0</v>
      </c>
      <c r="G13" s="13" t="s">
        <v>226</v>
      </c>
      <c r="H13" s="3">
        <v>1</v>
      </c>
      <c r="I13" s="13" t="s">
        <v>226</v>
      </c>
      <c r="J13" s="3">
        <v>0</v>
      </c>
      <c r="K13" s="13" t="s">
        <v>226</v>
      </c>
      <c r="L13" s="3">
        <v>1</v>
      </c>
      <c r="M13" s="13" t="s">
        <v>226</v>
      </c>
      <c r="N13" s="3">
        <v>1</v>
      </c>
      <c r="O13" s="7" t="s">
        <v>226</v>
      </c>
      <c r="P13" s="7" t="s">
        <v>221</v>
      </c>
      <c r="Q13" s="7" t="s">
        <v>226</v>
      </c>
      <c r="R13" s="7" t="s">
        <v>30</v>
      </c>
      <c r="S13" s="13" t="s">
        <v>226</v>
      </c>
      <c r="T13" s="3">
        <v>-1</v>
      </c>
      <c r="U13" s="3">
        <v>-1</v>
      </c>
      <c r="V13" s="3">
        <v>-1</v>
      </c>
      <c r="W13" s="3">
        <v>3</v>
      </c>
      <c r="X13" s="3">
        <v>4</v>
      </c>
      <c r="Y13" s="3"/>
      <c r="Z13" s="3"/>
      <c r="AA13" s="13" t="s">
        <v>226</v>
      </c>
      <c r="AB13" s="3">
        <v>5.3336672868147827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224</v>
      </c>
      <c r="B14"/>
      <c r="C14" s="13" t="s">
        <v>50</v>
      </c>
      <c r="D14" s="13"/>
      <c r="E14" s="13" t="s">
        <v>227</v>
      </c>
      <c r="F14" s="3">
        <v>0</v>
      </c>
      <c r="G14" s="13" t="s">
        <v>227</v>
      </c>
      <c r="H14" s="3">
        <v>1</v>
      </c>
      <c r="I14" s="13" t="s">
        <v>227</v>
      </c>
      <c r="J14" s="3">
        <v>0</v>
      </c>
      <c r="K14" s="13" t="s">
        <v>227</v>
      </c>
      <c r="L14" s="3">
        <v>1</v>
      </c>
      <c r="M14" s="13" t="s">
        <v>227</v>
      </c>
      <c r="N14" s="3">
        <v>1</v>
      </c>
      <c r="O14" s="7" t="s">
        <v>227</v>
      </c>
      <c r="P14" s="7" t="s">
        <v>228</v>
      </c>
      <c r="Q14" s="7" t="s">
        <v>227</v>
      </c>
      <c r="R14" s="7" t="s">
        <v>30</v>
      </c>
      <c r="S14" s="13" t="s">
        <v>227</v>
      </c>
      <c r="T14" s="3">
        <v>-1</v>
      </c>
      <c r="U14" s="3">
        <v>-1</v>
      </c>
      <c r="V14" s="3">
        <v>-1</v>
      </c>
      <c r="W14" s="3">
        <v>3</v>
      </c>
      <c r="X14" s="3">
        <v>4</v>
      </c>
      <c r="Y14" s="3"/>
      <c r="Z14" s="3"/>
      <c r="AA14" s="13" t="s">
        <v>227</v>
      </c>
      <c r="AB14" s="3">
        <v>6.3336672868147827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227</v>
      </c>
      <c r="B15"/>
      <c r="C15" s="13" t="s">
        <v>51</v>
      </c>
      <c r="D15" s="13"/>
      <c r="E15" s="13" t="s">
        <v>229</v>
      </c>
      <c r="F15" s="3">
        <v>0</v>
      </c>
      <c r="G15" s="13" t="s">
        <v>229</v>
      </c>
      <c r="H15" s="3">
        <v>0</v>
      </c>
      <c r="I15" s="13" t="s">
        <v>229</v>
      </c>
      <c r="J15" s="3">
        <v>0</v>
      </c>
      <c r="K15" s="13" t="s">
        <v>229</v>
      </c>
      <c r="L15" s="3">
        <v>1</v>
      </c>
      <c r="M15" s="13" t="s">
        <v>229</v>
      </c>
      <c r="N15" s="3">
        <v>1</v>
      </c>
      <c r="O15" s="7" t="s">
        <v>229</v>
      </c>
      <c r="P15" s="7" t="s">
        <v>230</v>
      </c>
      <c r="Q15" s="7" t="s">
        <v>229</v>
      </c>
      <c r="R15" s="7" t="s">
        <v>30</v>
      </c>
      <c r="S15" s="13" t="s">
        <v>229</v>
      </c>
      <c r="T15" s="3">
        <v>2</v>
      </c>
      <c r="U15" s="3">
        <v>2</v>
      </c>
      <c r="V15" s="3">
        <v>1</v>
      </c>
      <c r="W15" s="3">
        <v>3</v>
      </c>
      <c r="X15" s="3">
        <v>5</v>
      </c>
      <c r="Y15" s="3"/>
      <c r="Z15" s="3"/>
      <c r="AA15" s="13" t="s">
        <v>229</v>
      </c>
      <c r="AB15" s="3">
        <v>100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223</v>
      </c>
      <c r="B16"/>
      <c r="C16" s="13" t="s">
        <v>52</v>
      </c>
      <c r="D16" s="13"/>
      <c r="E16" s="13" t="s">
        <v>231</v>
      </c>
      <c r="F16" s="3">
        <v>0</v>
      </c>
      <c r="G16" s="13" t="s">
        <v>231</v>
      </c>
      <c r="H16" s="3">
        <v>1</v>
      </c>
      <c r="I16" s="13" t="s">
        <v>231</v>
      </c>
      <c r="J16" s="3">
        <v>0</v>
      </c>
      <c r="K16" s="13" t="s">
        <v>231</v>
      </c>
      <c r="L16" s="3">
        <v>1</v>
      </c>
      <c r="M16" s="13" t="s">
        <v>231</v>
      </c>
      <c r="N16" s="3">
        <v>1</v>
      </c>
      <c r="O16" s="7" t="s">
        <v>231</v>
      </c>
      <c r="P16" s="7" t="s">
        <v>230</v>
      </c>
      <c r="Q16" s="7" t="s">
        <v>231</v>
      </c>
      <c r="R16" s="7" t="s">
        <v>30</v>
      </c>
      <c r="S16" s="13" t="s">
        <v>231</v>
      </c>
      <c r="T16" s="3">
        <v>2</v>
      </c>
      <c r="U16" s="3">
        <v>2</v>
      </c>
      <c r="V16" s="3">
        <v>1</v>
      </c>
      <c r="W16" s="3">
        <v>3</v>
      </c>
      <c r="X16" s="3">
        <v>5</v>
      </c>
      <c r="Y16" s="3"/>
      <c r="Z16" s="3"/>
      <c r="AA16" s="13" t="s">
        <v>231</v>
      </c>
      <c r="AB16" s="3">
        <v>9.3336672868147836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231</v>
      </c>
      <c r="B17"/>
      <c r="E17" s="13" t="s">
        <v>232</v>
      </c>
      <c r="F17" s="3">
        <v>0</v>
      </c>
      <c r="G17" s="13" t="s">
        <v>232</v>
      </c>
      <c r="H17" s="3">
        <v>1</v>
      </c>
      <c r="I17" s="13" t="s">
        <v>232</v>
      </c>
      <c r="J17" s="3">
        <v>0</v>
      </c>
      <c r="K17" s="13" t="s">
        <v>232</v>
      </c>
      <c r="L17" s="3">
        <v>1</v>
      </c>
      <c r="M17" s="13" t="s">
        <v>232</v>
      </c>
      <c r="N17" s="3">
        <v>1</v>
      </c>
      <c r="O17" s="7" t="s">
        <v>232</v>
      </c>
      <c r="P17" s="7" t="s">
        <v>230</v>
      </c>
      <c r="Q17" s="7" t="s">
        <v>232</v>
      </c>
      <c r="R17" s="7" t="s">
        <v>30</v>
      </c>
      <c r="S17" s="13" t="s">
        <v>232</v>
      </c>
      <c r="T17" s="3">
        <v>2</v>
      </c>
      <c r="U17" s="3">
        <v>2</v>
      </c>
      <c r="V17" s="3">
        <v>1</v>
      </c>
      <c r="W17" s="3">
        <v>3</v>
      </c>
      <c r="X17" s="3">
        <v>5</v>
      </c>
      <c r="Y17" s="3"/>
      <c r="Z17" s="3"/>
      <c r="AA17" s="13" t="s">
        <v>232</v>
      </c>
      <c r="AB17" s="3">
        <v>7.8336672868147827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234</v>
      </c>
      <c r="B18"/>
      <c r="E18" s="13" t="s">
        <v>233</v>
      </c>
      <c r="F18" s="3">
        <v>0</v>
      </c>
      <c r="G18" s="13" t="s">
        <v>233</v>
      </c>
      <c r="H18" s="3">
        <v>1</v>
      </c>
      <c r="I18" s="13" t="s">
        <v>233</v>
      </c>
      <c r="J18" s="3">
        <v>0</v>
      </c>
      <c r="K18" s="13" t="s">
        <v>233</v>
      </c>
      <c r="L18" s="3">
        <v>1</v>
      </c>
      <c r="M18" s="13" t="s">
        <v>233</v>
      </c>
      <c r="N18" s="3">
        <v>1</v>
      </c>
      <c r="O18" s="7" t="s">
        <v>233</v>
      </c>
      <c r="P18" s="7" t="s">
        <v>230</v>
      </c>
      <c r="Q18" s="7" t="s">
        <v>233</v>
      </c>
      <c r="R18" s="7" t="s">
        <v>30</v>
      </c>
      <c r="S18" s="13" t="s">
        <v>233</v>
      </c>
      <c r="T18" s="3">
        <v>2</v>
      </c>
      <c r="U18" s="3">
        <v>2</v>
      </c>
      <c r="V18" s="3">
        <v>1</v>
      </c>
      <c r="W18" s="3">
        <v>3</v>
      </c>
      <c r="X18" s="3">
        <v>5</v>
      </c>
      <c r="Y18" s="3"/>
      <c r="Z18" s="3"/>
      <c r="AA18" s="13" t="s">
        <v>233</v>
      </c>
      <c r="AB18" s="3">
        <v>6.3336672868147827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235</v>
      </c>
      <c r="B19"/>
      <c r="E19" s="13" t="s">
        <v>234</v>
      </c>
      <c r="F19" s="3">
        <v>0</v>
      </c>
      <c r="G19" s="13" t="s">
        <v>234</v>
      </c>
      <c r="H19" s="3">
        <v>1</v>
      </c>
      <c r="I19" s="13" t="s">
        <v>234</v>
      </c>
      <c r="J19" s="3">
        <v>0</v>
      </c>
      <c r="K19" s="13" t="s">
        <v>234</v>
      </c>
      <c r="L19" s="3">
        <v>1</v>
      </c>
      <c r="M19" s="13" t="s">
        <v>234</v>
      </c>
      <c r="N19" s="3">
        <v>1</v>
      </c>
      <c r="O19" s="7" t="s">
        <v>234</v>
      </c>
      <c r="P19" s="7" t="s">
        <v>230</v>
      </c>
      <c r="Q19" s="7" t="s">
        <v>234</v>
      </c>
      <c r="R19" s="7" t="s">
        <v>30</v>
      </c>
      <c r="S19" s="13" t="s">
        <v>234</v>
      </c>
      <c r="T19" s="3">
        <v>2</v>
      </c>
      <c r="U19" s="3">
        <v>2</v>
      </c>
      <c r="V19" s="3">
        <v>1</v>
      </c>
      <c r="W19" s="3">
        <v>3</v>
      </c>
      <c r="X19" s="3">
        <v>5</v>
      </c>
      <c r="Y19" s="3"/>
      <c r="Z19" s="3"/>
      <c r="AA19" s="13" t="s">
        <v>234</v>
      </c>
      <c r="AB19" s="3">
        <v>4.8336672868147827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233</v>
      </c>
      <c r="B20"/>
      <c r="E20" s="13" t="s">
        <v>235</v>
      </c>
      <c r="F20" s="3">
        <v>0</v>
      </c>
      <c r="G20" s="13" t="s">
        <v>235</v>
      </c>
      <c r="H20" s="3">
        <v>1</v>
      </c>
      <c r="I20" s="13" t="s">
        <v>235</v>
      </c>
      <c r="J20" s="3">
        <v>0</v>
      </c>
      <c r="K20" s="13" t="s">
        <v>235</v>
      </c>
      <c r="L20" s="3">
        <v>1</v>
      </c>
      <c r="M20" s="13" t="s">
        <v>235</v>
      </c>
      <c r="N20" s="3">
        <v>1</v>
      </c>
      <c r="O20" s="7" t="s">
        <v>235</v>
      </c>
      <c r="P20" s="7" t="s">
        <v>230</v>
      </c>
      <c r="Q20" s="7" t="s">
        <v>235</v>
      </c>
      <c r="R20" s="7" t="s">
        <v>30</v>
      </c>
      <c r="S20" s="13" t="s">
        <v>235</v>
      </c>
      <c r="T20" s="3">
        <v>2</v>
      </c>
      <c r="U20" s="3">
        <v>2</v>
      </c>
      <c r="V20" s="3">
        <v>1</v>
      </c>
      <c r="W20" s="3">
        <v>3</v>
      </c>
      <c r="X20" s="3">
        <v>5</v>
      </c>
      <c r="Y20" s="3"/>
      <c r="Z20" s="3"/>
      <c r="AA20" s="13" t="s">
        <v>235</v>
      </c>
      <c r="AB20" s="3">
        <v>5.3336672868147827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236</v>
      </c>
      <c r="B21"/>
      <c r="E21" s="13" t="s">
        <v>236</v>
      </c>
      <c r="F21" s="3">
        <v>0</v>
      </c>
      <c r="G21" s="13" t="s">
        <v>236</v>
      </c>
      <c r="H21" s="3">
        <v>1</v>
      </c>
      <c r="I21" s="13" t="s">
        <v>236</v>
      </c>
      <c r="J21" s="3">
        <v>0</v>
      </c>
      <c r="K21" s="13" t="s">
        <v>236</v>
      </c>
      <c r="L21" s="3">
        <v>1</v>
      </c>
      <c r="M21" s="13" t="s">
        <v>236</v>
      </c>
      <c r="N21" s="3">
        <v>1</v>
      </c>
      <c r="O21" s="7" t="s">
        <v>236</v>
      </c>
      <c r="P21" s="7" t="s">
        <v>237</v>
      </c>
      <c r="Q21" s="7" t="s">
        <v>236</v>
      </c>
      <c r="R21" s="7" t="s">
        <v>30</v>
      </c>
      <c r="S21" s="13" t="s">
        <v>236</v>
      </c>
      <c r="T21" s="3">
        <v>2</v>
      </c>
      <c r="U21" s="3">
        <v>2</v>
      </c>
      <c r="V21" s="3">
        <v>1</v>
      </c>
      <c r="W21" s="3">
        <v>3</v>
      </c>
      <c r="X21" s="3">
        <v>5</v>
      </c>
      <c r="Y21" s="3"/>
      <c r="Z21" s="3"/>
      <c r="AA21" s="13" t="s">
        <v>236</v>
      </c>
      <c r="AB21" s="3">
        <v>6.3336672868147827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232</v>
      </c>
      <c r="B22"/>
      <c r="E22" s="13" t="s">
        <v>225</v>
      </c>
      <c r="F22" s="3">
        <v>0</v>
      </c>
      <c r="G22" s="13" t="s">
        <v>225</v>
      </c>
      <c r="H22" s="3">
        <v>1</v>
      </c>
      <c r="I22" s="13" t="s">
        <v>225</v>
      </c>
      <c r="J22" s="3">
        <v>0</v>
      </c>
      <c r="K22" s="13" t="s">
        <v>225</v>
      </c>
      <c r="L22" s="3">
        <v>1</v>
      </c>
      <c r="M22" s="13" t="s">
        <v>225</v>
      </c>
      <c r="N22" s="3">
        <v>1</v>
      </c>
      <c r="O22" s="7" t="s">
        <v>225</v>
      </c>
      <c r="P22" s="7" t="s">
        <v>221</v>
      </c>
      <c r="Q22" s="7" t="s">
        <v>225</v>
      </c>
      <c r="R22" s="7" t="s">
        <v>30</v>
      </c>
      <c r="S22" s="13" t="s">
        <v>225</v>
      </c>
      <c r="T22" s="3">
        <v>-1</v>
      </c>
      <c r="U22" s="3">
        <v>-1</v>
      </c>
      <c r="V22" s="3">
        <v>-1</v>
      </c>
      <c r="W22" s="3">
        <v>3</v>
      </c>
      <c r="X22" s="3">
        <v>4</v>
      </c>
      <c r="Y22" s="3"/>
      <c r="Z22" s="3"/>
      <c r="AA22" s="13" t="s">
        <v>225</v>
      </c>
      <c r="AB22" s="3">
        <v>4.8336672868147827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229</v>
      </c>
      <c r="B23"/>
      <c r="E23" s="13" t="s">
        <v>239</v>
      </c>
      <c r="F23" s="3">
        <v>0</v>
      </c>
      <c r="G23" s="13" t="s">
        <v>239</v>
      </c>
      <c r="H23" s="3">
        <v>0</v>
      </c>
      <c r="I23" s="13" t="s">
        <v>239</v>
      </c>
      <c r="J23" s="3">
        <v>0</v>
      </c>
      <c r="K23" s="13" t="s">
        <v>239</v>
      </c>
      <c r="L23" s="3">
        <v>1</v>
      </c>
      <c r="M23" s="13" t="s">
        <v>239</v>
      </c>
      <c r="N23" s="3">
        <v>1</v>
      </c>
      <c r="O23" s="7" t="s">
        <v>239</v>
      </c>
      <c r="P23" s="7" t="s">
        <v>238</v>
      </c>
      <c r="Q23" s="7" t="s">
        <v>239</v>
      </c>
      <c r="R23" s="7" t="s">
        <v>30</v>
      </c>
      <c r="S23" s="13" t="s">
        <v>239</v>
      </c>
      <c r="T23" s="3">
        <v>-1</v>
      </c>
      <c r="U23" s="3">
        <v>-1</v>
      </c>
      <c r="V23" s="3">
        <v>-1</v>
      </c>
      <c r="W23" s="3">
        <v>3</v>
      </c>
      <c r="X23" s="3">
        <v>4</v>
      </c>
      <c r="Y23" s="3"/>
      <c r="Z23" s="3"/>
      <c r="AA23" s="13" t="s">
        <v>239</v>
      </c>
      <c r="AB23" s="3">
        <v>5.3336672868147827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218</v>
      </c>
      <c r="B24"/>
      <c r="E24" s="13" t="s">
        <v>243</v>
      </c>
      <c r="F24" s="3">
        <v>1</v>
      </c>
      <c r="G24" s="13" t="s">
        <v>243</v>
      </c>
      <c r="H24" s="3">
        <v>0</v>
      </c>
      <c r="I24" s="13" t="s">
        <v>243</v>
      </c>
      <c r="J24" s="3">
        <v>1</v>
      </c>
      <c r="K24" s="13" t="s">
        <v>243</v>
      </c>
      <c r="L24" s="3">
        <v>0</v>
      </c>
      <c r="M24" s="13" t="s">
        <v>243</v>
      </c>
      <c r="N24" s="3">
        <v>0</v>
      </c>
      <c r="O24" s="7" t="s">
        <v>243</v>
      </c>
      <c r="P24" s="7" t="s">
        <v>221</v>
      </c>
      <c r="Q24" s="7" t="s">
        <v>243</v>
      </c>
      <c r="R24" s="7" t="s">
        <v>30</v>
      </c>
      <c r="S24" s="13" t="s">
        <v>243</v>
      </c>
      <c r="T24" s="3">
        <v>-1</v>
      </c>
      <c r="U24" s="3">
        <v>-1</v>
      </c>
      <c r="V24" s="3">
        <v>-1</v>
      </c>
      <c r="W24" s="3">
        <v>3</v>
      </c>
      <c r="X24" s="3">
        <v>4</v>
      </c>
      <c r="Y24" s="3"/>
      <c r="Z24" s="3"/>
      <c r="AA24" s="13" t="s">
        <v>243</v>
      </c>
      <c r="AB24" s="3">
        <v>100</v>
      </c>
      <c r="AD24" s="14">
        <v>2029</v>
      </c>
      <c r="AH24" s="7"/>
      <c r="AI24" s="7"/>
      <c r="AJ24" s="7"/>
      <c r="AM24" s="7"/>
    </row>
    <row r="25" spans="1:39">
      <c r="A25" s="13" t="s">
        <v>193</v>
      </c>
      <c r="B25"/>
      <c r="E25" s="13" t="s">
        <v>244</v>
      </c>
      <c r="F25" s="3">
        <v>0</v>
      </c>
      <c r="G25" s="13" t="s">
        <v>244</v>
      </c>
      <c r="H25" s="3">
        <v>0</v>
      </c>
      <c r="I25" s="13" t="s">
        <v>244</v>
      </c>
      <c r="J25" s="3">
        <v>1</v>
      </c>
      <c r="K25" s="13" t="s">
        <v>244</v>
      </c>
      <c r="L25" s="3">
        <v>0</v>
      </c>
      <c r="M25" s="13" t="s">
        <v>244</v>
      </c>
      <c r="N25" s="3">
        <v>0</v>
      </c>
      <c r="O25" s="7" t="s">
        <v>244</v>
      </c>
      <c r="P25" s="7" t="s">
        <v>221</v>
      </c>
      <c r="Q25" s="7" t="s">
        <v>244</v>
      </c>
      <c r="R25" s="7" t="s">
        <v>31</v>
      </c>
      <c r="S25" s="13" t="s">
        <v>244</v>
      </c>
      <c r="T25" s="3">
        <v>-1</v>
      </c>
      <c r="U25" s="3">
        <v>-1</v>
      </c>
      <c r="V25" s="3">
        <v>-1</v>
      </c>
      <c r="W25" s="3">
        <v>3</v>
      </c>
      <c r="X25" s="3">
        <v>4</v>
      </c>
      <c r="Y25" s="3"/>
      <c r="Z25" s="3"/>
      <c r="AA25" s="13" t="s">
        <v>244</v>
      </c>
      <c r="AB25" s="3">
        <v>100</v>
      </c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40"/>
  <sheetViews>
    <sheetView zoomScale="91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D10" sqref="D10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13.710937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5">
      <c r="A5" s="7" t="s">
        <v>215</v>
      </c>
      <c r="G5" s="8" t="s">
        <v>62</v>
      </c>
      <c r="H5" s="10"/>
      <c r="I5" s="10"/>
      <c r="J5" s="10" t="s">
        <v>240</v>
      </c>
      <c r="K5" s="22">
        <f>K1</f>
        <v>-1</v>
      </c>
      <c r="L5" s="22">
        <f t="shared" ref="L5:M5" si="0">L1</f>
        <v>-1</v>
      </c>
      <c r="M5" s="22">
        <f t="shared" si="0"/>
        <v>-1</v>
      </c>
      <c r="N5" s="22">
        <v>3</v>
      </c>
      <c r="O5" s="22">
        <v>4</v>
      </c>
      <c r="P5">
        <v>-20</v>
      </c>
      <c r="AZ5" t="s">
        <v>207</v>
      </c>
    </row>
    <row r="6" spans="1:60">
      <c r="A6" s="5">
        <f>SUM(A8:A25)</f>
        <v>1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1</v>
      </c>
      <c r="H6" s="11"/>
      <c r="I6" s="11"/>
      <c r="J6" s="21" t="s">
        <v>241</v>
      </c>
      <c r="K6" s="23">
        <f>K2</f>
        <v>2</v>
      </c>
      <c r="L6" s="23">
        <f t="shared" ref="L6:M6" si="1">L2</f>
        <v>2</v>
      </c>
      <c r="M6" s="23">
        <f t="shared" si="1"/>
        <v>1</v>
      </c>
      <c r="N6" s="23">
        <v>3</v>
      </c>
      <c r="O6" s="24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SUM(AY8:AY26)</f>
        <v>0</v>
      </c>
    </row>
    <row r="7" spans="1:60" ht="45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2">S7+1</f>
        <v>2020</v>
      </c>
      <c r="U7" s="7">
        <f t="shared" si="2"/>
        <v>2021</v>
      </c>
      <c r="V7" s="7">
        <f t="shared" si="2"/>
        <v>2022</v>
      </c>
      <c r="W7" s="7">
        <f t="shared" si="2"/>
        <v>2023</v>
      </c>
      <c r="X7" s="7">
        <f t="shared" si="2"/>
        <v>2024</v>
      </c>
      <c r="Y7" s="7">
        <f t="shared" si="2"/>
        <v>2025</v>
      </c>
      <c r="Z7" s="7">
        <f t="shared" si="2"/>
        <v>2026</v>
      </c>
      <c r="AA7" s="7">
        <f t="shared" si="2"/>
        <v>2027</v>
      </c>
      <c r="AB7" s="7">
        <f t="shared" si="2"/>
        <v>2028</v>
      </c>
      <c r="AC7" s="7">
        <f t="shared" si="2"/>
        <v>2029</v>
      </c>
      <c r="AD7" s="7">
        <f t="shared" si="2"/>
        <v>2030</v>
      </c>
      <c r="AE7" s="7">
        <f t="shared" si="2"/>
        <v>2031</v>
      </c>
      <c r="AF7" s="7">
        <f t="shared" si="2"/>
        <v>2032</v>
      </c>
      <c r="AG7" s="7">
        <f t="shared" si="2"/>
        <v>2033</v>
      </c>
      <c r="AH7" s="7">
        <f t="shared" si="2"/>
        <v>2034</v>
      </c>
      <c r="AI7" s="7">
        <f t="shared" si="2"/>
        <v>2035</v>
      </c>
      <c r="AJ7" s="7">
        <f t="shared" si="2"/>
        <v>2036</v>
      </c>
      <c r="AK7" s="7">
        <f t="shared" si="2"/>
        <v>2037</v>
      </c>
      <c r="AL7" s="7">
        <f t="shared" si="2"/>
        <v>2038</v>
      </c>
      <c r="AM7" s="7">
        <f t="shared" si="2"/>
        <v>2039</v>
      </c>
      <c r="AN7" s="7">
        <f t="shared" si="2"/>
        <v>2040</v>
      </c>
      <c r="AO7" s="7">
        <f t="shared" si="2"/>
        <v>2041</v>
      </c>
      <c r="AP7" s="7">
        <f t="shared" si="2"/>
        <v>2042</v>
      </c>
      <c r="AQ7" s="7">
        <f t="shared" si="2"/>
        <v>2043</v>
      </c>
      <c r="AR7" s="7">
        <f t="shared" si="2"/>
        <v>2044</v>
      </c>
      <c r="AS7" s="7">
        <f t="shared" si="2"/>
        <v>2045</v>
      </c>
      <c r="AT7" s="7">
        <f t="shared" si="2"/>
        <v>2046</v>
      </c>
      <c r="AU7" s="7">
        <f t="shared" si="2"/>
        <v>2047</v>
      </c>
      <c r="AV7" s="7">
        <f t="shared" si="2"/>
        <v>2048</v>
      </c>
      <c r="AW7" s="7">
        <f t="shared" si="2"/>
        <v>2049</v>
      </c>
      <c r="AX7" s="7">
        <f t="shared" si="2"/>
        <v>2050</v>
      </c>
      <c r="AY7" t="s">
        <v>216</v>
      </c>
      <c r="AZ7" t="s">
        <v>208</v>
      </c>
      <c r="BA7" t="s">
        <v>209</v>
      </c>
      <c r="BB7" t="s">
        <v>210</v>
      </c>
      <c r="BC7" t="s">
        <v>211</v>
      </c>
      <c r="BD7" t="s">
        <v>212</v>
      </c>
      <c r="BE7" t="s">
        <v>213</v>
      </c>
      <c r="BF7" t="s">
        <v>214</v>
      </c>
      <c r="BG7" t="s">
        <v>217</v>
      </c>
      <c r="BH7" t="s">
        <v>219</v>
      </c>
    </row>
    <row r="8" spans="1:60" s="7" customFormat="1">
      <c r="A8" s="17">
        <v>0</v>
      </c>
      <c r="B8" s="7" t="s">
        <v>220</v>
      </c>
      <c r="C8" s="7" t="s">
        <v>195</v>
      </c>
      <c r="D8" s="7" t="s">
        <v>30</v>
      </c>
      <c r="E8" s="7" t="s">
        <v>242</v>
      </c>
      <c r="F8" s="7">
        <v>0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>INDEX(K$1:K$6,MATCH($H8,$J$1:$J$6,0))</f>
        <v>-1</v>
      </c>
      <c r="L8" s="7">
        <f t="shared" ref="L8:O24" si="3">INDEX(L$1:L$6,MATCH($H8,$J$1:$J$6,0))</f>
        <v>-1</v>
      </c>
      <c r="M8" s="7">
        <f t="shared" si="3"/>
        <v>-1</v>
      </c>
      <c r="N8" s="7">
        <f t="shared" si="3"/>
        <v>1</v>
      </c>
      <c r="O8" s="7">
        <f t="shared" si="3"/>
        <v>-1</v>
      </c>
      <c r="P8" s="7">
        <v>100</v>
      </c>
      <c r="Q8" s="7" t="str">
        <f>B8</f>
        <v>NOPAMSREF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1</v>
      </c>
      <c r="B9" s="7" t="s">
        <v>243</v>
      </c>
      <c r="C9" s="7" t="s">
        <v>195</v>
      </c>
      <c r="D9" s="7" t="s">
        <v>30</v>
      </c>
      <c r="E9" s="7" t="s">
        <v>221</v>
      </c>
      <c r="F9" s="7">
        <v>0</v>
      </c>
      <c r="G9" s="7">
        <v>1</v>
      </c>
      <c r="H9" s="7" t="s">
        <v>240</v>
      </c>
      <c r="I9" s="7">
        <v>0</v>
      </c>
      <c r="J9" s="7">
        <v>0</v>
      </c>
      <c r="K9" s="7">
        <f t="shared" ref="K9:O25" si="4">INDEX(K$1:K$6,MATCH($H9,$J$1:$J$6,0))</f>
        <v>-1</v>
      </c>
      <c r="L9" s="7">
        <f t="shared" si="3"/>
        <v>-1</v>
      </c>
      <c r="M9" s="7">
        <f t="shared" si="3"/>
        <v>-1</v>
      </c>
      <c r="N9" s="7">
        <f t="shared" si="3"/>
        <v>3</v>
      </c>
      <c r="O9" s="7">
        <f t="shared" si="3"/>
        <v>4</v>
      </c>
      <c r="P9" s="7">
        <v>100</v>
      </c>
      <c r="Q9" s="7" t="str">
        <f>B9</f>
        <v>0RG_NZ20_REF</v>
      </c>
      <c r="AY9" s="7">
        <f>IF(LEN(B9)&gt;30,1,0)</f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0</v>
      </c>
      <c r="B10" s="7" t="s">
        <v>244</v>
      </c>
      <c r="C10" s="7" t="s">
        <v>195</v>
      </c>
      <c r="D10" s="7" t="s">
        <v>31</v>
      </c>
      <c r="E10" s="7" t="s">
        <v>221</v>
      </c>
      <c r="F10" s="7">
        <v>0</v>
      </c>
      <c r="G10" s="7">
        <v>1</v>
      </c>
      <c r="H10" s="7" t="s">
        <v>240</v>
      </c>
      <c r="I10" s="7">
        <v>0</v>
      </c>
      <c r="J10" s="7">
        <v>0</v>
      </c>
      <c r="K10" s="7">
        <f t="shared" si="4"/>
        <v>-1</v>
      </c>
      <c r="L10" s="7">
        <f t="shared" si="3"/>
        <v>-1</v>
      </c>
      <c r="M10" s="7">
        <f t="shared" si="3"/>
        <v>-1</v>
      </c>
      <c r="N10" s="7">
        <f t="shared" si="3"/>
        <v>3</v>
      </c>
      <c r="O10" s="7">
        <f t="shared" si="3"/>
        <v>4</v>
      </c>
      <c r="P10" s="7">
        <v>100</v>
      </c>
      <c r="Q10" s="7" t="str">
        <f>B10</f>
        <v>1HG_NZ20_REF</v>
      </c>
      <c r="AY10" s="7">
        <f>IF(LEN(B10)&gt;30,1,0)</f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0</v>
      </c>
      <c r="B11" s="7" t="s">
        <v>222</v>
      </c>
      <c r="C11" s="7" t="s">
        <v>195</v>
      </c>
      <c r="D11" s="7" t="s">
        <v>30</v>
      </c>
      <c r="E11" s="7" t="s">
        <v>221</v>
      </c>
      <c r="F11" s="7">
        <v>1</v>
      </c>
      <c r="G11" s="7">
        <v>0</v>
      </c>
      <c r="H11" s="7" t="str">
        <f>H9</f>
        <v>NetZeroLevel1</v>
      </c>
      <c r="I11" s="7">
        <v>1</v>
      </c>
      <c r="J11" s="7">
        <v>1</v>
      </c>
      <c r="K11" s="7">
        <f t="shared" si="4"/>
        <v>-1</v>
      </c>
      <c r="L11" s="7">
        <f t="shared" si="3"/>
        <v>-1</v>
      </c>
      <c r="M11" s="7">
        <f t="shared" si="3"/>
        <v>-1</v>
      </c>
      <c r="N11" s="7">
        <f t="shared" si="3"/>
        <v>3</v>
      </c>
      <c r="O11" s="7">
        <f t="shared" si="3"/>
        <v>4</v>
      </c>
      <c r="P11" s="20">
        <v>9.3336672868147836</v>
      </c>
      <c r="Q11" s="7" t="str">
        <f>B11</f>
        <v>NZ20_10</v>
      </c>
      <c r="AY11" s="7">
        <f>IF(LEN(B11)&gt;30,1,0)</f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17">
        <v>0</v>
      </c>
      <c r="B12" s="7" t="s">
        <v>223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0</v>
      </c>
      <c r="H12" s="7" t="str">
        <f t="shared" ref="H12:H16" si="5">H11</f>
        <v>NetZeroLevel1</v>
      </c>
      <c r="I12" s="7">
        <v>1</v>
      </c>
      <c r="J12" s="7">
        <v>1</v>
      </c>
      <c r="K12" s="7">
        <f t="shared" si="4"/>
        <v>-1</v>
      </c>
      <c r="L12" s="7">
        <f t="shared" si="3"/>
        <v>-1</v>
      </c>
      <c r="M12" s="7">
        <f t="shared" si="3"/>
        <v>-1</v>
      </c>
      <c r="N12" s="7">
        <f t="shared" si="3"/>
        <v>3</v>
      </c>
      <c r="O12" s="7">
        <f t="shared" si="3"/>
        <v>4</v>
      </c>
      <c r="P12" s="20">
        <v>7.8336672868147827</v>
      </c>
      <c r="Q12" s="7" t="str">
        <f>B12</f>
        <v>NZ20_8.5</v>
      </c>
      <c r="AY12" s="7">
        <f t="shared" ref="AY12" si="6">IF(LEN(B12)&gt;30,1,0)</f>
        <v>0</v>
      </c>
      <c r="AZ12" s="7">
        <v>1</v>
      </c>
      <c r="BA12" s="7">
        <v>1</v>
      </c>
      <c r="BE12" s="7">
        <v>1</v>
      </c>
    </row>
    <row r="13" spans="1:60" s="7" customFormat="1">
      <c r="A13" s="17">
        <v>0</v>
      </c>
      <c r="B13" s="7" t="s">
        <v>224</v>
      </c>
      <c r="C13" s="7" t="s">
        <v>195</v>
      </c>
      <c r="D13" s="7" t="s">
        <v>30</v>
      </c>
      <c r="E13" s="7" t="s">
        <v>221</v>
      </c>
      <c r="F13" s="7">
        <v>1</v>
      </c>
      <c r="G13" s="7">
        <v>0</v>
      </c>
      <c r="H13" s="7" t="str">
        <f t="shared" si="5"/>
        <v>NetZeroLevel1</v>
      </c>
      <c r="I13" s="7">
        <v>1</v>
      </c>
      <c r="J13" s="7">
        <v>1</v>
      </c>
      <c r="K13" s="7">
        <f t="shared" si="4"/>
        <v>-1</v>
      </c>
      <c r="L13" s="7">
        <f t="shared" si="3"/>
        <v>-1</v>
      </c>
      <c r="M13" s="7">
        <f t="shared" si="3"/>
        <v>-1</v>
      </c>
      <c r="N13" s="7">
        <f t="shared" si="3"/>
        <v>3</v>
      </c>
      <c r="O13" s="7">
        <f t="shared" si="3"/>
        <v>4</v>
      </c>
      <c r="P13" s="20">
        <v>6.3336672868147827</v>
      </c>
      <c r="Q13" s="7" t="str">
        <f>B13</f>
        <v>NZ20_7</v>
      </c>
      <c r="AY13" s="7">
        <f t="shared" ref="AY13:AY14" si="7">IF(LEN(B13)&gt;30,1,0)</f>
        <v>0</v>
      </c>
      <c r="AZ13" s="7">
        <v>1</v>
      </c>
      <c r="BA13" s="7">
        <v>1</v>
      </c>
      <c r="BE13" s="7">
        <v>1</v>
      </c>
    </row>
    <row r="14" spans="1:60" s="7" customFormat="1">
      <c r="A14" s="17">
        <v>0</v>
      </c>
      <c r="B14" s="7" t="s">
        <v>225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0</v>
      </c>
      <c r="H14" s="7" t="str">
        <f t="shared" si="5"/>
        <v>NetZeroLevel1</v>
      </c>
      <c r="I14" s="7">
        <v>1</v>
      </c>
      <c r="J14" s="7">
        <v>1</v>
      </c>
      <c r="K14" s="7">
        <f t="shared" si="4"/>
        <v>-1</v>
      </c>
      <c r="L14" s="7">
        <f t="shared" si="3"/>
        <v>-1</v>
      </c>
      <c r="M14" s="7">
        <f t="shared" si="3"/>
        <v>-1</v>
      </c>
      <c r="N14" s="7">
        <f t="shared" si="3"/>
        <v>3</v>
      </c>
      <c r="O14" s="7">
        <f t="shared" si="3"/>
        <v>4</v>
      </c>
      <c r="P14" s="20">
        <v>4.8336672868147827</v>
      </c>
      <c r="Q14" s="7" t="str">
        <f t="shared" ref="Q14" si="8">B14</f>
        <v>NZ20_5.5</v>
      </c>
      <c r="AY14" s="7">
        <f t="shared" si="7"/>
        <v>0</v>
      </c>
      <c r="AZ14" s="7">
        <v>1</v>
      </c>
      <c r="BE14" s="7">
        <v>1</v>
      </c>
    </row>
    <row r="15" spans="1:60">
      <c r="A15" s="17">
        <v>0</v>
      </c>
      <c r="B15" s="7" t="s">
        <v>226</v>
      </c>
      <c r="C15" t="s">
        <v>195</v>
      </c>
      <c r="D15" s="7" t="s">
        <v>30</v>
      </c>
      <c r="E15" s="7" t="s">
        <v>221</v>
      </c>
      <c r="F15" s="7">
        <v>1</v>
      </c>
      <c r="G15" s="7">
        <v>0</v>
      </c>
      <c r="H15" s="7" t="str">
        <f t="shared" si="5"/>
        <v>NetZeroLevel1</v>
      </c>
      <c r="I15" s="7">
        <v>1</v>
      </c>
      <c r="J15" s="7">
        <v>1</v>
      </c>
      <c r="K15" s="7">
        <f t="shared" si="4"/>
        <v>-1</v>
      </c>
      <c r="L15" s="7">
        <f t="shared" si="3"/>
        <v>-1</v>
      </c>
      <c r="M15" s="7">
        <f t="shared" si="3"/>
        <v>-1</v>
      </c>
      <c r="N15" s="7">
        <f t="shared" si="3"/>
        <v>3</v>
      </c>
      <c r="O15" s="7">
        <f t="shared" si="3"/>
        <v>4</v>
      </c>
      <c r="P15" s="20">
        <v>5.3336672868147827</v>
      </c>
      <c r="Q15" s="7" t="str">
        <f>B15</f>
        <v>NZ20_6</v>
      </c>
      <c r="AY15" s="7">
        <f t="shared" ref="AY15:AY25" si="9">IF(LEN(B15)&gt;30,1,0)</f>
        <v>0</v>
      </c>
      <c r="AZ15" s="7">
        <v>1</v>
      </c>
    </row>
    <row r="16" spans="1:60" s="7" customFormat="1">
      <c r="A16" s="17">
        <v>0</v>
      </c>
      <c r="B16" s="7" t="s">
        <v>227</v>
      </c>
      <c r="C16" s="7" t="s">
        <v>195</v>
      </c>
      <c r="D16" s="7" t="s">
        <v>30</v>
      </c>
      <c r="E16" s="7" t="s">
        <v>228</v>
      </c>
      <c r="F16" s="7">
        <v>1</v>
      </c>
      <c r="G16" s="7">
        <v>0</v>
      </c>
      <c r="H16" s="7" t="str">
        <f t="shared" si="5"/>
        <v>NetZeroLevel1</v>
      </c>
      <c r="I16" s="7">
        <v>1</v>
      </c>
      <c r="J16" s="7">
        <v>1</v>
      </c>
      <c r="K16" s="7">
        <f t="shared" si="4"/>
        <v>-1</v>
      </c>
      <c r="L16" s="7">
        <f t="shared" si="3"/>
        <v>-1</v>
      </c>
      <c r="M16" s="7">
        <f t="shared" si="3"/>
        <v>-1</v>
      </c>
      <c r="N16" s="7">
        <f t="shared" si="3"/>
        <v>3</v>
      </c>
      <c r="O16" s="7">
        <f t="shared" si="3"/>
        <v>4</v>
      </c>
      <c r="P16" s="20">
        <v>6.3336672868147827</v>
      </c>
      <c r="Q16" s="7" t="str">
        <f t="shared" ref="Q16" si="10">B16</f>
        <v>NZ20_7DR</v>
      </c>
      <c r="AY16" s="7">
        <f t="shared" si="9"/>
        <v>0</v>
      </c>
      <c r="AZ16" s="7">
        <v>1</v>
      </c>
      <c r="BE16" s="7">
        <v>1</v>
      </c>
    </row>
    <row r="17" spans="1:56" s="7" customFormat="1">
      <c r="A17" s="17">
        <v>0</v>
      </c>
      <c r="B17" s="7" t="s">
        <v>229</v>
      </c>
      <c r="C17" s="7" t="s">
        <v>195</v>
      </c>
      <c r="D17" s="7" t="s">
        <v>30</v>
      </c>
      <c r="E17" s="7" t="s">
        <v>230</v>
      </c>
      <c r="F17" s="7">
        <v>0</v>
      </c>
      <c r="G17" s="7">
        <v>0</v>
      </c>
      <c r="H17" s="7" t="s">
        <v>241</v>
      </c>
      <c r="I17" s="7">
        <v>1</v>
      </c>
      <c r="J17" s="7">
        <v>1</v>
      </c>
      <c r="K17" s="7">
        <f t="shared" si="4"/>
        <v>2</v>
      </c>
      <c r="L17" s="7">
        <f t="shared" si="3"/>
        <v>2</v>
      </c>
      <c r="M17" s="7">
        <f t="shared" si="3"/>
        <v>1</v>
      </c>
      <c r="N17" s="7">
        <f t="shared" si="3"/>
        <v>3</v>
      </c>
      <c r="O17" s="7">
        <f t="shared" si="3"/>
        <v>5</v>
      </c>
      <c r="P17" s="20">
        <v>100</v>
      </c>
      <c r="Q17" s="7" t="str">
        <f t="shared" ref="Q17:Q25" si="11">B17</f>
        <v>NZ45_REF</v>
      </c>
      <c r="AY17" s="7">
        <f t="shared" si="9"/>
        <v>0</v>
      </c>
      <c r="AZ17" s="7">
        <v>1</v>
      </c>
    </row>
    <row r="18" spans="1:56" s="7" customFormat="1">
      <c r="A18" s="17">
        <v>0</v>
      </c>
      <c r="B18" s="7" t="s">
        <v>231</v>
      </c>
      <c r="C18" s="7" t="s">
        <v>195</v>
      </c>
      <c r="D18" s="7" t="s">
        <v>30</v>
      </c>
      <c r="E18" s="7" t="s">
        <v>230</v>
      </c>
      <c r="F18" s="7">
        <v>1</v>
      </c>
      <c r="G18" s="7">
        <v>0</v>
      </c>
      <c r="H18" s="7" t="str">
        <f>H17</f>
        <v>NetZeroLevel2</v>
      </c>
      <c r="I18" s="7">
        <v>1</v>
      </c>
      <c r="J18" s="7">
        <v>1</v>
      </c>
      <c r="K18" s="7">
        <f t="shared" si="4"/>
        <v>2</v>
      </c>
      <c r="L18" s="7">
        <f t="shared" si="3"/>
        <v>2</v>
      </c>
      <c r="M18" s="7">
        <f t="shared" si="3"/>
        <v>1</v>
      </c>
      <c r="N18" s="7">
        <f t="shared" si="3"/>
        <v>3</v>
      </c>
      <c r="O18" s="7">
        <f t="shared" si="3"/>
        <v>5</v>
      </c>
      <c r="P18" s="20">
        <v>9.3336672868147836</v>
      </c>
      <c r="Q18" s="7" t="str">
        <f t="shared" ref="Q18:Q23" si="12">B18</f>
        <v>NZ45_10</v>
      </c>
      <c r="AY18" s="7">
        <f t="shared" ref="AY18:AY23" si="13">IF(LEN(B18)&gt;30,1,0)</f>
        <v>0</v>
      </c>
      <c r="AZ18" s="7">
        <v>1</v>
      </c>
    </row>
    <row r="19" spans="1:56" s="7" customFormat="1">
      <c r="A19" s="17">
        <v>0</v>
      </c>
      <c r="B19" s="7" t="s">
        <v>232</v>
      </c>
      <c r="C19" s="7" t="s">
        <v>195</v>
      </c>
      <c r="D19" s="7" t="s">
        <v>30</v>
      </c>
      <c r="E19" s="7" t="s">
        <v>230</v>
      </c>
      <c r="F19" s="7">
        <v>1</v>
      </c>
      <c r="G19" s="7">
        <v>0</v>
      </c>
      <c r="H19" s="7" t="str">
        <f t="shared" ref="H19:H23" si="14">H18</f>
        <v>NetZeroLevel2</v>
      </c>
      <c r="I19" s="7">
        <v>1</v>
      </c>
      <c r="J19" s="7">
        <v>1</v>
      </c>
      <c r="K19" s="7">
        <f t="shared" si="4"/>
        <v>2</v>
      </c>
      <c r="L19" s="7">
        <f t="shared" si="3"/>
        <v>2</v>
      </c>
      <c r="M19" s="7">
        <f t="shared" si="3"/>
        <v>1</v>
      </c>
      <c r="N19" s="7">
        <f t="shared" si="3"/>
        <v>3</v>
      </c>
      <c r="O19" s="7">
        <f t="shared" si="3"/>
        <v>5</v>
      </c>
      <c r="P19" s="20">
        <v>7.8336672868147827</v>
      </c>
      <c r="Q19" s="7" t="str">
        <f t="shared" si="12"/>
        <v>NZ45_8.5</v>
      </c>
      <c r="AY19" s="7">
        <f t="shared" si="13"/>
        <v>0</v>
      </c>
      <c r="AZ19" s="7">
        <v>1</v>
      </c>
    </row>
    <row r="20" spans="1:56" s="7" customFormat="1">
      <c r="A20" s="17">
        <v>0</v>
      </c>
      <c r="B20" s="7" t="s">
        <v>233</v>
      </c>
      <c r="C20" s="7" t="s">
        <v>195</v>
      </c>
      <c r="D20" s="7" t="s">
        <v>30</v>
      </c>
      <c r="E20" s="7" t="s">
        <v>230</v>
      </c>
      <c r="F20" s="7">
        <v>1</v>
      </c>
      <c r="G20" s="7">
        <v>0</v>
      </c>
      <c r="H20" s="7" t="str">
        <f t="shared" si="14"/>
        <v>NetZeroLevel2</v>
      </c>
      <c r="I20" s="7">
        <v>1</v>
      </c>
      <c r="J20" s="7">
        <v>1</v>
      </c>
      <c r="K20" s="7">
        <f t="shared" si="4"/>
        <v>2</v>
      </c>
      <c r="L20" s="7">
        <f t="shared" si="3"/>
        <v>2</v>
      </c>
      <c r="M20" s="7">
        <f t="shared" si="3"/>
        <v>1</v>
      </c>
      <c r="N20" s="7">
        <f t="shared" si="3"/>
        <v>3</v>
      </c>
      <c r="O20" s="7">
        <f t="shared" si="3"/>
        <v>5</v>
      </c>
      <c r="P20" s="20">
        <v>6.3336672868147827</v>
      </c>
      <c r="Q20" s="7" t="str">
        <f t="shared" si="12"/>
        <v>NZ45_7</v>
      </c>
      <c r="AY20" s="7">
        <f t="shared" si="13"/>
        <v>0</v>
      </c>
      <c r="AZ20" s="7">
        <v>1</v>
      </c>
    </row>
    <row r="21" spans="1:56" s="7" customFormat="1">
      <c r="A21" s="17">
        <v>0</v>
      </c>
      <c r="B21" s="7" t="s">
        <v>234</v>
      </c>
      <c r="C21" s="7" t="s">
        <v>195</v>
      </c>
      <c r="D21" s="7" t="s">
        <v>30</v>
      </c>
      <c r="E21" s="7" t="s">
        <v>230</v>
      </c>
      <c r="F21" s="7">
        <v>1</v>
      </c>
      <c r="G21" s="7">
        <v>0</v>
      </c>
      <c r="H21" s="7" t="str">
        <f t="shared" si="14"/>
        <v>NetZeroLevel2</v>
      </c>
      <c r="I21" s="7">
        <v>1</v>
      </c>
      <c r="J21" s="7">
        <v>1</v>
      </c>
      <c r="K21" s="7">
        <f t="shared" si="4"/>
        <v>2</v>
      </c>
      <c r="L21" s="7">
        <f t="shared" si="3"/>
        <v>2</v>
      </c>
      <c r="M21" s="7">
        <f t="shared" si="3"/>
        <v>1</v>
      </c>
      <c r="N21" s="7">
        <f t="shared" si="3"/>
        <v>3</v>
      </c>
      <c r="O21" s="7">
        <f t="shared" si="3"/>
        <v>5</v>
      </c>
      <c r="P21" s="20">
        <v>4.8336672868147827</v>
      </c>
      <c r="Q21" s="7" t="str">
        <f t="shared" si="12"/>
        <v>NZ45_5.5</v>
      </c>
      <c r="AY21" s="7">
        <f t="shared" si="13"/>
        <v>0</v>
      </c>
      <c r="AZ21" s="7">
        <v>1</v>
      </c>
    </row>
    <row r="22" spans="1:56" s="7" customFormat="1">
      <c r="A22" s="17">
        <v>0</v>
      </c>
      <c r="B22" s="7" t="s">
        <v>235</v>
      </c>
      <c r="C22" s="7" t="s">
        <v>195</v>
      </c>
      <c r="D22" s="7" t="s">
        <v>30</v>
      </c>
      <c r="E22" s="7" t="s">
        <v>230</v>
      </c>
      <c r="F22" s="7">
        <v>1</v>
      </c>
      <c r="G22" s="7">
        <v>0</v>
      </c>
      <c r="H22" s="7" t="str">
        <f t="shared" si="14"/>
        <v>NetZeroLevel2</v>
      </c>
      <c r="I22" s="7">
        <v>1</v>
      </c>
      <c r="J22" s="7">
        <v>1</v>
      </c>
      <c r="K22" s="7">
        <f t="shared" si="4"/>
        <v>2</v>
      </c>
      <c r="L22" s="7">
        <f t="shared" si="3"/>
        <v>2</v>
      </c>
      <c r="M22" s="7">
        <f t="shared" si="3"/>
        <v>1</v>
      </c>
      <c r="N22" s="7">
        <f t="shared" si="3"/>
        <v>3</v>
      </c>
      <c r="O22" s="7">
        <f t="shared" si="3"/>
        <v>5</v>
      </c>
      <c r="P22" s="20">
        <v>5.3336672868147827</v>
      </c>
      <c r="Q22" s="7" t="str">
        <f t="shared" si="12"/>
        <v>NZ45_6</v>
      </c>
      <c r="AY22" s="7">
        <f t="shared" si="13"/>
        <v>0</v>
      </c>
      <c r="AZ22" s="7">
        <v>1</v>
      </c>
    </row>
    <row r="23" spans="1:56" s="7" customFormat="1">
      <c r="A23" s="17">
        <v>0</v>
      </c>
      <c r="B23" s="7" t="s">
        <v>236</v>
      </c>
      <c r="C23" s="7" t="s">
        <v>195</v>
      </c>
      <c r="D23" s="7" t="s">
        <v>30</v>
      </c>
      <c r="E23" s="7" t="s">
        <v>237</v>
      </c>
      <c r="F23" s="7">
        <v>1</v>
      </c>
      <c r="G23" s="7">
        <v>0</v>
      </c>
      <c r="H23" s="7" t="str">
        <f t="shared" si="14"/>
        <v>NetZeroLevel2</v>
      </c>
      <c r="I23" s="7">
        <v>1</v>
      </c>
      <c r="J23" s="7">
        <v>1</v>
      </c>
      <c r="K23" s="7">
        <f t="shared" si="4"/>
        <v>2</v>
      </c>
      <c r="L23" s="7">
        <f t="shared" si="3"/>
        <v>2</v>
      </c>
      <c r="M23" s="7">
        <f t="shared" si="3"/>
        <v>1</v>
      </c>
      <c r="N23" s="7">
        <f t="shared" si="3"/>
        <v>3</v>
      </c>
      <c r="O23" s="7">
        <f t="shared" si="3"/>
        <v>5</v>
      </c>
      <c r="P23" s="20">
        <v>6.3336672868147827</v>
      </c>
      <c r="Q23" s="7" t="str">
        <f t="shared" si="12"/>
        <v>NZ45_7DR</v>
      </c>
      <c r="AY23" s="7">
        <f t="shared" si="13"/>
        <v>0</v>
      </c>
      <c r="AZ23" s="7">
        <v>1</v>
      </c>
    </row>
    <row r="24" spans="1:56" s="7" customFormat="1">
      <c r="A24" s="17">
        <v>0</v>
      </c>
      <c r="B24" s="7" t="s">
        <v>239</v>
      </c>
      <c r="C24" s="7" t="s">
        <v>195</v>
      </c>
      <c r="D24" s="7" t="s">
        <v>30</v>
      </c>
      <c r="E24" s="7" t="s">
        <v>238</v>
      </c>
      <c r="F24" s="7">
        <v>0</v>
      </c>
      <c r="G24" s="7">
        <v>0</v>
      </c>
      <c r="H24" s="7" t="str">
        <f>H16</f>
        <v>NetZeroLevel1</v>
      </c>
      <c r="I24" s="7">
        <v>1</v>
      </c>
      <c r="J24" s="7">
        <v>1</v>
      </c>
      <c r="K24" s="7">
        <f t="shared" si="4"/>
        <v>-1</v>
      </c>
      <c r="L24" s="7">
        <f t="shared" si="3"/>
        <v>-1</v>
      </c>
      <c r="M24" s="7">
        <f t="shared" si="3"/>
        <v>-1</v>
      </c>
      <c r="N24" s="7">
        <f t="shared" si="3"/>
        <v>3</v>
      </c>
      <c r="O24" s="7">
        <f t="shared" si="3"/>
        <v>4</v>
      </c>
      <c r="P24" s="20">
        <v>5.3336672868147827</v>
      </c>
      <c r="Q24" s="7" t="str">
        <f t="shared" ref="Q24" si="15">B24</f>
        <v>NZ20_5.5ans</v>
      </c>
      <c r="AY24" s="7">
        <f t="shared" ref="AY24" si="16">IF(LEN(B24)&gt;30,1,0)</f>
        <v>0</v>
      </c>
      <c r="BD24" s="7">
        <v>1</v>
      </c>
    </row>
    <row r="25" spans="1:56" s="7" customFormat="1">
      <c r="A25" s="17">
        <v>0</v>
      </c>
      <c r="B25" s="7" t="s">
        <v>218</v>
      </c>
      <c r="C25" s="7" t="s">
        <v>195</v>
      </c>
      <c r="D25" s="7" t="s">
        <v>30</v>
      </c>
      <c r="E25" s="7" t="s">
        <v>230</v>
      </c>
      <c r="F25" s="7">
        <v>0</v>
      </c>
      <c r="G25" s="7">
        <v>0</v>
      </c>
      <c r="H25" s="7" t="str">
        <f>H24</f>
        <v>NetZeroLevel1</v>
      </c>
      <c r="I25" s="7">
        <v>1</v>
      </c>
      <c r="J25" s="7">
        <v>1</v>
      </c>
      <c r="K25" s="7">
        <f t="shared" si="4"/>
        <v>-1</v>
      </c>
      <c r="L25" s="7">
        <f t="shared" si="4"/>
        <v>-1</v>
      </c>
      <c r="M25" s="7">
        <f t="shared" si="4"/>
        <v>-1</v>
      </c>
      <c r="N25" s="7">
        <f t="shared" si="4"/>
        <v>3</v>
      </c>
      <c r="O25" s="7">
        <f t="shared" si="4"/>
        <v>4</v>
      </c>
      <c r="Q25" s="7" t="str">
        <f t="shared" si="11"/>
        <v>NZ-CO2S2050-June</v>
      </c>
      <c r="AY25" s="7">
        <f t="shared" si="9"/>
        <v>0</v>
      </c>
      <c r="BD25" s="7">
        <v>1</v>
      </c>
    </row>
    <row r="26" spans="1:56">
      <c r="A26" s="19"/>
      <c r="AY26" s="7">
        <f t="shared" ref="AY26" si="17">IF(LEN(B26)&gt;30,1,0)</f>
        <v>0</v>
      </c>
    </row>
    <row r="27" spans="1:56">
      <c r="A27" s="19"/>
    </row>
    <row r="28" spans="1:56">
      <c r="A28" s="19"/>
    </row>
    <row r="29" spans="1:56">
      <c r="A29" s="19"/>
    </row>
    <row r="30" spans="1:56">
      <c r="A30" s="19"/>
    </row>
    <row r="31" spans="1:56">
      <c r="A31" s="19"/>
    </row>
    <row r="32" spans="1:56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</sheetData>
  <autoFilter ref="A7:BH26" xr:uid="{00000000-0001-0000-0E00-000000000000}"/>
  <mergeCells count="1">
    <mergeCell ref="R6:AE6"/>
  </mergeCells>
  <phoneticPr fontId="34" type="noConversion"/>
  <conditionalFormatting sqref="A26:A1048576 A1:A7">
    <cfRule type="iconSet" priority="555">
      <iconSet>
        <cfvo type="percent" val="0"/>
        <cfvo type="percent" val="33"/>
        <cfvo type="percent" val="67"/>
      </iconSet>
    </cfRule>
  </conditionalFormatting>
  <conditionalFormatting sqref="A9">
    <cfRule type="iconSet" priority="36">
      <iconSet>
        <cfvo type="percent" val="0"/>
        <cfvo type="percent" val="33"/>
        <cfvo type="percent" val="67"/>
      </iconSet>
    </cfRule>
  </conditionalFormatting>
  <conditionalFormatting sqref="A9">
    <cfRule type="iconSet" priority="35">
      <iconSet>
        <cfvo type="percent" val="0"/>
        <cfvo type="percent" val="33"/>
        <cfvo type="percent" val="67"/>
      </iconSet>
    </cfRule>
  </conditionalFormatting>
  <conditionalFormatting sqref="A9">
    <cfRule type="iconSet" priority="34">
      <iconSet>
        <cfvo type="percent" val="0"/>
        <cfvo type="percent" val="33"/>
        <cfvo type="percent" val="67"/>
      </iconSet>
    </cfRule>
  </conditionalFormatting>
  <conditionalFormatting sqref="A9">
    <cfRule type="iconSet" priority="33">
      <iconSet>
        <cfvo type="percent" val="0"/>
        <cfvo type="percent" val="33"/>
        <cfvo type="percent" val="67"/>
      </iconSet>
    </cfRule>
  </conditionalFormatting>
  <conditionalFormatting sqref="A9">
    <cfRule type="iconSet" priority="32">
      <iconSet>
        <cfvo type="percent" val="0"/>
        <cfvo type="percent" val="33"/>
        <cfvo type="percent" val="67"/>
      </iconSet>
    </cfRule>
  </conditionalFormatting>
  <conditionalFormatting sqref="A8:A9 A25 A11:A17">
    <cfRule type="iconSet" priority="567">
      <iconSet>
        <cfvo type="percent" val="0"/>
        <cfvo type="percent" val="33"/>
        <cfvo type="percent" val="67"/>
      </iconSet>
    </cfRule>
  </conditionalFormatting>
  <conditionalFormatting sqref="A24">
    <cfRule type="iconSet" priority="24">
      <iconSet>
        <cfvo type="percent" val="0"/>
        <cfvo type="percent" val="33"/>
        <cfvo type="percent" val="67"/>
      </iconSet>
    </cfRule>
  </conditionalFormatting>
  <conditionalFormatting sqref="A8:A9 A24:A25 A11:A17">
    <cfRule type="iconSet" priority="23">
      <iconSet>
        <cfvo type="percent" val="0"/>
        <cfvo type="percent" val="33"/>
        <cfvo type="percent" val="67"/>
      </iconSet>
    </cfRule>
  </conditionalFormatting>
  <conditionalFormatting sqref="A18">
    <cfRule type="iconSet" priority="22">
      <iconSet>
        <cfvo type="percent" val="0"/>
        <cfvo type="percent" val="33"/>
        <cfvo type="percent" val="67"/>
      </iconSet>
    </cfRule>
  </conditionalFormatting>
  <conditionalFormatting sqref="A18">
    <cfRule type="iconSet" priority="21">
      <iconSet>
        <cfvo type="percent" val="0"/>
        <cfvo type="percent" val="33"/>
        <cfvo type="percent" val="67"/>
      </iconSet>
    </cfRule>
  </conditionalFormatting>
  <conditionalFormatting sqref="A19">
    <cfRule type="iconSet" priority="20">
      <iconSet>
        <cfvo type="percent" val="0"/>
        <cfvo type="percent" val="33"/>
        <cfvo type="percent" val="67"/>
      </iconSet>
    </cfRule>
  </conditionalFormatting>
  <conditionalFormatting sqref="A19">
    <cfRule type="iconSet" priority="19">
      <iconSet>
        <cfvo type="percent" val="0"/>
        <cfvo type="percent" val="33"/>
        <cfvo type="percent" val="67"/>
      </iconSet>
    </cfRule>
  </conditionalFormatting>
  <conditionalFormatting sqref="A20">
    <cfRule type="iconSet" priority="18">
      <iconSet>
        <cfvo type="percent" val="0"/>
        <cfvo type="percent" val="33"/>
        <cfvo type="percent" val="67"/>
      </iconSet>
    </cfRule>
  </conditionalFormatting>
  <conditionalFormatting sqref="A20">
    <cfRule type="iconSet" priority="17">
      <iconSet>
        <cfvo type="percent" val="0"/>
        <cfvo type="percent" val="33"/>
        <cfvo type="percent" val="67"/>
      </iconSet>
    </cfRule>
  </conditionalFormatting>
  <conditionalFormatting sqref="A21">
    <cfRule type="iconSet" priority="16">
      <iconSet>
        <cfvo type="percent" val="0"/>
        <cfvo type="percent" val="33"/>
        <cfvo type="percent" val="67"/>
      </iconSet>
    </cfRule>
  </conditionalFormatting>
  <conditionalFormatting sqref="A21">
    <cfRule type="iconSet" priority="15">
      <iconSet>
        <cfvo type="percent" val="0"/>
        <cfvo type="percent" val="33"/>
        <cfvo type="percent" val="67"/>
      </iconSet>
    </cfRule>
  </conditionalFormatting>
  <conditionalFormatting sqref="A22">
    <cfRule type="iconSet" priority="14">
      <iconSet>
        <cfvo type="percent" val="0"/>
        <cfvo type="percent" val="33"/>
        <cfvo type="percent" val="67"/>
      </iconSet>
    </cfRule>
  </conditionalFormatting>
  <conditionalFormatting sqref="A22">
    <cfRule type="iconSet" priority="13">
      <iconSet>
        <cfvo type="percent" val="0"/>
        <cfvo type="percent" val="33"/>
        <cfvo type="percent" val="67"/>
      </iconSet>
    </cfRule>
  </conditionalFormatting>
  <conditionalFormatting sqref="A23">
    <cfRule type="iconSet" priority="12">
      <iconSet>
        <cfvo type="percent" val="0"/>
        <cfvo type="percent" val="33"/>
        <cfvo type="percent" val="67"/>
      </iconSet>
    </cfRule>
  </conditionalFormatting>
  <conditionalFormatting sqref="A23">
    <cfRule type="iconSet" priority="11">
      <iconSet>
        <cfvo type="percent" val="0"/>
        <cfvo type="percent" val="33"/>
        <cfvo type="percent" val="67"/>
      </iconSet>
    </cfRule>
  </conditionalFormatting>
  <conditionalFormatting sqref="A8:A9 A11:A25">
    <cfRule type="iconSet" priority="10">
      <iconSet>
        <cfvo type="percent" val="0"/>
        <cfvo type="percent" val="33"/>
        <cfvo type="percent" val="67"/>
      </iconSet>
    </cfRule>
  </conditionalFormatting>
  <conditionalFormatting sqref="A10">
    <cfRule type="iconSet" priority="8">
      <iconSet>
        <cfvo type="percent" val="0"/>
        <cfvo type="percent" val="33"/>
        <cfvo type="percent" val="67"/>
      </iconSet>
    </cfRule>
  </conditionalFormatting>
  <conditionalFormatting sqref="A10">
    <cfRule type="iconSet" priority="7">
      <iconSet>
        <cfvo type="percent" val="0"/>
        <cfvo type="percent" val="33"/>
        <cfvo type="percent" val="67"/>
      </iconSet>
    </cfRule>
  </conditionalFormatting>
  <conditionalFormatting sqref="A10">
    <cfRule type="iconSet" priority="6">
      <iconSet>
        <cfvo type="percent" val="0"/>
        <cfvo type="percent" val="33"/>
        <cfvo type="percent" val="67"/>
      </iconSet>
    </cfRule>
  </conditionalFormatting>
  <conditionalFormatting sqref="A10">
    <cfRule type="iconSet" priority="5">
      <iconSet>
        <cfvo type="percent" val="0"/>
        <cfvo type="percent" val="33"/>
        <cfvo type="percent" val="67"/>
      </iconSet>
    </cfRule>
  </conditionalFormatting>
  <conditionalFormatting sqref="A10">
    <cfRule type="iconSet" priority="4">
      <iconSet>
        <cfvo type="percent" val="0"/>
        <cfvo type="percent" val="33"/>
        <cfvo type="percent" val="67"/>
      </iconSet>
    </cfRule>
  </conditionalFormatting>
  <conditionalFormatting sqref="A10">
    <cfRule type="iconSet" priority="9">
      <iconSet>
        <cfvo type="percent" val="0"/>
        <cfvo type="percent" val="33"/>
        <cfvo type="percent" val="67"/>
      </iconSet>
    </cfRule>
  </conditionalFormatting>
  <conditionalFormatting sqref="A10">
    <cfRule type="iconSet" priority="3">
      <iconSet>
        <cfvo type="percent" val="0"/>
        <cfvo type="percent" val="33"/>
        <cfvo type="percent" val="67"/>
      </iconSet>
    </cfRule>
  </conditionalFormatting>
  <conditionalFormatting sqref="A10">
    <cfRule type="iconSet" priority="2">
      <iconSet>
        <cfvo type="percent" val="0"/>
        <cfvo type="percent" val="33"/>
        <cfvo type="percent" val="67"/>
      </iconSet>
    </cfRule>
  </conditionalFormatting>
  <conditionalFormatting sqref="A8:A25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5" xr:uid="{7BB29F6C-4A8E-43B6-8983-3BC91F51EEAB}">
      <formula1>$J$1:$J$6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2021-09-21T09:23:07Z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