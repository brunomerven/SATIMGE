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83D00A63-254C-4AC2-B91F-CFBD2B47FA52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18" r:id="rId9"/>
    <pivotCache cacheId="22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3" i="33" l="1"/>
  <c r="P34" i="33"/>
  <c r="P35" i="33"/>
  <c r="P36" i="33"/>
  <c r="P37" i="33"/>
  <c r="P38" i="33"/>
  <c r="P39" i="33"/>
  <c r="P40" i="33"/>
  <c r="P41" i="33"/>
  <c r="P42" i="33"/>
  <c r="P43" i="33"/>
  <c r="P32" i="33"/>
  <c r="P30" i="33"/>
  <c r="P31" i="33"/>
  <c r="P29" i="33"/>
  <c r="P24" i="33" l="1"/>
  <c r="P27" i="33"/>
  <c r="C20" i="4" l="1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tc={74ED5BC0-34BF-4332-A212-E29E53164926}</author>
    <author>tc={80B76C32-5065-445C-B4CA-949AF3C466AE}</author>
    <author>tc={09AECD53-5E0F-4AAD-86D9-0A176D1BEB4C}</author>
    <author>tc={F3CD45E7-FB15-4167-B9DE-54F2012F11B7}</author>
    <author>tc={14217D9C-4C98-42E8-9154-1DE48726E6DE}</author>
    <author>tc={48E9DF9A-ED6F-4DF5-9406-F8FFC6A4B97D}</author>
    <author>tc={3030EE55-B023-42FF-A191-16EBF89BEDDE}</author>
    <author>tc={B2511B61-57CB-4E81-9B16-52A13B1ABEFF}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74ED5BC0-34BF-4332-A212-E29E5316492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F3CD45E7-FB15-4167-B9DE-54F2012F11B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8" authorId="39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<sst xmlns="http://schemas.openxmlformats.org/spreadsheetml/2006/main" count="919" uniqueCount="287">
  <si>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</si>
  <si>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</si>
  <si>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</si>
  <si>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</si>
  <si>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</si>
  <si>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</si>
  <si>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</si>
  <si>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</si>
  <si>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</si>
  <si>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</si>
  <si>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</si>
  <si>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</si>
  <si>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</si>
  <si>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</si>
  <si>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</si>
  <si>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</si>
  <si>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</si>
  <si>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</si>
  <si>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</si>
  <si>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</si>
  <si>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</si>
  <si>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</si>
  <si>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</si>
  <si>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</si>
  <si>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</si>
  <si>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</si>
  <si>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</si>
  <si>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</si>
  <si>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</si>
  <si>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</si>
  <si>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</si>
  <si>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</si>
  <si>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</si>
  <si>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</si>
  <si>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</si>
  <si>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</si>
  <si>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</si>
  <si>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</si>
  <si>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</si>
  <si>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</si>
  <si>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</si>
  <si>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</si>
  <si>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</si>
  <si>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</si>
  <si>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</si>
  <si>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</si>
  <si>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</si>
  <si>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</si>
  <si>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</si>
  <si>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</si>
  <si>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</si>
  <si>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</si>
  <si>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</si>
  <si>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</si>
  <si>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</si>
  <si>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</si>
  <si>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</si>
  <si>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</si>
  <si>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</si>
  <si>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</si>
  <si>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</si>
  <si>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</si>
  <si>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</si>
  <si>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</si>
  <si>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</si>
  <si>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</si>
  <si>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</si>
  <si>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</si>
  <si>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</si>
  <si>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</si>
  <si>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</si>
  <si>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</si>
  <si>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</si>
  <si>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</si>
  <si>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</si>
  <si>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</si>
  <si>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</si>
  <si>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</si>
  <si>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</si>
  <si>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</si>
  <si>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</si>
  <si>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</si>
  <si>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</si>
  <si>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</si>
  <si>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</si>
  <si>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</si>
  <si>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</si>
  <si>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</si>
  <si>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</si>
  <si>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</si>
  <si>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</si>
  <si>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</si>
  <si>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</si>
  <si>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</si>
  <si>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</si>
  <si>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</si>
  <si>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</si>
  <si>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</si>
  <si>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</si>
  <si>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</si>
  <si>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</si>
  <si>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</si>
  <si>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</si>
  <si>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</si>
  <si>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</si>
  <si>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</si>
  <si>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</si>
  <si>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</si>
  <si>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</si>
  <si>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</si>
  <si>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</si>
  <si>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</si>
  <si>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</si>
  <si>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</si>
  <si>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</si>
  <si>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</si>
  <si>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</si>
  <si>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</si>
  <si>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</si>
  <si>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</si>
  <si>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</si>
  <si>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</si>
  <si>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</si>
  <si>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</si>
  <si>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</si>
  <si>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</si>
  <si>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</si>
  <si>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</si>
  <si>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</si>
  <si>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</si>
  <si>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</si>
  <si>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</si>
  <si>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</si>
  <si>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</si>
  <si>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</si>
  <si>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</si>
  <si>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</si>
  <si>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</si>
  <si>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</si>
  <si>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</si>
  <si>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</si>
  <si>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</si>
  <si>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</si>
  <si>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</si>
  <si>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</si>
  <si>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</si>
  <si>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</si>
  <si>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</si>
  <si>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</si>
  <si>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</si>
  <si>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</si>
  <si>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</si>
  <si>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</si>
  <si>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</si>
  <si>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</si>
  <si>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</si>
  <si>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</si>
  <si>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</si>
  <si>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</si>
  <si>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</si>
  <si>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</si>
  <si>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</si>
  <si>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</si>
  <si>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</si>
  <si>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</si>
  <si>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</si>
  <si>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</si>
  <si>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</si>
  <si>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</si>
  <si>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</si>
  <si>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</si>
  <si>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</si>
  <si>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</si>
  <si>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</si>
  <si>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</si>
  <si>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</si>
  <si>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</si>
  <si>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</si>
  <si>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</si>
  <si>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</si>
  <si>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</si>
  <si>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</si>
  <si>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</si>
  <si>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</si>
  <si>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</si>
  <si>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</si>
  <si>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</si>
  <si>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</si>
  <si>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</si>
  <si>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</si>
  <si>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</si>
  <si>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</si>
  <si>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</si>
  <si>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</si>
  <si>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</si>
  <si>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</si>
  <si>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</si>
  <si>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</si>
  <si>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</si>
  <si>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</si>
  <si>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</si>
  <si>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</si>
  <si>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</si>
  <si>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</si>
  <si>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</si>
  <si>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</si>
  <si>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</si>
  <si>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</si>
  <si>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</si>
  <si>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</si>
  <si>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</si>
  <si>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</si>
  <si>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</si>
  <si>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</si>
  <si>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</si>
  <si>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</si>
  <si>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</si>
  <si>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</si>
  <si>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</si>
  <si>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</si>
  <si>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</si>
  <si>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</si>
  <si>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</si>
  <si>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</si>
  <si>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</si>
  <si>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</si>
  <si>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</si>
  <si>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</si>
  <si>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</si>
  <si>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</si>
  <si>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</si>
  <si>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</si>
  <si>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</si>
  <si>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</si>
  <si>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</si>
  <si>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</si>
  <si>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</si>
  <si>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</si>
  <si>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</si>
  <si>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</si>
  <si>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</si>
  <si>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</si>
  <si>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</si>
  <si>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</si>
  <si>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</si>
  <si>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</si>
  <si>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</si>
  <si>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</si>
  <si>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NZ-10NE</t>
  </si>
  <si>
    <t>0RG_NZ10_PAM_9_WE</t>
  </si>
  <si>
    <t>0RG_NZ10_PAM_7_WE</t>
  </si>
  <si>
    <t>NZ-10IPWE</t>
  </si>
  <si>
    <t>0RG_NZ10_7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</si>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</sst>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42.930608796298" createdVersion="6" refreshedVersion="8" minRefreshableVersion="3" recordCount="84" xr:uid="{C0EB43E8-6CC6-4DE4-B7F1-02B09F7BA69A}">
  <cacheSource type="worksheet">
    <worksheetSource ref="A9:P12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7"/>
        <s v="0RG_NZ10_PAM_9_WE"/>
        <s v="0RG_NZ10_PAM_8_WE"/>
        <s v="0RG_NZ10_PAM_7_WE"/>
        <s v="0RG_9"/>
        <s v="0RG_PT_9"/>
        <s v="0RG_IRP_GI_PAM_9"/>
        <s v="0RG_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51">
        <s v="NOPAMSREF"/>
        <s v="NOPAMSWE"/>
        <s v="NZ-20WE-T"/>
        <s v="NZ-20WE"/>
        <s v="NZ-20NENH"/>
        <s v="NZ-20WENH"/>
        <s v="NZ-20NE"/>
        <s v="CP20NEWH"/>
        <s v="NZ-10NE"/>
        <s v="NZ-10IPWE"/>
        <s v="NZ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42.930613888886" createdVersion="6" refreshedVersion="8" minRefreshableVersion="3" recordCount="84" xr:uid="{D229C3DF-142A-4D15-BB2C-2EA205AB0203}">
  <cacheSource type="worksheet">
    <worksheetSource ref="A9:P12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7"/>
        <s v="0RG_NZ10_PAM_9_WE"/>
        <s v="0RG_NZ10_PAM_8_WE"/>
        <s v="0RG_NZ10_PAM_7_WE"/>
        <s v="0RG_9"/>
        <s v="0RG_PT_9"/>
        <s v="0RG_IRP_GI_PAM_9"/>
        <s v="0RG_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m/>
    <n v="1"/>
    <n v="1"/>
    <n v="-1"/>
    <n v="-1"/>
    <n v="-1"/>
    <n v="1"/>
    <n v="-1"/>
    <n v="7.000327102810413"/>
  </r>
  <r>
    <n v="0"/>
    <x v="14"/>
    <s v="yes tested"/>
    <x v="0"/>
    <x v="8"/>
    <n v="1"/>
    <n v="1"/>
    <m/>
    <n v="1"/>
    <n v="1"/>
    <n v="-1"/>
    <n v="-1"/>
    <n v="-1"/>
    <n v="1"/>
    <n v="-1"/>
    <n v="6.000327102810413"/>
  </r>
  <r>
    <n v="0"/>
    <x v="15"/>
    <s v="yes tested"/>
    <x v="0"/>
    <x v="8"/>
    <n v="1"/>
    <n v="1"/>
    <m/>
    <n v="1"/>
    <n v="1"/>
    <n v="-1"/>
    <n v="-1"/>
    <n v="-1"/>
    <n v="1"/>
    <n v="-1"/>
    <n v="5.500327102810413"/>
  </r>
  <r>
    <n v="0"/>
    <x v="16"/>
    <s v="yes tested"/>
    <x v="0"/>
    <x v="9"/>
    <n v="1"/>
    <n v="1"/>
    <m/>
    <n v="1"/>
    <n v="1"/>
    <n v="-1"/>
    <n v="1"/>
    <n v="1"/>
    <n v="1"/>
    <n v="-1"/>
    <n v="7.000327102810413"/>
  </r>
  <r>
    <n v="0"/>
    <x v="17"/>
    <s v="yes tested"/>
    <x v="0"/>
    <x v="9"/>
    <n v="1"/>
    <n v="1"/>
    <m/>
    <n v="1"/>
    <n v="1"/>
    <n v="-1"/>
    <n v="1"/>
    <n v="1"/>
    <n v="1"/>
    <n v="-1"/>
    <n v="6.000327102810413"/>
  </r>
  <r>
    <n v="0"/>
    <x v="18"/>
    <s v="yes tested"/>
    <x v="0"/>
    <x v="9"/>
    <n v="1"/>
    <n v="1"/>
    <m/>
    <n v="1"/>
    <n v="1"/>
    <n v="-1"/>
    <n v="1"/>
    <n v="1"/>
    <n v="1"/>
    <n v="-1"/>
    <n v="5.500327102810413"/>
  </r>
  <r>
    <n v="1"/>
    <x v="19"/>
    <m/>
    <x v="0"/>
    <x v="10"/>
    <n v="1"/>
    <n v="0"/>
    <m/>
    <n v="1"/>
    <n v="1"/>
    <n v="-1"/>
    <n v="-1"/>
    <n v="-1"/>
    <n v="1"/>
    <n v="-1"/>
    <n v="7.000327102810413"/>
  </r>
  <r>
    <n v="1"/>
    <x v="20"/>
    <m/>
    <x v="0"/>
    <x v="11"/>
    <n v="1"/>
    <n v="0"/>
    <m/>
    <n v="1"/>
    <n v="1"/>
    <n v="-1"/>
    <n v="-1"/>
    <n v="-1"/>
    <n v="1"/>
    <n v="-1"/>
    <n v="7.000327102810413"/>
  </r>
  <r>
    <n v="1"/>
    <x v="21"/>
    <m/>
    <x v="0"/>
    <x v="12"/>
    <n v="1"/>
    <n v="0"/>
    <m/>
    <n v="1"/>
    <n v="1"/>
    <n v="-1"/>
    <n v="1"/>
    <n v="1"/>
    <n v="1"/>
    <n v="-1"/>
    <n v="7.000327102810413"/>
  </r>
  <r>
    <n v="1"/>
    <x v="22"/>
    <m/>
    <x v="0"/>
    <x v="10"/>
    <n v="1"/>
    <n v="0"/>
    <m/>
    <n v="1"/>
    <n v="1"/>
    <n v="-1"/>
    <n v="-1"/>
    <n v="-1"/>
    <n v="1"/>
    <n v="-1"/>
    <n v="6.000327102810413"/>
  </r>
  <r>
    <n v="1"/>
    <x v="23"/>
    <m/>
    <x v="0"/>
    <x v="11"/>
    <n v="1"/>
    <n v="0"/>
    <m/>
    <n v="1"/>
    <n v="1"/>
    <n v="-1"/>
    <n v="-1"/>
    <n v="-1"/>
    <n v="1"/>
    <n v="-1"/>
    <n v="6.000327102810413"/>
  </r>
  <r>
    <n v="1"/>
    <x v="24"/>
    <m/>
    <x v="0"/>
    <x v="13"/>
    <n v="1"/>
    <n v="0"/>
    <m/>
    <n v="1"/>
    <n v="1"/>
    <n v="-1"/>
    <n v="-1"/>
    <n v="-1"/>
    <n v="1"/>
    <n v="-1"/>
    <n v="6.000327102810413"/>
  </r>
  <r>
    <n v="1"/>
    <x v="25"/>
    <m/>
    <x v="0"/>
    <x v="14"/>
    <n v="1"/>
    <n v="0"/>
    <m/>
    <n v="1"/>
    <n v="1"/>
    <n v="-1"/>
    <n v="-1"/>
    <n v="-1"/>
    <n v="1"/>
    <n v="-1"/>
    <n v="6.000327102810413"/>
  </r>
  <r>
    <n v="1"/>
    <x v="26"/>
    <m/>
    <x v="0"/>
    <x v="15"/>
    <n v="1"/>
    <n v="0"/>
    <m/>
    <n v="1"/>
    <n v="1"/>
    <n v="-1"/>
    <n v="-1"/>
    <n v="-1"/>
    <n v="1"/>
    <n v="-1"/>
    <n v="6.000327102810413"/>
  </r>
  <r>
    <n v="1"/>
    <x v="27"/>
    <m/>
    <x v="0"/>
    <x v="16"/>
    <n v="1"/>
    <n v="0"/>
    <m/>
    <n v="1"/>
    <n v="1"/>
    <n v="-1"/>
    <n v="-1"/>
    <n v="-1"/>
    <n v="1"/>
    <n v="-1"/>
    <n v="6.000327102810413"/>
  </r>
  <r>
    <n v="1"/>
    <x v="28"/>
    <m/>
    <x v="0"/>
    <x v="17"/>
    <n v="1"/>
    <n v="0"/>
    <m/>
    <n v="1"/>
    <n v="1"/>
    <n v="-1"/>
    <n v="-1"/>
    <n v="-1"/>
    <n v="1"/>
    <n v="-1"/>
    <n v="6.000327102810413"/>
  </r>
  <r>
    <n v="1"/>
    <x v="29"/>
    <m/>
    <x v="0"/>
    <x v="18"/>
    <n v="1"/>
    <n v="0"/>
    <m/>
    <n v="1"/>
    <n v="1"/>
    <n v="-1"/>
    <n v="-1"/>
    <n v="-1"/>
    <n v="1"/>
    <n v="-1"/>
    <n v="6.000327102810413"/>
  </r>
  <r>
    <n v="1"/>
    <x v="30"/>
    <m/>
    <x v="0"/>
    <x v="19"/>
    <n v="1"/>
    <n v="0"/>
    <m/>
    <n v="1"/>
    <n v="1"/>
    <n v="-1"/>
    <n v="-1"/>
    <n v="-1"/>
    <n v="1"/>
    <n v="-1"/>
    <n v="6.000327102810413"/>
  </r>
  <r>
    <n v="1"/>
    <x v="31"/>
    <m/>
    <x v="0"/>
    <x v="20"/>
    <n v="1"/>
    <n v="0"/>
    <m/>
    <n v="1"/>
    <n v="1"/>
    <n v="-1"/>
    <n v="-1"/>
    <n v="-1"/>
    <n v="1"/>
    <n v="-1"/>
    <n v="6.000327102810413"/>
  </r>
  <r>
    <n v="1"/>
    <x v="32"/>
    <m/>
    <x v="0"/>
    <x v="21"/>
    <n v="1"/>
    <n v="0"/>
    <m/>
    <n v="1"/>
    <n v="1"/>
    <n v="-1"/>
    <n v="1"/>
    <n v="1"/>
    <n v="1"/>
    <n v="-1"/>
    <n v="6.000327102810413"/>
  </r>
  <r>
    <n v="1"/>
    <x v="33"/>
    <m/>
    <x v="0"/>
    <x v="22"/>
    <n v="1"/>
    <n v="0"/>
    <m/>
    <n v="1"/>
    <n v="1"/>
    <n v="-1"/>
    <n v="1"/>
    <n v="1"/>
    <n v="1"/>
    <n v="-1"/>
    <n v="6.000327102810413"/>
  </r>
  <r>
    <n v="1"/>
    <x v="34"/>
    <m/>
    <x v="0"/>
    <x v="23"/>
    <n v="1"/>
    <n v="0"/>
    <m/>
    <n v="1"/>
    <n v="1"/>
    <n v="-1"/>
    <n v="1"/>
    <n v="1"/>
    <n v="1"/>
    <n v="-1"/>
    <n v="7.000327102810413"/>
  </r>
  <r>
    <n v="1"/>
    <x v="35"/>
    <m/>
    <x v="0"/>
    <x v="13"/>
    <n v="1"/>
    <n v="0"/>
    <m/>
    <n v="1"/>
    <n v="1"/>
    <n v="-1"/>
    <n v="1"/>
    <n v="1"/>
    <n v="1"/>
    <n v="-1"/>
    <n v="7.000327102810413"/>
  </r>
  <r>
    <n v="1"/>
    <x v="36"/>
    <m/>
    <x v="0"/>
    <x v="17"/>
    <n v="1"/>
    <n v="0"/>
    <m/>
    <n v="1"/>
    <n v="1"/>
    <n v="-1"/>
    <n v="-1"/>
    <n v="-1"/>
    <n v="1"/>
    <n v="-1"/>
    <n v="7.000327102810413"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  <r>
    <m/>
    <x v="37"/>
    <m/>
    <x v="1"/>
    <x v="2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10NE"/>
    <n v="1"/>
    <n v="1"/>
    <m/>
    <n v="1"/>
    <n v="1"/>
    <n v="-1"/>
    <n v="-1"/>
    <n v="-1"/>
    <n v="1"/>
    <n v="-1"/>
    <n v="7.000327102810413"/>
  </r>
  <r>
    <n v="0"/>
    <x v="14"/>
    <s v="yes tested"/>
    <s v="base"/>
    <s v="NZ-10NE"/>
    <n v="1"/>
    <n v="1"/>
    <m/>
    <n v="1"/>
    <n v="1"/>
    <n v="-1"/>
    <n v="-1"/>
    <n v="-1"/>
    <n v="1"/>
    <n v="-1"/>
    <n v="6.000327102810413"/>
  </r>
  <r>
    <n v="0"/>
    <x v="15"/>
    <s v="yes tested"/>
    <s v="base"/>
    <s v="NZ-10NE"/>
    <n v="1"/>
    <n v="1"/>
    <m/>
    <n v="1"/>
    <n v="1"/>
    <n v="-1"/>
    <n v="-1"/>
    <n v="-1"/>
    <n v="1"/>
    <n v="-1"/>
    <n v="5.500327102810413"/>
  </r>
  <r>
    <n v="0"/>
    <x v="16"/>
    <s v="yes tested"/>
    <s v="base"/>
    <s v="NZ-10IPWE"/>
    <n v="1"/>
    <n v="1"/>
    <m/>
    <n v="1"/>
    <n v="1"/>
    <n v="-1"/>
    <n v="1"/>
    <n v="1"/>
    <n v="1"/>
    <n v="-1"/>
    <n v="7.000327102810413"/>
  </r>
  <r>
    <n v="0"/>
    <x v="17"/>
    <s v="yes tested"/>
    <s v="base"/>
    <s v="NZ-10IPWE"/>
    <n v="1"/>
    <n v="1"/>
    <m/>
    <n v="1"/>
    <n v="1"/>
    <n v="-1"/>
    <n v="1"/>
    <n v="1"/>
    <n v="1"/>
    <n v="-1"/>
    <n v="6.000327102810413"/>
  </r>
  <r>
    <n v="0"/>
    <x v="18"/>
    <s v="yes tested"/>
    <s v="base"/>
    <s v="NZ-10IPWE"/>
    <n v="1"/>
    <n v="1"/>
    <m/>
    <n v="1"/>
    <n v="1"/>
    <n v="-1"/>
    <n v="1"/>
    <n v="1"/>
    <n v="1"/>
    <n v="-1"/>
    <n v="5.500327102810413"/>
  </r>
  <r>
    <n v="1"/>
    <x v="19"/>
    <m/>
    <s v="base"/>
    <s v="NZ"/>
    <n v="1"/>
    <n v="0"/>
    <m/>
    <n v="1"/>
    <n v="1"/>
    <n v="-1"/>
    <n v="-1"/>
    <n v="-1"/>
    <n v="1"/>
    <n v="-1"/>
    <n v="7.000327102810413"/>
  </r>
  <r>
    <n v="1"/>
    <x v="20"/>
    <m/>
    <s v="base"/>
    <s v="NZPT"/>
    <n v="1"/>
    <n v="0"/>
    <m/>
    <n v="1"/>
    <n v="1"/>
    <n v="-1"/>
    <n v="-1"/>
    <n v="-1"/>
    <n v="1"/>
    <n v="-1"/>
    <n v="7.000327102810413"/>
  </r>
  <r>
    <n v="1"/>
    <x v="21"/>
    <m/>
    <s v="base"/>
    <s v="NZIRGIIP"/>
    <n v="1"/>
    <n v="0"/>
    <m/>
    <n v="1"/>
    <n v="1"/>
    <n v="-1"/>
    <n v="1"/>
    <n v="1"/>
    <n v="1"/>
    <n v="-1"/>
    <n v="7.000327102810413"/>
  </r>
  <r>
    <n v="1"/>
    <x v="22"/>
    <m/>
    <s v="base"/>
    <s v="NZ"/>
    <n v="1"/>
    <n v="0"/>
    <m/>
    <n v="1"/>
    <n v="1"/>
    <n v="-1"/>
    <n v="-1"/>
    <n v="-1"/>
    <n v="1"/>
    <n v="-1"/>
    <n v="6.000327102810413"/>
  </r>
  <r>
    <n v="1"/>
    <x v="23"/>
    <m/>
    <s v="base"/>
    <s v="NZPT"/>
    <n v="1"/>
    <n v="0"/>
    <m/>
    <n v="1"/>
    <n v="1"/>
    <n v="-1"/>
    <n v="-1"/>
    <n v="-1"/>
    <n v="1"/>
    <n v="-1"/>
    <n v="6.000327102810413"/>
  </r>
  <r>
    <n v="1"/>
    <x v="24"/>
    <m/>
    <s v="base"/>
    <s v="NZ35"/>
    <n v="1"/>
    <n v="0"/>
    <m/>
    <n v="1"/>
    <n v="1"/>
    <n v="-1"/>
    <n v="-1"/>
    <n v="-1"/>
    <n v="1"/>
    <n v="-1"/>
    <n v="6.000327102810413"/>
  </r>
  <r>
    <n v="1"/>
    <x v="25"/>
    <m/>
    <s v="base"/>
    <s v="NZPT35"/>
    <n v="1"/>
    <n v="0"/>
    <m/>
    <n v="1"/>
    <n v="1"/>
    <n v="-1"/>
    <n v="-1"/>
    <n v="-1"/>
    <n v="1"/>
    <n v="-1"/>
    <n v="6.000327102810413"/>
  </r>
  <r>
    <n v="1"/>
    <x v="26"/>
    <m/>
    <s v="base"/>
    <s v="NZS3"/>
    <n v="1"/>
    <n v="0"/>
    <m/>
    <n v="1"/>
    <n v="1"/>
    <n v="-1"/>
    <n v="-1"/>
    <n v="-1"/>
    <n v="1"/>
    <n v="-1"/>
    <n v="6.000327102810413"/>
  </r>
  <r>
    <n v="1"/>
    <x v="27"/>
    <m/>
    <s v="base"/>
    <s v="NZPTS3"/>
    <n v="1"/>
    <n v="0"/>
    <m/>
    <n v="1"/>
    <n v="1"/>
    <n v="-1"/>
    <n v="-1"/>
    <n v="-1"/>
    <n v="1"/>
    <n v="-1"/>
    <n v="6.000327102810413"/>
  </r>
  <r>
    <n v="1"/>
    <x v="28"/>
    <m/>
    <s v="base"/>
    <s v="NZIR"/>
    <n v="1"/>
    <n v="0"/>
    <m/>
    <n v="1"/>
    <n v="1"/>
    <n v="-1"/>
    <n v="-1"/>
    <n v="-1"/>
    <n v="1"/>
    <n v="-1"/>
    <n v="6.000327102810413"/>
  </r>
  <r>
    <n v="1"/>
    <x v="29"/>
    <m/>
    <s v="base"/>
    <s v="NZPTIR"/>
    <n v="1"/>
    <n v="0"/>
    <m/>
    <n v="1"/>
    <n v="1"/>
    <n v="-1"/>
    <n v="-1"/>
    <n v="-1"/>
    <n v="1"/>
    <n v="-1"/>
    <n v="6.000327102810413"/>
  </r>
  <r>
    <n v="1"/>
    <x v="30"/>
    <m/>
    <s v="base"/>
    <s v="NZ35IRGI"/>
    <n v="1"/>
    <n v="0"/>
    <m/>
    <n v="1"/>
    <n v="1"/>
    <n v="-1"/>
    <n v="-1"/>
    <n v="-1"/>
    <n v="1"/>
    <n v="-1"/>
    <n v="6.000327102810413"/>
  </r>
  <r>
    <n v="1"/>
    <x v="31"/>
    <m/>
    <s v="base"/>
    <s v="NZPT35IRGI"/>
    <n v="1"/>
    <n v="0"/>
    <m/>
    <n v="1"/>
    <n v="1"/>
    <n v="-1"/>
    <n v="-1"/>
    <n v="-1"/>
    <n v="1"/>
    <n v="-1"/>
    <n v="6.000327102810413"/>
  </r>
  <r>
    <n v="1"/>
    <x v="32"/>
    <m/>
    <s v="base"/>
    <s v="NZ35IRIP"/>
    <n v="1"/>
    <n v="0"/>
    <m/>
    <n v="1"/>
    <n v="1"/>
    <n v="-1"/>
    <n v="1"/>
    <n v="1"/>
    <n v="1"/>
    <n v="-1"/>
    <n v="6.000327102810413"/>
  </r>
  <r>
    <n v="1"/>
    <x v="33"/>
    <m/>
    <s v="base"/>
    <s v="NZ35IRGIIP"/>
    <n v="1"/>
    <n v="0"/>
    <m/>
    <n v="1"/>
    <n v="1"/>
    <n v="-1"/>
    <n v="1"/>
    <n v="1"/>
    <n v="1"/>
    <n v="-1"/>
    <n v="6.000327102810413"/>
  </r>
  <r>
    <n v="1"/>
    <x v="34"/>
    <m/>
    <s v="base"/>
    <s v="NZIRIP"/>
    <n v="1"/>
    <n v="0"/>
    <m/>
    <n v="1"/>
    <n v="1"/>
    <n v="-1"/>
    <n v="1"/>
    <n v="1"/>
    <n v="1"/>
    <n v="-1"/>
    <n v="7.000327102810413"/>
  </r>
  <r>
    <n v="1"/>
    <x v="35"/>
    <m/>
    <s v="base"/>
    <s v="NZ35"/>
    <n v="1"/>
    <n v="0"/>
    <m/>
    <n v="1"/>
    <n v="1"/>
    <n v="-1"/>
    <n v="1"/>
    <n v="1"/>
    <n v="1"/>
    <n v="-1"/>
    <n v="7.000327102810413"/>
  </r>
  <r>
    <n v="1"/>
    <x v="36"/>
    <m/>
    <s v="base"/>
    <s v="NZIR"/>
    <n v="1"/>
    <n v="0"/>
    <m/>
    <n v="1"/>
    <n v="1"/>
    <n v="-1"/>
    <n v="-1"/>
    <n v="-1"/>
    <n v="1"/>
    <n v="-1"/>
    <n v="7.000327102810413"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1" firstHeaderRow="1" firstDataRow="1" firstDataCol="1"/>
  <pivotFields count="16">
    <pivotField showAll="0"/>
    <pivotField showAll="0"/>
    <pivotField showAll="0"/>
    <pivotField showAll="0"/>
    <pivotField axis="axisRow" showAll="0">
      <items count="152">
        <item m="1" x="98"/>
        <item m="1" x="76"/>
        <item m="1" x="68"/>
        <item x="24"/>
        <item m="1" x="75"/>
        <item m="1" x="40"/>
        <item m="1" x="88"/>
        <item m="1" x="103"/>
        <item m="1" x="71"/>
        <item m="1" x="77"/>
        <item m="1" x="72"/>
        <item m="1" x="57"/>
        <item m="1" x="27"/>
        <item m="1" x="86"/>
        <item m="1" x="25"/>
        <item m="1" x="135"/>
        <item m="1" x="50"/>
        <item m="1" x="119"/>
        <item m="1" x="129"/>
        <item m="1" x="58"/>
        <item m="1" x="52"/>
        <item m="1" x="123"/>
        <item m="1" x="92"/>
        <item m="1" x="93"/>
        <item m="1" x="120"/>
        <item m="1" x="66"/>
        <item m="1" x="116"/>
        <item m="1" x="33"/>
        <item m="1" x="43"/>
        <item m="1" x="147"/>
        <item m="1" x="100"/>
        <item m="1" x="130"/>
        <item m="1" x="79"/>
        <item m="1" x="132"/>
        <item m="1" x="139"/>
        <item m="1" x="84"/>
        <item m="1" x="101"/>
        <item m="1" x="97"/>
        <item m="1" x="128"/>
        <item m="1" x="126"/>
        <item m="1" x="47"/>
        <item m="1" x="142"/>
        <item m="1" x="95"/>
        <item m="1" x="113"/>
        <item m="1" x="125"/>
        <item m="1" x="144"/>
        <item m="1" x="150"/>
        <item m="1" x="81"/>
        <item m="1" x="70"/>
        <item m="1" x="69"/>
        <item m="1" x="104"/>
        <item m="1" x="74"/>
        <item m="1" x="111"/>
        <item m="1" x="41"/>
        <item m="1" x="85"/>
        <item m="1" x="110"/>
        <item m="1" x="127"/>
        <item m="1" x="83"/>
        <item m="1" x="78"/>
        <item m="1" x="37"/>
        <item m="1" x="134"/>
        <item m="1" x="49"/>
        <item m="1" x="62"/>
        <item m="1" x="90"/>
        <item m="1" x="99"/>
        <item m="1" x="63"/>
        <item m="1" x="31"/>
        <item m="1" x="94"/>
        <item m="1" x="102"/>
        <item m="1" x="53"/>
        <item m="1" x="118"/>
        <item m="1" x="131"/>
        <item m="1" x="87"/>
        <item m="1" x="56"/>
        <item m="1" x="64"/>
        <item m="1" x="48"/>
        <item m="1" x="106"/>
        <item m="1" x="29"/>
        <item m="1" x="112"/>
        <item m="1" x="124"/>
        <item m="1" x="140"/>
        <item m="1" x="121"/>
        <item m="1" x="137"/>
        <item m="1" x="148"/>
        <item m="1" x="65"/>
        <item m="1" x="117"/>
        <item m="1" x="146"/>
        <item m="1" x="38"/>
        <item m="1" x="45"/>
        <item m="1" x="67"/>
        <item m="1" x="96"/>
        <item m="1" x="34"/>
        <item m="1" x="36"/>
        <item x="0"/>
        <item m="1" x="28"/>
        <item m="1" x="136"/>
        <item m="1" x="73"/>
        <item m="1" x="133"/>
        <item m="1" x="46"/>
        <item m="1" x="138"/>
        <item m="1" x="109"/>
        <item m="1" x="89"/>
        <item m="1" x="55"/>
        <item m="1" x="108"/>
        <item m="1" x="26"/>
        <item m="1" x="122"/>
        <item x="3"/>
        <item x="6"/>
        <item m="1" x="107"/>
        <item m="1" x="30"/>
        <item m="1" x="42"/>
        <item m="1" x="80"/>
        <item m="1" x="59"/>
        <item m="1" x="51"/>
        <item m="1" x="44"/>
        <item m="1" x="145"/>
        <item m="1" x="149"/>
        <item m="1" x="141"/>
        <item x="1"/>
        <item m="1" x="82"/>
        <item m="1" x="39"/>
        <item m="1" x="32"/>
        <item m="1" x="91"/>
        <item m="1" x="143"/>
        <item x="4"/>
        <item x="5"/>
        <item m="1" x="115"/>
        <item m="1" x="114"/>
        <item m="1" x="35"/>
        <item m="1" x="105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60"/>
        <item m="1" x="54"/>
        <item m="1" x="6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5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4" firstHeaderRow="0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2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4" firstHeaderRow="1" firstDataRow="1" firstDataCol="1"/>
  <pivotFields count="16">
    <pivotField showAll="0"/>
    <pivotField axis="axisRow" showAll="0">
      <items count="40">
        <item m="1" x="38"/>
        <item x="10"/>
        <item x="9"/>
        <item x="0"/>
        <item x="1"/>
        <item x="16"/>
        <item x="13"/>
        <item x="17"/>
        <item x="14"/>
        <item x="15"/>
        <item x="18"/>
        <item x="4"/>
        <item x="7"/>
        <item x="5"/>
        <item x="8"/>
        <item x="6"/>
        <item x="11"/>
        <item x="12"/>
        <item x="2"/>
        <item x="3"/>
        <item x="3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1">
        <item m="1" x="98"/>
        <item m="1" x="76"/>
        <item m="1" x="68"/>
        <item x="24"/>
        <item m="1" x="75"/>
        <item m="1" x="40"/>
        <item m="1" x="88"/>
        <item m="1" x="103"/>
        <item m="1" x="71"/>
        <item m="1" x="77"/>
        <item m="1" x="72"/>
        <item m="1" x="57"/>
        <item m="1" x="27"/>
        <item m="1" x="86"/>
        <item m="1" x="25"/>
        <item m="1" x="135"/>
        <item m="1" x="50"/>
        <item m="1" x="119"/>
        <item m="1" x="129"/>
        <item m="1" x="58"/>
        <item m="1" x="52"/>
        <item m="1" x="123"/>
        <item m="1" x="92"/>
        <item m="1" x="93"/>
        <item m="1" x="120"/>
        <item m="1" x="66"/>
        <item m="1" x="116"/>
        <item m="1" x="33"/>
        <item m="1" x="43"/>
        <item m="1" x="147"/>
        <item m="1" x="100"/>
        <item m="1" x="130"/>
        <item m="1" x="79"/>
        <item m="1" x="132"/>
        <item m="1" x="139"/>
        <item m="1" x="84"/>
        <item m="1" x="101"/>
        <item m="1" x="97"/>
        <item m="1" x="128"/>
        <item m="1" x="126"/>
        <item m="1" x="47"/>
        <item m="1" x="142"/>
        <item m="1" x="95"/>
        <item m="1" x="113"/>
        <item m="1" x="125"/>
        <item m="1" x="144"/>
        <item m="1" x="150"/>
        <item m="1" x="81"/>
        <item m="1" x="70"/>
        <item m="1" x="69"/>
        <item m="1" x="104"/>
        <item m="1" x="74"/>
        <item m="1" x="111"/>
        <item m="1" x="41"/>
        <item m="1" x="85"/>
        <item m="1" x="110"/>
        <item m="1" x="127"/>
        <item m="1" x="83"/>
        <item m="1" x="78"/>
        <item m="1" x="37"/>
        <item m="1" x="134"/>
        <item m="1" x="49"/>
        <item m="1" x="62"/>
        <item m="1" x="90"/>
        <item m="1" x="99"/>
        <item m="1" x="63"/>
        <item m="1" x="31"/>
        <item m="1" x="94"/>
        <item m="1" x="102"/>
        <item m="1" x="53"/>
        <item m="1" x="118"/>
        <item m="1" x="131"/>
        <item m="1" x="87"/>
        <item m="1" x="56"/>
        <item m="1" x="64"/>
        <item m="1" x="48"/>
        <item m="1" x="106"/>
        <item m="1" x="29"/>
        <item m="1" x="112"/>
        <item m="1" x="124"/>
        <item m="1" x="140"/>
        <item m="1" x="121"/>
        <item m="1" x="137"/>
        <item m="1" x="148"/>
        <item m="1" x="65"/>
        <item m="1" x="117"/>
        <item m="1" x="146"/>
        <item m="1" x="38"/>
        <item m="1" x="45"/>
        <item m="1" x="67"/>
        <item m="1" x="96"/>
        <item m="1" x="34"/>
        <item m="1" x="36"/>
        <item x="0"/>
        <item m="1" x="28"/>
        <item m="1" x="136"/>
        <item m="1" x="73"/>
        <item m="1" x="133"/>
        <item m="1" x="46"/>
        <item m="1" x="138"/>
        <item m="1" x="109"/>
        <item m="1" x="89"/>
        <item m="1" x="55"/>
        <item m="1" x="108"/>
        <item m="1" x="26"/>
        <item m="1" x="122"/>
        <item x="3"/>
        <item x="6"/>
        <item m="1" x="107"/>
        <item m="1" x="30"/>
        <item m="1" x="42"/>
        <item m="1" x="80"/>
        <item m="1" x="59"/>
        <item m="1" x="51"/>
        <item m="1" x="44"/>
        <item m="1" x="145"/>
        <item m="1" x="149"/>
        <item m="1" x="141"/>
        <item x="1"/>
        <item m="1" x="82"/>
        <item m="1" x="39"/>
        <item m="1" x="32"/>
        <item m="1" x="91"/>
        <item m="1" x="143"/>
        <item x="4"/>
        <item x="5"/>
        <item m="1" x="115"/>
        <item m="1" x="114"/>
        <item m="1" x="35"/>
        <item m="1" x="105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60"/>
        <item m="1" x="54"/>
        <item m="1" x="6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8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32"/>
    </i>
    <i>
      <x v="16"/>
      <x v="133"/>
    </i>
    <i>
      <x v="17"/>
      <x v="132"/>
    </i>
    <i>
      <x v="18"/>
      <x v="133"/>
    </i>
    <i>
      <x v="19"/>
      <x v="132"/>
    </i>
    <i>
      <x v="20"/>
      <x v="133"/>
    </i>
    <i>
      <x v="21"/>
      <x v="134"/>
    </i>
    <i>
      <x v="22"/>
      <x v="135"/>
    </i>
    <i>
      <x v="23"/>
      <x v="136"/>
    </i>
    <i>
      <x v="24"/>
      <x v="134"/>
    </i>
    <i>
      <x v="25"/>
      <x v="135"/>
    </i>
    <i>
      <x v="26"/>
      <x v="137"/>
    </i>
    <i>
      <x v="27"/>
      <x v="138"/>
    </i>
    <i>
      <x v="28"/>
      <x v="139"/>
    </i>
    <i>
      <x v="29"/>
      <x v="140"/>
    </i>
    <i>
      <x v="30"/>
      <x v="141"/>
    </i>
    <i>
      <x v="31"/>
      <x v="142"/>
    </i>
    <i>
      <x v="32"/>
      <x v="143"/>
    </i>
    <i>
      <x v="33"/>
      <x v="144"/>
    </i>
    <i>
      <x v="34"/>
      <x v="145"/>
    </i>
    <i>
      <x v="35"/>
      <x v="149"/>
    </i>
    <i>
      <x v="36"/>
      <x v="150"/>
    </i>
    <i>
      <x v="37"/>
      <x v="137"/>
    </i>
    <i>
      <x v="38"/>
      <x v="1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1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4" firstHeaderRow="1" firstDataRow="1" firstDataCol="1"/>
  <pivotFields count="16">
    <pivotField dataField="1"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4" firstHeaderRow="1" firstDataRow="1" firstDataCol="1"/>
  <pivotFields count="16">
    <pivotField showAll="0"/>
    <pivotField axis="axisRow" showAll="0">
      <items count="40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6"/>
        <item x="15"/>
        <item x="18"/>
        <item x="14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74ED5BC0-34BF-4332-A212-E29E53164926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09AECD53-5E0F-4AAD-86D9-0A176D1BEB4C}">
    <text>Note that there is still a problem running with other cases here - still looking into it.</text>
  </threadedComment>
  <threadedComment ref="D28" dT="2020-08-07T12:32:29.60" personId="{8A307EF1-062C-4DD1-801F-D45833AE4B68}" id="{F3CD45E7-FB15-4167-B9DE-54F2012F11B7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48E9DF9A-ED6F-4DF5-9406-F8FFC6A4B97D}">
    <text>Note that there is still a problem running with other cases here - still looking into it.</text>
  </threadedComment>
  <threadedComment ref="D31" dT="2020-08-07T12:32:29.60" personId="{8A307EF1-062C-4DD1-801F-D45833AE4B68}" id="{3030EE55-B023-42FF-A191-16EBF89BEDDE}">
    <text>Note that there is still a problem running with other cases here - still looking into it.</text>
  </threadedComment>
  <threadedComment ref="D32" dT="2020-08-07T12:32:29.60" personId="{8A307EF1-062C-4DD1-801F-D45833AE4B68}" id="{B2511B61-57CB-4E81-9B16-52A13B1ABEFF}">
    <text>Note that there is still a problem running with other cases here - still looking into it.</text>
  </threadedComment>
  <threadedComment ref="D33" dT="2020-08-07T12:32:29.60" personId="{8A307EF1-062C-4DD1-801F-D45833AE4B68}" id="{6343944A-E3D5-4496-BF18-EBD1BC4F5CAC}">
    <text>Note that there is still a problem running with other cases here - still looking into it.</text>
  </threadedComment>
  <threadedComment ref="D34" dT="2020-08-07T12:32:29.60" personId="{8A307EF1-062C-4DD1-801F-D45833AE4B68}" id="{38219EC3-6C01-4CC7-B6BB-BD14FC02242F}">
    <text>Note that there is still a problem running with other cases here - still looking into it.</text>
  </threadedComment>
  <threadedComment ref="D35" dT="2020-08-07T12:32:29.60" personId="{8A307EF1-062C-4DD1-801F-D45833AE4B68}" id="{B59D7152-2B8B-435B-9288-869C38C6B3F3}">
    <text>Note that there is still a problem running with other cases here - still looking into it.</text>
  </threadedComment>
  <threadedComment ref="D36" dT="2020-08-07T12:32:29.60" personId="{8A307EF1-062C-4DD1-801F-D45833AE4B68}" id="{9E9FD66B-1EF7-40D4-872D-C3A0917C0996}">
    <text>Note that there is still a problem running with other cases here - still looking into it.</text>
  </threadedComment>
  <threadedComment ref="D37" dT="2020-08-07T12:32:29.60" personId="{8A307EF1-062C-4DD1-801F-D45833AE4B68}" id="{5D4A4CE3-9A38-4FC5-BABE-28A69A594082}">
    <text>Note that there is still a problem running with other cases here - still looking into it.</text>
  </threadedComment>
  <threadedComment ref="D38" dT="2020-08-07T12:32:29.60" personId="{8A307EF1-062C-4DD1-801F-D45833AE4B68}" id="{414D40C1-0D2E-41D8-93E5-5BE4A285833E}">
    <text>Note that there is still a problem running with other cases here - still looking into it.</text>
  </threadedComment>
  <threadedComment ref="D39" dT="2020-08-07T12:32:29.60" personId="{8A307EF1-062C-4DD1-801F-D45833AE4B68}" id="{503D119A-10C5-4799-918A-A85269605B54}">
    <text>Note that there is still a problem running with other cases here - still looking into it.</text>
  </threadedComment>
  <threadedComment ref="D40" dT="2020-08-07T12:32:29.60" personId="{8A307EF1-062C-4DD1-801F-D45833AE4B68}" id="{E9AA98ED-0B79-47A0-A201-09BA9864B196}">
    <text>Note that there is still a problem running with other cases here - still looking into it.</text>
  </threadedComment>
  <threadedComment ref="D41" dT="2020-08-07T12:32:29.60" personId="{8A307EF1-062C-4DD1-801F-D45833AE4B68}" id="{CB361375-FD00-4AB1-84F9-308845CDFF69}">
    <text>Note that there is still a problem running with other cases here - still looking into it.</text>
  </threadedComment>
  <threadedComment ref="D42" dT="2020-08-07T12:32:29.60" personId="{8A307EF1-062C-4DD1-801F-D45833AE4B68}" id="{1015EB20-23FF-4DF0-A690-BD731E2A2C63}">
    <text>Note that there is still a problem running with other cases here - still looking into it.</text>
  </threadedComment>
  <threadedComment ref="D43" dT="2020-08-07T12:32:29.60" personId="{8A307EF1-062C-4DD1-801F-D45833AE4B68}" id="{444DFD12-619A-471D-8CA9-B03C5D37F34D}">
    <text>Note that there is still a problem running with other cases here - still looking into it.</text>
  </threadedComment>
  <threadedComment ref="D44" dT="2020-08-07T12:32:29.60" personId="{8A307EF1-062C-4DD1-801F-D45833AE4B68}" id="{8DC95888-1B09-4C2A-8946-9480A3A0A5C3}">
    <text>Note that there is still a problem running with other cases here - still looking into it.</text>
  </threadedComment>
  <threadedComment ref="D45" dT="2020-08-07T12:32:29.60" personId="{8A307EF1-062C-4DD1-801F-D45833AE4B68}" id="{6DB6B67F-BF22-490F-8851-F4A3280BA24B}">
    <text>Note that there is still a problem running with other cases here - still looking into it.</text>
  </threadedComment>
  <threadedComment ref="D46" dT="2020-08-07T12:32:29.60" personId="{8A307EF1-062C-4DD1-801F-D45833AE4B68}" id="{DD0D03D5-0E45-47B1-BB19-3D43552EF1AF}">
    <text>Note that there is still a problem running with other cases here - still looking into it.</text>
  </threadedComment>
  <threadedComment ref="D47" dT="2020-08-07T12:32:29.60" personId="{8A307EF1-062C-4DD1-801F-D45833AE4B68}" id="{2E057A1D-61F2-468B-8278-F722F83FC647}">
    <text>Note that there is still a problem running with other cases here - still looking into it.</text>
  </threadedComment>
  <threadedComment ref="D78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21" sqref="C21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12" sqref="A12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2048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>
        <f>IF(OR(AE7=2050,AE7=""),"",AE7+1)</f>
        <v>2049</v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>
        <f>IF(OR(AE8=2050,AE8=""),"",AE8+1)</f>
        <v>2050</v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249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254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253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252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0</v>
      </c>
      <c r="I15" s="13" t="s">
        <v>238</v>
      </c>
      <c r="J15" s="3">
        <v>1</v>
      </c>
      <c r="K15" s="13" t="s">
        <v>238</v>
      </c>
      <c r="L15" s="3">
        <v>0</v>
      </c>
      <c r="M15" s="13" t="s">
        <v>238</v>
      </c>
      <c r="N15" s="3">
        <v>0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250</v>
      </c>
      <c r="B16" s="13" t="s">
        <v>248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230</v>
      </c>
      <c r="B17" s="13" t="s">
        <v>251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240</v>
      </c>
      <c r="B18" s="13" t="s">
        <v>269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233</v>
      </c>
      <c r="B19" s="13" t="s">
        <v>270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241</v>
      </c>
      <c r="B20" s="13" t="s">
        <v>271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234</v>
      </c>
      <c r="B21" s="13" t="s">
        <v>272</v>
      </c>
      <c r="E21" s="13" t="s">
        <v>247</v>
      </c>
      <c r="F21" s="3">
        <v>0</v>
      </c>
      <c r="G21" s="13" t="s">
        <v>247</v>
      </c>
      <c r="H21" s="3">
        <v>1</v>
      </c>
      <c r="I21" s="13" t="s">
        <v>247</v>
      </c>
      <c r="J21" s="3">
        <v>1</v>
      </c>
      <c r="K21" s="13" t="s">
        <v>247</v>
      </c>
      <c r="L21" s="3">
        <v>1</v>
      </c>
      <c r="M21" s="13" t="s">
        <v>247</v>
      </c>
      <c r="N21" s="3">
        <v>1</v>
      </c>
      <c r="O21" s="7" t="s">
        <v>247</v>
      </c>
      <c r="P21" s="7" t="s">
        <v>248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220</v>
      </c>
      <c r="B22" s="13" t="s">
        <v>273</v>
      </c>
      <c r="E22" s="13" t="s">
        <v>249</v>
      </c>
      <c r="F22" s="3">
        <v>0</v>
      </c>
      <c r="G22" s="13" t="s">
        <v>249</v>
      </c>
      <c r="H22" s="3">
        <v>1</v>
      </c>
      <c r="I22" s="13" t="s">
        <v>249</v>
      </c>
      <c r="J22" s="3">
        <v>1</v>
      </c>
      <c r="K22" s="13" t="s">
        <v>249</v>
      </c>
      <c r="L22" s="3">
        <v>1</v>
      </c>
      <c r="M22" s="13" t="s">
        <v>249</v>
      </c>
      <c r="N22" s="3">
        <v>1</v>
      </c>
      <c r="O22" s="7" t="s">
        <v>249</v>
      </c>
      <c r="P22" s="7" t="s">
        <v>251</v>
      </c>
      <c r="Q22" s="7" t="s">
        <v>249</v>
      </c>
      <c r="R22" s="7" t="s">
        <v>30</v>
      </c>
      <c r="S22" s="13" t="s">
        <v>249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249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229</v>
      </c>
      <c r="B23" s="13" t="s">
        <v>274</v>
      </c>
      <c r="E23" s="13" t="s">
        <v>252</v>
      </c>
      <c r="F23" s="3">
        <v>0</v>
      </c>
      <c r="G23" s="13" t="s">
        <v>252</v>
      </c>
      <c r="H23" s="3">
        <v>1</v>
      </c>
      <c r="I23" s="13" t="s">
        <v>252</v>
      </c>
      <c r="J23" s="3">
        <v>1</v>
      </c>
      <c r="K23" s="13" t="s">
        <v>252</v>
      </c>
      <c r="L23" s="3">
        <v>1</v>
      </c>
      <c r="M23" s="13" t="s">
        <v>252</v>
      </c>
      <c r="N23" s="3">
        <v>1</v>
      </c>
      <c r="O23" s="7" t="s">
        <v>252</v>
      </c>
      <c r="P23" s="7" t="s">
        <v>248</v>
      </c>
      <c r="Q23" s="7" t="s">
        <v>252</v>
      </c>
      <c r="R23" s="7" t="s">
        <v>30</v>
      </c>
      <c r="S23" s="13" t="s">
        <v>252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252</v>
      </c>
      <c r="AB23" s="3">
        <v>5.500327102810413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242</v>
      </c>
      <c r="B24" s="13" t="s">
        <v>275</v>
      </c>
      <c r="E24" s="13" t="s">
        <v>250</v>
      </c>
      <c r="F24" s="3">
        <v>0</v>
      </c>
      <c r="G24" s="13" t="s">
        <v>250</v>
      </c>
      <c r="H24" s="3">
        <v>1</v>
      </c>
      <c r="I24" s="13" t="s">
        <v>250</v>
      </c>
      <c r="J24" s="3">
        <v>1</v>
      </c>
      <c r="K24" s="13" t="s">
        <v>250</v>
      </c>
      <c r="L24" s="3">
        <v>1</v>
      </c>
      <c r="M24" s="13" t="s">
        <v>250</v>
      </c>
      <c r="N24" s="3">
        <v>1</v>
      </c>
      <c r="O24" s="7" t="s">
        <v>250</v>
      </c>
      <c r="P24" s="7" t="s">
        <v>251</v>
      </c>
      <c r="Q24" s="7" t="s">
        <v>250</v>
      </c>
      <c r="R24" s="7" t="s">
        <v>30</v>
      </c>
      <c r="S24" s="13" t="s">
        <v>250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250</v>
      </c>
      <c r="AB24" s="3">
        <v>5.500327102810413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244</v>
      </c>
      <c r="B25" s="13" t="s">
        <v>276</v>
      </c>
      <c r="E25" s="13" t="s">
        <v>253</v>
      </c>
      <c r="F25" s="3">
        <v>0</v>
      </c>
      <c r="G25" s="13" t="s">
        <v>253</v>
      </c>
      <c r="H25" s="3">
        <v>1</v>
      </c>
      <c r="I25" s="13" t="s">
        <v>253</v>
      </c>
      <c r="J25" s="3">
        <v>1</v>
      </c>
      <c r="K25" s="13" t="s">
        <v>253</v>
      </c>
      <c r="L25" s="3">
        <v>1</v>
      </c>
      <c r="M25" s="13" t="s">
        <v>253</v>
      </c>
      <c r="N25" s="3">
        <v>1</v>
      </c>
      <c r="O25" s="7" t="s">
        <v>253</v>
      </c>
      <c r="P25" s="7" t="s">
        <v>248</v>
      </c>
      <c r="Q25" s="7" t="s">
        <v>253</v>
      </c>
      <c r="R25" s="7" t="s">
        <v>30</v>
      </c>
      <c r="S25" s="13" t="s">
        <v>253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253</v>
      </c>
      <c r="AB25" s="3">
        <v>6.000327102810413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193</v>
      </c>
      <c r="B26" s="13" t="s">
        <v>277</v>
      </c>
      <c r="E26" s="13" t="s">
        <v>254</v>
      </c>
      <c r="F26" s="3">
        <v>0</v>
      </c>
      <c r="G26" s="13" t="s">
        <v>254</v>
      </c>
      <c r="H26" s="3">
        <v>1</v>
      </c>
      <c r="I26" s="13" t="s">
        <v>254</v>
      </c>
      <c r="J26" s="3">
        <v>1</v>
      </c>
      <c r="K26" s="13" t="s">
        <v>254</v>
      </c>
      <c r="L26" s="3">
        <v>1</v>
      </c>
      <c r="M26" s="13" t="s">
        <v>254</v>
      </c>
      <c r="N26" s="3">
        <v>1</v>
      </c>
      <c r="O26" s="7" t="s">
        <v>254</v>
      </c>
      <c r="P26" s="7" t="s">
        <v>251</v>
      </c>
      <c r="Q26" s="7" t="s">
        <v>254</v>
      </c>
      <c r="R26" s="7" t="s">
        <v>30</v>
      </c>
      <c r="S26" s="13" t="s">
        <v>254</v>
      </c>
      <c r="T26" s="3">
        <v>-1</v>
      </c>
      <c r="U26" s="3">
        <v>1</v>
      </c>
      <c r="V26" s="3">
        <v>1</v>
      </c>
      <c r="W26" s="3">
        <v>1</v>
      </c>
      <c r="X26" s="3">
        <v>-1</v>
      </c>
      <c r="Y26" s="3"/>
      <c r="Z26" s="3"/>
      <c r="AA26" s="13" t="s">
        <v>254</v>
      </c>
      <c r="AB26" s="3">
        <v>6.000327102810413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255</v>
      </c>
      <c r="B27" s="13" t="s">
        <v>278</v>
      </c>
      <c r="E27" s="13" t="s">
        <v>255</v>
      </c>
      <c r="F27" s="3">
        <v>1</v>
      </c>
      <c r="G27" s="13" t="s">
        <v>255</v>
      </c>
      <c r="H27" s="3">
        <v>1</v>
      </c>
      <c r="I27" s="13" t="s">
        <v>255</v>
      </c>
      <c r="J27" s="3">
        <v>0</v>
      </c>
      <c r="K27" s="13" t="s">
        <v>255</v>
      </c>
      <c r="L27" s="3">
        <v>1</v>
      </c>
      <c r="M27" s="13" t="s">
        <v>255</v>
      </c>
      <c r="N27" s="3">
        <v>1</v>
      </c>
      <c r="O27" s="7" t="s">
        <v>255</v>
      </c>
      <c r="P27" s="7" t="s">
        <v>269</v>
      </c>
      <c r="Q27" s="7" t="s">
        <v>255</v>
      </c>
      <c r="R27" s="7" t="s">
        <v>30</v>
      </c>
      <c r="S27" s="13" t="s">
        <v>255</v>
      </c>
      <c r="T27" s="3">
        <v>-1</v>
      </c>
      <c r="U27" s="3">
        <v>-1</v>
      </c>
      <c r="V27" s="3">
        <v>-1</v>
      </c>
      <c r="W27" s="3">
        <v>1</v>
      </c>
      <c r="X27" s="3">
        <v>-1</v>
      </c>
      <c r="Y27" s="3"/>
      <c r="Z27" s="3"/>
      <c r="AA27" s="13" t="s">
        <v>255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256</v>
      </c>
      <c r="B28" s="13" t="s">
        <v>279</v>
      </c>
      <c r="E28" s="13" t="s">
        <v>256</v>
      </c>
      <c r="F28" s="3">
        <v>1</v>
      </c>
      <c r="G28" s="13" t="s">
        <v>256</v>
      </c>
      <c r="H28" s="3">
        <v>1</v>
      </c>
      <c r="I28" s="13" t="s">
        <v>256</v>
      </c>
      <c r="J28" s="3">
        <v>0</v>
      </c>
      <c r="K28" s="13" t="s">
        <v>256</v>
      </c>
      <c r="L28" s="3">
        <v>1</v>
      </c>
      <c r="M28" s="13" t="s">
        <v>256</v>
      </c>
      <c r="N28" s="3">
        <v>1</v>
      </c>
      <c r="O28" s="7" t="s">
        <v>256</v>
      </c>
      <c r="P28" s="7" t="s">
        <v>270</v>
      </c>
      <c r="Q28" s="7" t="s">
        <v>256</v>
      </c>
      <c r="R28" s="7" t="s">
        <v>30</v>
      </c>
      <c r="S28" s="13" t="s">
        <v>256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256</v>
      </c>
      <c r="AB28" s="3">
        <v>7.000327102810413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257</v>
      </c>
      <c r="B29" s="13" t="s">
        <v>280</v>
      </c>
      <c r="E29" s="13" t="s">
        <v>257</v>
      </c>
      <c r="F29" s="3">
        <v>1</v>
      </c>
      <c r="G29" s="13" t="s">
        <v>257</v>
      </c>
      <c r="H29" s="3">
        <v>1</v>
      </c>
      <c r="I29" s="13" t="s">
        <v>257</v>
      </c>
      <c r="J29" s="3">
        <v>0</v>
      </c>
      <c r="K29" s="13" t="s">
        <v>257</v>
      </c>
      <c r="L29" s="3">
        <v>1</v>
      </c>
      <c r="M29" s="13" t="s">
        <v>257</v>
      </c>
      <c r="N29" s="3">
        <v>1</v>
      </c>
      <c r="O29" s="7" t="s">
        <v>257</v>
      </c>
      <c r="P29" s="7" t="s">
        <v>271</v>
      </c>
      <c r="Q29" s="7" t="s">
        <v>257</v>
      </c>
      <c r="R29" s="7" t="s">
        <v>30</v>
      </c>
      <c r="S29" s="13" t="s">
        <v>257</v>
      </c>
      <c r="T29" s="3">
        <v>-1</v>
      </c>
      <c r="U29" s="3">
        <v>1</v>
      </c>
      <c r="V29" s="3">
        <v>1</v>
      </c>
      <c r="W29" s="3">
        <v>1</v>
      </c>
      <c r="X29" s="3">
        <v>-1</v>
      </c>
      <c r="Y29" s="3"/>
      <c r="Z29" s="3"/>
      <c r="AA29" s="13" t="s">
        <v>257</v>
      </c>
      <c r="AB29" s="3">
        <v>7.000327102810413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258</v>
      </c>
      <c r="B30" s="13" t="s">
        <v>281</v>
      </c>
      <c r="E30" s="13" t="s">
        <v>258</v>
      </c>
      <c r="F30" s="3">
        <v>1</v>
      </c>
      <c r="G30" s="13" t="s">
        <v>258</v>
      </c>
      <c r="H30" s="3">
        <v>1</v>
      </c>
      <c r="I30" s="13" t="s">
        <v>258</v>
      </c>
      <c r="J30" s="3">
        <v>0</v>
      </c>
      <c r="K30" s="13" t="s">
        <v>258</v>
      </c>
      <c r="L30" s="3">
        <v>1</v>
      </c>
      <c r="M30" s="13" t="s">
        <v>258</v>
      </c>
      <c r="N30" s="3">
        <v>1</v>
      </c>
      <c r="O30" s="7" t="s">
        <v>258</v>
      </c>
      <c r="P30" s="7" t="s">
        <v>269</v>
      </c>
      <c r="Q30" s="7" t="s">
        <v>258</v>
      </c>
      <c r="R30" s="7" t="s">
        <v>30</v>
      </c>
      <c r="S30" s="13" t="s">
        <v>258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258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259</v>
      </c>
      <c r="B31" s="13" t="s">
        <v>282</v>
      </c>
      <c r="E31" s="13" t="s">
        <v>259</v>
      </c>
      <c r="F31" s="3">
        <v>1</v>
      </c>
      <c r="G31" s="13" t="s">
        <v>259</v>
      </c>
      <c r="H31" s="3">
        <v>1</v>
      </c>
      <c r="I31" s="13" t="s">
        <v>259</v>
      </c>
      <c r="J31" s="3">
        <v>0</v>
      </c>
      <c r="K31" s="13" t="s">
        <v>259</v>
      </c>
      <c r="L31" s="3">
        <v>1</v>
      </c>
      <c r="M31" s="13" t="s">
        <v>259</v>
      </c>
      <c r="N31" s="3">
        <v>1</v>
      </c>
      <c r="O31" s="7" t="s">
        <v>259</v>
      </c>
      <c r="P31" s="7" t="s">
        <v>270</v>
      </c>
      <c r="Q31" s="7" t="s">
        <v>259</v>
      </c>
      <c r="R31" s="7" t="s">
        <v>30</v>
      </c>
      <c r="S31" s="13" t="s">
        <v>259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259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260</v>
      </c>
      <c r="B32"/>
      <c r="E32" s="13" t="s">
        <v>260</v>
      </c>
      <c r="F32" s="3">
        <v>1</v>
      </c>
      <c r="G32" s="13" t="s">
        <v>260</v>
      </c>
      <c r="H32" s="3">
        <v>1</v>
      </c>
      <c r="I32" s="13" t="s">
        <v>260</v>
      </c>
      <c r="J32" s="3">
        <v>0</v>
      </c>
      <c r="K32" s="13" t="s">
        <v>260</v>
      </c>
      <c r="L32" s="3">
        <v>1</v>
      </c>
      <c r="M32" s="13" t="s">
        <v>260</v>
      </c>
      <c r="N32" s="3">
        <v>1</v>
      </c>
      <c r="O32" s="7" t="s">
        <v>260</v>
      </c>
      <c r="P32" s="7" t="s">
        <v>272</v>
      </c>
      <c r="Q32" s="7" t="s">
        <v>260</v>
      </c>
      <c r="R32" s="7" t="s">
        <v>30</v>
      </c>
      <c r="S32" s="13" t="s">
        <v>260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260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261</v>
      </c>
      <c r="B33"/>
      <c r="E33" s="13" t="s">
        <v>261</v>
      </c>
      <c r="F33" s="3">
        <v>1</v>
      </c>
      <c r="G33" s="13" t="s">
        <v>261</v>
      </c>
      <c r="H33" s="3">
        <v>1</v>
      </c>
      <c r="I33" s="13" t="s">
        <v>261</v>
      </c>
      <c r="J33" s="3">
        <v>0</v>
      </c>
      <c r="K33" s="13" t="s">
        <v>261</v>
      </c>
      <c r="L33" s="3">
        <v>1</v>
      </c>
      <c r="M33" s="13" t="s">
        <v>261</v>
      </c>
      <c r="N33" s="3">
        <v>1</v>
      </c>
      <c r="O33" s="7" t="s">
        <v>261</v>
      </c>
      <c r="P33" s="7" t="s">
        <v>273</v>
      </c>
      <c r="Q33" s="7" t="s">
        <v>261</v>
      </c>
      <c r="R33" s="7" t="s">
        <v>30</v>
      </c>
      <c r="S33" s="13" t="s">
        <v>261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261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262</v>
      </c>
      <c r="B34"/>
      <c r="E34" s="13" t="s">
        <v>262</v>
      </c>
      <c r="F34" s="3">
        <v>1</v>
      </c>
      <c r="G34" s="13" t="s">
        <v>262</v>
      </c>
      <c r="H34" s="3">
        <v>1</v>
      </c>
      <c r="I34" s="13" t="s">
        <v>262</v>
      </c>
      <c r="J34" s="3">
        <v>0</v>
      </c>
      <c r="K34" s="13" t="s">
        <v>262</v>
      </c>
      <c r="L34" s="3">
        <v>1</v>
      </c>
      <c r="M34" s="13" t="s">
        <v>262</v>
      </c>
      <c r="N34" s="3">
        <v>1</v>
      </c>
      <c r="O34" s="7" t="s">
        <v>262</v>
      </c>
      <c r="P34" s="7" t="s">
        <v>274</v>
      </c>
      <c r="Q34" s="7" t="s">
        <v>262</v>
      </c>
      <c r="R34" s="7" t="s">
        <v>30</v>
      </c>
      <c r="S34" s="13" t="s">
        <v>262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262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263</v>
      </c>
      <c r="B35"/>
      <c r="E35" s="13" t="s">
        <v>263</v>
      </c>
      <c r="F35" s="3">
        <v>1</v>
      </c>
      <c r="G35" s="13" t="s">
        <v>263</v>
      </c>
      <c r="H35" s="3">
        <v>1</v>
      </c>
      <c r="I35" s="13" t="s">
        <v>263</v>
      </c>
      <c r="J35" s="3">
        <v>0</v>
      </c>
      <c r="K35" s="13" t="s">
        <v>263</v>
      </c>
      <c r="L35" s="3">
        <v>1</v>
      </c>
      <c r="M35" s="13" t="s">
        <v>263</v>
      </c>
      <c r="N35" s="3">
        <v>1</v>
      </c>
      <c r="O35" s="7" t="s">
        <v>263</v>
      </c>
      <c r="P35" s="7" t="s">
        <v>275</v>
      </c>
      <c r="Q35" s="7" t="s">
        <v>263</v>
      </c>
      <c r="R35" s="7" t="s">
        <v>30</v>
      </c>
      <c r="S35" s="13" t="s">
        <v>263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263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264</v>
      </c>
      <c r="B36"/>
      <c r="E36" s="13" t="s">
        <v>264</v>
      </c>
      <c r="F36" s="3">
        <v>1</v>
      </c>
      <c r="G36" s="13" t="s">
        <v>264</v>
      </c>
      <c r="H36" s="3">
        <v>1</v>
      </c>
      <c r="I36" s="13" t="s">
        <v>264</v>
      </c>
      <c r="J36" s="3">
        <v>0</v>
      </c>
      <c r="K36" s="13" t="s">
        <v>264</v>
      </c>
      <c r="L36" s="3">
        <v>1</v>
      </c>
      <c r="M36" s="13" t="s">
        <v>264</v>
      </c>
      <c r="N36" s="3">
        <v>1</v>
      </c>
      <c r="O36" s="7" t="s">
        <v>264</v>
      </c>
      <c r="P36" s="7" t="s">
        <v>276</v>
      </c>
      <c r="Q36" s="7" t="s">
        <v>264</v>
      </c>
      <c r="R36" s="7" t="s">
        <v>30</v>
      </c>
      <c r="S36" s="13" t="s">
        <v>264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264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265</v>
      </c>
      <c r="B37"/>
      <c r="E37" s="13" t="s">
        <v>265</v>
      </c>
      <c r="F37" s="3">
        <v>1</v>
      </c>
      <c r="G37" s="13" t="s">
        <v>265</v>
      </c>
      <c r="H37" s="3">
        <v>1</v>
      </c>
      <c r="I37" s="13" t="s">
        <v>265</v>
      </c>
      <c r="J37" s="3">
        <v>0</v>
      </c>
      <c r="K37" s="13" t="s">
        <v>265</v>
      </c>
      <c r="L37" s="3">
        <v>1</v>
      </c>
      <c r="M37" s="13" t="s">
        <v>265</v>
      </c>
      <c r="N37" s="3">
        <v>1</v>
      </c>
      <c r="O37" s="7" t="s">
        <v>265</v>
      </c>
      <c r="P37" s="7" t="s">
        <v>277</v>
      </c>
      <c r="Q37" s="7" t="s">
        <v>265</v>
      </c>
      <c r="R37" s="7" t="s">
        <v>30</v>
      </c>
      <c r="S37" s="13" t="s">
        <v>265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265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266</v>
      </c>
      <c r="B38"/>
      <c r="E38" s="13" t="s">
        <v>266</v>
      </c>
      <c r="F38" s="3">
        <v>1</v>
      </c>
      <c r="G38" s="13" t="s">
        <v>266</v>
      </c>
      <c r="H38" s="3">
        <v>1</v>
      </c>
      <c r="I38" s="13" t="s">
        <v>266</v>
      </c>
      <c r="J38" s="3">
        <v>0</v>
      </c>
      <c r="K38" s="13" t="s">
        <v>266</v>
      </c>
      <c r="L38" s="3">
        <v>1</v>
      </c>
      <c r="M38" s="13" t="s">
        <v>266</v>
      </c>
      <c r="N38" s="3">
        <v>1</v>
      </c>
      <c r="O38" s="7" t="s">
        <v>266</v>
      </c>
      <c r="P38" s="7" t="s">
        <v>278</v>
      </c>
      <c r="Q38" s="7" t="s">
        <v>266</v>
      </c>
      <c r="R38" s="7" t="s">
        <v>30</v>
      </c>
      <c r="S38" s="13" t="s">
        <v>266</v>
      </c>
      <c r="T38" s="3">
        <v>-1</v>
      </c>
      <c r="U38" s="3">
        <v>-1</v>
      </c>
      <c r="V38" s="3">
        <v>-1</v>
      </c>
      <c r="W38" s="3">
        <v>1</v>
      </c>
      <c r="X38" s="3">
        <v>-1</v>
      </c>
      <c r="AA38" s="13" t="s">
        <v>266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267</v>
      </c>
      <c r="B39"/>
      <c r="E39" s="13" t="s">
        <v>267</v>
      </c>
      <c r="F39" s="3">
        <v>1</v>
      </c>
      <c r="G39" s="13" t="s">
        <v>267</v>
      </c>
      <c r="H39" s="3">
        <v>1</v>
      </c>
      <c r="I39" s="13" t="s">
        <v>267</v>
      </c>
      <c r="J39" s="3">
        <v>0</v>
      </c>
      <c r="K39" s="13" t="s">
        <v>267</v>
      </c>
      <c r="L39" s="3">
        <v>1</v>
      </c>
      <c r="M39" s="13" t="s">
        <v>267</v>
      </c>
      <c r="N39" s="3">
        <v>1</v>
      </c>
      <c r="O39" s="7" t="s">
        <v>267</v>
      </c>
      <c r="P39" s="7" t="s">
        <v>279</v>
      </c>
      <c r="Q39" s="7" t="s">
        <v>267</v>
      </c>
      <c r="R39" s="7" t="s">
        <v>30</v>
      </c>
      <c r="S39" s="13" t="s">
        <v>267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3" t="s">
        <v>267</v>
      </c>
      <c r="AB39" s="3">
        <v>6.000327102810413</v>
      </c>
      <c r="AH39" s="7"/>
      <c r="AI39" s="7"/>
      <c r="AJ39" s="7"/>
      <c r="AM39" s="7"/>
    </row>
    <row r="40" spans="1:39">
      <c r="A40" s="13" t="s">
        <v>268</v>
      </c>
      <c r="B40"/>
      <c r="E40" s="13" t="s">
        <v>268</v>
      </c>
      <c r="F40" s="3">
        <v>1</v>
      </c>
      <c r="G40" s="13" t="s">
        <v>268</v>
      </c>
      <c r="H40" s="3">
        <v>1</v>
      </c>
      <c r="I40" s="13" t="s">
        <v>268</v>
      </c>
      <c r="J40" s="3">
        <v>0</v>
      </c>
      <c r="K40" s="13" t="s">
        <v>268</v>
      </c>
      <c r="L40" s="3">
        <v>1</v>
      </c>
      <c r="M40" s="13" t="s">
        <v>268</v>
      </c>
      <c r="N40" s="3">
        <v>1</v>
      </c>
      <c r="O40" s="7" t="s">
        <v>268</v>
      </c>
      <c r="P40" s="7" t="s">
        <v>280</v>
      </c>
      <c r="Q40" s="7" t="s">
        <v>268</v>
      </c>
      <c r="R40" s="7" t="s">
        <v>30</v>
      </c>
      <c r="S40" s="13" t="s">
        <v>268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268</v>
      </c>
      <c r="AB40" s="3">
        <v>6.000327102810413</v>
      </c>
      <c r="AH40" s="7"/>
      <c r="AI40" s="7"/>
      <c r="AJ40" s="7"/>
      <c r="AM40" s="7"/>
    </row>
    <row r="41" spans="1:39">
      <c r="A41" s="13" t="s">
        <v>283</v>
      </c>
      <c r="B41"/>
      <c r="E41" s="13" t="s">
        <v>283</v>
      </c>
      <c r="F41" s="3">
        <v>1</v>
      </c>
      <c r="G41" s="13" t="s">
        <v>283</v>
      </c>
      <c r="H41" s="3">
        <v>1</v>
      </c>
      <c r="I41" s="13" t="s">
        <v>283</v>
      </c>
      <c r="J41" s="3">
        <v>0</v>
      </c>
      <c r="K41" s="13" t="s">
        <v>283</v>
      </c>
      <c r="L41" s="3">
        <v>1</v>
      </c>
      <c r="M41" s="13" t="s">
        <v>283</v>
      </c>
      <c r="N41" s="3">
        <v>1</v>
      </c>
      <c r="O41" s="7" t="s">
        <v>283</v>
      </c>
      <c r="P41" s="7" t="s">
        <v>281</v>
      </c>
      <c r="Q41" s="7" t="s">
        <v>283</v>
      </c>
      <c r="R41" s="7" t="s">
        <v>30</v>
      </c>
      <c r="S41" s="13" t="s">
        <v>283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283</v>
      </c>
      <c r="AB41" s="3">
        <v>6.000327102810413</v>
      </c>
      <c r="AH41" s="7"/>
      <c r="AI41" s="7"/>
      <c r="AJ41" s="7"/>
      <c r="AM41" s="7"/>
    </row>
    <row r="42" spans="1:39">
      <c r="A42" s="13" t="s">
        <v>284</v>
      </c>
      <c r="B42"/>
      <c r="E42" s="13" t="s">
        <v>284</v>
      </c>
      <c r="F42" s="3">
        <v>1</v>
      </c>
      <c r="G42" s="13" t="s">
        <v>284</v>
      </c>
      <c r="H42" s="3">
        <v>1</v>
      </c>
      <c r="I42" s="13" t="s">
        <v>284</v>
      </c>
      <c r="J42" s="3">
        <v>0</v>
      </c>
      <c r="K42" s="13" t="s">
        <v>284</v>
      </c>
      <c r="L42" s="3">
        <v>1</v>
      </c>
      <c r="M42" s="13" t="s">
        <v>284</v>
      </c>
      <c r="N42" s="3">
        <v>1</v>
      </c>
      <c r="O42" s="7" t="s">
        <v>284</v>
      </c>
      <c r="P42" s="7" t="s">
        <v>282</v>
      </c>
      <c r="Q42" s="7" t="s">
        <v>284</v>
      </c>
      <c r="R42" s="7" t="s">
        <v>30</v>
      </c>
      <c r="S42" s="13" t="s">
        <v>284</v>
      </c>
      <c r="T42" s="3">
        <v>-1</v>
      </c>
      <c r="U42" s="3">
        <v>1</v>
      </c>
      <c r="V42" s="3">
        <v>1</v>
      </c>
      <c r="W42" s="3">
        <v>1</v>
      </c>
      <c r="X42" s="3">
        <v>-1</v>
      </c>
      <c r="AA42" s="13" t="s">
        <v>284</v>
      </c>
      <c r="AB42" s="3">
        <v>7.000327102810413</v>
      </c>
      <c r="AH42" s="7"/>
      <c r="AI42" s="7"/>
      <c r="AJ42" s="7"/>
      <c r="AM42" s="7"/>
    </row>
    <row r="43" spans="1:39">
      <c r="A43" s="13" t="s">
        <v>285</v>
      </c>
      <c r="B43"/>
      <c r="E43" s="13" t="s">
        <v>285</v>
      </c>
      <c r="F43" s="3">
        <v>1</v>
      </c>
      <c r="G43" s="13" t="s">
        <v>285</v>
      </c>
      <c r="H43" s="3">
        <v>1</v>
      </c>
      <c r="I43" s="13" t="s">
        <v>285</v>
      </c>
      <c r="J43" s="3">
        <v>0</v>
      </c>
      <c r="K43" s="13" t="s">
        <v>285</v>
      </c>
      <c r="L43" s="3">
        <v>1</v>
      </c>
      <c r="M43" s="13" t="s">
        <v>285</v>
      </c>
      <c r="N43" s="3">
        <v>1</v>
      </c>
      <c r="O43" s="7" t="s">
        <v>285</v>
      </c>
      <c r="P43" s="7" t="s">
        <v>272</v>
      </c>
      <c r="Q43" s="7" t="s">
        <v>285</v>
      </c>
      <c r="R43" s="7" t="s">
        <v>30</v>
      </c>
      <c r="S43" s="13" t="s">
        <v>285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285</v>
      </c>
      <c r="AB43" s="3">
        <v>7.000327102810413</v>
      </c>
      <c r="AH43" s="7"/>
      <c r="AI43" s="7"/>
      <c r="AJ43" s="7"/>
      <c r="AM43" s="7"/>
    </row>
    <row r="44" spans="1:39">
      <c r="A44" s="13" t="s">
        <v>286</v>
      </c>
      <c r="B44"/>
      <c r="E44" s="13" t="s">
        <v>286</v>
      </c>
      <c r="F44" s="3">
        <v>1</v>
      </c>
      <c r="G44" s="13" t="s">
        <v>286</v>
      </c>
      <c r="H44" s="3">
        <v>1</v>
      </c>
      <c r="I44" s="13" t="s">
        <v>286</v>
      </c>
      <c r="J44" s="3">
        <v>0</v>
      </c>
      <c r="K44" s="13" t="s">
        <v>286</v>
      </c>
      <c r="L44" s="3">
        <v>1</v>
      </c>
      <c r="M44" s="13" t="s">
        <v>286</v>
      </c>
      <c r="N44" s="3">
        <v>1</v>
      </c>
      <c r="O44" s="7" t="s">
        <v>286</v>
      </c>
      <c r="P44" s="7" t="s">
        <v>276</v>
      </c>
      <c r="Q44" s="7" t="s">
        <v>286</v>
      </c>
      <c r="R44" s="7" t="s">
        <v>30</v>
      </c>
      <c r="S44" s="13" t="s">
        <v>286</v>
      </c>
      <c r="T44" s="3">
        <v>-1</v>
      </c>
      <c r="U44" s="3">
        <v>-1</v>
      </c>
      <c r="V44" s="3">
        <v>-1</v>
      </c>
      <c r="W44" s="3">
        <v>1</v>
      </c>
      <c r="X44" s="3">
        <v>-1</v>
      </c>
      <c r="AA44" s="13" t="s">
        <v>286</v>
      </c>
      <c r="AB44" s="3">
        <v>7.000327102810413</v>
      </c>
      <c r="AH44" s="7"/>
      <c r="AI44" s="7"/>
      <c r="AJ44" s="7"/>
      <c r="AM44" s="7"/>
    </row>
    <row r="45" spans="1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1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1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1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2"/>
  <sheetViews>
    <sheetView tabSelected="1" zoomScale="90" zoomScaleNormal="90" workbookViewId="0">
      <pane xSplit="2" ySplit="9" topLeftCell="C24" activePane="bottomRight" state="frozen"/>
      <selection pane="topRight" activeCell="C1" sqref="C1"/>
      <selection pane="bottomLeft" activeCell="A8" sqref="A8"/>
      <selection pane="bottomRight" activeCell="A29" sqref="A29:A4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SUM(A10:A99)</f>
        <v>18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3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SUM(AY10:AY78)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0</v>
      </c>
      <c r="G20" s="7">
        <v>1</v>
      </c>
      <c r="H20" s="7" t="s">
        <v>225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195</v>
      </c>
      <c r="D23" s="7" t="s">
        <v>30</v>
      </c>
      <c r="E23" s="7" t="s">
        <v>248</v>
      </c>
      <c r="F23" s="7">
        <v>1</v>
      </c>
      <c r="G23" s="7">
        <v>1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253</v>
      </c>
      <c r="C24" s="7" t="s">
        <v>195</v>
      </c>
      <c r="D24" s="7" t="s">
        <v>30</v>
      </c>
      <c r="E24" s="7" t="s">
        <v>248</v>
      </c>
      <c r="F24" s="7">
        <v>1</v>
      </c>
      <c r="G24" s="7">
        <v>1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252</v>
      </c>
      <c r="C25" s="7" t="s">
        <v>195</v>
      </c>
      <c r="D25" s="7" t="s">
        <v>30</v>
      </c>
      <c r="E25" s="7" t="s">
        <v>248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-1</v>
      </c>
      <c r="M25" s="7">
        <v>-1</v>
      </c>
      <c r="N25" s="7">
        <v>1</v>
      </c>
      <c r="O25" s="7">
        <v>-1</v>
      </c>
      <c r="P25" s="7">
        <v>5.500327102810413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249</v>
      </c>
      <c r="C26" s="7" t="s">
        <v>195</v>
      </c>
      <c r="D26" s="7" t="s">
        <v>30</v>
      </c>
      <c r="E26" s="7" t="s">
        <v>251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254</v>
      </c>
      <c r="C27" s="7" t="s">
        <v>195</v>
      </c>
      <c r="D27" s="7" t="s">
        <v>30</v>
      </c>
      <c r="E27" s="7" t="s">
        <v>251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f>P26-1</f>
        <v>6.000327102810413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250</v>
      </c>
      <c r="C28" s="7" t="s">
        <v>195</v>
      </c>
      <c r="D28" s="7" t="s">
        <v>30</v>
      </c>
      <c r="E28" s="7" t="s">
        <v>251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v>5.500327102810413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1</v>
      </c>
      <c r="B29" s="7" t="s">
        <v>255</v>
      </c>
      <c r="D29" s="7" t="s">
        <v>30</v>
      </c>
      <c r="E29" s="7" t="s">
        <v>269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1</v>
      </c>
      <c r="B30" s="7" t="s">
        <v>256</v>
      </c>
      <c r="D30" s="7" t="s">
        <v>30</v>
      </c>
      <c r="E30" s="7" t="s">
        <v>270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-1</v>
      </c>
      <c r="M30" s="7">
        <v>-1</v>
      </c>
      <c r="N30" s="7">
        <v>1</v>
      </c>
      <c r="O30" s="7">
        <v>-1</v>
      </c>
      <c r="P30" s="7">
        <f t="shared" ref="P30:P31" si="4">$P$26</f>
        <v>7.000327102810413</v>
      </c>
    </row>
    <row r="31" spans="1:60" s="7" customFormat="1">
      <c r="A31" s="22">
        <v>1</v>
      </c>
      <c r="B31" s="7" t="s">
        <v>257</v>
      </c>
      <c r="D31" s="7" t="s">
        <v>30</v>
      </c>
      <c r="E31" s="7" t="s">
        <v>271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1</v>
      </c>
      <c r="M31" s="7">
        <v>1</v>
      </c>
      <c r="N31" s="7">
        <v>1</v>
      </c>
      <c r="O31" s="7">
        <v>-1</v>
      </c>
      <c r="P31" s="7">
        <f t="shared" si="4"/>
        <v>7.000327102810413</v>
      </c>
    </row>
    <row r="32" spans="1:60" s="7" customFormat="1">
      <c r="A32" s="22">
        <v>1</v>
      </c>
      <c r="B32" s="7" t="s">
        <v>258</v>
      </c>
      <c r="D32" s="7" t="s">
        <v>30</v>
      </c>
      <c r="E32" s="24" t="s">
        <v>269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-1</v>
      </c>
      <c r="M32" s="7">
        <v>-1</v>
      </c>
      <c r="N32" s="7">
        <v>1</v>
      </c>
      <c r="O32" s="7">
        <v>-1</v>
      </c>
      <c r="P32" s="7">
        <f>$P$27</f>
        <v>6.000327102810413</v>
      </c>
    </row>
    <row r="33" spans="1:16" s="7" customFormat="1">
      <c r="A33" s="22">
        <v>1</v>
      </c>
      <c r="B33" s="7" t="s">
        <v>259</v>
      </c>
      <c r="D33" s="7" t="s">
        <v>30</v>
      </c>
      <c r="E33" s="7" t="s">
        <v>270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 t="shared" ref="P33:P46" si="5">$P$27</f>
        <v>6.000327102810413</v>
      </c>
    </row>
    <row r="34" spans="1:16" s="7" customFormat="1">
      <c r="A34" s="22">
        <v>1</v>
      </c>
      <c r="B34" s="7" t="s">
        <v>260</v>
      </c>
      <c r="D34" s="7" t="s">
        <v>30</v>
      </c>
      <c r="E34" s="7" t="s">
        <v>272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-1</v>
      </c>
      <c r="M34" s="7">
        <v>-1</v>
      </c>
      <c r="N34" s="7">
        <v>1</v>
      </c>
      <c r="O34" s="7">
        <v>-1</v>
      </c>
      <c r="P34" s="7">
        <f t="shared" si="5"/>
        <v>6.000327102810413</v>
      </c>
    </row>
    <row r="35" spans="1:16" s="7" customFormat="1">
      <c r="A35" s="22">
        <v>1</v>
      </c>
      <c r="B35" s="7" t="s">
        <v>261</v>
      </c>
      <c r="D35" s="7" t="s">
        <v>30</v>
      </c>
      <c r="E35" s="7" t="s">
        <v>273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-1</v>
      </c>
      <c r="M35" s="7">
        <v>-1</v>
      </c>
      <c r="N35" s="7">
        <v>1</v>
      </c>
      <c r="O35" s="7">
        <v>-1</v>
      </c>
      <c r="P35" s="7">
        <f t="shared" si="5"/>
        <v>6.000327102810413</v>
      </c>
    </row>
    <row r="36" spans="1:16" s="7" customFormat="1">
      <c r="A36" s="22">
        <v>1</v>
      </c>
      <c r="B36" s="7" t="s">
        <v>262</v>
      </c>
      <c r="D36" s="7" t="s">
        <v>30</v>
      </c>
      <c r="E36" s="7" t="s">
        <v>274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-1</v>
      </c>
      <c r="M36" s="7">
        <v>-1</v>
      </c>
      <c r="N36" s="7">
        <v>1</v>
      </c>
      <c r="O36" s="7">
        <v>-1</v>
      </c>
      <c r="P36" s="7">
        <f t="shared" si="5"/>
        <v>6.000327102810413</v>
      </c>
    </row>
    <row r="37" spans="1:16" s="7" customFormat="1">
      <c r="A37" s="22">
        <v>1</v>
      </c>
      <c r="B37" s="7" t="s">
        <v>263</v>
      </c>
      <c r="D37" s="7" t="s">
        <v>30</v>
      </c>
      <c r="E37" s="7" t="s">
        <v>275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-1</v>
      </c>
      <c r="M37" s="7">
        <v>-1</v>
      </c>
      <c r="N37" s="7">
        <v>1</v>
      </c>
      <c r="O37" s="7">
        <v>-1</v>
      </c>
      <c r="P37" s="7">
        <f t="shared" si="5"/>
        <v>6.000327102810413</v>
      </c>
    </row>
    <row r="38" spans="1:16" s="7" customFormat="1">
      <c r="A38" s="22">
        <v>1</v>
      </c>
      <c r="B38" s="7" t="s">
        <v>264</v>
      </c>
      <c r="D38" s="7" t="s">
        <v>30</v>
      </c>
      <c r="E38" s="7" t="s">
        <v>276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si="5"/>
        <v>6.000327102810413</v>
      </c>
    </row>
    <row r="39" spans="1:16" s="7" customFormat="1">
      <c r="A39" s="22">
        <v>1</v>
      </c>
      <c r="B39" s="7" t="s">
        <v>265</v>
      </c>
      <c r="D39" s="7" t="s">
        <v>30</v>
      </c>
      <c r="E39" s="7" t="s">
        <v>277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5"/>
        <v>6.000327102810413</v>
      </c>
    </row>
    <row r="40" spans="1:16" s="7" customFormat="1">
      <c r="A40" s="22">
        <v>1</v>
      </c>
      <c r="B40" s="7" t="s">
        <v>266</v>
      </c>
      <c r="D40" s="7" t="s">
        <v>30</v>
      </c>
      <c r="E40" s="7" t="s">
        <v>278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5"/>
        <v>6.000327102810413</v>
      </c>
    </row>
    <row r="41" spans="1:16" s="7" customFormat="1">
      <c r="A41" s="22">
        <v>1</v>
      </c>
      <c r="B41" s="7" t="s">
        <v>267</v>
      </c>
      <c r="D41" s="7" t="s">
        <v>30</v>
      </c>
      <c r="E41" s="7" t="s">
        <v>279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5"/>
        <v>6.000327102810413</v>
      </c>
    </row>
    <row r="42" spans="1:16" s="7" customFormat="1">
      <c r="A42" s="22">
        <v>1</v>
      </c>
      <c r="B42" s="7" t="s">
        <v>268</v>
      </c>
      <c r="D42" s="7" t="s">
        <v>30</v>
      </c>
      <c r="E42" s="7" t="s">
        <v>280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1</v>
      </c>
      <c r="M42" s="7">
        <v>1</v>
      </c>
      <c r="N42" s="7">
        <v>1</v>
      </c>
      <c r="O42" s="7">
        <v>-1</v>
      </c>
      <c r="P42" s="7">
        <f t="shared" si="5"/>
        <v>6.000327102810413</v>
      </c>
    </row>
    <row r="43" spans="1:16" s="7" customFormat="1">
      <c r="A43" s="22">
        <v>1</v>
      </c>
      <c r="B43" s="7" t="s">
        <v>283</v>
      </c>
      <c r="D43" s="7" t="s">
        <v>30</v>
      </c>
      <c r="E43" s="7" t="s">
        <v>281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1</v>
      </c>
      <c r="M43" s="7">
        <v>1</v>
      </c>
      <c r="N43" s="7">
        <v>1</v>
      </c>
      <c r="O43" s="7">
        <v>-1</v>
      </c>
      <c r="P43" s="7">
        <f t="shared" si="5"/>
        <v>6.000327102810413</v>
      </c>
    </row>
    <row r="44" spans="1:16" s="7" customFormat="1">
      <c r="A44" s="22">
        <v>1</v>
      </c>
      <c r="B44" s="7" t="s">
        <v>284</v>
      </c>
      <c r="D44" s="7" t="s">
        <v>30</v>
      </c>
      <c r="E44" s="7" t="s">
        <v>282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1</v>
      </c>
      <c r="M44" s="7">
        <v>1</v>
      </c>
      <c r="N44" s="7">
        <v>1</v>
      </c>
      <c r="O44" s="7">
        <v>-1</v>
      </c>
      <c r="P44" s="7">
        <v>7.000327102810413</v>
      </c>
    </row>
    <row r="45" spans="1:16" s="7" customFormat="1">
      <c r="A45" s="22">
        <v>1</v>
      </c>
      <c r="B45" s="7" t="s">
        <v>285</v>
      </c>
      <c r="D45" s="7" t="s">
        <v>30</v>
      </c>
      <c r="E45" s="7" t="s">
        <v>272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1</v>
      </c>
      <c r="M45" s="7">
        <v>1</v>
      </c>
      <c r="N45" s="7">
        <v>1</v>
      </c>
      <c r="O45" s="7">
        <v>-1</v>
      </c>
      <c r="P45" s="7">
        <v>7.000327102810413</v>
      </c>
    </row>
    <row r="46" spans="1:16" s="7" customFormat="1">
      <c r="A46" s="22">
        <v>1</v>
      </c>
      <c r="B46" s="7" t="s">
        <v>286</v>
      </c>
      <c r="D46" s="7" t="s">
        <v>30</v>
      </c>
      <c r="E46" s="7" t="s">
        <v>276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-1</v>
      </c>
      <c r="P46" s="7">
        <v>7.000327102810413</v>
      </c>
    </row>
    <row r="47" spans="1:16" s="7" customFormat="1">
      <c r="A47" s="22"/>
    </row>
    <row r="48" spans="1:16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>
      <c r="A52" s="22"/>
    </row>
    <row r="53" spans="1:1" s="7" customFormat="1">
      <c r="A53" s="22"/>
    </row>
    <row r="54" spans="1:1" s="7" customFormat="1" ht="14.25" customHeight="1">
      <c r="A54" s="22"/>
    </row>
    <row r="55" spans="1:1" s="7" customFormat="1" ht="16.5" customHeight="1">
      <c r="A55" s="22"/>
    </row>
    <row r="56" spans="1:1" s="7" customFormat="1" ht="17.25" customHeigh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 s="7" customFormat="1">
      <c r="A77" s="22"/>
    </row>
    <row r="78" spans="1:4" s="7" customFormat="1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  <row r="91" spans="1:1">
      <c r="A91" s="22"/>
    </row>
    <row r="92" spans="1:1">
      <c r="A92" s="22"/>
    </row>
  </sheetData>
  <autoFilter ref="A9:BH78" xr:uid="{00000000-0001-0000-0E00-000000000000}"/>
  <sortState xmlns:xlrd2="http://schemas.microsoft.com/office/spreadsheetml/2017/richdata2" ref="A10:BH78">
    <sortCondition ref="B10:B78"/>
  </sortState>
  <mergeCells count="1">
    <mergeCell ref="R6:AE6"/>
  </mergeCells>
  <phoneticPr fontId="34" type="noConversion"/>
  <conditionalFormatting sqref="A79:A1048576 A1:A9">
    <cfRule type="iconSet" priority="759">
      <iconSet>
        <cfvo type="percent" val="0"/>
        <cfvo type="percent" val="33"/>
        <cfvo type="percent" val="67"/>
      </iconSet>
    </cfRule>
  </conditionalFormatting>
  <conditionalFormatting sqref="A74 A77">
    <cfRule type="iconSet" priority="40">
      <iconSet>
        <cfvo type="percent" val="0"/>
        <cfvo type="percent" val="33"/>
        <cfvo type="percent" val="67"/>
      </iconSet>
    </cfRule>
  </conditionalFormatting>
  <conditionalFormatting sqref="A75 A78">
    <cfRule type="iconSet" priority="34">
      <iconSet>
        <cfvo type="percent" val="0"/>
        <cfvo type="percent" val="33"/>
        <cfvo type="percent" val="67"/>
      </iconSet>
    </cfRule>
  </conditionalFormatting>
  <conditionalFormatting sqref="A74:A78">
    <cfRule type="iconSet" priority="28">
      <iconSet>
        <cfvo type="percent" val="0"/>
        <cfvo type="percent" val="33"/>
        <cfvo type="percent" val="67"/>
      </iconSet>
    </cfRule>
  </conditionalFormatting>
  <conditionalFormatting sqref="A74:A78">
    <cfRule type="iconSet" priority="27">
      <iconSet>
        <cfvo type="percent" val="0"/>
        <cfvo type="percent" val="33"/>
        <cfvo type="percent" val="67"/>
      </iconSet>
    </cfRule>
  </conditionalFormatting>
  <conditionalFormatting sqref="A74:A78">
    <cfRule type="iconSet" priority="26">
      <iconSet>
        <cfvo type="percent" val="0"/>
        <cfvo type="percent" val="33"/>
        <cfvo type="percent" val="67"/>
      </iconSet>
    </cfRule>
  </conditionalFormatting>
  <conditionalFormatting sqref="A74:A78">
    <cfRule type="iconSet" priority="25">
      <iconSet>
        <cfvo type="percent" val="0"/>
        <cfvo type="percent" val="33"/>
        <cfvo type="percent" val="67"/>
      </iconSet>
    </cfRule>
  </conditionalFormatting>
  <conditionalFormatting sqref="A74:A78">
    <cfRule type="iconSet" priority="24">
      <iconSet>
        <cfvo type="percent" val="0"/>
        <cfvo type="percent" val="33"/>
        <cfvo type="percent" val="67"/>
      </iconSet>
    </cfRule>
  </conditionalFormatting>
  <conditionalFormatting sqref="A74:A78">
    <cfRule type="iconSet" priority="29">
      <iconSet>
        <cfvo type="percent" val="0"/>
        <cfvo type="percent" val="33"/>
        <cfvo type="percent" val="67"/>
      </iconSet>
    </cfRule>
  </conditionalFormatting>
  <conditionalFormatting sqref="A11">
    <cfRule type="iconSet" priority="16">
      <iconSet>
        <cfvo type="percent" val="0"/>
        <cfvo type="percent" val="33"/>
        <cfvo type="percent" val="67"/>
      </iconSet>
    </cfRule>
  </conditionalFormatting>
  <conditionalFormatting sqref="A32:A46">
    <cfRule type="iconSet" priority="15">
      <iconSet>
        <cfvo type="percent" val="0"/>
        <cfvo type="percent" val="33"/>
        <cfvo type="percent" val="67"/>
      </iconSet>
    </cfRule>
  </conditionalFormatting>
  <conditionalFormatting sqref="A33">
    <cfRule type="iconSet" priority="14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0:A92">
    <cfRule type="iconSet" priority="827">
      <iconSet>
        <cfvo type="percent" val="0"/>
        <cfvo type="percent" val="33"/>
        <cfvo type="percent" val="67"/>
      </iconSet>
    </cfRule>
  </conditionalFormatting>
  <conditionalFormatting sqref="A13:A78">
    <cfRule type="iconSet" priority="829">
      <iconSet>
        <cfvo type="percent" val="0"/>
        <cfvo type="percent" val="33"/>
        <cfvo type="percent" val="67"/>
      </iconSet>
    </cfRule>
  </conditionalFormatting>
  <conditionalFormatting sqref="A10:A78">
    <cfRule type="iconSet" priority="839">
      <iconSet>
        <cfvo type="percent" val="0"/>
        <cfvo type="percent" val="33"/>
        <cfvo type="percent" val="67"/>
      </iconSet>
    </cfRule>
  </conditionalFormatting>
  <conditionalFormatting sqref="A10:A46">
    <cfRule type="iconSet" priority="2">
      <iconSet>
        <cfvo type="percent" val="0"/>
        <cfvo type="percent" val="33"/>
        <cfvo type="percent" val="67"/>
      </iconSet>
    </cfRule>
  </conditionalFormatting>
  <conditionalFormatting sqref="A10:A46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8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2022-06-30T20:20:13Z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