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_04\"/>
    </mc:Choice>
  </mc:AlternateContent>
  <xr:revisionPtr revIDLastSave="0" documentId="13_ncr:1_{2BE2ECF5-FED2-470D-8E04-2B87817941AE}" xr6:coauthVersionLast="44" xr6:coauthVersionMax="44" xr10:uidLastSave="{00000000-0000-0000-0000-000000000000}"/>
  <bookViews>
    <workbookView xWindow="-120" yWindow="-120" windowWidth="29040" windowHeight="15840" activeTab="4" xr2:uid="{4B221D65-8B6E-432B-B32D-B10605CA311E}"/>
    <workbookView xWindow="-120" yWindow="-120" windowWidth="29040" windowHeight="15840" activeTab="4" xr2:uid="{83B53132-2D3E-4622-8E19-B4ACDBA200BF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4" l="1"/>
  <c r="P7" i="5" l="1"/>
  <c r="P8" i="5" s="1"/>
  <c r="P9" i="5" s="1"/>
  <c r="P10" i="5" s="1"/>
  <c r="P11" i="5" s="1"/>
  <c r="P12" i="5" s="1"/>
  <c r="P13" i="5" s="1"/>
  <c r="C9" i="4"/>
  <c r="C13" i="4" l="1"/>
  <c r="C17" i="4" l="1"/>
  <c r="C16" i="4"/>
  <c r="C15" i="4" l="1"/>
  <c r="C14" i="4"/>
  <c r="C12" i="4"/>
  <c r="C8" i="4"/>
  <c r="C11" i="4"/>
  <c r="C7" i="4"/>
  <c r="Z9" i="33" l="1"/>
  <c r="Z10" i="33"/>
  <c r="Z8" i="33"/>
  <c r="AB7" i="33" l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7" i="33" s="1"/>
  <c r="AZ7" i="33" s="1"/>
  <c r="BA7" i="33" s="1"/>
  <c r="BB7" i="33" s="1"/>
  <c r="BC7" i="33" s="1"/>
  <c r="BD7" i="33" s="1"/>
  <c r="BE7" i="33" s="1"/>
  <c r="BF7" i="33" s="1"/>
  <c r="BG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ERC</author>
  </authors>
  <commentList>
    <comment ref="L7" authorId="0" shapeId="0" xr:uid="{00000000-0006-0000-0E00-000008000000}">
      <text>
        <r>
          <rPr>
            <b/>
            <sz val="9"/>
            <color indexed="81"/>
            <rFont val="Calibri"/>
            <family val="2"/>
          </rPr>
          <t>ERC:</t>
        </r>
        <r>
          <rPr>
            <sz val="9"/>
            <color indexed="81"/>
            <rFont val="Calibri"/>
            <family val="2"/>
          </rPr>
          <t xml:space="preserve">
0=no PAM; 1=Com only;
2=Pub only;
3=Com+Pub</t>
        </r>
      </text>
    </comment>
  </commentList>
</comments>
</file>

<file path=xl/sharedStrings.xml><?xml version="1.0" encoding="utf-8"?>
<sst xmlns="http://schemas.openxmlformats.org/spreadsheetml/2006/main" count="201" uniqueCount="125">
  <si>
    <t>rdim</t>
  </si>
  <si>
    <t>cdim</t>
  </si>
  <si>
    <t>par</t>
  </si>
  <si>
    <t>dset</t>
  </si>
  <si>
    <t>set</t>
  </si>
  <si>
    <t>Other</t>
  </si>
  <si>
    <t>Scenario Description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</si>
  <si>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</si>
  <si>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</si>
  <si>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</si>
  <si>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</si>
  <si>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</si>
  <si>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</si>
  <si>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</si>
  <si>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</si>
  <si>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</si>
  <si>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</si>
  <si>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</si>
  <si>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</si>
  <si>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</si>
  <si>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</si>
  <si>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</si>
  <si>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</si>
  <si>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</si>
  <si>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</si>
  <si>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</si>
  <si>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</si>
  <si>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</si>
  <si>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 scenarios (Demand)</t>
  </si>
  <si>
    <t>PamsSector</t>
  </si>
  <si>
    <t>Default is -1. This implies no shock.</t>
  </si>
  <si>
    <t>SATIM (TIMES) Case</t>
  </si>
  <si>
    <t>eSAGE (CGE) sim</t>
  </si>
  <si>
    <t>base</t>
  </si>
  <si>
    <t>RUNZERO</t>
  </si>
  <si>
    <t>sim1</t>
  </si>
  <si>
    <t>sim2</t>
  </si>
  <si>
    <t>Run1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</si>
  <si>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</si>
  <si>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</si>
  <si>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</si>
  <si>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</si>
  <si>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</si>
  <si>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</si>
  <si>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</si>
  <si>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</si>
  <si>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</si>
  <si>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</si>
  <si>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</si>
  <si>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</si>
  <si>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RUNZEROB</t>
  </si>
  <si>
    <t>Run0</t>
  </si>
  <si>
    <t>Run3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</si>
  <si>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</si>
  <si>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</si>
  <si>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</si>
  <si>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</si>
  <si>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</si>
  <si>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</si>
  <si>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</si>
  <si>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</si>
  <si>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</si>
  <si>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</si>
  <si>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</si>
  <si>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</si>
  <si>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</si>
  <si>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</si>
  <si>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</si>
  <si>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</si>
  <si>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</si>
  <si>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</si>
  <si>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</si>
  <si>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</si>
  <si>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</si>
  <si>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Link to CGE? (SIM_CGE)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</si>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</sst>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9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0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36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8" fillId="0" borderId="0" xfId="0" applyFont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23.590541550926" missingItemsLimit="0" createdVersion="6" refreshedVersion="6" minRefreshableVersion="3" recordCount="3" xr:uid="{AB6D67C0-07F7-4A89-9D35-79349ED91DA1}">
  <cacheSource type="worksheet">
    <worksheetSource ref="A7:W10" sheet="Scenarios"/>
  </cacheSource>
  <cacheFields count="23">
    <cacheField name="Include in Batch?" numFmtId="0">
      <sharedItems containsSemiMixedTypes="0" containsString="0" containsNumber="1" containsInteger="1" minValue="0" maxValue="1"/>
    </cacheField>
    <cacheField name="Scenario (RUN)" numFmtId="0">
      <sharedItems count="3">
        <s v="Run0"/>
        <s v="Run1"/>
        <s v="Run3"/>
      </sharedItems>
    </cacheField>
    <cacheField name="Scenario Description" numFmtId="0">
      <sharedItems containsNonDate="0" containsString="0" containsBlank="1"/>
    </cacheField>
    <cacheField name="eSAGE (CGE) sim" numFmtId="0">
      <sharedItems count="1">
        <s v="base"/>
      </sharedItems>
    </cacheField>
    <cacheField name="SATIM (TIMES) Case" numFmtId="0">
      <sharedItems count="2">
        <s v="RUNZERO"/>
        <s v="RUNZEROB"/>
      </sharedItems>
    </cacheField>
    <cacheField name="Rerun TIMES?" numFmtId="0">
      <sharedItems containsSemiMixedTypes="0" containsString="0" containsNumber="1" containsInteger="1" minValue="0" maxValue="0"/>
    </cacheField>
    <cacheField name="Link to CGE?" numFmtId="0">
      <sharedItems containsSemiMixedTypes="0" containsString="0" containsNumber="1" containsInteger="1" minValue="0" maxValue="0"/>
    </cacheField>
    <cacheField name="Link to Waste?" numFmtId="0">
      <sharedItems containsSemiMixedTypes="0" containsString="0" containsNumber="1" containsInteger="1" minValue="0" maxValue="0"/>
    </cacheField>
    <cacheField name="Link to AFOLU?" numFmtId="0">
      <sharedItems containsSemiMixedTypes="0" containsString="0" containsNumber="1" containsInteger="1" minValue="0" maxValue="0"/>
    </cacheField>
    <cacheField name="CO2 CumCap" numFmtId="0">
      <sharedItems containsSemiMixedTypes="0" containsString="0" containsNumber="1" containsInteger="1" minValue="100" maxValue="100"/>
    </cacheField>
    <cacheField name="Agriculture" numFmtId="0">
      <sharedItems containsSemiMixedTypes="0" containsString="0" containsNumber="1" containsInteger="1" minValue="-1" maxValue="-1"/>
    </cacheField>
    <cacheField name="Commerce" numFmtId="0">
      <sharedItems containsSemiMixedTypes="0" containsString="0" containsNumber="1" containsInteger="1" minValue="-1" maxValue="-1"/>
    </cacheField>
    <cacheField name="Mining" numFmtId="0">
      <sharedItems containsSemiMixedTypes="0" containsString="0" containsNumber="1" containsInteger="1" minValue="-1" maxValue="-1"/>
    </cacheField>
    <cacheField name="Food&amp;Bev" numFmtId="0">
      <sharedItems containsSemiMixedTypes="0" containsString="0" containsNumber="1" containsInteger="1" minValue="-1" maxValue="-1"/>
    </cacheField>
    <cacheField name="Pulp&amp;Paper" numFmtId="0">
      <sharedItems containsSemiMixedTypes="0" containsString="0" containsNumber="1" containsInteger="1" minValue="-1" maxValue="-1"/>
    </cacheField>
    <cacheField name="Chemicals" numFmtId="0">
      <sharedItems containsSemiMixedTypes="0" containsString="0" containsNumber="1" containsInteger="1" minValue="-1" maxValue="-1"/>
    </cacheField>
    <cacheField name="Non-metallic minerals" numFmtId="0">
      <sharedItems containsSemiMixedTypes="0" containsString="0" containsNumber="1" containsInteger="1" minValue="-1" maxValue="-1"/>
    </cacheField>
    <cacheField name="Iron&amp;steel" numFmtId="0">
      <sharedItems containsSemiMixedTypes="0" containsString="0" containsNumber="1" containsInteger="1" minValue="-1" maxValue="-1"/>
    </cacheField>
    <cacheField name="Non-ferrous" numFmtId="0">
      <sharedItems containsSemiMixedTypes="0" containsString="0" containsNumber="1" containsInteger="1" minValue="-1" maxValue="-1"/>
    </cacheField>
    <cacheField name="Other" numFmtId="0">
      <sharedItems containsSemiMixedTypes="0" containsString="0" containsNumber="1" containsInteger="1" minValue="-1" maxValue="-1"/>
    </cacheField>
    <cacheField name="Residential" numFmtId="0">
      <sharedItems containsSemiMixedTypes="0" containsString="0" containsNumber="1" containsInteger="1" minValue="-1" maxValue="-1"/>
    </cacheField>
    <cacheField name="Transport_pass" numFmtId="0">
      <sharedItems containsSemiMixedTypes="0" containsString="0" containsNumber="1" containsInteger="1" minValue="-1" maxValue="-1"/>
    </cacheField>
    <cacheField name="Transport_Freight" numFmtId="0">
      <sharedItems containsSemiMixedTypes="0" containsString="0" containsNumber="1" containsInteger="1" minValue="-1" maxValue="-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x v="0"/>
    <m/>
    <x v="0"/>
    <x v="0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0"/>
    <x v="1"/>
    <m/>
    <x v="0"/>
    <x v="1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  <r>
    <n v="0"/>
    <x v="2"/>
    <m/>
    <x v="0"/>
    <x v="0"/>
    <n v="0"/>
    <n v="0"/>
    <n v="0"/>
    <n v="0"/>
    <n v="100"/>
    <n v="-1"/>
    <n v="-1"/>
    <n v="-1"/>
    <n v="-1"/>
    <n v="-1"/>
    <n v="-1"/>
    <n v="-1"/>
    <n v="-1"/>
    <n v="-1"/>
    <n v="-1"/>
    <n v="-1"/>
    <n v="-1"/>
    <n v="-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436498-8D1D-41A4-B6E0-57783A33115B}" name="PivotTable5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9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">
    <i>
      <x/>
      <x v="1"/>
    </i>
    <i>
      <x v="1"/>
      <x/>
    </i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4593C-297B-4A7B-AFED-F06BF31B3384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23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BDB39-930B-4323-9268-00DD1D364EAD}" name="PivotTable6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9" firstHeaderRow="1" firstDataRow="1" firstDataCol="2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">
    <i>
      <x/>
      <x/>
    </i>
    <i>
      <x v="1"/>
      <x/>
    </i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41161-D298-46C6-B5FF-8F3510A03B8F}" name="PivotTable4" cacheId="0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9" firstHeaderRow="1" firstDataRow="1" firstDataCol="1"/>
  <pivotFields count="23">
    <pivotField dataField="1"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A2FA57-9FD3-47F8-B27E-091D1A0975F2}" name="PivotTable8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9" firstHeaderRow="1" firstDataRow="1" firstDataCol="1"/>
  <pivotFields count="23"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69173-0C47-4078-BBC7-79316D50513F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6:A9" firstHeaderRow="1" firstDataRow="1" firstDataCol="1"/>
  <pivotFields count="23">
    <pivotField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30652-DD13-4DBD-BC98-1ACE952C4745}" name="PivotTable3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8" firstHeaderRow="1" firstDataRow="1" firstDataCol="1"/>
  <pivotFields count="23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">
    <i>
      <x/>
    </i>
    <i>
      <x v="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8558C-1754-41B5-AA6A-528AC82AB896}" name="PivotTable7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9" firstHeaderRow="1" firstDataRow="1" firstDataCol="1"/>
  <pivotFields count="23">
    <pivotField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7"/>
  <sheetViews>
    <sheetView workbookViewId="0">
      <selection activeCell="E15" sqref="E15"/>
    </sheetView>
    <sheetView workbookViewId="1">
      <selection activeCell="C10" sqref="C10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7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8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68</v>
      </c>
      <c r="C8" t="str">
        <f>"Sets!"&amp;ADDRESS(ROW(Sets!B7),COLUMN(Sets!B7),4)</f>
        <v>Sets!B7</v>
      </c>
      <c r="D8">
        <v>1</v>
      </c>
    </row>
    <row r="9" spans="1:11">
      <c r="A9" s="10" t="s">
        <v>3</v>
      </c>
      <c r="B9" s="10" t="s">
        <v>65</v>
      </c>
      <c r="C9" s="10" t="str">
        <f>"Sets!"&amp;ADDRESS(ROW(Sets!C7),COLUMN(Sets!C7),4)</f>
        <v>Sets!C7</v>
      </c>
      <c r="D9" s="10">
        <v>1</v>
      </c>
      <c r="E9" s="10"/>
    </row>
    <row r="10" spans="1:11" s="10" customFormat="1">
      <c r="A10" s="10" t="s">
        <v>4</v>
      </c>
      <c r="B10" s="10" t="s">
        <v>72</v>
      </c>
      <c r="C10" s="10" t="str">
        <f>"Sets!"&amp;ADDRESS(ROW(Sets!D7),COLUMN(Sets!D7),4)</f>
        <v>Sets!D7</v>
      </c>
      <c r="D10" s="10">
        <v>1</v>
      </c>
    </row>
    <row r="11" spans="1:11">
      <c r="A11" t="s">
        <v>2</v>
      </c>
      <c r="B11" t="s">
        <v>11</v>
      </c>
      <c r="C11" t="str">
        <f>"Sets!"&amp;ADDRESS(ROW(Sets!E7),COLUMN(Sets!E7),4)</f>
        <v>Sets!E7</v>
      </c>
      <c r="D11">
        <v>1</v>
      </c>
    </row>
    <row r="12" spans="1:11" s="10" customFormat="1">
      <c r="A12" s="10" t="s">
        <v>2</v>
      </c>
      <c r="B12" s="10" t="s">
        <v>67</v>
      </c>
      <c r="C12" s="10" t="str">
        <f>"Sets!"&amp;ADDRESS(ROW(Sets!G7),COLUMN(Sets!G7),4)</f>
        <v>Sets!G7</v>
      </c>
      <c r="D12" s="10">
        <v>1</v>
      </c>
    </row>
    <row r="13" spans="1:11" s="10" customFormat="1">
      <c r="A13" s="10" t="s">
        <v>2</v>
      </c>
      <c r="B13" s="10" t="s">
        <v>69</v>
      </c>
      <c r="C13" s="10" t="str">
        <f>"Sets!"&amp;ADDRESS(ROW(Sets!I7),COLUMN(Sets!I7),4)</f>
        <v>Sets!I7</v>
      </c>
      <c r="D13" s="10">
        <v>1</v>
      </c>
    </row>
    <row r="14" spans="1:11" s="10" customFormat="1">
      <c r="A14" t="s">
        <v>4</v>
      </c>
      <c r="B14" t="s">
        <v>9</v>
      </c>
      <c r="C14" t="str">
        <f>"Sets!"&amp;ADDRESS(ROW(Sets!K7),COLUMN(Sets!K7),4)</f>
        <v>Sets!K7</v>
      </c>
      <c r="D14">
        <v>2</v>
      </c>
      <c r="E14"/>
    </row>
    <row r="15" spans="1:11">
      <c r="A15" s="10" t="s">
        <v>4</v>
      </c>
      <c r="B15" s="10" t="s">
        <v>66</v>
      </c>
      <c r="C15" s="10" t="str">
        <f>"Sets!"&amp;ADDRESS(ROW(Sets!M7),COLUMN(Sets!M7),4)</f>
        <v>Sets!M7</v>
      </c>
      <c r="D15" s="10">
        <v>2</v>
      </c>
      <c r="E15" s="10"/>
      <c r="F15" s="10"/>
    </row>
    <row r="16" spans="1:11">
      <c r="A16" s="10" t="s">
        <v>3</v>
      </c>
      <c r="B16" s="10" t="s">
        <v>62</v>
      </c>
      <c r="C16" s="10" t="str">
        <f>"Sets!"&amp;ADDRESS(ROW(Sets!O7),COLUMN(Sets!O7),4)</f>
        <v>Sets!O7</v>
      </c>
      <c r="D16" s="10">
        <v>1</v>
      </c>
    </row>
    <row r="17" spans="1:5">
      <c r="A17" s="10" t="s">
        <v>3</v>
      </c>
      <c r="B17" s="10" t="s">
        <v>63</v>
      </c>
      <c r="C17" s="10" t="str">
        <f>"Sets!"&amp;ADDRESS(ROW(Sets!P7),COLUMN(Sets!P7),4)</f>
        <v>Sets!P7</v>
      </c>
      <c r="D17" s="10">
        <v>1</v>
      </c>
      <c r="E17" s="10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X51"/>
  <sheetViews>
    <sheetView workbookViewId="0">
      <selection activeCell="M6" sqref="M6"/>
    </sheetView>
    <sheetView workbookViewId="1">
      <selection activeCell="O7" sqref="O7"/>
    </sheetView>
  </sheetViews>
  <sheetFormatPr defaultRowHeight="15"/>
  <cols>
    <col min="1" max="1" width="13.140625" bestFit="1" customWidth="1"/>
    <col min="2" max="2" width="13.140625" style="10" bestFit="1" customWidth="1"/>
    <col min="3" max="4" width="13.140625" style="10" customWidth="1"/>
    <col min="5" max="5" width="13.140625" style="10" bestFit="1" customWidth="1"/>
    <col min="6" max="6" width="23" style="10" bestFit="1" customWidth="1"/>
    <col min="7" max="7" width="13.140625" style="10" bestFit="1" customWidth="1"/>
    <col min="8" max="8" width="19.85546875" style="10" bestFit="1" customWidth="1"/>
    <col min="9" max="9" width="13.140625" style="10" bestFit="1" customWidth="1"/>
    <col min="10" max="10" width="18.5703125" style="10" bestFit="1" customWidth="1"/>
    <col min="11" max="11" width="23.140625" style="10" customWidth="1"/>
    <col min="12" max="12" width="20.85546875" style="10" bestFit="1" customWidth="1"/>
    <col min="13" max="13" width="16.7109375" style="10" bestFit="1" customWidth="1"/>
    <col min="14" max="14" width="18" style="10" bestFit="1" customWidth="1"/>
    <col min="15" max="15" width="10" style="18" bestFit="1" customWidth="1"/>
    <col min="16" max="16" width="11.5703125" style="18" bestFit="1" customWidth="1"/>
    <col min="17" max="18" width="23.140625" style="10" customWidth="1"/>
    <col min="19" max="19" width="16.7109375" customWidth="1"/>
    <col min="20" max="20" width="19" customWidth="1"/>
    <col min="22" max="23" width="9.140625" style="10"/>
  </cols>
  <sheetData>
    <row r="5" spans="1:24" s="1" customFormat="1">
      <c r="A5" s="1" t="s">
        <v>8</v>
      </c>
      <c r="B5" s="1" t="s">
        <v>45</v>
      </c>
      <c r="C5" s="1" t="s">
        <v>53</v>
      </c>
      <c r="D5" s="1" t="s">
        <v>71</v>
      </c>
      <c r="E5" s="1" t="s">
        <v>47</v>
      </c>
      <c r="G5" s="1" t="s">
        <v>73</v>
      </c>
      <c r="I5" s="1" t="s">
        <v>74</v>
      </c>
      <c r="K5" s="1" t="s">
        <v>75</v>
      </c>
      <c r="M5" s="1" t="s">
        <v>76</v>
      </c>
      <c r="O5" s="1" t="s">
        <v>61</v>
      </c>
      <c r="P5" s="1" t="s">
        <v>64</v>
      </c>
      <c r="X5" s="1" t="s">
        <v>29</v>
      </c>
    </row>
    <row r="6" spans="1:24">
      <c r="A6" s="16" t="s">
        <v>38</v>
      </c>
      <c r="B6" s="16" t="s">
        <v>38</v>
      </c>
      <c r="D6" s="16" t="s">
        <v>38</v>
      </c>
      <c r="E6" s="16" t="s">
        <v>38</v>
      </c>
      <c r="F6" t="s">
        <v>46</v>
      </c>
      <c r="G6" s="16" t="s">
        <v>38</v>
      </c>
      <c r="H6" t="s">
        <v>49</v>
      </c>
      <c r="I6" s="16" t="s">
        <v>38</v>
      </c>
      <c r="J6" t="s">
        <v>48</v>
      </c>
      <c r="K6" s="16" t="s">
        <v>40</v>
      </c>
      <c r="L6" s="16" t="s">
        <v>31</v>
      </c>
      <c r="M6" s="16" t="s">
        <v>40</v>
      </c>
      <c r="N6" s="16" t="s">
        <v>32</v>
      </c>
      <c r="O6" s="18" t="s">
        <v>62</v>
      </c>
      <c r="P6" s="18" t="s">
        <v>63</v>
      </c>
      <c r="S6" s="10"/>
    </row>
    <row r="7" spans="1:24">
      <c r="A7" s="17" t="s">
        <v>51</v>
      </c>
      <c r="B7" s="17" t="s">
        <v>34</v>
      </c>
      <c r="C7" s="16" t="s">
        <v>33</v>
      </c>
      <c r="D7" s="17" t="s">
        <v>33</v>
      </c>
      <c r="E7" s="17" t="s">
        <v>51</v>
      </c>
      <c r="F7" s="3">
        <v>1</v>
      </c>
      <c r="G7" s="17" t="s">
        <v>37</v>
      </c>
      <c r="H7" s="3">
        <v>0</v>
      </c>
      <c r="I7" s="17" t="s">
        <v>37</v>
      </c>
      <c r="J7" s="3">
        <v>0</v>
      </c>
      <c r="K7" s="10" t="s">
        <v>37</v>
      </c>
      <c r="L7" s="10" t="s">
        <v>50</v>
      </c>
      <c r="M7" s="10" t="s">
        <v>37</v>
      </c>
      <c r="N7" s="10" t="s">
        <v>33</v>
      </c>
      <c r="O7" s="18">
        <v>2012</v>
      </c>
      <c r="P7" s="18">
        <f>2051-Scenarios!G6</f>
        <v>2050</v>
      </c>
      <c r="S7" s="10"/>
      <c r="T7" s="10"/>
      <c r="U7" s="10"/>
      <c r="X7" t="s">
        <v>15</v>
      </c>
    </row>
    <row r="8" spans="1:24">
      <c r="A8" s="17" t="s">
        <v>37</v>
      </c>
      <c r="B8" s="17" t="s">
        <v>50</v>
      </c>
      <c r="C8" s="17" t="s">
        <v>35</v>
      </c>
      <c r="D8"/>
      <c r="E8" s="17" t="s">
        <v>37</v>
      </c>
      <c r="F8" s="3">
        <v>0</v>
      </c>
      <c r="G8" s="17" t="s">
        <v>51</v>
      </c>
      <c r="H8" s="3">
        <v>0</v>
      </c>
      <c r="I8" s="17" t="s">
        <v>51</v>
      </c>
      <c r="J8" s="3">
        <v>0</v>
      </c>
      <c r="K8" s="10" t="s">
        <v>51</v>
      </c>
      <c r="L8" s="10" t="s">
        <v>34</v>
      </c>
      <c r="M8" s="10" t="s">
        <v>51</v>
      </c>
      <c r="N8" s="10" t="s">
        <v>33</v>
      </c>
      <c r="O8" s="18">
        <v>2013</v>
      </c>
      <c r="P8" s="18" t="str">
        <f>IF(OR(P7=2050,P7=""),"",P7+1)</f>
        <v/>
      </c>
      <c r="S8" s="10"/>
      <c r="T8" s="10"/>
      <c r="U8" s="10"/>
      <c r="X8" s="10" t="s">
        <v>16</v>
      </c>
    </row>
    <row r="9" spans="1:24">
      <c r="A9" s="17" t="s">
        <v>52</v>
      </c>
      <c r="B9"/>
      <c r="C9" s="17" t="s">
        <v>36</v>
      </c>
      <c r="D9"/>
      <c r="E9" s="17" t="s">
        <v>52</v>
      </c>
      <c r="F9" s="3">
        <v>0</v>
      </c>
      <c r="G9" s="17" t="s">
        <v>52</v>
      </c>
      <c r="H9" s="3">
        <v>0</v>
      </c>
      <c r="I9" s="17" t="s">
        <v>52</v>
      </c>
      <c r="J9" s="3">
        <v>0</v>
      </c>
      <c r="K9" s="10" t="s">
        <v>52</v>
      </c>
      <c r="L9" s="10" t="s">
        <v>34</v>
      </c>
      <c r="M9" s="10" t="s">
        <v>52</v>
      </c>
      <c r="N9" s="10" t="s">
        <v>33</v>
      </c>
      <c r="O9" s="18">
        <v>2014</v>
      </c>
      <c r="P9" s="18" t="str">
        <f t="shared" ref="P9:P13" si="0">IF(OR(P8=2050,P8=""),"",P8+1)</f>
        <v/>
      </c>
      <c r="S9" s="10"/>
      <c r="T9" s="10"/>
      <c r="U9" s="10"/>
      <c r="X9" s="10" t="s">
        <v>17</v>
      </c>
    </row>
    <row r="10" spans="1:24">
      <c r="B10"/>
      <c r="C10" s="17" t="s">
        <v>54</v>
      </c>
      <c r="D10"/>
      <c r="E10"/>
      <c r="F10"/>
      <c r="G10"/>
      <c r="H10"/>
      <c r="I10"/>
      <c r="J10"/>
      <c r="K10"/>
      <c r="L10"/>
      <c r="M10"/>
      <c r="N10"/>
      <c r="O10" s="18">
        <v>2015</v>
      </c>
      <c r="P10" s="18" t="str">
        <f t="shared" si="0"/>
        <v/>
      </c>
      <c r="S10" s="10"/>
      <c r="T10" s="10"/>
      <c r="U10" s="10"/>
      <c r="X10" s="10" t="s">
        <v>18</v>
      </c>
    </row>
    <row r="11" spans="1:24">
      <c r="B11"/>
      <c r="C11" s="17" t="s">
        <v>55</v>
      </c>
      <c r="D11"/>
      <c r="E11"/>
      <c r="M11"/>
      <c r="N11"/>
      <c r="O11" s="18">
        <v>2016</v>
      </c>
      <c r="P11" s="18" t="str">
        <f t="shared" si="0"/>
        <v/>
      </c>
      <c r="S11" s="10"/>
      <c r="T11" s="10"/>
      <c r="U11" s="10"/>
      <c r="X11" s="10" t="s">
        <v>19</v>
      </c>
    </row>
    <row r="12" spans="1:24">
      <c r="B12"/>
      <c r="C12" s="17" t="s">
        <v>56</v>
      </c>
      <c r="D12" s="17"/>
      <c r="E12"/>
      <c r="M12"/>
      <c r="N12"/>
      <c r="O12" s="18">
        <v>2017</v>
      </c>
      <c r="P12" s="18" t="str">
        <f t="shared" si="0"/>
        <v/>
      </c>
      <c r="S12" s="10"/>
      <c r="T12" s="10"/>
      <c r="U12" s="10"/>
      <c r="X12" s="10" t="s">
        <v>20</v>
      </c>
    </row>
    <row r="13" spans="1:24">
      <c r="B13"/>
      <c r="C13" s="17" t="s">
        <v>57</v>
      </c>
      <c r="D13" s="17"/>
      <c r="E13"/>
      <c r="M13"/>
      <c r="N13"/>
      <c r="O13" s="18">
        <v>2018</v>
      </c>
      <c r="P13" s="18" t="str">
        <f t="shared" si="0"/>
        <v/>
      </c>
      <c r="S13" s="10"/>
      <c r="T13" s="10"/>
      <c r="U13" s="10"/>
      <c r="X13" s="10" t="s">
        <v>21</v>
      </c>
    </row>
    <row r="14" spans="1:24">
      <c r="B14"/>
      <c r="C14" s="17" t="s">
        <v>58</v>
      </c>
      <c r="D14" s="17"/>
      <c r="E14"/>
      <c r="M14"/>
      <c r="N14"/>
      <c r="O14" s="18">
        <v>2019</v>
      </c>
      <c r="S14" s="10"/>
      <c r="T14" s="10"/>
      <c r="U14" s="10"/>
      <c r="X14" s="10" t="s">
        <v>22</v>
      </c>
    </row>
    <row r="15" spans="1:24">
      <c r="B15"/>
      <c r="C15" s="17" t="s">
        <v>59</v>
      </c>
      <c r="D15" s="17"/>
      <c r="E15"/>
      <c r="M15"/>
      <c r="N15"/>
      <c r="O15" s="18">
        <v>2020</v>
      </c>
      <c r="S15" s="10"/>
      <c r="T15" s="10"/>
      <c r="U15" s="10"/>
      <c r="X15" s="10" t="s">
        <v>23</v>
      </c>
    </row>
    <row r="16" spans="1:24">
      <c r="B16"/>
      <c r="C16" s="17" t="s">
        <v>60</v>
      </c>
      <c r="D16" s="17"/>
      <c r="E16"/>
      <c r="M16"/>
      <c r="N16"/>
      <c r="O16" s="18">
        <v>2021</v>
      </c>
      <c r="S16" s="10"/>
      <c r="T16" s="10"/>
      <c r="U16" s="10"/>
      <c r="X16" s="10" t="s">
        <v>5</v>
      </c>
    </row>
    <row r="17" spans="1:24">
      <c r="B17"/>
      <c r="E17"/>
      <c r="M17"/>
      <c r="N17"/>
      <c r="O17" s="18">
        <v>2022</v>
      </c>
      <c r="Q17"/>
      <c r="S17" s="10"/>
      <c r="T17" s="10"/>
      <c r="U17" s="10"/>
      <c r="X17" s="10" t="s">
        <v>24</v>
      </c>
    </row>
    <row r="18" spans="1:24">
      <c r="B18"/>
      <c r="E18"/>
      <c r="M18"/>
      <c r="N18"/>
      <c r="O18" s="18">
        <v>2023</v>
      </c>
      <c r="Q18"/>
      <c r="S18" s="10"/>
      <c r="T18" s="10"/>
      <c r="U18" s="10"/>
      <c r="X18" s="10" t="s">
        <v>26</v>
      </c>
    </row>
    <row r="19" spans="1:24">
      <c r="B19"/>
      <c r="E19"/>
      <c r="M19"/>
      <c r="N19"/>
      <c r="O19" s="18">
        <v>2024</v>
      </c>
      <c r="S19" s="10"/>
      <c r="T19" s="10"/>
      <c r="U19" s="10"/>
      <c r="X19" s="10" t="s">
        <v>25</v>
      </c>
    </row>
    <row r="20" spans="1:24">
      <c r="B20"/>
      <c r="E20"/>
      <c r="M20"/>
      <c r="N20"/>
      <c r="O20" s="18">
        <v>2025</v>
      </c>
      <c r="S20" s="10"/>
      <c r="T20" s="10"/>
      <c r="U20" s="10"/>
      <c r="X20" s="10" t="s">
        <v>12</v>
      </c>
    </row>
    <row r="21" spans="1:24">
      <c r="B21"/>
      <c r="E21"/>
      <c r="M21"/>
      <c r="N21"/>
      <c r="O21" s="18">
        <v>2026</v>
      </c>
      <c r="S21" s="10"/>
      <c r="T21" s="10"/>
      <c r="U21" s="10"/>
      <c r="X21" s="10" t="s">
        <v>12</v>
      </c>
    </row>
    <row r="22" spans="1:24">
      <c r="B22"/>
      <c r="E22"/>
      <c r="M22"/>
      <c r="N22"/>
      <c r="O22" s="18">
        <v>2027</v>
      </c>
      <c r="S22" s="10"/>
      <c r="T22" s="10"/>
      <c r="U22" s="10"/>
      <c r="X22" s="10" t="s">
        <v>12</v>
      </c>
    </row>
    <row r="23" spans="1:24">
      <c r="B23"/>
      <c r="E23"/>
      <c r="M23"/>
      <c r="N23"/>
      <c r="O23" s="18">
        <v>2028</v>
      </c>
      <c r="S23" s="10"/>
      <c r="T23" s="10"/>
      <c r="U23" s="10"/>
      <c r="X23" s="10" t="s">
        <v>12</v>
      </c>
    </row>
    <row r="24" spans="1:24">
      <c r="A24" s="10"/>
      <c r="O24" s="18">
        <v>2029</v>
      </c>
      <c r="S24" s="10"/>
      <c r="T24" s="10"/>
      <c r="U24" s="10"/>
      <c r="X24" s="10"/>
    </row>
    <row r="25" spans="1:24">
      <c r="A25" s="10"/>
      <c r="O25" s="18">
        <v>2030</v>
      </c>
      <c r="S25" s="10"/>
      <c r="T25" s="10"/>
      <c r="U25" s="10"/>
      <c r="X25" s="10"/>
    </row>
    <row r="26" spans="1:24">
      <c r="A26" s="10"/>
      <c r="O26" s="18">
        <v>2031</v>
      </c>
      <c r="S26" s="10"/>
      <c r="T26" s="10"/>
      <c r="U26" s="10"/>
      <c r="X26" s="10"/>
    </row>
    <row r="27" spans="1:24">
      <c r="A27" s="10"/>
      <c r="O27" s="18">
        <v>2032</v>
      </c>
      <c r="S27" s="10"/>
      <c r="T27" s="10"/>
      <c r="U27" s="10"/>
      <c r="X27" s="10"/>
    </row>
    <row r="28" spans="1:24">
      <c r="A28" s="10"/>
      <c r="O28" s="18">
        <v>2033</v>
      </c>
      <c r="S28" s="10"/>
      <c r="T28" s="10"/>
      <c r="U28" s="10"/>
      <c r="X28" s="10"/>
    </row>
    <row r="29" spans="1:24">
      <c r="A29" s="10"/>
      <c r="O29" s="18">
        <v>2034</v>
      </c>
      <c r="S29" s="10"/>
      <c r="T29" s="10"/>
      <c r="U29" s="10"/>
      <c r="X29" s="10"/>
    </row>
    <row r="30" spans="1:24">
      <c r="A30" s="10"/>
      <c r="O30" s="18">
        <v>2035</v>
      </c>
      <c r="S30" s="10"/>
      <c r="T30" s="10"/>
      <c r="U30" s="10"/>
      <c r="X30" s="10"/>
    </row>
    <row r="31" spans="1:24">
      <c r="A31" s="10"/>
      <c r="O31" s="18">
        <v>2036</v>
      </c>
      <c r="S31" s="10"/>
      <c r="T31" s="10"/>
      <c r="U31" s="10"/>
      <c r="X31" s="10"/>
    </row>
    <row r="32" spans="1:24">
      <c r="A32" s="10"/>
      <c r="O32" s="18">
        <v>2037</v>
      </c>
      <c r="S32" s="10"/>
      <c r="T32" s="10"/>
      <c r="U32" s="10"/>
      <c r="X32" s="10"/>
    </row>
    <row r="33" spans="1:24">
      <c r="A33" s="10"/>
      <c r="O33" s="18">
        <v>2038</v>
      </c>
      <c r="S33" s="10"/>
      <c r="T33" s="10"/>
      <c r="U33" s="10"/>
      <c r="X33" s="10"/>
    </row>
    <row r="34" spans="1:24">
      <c r="A34" s="10"/>
      <c r="O34" s="18">
        <v>2039</v>
      </c>
      <c r="S34" s="10"/>
      <c r="T34" s="10"/>
      <c r="U34" s="10"/>
      <c r="X34" s="10"/>
    </row>
    <row r="35" spans="1:24">
      <c r="A35" s="10"/>
      <c r="O35" s="18">
        <v>2040</v>
      </c>
      <c r="S35" s="10"/>
      <c r="T35" s="10"/>
      <c r="U35" s="10"/>
      <c r="X35" s="10"/>
    </row>
    <row r="36" spans="1:24">
      <c r="A36" s="10"/>
      <c r="O36" s="18">
        <v>2041</v>
      </c>
      <c r="S36" s="10"/>
      <c r="T36" s="10"/>
      <c r="U36" s="10"/>
      <c r="X36" s="10"/>
    </row>
    <row r="37" spans="1:24">
      <c r="A37" s="10"/>
      <c r="O37" s="18">
        <v>2042</v>
      </c>
      <c r="S37" s="10"/>
      <c r="T37" s="10"/>
      <c r="U37" s="10"/>
      <c r="X37" s="10"/>
    </row>
    <row r="38" spans="1:24">
      <c r="A38" s="10"/>
      <c r="O38" s="18">
        <v>2043</v>
      </c>
      <c r="S38" s="10"/>
      <c r="T38" s="10"/>
      <c r="U38" s="10"/>
      <c r="X38" s="10"/>
    </row>
    <row r="39" spans="1:24">
      <c r="A39" s="10"/>
      <c r="O39" s="18">
        <v>2044</v>
      </c>
      <c r="S39" s="10"/>
      <c r="T39" s="10"/>
      <c r="U39" s="10"/>
      <c r="X39" s="10"/>
    </row>
    <row r="40" spans="1:24">
      <c r="A40" s="10"/>
      <c r="O40" s="18">
        <v>2045</v>
      </c>
      <c r="S40" s="10"/>
      <c r="T40" s="10"/>
      <c r="U40" s="10"/>
      <c r="X40" s="10"/>
    </row>
    <row r="41" spans="1:24">
      <c r="A41" s="10"/>
      <c r="O41" s="18">
        <v>2046</v>
      </c>
      <c r="S41" s="10"/>
      <c r="T41" s="10"/>
      <c r="U41" s="10"/>
      <c r="X41" s="10"/>
    </row>
    <row r="42" spans="1:24">
      <c r="A42" s="10"/>
      <c r="O42" s="18">
        <v>2047</v>
      </c>
      <c r="S42" s="10"/>
      <c r="T42" s="10"/>
      <c r="U42" s="10"/>
      <c r="X42" s="10"/>
    </row>
    <row r="43" spans="1:24">
      <c r="A43" s="10"/>
      <c r="O43" s="18">
        <v>2048</v>
      </c>
      <c r="S43" s="10"/>
      <c r="T43" s="10"/>
      <c r="U43" s="10"/>
      <c r="X43" s="10"/>
    </row>
    <row r="44" spans="1:24">
      <c r="A44" s="10"/>
      <c r="O44" s="18">
        <v>2049</v>
      </c>
      <c r="S44" s="10"/>
      <c r="T44" s="10"/>
      <c r="U44" s="10"/>
      <c r="X44" s="10"/>
    </row>
    <row r="45" spans="1:24">
      <c r="A45" s="10"/>
      <c r="O45" s="18">
        <v>2050</v>
      </c>
      <c r="S45" s="10"/>
      <c r="T45" s="10"/>
      <c r="U45" s="10"/>
      <c r="X45" s="10"/>
    </row>
    <row r="46" spans="1:24">
      <c r="A46" s="10"/>
      <c r="S46" s="10"/>
      <c r="T46" s="10"/>
      <c r="U46" s="10"/>
    </row>
    <row r="47" spans="1:24">
      <c r="A47" s="10"/>
      <c r="S47" s="10"/>
      <c r="T47" s="10"/>
      <c r="U47" s="10"/>
    </row>
    <row r="48" spans="1:24">
      <c r="A48" s="10"/>
      <c r="S48" s="10"/>
      <c r="T48" s="10"/>
      <c r="U48" s="10"/>
    </row>
    <row r="49" spans="1:21">
      <c r="A49" s="10"/>
      <c r="S49" s="10"/>
      <c r="T49" s="10"/>
      <c r="U49" s="10"/>
    </row>
    <row r="50" spans="1:21">
      <c r="A50" s="10"/>
      <c r="S50" s="10"/>
      <c r="T50" s="10"/>
      <c r="U50" s="10"/>
    </row>
    <row r="51" spans="1:21">
      <c r="A51" s="10"/>
      <c r="S51" s="10"/>
      <c r="T51" s="10"/>
      <c r="U51" s="10"/>
    </row>
  </sheetData>
  <phoneticPr fontId="37" type="noConversion"/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G10"/>
  <sheetViews>
    <sheetView workbookViewId="0">
      <selection activeCell="AA9" sqref="AA9:AS10"/>
    </sheetView>
    <sheetView workbookViewId="1">
      <selection activeCell="G19" sqref="G19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10" customWidth="1"/>
    <col min="5" max="5" width="20.28515625" customWidth="1"/>
    <col min="6" max="6" width="20.28515625" style="10" customWidth="1"/>
    <col min="7" max="9" width="11.5703125" style="10" customWidth="1"/>
    <col min="10" max="10" width="11.5703125" customWidth="1"/>
    <col min="28" max="40" width="5.5703125" customWidth="1"/>
    <col min="41" max="59" width="6.42578125" customWidth="1"/>
  </cols>
  <sheetData>
    <row r="1" spans="1:59">
      <c r="B1" s="10"/>
      <c r="C1" s="10"/>
      <c r="E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59">
      <c r="B2" s="10"/>
      <c r="E2" s="10"/>
      <c r="K2" s="13" t="s">
        <v>30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59">
      <c r="B3" s="10"/>
      <c r="E3" s="10"/>
      <c r="K3" s="19" t="s">
        <v>28</v>
      </c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AA3" s="19" t="s">
        <v>27</v>
      </c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</row>
    <row r="4" spans="1:59">
      <c r="B4" s="10"/>
      <c r="E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59" ht="45">
      <c r="A5" s="9"/>
      <c r="G5" s="11" t="s">
        <v>70</v>
      </c>
      <c r="H5" s="14"/>
      <c r="I5" s="14"/>
    </row>
    <row r="6" spans="1:59">
      <c r="A6" s="7"/>
      <c r="B6" s="6"/>
      <c r="D6" s="12"/>
      <c r="E6" s="5"/>
      <c r="F6" s="15"/>
      <c r="G6" s="10">
        <v>1</v>
      </c>
      <c r="H6" s="15"/>
      <c r="I6" s="15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X6" s="10"/>
    </row>
    <row r="7" spans="1:59" ht="45">
      <c r="A7" s="8" t="s">
        <v>10</v>
      </c>
      <c r="B7" s="2" t="s">
        <v>40</v>
      </c>
      <c r="C7" s="2" t="s">
        <v>6</v>
      </c>
      <c r="D7" s="2" t="s">
        <v>32</v>
      </c>
      <c r="E7" s="2" t="s">
        <v>31</v>
      </c>
      <c r="F7" s="2" t="s">
        <v>39</v>
      </c>
      <c r="G7" s="11" t="s">
        <v>14</v>
      </c>
      <c r="H7" s="11" t="s">
        <v>41</v>
      </c>
      <c r="I7" s="11" t="s">
        <v>42</v>
      </c>
      <c r="J7" s="11" t="s">
        <v>13</v>
      </c>
      <c r="K7" s="4" t="s">
        <v>15</v>
      </c>
      <c r="L7" s="4" t="s">
        <v>16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22</v>
      </c>
      <c r="S7" s="4" t="s">
        <v>23</v>
      </c>
      <c r="T7" s="4" t="s">
        <v>5</v>
      </c>
      <c r="U7" s="4" t="s">
        <v>24</v>
      </c>
      <c r="V7" s="4" t="s">
        <v>26</v>
      </c>
      <c r="W7" s="4" t="s">
        <v>25</v>
      </c>
      <c r="X7" s="4" t="s">
        <v>43</v>
      </c>
      <c r="Y7" s="4" t="s">
        <v>44</v>
      </c>
      <c r="AA7">
        <v>2018</v>
      </c>
      <c r="AB7">
        <f>AA7+1</f>
        <v>2019</v>
      </c>
      <c r="AC7" s="10">
        <f t="shared" ref="AC7:BG7" si="0">AB7+1</f>
        <v>2020</v>
      </c>
      <c r="AD7" s="10">
        <f t="shared" si="0"/>
        <v>2021</v>
      </c>
      <c r="AE7" s="10">
        <f t="shared" si="0"/>
        <v>2022</v>
      </c>
      <c r="AF7" s="10">
        <f t="shared" si="0"/>
        <v>2023</v>
      </c>
      <c r="AG7" s="10">
        <f t="shared" si="0"/>
        <v>2024</v>
      </c>
      <c r="AH7" s="10">
        <f t="shared" si="0"/>
        <v>2025</v>
      </c>
      <c r="AI7" s="10">
        <f t="shared" si="0"/>
        <v>2026</v>
      </c>
      <c r="AJ7" s="10">
        <f t="shared" si="0"/>
        <v>2027</v>
      </c>
      <c r="AK7" s="10">
        <f t="shared" si="0"/>
        <v>2028</v>
      </c>
      <c r="AL7" s="10">
        <f t="shared" si="0"/>
        <v>2029</v>
      </c>
      <c r="AM7" s="10">
        <f t="shared" si="0"/>
        <v>2030</v>
      </c>
      <c r="AN7" s="10">
        <f t="shared" si="0"/>
        <v>2031</v>
      </c>
      <c r="AO7" s="10">
        <f t="shared" si="0"/>
        <v>2032</v>
      </c>
      <c r="AP7" s="10">
        <f t="shared" si="0"/>
        <v>2033</v>
      </c>
      <c r="AQ7" s="10">
        <f t="shared" si="0"/>
        <v>2034</v>
      </c>
      <c r="AR7" s="10">
        <f t="shared" si="0"/>
        <v>2035</v>
      </c>
      <c r="AS7" s="10">
        <f t="shared" si="0"/>
        <v>2036</v>
      </c>
      <c r="AT7" s="10">
        <f t="shared" si="0"/>
        <v>2037</v>
      </c>
      <c r="AU7" s="10">
        <f t="shared" si="0"/>
        <v>2038</v>
      </c>
      <c r="AV7" s="10">
        <f t="shared" si="0"/>
        <v>2039</v>
      </c>
      <c r="AW7" s="10">
        <f t="shared" si="0"/>
        <v>2040</v>
      </c>
      <c r="AX7" s="10">
        <f t="shared" si="0"/>
        <v>2041</v>
      </c>
      <c r="AY7" s="10">
        <f t="shared" si="0"/>
        <v>2042</v>
      </c>
      <c r="AZ7" s="10">
        <f t="shared" si="0"/>
        <v>2043</v>
      </c>
      <c r="BA7" s="10">
        <f t="shared" si="0"/>
        <v>2044</v>
      </c>
      <c r="BB7" s="10">
        <f t="shared" si="0"/>
        <v>2045</v>
      </c>
      <c r="BC7" s="10">
        <f t="shared" si="0"/>
        <v>2046</v>
      </c>
      <c r="BD7" s="10">
        <f t="shared" si="0"/>
        <v>2047</v>
      </c>
      <c r="BE7" s="10">
        <f t="shared" si="0"/>
        <v>2048</v>
      </c>
      <c r="BF7" s="10">
        <f t="shared" si="0"/>
        <v>2049</v>
      </c>
      <c r="BG7" s="10">
        <f t="shared" si="0"/>
        <v>2050</v>
      </c>
    </row>
    <row r="8" spans="1:59" s="10" customFormat="1">
      <c r="A8" s="10">
        <v>1</v>
      </c>
      <c r="B8" s="10" t="s">
        <v>51</v>
      </c>
      <c r="D8" s="10" t="s">
        <v>33</v>
      </c>
      <c r="E8" s="10" t="s">
        <v>34</v>
      </c>
      <c r="F8" s="10">
        <v>0</v>
      </c>
      <c r="G8" s="10">
        <v>0</v>
      </c>
      <c r="H8" s="10">
        <v>0</v>
      </c>
      <c r="I8" s="10">
        <v>0</v>
      </c>
      <c r="J8" s="10">
        <v>100</v>
      </c>
      <c r="K8" s="10">
        <v>-1</v>
      </c>
      <c r="L8" s="10">
        <v>-1</v>
      </c>
      <c r="M8" s="10">
        <v>-1</v>
      </c>
      <c r="N8" s="10">
        <v>-1</v>
      </c>
      <c r="O8" s="10">
        <v>-1</v>
      </c>
      <c r="P8" s="10">
        <v>-1</v>
      </c>
      <c r="Q8" s="10">
        <v>-1</v>
      </c>
      <c r="R8" s="10">
        <v>-1</v>
      </c>
      <c r="S8" s="10">
        <v>-1</v>
      </c>
      <c r="T8" s="10">
        <v>-1</v>
      </c>
      <c r="U8" s="10">
        <v>-1</v>
      </c>
      <c r="V8" s="10">
        <v>-1</v>
      </c>
      <c r="W8" s="10">
        <v>-1</v>
      </c>
      <c r="X8" s="10">
        <v>-1</v>
      </c>
      <c r="Y8" s="10">
        <v>-1</v>
      </c>
      <c r="Z8" s="10" t="str">
        <f>B8</f>
        <v>Run0</v>
      </c>
    </row>
    <row r="9" spans="1:59" s="10" customFormat="1">
      <c r="A9" s="10">
        <v>0</v>
      </c>
      <c r="B9" s="10" t="s">
        <v>37</v>
      </c>
      <c r="D9" s="10" t="s">
        <v>33</v>
      </c>
      <c r="E9" s="10" t="s">
        <v>50</v>
      </c>
      <c r="F9" s="10">
        <v>0</v>
      </c>
      <c r="G9" s="10">
        <v>0</v>
      </c>
      <c r="H9" s="10">
        <v>0</v>
      </c>
      <c r="I9" s="10">
        <v>0</v>
      </c>
      <c r="J9" s="10">
        <v>100</v>
      </c>
      <c r="K9" s="10">
        <v>-1</v>
      </c>
      <c r="L9" s="10">
        <v>-1</v>
      </c>
      <c r="M9" s="10">
        <v>-1</v>
      </c>
      <c r="N9" s="10">
        <v>-1</v>
      </c>
      <c r="O9" s="10">
        <v>-1</v>
      </c>
      <c r="P9" s="10">
        <v>-1</v>
      </c>
      <c r="Q9" s="10">
        <v>-1</v>
      </c>
      <c r="R9" s="10">
        <v>-1</v>
      </c>
      <c r="S9" s="10">
        <v>-1</v>
      </c>
      <c r="T9" s="10">
        <v>-1</v>
      </c>
      <c r="U9" s="10">
        <v>-1</v>
      </c>
      <c r="V9" s="10">
        <v>-1</v>
      </c>
      <c r="W9" s="10">
        <v>-1</v>
      </c>
      <c r="X9" s="10">
        <v>-1</v>
      </c>
      <c r="Y9" s="10">
        <v>-1</v>
      </c>
      <c r="Z9" s="10" t="str">
        <f t="shared" ref="Z9:Z10" si="1">B9</f>
        <v>Run1</v>
      </c>
    </row>
    <row r="10" spans="1:59" s="10" customFormat="1">
      <c r="A10" s="10">
        <v>0</v>
      </c>
      <c r="B10" s="10" t="s">
        <v>52</v>
      </c>
      <c r="D10" s="10" t="s">
        <v>33</v>
      </c>
      <c r="E10" s="10" t="s">
        <v>34</v>
      </c>
      <c r="F10" s="10">
        <v>0</v>
      </c>
      <c r="G10" s="10">
        <v>0</v>
      </c>
      <c r="H10" s="10">
        <v>0</v>
      </c>
      <c r="I10" s="10">
        <v>0</v>
      </c>
      <c r="J10" s="10">
        <v>100</v>
      </c>
      <c r="K10" s="10">
        <v>-1</v>
      </c>
      <c r="L10" s="10">
        <v>-1</v>
      </c>
      <c r="M10" s="10">
        <v>-1</v>
      </c>
      <c r="N10" s="10">
        <v>-1</v>
      </c>
      <c r="O10" s="10">
        <v>-1</v>
      </c>
      <c r="P10" s="10">
        <v>-1</v>
      </c>
      <c r="Q10" s="10">
        <v>-1</v>
      </c>
      <c r="R10" s="10">
        <v>-1</v>
      </c>
      <c r="S10" s="10">
        <v>-1</v>
      </c>
      <c r="T10" s="10">
        <v>-1</v>
      </c>
      <c r="U10" s="10">
        <v>-1</v>
      </c>
      <c r="V10" s="10">
        <v>-1</v>
      </c>
      <c r="W10" s="10">
        <v>-1</v>
      </c>
      <c r="X10" s="10">
        <v>-1</v>
      </c>
      <c r="Y10" s="10">
        <v>-1</v>
      </c>
      <c r="Z10" s="10" t="str">
        <f t="shared" si="1"/>
        <v>Run3</v>
      </c>
    </row>
  </sheetData>
  <mergeCells count="2">
    <mergeCell ref="K3:X3"/>
    <mergeCell ref="AA3:AN3"/>
  </mergeCells>
  <conditionalFormatting sqref="A5">
    <cfRule type="expression" dxfId="1" priority="567">
      <formula>SUM($A$8:$A$10)&gt;4</formula>
    </cfRule>
    <cfRule type="expression" dxfId="0" priority="568">
      <formula>SUM($A$8:$A$10)&lt;1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  <sheetView workbookViewId="1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dimension ref="C1:D69"/>
  <sheetViews>
    <sheetView tabSelected="1" workbookViewId="0">
      <selection activeCell="C12" sqref="C12"/>
    </sheetView>
    <sheetView tabSelected="1" topLeftCell="A31" workbookViewId="1">
      <selection activeCell="D40" sqref="D40"/>
    </sheetView>
  </sheetViews>
  <sheetFormatPr defaultRowHeight="15"/>
  <cols>
    <col min="3" max="3" width="68.140625" bestFit="1" customWidth="1"/>
  </cols>
  <sheetData>
    <row r="1" spans="3:4" s="10" customFormat="1">
      <c r="C1" s="2" t="s">
        <v>120</v>
      </c>
      <c r="D1" s="2" t="s">
        <v>115</v>
      </c>
    </row>
    <row r="2" spans="3:4" s="10" customFormat="1">
      <c r="C2" s="2" t="s">
        <v>117</v>
      </c>
    </row>
    <row r="3" spans="3:4" s="10" customFormat="1">
      <c r="C3" s="10" t="s">
        <v>119</v>
      </c>
      <c r="D3" s="10" t="s">
        <v>116</v>
      </c>
    </row>
    <row r="4" spans="3:4" s="10" customFormat="1">
      <c r="C4" s="10" t="s">
        <v>118</v>
      </c>
      <c r="D4" s="10" t="s">
        <v>116</v>
      </c>
    </row>
    <row r="5" spans="3:4" s="10" customFormat="1">
      <c r="C5" s="10" t="s">
        <v>121</v>
      </c>
    </row>
    <row r="6" spans="3:4" s="10" customFormat="1">
      <c r="C6" s="10" t="s">
        <v>123</v>
      </c>
    </row>
    <row r="7" spans="3:4" s="10" customFormat="1"/>
    <row r="8" spans="3:4">
      <c r="C8" s="2" t="s">
        <v>104</v>
      </c>
    </row>
    <row r="9" spans="3:4">
      <c r="C9" t="s">
        <v>103</v>
      </c>
    </row>
    <row r="11" spans="3:4">
      <c r="C11" s="2" t="s">
        <v>124</v>
      </c>
    </row>
    <row r="12" spans="3:4">
      <c r="C12" t="s">
        <v>77</v>
      </c>
    </row>
    <row r="14" spans="3:4">
      <c r="C14" s="2" t="s">
        <v>78</v>
      </c>
    </row>
    <row r="15" spans="3:4">
      <c r="C15" t="s">
        <v>79</v>
      </c>
    </row>
    <row r="16" spans="3:4">
      <c r="C16" t="s">
        <v>80</v>
      </c>
    </row>
    <row r="17" spans="3:4">
      <c r="C17" t="s">
        <v>81</v>
      </c>
    </row>
    <row r="18" spans="3:4">
      <c r="C18" t="s">
        <v>91</v>
      </c>
    </row>
    <row r="19" spans="3:4">
      <c r="C19" t="s">
        <v>102</v>
      </c>
    </row>
    <row r="20" spans="3:4">
      <c r="C20" t="s">
        <v>106</v>
      </c>
    </row>
    <row r="21" spans="3:4">
      <c r="C21" t="s">
        <v>122</v>
      </c>
    </row>
    <row r="23" spans="3:4">
      <c r="C23" s="2" t="s">
        <v>82</v>
      </c>
    </row>
    <row r="24" spans="3:4">
      <c r="C24" t="s">
        <v>83</v>
      </c>
    </row>
    <row r="25" spans="3:4">
      <c r="C25" t="s">
        <v>84</v>
      </c>
    </row>
    <row r="26" spans="3:4">
      <c r="C26" t="s">
        <v>90</v>
      </c>
    </row>
    <row r="29" spans="3:4">
      <c r="C29" s="2" t="s">
        <v>85</v>
      </c>
    </row>
    <row r="30" spans="3:4">
      <c r="C30" t="s">
        <v>86</v>
      </c>
    </row>
    <row r="31" spans="3:4">
      <c r="C31" t="s">
        <v>110</v>
      </c>
      <c r="D31" t="s">
        <v>116</v>
      </c>
    </row>
    <row r="32" spans="3:4" s="10" customFormat="1">
      <c r="C32" s="10" t="s">
        <v>111</v>
      </c>
      <c r="D32" s="10" t="s">
        <v>116</v>
      </c>
    </row>
    <row r="33" spans="3:4" s="10" customFormat="1"/>
    <row r="34" spans="3:4">
      <c r="C34" s="2" t="s">
        <v>89</v>
      </c>
    </row>
    <row r="35" spans="3:4">
      <c r="C35" t="s">
        <v>87</v>
      </c>
    </row>
    <row r="36" spans="3:4">
      <c r="C36" t="s">
        <v>88</v>
      </c>
    </row>
    <row r="39" spans="3:4">
      <c r="C39" s="2" t="s">
        <v>112</v>
      </c>
    </row>
    <row r="40" spans="3:4">
      <c r="C40" t="s">
        <v>105</v>
      </c>
    </row>
    <row r="41" spans="3:4">
      <c r="C41" t="s">
        <v>113</v>
      </c>
      <c r="D41" t="s">
        <v>116</v>
      </c>
    </row>
    <row r="42" spans="3:4">
      <c r="C42" t="s">
        <v>114</v>
      </c>
    </row>
    <row r="44" spans="3:4">
      <c r="C44" s="2" t="s">
        <v>43</v>
      </c>
    </row>
    <row r="45" spans="3:4">
      <c r="C45" t="s">
        <v>94</v>
      </c>
    </row>
    <row r="46" spans="3:4">
      <c r="C46" t="s">
        <v>92</v>
      </c>
    </row>
    <row r="47" spans="3:4">
      <c r="C47" t="s">
        <v>93</v>
      </c>
    </row>
    <row r="50" spans="3:3">
      <c r="C50" s="2" t="s">
        <v>95</v>
      </c>
    </row>
    <row r="51" spans="3:3">
      <c r="C51" s="10" t="s">
        <v>97</v>
      </c>
    </row>
    <row r="52" spans="3:3">
      <c r="C52" s="10" t="s">
        <v>92</v>
      </c>
    </row>
    <row r="53" spans="3:3">
      <c r="C53" s="10" t="s">
        <v>93</v>
      </c>
    </row>
    <row r="56" spans="3:3">
      <c r="C56" s="2" t="s">
        <v>96</v>
      </c>
    </row>
    <row r="57" spans="3:3">
      <c r="C57" s="10" t="s">
        <v>98</v>
      </c>
    </row>
    <row r="58" spans="3:3">
      <c r="C58" s="10" t="s">
        <v>92</v>
      </c>
    </row>
    <row r="59" spans="3:3">
      <c r="C59" s="10" t="s">
        <v>93</v>
      </c>
    </row>
    <row r="62" spans="3:3">
      <c r="C62" s="2" t="s">
        <v>99</v>
      </c>
    </row>
    <row r="63" spans="3:3">
      <c r="C63" t="s">
        <v>100</v>
      </c>
    </row>
    <row r="64" spans="3:3">
      <c r="C64" t="s">
        <v>101</v>
      </c>
    </row>
    <row r="67" spans="3:3">
      <c r="C67" s="2" t="s">
        <v>107</v>
      </c>
    </row>
    <row r="68" spans="3:3">
      <c r="C68" t="s">
        <v>108</v>
      </c>
    </row>
    <row r="69" spans="3:3">
      <c r="C69" t="s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2020-07-16T11:37:28Z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