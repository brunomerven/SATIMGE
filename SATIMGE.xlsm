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021CD911-C629-4712-B92E-96A4EDCCCDDA}" xr6:coauthVersionLast="45" xr6:coauthVersionMax="45" xr10:uidLastSave="{00000000-0000-0000-0000-000000000000}"/>
  <bookViews>
    <workbookView xWindow="30" yWindow="0" windowWidth="28770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92" r:id="rId9"/>
    <pivotCache cacheId="29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1" i="4" l="1"/>
  <c r="K30" i="33" l="1"/>
  <c r="L30" i="33"/>
  <c r="M30" i="33"/>
  <c r="N30" i="33"/>
  <c r="O30" i="33"/>
  <c r="Q30" i="33"/>
  <c r="Q29" i="33" l="1"/>
  <c r="O29" i="33"/>
  <c r="N29" i="33"/>
  <c r="M29" i="33"/>
  <c r="L29" i="33"/>
  <c r="K29" i="33"/>
  <c r="Q28" i="33" l="1"/>
  <c r="O28" i="33"/>
  <c r="N28" i="33"/>
  <c r="M28" i="33"/>
  <c r="L28" i="33"/>
  <c r="K28" i="33"/>
  <c r="Q19" i="33" l="1"/>
  <c r="O19" i="33"/>
  <c r="N19" i="33"/>
  <c r="M19" i="33"/>
  <c r="L19" i="33"/>
  <c r="K19" i="33"/>
  <c r="K27" i="33"/>
  <c r="L27" i="33"/>
  <c r="M27" i="33"/>
  <c r="N27" i="33"/>
  <c r="O27" i="33"/>
  <c r="Q27" i="33"/>
  <c r="K18" i="33"/>
  <c r="L18" i="33"/>
  <c r="M18" i="33"/>
  <c r="N18" i="33"/>
  <c r="O18" i="33"/>
  <c r="Q18" i="33"/>
  <c r="K26" i="33"/>
  <c r="L26" i="33"/>
  <c r="M26" i="33"/>
  <c r="N26" i="33"/>
  <c r="O26" i="33"/>
  <c r="Q26" i="33"/>
  <c r="K25" i="33"/>
  <c r="L25" i="33"/>
  <c r="M25" i="33"/>
  <c r="N25" i="33"/>
  <c r="O25" i="33"/>
  <c r="Q25" i="33"/>
  <c r="K17" i="33" l="1"/>
  <c r="L17" i="33"/>
  <c r="M17" i="33"/>
  <c r="N17" i="33"/>
  <c r="O17" i="33"/>
  <c r="Q17" i="33"/>
  <c r="K16" i="33" l="1"/>
  <c r="L16" i="33"/>
  <c r="M16" i="33"/>
  <c r="N16" i="33"/>
  <c r="O16" i="33"/>
  <c r="Q16" i="33"/>
  <c r="K15" i="33"/>
  <c r="L15" i="33"/>
  <c r="M15" i="33"/>
  <c r="N15" i="33"/>
  <c r="O15" i="33"/>
  <c r="Q15" i="33"/>
  <c r="Q22" i="33" l="1"/>
  <c r="O22" i="33"/>
  <c r="N22" i="33"/>
  <c r="M22" i="33"/>
  <c r="L22" i="33"/>
  <c r="K22" i="33"/>
  <c r="Q23" i="33"/>
  <c r="O23" i="33"/>
  <c r="N23" i="33"/>
  <c r="M23" i="33"/>
  <c r="L23" i="33"/>
  <c r="K23" i="33"/>
  <c r="Q9" i="33" l="1"/>
  <c r="O9" i="33"/>
  <c r="N9" i="33"/>
  <c r="M9" i="33"/>
  <c r="L9" i="33"/>
  <c r="K9" i="33"/>
  <c r="L11" i="33" l="1"/>
  <c r="C15" i="4" l="1"/>
  <c r="C14" i="4"/>
  <c r="Q11" i="33" l="1"/>
  <c r="O11" i="33"/>
  <c r="N11" i="33"/>
  <c r="M11" i="33"/>
  <c r="K11" i="33"/>
  <c r="Q10" i="33" l="1"/>
  <c r="O10" i="33"/>
  <c r="N10" i="33"/>
  <c r="M10" i="33"/>
  <c r="L10" i="33"/>
  <c r="K10" i="33"/>
  <c r="B1" i="33" a="1"/>
  <c r="B1" i="33" s="1"/>
  <c r="K14" i="33" l="1"/>
  <c r="L14" i="33"/>
  <c r="M14" i="33"/>
  <c r="N14" i="33"/>
  <c r="O14" i="33"/>
  <c r="K21" i="33"/>
  <c r="L21" i="33"/>
  <c r="M21" i="33"/>
  <c r="N21" i="33"/>
  <c r="O21" i="33"/>
  <c r="K24" i="33"/>
  <c r="L24" i="33"/>
  <c r="M24" i="33"/>
  <c r="N24" i="33"/>
  <c r="O24" i="33"/>
  <c r="Q13" i="33"/>
  <c r="Q20" i="33"/>
  <c r="Q12" i="33"/>
  <c r="Q14" i="33"/>
  <c r="Q21" i="33"/>
  <c r="Q24" i="33"/>
  <c r="H13" i="33" l="1"/>
  <c r="H8" i="33"/>
  <c r="K8" i="33" s="1"/>
  <c r="O8" i="33" l="1"/>
  <c r="N8" i="33"/>
  <c r="M8" i="33"/>
  <c r="L8" i="33"/>
  <c r="O13" i="33"/>
  <c r="H20" i="33"/>
  <c r="M13" i="33"/>
  <c r="K13" i="33"/>
  <c r="L13" i="33"/>
  <c r="N13" i="33"/>
  <c r="C20" i="4"/>
  <c r="K20" i="33" l="1"/>
  <c r="M20" i="33"/>
  <c r="N20" i="33"/>
  <c r="H12" i="33"/>
  <c r="O20" i="33"/>
  <c r="L20" i="33"/>
  <c r="C10" i="4"/>
  <c r="L12" i="33" l="1"/>
  <c r="M12" i="33"/>
  <c r="N12" i="33"/>
  <c r="O12" i="33"/>
  <c r="K12" i="33"/>
  <c r="AE7" i="5"/>
  <c r="AE8" i="5" s="1"/>
  <c r="AE9" i="5" s="1"/>
  <c r="AE10" i="5" s="1"/>
  <c r="AE11" i="5" s="1"/>
  <c r="AE12" i="5" s="1"/>
  <c r="AE13" i="5" s="1"/>
  <c r="C9" i="4"/>
  <c r="C13" i="4" l="1"/>
  <c r="C19" i="4" l="1"/>
  <c r="C18" i="4"/>
  <c r="C17" i="4" l="1"/>
  <c r="C16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<sst xmlns="http://schemas.openxmlformats.org/spreadsheetml/2006/main" count="696" uniqueCount="250">
  <si>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</si>
  <si>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</si>
  <si>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</si>
  <si>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</si>
  <si>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</si>
  <si>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</si>
  <si>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</si>
  <si>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</si>
  <si>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</si>
  <si>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</si>
  <si>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</si>
  <si>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</si>
  <si>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</si>
  <si>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</si>
  <si>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</si>
  <si>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</si>
  <si>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</si>
  <si>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</si>
  <si>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</si>
  <si>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</si>
  <si>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</si>
  <si>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</si>
  <si>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</si>
  <si>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</si>
  <si>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</si>
  <si>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</si>
  <si>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</si>
  <si>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</si>
  <si>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</si>
  <si>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</si>
  <si>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</si>
  <si>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</si>
  <si>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</si>
  <si>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</si>
  <si>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</si>
  <si>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</si>
  <si>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</si>
  <si>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</si>
  <si>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</si>
  <si>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</si>
  <si>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</si>
  <si>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</si>
  <si>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</si>
  <si>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</si>
  <si>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</si>
  <si>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</si>
  <si>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</si>
  <si>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</si>
  <si>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</si>
  <si>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</si>
  <si>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</si>
  <si>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</si>
  <si>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</si>
  <si>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</si>
  <si>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</si>
  <si>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</si>
  <si>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</si>
  <si>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</si>
  <si>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</si>
  <si>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</si>
  <si>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</si>
  <si>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</si>
  <si>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</si>
  <si>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</si>
  <si>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</si>
  <si>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</si>
  <si>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</si>
  <si>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</si>
  <si>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</si>
  <si>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</si>
  <si>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</si>
  <si>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</si>
  <si>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</si>
  <si>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</si>
  <si>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</si>
  <si>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</si>
  <si>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</si>
  <si>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</si>
  <si>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</si>
  <si>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</si>
  <si>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</si>
  <si>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</si>
  <si>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</si>
  <si>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</si>
  <si>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</si>
  <si>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</si>
  <si>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</si>
  <si>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</si>
  <si>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</si>
  <si>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</si>
  <si>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</si>
  <si>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</si>
  <si>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</si>
  <si>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</si>
  <si>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</si>
  <si>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</si>
  <si>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</si>
  <si>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</si>
  <si>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</si>
  <si>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</si>
  <si>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</si>
  <si>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</si>
  <si>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</si>
  <si>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</si>
  <si>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</si>
  <si>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</si>
  <si>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</si>
  <si>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</si>
  <si>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</si>
  <si>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</si>
  <si>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</si>
  <si>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</si>
  <si>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</si>
  <si>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</si>
  <si>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</si>
  <si>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</si>
  <si>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</si>
  <si>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</si>
  <si>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</si>
  <si>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</si>
  <si>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</si>
  <si>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</si>
  <si>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</si>
  <si>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</si>
  <si>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</si>
  <si>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</si>
  <si>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</si>
  <si>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</si>
  <si>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</si>
  <si>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</si>
  <si>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</si>
  <si>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</si>
  <si>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</si>
  <si>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</si>
  <si>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</si>
  <si>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</si>
  <si>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</si>
  <si>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</si>
  <si>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</si>
  <si>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</si>
  <si>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</si>
  <si>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</si>
  <si>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</si>
  <si>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</si>
  <si>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</si>
  <si>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</si>
  <si>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</si>
  <si>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</si>
  <si>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</si>
  <si>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</si>
  <si>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</si>
  <si>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</si>
  <si>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</si>
  <si>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</si>
  <si>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</si>
  <si>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</si>
  <si>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</si>
  <si>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</si>
  <si>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</si>
  <si>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</si>
  <si>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</si>
  <si>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</si>
  <si>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</si>
  <si>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</si>
  <si>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</si>
  <si>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</si>
  <si>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</si>
  <si>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</si>
  <si>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</si>
  <si>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</si>
  <si>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</si>
  <si>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</si>
  <si>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</si>
  <si>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</si>
  <si>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</si>
  <si>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</si>
  <si>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</si>
  <si>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</si>
  <si>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</si>
  <si>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RUNCENTRAL2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</si>
  <si>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</si>
  <si>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</si>
  <si>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</si>
  <si>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</si>
  <si>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</si>
  <si>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</si>
  <si>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</si>
  <si>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</si>
  <si>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</si>
  <si>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</si>
  <si>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</si>
  <si>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</si>
  <si>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</si>
  <si>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</si>
  <si>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</si>
  <si>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</si>
  <si>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(blank)</t>
  </si>
  <si>
    <t>NoPAMS</t>
  </si>
  <si>
    <t>CPAMS-TrGr</t>
  </si>
  <si>
    <t>HiPam</t>
  </si>
  <si>
    <t>HPAMSIRP</t>
  </si>
  <si>
    <t>NOPAMS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</si>
  <si>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</si>
  <si>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</si>
  <si>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</si>
  <si>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</si>
  <si>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</si>
  <si>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</si>
  <si>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</si>
  <si>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</si>
  <si>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CPAMSNOIRP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</si>
  <si>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</si>
  <si>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</si>
  <si>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</si>
  <si>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</si>
  <si>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</si>
  <si>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</si>
  <si>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</si>
  <si>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</si>
  <si>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</si>
  <si>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</si>
  <si>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</si>
  <si>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</si>
  <si>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</si>
  <si>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</si>
  <si>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</si>
  <si>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</si>
  <si>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</si>
  <si>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</si>
  <si>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</si>
  <si>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</si>
  <si>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</si>
  <si>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</si>
  <si>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</si>
  <si>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</si>
  <si>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</si>
  <si>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</si>
  <si>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</si>
  <si>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NoPAMS-TrGr</t>
  </si>
  <si>
    <t>NoPAMS-LEAF-TrGr</t>
  </si>
  <si>
    <t>CPAMS-LEAF-TrGr</t>
  </si>
  <si>
    <t>NoPAMS-LOP</t>
  </si>
  <si>
    <t>NOPAMSLOP</t>
  </si>
  <si>
    <t>NoPAMS-IRP</t>
  </si>
  <si>
    <t>NOPAMSIRP</t>
  </si>
  <si>
    <t>NoPAMS-CAP10</t>
  </si>
  <si>
    <t>NOPAMSCAP</t>
  </si>
  <si>
    <t>CO2 Cumulative Cap (SIM_CO2CUMUL)</t>
  </si>
  <si>
    <t>Sum of CO2 CumCap</t>
  </si>
  <si>
    <t>SIM_CO2CUMUL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</si>
</sst>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  <xf numFmtId="0" fontId="35" fillId="0" borderId="0" xfId="0" pivotButton="1" applyFont="1"/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113.459270370367" createdVersion="6" refreshedVersion="6" minRefreshableVersion="3" recordCount="24" xr:uid="{D229C3DF-142A-4D15-BB2C-2EA205AB0203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52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m/>
        <s v="CPAMS-HiGr" u="1"/>
        <s v="TrGr-NoPams" u="1"/>
        <s v="CPAMS-TrGr-REProg" u="1"/>
        <s v="CPAMS-LEAF-ND" u="1"/>
        <s v="CentralPAMSnoCoal" u="1"/>
        <s v="CPAMS-HIGrREProg" u="1"/>
        <s v="LoPAMS-FrcdCoal" u="1"/>
        <s v="NoPAMSForcedCoal" u="1"/>
        <s v="NoPAMS-LowEAF-ND" u="1"/>
        <s v="NoPAMS-HiGr-FcdCoal" u="1"/>
        <s v="Run0" u="1"/>
        <s v="NoPAMS-LEAF-TrGr-ND" u="1"/>
        <s v="CPAMS-REProg" u="1"/>
        <s v="HiPam-REProg" u="1"/>
        <s v="Test" u="1"/>
        <s v="NoPAMS_ND" u="1"/>
        <s v="CentralPAMS" u="1"/>
        <s v="LoPAMS-MRE" u="1"/>
        <s v="TrGr-NoPam" u="1"/>
        <s v="CPAMS-RE-LEAF-ND" u="1"/>
        <s v="NoPAMS-HiGr" u="1"/>
        <s v="NoPAMS-LEAF-ND" u="1"/>
        <s v="NoPAMS_LowEAF" u="1"/>
        <s v="NoPAMS-ND" u="1"/>
        <s v="CPAMS-LEAF-TrGr-ND" u="1"/>
        <s v="NoPAMS_LowEAF_ND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1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113.459270486113" createdVersion="6" refreshedVersion="6" minRefreshableVersion="3" recordCount="24" xr:uid="{C0EB43E8-6CC6-4DE4-B7F1-02B09F7BA69A}">
  <cacheSource type="worksheet">
    <worksheetSource ref="A7:P10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49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m/>
        <s v="CPAMS-HiGr" u="1"/>
        <s v="TrGr-NoPams" u="1"/>
        <s v="CPAMS-TrGr-REProg" u="1"/>
        <s v="CPAMS-LEAF-ND" u="1"/>
        <s v="CPAMS-HIGrREProg" u="1"/>
        <s v="LoPAMS-FrcdCoal" u="1"/>
        <s v="NoPAMS-LowEAF-ND" u="1"/>
        <s v="NoPAMS-HiGr-FcdCoal" u="1"/>
        <s v="Run0" u="1"/>
        <s v="NoPAMS-LEAF-TrGr-ND" u="1"/>
        <s v="CPAMS-REProg" u="1"/>
        <s v="HiPam-REProg" u="1"/>
        <s v="Test" u="1"/>
        <s v="NoPAMS_ND" u="1"/>
        <s v="LoPAMS-MRE" u="1"/>
        <s v="TrGr-NoPam" u="1"/>
        <s v="CPAMS-RE-LEAF-ND" u="1"/>
        <s v="NoPAMS-HiGr" u="1"/>
        <s v="NoPAMS-LEAF-ND" u="1"/>
        <s v="NoPAMS_LowEAF" u="1"/>
        <s v="NoPAMS-ND" u="1"/>
        <s v="CPAMS-LEAF-TrGr-ND" u="1"/>
        <s v="NoPAMS_LowEAF_ND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34">
        <s v="NOPAMS"/>
        <s v="LPAMS"/>
        <s v="CPAMSNOIRP"/>
        <s v="CPAMSMRE"/>
        <s v="CPAMSRE"/>
        <s v="CPAMSIRP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s v="NOPAMSLOP"/>
        <s v="NOPAMSIRP"/>
        <s v="NOPAMSCAP"/>
        <m/>
        <s v="LPAMSFC" u="1"/>
        <s v="CPAMSREPROGHG" u="1"/>
        <s v="NOPAMSFCHG" u="1"/>
        <s v="CPAMSREPROGTG" u="1"/>
        <s v="CPAMSREPROG" u="1"/>
        <s v="NOPAMSFC" u="1"/>
        <s v="RUNCOAL" u="1"/>
        <s v="NOPAMSCAP10" u="1"/>
        <s v="HPAMSREPROG" u="1"/>
        <s v="LPAMSMRE" u="1"/>
        <s v="RUNZERO" u="1"/>
        <s v="LPAMSMREP" u="1"/>
        <s v="CPAMSREPROTG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1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0"/>
    <x v="0"/>
    <s v="yes tested"/>
    <s v="base"/>
    <s v="NOPAMS"/>
    <n v="1"/>
    <n v="1"/>
    <s v="No Pams"/>
    <n v="1"/>
    <n v="1"/>
    <n v="-1"/>
    <n v="-1"/>
    <n v="-1"/>
    <n v="1"/>
    <n v="-1"/>
    <m/>
  </r>
  <r>
    <n v="0"/>
    <x v="1"/>
    <s v="yes tested"/>
    <s v="base"/>
    <s v="LPAMS"/>
    <n v="1"/>
    <n v="1"/>
    <s v="Lim Pams"/>
    <n v="1"/>
    <n v="1"/>
    <n v="2"/>
    <n v="2"/>
    <n v="2"/>
    <n v="1"/>
    <n v="2"/>
    <m/>
  </r>
  <r>
    <n v="0"/>
    <x v="2"/>
    <s v="yes tested"/>
    <s v="base"/>
    <s v="CPAMSNOIRP"/>
    <n v="1"/>
    <n v="1"/>
    <s v="Base Pams"/>
    <n v="1"/>
    <n v="1"/>
    <n v="2"/>
    <n v="2"/>
    <n v="1"/>
    <n v="2"/>
    <n v="1"/>
    <m/>
  </r>
  <r>
    <n v="0"/>
    <x v="3"/>
    <s v="yes tested"/>
    <s v="base"/>
    <s v="CPAMSMRE"/>
    <n v="1"/>
    <n v="1"/>
    <s v="Base Pams"/>
    <n v="1"/>
    <n v="1"/>
    <n v="2"/>
    <n v="2"/>
    <n v="1"/>
    <n v="2"/>
    <n v="1"/>
    <m/>
  </r>
  <r>
    <n v="0"/>
    <x v="4"/>
    <s v="yes tested"/>
    <s v="base"/>
    <s v="CPAMSRE"/>
    <n v="1"/>
    <n v="1"/>
    <s v="Base Pams"/>
    <n v="1"/>
    <n v="1"/>
    <n v="2"/>
    <n v="2"/>
    <n v="1"/>
    <n v="2"/>
    <n v="1"/>
    <m/>
  </r>
  <r>
    <n v="0"/>
    <x v="5"/>
    <s v="yes tested"/>
    <s v="base"/>
    <s v="CPAMSIRP"/>
    <n v="1"/>
    <n v="1"/>
    <s v="Base Pams"/>
    <n v="1"/>
    <n v="1"/>
    <n v="2"/>
    <n v="2"/>
    <n v="1"/>
    <n v="2"/>
    <n v="1"/>
    <m/>
  </r>
  <r>
    <n v="0"/>
    <x v="6"/>
    <s v="yes tested"/>
    <s v="base"/>
    <s v="HPAMSIRP"/>
    <n v="1"/>
    <n v="1"/>
    <s v="Ambitious Pams"/>
    <n v="1"/>
    <n v="1"/>
    <n v="1"/>
    <n v="1"/>
    <n v="3"/>
    <n v="3"/>
    <n v="3"/>
    <m/>
  </r>
  <r>
    <n v="0"/>
    <x v="7"/>
    <s v="yes tested"/>
    <s v="base"/>
    <s v="NOPAMS_NDP"/>
    <n v="1"/>
    <n v="0"/>
    <s v="No Pams"/>
    <n v="1"/>
    <n v="1"/>
    <n v="-1"/>
    <n v="-1"/>
    <n v="-1"/>
    <n v="1"/>
    <n v="-1"/>
    <m/>
  </r>
  <r>
    <n v="0"/>
    <x v="8"/>
    <s v="yes tested"/>
    <s v="base"/>
    <s v="CPAMS_NDP"/>
    <n v="1"/>
    <n v="0"/>
    <s v="Base Pams"/>
    <n v="1"/>
    <n v="1"/>
    <n v="2"/>
    <n v="2"/>
    <n v="1"/>
    <n v="2"/>
    <n v="1"/>
    <m/>
  </r>
  <r>
    <n v="0"/>
    <x v="9"/>
    <s v="yes tested"/>
    <s v="base"/>
    <s v="NOPAMS_LEAF"/>
    <n v="1"/>
    <n v="1"/>
    <s v="No Pams"/>
    <n v="1"/>
    <n v="1"/>
    <n v="-1"/>
    <n v="-1"/>
    <n v="-1"/>
    <n v="1"/>
    <n v="-1"/>
    <m/>
  </r>
  <r>
    <n v="0"/>
    <x v="10"/>
    <s v="yes tested"/>
    <s v="base"/>
    <s v="CPAMS_LEAF"/>
    <n v="1"/>
    <n v="1"/>
    <s v="Base Pams"/>
    <n v="1"/>
    <n v="1"/>
    <n v="2"/>
    <n v="2"/>
    <n v="1"/>
    <n v="2"/>
    <n v="1"/>
    <m/>
  </r>
  <r>
    <n v="0"/>
    <x v="11"/>
    <s v="yes tested"/>
    <s v="base"/>
    <s v="CPAMSRE_LEAF"/>
    <n v="1"/>
    <n v="1"/>
    <s v="Base Pams"/>
    <n v="1"/>
    <n v="1"/>
    <n v="2"/>
    <n v="2"/>
    <n v="1"/>
    <n v="2"/>
    <n v="1"/>
    <m/>
  </r>
  <r>
    <n v="0"/>
    <x v="12"/>
    <s v="yes tested"/>
    <s v="sim1"/>
    <s v="CPAMSIRPTG"/>
    <n v="1"/>
    <n v="1"/>
    <s v="Base Pams"/>
    <n v="1"/>
    <n v="1"/>
    <n v="2"/>
    <n v="2"/>
    <n v="1"/>
    <n v="2"/>
    <n v="1"/>
    <m/>
  </r>
  <r>
    <n v="0"/>
    <x v="13"/>
    <s v="yes tested"/>
    <s v="sim1"/>
    <s v="CPAMSRETG"/>
    <n v="1"/>
    <n v="1"/>
    <s v="Base Pams"/>
    <n v="1"/>
    <n v="1"/>
    <n v="2"/>
    <n v="2"/>
    <n v="1"/>
    <n v="2"/>
    <n v="1"/>
    <m/>
  </r>
  <r>
    <n v="0"/>
    <x v="14"/>
    <s v="yes tested"/>
    <s v="sim1"/>
    <s v="CPAMSMRETG"/>
    <n v="1"/>
    <n v="1"/>
    <s v="Base Pams"/>
    <n v="1"/>
    <n v="1"/>
    <n v="2"/>
    <n v="2"/>
    <n v="1"/>
    <n v="2"/>
    <n v="1"/>
    <m/>
  </r>
  <r>
    <n v="0"/>
    <x v="15"/>
    <s v="yes tested"/>
    <s v="sim1"/>
    <s v="LPAMSMRETG"/>
    <n v="1"/>
    <n v="1"/>
    <s v="Lim Pams"/>
    <n v="1"/>
    <n v="1"/>
    <n v="2"/>
    <n v="2"/>
    <n v="2"/>
    <n v="1"/>
    <n v="2"/>
    <m/>
  </r>
  <r>
    <n v="0"/>
    <x v="16"/>
    <s v="yes tested"/>
    <s v="sim1"/>
    <s v="NOPAMSFCTG"/>
    <n v="1"/>
    <n v="1"/>
    <s v="No Pams"/>
    <n v="1"/>
    <n v="1"/>
    <n v="-1"/>
    <n v="-1"/>
    <n v="-1"/>
    <n v="1"/>
    <n v="-1"/>
    <m/>
  </r>
  <r>
    <n v="0"/>
    <x v="17"/>
    <s v="yes tested"/>
    <s v="sim1"/>
    <s v="NOPAMS"/>
    <n v="1"/>
    <n v="1"/>
    <s v="No Pams"/>
    <n v="1"/>
    <n v="1"/>
    <n v="-1"/>
    <n v="-1"/>
    <n v="-1"/>
    <n v="1"/>
    <n v="-1"/>
    <m/>
  </r>
  <r>
    <n v="0"/>
    <x v="18"/>
    <s v="yes tested"/>
    <s v="sim1"/>
    <s v="NOPAMS_LEAF"/>
    <n v="1"/>
    <n v="1"/>
    <s v="No Pams"/>
    <n v="1"/>
    <n v="1"/>
    <n v="-1"/>
    <n v="-1"/>
    <n v="-1"/>
    <n v="1"/>
    <n v="-1"/>
    <m/>
  </r>
  <r>
    <n v="0"/>
    <x v="19"/>
    <s v="yes tested"/>
    <s v="sim1"/>
    <s v="CPAMS_LEAF"/>
    <n v="1"/>
    <n v="1"/>
    <s v="Base Pams"/>
    <n v="1"/>
    <n v="1"/>
    <n v="2"/>
    <n v="2"/>
    <n v="1"/>
    <n v="2"/>
    <n v="1"/>
    <m/>
  </r>
  <r>
    <n v="0"/>
    <x v="20"/>
    <s v="yes tested"/>
    <s v="base"/>
    <s v="NOPAMSLOP"/>
    <n v="1"/>
    <n v="1"/>
    <s v="No Pams"/>
    <n v="1"/>
    <n v="1"/>
    <n v="-1"/>
    <n v="-1"/>
    <n v="-1"/>
    <n v="1"/>
    <n v="-1"/>
    <m/>
  </r>
  <r>
    <n v="0"/>
    <x v="21"/>
    <s v="yes tested"/>
    <s v="base"/>
    <s v="NOPAMSIRP"/>
    <n v="1"/>
    <n v="1"/>
    <s v="No Pams"/>
    <n v="1"/>
    <n v="1"/>
    <n v="-1"/>
    <n v="-1"/>
    <n v="-1"/>
    <n v="1"/>
    <n v="-1"/>
    <m/>
  </r>
  <r>
    <n v="1"/>
    <x v="22"/>
    <s v="yes tested"/>
    <s v="base"/>
    <s v="NOPAMSCAP"/>
    <n v="1"/>
    <n v="1"/>
    <s v="No Pams"/>
    <n v="1"/>
    <n v="1"/>
    <n v="-1"/>
    <n v="-1"/>
    <n v="-1"/>
    <n v="1"/>
    <n v="-1"/>
    <n v="10"/>
  </r>
  <r>
    <m/>
    <x v="2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0"/>
    <x v="0"/>
    <s v="yes tested"/>
    <x v="0"/>
    <x v="0"/>
    <n v="1"/>
    <n v="1"/>
    <s v="No Pams"/>
    <n v="1"/>
    <n v="1"/>
    <n v="-1"/>
    <n v="-1"/>
    <n v="-1"/>
    <n v="1"/>
    <n v="-1"/>
    <m/>
  </r>
  <r>
    <n v="0"/>
    <x v="1"/>
    <s v="yes tested"/>
    <x v="0"/>
    <x v="1"/>
    <n v="1"/>
    <n v="1"/>
    <s v="Lim Pams"/>
    <n v="1"/>
    <n v="1"/>
    <n v="2"/>
    <n v="2"/>
    <n v="2"/>
    <n v="1"/>
    <n v="2"/>
    <m/>
  </r>
  <r>
    <n v="0"/>
    <x v="2"/>
    <s v="yes tested"/>
    <x v="0"/>
    <x v="2"/>
    <n v="1"/>
    <n v="1"/>
    <s v="Base Pams"/>
    <n v="1"/>
    <n v="1"/>
    <n v="2"/>
    <n v="2"/>
    <n v="1"/>
    <n v="2"/>
    <n v="1"/>
    <m/>
  </r>
  <r>
    <n v="0"/>
    <x v="3"/>
    <s v="yes tested"/>
    <x v="0"/>
    <x v="3"/>
    <n v="1"/>
    <n v="1"/>
    <s v="Base Pams"/>
    <n v="1"/>
    <n v="1"/>
    <n v="2"/>
    <n v="2"/>
    <n v="1"/>
    <n v="2"/>
    <n v="1"/>
    <m/>
  </r>
  <r>
    <n v="0"/>
    <x v="4"/>
    <s v="yes tested"/>
    <x v="0"/>
    <x v="4"/>
    <n v="1"/>
    <n v="1"/>
    <s v="Base Pams"/>
    <n v="1"/>
    <n v="1"/>
    <n v="2"/>
    <n v="2"/>
    <n v="1"/>
    <n v="2"/>
    <n v="1"/>
    <m/>
  </r>
  <r>
    <n v="0"/>
    <x v="5"/>
    <s v="yes tested"/>
    <x v="0"/>
    <x v="5"/>
    <n v="1"/>
    <n v="1"/>
    <s v="Base Pams"/>
    <n v="1"/>
    <n v="1"/>
    <n v="2"/>
    <n v="2"/>
    <n v="1"/>
    <n v="2"/>
    <n v="1"/>
    <m/>
  </r>
  <r>
    <n v="0"/>
    <x v="6"/>
    <s v="yes tested"/>
    <x v="0"/>
    <x v="6"/>
    <n v="1"/>
    <n v="1"/>
    <s v="Ambitious Pams"/>
    <n v="1"/>
    <n v="1"/>
    <n v="1"/>
    <n v="1"/>
    <n v="3"/>
    <n v="3"/>
    <n v="3"/>
    <m/>
  </r>
  <r>
    <n v="0"/>
    <x v="7"/>
    <s v="yes tested"/>
    <x v="0"/>
    <x v="7"/>
    <n v="1"/>
    <n v="0"/>
    <s v="No Pams"/>
    <n v="1"/>
    <n v="1"/>
    <n v="-1"/>
    <n v="-1"/>
    <n v="-1"/>
    <n v="1"/>
    <n v="-1"/>
    <m/>
  </r>
  <r>
    <n v="0"/>
    <x v="8"/>
    <s v="yes tested"/>
    <x v="0"/>
    <x v="8"/>
    <n v="1"/>
    <n v="0"/>
    <s v="Base Pams"/>
    <n v="1"/>
    <n v="1"/>
    <n v="2"/>
    <n v="2"/>
    <n v="1"/>
    <n v="2"/>
    <n v="1"/>
    <m/>
  </r>
  <r>
    <n v="0"/>
    <x v="9"/>
    <s v="yes tested"/>
    <x v="0"/>
    <x v="9"/>
    <n v="1"/>
    <n v="1"/>
    <s v="No Pams"/>
    <n v="1"/>
    <n v="1"/>
    <n v="-1"/>
    <n v="-1"/>
    <n v="-1"/>
    <n v="1"/>
    <n v="-1"/>
    <m/>
  </r>
  <r>
    <n v="0"/>
    <x v="10"/>
    <s v="yes tested"/>
    <x v="0"/>
    <x v="10"/>
    <n v="1"/>
    <n v="1"/>
    <s v="Base Pams"/>
    <n v="1"/>
    <n v="1"/>
    <n v="2"/>
    <n v="2"/>
    <n v="1"/>
    <n v="2"/>
    <n v="1"/>
    <m/>
  </r>
  <r>
    <n v="0"/>
    <x v="11"/>
    <s v="yes tested"/>
    <x v="0"/>
    <x v="11"/>
    <n v="1"/>
    <n v="1"/>
    <s v="Base Pams"/>
    <n v="1"/>
    <n v="1"/>
    <n v="2"/>
    <n v="2"/>
    <n v="1"/>
    <n v="2"/>
    <n v="1"/>
    <m/>
  </r>
  <r>
    <n v="0"/>
    <x v="12"/>
    <s v="yes tested"/>
    <x v="1"/>
    <x v="12"/>
    <n v="1"/>
    <n v="1"/>
    <s v="Base Pams"/>
    <n v="1"/>
    <n v="1"/>
    <n v="2"/>
    <n v="2"/>
    <n v="1"/>
    <n v="2"/>
    <n v="1"/>
    <m/>
  </r>
  <r>
    <n v="0"/>
    <x v="13"/>
    <s v="yes tested"/>
    <x v="1"/>
    <x v="13"/>
    <n v="1"/>
    <n v="1"/>
    <s v="Base Pams"/>
    <n v="1"/>
    <n v="1"/>
    <n v="2"/>
    <n v="2"/>
    <n v="1"/>
    <n v="2"/>
    <n v="1"/>
    <m/>
  </r>
  <r>
    <n v="0"/>
    <x v="14"/>
    <s v="yes tested"/>
    <x v="1"/>
    <x v="14"/>
    <n v="1"/>
    <n v="1"/>
    <s v="Base Pams"/>
    <n v="1"/>
    <n v="1"/>
    <n v="2"/>
    <n v="2"/>
    <n v="1"/>
    <n v="2"/>
    <n v="1"/>
    <m/>
  </r>
  <r>
    <n v="0"/>
    <x v="15"/>
    <s v="yes tested"/>
    <x v="1"/>
    <x v="15"/>
    <n v="1"/>
    <n v="1"/>
    <s v="Lim Pams"/>
    <n v="1"/>
    <n v="1"/>
    <n v="2"/>
    <n v="2"/>
    <n v="2"/>
    <n v="1"/>
    <n v="2"/>
    <m/>
  </r>
  <r>
    <n v="0"/>
    <x v="16"/>
    <s v="yes tested"/>
    <x v="1"/>
    <x v="16"/>
    <n v="1"/>
    <n v="1"/>
    <s v="No Pams"/>
    <n v="1"/>
    <n v="1"/>
    <n v="-1"/>
    <n v="-1"/>
    <n v="-1"/>
    <n v="1"/>
    <n v="-1"/>
    <m/>
  </r>
  <r>
    <n v="0"/>
    <x v="17"/>
    <s v="yes tested"/>
    <x v="1"/>
    <x v="0"/>
    <n v="1"/>
    <n v="1"/>
    <s v="No Pams"/>
    <n v="1"/>
    <n v="1"/>
    <n v="-1"/>
    <n v="-1"/>
    <n v="-1"/>
    <n v="1"/>
    <n v="-1"/>
    <m/>
  </r>
  <r>
    <n v="0"/>
    <x v="18"/>
    <s v="yes tested"/>
    <x v="1"/>
    <x v="9"/>
    <n v="1"/>
    <n v="1"/>
    <s v="No Pams"/>
    <n v="1"/>
    <n v="1"/>
    <n v="-1"/>
    <n v="-1"/>
    <n v="-1"/>
    <n v="1"/>
    <n v="-1"/>
    <m/>
  </r>
  <r>
    <n v="0"/>
    <x v="19"/>
    <s v="yes tested"/>
    <x v="1"/>
    <x v="10"/>
    <n v="1"/>
    <n v="1"/>
    <s v="Base Pams"/>
    <n v="1"/>
    <n v="1"/>
    <n v="2"/>
    <n v="2"/>
    <n v="1"/>
    <n v="2"/>
    <n v="1"/>
    <m/>
  </r>
  <r>
    <n v="0"/>
    <x v="20"/>
    <s v="yes tested"/>
    <x v="0"/>
    <x v="17"/>
    <n v="1"/>
    <n v="1"/>
    <s v="No Pams"/>
    <n v="1"/>
    <n v="1"/>
    <n v="-1"/>
    <n v="-1"/>
    <n v="-1"/>
    <n v="1"/>
    <n v="-1"/>
    <m/>
  </r>
  <r>
    <n v="0"/>
    <x v="21"/>
    <s v="yes tested"/>
    <x v="0"/>
    <x v="18"/>
    <n v="1"/>
    <n v="1"/>
    <s v="No Pams"/>
    <n v="1"/>
    <n v="1"/>
    <n v="-1"/>
    <n v="-1"/>
    <n v="-1"/>
    <n v="1"/>
    <n v="-1"/>
    <m/>
  </r>
  <r>
    <n v="1"/>
    <x v="22"/>
    <s v="yes tested"/>
    <x v="0"/>
    <x v="19"/>
    <n v="1"/>
    <n v="1"/>
    <s v="No Pams"/>
    <n v="1"/>
    <n v="1"/>
    <n v="-1"/>
    <n v="-1"/>
    <n v="-1"/>
    <n v="1"/>
    <n v="-1"/>
    <n v="10"/>
  </r>
  <r>
    <m/>
    <x v="23"/>
    <m/>
    <x v="2"/>
    <x v="2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A6:AB30" firstHeaderRow="1" firstDataRow="1" firstDataCol="1"/>
  <pivotFields count="16">
    <pivotField showAll="0"/>
    <pivotField axis="axisRow" showAll="0">
      <items count="50">
        <item m="1" x="32"/>
        <item x="5"/>
        <item m="1" x="24"/>
        <item m="1" x="34"/>
        <item m="1" x="28"/>
        <item x="23"/>
        <item x="0"/>
        <item m="1" x="41"/>
        <item m="1" x="31"/>
        <item m="1" x="47"/>
        <item x="12"/>
        <item x="1"/>
        <item x="6"/>
        <item m="1" x="26"/>
        <item m="1" x="39"/>
        <item m="1" x="25"/>
        <item x="16"/>
        <item m="1" x="35"/>
        <item m="1" x="29"/>
        <item x="2"/>
        <item x="3"/>
        <item m="1" x="38"/>
        <item x="4"/>
        <item x="13"/>
        <item x="15"/>
        <item x="14"/>
        <item x="7"/>
        <item x="8"/>
        <item m="1" x="43"/>
        <item m="1" x="46"/>
        <item m="1" x="37"/>
        <item m="1" x="30"/>
        <item m="1" x="44"/>
        <item m="1" x="48"/>
        <item m="1" x="42"/>
        <item m="1" x="33"/>
        <item m="1" x="45"/>
        <item m="1" x="27"/>
        <item m="1" x="40"/>
        <item x="9"/>
        <item x="10"/>
        <item x="11"/>
        <item x="17"/>
        <item x="18"/>
        <item x="19"/>
        <item m="1" x="36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4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30" firstHeaderRow="1" firstDataRow="1" firstDataCol="1"/>
  <pivotFields count="16">
    <pivotField showAll="0"/>
    <pivotField axis="axisRow" showAll="0">
      <items count="50">
        <item m="1" x="32"/>
        <item x="5"/>
        <item m="1" x="24"/>
        <item m="1" x="34"/>
        <item m="1" x="28"/>
        <item x="23"/>
        <item x="0"/>
        <item m="1" x="41"/>
        <item m="1" x="31"/>
        <item m="1" x="47"/>
        <item x="12"/>
        <item x="1"/>
        <item x="6"/>
        <item m="1" x="26"/>
        <item m="1" x="39"/>
        <item m="1" x="25"/>
        <item x="16"/>
        <item m="1" x="35"/>
        <item m="1" x="29"/>
        <item x="2"/>
        <item x="3"/>
        <item m="1" x="38"/>
        <item x="4"/>
        <item x="13"/>
        <item x="15"/>
        <item x="14"/>
        <item x="7"/>
        <item x="8"/>
        <item m="1" x="43"/>
        <item m="1" x="46"/>
        <item m="1" x="37"/>
        <item m="1" x="30"/>
        <item m="1" x="44"/>
        <item m="1" x="48"/>
        <item m="1" x="42"/>
        <item m="1" x="33"/>
        <item m="1" x="45"/>
        <item m="1" x="27"/>
        <item m="1" x="40"/>
        <item x="9"/>
        <item x="10"/>
        <item x="11"/>
        <item x="17"/>
        <item x="18"/>
        <item x="19"/>
        <item m="1" x="36"/>
        <item x="20"/>
        <item x="21"/>
        <item x="2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6:R3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9">
        <item m="1" x="32"/>
        <item x="5"/>
        <item m="1" x="24"/>
        <item m="1" x="34"/>
        <item m="1" x="28"/>
        <item x="23"/>
        <item x="0"/>
        <item m="1" x="41"/>
        <item m="1" x="31"/>
        <item m="1" x="47"/>
        <item x="12"/>
        <item x="1"/>
        <item x="6"/>
        <item m="1" x="26"/>
        <item m="1" x="39"/>
        <item m="1" x="25"/>
        <item x="16"/>
        <item m="1" x="35"/>
        <item m="1" x="29"/>
        <item x="2"/>
        <item x="3"/>
        <item m="1" x="38"/>
        <item x="4"/>
        <item x="13"/>
        <item x="15"/>
        <item x="14"/>
        <item x="7"/>
        <item x="8"/>
        <item m="1" x="43"/>
        <item m="1" x="46"/>
        <item m="1" x="37"/>
        <item m="1" x="30"/>
        <item m="1" x="44"/>
        <item m="1" x="48"/>
        <item m="1" x="42"/>
        <item m="1" x="33"/>
        <item m="1" x="45"/>
        <item m="1" x="27"/>
        <item m="1" x="40"/>
        <item x="9"/>
        <item x="10"/>
        <item x="11"/>
        <item x="17"/>
        <item x="18"/>
        <item x="19"/>
        <item m="1" x="36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4">
    <i>
      <x v="1"/>
      <x/>
    </i>
    <i>
      <x v="5"/>
      <x v="2"/>
    </i>
    <i>
      <x v="6"/>
      <x/>
    </i>
    <i>
      <x v="10"/>
      <x v="3"/>
    </i>
    <i>
      <x v="11"/>
      <x/>
    </i>
    <i>
      <x v="12"/>
      <x/>
    </i>
    <i>
      <x v="16"/>
      <x v="3"/>
    </i>
    <i>
      <x v="19"/>
      <x/>
    </i>
    <i>
      <x v="20"/>
      <x/>
    </i>
    <i>
      <x v="22"/>
      <x/>
    </i>
    <i>
      <x v="23"/>
      <x v="3"/>
    </i>
    <i>
      <x v="24"/>
      <x v="3"/>
    </i>
    <i>
      <x v="25"/>
      <x v="3"/>
    </i>
    <i>
      <x v="26"/>
      <x/>
    </i>
    <i>
      <x v="27"/>
      <x/>
    </i>
    <i>
      <x v="39"/>
      <x/>
    </i>
    <i>
      <x v="40"/>
      <x/>
    </i>
    <i>
      <x v="41"/>
      <x/>
    </i>
    <i>
      <x v="42"/>
      <x v="3"/>
    </i>
    <i>
      <x v="43"/>
      <x v="3"/>
    </i>
    <i>
      <x v="44"/>
      <x v="3"/>
    </i>
    <i>
      <x v="46"/>
      <x/>
    </i>
    <i>
      <x v="47"/>
      <x/>
    </i>
    <i>
      <x v="4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S6:X30" firstHeaderRow="0" firstDataRow="1" firstDataCol="1"/>
  <pivotFields count="16">
    <pivotField showAll="0"/>
    <pivotField axis="axisRow" showAll="0">
      <items count="50">
        <item m="1" x="32"/>
        <item x="5"/>
        <item m="1" x="24"/>
        <item m="1" x="34"/>
        <item m="1" x="28"/>
        <item x="23"/>
        <item x="0"/>
        <item m="1" x="41"/>
        <item m="1" x="31"/>
        <item m="1" x="47"/>
        <item x="12"/>
        <item x="1"/>
        <item x="6"/>
        <item m="1" x="26"/>
        <item m="1" x="39"/>
        <item m="1" x="25"/>
        <item x="16"/>
        <item m="1" x="35"/>
        <item m="1" x="29"/>
        <item x="2"/>
        <item x="3"/>
        <item m="1" x="38"/>
        <item x="4"/>
        <item x="13"/>
        <item x="15"/>
        <item x="14"/>
        <item x="7"/>
        <item x="8"/>
        <item m="1" x="43"/>
        <item m="1" x="46"/>
        <item m="1" x="37"/>
        <item m="1" x="30"/>
        <item m="1" x="44"/>
        <item m="1" x="48"/>
        <item m="1" x="42"/>
        <item m="1" x="33"/>
        <item m="1" x="45"/>
        <item m="1" x="27"/>
        <item m="1" x="40"/>
        <item x="9"/>
        <item x="10"/>
        <item x="11"/>
        <item x="17"/>
        <item x="18"/>
        <item x="19"/>
        <item m="1" x="36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4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27" firstHeaderRow="1" firstDataRow="1" firstDataCol="1"/>
  <pivotFields count="16">
    <pivotField showAll="0"/>
    <pivotField showAll="0"/>
    <pivotField showAll="0"/>
    <pivotField showAll="0"/>
    <pivotField axis="axisRow" showAll="0">
      <items count="35">
        <item m="1" x="31"/>
        <item x="5"/>
        <item m="1" x="25"/>
        <item x="20"/>
        <item m="1" x="27"/>
        <item m="1" x="23"/>
        <item x="6"/>
        <item x="0"/>
        <item m="1" x="26"/>
        <item x="12"/>
        <item x="16"/>
        <item m="1" x="24"/>
        <item m="1" x="22"/>
        <item m="1" x="29"/>
        <item m="1" x="21"/>
        <item m="1" x="33"/>
        <item x="2"/>
        <item x="3"/>
        <item x="4"/>
        <item x="13"/>
        <item x="1"/>
        <item m="1" x="32"/>
        <item m="1" x="30"/>
        <item x="15"/>
        <item x="14"/>
        <item x="7"/>
        <item x="8"/>
        <item x="9"/>
        <item x="11"/>
        <item x="10"/>
        <item x="17"/>
        <item x="18"/>
        <item m="1" x="2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1"/>
    </i>
    <i>
      <x v="3"/>
    </i>
    <i>
      <x v="6"/>
    </i>
    <i>
      <x v="7"/>
    </i>
    <i>
      <x v="9"/>
    </i>
    <i>
      <x v="10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30" firstHeaderRow="1" firstDataRow="1" firstDataCol="1"/>
  <pivotFields count="16">
    <pivotField showAll="0"/>
    <pivotField axis="axisRow" showAll="0">
      <items count="50">
        <item m="1" x="32"/>
        <item x="5"/>
        <item m="1" x="24"/>
        <item m="1" x="34"/>
        <item m="1" x="28"/>
        <item x="23"/>
        <item x="0"/>
        <item m="1" x="41"/>
        <item m="1" x="31"/>
        <item m="1" x="47"/>
        <item x="12"/>
        <item x="1"/>
        <item x="6"/>
        <item m="1" x="26"/>
        <item m="1" x="39"/>
        <item m="1" x="25"/>
        <item x="16"/>
        <item m="1" x="35"/>
        <item m="1" x="29"/>
        <item x="2"/>
        <item x="3"/>
        <item m="1" x="38"/>
        <item x="4"/>
        <item x="13"/>
        <item x="15"/>
        <item x="14"/>
        <item x="7"/>
        <item x="8"/>
        <item m="1" x="43"/>
        <item m="1" x="46"/>
        <item m="1" x="37"/>
        <item m="1" x="30"/>
        <item m="1" x="44"/>
        <item m="1" x="48"/>
        <item m="1" x="42"/>
        <item m="1" x="33"/>
        <item m="1" x="45"/>
        <item m="1" x="27"/>
        <item m="1" x="40"/>
        <item x="9"/>
        <item x="10"/>
        <item x="11"/>
        <item x="17"/>
        <item x="18"/>
        <item x="19"/>
        <item m="1" x="36"/>
        <item x="20"/>
        <item x="21"/>
        <item x="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97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30" firstHeaderRow="1" firstDataRow="1" firstDataCol="1"/>
  <pivotFields count="16">
    <pivotField dataField="1" showAll="0"/>
    <pivotField axis="axisRow" showAll="0" sortType="ascending">
      <items count="50">
        <item x="5"/>
        <item x="8"/>
        <item m="1" x="24"/>
        <item m="1" x="28"/>
        <item x="10"/>
        <item m="1" x="27"/>
        <item x="19"/>
        <item m="1" x="45"/>
        <item x="3"/>
        <item x="2"/>
        <item x="4"/>
        <item x="11"/>
        <item m="1" x="40"/>
        <item m="1" x="34"/>
        <item x="12"/>
        <item x="14"/>
        <item x="13"/>
        <item m="1" x="26"/>
        <item x="6"/>
        <item m="1" x="35"/>
        <item x="1"/>
        <item m="1" x="29"/>
        <item m="1" x="38"/>
        <item x="15"/>
        <item x="0"/>
        <item m="1" x="43"/>
        <item m="1" x="46"/>
        <item m="1" x="37"/>
        <item x="7"/>
        <item x="22"/>
        <item m="1" x="41"/>
        <item m="1" x="31"/>
        <item m="1" x="47"/>
        <item x="21"/>
        <item x="9"/>
        <item m="1" x="42"/>
        <item x="18"/>
        <item m="1" x="33"/>
        <item x="20"/>
        <item m="1" x="30"/>
        <item m="1" x="44"/>
        <item x="17"/>
        <item x="16"/>
        <item m="1" x="48"/>
        <item m="1" x="32"/>
        <item m="1" x="36"/>
        <item m="1" x="39"/>
        <item m="1" x="25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1"/>
    </i>
    <i>
      <x v="4"/>
    </i>
    <i>
      <x v="6"/>
    </i>
    <i>
      <x v="8"/>
    </i>
    <i>
      <x v="9"/>
    </i>
    <i>
      <x v="10"/>
    </i>
    <i>
      <x v="11"/>
    </i>
    <i>
      <x v="14"/>
    </i>
    <i>
      <x v="15"/>
    </i>
    <i>
      <x v="16"/>
    </i>
    <i>
      <x v="18"/>
    </i>
    <i>
      <x v="20"/>
    </i>
    <i>
      <x v="23"/>
    </i>
    <i>
      <x v="24"/>
    </i>
    <i>
      <x v="28"/>
    </i>
    <i>
      <x v="29"/>
    </i>
    <i>
      <x v="33"/>
    </i>
    <i>
      <x v="34"/>
    </i>
    <i>
      <x v="36"/>
    </i>
    <i>
      <x v="38"/>
    </i>
    <i>
      <x v="41"/>
    </i>
    <i>
      <x v="42"/>
    </i>
    <i>
      <x v="4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92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30" firstHeaderRow="1" firstDataRow="1" firstDataCol="1"/>
  <pivotFields count="16">
    <pivotField showAll="0"/>
    <pivotField axis="axisRow" showAll="0">
      <items count="53">
        <item m="1" x="40"/>
        <item m="1" x="28"/>
        <item x="0"/>
        <item x="5"/>
        <item m="1" x="24"/>
        <item m="1" x="29"/>
        <item x="3"/>
        <item x="2"/>
        <item m="1" x="36"/>
        <item x="4"/>
        <item m="1" x="41"/>
        <item x="6"/>
        <item m="1" x="37"/>
        <item x="1"/>
        <item m="1" x="30"/>
        <item m="1" x="31"/>
        <item m="1" x="44"/>
        <item m="1" x="33"/>
        <item m="1" x="34"/>
        <item m="1" x="42"/>
        <item m="1" x="25"/>
        <item m="1" x="26"/>
        <item m="1" x="50"/>
        <item x="9"/>
        <item x="10"/>
        <item x="11"/>
        <item x="20"/>
        <item x="21"/>
        <item x="22"/>
        <item x="23"/>
        <item x="7"/>
        <item x="8"/>
        <item m="1" x="46"/>
        <item m="1" x="49"/>
        <item m="1" x="39"/>
        <item m="1" x="32"/>
        <item m="1" x="47"/>
        <item m="1" x="45"/>
        <item m="1" x="27"/>
        <item m="1" x="43"/>
        <item x="13"/>
        <item x="14"/>
        <item x="16"/>
        <item x="15"/>
        <item x="12"/>
        <item m="1" x="51"/>
        <item m="1" x="35"/>
        <item m="1" x="48"/>
        <item x="17"/>
        <item x="18"/>
        <item x="19"/>
        <item m="1" x="3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 v="2"/>
    </i>
    <i>
      <x v="3"/>
    </i>
    <i>
      <x v="6"/>
    </i>
    <i>
      <x v="7"/>
    </i>
    <i>
      <x v="9"/>
    </i>
    <i>
      <x v="11"/>
    </i>
    <i>
      <x v="13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40"/>
    </i>
    <i>
      <x v="41"/>
    </i>
    <i>
      <x v="42"/>
    </i>
    <i>
      <x v="43"/>
    </i>
    <i>
      <x v="44"/>
    </i>
    <i>
      <x v="48"/>
    </i>
    <i>
      <x v="49"/>
    </i>
    <i>
      <x v="5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M6:N30" firstHeaderRow="1" firstDataRow="1" firstDataCol="1"/>
  <pivotFields count="16">
    <pivotField showAll="0"/>
    <pivotField axis="axisRow" showAll="0">
      <items count="50">
        <item m="1" x="32"/>
        <item x="5"/>
        <item m="1" x="24"/>
        <item m="1" x="34"/>
        <item m="1" x="28"/>
        <item x="23"/>
        <item x="0"/>
        <item m="1" x="41"/>
        <item m="1" x="31"/>
        <item m="1" x="47"/>
        <item x="12"/>
        <item x="1"/>
        <item x="6"/>
        <item m="1" x="26"/>
        <item m="1" x="39"/>
        <item m="1" x="25"/>
        <item x="16"/>
        <item m="1" x="35"/>
        <item m="1" x="29"/>
        <item x="2"/>
        <item x="3"/>
        <item m="1" x="38"/>
        <item x="4"/>
        <item x="13"/>
        <item x="15"/>
        <item x="14"/>
        <item x="7"/>
        <item x="8"/>
        <item m="1" x="43"/>
        <item m="1" x="46"/>
        <item m="1" x="37"/>
        <item m="1" x="30"/>
        <item m="1" x="44"/>
        <item m="1" x="48"/>
        <item m="1" x="42"/>
        <item m="1" x="33"/>
        <item m="1" x="45"/>
        <item m="1" x="27"/>
        <item m="1" x="40"/>
        <item x="9"/>
        <item x="10"/>
        <item x="11"/>
        <item x="17"/>
        <item x="18"/>
        <item x="19"/>
        <item m="1" x="36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O6:P3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9">
        <item m="1" x="32"/>
        <item x="5"/>
        <item m="1" x="24"/>
        <item m="1" x="34"/>
        <item m="1" x="28"/>
        <item x="23"/>
        <item x="0"/>
        <item m="1" x="41"/>
        <item m="1" x="31"/>
        <item m="1" x="47"/>
        <item x="12"/>
        <item x="1"/>
        <item x="6"/>
        <item m="1" x="26"/>
        <item m="1" x="39"/>
        <item m="1" x="25"/>
        <item x="16"/>
        <item m="1" x="35"/>
        <item m="1" x="29"/>
        <item x="2"/>
        <item x="3"/>
        <item m="1" x="38"/>
        <item x="4"/>
        <item x="13"/>
        <item x="15"/>
        <item x="14"/>
        <item x="7"/>
        <item x="8"/>
        <item m="1" x="43"/>
        <item m="1" x="46"/>
        <item m="1" x="37"/>
        <item m="1" x="30"/>
        <item m="1" x="44"/>
        <item m="1" x="48"/>
        <item m="1" x="42"/>
        <item m="1" x="33"/>
        <item m="1" x="45"/>
        <item m="1" x="27"/>
        <item m="1" x="40"/>
        <item x="9"/>
        <item x="10"/>
        <item x="11"/>
        <item x="17"/>
        <item x="18"/>
        <item x="19"/>
        <item m="1" x="36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1"/>
        <item x="5"/>
        <item m="1" x="25"/>
        <item x="20"/>
        <item m="1" x="27"/>
        <item m="1" x="23"/>
        <item x="6"/>
        <item x="0"/>
        <item m="1" x="26"/>
        <item x="12"/>
        <item x="16"/>
        <item m="1" x="24"/>
        <item m="1" x="22"/>
        <item m="1" x="29"/>
        <item m="1" x="21"/>
        <item m="1" x="33"/>
        <item x="2"/>
        <item x="3"/>
        <item x="4"/>
        <item x="13"/>
        <item x="1"/>
        <item m="1" x="32"/>
        <item m="1" x="30"/>
        <item x="15"/>
        <item x="14"/>
        <item x="7"/>
        <item x="8"/>
        <item x="9"/>
        <item x="11"/>
        <item x="10"/>
        <item x="17"/>
        <item x="18"/>
        <item m="1" x="2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4">
    <i>
      <x v="1"/>
      <x v="1"/>
    </i>
    <i>
      <x v="5"/>
      <x v="3"/>
    </i>
    <i>
      <x v="6"/>
      <x v="7"/>
    </i>
    <i>
      <x v="10"/>
      <x v="9"/>
    </i>
    <i>
      <x v="11"/>
      <x v="20"/>
    </i>
    <i>
      <x v="12"/>
      <x v="6"/>
    </i>
    <i>
      <x v="16"/>
      <x v="10"/>
    </i>
    <i>
      <x v="19"/>
      <x v="16"/>
    </i>
    <i>
      <x v="20"/>
      <x v="17"/>
    </i>
    <i>
      <x v="22"/>
      <x v="18"/>
    </i>
    <i>
      <x v="23"/>
      <x v="19"/>
    </i>
    <i>
      <x v="24"/>
      <x v="23"/>
    </i>
    <i>
      <x v="25"/>
      <x v="24"/>
    </i>
    <i>
      <x v="26"/>
      <x v="25"/>
    </i>
    <i>
      <x v="27"/>
      <x v="26"/>
    </i>
    <i>
      <x v="39"/>
      <x v="27"/>
    </i>
    <i>
      <x v="40"/>
      <x v="29"/>
    </i>
    <i>
      <x v="41"/>
      <x v="28"/>
    </i>
    <i>
      <x v="42"/>
      <x v="7"/>
    </i>
    <i>
      <x v="43"/>
      <x v="27"/>
    </i>
    <i>
      <x v="44"/>
      <x v="29"/>
    </i>
    <i>
      <x v="46"/>
      <x v="30"/>
    </i>
    <i>
      <x v="47"/>
      <x v="31"/>
    </i>
    <i>
      <x v="48"/>
      <x v="3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9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6:L30" firstHeaderRow="1" firstDataRow="1" firstDataCol="1"/>
  <pivotFields count="16">
    <pivotField showAll="0"/>
    <pivotField axis="axisRow" showAll="0">
      <items count="50">
        <item m="1" x="32"/>
        <item x="5"/>
        <item m="1" x="24"/>
        <item m="1" x="34"/>
        <item m="1" x="28"/>
        <item x="23"/>
        <item x="0"/>
        <item m="1" x="41"/>
        <item m="1" x="31"/>
        <item m="1" x="47"/>
        <item x="12"/>
        <item x="1"/>
        <item x="6"/>
        <item m="1" x="26"/>
        <item m="1" x="39"/>
        <item m="1" x="25"/>
        <item x="16"/>
        <item m="1" x="35"/>
        <item m="1" x="29"/>
        <item x="2"/>
        <item x="3"/>
        <item m="1" x="38"/>
        <item x="4"/>
        <item x="13"/>
        <item x="15"/>
        <item x="14"/>
        <item x="7"/>
        <item x="8"/>
        <item m="1" x="43"/>
        <item m="1" x="46"/>
        <item m="1" x="37"/>
        <item m="1" x="30"/>
        <item m="1" x="44"/>
        <item m="1" x="48"/>
        <item m="1" x="42"/>
        <item m="1" x="33"/>
        <item m="1" x="45"/>
        <item m="1" x="27"/>
        <item m="1" x="40"/>
        <item x="9"/>
        <item x="10"/>
        <item x="11"/>
        <item x="17"/>
        <item x="18"/>
        <item x="19"/>
        <item m="1" x="36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8" t="s">
        <v>3</v>
      </c>
      <c r="B9" s="8" t="s">
        <v>57</v>
      </c>
      <c r="C9" s="8" t="str">
        <f>"Sets!"&amp;ADDRESS(ROW(Sets!C7),COLUMN(Sets!C7),4)</f>
        <v>Sets!C7</v>
      </c>
      <c r="D9" s="8">
        <v>1</v>
      </c>
      <c r="E9" s="8"/>
    </row>
    <row r="10" spans="1:11" s="8" customFormat="1">
      <c r="A10" s="8" t="s">
        <v>4</v>
      </c>
      <c r="B10" s="8" t="s">
        <v>64</v>
      </c>
      <c r="C10" s="8" t="str">
        <f>"Sets!"&amp;ADDRESS(ROW(Sets!D7),COLUMN(Sets!D7),4)</f>
        <v>Sets!D7</v>
      </c>
      <c r="D10" s="8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8" customFormat="1">
      <c r="A12" s="8" t="s">
        <v>2</v>
      </c>
      <c r="B12" s="8" t="s">
        <v>59</v>
      </c>
      <c r="C12" s="8" t="str">
        <f>"Sets!"&amp;ADDRESS(ROW(Sets!G7),COLUMN(Sets!G7),4)</f>
        <v>Sets!G7</v>
      </c>
      <c r="D12" s="8">
        <v>1</v>
      </c>
    </row>
    <row r="13" spans="1:11" s="8" customFormat="1">
      <c r="A13" s="8" t="s">
        <v>2</v>
      </c>
      <c r="B13" s="8" t="s">
        <v>61</v>
      </c>
      <c r="C13" s="8" t="str">
        <f>"Sets!"&amp;ADDRESS(ROW(Sets!I7),COLUMN(Sets!I7),4)</f>
        <v>Sets!I7</v>
      </c>
      <c r="D13" s="8">
        <v>1</v>
      </c>
    </row>
    <row r="14" spans="1:11" s="8" customFormat="1">
      <c r="A14" s="8" t="s">
        <v>2</v>
      </c>
      <c r="B14" s="8" t="s">
        <v>217</v>
      </c>
      <c r="C14" s="8" t="str">
        <f>"Sets!"&amp;ADDRESS(ROW(Sets!K7),COLUMN(Sets!K7),4)</f>
        <v>Sets!K7</v>
      </c>
      <c r="D14" s="8">
        <v>1</v>
      </c>
    </row>
    <row r="15" spans="1:11" s="8" customFormat="1">
      <c r="A15" s="8" t="s">
        <v>2</v>
      </c>
      <c r="B15" s="8" t="s">
        <v>218</v>
      </c>
      <c r="C15" s="8" t="str">
        <f>"Sets!"&amp;ADDRESS(ROW(Sets!M7),COLUMN(Sets!M7),4)</f>
        <v>Sets!M7</v>
      </c>
      <c r="D15" s="8">
        <v>1</v>
      </c>
    </row>
    <row r="16" spans="1:11" s="8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8" t="s">
        <v>4</v>
      </c>
      <c r="B17" s="8" t="s">
        <v>58</v>
      </c>
      <c r="C17" s="8" t="str">
        <f>"Sets!"&amp;ADDRESS(ROW(Sets!Q7),COLUMN(Sets!Q7),4)</f>
        <v>Sets!Q7</v>
      </c>
      <c r="D17" s="8">
        <v>2</v>
      </c>
      <c r="E17" s="8"/>
      <c r="F17" s="8"/>
    </row>
    <row r="18" spans="1:6">
      <c r="A18" s="8" t="s">
        <v>3</v>
      </c>
      <c r="B18" s="8" t="s">
        <v>54</v>
      </c>
      <c r="C18" s="8" t="str">
        <f>"Sets!"&amp;ADDRESS(ROW(Sets!AD7),COLUMN(Sets!AD7),4)</f>
        <v>Sets!AD7</v>
      </c>
      <c r="D18" s="8">
        <v>1</v>
      </c>
    </row>
    <row r="19" spans="1:6">
      <c r="A19" s="8" t="s">
        <v>3</v>
      </c>
      <c r="B19" s="8" t="s">
        <v>55</v>
      </c>
      <c r="C19" s="8" t="str">
        <f>"Sets!"&amp;ADDRESS(ROW(Sets!AE7),COLUMN(Sets!AE7),4)</f>
        <v>Sets!AE7</v>
      </c>
      <c r="D19" s="8">
        <v>1</v>
      </c>
      <c r="E19" s="8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8" t="s">
        <v>2</v>
      </c>
      <c r="B21" s="8" t="s">
        <v>249</v>
      </c>
      <c r="C21" s="8" t="str">
        <f>"Sets!"&amp;ADDRESS(ROW(Sets!AA7),COLUMN(Sets!AA7),4)</f>
        <v>Sets!AA7</v>
      </c>
      <c r="D21" s="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51"/>
  <sheetViews>
    <sheetView topLeftCell="N1" workbookViewId="0">
      <selection activeCell="Y1" sqref="Y1:Y1048576"/>
    </sheetView>
  </sheetViews>
  <sheetFormatPr defaultRowHeight="15"/>
  <cols>
    <col min="1" max="1" width="21.85546875" bestFit="1" customWidth="1"/>
    <col min="2" max="2" width="14.7109375" style="8" bestFit="1" customWidth="1"/>
    <col min="3" max="4" width="13.140625" style="8" customWidth="1"/>
    <col min="5" max="5" width="21.85546875" style="8" bestFit="1" customWidth="1"/>
    <col min="6" max="6" width="23" style="8" bestFit="1" customWidth="1"/>
    <col min="7" max="7" width="21.85546875" style="8" bestFit="1" customWidth="1"/>
    <col min="8" max="8" width="19.85546875" style="8" bestFit="1" customWidth="1"/>
    <col min="9" max="9" width="21.85546875" style="8" bestFit="1" customWidth="1"/>
    <col min="10" max="10" width="18.5703125" style="8" bestFit="1" customWidth="1"/>
    <col min="11" max="11" width="21.85546875" style="8" bestFit="1" customWidth="1"/>
    <col min="12" max="12" width="20.7109375" style="8" bestFit="1" customWidth="1"/>
    <col min="13" max="13" width="21.85546875" style="8" bestFit="1" customWidth="1"/>
    <col min="14" max="14" width="21" style="8" bestFit="1" customWidth="1"/>
    <col min="15" max="15" width="23.140625" style="8" customWidth="1"/>
    <col min="16" max="16" width="20.85546875" style="8" bestFit="1" customWidth="1"/>
    <col min="17" max="17" width="16.7109375" style="8" bestFit="1" customWidth="1"/>
    <col min="18" max="18" width="18" style="8" bestFit="1" customWidth="1"/>
    <col min="19" max="19" width="21.85546875" style="8" bestFit="1" customWidth="1"/>
    <col min="20" max="20" width="4.140625" style="8" bestFit="1" customWidth="1"/>
    <col min="21" max="21" width="5.28515625" style="8" bestFit="1" customWidth="1"/>
    <col min="22" max="22" width="4.42578125" style="8" bestFit="1" customWidth="1"/>
    <col min="23" max="23" width="7.140625" style="8" bestFit="1" customWidth="1"/>
    <col min="24" max="24" width="6.85546875" style="8" bestFit="1" customWidth="1"/>
    <col min="25" max="26" width="6.85546875" style="8" customWidth="1"/>
    <col min="27" max="27" width="21.85546875" style="8" bestFit="1" customWidth="1"/>
    <col min="28" max="28" width="19.140625" style="8" bestFit="1" customWidth="1"/>
    <col min="29" max="29" width="20.140625" style="8" customWidth="1"/>
    <col min="30" max="30" width="10" style="15" bestFit="1" customWidth="1"/>
    <col min="31" max="31" width="11.5703125" style="15" bestFit="1" customWidth="1"/>
    <col min="32" max="33" width="23.140625" style="8" customWidth="1"/>
    <col min="34" max="34" width="16.7109375" customWidth="1"/>
    <col min="35" max="35" width="19" customWidth="1"/>
    <col min="37" max="38" width="9.140625" style="8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207</v>
      </c>
      <c r="K5" s="1" t="s">
        <v>211</v>
      </c>
      <c r="M5" s="1" t="s">
        <v>212</v>
      </c>
      <c r="O5" s="1" t="s">
        <v>66</v>
      </c>
      <c r="Q5" s="1" t="s">
        <v>67</v>
      </c>
      <c r="S5" s="1" t="s">
        <v>163</v>
      </c>
      <c r="AA5" s="1" t="s">
        <v>247</v>
      </c>
      <c r="AD5" s="1" t="s">
        <v>53</v>
      </c>
      <c r="AE5" s="1" t="s">
        <v>56</v>
      </c>
      <c r="AM5" s="1" t="s">
        <v>27</v>
      </c>
    </row>
    <row r="6" spans="1:39">
      <c r="A6" s="13" t="s">
        <v>33</v>
      </c>
      <c r="B6" s="13" t="s">
        <v>33</v>
      </c>
      <c r="D6" s="13" t="s">
        <v>33</v>
      </c>
      <c r="E6" s="13" t="s">
        <v>33</v>
      </c>
      <c r="F6" t="s">
        <v>41</v>
      </c>
      <c r="G6" s="13" t="s">
        <v>33</v>
      </c>
      <c r="H6" t="s">
        <v>44</v>
      </c>
      <c r="I6" s="13" t="s">
        <v>33</v>
      </c>
      <c r="J6" t="s">
        <v>43</v>
      </c>
      <c r="K6" s="13" t="s">
        <v>33</v>
      </c>
      <c r="L6" t="s">
        <v>213</v>
      </c>
      <c r="M6" s="13" t="s">
        <v>33</v>
      </c>
      <c r="N6" t="s">
        <v>214</v>
      </c>
      <c r="O6" s="13" t="s">
        <v>35</v>
      </c>
      <c r="P6" s="13" t="s">
        <v>28</v>
      </c>
      <c r="Q6" s="13" t="s">
        <v>35</v>
      </c>
      <c r="R6" s="13" t="s">
        <v>29</v>
      </c>
      <c r="S6" s="13" t="s">
        <v>33</v>
      </c>
      <c r="T6" s="8" t="s">
        <v>185</v>
      </c>
      <c r="U6" s="8" t="s">
        <v>186</v>
      </c>
      <c r="V6" s="8" t="s">
        <v>187</v>
      </c>
      <c r="W6" s="8" t="s">
        <v>188</v>
      </c>
      <c r="X6" s="8" t="s">
        <v>39</v>
      </c>
      <c r="AA6" s="13" t="s">
        <v>33</v>
      </c>
      <c r="AB6" t="s">
        <v>248</v>
      </c>
      <c r="AC6" s="13"/>
      <c r="AD6" s="18" t="s">
        <v>54</v>
      </c>
      <c r="AE6" s="18" t="s">
        <v>55</v>
      </c>
      <c r="AF6" s="13"/>
      <c r="AH6" s="8"/>
    </row>
    <row r="7" spans="1:39">
      <c r="A7" s="14" t="s">
        <v>197</v>
      </c>
      <c r="B7" s="14" t="s">
        <v>194</v>
      </c>
      <c r="C7" s="13" t="s">
        <v>30</v>
      </c>
      <c r="D7" s="14" t="s">
        <v>30</v>
      </c>
      <c r="E7" s="14" t="s">
        <v>195</v>
      </c>
      <c r="F7" s="3">
        <v>0</v>
      </c>
      <c r="G7" s="14" t="s">
        <v>195</v>
      </c>
      <c r="H7" s="3">
        <v>1</v>
      </c>
      <c r="I7" s="14" t="s">
        <v>195</v>
      </c>
      <c r="J7" s="3">
        <v>1</v>
      </c>
      <c r="K7" s="14" t="s">
        <v>195</v>
      </c>
      <c r="L7" s="3">
        <v>1</v>
      </c>
      <c r="M7" s="14" t="s">
        <v>195</v>
      </c>
      <c r="N7" s="3">
        <v>1</v>
      </c>
      <c r="O7" s="8" t="s">
        <v>195</v>
      </c>
      <c r="P7" s="8" t="s">
        <v>194</v>
      </c>
      <c r="Q7" s="8" t="s">
        <v>195</v>
      </c>
      <c r="R7" s="8" t="s">
        <v>30</v>
      </c>
      <c r="S7" s="14" t="s">
        <v>195</v>
      </c>
      <c r="T7" s="3">
        <v>2</v>
      </c>
      <c r="U7" s="3">
        <v>2</v>
      </c>
      <c r="V7" s="3">
        <v>1</v>
      </c>
      <c r="W7" s="3">
        <v>2</v>
      </c>
      <c r="X7" s="3">
        <v>1</v>
      </c>
      <c r="Y7" s="3"/>
      <c r="Z7" s="3"/>
      <c r="AA7" s="14" t="s">
        <v>195</v>
      </c>
      <c r="AB7" s="3"/>
      <c r="AC7" s="3"/>
      <c r="AD7" s="15">
        <v>2012</v>
      </c>
      <c r="AE7" s="15">
        <f>2051-Scenarios!G6</f>
        <v>2048</v>
      </c>
      <c r="AH7" s="8"/>
      <c r="AI7" s="8"/>
      <c r="AJ7" s="8"/>
      <c r="AM7" t="s">
        <v>14</v>
      </c>
    </row>
    <row r="8" spans="1:39">
      <c r="A8" s="14" t="s">
        <v>195</v>
      </c>
      <c r="B8" s="14" t="s">
        <v>196</v>
      </c>
      <c r="C8" s="14" t="s">
        <v>31</v>
      </c>
      <c r="D8" s="14" t="s">
        <v>196</v>
      </c>
      <c r="E8" s="14" t="s">
        <v>231</v>
      </c>
      <c r="F8" s="3">
        <v>0</v>
      </c>
      <c r="G8" s="14" t="s">
        <v>196</v>
      </c>
      <c r="H8" s="3"/>
      <c r="I8" s="14" t="s">
        <v>196</v>
      </c>
      <c r="J8" s="3"/>
      <c r="K8" s="14" t="s">
        <v>196</v>
      </c>
      <c r="L8" s="3"/>
      <c r="M8" s="14" t="s">
        <v>196</v>
      </c>
      <c r="N8" s="3"/>
      <c r="O8" s="8" t="s">
        <v>196</v>
      </c>
      <c r="P8" s="8" t="s">
        <v>196</v>
      </c>
      <c r="Q8" s="8" t="s">
        <v>196</v>
      </c>
      <c r="R8" s="8" t="s">
        <v>196</v>
      </c>
      <c r="S8" s="14" t="s">
        <v>196</v>
      </c>
      <c r="T8" s="3"/>
      <c r="U8" s="3"/>
      <c r="V8" s="3"/>
      <c r="W8" s="3"/>
      <c r="X8" s="3"/>
      <c r="Y8" s="3"/>
      <c r="Z8" s="3"/>
      <c r="AA8" s="14" t="s">
        <v>196</v>
      </c>
      <c r="AB8" s="3"/>
      <c r="AC8" s="3"/>
      <c r="AD8" s="15">
        <v>2013</v>
      </c>
      <c r="AE8" s="15">
        <f>IF(OR(AE7=2050,AE7=""),"",AE7+1)</f>
        <v>2049</v>
      </c>
      <c r="AH8" s="8"/>
      <c r="AI8" s="8"/>
      <c r="AJ8" s="8"/>
      <c r="AM8" s="8" t="s">
        <v>15</v>
      </c>
    </row>
    <row r="9" spans="1:39">
      <c r="A9" s="14" t="s">
        <v>215</v>
      </c>
      <c r="B9" s="14" t="s">
        <v>200</v>
      </c>
      <c r="C9" s="14" t="s">
        <v>32</v>
      </c>
      <c r="D9" s="14" t="s">
        <v>31</v>
      </c>
      <c r="E9" s="14" t="s">
        <v>236</v>
      </c>
      <c r="F9" s="3">
        <v>0</v>
      </c>
      <c r="G9" s="14" t="s">
        <v>197</v>
      </c>
      <c r="H9" s="3">
        <v>1</v>
      </c>
      <c r="I9" s="14" t="s">
        <v>197</v>
      </c>
      <c r="J9" s="3">
        <v>1</v>
      </c>
      <c r="K9" s="14" t="s">
        <v>197</v>
      </c>
      <c r="L9" s="3">
        <v>1</v>
      </c>
      <c r="M9" s="14" t="s">
        <v>197</v>
      </c>
      <c r="N9" s="3">
        <v>1</v>
      </c>
      <c r="O9" s="8" t="s">
        <v>197</v>
      </c>
      <c r="P9" s="8" t="s">
        <v>201</v>
      </c>
      <c r="Q9" s="8" t="s">
        <v>197</v>
      </c>
      <c r="R9" s="8" t="s">
        <v>30</v>
      </c>
      <c r="S9" s="14" t="s">
        <v>197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4" t="s">
        <v>197</v>
      </c>
      <c r="AB9" s="3"/>
      <c r="AC9" s="3"/>
      <c r="AD9" s="15">
        <v>2014</v>
      </c>
      <c r="AE9" s="15">
        <f t="shared" ref="AE9:AE13" si="0">IF(OR(AE8=2050,AE8=""),"",AE8+1)</f>
        <v>2050</v>
      </c>
      <c r="AH9" s="8"/>
      <c r="AI9" s="8"/>
      <c r="AJ9" s="8"/>
      <c r="AM9" s="8" t="s">
        <v>16</v>
      </c>
    </row>
    <row r="10" spans="1:39">
      <c r="A10" s="14" t="s">
        <v>209</v>
      </c>
      <c r="B10" s="14" t="s">
        <v>201</v>
      </c>
      <c r="C10" s="14" t="s">
        <v>46</v>
      </c>
      <c r="D10"/>
      <c r="E10" s="14" t="s">
        <v>240</v>
      </c>
      <c r="F10" s="3">
        <v>0</v>
      </c>
      <c r="G10" s="14" t="s">
        <v>198</v>
      </c>
      <c r="H10" s="3">
        <v>1</v>
      </c>
      <c r="I10" s="14" t="s">
        <v>198</v>
      </c>
      <c r="J10" s="3">
        <v>1</v>
      </c>
      <c r="K10" s="14" t="s">
        <v>198</v>
      </c>
      <c r="L10" s="3">
        <v>1</v>
      </c>
      <c r="M10" s="14" t="s">
        <v>198</v>
      </c>
      <c r="N10" s="3">
        <v>1</v>
      </c>
      <c r="O10" s="8" t="s">
        <v>198</v>
      </c>
      <c r="P10" s="8" t="s">
        <v>203</v>
      </c>
      <c r="Q10" s="8" t="s">
        <v>198</v>
      </c>
      <c r="R10" s="8" t="s">
        <v>31</v>
      </c>
      <c r="S10" s="14" t="s">
        <v>198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3"/>
      <c r="AA10" s="14" t="s">
        <v>198</v>
      </c>
      <c r="AB10" s="3"/>
      <c r="AC10" s="3"/>
      <c r="AD10" s="15">
        <v>2015</v>
      </c>
      <c r="AE10" s="15" t="str">
        <f t="shared" si="0"/>
        <v/>
      </c>
      <c r="AH10" s="8"/>
      <c r="AI10" s="8"/>
      <c r="AJ10" s="8"/>
      <c r="AM10" s="8" t="s">
        <v>17</v>
      </c>
    </row>
    <row r="11" spans="1:39">
      <c r="A11" s="14" t="s">
        <v>223</v>
      </c>
      <c r="B11" s="14" t="s">
        <v>203</v>
      </c>
      <c r="C11" s="14" t="s">
        <v>47</v>
      </c>
      <c r="D11"/>
      <c r="E11" s="14" t="s">
        <v>215</v>
      </c>
      <c r="F11" s="3">
        <v>0</v>
      </c>
      <c r="G11" s="14" t="s">
        <v>221</v>
      </c>
      <c r="H11" s="3">
        <v>1</v>
      </c>
      <c r="I11" s="14" t="s">
        <v>221</v>
      </c>
      <c r="J11" s="3">
        <v>1</v>
      </c>
      <c r="K11" s="14" t="s">
        <v>221</v>
      </c>
      <c r="L11" s="3">
        <v>1</v>
      </c>
      <c r="M11" s="14" t="s">
        <v>221</v>
      </c>
      <c r="N11" s="3">
        <v>1</v>
      </c>
      <c r="O11" s="8" t="s">
        <v>221</v>
      </c>
      <c r="P11" s="8" t="s">
        <v>222</v>
      </c>
      <c r="Q11" s="8" t="s">
        <v>221</v>
      </c>
      <c r="R11" s="8" t="s">
        <v>30</v>
      </c>
      <c r="S11" s="14" t="s">
        <v>221</v>
      </c>
      <c r="T11" s="3">
        <v>2</v>
      </c>
      <c r="U11" s="3">
        <v>2</v>
      </c>
      <c r="V11" s="3">
        <v>2</v>
      </c>
      <c r="W11" s="3">
        <v>1</v>
      </c>
      <c r="X11" s="3">
        <v>2</v>
      </c>
      <c r="Y11" s="3"/>
      <c r="Z11" s="3"/>
      <c r="AA11" s="14" t="s">
        <v>221</v>
      </c>
      <c r="AB11" s="3"/>
      <c r="AD11" s="15">
        <v>2016</v>
      </c>
      <c r="AE11" s="15" t="str">
        <f t="shared" si="0"/>
        <v/>
      </c>
      <c r="AH11" s="8"/>
      <c r="AI11" s="8"/>
      <c r="AJ11" s="8"/>
      <c r="AM11" s="8" t="s">
        <v>18</v>
      </c>
    </row>
    <row r="12" spans="1:39">
      <c r="A12" s="14" t="s">
        <v>199</v>
      </c>
      <c r="B12" s="14" t="s">
        <v>204</v>
      </c>
      <c r="C12" s="14" t="s">
        <v>48</v>
      </c>
      <c r="D12" s="14"/>
      <c r="E12" s="14" t="s">
        <v>209</v>
      </c>
      <c r="F12" s="3">
        <v>0</v>
      </c>
      <c r="G12" s="14" t="s">
        <v>199</v>
      </c>
      <c r="H12" s="3">
        <v>1</v>
      </c>
      <c r="I12" s="14" t="s">
        <v>199</v>
      </c>
      <c r="J12" s="3">
        <v>1</v>
      </c>
      <c r="K12" s="14" t="s">
        <v>199</v>
      </c>
      <c r="L12" s="3">
        <v>1</v>
      </c>
      <c r="M12" s="14" t="s">
        <v>199</v>
      </c>
      <c r="N12" s="3">
        <v>1</v>
      </c>
      <c r="O12" s="8" t="s">
        <v>199</v>
      </c>
      <c r="P12" s="8" t="s">
        <v>200</v>
      </c>
      <c r="Q12" s="8" t="s">
        <v>199</v>
      </c>
      <c r="R12" s="8" t="s">
        <v>30</v>
      </c>
      <c r="S12" s="14" t="s">
        <v>199</v>
      </c>
      <c r="T12" s="3">
        <v>1</v>
      </c>
      <c r="U12" s="3">
        <v>1</v>
      </c>
      <c r="V12" s="3">
        <v>3</v>
      </c>
      <c r="W12" s="3">
        <v>3</v>
      </c>
      <c r="X12" s="3">
        <v>3</v>
      </c>
      <c r="Y12" s="3"/>
      <c r="Z12" s="3"/>
      <c r="AA12" s="14" t="s">
        <v>199</v>
      </c>
      <c r="AB12" s="3"/>
      <c r="AD12" s="15">
        <v>2017</v>
      </c>
      <c r="AE12" s="15" t="str">
        <f t="shared" si="0"/>
        <v/>
      </c>
      <c r="AH12" s="8"/>
      <c r="AI12" s="8"/>
      <c r="AJ12" s="8"/>
      <c r="AM12" s="8" t="s">
        <v>19</v>
      </c>
    </row>
    <row r="13" spans="1:39">
      <c r="A13" s="14" t="s">
        <v>221</v>
      </c>
      <c r="B13" s="14" t="s">
        <v>210</v>
      </c>
      <c r="C13" s="14" t="s">
        <v>49</v>
      </c>
      <c r="D13" s="14"/>
      <c r="E13" s="14" t="s">
        <v>223</v>
      </c>
      <c r="F13" s="3">
        <v>0</v>
      </c>
      <c r="G13" s="14" t="s">
        <v>202</v>
      </c>
      <c r="H13" s="3">
        <v>1</v>
      </c>
      <c r="I13" s="14" t="s">
        <v>202</v>
      </c>
      <c r="J13" s="3">
        <v>1</v>
      </c>
      <c r="K13" s="14" t="s">
        <v>202</v>
      </c>
      <c r="L13" s="3">
        <v>1</v>
      </c>
      <c r="M13" s="14" t="s">
        <v>202</v>
      </c>
      <c r="N13" s="3">
        <v>1</v>
      </c>
      <c r="O13" s="8" t="s">
        <v>202</v>
      </c>
      <c r="P13" s="8" t="s">
        <v>204</v>
      </c>
      <c r="Q13" s="8" t="s">
        <v>202</v>
      </c>
      <c r="R13" s="8" t="s">
        <v>31</v>
      </c>
      <c r="S13" s="14" t="s">
        <v>202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4" t="s">
        <v>202</v>
      </c>
      <c r="AB13" s="3"/>
      <c r="AD13" s="15">
        <v>2018</v>
      </c>
      <c r="AE13" s="15" t="str">
        <f t="shared" si="0"/>
        <v/>
      </c>
      <c r="AH13" s="8"/>
      <c r="AI13" s="8"/>
      <c r="AJ13" s="8"/>
      <c r="AM13" s="8" t="s">
        <v>20</v>
      </c>
    </row>
    <row r="14" spans="1:39">
      <c r="A14" s="14" t="s">
        <v>235</v>
      </c>
      <c r="B14" s="14" t="s">
        <v>216</v>
      </c>
      <c r="C14" s="14" t="s">
        <v>50</v>
      </c>
      <c r="D14" s="14"/>
      <c r="E14" s="14" t="s">
        <v>237</v>
      </c>
      <c r="F14" s="3">
        <v>0</v>
      </c>
      <c r="G14" s="14" t="s">
        <v>209</v>
      </c>
      <c r="H14" s="3">
        <v>1</v>
      </c>
      <c r="I14" s="14" t="s">
        <v>209</v>
      </c>
      <c r="J14" s="3">
        <v>1</v>
      </c>
      <c r="K14" s="14" t="s">
        <v>209</v>
      </c>
      <c r="L14" s="3">
        <v>1</v>
      </c>
      <c r="M14" s="14" t="s">
        <v>209</v>
      </c>
      <c r="N14" s="3">
        <v>1</v>
      </c>
      <c r="O14" s="8" t="s">
        <v>209</v>
      </c>
      <c r="P14" s="8" t="s">
        <v>210</v>
      </c>
      <c r="Q14" s="8" t="s">
        <v>209</v>
      </c>
      <c r="R14" s="8" t="s">
        <v>30</v>
      </c>
      <c r="S14" s="14" t="s">
        <v>209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4" t="s">
        <v>209</v>
      </c>
      <c r="AB14" s="3"/>
      <c r="AD14" s="15">
        <v>2019</v>
      </c>
      <c r="AH14" s="8"/>
      <c r="AI14" s="8"/>
      <c r="AJ14" s="8"/>
      <c r="AM14" s="8" t="s">
        <v>21</v>
      </c>
    </row>
    <row r="15" spans="1:39">
      <c r="A15" s="14" t="s">
        <v>236</v>
      </c>
      <c r="B15" s="14" t="s">
        <v>219</v>
      </c>
      <c r="C15" s="14" t="s">
        <v>51</v>
      </c>
      <c r="D15" s="14"/>
      <c r="E15" s="14" t="s">
        <v>198</v>
      </c>
      <c r="F15" s="3">
        <v>0</v>
      </c>
      <c r="G15" s="14" t="s">
        <v>215</v>
      </c>
      <c r="H15" s="3">
        <v>1</v>
      </c>
      <c r="I15" s="14" t="s">
        <v>215</v>
      </c>
      <c r="J15" s="3">
        <v>1</v>
      </c>
      <c r="K15" s="14" t="s">
        <v>215</v>
      </c>
      <c r="L15" s="3">
        <v>1</v>
      </c>
      <c r="M15" s="14" t="s">
        <v>215</v>
      </c>
      <c r="N15" s="3">
        <v>1</v>
      </c>
      <c r="O15" s="8" t="s">
        <v>215</v>
      </c>
      <c r="P15" s="8" t="s">
        <v>216</v>
      </c>
      <c r="Q15" s="8" t="s">
        <v>215</v>
      </c>
      <c r="R15" s="8" t="s">
        <v>30</v>
      </c>
      <c r="S15" s="14" t="s">
        <v>215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4" t="s">
        <v>215</v>
      </c>
      <c r="AB15" s="3"/>
      <c r="AD15" s="15">
        <v>2020</v>
      </c>
      <c r="AH15" s="8"/>
      <c r="AI15" s="8"/>
      <c r="AJ15" s="8"/>
      <c r="AM15" s="8" t="s">
        <v>22</v>
      </c>
    </row>
    <row r="16" spans="1:39">
      <c r="A16" s="14" t="s">
        <v>237</v>
      </c>
      <c r="B16" s="14" t="s">
        <v>220</v>
      </c>
      <c r="C16" s="14" t="s">
        <v>52</v>
      </c>
      <c r="D16" s="14"/>
      <c r="E16" s="14" t="s">
        <v>227</v>
      </c>
      <c r="F16" s="3">
        <v>0</v>
      </c>
      <c r="G16" s="14" t="s">
        <v>223</v>
      </c>
      <c r="H16" s="3">
        <v>1</v>
      </c>
      <c r="I16" s="14" t="s">
        <v>223</v>
      </c>
      <c r="J16" s="3">
        <v>1</v>
      </c>
      <c r="K16" s="14" t="s">
        <v>223</v>
      </c>
      <c r="L16" s="3">
        <v>1</v>
      </c>
      <c r="M16" s="14" t="s">
        <v>223</v>
      </c>
      <c r="N16" s="3">
        <v>1</v>
      </c>
      <c r="O16" s="8" t="s">
        <v>223</v>
      </c>
      <c r="P16" s="8" t="s">
        <v>219</v>
      </c>
      <c r="Q16" s="8" t="s">
        <v>223</v>
      </c>
      <c r="R16" s="8" t="s">
        <v>30</v>
      </c>
      <c r="S16" s="14" t="s">
        <v>223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4" t="s">
        <v>223</v>
      </c>
      <c r="AB16" s="3"/>
      <c r="AD16" s="15">
        <v>2021</v>
      </c>
      <c r="AH16" s="8"/>
      <c r="AI16" s="8"/>
      <c r="AJ16" s="8"/>
      <c r="AM16" s="8" t="s">
        <v>5</v>
      </c>
    </row>
    <row r="17" spans="1:39">
      <c r="A17" s="14" t="s">
        <v>241</v>
      </c>
      <c r="B17" s="14" t="s">
        <v>222</v>
      </c>
      <c r="E17" s="14" t="s">
        <v>224</v>
      </c>
      <c r="F17" s="3">
        <v>0</v>
      </c>
      <c r="G17" s="14" t="s">
        <v>224</v>
      </c>
      <c r="H17" s="3">
        <v>1</v>
      </c>
      <c r="I17" s="14" t="s">
        <v>224</v>
      </c>
      <c r="J17" s="3">
        <v>1</v>
      </c>
      <c r="K17" s="14" t="s">
        <v>224</v>
      </c>
      <c r="L17" s="3">
        <v>1</v>
      </c>
      <c r="M17" s="14" t="s">
        <v>224</v>
      </c>
      <c r="N17" s="3">
        <v>1</v>
      </c>
      <c r="O17" s="8" t="s">
        <v>224</v>
      </c>
      <c r="P17" s="8" t="s">
        <v>220</v>
      </c>
      <c r="Q17" s="8" t="s">
        <v>224</v>
      </c>
      <c r="R17" s="8" t="s">
        <v>31</v>
      </c>
      <c r="S17" s="14" t="s">
        <v>224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Y17" s="3"/>
      <c r="Z17" s="3"/>
      <c r="AA17" s="14" t="s">
        <v>224</v>
      </c>
      <c r="AB17" s="3"/>
      <c r="AD17" s="15">
        <v>2022</v>
      </c>
      <c r="AF17"/>
      <c r="AH17" s="8"/>
      <c r="AI17" s="8"/>
      <c r="AJ17" s="8"/>
      <c r="AM17" s="8" t="s">
        <v>23</v>
      </c>
    </row>
    <row r="18" spans="1:39">
      <c r="A18" s="14" t="s">
        <v>243</v>
      </c>
      <c r="B18" s="14" t="s">
        <v>226</v>
      </c>
      <c r="E18" s="14" t="s">
        <v>199</v>
      </c>
      <c r="F18" s="3">
        <v>0</v>
      </c>
      <c r="G18" s="14" t="s">
        <v>225</v>
      </c>
      <c r="H18" s="3">
        <v>1</v>
      </c>
      <c r="I18" s="14" t="s">
        <v>225</v>
      </c>
      <c r="J18" s="3">
        <v>1</v>
      </c>
      <c r="K18" s="14" t="s">
        <v>225</v>
      </c>
      <c r="L18" s="3">
        <v>1</v>
      </c>
      <c r="M18" s="14" t="s">
        <v>225</v>
      </c>
      <c r="N18" s="3">
        <v>1</v>
      </c>
      <c r="O18" s="8" t="s">
        <v>225</v>
      </c>
      <c r="P18" s="8" t="s">
        <v>226</v>
      </c>
      <c r="Q18" s="8" t="s">
        <v>225</v>
      </c>
      <c r="R18" s="8" t="s">
        <v>31</v>
      </c>
      <c r="S18" s="14" t="s">
        <v>225</v>
      </c>
      <c r="T18" s="3">
        <v>2</v>
      </c>
      <c r="U18" s="3">
        <v>2</v>
      </c>
      <c r="V18" s="3">
        <v>2</v>
      </c>
      <c r="W18" s="3">
        <v>1</v>
      </c>
      <c r="X18" s="3">
        <v>2</v>
      </c>
      <c r="Y18" s="3"/>
      <c r="Z18" s="3"/>
      <c r="AA18" s="14" t="s">
        <v>225</v>
      </c>
      <c r="AB18" s="3"/>
      <c r="AD18" s="15">
        <v>2023</v>
      </c>
      <c r="AF18"/>
      <c r="AH18" s="8"/>
      <c r="AI18" s="8"/>
      <c r="AJ18" s="8"/>
      <c r="AM18" s="8" t="s">
        <v>25</v>
      </c>
    </row>
    <row r="19" spans="1:39">
      <c r="A19" s="14" t="s">
        <v>245</v>
      </c>
      <c r="B19" s="14" t="s">
        <v>228</v>
      </c>
      <c r="E19" s="14" t="s">
        <v>221</v>
      </c>
      <c r="F19" s="3">
        <v>0</v>
      </c>
      <c r="G19" s="14" t="s">
        <v>227</v>
      </c>
      <c r="H19" s="3">
        <v>1</v>
      </c>
      <c r="I19" s="14" t="s">
        <v>227</v>
      </c>
      <c r="J19" s="3">
        <v>1</v>
      </c>
      <c r="K19" s="14" t="s">
        <v>227</v>
      </c>
      <c r="L19" s="3">
        <v>1</v>
      </c>
      <c r="M19" s="14" t="s">
        <v>227</v>
      </c>
      <c r="N19" s="3">
        <v>1</v>
      </c>
      <c r="O19" s="8" t="s">
        <v>227</v>
      </c>
      <c r="P19" s="8" t="s">
        <v>228</v>
      </c>
      <c r="Q19" s="8" t="s">
        <v>227</v>
      </c>
      <c r="R19" s="8" t="s">
        <v>31</v>
      </c>
      <c r="S19" s="14" t="s">
        <v>227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Y19" s="3"/>
      <c r="Z19" s="3"/>
      <c r="AA19" s="14" t="s">
        <v>227</v>
      </c>
      <c r="AB19" s="3"/>
      <c r="AD19" s="15">
        <v>2024</v>
      </c>
      <c r="AH19" s="8"/>
      <c r="AI19" s="8"/>
      <c r="AJ19" s="8"/>
      <c r="AM19" s="8" t="s">
        <v>24</v>
      </c>
    </row>
    <row r="20" spans="1:39">
      <c r="A20" s="14" t="s">
        <v>196</v>
      </c>
      <c r="B20" s="14" t="s">
        <v>230</v>
      </c>
      <c r="E20" s="14" t="s">
        <v>225</v>
      </c>
      <c r="F20" s="3">
        <v>0</v>
      </c>
      <c r="G20" s="14" t="s">
        <v>229</v>
      </c>
      <c r="H20" s="3">
        <v>1</v>
      </c>
      <c r="I20" s="14" t="s">
        <v>229</v>
      </c>
      <c r="J20" s="3">
        <v>0</v>
      </c>
      <c r="K20" s="14" t="s">
        <v>229</v>
      </c>
      <c r="L20" s="3">
        <v>1</v>
      </c>
      <c r="M20" s="14" t="s">
        <v>229</v>
      </c>
      <c r="N20" s="3">
        <v>1</v>
      </c>
      <c r="O20" s="8" t="s">
        <v>229</v>
      </c>
      <c r="P20" s="8" t="s">
        <v>230</v>
      </c>
      <c r="Q20" s="8" t="s">
        <v>229</v>
      </c>
      <c r="R20" s="8" t="s">
        <v>30</v>
      </c>
      <c r="S20" s="14" t="s">
        <v>229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4" t="s">
        <v>229</v>
      </c>
      <c r="AB20" s="3"/>
      <c r="AD20" s="15">
        <v>2025</v>
      </c>
      <c r="AH20" s="8"/>
      <c r="AI20" s="8"/>
      <c r="AJ20" s="8"/>
      <c r="AM20" s="8" t="s">
        <v>11</v>
      </c>
    </row>
    <row r="21" spans="1:39">
      <c r="A21" s="14" t="s">
        <v>229</v>
      </c>
      <c r="B21" s="14" t="s">
        <v>231</v>
      </c>
      <c r="E21" s="14" t="s">
        <v>197</v>
      </c>
      <c r="F21" s="3">
        <v>0</v>
      </c>
      <c r="G21" s="14" t="s">
        <v>231</v>
      </c>
      <c r="H21" s="3">
        <v>1</v>
      </c>
      <c r="I21" s="14" t="s">
        <v>231</v>
      </c>
      <c r="J21" s="3">
        <v>0</v>
      </c>
      <c r="K21" s="14" t="s">
        <v>231</v>
      </c>
      <c r="L21" s="3">
        <v>1</v>
      </c>
      <c r="M21" s="14" t="s">
        <v>231</v>
      </c>
      <c r="N21" s="3">
        <v>1</v>
      </c>
      <c r="O21" s="8" t="s">
        <v>231</v>
      </c>
      <c r="P21" s="8" t="s">
        <v>231</v>
      </c>
      <c r="Q21" s="8" t="s">
        <v>231</v>
      </c>
      <c r="R21" s="8" t="s">
        <v>30</v>
      </c>
      <c r="S21" s="14" t="s">
        <v>231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Y21" s="3"/>
      <c r="Z21" s="3"/>
      <c r="AA21" s="14" t="s">
        <v>231</v>
      </c>
      <c r="AB21" s="3"/>
      <c r="AD21" s="15">
        <v>2026</v>
      </c>
      <c r="AH21" s="8"/>
      <c r="AI21" s="8"/>
      <c r="AJ21" s="8"/>
      <c r="AM21" s="8" t="s">
        <v>11</v>
      </c>
    </row>
    <row r="22" spans="1:39">
      <c r="A22" s="14" t="s">
        <v>231</v>
      </c>
      <c r="B22" s="14" t="s">
        <v>232</v>
      </c>
      <c r="E22" s="14" t="s">
        <v>229</v>
      </c>
      <c r="F22" s="3">
        <v>0</v>
      </c>
      <c r="G22" s="14" t="s">
        <v>235</v>
      </c>
      <c r="H22" s="3">
        <v>1</v>
      </c>
      <c r="I22" s="14" t="s">
        <v>235</v>
      </c>
      <c r="J22" s="3">
        <v>1</v>
      </c>
      <c r="K22" s="14" t="s">
        <v>235</v>
      </c>
      <c r="L22" s="3">
        <v>1</v>
      </c>
      <c r="M22" s="14" t="s">
        <v>235</v>
      </c>
      <c r="N22" s="3">
        <v>1</v>
      </c>
      <c r="O22" s="8" t="s">
        <v>235</v>
      </c>
      <c r="P22" s="8" t="s">
        <v>232</v>
      </c>
      <c r="Q22" s="8" t="s">
        <v>235</v>
      </c>
      <c r="R22" s="8" t="s">
        <v>30</v>
      </c>
      <c r="S22" s="14" t="s">
        <v>235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4" t="s">
        <v>235</v>
      </c>
      <c r="AB22" s="3"/>
      <c r="AD22" s="15">
        <v>2027</v>
      </c>
      <c r="AH22" s="8"/>
      <c r="AI22" s="8"/>
      <c r="AJ22" s="8"/>
      <c r="AM22" s="8" t="s">
        <v>11</v>
      </c>
    </row>
    <row r="23" spans="1:39">
      <c r="A23" s="14" t="s">
        <v>224</v>
      </c>
      <c r="B23" s="14" t="s">
        <v>233</v>
      </c>
      <c r="E23" s="14" t="s">
        <v>245</v>
      </c>
      <c r="F23" s="3">
        <v>1</v>
      </c>
      <c r="G23" s="14" t="s">
        <v>236</v>
      </c>
      <c r="H23" s="3">
        <v>1</v>
      </c>
      <c r="I23" s="14" t="s">
        <v>236</v>
      </c>
      <c r="J23" s="3">
        <v>1</v>
      </c>
      <c r="K23" s="14" t="s">
        <v>236</v>
      </c>
      <c r="L23" s="3">
        <v>1</v>
      </c>
      <c r="M23" s="14" t="s">
        <v>236</v>
      </c>
      <c r="N23" s="3">
        <v>1</v>
      </c>
      <c r="O23" s="8" t="s">
        <v>236</v>
      </c>
      <c r="P23" s="8" t="s">
        <v>234</v>
      </c>
      <c r="Q23" s="8" t="s">
        <v>236</v>
      </c>
      <c r="R23" s="8" t="s">
        <v>30</v>
      </c>
      <c r="S23" s="14" t="s">
        <v>236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Y23" s="3"/>
      <c r="Z23" s="3"/>
      <c r="AA23" s="14" t="s">
        <v>236</v>
      </c>
      <c r="AB23" s="3"/>
      <c r="AD23" s="15">
        <v>2028</v>
      </c>
      <c r="AH23" s="8"/>
      <c r="AI23" s="8"/>
      <c r="AJ23" s="8"/>
      <c r="AM23" s="8" t="s">
        <v>11</v>
      </c>
    </row>
    <row r="24" spans="1:39">
      <c r="A24" s="14" t="s">
        <v>227</v>
      </c>
      <c r="B24" s="14" t="s">
        <v>234</v>
      </c>
      <c r="E24" s="14" t="s">
        <v>243</v>
      </c>
      <c r="F24" s="3">
        <v>0</v>
      </c>
      <c r="G24" s="14" t="s">
        <v>237</v>
      </c>
      <c r="H24" s="3">
        <v>1</v>
      </c>
      <c r="I24" s="14" t="s">
        <v>237</v>
      </c>
      <c r="J24" s="3">
        <v>1</v>
      </c>
      <c r="K24" s="14" t="s">
        <v>237</v>
      </c>
      <c r="L24" s="3">
        <v>1</v>
      </c>
      <c r="M24" s="14" t="s">
        <v>237</v>
      </c>
      <c r="N24" s="3">
        <v>1</v>
      </c>
      <c r="O24" s="8" t="s">
        <v>237</v>
      </c>
      <c r="P24" s="8" t="s">
        <v>233</v>
      </c>
      <c r="Q24" s="8" t="s">
        <v>237</v>
      </c>
      <c r="R24" s="8" t="s">
        <v>30</v>
      </c>
      <c r="S24" s="14" t="s">
        <v>237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Y24" s="3"/>
      <c r="Z24" s="3"/>
      <c r="AA24" s="14" t="s">
        <v>237</v>
      </c>
      <c r="AB24" s="3"/>
      <c r="AD24" s="15">
        <v>2029</v>
      </c>
      <c r="AH24" s="8"/>
      <c r="AI24" s="8"/>
      <c r="AJ24" s="8"/>
      <c r="AM24" s="8"/>
    </row>
    <row r="25" spans="1:39">
      <c r="A25" s="14" t="s">
        <v>202</v>
      </c>
      <c r="B25" s="14" t="s">
        <v>242</v>
      </c>
      <c r="E25" s="14" t="s">
        <v>235</v>
      </c>
      <c r="F25" s="3">
        <v>0</v>
      </c>
      <c r="G25" s="14" t="s">
        <v>238</v>
      </c>
      <c r="H25" s="3">
        <v>1</v>
      </c>
      <c r="I25" s="14" t="s">
        <v>238</v>
      </c>
      <c r="J25" s="3">
        <v>1</v>
      </c>
      <c r="K25" s="14" t="s">
        <v>238</v>
      </c>
      <c r="L25" s="3">
        <v>1</v>
      </c>
      <c r="M25" s="14" t="s">
        <v>238</v>
      </c>
      <c r="N25" s="3">
        <v>1</v>
      </c>
      <c r="O25" s="8" t="s">
        <v>238</v>
      </c>
      <c r="P25" s="8" t="s">
        <v>201</v>
      </c>
      <c r="Q25" s="8" t="s">
        <v>238</v>
      </c>
      <c r="R25" s="8" t="s">
        <v>31</v>
      </c>
      <c r="S25" s="14" t="s">
        <v>238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4" t="s">
        <v>238</v>
      </c>
      <c r="AB25" s="3"/>
      <c r="AD25" s="15">
        <v>2030</v>
      </c>
      <c r="AH25" s="8"/>
      <c r="AI25" s="8"/>
      <c r="AJ25" s="8"/>
      <c r="AM25" s="8"/>
    </row>
    <row r="26" spans="1:39">
      <c r="A26" s="14" t="s">
        <v>225</v>
      </c>
      <c r="B26" s="14" t="s">
        <v>244</v>
      </c>
      <c r="E26" s="14" t="s">
        <v>239</v>
      </c>
      <c r="F26" s="3">
        <v>0</v>
      </c>
      <c r="G26" s="14" t="s">
        <v>239</v>
      </c>
      <c r="H26" s="3">
        <v>1</v>
      </c>
      <c r="I26" s="14" t="s">
        <v>239</v>
      </c>
      <c r="J26" s="3">
        <v>1</v>
      </c>
      <c r="K26" s="14" t="s">
        <v>239</v>
      </c>
      <c r="L26" s="3">
        <v>1</v>
      </c>
      <c r="M26" s="14" t="s">
        <v>239</v>
      </c>
      <c r="N26" s="3">
        <v>1</v>
      </c>
      <c r="O26" s="8" t="s">
        <v>239</v>
      </c>
      <c r="P26" s="8" t="s">
        <v>232</v>
      </c>
      <c r="Q26" s="8" t="s">
        <v>239</v>
      </c>
      <c r="R26" s="8" t="s">
        <v>31</v>
      </c>
      <c r="S26" s="14" t="s">
        <v>239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4" t="s">
        <v>239</v>
      </c>
      <c r="AB26" s="3"/>
      <c r="AD26" s="15">
        <v>2031</v>
      </c>
      <c r="AH26" s="8"/>
      <c r="AI26" s="8"/>
      <c r="AJ26" s="8"/>
      <c r="AM26" s="8"/>
    </row>
    <row r="27" spans="1:39">
      <c r="A27" s="14" t="s">
        <v>198</v>
      </c>
      <c r="B27" s="14" t="s">
        <v>246</v>
      </c>
      <c r="E27" s="14" t="s">
        <v>241</v>
      </c>
      <c r="F27" s="3">
        <v>0</v>
      </c>
      <c r="G27" s="14" t="s">
        <v>240</v>
      </c>
      <c r="H27" s="3">
        <v>1</v>
      </c>
      <c r="I27" s="14" t="s">
        <v>240</v>
      </c>
      <c r="J27" s="3">
        <v>1</v>
      </c>
      <c r="K27" s="14" t="s">
        <v>240</v>
      </c>
      <c r="L27" s="3">
        <v>1</v>
      </c>
      <c r="M27" s="14" t="s">
        <v>240</v>
      </c>
      <c r="N27" s="3">
        <v>1</v>
      </c>
      <c r="O27" s="8" t="s">
        <v>240</v>
      </c>
      <c r="P27" s="8" t="s">
        <v>234</v>
      </c>
      <c r="Q27" s="8" t="s">
        <v>240</v>
      </c>
      <c r="R27" s="8" t="s">
        <v>31</v>
      </c>
      <c r="S27" s="14" t="s">
        <v>240</v>
      </c>
      <c r="T27" s="3">
        <v>2</v>
      </c>
      <c r="U27" s="3">
        <v>2</v>
      </c>
      <c r="V27" s="3">
        <v>1</v>
      </c>
      <c r="W27" s="3">
        <v>2</v>
      </c>
      <c r="X27" s="3">
        <v>1</v>
      </c>
      <c r="Y27" s="3"/>
      <c r="Z27" s="3"/>
      <c r="AA27" s="14" t="s">
        <v>240</v>
      </c>
      <c r="AB27" s="3"/>
      <c r="AD27" s="15">
        <v>2032</v>
      </c>
      <c r="AH27" s="8"/>
      <c r="AI27" s="8"/>
      <c r="AJ27" s="8"/>
      <c r="AM27" s="8"/>
    </row>
    <row r="28" spans="1:39">
      <c r="A28" s="14" t="s">
        <v>238</v>
      </c>
      <c r="E28" s="14" t="s">
        <v>238</v>
      </c>
      <c r="F28" s="3">
        <v>0</v>
      </c>
      <c r="G28" s="14" t="s">
        <v>241</v>
      </c>
      <c r="H28" s="3">
        <v>1</v>
      </c>
      <c r="I28" s="14" t="s">
        <v>241</v>
      </c>
      <c r="J28" s="3">
        <v>1</v>
      </c>
      <c r="K28" s="14" t="s">
        <v>241</v>
      </c>
      <c r="L28" s="3">
        <v>1</v>
      </c>
      <c r="M28" s="14" t="s">
        <v>241</v>
      </c>
      <c r="N28" s="3">
        <v>1</v>
      </c>
      <c r="O28" s="8" t="s">
        <v>241</v>
      </c>
      <c r="P28" s="8" t="s">
        <v>242</v>
      </c>
      <c r="Q28" s="8" t="s">
        <v>241</v>
      </c>
      <c r="R28" s="8" t="s">
        <v>30</v>
      </c>
      <c r="S28" s="14" t="s">
        <v>241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4" t="s">
        <v>241</v>
      </c>
      <c r="AB28" s="3"/>
      <c r="AD28" s="15">
        <v>2033</v>
      </c>
      <c r="AH28" s="8"/>
      <c r="AI28" s="8"/>
      <c r="AJ28" s="8"/>
      <c r="AM28" s="8"/>
    </row>
    <row r="29" spans="1:39">
      <c r="A29" s="14" t="s">
        <v>239</v>
      </c>
      <c r="E29" s="14" t="s">
        <v>202</v>
      </c>
      <c r="F29" s="3">
        <v>0</v>
      </c>
      <c r="G29" s="14" t="s">
        <v>243</v>
      </c>
      <c r="H29" s="3">
        <v>1</v>
      </c>
      <c r="I29" s="14" t="s">
        <v>243</v>
      </c>
      <c r="J29" s="3">
        <v>1</v>
      </c>
      <c r="K29" s="14" t="s">
        <v>243</v>
      </c>
      <c r="L29" s="3">
        <v>1</v>
      </c>
      <c r="M29" s="14" t="s">
        <v>243</v>
      </c>
      <c r="N29" s="3">
        <v>1</v>
      </c>
      <c r="O29" s="8" t="s">
        <v>243</v>
      </c>
      <c r="P29" s="8" t="s">
        <v>244</v>
      </c>
      <c r="Q29" s="8" t="s">
        <v>243</v>
      </c>
      <c r="R29" s="8" t="s">
        <v>30</v>
      </c>
      <c r="S29" s="14" t="s">
        <v>243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4" t="s">
        <v>243</v>
      </c>
      <c r="AB29" s="3"/>
      <c r="AD29" s="15">
        <v>2034</v>
      </c>
      <c r="AH29" s="8"/>
      <c r="AI29" s="8"/>
      <c r="AJ29" s="8"/>
      <c r="AM29" s="8"/>
    </row>
    <row r="30" spans="1:39">
      <c r="A30" s="14" t="s">
        <v>240</v>
      </c>
      <c r="E30" s="14" t="s">
        <v>196</v>
      </c>
      <c r="F30" s="3">
        <v>0</v>
      </c>
      <c r="G30" s="14" t="s">
        <v>245</v>
      </c>
      <c r="H30" s="3">
        <v>1</v>
      </c>
      <c r="I30" s="14" t="s">
        <v>245</v>
      </c>
      <c r="J30" s="3">
        <v>1</v>
      </c>
      <c r="K30" s="14" t="s">
        <v>245</v>
      </c>
      <c r="L30" s="3">
        <v>1</v>
      </c>
      <c r="M30" s="14" t="s">
        <v>245</v>
      </c>
      <c r="N30" s="3">
        <v>1</v>
      </c>
      <c r="O30" s="8" t="s">
        <v>245</v>
      </c>
      <c r="P30" s="8" t="s">
        <v>246</v>
      </c>
      <c r="Q30" s="8" t="s">
        <v>245</v>
      </c>
      <c r="R30" s="8" t="s">
        <v>30</v>
      </c>
      <c r="S30" s="14" t="s">
        <v>245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4" t="s">
        <v>245</v>
      </c>
      <c r="AB30" s="3">
        <v>10</v>
      </c>
      <c r="AD30" s="15">
        <v>2035</v>
      </c>
      <c r="AH30" s="8"/>
      <c r="AI30" s="8"/>
      <c r="AJ30" s="8"/>
      <c r="AM30" s="8"/>
    </row>
    <row r="31" spans="1:39">
      <c r="A31" s="8"/>
      <c r="AD31" s="15">
        <v>2036</v>
      </c>
      <c r="AH31" s="8"/>
      <c r="AI31" s="8"/>
      <c r="AJ31" s="8"/>
      <c r="AM31" s="8"/>
    </row>
    <row r="32" spans="1:39">
      <c r="A32" s="8"/>
      <c r="AD32" s="15">
        <v>2037</v>
      </c>
      <c r="AH32" s="8"/>
      <c r="AI32" s="8"/>
      <c r="AJ32" s="8"/>
      <c r="AM32" s="8"/>
    </row>
    <row r="33" spans="1:39">
      <c r="A33" s="8"/>
      <c r="AD33" s="15">
        <v>2038</v>
      </c>
      <c r="AH33" s="8"/>
      <c r="AI33" s="8"/>
      <c r="AJ33" s="8"/>
      <c r="AM33" s="8"/>
    </row>
    <row r="34" spans="1:39">
      <c r="A34" s="8"/>
      <c r="AD34" s="15">
        <v>2039</v>
      </c>
      <c r="AH34" s="8"/>
      <c r="AI34" s="8"/>
      <c r="AJ34" s="8"/>
      <c r="AM34" s="8"/>
    </row>
    <row r="35" spans="1:39">
      <c r="A35" s="8"/>
      <c r="AD35" s="15">
        <v>2040</v>
      </c>
      <c r="AH35" s="8"/>
      <c r="AI35" s="8"/>
      <c r="AJ35" s="8"/>
      <c r="AM35" s="8"/>
    </row>
    <row r="36" spans="1:39">
      <c r="A36" s="8"/>
      <c r="AD36" s="15">
        <v>2041</v>
      </c>
      <c r="AH36" s="8"/>
      <c r="AI36" s="8"/>
      <c r="AJ36" s="8"/>
      <c r="AM36" s="8"/>
    </row>
    <row r="37" spans="1:39">
      <c r="A37" s="8"/>
      <c r="AD37" s="15">
        <v>2042</v>
      </c>
      <c r="AH37" s="8"/>
      <c r="AI37" s="8"/>
      <c r="AJ37" s="8"/>
      <c r="AM37" s="8"/>
    </row>
    <row r="38" spans="1:39">
      <c r="A38" s="8"/>
      <c r="AD38" s="15">
        <v>2043</v>
      </c>
      <c r="AH38" s="8"/>
      <c r="AI38" s="8"/>
      <c r="AJ38" s="8"/>
      <c r="AM38" s="8"/>
    </row>
    <row r="39" spans="1:39">
      <c r="A39" s="8"/>
      <c r="AD39" s="15">
        <v>2044</v>
      </c>
      <c r="AH39" s="8"/>
      <c r="AI39" s="8"/>
      <c r="AJ39" s="8"/>
      <c r="AM39" s="8"/>
    </row>
    <row r="40" spans="1:39">
      <c r="A40" s="8"/>
      <c r="AD40" s="15">
        <v>2045</v>
      </c>
      <c r="AH40" s="8"/>
      <c r="AI40" s="8"/>
      <c r="AJ40" s="8"/>
      <c r="AM40" s="8"/>
    </row>
    <row r="41" spans="1:39">
      <c r="A41" s="8"/>
      <c r="AD41" s="15">
        <v>2046</v>
      </c>
      <c r="AH41" s="8"/>
      <c r="AI41" s="8"/>
      <c r="AJ41" s="8"/>
      <c r="AM41" s="8"/>
    </row>
    <row r="42" spans="1:39">
      <c r="A42" s="8"/>
      <c r="AD42" s="15">
        <v>2047</v>
      </c>
      <c r="AH42" s="8"/>
      <c r="AI42" s="8"/>
      <c r="AJ42" s="8"/>
      <c r="AM42" s="8"/>
    </row>
    <row r="43" spans="1:39">
      <c r="A43" s="8"/>
      <c r="AD43" s="15">
        <v>2048</v>
      </c>
      <c r="AH43" s="8"/>
      <c r="AI43" s="8"/>
      <c r="AJ43" s="8"/>
      <c r="AM43" s="8"/>
    </row>
    <row r="44" spans="1:39">
      <c r="A44" s="8"/>
      <c r="AD44" s="15">
        <v>2049</v>
      </c>
      <c r="AH44" s="8"/>
      <c r="AI44" s="8"/>
      <c r="AJ44" s="8"/>
      <c r="AM44" s="8"/>
    </row>
    <row r="45" spans="1:39">
      <c r="A45" s="8"/>
      <c r="AD45" s="15">
        <v>2050</v>
      </c>
      <c r="AH45" s="8"/>
      <c r="AI45" s="8"/>
      <c r="AJ45" s="8"/>
      <c r="AM45" s="8"/>
    </row>
    <row r="46" spans="1:39">
      <c r="A46" s="8"/>
      <c r="AH46" s="8"/>
      <c r="AI46" s="8"/>
      <c r="AJ46" s="8"/>
    </row>
    <row r="47" spans="1:39">
      <c r="A47" s="8"/>
      <c r="AH47" s="8"/>
      <c r="AI47" s="8"/>
      <c r="AJ47" s="8"/>
    </row>
    <row r="48" spans="1:39">
      <c r="A48" s="8"/>
      <c r="AH48" s="8"/>
      <c r="AI48" s="8"/>
      <c r="AJ48" s="8"/>
    </row>
    <row r="49" spans="1:36">
      <c r="A49" s="8"/>
      <c r="AH49" s="8"/>
      <c r="AI49" s="8"/>
      <c r="AJ49" s="8"/>
    </row>
    <row r="50" spans="1:36">
      <c r="A50" s="8"/>
      <c r="AH50" s="8"/>
      <c r="AI50" s="8"/>
      <c r="AJ50" s="8"/>
    </row>
    <row r="51" spans="1:36">
      <c r="A51" s="8"/>
      <c r="AH51" s="8"/>
      <c r="AI51" s="8"/>
      <c r="AJ51" s="8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Y30"/>
  <sheetViews>
    <sheetView tabSelected="1" workbookViewId="0">
      <selection activeCell="K30" sqref="K30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8" customWidth="1"/>
    <col min="5" max="5" width="20.28515625" customWidth="1"/>
    <col min="6" max="6" width="20.28515625" style="8" customWidth="1"/>
    <col min="7" max="9" width="11.5703125" style="8" customWidth="1"/>
    <col min="10" max="10" width="15.85546875" style="8" customWidth="1"/>
    <col min="11" max="13" width="11.5703125" style="8" customWidth="1"/>
    <col min="14" max="14" width="7" style="8" customWidth="1"/>
    <col min="15" max="15" width="8.140625" style="8" customWidth="1"/>
    <col min="16" max="16" width="11.5703125" customWidth="1"/>
    <col min="19" max="31" width="5.5703125" customWidth="1"/>
    <col min="32" max="50" width="6.42578125" customWidth="1"/>
  </cols>
  <sheetData>
    <row r="1" spans="1:50">
      <c r="A1" s="8" t="s">
        <v>208</v>
      </c>
      <c r="B1" s="8" t="str" cm="1">
        <f t="array" aca="1" ref="B1" ca="1">LEFT(CELL("filename",A1),FIND("[",CELL("filename",A1))-1)</f>
        <v>C:\Models\SATIMGE\</v>
      </c>
      <c r="C1" s="8"/>
      <c r="E1" s="8"/>
      <c r="J1" s="8" t="s">
        <v>189</v>
      </c>
      <c r="K1" s="8">
        <v>-1</v>
      </c>
      <c r="L1" s="8">
        <v>-1</v>
      </c>
      <c r="M1" s="8">
        <v>-1</v>
      </c>
      <c r="N1" s="8">
        <v>1</v>
      </c>
      <c r="O1" s="8">
        <v>-1</v>
      </c>
    </row>
    <row r="2" spans="1:50">
      <c r="B2" s="8"/>
      <c r="E2" s="8"/>
      <c r="J2" s="8" t="s">
        <v>190</v>
      </c>
      <c r="K2" s="8">
        <v>2</v>
      </c>
      <c r="L2" s="8">
        <v>2</v>
      </c>
      <c r="M2" s="8">
        <v>1</v>
      </c>
      <c r="N2" s="8">
        <v>2</v>
      </c>
      <c r="O2" s="8">
        <v>1</v>
      </c>
    </row>
    <row r="3" spans="1:50">
      <c r="B3" s="8"/>
      <c r="E3" s="8"/>
      <c r="J3" s="8" t="s">
        <v>191</v>
      </c>
      <c r="K3" s="8">
        <v>2</v>
      </c>
      <c r="L3" s="8">
        <v>2</v>
      </c>
      <c r="M3" s="8">
        <v>2</v>
      </c>
      <c r="N3" s="8">
        <v>1</v>
      </c>
      <c r="O3" s="8">
        <v>2</v>
      </c>
    </row>
    <row r="4" spans="1:50">
      <c r="B4" s="8"/>
      <c r="E4" s="8"/>
      <c r="J4" s="8" t="s">
        <v>192</v>
      </c>
      <c r="K4" s="8">
        <v>1</v>
      </c>
      <c r="L4" s="8">
        <v>1</v>
      </c>
      <c r="M4" s="8">
        <v>3</v>
      </c>
      <c r="N4" s="8">
        <v>3</v>
      </c>
      <c r="O4" s="8">
        <v>3</v>
      </c>
    </row>
    <row r="5" spans="1:50" ht="45">
      <c r="A5" s="8"/>
      <c r="G5" s="9" t="s">
        <v>62</v>
      </c>
      <c r="H5" s="11"/>
      <c r="I5" s="11"/>
      <c r="J5" s="11"/>
      <c r="K5" s="11"/>
      <c r="L5" s="11"/>
      <c r="M5" s="11"/>
      <c r="N5" s="11"/>
      <c r="O5" s="11"/>
    </row>
    <row r="6" spans="1:50">
      <c r="A6" s="6"/>
      <c r="B6" s="5"/>
      <c r="D6" s="10"/>
      <c r="E6" s="4"/>
      <c r="F6" s="12"/>
      <c r="G6" s="8">
        <v>3</v>
      </c>
      <c r="H6" s="12"/>
      <c r="I6" s="12"/>
      <c r="J6" s="12"/>
      <c r="K6" s="12"/>
      <c r="L6" s="12"/>
      <c r="M6" s="12"/>
      <c r="N6" s="12"/>
      <c r="O6" s="12"/>
      <c r="R6" s="17" t="s">
        <v>26</v>
      </c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</row>
    <row r="7" spans="1:50" ht="45">
      <c r="A7" s="7" t="s">
        <v>9</v>
      </c>
      <c r="B7" s="2" t="s">
        <v>35</v>
      </c>
      <c r="C7" s="2" t="s">
        <v>205</v>
      </c>
      <c r="D7" s="2" t="s">
        <v>29</v>
      </c>
      <c r="E7" s="2" t="s">
        <v>28</v>
      </c>
      <c r="F7" s="2" t="s">
        <v>34</v>
      </c>
      <c r="G7" s="9" t="s">
        <v>13</v>
      </c>
      <c r="H7" s="9" t="s">
        <v>193</v>
      </c>
      <c r="I7" s="9" t="s">
        <v>36</v>
      </c>
      <c r="J7" s="9" t="s">
        <v>37</v>
      </c>
      <c r="K7" s="9" t="s">
        <v>180</v>
      </c>
      <c r="L7" s="9" t="s">
        <v>181</v>
      </c>
      <c r="M7" s="9" t="s">
        <v>182</v>
      </c>
      <c r="N7" s="9" t="s">
        <v>184</v>
      </c>
      <c r="O7" s="9" t="s">
        <v>183</v>
      </c>
      <c r="P7" s="9" t="s">
        <v>12</v>
      </c>
      <c r="R7">
        <v>2018</v>
      </c>
      <c r="S7">
        <f>R7+1</f>
        <v>2019</v>
      </c>
      <c r="T7" s="8">
        <f t="shared" ref="T7:AX7" si="0">S7+1</f>
        <v>2020</v>
      </c>
      <c r="U7" s="8">
        <f t="shared" si="0"/>
        <v>2021</v>
      </c>
      <c r="V7" s="8">
        <f t="shared" si="0"/>
        <v>2022</v>
      </c>
      <c r="W7" s="8">
        <f t="shared" si="0"/>
        <v>2023</v>
      </c>
      <c r="X7" s="8">
        <f t="shared" si="0"/>
        <v>2024</v>
      </c>
      <c r="Y7" s="8">
        <f t="shared" si="0"/>
        <v>2025</v>
      </c>
      <c r="Z7" s="8">
        <f t="shared" si="0"/>
        <v>2026</v>
      </c>
      <c r="AA7" s="8">
        <f t="shared" si="0"/>
        <v>2027</v>
      </c>
      <c r="AB7" s="8">
        <f t="shared" si="0"/>
        <v>2028</v>
      </c>
      <c r="AC7" s="8">
        <f t="shared" si="0"/>
        <v>2029</v>
      </c>
      <c r="AD7" s="8">
        <f t="shared" si="0"/>
        <v>2030</v>
      </c>
      <c r="AE7" s="8">
        <f t="shared" si="0"/>
        <v>2031</v>
      </c>
      <c r="AF7" s="8">
        <f t="shared" si="0"/>
        <v>2032</v>
      </c>
      <c r="AG7" s="8">
        <f t="shared" si="0"/>
        <v>2033</v>
      </c>
      <c r="AH7" s="8">
        <f t="shared" si="0"/>
        <v>2034</v>
      </c>
      <c r="AI7" s="8">
        <f t="shared" si="0"/>
        <v>2035</v>
      </c>
      <c r="AJ7" s="8">
        <f t="shared" si="0"/>
        <v>2036</v>
      </c>
      <c r="AK7" s="8">
        <f t="shared" si="0"/>
        <v>2037</v>
      </c>
      <c r="AL7" s="8">
        <f t="shared" si="0"/>
        <v>2038</v>
      </c>
      <c r="AM7" s="8">
        <f t="shared" si="0"/>
        <v>2039</v>
      </c>
      <c r="AN7" s="8">
        <f t="shared" si="0"/>
        <v>2040</v>
      </c>
      <c r="AO7" s="8">
        <f t="shared" si="0"/>
        <v>2041</v>
      </c>
      <c r="AP7" s="8">
        <f t="shared" si="0"/>
        <v>2042</v>
      </c>
      <c r="AQ7" s="8">
        <f t="shared" si="0"/>
        <v>2043</v>
      </c>
      <c r="AR7" s="8">
        <f t="shared" si="0"/>
        <v>2044</v>
      </c>
      <c r="AS7" s="8">
        <f t="shared" si="0"/>
        <v>2045</v>
      </c>
      <c r="AT7" s="8">
        <f t="shared" si="0"/>
        <v>2046</v>
      </c>
      <c r="AU7" s="8">
        <f t="shared" si="0"/>
        <v>2047</v>
      </c>
      <c r="AV7" s="8">
        <f t="shared" si="0"/>
        <v>2048</v>
      </c>
      <c r="AW7" s="8">
        <f t="shared" si="0"/>
        <v>2049</v>
      </c>
      <c r="AX7" s="8">
        <f t="shared" si="0"/>
        <v>2050</v>
      </c>
    </row>
    <row r="8" spans="1:50" s="8" customFormat="1">
      <c r="A8" s="8">
        <v>0</v>
      </c>
      <c r="B8" s="8" t="s">
        <v>197</v>
      </c>
      <c r="C8" s="8" t="s">
        <v>206</v>
      </c>
      <c r="D8" s="8" t="s">
        <v>30</v>
      </c>
      <c r="E8" s="8" t="s">
        <v>201</v>
      </c>
      <c r="F8" s="8">
        <v>1</v>
      </c>
      <c r="G8" s="8">
        <v>1</v>
      </c>
      <c r="H8" s="8" t="str">
        <f>J1</f>
        <v>No Pams</v>
      </c>
      <c r="I8" s="8">
        <v>1</v>
      </c>
      <c r="J8" s="8">
        <v>1</v>
      </c>
      <c r="K8" s="8">
        <f t="shared" ref="K8:K14" si="1">INDEX(K$1:K$4,MATCH($H8,$J$1:$J$4,0))</f>
        <v>-1</v>
      </c>
      <c r="L8" s="8">
        <f t="shared" ref="L8:O30" si="2">INDEX(L$1:L$4,MATCH($H8,$J$1:$J$4,0))</f>
        <v>-1</v>
      </c>
      <c r="M8" s="8">
        <f t="shared" si="2"/>
        <v>-1</v>
      </c>
      <c r="N8" s="8">
        <f t="shared" si="2"/>
        <v>1</v>
      </c>
      <c r="O8" s="8">
        <f t="shared" si="2"/>
        <v>-1</v>
      </c>
      <c r="Q8" s="8" t="str">
        <f>B8</f>
        <v>NoPAMS</v>
      </c>
    </row>
    <row r="9" spans="1:50" s="8" customFormat="1">
      <c r="A9" s="8">
        <v>0</v>
      </c>
      <c r="B9" s="8" t="s">
        <v>221</v>
      </c>
      <c r="C9" s="8" t="s">
        <v>206</v>
      </c>
      <c r="D9" s="8" t="s">
        <v>30</v>
      </c>
      <c r="E9" s="8" t="s">
        <v>222</v>
      </c>
      <c r="F9" s="8">
        <v>1</v>
      </c>
      <c r="G9" s="8">
        <v>1</v>
      </c>
      <c r="H9" s="8" t="s">
        <v>191</v>
      </c>
      <c r="I9" s="8">
        <v>1</v>
      </c>
      <c r="J9" s="8">
        <v>1</v>
      </c>
      <c r="K9" s="8">
        <f t="shared" si="1"/>
        <v>2</v>
      </c>
      <c r="L9" s="8">
        <f t="shared" si="2"/>
        <v>2</v>
      </c>
      <c r="M9" s="8">
        <f t="shared" si="2"/>
        <v>2</v>
      </c>
      <c r="N9" s="8">
        <f t="shared" si="2"/>
        <v>1</v>
      </c>
      <c r="O9" s="8">
        <f t="shared" si="2"/>
        <v>2</v>
      </c>
      <c r="Q9" s="8" t="str">
        <f>B9</f>
        <v>LoPAMS</v>
      </c>
    </row>
    <row r="10" spans="1:50" s="8" customFormat="1">
      <c r="A10" s="8">
        <v>0</v>
      </c>
      <c r="B10" s="8" t="s">
        <v>209</v>
      </c>
      <c r="C10" s="8" t="s">
        <v>206</v>
      </c>
      <c r="D10" s="8" t="s">
        <v>30</v>
      </c>
      <c r="E10" s="8" t="s">
        <v>210</v>
      </c>
      <c r="F10" s="8">
        <v>1</v>
      </c>
      <c r="G10" s="8">
        <v>1</v>
      </c>
      <c r="H10" s="8" t="s">
        <v>190</v>
      </c>
      <c r="I10" s="8">
        <v>1</v>
      </c>
      <c r="J10" s="8">
        <v>1</v>
      </c>
      <c r="K10" s="8">
        <f t="shared" si="1"/>
        <v>2</v>
      </c>
      <c r="L10" s="8">
        <f t="shared" ref="L10:O13" si="3">INDEX(L$1:L$4,MATCH($H10,$J$1:$J$4,0))</f>
        <v>2</v>
      </c>
      <c r="M10" s="8">
        <f t="shared" si="3"/>
        <v>1</v>
      </c>
      <c r="N10" s="8">
        <f t="shared" si="3"/>
        <v>2</v>
      </c>
      <c r="O10" s="8">
        <f t="shared" si="3"/>
        <v>1</v>
      </c>
      <c r="Q10" s="8" t="str">
        <f t="shared" ref="Q10" si="4">B10</f>
        <v>CPAMS-NoIRP</v>
      </c>
    </row>
    <row r="11" spans="1:50" s="8" customFormat="1">
      <c r="A11" s="8">
        <v>0</v>
      </c>
      <c r="B11" s="8" t="s">
        <v>215</v>
      </c>
      <c r="C11" s="8" t="s">
        <v>206</v>
      </c>
      <c r="D11" s="8" t="s">
        <v>30</v>
      </c>
      <c r="E11" s="8" t="s">
        <v>216</v>
      </c>
      <c r="F11" s="8">
        <v>1</v>
      </c>
      <c r="G11" s="8">
        <v>1</v>
      </c>
      <c r="H11" s="8" t="s">
        <v>190</v>
      </c>
      <c r="I11" s="8">
        <v>1</v>
      </c>
      <c r="J11" s="8">
        <v>1</v>
      </c>
      <c r="K11" s="8">
        <f t="shared" si="1"/>
        <v>2</v>
      </c>
      <c r="L11" s="8">
        <f t="shared" si="3"/>
        <v>2</v>
      </c>
      <c r="M11" s="8">
        <f t="shared" si="3"/>
        <v>1</v>
      </c>
      <c r="N11" s="8">
        <f t="shared" si="3"/>
        <v>2</v>
      </c>
      <c r="O11" s="8">
        <f t="shared" si="3"/>
        <v>1</v>
      </c>
      <c r="Q11" s="8" t="str">
        <f t="shared" ref="Q11" si="5">B11</f>
        <v>CPAMS-MRE</v>
      </c>
    </row>
    <row r="12" spans="1:50" s="8" customFormat="1">
      <c r="A12" s="8">
        <v>0</v>
      </c>
      <c r="B12" s="8" t="s">
        <v>223</v>
      </c>
      <c r="C12" s="8" t="s">
        <v>206</v>
      </c>
      <c r="D12" s="8" t="s">
        <v>30</v>
      </c>
      <c r="E12" s="8" t="s">
        <v>219</v>
      </c>
      <c r="F12" s="8">
        <v>1</v>
      </c>
      <c r="G12" s="8">
        <v>1</v>
      </c>
      <c r="H12" s="8" t="str">
        <f>H20</f>
        <v>Base Pams</v>
      </c>
      <c r="I12" s="8">
        <v>1</v>
      </c>
      <c r="J12" s="8">
        <v>1</v>
      </c>
      <c r="K12" s="8">
        <f t="shared" si="1"/>
        <v>2</v>
      </c>
      <c r="L12" s="8">
        <f t="shared" si="3"/>
        <v>2</v>
      </c>
      <c r="M12" s="8">
        <f t="shared" si="3"/>
        <v>1</v>
      </c>
      <c r="N12" s="8">
        <f t="shared" si="3"/>
        <v>2</v>
      </c>
      <c r="O12" s="8">
        <f t="shared" si="3"/>
        <v>1</v>
      </c>
      <c r="Q12" s="8" t="str">
        <f>B12</f>
        <v>CPAMS-RE</v>
      </c>
    </row>
    <row r="13" spans="1:50" s="8" customFormat="1">
      <c r="A13" s="8">
        <v>0</v>
      </c>
      <c r="B13" s="8" t="s">
        <v>195</v>
      </c>
      <c r="C13" s="8" t="s">
        <v>206</v>
      </c>
      <c r="D13" s="8" t="s">
        <v>30</v>
      </c>
      <c r="E13" s="8" t="s">
        <v>194</v>
      </c>
      <c r="F13" s="8">
        <v>1</v>
      </c>
      <c r="G13" s="8">
        <v>1</v>
      </c>
      <c r="H13" s="8" t="str">
        <f>J2</f>
        <v>Base Pams</v>
      </c>
      <c r="I13" s="8">
        <v>1</v>
      </c>
      <c r="J13" s="8">
        <v>1</v>
      </c>
      <c r="K13" s="8">
        <f t="shared" si="1"/>
        <v>2</v>
      </c>
      <c r="L13" s="8">
        <f t="shared" si="3"/>
        <v>2</v>
      </c>
      <c r="M13" s="8">
        <f t="shared" si="3"/>
        <v>1</v>
      </c>
      <c r="N13" s="8">
        <f t="shared" si="3"/>
        <v>2</v>
      </c>
      <c r="O13" s="8">
        <f t="shared" si="3"/>
        <v>1</v>
      </c>
      <c r="Q13" s="8" t="str">
        <f>B13</f>
        <v>CPAMS</v>
      </c>
    </row>
    <row r="14" spans="1:50">
      <c r="A14" s="8">
        <v>0</v>
      </c>
      <c r="B14" t="s">
        <v>199</v>
      </c>
      <c r="C14" t="s">
        <v>206</v>
      </c>
      <c r="D14" s="8" t="s">
        <v>30</v>
      </c>
      <c r="E14" t="s">
        <v>200</v>
      </c>
      <c r="F14" s="8">
        <v>1</v>
      </c>
      <c r="G14" s="8">
        <v>1</v>
      </c>
      <c r="H14" s="8" t="s">
        <v>192</v>
      </c>
      <c r="I14" s="8">
        <v>1</v>
      </c>
      <c r="J14" s="8">
        <v>1</v>
      </c>
      <c r="K14" s="8">
        <f t="shared" si="1"/>
        <v>1</v>
      </c>
      <c r="L14" s="8">
        <f t="shared" ref="L14:L19" si="6">INDEX(L$1:L$4,MATCH($H14,$J$1:$J$4,0))</f>
        <v>1</v>
      </c>
      <c r="M14" s="8">
        <f t="shared" ref="M14:O14" si="7">INDEX(M$1:M$4,MATCH($H14,$J$1:$J$4,0))</f>
        <v>3</v>
      </c>
      <c r="N14" s="8">
        <f t="shared" si="7"/>
        <v>3</v>
      </c>
      <c r="O14" s="8">
        <f t="shared" si="7"/>
        <v>3</v>
      </c>
      <c r="P14" s="8"/>
      <c r="Q14" s="8" t="str">
        <f>B14</f>
        <v>HiPam</v>
      </c>
    </row>
    <row r="15" spans="1:50" s="8" customFormat="1">
      <c r="A15" s="8">
        <v>0</v>
      </c>
      <c r="B15" s="8" t="s">
        <v>229</v>
      </c>
      <c r="C15" s="8" t="s">
        <v>206</v>
      </c>
      <c r="D15" s="8" t="s">
        <v>30</v>
      </c>
      <c r="E15" s="8" t="s">
        <v>230</v>
      </c>
      <c r="F15" s="8">
        <v>1</v>
      </c>
      <c r="G15" s="8">
        <v>0</v>
      </c>
      <c r="H15" s="8" t="s">
        <v>189</v>
      </c>
      <c r="I15" s="8">
        <v>1</v>
      </c>
      <c r="J15" s="8">
        <v>1</v>
      </c>
      <c r="K15" s="8">
        <f>INDEX(K$1:K$4,MATCH($H15,$J$1:$J$4,0))</f>
        <v>-1</v>
      </c>
      <c r="L15" s="8">
        <f t="shared" si="6"/>
        <v>-1</v>
      </c>
      <c r="M15" s="8">
        <f t="shared" ref="M15:O19" si="8">INDEX(M$1:M$4,MATCH($H15,$J$1:$J$4,0))</f>
        <v>-1</v>
      </c>
      <c r="N15" s="8">
        <f t="shared" si="8"/>
        <v>1</v>
      </c>
      <c r="O15" s="8">
        <f t="shared" si="8"/>
        <v>-1</v>
      </c>
      <c r="Q15" s="8" t="str">
        <f t="shared" ref="Q15" si="9">B15</f>
        <v>NoPAMS_NDP</v>
      </c>
    </row>
    <row r="16" spans="1:50" s="8" customFormat="1">
      <c r="A16" s="8">
        <v>0</v>
      </c>
      <c r="B16" s="8" t="s">
        <v>231</v>
      </c>
      <c r="C16" s="8" t="s">
        <v>206</v>
      </c>
      <c r="D16" s="8" t="s">
        <v>30</v>
      </c>
      <c r="E16" s="8" t="s">
        <v>231</v>
      </c>
      <c r="F16" s="8">
        <v>1</v>
      </c>
      <c r="G16" s="8">
        <v>0</v>
      </c>
      <c r="H16" s="8" t="s">
        <v>190</v>
      </c>
      <c r="I16" s="8">
        <v>1</v>
      </c>
      <c r="J16" s="8">
        <v>1</v>
      </c>
      <c r="K16" s="8">
        <f>INDEX(K$1:K$4,MATCH($H16,$J$1:$J$4,0))</f>
        <v>2</v>
      </c>
      <c r="L16" s="8">
        <f t="shared" si="6"/>
        <v>2</v>
      </c>
      <c r="M16" s="8">
        <f t="shared" si="8"/>
        <v>1</v>
      </c>
      <c r="N16" s="8">
        <f t="shared" si="8"/>
        <v>2</v>
      </c>
      <c r="O16" s="8">
        <f t="shared" si="8"/>
        <v>1</v>
      </c>
      <c r="Q16" s="8" t="str">
        <f t="shared" ref="Q16" si="10">B16</f>
        <v>CPAMS_NDP</v>
      </c>
    </row>
    <row r="17" spans="1:51" s="8" customFormat="1">
      <c r="A17" s="8">
        <v>0</v>
      </c>
      <c r="B17" s="8" t="s">
        <v>235</v>
      </c>
      <c r="C17" s="8" t="s">
        <v>206</v>
      </c>
      <c r="D17" s="8" t="s">
        <v>30</v>
      </c>
      <c r="E17" s="8" t="s">
        <v>232</v>
      </c>
      <c r="F17" s="8">
        <v>1</v>
      </c>
      <c r="G17" s="8">
        <v>1</v>
      </c>
      <c r="H17" s="8" t="s">
        <v>189</v>
      </c>
      <c r="I17" s="8">
        <v>1</v>
      </c>
      <c r="J17" s="8">
        <v>1</v>
      </c>
      <c r="K17" s="8">
        <f>INDEX(K$1:K$4,MATCH($H17,$J$1:$J$4,0))</f>
        <v>-1</v>
      </c>
      <c r="L17" s="8">
        <f t="shared" si="6"/>
        <v>-1</v>
      </c>
      <c r="M17" s="8">
        <f t="shared" si="8"/>
        <v>-1</v>
      </c>
      <c r="N17" s="8">
        <f t="shared" si="8"/>
        <v>1</v>
      </c>
      <c r="O17" s="8">
        <f t="shared" si="8"/>
        <v>-1</v>
      </c>
      <c r="Q17" s="8" t="str">
        <f t="shared" ref="Q17" si="11">B17</f>
        <v>NoPAMS-LEAF</v>
      </c>
    </row>
    <row r="18" spans="1:51" s="8" customFormat="1">
      <c r="A18" s="8">
        <v>0</v>
      </c>
      <c r="B18" s="8" t="s">
        <v>236</v>
      </c>
      <c r="C18" s="8" t="s">
        <v>206</v>
      </c>
      <c r="D18" s="8" t="s">
        <v>30</v>
      </c>
      <c r="E18" s="8" t="s">
        <v>234</v>
      </c>
      <c r="F18" s="8">
        <v>1</v>
      </c>
      <c r="G18" s="8">
        <v>1</v>
      </c>
      <c r="H18" s="8" t="s">
        <v>190</v>
      </c>
      <c r="I18" s="8">
        <v>1</v>
      </c>
      <c r="J18" s="8">
        <v>1</v>
      </c>
      <c r="K18" s="8">
        <f>INDEX(K$1:K$4,MATCH($H18,$J$1:$J$4,0))</f>
        <v>2</v>
      </c>
      <c r="L18" s="8">
        <f t="shared" si="6"/>
        <v>2</v>
      </c>
      <c r="M18" s="8">
        <f t="shared" si="8"/>
        <v>1</v>
      </c>
      <c r="N18" s="8">
        <f t="shared" si="8"/>
        <v>2</v>
      </c>
      <c r="O18" s="8">
        <f t="shared" si="8"/>
        <v>1</v>
      </c>
      <c r="Q18" s="8" t="str">
        <f t="shared" ref="Q18" si="12">B18</f>
        <v>CPAMS-LEAF</v>
      </c>
    </row>
    <row r="19" spans="1:51" s="8" customFormat="1">
      <c r="A19" s="8">
        <v>0</v>
      </c>
      <c r="B19" s="8" t="s">
        <v>237</v>
      </c>
      <c r="C19" s="8" t="s">
        <v>206</v>
      </c>
      <c r="D19" s="8" t="s">
        <v>30</v>
      </c>
      <c r="E19" s="8" t="s">
        <v>233</v>
      </c>
      <c r="F19" s="8">
        <v>1</v>
      </c>
      <c r="G19" s="8">
        <v>1</v>
      </c>
      <c r="H19" s="8" t="s">
        <v>190</v>
      </c>
      <c r="I19" s="8">
        <v>1</v>
      </c>
      <c r="J19" s="8">
        <v>1</v>
      </c>
      <c r="K19" s="8">
        <f>INDEX(K$1:K$4,MATCH($H19,$J$1:$J$4,0))</f>
        <v>2</v>
      </c>
      <c r="L19" s="8">
        <f t="shared" si="6"/>
        <v>2</v>
      </c>
      <c r="M19" s="8">
        <f t="shared" si="8"/>
        <v>1</v>
      </c>
      <c r="N19" s="8">
        <f t="shared" si="8"/>
        <v>2</v>
      </c>
      <c r="O19" s="8">
        <f t="shared" si="8"/>
        <v>1</v>
      </c>
      <c r="Q19" s="8" t="str">
        <f t="shared" ref="Q19" si="13">B19</f>
        <v>CPAMS-RE-LEAF</v>
      </c>
    </row>
    <row r="20" spans="1:51" s="8" customFormat="1">
      <c r="A20" s="8">
        <v>0</v>
      </c>
      <c r="B20" s="8" t="s">
        <v>198</v>
      </c>
      <c r="C20" s="8" t="s">
        <v>206</v>
      </c>
      <c r="D20" s="8" t="s">
        <v>31</v>
      </c>
      <c r="E20" s="8" t="s">
        <v>203</v>
      </c>
      <c r="F20" s="8">
        <v>1</v>
      </c>
      <c r="G20" s="8">
        <v>1</v>
      </c>
      <c r="H20" s="8" t="str">
        <f>H13</f>
        <v>Base Pams</v>
      </c>
      <c r="I20" s="8">
        <v>1</v>
      </c>
      <c r="J20" s="8">
        <v>1</v>
      </c>
      <c r="K20" s="8">
        <f t="shared" ref="K20:K30" si="14">INDEX(K$1:K$4,MATCH($H20,$J$1:$J$4,0))</f>
        <v>2</v>
      </c>
      <c r="L20" s="8">
        <f t="shared" si="2"/>
        <v>2</v>
      </c>
      <c r="M20" s="8">
        <f t="shared" si="2"/>
        <v>1</v>
      </c>
      <c r="N20" s="8">
        <f t="shared" si="2"/>
        <v>2</v>
      </c>
      <c r="O20" s="8">
        <f t="shared" si="2"/>
        <v>1</v>
      </c>
      <c r="Q20" s="8" t="str">
        <f t="shared" ref="Q20:Q24" si="15">B20</f>
        <v>CPAMS-TrGr</v>
      </c>
      <c r="AY20" s="8" t="s">
        <v>179</v>
      </c>
    </row>
    <row r="21" spans="1:51">
      <c r="A21" s="8">
        <v>0</v>
      </c>
      <c r="B21" s="8" t="s">
        <v>224</v>
      </c>
      <c r="C21" t="s">
        <v>206</v>
      </c>
      <c r="D21" s="8" t="s">
        <v>31</v>
      </c>
      <c r="E21" t="s">
        <v>220</v>
      </c>
      <c r="F21" s="8">
        <v>1</v>
      </c>
      <c r="G21" s="8">
        <v>1</v>
      </c>
      <c r="H21" s="8" t="s">
        <v>190</v>
      </c>
      <c r="I21" s="8">
        <v>1</v>
      </c>
      <c r="J21" s="8">
        <v>1</v>
      </c>
      <c r="K21" s="8">
        <f t="shared" si="14"/>
        <v>2</v>
      </c>
      <c r="L21" s="8">
        <f t="shared" si="2"/>
        <v>2</v>
      </c>
      <c r="M21" s="8">
        <f t="shared" si="2"/>
        <v>1</v>
      </c>
      <c r="N21" s="8">
        <f t="shared" si="2"/>
        <v>2</v>
      </c>
      <c r="O21" s="8">
        <f t="shared" si="2"/>
        <v>1</v>
      </c>
      <c r="P21" s="8"/>
      <c r="Q21" s="8" t="str">
        <f t="shared" si="15"/>
        <v>CPAMS-TrGr-RE</v>
      </c>
    </row>
    <row r="22" spans="1:51" s="8" customFormat="1">
      <c r="A22" s="8">
        <v>0</v>
      </c>
      <c r="B22" s="8" t="s">
        <v>227</v>
      </c>
      <c r="C22" s="8" t="s">
        <v>206</v>
      </c>
      <c r="D22" s="8" t="s">
        <v>31</v>
      </c>
      <c r="E22" s="8" t="s">
        <v>228</v>
      </c>
      <c r="F22" s="8">
        <v>1</v>
      </c>
      <c r="G22" s="8">
        <v>1</v>
      </c>
      <c r="H22" s="8" t="s">
        <v>190</v>
      </c>
      <c r="I22" s="8">
        <v>1</v>
      </c>
      <c r="J22" s="8">
        <v>1</v>
      </c>
      <c r="K22" s="8">
        <f t="shared" si="14"/>
        <v>2</v>
      </c>
      <c r="L22" s="8">
        <f t="shared" si="2"/>
        <v>2</v>
      </c>
      <c r="M22" s="8">
        <f t="shared" si="2"/>
        <v>1</v>
      </c>
      <c r="N22" s="8">
        <f t="shared" si="2"/>
        <v>2</v>
      </c>
      <c r="O22" s="8">
        <f t="shared" si="2"/>
        <v>1</v>
      </c>
      <c r="Q22" s="8" t="str">
        <f t="shared" ref="Q22" si="16">B22</f>
        <v>CPAMS-TrGr-MRE</v>
      </c>
    </row>
    <row r="23" spans="1:51" s="8" customFormat="1">
      <c r="A23" s="8">
        <v>0</v>
      </c>
      <c r="B23" s="8" t="s">
        <v>225</v>
      </c>
      <c r="C23" s="8" t="s">
        <v>206</v>
      </c>
      <c r="D23" s="8" t="s">
        <v>31</v>
      </c>
      <c r="E23" s="8" t="s">
        <v>226</v>
      </c>
      <c r="F23" s="8">
        <v>1</v>
      </c>
      <c r="G23" s="8">
        <v>1</v>
      </c>
      <c r="H23" s="8" t="s">
        <v>191</v>
      </c>
      <c r="I23" s="8">
        <v>1</v>
      </c>
      <c r="J23" s="8">
        <v>1</v>
      </c>
      <c r="K23" s="8">
        <f>INDEX(K$1:K$4,MATCH($H23,$J$1:$J$4,0))</f>
        <v>2</v>
      </c>
      <c r="L23" s="8">
        <f>INDEX(L$1:L$4,MATCH($H23,$J$1:$J$4,0))</f>
        <v>2</v>
      </c>
      <c r="M23" s="8">
        <f>INDEX(M$1:M$4,MATCH($H23,$J$1:$J$4,0))</f>
        <v>2</v>
      </c>
      <c r="N23" s="8">
        <f>INDEX(N$1:N$4,MATCH($H23,$J$1:$J$4,0))</f>
        <v>1</v>
      </c>
      <c r="O23" s="8">
        <f>INDEX(O$1:O$4,MATCH($H23,$J$1:$J$4,0))</f>
        <v>2</v>
      </c>
      <c r="Q23" s="8" t="str">
        <f>B23</f>
        <v>LoPAMS-MRE-TrGr</v>
      </c>
    </row>
    <row r="24" spans="1:51">
      <c r="A24" s="8">
        <v>0</v>
      </c>
      <c r="B24" t="s">
        <v>202</v>
      </c>
      <c r="C24" t="s">
        <v>206</v>
      </c>
      <c r="D24" s="8" t="s">
        <v>31</v>
      </c>
      <c r="E24" s="8" t="s">
        <v>204</v>
      </c>
      <c r="F24" s="8">
        <v>1</v>
      </c>
      <c r="G24" s="8">
        <v>1</v>
      </c>
      <c r="H24" s="8" t="s">
        <v>189</v>
      </c>
      <c r="I24" s="8">
        <v>1</v>
      </c>
      <c r="J24" s="8">
        <v>1</v>
      </c>
      <c r="K24" s="8">
        <f t="shared" si="14"/>
        <v>-1</v>
      </c>
      <c r="L24" s="8">
        <f t="shared" si="2"/>
        <v>-1</v>
      </c>
      <c r="M24" s="8">
        <f t="shared" si="2"/>
        <v>-1</v>
      </c>
      <c r="N24" s="8">
        <f t="shared" si="2"/>
        <v>1</v>
      </c>
      <c r="O24" s="8">
        <f t="shared" si="2"/>
        <v>-1</v>
      </c>
      <c r="P24" s="8"/>
      <c r="Q24" s="8" t="str">
        <f t="shared" si="15"/>
        <v>NoPAMS-TrGr-FrcdCoal</v>
      </c>
    </row>
    <row r="25" spans="1:51" s="8" customFormat="1">
      <c r="A25" s="8">
        <v>0</v>
      </c>
      <c r="B25" s="8" t="s">
        <v>238</v>
      </c>
      <c r="C25" s="8" t="s">
        <v>206</v>
      </c>
      <c r="D25" s="8" t="s">
        <v>31</v>
      </c>
      <c r="E25" s="8" t="s">
        <v>201</v>
      </c>
      <c r="F25" s="8">
        <v>1</v>
      </c>
      <c r="G25" s="8">
        <v>1</v>
      </c>
      <c r="H25" s="8" t="s">
        <v>189</v>
      </c>
      <c r="I25" s="8">
        <v>1</v>
      </c>
      <c r="J25" s="8">
        <v>1</v>
      </c>
      <c r="K25" s="8">
        <f t="shared" ref="K25:O26" si="17">INDEX(K$1:K$4,MATCH($H25,$J$1:$J$4,0))</f>
        <v>-1</v>
      </c>
      <c r="L25" s="8">
        <f t="shared" si="17"/>
        <v>-1</v>
      </c>
      <c r="M25" s="8">
        <f t="shared" si="17"/>
        <v>-1</v>
      </c>
      <c r="N25" s="8">
        <f t="shared" si="17"/>
        <v>1</v>
      </c>
      <c r="O25" s="8">
        <f t="shared" si="17"/>
        <v>-1</v>
      </c>
      <c r="Q25" s="8" t="str">
        <f t="shared" ref="Q25" si="18">B25</f>
        <v>NoPAMS-TrGr</v>
      </c>
    </row>
    <row r="26" spans="1:51" s="8" customFormat="1">
      <c r="A26" s="8">
        <v>0</v>
      </c>
      <c r="B26" s="8" t="s">
        <v>239</v>
      </c>
      <c r="C26" s="8" t="s">
        <v>206</v>
      </c>
      <c r="D26" s="8" t="s">
        <v>31</v>
      </c>
      <c r="E26" s="8" t="s">
        <v>232</v>
      </c>
      <c r="F26" s="8">
        <v>1</v>
      </c>
      <c r="G26" s="8">
        <v>1</v>
      </c>
      <c r="H26" s="8" t="s">
        <v>189</v>
      </c>
      <c r="I26" s="8">
        <v>1</v>
      </c>
      <c r="J26" s="8">
        <v>1</v>
      </c>
      <c r="K26" s="8">
        <f t="shared" si="17"/>
        <v>-1</v>
      </c>
      <c r="L26" s="8">
        <f t="shared" si="17"/>
        <v>-1</v>
      </c>
      <c r="M26" s="8">
        <f t="shared" si="17"/>
        <v>-1</v>
      </c>
      <c r="N26" s="8">
        <f t="shared" si="17"/>
        <v>1</v>
      </c>
      <c r="O26" s="8">
        <f t="shared" si="17"/>
        <v>-1</v>
      </c>
      <c r="Q26" s="8" t="str">
        <f t="shared" ref="Q26" si="19">B26</f>
        <v>NoPAMS-LEAF-TrGr</v>
      </c>
    </row>
    <row r="27" spans="1:51" s="8" customFormat="1">
      <c r="A27" s="8">
        <v>0</v>
      </c>
      <c r="B27" s="8" t="s">
        <v>240</v>
      </c>
      <c r="C27" s="8" t="s">
        <v>206</v>
      </c>
      <c r="D27" s="8" t="s">
        <v>31</v>
      </c>
      <c r="E27" s="8" t="s">
        <v>234</v>
      </c>
      <c r="F27" s="8">
        <v>1</v>
      </c>
      <c r="G27" s="8">
        <v>1</v>
      </c>
      <c r="H27" s="8" t="s">
        <v>190</v>
      </c>
      <c r="I27" s="8">
        <v>1</v>
      </c>
      <c r="J27" s="8">
        <v>1</v>
      </c>
      <c r="K27" s="8">
        <f t="shared" si="14"/>
        <v>2</v>
      </c>
      <c r="L27" s="8">
        <f t="shared" si="2"/>
        <v>2</v>
      </c>
      <c r="M27" s="8">
        <f t="shared" si="2"/>
        <v>1</v>
      </c>
      <c r="N27" s="8">
        <f t="shared" si="2"/>
        <v>2</v>
      </c>
      <c r="O27" s="8">
        <f t="shared" si="2"/>
        <v>1</v>
      </c>
      <c r="Q27" s="8" t="str">
        <f t="shared" ref="Q27" si="20">B27</f>
        <v>CPAMS-LEAF-TrGr</v>
      </c>
    </row>
    <row r="28" spans="1:51" s="8" customFormat="1">
      <c r="A28" s="8">
        <v>0</v>
      </c>
      <c r="B28" s="8" t="s">
        <v>241</v>
      </c>
      <c r="C28" s="8" t="s">
        <v>206</v>
      </c>
      <c r="D28" s="8" t="s">
        <v>30</v>
      </c>
      <c r="E28" s="8" t="s">
        <v>242</v>
      </c>
      <c r="F28" s="8">
        <v>1</v>
      </c>
      <c r="G28" s="8">
        <v>1</v>
      </c>
      <c r="H28" s="8" t="s">
        <v>189</v>
      </c>
      <c r="I28" s="8">
        <v>1</v>
      </c>
      <c r="J28" s="8">
        <v>1</v>
      </c>
      <c r="K28" s="8">
        <f t="shared" si="14"/>
        <v>-1</v>
      </c>
      <c r="L28" s="8">
        <f t="shared" si="2"/>
        <v>-1</v>
      </c>
      <c r="M28" s="8">
        <f t="shared" si="2"/>
        <v>-1</v>
      </c>
      <c r="N28" s="8">
        <f t="shared" si="2"/>
        <v>1</v>
      </c>
      <c r="O28" s="8">
        <f t="shared" si="2"/>
        <v>-1</v>
      </c>
      <c r="Q28" s="8" t="str">
        <f>B28</f>
        <v>NoPAMS-LOP</v>
      </c>
    </row>
    <row r="29" spans="1:51" s="8" customFormat="1">
      <c r="A29" s="8">
        <v>0</v>
      </c>
      <c r="B29" s="8" t="s">
        <v>243</v>
      </c>
      <c r="C29" s="8" t="s">
        <v>206</v>
      </c>
      <c r="D29" s="8" t="s">
        <v>30</v>
      </c>
      <c r="E29" s="8" t="s">
        <v>244</v>
      </c>
      <c r="F29" s="8">
        <v>1</v>
      </c>
      <c r="G29" s="8">
        <v>1</v>
      </c>
      <c r="H29" s="8" t="s">
        <v>189</v>
      </c>
      <c r="I29" s="8">
        <v>1</v>
      </c>
      <c r="J29" s="8">
        <v>1</v>
      </c>
      <c r="K29" s="8">
        <f t="shared" si="14"/>
        <v>-1</v>
      </c>
      <c r="L29" s="8">
        <f t="shared" si="2"/>
        <v>-1</v>
      </c>
      <c r="M29" s="8">
        <f t="shared" si="2"/>
        <v>-1</v>
      </c>
      <c r="N29" s="8">
        <f t="shared" si="2"/>
        <v>1</v>
      </c>
      <c r="O29" s="8">
        <f t="shared" si="2"/>
        <v>-1</v>
      </c>
      <c r="Q29" s="8" t="str">
        <f>B29</f>
        <v>NoPAMS-IRP</v>
      </c>
    </row>
    <row r="30" spans="1:51" s="8" customFormat="1">
      <c r="A30" s="8">
        <v>1</v>
      </c>
      <c r="B30" s="8" t="s">
        <v>245</v>
      </c>
      <c r="C30" s="8" t="s">
        <v>206</v>
      </c>
      <c r="D30" s="8" t="s">
        <v>30</v>
      </c>
      <c r="E30" s="8" t="s">
        <v>246</v>
      </c>
      <c r="F30" s="8">
        <v>1</v>
      </c>
      <c r="G30" s="8">
        <v>1</v>
      </c>
      <c r="H30" s="8" t="s">
        <v>189</v>
      </c>
      <c r="I30" s="8">
        <v>1</v>
      </c>
      <c r="J30" s="8">
        <v>1</v>
      </c>
      <c r="K30" s="8">
        <f t="shared" si="14"/>
        <v>-1</v>
      </c>
      <c r="L30" s="8">
        <f t="shared" si="2"/>
        <v>-1</v>
      </c>
      <c r="M30" s="8">
        <f t="shared" si="2"/>
        <v>-1</v>
      </c>
      <c r="N30" s="8">
        <f t="shared" si="2"/>
        <v>1</v>
      </c>
      <c r="O30" s="8">
        <f t="shared" si="2"/>
        <v>-1</v>
      </c>
      <c r="P30" s="8">
        <v>10</v>
      </c>
      <c r="Q30" s="8" t="str">
        <f>B30</f>
        <v>NoPAMS-CAP10</v>
      </c>
    </row>
  </sheetData>
  <mergeCells count="1">
    <mergeCell ref="R6:AE6"/>
  </mergeCells>
  <phoneticPr fontId="34" type="noConversion"/>
  <dataValidations count="1">
    <dataValidation type="list" allowBlank="1" showInputMessage="1" showErrorMessage="1" sqref="H8:H30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8" customFormat="1">
      <c r="C1" s="2" t="s">
        <v>111</v>
      </c>
      <c r="D1" s="2" t="s">
        <v>106</v>
      </c>
    </row>
    <row r="2" spans="3:8" s="8" customFormat="1">
      <c r="C2" s="2" t="s">
        <v>108</v>
      </c>
    </row>
    <row r="3" spans="3:8" s="8" customFormat="1">
      <c r="C3" s="8" t="s">
        <v>110</v>
      </c>
      <c r="D3" s="8" t="s">
        <v>107</v>
      </c>
    </row>
    <row r="4" spans="3:8" s="8" customFormat="1">
      <c r="C4" s="8" t="s">
        <v>109</v>
      </c>
      <c r="D4" s="8" t="s">
        <v>107</v>
      </c>
      <c r="H4" s="2" t="s">
        <v>116</v>
      </c>
    </row>
    <row r="5" spans="3:8" s="8" customFormat="1">
      <c r="C5" s="8" t="s">
        <v>112</v>
      </c>
      <c r="D5" s="8" t="s">
        <v>107</v>
      </c>
      <c r="H5" t="s">
        <v>117</v>
      </c>
    </row>
    <row r="6" spans="3:8" s="8" customFormat="1">
      <c r="C6" s="8" t="s">
        <v>114</v>
      </c>
      <c r="D6" s="8" t="s">
        <v>107</v>
      </c>
      <c r="H6" t="s">
        <v>118</v>
      </c>
    </row>
    <row r="7" spans="3:8" s="8" customFormat="1">
      <c r="G7" s="8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8" t="s">
        <v>168</v>
      </c>
      <c r="H18" t="s">
        <v>128</v>
      </c>
    </row>
    <row r="19" spans="3:8">
      <c r="C19" t="s">
        <v>93</v>
      </c>
      <c r="G19" s="8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6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8" customFormat="1">
      <c r="C32" s="8" t="s">
        <v>102</v>
      </c>
      <c r="D32" s="8" t="s">
        <v>107</v>
      </c>
      <c r="H32"/>
    </row>
    <row r="33" spans="3:8" s="8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8" t="s">
        <v>88</v>
      </c>
      <c r="H51" s="2" t="s">
        <v>150</v>
      </c>
    </row>
    <row r="52" spans="3:8">
      <c r="C52" s="8" t="s">
        <v>83</v>
      </c>
      <c r="D52" t="s">
        <v>107</v>
      </c>
      <c r="H52" t="s">
        <v>151</v>
      </c>
    </row>
    <row r="53" spans="3:8">
      <c r="C53" s="8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8" t="s">
        <v>89</v>
      </c>
      <c r="G57" t="s">
        <v>166</v>
      </c>
      <c r="H57" t="s">
        <v>154</v>
      </c>
    </row>
    <row r="58" spans="3:8">
      <c r="C58" s="8" t="s">
        <v>83</v>
      </c>
      <c r="D58" t="s">
        <v>107</v>
      </c>
    </row>
    <row r="59" spans="3:8">
      <c r="C59" s="8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2020-10-09T09:42:19Z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