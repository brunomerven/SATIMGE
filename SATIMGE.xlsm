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3487570-B56E-448D-98BA-86E73113317B}" xr6:coauthVersionLast="45" xr6:coauthVersionMax="45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2" r:id="rId9"/>
    <pivotCache cacheId="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9" i="33" l="1"/>
  <c r="L49" i="33"/>
  <c r="M49" i="33"/>
  <c r="N49" i="33"/>
  <c r="O49" i="33"/>
  <c r="Q49" i="33"/>
  <c r="Q48" i="33" l="1"/>
  <c r="O48" i="33"/>
  <c r="N48" i="33"/>
  <c r="M48" i="33"/>
  <c r="L48" i="33"/>
  <c r="K48" i="33"/>
  <c r="Q47" i="33"/>
  <c r="O47" i="33"/>
  <c r="N47" i="33"/>
  <c r="M47" i="33"/>
  <c r="L47" i="33"/>
  <c r="K47" i="33"/>
  <c r="Q46" i="33"/>
  <c r="O46" i="33"/>
  <c r="N46" i="33"/>
  <c r="M46" i="33"/>
  <c r="L46" i="33"/>
  <c r="K46" i="33"/>
  <c r="Q45" i="33"/>
  <c r="O45" i="33"/>
  <c r="N45" i="33"/>
  <c r="M45" i="33"/>
  <c r="L45" i="33"/>
  <c r="K45" i="33"/>
  <c r="Q44" i="33"/>
  <c r="O44" i="33"/>
  <c r="N44" i="33"/>
  <c r="M44" i="33"/>
  <c r="L44" i="33"/>
  <c r="K44" i="33"/>
  <c r="Q34" i="33" l="1"/>
  <c r="O34" i="33"/>
  <c r="N34" i="33"/>
  <c r="M34" i="33"/>
  <c r="L34" i="33"/>
  <c r="K34" i="33"/>
  <c r="Q33" i="33"/>
  <c r="O33" i="33"/>
  <c r="N33" i="33"/>
  <c r="M33" i="33"/>
  <c r="L33" i="33"/>
  <c r="K33" i="33"/>
  <c r="Q32" i="33"/>
  <c r="O32" i="33"/>
  <c r="N32" i="33"/>
  <c r="M32" i="33"/>
  <c r="L32" i="33"/>
  <c r="K32" i="33"/>
  <c r="Q31" i="33"/>
  <c r="O31" i="33"/>
  <c r="N31" i="33"/>
  <c r="M31" i="33"/>
  <c r="L31" i="33"/>
  <c r="K31" i="33"/>
  <c r="Q37" i="33"/>
  <c r="O37" i="33"/>
  <c r="N37" i="33"/>
  <c r="M37" i="33"/>
  <c r="L37" i="33"/>
  <c r="K37" i="33"/>
  <c r="Q43" i="33" l="1"/>
  <c r="O43" i="33"/>
  <c r="N43" i="33"/>
  <c r="M43" i="33"/>
  <c r="L43" i="33"/>
  <c r="K43" i="33"/>
  <c r="Q42" i="33"/>
  <c r="O42" i="33"/>
  <c r="N42" i="33"/>
  <c r="M42" i="33"/>
  <c r="L42" i="33"/>
  <c r="K42" i="33"/>
  <c r="Q41" i="33"/>
  <c r="O41" i="33"/>
  <c r="N41" i="33"/>
  <c r="M41" i="33"/>
  <c r="L41" i="33"/>
  <c r="K41" i="33"/>
  <c r="Q40" i="33"/>
  <c r="O40" i="33"/>
  <c r="N40" i="33"/>
  <c r="M40" i="33"/>
  <c r="L40" i="33"/>
  <c r="K40" i="33"/>
  <c r="K39" i="33"/>
  <c r="L39" i="33"/>
  <c r="M39" i="33"/>
  <c r="N39" i="33"/>
  <c r="O39" i="33"/>
  <c r="Q39" i="33"/>
  <c r="K38" i="33"/>
  <c r="L38" i="33"/>
  <c r="M38" i="33"/>
  <c r="N38" i="33"/>
  <c r="O38" i="33"/>
  <c r="Q38" i="33"/>
  <c r="K36" i="33"/>
  <c r="L36" i="33"/>
  <c r="M36" i="33"/>
  <c r="N36" i="33"/>
  <c r="O36" i="33"/>
  <c r="Q36" i="33"/>
  <c r="Q35" i="33"/>
  <c r="O35" i="33"/>
  <c r="N35" i="33"/>
  <c r="M35" i="33"/>
  <c r="L35" i="33"/>
  <c r="K35" i="33"/>
  <c r="C21" i="4" l="1"/>
  <c r="K30" i="33" l="1"/>
  <c r="L30" i="33"/>
  <c r="M30" i="33"/>
  <c r="N30" i="33"/>
  <c r="O30" i="33"/>
  <c r="Q30" i="33"/>
  <c r="Q29" i="33" l="1"/>
  <c r="O29" i="33"/>
  <c r="N29" i="33"/>
  <c r="M29" i="33"/>
  <c r="L29" i="33"/>
  <c r="K29" i="33"/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E7" i="5"/>
  <c r="AE8" i="5" s="1"/>
  <c r="AE9" i="5" s="1"/>
  <c r="AE10" i="5" s="1"/>
  <c r="AE11" i="5" s="1"/>
  <c r="AE12" i="5" s="1"/>
  <c r="AE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tc={3A629425-736C-49FF-8B83-3FBBBC12C4CE}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1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<sst xmlns="http://schemas.openxmlformats.org/spreadsheetml/2006/main" count="1024" uniqueCount="274">
  <si>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</si>
  <si>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</si>
  <si>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</si>
  <si>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</si>
  <si>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</si>
  <si>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</si>
  <si>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</si>
  <si>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</si>
  <si>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</si>
  <si>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</si>
  <si>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</si>
  <si>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</si>
  <si>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</si>
  <si>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</si>
  <si>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</si>
  <si>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</si>
  <si>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</si>
  <si>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</si>
  <si>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</si>
  <si>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</si>
  <si>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</si>
  <si>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</si>
  <si>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</si>
  <si>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</si>
  <si>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</si>
  <si>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</si>
  <si>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</si>
  <si>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</si>
  <si>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</si>
  <si>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</si>
  <si>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</si>
  <si>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</si>
  <si>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</si>
  <si>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</si>
  <si>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</si>
  <si>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</si>
  <si>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</si>
  <si>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</si>
  <si>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</si>
  <si>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</si>
  <si>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</si>
  <si>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</si>
  <si>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</si>
  <si>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</si>
  <si>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</si>
  <si>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</si>
  <si>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</si>
  <si>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</si>
  <si>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</si>
  <si>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</si>
  <si>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</si>
  <si>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</si>
  <si>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</si>
  <si>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</si>
  <si>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</si>
  <si>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</si>
  <si>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</si>
  <si>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</si>
  <si>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</si>
  <si>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</si>
  <si>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</si>
  <si>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</si>
  <si>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</si>
  <si>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</si>
  <si>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</si>
  <si>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</si>
  <si>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</si>
  <si>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</si>
  <si>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</si>
  <si>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</si>
  <si>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</si>
  <si>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</si>
  <si>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</si>
  <si>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</si>
  <si>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</si>
  <si>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</si>
  <si>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</si>
  <si>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</si>
  <si>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</si>
  <si>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</si>
  <si>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</si>
  <si>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</si>
  <si>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</si>
  <si>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</si>
  <si>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</si>
  <si>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</si>
  <si>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</si>
  <si>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</si>
  <si>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</si>
  <si>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</si>
  <si>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</si>
  <si>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</si>
  <si>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</si>
  <si>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</si>
  <si>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</si>
  <si>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</si>
  <si>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</si>
  <si>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</si>
  <si>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</si>
  <si>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</si>
  <si>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</si>
  <si>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</si>
  <si>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</si>
  <si>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</si>
  <si>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</si>
  <si>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</si>
  <si>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</si>
  <si>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</si>
  <si>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</si>
  <si>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</si>
  <si>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</si>
  <si>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</si>
  <si>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</si>
  <si>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</si>
  <si>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</si>
  <si>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</si>
  <si>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</si>
  <si>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</si>
  <si>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</si>
  <si>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</si>
  <si>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</si>
  <si>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</si>
  <si>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</si>
  <si>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</si>
  <si>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</si>
  <si>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</si>
  <si>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</si>
  <si>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</si>
  <si>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</si>
  <si>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</si>
  <si>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</si>
  <si>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</si>
  <si>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</si>
  <si>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</si>
  <si>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</si>
  <si>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</si>
  <si>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</si>
  <si>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</si>
  <si>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</si>
  <si>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</si>
  <si>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</si>
  <si>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</si>
  <si>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</si>
  <si>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</si>
  <si>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</si>
  <si>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</si>
  <si>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</si>
  <si>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</si>
  <si>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</si>
  <si>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</si>
  <si>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</si>
  <si>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</si>
  <si>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</si>
  <si>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</si>
  <si>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</si>
  <si>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</si>
  <si>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</si>
  <si>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</si>
  <si>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</si>
  <si>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</si>
  <si>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</si>
  <si>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</si>
  <si>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</si>
  <si>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</si>
  <si>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</si>
  <si>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</si>
  <si>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</si>
  <si>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</si>
  <si>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</si>
  <si>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</si>
  <si>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</si>
  <si>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</si>
  <si>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</si>
  <si>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</si>
  <si>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</si>
  <si>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</si>
  <si>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</si>
  <si>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</si>
  <si>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</si>
  <si>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</si>
  <si>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</si>
  <si>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</si>
  <si>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</si>
  <si>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</si>
  <si>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</si>
  <si>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</si>
  <si>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</si>
  <si>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</si>
  <si>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</si>
  <si>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</si>
  <si>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</si>
  <si>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</si>
  <si>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</si>
  <si>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</si>
  <si>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</si>
  <si>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</si>
  <si>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</si>
  <si>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</si>
  <si>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</si>
  <si>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</si>
  <si>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</si>
  <si>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</si>
  <si>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</si>
  <si>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</si>
  <si>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</si>
  <si>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</si>
  <si>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</si>
  <si>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</si>
  <si>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</si>
  <si>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</si>
  <si>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</si>
  <si>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</si>
  <si>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</si>
  <si>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</si>
  <si>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</si>
  <si>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</si>
  <si>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</si>
  <si>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</si>
  <si>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</si>
  <si>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</si>
  <si>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</si>
  <si>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</si>
  <si>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</si>
  <si>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</si>
  <si>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</si>
  <si>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</si>
  <si>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</si>
  <si>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</si>
  <si>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</si>
  <si>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</si>
  <si>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</si>
  <si>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</si>
  <si>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</si>
  <si>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</si>
  <si>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</si>
  <si>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</si>
  <si>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</si>
  <si>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</si>
  <si>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</si>
  <si>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</si>
  <si>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</si>
  <si>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</si>
  <si>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</si>
  <si>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</si>
  <si>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</si>
  <si>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</si>
  <si>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</si>
  <si>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</si>
  <si>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</si>
  <si>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</si>
  <si>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</si>
  <si>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</si>
  <si>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</si>
  <si>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</si>
  <si>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</si>
  <si>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</si>
  <si>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</si>
  <si>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</si>
  <si>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</si>
  <si>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</si>
  <si>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</si>
  <si>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</si>
  <si>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NoPAMS-CAP09</t>
  </si>
  <si>
    <t>NoPAMS-CAP08</t>
  </si>
  <si>
    <t>NoPAMS-CAP07</t>
  </si>
  <si>
    <t>NoPAMS-CAP06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</si>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</sst>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0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139.406795717594" createdVersion="6" refreshedVersion="6" minRefreshableVersion="3" recordCount="43" xr:uid="{D229C3DF-142A-4D15-BB2C-2EA205AB0203}">
  <cacheSource type="worksheet">
    <worksheetSource ref="A7:P10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78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m/>
        <s v="CPAMS-HiGr" u="1"/>
        <s v="TrGr-NoPams" u="1"/>
        <s v="NoPAMS-CAP9" u="1"/>
        <s v="CPAMS-TrGr-REProg" u="1"/>
        <s v="CPAMS-LEAF-ND" u="1"/>
        <s v="CentralPAMSnoCoal" u="1"/>
        <s v="Test_TS" u="1"/>
        <s v="CPAMS-HIGrREProg" u="1"/>
        <s v="NoPAMS-Resid" u="1"/>
        <s v="LoPAMS-FrcdCoal" u="1"/>
        <s v="NoPAMSForce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CentralPAMS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139.406795833333" createdVersion="6" refreshedVersion="6" minRefreshableVersion="3" recordCount="43" xr:uid="{C0EB43E8-6CC6-4DE4-B7F1-02B09F7BA69A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75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m/>
        <s v="CPAMS-HiGr" u="1"/>
        <s v="TrGr-NoPams" u="1"/>
        <s v="NoPAMS-CAP9" u="1"/>
        <s v="CPAMS-TrGr-REProg" u="1"/>
        <s v="CPAMS-LEAF-ND" u="1"/>
        <s v="Test_TS" u="1"/>
        <s v="CPAMS-HIGrREProg" u="1"/>
        <s v="NoPAMS-Resid" u="1"/>
        <s v="LoPAMS-Frc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45">
        <s v="NOPAMS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LOP"/>
        <s v="NOPAMSIRP"/>
        <s v="NOPAMSCAP"/>
        <s v="NOPAMSMRE_LE"/>
        <s v="NOPAMSRE_LE"/>
        <s v="CPAMSNOIRPLE"/>
        <s v="CPAMSMRELEAF"/>
        <s v="CPAMSCAP"/>
        <s v="NOPAMS_EXP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HPAMSREPROG" u="1"/>
        <s v="LPAMSMRE" u="1"/>
        <s v="NOPAMS_EXP2" u="1"/>
        <s v="CPAMSMRE_LEAF" u="1"/>
        <s v="RUNZERO" u="1"/>
        <s v="NOPAMS_EXP3" u="1"/>
        <s v="LPAMSMREP" u="1"/>
        <s v="NOPAMS_EXP4" u="1"/>
        <s v="CPAMSC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s v="yes tested"/>
    <s v="base"/>
    <s v="NOPAMS"/>
    <n v="0"/>
    <n v="0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0"/>
    <x v="12"/>
    <s v="yes tested"/>
    <s v="sim1"/>
    <s v="CPAMSIRPTG"/>
    <n v="1"/>
    <n v="1"/>
    <s v="Base Pams"/>
    <n v="1"/>
    <n v="1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0"/>
    <x v="17"/>
    <s v="yes tested"/>
    <s v="sim1"/>
    <s v="NOPAMS"/>
    <n v="1"/>
    <n v="1"/>
    <s v="No Pams"/>
    <n v="1"/>
    <n v="1"/>
    <n v="-1"/>
    <n v="-1"/>
    <n v="-1"/>
    <n v="1"/>
    <n v="-1"/>
    <m/>
  </r>
  <r>
    <n v="0"/>
    <x v="18"/>
    <s v="yes tested"/>
    <s v="sim1"/>
    <s v="NOPAMS_LEAF"/>
    <n v="1"/>
    <n v="1"/>
    <s v="No Pams"/>
    <n v="1"/>
    <n v="1"/>
    <n v="-1"/>
    <n v="-1"/>
    <n v="-1"/>
    <n v="1"/>
    <n v="-1"/>
    <m/>
  </r>
  <r>
    <n v="0"/>
    <x v="19"/>
    <s v="yes tested"/>
    <s v="sim1"/>
    <s v="CPAMS_LEAF"/>
    <n v="1"/>
    <n v="1"/>
    <s v="Base Pams"/>
    <n v="1"/>
    <n v="1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0"/>
    <x v="22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23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24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25"/>
    <s v="yes tested"/>
    <s v="base"/>
    <s v="NOPAMSCAP"/>
    <n v="1"/>
    <n v="1"/>
    <s v="No Pams"/>
    <n v="1"/>
    <n v="1"/>
    <n v="-1"/>
    <n v="-1"/>
    <n v="-1"/>
    <n v="1"/>
    <n v="-1"/>
    <n v="7"/>
  </r>
  <r>
    <n v="0"/>
    <x v="26"/>
    <s v="yes tested"/>
    <s v="base"/>
    <s v="NOPAMSCAP"/>
    <n v="1"/>
    <n v="1"/>
    <s v="No Pams"/>
    <n v="1"/>
    <n v="1"/>
    <n v="-1"/>
    <n v="-1"/>
    <n v="-1"/>
    <n v="1"/>
    <n v="-1"/>
    <n v="6"/>
  </r>
  <r>
    <n v="0"/>
    <x v="27"/>
    <s v="yes tested"/>
    <s v="base"/>
    <s v="NOPAMSMRE_LE"/>
    <n v="1"/>
    <n v="1"/>
    <s v="No Pams"/>
    <n v="1"/>
    <n v="1"/>
    <n v="-1"/>
    <n v="-1"/>
    <n v="-1"/>
    <n v="1"/>
    <n v="-1"/>
    <m/>
  </r>
  <r>
    <n v="0"/>
    <x v="28"/>
    <s v="yes tested"/>
    <s v="sim1"/>
    <s v="NOPAMSMRE_LE"/>
    <n v="1"/>
    <n v="1"/>
    <s v="No Pams"/>
    <n v="1"/>
    <n v="1"/>
    <n v="-1"/>
    <n v="-1"/>
    <n v="-1"/>
    <n v="1"/>
    <n v="-1"/>
    <m/>
  </r>
  <r>
    <n v="0"/>
    <x v="29"/>
    <s v="yes tested"/>
    <s v="base"/>
    <s v="NOPAMSRE_LE"/>
    <n v="1"/>
    <n v="1"/>
    <s v="No Pams"/>
    <n v="1"/>
    <n v="1"/>
    <n v="-1"/>
    <n v="-1"/>
    <n v="-1"/>
    <n v="1"/>
    <n v="-1"/>
    <m/>
  </r>
  <r>
    <n v="0"/>
    <x v="30"/>
    <s v="yes tested"/>
    <s v="sim1"/>
    <s v="NOPAMSRE_LE"/>
    <n v="1"/>
    <n v="1"/>
    <s v="No Pams"/>
    <n v="1"/>
    <n v="1"/>
    <n v="-1"/>
    <n v="-1"/>
    <n v="-1"/>
    <n v="1"/>
    <n v="-1"/>
    <m/>
  </r>
  <r>
    <n v="0"/>
    <x v="31"/>
    <s v="yes tested"/>
    <s v="base"/>
    <s v="CPAMSNOIRPLE"/>
    <n v="1"/>
    <n v="1"/>
    <s v="Base Pams"/>
    <n v="1"/>
    <n v="1"/>
    <n v="2"/>
    <n v="2"/>
    <n v="1"/>
    <n v="2"/>
    <n v="1"/>
    <m/>
  </r>
  <r>
    <n v="0"/>
    <x v="32"/>
    <s v="yes tested"/>
    <s v="base"/>
    <s v="CPAMSMRELEAF"/>
    <n v="1"/>
    <n v="1"/>
    <s v="Base Pams"/>
    <n v="1"/>
    <n v="1"/>
    <n v="2"/>
    <n v="2"/>
    <n v="1"/>
    <n v="2"/>
    <n v="1"/>
    <m/>
  </r>
  <r>
    <n v="0"/>
    <x v="33"/>
    <s v="yes tested"/>
    <s v="sim1"/>
    <s v="CPAMSNOIRPLE"/>
    <n v="1"/>
    <n v="1"/>
    <s v="Base Pams"/>
    <n v="1"/>
    <n v="1"/>
    <n v="2"/>
    <n v="2"/>
    <n v="1"/>
    <n v="2"/>
    <n v="1"/>
    <m/>
  </r>
  <r>
    <n v="0"/>
    <x v="34"/>
    <s v="yes tested"/>
    <s v="sim1"/>
    <s v="CPAMSMRELEAF"/>
    <n v="1"/>
    <n v="1"/>
    <s v="Base Pams"/>
    <n v="1"/>
    <n v="1"/>
    <n v="2"/>
    <n v="2"/>
    <n v="1"/>
    <n v="2"/>
    <n v="1"/>
    <m/>
  </r>
  <r>
    <n v="0"/>
    <x v="35"/>
    <s v="yes tested"/>
    <s v="sim1"/>
    <s v="CPAMSRE_LEAF"/>
    <n v="1"/>
    <n v="1"/>
    <s v="Base Pams"/>
    <n v="1"/>
    <n v="1"/>
    <n v="2"/>
    <n v="2"/>
    <n v="1"/>
    <n v="2"/>
    <n v="1"/>
    <m/>
  </r>
  <r>
    <n v="0"/>
    <x v="36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37"/>
    <s v="yes tested"/>
    <s v="base"/>
    <s v="CPAMSCAP"/>
    <n v="1"/>
    <n v="1"/>
    <s v="Base Pams"/>
    <n v="1"/>
    <n v="1"/>
    <n v="2"/>
    <n v="2"/>
    <n v="1"/>
    <n v="2"/>
    <n v="1"/>
    <n v="9"/>
  </r>
  <r>
    <n v="0"/>
    <x v="38"/>
    <s v="yes tested"/>
    <s v="base"/>
    <s v="CPAMSCAP"/>
    <n v="1"/>
    <n v="1"/>
    <s v="Base Pams"/>
    <n v="1"/>
    <n v="1"/>
    <n v="2"/>
    <n v="2"/>
    <n v="1"/>
    <n v="2"/>
    <n v="1"/>
    <n v="8"/>
  </r>
  <r>
    <n v="0"/>
    <x v="39"/>
    <s v="yes tested"/>
    <s v="base"/>
    <s v="CPAMSCAP"/>
    <n v="1"/>
    <n v="1"/>
    <s v="Base Pams"/>
    <n v="1"/>
    <n v="1"/>
    <n v="2"/>
    <n v="2"/>
    <n v="1"/>
    <n v="2"/>
    <n v="1"/>
    <n v="7"/>
  </r>
  <r>
    <n v="0"/>
    <x v="40"/>
    <s v="yes tested"/>
    <s v="base"/>
    <s v="CPAMSCAP"/>
    <n v="1"/>
    <n v="1"/>
    <s v="Base Pams"/>
    <n v="1"/>
    <n v="1"/>
    <n v="2"/>
    <n v="2"/>
    <n v="1"/>
    <n v="2"/>
    <n v="1"/>
    <n v="6"/>
  </r>
  <r>
    <n v="0"/>
    <x v="41"/>
    <s v="yes tested"/>
    <s v="base"/>
    <s v="NOPAMS_EXP"/>
    <n v="0"/>
    <n v="0"/>
    <s v="No Pams"/>
    <n v="1"/>
    <n v="1"/>
    <n v="-1"/>
    <n v="-1"/>
    <n v="-1"/>
    <n v="1"/>
    <n v="-1"/>
    <m/>
  </r>
  <r>
    <m/>
    <x v="42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s v="yes tested"/>
    <x v="0"/>
    <x v="0"/>
    <n v="0"/>
    <n v="0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0"/>
    <x v="12"/>
    <s v="yes tested"/>
    <x v="1"/>
    <x v="12"/>
    <n v="1"/>
    <n v="1"/>
    <s v="Base Pams"/>
    <n v="1"/>
    <n v="1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0"/>
    <x v="17"/>
    <s v="yes tested"/>
    <x v="1"/>
    <x v="0"/>
    <n v="1"/>
    <n v="1"/>
    <s v="No Pams"/>
    <n v="1"/>
    <n v="1"/>
    <n v="-1"/>
    <n v="-1"/>
    <n v="-1"/>
    <n v="1"/>
    <n v="-1"/>
    <m/>
  </r>
  <r>
    <n v="0"/>
    <x v="18"/>
    <s v="yes tested"/>
    <x v="1"/>
    <x v="9"/>
    <n v="1"/>
    <n v="1"/>
    <s v="No Pams"/>
    <n v="1"/>
    <n v="1"/>
    <n v="-1"/>
    <n v="-1"/>
    <n v="-1"/>
    <n v="1"/>
    <n v="-1"/>
    <m/>
  </r>
  <r>
    <n v="0"/>
    <x v="19"/>
    <s v="yes tested"/>
    <x v="1"/>
    <x v="10"/>
    <n v="1"/>
    <n v="1"/>
    <s v="Base Pams"/>
    <n v="1"/>
    <n v="1"/>
    <n v="2"/>
    <n v="2"/>
    <n v="1"/>
    <n v="2"/>
    <n v="1"/>
    <m/>
  </r>
  <r>
    <n v="0"/>
    <x v="20"/>
    <s v="yes tested"/>
    <x v="0"/>
    <x v="17"/>
    <n v="1"/>
    <n v="1"/>
    <s v="No Pams"/>
    <n v="1"/>
    <n v="1"/>
    <n v="-1"/>
    <n v="-1"/>
    <n v="-1"/>
    <n v="1"/>
    <n v="-1"/>
    <m/>
  </r>
  <r>
    <n v="0"/>
    <x v="21"/>
    <s v="yes tested"/>
    <x v="0"/>
    <x v="18"/>
    <n v="1"/>
    <n v="1"/>
    <s v="No Pams"/>
    <n v="1"/>
    <n v="1"/>
    <n v="-1"/>
    <n v="-1"/>
    <n v="-1"/>
    <n v="1"/>
    <n v="-1"/>
    <m/>
  </r>
  <r>
    <n v="0"/>
    <x v="22"/>
    <s v="yes tested"/>
    <x v="0"/>
    <x v="19"/>
    <n v="1"/>
    <n v="1"/>
    <s v="No Pams"/>
    <n v="1"/>
    <n v="1"/>
    <n v="-1"/>
    <n v="-1"/>
    <n v="-1"/>
    <n v="1"/>
    <n v="-1"/>
    <n v="10"/>
  </r>
  <r>
    <n v="0"/>
    <x v="23"/>
    <s v="yes tested"/>
    <x v="0"/>
    <x v="19"/>
    <n v="1"/>
    <n v="1"/>
    <s v="No Pams"/>
    <n v="1"/>
    <n v="1"/>
    <n v="-1"/>
    <n v="-1"/>
    <n v="-1"/>
    <n v="1"/>
    <n v="-1"/>
    <n v="9"/>
  </r>
  <r>
    <n v="0"/>
    <x v="24"/>
    <s v="yes tested"/>
    <x v="0"/>
    <x v="19"/>
    <n v="1"/>
    <n v="1"/>
    <s v="No Pams"/>
    <n v="1"/>
    <n v="1"/>
    <n v="-1"/>
    <n v="-1"/>
    <n v="-1"/>
    <n v="1"/>
    <n v="-1"/>
    <n v="8"/>
  </r>
  <r>
    <n v="0"/>
    <x v="25"/>
    <s v="yes tested"/>
    <x v="0"/>
    <x v="19"/>
    <n v="1"/>
    <n v="1"/>
    <s v="No Pams"/>
    <n v="1"/>
    <n v="1"/>
    <n v="-1"/>
    <n v="-1"/>
    <n v="-1"/>
    <n v="1"/>
    <n v="-1"/>
    <n v="7"/>
  </r>
  <r>
    <n v="0"/>
    <x v="26"/>
    <s v="yes tested"/>
    <x v="0"/>
    <x v="19"/>
    <n v="1"/>
    <n v="1"/>
    <s v="No Pams"/>
    <n v="1"/>
    <n v="1"/>
    <n v="-1"/>
    <n v="-1"/>
    <n v="-1"/>
    <n v="1"/>
    <n v="-1"/>
    <n v="6"/>
  </r>
  <r>
    <n v="0"/>
    <x v="27"/>
    <s v="yes tested"/>
    <x v="0"/>
    <x v="20"/>
    <n v="1"/>
    <n v="1"/>
    <s v="No Pams"/>
    <n v="1"/>
    <n v="1"/>
    <n v="-1"/>
    <n v="-1"/>
    <n v="-1"/>
    <n v="1"/>
    <n v="-1"/>
    <m/>
  </r>
  <r>
    <n v="0"/>
    <x v="28"/>
    <s v="yes tested"/>
    <x v="1"/>
    <x v="20"/>
    <n v="1"/>
    <n v="1"/>
    <s v="No Pams"/>
    <n v="1"/>
    <n v="1"/>
    <n v="-1"/>
    <n v="-1"/>
    <n v="-1"/>
    <n v="1"/>
    <n v="-1"/>
    <m/>
  </r>
  <r>
    <n v="0"/>
    <x v="29"/>
    <s v="yes tested"/>
    <x v="0"/>
    <x v="21"/>
    <n v="1"/>
    <n v="1"/>
    <s v="No Pams"/>
    <n v="1"/>
    <n v="1"/>
    <n v="-1"/>
    <n v="-1"/>
    <n v="-1"/>
    <n v="1"/>
    <n v="-1"/>
    <m/>
  </r>
  <r>
    <n v="0"/>
    <x v="30"/>
    <s v="yes tested"/>
    <x v="1"/>
    <x v="21"/>
    <n v="1"/>
    <n v="1"/>
    <s v="No Pams"/>
    <n v="1"/>
    <n v="1"/>
    <n v="-1"/>
    <n v="-1"/>
    <n v="-1"/>
    <n v="1"/>
    <n v="-1"/>
    <m/>
  </r>
  <r>
    <n v="0"/>
    <x v="31"/>
    <s v="yes tested"/>
    <x v="0"/>
    <x v="22"/>
    <n v="1"/>
    <n v="1"/>
    <s v="Base Pams"/>
    <n v="1"/>
    <n v="1"/>
    <n v="2"/>
    <n v="2"/>
    <n v="1"/>
    <n v="2"/>
    <n v="1"/>
    <m/>
  </r>
  <r>
    <n v="0"/>
    <x v="32"/>
    <s v="yes tested"/>
    <x v="0"/>
    <x v="23"/>
    <n v="1"/>
    <n v="1"/>
    <s v="Base Pams"/>
    <n v="1"/>
    <n v="1"/>
    <n v="2"/>
    <n v="2"/>
    <n v="1"/>
    <n v="2"/>
    <n v="1"/>
    <m/>
  </r>
  <r>
    <n v="0"/>
    <x v="33"/>
    <s v="yes tested"/>
    <x v="1"/>
    <x v="22"/>
    <n v="1"/>
    <n v="1"/>
    <s v="Base Pams"/>
    <n v="1"/>
    <n v="1"/>
    <n v="2"/>
    <n v="2"/>
    <n v="1"/>
    <n v="2"/>
    <n v="1"/>
    <m/>
  </r>
  <r>
    <n v="0"/>
    <x v="34"/>
    <s v="yes tested"/>
    <x v="1"/>
    <x v="23"/>
    <n v="1"/>
    <n v="1"/>
    <s v="Base Pams"/>
    <n v="1"/>
    <n v="1"/>
    <n v="2"/>
    <n v="2"/>
    <n v="1"/>
    <n v="2"/>
    <n v="1"/>
    <m/>
  </r>
  <r>
    <n v="0"/>
    <x v="35"/>
    <s v="yes tested"/>
    <x v="1"/>
    <x v="11"/>
    <n v="1"/>
    <n v="1"/>
    <s v="Base Pams"/>
    <n v="1"/>
    <n v="1"/>
    <n v="2"/>
    <n v="2"/>
    <n v="1"/>
    <n v="2"/>
    <n v="1"/>
    <m/>
  </r>
  <r>
    <n v="0"/>
    <x v="36"/>
    <s v="yes tested"/>
    <x v="0"/>
    <x v="24"/>
    <n v="1"/>
    <n v="1"/>
    <s v="Base Pams"/>
    <n v="1"/>
    <n v="1"/>
    <n v="2"/>
    <n v="2"/>
    <n v="1"/>
    <n v="2"/>
    <n v="1"/>
    <n v="10"/>
  </r>
  <r>
    <n v="0"/>
    <x v="37"/>
    <s v="yes tested"/>
    <x v="0"/>
    <x v="24"/>
    <n v="1"/>
    <n v="1"/>
    <s v="Base Pams"/>
    <n v="1"/>
    <n v="1"/>
    <n v="2"/>
    <n v="2"/>
    <n v="1"/>
    <n v="2"/>
    <n v="1"/>
    <n v="9"/>
  </r>
  <r>
    <n v="0"/>
    <x v="38"/>
    <s v="yes tested"/>
    <x v="0"/>
    <x v="24"/>
    <n v="1"/>
    <n v="1"/>
    <s v="Base Pams"/>
    <n v="1"/>
    <n v="1"/>
    <n v="2"/>
    <n v="2"/>
    <n v="1"/>
    <n v="2"/>
    <n v="1"/>
    <n v="8"/>
  </r>
  <r>
    <n v="0"/>
    <x v="39"/>
    <s v="yes tested"/>
    <x v="0"/>
    <x v="24"/>
    <n v="1"/>
    <n v="1"/>
    <s v="Base Pams"/>
    <n v="1"/>
    <n v="1"/>
    <n v="2"/>
    <n v="2"/>
    <n v="1"/>
    <n v="2"/>
    <n v="1"/>
    <n v="7"/>
  </r>
  <r>
    <n v="0"/>
    <x v="40"/>
    <s v="yes tested"/>
    <x v="0"/>
    <x v="24"/>
    <n v="1"/>
    <n v="1"/>
    <s v="Base Pams"/>
    <n v="1"/>
    <n v="1"/>
    <n v="2"/>
    <n v="2"/>
    <n v="1"/>
    <n v="2"/>
    <n v="1"/>
    <n v="6"/>
  </r>
  <r>
    <n v="0"/>
    <x v="41"/>
    <s v="yes tested"/>
    <x v="0"/>
    <x v="25"/>
    <n v="0"/>
    <n v="0"/>
    <s v="No Pams"/>
    <n v="1"/>
    <n v="1"/>
    <n v="-1"/>
    <n v="-1"/>
    <n v="-1"/>
    <n v="1"/>
    <n v="-1"/>
    <m/>
  </r>
  <r>
    <m/>
    <x v="42"/>
    <m/>
    <x v="2"/>
    <x v="2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49" firstHeaderRow="1" firstDataRow="1" firstDataCol="1"/>
  <pivotFields count="16">
    <pivotField showAll="0"/>
    <pivotField axis="axisRow" showAll="0">
      <items count="76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7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49" firstHeaderRow="1" firstDataRow="1" firstDataCol="1"/>
  <pivotFields count="16">
    <pivotField dataField="1" showAll="0"/>
    <pivotField axis="axisRow" showAll="0" sortType="ascending">
      <items count="76">
        <item x="5"/>
        <item x="8"/>
        <item x="40"/>
        <item x="39"/>
        <item x="38"/>
        <item x="37"/>
        <item x="36"/>
        <item m="1" x="43"/>
        <item m="1" x="49"/>
        <item x="10"/>
        <item m="1" x="47"/>
        <item x="19"/>
        <item m="1" x="70"/>
        <item x="3"/>
        <item x="32"/>
        <item x="34"/>
        <item x="2"/>
        <item x="31"/>
        <item x="33"/>
        <item x="4"/>
        <item x="11"/>
        <item m="1" x="64"/>
        <item x="35"/>
        <item m="1" x="57"/>
        <item x="12"/>
        <item x="14"/>
        <item x="13"/>
        <item m="1" x="46"/>
        <item x="6"/>
        <item m="1" x="58"/>
        <item x="1"/>
        <item m="1" x="51"/>
        <item m="1" x="62"/>
        <item x="15"/>
        <item x="0"/>
        <item m="1" x="68"/>
        <item m="1" x="71"/>
        <item m="1" x="61"/>
        <item x="7"/>
        <item m="1" x="55"/>
        <item m="1" x="59"/>
        <item m="1" x="72"/>
        <item m="1" x="66"/>
        <item x="26"/>
        <item x="25"/>
        <item x="24"/>
        <item x="23"/>
        <item x="22"/>
        <item m="1" x="45"/>
        <item m="1" x="65"/>
        <item m="1" x="53"/>
        <item m="1" x="73"/>
        <item x="21"/>
        <item x="9"/>
        <item m="1" x="67"/>
        <item x="18"/>
        <item m="1" x="56"/>
        <item x="20"/>
        <item m="1" x="52"/>
        <item x="27"/>
        <item x="28"/>
        <item m="1" x="69"/>
        <item x="29"/>
        <item x="30"/>
        <item m="1" x="50"/>
        <item x="41"/>
        <item x="17"/>
        <item x="16"/>
        <item m="1" x="74"/>
        <item m="1" x="54"/>
        <item m="1" x="60"/>
        <item m="1" x="48"/>
        <item m="1" x="63"/>
        <item m="1" x="44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4"/>
    </i>
    <i>
      <x v="25"/>
    </i>
    <i>
      <x v="26"/>
    </i>
    <i>
      <x v="28"/>
    </i>
    <i>
      <x v="30"/>
    </i>
    <i>
      <x v="33"/>
    </i>
    <i>
      <x v="34"/>
    </i>
    <i>
      <x v="38"/>
    </i>
    <i>
      <x v="43"/>
    </i>
    <i>
      <x v="44"/>
    </i>
    <i>
      <x v="45"/>
    </i>
    <i>
      <x v="46"/>
    </i>
    <i>
      <x v="47"/>
    </i>
    <i>
      <x v="52"/>
    </i>
    <i>
      <x v="53"/>
    </i>
    <i>
      <x v="55"/>
    </i>
    <i>
      <x v="57"/>
    </i>
    <i>
      <x v="59"/>
    </i>
    <i>
      <x v="60"/>
    </i>
    <i>
      <x v="62"/>
    </i>
    <i>
      <x v="63"/>
    </i>
    <i>
      <x v="65"/>
    </i>
    <i>
      <x v="66"/>
    </i>
    <i>
      <x v="67"/>
    </i>
    <i>
      <x v="7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4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5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m="1" x="39"/>
        <item x="5"/>
        <item m="1" x="31"/>
        <item x="26"/>
        <item m="1" x="33"/>
        <item m="1" x="29"/>
        <item x="6"/>
        <item x="0"/>
        <item m="1" x="32"/>
        <item x="12"/>
        <item x="16"/>
        <item m="1" x="30"/>
        <item m="1" x="28"/>
        <item m="1" x="35"/>
        <item m="1" x="27"/>
        <item m="1" x="44"/>
        <item x="2"/>
        <item x="3"/>
        <item x="4"/>
        <item x="13"/>
        <item x="1"/>
        <item m="1" x="41"/>
        <item m="1" x="36"/>
        <item x="15"/>
        <item x="14"/>
        <item x="7"/>
        <item x="8"/>
        <item x="9"/>
        <item x="11"/>
        <item x="10"/>
        <item x="17"/>
        <item x="18"/>
        <item m="1" x="34"/>
        <item x="19"/>
        <item x="20"/>
        <item x="21"/>
        <item x="22"/>
        <item m="1" x="38"/>
        <item x="23"/>
        <item m="1" x="43"/>
        <item x="24"/>
        <item x="25"/>
        <item m="1" x="37"/>
        <item m="1" x="40"/>
        <item m="1"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3">
    <i>
      <x v="1"/>
      <x v="1"/>
    </i>
    <i>
      <x v="5"/>
      <x v="3"/>
    </i>
    <i>
      <x v="6"/>
      <x v="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  <i>
      <x v="49"/>
      <x v="34"/>
    </i>
    <i>
      <x v="50"/>
      <x v="34"/>
    </i>
    <i>
      <x v="51"/>
      <x v="35"/>
    </i>
    <i>
      <x v="52"/>
      <x v="36"/>
    </i>
    <i>
      <x v="53"/>
      <x v="38"/>
    </i>
    <i>
      <x v="54"/>
      <x v="36"/>
    </i>
    <i>
      <x v="55"/>
      <x v="38"/>
    </i>
    <i>
      <x v="56"/>
      <x v="28"/>
    </i>
    <i>
      <x v="58"/>
      <x v="35"/>
    </i>
    <i>
      <x v="60"/>
      <x v="33"/>
    </i>
    <i>
      <x v="61"/>
      <x v="33"/>
    </i>
    <i>
      <x v="62"/>
      <x v="33"/>
    </i>
    <i>
      <x v="63"/>
      <x v="33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74"/>
      <x v="4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49" firstHeaderRow="1" firstDataRow="1" firstDataCol="1"/>
  <pivotFields count="16">
    <pivotField showAll="0"/>
    <pivotField axis="axisRow" showAll="0">
      <items count="76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2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49" firstHeaderRow="1" firstDataRow="1" firstDataCol="1"/>
  <pivotFields count="16">
    <pivotField showAll="0"/>
    <pivotField axis="axisRow" showAll="0">
      <items count="79">
        <item m="1" x="64"/>
        <item m="1" x="48"/>
        <item x="0"/>
        <item x="5"/>
        <item m="1" x="43"/>
        <item m="1" x="50"/>
        <item x="3"/>
        <item x="2"/>
        <item m="1" x="59"/>
        <item x="4"/>
        <item m="1" x="65"/>
        <item x="6"/>
        <item m="1" x="60"/>
        <item x="1"/>
        <item m="1" x="52"/>
        <item m="1" x="53"/>
        <item m="1" x="68"/>
        <item m="1" x="55"/>
        <item m="1" x="56"/>
        <item m="1" x="66"/>
        <item m="1" x="44"/>
        <item m="1" x="46"/>
        <item m="1" x="76"/>
        <item x="9"/>
        <item x="10"/>
        <item x="11"/>
        <item x="20"/>
        <item x="21"/>
        <item x="22"/>
        <item x="32"/>
        <item x="31"/>
        <item x="27"/>
        <item x="42"/>
        <item x="7"/>
        <item x="8"/>
        <item m="1" x="71"/>
        <item m="1" x="74"/>
        <item m="1" x="63"/>
        <item m="1" x="54"/>
        <item m="1" x="72"/>
        <item m="1" x="70"/>
        <item m="1" x="47"/>
        <item m="1" x="67"/>
        <item x="13"/>
        <item x="14"/>
        <item x="16"/>
        <item x="15"/>
        <item x="12"/>
        <item m="1" x="77"/>
        <item m="1" x="58"/>
        <item m="1" x="73"/>
        <item x="17"/>
        <item x="18"/>
        <item x="19"/>
        <item m="1" x="62"/>
        <item x="28"/>
        <item x="30"/>
        <item x="33"/>
        <item x="34"/>
        <item x="35"/>
        <item m="1" x="49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1"/>
        <item m="1" x="75"/>
        <item m="1" x="69"/>
        <item m="1" x="61"/>
        <item m="1" x="57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3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43"/>
    </i>
    <i>
      <x v="44"/>
    </i>
    <i>
      <x v="45"/>
    </i>
    <i>
      <x v="46"/>
    </i>
    <i>
      <x v="47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49" firstHeaderRow="1" firstDataRow="1" firstDataCol="1"/>
  <pivotFields count="16">
    <pivotField showAll="0"/>
    <pivotField axis="axisRow" showAll="0">
      <items count="76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4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5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3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  <i>
      <x v="49"/>
      <x/>
    </i>
    <i>
      <x v="50"/>
      <x v="3"/>
    </i>
    <i>
      <x v="51"/>
      <x v="3"/>
    </i>
    <i>
      <x v="52"/>
      <x/>
    </i>
    <i>
      <x v="53"/>
      <x/>
    </i>
    <i>
      <x v="54"/>
      <x v="3"/>
    </i>
    <i>
      <x v="55"/>
      <x v="3"/>
    </i>
    <i>
      <x v="56"/>
      <x v="3"/>
    </i>
    <i>
      <x v="58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7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A6:AB49" firstHeaderRow="1" firstDataRow="1" firstDataCol="1"/>
  <pivotFields count="16">
    <pivotField showAll="0"/>
    <pivotField axis="axisRow" showAll="0">
      <items count="76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33" firstHeaderRow="1" firstDataRow="1" firstDataCol="1"/>
  <pivotFields count="16">
    <pivotField showAll="0"/>
    <pivotField showAll="0"/>
    <pivotField showAll="0"/>
    <pivotField showAll="0"/>
    <pivotField axis="axisRow" showAll="0">
      <items count="46">
        <item m="1" x="39"/>
        <item x="5"/>
        <item m="1" x="31"/>
        <item x="26"/>
        <item m="1" x="33"/>
        <item m="1" x="29"/>
        <item x="6"/>
        <item x="0"/>
        <item m="1" x="32"/>
        <item x="12"/>
        <item x="16"/>
        <item m="1" x="30"/>
        <item m="1" x="28"/>
        <item m="1" x="35"/>
        <item m="1" x="27"/>
        <item m="1" x="44"/>
        <item x="2"/>
        <item x="3"/>
        <item x="4"/>
        <item x="13"/>
        <item x="1"/>
        <item m="1" x="41"/>
        <item m="1" x="36"/>
        <item x="15"/>
        <item x="14"/>
        <item x="7"/>
        <item x="8"/>
        <item x="9"/>
        <item x="11"/>
        <item x="10"/>
        <item x="17"/>
        <item x="18"/>
        <item m="1" x="34"/>
        <item x="19"/>
        <item x="20"/>
        <item x="21"/>
        <item x="22"/>
        <item m="1" x="38"/>
        <item x="23"/>
        <item m="1" x="43"/>
        <item x="24"/>
        <item x="25"/>
        <item m="1" x="37"/>
        <item m="1" x="40"/>
        <item m="1"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7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  <i>
      <x v="40"/>
    </i>
    <i>
      <x v="4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49" firstHeaderRow="0" firstDataRow="1" firstDataCol="1"/>
  <pivotFields count="16">
    <pivotField showAll="0"/>
    <pivotField axis="axisRow" showAll="0">
      <items count="76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49" firstHeaderRow="1" firstDataRow="1" firstDataCol="1"/>
  <pivotFields count="16">
    <pivotField showAll="0"/>
    <pivotField axis="axisRow" showAll="0">
      <items count="76">
        <item m="1" x="54"/>
        <item x="5"/>
        <item m="1" x="43"/>
        <item m="1" x="57"/>
        <item m="1" x="49"/>
        <item x="42"/>
        <item x="0"/>
        <item m="1" x="65"/>
        <item m="1" x="53"/>
        <item m="1" x="73"/>
        <item x="12"/>
        <item x="1"/>
        <item x="6"/>
        <item m="1" x="46"/>
        <item m="1" x="63"/>
        <item m="1" x="44"/>
        <item x="16"/>
        <item m="1" x="58"/>
        <item m="1" x="51"/>
        <item x="2"/>
        <item x="3"/>
        <item m="1" x="62"/>
        <item x="4"/>
        <item x="13"/>
        <item x="15"/>
        <item x="14"/>
        <item x="7"/>
        <item x="8"/>
        <item m="1" x="68"/>
        <item m="1" x="71"/>
        <item m="1" x="61"/>
        <item m="1" x="52"/>
        <item m="1" x="69"/>
        <item m="1" x="74"/>
        <item m="1" x="67"/>
        <item m="1" x="56"/>
        <item m="1" x="70"/>
        <item m="1" x="47"/>
        <item m="1" x="64"/>
        <item x="9"/>
        <item x="10"/>
        <item x="11"/>
        <item x="17"/>
        <item x="18"/>
        <item x="19"/>
        <item m="1" x="60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48"/>
        <item x="29"/>
        <item m="1" x="45"/>
        <item x="23"/>
        <item x="24"/>
        <item x="25"/>
        <item x="26"/>
        <item x="36"/>
        <item x="37"/>
        <item x="38"/>
        <item x="39"/>
        <item x="40"/>
        <item m="1" x="50"/>
        <item m="1" x="72"/>
        <item m="1" x="66"/>
        <item m="1" x="59"/>
        <item m="1" x="55"/>
        <item x="4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49" dT="2020-08-07T12:32:29.60" personId="{8A307EF1-062C-4DD1-801F-D45833AE4B68}" id="{3A629425-736C-49FF-8B83-3FBBBC12C4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216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217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248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2"/>
  <sheetViews>
    <sheetView topLeftCell="S31" workbookViewId="0">
      <selection activeCell="A25" sqref="A25"/>
    </sheetView>
  </sheetViews>
  <sheetFormatPr defaultRowHeight="15"/>
  <cols>
    <col min="1" max="1" width="23.140625" bestFit="1" customWidth="1"/>
    <col min="2" max="2" width="15.85546875" style="8" bestFit="1" customWidth="1"/>
    <col min="3" max="4" width="13.140625" style="8" customWidth="1"/>
    <col min="5" max="5" width="23.140625" style="8" bestFit="1" customWidth="1"/>
    <col min="6" max="6" width="23" style="8" bestFit="1" customWidth="1"/>
    <col min="7" max="7" width="23.140625" style="8" bestFit="1" customWidth="1"/>
    <col min="8" max="8" width="19.85546875" style="8" bestFit="1" customWidth="1"/>
    <col min="9" max="9" width="23.140625" style="8" bestFit="1" customWidth="1"/>
    <col min="10" max="10" width="18.5703125" style="8" bestFit="1" customWidth="1"/>
    <col min="11" max="11" width="23.140625" style="8" bestFit="1" customWidth="1"/>
    <col min="12" max="12" width="20.7109375" style="8" bestFit="1" customWidth="1"/>
    <col min="13" max="13" width="23.14062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3.14062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3.14062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206</v>
      </c>
      <c r="K5" s="1" t="s">
        <v>210</v>
      </c>
      <c r="M5" s="1" t="s">
        <v>211</v>
      </c>
      <c r="O5" s="1" t="s">
        <v>66</v>
      </c>
      <c r="Q5" s="1" t="s">
        <v>67</v>
      </c>
      <c r="S5" s="1" t="s">
        <v>163</v>
      </c>
      <c r="AA5" s="1" t="s">
        <v>246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212</v>
      </c>
      <c r="M6" s="13" t="s">
        <v>33</v>
      </c>
      <c r="N6" t="s">
        <v>213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184</v>
      </c>
      <c r="U6" s="8" t="s">
        <v>185</v>
      </c>
      <c r="V6" s="8" t="s">
        <v>186</v>
      </c>
      <c r="W6" s="8" t="s">
        <v>187</v>
      </c>
      <c r="X6" s="8" t="s">
        <v>39</v>
      </c>
      <c r="AA6" s="13" t="s">
        <v>33</v>
      </c>
      <c r="AB6" t="s">
        <v>247</v>
      </c>
      <c r="AC6" s="13"/>
      <c r="AD6" s="17" t="s">
        <v>54</v>
      </c>
      <c r="AE6" s="17" t="s">
        <v>55</v>
      </c>
      <c r="AF6" s="13"/>
      <c r="AH6" s="8"/>
    </row>
    <row r="7" spans="1:39">
      <c r="A7" s="14" t="s">
        <v>196</v>
      </c>
      <c r="B7" s="14" t="s">
        <v>193</v>
      </c>
      <c r="C7" s="13" t="s">
        <v>30</v>
      </c>
      <c r="D7" s="14" t="s">
        <v>30</v>
      </c>
      <c r="E7" s="14" t="s">
        <v>194</v>
      </c>
      <c r="F7" s="3">
        <v>0</v>
      </c>
      <c r="G7" s="14" t="s">
        <v>194</v>
      </c>
      <c r="H7" s="3">
        <v>1</v>
      </c>
      <c r="I7" s="14" t="s">
        <v>194</v>
      </c>
      <c r="J7" s="3">
        <v>1</v>
      </c>
      <c r="K7" s="14" t="s">
        <v>194</v>
      </c>
      <c r="L7" s="3">
        <v>1</v>
      </c>
      <c r="M7" s="14" t="s">
        <v>194</v>
      </c>
      <c r="N7" s="3">
        <v>1</v>
      </c>
      <c r="O7" s="8" t="s">
        <v>194</v>
      </c>
      <c r="P7" s="8" t="s">
        <v>193</v>
      </c>
      <c r="Q7" s="8" t="s">
        <v>194</v>
      </c>
      <c r="R7" s="8" t="s">
        <v>30</v>
      </c>
      <c r="S7" s="14" t="s">
        <v>194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194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194</v>
      </c>
      <c r="B8" s="14" t="s">
        <v>195</v>
      </c>
      <c r="C8" s="14" t="s">
        <v>31</v>
      </c>
      <c r="D8" s="14" t="s">
        <v>195</v>
      </c>
      <c r="E8" s="14" t="s">
        <v>230</v>
      </c>
      <c r="F8" s="3">
        <v>0</v>
      </c>
      <c r="G8" s="14" t="s">
        <v>195</v>
      </c>
      <c r="H8" s="3"/>
      <c r="I8" s="14" t="s">
        <v>195</v>
      </c>
      <c r="J8" s="3"/>
      <c r="K8" s="14" t="s">
        <v>195</v>
      </c>
      <c r="L8" s="3"/>
      <c r="M8" s="14" t="s">
        <v>195</v>
      </c>
      <c r="N8" s="3"/>
      <c r="O8" s="8" t="s">
        <v>195</v>
      </c>
      <c r="P8" s="8" t="s">
        <v>195</v>
      </c>
      <c r="Q8" s="8" t="s">
        <v>195</v>
      </c>
      <c r="R8" s="8" t="s">
        <v>195</v>
      </c>
      <c r="S8" s="14" t="s">
        <v>195</v>
      </c>
      <c r="T8" s="3"/>
      <c r="U8" s="3"/>
      <c r="V8" s="3"/>
      <c r="W8" s="3"/>
      <c r="X8" s="3"/>
      <c r="Y8" s="3"/>
      <c r="Z8" s="3"/>
      <c r="AA8" s="14" t="s">
        <v>195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214</v>
      </c>
      <c r="B9" s="14" t="s">
        <v>199</v>
      </c>
      <c r="C9" s="14" t="s">
        <v>32</v>
      </c>
      <c r="D9" s="14" t="s">
        <v>31</v>
      </c>
      <c r="E9" s="14" t="s">
        <v>270</v>
      </c>
      <c r="F9" s="3">
        <v>0</v>
      </c>
      <c r="G9" s="14" t="s">
        <v>196</v>
      </c>
      <c r="H9" s="3">
        <v>0</v>
      </c>
      <c r="I9" s="14" t="s">
        <v>196</v>
      </c>
      <c r="J9" s="3">
        <v>0</v>
      </c>
      <c r="K9" s="14" t="s">
        <v>196</v>
      </c>
      <c r="L9" s="3">
        <v>1</v>
      </c>
      <c r="M9" s="14" t="s">
        <v>196</v>
      </c>
      <c r="N9" s="3">
        <v>1</v>
      </c>
      <c r="O9" s="8" t="s">
        <v>196</v>
      </c>
      <c r="P9" s="8" t="s">
        <v>200</v>
      </c>
      <c r="Q9" s="8" t="s">
        <v>196</v>
      </c>
      <c r="R9" s="8" t="s">
        <v>30</v>
      </c>
      <c r="S9" s="14" t="s">
        <v>196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196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208</v>
      </c>
      <c r="B10" s="14" t="s">
        <v>200</v>
      </c>
      <c r="C10" s="14" t="s">
        <v>46</v>
      </c>
      <c r="D10"/>
      <c r="E10" s="14" t="s">
        <v>269</v>
      </c>
      <c r="F10" s="3">
        <v>0</v>
      </c>
      <c r="G10" s="14" t="s">
        <v>197</v>
      </c>
      <c r="H10" s="3">
        <v>1</v>
      </c>
      <c r="I10" s="14" t="s">
        <v>197</v>
      </c>
      <c r="J10" s="3">
        <v>1</v>
      </c>
      <c r="K10" s="14" t="s">
        <v>197</v>
      </c>
      <c r="L10" s="3">
        <v>1</v>
      </c>
      <c r="M10" s="14" t="s">
        <v>197</v>
      </c>
      <c r="N10" s="3">
        <v>1</v>
      </c>
      <c r="O10" s="8" t="s">
        <v>197</v>
      </c>
      <c r="P10" s="8" t="s">
        <v>202</v>
      </c>
      <c r="Q10" s="8" t="s">
        <v>197</v>
      </c>
      <c r="R10" s="8" t="s">
        <v>31</v>
      </c>
      <c r="S10" s="14" t="s">
        <v>197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197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222</v>
      </c>
      <c r="B11" s="14" t="s">
        <v>202</v>
      </c>
      <c r="C11" s="14" t="s">
        <v>47</v>
      </c>
      <c r="D11"/>
      <c r="E11" s="14" t="s">
        <v>268</v>
      </c>
      <c r="F11" s="3">
        <v>0</v>
      </c>
      <c r="G11" s="14" t="s">
        <v>220</v>
      </c>
      <c r="H11" s="3">
        <v>1</v>
      </c>
      <c r="I11" s="14" t="s">
        <v>220</v>
      </c>
      <c r="J11" s="3">
        <v>1</v>
      </c>
      <c r="K11" s="14" t="s">
        <v>220</v>
      </c>
      <c r="L11" s="3">
        <v>1</v>
      </c>
      <c r="M11" s="14" t="s">
        <v>220</v>
      </c>
      <c r="N11" s="3">
        <v>1</v>
      </c>
      <c r="O11" s="8" t="s">
        <v>220</v>
      </c>
      <c r="P11" s="8" t="s">
        <v>221</v>
      </c>
      <c r="Q11" s="8" t="s">
        <v>220</v>
      </c>
      <c r="R11" s="8" t="s">
        <v>30</v>
      </c>
      <c r="S11" s="14" t="s">
        <v>220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220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198</v>
      </c>
      <c r="B12" s="14" t="s">
        <v>203</v>
      </c>
      <c r="C12" s="14" t="s">
        <v>48</v>
      </c>
      <c r="D12" s="14"/>
      <c r="E12" s="14" t="s">
        <v>267</v>
      </c>
      <c r="F12" s="3">
        <v>0</v>
      </c>
      <c r="G12" s="14" t="s">
        <v>198</v>
      </c>
      <c r="H12" s="3">
        <v>1</v>
      </c>
      <c r="I12" s="14" t="s">
        <v>198</v>
      </c>
      <c r="J12" s="3">
        <v>1</v>
      </c>
      <c r="K12" s="14" t="s">
        <v>198</v>
      </c>
      <c r="L12" s="3">
        <v>1</v>
      </c>
      <c r="M12" s="14" t="s">
        <v>198</v>
      </c>
      <c r="N12" s="3">
        <v>1</v>
      </c>
      <c r="O12" s="8" t="s">
        <v>198</v>
      </c>
      <c r="P12" s="8" t="s">
        <v>199</v>
      </c>
      <c r="Q12" s="8" t="s">
        <v>198</v>
      </c>
      <c r="R12" s="8" t="s">
        <v>30</v>
      </c>
      <c r="S12" s="14" t="s">
        <v>198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198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220</v>
      </c>
      <c r="B13" s="14" t="s">
        <v>209</v>
      </c>
      <c r="C13" s="14" t="s">
        <v>49</v>
      </c>
      <c r="D13" s="14"/>
      <c r="E13" s="14" t="s">
        <v>266</v>
      </c>
      <c r="F13" s="3">
        <v>0</v>
      </c>
      <c r="G13" s="14" t="s">
        <v>201</v>
      </c>
      <c r="H13" s="3">
        <v>1</v>
      </c>
      <c r="I13" s="14" t="s">
        <v>201</v>
      </c>
      <c r="J13" s="3">
        <v>1</v>
      </c>
      <c r="K13" s="14" t="s">
        <v>201</v>
      </c>
      <c r="L13" s="3">
        <v>1</v>
      </c>
      <c r="M13" s="14" t="s">
        <v>201</v>
      </c>
      <c r="N13" s="3">
        <v>1</v>
      </c>
      <c r="O13" s="8" t="s">
        <v>201</v>
      </c>
      <c r="P13" s="8" t="s">
        <v>203</v>
      </c>
      <c r="Q13" s="8" t="s">
        <v>201</v>
      </c>
      <c r="R13" s="8" t="s">
        <v>31</v>
      </c>
      <c r="S13" s="14" t="s">
        <v>201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201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234</v>
      </c>
      <c r="B14" s="14" t="s">
        <v>215</v>
      </c>
      <c r="C14" s="14" t="s">
        <v>50</v>
      </c>
      <c r="D14" s="14"/>
      <c r="E14" s="14" t="s">
        <v>235</v>
      </c>
      <c r="F14" s="3">
        <v>0</v>
      </c>
      <c r="G14" s="14" t="s">
        <v>208</v>
      </c>
      <c r="H14" s="3">
        <v>1</v>
      </c>
      <c r="I14" s="14" t="s">
        <v>208</v>
      </c>
      <c r="J14" s="3">
        <v>1</v>
      </c>
      <c r="K14" s="14" t="s">
        <v>208</v>
      </c>
      <c r="L14" s="3">
        <v>1</v>
      </c>
      <c r="M14" s="14" t="s">
        <v>208</v>
      </c>
      <c r="N14" s="3">
        <v>1</v>
      </c>
      <c r="O14" s="8" t="s">
        <v>208</v>
      </c>
      <c r="P14" s="8" t="s">
        <v>209</v>
      </c>
      <c r="Q14" s="8" t="s">
        <v>208</v>
      </c>
      <c r="R14" s="8" t="s">
        <v>30</v>
      </c>
      <c r="S14" s="14" t="s">
        <v>208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208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235</v>
      </c>
      <c r="B15" s="14" t="s">
        <v>218</v>
      </c>
      <c r="C15" s="14" t="s">
        <v>51</v>
      </c>
      <c r="D15" s="14"/>
      <c r="E15" s="14" t="s">
        <v>239</v>
      </c>
      <c r="F15" s="3">
        <v>0</v>
      </c>
      <c r="G15" s="14" t="s">
        <v>214</v>
      </c>
      <c r="H15" s="3">
        <v>1</v>
      </c>
      <c r="I15" s="14" t="s">
        <v>214</v>
      </c>
      <c r="J15" s="3">
        <v>1</v>
      </c>
      <c r="K15" s="14" t="s">
        <v>214</v>
      </c>
      <c r="L15" s="3">
        <v>1</v>
      </c>
      <c r="M15" s="14" t="s">
        <v>214</v>
      </c>
      <c r="N15" s="3">
        <v>1</v>
      </c>
      <c r="O15" s="8" t="s">
        <v>214</v>
      </c>
      <c r="P15" s="8" t="s">
        <v>215</v>
      </c>
      <c r="Q15" s="8" t="s">
        <v>214</v>
      </c>
      <c r="R15" s="8" t="s">
        <v>30</v>
      </c>
      <c r="S15" s="14" t="s">
        <v>214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214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236</v>
      </c>
      <c r="B16" s="14" t="s">
        <v>219</v>
      </c>
      <c r="C16" s="14" t="s">
        <v>52</v>
      </c>
      <c r="D16" s="14"/>
      <c r="E16" s="14" t="s">
        <v>214</v>
      </c>
      <c r="F16" s="3">
        <v>0</v>
      </c>
      <c r="G16" s="14" t="s">
        <v>222</v>
      </c>
      <c r="H16" s="3">
        <v>1</v>
      </c>
      <c r="I16" s="14" t="s">
        <v>222</v>
      </c>
      <c r="J16" s="3">
        <v>1</v>
      </c>
      <c r="K16" s="14" t="s">
        <v>222</v>
      </c>
      <c r="L16" s="3">
        <v>1</v>
      </c>
      <c r="M16" s="14" t="s">
        <v>222</v>
      </c>
      <c r="N16" s="3">
        <v>1</v>
      </c>
      <c r="O16" s="8" t="s">
        <v>222</v>
      </c>
      <c r="P16" s="8" t="s">
        <v>218</v>
      </c>
      <c r="Q16" s="8" t="s">
        <v>222</v>
      </c>
      <c r="R16" s="8" t="s">
        <v>30</v>
      </c>
      <c r="S16" s="14" t="s">
        <v>222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222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240</v>
      </c>
      <c r="B17" s="14" t="s">
        <v>221</v>
      </c>
      <c r="E17" s="14" t="s">
        <v>256</v>
      </c>
      <c r="F17" s="3">
        <v>0</v>
      </c>
      <c r="G17" s="14" t="s">
        <v>223</v>
      </c>
      <c r="H17" s="3">
        <v>1</v>
      </c>
      <c r="I17" s="14" t="s">
        <v>223</v>
      </c>
      <c r="J17" s="3">
        <v>1</v>
      </c>
      <c r="K17" s="14" t="s">
        <v>223</v>
      </c>
      <c r="L17" s="3">
        <v>1</v>
      </c>
      <c r="M17" s="14" t="s">
        <v>223</v>
      </c>
      <c r="N17" s="3">
        <v>1</v>
      </c>
      <c r="O17" s="8" t="s">
        <v>223</v>
      </c>
      <c r="P17" s="8" t="s">
        <v>219</v>
      </c>
      <c r="Q17" s="8" t="s">
        <v>223</v>
      </c>
      <c r="R17" s="8" t="s">
        <v>31</v>
      </c>
      <c r="S17" s="14" t="s">
        <v>223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223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242</v>
      </c>
      <c r="B18" s="14" t="s">
        <v>225</v>
      </c>
      <c r="E18" s="14" t="s">
        <v>259</v>
      </c>
      <c r="F18" s="3">
        <v>0</v>
      </c>
      <c r="G18" s="14" t="s">
        <v>224</v>
      </c>
      <c r="H18" s="3">
        <v>1</v>
      </c>
      <c r="I18" s="14" t="s">
        <v>224</v>
      </c>
      <c r="J18" s="3">
        <v>1</v>
      </c>
      <c r="K18" s="14" t="s">
        <v>224</v>
      </c>
      <c r="L18" s="3">
        <v>1</v>
      </c>
      <c r="M18" s="14" t="s">
        <v>224</v>
      </c>
      <c r="N18" s="3">
        <v>1</v>
      </c>
      <c r="O18" s="8" t="s">
        <v>224</v>
      </c>
      <c r="P18" s="8" t="s">
        <v>225</v>
      </c>
      <c r="Q18" s="8" t="s">
        <v>224</v>
      </c>
      <c r="R18" s="8" t="s">
        <v>31</v>
      </c>
      <c r="S18" s="14" t="s">
        <v>224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224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244</v>
      </c>
      <c r="B19" s="14" t="s">
        <v>227</v>
      </c>
      <c r="E19" s="14" t="s">
        <v>208</v>
      </c>
      <c r="F19" s="3">
        <v>0</v>
      </c>
      <c r="G19" s="14" t="s">
        <v>226</v>
      </c>
      <c r="H19" s="3">
        <v>1</v>
      </c>
      <c r="I19" s="14" t="s">
        <v>226</v>
      </c>
      <c r="J19" s="3">
        <v>1</v>
      </c>
      <c r="K19" s="14" t="s">
        <v>226</v>
      </c>
      <c r="L19" s="3">
        <v>1</v>
      </c>
      <c r="M19" s="14" t="s">
        <v>226</v>
      </c>
      <c r="N19" s="3">
        <v>1</v>
      </c>
      <c r="O19" s="8" t="s">
        <v>226</v>
      </c>
      <c r="P19" s="8" t="s">
        <v>227</v>
      </c>
      <c r="Q19" s="8" t="s">
        <v>226</v>
      </c>
      <c r="R19" s="8" t="s">
        <v>31</v>
      </c>
      <c r="S19" s="14" t="s">
        <v>226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226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256</v>
      </c>
      <c r="B20" s="14" t="s">
        <v>229</v>
      </c>
      <c r="E20" s="14" t="s">
        <v>254</v>
      </c>
      <c r="F20" s="3">
        <v>0</v>
      </c>
      <c r="G20" s="14" t="s">
        <v>228</v>
      </c>
      <c r="H20" s="3">
        <v>1</v>
      </c>
      <c r="I20" s="14" t="s">
        <v>228</v>
      </c>
      <c r="J20" s="3">
        <v>0</v>
      </c>
      <c r="K20" s="14" t="s">
        <v>228</v>
      </c>
      <c r="L20" s="3">
        <v>1</v>
      </c>
      <c r="M20" s="14" t="s">
        <v>228</v>
      </c>
      <c r="N20" s="3">
        <v>1</v>
      </c>
      <c r="O20" s="8" t="s">
        <v>228</v>
      </c>
      <c r="P20" s="8" t="s">
        <v>229</v>
      </c>
      <c r="Q20" s="8" t="s">
        <v>228</v>
      </c>
      <c r="R20" s="8" t="s">
        <v>30</v>
      </c>
      <c r="S20" s="14" t="s">
        <v>228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228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254</v>
      </c>
      <c r="B21" s="14" t="s">
        <v>230</v>
      </c>
      <c r="E21" s="14" t="s">
        <v>258</v>
      </c>
      <c r="F21" s="3">
        <v>0</v>
      </c>
      <c r="G21" s="14" t="s">
        <v>230</v>
      </c>
      <c r="H21" s="3">
        <v>1</v>
      </c>
      <c r="I21" s="14" t="s">
        <v>230</v>
      </c>
      <c r="J21" s="3">
        <v>0</v>
      </c>
      <c r="K21" s="14" t="s">
        <v>230</v>
      </c>
      <c r="L21" s="3">
        <v>1</v>
      </c>
      <c r="M21" s="14" t="s">
        <v>230</v>
      </c>
      <c r="N21" s="3">
        <v>1</v>
      </c>
      <c r="O21" s="8" t="s">
        <v>230</v>
      </c>
      <c r="P21" s="8" t="s">
        <v>230</v>
      </c>
      <c r="Q21" s="8" t="s">
        <v>230</v>
      </c>
      <c r="R21" s="8" t="s">
        <v>30</v>
      </c>
      <c r="S21" s="14" t="s">
        <v>230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230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250</v>
      </c>
      <c r="B22" s="14" t="s">
        <v>231</v>
      </c>
      <c r="E22" s="14" t="s">
        <v>222</v>
      </c>
      <c r="F22" s="3">
        <v>0</v>
      </c>
      <c r="G22" s="14" t="s">
        <v>234</v>
      </c>
      <c r="H22" s="3">
        <v>1</v>
      </c>
      <c r="I22" s="14" t="s">
        <v>234</v>
      </c>
      <c r="J22" s="3">
        <v>1</v>
      </c>
      <c r="K22" s="14" t="s">
        <v>234</v>
      </c>
      <c r="L22" s="3">
        <v>1</v>
      </c>
      <c r="M22" s="14" t="s">
        <v>234</v>
      </c>
      <c r="N22" s="3">
        <v>1</v>
      </c>
      <c r="O22" s="8" t="s">
        <v>234</v>
      </c>
      <c r="P22" s="8" t="s">
        <v>231</v>
      </c>
      <c r="Q22" s="8" t="s">
        <v>234</v>
      </c>
      <c r="R22" s="8" t="s">
        <v>30</v>
      </c>
      <c r="S22" s="14" t="s">
        <v>234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234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195</v>
      </c>
      <c r="B23" s="14" t="s">
        <v>232</v>
      </c>
      <c r="E23" s="14" t="s">
        <v>236</v>
      </c>
      <c r="F23" s="3">
        <v>0</v>
      </c>
      <c r="G23" s="14" t="s">
        <v>235</v>
      </c>
      <c r="H23" s="3">
        <v>1</v>
      </c>
      <c r="I23" s="14" t="s">
        <v>235</v>
      </c>
      <c r="J23" s="3">
        <v>1</v>
      </c>
      <c r="K23" s="14" t="s">
        <v>235</v>
      </c>
      <c r="L23" s="3">
        <v>1</v>
      </c>
      <c r="M23" s="14" t="s">
        <v>235</v>
      </c>
      <c r="N23" s="3">
        <v>1</v>
      </c>
      <c r="O23" s="8" t="s">
        <v>235</v>
      </c>
      <c r="P23" s="8" t="s">
        <v>233</v>
      </c>
      <c r="Q23" s="8" t="s">
        <v>235</v>
      </c>
      <c r="R23" s="8" t="s">
        <v>30</v>
      </c>
      <c r="S23" s="14" t="s">
        <v>235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235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228</v>
      </c>
      <c r="B24" s="14" t="s">
        <v>233</v>
      </c>
      <c r="E24" s="14" t="s">
        <v>260</v>
      </c>
      <c r="F24" s="3">
        <v>0</v>
      </c>
      <c r="G24" s="14" t="s">
        <v>236</v>
      </c>
      <c r="H24" s="3">
        <v>1</v>
      </c>
      <c r="I24" s="14" t="s">
        <v>236</v>
      </c>
      <c r="J24" s="3">
        <v>1</v>
      </c>
      <c r="K24" s="14" t="s">
        <v>236</v>
      </c>
      <c r="L24" s="3">
        <v>1</v>
      </c>
      <c r="M24" s="14" t="s">
        <v>236</v>
      </c>
      <c r="N24" s="3">
        <v>1</v>
      </c>
      <c r="O24" s="8" t="s">
        <v>236</v>
      </c>
      <c r="P24" s="8" t="s">
        <v>232</v>
      </c>
      <c r="Q24" s="8" t="s">
        <v>236</v>
      </c>
      <c r="R24" s="8" t="s">
        <v>30</v>
      </c>
      <c r="S24" s="14" t="s">
        <v>236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236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230</v>
      </c>
      <c r="B25" s="14" t="s">
        <v>241</v>
      </c>
      <c r="E25" s="14" t="s">
        <v>197</v>
      </c>
      <c r="F25" s="3">
        <v>0</v>
      </c>
      <c r="G25" s="14" t="s">
        <v>237</v>
      </c>
      <c r="H25" s="3">
        <v>1</v>
      </c>
      <c r="I25" s="14" t="s">
        <v>237</v>
      </c>
      <c r="J25" s="3">
        <v>1</v>
      </c>
      <c r="K25" s="14" t="s">
        <v>237</v>
      </c>
      <c r="L25" s="3">
        <v>1</v>
      </c>
      <c r="M25" s="14" t="s">
        <v>237</v>
      </c>
      <c r="N25" s="3">
        <v>1</v>
      </c>
      <c r="O25" s="8" t="s">
        <v>237</v>
      </c>
      <c r="P25" s="8" t="s">
        <v>200</v>
      </c>
      <c r="Q25" s="8" t="s">
        <v>237</v>
      </c>
      <c r="R25" s="8" t="s">
        <v>31</v>
      </c>
      <c r="S25" s="14" t="s">
        <v>237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237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223</v>
      </c>
      <c r="B26" s="14" t="s">
        <v>243</v>
      </c>
      <c r="E26" s="14" t="s">
        <v>226</v>
      </c>
      <c r="F26" s="3">
        <v>0</v>
      </c>
      <c r="G26" s="14" t="s">
        <v>238</v>
      </c>
      <c r="H26" s="3">
        <v>1</v>
      </c>
      <c r="I26" s="14" t="s">
        <v>238</v>
      </c>
      <c r="J26" s="3">
        <v>1</v>
      </c>
      <c r="K26" s="14" t="s">
        <v>238</v>
      </c>
      <c r="L26" s="3">
        <v>1</v>
      </c>
      <c r="M26" s="14" t="s">
        <v>238</v>
      </c>
      <c r="N26" s="3">
        <v>1</v>
      </c>
      <c r="O26" s="8" t="s">
        <v>238</v>
      </c>
      <c r="P26" s="8" t="s">
        <v>231</v>
      </c>
      <c r="Q26" s="8" t="s">
        <v>238</v>
      </c>
      <c r="R26" s="8" t="s">
        <v>31</v>
      </c>
      <c r="S26" s="14" t="s">
        <v>238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238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226</v>
      </c>
      <c r="B27" s="14" t="s">
        <v>245</v>
      </c>
      <c r="E27" s="14" t="s">
        <v>223</v>
      </c>
      <c r="F27" s="3">
        <v>0</v>
      </c>
      <c r="G27" s="14" t="s">
        <v>239</v>
      </c>
      <c r="H27" s="3">
        <v>1</v>
      </c>
      <c r="I27" s="14" t="s">
        <v>239</v>
      </c>
      <c r="J27" s="3">
        <v>1</v>
      </c>
      <c r="K27" s="14" t="s">
        <v>239</v>
      </c>
      <c r="L27" s="3">
        <v>1</v>
      </c>
      <c r="M27" s="14" t="s">
        <v>239</v>
      </c>
      <c r="N27" s="3">
        <v>1</v>
      </c>
      <c r="O27" s="8" t="s">
        <v>239</v>
      </c>
      <c r="P27" s="8" t="s">
        <v>233</v>
      </c>
      <c r="Q27" s="8" t="s">
        <v>239</v>
      </c>
      <c r="R27" s="8" t="s">
        <v>31</v>
      </c>
      <c r="S27" s="14" t="s">
        <v>239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239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201</v>
      </c>
      <c r="B28" s="14" t="s">
        <v>249</v>
      </c>
      <c r="E28" s="14" t="s">
        <v>198</v>
      </c>
      <c r="F28" s="3">
        <v>0</v>
      </c>
      <c r="G28" s="14" t="s">
        <v>240</v>
      </c>
      <c r="H28" s="3">
        <v>1</v>
      </c>
      <c r="I28" s="14" t="s">
        <v>240</v>
      </c>
      <c r="J28" s="3">
        <v>1</v>
      </c>
      <c r="K28" s="14" t="s">
        <v>240</v>
      </c>
      <c r="L28" s="3">
        <v>1</v>
      </c>
      <c r="M28" s="14" t="s">
        <v>240</v>
      </c>
      <c r="N28" s="3">
        <v>1</v>
      </c>
      <c r="O28" s="8" t="s">
        <v>240</v>
      </c>
      <c r="P28" s="8" t="s">
        <v>241</v>
      </c>
      <c r="Q28" s="8" t="s">
        <v>240</v>
      </c>
      <c r="R28" s="8" t="s">
        <v>30</v>
      </c>
      <c r="S28" s="14" t="s">
        <v>240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240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224</v>
      </c>
      <c r="B29" s="14" t="s">
        <v>253</v>
      </c>
      <c r="E29" s="14" t="s">
        <v>220</v>
      </c>
      <c r="F29" s="3">
        <v>0</v>
      </c>
      <c r="G29" s="14" t="s">
        <v>242</v>
      </c>
      <c r="H29" s="3">
        <v>1</v>
      </c>
      <c r="I29" s="14" t="s">
        <v>242</v>
      </c>
      <c r="J29" s="3">
        <v>1</v>
      </c>
      <c r="K29" s="14" t="s">
        <v>242</v>
      </c>
      <c r="L29" s="3">
        <v>1</v>
      </c>
      <c r="M29" s="14" t="s">
        <v>242</v>
      </c>
      <c r="N29" s="3">
        <v>1</v>
      </c>
      <c r="O29" s="8" t="s">
        <v>242</v>
      </c>
      <c r="P29" s="8" t="s">
        <v>243</v>
      </c>
      <c r="Q29" s="8" t="s">
        <v>242</v>
      </c>
      <c r="R29" s="8" t="s">
        <v>30</v>
      </c>
      <c r="S29" s="14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242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197</v>
      </c>
      <c r="B30" s="14" t="s">
        <v>255</v>
      </c>
      <c r="E30" s="14" t="s">
        <v>224</v>
      </c>
      <c r="F30" s="3">
        <v>0</v>
      </c>
      <c r="G30" s="14" t="s">
        <v>244</v>
      </c>
      <c r="H30" s="3">
        <v>1</v>
      </c>
      <c r="I30" s="14" t="s">
        <v>244</v>
      </c>
      <c r="J30" s="3">
        <v>1</v>
      </c>
      <c r="K30" s="14" t="s">
        <v>244</v>
      </c>
      <c r="L30" s="3">
        <v>1</v>
      </c>
      <c r="M30" s="14" t="s">
        <v>244</v>
      </c>
      <c r="N30" s="3">
        <v>1</v>
      </c>
      <c r="O30" s="8" t="s">
        <v>244</v>
      </c>
      <c r="P30" s="8" t="s">
        <v>245</v>
      </c>
      <c r="Q30" s="8" t="s">
        <v>244</v>
      </c>
      <c r="R30" s="8" t="s">
        <v>30</v>
      </c>
      <c r="S30" s="14" t="s">
        <v>244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244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14" t="s">
        <v>237</v>
      </c>
      <c r="B31" s="14" t="s">
        <v>257</v>
      </c>
      <c r="E31" s="14" t="s">
        <v>196</v>
      </c>
      <c r="F31" s="3">
        <v>1</v>
      </c>
      <c r="G31" s="14" t="s">
        <v>250</v>
      </c>
      <c r="H31" s="3">
        <v>1</v>
      </c>
      <c r="I31" s="14" t="s">
        <v>250</v>
      </c>
      <c r="J31" s="3">
        <v>1</v>
      </c>
      <c r="K31" s="14" t="s">
        <v>250</v>
      </c>
      <c r="L31" s="3">
        <v>1</v>
      </c>
      <c r="M31" s="14" t="s">
        <v>250</v>
      </c>
      <c r="N31" s="3">
        <v>1</v>
      </c>
      <c r="O31" s="8" t="s">
        <v>250</v>
      </c>
      <c r="P31" s="8" t="s">
        <v>249</v>
      </c>
      <c r="Q31" s="8" t="s">
        <v>250</v>
      </c>
      <c r="R31" s="8" t="s">
        <v>30</v>
      </c>
      <c r="S31" s="14" t="s">
        <v>250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4" t="s">
        <v>250</v>
      </c>
      <c r="AB31" s="3"/>
      <c r="AD31" s="15">
        <v>2036</v>
      </c>
      <c r="AH31" s="8"/>
      <c r="AI31" s="8"/>
      <c r="AJ31" s="8"/>
      <c r="AM31" s="8"/>
    </row>
    <row r="32" spans="1:39">
      <c r="A32" s="14" t="s">
        <v>238</v>
      </c>
      <c r="B32" s="14" t="s">
        <v>271</v>
      </c>
      <c r="E32" s="14" t="s">
        <v>228</v>
      </c>
      <c r="F32" s="3">
        <v>0</v>
      </c>
      <c r="G32" s="14" t="s">
        <v>251</v>
      </c>
      <c r="H32" s="3">
        <v>1</v>
      </c>
      <c r="I32" s="14" t="s">
        <v>251</v>
      </c>
      <c r="J32" s="3">
        <v>1</v>
      </c>
      <c r="K32" s="14" t="s">
        <v>251</v>
      </c>
      <c r="L32" s="3">
        <v>1</v>
      </c>
      <c r="M32" s="14" t="s">
        <v>251</v>
      </c>
      <c r="N32" s="3">
        <v>1</v>
      </c>
      <c r="O32" s="8" t="s">
        <v>251</v>
      </c>
      <c r="P32" s="8" t="s">
        <v>249</v>
      </c>
      <c r="Q32" s="8" t="s">
        <v>251</v>
      </c>
      <c r="R32" s="8" t="s">
        <v>31</v>
      </c>
      <c r="S32" s="14" t="s">
        <v>251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4" t="s">
        <v>251</v>
      </c>
      <c r="AB32" s="3"/>
      <c r="AD32" s="15">
        <v>2037</v>
      </c>
      <c r="AH32" s="8"/>
      <c r="AI32" s="8"/>
      <c r="AJ32" s="8"/>
      <c r="AM32" s="8"/>
    </row>
    <row r="33" spans="1:39">
      <c r="A33" s="14" t="s">
        <v>239</v>
      </c>
      <c r="B33" s="14" t="s">
        <v>272</v>
      </c>
      <c r="E33" s="14" t="s">
        <v>265</v>
      </c>
      <c r="F33" s="3">
        <v>0</v>
      </c>
      <c r="G33" s="14" t="s">
        <v>252</v>
      </c>
      <c r="H33" s="3">
        <v>1</v>
      </c>
      <c r="I33" s="14" t="s">
        <v>252</v>
      </c>
      <c r="J33" s="3">
        <v>1</v>
      </c>
      <c r="K33" s="14" t="s">
        <v>252</v>
      </c>
      <c r="L33" s="3">
        <v>1</v>
      </c>
      <c r="M33" s="14" t="s">
        <v>252</v>
      </c>
      <c r="N33" s="3">
        <v>1</v>
      </c>
      <c r="O33" s="8" t="s">
        <v>252</v>
      </c>
      <c r="P33" s="8" t="s">
        <v>253</v>
      </c>
      <c r="Q33" s="8" t="s">
        <v>252</v>
      </c>
      <c r="R33" s="8" t="s">
        <v>31</v>
      </c>
      <c r="S33" s="14" t="s">
        <v>252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4" t="s">
        <v>252</v>
      </c>
      <c r="AB33" s="3"/>
      <c r="AD33" s="15">
        <v>2038</v>
      </c>
      <c r="AH33" s="8"/>
      <c r="AI33" s="8"/>
      <c r="AJ33" s="8"/>
      <c r="AM33" s="8"/>
    </row>
    <row r="34" spans="1:39">
      <c r="A34" s="14" t="s">
        <v>251</v>
      </c>
      <c r="B34"/>
      <c r="E34" s="14" t="s">
        <v>264</v>
      </c>
      <c r="F34" s="3">
        <v>0</v>
      </c>
      <c r="G34" s="14" t="s">
        <v>254</v>
      </c>
      <c r="H34" s="3">
        <v>1</v>
      </c>
      <c r="I34" s="14" t="s">
        <v>254</v>
      </c>
      <c r="J34" s="3">
        <v>1</v>
      </c>
      <c r="K34" s="14" t="s">
        <v>254</v>
      </c>
      <c r="L34" s="3">
        <v>1</v>
      </c>
      <c r="M34" s="14" t="s">
        <v>254</v>
      </c>
      <c r="N34" s="3">
        <v>1</v>
      </c>
      <c r="O34" s="8" t="s">
        <v>254</v>
      </c>
      <c r="P34" s="8" t="s">
        <v>255</v>
      </c>
      <c r="Q34" s="8" t="s">
        <v>254</v>
      </c>
      <c r="R34" s="8" t="s">
        <v>30</v>
      </c>
      <c r="S34" s="14" t="s">
        <v>254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4" t="s">
        <v>254</v>
      </c>
      <c r="AB34" s="3"/>
      <c r="AD34" s="15">
        <v>2039</v>
      </c>
      <c r="AH34" s="8"/>
      <c r="AI34" s="8"/>
      <c r="AJ34" s="8"/>
      <c r="AM34" s="8"/>
    </row>
    <row r="35" spans="1:39">
      <c r="A35" s="14" t="s">
        <v>252</v>
      </c>
      <c r="B35"/>
      <c r="E35" s="14" t="s">
        <v>263</v>
      </c>
      <c r="F35" s="3">
        <v>0</v>
      </c>
      <c r="G35" s="14" t="s">
        <v>256</v>
      </c>
      <c r="H35" s="3">
        <v>1</v>
      </c>
      <c r="I35" s="14" t="s">
        <v>256</v>
      </c>
      <c r="J35" s="3">
        <v>1</v>
      </c>
      <c r="K35" s="14" t="s">
        <v>256</v>
      </c>
      <c r="L35" s="3">
        <v>1</v>
      </c>
      <c r="M35" s="14" t="s">
        <v>256</v>
      </c>
      <c r="N35" s="3">
        <v>1</v>
      </c>
      <c r="O35" s="8" t="s">
        <v>256</v>
      </c>
      <c r="P35" s="8" t="s">
        <v>257</v>
      </c>
      <c r="Q35" s="8" t="s">
        <v>256</v>
      </c>
      <c r="R35" s="8" t="s">
        <v>30</v>
      </c>
      <c r="S35" s="14" t="s">
        <v>256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4" t="s">
        <v>256</v>
      </c>
      <c r="AB35" s="3"/>
      <c r="AD35" s="15">
        <v>2040</v>
      </c>
      <c r="AH35" s="8"/>
      <c r="AI35" s="8"/>
      <c r="AJ35" s="8"/>
      <c r="AM35" s="8"/>
    </row>
    <row r="36" spans="1:39">
      <c r="A36" s="14" t="s">
        <v>258</v>
      </c>
      <c r="B36"/>
      <c r="E36" s="14" t="s">
        <v>262</v>
      </c>
      <c r="F36" s="3">
        <v>0</v>
      </c>
      <c r="G36" s="14" t="s">
        <v>258</v>
      </c>
      <c r="H36" s="3">
        <v>1</v>
      </c>
      <c r="I36" s="14" t="s">
        <v>258</v>
      </c>
      <c r="J36" s="3">
        <v>1</v>
      </c>
      <c r="K36" s="14" t="s">
        <v>258</v>
      </c>
      <c r="L36" s="3">
        <v>1</v>
      </c>
      <c r="M36" s="14" t="s">
        <v>258</v>
      </c>
      <c r="N36" s="3">
        <v>1</v>
      </c>
      <c r="O36" s="8" t="s">
        <v>258</v>
      </c>
      <c r="P36" s="8" t="s">
        <v>255</v>
      </c>
      <c r="Q36" s="8" t="s">
        <v>258</v>
      </c>
      <c r="R36" s="8" t="s">
        <v>31</v>
      </c>
      <c r="S36" s="14" t="s">
        <v>258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4" t="s">
        <v>258</v>
      </c>
      <c r="AB36" s="3"/>
      <c r="AD36" s="15">
        <v>2041</v>
      </c>
      <c r="AH36" s="8"/>
      <c r="AI36" s="8"/>
      <c r="AJ36" s="8"/>
      <c r="AM36" s="8"/>
    </row>
    <row r="37" spans="1:39">
      <c r="A37" s="14" t="s">
        <v>259</v>
      </c>
      <c r="E37" s="14" t="s">
        <v>244</v>
      </c>
      <c r="F37" s="3">
        <v>0</v>
      </c>
      <c r="G37" s="14" t="s">
        <v>259</v>
      </c>
      <c r="H37" s="3">
        <v>1</v>
      </c>
      <c r="I37" s="14" t="s">
        <v>259</v>
      </c>
      <c r="J37" s="3">
        <v>1</v>
      </c>
      <c r="K37" s="14" t="s">
        <v>259</v>
      </c>
      <c r="L37" s="3">
        <v>1</v>
      </c>
      <c r="M37" s="14" t="s">
        <v>259</v>
      </c>
      <c r="N37" s="3">
        <v>1</v>
      </c>
      <c r="O37" s="8" t="s">
        <v>259</v>
      </c>
      <c r="P37" s="8" t="s">
        <v>257</v>
      </c>
      <c r="Q37" s="8" t="s">
        <v>259</v>
      </c>
      <c r="R37" s="8" t="s">
        <v>31</v>
      </c>
      <c r="S37" s="14" t="s">
        <v>259</v>
      </c>
      <c r="T37" s="3">
        <v>2</v>
      </c>
      <c r="U37" s="3">
        <v>2</v>
      </c>
      <c r="V37" s="3">
        <v>1</v>
      </c>
      <c r="W37" s="3">
        <v>2</v>
      </c>
      <c r="X37" s="3">
        <v>1</v>
      </c>
      <c r="AA37" s="14" t="s">
        <v>259</v>
      </c>
      <c r="AB37" s="3"/>
      <c r="AD37" s="15">
        <v>2042</v>
      </c>
      <c r="AH37" s="8"/>
      <c r="AI37" s="8"/>
      <c r="AJ37" s="8"/>
      <c r="AM37" s="8"/>
    </row>
    <row r="38" spans="1:39">
      <c r="A38" s="14" t="s">
        <v>260</v>
      </c>
      <c r="E38" s="14" t="s">
        <v>242</v>
      </c>
      <c r="F38" s="3">
        <v>0</v>
      </c>
      <c r="G38" s="14" t="s">
        <v>260</v>
      </c>
      <c r="H38" s="3">
        <v>1</v>
      </c>
      <c r="I38" s="14" t="s">
        <v>260</v>
      </c>
      <c r="J38" s="3">
        <v>1</v>
      </c>
      <c r="K38" s="14" t="s">
        <v>260</v>
      </c>
      <c r="L38" s="3">
        <v>1</v>
      </c>
      <c r="M38" s="14" t="s">
        <v>260</v>
      </c>
      <c r="N38" s="3">
        <v>1</v>
      </c>
      <c r="O38" s="8" t="s">
        <v>260</v>
      </c>
      <c r="P38" s="8" t="s">
        <v>232</v>
      </c>
      <c r="Q38" s="8" t="s">
        <v>260</v>
      </c>
      <c r="R38" s="8" t="s">
        <v>31</v>
      </c>
      <c r="S38" s="14" t="s">
        <v>260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4" t="s">
        <v>260</v>
      </c>
      <c r="AB38" s="3"/>
      <c r="AD38" s="15">
        <v>2043</v>
      </c>
      <c r="AH38" s="8"/>
      <c r="AI38" s="8"/>
      <c r="AJ38" s="8"/>
      <c r="AM38" s="8"/>
    </row>
    <row r="39" spans="1:39">
      <c r="A39" s="14" t="s">
        <v>261</v>
      </c>
      <c r="E39" s="14" t="s">
        <v>234</v>
      </c>
      <c r="F39" s="3">
        <v>0</v>
      </c>
      <c r="G39" s="14" t="s">
        <v>261</v>
      </c>
      <c r="H39" s="3">
        <v>1</v>
      </c>
      <c r="I39" s="14" t="s">
        <v>261</v>
      </c>
      <c r="J39" s="3">
        <v>1</v>
      </c>
      <c r="K39" s="14" t="s">
        <v>261</v>
      </c>
      <c r="L39" s="3">
        <v>1</v>
      </c>
      <c r="M39" s="14" t="s">
        <v>261</v>
      </c>
      <c r="N39" s="3">
        <v>1</v>
      </c>
      <c r="O39" s="8" t="s">
        <v>261</v>
      </c>
      <c r="P39" s="8" t="s">
        <v>253</v>
      </c>
      <c r="Q39" s="8" t="s">
        <v>261</v>
      </c>
      <c r="R39" s="8" t="s">
        <v>30</v>
      </c>
      <c r="S39" s="14" t="s">
        <v>261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4" t="s">
        <v>261</v>
      </c>
      <c r="AB39" s="3"/>
      <c r="AD39" s="15">
        <v>2044</v>
      </c>
      <c r="AH39" s="8"/>
      <c r="AI39" s="8"/>
      <c r="AJ39" s="8"/>
      <c r="AM39" s="8"/>
    </row>
    <row r="40" spans="1:39">
      <c r="A40" s="14" t="s">
        <v>262</v>
      </c>
      <c r="E40" s="14" t="s">
        <v>238</v>
      </c>
      <c r="F40" s="3">
        <v>0</v>
      </c>
      <c r="G40" s="14" t="s">
        <v>262</v>
      </c>
      <c r="H40" s="3">
        <v>1</v>
      </c>
      <c r="I40" s="14" t="s">
        <v>262</v>
      </c>
      <c r="J40" s="3">
        <v>1</v>
      </c>
      <c r="K40" s="14" t="s">
        <v>262</v>
      </c>
      <c r="L40" s="3">
        <v>1</v>
      </c>
      <c r="M40" s="14" t="s">
        <v>262</v>
      </c>
      <c r="N40" s="3">
        <v>1</v>
      </c>
      <c r="O40" s="8" t="s">
        <v>262</v>
      </c>
      <c r="P40" s="8" t="s">
        <v>245</v>
      </c>
      <c r="Q40" s="8" t="s">
        <v>262</v>
      </c>
      <c r="R40" s="8" t="s">
        <v>30</v>
      </c>
      <c r="S40" s="14" t="s">
        <v>262</v>
      </c>
      <c r="T40" s="3">
        <v>-1</v>
      </c>
      <c r="U40" s="3">
        <v>-1</v>
      </c>
      <c r="V40" s="3">
        <v>-1</v>
      </c>
      <c r="W40" s="3">
        <v>1</v>
      </c>
      <c r="X40" s="3">
        <v>-1</v>
      </c>
      <c r="AA40" s="14" t="s">
        <v>262</v>
      </c>
      <c r="AB40" s="3">
        <v>9</v>
      </c>
      <c r="AD40" s="15">
        <v>2045</v>
      </c>
      <c r="AH40" s="8"/>
      <c r="AI40" s="8"/>
      <c r="AJ40" s="8"/>
      <c r="AM40" s="8"/>
    </row>
    <row r="41" spans="1:39">
      <c r="A41" s="14" t="s">
        <v>263</v>
      </c>
      <c r="E41" s="14" t="s">
        <v>240</v>
      </c>
      <c r="F41" s="3">
        <v>0</v>
      </c>
      <c r="G41" s="14" t="s">
        <v>263</v>
      </c>
      <c r="H41" s="3">
        <v>1</v>
      </c>
      <c r="I41" s="14" t="s">
        <v>263</v>
      </c>
      <c r="J41" s="3">
        <v>1</v>
      </c>
      <c r="K41" s="14" t="s">
        <v>263</v>
      </c>
      <c r="L41" s="3">
        <v>1</v>
      </c>
      <c r="M41" s="14" t="s">
        <v>263</v>
      </c>
      <c r="N41" s="3">
        <v>1</v>
      </c>
      <c r="O41" s="8" t="s">
        <v>263</v>
      </c>
      <c r="P41" s="8" t="s">
        <v>245</v>
      </c>
      <c r="Q41" s="8" t="s">
        <v>263</v>
      </c>
      <c r="R41" s="8" t="s">
        <v>30</v>
      </c>
      <c r="S41" s="14" t="s">
        <v>263</v>
      </c>
      <c r="T41" s="3">
        <v>-1</v>
      </c>
      <c r="U41" s="3">
        <v>-1</v>
      </c>
      <c r="V41" s="3">
        <v>-1</v>
      </c>
      <c r="W41" s="3">
        <v>1</v>
      </c>
      <c r="X41" s="3">
        <v>-1</v>
      </c>
      <c r="AA41" s="14" t="s">
        <v>263</v>
      </c>
      <c r="AB41" s="3">
        <v>8</v>
      </c>
      <c r="AD41" s="15">
        <v>2046</v>
      </c>
      <c r="AH41" s="8"/>
      <c r="AI41" s="8"/>
      <c r="AJ41" s="8"/>
      <c r="AM41" s="8"/>
    </row>
    <row r="42" spans="1:39">
      <c r="A42" s="14" t="s">
        <v>264</v>
      </c>
      <c r="E42" s="14" t="s">
        <v>250</v>
      </c>
      <c r="F42" s="3">
        <v>0</v>
      </c>
      <c r="G42" s="14" t="s">
        <v>264</v>
      </c>
      <c r="H42" s="3">
        <v>1</v>
      </c>
      <c r="I42" s="14" t="s">
        <v>264</v>
      </c>
      <c r="J42" s="3">
        <v>1</v>
      </c>
      <c r="K42" s="14" t="s">
        <v>264</v>
      </c>
      <c r="L42" s="3">
        <v>1</v>
      </c>
      <c r="M42" s="14" t="s">
        <v>264</v>
      </c>
      <c r="N42" s="3">
        <v>1</v>
      </c>
      <c r="O42" s="8" t="s">
        <v>264</v>
      </c>
      <c r="P42" s="8" t="s">
        <v>245</v>
      </c>
      <c r="Q42" s="8" t="s">
        <v>264</v>
      </c>
      <c r="R42" s="8" t="s">
        <v>30</v>
      </c>
      <c r="S42" s="14" t="s">
        <v>264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4" t="s">
        <v>264</v>
      </c>
      <c r="AB42" s="3">
        <v>7</v>
      </c>
      <c r="AD42" s="15">
        <v>2047</v>
      </c>
      <c r="AH42" s="8"/>
      <c r="AI42" s="8"/>
      <c r="AJ42" s="8"/>
      <c r="AM42" s="8"/>
    </row>
    <row r="43" spans="1:39">
      <c r="A43" s="14" t="s">
        <v>265</v>
      </c>
      <c r="E43" s="14" t="s">
        <v>251</v>
      </c>
      <c r="F43" s="3">
        <v>0</v>
      </c>
      <c r="G43" s="14" t="s">
        <v>265</v>
      </c>
      <c r="H43" s="3">
        <v>1</v>
      </c>
      <c r="I43" s="14" t="s">
        <v>265</v>
      </c>
      <c r="J43" s="3">
        <v>1</v>
      </c>
      <c r="K43" s="14" t="s">
        <v>265</v>
      </c>
      <c r="L43" s="3">
        <v>1</v>
      </c>
      <c r="M43" s="14" t="s">
        <v>265</v>
      </c>
      <c r="N43" s="3">
        <v>1</v>
      </c>
      <c r="O43" s="8" t="s">
        <v>265</v>
      </c>
      <c r="P43" s="8" t="s">
        <v>245</v>
      </c>
      <c r="Q43" s="8" t="s">
        <v>265</v>
      </c>
      <c r="R43" s="8" t="s">
        <v>30</v>
      </c>
      <c r="S43" s="14" t="s">
        <v>265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4" t="s">
        <v>265</v>
      </c>
      <c r="AB43" s="3">
        <v>6</v>
      </c>
      <c r="AD43" s="15">
        <v>2048</v>
      </c>
      <c r="AH43" s="8"/>
      <c r="AI43" s="8"/>
      <c r="AJ43" s="8"/>
      <c r="AM43" s="8"/>
    </row>
    <row r="44" spans="1:39">
      <c r="A44" s="14" t="s">
        <v>266</v>
      </c>
      <c r="E44" s="14" t="s">
        <v>261</v>
      </c>
      <c r="F44" s="3">
        <v>0</v>
      </c>
      <c r="G44" s="14" t="s">
        <v>266</v>
      </c>
      <c r="H44" s="3">
        <v>1</v>
      </c>
      <c r="I44" s="14" t="s">
        <v>266</v>
      </c>
      <c r="J44" s="3">
        <v>1</v>
      </c>
      <c r="K44" s="14" t="s">
        <v>266</v>
      </c>
      <c r="L44" s="3">
        <v>1</v>
      </c>
      <c r="M44" s="14" t="s">
        <v>266</v>
      </c>
      <c r="N44" s="3">
        <v>1</v>
      </c>
      <c r="O44" s="8" t="s">
        <v>266</v>
      </c>
      <c r="P44" s="8" t="s">
        <v>271</v>
      </c>
      <c r="Q44" s="8" t="s">
        <v>266</v>
      </c>
      <c r="R44" s="8" t="s">
        <v>30</v>
      </c>
      <c r="S44" s="14" t="s">
        <v>266</v>
      </c>
      <c r="T44" s="3">
        <v>2</v>
      </c>
      <c r="U44" s="3">
        <v>2</v>
      </c>
      <c r="V44" s="3">
        <v>1</v>
      </c>
      <c r="W44" s="3">
        <v>2</v>
      </c>
      <c r="X44" s="3">
        <v>1</v>
      </c>
      <c r="AA44" s="14" t="s">
        <v>266</v>
      </c>
      <c r="AB44" s="3">
        <v>10</v>
      </c>
      <c r="AD44" s="15">
        <v>2049</v>
      </c>
      <c r="AH44" s="8"/>
      <c r="AI44" s="8"/>
      <c r="AJ44" s="8"/>
      <c r="AM44" s="8"/>
    </row>
    <row r="45" spans="1:39">
      <c r="A45" s="14" t="s">
        <v>267</v>
      </c>
      <c r="E45" s="14" t="s">
        <v>252</v>
      </c>
      <c r="F45" s="3">
        <v>0</v>
      </c>
      <c r="G45" s="14" t="s">
        <v>267</v>
      </c>
      <c r="H45" s="3">
        <v>1</v>
      </c>
      <c r="I45" s="14" t="s">
        <v>267</v>
      </c>
      <c r="J45" s="3">
        <v>1</v>
      </c>
      <c r="K45" s="14" t="s">
        <v>267</v>
      </c>
      <c r="L45" s="3">
        <v>1</v>
      </c>
      <c r="M45" s="14" t="s">
        <v>267</v>
      </c>
      <c r="N45" s="3">
        <v>1</v>
      </c>
      <c r="O45" s="8" t="s">
        <v>267</v>
      </c>
      <c r="P45" s="8" t="s">
        <v>271</v>
      </c>
      <c r="Q45" s="8" t="s">
        <v>267</v>
      </c>
      <c r="R45" s="8" t="s">
        <v>30</v>
      </c>
      <c r="S45" s="14" t="s">
        <v>267</v>
      </c>
      <c r="T45" s="3">
        <v>2</v>
      </c>
      <c r="U45" s="3">
        <v>2</v>
      </c>
      <c r="V45" s="3">
        <v>1</v>
      </c>
      <c r="W45" s="3">
        <v>2</v>
      </c>
      <c r="X45" s="3">
        <v>1</v>
      </c>
      <c r="AA45" s="14" t="s">
        <v>267</v>
      </c>
      <c r="AB45" s="3">
        <v>9</v>
      </c>
      <c r="AD45" s="15">
        <v>2050</v>
      </c>
      <c r="AH45" s="8"/>
      <c r="AI45" s="8"/>
      <c r="AJ45" s="8"/>
      <c r="AM45" s="8"/>
    </row>
    <row r="46" spans="1:39">
      <c r="A46" s="14" t="s">
        <v>268</v>
      </c>
      <c r="E46" s="14" t="s">
        <v>273</v>
      </c>
      <c r="F46" s="3">
        <v>0</v>
      </c>
      <c r="G46" s="14" t="s">
        <v>268</v>
      </c>
      <c r="H46" s="3">
        <v>1</v>
      </c>
      <c r="I46" s="14" t="s">
        <v>268</v>
      </c>
      <c r="J46" s="3">
        <v>1</v>
      </c>
      <c r="K46" s="14" t="s">
        <v>268</v>
      </c>
      <c r="L46" s="3">
        <v>1</v>
      </c>
      <c r="M46" s="14" t="s">
        <v>268</v>
      </c>
      <c r="N46" s="3">
        <v>1</v>
      </c>
      <c r="O46" s="8" t="s">
        <v>268</v>
      </c>
      <c r="P46" s="8" t="s">
        <v>271</v>
      </c>
      <c r="Q46" s="8" t="s">
        <v>268</v>
      </c>
      <c r="R46" s="8" t="s">
        <v>30</v>
      </c>
      <c r="S46" s="14" t="s">
        <v>268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4" t="s">
        <v>268</v>
      </c>
      <c r="AB46" s="3">
        <v>8</v>
      </c>
      <c r="AH46" s="8"/>
      <c r="AI46" s="8"/>
      <c r="AJ46" s="8"/>
    </row>
    <row r="47" spans="1:39">
      <c r="A47" s="14" t="s">
        <v>269</v>
      </c>
      <c r="E47" s="14" t="s">
        <v>237</v>
      </c>
      <c r="F47" s="3">
        <v>0</v>
      </c>
      <c r="G47" s="14" t="s">
        <v>269</v>
      </c>
      <c r="H47" s="3">
        <v>1</v>
      </c>
      <c r="I47" s="14" t="s">
        <v>269</v>
      </c>
      <c r="J47" s="3">
        <v>1</v>
      </c>
      <c r="K47" s="14" t="s">
        <v>269</v>
      </c>
      <c r="L47" s="3">
        <v>1</v>
      </c>
      <c r="M47" s="14" t="s">
        <v>269</v>
      </c>
      <c r="N47" s="3">
        <v>1</v>
      </c>
      <c r="O47" s="8" t="s">
        <v>269</v>
      </c>
      <c r="P47" s="8" t="s">
        <v>271</v>
      </c>
      <c r="Q47" s="8" t="s">
        <v>269</v>
      </c>
      <c r="R47" s="8" t="s">
        <v>30</v>
      </c>
      <c r="S47" s="14" t="s">
        <v>269</v>
      </c>
      <c r="T47" s="3">
        <v>2</v>
      </c>
      <c r="U47" s="3">
        <v>2</v>
      </c>
      <c r="V47" s="3">
        <v>1</v>
      </c>
      <c r="W47" s="3">
        <v>2</v>
      </c>
      <c r="X47" s="3">
        <v>1</v>
      </c>
      <c r="AA47" s="14" t="s">
        <v>269</v>
      </c>
      <c r="AB47" s="3">
        <v>7</v>
      </c>
      <c r="AH47" s="8"/>
      <c r="AI47" s="8"/>
      <c r="AJ47" s="8"/>
    </row>
    <row r="48" spans="1:39">
      <c r="A48" s="14" t="s">
        <v>270</v>
      </c>
      <c r="E48" s="14" t="s">
        <v>201</v>
      </c>
      <c r="F48" s="3">
        <v>0</v>
      </c>
      <c r="G48" s="14" t="s">
        <v>270</v>
      </c>
      <c r="H48" s="3">
        <v>1</v>
      </c>
      <c r="I48" s="14" t="s">
        <v>270</v>
      </c>
      <c r="J48" s="3">
        <v>1</v>
      </c>
      <c r="K48" s="14" t="s">
        <v>270</v>
      </c>
      <c r="L48" s="3">
        <v>1</v>
      </c>
      <c r="M48" s="14" t="s">
        <v>270</v>
      </c>
      <c r="N48" s="3">
        <v>1</v>
      </c>
      <c r="O48" s="8" t="s">
        <v>270</v>
      </c>
      <c r="P48" s="8" t="s">
        <v>271</v>
      </c>
      <c r="Q48" s="8" t="s">
        <v>270</v>
      </c>
      <c r="R48" s="8" t="s">
        <v>30</v>
      </c>
      <c r="S48" s="14" t="s">
        <v>270</v>
      </c>
      <c r="T48" s="3">
        <v>2</v>
      </c>
      <c r="U48" s="3">
        <v>2</v>
      </c>
      <c r="V48" s="3">
        <v>1</v>
      </c>
      <c r="W48" s="3">
        <v>2</v>
      </c>
      <c r="X48" s="3">
        <v>1</v>
      </c>
      <c r="AA48" s="14" t="s">
        <v>270</v>
      </c>
      <c r="AB48" s="3">
        <v>6</v>
      </c>
      <c r="AH48" s="8"/>
      <c r="AI48" s="8"/>
      <c r="AJ48" s="8"/>
    </row>
    <row r="49" spans="1:36">
      <c r="A49" s="14" t="s">
        <v>273</v>
      </c>
      <c r="E49" s="14" t="s">
        <v>195</v>
      </c>
      <c r="F49" s="3">
        <v>0</v>
      </c>
      <c r="G49" s="14" t="s">
        <v>273</v>
      </c>
      <c r="H49" s="3">
        <v>0</v>
      </c>
      <c r="I49" s="14" t="s">
        <v>273</v>
      </c>
      <c r="J49" s="3">
        <v>0</v>
      </c>
      <c r="K49" s="14" t="s">
        <v>273</v>
      </c>
      <c r="L49" s="3">
        <v>1</v>
      </c>
      <c r="M49" s="14" t="s">
        <v>273</v>
      </c>
      <c r="N49" s="3">
        <v>1</v>
      </c>
      <c r="O49" s="8" t="s">
        <v>273</v>
      </c>
      <c r="P49" s="8" t="s">
        <v>272</v>
      </c>
      <c r="Q49" s="8" t="s">
        <v>273</v>
      </c>
      <c r="R49" s="8" t="s">
        <v>30</v>
      </c>
      <c r="S49" s="14" t="s">
        <v>273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4" t="s">
        <v>273</v>
      </c>
      <c r="AB49" s="3"/>
      <c r="AH49" s="8"/>
      <c r="AI49" s="8"/>
      <c r="AJ49" s="8"/>
    </row>
    <row r="50" spans="1:36"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8"/>
      <c r="AI50" s="8"/>
      <c r="AJ50" s="8"/>
    </row>
    <row r="51" spans="1:36"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8"/>
      <c r="AI51" s="8"/>
      <c r="AJ51" s="8"/>
    </row>
    <row r="52" spans="1:36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X49"/>
  <sheetViews>
    <sheetView tabSelected="1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9" sqref="A9"/>
    </sheetView>
  </sheetViews>
  <sheetFormatPr defaultRowHeight="15"/>
  <cols>
    <col min="1" max="1" width="8.42578125" customWidth="1"/>
    <col min="2" max="2" width="23" bestFit="1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0">
      <c r="A1" s="8" t="s">
        <v>207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188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0">
      <c r="B2" s="8"/>
      <c r="E2" s="8"/>
      <c r="J2" s="8" t="s">
        <v>189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0">
      <c r="B3" s="8"/>
      <c r="E3" s="8"/>
      <c r="J3" s="8" t="s">
        <v>190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0">
      <c r="B4" s="8"/>
      <c r="E4" s="8"/>
      <c r="J4" s="8" t="s">
        <v>191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0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</row>
    <row r="6" spans="1:50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</row>
    <row r="7" spans="1:50" ht="45">
      <c r="A7" s="7" t="s">
        <v>9</v>
      </c>
      <c r="B7" s="2" t="s">
        <v>35</v>
      </c>
      <c r="C7" s="2" t="s">
        <v>204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192</v>
      </c>
      <c r="I7" s="9" t="s">
        <v>36</v>
      </c>
      <c r="J7" s="9" t="s">
        <v>37</v>
      </c>
      <c r="K7" s="9" t="s">
        <v>179</v>
      </c>
      <c r="L7" s="9" t="s">
        <v>180</v>
      </c>
      <c r="M7" s="9" t="s">
        <v>181</v>
      </c>
      <c r="N7" s="9" t="s">
        <v>183</v>
      </c>
      <c r="O7" s="9" t="s">
        <v>182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</row>
    <row r="8" spans="1:50" s="8" customFormat="1">
      <c r="A8" s="18">
        <v>1</v>
      </c>
      <c r="B8" s="8" t="s">
        <v>196</v>
      </c>
      <c r="C8" s="8" t="s">
        <v>205</v>
      </c>
      <c r="D8" s="8" t="s">
        <v>30</v>
      </c>
      <c r="E8" s="8" t="s">
        <v>200</v>
      </c>
      <c r="F8" s="8">
        <v>0</v>
      </c>
      <c r="G8" s="8">
        <v>0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41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</row>
    <row r="9" spans="1:50" s="8" customFormat="1">
      <c r="A9" s="18">
        <v>0</v>
      </c>
      <c r="B9" s="8" t="s">
        <v>220</v>
      </c>
      <c r="C9" s="8" t="s">
        <v>205</v>
      </c>
      <c r="D9" s="8" t="s">
        <v>30</v>
      </c>
      <c r="E9" s="8" t="s">
        <v>221</v>
      </c>
      <c r="F9" s="8">
        <v>1</v>
      </c>
      <c r="G9" s="8">
        <v>1</v>
      </c>
      <c r="H9" s="8" t="s">
        <v>190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</row>
    <row r="10" spans="1:50" s="8" customFormat="1">
      <c r="A10" s="18">
        <v>0</v>
      </c>
      <c r="B10" s="8" t="s">
        <v>208</v>
      </c>
      <c r="C10" s="8" t="s">
        <v>205</v>
      </c>
      <c r="D10" s="8" t="s">
        <v>30</v>
      </c>
      <c r="E10" s="8" t="s">
        <v>209</v>
      </c>
      <c r="F10" s="8">
        <v>1</v>
      </c>
      <c r="G10" s="8">
        <v>1</v>
      </c>
      <c r="H10" s="8" t="s">
        <v>189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</row>
    <row r="11" spans="1:50" s="8" customFormat="1">
      <c r="A11" s="18">
        <v>0</v>
      </c>
      <c r="B11" s="8" t="s">
        <v>214</v>
      </c>
      <c r="C11" s="8" t="s">
        <v>205</v>
      </c>
      <c r="D11" s="8" t="s">
        <v>30</v>
      </c>
      <c r="E11" s="8" t="s">
        <v>215</v>
      </c>
      <c r="F11" s="8">
        <v>1</v>
      </c>
      <c r="G11" s="8">
        <v>1</v>
      </c>
      <c r="H11" s="8" t="s">
        <v>189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</row>
    <row r="12" spans="1:50" s="8" customFormat="1">
      <c r="A12" s="18">
        <v>0</v>
      </c>
      <c r="B12" s="8" t="s">
        <v>222</v>
      </c>
      <c r="C12" s="8" t="s">
        <v>205</v>
      </c>
      <c r="D12" s="8" t="s">
        <v>30</v>
      </c>
      <c r="E12" s="8" t="s">
        <v>218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</row>
    <row r="13" spans="1:50" s="8" customFormat="1">
      <c r="A13" s="18">
        <v>0</v>
      </c>
      <c r="B13" s="8" t="s">
        <v>194</v>
      </c>
      <c r="C13" s="8" t="s">
        <v>205</v>
      </c>
      <c r="D13" s="8" t="s">
        <v>30</v>
      </c>
      <c r="E13" s="8" t="s">
        <v>193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</row>
    <row r="14" spans="1:50">
      <c r="A14" s="18">
        <v>0</v>
      </c>
      <c r="B14" t="s">
        <v>198</v>
      </c>
      <c r="C14" t="s">
        <v>205</v>
      </c>
      <c r="D14" s="8" t="s">
        <v>30</v>
      </c>
      <c r="E14" t="s">
        <v>199</v>
      </c>
      <c r="F14" s="8">
        <v>1</v>
      </c>
      <c r="G14" s="8">
        <v>1</v>
      </c>
      <c r="H14" s="8" t="s">
        <v>191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</row>
    <row r="15" spans="1:50" s="8" customFormat="1">
      <c r="A15" s="18">
        <v>0</v>
      </c>
      <c r="B15" s="8" t="s">
        <v>228</v>
      </c>
      <c r="C15" s="8" t="s">
        <v>205</v>
      </c>
      <c r="D15" s="8" t="s">
        <v>30</v>
      </c>
      <c r="E15" s="8" t="s">
        <v>229</v>
      </c>
      <c r="F15" s="8">
        <v>1</v>
      </c>
      <c r="G15" s="8">
        <v>0</v>
      </c>
      <c r="H15" s="8" t="s">
        <v>188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</row>
    <row r="16" spans="1:50" s="8" customFormat="1">
      <c r="A16" s="18">
        <v>0</v>
      </c>
      <c r="B16" s="8" t="s">
        <v>230</v>
      </c>
      <c r="C16" s="8" t="s">
        <v>205</v>
      </c>
      <c r="D16" s="8" t="s">
        <v>30</v>
      </c>
      <c r="E16" s="8" t="s">
        <v>230</v>
      </c>
      <c r="F16" s="8">
        <v>1</v>
      </c>
      <c r="G16" s="8">
        <v>0</v>
      </c>
      <c r="H16" s="8" t="s">
        <v>189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</row>
    <row r="17" spans="1:17" s="8" customFormat="1">
      <c r="A17" s="18">
        <v>0</v>
      </c>
      <c r="B17" s="8" t="s">
        <v>234</v>
      </c>
      <c r="C17" s="8" t="s">
        <v>205</v>
      </c>
      <c r="D17" s="8" t="s">
        <v>30</v>
      </c>
      <c r="E17" s="8" t="s">
        <v>231</v>
      </c>
      <c r="F17" s="8">
        <v>1</v>
      </c>
      <c r="G17" s="8">
        <v>1</v>
      </c>
      <c r="H17" s="8" t="s">
        <v>188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</row>
    <row r="18" spans="1:17" s="8" customFormat="1">
      <c r="A18" s="18">
        <v>0</v>
      </c>
      <c r="B18" s="8" t="s">
        <v>235</v>
      </c>
      <c r="C18" s="8" t="s">
        <v>205</v>
      </c>
      <c r="D18" s="8" t="s">
        <v>30</v>
      </c>
      <c r="E18" s="8" t="s">
        <v>233</v>
      </c>
      <c r="F18" s="8">
        <v>1</v>
      </c>
      <c r="G18" s="8">
        <v>1</v>
      </c>
      <c r="H18" s="8" t="s">
        <v>189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</row>
    <row r="19" spans="1:17" s="8" customFormat="1">
      <c r="A19" s="18">
        <v>0</v>
      </c>
      <c r="B19" s="8" t="s">
        <v>236</v>
      </c>
      <c r="C19" s="8" t="s">
        <v>205</v>
      </c>
      <c r="D19" s="8" t="s">
        <v>30</v>
      </c>
      <c r="E19" s="8" t="s">
        <v>232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</row>
    <row r="20" spans="1:17" s="8" customFormat="1">
      <c r="A20" s="18">
        <v>0</v>
      </c>
      <c r="B20" s="8" t="s">
        <v>197</v>
      </c>
      <c r="C20" s="8" t="s">
        <v>205</v>
      </c>
      <c r="D20" s="8" t="s">
        <v>31</v>
      </c>
      <c r="E20" s="8" t="s">
        <v>202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41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</row>
    <row r="21" spans="1:17">
      <c r="A21" s="18">
        <v>0</v>
      </c>
      <c r="B21" s="8" t="s">
        <v>223</v>
      </c>
      <c r="C21" t="s">
        <v>205</v>
      </c>
      <c r="D21" s="8" t="s">
        <v>31</v>
      </c>
      <c r="E21" t="s">
        <v>219</v>
      </c>
      <c r="F21" s="8">
        <v>1</v>
      </c>
      <c r="G21" s="8">
        <v>1</v>
      </c>
      <c r="H21" s="8" t="s">
        <v>189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</row>
    <row r="22" spans="1:17" s="8" customFormat="1">
      <c r="A22" s="18">
        <v>0</v>
      </c>
      <c r="B22" s="8" t="s">
        <v>226</v>
      </c>
      <c r="C22" s="8" t="s">
        <v>205</v>
      </c>
      <c r="D22" s="8" t="s">
        <v>31</v>
      </c>
      <c r="E22" s="8" t="s">
        <v>227</v>
      </c>
      <c r="F22" s="8">
        <v>1</v>
      </c>
      <c r="G22" s="8">
        <v>1</v>
      </c>
      <c r="H22" s="8" t="s">
        <v>189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</row>
    <row r="23" spans="1:17" s="8" customFormat="1">
      <c r="A23" s="18">
        <v>0</v>
      </c>
      <c r="B23" s="8" t="s">
        <v>224</v>
      </c>
      <c r="C23" s="8" t="s">
        <v>205</v>
      </c>
      <c r="D23" s="8" t="s">
        <v>31</v>
      </c>
      <c r="E23" s="8" t="s">
        <v>225</v>
      </c>
      <c r="F23" s="8">
        <v>1</v>
      </c>
      <c r="G23" s="8">
        <v>1</v>
      </c>
      <c r="H23" s="8" t="s">
        <v>190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</row>
    <row r="24" spans="1:17">
      <c r="A24" s="18">
        <v>0</v>
      </c>
      <c r="B24" t="s">
        <v>201</v>
      </c>
      <c r="C24" t="s">
        <v>205</v>
      </c>
      <c r="D24" s="8" t="s">
        <v>31</v>
      </c>
      <c r="E24" s="8" t="s">
        <v>203</v>
      </c>
      <c r="F24" s="8">
        <v>1</v>
      </c>
      <c r="G24" s="8">
        <v>1</v>
      </c>
      <c r="H24" s="8" t="s">
        <v>188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</row>
    <row r="25" spans="1:17" s="8" customFormat="1">
      <c r="A25" s="18">
        <v>0</v>
      </c>
      <c r="B25" s="8" t="s">
        <v>237</v>
      </c>
      <c r="C25" s="8" t="s">
        <v>205</v>
      </c>
      <c r="D25" s="8" t="s">
        <v>31</v>
      </c>
      <c r="E25" s="8" t="s">
        <v>200</v>
      </c>
      <c r="F25" s="8">
        <v>1</v>
      </c>
      <c r="G25" s="8">
        <v>1</v>
      </c>
      <c r="H25" s="8" t="s">
        <v>188</v>
      </c>
      <c r="I25" s="8">
        <v>1</v>
      </c>
      <c r="J25" s="8">
        <v>1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</row>
    <row r="26" spans="1:17" s="8" customFormat="1">
      <c r="A26" s="18">
        <v>0</v>
      </c>
      <c r="B26" s="8" t="s">
        <v>238</v>
      </c>
      <c r="C26" s="8" t="s">
        <v>205</v>
      </c>
      <c r="D26" s="8" t="s">
        <v>31</v>
      </c>
      <c r="E26" s="8" t="s">
        <v>231</v>
      </c>
      <c r="F26" s="8">
        <v>1</v>
      </c>
      <c r="G26" s="8">
        <v>1</v>
      </c>
      <c r="H26" s="8" t="s">
        <v>188</v>
      </c>
      <c r="I26" s="8">
        <v>1</v>
      </c>
      <c r="J26" s="8">
        <v>1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</row>
    <row r="27" spans="1:17" s="8" customFormat="1">
      <c r="A27" s="18">
        <v>0</v>
      </c>
      <c r="B27" s="8" t="s">
        <v>239</v>
      </c>
      <c r="C27" s="8" t="s">
        <v>205</v>
      </c>
      <c r="D27" s="8" t="s">
        <v>31</v>
      </c>
      <c r="E27" s="8" t="s">
        <v>233</v>
      </c>
      <c r="F27" s="8">
        <v>1</v>
      </c>
      <c r="G27" s="8">
        <v>1</v>
      </c>
      <c r="H27" s="8" t="s">
        <v>189</v>
      </c>
      <c r="I27" s="8">
        <v>1</v>
      </c>
      <c r="J27" s="8">
        <v>1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</row>
    <row r="28" spans="1:17" s="8" customFormat="1">
      <c r="A28" s="18">
        <v>0</v>
      </c>
      <c r="B28" s="8" t="s">
        <v>240</v>
      </c>
      <c r="C28" s="8" t="s">
        <v>205</v>
      </c>
      <c r="D28" s="8" t="s">
        <v>30</v>
      </c>
      <c r="E28" s="8" t="s">
        <v>241</v>
      </c>
      <c r="F28" s="8">
        <v>1</v>
      </c>
      <c r="G28" s="8">
        <v>1</v>
      </c>
      <c r="H28" s="8" t="s">
        <v>188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 t="shared" ref="Q28:Q39" si="21">B28</f>
        <v>NoPAMS-LOP</v>
      </c>
    </row>
    <row r="29" spans="1:17" s="8" customFormat="1">
      <c r="A29" s="18">
        <v>0</v>
      </c>
      <c r="B29" s="8" t="s">
        <v>242</v>
      </c>
      <c r="C29" s="8" t="s">
        <v>205</v>
      </c>
      <c r="D29" s="8" t="s">
        <v>30</v>
      </c>
      <c r="E29" s="8" t="s">
        <v>243</v>
      </c>
      <c r="F29" s="8">
        <v>1</v>
      </c>
      <c r="G29" s="8">
        <v>1</v>
      </c>
      <c r="H29" s="8" t="s">
        <v>188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 t="shared" si="21"/>
        <v>NoPAMS-IRP</v>
      </c>
    </row>
    <row r="30" spans="1:17" s="8" customFormat="1">
      <c r="A30" s="18">
        <v>0</v>
      </c>
      <c r="B30" s="8" t="s">
        <v>244</v>
      </c>
      <c r="C30" s="8" t="s">
        <v>205</v>
      </c>
      <c r="D30" s="8" t="s">
        <v>30</v>
      </c>
      <c r="E30" s="8" t="s">
        <v>245</v>
      </c>
      <c r="F30" s="8">
        <v>1</v>
      </c>
      <c r="G30" s="8">
        <v>1</v>
      </c>
      <c r="H30" s="8" t="s">
        <v>188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 t="shared" si="21"/>
        <v>NoPAMS-CAP10</v>
      </c>
    </row>
    <row r="31" spans="1:17" s="8" customFormat="1">
      <c r="A31" s="18">
        <v>0</v>
      </c>
      <c r="B31" s="8" t="s">
        <v>262</v>
      </c>
      <c r="C31" s="8" t="s">
        <v>205</v>
      </c>
      <c r="D31" s="8" t="s">
        <v>30</v>
      </c>
      <c r="E31" s="8" t="s">
        <v>245</v>
      </c>
      <c r="F31" s="8">
        <v>1</v>
      </c>
      <c r="G31" s="8">
        <v>1</v>
      </c>
      <c r="H31" s="8" t="s">
        <v>188</v>
      </c>
      <c r="I31" s="8">
        <v>1</v>
      </c>
      <c r="J31" s="8">
        <v>1</v>
      </c>
      <c r="K31" s="8">
        <f t="shared" si="14"/>
        <v>-1</v>
      </c>
      <c r="L31" s="8">
        <f t="shared" si="2"/>
        <v>-1</v>
      </c>
      <c r="M31" s="8">
        <f t="shared" si="2"/>
        <v>-1</v>
      </c>
      <c r="N31" s="8">
        <f t="shared" si="2"/>
        <v>1</v>
      </c>
      <c r="O31" s="8">
        <f t="shared" si="2"/>
        <v>-1</v>
      </c>
      <c r="P31" s="8">
        <v>9</v>
      </c>
      <c r="Q31" s="8" t="str">
        <f t="shared" ref="Q31:Q33" si="22">B31</f>
        <v>NoPAMS-CAP09</v>
      </c>
    </row>
    <row r="32" spans="1:17" s="8" customFormat="1">
      <c r="A32" s="18">
        <v>0</v>
      </c>
      <c r="B32" s="8" t="s">
        <v>263</v>
      </c>
      <c r="C32" s="8" t="s">
        <v>205</v>
      </c>
      <c r="D32" s="8" t="s">
        <v>30</v>
      </c>
      <c r="E32" s="8" t="s">
        <v>245</v>
      </c>
      <c r="F32" s="8">
        <v>1</v>
      </c>
      <c r="G32" s="8">
        <v>1</v>
      </c>
      <c r="H32" s="8" t="s">
        <v>188</v>
      </c>
      <c r="I32" s="8">
        <v>1</v>
      </c>
      <c r="J32" s="8">
        <v>1</v>
      </c>
      <c r="K32" s="8">
        <f t="shared" si="14"/>
        <v>-1</v>
      </c>
      <c r="L32" s="8">
        <f t="shared" si="2"/>
        <v>-1</v>
      </c>
      <c r="M32" s="8">
        <f t="shared" si="2"/>
        <v>-1</v>
      </c>
      <c r="N32" s="8">
        <f t="shared" si="2"/>
        <v>1</v>
      </c>
      <c r="O32" s="8">
        <f t="shared" si="2"/>
        <v>-1</v>
      </c>
      <c r="P32" s="8">
        <v>8</v>
      </c>
      <c r="Q32" s="8" t="str">
        <f t="shared" si="22"/>
        <v>NoPAMS-CAP08</v>
      </c>
    </row>
    <row r="33" spans="1:17" s="8" customFormat="1">
      <c r="A33" s="18">
        <v>0</v>
      </c>
      <c r="B33" s="8" t="s">
        <v>264</v>
      </c>
      <c r="C33" s="8" t="s">
        <v>205</v>
      </c>
      <c r="D33" s="8" t="s">
        <v>30</v>
      </c>
      <c r="E33" s="8" t="s">
        <v>245</v>
      </c>
      <c r="F33" s="8">
        <v>1</v>
      </c>
      <c r="G33" s="8">
        <v>1</v>
      </c>
      <c r="H33" s="8" t="s">
        <v>188</v>
      </c>
      <c r="I33" s="8">
        <v>1</v>
      </c>
      <c r="J33" s="8">
        <v>1</v>
      </c>
      <c r="K33" s="8">
        <f t="shared" si="14"/>
        <v>-1</v>
      </c>
      <c r="L33" s="8">
        <f t="shared" si="2"/>
        <v>-1</v>
      </c>
      <c r="M33" s="8">
        <f t="shared" si="2"/>
        <v>-1</v>
      </c>
      <c r="N33" s="8">
        <f t="shared" si="2"/>
        <v>1</v>
      </c>
      <c r="O33" s="8">
        <f t="shared" si="2"/>
        <v>-1</v>
      </c>
      <c r="P33" s="8">
        <v>7</v>
      </c>
      <c r="Q33" s="8" t="str">
        <f t="shared" si="22"/>
        <v>NoPAMS-CAP07</v>
      </c>
    </row>
    <row r="34" spans="1:17" s="8" customFormat="1">
      <c r="A34" s="18">
        <v>0</v>
      </c>
      <c r="B34" s="8" t="s">
        <v>265</v>
      </c>
      <c r="C34" s="8" t="s">
        <v>205</v>
      </c>
      <c r="D34" s="8" t="s">
        <v>30</v>
      </c>
      <c r="E34" s="8" t="s">
        <v>245</v>
      </c>
      <c r="F34" s="8">
        <v>1</v>
      </c>
      <c r="G34" s="8">
        <v>1</v>
      </c>
      <c r="H34" s="8" t="s">
        <v>188</v>
      </c>
      <c r="I34" s="8">
        <v>1</v>
      </c>
      <c r="J34" s="8">
        <v>1</v>
      </c>
      <c r="K34" s="8">
        <f t="shared" si="14"/>
        <v>-1</v>
      </c>
      <c r="L34" s="8">
        <f t="shared" si="2"/>
        <v>-1</v>
      </c>
      <c r="M34" s="8">
        <f t="shared" si="2"/>
        <v>-1</v>
      </c>
      <c r="N34" s="8">
        <f t="shared" si="2"/>
        <v>1</v>
      </c>
      <c r="O34" s="8">
        <f t="shared" si="2"/>
        <v>-1</v>
      </c>
      <c r="P34" s="8">
        <v>6</v>
      </c>
      <c r="Q34" s="8" t="str">
        <f t="shared" ref="Q34" si="23">B34</f>
        <v>NoPAMS-CAP06</v>
      </c>
    </row>
    <row r="35" spans="1:17" s="8" customFormat="1">
      <c r="A35" s="18">
        <v>0</v>
      </c>
      <c r="B35" s="8" t="s">
        <v>250</v>
      </c>
      <c r="C35" s="8" t="s">
        <v>205</v>
      </c>
      <c r="D35" s="8" t="s">
        <v>30</v>
      </c>
      <c r="E35" s="8" t="s">
        <v>249</v>
      </c>
      <c r="F35" s="8">
        <v>1</v>
      </c>
      <c r="G35" s="8">
        <v>1</v>
      </c>
      <c r="H35" s="8" t="s">
        <v>188</v>
      </c>
      <c r="I35" s="8">
        <v>1</v>
      </c>
      <c r="J35" s="8">
        <v>1</v>
      </c>
      <c r="K35" s="8">
        <f t="shared" si="14"/>
        <v>-1</v>
      </c>
      <c r="L35" s="8">
        <f t="shared" si="2"/>
        <v>-1</v>
      </c>
      <c r="M35" s="8">
        <f t="shared" si="2"/>
        <v>-1</v>
      </c>
      <c r="N35" s="8">
        <f t="shared" si="2"/>
        <v>1</v>
      </c>
      <c r="O35" s="8">
        <f t="shared" si="2"/>
        <v>-1</v>
      </c>
      <c r="Q35" s="8" t="str">
        <f t="shared" si="21"/>
        <v>NoPAMS-MRE-LEAF</v>
      </c>
    </row>
    <row r="36" spans="1:17" s="8" customFormat="1">
      <c r="A36" s="18">
        <v>0</v>
      </c>
      <c r="B36" s="8" t="s">
        <v>251</v>
      </c>
      <c r="C36" s="8" t="s">
        <v>205</v>
      </c>
      <c r="D36" s="8" t="s">
        <v>31</v>
      </c>
      <c r="E36" s="8" t="s">
        <v>249</v>
      </c>
      <c r="F36" s="8">
        <v>1</v>
      </c>
      <c r="G36" s="8">
        <v>1</v>
      </c>
      <c r="H36" s="8" t="s">
        <v>188</v>
      </c>
      <c r="I36" s="8">
        <v>1</v>
      </c>
      <c r="J36" s="8">
        <v>1</v>
      </c>
      <c r="K36" s="8">
        <f t="shared" si="14"/>
        <v>-1</v>
      </c>
      <c r="L36" s="8">
        <f t="shared" si="2"/>
        <v>-1</v>
      </c>
      <c r="M36" s="8">
        <f t="shared" si="2"/>
        <v>-1</v>
      </c>
      <c r="N36" s="8">
        <f t="shared" si="2"/>
        <v>1</v>
      </c>
      <c r="O36" s="8">
        <f t="shared" si="2"/>
        <v>-1</v>
      </c>
      <c r="Q36" s="8" t="str">
        <f t="shared" si="21"/>
        <v>NoPAMS-MRE-LEAF-TrGr</v>
      </c>
    </row>
    <row r="37" spans="1:17" s="8" customFormat="1">
      <c r="A37" s="18">
        <v>0</v>
      </c>
      <c r="B37" s="8" t="s">
        <v>261</v>
      </c>
      <c r="C37" s="8" t="s">
        <v>205</v>
      </c>
      <c r="D37" s="8" t="s">
        <v>30</v>
      </c>
      <c r="E37" s="8" t="s">
        <v>253</v>
      </c>
      <c r="F37" s="8">
        <v>1</v>
      </c>
      <c r="G37" s="8">
        <v>1</v>
      </c>
      <c r="H37" s="8" t="s">
        <v>188</v>
      </c>
      <c r="I37" s="8">
        <v>1</v>
      </c>
      <c r="J37" s="8">
        <v>1</v>
      </c>
      <c r="K37" s="8">
        <f t="shared" si="14"/>
        <v>-1</v>
      </c>
      <c r="L37" s="8">
        <f t="shared" si="2"/>
        <v>-1</v>
      </c>
      <c r="M37" s="8">
        <f t="shared" si="2"/>
        <v>-1</v>
      </c>
      <c r="N37" s="8">
        <f t="shared" si="2"/>
        <v>1</v>
      </c>
      <c r="O37" s="8">
        <f t="shared" si="2"/>
        <v>-1</v>
      </c>
      <c r="Q37" s="8" t="str">
        <f t="shared" ref="Q37" si="24">B37</f>
        <v>NoPAMS-RE-LEAF</v>
      </c>
    </row>
    <row r="38" spans="1:17" s="8" customFormat="1">
      <c r="A38" s="18">
        <v>0</v>
      </c>
      <c r="B38" s="8" t="s">
        <v>252</v>
      </c>
      <c r="C38" s="8" t="s">
        <v>205</v>
      </c>
      <c r="D38" s="8" t="s">
        <v>31</v>
      </c>
      <c r="E38" s="8" t="s">
        <v>253</v>
      </c>
      <c r="F38" s="8">
        <v>1</v>
      </c>
      <c r="G38" s="8">
        <v>1</v>
      </c>
      <c r="H38" s="8" t="s">
        <v>188</v>
      </c>
      <c r="I38" s="8">
        <v>1</v>
      </c>
      <c r="J38" s="8">
        <v>1</v>
      </c>
      <c r="K38" s="8">
        <f t="shared" si="14"/>
        <v>-1</v>
      </c>
      <c r="L38" s="8">
        <f t="shared" si="2"/>
        <v>-1</v>
      </c>
      <c r="M38" s="8">
        <f t="shared" si="2"/>
        <v>-1</v>
      </c>
      <c r="N38" s="8">
        <f t="shared" si="2"/>
        <v>1</v>
      </c>
      <c r="O38" s="8">
        <f t="shared" si="2"/>
        <v>-1</v>
      </c>
      <c r="Q38" s="8" t="str">
        <f t="shared" si="21"/>
        <v>NoPAMS-RE-LEAF-TrGr</v>
      </c>
    </row>
    <row r="39" spans="1:17" s="8" customFormat="1">
      <c r="A39" s="18">
        <v>0</v>
      </c>
      <c r="B39" s="8" t="s">
        <v>254</v>
      </c>
      <c r="C39" s="8" t="s">
        <v>205</v>
      </c>
      <c r="D39" s="8" t="s">
        <v>30</v>
      </c>
      <c r="E39" s="8" t="s">
        <v>255</v>
      </c>
      <c r="F39" s="8">
        <v>1</v>
      </c>
      <c r="G39" s="8">
        <v>1</v>
      </c>
      <c r="H39" s="8" t="s">
        <v>189</v>
      </c>
      <c r="I39" s="8">
        <v>1</v>
      </c>
      <c r="J39" s="8">
        <v>1</v>
      </c>
      <c r="K39" s="8">
        <f t="shared" si="14"/>
        <v>2</v>
      </c>
      <c r="L39" s="8">
        <f t="shared" si="2"/>
        <v>2</v>
      </c>
      <c r="M39" s="8">
        <f t="shared" si="2"/>
        <v>1</v>
      </c>
      <c r="N39" s="8">
        <f t="shared" si="2"/>
        <v>2</v>
      </c>
      <c r="O39" s="8">
        <f t="shared" si="2"/>
        <v>1</v>
      </c>
      <c r="Q39" s="8" t="str">
        <f t="shared" si="21"/>
        <v>CPAMS-NoIRP-LEAF</v>
      </c>
    </row>
    <row r="40" spans="1:17" s="8" customFormat="1">
      <c r="A40" s="18">
        <v>0</v>
      </c>
      <c r="B40" s="8" t="s">
        <v>256</v>
      </c>
      <c r="C40" s="8" t="s">
        <v>205</v>
      </c>
      <c r="D40" s="8" t="s">
        <v>30</v>
      </c>
      <c r="E40" s="8" t="s">
        <v>257</v>
      </c>
      <c r="F40" s="8">
        <v>1</v>
      </c>
      <c r="G40" s="8">
        <v>1</v>
      </c>
      <c r="H40" s="8" t="s">
        <v>189</v>
      </c>
      <c r="I40" s="8">
        <v>1</v>
      </c>
      <c r="J40" s="8">
        <v>1</v>
      </c>
      <c r="K40" s="8">
        <f>INDEX(K$1:K$4,MATCH($H40,$J$1:$J$4,0))</f>
        <v>2</v>
      </c>
      <c r="L40" s="8">
        <f t="shared" ref="L40:O49" si="25">INDEX(L$1:L$4,MATCH($H40,$J$1:$J$4,0))</f>
        <v>2</v>
      </c>
      <c r="M40" s="8">
        <f t="shared" si="25"/>
        <v>1</v>
      </c>
      <c r="N40" s="8">
        <f t="shared" si="25"/>
        <v>2</v>
      </c>
      <c r="O40" s="8">
        <f t="shared" si="25"/>
        <v>1</v>
      </c>
      <c r="Q40" s="8" t="str">
        <f t="shared" ref="Q40" si="26">B40</f>
        <v>CPAMS-MRE-LEAF</v>
      </c>
    </row>
    <row r="41" spans="1:17" s="8" customFormat="1">
      <c r="A41" s="18">
        <v>0</v>
      </c>
      <c r="B41" s="8" t="s">
        <v>258</v>
      </c>
      <c r="C41" s="8" t="s">
        <v>205</v>
      </c>
      <c r="D41" s="8" t="s">
        <v>31</v>
      </c>
      <c r="E41" s="8" t="s">
        <v>255</v>
      </c>
      <c r="F41" s="8">
        <v>1</v>
      </c>
      <c r="G41" s="8">
        <v>1</v>
      </c>
      <c r="H41" s="8" t="s">
        <v>189</v>
      </c>
      <c r="I41" s="8">
        <v>1</v>
      </c>
      <c r="J41" s="8">
        <v>1</v>
      </c>
      <c r="K41" s="8">
        <f t="shared" si="14"/>
        <v>2</v>
      </c>
      <c r="L41" s="8">
        <f t="shared" si="2"/>
        <v>2</v>
      </c>
      <c r="M41" s="8">
        <f t="shared" si="2"/>
        <v>1</v>
      </c>
      <c r="N41" s="8">
        <f t="shared" si="2"/>
        <v>2</v>
      </c>
      <c r="O41" s="8">
        <f t="shared" si="2"/>
        <v>1</v>
      </c>
      <c r="Q41" s="8" t="str">
        <f>B41</f>
        <v>CPAMS-NoIRP-LEAF-TrGr</v>
      </c>
    </row>
    <row r="42" spans="1:17" s="8" customFormat="1">
      <c r="A42" s="18">
        <v>0</v>
      </c>
      <c r="B42" s="8" t="s">
        <v>259</v>
      </c>
      <c r="C42" s="8" t="s">
        <v>205</v>
      </c>
      <c r="D42" s="8" t="s">
        <v>31</v>
      </c>
      <c r="E42" s="8" t="s">
        <v>257</v>
      </c>
      <c r="F42" s="8">
        <v>1</v>
      </c>
      <c r="G42" s="8">
        <v>1</v>
      </c>
      <c r="H42" s="8" t="s">
        <v>189</v>
      </c>
      <c r="I42" s="8">
        <v>1</v>
      </c>
      <c r="J42" s="8">
        <v>1</v>
      </c>
      <c r="K42" s="8">
        <f>INDEX(K$1:K$4,MATCH($H42,$J$1:$J$4,0))</f>
        <v>2</v>
      </c>
      <c r="L42" s="8">
        <f t="shared" si="25"/>
        <v>2</v>
      </c>
      <c r="M42" s="8">
        <f t="shared" si="25"/>
        <v>1</v>
      </c>
      <c r="N42" s="8">
        <f t="shared" si="25"/>
        <v>2</v>
      </c>
      <c r="O42" s="8">
        <f t="shared" si="25"/>
        <v>1</v>
      </c>
      <c r="Q42" s="8" t="str">
        <f t="shared" ref="Q42:Q43" si="27">B42</f>
        <v>CPAMS-MRE-LEAF-TrGr</v>
      </c>
    </row>
    <row r="43" spans="1:17" s="8" customFormat="1">
      <c r="A43" s="18">
        <v>0</v>
      </c>
      <c r="B43" s="8" t="s">
        <v>260</v>
      </c>
      <c r="C43" s="8" t="s">
        <v>205</v>
      </c>
      <c r="D43" s="8" t="s">
        <v>31</v>
      </c>
      <c r="E43" s="8" t="s">
        <v>232</v>
      </c>
      <c r="F43" s="8">
        <v>1</v>
      </c>
      <c r="G43" s="8">
        <v>1</v>
      </c>
      <c r="H43" s="8" t="s">
        <v>189</v>
      </c>
      <c r="I43" s="8">
        <v>1</v>
      </c>
      <c r="J43" s="8">
        <v>1</v>
      </c>
      <c r="K43" s="8">
        <f>INDEX(K$1:K$4,MATCH($H43,$J$1:$J$4,0))</f>
        <v>2</v>
      </c>
      <c r="L43" s="8">
        <f t="shared" si="25"/>
        <v>2</v>
      </c>
      <c r="M43" s="8">
        <f t="shared" si="25"/>
        <v>1</v>
      </c>
      <c r="N43" s="8">
        <f t="shared" si="25"/>
        <v>2</v>
      </c>
      <c r="O43" s="8">
        <f t="shared" si="25"/>
        <v>1</v>
      </c>
      <c r="Q43" s="8" t="str">
        <f t="shared" si="27"/>
        <v>CPAMS-RE-LEAF-TrGr</v>
      </c>
    </row>
    <row r="44" spans="1:17" s="8" customFormat="1">
      <c r="A44" s="18">
        <v>0</v>
      </c>
      <c r="B44" s="8" t="s">
        <v>266</v>
      </c>
      <c r="C44" s="8" t="s">
        <v>205</v>
      </c>
      <c r="D44" s="8" t="s">
        <v>30</v>
      </c>
      <c r="E44" s="8" t="s">
        <v>271</v>
      </c>
      <c r="F44" s="8">
        <v>1</v>
      </c>
      <c r="G44" s="8">
        <v>1</v>
      </c>
      <c r="H44" s="8" t="s">
        <v>189</v>
      </c>
      <c r="I44" s="8">
        <v>1</v>
      </c>
      <c r="J44" s="8">
        <v>1</v>
      </c>
      <c r="K44" s="8">
        <f t="shared" ref="K44:K49" si="28">INDEX(K$1:K$4,MATCH($H44,$J$1:$J$4,0))</f>
        <v>2</v>
      </c>
      <c r="L44" s="8">
        <f t="shared" si="25"/>
        <v>2</v>
      </c>
      <c r="M44" s="8">
        <f t="shared" si="25"/>
        <v>1</v>
      </c>
      <c r="N44" s="8">
        <f t="shared" si="25"/>
        <v>2</v>
      </c>
      <c r="O44" s="8">
        <f t="shared" si="25"/>
        <v>1</v>
      </c>
      <c r="P44" s="8">
        <v>10</v>
      </c>
      <c r="Q44" s="8" t="str">
        <f t="shared" ref="Q44:Q48" si="29">B44</f>
        <v>CPAMS-CAP10</v>
      </c>
    </row>
    <row r="45" spans="1:17" s="8" customFormat="1">
      <c r="A45" s="18">
        <v>0</v>
      </c>
      <c r="B45" s="8" t="s">
        <v>267</v>
      </c>
      <c r="C45" s="8" t="s">
        <v>205</v>
      </c>
      <c r="D45" s="8" t="s">
        <v>30</v>
      </c>
      <c r="E45" s="8" t="s">
        <v>271</v>
      </c>
      <c r="F45" s="8">
        <v>1</v>
      </c>
      <c r="G45" s="8">
        <v>1</v>
      </c>
      <c r="H45" s="8" t="s">
        <v>189</v>
      </c>
      <c r="I45" s="8">
        <v>1</v>
      </c>
      <c r="J45" s="8">
        <v>1</v>
      </c>
      <c r="K45" s="8">
        <f t="shared" si="28"/>
        <v>2</v>
      </c>
      <c r="L45" s="8">
        <f t="shared" si="25"/>
        <v>2</v>
      </c>
      <c r="M45" s="8">
        <f t="shared" si="25"/>
        <v>1</v>
      </c>
      <c r="N45" s="8">
        <f t="shared" si="25"/>
        <v>2</v>
      </c>
      <c r="O45" s="8">
        <f t="shared" si="25"/>
        <v>1</v>
      </c>
      <c r="P45" s="8">
        <v>9</v>
      </c>
      <c r="Q45" s="8" t="str">
        <f t="shared" si="29"/>
        <v>CPAMS-CAP09</v>
      </c>
    </row>
    <row r="46" spans="1:17" s="8" customFormat="1">
      <c r="A46" s="18">
        <v>0</v>
      </c>
      <c r="B46" s="8" t="s">
        <v>268</v>
      </c>
      <c r="C46" s="8" t="s">
        <v>205</v>
      </c>
      <c r="D46" s="8" t="s">
        <v>30</v>
      </c>
      <c r="E46" s="8" t="s">
        <v>271</v>
      </c>
      <c r="F46" s="8">
        <v>1</v>
      </c>
      <c r="G46" s="8">
        <v>1</v>
      </c>
      <c r="H46" s="8" t="s">
        <v>189</v>
      </c>
      <c r="I46" s="8">
        <v>1</v>
      </c>
      <c r="J46" s="8">
        <v>1</v>
      </c>
      <c r="K46" s="8">
        <f t="shared" si="28"/>
        <v>2</v>
      </c>
      <c r="L46" s="8">
        <f t="shared" si="25"/>
        <v>2</v>
      </c>
      <c r="M46" s="8">
        <f t="shared" si="25"/>
        <v>1</v>
      </c>
      <c r="N46" s="8">
        <f t="shared" si="25"/>
        <v>2</v>
      </c>
      <c r="O46" s="8">
        <f t="shared" si="25"/>
        <v>1</v>
      </c>
      <c r="P46" s="8">
        <v>8</v>
      </c>
      <c r="Q46" s="8" t="str">
        <f t="shared" si="29"/>
        <v>CPAMS-CAP08</v>
      </c>
    </row>
    <row r="47" spans="1:17" s="8" customFormat="1">
      <c r="A47" s="18">
        <v>0</v>
      </c>
      <c r="B47" s="8" t="s">
        <v>269</v>
      </c>
      <c r="C47" s="8" t="s">
        <v>205</v>
      </c>
      <c r="D47" s="8" t="s">
        <v>30</v>
      </c>
      <c r="E47" s="8" t="s">
        <v>271</v>
      </c>
      <c r="F47" s="8">
        <v>1</v>
      </c>
      <c r="G47" s="8">
        <v>1</v>
      </c>
      <c r="H47" s="8" t="s">
        <v>189</v>
      </c>
      <c r="I47" s="8">
        <v>1</v>
      </c>
      <c r="J47" s="8">
        <v>1</v>
      </c>
      <c r="K47" s="8">
        <f t="shared" si="28"/>
        <v>2</v>
      </c>
      <c r="L47" s="8">
        <f t="shared" si="25"/>
        <v>2</v>
      </c>
      <c r="M47" s="8">
        <f t="shared" si="25"/>
        <v>1</v>
      </c>
      <c r="N47" s="8">
        <f t="shared" si="25"/>
        <v>2</v>
      </c>
      <c r="O47" s="8">
        <f t="shared" si="25"/>
        <v>1</v>
      </c>
      <c r="P47" s="8">
        <v>7</v>
      </c>
      <c r="Q47" s="8" t="str">
        <f t="shared" si="29"/>
        <v>CPAMS-CAP07</v>
      </c>
    </row>
    <row r="48" spans="1:17" s="8" customFormat="1">
      <c r="A48" s="18">
        <v>0</v>
      </c>
      <c r="B48" s="8" t="s">
        <v>270</v>
      </c>
      <c r="C48" s="8" t="s">
        <v>205</v>
      </c>
      <c r="D48" s="8" t="s">
        <v>30</v>
      </c>
      <c r="E48" s="8" t="s">
        <v>271</v>
      </c>
      <c r="F48" s="8">
        <v>1</v>
      </c>
      <c r="G48" s="8">
        <v>1</v>
      </c>
      <c r="H48" s="8" t="s">
        <v>189</v>
      </c>
      <c r="I48" s="8">
        <v>1</v>
      </c>
      <c r="J48" s="8">
        <v>1</v>
      </c>
      <c r="K48" s="8">
        <f t="shared" si="28"/>
        <v>2</v>
      </c>
      <c r="L48" s="8">
        <f t="shared" si="25"/>
        <v>2</v>
      </c>
      <c r="M48" s="8">
        <f t="shared" si="25"/>
        <v>1</v>
      </c>
      <c r="N48" s="8">
        <f t="shared" si="25"/>
        <v>2</v>
      </c>
      <c r="O48" s="8">
        <f t="shared" si="25"/>
        <v>1</v>
      </c>
      <c r="P48" s="8">
        <v>6</v>
      </c>
      <c r="Q48" s="8" t="str">
        <f t="shared" si="29"/>
        <v>CPAMS-CAP06</v>
      </c>
    </row>
    <row r="49" spans="1:17" s="8" customFormat="1">
      <c r="A49" s="18">
        <v>0</v>
      </c>
      <c r="B49" s="8" t="s">
        <v>273</v>
      </c>
      <c r="C49" s="8" t="s">
        <v>205</v>
      </c>
      <c r="D49" s="8" t="s">
        <v>30</v>
      </c>
      <c r="E49" s="8" t="s">
        <v>272</v>
      </c>
      <c r="F49" s="8">
        <v>0</v>
      </c>
      <c r="G49" s="8">
        <v>0</v>
      </c>
      <c r="H49" s="8" t="s">
        <v>188</v>
      </c>
      <c r="I49" s="8">
        <v>1</v>
      </c>
      <c r="J49" s="8">
        <v>1</v>
      </c>
      <c r="K49" s="8">
        <f t="shared" si="28"/>
        <v>-1</v>
      </c>
      <c r="L49" s="8">
        <f t="shared" si="25"/>
        <v>-1</v>
      </c>
      <c r="M49" s="8">
        <f t="shared" si="25"/>
        <v>-1</v>
      </c>
      <c r="N49" s="8">
        <f t="shared" si="25"/>
        <v>1</v>
      </c>
      <c r="O49" s="8">
        <f t="shared" si="25"/>
        <v>-1</v>
      </c>
      <c r="Q49" s="8" t="str">
        <f>B49</f>
        <v>NoPAMS-RR</v>
      </c>
    </row>
  </sheetData>
  <mergeCells count="1">
    <mergeCell ref="R6:AE6"/>
  </mergeCells>
  <phoneticPr fontId="34" type="noConversion"/>
  <conditionalFormatting sqref="A1:A1048576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49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2020-11-04T07:45:49Z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