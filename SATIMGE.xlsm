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B2BB5057-9FF7-4BFB-A12D-793389276A92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3190" r:id="rId9"/>
    <pivotCache cacheId="1319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4" l="1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tc={74ED5BC0-34BF-4332-A212-E29E53164926}</author>
    <author>tc={80B76C32-5065-445C-B4CA-949AF3C466AE}</author>
    <author>tc={F3CD45E7-FB15-4167-B9DE-54F2012F11B7}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74ED5BC0-34BF-4332-A212-E29E5316492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F3CD45E7-FB15-4167-B9DE-54F2012F11B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<sst xmlns="http://schemas.openxmlformats.org/spreadsheetml/2006/main" count="603" uniqueCount="253">
  <si>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</si>
  <si>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</si>
  <si>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</si>
  <si>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</si>
  <si>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</si>
  <si>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</si>
  <si>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</si>
  <si>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</si>
  <si>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</si>
  <si>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</si>
  <si>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</si>
  <si>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</si>
  <si>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</si>
  <si>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</si>
  <si>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</si>
  <si>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</si>
  <si>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</si>
  <si>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</si>
  <si>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</si>
  <si>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</si>
  <si>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</si>
  <si>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</si>
  <si>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</si>
  <si>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</si>
  <si>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</si>
  <si>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</si>
  <si>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</si>
  <si>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</si>
  <si>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</si>
  <si>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</si>
  <si>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</si>
  <si>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</si>
  <si>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</si>
  <si>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</si>
  <si>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</si>
  <si>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</si>
  <si>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</si>
  <si>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</si>
  <si>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</si>
  <si>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</si>
  <si>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</si>
  <si>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</si>
  <si>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</si>
  <si>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</si>
  <si>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</si>
  <si>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</si>
  <si>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</si>
  <si>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</si>
  <si>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</si>
  <si>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</si>
  <si>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</si>
  <si>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</si>
  <si>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</si>
  <si>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</si>
  <si>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</si>
  <si>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</si>
  <si>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</si>
  <si>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</si>
  <si>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</si>
  <si>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</si>
  <si>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</si>
  <si>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</si>
  <si>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</si>
  <si>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</si>
  <si>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</si>
  <si>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</si>
  <si>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</si>
  <si>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</si>
  <si>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</si>
  <si>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</si>
  <si>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</si>
  <si>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</si>
  <si>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</si>
  <si>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</si>
  <si>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</si>
  <si>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</si>
  <si>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</si>
  <si>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</si>
  <si>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</si>
  <si>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</si>
  <si>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</si>
  <si>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</si>
  <si>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</si>
  <si>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</si>
  <si>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</si>
  <si>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</si>
  <si>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</si>
  <si>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</si>
  <si>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</si>
  <si>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</si>
  <si>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</si>
  <si>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</si>
  <si>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</si>
  <si>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</si>
  <si>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</si>
  <si>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</si>
  <si>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</si>
  <si>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</si>
  <si>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</si>
  <si>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</si>
  <si>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</si>
  <si>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</si>
  <si>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</si>
  <si>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</si>
  <si>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</si>
  <si>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</si>
  <si>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</si>
  <si>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</si>
  <si>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</si>
  <si>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</si>
  <si>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</si>
  <si>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</si>
  <si>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</si>
  <si>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</si>
  <si>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</si>
  <si>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</si>
  <si>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</si>
  <si>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</si>
  <si>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</si>
  <si>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</si>
  <si>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</si>
  <si>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</si>
  <si>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</si>
  <si>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</si>
  <si>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</si>
  <si>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</si>
  <si>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</si>
  <si>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</si>
  <si>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</si>
  <si>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</si>
  <si>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</si>
  <si>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</si>
  <si>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</si>
  <si>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</si>
  <si>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</si>
  <si>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</si>
  <si>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</si>
  <si>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</si>
  <si>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</si>
  <si>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</si>
  <si>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</si>
  <si>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</si>
  <si>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</si>
  <si>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</si>
  <si>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</si>
  <si>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</si>
  <si>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</si>
  <si>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</si>
  <si>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</si>
  <si>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</si>
  <si>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</si>
  <si>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</si>
  <si>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</si>
  <si>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</si>
  <si>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</si>
  <si>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</si>
  <si>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</si>
  <si>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</si>
  <si>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</si>
  <si>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</si>
  <si>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</si>
  <si>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</si>
  <si>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</si>
  <si>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</si>
  <si>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</si>
  <si>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</si>
  <si>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</si>
  <si>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</si>
  <si>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</si>
  <si>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</si>
  <si>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</si>
  <si>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</si>
  <si>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</si>
  <si>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</si>
  <si>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</si>
  <si>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</si>
  <si>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</si>
  <si>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</si>
  <si>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</si>
  <si>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</si>
  <si>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</si>
  <si>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</si>
  <si>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</si>
  <si>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</si>
  <si>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</si>
  <si>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</si>
  <si>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</si>
  <si>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</si>
  <si>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</si>
  <si>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</si>
  <si>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</si>
  <si>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</si>
  <si>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</si>
  <si>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</si>
  <si>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</si>
  <si>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</si>
  <si>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</si>
  <si>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</si>
  <si>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</si>
  <si>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</si>
  <si>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</si>
  <si>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</si>
  <si>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</si>
  <si>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</si>
  <si>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</si>
  <si>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</si>
  <si>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</si>
  <si>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</si>
  <si>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</si>
  <si>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</si>
  <si>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</si>
  <si>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</si>
  <si>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</si>
  <si>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</si>
  <si>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</si>
  <si>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</si>
  <si>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</si>
  <si>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</si>
  <si>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</si>
  <si>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</si>
  <si>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</si>
  <si>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</si>
  <si>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</si>
  <si>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</si>
  <si>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</si>
  <si>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</si>
  <si>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</si>
  <si>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</si>
  <si>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</si>
  <si>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</si>
  <si>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</si>
  <si>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</si>
  <si>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</si>
  <si>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</si>
  <si>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</si>
  <si>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</si>
  <si>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</si>
  <si>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</si>
  <si>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</si>
  <si>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</si>
  <si>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</si>
  <si>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</si>
  <si>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</si>
  <si>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</si>
  <si>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</si>
  <si>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</si>
  <si>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</si>
  <si>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</si>
  <si>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NZ-10NE</t>
  </si>
  <si>
    <t>0RG_NZ10_PAM_9_WE</t>
  </si>
  <si>
    <t>0RG_NZ10_PAM_7_WE</t>
  </si>
  <si>
    <t>NZ-10IPWE</t>
  </si>
  <si>
    <t>0RG_NZ10_7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</si>
</sst>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36.888982986115" createdVersion="6" refreshedVersion="8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7"/>
        <s v="0RG_NZ10_PAM_9_WE"/>
        <s v="0RG_NZ10_PAM_7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4">
        <s v="NOPAMSREF"/>
        <s v="NOPAMSWE"/>
        <s v="NZ-20WE-T"/>
        <s v="NZ-20WE"/>
        <s v="NZ-20NENH"/>
        <s v="NZ-20WENH"/>
        <s v="NZ-20NE"/>
        <s v="CP20NEWH"/>
        <s v="NZ-10NE"/>
        <s v="NZ-10IPWE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36.888986226855" createdVersion="6" refreshedVersion="8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7"/>
        <s v="0RG_NZ10_PAM_9_WE"/>
        <s v="0RG_NZ10_PAM_7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m/>
    <n v="1"/>
    <n v="1"/>
    <n v="-1"/>
    <n v="-1"/>
    <n v="-1"/>
    <n v="1"/>
    <n v="-1"/>
    <n v="7.000327102810413"/>
  </r>
  <r>
    <n v="0"/>
    <x v="14"/>
    <s v="yes tested"/>
    <x v="0"/>
    <x v="8"/>
    <n v="1"/>
    <n v="1"/>
    <m/>
    <n v="1"/>
    <n v="1"/>
    <n v="-1"/>
    <n v="-1"/>
    <n v="-1"/>
    <n v="1"/>
    <n v="-1"/>
    <n v="5.500327102810413"/>
  </r>
  <r>
    <n v="0"/>
    <x v="15"/>
    <s v="yes tested"/>
    <x v="0"/>
    <x v="9"/>
    <n v="1"/>
    <n v="1"/>
    <m/>
    <n v="1"/>
    <n v="1"/>
    <n v="-1"/>
    <n v="1"/>
    <n v="1"/>
    <n v="1"/>
    <n v="-1"/>
    <n v="7.000327102810413"/>
  </r>
  <r>
    <n v="1"/>
    <x v="16"/>
    <s v="yes tested"/>
    <x v="0"/>
    <x v="9"/>
    <n v="1"/>
    <n v="1"/>
    <m/>
    <n v="1"/>
    <n v="1"/>
    <n v="-1"/>
    <n v="1"/>
    <n v="1"/>
    <n v="1"/>
    <n v="-1"/>
    <n v="5.500327102810413"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  <r>
    <m/>
    <x v="17"/>
    <m/>
    <x v="1"/>
    <x v="1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10NE"/>
    <n v="1"/>
    <n v="1"/>
    <m/>
    <n v="1"/>
    <n v="1"/>
    <n v="-1"/>
    <n v="-1"/>
    <n v="-1"/>
    <n v="1"/>
    <n v="-1"/>
    <n v="7.000327102810413"/>
  </r>
  <r>
    <n v="0"/>
    <x v="14"/>
    <s v="yes tested"/>
    <s v="base"/>
    <s v="NZ-10NE"/>
    <n v="1"/>
    <n v="1"/>
    <m/>
    <n v="1"/>
    <n v="1"/>
    <n v="-1"/>
    <n v="-1"/>
    <n v="-1"/>
    <n v="1"/>
    <n v="-1"/>
    <n v="5.500327102810413"/>
  </r>
  <r>
    <n v="0"/>
    <x v="15"/>
    <s v="yes tested"/>
    <s v="base"/>
    <s v="NZ-10IPWE"/>
    <n v="1"/>
    <n v="1"/>
    <m/>
    <n v="1"/>
    <n v="1"/>
    <n v="-1"/>
    <n v="1"/>
    <n v="1"/>
    <n v="1"/>
    <n v="-1"/>
    <n v="7.000327102810413"/>
  </r>
  <r>
    <n v="1"/>
    <x v="16"/>
    <s v="yes tested"/>
    <s v="base"/>
    <s v="NZ-10IPWE"/>
    <n v="1"/>
    <n v="1"/>
    <m/>
    <n v="1"/>
    <n v="1"/>
    <n v="-1"/>
    <n v="1"/>
    <n v="1"/>
    <n v="1"/>
    <n v="-1"/>
    <n v="5.500327102810413"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24" firstHeaderRow="1" firstDataRow="1" firstDataCol="1"/>
  <pivotFields count="16">
    <pivotField showAll="0"/>
    <pivotField axis="axisRow" showAll="0">
      <items count="20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24" firstHeaderRow="1" firstDataRow="1" firstDataCol="1"/>
  <pivotFields count="16">
    <pivotField showAll="0"/>
    <pivotField axis="axisRow" showAll="0">
      <items count="20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24" firstHeaderRow="0" firstDataRow="1" firstDataCol="1"/>
  <pivotFields count="16">
    <pivotField showAll="0"/>
    <pivotField axis="axisRow" showAll="0">
      <items count="20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24" firstHeaderRow="1" firstDataRow="1" firstDataCol="1"/>
  <pivotFields count="16">
    <pivotField showAll="0"/>
    <pivotField axis="axisRow" showAll="0">
      <items count="20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319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24" firstHeaderRow="1" firstDataRow="1" firstDataCol="1"/>
  <pivotFields count="16">
    <pivotField dataField="1" showAll="0"/>
    <pivotField axis="axisRow" showAll="0">
      <items count="20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24" firstHeaderRow="1" firstDataRow="1" firstDataCol="1"/>
  <pivotFields count="16">
    <pivotField showAll="0"/>
    <pivotField axis="axisRow" showAll="0">
      <items count="20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35">
        <item m="1" x="81"/>
        <item m="1" x="59"/>
        <item m="1" x="51"/>
        <item x="10"/>
        <item m="1" x="58"/>
        <item m="1" x="26"/>
        <item m="1" x="71"/>
        <item m="1" x="86"/>
        <item m="1" x="54"/>
        <item m="1" x="60"/>
        <item m="1" x="55"/>
        <item m="1" x="42"/>
        <item m="1" x="13"/>
        <item m="1" x="69"/>
        <item m="1" x="11"/>
        <item m="1" x="118"/>
        <item m="1" x="36"/>
        <item m="1" x="102"/>
        <item m="1" x="112"/>
        <item m="1" x="43"/>
        <item m="1" x="38"/>
        <item m="1" x="106"/>
        <item m="1" x="75"/>
        <item m="1" x="76"/>
        <item m="1" x="103"/>
        <item m="1" x="49"/>
        <item m="1" x="99"/>
        <item m="1" x="19"/>
        <item m="1" x="29"/>
        <item m="1" x="130"/>
        <item m="1" x="83"/>
        <item m="1" x="113"/>
        <item m="1" x="62"/>
        <item m="1" x="115"/>
        <item m="1" x="122"/>
        <item m="1" x="67"/>
        <item m="1" x="84"/>
        <item m="1" x="80"/>
        <item m="1" x="111"/>
        <item m="1" x="109"/>
        <item m="1" x="33"/>
        <item m="1" x="125"/>
        <item m="1" x="78"/>
        <item m="1" x="96"/>
        <item m="1" x="108"/>
        <item m="1" x="127"/>
        <item m="1" x="133"/>
        <item m="1" x="64"/>
        <item m="1" x="53"/>
        <item m="1" x="52"/>
        <item m="1" x="87"/>
        <item m="1" x="57"/>
        <item m="1" x="94"/>
        <item m="1" x="27"/>
        <item m="1" x="68"/>
        <item m="1" x="93"/>
        <item m="1" x="110"/>
        <item m="1" x="66"/>
        <item m="1" x="61"/>
        <item m="1" x="23"/>
        <item m="1" x="117"/>
        <item m="1" x="35"/>
        <item m="1" x="45"/>
        <item m="1" x="73"/>
        <item m="1" x="82"/>
        <item m="1" x="46"/>
        <item m="1" x="17"/>
        <item m="1" x="77"/>
        <item m="1" x="85"/>
        <item m="1" x="39"/>
        <item m="1" x="101"/>
        <item m="1" x="114"/>
        <item m="1" x="70"/>
        <item m="1" x="41"/>
        <item m="1" x="47"/>
        <item m="1" x="34"/>
        <item m="1" x="89"/>
        <item m="1" x="15"/>
        <item m="1" x="95"/>
        <item m="1" x="107"/>
        <item m="1" x="123"/>
        <item m="1" x="104"/>
        <item m="1" x="120"/>
        <item m="1" x="131"/>
        <item m="1" x="48"/>
        <item m="1" x="100"/>
        <item m="1" x="129"/>
        <item m="1" x="24"/>
        <item m="1" x="31"/>
        <item m="1" x="50"/>
        <item m="1" x="79"/>
        <item m="1" x="20"/>
        <item m="1" x="22"/>
        <item x="0"/>
        <item m="1" x="14"/>
        <item m="1" x="119"/>
        <item m="1" x="56"/>
        <item m="1" x="116"/>
        <item m="1" x="32"/>
        <item m="1" x="121"/>
        <item m="1" x="92"/>
        <item m="1" x="72"/>
        <item m="1" x="40"/>
        <item m="1" x="91"/>
        <item m="1" x="12"/>
        <item m="1" x="105"/>
        <item x="3"/>
        <item x="6"/>
        <item m="1" x="90"/>
        <item m="1" x="16"/>
        <item m="1" x="28"/>
        <item m="1" x="63"/>
        <item m="1" x="44"/>
        <item m="1" x="37"/>
        <item m="1" x="30"/>
        <item m="1" x="128"/>
        <item m="1" x="132"/>
        <item m="1" x="124"/>
        <item x="1"/>
        <item m="1" x="65"/>
        <item m="1" x="25"/>
        <item m="1" x="18"/>
        <item m="1" x="74"/>
        <item m="1" x="126"/>
        <item x="4"/>
        <item x="5"/>
        <item m="1" x="98"/>
        <item m="1" x="97"/>
        <item m="1" x="21"/>
        <item m="1" x="88"/>
        <item x="7"/>
        <item x="2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2"/>
    </i>
    <i>
      <x v="13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319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24" firstHeaderRow="1" firstDataRow="1" firstDataCol="1"/>
  <pivotFields count="16">
    <pivotField showAll="0"/>
    <pivotField axis="axisRow" showAll="0" sortType="ascending">
      <items count="20">
        <item m="1" x="18"/>
        <item x="10"/>
        <item x="9"/>
        <item x="0"/>
        <item x="1"/>
        <item x="14"/>
        <item x="13"/>
        <item x="16"/>
        <item x="15"/>
        <item x="4"/>
        <item x="7"/>
        <item x="5"/>
        <item x="8"/>
        <item x="6"/>
        <item x="11"/>
        <item x="12"/>
        <item x="2"/>
        <item x="3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4">
        <item m="1" x="81"/>
        <item m="1" x="59"/>
        <item m="1" x="51"/>
        <item x="10"/>
        <item m="1" x="58"/>
        <item m="1" x="26"/>
        <item m="1" x="71"/>
        <item m="1" x="86"/>
        <item m="1" x="54"/>
        <item m="1" x="60"/>
        <item m="1" x="55"/>
        <item m="1" x="42"/>
        <item m="1" x="13"/>
        <item m="1" x="69"/>
        <item m="1" x="11"/>
        <item m="1" x="118"/>
        <item m="1" x="36"/>
        <item m="1" x="102"/>
        <item m="1" x="112"/>
        <item m="1" x="43"/>
        <item m="1" x="38"/>
        <item m="1" x="106"/>
        <item m="1" x="75"/>
        <item m="1" x="76"/>
        <item m="1" x="103"/>
        <item m="1" x="49"/>
        <item m="1" x="99"/>
        <item m="1" x="19"/>
        <item m="1" x="29"/>
        <item m="1" x="130"/>
        <item m="1" x="83"/>
        <item m="1" x="113"/>
        <item m="1" x="62"/>
        <item m="1" x="115"/>
        <item m="1" x="122"/>
        <item m="1" x="67"/>
        <item m="1" x="84"/>
        <item m="1" x="80"/>
        <item m="1" x="111"/>
        <item m="1" x="109"/>
        <item m="1" x="33"/>
        <item m="1" x="125"/>
        <item m="1" x="78"/>
        <item m="1" x="96"/>
        <item m="1" x="108"/>
        <item m="1" x="127"/>
        <item m="1" x="133"/>
        <item m="1" x="64"/>
        <item m="1" x="53"/>
        <item m="1" x="52"/>
        <item m="1" x="87"/>
        <item m="1" x="57"/>
        <item m="1" x="94"/>
        <item m="1" x="27"/>
        <item m="1" x="68"/>
        <item m="1" x="93"/>
        <item m="1" x="110"/>
        <item m="1" x="66"/>
        <item m="1" x="61"/>
        <item m="1" x="23"/>
        <item m="1" x="117"/>
        <item m="1" x="35"/>
        <item m="1" x="45"/>
        <item m="1" x="73"/>
        <item m="1" x="82"/>
        <item m="1" x="46"/>
        <item m="1" x="17"/>
        <item m="1" x="77"/>
        <item m="1" x="85"/>
        <item m="1" x="39"/>
        <item m="1" x="101"/>
        <item m="1" x="114"/>
        <item m="1" x="70"/>
        <item m="1" x="41"/>
        <item m="1" x="47"/>
        <item m="1" x="34"/>
        <item m="1" x="89"/>
        <item m="1" x="15"/>
        <item m="1" x="95"/>
        <item m="1" x="107"/>
        <item m="1" x="123"/>
        <item m="1" x="104"/>
        <item m="1" x="120"/>
        <item m="1" x="131"/>
        <item m="1" x="48"/>
        <item m="1" x="100"/>
        <item m="1" x="129"/>
        <item m="1" x="24"/>
        <item m="1" x="31"/>
        <item m="1" x="50"/>
        <item m="1" x="79"/>
        <item m="1" x="20"/>
        <item m="1" x="22"/>
        <item x="0"/>
        <item m="1" x="14"/>
        <item m="1" x="119"/>
        <item m="1" x="56"/>
        <item m="1" x="116"/>
        <item m="1" x="32"/>
        <item m="1" x="121"/>
        <item m="1" x="92"/>
        <item m="1" x="72"/>
        <item m="1" x="40"/>
        <item m="1" x="91"/>
        <item m="1" x="12"/>
        <item m="1" x="105"/>
        <item x="3"/>
        <item x="6"/>
        <item m="1" x="90"/>
        <item m="1" x="16"/>
        <item m="1" x="28"/>
        <item m="1" x="63"/>
        <item m="1" x="44"/>
        <item m="1" x="37"/>
        <item m="1" x="30"/>
        <item m="1" x="128"/>
        <item m="1" x="132"/>
        <item m="1" x="124"/>
        <item x="1"/>
        <item m="1" x="65"/>
        <item m="1" x="25"/>
        <item m="1" x="18"/>
        <item m="1" x="74"/>
        <item m="1" x="126"/>
        <item x="4"/>
        <item x="5"/>
        <item m="1" x="98"/>
        <item m="1" x="97"/>
        <item m="1" x="21"/>
        <item m="1" x="88"/>
        <item x="7"/>
        <item x="2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8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32"/>
    </i>
    <i>
      <x v="16"/>
      <x v="133"/>
    </i>
    <i>
      <x v="17"/>
      <x v="132"/>
    </i>
    <i>
      <x v="18"/>
      <x v="13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319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24" firstHeaderRow="1" firstDataRow="1" firstDataCol="1"/>
  <pivotFields count="16">
    <pivotField showAll="0"/>
    <pivotField axis="axisRow" showAll="0">
      <items count="20">
        <item x="17"/>
        <item m="1" x="1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5"/>
        <item x="14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74ED5BC0-34BF-4332-A212-E29E53164926}">
    <text>Note that there is still a problem running with other cases here - still looking into it.</text>
  </threadedComment>
  <threadedComment ref="D25" dT="2020-08-07T12:32:29.60" personId="{8A307EF1-062C-4DD1-801F-D45833AE4B68}" id="{80B76C32-5065-445C-B4CA-949AF3C466AE}">
    <text>Note that there is still a problem running with other cases here - still looking into it.</text>
  </threadedComment>
  <threadedComment ref="D26" dT="2020-08-07T12:32:29.60" personId="{8A307EF1-062C-4DD1-801F-D45833AE4B68}" id="{F3CD45E7-FB15-4167-B9DE-54F2012F11B7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21" sqref="C21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M25" sqref="M25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246</v>
      </c>
      <c r="AH6" s="7"/>
    </row>
    <row r="7" spans="1:39">
      <c r="A7" s="13" t="s">
        <v>238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2048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239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>
        <f>IF(OR(AE7=2050,AE7=""),"",AE7+1)</f>
        <v>2049</v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223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219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2021</v>
      </c>
      <c r="AE9" s="14">
        <f>IF(OR(AE8=2050,AE8=""),"",AE8+1)</f>
        <v>2050</v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231</v>
      </c>
      <c r="B10" s="13" t="s">
        <v>222</v>
      </c>
      <c r="C10" s="13" t="s">
        <v>46</v>
      </c>
      <c r="D10"/>
      <c r="E10" s="13" t="s">
        <v>229</v>
      </c>
      <c r="F10" s="3">
        <v>0</v>
      </c>
      <c r="G10" s="13" t="s">
        <v>229</v>
      </c>
      <c r="H10" s="3">
        <v>1</v>
      </c>
      <c r="I10" s="13" t="s">
        <v>229</v>
      </c>
      <c r="J10" s="3">
        <v>1</v>
      </c>
      <c r="K10" s="13" t="s">
        <v>229</v>
      </c>
      <c r="L10" s="3">
        <v>1</v>
      </c>
      <c r="M10" s="13" t="s">
        <v>229</v>
      </c>
      <c r="N10" s="3">
        <v>1</v>
      </c>
      <c r="O10" s="7" t="s">
        <v>229</v>
      </c>
      <c r="P10" s="7" t="s">
        <v>221</v>
      </c>
      <c r="Q10" s="7" t="s">
        <v>229</v>
      </c>
      <c r="R10" s="7" t="s">
        <v>30</v>
      </c>
      <c r="S10" s="13" t="s">
        <v>229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229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252</v>
      </c>
      <c r="B11" s="13" t="s">
        <v>232</v>
      </c>
      <c r="C11" s="13" t="s">
        <v>47</v>
      </c>
      <c r="D11"/>
      <c r="E11" s="13" t="s">
        <v>230</v>
      </c>
      <c r="F11" s="3">
        <v>0</v>
      </c>
      <c r="G11" s="13" t="s">
        <v>230</v>
      </c>
      <c r="H11" s="3">
        <v>1</v>
      </c>
      <c r="I11" s="13" t="s">
        <v>230</v>
      </c>
      <c r="J11" s="3">
        <v>1</v>
      </c>
      <c r="K11" s="13" t="s">
        <v>230</v>
      </c>
      <c r="L11" s="3">
        <v>1</v>
      </c>
      <c r="M11" s="13" t="s">
        <v>230</v>
      </c>
      <c r="N11" s="3">
        <v>1</v>
      </c>
      <c r="O11" s="7" t="s">
        <v>230</v>
      </c>
      <c r="P11" s="7" t="s">
        <v>221</v>
      </c>
      <c r="Q11" s="7" t="s">
        <v>230</v>
      </c>
      <c r="R11" s="7" t="s">
        <v>30</v>
      </c>
      <c r="S11" s="13" t="s">
        <v>230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230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247</v>
      </c>
      <c r="B12" s="13" t="s">
        <v>235</v>
      </c>
      <c r="C12" s="13" t="s">
        <v>48</v>
      </c>
      <c r="D12" s="13"/>
      <c r="E12" s="13" t="s">
        <v>231</v>
      </c>
      <c r="F12" s="3">
        <v>0</v>
      </c>
      <c r="G12" s="13" t="s">
        <v>231</v>
      </c>
      <c r="H12" s="3">
        <v>0</v>
      </c>
      <c r="I12" s="13" t="s">
        <v>231</v>
      </c>
      <c r="J12" s="3">
        <v>1</v>
      </c>
      <c r="K12" s="13" t="s">
        <v>231</v>
      </c>
      <c r="L12" s="3">
        <v>0</v>
      </c>
      <c r="M12" s="13" t="s">
        <v>231</v>
      </c>
      <c r="N12" s="3">
        <v>0</v>
      </c>
      <c r="O12" s="7" t="s">
        <v>231</v>
      </c>
      <c r="P12" s="7" t="s">
        <v>232</v>
      </c>
      <c r="Q12" s="7" t="s">
        <v>231</v>
      </c>
      <c r="R12" s="7" t="s">
        <v>30</v>
      </c>
      <c r="S12" s="13" t="s">
        <v>231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231</v>
      </c>
      <c r="AB12" s="3">
        <v>4.4793989999999999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250</v>
      </c>
      <c r="B13" s="13" t="s">
        <v>236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1</v>
      </c>
      <c r="I13" s="13" t="s">
        <v>233</v>
      </c>
      <c r="J13" s="3">
        <v>1</v>
      </c>
      <c r="K13" s="13" t="s">
        <v>233</v>
      </c>
      <c r="L13" s="3">
        <v>1</v>
      </c>
      <c r="M13" s="13" t="s">
        <v>233</v>
      </c>
      <c r="N13" s="3">
        <v>1</v>
      </c>
      <c r="O13" s="7" t="s">
        <v>233</v>
      </c>
      <c r="P13" s="7" t="s">
        <v>235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6.4793989999999999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249</v>
      </c>
      <c r="B14" s="13" t="s">
        <v>237</v>
      </c>
      <c r="C14" s="13" t="s">
        <v>50</v>
      </c>
      <c r="D14" s="13"/>
      <c r="E14" s="13" t="s">
        <v>234</v>
      </c>
      <c r="F14" s="3">
        <v>0</v>
      </c>
      <c r="G14" s="13" t="s">
        <v>234</v>
      </c>
      <c r="H14" s="3">
        <v>1</v>
      </c>
      <c r="I14" s="13" t="s">
        <v>234</v>
      </c>
      <c r="J14" s="3">
        <v>1</v>
      </c>
      <c r="K14" s="13" t="s">
        <v>234</v>
      </c>
      <c r="L14" s="3">
        <v>1</v>
      </c>
      <c r="M14" s="13" t="s">
        <v>234</v>
      </c>
      <c r="N14" s="3">
        <v>1</v>
      </c>
      <c r="O14" s="7" t="s">
        <v>234</v>
      </c>
      <c r="P14" s="7" t="s">
        <v>236</v>
      </c>
      <c r="Q14" s="7" t="s">
        <v>234</v>
      </c>
      <c r="R14" s="7" t="s">
        <v>30</v>
      </c>
      <c r="S14" s="13" t="s">
        <v>234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234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230</v>
      </c>
      <c r="B15" s="13" t="s">
        <v>243</v>
      </c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0</v>
      </c>
      <c r="I15" s="13" t="s">
        <v>238</v>
      </c>
      <c r="J15" s="3">
        <v>1</v>
      </c>
      <c r="K15" s="13" t="s">
        <v>238</v>
      </c>
      <c r="L15" s="3">
        <v>0</v>
      </c>
      <c r="M15" s="13" t="s">
        <v>238</v>
      </c>
      <c r="N15" s="3">
        <v>0</v>
      </c>
      <c r="O15" s="7" t="s">
        <v>238</v>
      </c>
      <c r="P15" s="7" t="s">
        <v>237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100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240</v>
      </c>
      <c r="B16" s="13" t="s">
        <v>248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237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7.75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233</v>
      </c>
      <c r="B17" s="13" t="s">
        <v>251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222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6.4793989999999999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241</v>
      </c>
      <c r="B18"/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221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241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234</v>
      </c>
      <c r="B19"/>
      <c r="E19" s="13" t="s">
        <v>242</v>
      </c>
      <c r="F19" s="3">
        <v>0</v>
      </c>
      <c r="G19" s="13" t="s">
        <v>242</v>
      </c>
      <c r="H19" s="3">
        <v>0</v>
      </c>
      <c r="I19" s="13" t="s">
        <v>242</v>
      </c>
      <c r="J19" s="3">
        <v>1</v>
      </c>
      <c r="K19" s="13" t="s">
        <v>242</v>
      </c>
      <c r="L19" s="3">
        <v>0</v>
      </c>
      <c r="M19" s="13" t="s">
        <v>242</v>
      </c>
      <c r="N19" s="3">
        <v>0</v>
      </c>
      <c r="O19" s="7" t="s">
        <v>242</v>
      </c>
      <c r="P19" s="7" t="s">
        <v>219</v>
      </c>
      <c r="Q19" s="7" t="s">
        <v>242</v>
      </c>
      <c r="R19" s="7" t="s">
        <v>30</v>
      </c>
      <c r="S19" s="13" t="s">
        <v>242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242</v>
      </c>
      <c r="AB19" s="3">
        <v>100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220</v>
      </c>
      <c r="B20"/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243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229</v>
      </c>
      <c r="B21"/>
      <c r="E21" s="13" t="s">
        <v>247</v>
      </c>
      <c r="F21" s="3">
        <v>0</v>
      </c>
      <c r="G21" s="13" t="s">
        <v>247</v>
      </c>
      <c r="H21" s="3">
        <v>1</v>
      </c>
      <c r="I21" s="13" t="s">
        <v>247</v>
      </c>
      <c r="J21" s="3">
        <v>1</v>
      </c>
      <c r="K21" s="13" t="s">
        <v>247</v>
      </c>
      <c r="L21" s="3">
        <v>1</v>
      </c>
      <c r="M21" s="13" t="s">
        <v>247</v>
      </c>
      <c r="N21" s="3">
        <v>1</v>
      </c>
      <c r="O21" s="7" t="s">
        <v>247</v>
      </c>
      <c r="P21" s="7" t="s">
        <v>248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7.000327102810413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242</v>
      </c>
      <c r="B22"/>
      <c r="E22" s="13" t="s">
        <v>249</v>
      </c>
      <c r="F22" s="3">
        <v>0</v>
      </c>
      <c r="G22" s="13" t="s">
        <v>249</v>
      </c>
      <c r="H22" s="3">
        <v>1</v>
      </c>
      <c r="I22" s="13" t="s">
        <v>249</v>
      </c>
      <c r="J22" s="3">
        <v>1</v>
      </c>
      <c r="K22" s="13" t="s">
        <v>249</v>
      </c>
      <c r="L22" s="3">
        <v>1</v>
      </c>
      <c r="M22" s="13" t="s">
        <v>249</v>
      </c>
      <c r="N22" s="3">
        <v>1</v>
      </c>
      <c r="O22" s="7" t="s">
        <v>249</v>
      </c>
      <c r="P22" s="7" t="s">
        <v>251</v>
      </c>
      <c r="Q22" s="7" t="s">
        <v>249</v>
      </c>
      <c r="R22" s="7" t="s">
        <v>30</v>
      </c>
      <c r="S22" s="13" t="s">
        <v>249</v>
      </c>
      <c r="T22" s="3">
        <v>-1</v>
      </c>
      <c r="U22" s="3">
        <v>1</v>
      </c>
      <c r="V22" s="3">
        <v>1</v>
      </c>
      <c r="W22" s="3">
        <v>1</v>
      </c>
      <c r="X22" s="3">
        <v>-1</v>
      </c>
      <c r="Y22" s="3"/>
      <c r="Z22" s="3"/>
      <c r="AA22" s="13" t="s">
        <v>249</v>
      </c>
      <c r="AB22" s="3">
        <v>7.000327102810413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244</v>
      </c>
      <c r="B23"/>
      <c r="E23" s="13" t="s">
        <v>252</v>
      </c>
      <c r="F23" s="3">
        <v>0</v>
      </c>
      <c r="G23" s="13" t="s">
        <v>252</v>
      </c>
      <c r="H23" s="3">
        <v>1</v>
      </c>
      <c r="I23" s="13" t="s">
        <v>252</v>
      </c>
      <c r="J23" s="3">
        <v>1</v>
      </c>
      <c r="K23" s="13" t="s">
        <v>252</v>
      </c>
      <c r="L23" s="3">
        <v>1</v>
      </c>
      <c r="M23" s="13" t="s">
        <v>252</v>
      </c>
      <c r="N23" s="3">
        <v>1</v>
      </c>
      <c r="O23" s="7" t="s">
        <v>252</v>
      </c>
      <c r="P23" s="7" t="s">
        <v>248</v>
      </c>
      <c r="Q23" s="7" t="s">
        <v>252</v>
      </c>
      <c r="R23" s="7" t="s">
        <v>30</v>
      </c>
      <c r="S23" s="13" t="s">
        <v>252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252</v>
      </c>
      <c r="AB23" s="3">
        <v>5.500327102810413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193</v>
      </c>
      <c r="B24"/>
      <c r="E24" s="13" t="s">
        <v>250</v>
      </c>
      <c r="F24" s="3">
        <v>1</v>
      </c>
      <c r="G24" s="13" t="s">
        <v>250</v>
      </c>
      <c r="H24" s="3">
        <v>1</v>
      </c>
      <c r="I24" s="13" t="s">
        <v>250</v>
      </c>
      <c r="J24" s="3">
        <v>1</v>
      </c>
      <c r="K24" s="13" t="s">
        <v>250</v>
      </c>
      <c r="L24" s="3">
        <v>1</v>
      </c>
      <c r="M24" s="13" t="s">
        <v>250</v>
      </c>
      <c r="N24" s="3">
        <v>1</v>
      </c>
      <c r="O24" s="7" t="s">
        <v>250</v>
      </c>
      <c r="P24" s="7" t="s">
        <v>251</v>
      </c>
      <c r="Q24" s="7" t="s">
        <v>250</v>
      </c>
      <c r="R24" s="7" t="s">
        <v>30</v>
      </c>
      <c r="S24" s="13" t="s">
        <v>250</v>
      </c>
      <c r="T24" s="3">
        <v>-1</v>
      </c>
      <c r="U24" s="3">
        <v>1</v>
      </c>
      <c r="V24" s="3">
        <v>1</v>
      </c>
      <c r="W24" s="3">
        <v>1</v>
      </c>
      <c r="X24" s="3">
        <v>-1</v>
      </c>
      <c r="Y24" s="3"/>
      <c r="Z24" s="3"/>
      <c r="AA24" s="13" t="s">
        <v>250</v>
      </c>
      <c r="AB24" s="3">
        <v>5.500327102810413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F25" s="7">
        <v>2032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F26" s="7">
        <v>2033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F27" s="7">
        <v>2034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F28" s="7">
        <v>2035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F29" s="7">
        <v>2036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F30" s="7">
        <v>2037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F31" s="7">
        <v>2040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F32" s="7">
        <v>2045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F33" s="7">
        <v>2050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J27" sqref="J27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228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3</v>
      </c>
      <c r="H6" s="11"/>
      <c r="I6" s="11"/>
      <c r="J6" s="19" t="s">
        <v>226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227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223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231</v>
      </c>
      <c r="C11" s="7" t="s">
        <v>195</v>
      </c>
      <c r="D11" s="7" t="s">
        <v>30</v>
      </c>
      <c r="E11" s="7" t="s">
        <v>232</v>
      </c>
      <c r="F11" s="7">
        <v>0</v>
      </c>
      <c r="G11" s="7">
        <v>1</v>
      </c>
      <c r="H11" s="7" t="s">
        <v>225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242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225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244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1</v>
      </c>
      <c r="H13" s="7" t="s">
        <v>225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230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233</v>
      </c>
      <c r="C15" s="7" t="s">
        <v>195</v>
      </c>
      <c r="D15" s="7" t="s">
        <v>30</v>
      </c>
      <c r="E15" s="17" t="s">
        <v>235</v>
      </c>
      <c r="F15" s="7">
        <v>1</v>
      </c>
      <c r="G15" s="7">
        <v>1</v>
      </c>
      <c r="H15" s="7" t="s">
        <v>225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234</v>
      </c>
      <c r="C16" s="7" t="s">
        <v>195</v>
      </c>
      <c r="D16" s="7" t="s">
        <v>30</v>
      </c>
      <c r="E16" s="17" t="s">
        <v>236</v>
      </c>
      <c r="F16" s="7">
        <v>1</v>
      </c>
      <c r="G16" s="7">
        <v>1</v>
      </c>
      <c r="H16" s="7" t="s">
        <v>225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240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241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239</v>
      </c>
      <c r="C19" s="7" t="s">
        <v>195</v>
      </c>
      <c r="D19" s="7" t="s">
        <v>30</v>
      </c>
      <c r="E19" s="17" t="s">
        <v>237</v>
      </c>
      <c r="F19" s="7">
        <v>1</v>
      </c>
      <c r="G19" s="7">
        <v>1</v>
      </c>
      <c r="H19" s="7" t="s">
        <v>225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238</v>
      </c>
      <c r="C20" s="7" t="s">
        <v>195</v>
      </c>
      <c r="D20" s="7" t="s">
        <v>30</v>
      </c>
      <c r="E20" s="17" t="s">
        <v>237</v>
      </c>
      <c r="F20" s="7">
        <v>0</v>
      </c>
      <c r="G20" s="7">
        <v>1</v>
      </c>
      <c r="H20" s="7" t="s">
        <v>225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225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229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225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247</v>
      </c>
      <c r="C23" s="7" t="s">
        <v>195</v>
      </c>
      <c r="D23" s="7" t="s">
        <v>30</v>
      </c>
      <c r="E23" s="7" t="s">
        <v>248</v>
      </c>
      <c r="F23" s="7">
        <v>1</v>
      </c>
      <c r="G23" s="7">
        <v>1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7.000327102810413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252</v>
      </c>
      <c r="C24" s="7" t="s">
        <v>195</v>
      </c>
      <c r="D24" s="7" t="s">
        <v>30</v>
      </c>
      <c r="E24" s="7" t="s">
        <v>248</v>
      </c>
      <c r="F24" s="7">
        <v>1</v>
      </c>
      <c r="G24" s="7">
        <v>1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v>5.500327102810413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249</v>
      </c>
      <c r="C25" s="7" t="s">
        <v>195</v>
      </c>
      <c r="D25" s="7" t="s">
        <v>30</v>
      </c>
      <c r="E25" s="7" t="s">
        <v>251</v>
      </c>
      <c r="F25" s="7">
        <v>1</v>
      </c>
      <c r="G25" s="7">
        <v>1</v>
      </c>
      <c r="I25" s="7">
        <v>1</v>
      </c>
      <c r="J25" s="7">
        <v>1</v>
      </c>
      <c r="K25" s="7">
        <v>-1</v>
      </c>
      <c r="L25" s="7">
        <v>1</v>
      </c>
      <c r="M25" s="7">
        <v>1</v>
      </c>
      <c r="N25" s="7">
        <v>1</v>
      </c>
      <c r="O25" s="7">
        <v>-1</v>
      </c>
      <c r="P25" s="7">
        <v>7.000327102810413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1</v>
      </c>
      <c r="B26" s="7" t="s">
        <v>250</v>
      </c>
      <c r="C26" s="7" t="s">
        <v>195</v>
      </c>
      <c r="D26" s="7" t="s">
        <v>30</v>
      </c>
      <c r="E26" s="7" t="s">
        <v>251</v>
      </c>
      <c r="F26" s="7">
        <v>1</v>
      </c>
      <c r="G26" s="7">
        <v>1</v>
      </c>
      <c r="I26" s="7">
        <v>1</v>
      </c>
      <c r="J26" s="7">
        <v>1</v>
      </c>
      <c r="K26" s="7">
        <v>-1</v>
      </c>
      <c r="L26" s="7">
        <v>1</v>
      </c>
      <c r="M26" s="7">
        <v>1</v>
      </c>
      <c r="N26" s="7">
        <v>1</v>
      </c>
      <c r="O26" s="7">
        <v>-1</v>
      </c>
      <c r="P26" s="7">
        <v>5.500327102810413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8">
      <iconSet>
        <cfvo type="percent" val="0"/>
        <cfvo type="percent" val="33"/>
        <cfvo type="percent" val="67"/>
      </iconSet>
    </cfRule>
  </conditionalFormatting>
  <conditionalFormatting sqref="A72 A75">
    <cfRule type="iconSet" priority="39">
      <iconSet>
        <cfvo type="percent" val="0"/>
        <cfvo type="percent" val="33"/>
        <cfvo type="percent" val="67"/>
      </iconSet>
    </cfRule>
  </conditionalFormatting>
  <conditionalFormatting sqref="A73 A76">
    <cfRule type="iconSet" priority="33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8">
      <iconSet>
        <cfvo type="percent" val="0"/>
        <cfvo type="percent" val="33"/>
        <cfvo type="percent" val="67"/>
      </iconSet>
    </cfRule>
  </conditionalFormatting>
  <conditionalFormatting sqref="A11">
    <cfRule type="iconSet" priority="15">
      <iconSet>
        <cfvo type="percent" val="0"/>
        <cfvo type="percent" val="33"/>
        <cfvo type="percent" val="67"/>
      </iconSet>
    </cfRule>
  </conditionalFormatting>
  <conditionalFormatting sqref="A30">
    <cfRule type="iconSet" priority="14">
      <iconSet>
        <cfvo type="percent" val="0"/>
        <cfvo type="percent" val="33"/>
        <cfvo type="percent" val="67"/>
      </iconSet>
    </cfRule>
  </conditionalFormatting>
  <conditionalFormatting sqref="A31">
    <cfRule type="iconSet" priority="13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9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0:A90">
    <cfRule type="iconSet" priority="826">
      <iconSet>
        <cfvo type="percent" val="0"/>
        <cfvo type="percent" val="33"/>
        <cfvo type="percent" val="67"/>
      </iconSet>
    </cfRule>
  </conditionalFormatting>
  <conditionalFormatting sqref="A13:A76">
    <cfRule type="iconSet" priority="828">
      <iconSet>
        <cfvo type="percent" val="0"/>
        <cfvo type="percent" val="33"/>
        <cfvo type="percent" val="67"/>
      </iconSet>
    </cfRule>
  </conditionalFormatting>
  <conditionalFormatting sqref="A10:A76">
    <cfRule type="iconSet" priority="838">
      <iconSet>
        <cfvo type="percent" val="0"/>
        <cfvo type="percent" val="33"/>
        <cfvo type="percent" val="67"/>
      </iconSet>
    </cfRule>
  </conditionalFormatting>
  <conditionalFormatting sqref="A10:A26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2022-06-24T19:20:10Z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