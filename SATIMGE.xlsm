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5D34530F-9D67-42DD-B34B-E1D4385093DC}" xr6:coauthVersionLast="46" xr6:coauthVersionMax="46" xr10:uidLastSave="{00000000-0000-0000-0000-000000000000}"/>
  <bookViews>
    <workbookView xWindow="-4275" yWindow="-21045" windowWidth="34065" windowHeight="2007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Scenarios!$A$7:$BD$52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08" r:id="rId9"/>
    <pivotCache cacheId="11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2" i="33" l="1"/>
  <c r="O52" i="33"/>
  <c r="N52" i="33"/>
  <c r="M52" i="33"/>
  <c r="L52" i="33"/>
  <c r="K52" i="33"/>
  <c r="K51" i="33"/>
  <c r="L51" i="33"/>
  <c r="M51" i="33"/>
  <c r="N51" i="33"/>
  <c r="O51" i="33"/>
  <c r="Q51" i="33"/>
  <c r="Q50" i="33"/>
  <c r="O50" i="33"/>
  <c r="N50" i="33"/>
  <c r="M50" i="33"/>
  <c r="L50" i="33"/>
  <c r="K50" i="33"/>
  <c r="K49" i="33"/>
  <c r="L49" i="33"/>
  <c r="M49" i="33"/>
  <c r="N49" i="33"/>
  <c r="O49" i="33"/>
  <c r="Q49" i="33"/>
  <c r="Q48" i="33" l="1"/>
  <c r="O48" i="33"/>
  <c r="N48" i="33"/>
  <c r="M48" i="33"/>
  <c r="L48" i="33"/>
  <c r="K48" i="33"/>
  <c r="Q47" i="33"/>
  <c r="O47" i="33"/>
  <c r="N47" i="33"/>
  <c r="M47" i="33"/>
  <c r="L47" i="33"/>
  <c r="K47" i="33"/>
  <c r="Q46" i="33"/>
  <c r="O46" i="33"/>
  <c r="N46" i="33"/>
  <c r="M46" i="33"/>
  <c r="L46" i="33"/>
  <c r="K46" i="33"/>
  <c r="Q45" i="33"/>
  <c r="O45" i="33"/>
  <c r="N45" i="33"/>
  <c r="M45" i="33"/>
  <c r="L45" i="33"/>
  <c r="K45" i="33"/>
  <c r="Q44" i="33"/>
  <c r="O44" i="33"/>
  <c r="N44" i="33"/>
  <c r="M44" i="33"/>
  <c r="L44" i="33"/>
  <c r="K44" i="33"/>
  <c r="Q34" i="33" l="1"/>
  <c r="O34" i="33"/>
  <c r="N34" i="33"/>
  <c r="M34" i="33"/>
  <c r="L34" i="33"/>
  <c r="K34" i="33"/>
  <c r="Q33" i="33"/>
  <c r="O33" i="33"/>
  <c r="N33" i="33"/>
  <c r="M33" i="33"/>
  <c r="L33" i="33"/>
  <c r="K33" i="33"/>
  <c r="Q32" i="33"/>
  <c r="O32" i="33"/>
  <c r="N32" i="33"/>
  <c r="M32" i="33"/>
  <c r="L32" i="33"/>
  <c r="K32" i="33"/>
  <c r="Q31" i="33"/>
  <c r="O31" i="33"/>
  <c r="N31" i="33"/>
  <c r="M31" i="33"/>
  <c r="L31" i="33"/>
  <c r="K31" i="33"/>
  <c r="Q37" i="33"/>
  <c r="O37" i="33"/>
  <c r="N37" i="33"/>
  <c r="M37" i="33"/>
  <c r="L37" i="33"/>
  <c r="K37" i="33"/>
  <c r="Q43" i="33" l="1"/>
  <c r="O43" i="33"/>
  <c r="N43" i="33"/>
  <c r="M43" i="33"/>
  <c r="L43" i="33"/>
  <c r="K43" i="33"/>
  <c r="Q42" i="33"/>
  <c r="O42" i="33"/>
  <c r="N42" i="33"/>
  <c r="M42" i="33"/>
  <c r="L42" i="33"/>
  <c r="K42" i="33"/>
  <c r="Q41" i="33"/>
  <c r="O41" i="33"/>
  <c r="N41" i="33"/>
  <c r="M41" i="33"/>
  <c r="L41" i="33"/>
  <c r="K41" i="33"/>
  <c r="Q40" i="33"/>
  <c r="O40" i="33"/>
  <c r="N40" i="33"/>
  <c r="M40" i="33"/>
  <c r="L40" i="33"/>
  <c r="K40" i="33"/>
  <c r="K39" i="33"/>
  <c r="L39" i="33"/>
  <c r="M39" i="33"/>
  <c r="N39" i="33"/>
  <c r="O39" i="33"/>
  <c r="Q39" i="33"/>
  <c r="K38" i="33"/>
  <c r="L38" i="33"/>
  <c r="M38" i="33"/>
  <c r="N38" i="33"/>
  <c r="O38" i="33"/>
  <c r="Q38" i="33"/>
  <c r="K36" i="33"/>
  <c r="L36" i="33"/>
  <c r="M36" i="33"/>
  <c r="N36" i="33"/>
  <c r="O36" i="33"/>
  <c r="Q36" i="33"/>
  <c r="Q35" i="33"/>
  <c r="O35" i="33"/>
  <c r="N35" i="33"/>
  <c r="M35" i="33"/>
  <c r="L35" i="33"/>
  <c r="K35" i="33"/>
  <c r="C21" i="4" l="1"/>
  <c r="K30" i="33" l="1"/>
  <c r="L30" i="33"/>
  <c r="M30" i="33"/>
  <c r="N30" i="33"/>
  <c r="O30" i="33"/>
  <c r="Q30" i="33"/>
  <c r="Q29" i="33" l="1"/>
  <c r="O29" i="33"/>
  <c r="N29" i="33"/>
  <c r="M29" i="33"/>
  <c r="L29" i="33"/>
  <c r="K29" i="33"/>
  <c r="Q28" i="33" l="1"/>
  <c r="O28" i="33"/>
  <c r="N28" i="33"/>
  <c r="M28" i="33"/>
  <c r="L28" i="33"/>
  <c r="K28" i="33"/>
  <c r="Q19" i="33" l="1"/>
  <c r="O19" i="33"/>
  <c r="N19" i="33"/>
  <c r="M19" i="33"/>
  <c r="L19" i="33"/>
  <c r="K19" i="33"/>
  <c r="K27" i="33"/>
  <c r="L27" i="33"/>
  <c r="M27" i="33"/>
  <c r="N27" i="33"/>
  <c r="O27" i="33"/>
  <c r="Q27" i="33"/>
  <c r="K18" i="33"/>
  <c r="L18" i="33"/>
  <c r="M18" i="33"/>
  <c r="N18" i="33"/>
  <c r="O18" i="33"/>
  <c r="Q18" i="33"/>
  <c r="K26" i="33"/>
  <c r="L26" i="33"/>
  <c r="M26" i="33"/>
  <c r="N26" i="33"/>
  <c r="O26" i="33"/>
  <c r="Q26" i="33"/>
  <c r="K25" i="33"/>
  <c r="L25" i="33"/>
  <c r="M25" i="33"/>
  <c r="N25" i="33"/>
  <c r="O25" i="33"/>
  <c r="Q25" i="33"/>
  <c r="K17" i="33" l="1"/>
  <c r="L17" i="33"/>
  <c r="M17" i="33"/>
  <c r="N17" i="33"/>
  <c r="O17" i="33"/>
  <c r="Q17" i="33"/>
  <c r="K16" i="33" l="1"/>
  <c r="L16" i="33"/>
  <c r="M16" i="33"/>
  <c r="N16" i="33"/>
  <c r="O16" i="33"/>
  <c r="Q16" i="33"/>
  <c r="K15" i="33"/>
  <c r="L15" i="33"/>
  <c r="M15" i="33"/>
  <c r="N15" i="33"/>
  <c r="O15" i="33"/>
  <c r="Q15" i="33"/>
  <c r="Q22" i="33" l="1"/>
  <c r="O22" i="33"/>
  <c r="N22" i="33"/>
  <c r="M22" i="33"/>
  <c r="L22" i="33"/>
  <c r="K22" i="33"/>
  <c r="Q23" i="33"/>
  <c r="O23" i="33"/>
  <c r="N23" i="33"/>
  <c r="M23" i="33"/>
  <c r="L23" i="33"/>
  <c r="K23" i="33"/>
  <c r="Q9" i="33" l="1"/>
  <c r="O9" i="33"/>
  <c r="N9" i="33"/>
  <c r="M9" i="33"/>
  <c r="L9" i="33"/>
  <c r="K9" i="33"/>
  <c r="L11" i="33" l="1"/>
  <c r="C15" i="4" l="1"/>
  <c r="C14" i="4"/>
  <c r="Q11" i="33" l="1"/>
  <c r="O11" i="33"/>
  <c r="N11" i="33"/>
  <c r="M11" i="33"/>
  <c r="K11" i="33"/>
  <c r="Q10" i="33" l="1"/>
  <c r="O10" i="33"/>
  <c r="N10" i="33"/>
  <c r="M10" i="33"/>
  <c r="L10" i="33"/>
  <c r="K10" i="33"/>
  <c r="B1" i="33" a="1"/>
  <c r="B1" i="33" s="1"/>
  <c r="K14" i="33" l="1"/>
  <c r="L14" i="33"/>
  <c r="M14" i="33"/>
  <c r="N14" i="33"/>
  <c r="O14" i="33"/>
  <c r="K21" i="33"/>
  <c r="L21" i="33"/>
  <c r="M21" i="33"/>
  <c r="N21" i="33"/>
  <c r="O21" i="33"/>
  <c r="K24" i="33"/>
  <c r="L24" i="33"/>
  <c r="M24" i="33"/>
  <c r="N24" i="33"/>
  <c r="O24" i="33"/>
  <c r="Q13" i="33"/>
  <c r="Q20" i="33"/>
  <c r="Q12" i="33"/>
  <c r="Q14" i="33"/>
  <c r="Q21" i="33"/>
  <c r="Q24" i="33"/>
  <c r="H13" i="33" l="1"/>
  <c r="H8" i="33"/>
  <c r="K8" i="33" s="1"/>
  <c r="O8" i="33" l="1"/>
  <c r="N8" i="33"/>
  <c r="M8" i="33"/>
  <c r="L8" i="33"/>
  <c r="O13" i="33"/>
  <c r="H20" i="33"/>
  <c r="M13" i="33"/>
  <c r="K13" i="33"/>
  <c r="L13" i="33"/>
  <c r="N13" i="33"/>
  <c r="C20" i="4"/>
  <c r="K20" i="33" l="1"/>
  <c r="M20" i="33"/>
  <c r="N20" i="33"/>
  <c r="H12" i="33"/>
  <c r="O20" i="33"/>
  <c r="L20" i="33"/>
  <c r="C10" i="4"/>
  <c r="L12" i="33" l="1"/>
  <c r="M12" i="33"/>
  <c r="N12" i="33"/>
  <c r="O12" i="33"/>
  <c r="K12" i="33"/>
  <c r="AE7" i="5"/>
  <c r="AE8" i="5" s="1"/>
  <c r="AE9" i="5" s="1"/>
  <c r="AE10" i="5" s="1"/>
  <c r="AE11" i="5" s="1"/>
  <c r="AE12" i="5" s="1"/>
  <c r="AE13" i="5" s="1"/>
  <c r="C9" i="4"/>
  <c r="C13" i="4" l="1"/>
  <c r="C19" i="4" l="1"/>
  <c r="C18" i="4"/>
  <c r="C17" i="4" l="1"/>
  <c r="C16" i="4"/>
  <c r="C12" i="4"/>
  <c r="C8" i="4"/>
  <c r="C11" i="4"/>
  <c r="C7" i="4"/>
  <c r="Q8" i="33" l="1"/>
  <c r="S7" i="33" l="1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tc={3A629425-736C-49FF-8B83-3FBBBC12C4CE}</author>
    <author>tc={84E0A8F0-3273-4E5E-94F7-5F44BC81D21D}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9" authorId="1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0" authorId="2" shapeId="0" xr:uid="{84E0A8F0-3273-4E5E-94F7-5F44BC81D21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<sst xmlns="http://schemas.openxmlformats.org/spreadsheetml/2006/main" count="1083" uniqueCount="285">
  <si>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</si>
  <si>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</si>
  <si>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</si>
  <si>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</si>
  <si>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</si>
  <si>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</si>
  <si>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</si>
  <si>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</si>
  <si>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</si>
  <si>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</si>
  <si>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</si>
  <si>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</si>
  <si>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</si>
  <si>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</si>
  <si>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</si>
  <si>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</si>
  <si>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</si>
  <si>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</si>
  <si>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</si>
  <si>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</si>
  <si>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</si>
  <si>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</si>
  <si>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</si>
  <si>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</si>
  <si>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</si>
  <si>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</si>
  <si>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</si>
  <si>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</si>
  <si>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</si>
  <si>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</si>
  <si>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</si>
  <si>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</si>
  <si>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</si>
  <si>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</si>
  <si>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</si>
  <si>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</si>
  <si>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</si>
  <si>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</si>
  <si>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</si>
  <si>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</si>
  <si>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</si>
  <si>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</si>
  <si>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</si>
  <si>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</si>
  <si>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</si>
  <si>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</si>
  <si>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</si>
  <si>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</si>
  <si>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</si>
  <si>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</si>
  <si>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</si>
  <si>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</si>
  <si>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</si>
  <si>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</si>
  <si>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</si>
  <si>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</si>
  <si>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</si>
  <si>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</si>
  <si>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</si>
  <si>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</si>
  <si>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</si>
  <si>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</si>
  <si>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</si>
  <si>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</si>
  <si>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</si>
  <si>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</si>
  <si>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</si>
  <si>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</si>
  <si>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</si>
  <si>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</si>
  <si>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</si>
  <si>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</si>
  <si>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</si>
  <si>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</si>
  <si>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</si>
  <si>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</si>
  <si>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</si>
  <si>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</si>
  <si>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</si>
  <si>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</si>
  <si>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</si>
  <si>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</si>
  <si>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</si>
  <si>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</si>
  <si>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</si>
  <si>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</si>
  <si>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</si>
  <si>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</si>
  <si>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</si>
  <si>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</si>
  <si>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</si>
  <si>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</si>
  <si>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</si>
  <si>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</si>
  <si>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</si>
  <si>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</si>
  <si>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</si>
  <si>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</si>
  <si>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</si>
  <si>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</si>
  <si>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</si>
  <si>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</si>
  <si>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</si>
  <si>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</si>
  <si>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</si>
  <si>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</si>
  <si>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</si>
  <si>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</si>
  <si>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</si>
  <si>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</si>
  <si>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</si>
  <si>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</si>
  <si>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</si>
  <si>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</si>
  <si>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</si>
  <si>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</si>
  <si>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</si>
  <si>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</si>
  <si>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</si>
  <si>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</si>
  <si>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</si>
  <si>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</si>
  <si>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</si>
  <si>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</si>
  <si>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</si>
  <si>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</si>
  <si>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</si>
  <si>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</si>
  <si>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</si>
  <si>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</si>
  <si>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</si>
  <si>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</si>
  <si>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</si>
  <si>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</si>
  <si>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</si>
  <si>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</si>
  <si>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</si>
  <si>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</si>
  <si>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</si>
  <si>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</si>
  <si>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</si>
  <si>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</si>
  <si>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</si>
  <si>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</si>
  <si>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</si>
  <si>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</si>
  <si>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</si>
  <si>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</si>
  <si>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</si>
  <si>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</si>
  <si>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</si>
  <si>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</si>
  <si>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</si>
  <si>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</si>
  <si>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</si>
  <si>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</si>
  <si>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</si>
  <si>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</si>
  <si>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</si>
  <si>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</si>
  <si>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</si>
  <si>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</si>
  <si>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</si>
  <si>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</si>
  <si>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</si>
  <si>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</si>
  <si>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</si>
  <si>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</si>
  <si>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</si>
  <si>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</si>
  <si>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</si>
  <si>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</si>
  <si>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</si>
  <si>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</si>
  <si>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</si>
  <si>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</si>
  <si>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</si>
  <si>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</si>
  <si>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</si>
  <si>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</si>
  <si>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</si>
  <si>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</si>
  <si>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</si>
  <si>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</si>
  <si>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</si>
  <si>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</si>
  <si>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</si>
  <si>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</si>
  <si>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</si>
  <si>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</si>
  <si>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</si>
  <si>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</si>
  <si>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</si>
  <si>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CPAMSIRP</t>
  </si>
  <si>
    <t>CPAMS</t>
  </si>
  <si>
    <t>(blank)</t>
  </si>
  <si>
    <t>NoPAMS</t>
  </si>
  <si>
    <t>CPAMS-TrGr</t>
  </si>
  <si>
    <t>HiPam</t>
  </si>
  <si>
    <t>HPAMSIRP</t>
  </si>
  <si>
    <t>NOPAMS</t>
  </si>
  <si>
    <t>NoPAMS-TrGr-FrcdCoal</t>
  </si>
  <si>
    <t>CPAMSIRPTG</t>
  </si>
  <si>
    <t>NOPAMSFCTG</t>
  </si>
  <si>
    <t>Configured in SATIM?</t>
  </si>
  <si>
    <t>yes tested</t>
  </si>
  <si>
    <t>Link to CGE? (SIM_esage)</t>
  </si>
  <si>
    <t>Path</t>
  </si>
  <si>
    <t>CPAMS-NoIRP</t>
  </si>
  <si>
    <t>CPAMSNOIRP</t>
  </si>
  <si>
    <t>Link to Waste? (SIM_Waste)</t>
  </si>
  <si>
    <t>Link to AFOLU? (SIM_AFOLU)</t>
  </si>
  <si>
    <t>Sum of Link to Waste?</t>
  </si>
  <si>
    <t>Sum of Link to AFOLU?</t>
  </si>
  <si>
    <t>CPAMS-MRE</t>
  </si>
  <si>
    <t>CPAMSMRE</t>
  </si>
  <si>
    <t>SIM_WASTE</t>
  </si>
  <si>
    <t>SIM_AFOLU</t>
  </si>
  <si>
    <t>CPAMSRE</t>
  </si>
  <si>
    <t>CPAMSRETG</t>
  </si>
  <si>
    <t>LoPAMS</t>
  </si>
  <si>
    <t>LPAMS</t>
  </si>
  <si>
    <t>CPAMS-RE</t>
  </si>
  <si>
    <t>CPAMS-TrGr-RE</t>
  </si>
  <si>
    <t>LoPAMS-MRE-TrGr</t>
  </si>
  <si>
    <t>LPAMSMRETG</t>
  </si>
  <si>
    <t>CPAMS-TrGr-MRE</t>
  </si>
  <si>
    <t>CPAMSMRETG</t>
  </si>
  <si>
    <t>NoPAMS_NDP</t>
  </si>
  <si>
    <t>NOPAMS_NDP</t>
  </si>
  <si>
    <t>CPAMS_NDP</t>
  </si>
  <si>
    <t>NOPAMS_LEAF</t>
  </si>
  <si>
    <t>CPAMSRE_LEAF</t>
  </si>
  <si>
    <t>CPAMS_LEAF</t>
  </si>
  <si>
    <t>NoPAMS-LEAF</t>
  </si>
  <si>
    <t>CPAMS-LEAF</t>
  </si>
  <si>
    <t>CPAMS-RE-LEAF</t>
  </si>
  <si>
    <t>NoPAMS-TrGr</t>
  </si>
  <si>
    <t>NoPAMS-LEAF-TrGr</t>
  </si>
  <si>
    <t>CPAMS-LEAF-TrGr</t>
  </si>
  <si>
    <t>NoPAMS-LOP</t>
  </si>
  <si>
    <t>NOPAMSLOP</t>
  </si>
  <si>
    <t>NoPAMS-IRP</t>
  </si>
  <si>
    <t>NOPAMSIRP</t>
  </si>
  <si>
    <t>NoPAMS-CAP10</t>
  </si>
  <si>
    <t>NOPAMSCAP</t>
  </si>
  <si>
    <t>CO2 Cumulative Cap (SIM_CO2CUMUL)</t>
  </si>
  <si>
    <t>Sum of CO2 CumCap</t>
  </si>
  <si>
    <t>SIM_CO2CUMUL</t>
  </si>
  <si>
    <t>NOPAMSMRE_LE</t>
  </si>
  <si>
    <t>NoPAMS-MRE-LEAF</t>
  </si>
  <si>
    <t>NoPAMS-MRE-LEAF-TrGr</t>
  </si>
  <si>
    <t>NoPAMS-RE-LEAF-TrGr</t>
  </si>
  <si>
    <t>NOPAMSRE_LE</t>
  </si>
  <si>
    <t>CPAMS-NoIRP-LEAF</t>
  </si>
  <si>
    <t>CPAMSNOIRPLE</t>
  </si>
  <si>
    <t>CPAMS-MRE-LEAF</t>
  </si>
  <si>
    <t>CPAMSMRELEAF</t>
  </si>
  <si>
    <t>CPAMS-NoIRP-LEAF-TrGr</t>
  </si>
  <si>
    <t>CPAMS-MRE-LEAF-TrGr</t>
  </si>
  <si>
    <t>CPAMS-RE-LEAF-TrGr</t>
  </si>
  <si>
    <t>NoPAMS-RE-LEAF</t>
  </si>
  <si>
    <t>NoPAMS-CAP09</t>
  </si>
  <si>
    <t>NoPAMS-CAP08</t>
  </si>
  <si>
    <t>NoPAMS-CAP07</t>
  </si>
  <si>
    <t>NoPAMS-CAP06</t>
  </si>
  <si>
    <t>CPAMS-CAP10</t>
  </si>
  <si>
    <t>CPAMS-CAP09</t>
  </si>
  <si>
    <t>CPAMS-CAP08</t>
  </si>
  <si>
    <t>CPAMS-CAP07</t>
  </si>
  <si>
    <t>CPAMS-CAP06</t>
  </si>
  <si>
    <t>CPAMSCAP</t>
  </si>
  <si>
    <t>NOPAMS_EXP</t>
  </si>
  <si>
    <t>NoPAMS-RR</t>
  </si>
  <si>
    <t>Project Tags</t>
  </si>
  <si>
    <t>NDC</t>
  </si>
  <si>
    <t>IFPRI #6</t>
  </si>
  <si>
    <t>Nuclear NERSA</t>
  </si>
  <si>
    <t>Coal IPP</t>
  </si>
  <si>
    <t>NetZero</t>
  </si>
  <si>
    <t>NoPAMS_Fnuc</t>
  </si>
  <si>
    <t>NOPAMS_NF</t>
  </si>
  <si>
    <t>NOPAMS_NF_LF</t>
  </si>
  <si>
    <t>NoPAMS_Fnuc-LEAF</t>
  </si>
  <si>
    <t>NoPAMS_Fnuc-LEAF-TrGr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</si>
</sst>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6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0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252.860441666664" createdVersion="6" refreshedVersion="6" minRefreshableVersion="3" recordCount="46" xr:uid="{D229C3DF-142A-4D15-BB2C-2EA205AB0203}">
  <cacheSource type="worksheet">
    <worksheetSource ref="A7:P10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81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NoPAMS-LOP"/>
        <s v="NoPAMS-IRP"/>
        <s v="NoPAMS-CAP10"/>
        <s v="NoPAMS-CAP09"/>
        <s v="NoPAMS-CAP08"/>
        <s v="NoPAMS-CAP07"/>
        <s v="NoPAMS-CAP06"/>
        <s v="NoPAMS-MRE-LEAF"/>
        <s v="NoPAMS-MRE-LEAF-TrGr"/>
        <s v="NoPAMS-RE-LEAF"/>
        <s v="NoPAMS-RE-LEAF-TrGr"/>
        <s v="CPAMS-NoIRP-LEAF"/>
        <s v="CPAMS-MRE-LEAF"/>
        <s v="CPAMS-NoIRP-LEAF-TrGr"/>
        <s v="CPAMS-MRE-LEAF-TrGr"/>
        <s v="CPAMS-RE-LEAF-TrGr"/>
        <s v="CPAMS-CAP10"/>
        <s v="CPAMS-CAP09"/>
        <s v="CPAMS-CAP08"/>
        <s v="CPAMS-CAP07"/>
        <s v="CPAMS-CAP06"/>
        <s v="NoPAMS-RR"/>
        <s v="NoPAMS_Fnuc"/>
        <s v="NoPAMS_Fnuc-LEAF"/>
        <s v="NoPAMS_Fnuc-LEAF-TrGr"/>
        <m/>
        <s v="CPAMS-HiGr" u="1"/>
        <s v="TrGr-NoPams" u="1"/>
        <s v="NoPAMS-CAP9" u="1"/>
        <s v="CPAMS-TrGr-REProg" u="1"/>
        <s v="CPAMS-LEAF-ND" u="1"/>
        <s v="CentralPAMSnoCoal" u="1"/>
        <s v="Test_TS" u="1"/>
        <s v="CPAMS-HIGrREProg" u="1"/>
        <s v="NoPAMS-Resid" u="1"/>
        <s v="LoPAMS-FrcdCoal" u="1"/>
        <s v="NoPAMSForcedCoal" u="1"/>
        <s v="NoPAMS-LowEAF-ND" u="1"/>
        <s v="NoPAMS-HiGr-FcdCoal" u="1"/>
        <s v="Run0" u="1"/>
        <s v="NoPAMS-02pcRR" u="1"/>
        <s v="NoPAMS-LEAF-TrGr-ND" u="1"/>
        <s v="CPAMS-REProg" u="1"/>
        <s v="HiPam-REProg" u="1"/>
        <s v="NoPAMS-05pcRR" u="1"/>
        <s v="Test" u="1"/>
        <s v="NoPAMS_ND" u="1"/>
        <s v="CentralPAMS" u="1"/>
        <s v="LoPAMS-MRE" u="1"/>
        <s v="TrGr-NoPam" u="1"/>
        <s v="CPAMS-RE-LEAF-ND" u="1"/>
        <s v="NoPAMS-HiGr" u="1"/>
        <s v="NoPAMS-20pcRR" u="1"/>
        <s v="NoPAMS-LEAF-ND" u="1"/>
        <s v="NoPAMS_LowEAF" u="1"/>
        <s v="NoPAMS-ND" u="1"/>
        <s v="CPAMS-LEAF-TrGr-ND" u="1"/>
        <s v="NoPAMS_LowEAF_ND" u="1"/>
        <s v="NoPAMS-10pcRR" u="1"/>
        <s v="NoPAMS-HiGr-FrcdCoal" u="1"/>
        <s v="NoPAMS-TrGr-ND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6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252.860441666664" createdVersion="6" refreshedVersion="6" minRefreshableVersion="3" recordCount="46" xr:uid="{C0EB43E8-6CC6-4DE4-B7F1-02B09F7BA69A}">
  <cacheSource type="worksheet">
    <worksheetSource ref="A7:P10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78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NoPAMS-LOP"/>
        <s v="NoPAMS-IRP"/>
        <s v="NoPAMS-CAP10"/>
        <s v="NoPAMS-CAP09"/>
        <s v="NoPAMS-CAP08"/>
        <s v="NoPAMS-CAP07"/>
        <s v="NoPAMS-CAP06"/>
        <s v="NoPAMS-MRE-LEAF"/>
        <s v="NoPAMS-MRE-LEAF-TrGr"/>
        <s v="NoPAMS-RE-LEAF"/>
        <s v="NoPAMS-RE-LEAF-TrGr"/>
        <s v="CPAMS-NoIRP-LEAF"/>
        <s v="CPAMS-MRE-LEAF"/>
        <s v="CPAMS-NoIRP-LEAF-TrGr"/>
        <s v="CPAMS-MRE-LEAF-TrGr"/>
        <s v="CPAMS-RE-LEAF-TrGr"/>
        <s v="CPAMS-CAP10"/>
        <s v="CPAMS-CAP09"/>
        <s v="CPAMS-CAP08"/>
        <s v="CPAMS-CAP07"/>
        <s v="CPAMS-CAP06"/>
        <s v="NoPAMS-RR"/>
        <s v="NoPAMS_Fnuc"/>
        <s v="NoPAMS_Fnuc-LEAF"/>
        <s v="NoPAMS_Fnuc-LEAF-TrGr"/>
        <m/>
        <s v="CPAMS-HiGr" u="1"/>
        <s v="TrGr-NoPams" u="1"/>
        <s v="NoPAMS-CAP9" u="1"/>
        <s v="CPAMS-TrGr-REProg" u="1"/>
        <s v="CPAMS-LEAF-ND" u="1"/>
        <s v="Test_TS" u="1"/>
        <s v="CPAMS-HIGrREProg" u="1"/>
        <s v="NoPAMS-Resid" u="1"/>
        <s v="LoPAMS-FrcdCoal" u="1"/>
        <s v="NoPAMS-LowEAF-ND" u="1"/>
        <s v="NoPAMS-HiGr-FcdCoal" u="1"/>
        <s v="Run0" u="1"/>
        <s v="NoPAMS-02pcRR" u="1"/>
        <s v="NoPAMS-LEAF-TrGr-ND" u="1"/>
        <s v="CPAMS-REProg" u="1"/>
        <s v="HiPam-REProg" u="1"/>
        <s v="NoPAMS-05pcRR" u="1"/>
        <s v="Test" u="1"/>
        <s v="NoPAMS_ND" u="1"/>
        <s v="LoPAMS-MRE" u="1"/>
        <s v="TrGr-NoPam" u="1"/>
        <s v="CPAMS-RE-LEAF-ND" u="1"/>
        <s v="NoPAMS-HiGr" u="1"/>
        <s v="NoPAMS-20pcRR" u="1"/>
        <s v="NoPAMS-LEAF-ND" u="1"/>
        <s v="NoPAMS_LowEAF" u="1"/>
        <s v="NoPAMS-ND" u="1"/>
        <s v="CPAMS-LEAF-TrGr-ND" u="1"/>
        <s v="NoPAMS_LowEAF_ND" u="1"/>
        <s v="NoPAMS-10pcRR" u="1"/>
        <s v="NoPAMS-HiGr-FrcdCoal" u="1"/>
        <s v="NoPAMS-TrGr-ND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47">
        <s v="NOPAMS"/>
        <s v="LPAMS"/>
        <s v="CPAMSNOIRP"/>
        <s v="CPAMSMRE"/>
        <s v="CPAMSRE"/>
        <s v="CPAMSIRP"/>
        <s v="HPAMSIRP"/>
        <s v="NOPAMS_NDP"/>
        <s v="CPAMS_NDP"/>
        <s v="NOPAMS_LEAF"/>
        <s v="CPAMS_LEAF"/>
        <s v="CPAMSRE_LEAF"/>
        <s v="CPAMSIRPTG"/>
        <s v="CPAMSRETG"/>
        <s v="CPAMSMRETG"/>
        <s v="LPAMSMRETG"/>
        <s v="NOPAMSFCTG"/>
        <s v="NOPAMSLOP"/>
        <s v="NOPAMSIRP"/>
        <s v="NOPAMSCAP"/>
        <s v="NOPAMSMRE_LE"/>
        <s v="NOPAMSRE_LE"/>
        <s v="CPAMSNOIRPLE"/>
        <s v="CPAMSMRELEAF"/>
        <s v="CPAMSCAP"/>
        <s v="NOPAMS_EXP"/>
        <s v="NOPAMS_NF"/>
        <s v="NOPAMS_NF_LF"/>
        <m/>
        <s v="LPAMSFC" u="1"/>
        <s v="CPAMSREPROGHG" u="1"/>
        <s v="NOPAMSFCHG" u="1"/>
        <s v="CPAMSREPROGTG" u="1"/>
        <s v="CPAMSREPROG" u="1"/>
        <s v="NOPAMSFC" u="1"/>
        <s v="RUNCOAL" u="1"/>
        <s v="NOPAMSCAP10" u="1"/>
        <s v="HPAMSREPROG" u="1"/>
        <s v="LPAMSMRE" u="1"/>
        <s v="NOPAMS_EXP2" u="1"/>
        <s v="CPAMSMRE_LEAF" u="1"/>
        <s v="RUNZERO" u="1"/>
        <s v="NOPAMS_EXP3" u="1"/>
        <s v="LPAMSMREP" u="1"/>
        <s v="NOPAMS_EXP4" u="1"/>
        <s v="CPAMSCP" u="1"/>
        <s v="CPAMSREPROTG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6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n v="1"/>
    <x v="0"/>
    <s v="yes tested"/>
    <s v="base"/>
    <s v="NOPAMS"/>
    <n v="1"/>
    <n v="1"/>
    <s v="No Pams"/>
    <n v="1"/>
    <n v="1"/>
    <n v="-1"/>
    <n v="-1"/>
    <n v="-1"/>
    <n v="1"/>
    <n v="-1"/>
    <m/>
  </r>
  <r>
    <n v="0"/>
    <x v="1"/>
    <s v="yes tested"/>
    <s v="base"/>
    <s v="LPAMS"/>
    <n v="1"/>
    <n v="1"/>
    <s v="Lim Pams"/>
    <n v="1"/>
    <n v="1"/>
    <n v="2"/>
    <n v="2"/>
    <n v="2"/>
    <n v="1"/>
    <n v="2"/>
    <m/>
  </r>
  <r>
    <n v="0"/>
    <x v="2"/>
    <s v="yes tested"/>
    <s v="base"/>
    <s v="CPAMSNOIRP"/>
    <n v="1"/>
    <n v="1"/>
    <s v="Base Pams"/>
    <n v="1"/>
    <n v="1"/>
    <n v="2"/>
    <n v="2"/>
    <n v="1"/>
    <n v="2"/>
    <n v="1"/>
    <m/>
  </r>
  <r>
    <n v="0"/>
    <x v="3"/>
    <s v="yes tested"/>
    <s v="base"/>
    <s v="CPAMSMRE"/>
    <n v="1"/>
    <n v="1"/>
    <s v="Base Pams"/>
    <n v="1"/>
    <n v="1"/>
    <n v="2"/>
    <n v="2"/>
    <n v="1"/>
    <n v="2"/>
    <n v="1"/>
    <m/>
  </r>
  <r>
    <n v="0"/>
    <x v="4"/>
    <s v="yes tested"/>
    <s v="base"/>
    <s v="CPAMSRE"/>
    <n v="1"/>
    <n v="1"/>
    <s v="Base Pams"/>
    <n v="1"/>
    <n v="1"/>
    <n v="2"/>
    <n v="2"/>
    <n v="1"/>
    <n v="2"/>
    <n v="1"/>
    <m/>
  </r>
  <r>
    <n v="0"/>
    <x v="5"/>
    <s v="yes tested"/>
    <s v="base"/>
    <s v="CPAMSIRP"/>
    <n v="1"/>
    <n v="1"/>
    <s v="Base Pams"/>
    <n v="1"/>
    <n v="1"/>
    <n v="2"/>
    <n v="2"/>
    <n v="1"/>
    <n v="2"/>
    <n v="1"/>
    <m/>
  </r>
  <r>
    <n v="0"/>
    <x v="6"/>
    <s v="yes tested"/>
    <s v="base"/>
    <s v="HPAMSIRP"/>
    <n v="1"/>
    <n v="1"/>
    <s v="Ambitious Pams"/>
    <n v="1"/>
    <n v="1"/>
    <n v="1"/>
    <n v="1"/>
    <n v="3"/>
    <n v="3"/>
    <n v="3"/>
    <m/>
  </r>
  <r>
    <n v="0"/>
    <x v="7"/>
    <s v="yes tested"/>
    <s v="base"/>
    <s v="NOPAMS_NDP"/>
    <n v="1"/>
    <n v="0"/>
    <s v="No Pams"/>
    <n v="1"/>
    <n v="1"/>
    <n v="-1"/>
    <n v="-1"/>
    <n v="-1"/>
    <n v="1"/>
    <n v="-1"/>
    <m/>
  </r>
  <r>
    <n v="0"/>
    <x v="8"/>
    <s v="yes tested"/>
    <s v="base"/>
    <s v="CPAMS_NDP"/>
    <n v="1"/>
    <n v="0"/>
    <s v="Base Pams"/>
    <n v="1"/>
    <n v="1"/>
    <n v="2"/>
    <n v="2"/>
    <n v="1"/>
    <n v="2"/>
    <n v="1"/>
    <m/>
  </r>
  <r>
    <n v="0"/>
    <x v="9"/>
    <s v="yes tested"/>
    <s v="base"/>
    <s v="NOPAMS_LEAF"/>
    <n v="1"/>
    <n v="1"/>
    <s v="No Pams"/>
    <n v="1"/>
    <n v="1"/>
    <n v="-1"/>
    <n v="-1"/>
    <n v="-1"/>
    <n v="1"/>
    <n v="-1"/>
    <m/>
  </r>
  <r>
    <n v="0"/>
    <x v="10"/>
    <s v="yes tested"/>
    <s v="base"/>
    <s v="CPAMS_LEAF"/>
    <n v="1"/>
    <n v="1"/>
    <s v="Base Pams"/>
    <n v="1"/>
    <n v="1"/>
    <n v="2"/>
    <n v="2"/>
    <n v="1"/>
    <n v="2"/>
    <n v="1"/>
    <m/>
  </r>
  <r>
    <n v="0"/>
    <x v="11"/>
    <s v="yes tested"/>
    <s v="base"/>
    <s v="CPAMSRE_LEAF"/>
    <n v="1"/>
    <n v="1"/>
    <s v="Base Pams"/>
    <n v="1"/>
    <n v="1"/>
    <n v="2"/>
    <n v="2"/>
    <n v="1"/>
    <n v="2"/>
    <n v="1"/>
    <m/>
  </r>
  <r>
    <n v="0"/>
    <x v="12"/>
    <s v="yes tested"/>
    <s v="sim1"/>
    <s v="CPAMSIRPTG"/>
    <n v="1"/>
    <n v="1"/>
    <s v="Base Pams"/>
    <n v="1"/>
    <n v="1"/>
    <n v="2"/>
    <n v="2"/>
    <n v="1"/>
    <n v="2"/>
    <n v="1"/>
    <m/>
  </r>
  <r>
    <n v="0"/>
    <x v="13"/>
    <s v="yes tested"/>
    <s v="sim1"/>
    <s v="CPAMSRETG"/>
    <n v="1"/>
    <n v="1"/>
    <s v="Base Pams"/>
    <n v="1"/>
    <n v="1"/>
    <n v="2"/>
    <n v="2"/>
    <n v="1"/>
    <n v="2"/>
    <n v="1"/>
    <m/>
  </r>
  <r>
    <n v="0"/>
    <x v="14"/>
    <s v="yes tested"/>
    <s v="sim1"/>
    <s v="CPAMSMRETG"/>
    <n v="1"/>
    <n v="1"/>
    <s v="Base Pams"/>
    <n v="1"/>
    <n v="1"/>
    <n v="2"/>
    <n v="2"/>
    <n v="1"/>
    <n v="2"/>
    <n v="1"/>
    <m/>
  </r>
  <r>
    <n v="0"/>
    <x v="15"/>
    <s v="yes tested"/>
    <s v="sim1"/>
    <s v="LPAMSMRETG"/>
    <n v="1"/>
    <n v="1"/>
    <s v="Lim Pams"/>
    <n v="1"/>
    <n v="1"/>
    <n v="2"/>
    <n v="2"/>
    <n v="2"/>
    <n v="1"/>
    <n v="2"/>
    <m/>
  </r>
  <r>
    <n v="0"/>
    <x v="16"/>
    <s v="yes tested"/>
    <s v="sim1"/>
    <s v="NOPAMSFCTG"/>
    <n v="1"/>
    <n v="1"/>
    <s v="No Pams"/>
    <n v="1"/>
    <n v="1"/>
    <n v="-1"/>
    <n v="-1"/>
    <n v="-1"/>
    <n v="1"/>
    <n v="-1"/>
    <m/>
  </r>
  <r>
    <n v="0"/>
    <x v="17"/>
    <s v="yes tested"/>
    <s v="sim1"/>
    <s v="NOPAMS"/>
    <n v="1"/>
    <n v="1"/>
    <s v="No Pams"/>
    <n v="1"/>
    <n v="1"/>
    <n v="-1"/>
    <n v="-1"/>
    <n v="-1"/>
    <n v="1"/>
    <n v="-1"/>
    <m/>
  </r>
  <r>
    <n v="0"/>
    <x v="18"/>
    <s v="yes tested"/>
    <s v="sim1"/>
    <s v="NOPAMS_LEAF"/>
    <n v="1"/>
    <n v="1"/>
    <s v="No Pams"/>
    <n v="1"/>
    <n v="1"/>
    <n v="-1"/>
    <n v="-1"/>
    <n v="-1"/>
    <n v="1"/>
    <n v="-1"/>
    <m/>
  </r>
  <r>
    <n v="0"/>
    <x v="19"/>
    <s v="yes tested"/>
    <s v="sim1"/>
    <s v="CPAMS_LEAF"/>
    <n v="1"/>
    <n v="1"/>
    <s v="Base Pams"/>
    <n v="1"/>
    <n v="1"/>
    <n v="2"/>
    <n v="2"/>
    <n v="1"/>
    <n v="2"/>
    <n v="1"/>
    <m/>
  </r>
  <r>
    <n v="0"/>
    <x v="20"/>
    <s v="yes tested"/>
    <s v="base"/>
    <s v="NOPAMSLOP"/>
    <n v="1"/>
    <n v="1"/>
    <s v="No Pams"/>
    <n v="1"/>
    <n v="1"/>
    <n v="-1"/>
    <n v="-1"/>
    <n v="-1"/>
    <n v="1"/>
    <n v="-1"/>
    <m/>
  </r>
  <r>
    <n v="0"/>
    <x v="21"/>
    <s v="yes tested"/>
    <s v="base"/>
    <s v="NOPAMSIRP"/>
    <n v="1"/>
    <n v="1"/>
    <s v="No Pams"/>
    <n v="1"/>
    <n v="1"/>
    <n v="-1"/>
    <n v="-1"/>
    <n v="-1"/>
    <n v="1"/>
    <n v="-1"/>
    <m/>
  </r>
  <r>
    <n v="0"/>
    <x v="22"/>
    <s v="yes tested"/>
    <s v="base"/>
    <s v="NOPAMSCAP"/>
    <n v="1"/>
    <n v="1"/>
    <s v="No Pams"/>
    <n v="1"/>
    <n v="1"/>
    <n v="-1"/>
    <n v="-1"/>
    <n v="-1"/>
    <n v="1"/>
    <n v="-1"/>
    <n v="10"/>
  </r>
  <r>
    <n v="0"/>
    <x v="23"/>
    <s v="yes tested"/>
    <s v="base"/>
    <s v="NOPAMSCAP"/>
    <n v="1"/>
    <n v="1"/>
    <s v="No Pams"/>
    <n v="1"/>
    <n v="1"/>
    <n v="-1"/>
    <n v="-1"/>
    <n v="-1"/>
    <n v="1"/>
    <n v="-1"/>
    <n v="9"/>
  </r>
  <r>
    <n v="0"/>
    <x v="24"/>
    <s v="yes tested"/>
    <s v="base"/>
    <s v="NOPAMSCAP"/>
    <n v="1"/>
    <n v="1"/>
    <s v="No Pams"/>
    <n v="1"/>
    <n v="1"/>
    <n v="-1"/>
    <n v="-1"/>
    <n v="-1"/>
    <n v="1"/>
    <n v="-1"/>
    <n v="8"/>
  </r>
  <r>
    <n v="0"/>
    <x v="25"/>
    <s v="yes tested"/>
    <s v="base"/>
    <s v="NOPAMSCAP"/>
    <n v="1"/>
    <n v="1"/>
    <s v="No Pams"/>
    <n v="1"/>
    <n v="1"/>
    <n v="-1"/>
    <n v="-1"/>
    <n v="-1"/>
    <n v="1"/>
    <n v="-1"/>
    <n v="7"/>
  </r>
  <r>
    <n v="1"/>
    <x v="26"/>
    <s v="yes tested"/>
    <s v="base"/>
    <s v="NOPAMSCAP"/>
    <n v="1"/>
    <n v="1"/>
    <s v="No Pams"/>
    <n v="1"/>
    <n v="1"/>
    <n v="-1"/>
    <n v="-1"/>
    <n v="-1"/>
    <n v="1"/>
    <n v="-1"/>
    <n v="6"/>
  </r>
  <r>
    <n v="0"/>
    <x v="27"/>
    <s v="yes tested"/>
    <s v="base"/>
    <s v="NOPAMSMRE_LE"/>
    <n v="1"/>
    <n v="1"/>
    <s v="No Pams"/>
    <n v="1"/>
    <n v="1"/>
    <n v="-1"/>
    <n v="-1"/>
    <n v="-1"/>
    <n v="1"/>
    <n v="-1"/>
    <m/>
  </r>
  <r>
    <n v="0"/>
    <x v="28"/>
    <s v="yes tested"/>
    <s v="sim1"/>
    <s v="NOPAMSMRE_LE"/>
    <n v="1"/>
    <n v="1"/>
    <s v="No Pams"/>
    <n v="1"/>
    <n v="1"/>
    <n v="-1"/>
    <n v="-1"/>
    <n v="-1"/>
    <n v="1"/>
    <n v="-1"/>
    <m/>
  </r>
  <r>
    <n v="0"/>
    <x v="29"/>
    <s v="yes tested"/>
    <s v="base"/>
    <s v="NOPAMSRE_LE"/>
    <n v="1"/>
    <n v="1"/>
    <s v="No Pams"/>
    <n v="1"/>
    <n v="1"/>
    <n v="-1"/>
    <n v="-1"/>
    <n v="-1"/>
    <n v="1"/>
    <n v="-1"/>
    <m/>
  </r>
  <r>
    <n v="0"/>
    <x v="30"/>
    <s v="yes tested"/>
    <s v="sim1"/>
    <s v="NOPAMSRE_LE"/>
    <n v="1"/>
    <n v="1"/>
    <s v="No Pams"/>
    <n v="1"/>
    <n v="1"/>
    <n v="-1"/>
    <n v="-1"/>
    <n v="-1"/>
    <n v="1"/>
    <n v="-1"/>
    <m/>
  </r>
  <r>
    <n v="0"/>
    <x v="31"/>
    <s v="yes tested"/>
    <s v="base"/>
    <s v="CPAMSNOIRPLE"/>
    <n v="1"/>
    <n v="1"/>
    <s v="Base Pams"/>
    <n v="1"/>
    <n v="1"/>
    <n v="2"/>
    <n v="2"/>
    <n v="1"/>
    <n v="2"/>
    <n v="1"/>
    <m/>
  </r>
  <r>
    <n v="0"/>
    <x v="32"/>
    <s v="yes tested"/>
    <s v="base"/>
    <s v="CPAMSMRELEAF"/>
    <n v="1"/>
    <n v="1"/>
    <s v="Base Pams"/>
    <n v="1"/>
    <n v="1"/>
    <n v="2"/>
    <n v="2"/>
    <n v="1"/>
    <n v="2"/>
    <n v="1"/>
    <m/>
  </r>
  <r>
    <n v="0"/>
    <x v="33"/>
    <s v="yes tested"/>
    <s v="sim1"/>
    <s v="CPAMSNOIRPLE"/>
    <n v="1"/>
    <n v="1"/>
    <s v="Base Pams"/>
    <n v="1"/>
    <n v="1"/>
    <n v="2"/>
    <n v="2"/>
    <n v="1"/>
    <n v="2"/>
    <n v="1"/>
    <m/>
  </r>
  <r>
    <n v="0"/>
    <x v="34"/>
    <s v="yes tested"/>
    <s v="sim1"/>
    <s v="CPAMSMRELEAF"/>
    <n v="1"/>
    <n v="1"/>
    <s v="Base Pams"/>
    <n v="1"/>
    <n v="1"/>
    <n v="2"/>
    <n v="2"/>
    <n v="1"/>
    <n v="2"/>
    <n v="1"/>
    <m/>
  </r>
  <r>
    <n v="0"/>
    <x v="35"/>
    <s v="yes tested"/>
    <s v="sim1"/>
    <s v="CPAMSRE_LEAF"/>
    <n v="1"/>
    <n v="1"/>
    <s v="Base Pams"/>
    <n v="1"/>
    <n v="1"/>
    <n v="2"/>
    <n v="2"/>
    <n v="1"/>
    <n v="2"/>
    <n v="1"/>
    <m/>
  </r>
  <r>
    <n v="0"/>
    <x v="36"/>
    <s v="yes tested"/>
    <s v="base"/>
    <s v="CPAMSCAP"/>
    <n v="1"/>
    <n v="1"/>
    <s v="Base Pams"/>
    <n v="1"/>
    <n v="1"/>
    <n v="2"/>
    <n v="2"/>
    <n v="1"/>
    <n v="2"/>
    <n v="1"/>
    <n v="10"/>
  </r>
  <r>
    <n v="0"/>
    <x v="37"/>
    <s v="yes tested"/>
    <s v="base"/>
    <s v="CPAMSCAP"/>
    <n v="1"/>
    <n v="1"/>
    <s v="Base Pams"/>
    <n v="1"/>
    <n v="1"/>
    <n v="2"/>
    <n v="2"/>
    <n v="1"/>
    <n v="2"/>
    <n v="1"/>
    <n v="9"/>
  </r>
  <r>
    <n v="0"/>
    <x v="38"/>
    <s v="yes tested"/>
    <s v="base"/>
    <s v="CPAMSCAP"/>
    <n v="1"/>
    <n v="1"/>
    <s v="Base Pams"/>
    <n v="1"/>
    <n v="1"/>
    <n v="2"/>
    <n v="2"/>
    <n v="1"/>
    <n v="2"/>
    <n v="1"/>
    <n v="8"/>
  </r>
  <r>
    <n v="0"/>
    <x v="39"/>
    <s v="yes tested"/>
    <s v="base"/>
    <s v="CPAMSCAP"/>
    <n v="1"/>
    <n v="1"/>
    <s v="Base Pams"/>
    <n v="1"/>
    <n v="1"/>
    <n v="2"/>
    <n v="2"/>
    <n v="1"/>
    <n v="2"/>
    <n v="1"/>
    <n v="7"/>
  </r>
  <r>
    <n v="0"/>
    <x v="40"/>
    <s v="yes tested"/>
    <s v="base"/>
    <s v="CPAMSCAP"/>
    <n v="1"/>
    <n v="1"/>
    <s v="Base Pams"/>
    <n v="1"/>
    <n v="1"/>
    <n v="2"/>
    <n v="2"/>
    <n v="1"/>
    <n v="2"/>
    <n v="1"/>
    <n v="6"/>
  </r>
  <r>
    <n v="0"/>
    <x v="41"/>
    <s v="yes tested"/>
    <s v="base"/>
    <s v="NOPAMS_EXP"/>
    <n v="0"/>
    <n v="0"/>
    <s v="No Pams"/>
    <n v="1"/>
    <n v="1"/>
    <n v="-1"/>
    <n v="-1"/>
    <n v="-1"/>
    <n v="1"/>
    <n v="-1"/>
    <m/>
  </r>
  <r>
    <n v="0"/>
    <x v="42"/>
    <s v="yes tested"/>
    <s v="base"/>
    <s v="NOPAMS_NF"/>
    <n v="1"/>
    <n v="1"/>
    <s v="No Pams"/>
    <n v="1"/>
    <n v="1"/>
    <n v="-1"/>
    <n v="-1"/>
    <n v="-1"/>
    <n v="1"/>
    <n v="-1"/>
    <m/>
  </r>
  <r>
    <n v="0"/>
    <x v="43"/>
    <s v="yes tested"/>
    <s v="base"/>
    <s v="NOPAMS_NF_LF"/>
    <n v="1"/>
    <n v="1"/>
    <s v="No Pams"/>
    <n v="1"/>
    <n v="1"/>
    <n v="-1"/>
    <n v="-1"/>
    <n v="-1"/>
    <n v="1"/>
    <n v="-1"/>
    <m/>
  </r>
  <r>
    <n v="0"/>
    <x v="44"/>
    <s v="yes tested"/>
    <s v="sim1"/>
    <s v="NOPAMS_NF_LF"/>
    <n v="1"/>
    <n v="1"/>
    <s v="No Pams"/>
    <n v="1"/>
    <n v="1"/>
    <n v="-1"/>
    <n v="-1"/>
    <n v="-1"/>
    <n v="1"/>
    <n v="-1"/>
    <m/>
  </r>
  <r>
    <m/>
    <x v="45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n v="1"/>
    <x v="0"/>
    <s v="yes tested"/>
    <x v="0"/>
    <x v="0"/>
    <n v="1"/>
    <n v="1"/>
    <s v="No Pams"/>
    <n v="1"/>
    <n v="1"/>
    <n v="-1"/>
    <n v="-1"/>
    <n v="-1"/>
    <n v="1"/>
    <n v="-1"/>
    <m/>
  </r>
  <r>
    <n v="0"/>
    <x v="1"/>
    <s v="yes tested"/>
    <x v="0"/>
    <x v="1"/>
    <n v="1"/>
    <n v="1"/>
    <s v="Lim Pams"/>
    <n v="1"/>
    <n v="1"/>
    <n v="2"/>
    <n v="2"/>
    <n v="2"/>
    <n v="1"/>
    <n v="2"/>
    <m/>
  </r>
  <r>
    <n v="0"/>
    <x v="2"/>
    <s v="yes tested"/>
    <x v="0"/>
    <x v="2"/>
    <n v="1"/>
    <n v="1"/>
    <s v="Base Pams"/>
    <n v="1"/>
    <n v="1"/>
    <n v="2"/>
    <n v="2"/>
    <n v="1"/>
    <n v="2"/>
    <n v="1"/>
    <m/>
  </r>
  <r>
    <n v="0"/>
    <x v="3"/>
    <s v="yes tested"/>
    <x v="0"/>
    <x v="3"/>
    <n v="1"/>
    <n v="1"/>
    <s v="Base Pams"/>
    <n v="1"/>
    <n v="1"/>
    <n v="2"/>
    <n v="2"/>
    <n v="1"/>
    <n v="2"/>
    <n v="1"/>
    <m/>
  </r>
  <r>
    <n v="0"/>
    <x v="4"/>
    <s v="yes tested"/>
    <x v="0"/>
    <x v="4"/>
    <n v="1"/>
    <n v="1"/>
    <s v="Base Pams"/>
    <n v="1"/>
    <n v="1"/>
    <n v="2"/>
    <n v="2"/>
    <n v="1"/>
    <n v="2"/>
    <n v="1"/>
    <m/>
  </r>
  <r>
    <n v="0"/>
    <x v="5"/>
    <s v="yes tested"/>
    <x v="0"/>
    <x v="5"/>
    <n v="1"/>
    <n v="1"/>
    <s v="Base Pams"/>
    <n v="1"/>
    <n v="1"/>
    <n v="2"/>
    <n v="2"/>
    <n v="1"/>
    <n v="2"/>
    <n v="1"/>
    <m/>
  </r>
  <r>
    <n v="0"/>
    <x v="6"/>
    <s v="yes tested"/>
    <x v="0"/>
    <x v="6"/>
    <n v="1"/>
    <n v="1"/>
    <s v="Ambitious Pams"/>
    <n v="1"/>
    <n v="1"/>
    <n v="1"/>
    <n v="1"/>
    <n v="3"/>
    <n v="3"/>
    <n v="3"/>
    <m/>
  </r>
  <r>
    <n v="0"/>
    <x v="7"/>
    <s v="yes tested"/>
    <x v="0"/>
    <x v="7"/>
    <n v="1"/>
    <n v="0"/>
    <s v="No Pams"/>
    <n v="1"/>
    <n v="1"/>
    <n v="-1"/>
    <n v="-1"/>
    <n v="-1"/>
    <n v="1"/>
    <n v="-1"/>
    <m/>
  </r>
  <r>
    <n v="0"/>
    <x v="8"/>
    <s v="yes tested"/>
    <x v="0"/>
    <x v="8"/>
    <n v="1"/>
    <n v="0"/>
    <s v="Base Pams"/>
    <n v="1"/>
    <n v="1"/>
    <n v="2"/>
    <n v="2"/>
    <n v="1"/>
    <n v="2"/>
    <n v="1"/>
    <m/>
  </r>
  <r>
    <n v="0"/>
    <x v="9"/>
    <s v="yes tested"/>
    <x v="0"/>
    <x v="9"/>
    <n v="1"/>
    <n v="1"/>
    <s v="No Pams"/>
    <n v="1"/>
    <n v="1"/>
    <n v="-1"/>
    <n v="-1"/>
    <n v="-1"/>
    <n v="1"/>
    <n v="-1"/>
    <m/>
  </r>
  <r>
    <n v="0"/>
    <x v="10"/>
    <s v="yes tested"/>
    <x v="0"/>
    <x v="10"/>
    <n v="1"/>
    <n v="1"/>
    <s v="Base Pams"/>
    <n v="1"/>
    <n v="1"/>
    <n v="2"/>
    <n v="2"/>
    <n v="1"/>
    <n v="2"/>
    <n v="1"/>
    <m/>
  </r>
  <r>
    <n v="0"/>
    <x v="11"/>
    <s v="yes tested"/>
    <x v="0"/>
    <x v="11"/>
    <n v="1"/>
    <n v="1"/>
    <s v="Base Pams"/>
    <n v="1"/>
    <n v="1"/>
    <n v="2"/>
    <n v="2"/>
    <n v="1"/>
    <n v="2"/>
    <n v="1"/>
    <m/>
  </r>
  <r>
    <n v="0"/>
    <x v="12"/>
    <s v="yes tested"/>
    <x v="1"/>
    <x v="12"/>
    <n v="1"/>
    <n v="1"/>
    <s v="Base Pams"/>
    <n v="1"/>
    <n v="1"/>
    <n v="2"/>
    <n v="2"/>
    <n v="1"/>
    <n v="2"/>
    <n v="1"/>
    <m/>
  </r>
  <r>
    <n v="0"/>
    <x v="13"/>
    <s v="yes tested"/>
    <x v="1"/>
    <x v="13"/>
    <n v="1"/>
    <n v="1"/>
    <s v="Base Pams"/>
    <n v="1"/>
    <n v="1"/>
    <n v="2"/>
    <n v="2"/>
    <n v="1"/>
    <n v="2"/>
    <n v="1"/>
    <m/>
  </r>
  <r>
    <n v="0"/>
    <x v="14"/>
    <s v="yes tested"/>
    <x v="1"/>
    <x v="14"/>
    <n v="1"/>
    <n v="1"/>
    <s v="Base Pams"/>
    <n v="1"/>
    <n v="1"/>
    <n v="2"/>
    <n v="2"/>
    <n v="1"/>
    <n v="2"/>
    <n v="1"/>
    <m/>
  </r>
  <r>
    <n v="0"/>
    <x v="15"/>
    <s v="yes tested"/>
    <x v="1"/>
    <x v="15"/>
    <n v="1"/>
    <n v="1"/>
    <s v="Lim Pams"/>
    <n v="1"/>
    <n v="1"/>
    <n v="2"/>
    <n v="2"/>
    <n v="2"/>
    <n v="1"/>
    <n v="2"/>
    <m/>
  </r>
  <r>
    <n v="0"/>
    <x v="16"/>
    <s v="yes tested"/>
    <x v="1"/>
    <x v="16"/>
    <n v="1"/>
    <n v="1"/>
    <s v="No Pams"/>
    <n v="1"/>
    <n v="1"/>
    <n v="-1"/>
    <n v="-1"/>
    <n v="-1"/>
    <n v="1"/>
    <n v="-1"/>
    <m/>
  </r>
  <r>
    <n v="0"/>
    <x v="17"/>
    <s v="yes tested"/>
    <x v="1"/>
    <x v="0"/>
    <n v="1"/>
    <n v="1"/>
    <s v="No Pams"/>
    <n v="1"/>
    <n v="1"/>
    <n v="-1"/>
    <n v="-1"/>
    <n v="-1"/>
    <n v="1"/>
    <n v="-1"/>
    <m/>
  </r>
  <r>
    <n v="0"/>
    <x v="18"/>
    <s v="yes tested"/>
    <x v="1"/>
    <x v="9"/>
    <n v="1"/>
    <n v="1"/>
    <s v="No Pams"/>
    <n v="1"/>
    <n v="1"/>
    <n v="-1"/>
    <n v="-1"/>
    <n v="-1"/>
    <n v="1"/>
    <n v="-1"/>
    <m/>
  </r>
  <r>
    <n v="0"/>
    <x v="19"/>
    <s v="yes tested"/>
    <x v="1"/>
    <x v="10"/>
    <n v="1"/>
    <n v="1"/>
    <s v="Base Pams"/>
    <n v="1"/>
    <n v="1"/>
    <n v="2"/>
    <n v="2"/>
    <n v="1"/>
    <n v="2"/>
    <n v="1"/>
    <m/>
  </r>
  <r>
    <n v="0"/>
    <x v="20"/>
    <s v="yes tested"/>
    <x v="0"/>
    <x v="17"/>
    <n v="1"/>
    <n v="1"/>
    <s v="No Pams"/>
    <n v="1"/>
    <n v="1"/>
    <n v="-1"/>
    <n v="-1"/>
    <n v="-1"/>
    <n v="1"/>
    <n v="-1"/>
    <m/>
  </r>
  <r>
    <n v="0"/>
    <x v="21"/>
    <s v="yes tested"/>
    <x v="0"/>
    <x v="18"/>
    <n v="1"/>
    <n v="1"/>
    <s v="No Pams"/>
    <n v="1"/>
    <n v="1"/>
    <n v="-1"/>
    <n v="-1"/>
    <n v="-1"/>
    <n v="1"/>
    <n v="-1"/>
    <m/>
  </r>
  <r>
    <n v="0"/>
    <x v="22"/>
    <s v="yes tested"/>
    <x v="0"/>
    <x v="19"/>
    <n v="1"/>
    <n v="1"/>
    <s v="No Pams"/>
    <n v="1"/>
    <n v="1"/>
    <n v="-1"/>
    <n v="-1"/>
    <n v="-1"/>
    <n v="1"/>
    <n v="-1"/>
    <n v="10"/>
  </r>
  <r>
    <n v="0"/>
    <x v="23"/>
    <s v="yes tested"/>
    <x v="0"/>
    <x v="19"/>
    <n v="1"/>
    <n v="1"/>
    <s v="No Pams"/>
    <n v="1"/>
    <n v="1"/>
    <n v="-1"/>
    <n v="-1"/>
    <n v="-1"/>
    <n v="1"/>
    <n v="-1"/>
    <n v="9"/>
  </r>
  <r>
    <n v="0"/>
    <x v="24"/>
    <s v="yes tested"/>
    <x v="0"/>
    <x v="19"/>
    <n v="1"/>
    <n v="1"/>
    <s v="No Pams"/>
    <n v="1"/>
    <n v="1"/>
    <n v="-1"/>
    <n v="-1"/>
    <n v="-1"/>
    <n v="1"/>
    <n v="-1"/>
    <n v="8"/>
  </r>
  <r>
    <n v="0"/>
    <x v="25"/>
    <s v="yes tested"/>
    <x v="0"/>
    <x v="19"/>
    <n v="1"/>
    <n v="1"/>
    <s v="No Pams"/>
    <n v="1"/>
    <n v="1"/>
    <n v="-1"/>
    <n v="-1"/>
    <n v="-1"/>
    <n v="1"/>
    <n v="-1"/>
    <n v="7"/>
  </r>
  <r>
    <n v="1"/>
    <x v="26"/>
    <s v="yes tested"/>
    <x v="0"/>
    <x v="19"/>
    <n v="1"/>
    <n v="1"/>
    <s v="No Pams"/>
    <n v="1"/>
    <n v="1"/>
    <n v="-1"/>
    <n v="-1"/>
    <n v="-1"/>
    <n v="1"/>
    <n v="-1"/>
    <n v="6"/>
  </r>
  <r>
    <n v="0"/>
    <x v="27"/>
    <s v="yes tested"/>
    <x v="0"/>
    <x v="20"/>
    <n v="1"/>
    <n v="1"/>
    <s v="No Pams"/>
    <n v="1"/>
    <n v="1"/>
    <n v="-1"/>
    <n v="-1"/>
    <n v="-1"/>
    <n v="1"/>
    <n v="-1"/>
    <m/>
  </r>
  <r>
    <n v="0"/>
    <x v="28"/>
    <s v="yes tested"/>
    <x v="1"/>
    <x v="20"/>
    <n v="1"/>
    <n v="1"/>
    <s v="No Pams"/>
    <n v="1"/>
    <n v="1"/>
    <n v="-1"/>
    <n v="-1"/>
    <n v="-1"/>
    <n v="1"/>
    <n v="-1"/>
    <m/>
  </r>
  <r>
    <n v="0"/>
    <x v="29"/>
    <s v="yes tested"/>
    <x v="0"/>
    <x v="21"/>
    <n v="1"/>
    <n v="1"/>
    <s v="No Pams"/>
    <n v="1"/>
    <n v="1"/>
    <n v="-1"/>
    <n v="-1"/>
    <n v="-1"/>
    <n v="1"/>
    <n v="-1"/>
    <m/>
  </r>
  <r>
    <n v="0"/>
    <x v="30"/>
    <s v="yes tested"/>
    <x v="1"/>
    <x v="21"/>
    <n v="1"/>
    <n v="1"/>
    <s v="No Pams"/>
    <n v="1"/>
    <n v="1"/>
    <n v="-1"/>
    <n v="-1"/>
    <n v="-1"/>
    <n v="1"/>
    <n v="-1"/>
    <m/>
  </r>
  <r>
    <n v="0"/>
    <x v="31"/>
    <s v="yes tested"/>
    <x v="0"/>
    <x v="22"/>
    <n v="1"/>
    <n v="1"/>
    <s v="Base Pams"/>
    <n v="1"/>
    <n v="1"/>
    <n v="2"/>
    <n v="2"/>
    <n v="1"/>
    <n v="2"/>
    <n v="1"/>
    <m/>
  </r>
  <r>
    <n v="0"/>
    <x v="32"/>
    <s v="yes tested"/>
    <x v="0"/>
    <x v="23"/>
    <n v="1"/>
    <n v="1"/>
    <s v="Base Pams"/>
    <n v="1"/>
    <n v="1"/>
    <n v="2"/>
    <n v="2"/>
    <n v="1"/>
    <n v="2"/>
    <n v="1"/>
    <m/>
  </r>
  <r>
    <n v="0"/>
    <x v="33"/>
    <s v="yes tested"/>
    <x v="1"/>
    <x v="22"/>
    <n v="1"/>
    <n v="1"/>
    <s v="Base Pams"/>
    <n v="1"/>
    <n v="1"/>
    <n v="2"/>
    <n v="2"/>
    <n v="1"/>
    <n v="2"/>
    <n v="1"/>
    <m/>
  </r>
  <r>
    <n v="0"/>
    <x v="34"/>
    <s v="yes tested"/>
    <x v="1"/>
    <x v="23"/>
    <n v="1"/>
    <n v="1"/>
    <s v="Base Pams"/>
    <n v="1"/>
    <n v="1"/>
    <n v="2"/>
    <n v="2"/>
    <n v="1"/>
    <n v="2"/>
    <n v="1"/>
    <m/>
  </r>
  <r>
    <n v="0"/>
    <x v="35"/>
    <s v="yes tested"/>
    <x v="1"/>
    <x v="11"/>
    <n v="1"/>
    <n v="1"/>
    <s v="Base Pams"/>
    <n v="1"/>
    <n v="1"/>
    <n v="2"/>
    <n v="2"/>
    <n v="1"/>
    <n v="2"/>
    <n v="1"/>
    <m/>
  </r>
  <r>
    <n v="0"/>
    <x v="36"/>
    <s v="yes tested"/>
    <x v="0"/>
    <x v="24"/>
    <n v="1"/>
    <n v="1"/>
    <s v="Base Pams"/>
    <n v="1"/>
    <n v="1"/>
    <n v="2"/>
    <n v="2"/>
    <n v="1"/>
    <n v="2"/>
    <n v="1"/>
    <n v="10"/>
  </r>
  <r>
    <n v="0"/>
    <x v="37"/>
    <s v="yes tested"/>
    <x v="0"/>
    <x v="24"/>
    <n v="1"/>
    <n v="1"/>
    <s v="Base Pams"/>
    <n v="1"/>
    <n v="1"/>
    <n v="2"/>
    <n v="2"/>
    <n v="1"/>
    <n v="2"/>
    <n v="1"/>
    <n v="9"/>
  </r>
  <r>
    <n v="0"/>
    <x v="38"/>
    <s v="yes tested"/>
    <x v="0"/>
    <x v="24"/>
    <n v="1"/>
    <n v="1"/>
    <s v="Base Pams"/>
    <n v="1"/>
    <n v="1"/>
    <n v="2"/>
    <n v="2"/>
    <n v="1"/>
    <n v="2"/>
    <n v="1"/>
    <n v="8"/>
  </r>
  <r>
    <n v="0"/>
    <x v="39"/>
    <s v="yes tested"/>
    <x v="0"/>
    <x v="24"/>
    <n v="1"/>
    <n v="1"/>
    <s v="Base Pams"/>
    <n v="1"/>
    <n v="1"/>
    <n v="2"/>
    <n v="2"/>
    <n v="1"/>
    <n v="2"/>
    <n v="1"/>
    <n v="7"/>
  </r>
  <r>
    <n v="0"/>
    <x v="40"/>
    <s v="yes tested"/>
    <x v="0"/>
    <x v="24"/>
    <n v="1"/>
    <n v="1"/>
    <s v="Base Pams"/>
    <n v="1"/>
    <n v="1"/>
    <n v="2"/>
    <n v="2"/>
    <n v="1"/>
    <n v="2"/>
    <n v="1"/>
    <n v="6"/>
  </r>
  <r>
    <n v="0"/>
    <x v="41"/>
    <s v="yes tested"/>
    <x v="0"/>
    <x v="25"/>
    <n v="0"/>
    <n v="0"/>
    <s v="No Pams"/>
    <n v="1"/>
    <n v="1"/>
    <n v="-1"/>
    <n v="-1"/>
    <n v="-1"/>
    <n v="1"/>
    <n v="-1"/>
    <m/>
  </r>
  <r>
    <n v="0"/>
    <x v="42"/>
    <s v="yes tested"/>
    <x v="0"/>
    <x v="26"/>
    <n v="1"/>
    <n v="1"/>
    <s v="No Pams"/>
    <n v="1"/>
    <n v="1"/>
    <n v="-1"/>
    <n v="-1"/>
    <n v="-1"/>
    <n v="1"/>
    <n v="-1"/>
    <m/>
  </r>
  <r>
    <n v="0"/>
    <x v="43"/>
    <s v="yes tested"/>
    <x v="0"/>
    <x v="27"/>
    <n v="1"/>
    <n v="1"/>
    <s v="No Pams"/>
    <n v="1"/>
    <n v="1"/>
    <n v="-1"/>
    <n v="-1"/>
    <n v="-1"/>
    <n v="1"/>
    <n v="-1"/>
    <m/>
  </r>
  <r>
    <n v="0"/>
    <x v="44"/>
    <s v="yes tested"/>
    <x v="1"/>
    <x v="27"/>
    <n v="1"/>
    <n v="1"/>
    <s v="No Pams"/>
    <n v="1"/>
    <n v="1"/>
    <n v="-1"/>
    <n v="-1"/>
    <n v="-1"/>
    <n v="1"/>
    <n v="-1"/>
    <m/>
  </r>
  <r>
    <m/>
    <x v="45"/>
    <m/>
    <x v="2"/>
    <x v="28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1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S6:X52" firstHeaderRow="0" firstDataRow="1" firstDataCol="1"/>
  <pivotFields count="16">
    <pivotField showAll="0"/>
    <pivotField axis="axisRow" showAll="0">
      <items count="79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6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1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52" firstHeaderRow="1" firstDataRow="1" firstDataCol="1"/>
  <pivotFields count="16">
    <pivotField showAll="0"/>
    <pivotField axis="axisRow" showAll="0">
      <items count="79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6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1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O6:P5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8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7">
        <item m="1" x="41"/>
        <item x="5"/>
        <item m="1" x="33"/>
        <item x="28"/>
        <item m="1" x="35"/>
        <item m="1" x="31"/>
        <item x="6"/>
        <item x="0"/>
        <item m="1" x="34"/>
        <item x="12"/>
        <item x="16"/>
        <item m="1" x="32"/>
        <item m="1" x="30"/>
        <item m="1" x="37"/>
        <item m="1" x="29"/>
        <item m="1" x="46"/>
        <item x="2"/>
        <item x="3"/>
        <item x="4"/>
        <item x="13"/>
        <item x="1"/>
        <item m="1" x="43"/>
        <item m="1" x="38"/>
        <item x="15"/>
        <item x="14"/>
        <item x="7"/>
        <item x="8"/>
        <item x="9"/>
        <item x="11"/>
        <item x="10"/>
        <item x="17"/>
        <item x="18"/>
        <item m="1" x="36"/>
        <item x="19"/>
        <item x="20"/>
        <item x="21"/>
        <item x="22"/>
        <item m="1" x="40"/>
        <item x="23"/>
        <item m="1" x="45"/>
        <item x="24"/>
        <item x="25"/>
        <item m="1" x="39"/>
        <item m="1" x="42"/>
        <item m="1" x="44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6">
    <i>
      <x v="1"/>
      <x v="1"/>
    </i>
    <i>
      <x v="5"/>
      <x v="3"/>
    </i>
    <i>
      <x v="6"/>
      <x v="7"/>
    </i>
    <i>
      <x v="10"/>
      <x v="9"/>
    </i>
    <i>
      <x v="11"/>
      <x v="20"/>
    </i>
    <i>
      <x v="12"/>
      <x v="6"/>
    </i>
    <i>
      <x v="16"/>
      <x v="10"/>
    </i>
    <i>
      <x v="19"/>
      <x v="16"/>
    </i>
    <i>
      <x v="20"/>
      <x v="17"/>
    </i>
    <i>
      <x v="22"/>
      <x v="18"/>
    </i>
    <i>
      <x v="23"/>
      <x v="19"/>
    </i>
    <i>
      <x v="24"/>
      <x v="23"/>
    </i>
    <i>
      <x v="25"/>
      <x v="24"/>
    </i>
    <i>
      <x v="26"/>
      <x v="25"/>
    </i>
    <i>
      <x v="27"/>
      <x v="26"/>
    </i>
    <i>
      <x v="39"/>
      <x v="27"/>
    </i>
    <i>
      <x v="40"/>
      <x v="29"/>
    </i>
    <i>
      <x v="41"/>
      <x v="28"/>
    </i>
    <i>
      <x v="42"/>
      <x v="7"/>
    </i>
    <i>
      <x v="43"/>
      <x v="27"/>
    </i>
    <i>
      <x v="44"/>
      <x v="29"/>
    </i>
    <i>
      <x v="46"/>
      <x v="30"/>
    </i>
    <i>
      <x v="47"/>
      <x v="31"/>
    </i>
    <i>
      <x v="48"/>
      <x v="33"/>
    </i>
    <i>
      <x v="49"/>
      <x v="34"/>
    </i>
    <i>
      <x v="50"/>
      <x v="34"/>
    </i>
    <i>
      <x v="51"/>
      <x v="35"/>
    </i>
    <i>
      <x v="52"/>
      <x v="36"/>
    </i>
    <i>
      <x v="53"/>
      <x v="38"/>
    </i>
    <i>
      <x v="54"/>
      <x v="36"/>
    </i>
    <i>
      <x v="55"/>
      <x v="38"/>
    </i>
    <i>
      <x v="56"/>
      <x v="28"/>
    </i>
    <i>
      <x v="58"/>
      <x v="35"/>
    </i>
    <i>
      <x v="60"/>
      <x v="33"/>
    </i>
    <i>
      <x v="61"/>
      <x v="33"/>
    </i>
    <i>
      <x v="62"/>
      <x v="33"/>
    </i>
    <i>
      <x v="63"/>
      <x v="33"/>
    </i>
    <i>
      <x v="64"/>
      <x v="40"/>
    </i>
    <i>
      <x v="65"/>
      <x v="40"/>
    </i>
    <i>
      <x v="66"/>
      <x v="40"/>
    </i>
    <i>
      <x v="67"/>
      <x v="40"/>
    </i>
    <i>
      <x v="68"/>
      <x v="40"/>
    </i>
    <i>
      <x v="74"/>
      <x v="41"/>
    </i>
    <i>
      <x v="75"/>
      <x v="45"/>
    </i>
    <i>
      <x v="76"/>
      <x v="46"/>
    </i>
    <i>
      <x v="77"/>
      <x v="4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08" applyNumberFormats="0" applyBorderFormats="0" applyFontFormats="0" applyPatternFormats="0" applyAlignmentFormats="0" applyWidthHeightFormats="1" dataCaption="Values" missingCaption="&quot;&quot;" updatedVersion="6" minRefreshableVersion="3" useAutoFormatting="1" rowGrandTotals="0" colGrandTotals="0" itemPrintTitles="1" createdVersion="6" indent="0" outline="1" outlineData="1" multipleFieldFilters="0">
  <location ref="A6:A52" firstHeaderRow="1" firstDataRow="1" firstDataCol="1"/>
  <pivotFields count="16">
    <pivotField showAll="0"/>
    <pivotField axis="axisRow" showAll="0">
      <items count="82">
        <item m="1" x="67"/>
        <item m="1" x="51"/>
        <item x="0"/>
        <item x="5"/>
        <item m="1" x="46"/>
        <item m="1" x="53"/>
        <item x="3"/>
        <item x="2"/>
        <item m="1" x="62"/>
        <item x="4"/>
        <item m="1" x="68"/>
        <item x="6"/>
        <item m="1" x="63"/>
        <item x="1"/>
        <item m="1" x="55"/>
        <item m="1" x="56"/>
        <item m="1" x="71"/>
        <item m="1" x="58"/>
        <item m="1" x="59"/>
        <item m="1" x="69"/>
        <item m="1" x="47"/>
        <item m="1" x="49"/>
        <item m="1" x="79"/>
        <item x="9"/>
        <item x="10"/>
        <item x="11"/>
        <item x="20"/>
        <item x="21"/>
        <item x="22"/>
        <item x="32"/>
        <item x="31"/>
        <item x="27"/>
        <item x="45"/>
        <item x="7"/>
        <item x="8"/>
        <item m="1" x="74"/>
        <item m="1" x="77"/>
        <item m="1" x="66"/>
        <item m="1" x="57"/>
        <item m="1" x="75"/>
        <item m="1" x="73"/>
        <item m="1" x="50"/>
        <item m="1" x="70"/>
        <item x="13"/>
        <item x="14"/>
        <item x="16"/>
        <item x="15"/>
        <item x="12"/>
        <item m="1" x="80"/>
        <item m="1" x="61"/>
        <item m="1" x="76"/>
        <item x="17"/>
        <item x="19"/>
        <item m="1" x="65"/>
        <item x="28"/>
        <item x="30"/>
        <item x="33"/>
        <item x="34"/>
        <item x="35"/>
        <item m="1" x="52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4"/>
        <item m="1" x="78"/>
        <item m="1" x="72"/>
        <item m="1" x="64"/>
        <item m="1" x="60"/>
        <item x="41"/>
        <item x="42"/>
        <item x="43"/>
        <item x="18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6">
    <i>
      <x v="2"/>
    </i>
    <i>
      <x v="3"/>
    </i>
    <i>
      <x v="6"/>
    </i>
    <i>
      <x v="7"/>
    </i>
    <i>
      <x v="9"/>
    </i>
    <i>
      <x v="11"/>
    </i>
    <i>
      <x v="13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43"/>
    </i>
    <i>
      <x v="44"/>
    </i>
    <i>
      <x v="45"/>
    </i>
    <i>
      <x v="46"/>
    </i>
    <i>
      <x v="47"/>
    </i>
    <i>
      <x v="51"/>
    </i>
    <i>
      <x v="52"/>
    </i>
    <i>
      <x v="54"/>
    </i>
    <i>
      <x v="55"/>
    </i>
    <i>
      <x v="56"/>
    </i>
    <i>
      <x v="57"/>
    </i>
    <i>
      <x v="58"/>
    </i>
    <i>
      <x v="60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6"/>
    </i>
    <i>
      <x v="77"/>
    </i>
    <i>
      <x v="78"/>
    </i>
    <i>
      <x v="79"/>
    </i>
    <i>
      <x v="8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1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K6:L52" firstHeaderRow="1" firstDataRow="1" firstDataCol="1"/>
  <pivotFields count="16">
    <pivotField showAll="0"/>
    <pivotField axis="axisRow" showAll="0">
      <items count="79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6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1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M6:N52" firstHeaderRow="1" firstDataRow="1" firstDataCol="1"/>
  <pivotFields count="16">
    <pivotField showAll="0"/>
    <pivotField axis="axisRow" showAll="0">
      <items count="79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6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1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A6:AB52" firstHeaderRow="1" firstDataRow="1" firstDataCol="1"/>
  <pivotFields count="16">
    <pivotField showAll="0"/>
    <pivotField axis="axisRow" showAll="0">
      <items count="79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6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1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1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6:R5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8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6">
    <i>
      <x v="1"/>
      <x/>
    </i>
    <i>
      <x v="5"/>
      <x v="2"/>
    </i>
    <i>
      <x v="6"/>
      <x/>
    </i>
    <i>
      <x v="10"/>
      <x v="3"/>
    </i>
    <i>
      <x v="11"/>
      <x/>
    </i>
    <i>
      <x v="12"/>
      <x/>
    </i>
    <i>
      <x v="16"/>
      <x v="3"/>
    </i>
    <i>
      <x v="19"/>
      <x/>
    </i>
    <i>
      <x v="20"/>
      <x/>
    </i>
    <i>
      <x v="22"/>
      <x/>
    </i>
    <i>
      <x v="23"/>
      <x v="3"/>
    </i>
    <i>
      <x v="24"/>
      <x v="3"/>
    </i>
    <i>
      <x v="25"/>
      <x v="3"/>
    </i>
    <i>
      <x v="26"/>
      <x/>
    </i>
    <i>
      <x v="27"/>
      <x/>
    </i>
    <i>
      <x v="39"/>
      <x/>
    </i>
    <i>
      <x v="40"/>
      <x/>
    </i>
    <i>
      <x v="41"/>
      <x/>
    </i>
    <i>
      <x v="42"/>
      <x v="3"/>
    </i>
    <i>
      <x v="43"/>
      <x v="3"/>
    </i>
    <i>
      <x v="44"/>
      <x v="3"/>
    </i>
    <i>
      <x v="46"/>
      <x/>
    </i>
    <i>
      <x v="47"/>
      <x/>
    </i>
    <i>
      <x v="48"/>
      <x/>
    </i>
    <i>
      <x v="49"/>
      <x/>
    </i>
    <i>
      <x v="50"/>
      <x v="3"/>
    </i>
    <i>
      <x v="51"/>
      <x v="3"/>
    </i>
    <i>
      <x v="52"/>
      <x/>
    </i>
    <i>
      <x v="53"/>
      <x/>
    </i>
    <i>
      <x v="54"/>
      <x v="3"/>
    </i>
    <i>
      <x v="55"/>
      <x v="3"/>
    </i>
    <i>
      <x v="56"/>
      <x v="3"/>
    </i>
    <i>
      <x v="58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74"/>
      <x/>
    </i>
    <i>
      <x v="75"/>
      <x/>
    </i>
    <i>
      <x v="76"/>
      <x/>
    </i>
    <i>
      <x v="77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1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35" firstHeaderRow="1" firstDataRow="1" firstDataCol="1"/>
  <pivotFields count="16">
    <pivotField showAll="0"/>
    <pivotField showAll="0"/>
    <pivotField showAll="0"/>
    <pivotField showAll="0"/>
    <pivotField axis="axisRow" showAll="0">
      <items count="48">
        <item m="1" x="41"/>
        <item x="5"/>
        <item m="1" x="33"/>
        <item x="28"/>
        <item m="1" x="35"/>
        <item m="1" x="31"/>
        <item x="6"/>
        <item x="0"/>
        <item m="1" x="34"/>
        <item x="12"/>
        <item x="16"/>
        <item m="1" x="32"/>
        <item m="1" x="30"/>
        <item m="1" x="37"/>
        <item m="1" x="29"/>
        <item m="1" x="46"/>
        <item x="2"/>
        <item x="3"/>
        <item x="4"/>
        <item x="13"/>
        <item x="1"/>
        <item m="1" x="43"/>
        <item m="1" x="38"/>
        <item x="15"/>
        <item x="14"/>
        <item x="7"/>
        <item x="8"/>
        <item x="9"/>
        <item x="11"/>
        <item x="10"/>
        <item x="17"/>
        <item x="18"/>
        <item m="1" x="36"/>
        <item x="19"/>
        <item x="20"/>
        <item x="21"/>
        <item x="22"/>
        <item m="1" x="40"/>
        <item x="23"/>
        <item m="1" x="45"/>
        <item x="24"/>
        <item x="25"/>
        <item m="1" x="39"/>
        <item m="1" x="42"/>
        <item m="1" x="44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9">
    <i>
      <x v="1"/>
    </i>
    <i>
      <x v="3"/>
    </i>
    <i>
      <x v="6"/>
    </i>
    <i>
      <x v="7"/>
    </i>
    <i>
      <x v="9"/>
    </i>
    <i>
      <x v="10"/>
    </i>
    <i>
      <x v="16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8"/>
    </i>
    <i>
      <x v="40"/>
    </i>
    <i>
      <x v="41"/>
    </i>
    <i>
      <x v="45"/>
    </i>
    <i>
      <x v="4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1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52" firstHeaderRow="1" firstDataRow="1" firstDataCol="1"/>
  <pivotFields count="16">
    <pivotField showAll="0"/>
    <pivotField axis="axisRow" showAll="0">
      <items count="79">
        <item m="1" x="57"/>
        <item x="5"/>
        <item m="1" x="46"/>
        <item m="1" x="60"/>
        <item m="1" x="52"/>
        <item x="45"/>
        <item x="0"/>
        <item m="1" x="68"/>
        <item m="1" x="56"/>
        <item m="1" x="76"/>
        <item x="12"/>
        <item x="1"/>
        <item x="6"/>
        <item m="1" x="49"/>
        <item m="1" x="66"/>
        <item m="1" x="47"/>
        <item x="16"/>
        <item m="1" x="61"/>
        <item m="1" x="54"/>
        <item x="2"/>
        <item x="3"/>
        <item m="1" x="65"/>
        <item x="4"/>
        <item x="13"/>
        <item x="15"/>
        <item x="14"/>
        <item x="7"/>
        <item x="8"/>
        <item m="1" x="71"/>
        <item m="1" x="74"/>
        <item m="1" x="64"/>
        <item m="1" x="55"/>
        <item m="1" x="72"/>
        <item m="1" x="77"/>
        <item m="1" x="70"/>
        <item m="1" x="59"/>
        <item m="1" x="73"/>
        <item m="1" x="50"/>
        <item m="1" x="67"/>
        <item x="9"/>
        <item x="10"/>
        <item x="11"/>
        <item x="17"/>
        <item x="18"/>
        <item x="19"/>
        <item m="1" x="63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1"/>
        <item x="29"/>
        <item m="1" x="48"/>
        <item x="23"/>
        <item x="24"/>
        <item x="25"/>
        <item x="26"/>
        <item x="36"/>
        <item x="37"/>
        <item x="38"/>
        <item x="39"/>
        <item x="40"/>
        <item m="1" x="53"/>
        <item m="1" x="75"/>
        <item m="1" x="69"/>
        <item m="1" x="62"/>
        <item m="1" x="58"/>
        <item x="41"/>
        <item x="42"/>
        <item x="43"/>
        <item x="4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6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13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52" firstHeaderRow="1" firstDataRow="1" firstDataCol="1"/>
  <pivotFields count="16">
    <pivotField dataField="1" showAll="0"/>
    <pivotField axis="axisRow" showAll="0" sortType="ascending">
      <items count="79">
        <item x="5"/>
        <item x="8"/>
        <item x="40"/>
        <item x="39"/>
        <item x="38"/>
        <item x="37"/>
        <item x="36"/>
        <item m="1" x="46"/>
        <item m="1" x="52"/>
        <item x="10"/>
        <item m="1" x="50"/>
        <item x="19"/>
        <item m="1" x="73"/>
        <item x="3"/>
        <item x="32"/>
        <item x="34"/>
        <item x="2"/>
        <item x="31"/>
        <item x="33"/>
        <item x="4"/>
        <item x="11"/>
        <item m="1" x="67"/>
        <item x="35"/>
        <item m="1" x="60"/>
        <item x="12"/>
        <item x="14"/>
        <item x="13"/>
        <item m="1" x="49"/>
        <item x="6"/>
        <item m="1" x="61"/>
        <item x="1"/>
        <item m="1" x="54"/>
        <item m="1" x="65"/>
        <item x="15"/>
        <item x="0"/>
        <item x="42"/>
        <item x="43"/>
        <item x="44"/>
        <item m="1" x="71"/>
        <item m="1" x="74"/>
        <item m="1" x="64"/>
        <item x="7"/>
        <item m="1" x="58"/>
        <item m="1" x="62"/>
        <item m="1" x="75"/>
        <item m="1" x="69"/>
        <item x="26"/>
        <item x="25"/>
        <item x="24"/>
        <item x="23"/>
        <item x="22"/>
        <item m="1" x="48"/>
        <item m="1" x="68"/>
        <item m="1" x="56"/>
        <item m="1" x="76"/>
        <item x="21"/>
        <item x="9"/>
        <item m="1" x="70"/>
        <item x="18"/>
        <item m="1" x="59"/>
        <item x="20"/>
        <item m="1" x="55"/>
        <item x="27"/>
        <item x="28"/>
        <item m="1" x="72"/>
        <item x="29"/>
        <item x="30"/>
        <item m="1" x="53"/>
        <item x="41"/>
        <item x="17"/>
        <item x="16"/>
        <item m="1" x="77"/>
        <item m="1" x="57"/>
        <item m="1" x="63"/>
        <item m="1" x="51"/>
        <item m="1" x="66"/>
        <item m="1" x="47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9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4"/>
    </i>
    <i>
      <x v="25"/>
    </i>
    <i>
      <x v="26"/>
    </i>
    <i>
      <x v="28"/>
    </i>
    <i>
      <x v="30"/>
    </i>
    <i>
      <x v="33"/>
    </i>
    <i>
      <x v="34"/>
    </i>
    <i>
      <x v="35"/>
    </i>
    <i>
      <x v="36"/>
    </i>
    <i>
      <x v="37"/>
    </i>
    <i>
      <x v="41"/>
    </i>
    <i>
      <x v="46"/>
    </i>
    <i>
      <x v="47"/>
    </i>
    <i>
      <x v="48"/>
    </i>
    <i>
      <x v="49"/>
    </i>
    <i>
      <x v="50"/>
    </i>
    <i>
      <x v="55"/>
    </i>
    <i>
      <x v="56"/>
    </i>
    <i>
      <x v="58"/>
    </i>
    <i>
      <x v="60"/>
    </i>
    <i>
      <x v="62"/>
    </i>
    <i>
      <x v="63"/>
    </i>
    <i>
      <x v="65"/>
    </i>
    <i>
      <x v="66"/>
    </i>
    <i>
      <x v="68"/>
    </i>
    <i>
      <x v="69"/>
    </i>
    <i>
      <x v="70"/>
    </i>
    <i>
      <x v="77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49" dT="2020-08-07T12:32:29.60" personId="{8A307EF1-062C-4DD1-801F-D45833AE4B68}" id="{3A629425-736C-49FF-8B83-3FBBBC12C4CE}">
    <text>Note that there is still a problem running with other cases here - still looking into it.</text>
  </threadedComment>
  <threadedComment ref="D50" dT="2020-08-07T12:32:29.60" personId="{8A307EF1-062C-4DD1-801F-D45833AE4B68}" id="{84E0A8F0-3273-4E5E-94F7-5F44BC81D21D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8" t="s">
        <v>3</v>
      </c>
      <c r="B9" s="8" t="s">
        <v>57</v>
      </c>
      <c r="C9" s="8" t="str">
        <f>"Sets!"&amp;ADDRESS(ROW(Sets!C7),COLUMN(Sets!C7),4)</f>
        <v>Sets!C7</v>
      </c>
      <c r="D9" s="8">
        <v>1</v>
      </c>
      <c r="E9" s="8"/>
    </row>
    <row r="10" spans="1:11" s="8" customFormat="1">
      <c r="A10" s="8" t="s">
        <v>4</v>
      </c>
      <c r="B10" s="8" t="s">
        <v>64</v>
      </c>
      <c r="C10" s="8" t="str">
        <f>"Sets!"&amp;ADDRESS(ROW(Sets!D7),COLUMN(Sets!D7),4)</f>
        <v>Sets!D7</v>
      </c>
      <c r="D10" s="8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8" customFormat="1">
      <c r="A12" s="8" t="s">
        <v>2</v>
      </c>
      <c r="B12" s="8" t="s">
        <v>59</v>
      </c>
      <c r="C12" s="8" t="str">
        <f>"Sets!"&amp;ADDRESS(ROW(Sets!G7),COLUMN(Sets!G7),4)</f>
        <v>Sets!G7</v>
      </c>
      <c r="D12" s="8">
        <v>1</v>
      </c>
    </row>
    <row r="13" spans="1:11" s="8" customFormat="1">
      <c r="A13" s="8" t="s">
        <v>2</v>
      </c>
      <c r="B13" s="8" t="s">
        <v>61</v>
      </c>
      <c r="C13" s="8" t="str">
        <f>"Sets!"&amp;ADDRESS(ROW(Sets!I7),COLUMN(Sets!I7),4)</f>
        <v>Sets!I7</v>
      </c>
      <c r="D13" s="8">
        <v>1</v>
      </c>
    </row>
    <row r="14" spans="1:11" s="8" customFormat="1">
      <c r="A14" s="8" t="s">
        <v>2</v>
      </c>
      <c r="B14" s="8" t="s">
        <v>216</v>
      </c>
      <c r="C14" s="8" t="str">
        <f>"Sets!"&amp;ADDRESS(ROW(Sets!K7),COLUMN(Sets!K7),4)</f>
        <v>Sets!K7</v>
      </c>
      <c r="D14" s="8">
        <v>1</v>
      </c>
    </row>
    <row r="15" spans="1:11" s="8" customFormat="1">
      <c r="A15" s="8" t="s">
        <v>2</v>
      </c>
      <c r="B15" s="8" t="s">
        <v>217</v>
      </c>
      <c r="C15" s="8" t="str">
        <f>"Sets!"&amp;ADDRESS(ROW(Sets!M7),COLUMN(Sets!M7),4)</f>
        <v>Sets!M7</v>
      </c>
      <c r="D15" s="8">
        <v>1</v>
      </c>
    </row>
    <row r="16" spans="1:11" s="8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8" t="s">
        <v>4</v>
      </c>
      <c r="B17" s="8" t="s">
        <v>58</v>
      </c>
      <c r="C17" s="8" t="str">
        <f>"Sets!"&amp;ADDRESS(ROW(Sets!Q7),COLUMN(Sets!Q7),4)</f>
        <v>Sets!Q7</v>
      </c>
      <c r="D17" s="8">
        <v>2</v>
      </c>
      <c r="E17" s="8"/>
      <c r="F17" s="8"/>
    </row>
    <row r="18" spans="1:6">
      <c r="A18" s="8" t="s">
        <v>3</v>
      </c>
      <c r="B18" s="8" t="s">
        <v>54</v>
      </c>
      <c r="C18" s="8" t="str">
        <f>"Sets!"&amp;ADDRESS(ROW(Sets!AD7),COLUMN(Sets!AD7),4)</f>
        <v>Sets!AD7</v>
      </c>
      <c r="D18" s="8">
        <v>1</v>
      </c>
    </row>
    <row r="19" spans="1:6">
      <c r="A19" s="8" t="s">
        <v>3</v>
      </c>
      <c r="B19" s="8" t="s">
        <v>55</v>
      </c>
      <c r="C19" s="8" t="str">
        <f>"Sets!"&amp;ADDRESS(ROW(Sets!AE7),COLUMN(Sets!AE7),4)</f>
        <v>Sets!AE7</v>
      </c>
      <c r="D19" s="8">
        <v>1</v>
      </c>
      <c r="E19" s="8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8" t="s">
        <v>2</v>
      </c>
      <c r="B21" s="8" t="s">
        <v>248</v>
      </c>
      <c r="C21" s="8" t="str">
        <f>"Sets!"&amp;ADDRESS(ROW(Sets!AA7),COLUMN(Sets!AA7),4)</f>
        <v>Sets!AA7</v>
      </c>
      <c r="D21" s="8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52"/>
  <sheetViews>
    <sheetView topLeftCell="A21" workbookViewId="0">
      <selection activeCell="A32" sqref="A32"/>
    </sheetView>
  </sheetViews>
  <sheetFormatPr defaultRowHeight="15"/>
  <cols>
    <col min="1" max="1" width="23.5703125" bestFit="1" customWidth="1"/>
    <col min="2" max="2" width="15.85546875" style="8" bestFit="1" customWidth="1"/>
    <col min="3" max="4" width="13.140625" style="8" customWidth="1"/>
    <col min="5" max="5" width="23.5703125" style="8" bestFit="1" customWidth="1"/>
    <col min="6" max="6" width="23" style="8" bestFit="1" customWidth="1"/>
    <col min="7" max="7" width="23.5703125" style="8" bestFit="1" customWidth="1"/>
    <col min="8" max="8" width="19.85546875" style="8" bestFit="1" customWidth="1"/>
    <col min="9" max="9" width="23.5703125" style="8" bestFit="1" customWidth="1"/>
    <col min="10" max="10" width="18.5703125" style="8" bestFit="1" customWidth="1"/>
    <col min="11" max="11" width="23.5703125" style="8" bestFit="1" customWidth="1"/>
    <col min="12" max="12" width="20.7109375" style="8" bestFit="1" customWidth="1"/>
    <col min="13" max="13" width="23.5703125" style="8" bestFit="1" customWidth="1"/>
    <col min="14" max="14" width="21" style="8" bestFit="1" customWidth="1"/>
    <col min="15" max="15" width="23.140625" style="8" customWidth="1"/>
    <col min="16" max="16" width="20.85546875" style="8" bestFit="1" customWidth="1"/>
    <col min="17" max="17" width="16.7109375" style="8" bestFit="1" customWidth="1"/>
    <col min="18" max="18" width="18" style="8" bestFit="1" customWidth="1"/>
    <col min="19" max="19" width="23.5703125" style="8" bestFit="1" customWidth="1"/>
    <col min="20" max="20" width="4.140625" style="8" bestFit="1" customWidth="1"/>
    <col min="21" max="21" width="5.28515625" style="8" bestFit="1" customWidth="1"/>
    <col min="22" max="22" width="4.42578125" style="8" bestFit="1" customWidth="1"/>
    <col min="23" max="23" width="7.140625" style="8" bestFit="1" customWidth="1"/>
    <col min="24" max="24" width="6.85546875" style="8" bestFit="1" customWidth="1"/>
    <col min="25" max="26" width="6.85546875" style="8" customWidth="1"/>
    <col min="27" max="27" width="23.5703125" style="8" bestFit="1" customWidth="1"/>
    <col min="28" max="28" width="19.140625" style="8" bestFit="1" customWidth="1"/>
    <col min="29" max="29" width="20.140625" style="8" customWidth="1"/>
    <col min="30" max="30" width="10" style="15" bestFit="1" customWidth="1"/>
    <col min="31" max="31" width="11.5703125" style="15" bestFit="1" customWidth="1"/>
    <col min="32" max="33" width="23.140625" style="8" customWidth="1"/>
    <col min="34" max="34" width="16.7109375" customWidth="1"/>
    <col min="35" max="35" width="19" customWidth="1"/>
    <col min="37" max="38" width="9.140625" style="8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206</v>
      </c>
      <c r="K5" s="1" t="s">
        <v>210</v>
      </c>
      <c r="M5" s="1" t="s">
        <v>211</v>
      </c>
      <c r="O5" s="1" t="s">
        <v>66</v>
      </c>
      <c r="Q5" s="1" t="s">
        <v>67</v>
      </c>
      <c r="S5" s="1" t="s">
        <v>163</v>
      </c>
      <c r="AA5" s="1" t="s">
        <v>246</v>
      </c>
      <c r="AD5" s="1" t="s">
        <v>53</v>
      </c>
      <c r="AE5" s="1" t="s">
        <v>56</v>
      </c>
      <c r="AM5" s="1" t="s">
        <v>27</v>
      </c>
    </row>
    <row r="6" spans="1:39">
      <c r="A6" s="13" t="s">
        <v>33</v>
      </c>
      <c r="B6" s="13" t="s">
        <v>33</v>
      </c>
      <c r="D6" s="13" t="s">
        <v>33</v>
      </c>
      <c r="E6" s="13" t="s">
        <v>33</v>
      </c>
      <c r="F6" t="s">
        <v>41</v>
      </c>
      <c r="G6" s="13" t="s">
        <v>33</v>
      </c>
      <c r="H6" t="s">
        <v>44</v>
      </c>
      <c r="I6" s="13" t="s">
        <v>33</v>
      </c>
      <c r="J6" t="s">
        <v>43</v>
      </c>
      <c r="K6" s="13" t="s">
        <v>33</v>
      </c>
      <c r="L6" t="s">
        <v>212</v>
      </c>
      <c r="M6" s="13" t="s">
        <v>33</v>
      </c>
      <c r="N6" t="s">
        <v>213</v>
      </c>
      <c r="O6" s="13" t="s">
        <v>35</v>
      </c>
      <c r="P6" s="13" t="s">
        <v>28</v>
      </c>
      <c r="Q6" s="13" t="s">
        <v>35</v>
      </c>
      <c r="R6" s="13" t="s">
        <v>29</v>
      </c>
      <c r="S6" s="13" t="s">
        <v>33</v>
      </c>
      <c r="T6" s="8" t="s">
        <v>184</v>
      </c>
      <c r="U6" s="8" t="s">
        <v>185</v>
      </c>
      <c r="V6" s="8" t="s">
        <v>186</v>
      </c>
      <c r="W6" s="8" t="s">
        <v>187</v>
      </c>
      <c r="X6" s="8" t="s">
        <v>39</v>
      </c>
      <c r="AA6" s="13" t="s">
        <v>33</v>
      </c>
      <c r="AB6" t="s">
        <v>247</v>
      </c>
      <c r="AC6" s="13"/>
      <c r="AD6" s="17" t="s">
        <v>54</v>
      </c>
      <c r="AE6" s="17" t="s">
        <v>55</v>
      </c>
      <c r="AF6" s="13"/>
      <c r="AH6" s="8"/>
    </row>
    <row r="7" spans="1:39">
      <c r="A7" s="14" t="s">
        <v>196</v>
      </c>
      <c r="B7" s="14" t="s">
        <v>193</v>
      </c>
      <c r="C7" s="13" t="s">
        <v>30</v>
      </c>
      <c r="D7" s="14" t="s">
        <v>30</v>
      </c>
      <c r="E7" s="14" t="s">
        <v>194</v>
      </c>
      <c r="F7" s="3">
        <v>0</v>
      </c>
      <c r="G7" s="14" t="s">
        <v>194</v>
      </c>
      <c r="H7" s="3">
        <v>1</v>
      </c>
      <c r="I7" s="14" t="s">
        <v>194</v>
      </c>
      <c r="J7" s="3">
        <v>1</v>
      </c>
      <c r="K7" s="14" t="s">
        <v>194</v>
      </c>
      <c r="L7" s="3">
        <v>1</v>
      </c>
      <c r="M7" s="14" t="s">
        <v>194</v>
      </c>
      <c r="N7" s="3">
        <v>1</v>
      </c>
      <c r="O7" s="8" t="s">
        <v>194</v>
      </c>
      <c r="P7" s="8" t="s">
        <v>193</v>
      </c>
      <c r="Q7" s="8" t="s">
        <v>194</v>
      </c>
      <c r="R7" s="8" t="s">
        <v>30</v>
      </c>
      <c r="S7" s="14" t="s">
        <v>194</v>
      </c>
      <c r="T7" s="3">
        <v>2</v>
      </c>
      <c r="U7" s="3">
        <v>2</v>
      </c>
      <c r="V7" s="3">
        <v>1</v>
      </c>
      <c r="W7" s="3">
        <v>2</v>
      </c>
      <c r="X7" s="3">
        <v>1</v>
      </c>
      <c r="Y7" s="3"/>
      <c r="Z7" s="3"/>
      <c r="AA7" s="14" t="s">
        <v>194</v>
      </c>
      <c r="AB7" s="3"/>
      <c r="AC7" s="3"/>
      <c r="AD7" s="15">
        <v>2012</v>
      </c>
      <c r="AE7" s="15">
        <f>2051-Scenarios!G6</f>
        <v>2048</v>
      </c>
      <c r="AH7" s="8"/>
      <c r="AI7" s="8"/>
      <c r="AJ7" s="8"/>
      <c r="AM7" t="s">
        <v>14</v>
      </c>
    </row>
    <row r="8" spans="1:39">
      <c r="A8" s="14" t="s">
        <v>194</v>
      </c>
      <c r="B8" s="14" t="s">
        <v>195</v>
      </c>
      <c r="C8" s="14" t="s">
        <v>31</v>
      </c>
      <c r="D8" s="14" t="s">
        <v>195</v>
      </c>
      <c r="E8" s="14" t="s">
        <v>230</v>
      </c>
      <c r="F8" s="3">
        <v>0</v>
      </c>
      <c r="G8" s="14" t="s">
        <v>195</v>
      </c>
      <c r="H8" s="3"/>
      <c r="I8" s="14" t="s">
        <v>195</v>
      </c>
      <c r="J8" s="3"/>
      <c r="K8" s="14" t="s">
        <v>195</v>
      </c>
      <c r="L8" s="3"/>
      <c r="M8" s="14" t="s">
        <v>195</v>
      </c>
      <c r="N8" s="3"/>
      <c r="O8" s="8" t="s">
        <v>195</v>
      </c>
      <c r="P8" s="8" t="s">
        <v>195</v>
      </c>
      <c r="Q8" s="8" t="s">
        <v>195</v>
      </c>
      <c r="R8" s="8" t="s">
        <v>195</v>
      </c>
      <c r="S8" s="14" t="s">
        <v>195</v>
      </c>
      <c r="T8" s="3"/>
      <c r="U8" s="3"/>
      <c r="V8" s="3"/>
      <c r="W8" s="3"/>
      <c r="X8" s="3"/>
      <c r="Y8" s="3"/>
      <c r="Z8" s="3"/>
      <c r="AA8" s="14" t="s">
        <v>195</v>
      </c>
      <c r="AB8" s="3"/>
      <c r="AC8" s="3"/>
      <c r="AD8" s="15">
        <v>2013</v>
      </c>
      <c r="AE8" s="15">
        <f>IF(OR(AE7=2050,AE7=""),"",AE7+1)</f>
        <v>2049</v>
      </c>
      <c r="AH8" s="8"/>
      <c r="AI8" s="8"/>
      <c r="AJ8" s="8"/>
      <c r="AM8" s="8" t="s">
        <v>15</v>
      </c>
    </row>
    <row r="9" spans="1:39">
      <c r="A9" s="14" t="s">
        <v>214</v>
      </c>
      <c r="B9" s="14" t="s">
        <v>199</v>
      </c>
      <c r="C9" s="14" t="s">
        <v>32</v>
      </c>
      <c r="D9" s="14" t="s">
        <v>31</v>
      </c>
      <c r="E9" s="14" t="s">
        <v>270</v>
      </c>
      <c r="F9" s="3">
        <v>0</v>
      </c>
      <c r="G9" s="14" t="s">
        <v>196</v>
      </c>
      <c r="H9" s="3">
        <v>1</v>
      </c>
      <c r="I9" s="14" t="s">
        <v>196</v>
      </c>
      <c r="J9" s="3">
        <v>1</v>
      </c>
      <c r="K9" s="14" t="s">
        <v>196</v>
      </c>
      <c r="L9" s="3">
        <v>1</v>
      </c>
      <c r="M9" s="14" t="s">
        <v>196</v>
      </c>
      <c r="N9" s="3">
        <v>1</v>
      </c>
      <c r="O9" s="8" t="s">
        <v>196</v>
      </c>
      <c r="P9" s="8" t="s">
        <v>200</v>
      </c>
      <c r="Q9" s="8" t="s">
        <v>196</v>
      </c>
      <c r="R9" s="8" t="s">
        <v>30</v>
      </c>
      <c r="S9" s="14" t="s">
        <v>196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4" t="s">
        <v>196</v>
      </c>
      <c r="AB9" s="3"/>
      <c r="AC9" s="3"/>
      <c r="AD9" s="15">
        <v>2014</v>
      </c>
      <c r="AE9" s="15">
        <f t="shared" ref="AE9:AE13" si="0">IF(OR(AE8=2050,AE8=""),"",AE8+1)</f>
        <v>2050</v>
      </c>
      <c r="AH9" s="8"/>
      <c r="AI9" s="8"/>
      <c r="AJ9" s="8"/>
      <c r="AM9" s="8" t="s">
        <v>16</v>
      </c>
    </row>
    <row r="10" spans="1:39">
      <c r="A10" s="14" t="s">
        <v>208</v>
      </c>
      <c r="B10" s="14" t="s">
        <v>200</v>
      </c>
      <c r="C10" s="14" t="s">
        <v>46</v>
      </c>
      <c r="D10"/>
      <c r="E10" s="14" t="s">
        <v>269</v>
      </c>
      <c r="F10" s="3">
        <v>0</v>
      </c>
      <c r="G10" s="14" t="s">
        <v>197</v>
      </c>
      <c r="H10" s="3">
        <v>1</v>
      </c>
      <c r="I10" s="14" t="s">
        <v>197</v>
      </c>
      <c r="J10" s="3">
        <v>1</v>
      </c>
      <c r="K10" s="14" t="s">
        <v>197</v>
      </c>
      <c r="L10" s="3">
        <v>1</v>
      </c>
      <c r="M10" s="14" t="s">
        <v>197</v>
      </c>
      <c r="N10" s="3">
        <v>1</v>
      </c>
      <c r="O10" s="8" t="s">
        <v>197</v>
      </c>
      <c r="P10" s="8" t="s">
        <v>202</v>
      </c>
      <c r="Q10" s="8" t="s">
        <v>197</v>
      </c>
      <c r="R10" s="8" t="s">
        <v>31</v>
      </c>
      <c r="S10" s="14" t="s">
        <v>197</v>
      </c>
      <c r="T10" s="3">
        <v>2</v>
      </c>
      <c r="U10" s="3">
        <v>2</v>
      </c>
      <c r="V10" s="3">
        <v>1</v>
      </c>
      <c r="W10" s="3">
        <v>2</v>
      </c>
      <c r="X10" s="3">
        <v>1</v>
      </c>
      <c r="Y10" s="3"/>
      <c r="Z10" s="3"/>
      <c r="AA10" s="14" t="s">
        <v>197</v>
      </c>
      <c r="AB10" s="3"/>
      <c r="AC10" s="3"/>
      <c r="AD10" s="15">
        <v>2015</v>
      </c>
      <c r="AE10" s="15" t="str">
        <f t="shared" si="0"/>
        <v/>
      </c>
      <c r="AH10" s="8"/>
      <c r="AI10" s="8"/>
      <c r="AJ10" s="8"/>
      <c r="AM10" s="8" t="s">
        <v>17</v>
      </c>
    </row>
    <row r="11" spans="1:39">
      <c r="A11" s="14" t="s">
        <v>222</v>
      </c>
      <c r="B11" s="14" t="s">
        <v>202</v>
      </c>
      <c r="C11" s="14" t="s">
        <v>47</v>
      </c>
      <c r="D11"/>
      <c r="E11" s="14" t="s">
        <v>268</v>
      </c>
      <c r="F11" s="3">
        <v>0</v>
      </c>
      <c r="G11" s="14" t="s">
        <v>220</v>
      </c>
      <c r="H11" s="3">
        <v>1</v>
      </c>
      <c r="I11" s="14" t="s">
        <v>220</v>
      </c>
      <c r="J11" s="3">
        <v>1</v>
      </c>
      <c r="K11" s="14" t="s">
        <v>220</v>
      </c>
      <c r="L11" s="3">
        <v>1</v>
      </c>
      <c r="M11" s="14" t="s">
        <v>220</v>
      </c>
      <c r="N11" s="3">
        <v>1</v>
      </c>
      <c r="O11" s="8" t="s">
        <v>220</v>
      </c>
      <c r="P11" s="8" t="s">
        <v>221</v>
      </c>
      <c r="Q11" s="8" t="s">
        <v>220</v>
      </c>
      <c r="R11" s="8" t="s">
        <v>30</v>
      </c>
      <c r="S11" s="14" t="s">
        <v>220</v>
      </c>
      <c r="T11" s="3">
        <v>2</v>
      </c>
      <c r="U11" s="3">
        <v>2</v>
      </c>
      <c r="V11" s="3">
        <v>2</v>
      </c>
      <c r="W11" s="3">
        <v>1</v>
      </c>
      <c r="X11" s="3">
        <v>2</v>
      </c>
      <c r="Y11" s="3"/>
      <c r="Z11" s="3"/>
      <c r="AA11" s="14" t="s">
        <v>220</v>
      </c>
      <c r="AB11" s="3"/>
      <c r="AD11" s="15">
        <v>2016</v>
      </c>
      <c r="AE11" s="15" t="str">
        <f t="shared" si="0"/>
        <v/>
      </c>
      <c r="AH11" s="8"/>
      <c r="AI11" s="8"/>
      <c r="AJ11" s="8"/>
      <c r="AM11" s="8" t="s">
        <v>18</v>
      </c>
    </row>
    <row r="12" spans="1:39">
      <c r="A12" s="14" t="s">
        <v>198</v>
      </c>
      <c r="B12" s="14" t="s">
        <v>203</v>
      </c>
      <c r="C12" s="14" t="s">
        <v>48</v>
      </c>
      <c r="D12" s="14"/>
      <c r="E12" s="14" t="s">
        <v>267</v>
      </c>
      <c r="F12" s="3">
        <v>0</v>
      </c>
      <c r="G12" s="14" t="s">
        <v>198</v>
      </c>
      <c r="H12" s="3">
        <v>1</v>
      </c>
      <c r="I12" s="14" t="s">
        <v>198</v>
      </c>
      <c r="J12" s="3">
        <v>1</v>
      </c>
      <c r="K12" s="14" t="s">
        <v>198</v>
      </c>
      <c r="L12" s="3">
        <v>1</v>
      </c>
      <c r="M12" s="14" t="s">
        <v>198</v>
      </c>
      <c r="N12" s="3">
        <v>1</v>
      </c>
      <c r="O12" s="8" t="s">
        <v>198</v>
      </c>
      <c r="P12" s="8" t="s">
        <v>199</v>
      </c>
      <c r="Q12" s="8" t="s">
        <v>198</v>
      </c>
      <c r="R12" s="8" t="s">
        <v>30</v>
      </c>
      <c r="S12" s="14" t="s">
        <v>198</v>
      </c>
      <c r="T12" s="3">
        <v>1</v>
      </c>
      <c r="U12" s="3">
        <v>1</v>
      </c>
      <c r="V12" s="3">
        <v>3</v>
      </c>
      <c r="W12" s="3">
        <v>3</v>
      </c>
      <c r="X12" s="3">
        <v>3</v>
      </c>
      <c r="Y12" s="3"/>
      <c r="Z12" s="3"/>
      <c r="AA12" s="14" t="s">
        <v>198</v>
      </c>
      <c r="AB12" s="3"/>
      <c r="AD12" s="15">
        <v>2017</v>
      </c>
      <c r="AE12" s="15" t="str">
        <f t="shared" si="0"/>
        <v/>
      </c>
      <c r="AH12" s="8"/>
      <c r="AI12" s="8"/>
      <c r="AJ12" s="8"/>
      <c r="AM12" s="8" t="s">
        <v>19</v>
      </c>
    </row>
    <row r="13" spans="1:39">
      <c r="A13" s="14" t="s">
        <v>220</v>
      </c>
      <c r="B13" s="14" t="s">
        <v>209</v>
      </c>
      <c r="C13" s="14" t="s">
        <v>49</v>
      </c>
      <c r="D13" s="14"/>
      <c r="E13" s="14" t="s">
        <v>266</v>
      </c>
      <c r="F13" s="3">
        <v>0</v>
      </c>
      <c r="G13" s="14" t="s">
        <v>201</v>
      </c>
      <c r="H13" s="3">
        <v>1</v>
      </c>
      <c r="I13" s="14" t="s">
        <v>201</v>
      </c>
      <c r="J13" s="3">
        <v>1</v>
      </c>
      <c r="K13" s="14" t="s">
        <v>201</v>
      </c>
      <c r="L13" s="3">
        <v>1</v>
      </c>
      <c r="M13" s="14" t="s">
        <v>201</v>
      </c>
      <c r="N13" s="3">
        <v>1</v>
      </c>
      <c r="O13" s="8" t="s">
        <v>201</v>
      </c>
      <c r="P13" s="8" t="s">
        <v>203</v>
      </c>
      <c r="Q13" s="8" t="s">
        <v>201</v>
      </c>
      <c r="R13" s="8" t="s">
        <v>31</v>
      </c>
      <c r="S13" s="14" t="s">
        <v>201</v>
      </c>
      <c r="T13" s="3">
        <v>-1</v>
      </c>
      <c r="U13" s="3">
        <v>-1</v>
      </c>
      <c r="V13" s="3">
        <v>-1</v>
      </c>
      <c r="W13" s="3">
        <v>1</v>
      </c>
      <c r="X13" s="3">
        <v>-1</v>
      </c>
      <c r="Y13" s="3"/>
      <c r="Z13" s="3"/>
      <c r="AA13" s="14" t="s">
        <v>201</v>
      </c>
      <c r="AB13" s="3"/>
      <c r="AD13" s="15">
        <v>2018</v>
      </c>
      <c r="AE13" s="15" t="str">
        <f t="shared" si="0"/>
        <v/>
      </c>
      <c r="AH13" s="8"/>
      <c r="AI13" s="8"/>
      <c r="AJ13" s="8"/>
      <c r="AM13" s="8" t="s">
        <v>20</v>
      </c>
    </row>
    <row r="14" spans="1:39">
      <c r="A14" s="14" t="s">
        <v>234</v>
      </c>
      <c r="B14" s="14" t="s">
        <v>215</v>
      </c>
      <c r="C14" s="14" t="s">
        <v>50</v>
      </c>
      <c r="D14" s="14"/>
      <c r="E14" s="14" t="s">
        <v>235</v>
      </c>
      <c r="F14" s="3">
        <v>0</v>
      </c>
      <c r="G14" s="14" t="s">
        <v>208</v>
      </c>
      <c r="H14" s="3">
        <v>1</v>
      </c>
      <c r="I14" s="14" t="s">
        <v>208</v>
      </c>
      <c r="J14" s="3">
        <v>1</v>
      </c>
      <c r="K14" s="14" t="s">
        <v>208</v>
      </c>
      <c r="L14" s="3">
        <v>1</v>
      </c>
      <c r="M14" s="14" t="s">
        <v>208</v>
      </c>
      <c r="N14" s="3">
        <v>1</v>
      </c>
      <c r="O14" s="8" t="s">
        <v>208</v>
      </c>
      <c r="P14" s="8" t="s">
        <v>209</v>
      </c>
      <c r="Q14" s="8" t="s">
        <v>208</v>
      </c>
      <c r="R14" s="8" t="s">
        <v>30</v>
      </c>
      <c r="S14" s="14" t="s">
        <v>208</v>
      </c>
      <c r="T14" s="3">
        <v>2</v>
      </c>
      <c r="U14" s="3">
        <v>2</v>
      </c>
      <c r="V14" s="3">
        <v>1</v>
      </c>
      <c r="W14" s="3">
        <v>2</v>
      </c>
      <c r="X14" s="3">
        <v>1</v>
      </c>
      <c r="Y14" s="3"/>
      <c r="Z14" s="3"/>
      <c r="AA14" s="14" t="s">
        <v>208</v>
      </c>
      <c r="AB14" s="3"/>
      <c r="AD14" s="15">
        <v>2019</v>
      </c>
      <c r="AH14" s="8"/>
      <c r="AI14" s="8"/>
      <c r="AJ14" s="8"/>
      <c r="AM14" s="8" t="s">
        <v>21</v>
      </c>
    </row>
    <row r="15" spans="1:39">
      <c r="A15" s="14" t="s">
        <v>235</v>
      </c>
      <c r="B15" s="14" t="s">
        <v>218</v>
      </c>
      <c r="C15" s="14" t="s">
        <v>51</v>
      </c>
      <c r="D15" s="14"/>
      <c r="E15" s="14" t="s">
        <v>239</v>
      </c>
      <c r="F15" s="3">
        <v>0</v>
      </c>
      <c r="G15" s="14" t="s">
        <v>214</v>
      </c>
      <c r="H15" s="3">
        <v>1</v>
      </c>
      <c r="I15" s="14" t="s">
        <v>214</v>
      </c>
      <c r="J15" s="3">
        <v>1</v>
      </c>
      <c r="K15" s="14" t="s">
        <v>214</v>
      </c>
      <c r="L15" s="3">
        <v>1</v>
      </c>
      <c r="M15" s="14" t="s">
        <v>214</v>
      </c>
      <c r="N15" s="3">
        <v>1</v>
      </c>
      <c r="O15" s="8" t="s">
        <v>214</v>
      </c>
      <c r="P15" s="8" t="s">
        <v>215</v>
      </c>
      <c r="Q15" s="8" t="s">
        <v>214</v>
      </c>
      <c r="R15" s="8" t="s">
        <v>30</v>
      </c>
      <c r="S15" s="14" t="s">
        <v>214</v>
      </c>
      <c r="T15" s="3">
        <v>2</v>
      </c>
      <c r="U15" s="3">
        <v>2</v>
      </c>
      <c r="V15" s="3">
        <v>1</v>
      </c>
      <c r="W15" s="3">
        <v>2</v>
      </c>
      <c r="X15" s="3">
        <v>1</v>
      </c>
      <c r="Y15" s="3"/>
      <c r="Z15" s="3"/>
      <c r="AA15" s="14" t="s">
        <v>214</v>
      </c>
      <c r="AB15" s="3"/>
      <c r="AD15" s="15">
        <v>2020</v>
      </c>
      <c r="AH15" s="8"/>
      <c r="AI15" s="8"/>
      <c r="AJ15" s="8"/>
      <c r="AM15" s="8" t="s">
        <v>22</v>
      </c>
    </row>
    <row r="16" spans="1:39">
      <c r="A16" s="14" t="s">
        <v>236</v>
      </c>
      <c r="B16" s="14" t="s">
        <v>219</v>
      </c>
      <c r="C16" s="14" t="s">
        <v>52</v>
      </c>
      <c r="D16" s="14"/>
      <c r="E16" s="14" t="s">
        <v>214</v>
      </c>
      <c r="F16" s="3">
        <v>0</v>
      </c>
      <c r="G16" s="14" t="s">
        <v>222</v>
      </c>
      <c r="H16" s="3">
        <v>1</v>
      </c>
      <c r="I16" s="14" t="s">
        <v>222</v>
      </c>
      <c r="J16" s="3">
        <v>1</v>
      </c>
      <c r="K16" s="14" t="s">
        <v>222</v>
      </c>
      <c r="L16" s="3">
        <v>1</v>
      </c>
      <c r="M16" s="14" t="s">
        <v>222</v>
      </c>
      <c r="N16" s="3">
        <v>1</v>
      </c>
      <c r="O16" s="8" t="s">
        <v>222</v>
      </c>
      <c r="P16" s="8" t="s">
        <v>218</v>
      </c>
      <c r="Q16" s="8" t="s">
        <v>222</v>
      </c>
      <c r="R16" s="8" t="s">
        <v>30</v>
      </c>
      <c r="S16" s="14" t="s">
        <v>222</v>
      </c>
      <c r="T16" s="3">
        <v>2</v>
      </c>
      <c r="U16" s="3">
        <v>2</v>
      </c>
      <c r="V16" s="3">
        <v>1</v>
      </c>
      <c r="W16" s="3">
        <v>2</v>
      </c>
      <c r="X16" s="3">
        <v>1</v>
      </c>
      <c r="Y16" s="3"/>
      <c r="Z16" s="3"/>
      <c r="AA16" s="14" t="s">
        <v>222</v>
      </c>
      <c r="AB16" s="3"/>
      <c r="AD16" s="15">
        <v>2021</v>
      </c>
      <c r="AH16" s="8"/>
      <c r="AI16" s="8"/>
      <c r="AJ16" s="8"/>
      <c r="AM16" s="8" t="s">
        <v>5</v>
      </c>
    </row>
    <row r="17" spans="1:39">
      <c r="A17" s="14" t="s">
        <v>240</v>
      </c>
      <c r="B17" s="14" t="s">
        <v>221</v>
      </c>
      <c r="E17" s="14" t="s">
        <v>256</v>
      </c>
      <c r="F17" s="3">
        <v>0</v>
      </c>
      <c r="G17" s="14" t="s">
        <v>223</v>
      </c>
      <c r="H17" s="3">
        <v>1</v>
      </c>
      <c r="I17" s="14" t="s">
        <v>223</v>
      </c>
      <c r="J17" s="3">
        <v>1</v>
      </c>
      <c r="K17" s="14" t="s">
        <v>223</v>
      </c>
      <c r="L17" s="3">
        <v>1</v>
      </c>
      <c r="M17" s="14" t="s">
        <v>223</v>
      </c>
      <c r="N17" s="3">
        <v>1</v>
      </c>
      <c r="O17" s="8" t="s">
        <v>223</v>
      </c>
      <c r="P17" s="8" t="s">
        <v>219</v>
      </c>
      <c r="Q17" s="8" t="s">
        <v>223</v>
      </c>
      <c r="R17" s="8" t="s">
        <v>31</v>
      </c>
      <c r="S17" s="14" t="s">
        <v>223</v>
      </c>
      <c r="T17" s="3">
        <v>2</v>
      </c>
      <c r="U17" s="3">
        <v>2</v>
      </c>
      <c r="V17" s="3">
        <v>1</v>
      </c>
      <c r="W17" s="3">
        <v>2</v>
      </c>
      <c r="X17" s="3">
        <v>1</v>
      </c>
      <c r="Y17" s="3"/>
      <c r="Z17" s="3"/>
      <c r="AA17" s="14" t="s">
        <v>223</v>
      </c>
      <c r="AB17" s="3"/>
      <c r="AD17" s="15">
        <v>2022</v>
      </c>
      <c r="AF17"/>
      <c r="AH17" s="8"/>
      <c r="AI17" s="8"/>
      <c r="AJ17" s="8"/>
      <c r="AM17" s="8" t="s">
        <v>23</v>
      </c>
    </row>
    <row r="18" spans="1:39">
      <c r="A18" s="14" t="s">
        <v>242</v>
      </c>
      <c r="B18" s="14" t="s">
        <v>225</v>
      </c>
      <c r="E18" s="14" t="s">
        <v>259</v>
      </c>
      <c r="F18" s="3">
        <v>0</v>
      </c>
      <c r="G18" s="14" t="s">
        <v>224</v>
      </c>
      <c r="H18" s="3">
        <v>1</v>
      </c>
      <c r="I18" s="14" t="s">
        <v>224</v>
      </c>
      <c r="J18" s="3">
        <v>1</v>
      </c>
      <c r="K18" s="14" t="s">
        <v>224</v>
      </c>
      <c r="L18" s="3">
        <v>1</v>
      </c>
      <c r="M18" s="14" t="s">
        <v>224</v>
      </c>
      <c r="N18" s="3">
        <v>1</v>
      </c>
      <c r="O18" s="8" t="s">
        <v>224</v>
      </c>
      <c r="P18" s="8" t="s">
        <v>225</v>
      </c>
      <c r="Q18" s="8" t="s">
        <v>224</v>
      </c>
      <c r="R18" s="8" t="s">
        <v>31</v>
      </c>
      <c r="S18" s="14" t="s">
        <v>224</v>
      </c>
      <c r="T18" s="3">
        <v>2</v>
      </c>
      <c r="U18" s="3">
        <v>2</v>
      </c>
      <c r="V18" s="3">
        <v>2</v>
      </c>
      <c r="W18" s="3">
        <v>1</v>
      </c>
      <c r="X18" s="3">
        <v>2</v>
      </c>
      <c r="Y18" s="3"/>
      <c r="Z18" s="3"/>
      <c r="AA18" s="14" t="s">
        <v>224</v>
      </c>
      <c r="AB18" s="3"/>
      <c r="AD18" s="15">
        <v>2023</v>
      </c>
      <c r="AF18"/>
      <c r="AH18" s="8"/>
      <c r="AI18" s="8"/>
      <c r="AJ18" s="8"/>
      <c r="AM18" s="8" t="s">
        <v>25</v>
      </c>
    </row>
    <row r="19" spans="1:39">
      <c r="A19" s="14" t="s">
        <v>244</v>
      </c>
      <c r="B19" s="14" t="s">
        <v>227</v>
      </c>
      <c r="E19" s="14" t="s">
        <v>208</v>
      </c>
      <c r="F19" s="3">
        <v>0</v>
      </c>
      <c r="G19" s="14" t="s">
        <v>226</v>
      </c>
      <c r="H19" s="3">
        <v>1</v>
      </c>
      <c r="I19" s="14" t="s">
        <v>226</v>
      </c>
      <c r="J19" s="3">
        <v>1</v>
      </c>
      <c r="K19" s="14" t="s">
        <v>226</v>
      </c>
      <c r="L19" s="3">
        <v>1</v>
      </c>
      <c r="M19" s="14" t="s">
        <v>226</v>
      </c>
      <c r="N19" s="3">
        <v>1</v>
      </c>
      <c r="O19" s="8" t="s">
        <v>226</v>
      </c>
      <c r="P19" s="8" t="s">
        <v>227</v>
      </c>
      <c r="Q19" s="8" t="s">
        <v>226</v>
      </c>
      <c r="R19" s="8" t="s">
        <v>31</v>
      </c>
      <c r="S19" s="14" t="s">
        <v>226</v>
      </c>
      <c r="T19" s="3">
        <v>2</v>
      </c>
      <c r="U19" s="3">
        <v>2</v>
      </c>
      <c r="V19" s="3">
        <v>1</v>
      </c>
      <c r="W19" s="3">
        <v>2</v>
      </c>
      <c r="X19" s="3">
        <v>1</v>
      </c>
      <c r="Y19" s="3"/>
      <c r="Z19" s="3"/>
      <c r="AA19" s="14" t="s">
        <v>226</v>
      </c>
      <c r="AB19" s="3"/>
      <c r="AD19" s="15">
        <v>2024</v>
      </c>
      <c r="AH19" s="8"/>
      <c r="AI19" s="8"/>
      <c r="AJ19" s="8"/>
      <c r="AM19" s="8" t="s">
        <v>24</v>
      </c>
    </row>
    <row r="20" spans="1:39">
      <c r="A20" s="14" t="s">
        <v>256</v>
      </c>
      <c r="B20" s="14" t="s">
        <v>229</v>
      </c>
      <c r="E20" s="14" t="s">
        <v>254</v>
      </c>
      <c r="F20" s="3">
        <v>0</v>
      </c>
      <c r="G20" s="14" t="s">
        <v>228</v>
      </c>
      <c r="H20" s="3">
        <v>1</v>
      </c>
      <c r="I20" s="14" t="s">
        <v>228</v>
      </c>
      <c r="J20" s="3">
        <v>0</v>
      </c>
      <c r="K20" s="14" t="s">
        <v>228</v>
      </c>
      <c r="L20" s="3">
        <v>1</v>
      </c>
      <c r="M20" s="14" t="s">
        <v>228</v>
      </c>
      <c r="N20" s="3">
        <v>1</v>
      </c>
      <c r="O20" s="8" t="s">
        <v>228</v>
      </c>
      <c r="P20" s="8" t="s">
        <v>229</v>
      </c>
      <c r="Q20" s="8" t="s">
        <v>228</v>
      </c>
      <c r="R20" s="8" t="s">
        <v>30</v>
      </c>
      <c r="S20" s="14" t="s">
        <v>228</v>
      </c>
      <c r="T20" s="3">
        <v>-1</v>
      </c>
      <c r="U20" s="3">
        <v>-1</v>
      </c>
      <c r="V20" s="3">
        <v>-1</v>
      </c>
      <c r="W20" s="3">
        <v>1</v>
      </c>
      <c r="X20" s="3">
        <v>-1</v>
      </c>
      <c r="Y20" s="3"/>
      <c r="Z20" s="3"/>
      <c r="AA20" s="14" t="s">
        <v>228</v>
      </c>
      <c r="AB20" s="3"/>
      <c r="AD20" s="15">
        <v>2025</v>
      </c>
      <c r="AH20" s="8"/>
      <c r="AI20" s="8"/>
      <c r="AJ20" s="8"/>
      <c r="AM20" s="8" t="s">
        <v>11</v>
      </c>
    </row>
    <row r="21" spans="1:39">
      <c r="A21" s="14" t="s">
        <v>254</v>
      </c>
      <c r="B21" s="14" t="s">
        <v>230</v>
      </c>
      <c r="E21" s="14" t="s">
        <v>258</v>
      </c>
      <c r="F21" s="3">
        <v>0</v>
      </c>
      <c r="G21" s="14" t="s">
        <v>230</v>
      </c>
      <c r="H21" s="3">
        <v>1</v>
      </c>
      <c r="I21" s="14" t="s">
        <v>230</v>
      </c>
      <c r="J21" s="3">
        <v>0</v>
      </c>
      <c r="K21" s="14" t="s">
        <v>230</v>
      </c>
      <c r="L21" s="3">
        <v>1</v>
      </c>
      <c r="M21" s="14" t="s">
        <v>230</v>
      </c>
      <c r="N21" s="3">
        <v>1</v>
      </c>
      <c r="O21" s="8" t="s">
        <v>230</v>
      </c>
      <c r="P21" s="8" t="s">
        <v>230</v>
      </c>
      <c r="Q21" s="8" t="s">
        <v>230</v>
      </c>
      <c r="R21" s="8" t="s">
        <v>30</v>
      </c>
      <c r="S21" s="14" t="s">
        <v>230</v>
      </c>
      <c r="T21" s="3">
        <v>2</v>
      </c>
      <c r="U21" s="3">
        <v>2</v>
      </c>
      <c r="V21" s="3">
        <v>1</v>
      </c>
      <c r="W21" s="3">
        <v>2</v>
      </c>
      <c r="X21" s="3">
        <v>1</v>
      </c>
      <c r="Y21" s="3"/>
      <c r="Z21" s="3"/>
      <c r="AA21" s="14" t="s">
        <v>230</v>
      </c>
      <c r="AB21" s="3"/>
      <c r="AD21" s="15">
        <v>2026</v>
      </c>
      <c r="AH21" s="8"/>
      <c r="AI21" s="8"/>
      <c r="AJ21" s="8"/>
      <c r="AM21" s="8" t="s">
        <v>11</v>
      </c>
    </row>
    <row r="22" spans="1:39">
      <c r="A22" s="14" t="s">
        <v>250</v>
      </c>
      <c r="B22" s="14" t="s">
        <v>231</v>
      </c>
      <c r="E22" s="14" t="s">
        <v>222</v>
      </c>
      <c r="F22" s="3">
        <v>0</v>
      </c>
      <c r="G22" s="14" t="s">
        <v>234</v>
      </c>
      <c r="H22" s="3">
        <v>1</v>
      </c>
      <c r="I22" s="14" t="s">
        <v>234</v>
      </c>
      <c r="J22" s="3">
        <v>1</v>
      </c>
      <c r="K22" s="14" t="s">
        <v>234</v>
      </c>
      <c r="L22" s="3">
        <v>1</v>
      </c>
      <c r="M22" s="14" t="s">
        <v>234</v>
      </c>
      <c r="N22" s="3">
        <v>1</v>
      </c>
      <c r="O22" s="8" t="s">
        <v>234</v>
      </c>
      <c r="P22" s="8" t="s">
        <v>231</v>
      </c>
      <c r="Q22" s="8" t="s">
        <v>234</v>
      </c>
      <c r="R22" s="8" t="s">
        <v>30</v>
      </c>
      <c r="S22" s="14" t="s">
        <v>234</v>
      </c>
      <c r="T22" s="3">
        <v>-1</v>
      </c>
      <c r="U22" s="3">
        <v>-1</v>
      </c>
      <c r="V22" s="3">
        <v>-1</v>
      </c>
      <c r="W22" s="3">
        <v>1</v>
      </c>
      <c r="X22" s="3">
        <v>-1</v>
      </c>
      <c r="Y22" s="3"/>
      <c r="Z22" s="3"/>
      <c r="AA22" s="14" t="s">
        <v>234</v>
      </c>
      <c r="AB22" s="3"/>
      <c r="AD22" s="15">
        <v>2027</v>
      </c>
      <c r="AH22" s="8"/>
      <c r="AI22" s="8"/>
      <c r="AJ22" s="8"/>
      <c r="AM22" s="8" t="s">
        <v>11</v>
      </c>
    </row>
    <row r="23" spans="1:39">
      <c r="A23" s="14" t="s">
        <v>195</v>
      </c>
      <c r="B23" s="14" t="s">
        <v>232</v>
      </c>
      <c r="E23" s="14" t="s">
        <v>236</v>
      </c>
      <c r="F23" s="3">
        <v>0</v>
      </c>
      <c r="G23" s="14" t="s">
        <v>235</v>
      </c>
      <c r="H23" s="3">
        <v>1</v>
      </c>
      <c r="I23" s="14" t="s">
        <v>235</v>
      </c>
      <c r="J23" s="3">
        <v>1</v>
      </c>
      <c r="K23" s="14" t="s">
        <v>235</v>
      </c>
      <c r="L23" s="3">
        <v>1</v>
      </c>
      <c r="M23" s="14" t="s">
        <v>235</v>
      </c>
      <c r="N23" s="3">
        <v>1</v>
      </c>
      <c r="O23" s="8" t="s">
        <v>235</v>
      </c>
      <c r="P23" s="8" t="s">
        <v>233</v>
      </c>
      <c r="Q23" s="8" t="s">
        <v>235</v>
      </c>
      <c r="R23" s="8" t="s">
        <v>30</v>
      </c>
      <c r="S23" s="14" t="s">
        <v>235</v>
      </c>
      <c r="T23" s="3">
        <v>2</v>
      </c>
      <c r="U23" s="3">
        <v>2</v>
      </c>
      <c r="V23" s="3">
        <v>1</v>
      </c>
      <c r="W23" s="3">
        <v>2</v>
      </c>
      <c r="X23" s="3">
        <v>1</v>
      </c>
      <c r="Y23" s="3"/>
      <c r="Z23" s="3"/>
      <c r="AA23" s="14" t="s">
        <v>235</v>
      </c>
      <c r="AB23" s="3"/>
      <c r="AD23" s="15">
        <v>2028</v>
      </c>
      <c r="AH23" s="8"/>
      <c r="AI23" s="8"/>
      <c r="AJ23" s="8"/>
      <c r="AM23" s="8" t="s">
        <v>11</v>
      </c>
    </row>
    <row r="24" spans="1:39">
      <c r="A24" s="14" t="s">
        <v>228</v>
      </c>
      <c r="B24" s="14" t="s">
        <v>233</v>
      </c>
      <c r="E24" s="14" t="s">
        <v>260</v>
      </c>
      <c r="F24" s="3">
        <v>0</v>
      </c>
      <c r="G24" s="14" t="s">
        <v>236</v>
      </c>
      <c r="H24" s="3">
        <v>1</v>
      </c>
      <c r="I24" s="14" t="s">
        <v>236</v>
      </c>
      <c r="J24" s="3">
        <v>1</v>
      </c>
      <c r="K24" s="14" t="s">
        <v>236</v>
      </c>
      <c r="L24" s="3">
        <v>1</v>
      </c>
      <c r="M24" s="14" t="s">
        <v>236</v>
      </c>
      <c r="N24" s="3">
        <v>1</v>
      </c>
      <c r="O24" s="8" t="s">
        <v>236</v>
      </c>
      <c r="P24" s="8" t="s">
        <v>232</v>
      </c>
      <c r="Q24" s="8" t="s">
        <v>236</v>
      </c>
      <c r="R24" s="8" t="s">
        <v>30</v>
      </c>
      <c r="S24" s="14" t="s">
        <v>236</v>
      </c>
      <c r="T24" s="3">
        <v>2</v>
      </c>
      <c r="U24" s="3">
        <v>2</v>
      </c>
      <c r="V24" s="3">
        <v>1</v>
      </c>
      <c r="W24" s="3">
        <v>2</v>
      </c>
      <c r="X24" s="3">
        <v>1</v>
      </c>
      <c r="Y24" s="3"/>
      <c r="Z24" s="3"/>
      <c r="AA24" s="14" t="s">
        <v>236</v>
      </c>
      <c r="AB24" s="3"/>
      <c r="AD24" s="15">
        <v>2029</v>
      </c>
      <c r="AH24" s="8"/>
      <c r="AI24" s="8"/>
      <c r="AJ24" s="8"/>
      <c r="AM24" s="8"/>
    </row>
    <row r="25" spans="1:39">
      <c r="A25" s="14" t="s">
        <v>230</v>
      </c>
      <c r="B25" s="14" t="s">
        <v>241</v>
      </c>
      <c r="E25" s="14" t="s">
        <v>197</v>
      </c>
      <c r="F25" s="3">
        <v>0</v>
      </c>
      <c r="G25" s="14" t="s">
        <v>237</v>
      </c>
      <c r="H25" s="3">
        <v>1</v>
      </c>
      <c r="I25" s="14" t="s">
        <v>237</v>
      </c>
      <c r="J25" s="3">
        <v>1</v>
      </c>
      <c r="K25" s="14" t="s">
        <v>237</v>
      </c>
      <c r="L25" s="3">
        <v>1</v>
      </c>
      <c r="M25" s="14" t="s">
        <v>237</v>
      </c>
      <c r="N25" s="3">
        <v>1</v>
      </c>
      <c r="O25" s="8" t="s">
        <v>237</v>
      </c>
      <c r="P25" s="8" t="s">
        <v>200</v>
      </c>
      <c r="Q25" s="8" t="s">
        <v>237</v>
      </c>
      <c r="R25" s="8" t="s">
        <v>31</v>
      </c>
      <c r="S25" s="14" t="s">
        <v>237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4" t="s">
        <v>237</v>
      </c>
      <c r="AB25" s="3"/>
      <c r="AD25" s="15">
        <v>2030</v>
      </c>
      <c r="AH25" s="8"/>
      <c r="AI25" s="8"/>
      <c r="AJ25" s="8"/>
      <c r="AM25" s="8"/>
    </row>
    <row r="26" spans="1:39">
      <c r="A26" s="14" t="s">
        <v>223</v>
      </c>
      <c r="B26" s="14" t="s">
        <v>243</v>
      </c>
      <c r="E26" s="14" t="s">
        <v>226</v>
      </c>
      <c r="F26" s="3">
        <v>0</v>
      </c>
      <c r="G26" s="14" t="s">
        <v>238</v>
      </c>
      <c r="H26" s="3">
        <v>1</v>
      </c>
      <c r="I26" s="14" t="s">
        <v>238</v>
      </c>
      <c r="J26" s="3">
        <v>1</v>
      </c>
      <c r="K26" s="14" t="s">
        <v>238</v>
      </c>
      <c r="L26" s="3">
        <v>1</v>
      </c>
      <c r="M26" s="14" t="s">
        <v>238</v>
      </c>
      <c r="N26" s="3">
        <v>1</v>
      </c>
      <c r="O26" s="8" t="s">
        <v>238</v>
      </c>
      <c r="P26" s="8" t="s">
        <v>231</v>
      </c>
      <c r="Q26" s="8" t="s">
        <v>238</v>
      </c>
      <c r="R26" s="8" t="s">
        <v>31</v>
      </c>
      <c r="S26" s="14" t="s">
        <v>238</v>
      </c>
      <c r="T26" s="3">
        <v>-1</v>
      </c>
      <c r="U26" s="3">
        <v>-1</v>
      </c>
      <c r="V26" s="3">
        <v>-1</v>
      </c>
      <c r="W26" s="3">
        <v>1</v>
      </c>
      <c r="X26" s="3">
        <v>-1</v>
      </c>
      <c r="Y26" s="3"/>
      <c r="Z26" s="3"/>
      <c r="AA26" s="14" t="s">
        <v>238</v>
      </c>
      <c r="AB26" s="3"/>
      <c r="AD26" s="15">
        <v>2031</v>
      </c>
      <c r="AH26" s="8"/>
      <c r="AI26" s="8"/>
      <c r="AJ26" s="8"/>
      <c r="AM26" s="8"/>
    </row>
    <row r="27" spans="1:39">
      <c r="A27" s="14" t="s">
        <v>226</v>
      </c>
      <c r="B27" s="14" t="s">
        <v>245</v>
      </c>
      <c r="E27" s="14" t="s">
        <v>223</v>
      </c>
      <c r="F27" s="3">
        <v>0</v>
      </c>
      <c r="G27" s="14" t="s">
        <v>239</v>
      </c>
      <c r="H27" s="3">
        <v>1</v>
      </c>
      <c r="I27" s="14" t="s">
        <v>239</v>
      </c>
      <c r="J27" s="3">
        <v>1</v>
      </c>
      <c r="K27" s="14" t="s">
        <v>239</v>
      </c>
      <c r="L27" s="3">
        <v>1</v>
      </c>
      <c r="M27" s="14" t="s">
        <v>239</v>
      </c>
      <c r="N27" s="3">
        <v>1</v>
      </c>
      <c r="O27" s="8" t="s">
        <v>239</v>
      </c>
      <c r="P27" s="8" t="s">
        <v>233</v>
      </c>
      <c r="Q27" s="8" t="s">
        <v>239</v>
      </c>
      <c r="R27" s="8" t="s">
        <v>31</v>
      </c>
      <c r="S27" s="14" t="s">
        <v>239</v>
      </c>
      <c r="T27" s="3">
        <v>2</v>
      </c>
      <c r="U27" s="3">
        <v>2</v>
      </c>
      <c r="V27" s="3">
        <v>1</v>
      </c>
      <c r="W27" s="3">
        <v>2</v>
      </c>
      <c r="X27" s="3">
        <v>1</v>
      </c>
      <c r="Y27" s="3"/>
      <c r="Z27" s="3"/>
      <c r="AA27" s="14" t="s">
        <v>239</v>
      </c>
      <c r="AB27" s="3"/>
      <c r="AD27" s="15">
        <v>2032</v>
      </c>
      <c r="AH27" s="8"/>
      <c r="AI27" s="8"/>
      <c r="AJ27" s="8"/>
      <c r="AM27" s="8"/>
    </row>
    <row r="28" spans="1:39">
      <c r="A28" s="14" t="s">
        <v>201</v>
      </c>
      <c r="B28" s="14" t="s">
        <v>249</v>
      </c>
      <c r="E28" s="14" t="s">
        <v>198</v>
      </c>
      <c r="F28" s="3">
        <v>0</v>
      </c>
      <c r="G28" s="14" t="s">
        <v>240</v>
      </c>
      <c r="H28" s="3">
        <v>1</v>
      </c>
      <c r="I28" s="14" t="s">
        <v>240</v>
      </c>
      <c r="J28" s="3">
        <v>1</v>
      </c>
      <c r="K28" s="14" t="s">
        <v>240</v>
      </c>
      <c r="L28" s="3">
        <v>1</v>
      </c>
      <c r="M28" s="14" t="s">
        <v>240</v>
      </c>
      <c r="N28" s="3">
        <v>1</v>
      </c>
      <c r="O28" s="8" t="s">
        <v>240</v>
      </c>
      <c r="P28" s="8" t="s">
        <v>241</v>
      </c>
      <c r="Q28" s="8" t="s">
        <v>240</v>
      </c>
      <c r="R28" s="8" t="s">
        <v>30</v>
      </c>
      <c r="S28" s="14" t="s">
        <v>240</v>
      </c>
      <c r="T28" s="3">
        <v>-1</v>
      </c>
      <c r="U28" s="3">
        <v>-1</v>
      </c>
      <c r="V28" s="3">
        <v>-1</v>
      </c>
      <c r="W28" s="3">
        <v>1</v>
      </c>
      <c r="X28" s="3">
        <v>-1</v>
      </c>
      <c r="Y28" s="3"/>
      <c r="Z28" s="3"/>
      <c r="AA28" s="14" t="s">
        <v>240</v>
      </c>
      <c r="AB28" s="3"/>
      <c r="AD28" s="15">
        <v>2033</v>
      </c>
      <c r="AH28" s="8"/>
      <c r="AI28" s="8"/>
      <c r="AJ28" s="8"/>
      <c r="AM28" s="8"/>
    </row>
    <row r="29" spans="1:39">
      <c r="A29" s="14" t="s">
        <v>224</v>
      </c>
      <c r="B29" s="14" t="s">
        <v>253</v>
      </c>
      <c r="E29" s="14" t="s">
        <v>220</v>
      </c>
      <c r="F29" s="3">
        <v>0</v>
      </c>
      <c r="G29" s="14" t="s">
        <v>242</v>
      </c>
      <c r="H29" s="3">
        <v>1</v>
      </c>
      <c r="I29" s="14" t="s">
        <v>242</v>
      </c>
      <c r="J29" s="3">
        <v>1</v>
      </c>
      <c r="K29" s="14" t="s">
        <v>242</v>
      </c>
      <c r="L29" s="3">
        <v>1</v>
      </c>
      <c r="M29" s="14" t="s">
        <v>242</v>
      </c>
      <c r="N29" s="3">
        <v>1</v>
      </c>
      <c r="O29" s="8" t="s">
        <v>242</v>
      </c>
      <c r="P29" s="8" t="s">
        <v>243</v>
      </c>
      <c r="Q29" s="8" t="s">
        <v>242</v>
      </c>
      <c r="R29" s="8" t="s">
        <v>30</v>
      </c>
      <c r="S29" s="14" t="s">
        <v>242</v>
      </c>
      <c r="T29" s="3">
        <v>-1</v>
      </c>
      <c r="U29" s="3">
        <v>-1</v>
      </c>
      <c r="V29" s="3">
        <v>-1</v>
      </c>
      <c r="W29" s="3">
        <v>1</v>
      </c>
      <c r="X29" s="3">
        <v>-1</v>
      </c>
      <c r="Y29" s="3"/>
      <c r="Z29" s="3"/>
      <c r="AA29" s="14" t="s">
        <v>242</v>
      </c>
      <c r="AB29" s="3"/>
      <c r="AD29" s="15">
        <v>2034</v>
      </c>
      <c r="AH29" s="8"/>
      <c r="AI29" s="8"/>
      <c r="AJ29" s="8"/>
      <c r="AM29" s="8"/>
    </row>
    <row r="30" spans="1:39">
      <c r="A30" s="14" t="s">
        <v>197</v>
      </c>
      <c r="B30" s="14" t="s">
        <v>255</v>
      </c>
      <c r="E30" s="14" t="s">
        <v>224</v>
      </c>
      <c r="F30" s="3">
        <v>0</v>
      </c>
      <c r="G30" s="14" t="s">
        <v>244</v>
      </c>
      <c r="H30" s="3">
        <v>1</v>
      </c>
      <c r="I30" s="14" t="s">
        <v>244</v>
      </c>
      <c r="J30" s="3">
        <v>1</v>
      </c>
      <c r="K30" s="14" t="s">
        <v>244</v>
      </c>
      <c r="L30" s="3">
        <v>1</v>
      </c>
      <c r="M30" s="14" t="s">
        <v>244</v>
      </c>
      <c r="N30" s="3">
        <v>1</v>
      </c>
      <c r="O30" s="8" t="s">
        <v>244</v>
      </c>
      <c r="P30" s="8" t="s">
        <v>245</v>
      </c>
      <c r="Q30" s="8" t="s">
        <v>244</v>
      </c>
      <c r="R30" s="8" t="s">
        <v>30</v>
      </c>
      <c r="S30" s="14" t="s">
        <v>244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4" t="s">
        <v>244</v>
      </c>
      <c r="AB30" s="3">
        <v>10</v>
      </c>
      <c r="AD30" s="15">
        <v>2035</v>
      </c>
      <c r="AH30" s="8"/>
      <c r="AI30" s="8"/>
      <c r="AJ30" s="8"/>
      <c r="AM30" s="8"/>
    </row>
    <row r="31" spans="1:39">
      <c r="A31" s="14" t="s">
        <v>237</v>
      </c>
      <c r="B31" s="14" t="s">
        <v>257</v>
      </c>
      <c r="E31" s="14" t="s">
        <v>196</v>
      </c>
      <c r="F31" s="3">
        <v>1</v>
      </c>
      <c r="G31" s="14" t="s">
        <v>250</v>
      </c>
      <c r="H31" s="3">
        <v>1</v>
      </c>
      <c r="I31" s="14" t="s">
        <v>250</v>
      </c>
      <c r="J31" s="3">
        <v>1</v>
      </c>
      <c r="K31" s="14" t="s">
        <v>250</v>
      </c>
      <c r="L31" s="3">
        <v>1</v>
      </c>
      <c r="M31" s="14" t="s">
        <v>250</v>
      </c>
      <c r="N31" s="3">
        <v>1</v>
      </c>
      <c r="O31" s="8" t="s">
        <v>250</v>
      </c>
      <c r="P31" s="8" t="s">
        <v>249</v>
      </c>
      <c r="Q31" s="8" t="s">
        <v>250</v>
      </c>
      <c r="R31" s="8" t="s">
        <v>30</v>
      </c>
      <c r="S31" s="14" t="s">
        <v>250</v>
      </c>
      <c r="T31" s="3">
        <v>-1</v>
      </c>
      <c r="U31" s="3">
        <v>-1</v>
      </c>
      <c r="V31" s="3">
        <v>-1</v>
      </c>
      <c r="W31" s="3">
        <v>1</v>
      </c>
      <c r="X31" s="3">
        <v>-1</v>
      </c>
      <c r="AA31" s="14" t="s">
        <v>250</v>
      </c>
      <c r="AB31" s="3"/>
      <c r="AD31" s="15">
        <v>2036</v>
      </c>
      <c r="AH31" s="8"/>
      <c r="AI31" s="8"/>
      <c r="AJ31" s="8"/>
      <c r="AM31" s="8"/>
    </row>
    <row r="32" spans="1:39">
      <c r="A32" s="14" t="s">
        <v>239</v>
      </c>
      <c r="B32" s="14" t="s">
        <v>271</v>
      </c>
      <c r="E32" s="14" t="s">
        <v>280</v>
      </c>
      <c r="F32" s="3">
        <v>0</v>
      </c>
      <c r="G32" s="14" t="s">
        <v>251</v>
      </c>
      <c r="H32" s="3">
        <v>1</v>
      </c>
      <c r="I32" s="14" t="s">
        <v>251</v>
      </c>
      <c r="J32" s="3">
        <v>1</v>
      </c>
      <c r="K32" s="14" t="s">
        <v>251</v>
      </c>
      <c r="L32" s="3">
        <v>1</v>
      </c>
      <c r="M32" s="14" t="s">
        <v>251</v>
      </c>
      <c r="N32" s="3">
        <v>1</v>
      </c>
      <c r="O32" s="8" t="s">
        <v>251</v>
      </c>
      <c r="P32" s="8" t="s">
        <v>249</v>
      </c>
      <c r="Q32" s="8" t="s">
        <v>251</v>
      </c>
      <c r="R32" s="8" t="s">
        <v>31</v>
      </c>
      <c r="S32" s="14" t="s">
        <v>251</v>
      </c>
      <c r="T32" s="3">
        <v>-1</v>
      </c>
      <c r="U32" s="3">
        <v>-1</v>
      </c>
      <c r="V32" s="3">
        <v>-1</v>
      </c>
      <c r="W32" s="3">
        <v>1</v>
      </c>
      <c r="X32" s="3">
        <v>-1</v>
      </c>
      <c r="AA32" s="14" t="s">
        <v>251</v>
      </c>
      <c r="AB32" s="3"/>
      <c r="AD32" s="15">
        <v>2037</v>
      </c>
      <c r="AH32" s="8"/>
      <c r="AI32" s="8"/>
      <c r="AJ32" s="8"/>
      <c r="AM32" s="8"/>
    </row>
    <row r="33" spans="1:39">
      <c r="A33" s="14" t="s">
        <v>251</v>
      </c>
      <c r="B33" s="14" t="s">
        <v>272</v>
      </c>
      <c r="E33" s="14" t="s">
        <v>283</v>
      </c>
      <c r="F33" s="3">
        <v>0</v>
      </c>
      <c r="G33" s="14" t="s">
        <v>252</v>
      </c>
      <c r="H33" s="3">
        <v>1</v>
      </c>
      <c r="I33" s="14" t="s">
        <v>252</v>
      </c>
      <c r="J33" s="3">
        <v>1</v>
      </c>
      <c r="K33" s="14" t="s">
        <v>252</v>
      </c>
      <c r="L33" s="3">
        <v>1</v>
      </c>
      <c r="M33" s="14" t="s">
        <v>252</v>
      </c>
      <c r="N33" s="3">
        <v>1</v>
      </c>
      <c r="O33" s="8" t="s">
        <v>252</v>
      </c>
      <c r="P33" s="8" t="s">
        <v>253</v>
      </c>
      <c r="Q33" s="8" t="s">
        <v>252</v>
      </c>
      <c r="R33" s="8" t="s">
        <v>31</v>
      </c>
      <c r="S33" s="14" t="s">
        <v>252</v>
      </c>
      <c r="T33" s="3">
        <v>-1</v>
      </c>
      <c r="U33" s="3">
        <v>-1</v>
      </c>
      <c r="V33" s="3">
        <v>-1</v>
      </c>
      <c r="W33" s="3">
        <v>1</v>
      </c>
      <c r="X33" s="3">
        <v>-1</v>
      </c>
      <c r="AA33" s="14" t="s">
        <v>252</v>
      </c>
      <c r="AB33" s="3"/>
      <c r="AD33" s="15">
        <v>2038</v>
      </c>
      <c r="AH33" s="8"/>
      <c r="AI33" s="8"/>
      <c r="AJ33" s="8"/>
      <c r="AM33" s="8"/>
    </row>
    <row r="34" spans="1:39">
      <c r="A34" s="14" t="s">
        <v>252</v>
      </c>
      <c r="B34" s="14" t="s">
        <v>281</v>
      </c>
      <c r="E34" s="14" t="s">
        <v>284</v>
      </c>
      <c r="F34" s="3">
        <v>0</v>
      </c>
      <c r="G34" s="14" t="s">
        <v>254</v>
      </c>
      <c r="H34" s="3">
        <v>1</v>
      </c>
      <c r="I34" s="14" t="s">
        <v>254</v>
      </c>
      <c r="J34" s="3">
        <v>1</v>
      </c>
      <c r="K34" s="14" t="s">
        <v>254</v>
      </c>
      <c r="L34" s="3">
        <v>1</v>
      </c>
      <c r="M34" s="14" t="s">
        <v>254</v>
      </c>
      <c r="N34" s="3">
        <v>1</v>
      </c>
      <c r="O34" s="8" t="s">
        <v>254</v>
      </c>
      <c r="P34" s="8" t="s">
        <v>255</v>
      </c>
      <c r="Q34" s="8" t="s">
        <v>254</v>
      </c>
      <c r="R34" s="8" t="s">
        <v>30</v>
      </c>
      <c r="S34" s="14" t="s">
        <v>254</v>
      </c>
      <c r="T34" s="3">
        <v>2</v>
      </c>
      <c r="U34" s="3">
        <v>2</v>
      </c>
      <c r="V34" s="3">
        <v>1</v>
      </c>
      <c r="W34" s="3">
        <v>2</v>
      </c>
      <c r="X34" s="3">
        <v>1</v>
      </c>
      <c r="AA34" s="14" t="s">
        <v>254</v>
      </c>
      <c r="AB34" s="3"/>
      <c r="AD34" s="15">
        <v>2039</v>
      </c>
      <c r="AH34" s="8"/>
      <c r="AI34" s="8"/>
      <c r="AJ34" s="8"/>
      <c r="AM34" s="8"/>
    </row>
    <row r="35" spans="1:39">
      <c r="A35" s="14" t="s">
        <v>258</v>
      </c>
      <c r="B35" s="14" t="s">
        <v>282</v>
      </c>
      <c r="E35" s="14" t="s">
        <v>228</v>
      </c>
      <c r="F35" s="3">
        <v>0</v>
      </c>
      <c r="G35" s="14" t="s">
        <v>256</v>
      </c>
      <c r="H35" s="3">
        <v>1</v>
      </c>
      <c r="I35" s="14" t="s">
        <v>256</v>
      </c>
      <c r="J35" s="3">
        <v>1</v>
      </c>
      <c r="K35" s="14" t="s">
        <v>256</v>
      </c>
      <c r="L35" s="3">
        <v>1</v>
      </c>
      <c r="M35" s="14" t="s">
        <v>256</v>
      </c>
      <c r="N35" s="3">
        <v>1</v>
      </c>
      <c r="O35" s="8" t="s">
        <v>256</v>
      </c>
      <c r="P35" s="8" t="s">
        <v>257</v>
      </c>
      <c r="Q35" s="8" t="s">
        <v>256</v>
      </c>
      <c r="R35" s="8" t="s">
        <v>30</v>
      </c>
      <c r="S35" s="14" t="s">
        <v>256</v>
      </c>
      <c r="T35" s="3">
        <v>2</v>
      </c>
      <c r="U35" s="3">
        <v>2</v>
      </c>
      <c r="V35" s="3">
        <v>1</v>
      </c>
      <c r="W35" s="3">
        <v>2</v>
      </c>
      <c r="X35" s="3">
        <v>1</v>
      </c>
      <c r="AA35" s="14" t="s">
        <v>256</v>
      </c>
      <c r="AB35" s="3"/>
      <c r="AD35" s="15">
        <v>2040</v>
      </c>
      <c r="AH35" s="8"/>
      <c r="AI35" s="8"/>
      <c r="AJ35" s="8"/>
      <c r="AM35" s="8"/>
    </row>
    <row r="36" spans="1:39">
      <c r="A36" s="14" t="s">
        <v>259</v>
      </c>
      <c r="B36"/>
      <c r="E36" s="14" t="s">
        <v>265</v>
      </c>
      <c r="F36" s="3">
        <v>1</v>
      </c>
      <c r="G36" s="14" t="s">
        <v>258</v>
      </c>
      <c r="H36" s="3">
        <v>1</v>
      </c>
      <c r="I36" s="14" t="s">
        <v>258</v>
      </c>
      <c r="J36" s="3">
        <v>1</v>
      </c>
      <c r="K36" s="14" t="s">
        <v>258</v>
      </c>
      <c r="L36" s="3">
        <v>1</v>
      </c>
      <c r="M36" s="14" t="s">
        <v>258</v>
      </c>
      <c r="N36" s="3">
        <v>1</v>
      </c>
      <c r="O36" s="8" t="s">
        <v>258</v>
      </c>
      <c r="P36" s="8" t="s">
        <v>255</v>
      </c>
      <c r="Q36" s="8" t="s">
        <v>258</v>
      </c>
      <c r="R36" s="8" t="s">
        <v>31</v>
      </c>
      <c r="S36" s="14" t="s">
        <v>258</v>
      </c>
      <c r="T36" s="3">
        <v>2</v>
      </c>
      <c r="U36" s="3">
        <v>2</v>
      </c>
      <c r="V36" s="3">
        <v>1</v>
      </c>
      <c r="W36" s="3">
        <v>2</v>
      </c>
      <c r="X36" s="3">
        <v>1</v>
      </c>
      <c r="AA36" s="14" t="s">
        <v>258</v>
      </c>
      <c r="AB36" s="3"/>
      <c r="AD36" s="15">
        <v>2041</v>
      </c>
      <c r="AH36" s="8"/>
      <c r="AI36" s="8"/>
      <c r="AJ36" s="8"/>
      <c r="AM36" s="8"/>
    </row>
    <row r="37" spans="1:39">
      <c r="A37" s="14" t="s">
        <v>260</v>
      </c>
      <c r="E37" s="14" t="s">
        <v>264</v>
      </c>
      <c r="F37" s="3">
        <v>0</v>
      </c>
      <c r="G37" s="14" t="s">
        <v>259</v>
      </c>
      <c r="H37" s="3">
        <v>1</v>
      </c>
      <c r="I37" s="14" t="s">
        <v>259</v>
      </c>
      <c r="J37" s="3">
        <v>1</v>
      </c>
      <c r="K37" s="14" t="s">
        <v>259</v>
      </c>
      <c r="L37" s="3">
        <v>1</v>
      </c>
      <c r="M37" s="14" t="s">
        <v>259</v>
      </c>
      <c r="N37" s="3">
        <v>1</v>
      </c>
      <c r="O37" s="8" t="s">
        <v>259</v>
      </c>
      <c r="P37" s="8" t="s">
        <v>257</v>
      </c>
      <c r="Q37" s="8" t="s">
        <v>259</v>
      </c>
      <c r="R37" s="8" t="s">
        <v>31</v>
      </c>
      <c r="S37" s="14" t="s">
        <v>259</v>
      </c>
      <c r="T37" s="3">
        <v>2</v>
      </c>
      <c r="U37" s="3">
        <v>2</v>
      </c>
      <c r="V37" s="3">
        <v>1</v>
      </c>
      <c r="W37" s="3">
        <v>2</v>
      </c>
      <c r="X37" s="3">
        <v>1</v>
      </c>
      <c r="AA37" s="14" t="s">
        <v>259</v>
      </c>
      <c r="AB37" s="3"/>
      <c r="AD37" s="15">
        <v>2042</v>
      </c>
      <c r="AH37" s="8"/>
      <c r="AI37" s="8"/>
      <c r="AJ37" s="8"/>
      <c r="AM37" s="8"/>
    </row>
    <row r="38" spans="1:39">
      <c r="A38" s="14" t="s">
        <v>261</v>
      </c>
      <c r="E38" s="14" t="s">
        <v>263</v>
      </c>
      <c r="F38" s="3">
        <v>0</v>
      </c>
      <c r="G38" s="14" t="s">
        <v>260</v>
      </c>
      <c r="H38" s="3">
        <v>1</v>
      </c>
      <c r="I38" s="14" t="s">
        <v>260</v>
      </c>
      <c r="J38" s="3">
        <v>1</v>
      </c>
      <c r="K38" s="14" t="s">
        <v>260</v>
      </c>
      <c r="L38" s="3">
        <v>1</v>
      </c>
      <c r="M38" s="14" t="s">
        <v>260</v>
      </c>
      <c r="N38" s="3">
        <v>1</v>
      </c>
      <c r="O38" s="8" t="s">
        <v>260</v>
      </c>
      <c r="P38" s="8" t="s">
        <v>232</v>
      </c>
      <c r="Q38" s="8" t="s">
        <v>260</v>
      </c>
      <c r="R38" s="8" t="s">
        <v>31</v>
      </c>
      <c r="S38" s="14" t="s">
        <v>260</v>
      </c>
      <c r="T38" s="3">
        <v>2</v>
      </c>
      <c r="U38" s="3">
        <v>2</v>
      </c>
      <c r="V38" s="3">
        <v>1</v>
      </c>
      <c r="W38" s="3">
        <v>2</v>
      </c>
      <c r="X38" s="3">
        <v>1</v>
      </c>
      <c r="AA38" s="14" t="s">
        <v>260</v>
      </c>
      <c r="AB38" s="3"/>
      <c r="AD38" s="15">
        <v>2043</v>
      </c>
      <c r="AH38" s="8"/>
      <c r="AI38" s="8"/>
      <c r="AJ38" s="8"/>
      <c r="AM38" s="8"/>
    </row>
    <row r="39" spans="1:39">
      <c r="A39" s="14" t="s">
        <v>262</v>
      </c>
      <c r="E39" s="14" t="s">
        <v>262</v>
      </c>
      <c r="F39" s="3">
        <v>0</v>
      </c>
      <c r="G39" s="14" t="s">
        <v>261</v>
      </c>
      <c r="H39" s="3">
        <v>1</v>
      </c>
      <c r="I39" s="14" t="s">
        <v>261</v>
      </c>
      <c r="J39" s="3">
        <v>1</v>
      </c>
      <c r="K39" s="14" t="s">
        <v>261</v>
      </c>
      <c r="L39" s="3">
        <v>1</v>
      </c>
      <c r="M39" s="14" t="s">
        <v>261</v>
      </c>
      <c r="N39" s="3">
        <v>1</v>
      </c>
      <c r="O39" s="8" t="s">
        <v>261</v>
      </c>
      <c r="P39" s="8" t="s">
        <v>253</v>
      </c>
      <c r="Q39" s="8" t="s">
        <v>261</v>
      </c>
      <c r="R39" s="8" t="s">
        <v>30</v>
      </c>
      <c r="S39" s="14" t="s">
        <v>261</v>
      </c>
      <c r="T39" s="3">
        <v>-1</v>
      </c>
      <c r="U39" s="3">
        <v>-1</v>
      </c>
      <c r="V39" s="3">
        <v>-1</v>
      </c>
      <c r="W39" s="3">
        <v>1</v>
      </c>
      <c r="X39" s="3">
        <v>-1</v>
      </c>
      <c r="AA39" s="14" t="s">
        <v>261</v>
      </c>
      <c r="AB39" s="3"/>
      <c r="AD39" s="15">
        <v>2044</v>
      </c>
      <c r="AH39" s="8"/>
      <c r="AI39" s="8"/>
      <c r="AJ39" s="8"/>
      <c r="AM39" s="8"/>
    </row>
    <row r="40" spans="1:39">
      <c r="A40" s="14" t="s">
        <v>263</v>
      </c>
      <c r="E40" s="14" t="s">
        <v>244</v>
      </c>
      <c r="F40" s="3">
        <v>0</v>
      </c>
      <c r="G40" s="14" t="s">
        <v>262</v>
      </c>
      <c r="H40" s="3">
        <v>1</v>
      </c>
      <c r="I40" s="14" t="s">
        <v>262</v>
      </c>
      <c r="J40" s="3">
        <v>1</v>
      </c>
      <c r="K40" s="14" t="s">
        <v>262</v>
      </c>
      <c r="L40" s="3">
        <v>1</v>
      </c>
      <c r="M40" s="14" t="s">
        <v>262</v>
      </c>
      <c r="N40" s="3">
        <v>1</v>
      </c>
      <c r="O40" s="8" t="s">
        <v>262</v>
      </c>
      <c r="P40" s="8" t="s">
        <v>245</v>
      </c>
      <c r="Q40" s="8" t="s">
        <v>262</v>
      </c>
      <c r="R40" s="8" t="s">
        <v>30</v>
      </c>
      <c r="S40" s="14" t="s">
        <v>262</v>
      </c>
      <c r="T40" s="3">
        <v>-1</v>
      </c>
      <c r="U40" s="3">
        <v>-1</v>
      </c>
      <c r="V40" s="3">
        <v>-1</v>
      </c>
      <c r="W40" s="3">
        <v>1</v>
      </c>
      <c r="X40" s="3">
        <v>-1</v>
      </c>
      <c r="AA40" s="14" t="s">
        <v>262</v>
      </c>
      <c r="AB40" s="3">
        <v>9</v>
      </c>
      <c r="AD40" s="15">
        <v>2045</v>
      </c>
      <c r="AH40" s="8"/>
      <c r="AI40" s="8"/>
      <c r="AJ40" s="8"/>
      <c r="AM40" s="8"/>
    </row>
    <row r="41" spans="1:39">
      <c r="A41" s="14" t="s">
        <v>264</v>
      </c>
      <c r="E41" s="14" t="s">
        <v>242</v>
      </c>
      <c r="F41" s="3">
        <v>0</v>
      </c>
      <c r="G41" s="14" t="s">
        <v>263</v>
      </c>
      <c r="H41" s="3">
        <v>1</v>
      </c>
      <c r="I41" s="14" t="s">
        <v>263</v>
      </c>
      <c r="J41" s="3">
        <v>1</v>
      </c>
      <c r="K41" s="14" t="s">
        <v>263</v>
      </c>
      <c r="L41" s="3">
        <v>1</v>
      </c>
      <c r="M41" s="14" t="s">
        <v>263</v>
      </c>
      <c r="N41" s="3">
        <v>1</v>
      </c>
      <c r="O41" s="8" t="s">
        <v>263</v>
      </c>
      <c r="P41" s="8" t="s">
        <v>245</v>
      </c>
      <c r="Q41" s="8" t="s">
        <v>263</v>
      </c>
      <c r="R41" s="8" t="s">
        <v>30</v>
      </c>
      <c r="S41" s="14" t="s">
        <v>263</v>
      </c>
      <c r="T41" s="3">
        <v>-1</v>
      </c>
      <c r="U41" s="3">
        <v>-1</v>
      </c>
      <c r="V41" s="3">
        <v>-1</v>
      </c>
      <c r="W41" s="3">
        <v>1</v>
      </c>
      <c r="X41" s="3">
        <v>-1</v>
      </c>
      <c r="AA41" s="14" t="s">
        <v>263</v>
      </c>
      <c r="AB41" s="3">
        <v>8</v>
      </c>
      <c r="AD41" s="15">
        <v>2046</v>
      </c>
      <c r="AH41" s="8"/>
      <c r="AI41" s="8"/>
      <c r="AJ41" s="8"/>
      <c r="AM41" s="8"/>
    </row>
    <row r="42" spans="1:39">
      <c r="A42" s="14" t="s">
        <v>265</v>
      </c>
      <c r="E42" s="14" t="s">
        <v>234</v>
      </c>
      <c r="F42" s="3">
        <v>0</v>
      </c>
      <c r="G42" s="14" t="s">
        <v>264</v>
      </c>
      <c r="H42" s="3">
        <v>1</v>
      </c>
      <c r="I42" s="14" t="s">
        <v>264</v>
      </c>
      <c r="J42" s="3">
        <v>1</v>
      </c>
      <c r="K42" s="14" t="s">
        <v>264</v>
      </c>
      <c r="L42" s="3">
        <v>1</v>
      </c>
      <c r="M42" s="14" t="s">
        <v>264</v>
      </c>
      <c r="N42" s="3">
        <v>1</v>
      </c>
      <c r="O42" s="8" t="s">
        <v>264</v>
      </c>
      <c r="P42" s="8" t="s">
        <v>245</v>
      </c>
      <c r="Q42" s="8" t="s">
        <v>264</v>
      </c>
      <c r="R42" s="8" t="s">
        <v>30</v>
      </c>
      <c r="S42" s="14" t="s">
        <v>264</v>
      </c>
      <c r="T42" s="3">
        <v>-1</v>
      </c>
      <c r="U42" s="3">
        <v>-1</v>
      </c>
      <c r="V42" s="3">
        <v>-1</v>
      </c>
      <c r="W42" s="3">
        <v>1</v>
      </c>
      <c r="X42" s="3">
        <v>-1</v>
      </c>
      <c r="AA42" s="14" t="s">
        <v>264</v>
      </c>
      <c r="AB42" s="3">
        <v>7</v>
      </c>
      <c r="AD42" s="15">
        <v>2047</v>
      </c>
      <c r="AH42" s="8"/>
      <c r="AI42" s="8"/>
      <c r="AJ42" s="8"/>
      <c r="AM42" s="8"/>
    </row>
    <row r="43" spans="1:39">
      <c r="A43" s="14" t="s">
        <v>266</v>
      </c>
      <c r="E43" s="14" t="s">
        <v>238</v>
      </c>
      <c r="F43" s="3">
        <v>0</v>
      </c>
      <c r="G43" s="14" t="s">
        <v>265</v>
      </c>
      <c r="H43" s="3">
        <v>1</v>
      </c>
      <c r="I43" s="14" t="s">
        <v>265</v>
      </c>
      <c r="J43" s="3">
        <v>1</v>
      </c>
      <c r="K43" s="14" t="s">
        <v>265</v>
      </c>
      <c r="L43" s="3">
        <v>1</v>
      </c>
      <c r="M43" s="14" t="s">
        <v>265</v>
      </c>
      <c r="N43" s="3">
        <v>1</v>
      </c>
      <c r="O43" s="8" t="s">
        <v>265</v>
      </c>
      <c r="P43" s="8" t="s">
        <v>245</v>
      </c>
      <c r="Q43" s="8" t="s">
        <v>265</v>
      </c>
      <c r="R43" s="8" t="s">
        <v>30</v>
      </c>
      <c r="S43" s="14" t="s">
        <v>265</v>
      </c>
      <c r="T43" s="3">
        <v>-1</v>
      </c>
      <c r="U43" s="3">
        <v>-1</v>
      </c>
      <c r="V43" s="3">
        <v>-1</v>
      </c>
      <c r="W43" s="3">
        <v>1</v>
      </c>
      <c r="X43" s="3">
        <v>-1</v>
      </c>
      <c r="AA43" s="14" t="s">
        <v>265</v>
      </c>
      <c r="AB43" s="3">
        <v>6</v>
      </c>
      <c r="AD43" s="15">
        <v>2048</v>
      </c>
      <c r="AH43" s="8"/>
      <c r="AI43" s="8"/>
      <c r="AJ43" s="8"/>
      <c r="AM43" s="8"/>
    </row>
    <row r="44" spans="1:39">
      <c r="A44" s="14" t="s">
        <v>267</v>
      </c>
      <c r="E44" s="14" t="s">
        <v>240</v>
      </c>
      <c r="F44" s="3">
        <v>0</v>
      </c>
      <c r="G44" s="14" t="s">
        <v>266</v>
      </c>
      <c r="H44" s="3">
        <v>1</v>
      </c>
      <c r="I44" s="14" t="s">
        <v>266</v>
      </c>
      <c r="J44" s="3">
        <v>1</v>
      </c>
      <c r="K44" s="14" t="s">
        <v>266</v>
      </c>
      <c r="L44" s="3">
        <v>1</v>
      </c>
      <c r="M44" s="14" t="s">
        <v>266</v>
      </c>
      <c r="N44" s="3">
        <v>1</v>
      </c>
      <c r="O44" s="8" t="s">
        <v>266</v>
      </c>
      <c r="P44" s="8" t="s">
        <v>271</v>
      </c>
      <c r="Q44" s="8" t="s">
        <v>266</v>
      </c>
      <c r="R44" s="8" t="s">
        <v>30</v>
      </c>
      <c r="S44" s="14" t="s">
        <v>266</v>
      </c>
      <c r="T44" s="3">
        <v>2</v>
      </c>
      <c r="U44" s="3">
        <v>2</v>
      </c>
      <c r="V44" s="3">
        <v>1</v>
      </c>
      <c r="W44" s="3">
        <v>2</v>
      </c>
      <c r="X44" s="3">
        <v>1</v>
      </c>
      <c r="AA44" s="14" t="s">
        <v>266</v>
      </c>
      <c r="AB44" s="3">
        <v>10</v>
      </c>
      <c r="AD44" s="15">
        <v>2049</v>
      </c>
      <c r="AH44" s="8"/>
      <c r="AI44" s="8"/>
      <c r="AJ44" s="8"/>
      <c r="AM44" s="8"/>
    </row>
    <row r="45" spans="1:39">
      <c r="A45" s="14" t="s">
        <v>268</v>
      </c>
      <c r="E45" s="14" t="s">
        <v>250</v>
      </c>
      <c r="F45" s="3">
        <v>0</v>
      </c>
      <c r="G45" s="14" t="s">
        <v>267</v>
      </c>
      <c r="H45" s="3">
        <v>1</v>
      </c>
      <c r="I45" s="14" t="s">
        <v>267</v>
      </c>
      <c r="J45" s="3">
        <v>1</v>
      </c>
      <c r="K45" s="14" t="s">
        <v>267</v>
      </c>
      <c r="L45" s="3">
        <v>1</v>
      </c>
      <c r="M45" s="14" t="s">
        <v>267</v>
      </c>
      <c r="N45" s="3">
        <v>1</v>
      </c>
      <c r="O45" s="8" t="s">
        <v>267</v>
      </c>
      <c r="P45" s="8" t="s">
        <v>271</v>
      </c>
      <c r="Q45" s="8" t="s">
        <v>267</v>
      </c>
      <c r="R45" s="8" t="s">
        <v>30</v>
      </c>
      <c r="S45" s="14" t="s">
        <v>267</v>
      </c>
      <c r="T45" s="3">
        <v>2</v>
      </c>
      <c r="U45" s="3">
        <v>2</v>
      </c>
      <c r="V45" s="3">
        <v>1</v>
      </c>
      <c r="W45" s="3">
        <v>2</v>
      </c>
      <c r="X45" s="3">
        <v>1</v>
      </c>
      <c r="AA45" s="14" t="s">
        <v>267</v>
      </c>
      <c r="AB45" s="3">
        <v>9</v>
      </c>
      <c r="AD45" s="15">
        <v>2050</v>
      </c>
      <c r="AH45" s="8"/>
      <c r="AI45" s="8"/>
      <c r="AJ45" s="8"/>
      <c r="AM45" s="8"/>
    </row>
    <row r="46" spans="1:39">
      <c r="A46" s="14" t="s">
        <v>269</v>
      </c>
      <c r="E46" s="14" t="s">
        <v>251</v>
      </c>
      <c r="F46" s="3">
        <v>0</v>
      </c>
      <c r="G46" s="14" t="s">
        <v>268</v>
      </c>
      <c r="H46" s="3">
        <v>1</v>
      </c>
      <c r="I46" s="14" t="s">
        <v>268</v>
      </c>
      <c r="J46" s="3">
        <v>1</v>
      </c>
      <c r="K46" s="14" t="s">
        <v>268</v>
      </c>
      <c r="L46" s="3">
        <v>1</v>
      </c>
      <c r="M46" s="14" t="s">
        <v>268</v>
      </c>
      <c r="N46" s="3">
        <v>1</v>
      </c>
      <c r="O46" s="8" t="s">
        <v>268</v>
      </c>
      <c r="P46" s="8" t="s">
        <v>271</v>
      </c>
      <c r="Q46" s="8" t="s">
        <v>268</v>
      </c>
      <c r="R46" s="8" t="s">
        <v>30</v>
      </c>
      <c r="S46" s="14" t="s">
        <v>268</v>
      </c>
      <c r="T46" s="3">
        <v>2</v>
      </c>
      <c r="U46" s="3">
        <v>2</v>
      </c>
      <c r="V46" s="3">
        <v>1</v>
      </c>
      <c r="W46" s="3">
        <v>2</v>
      </c>
      <c r="X46" s="3">
        <v>1</v>
      </c>
      <c r="AA46" s="14" t="s">
        <v>268</v>
      </c>
      <c r="AB46" s="3">
        <v>8</v>
      </c>
      <c r="AH46" s="8"/>
      <c r="AI46" s="8"/>
      <c r="AJ46" s="8"/>
    </row>
    <row r="47" spans="1:39">
      <c r="A47" s="14" t="s">
        <v>270</v>
      </c>
      <c r="E47" s="14" t="s">
        <v>261</v>
      </c>
      <c r="F47" s="3">
        <v>0</v>
      </c>
      <c r="G47" s="14" t="s">
        <v>269</v>
      </c>
      <c r="H47" s="3">
        <v>1</v>
      </c>
      <c r="I47" s="14" t="s">
        <v>269</v>
      </c>
      <c r="J47" s="3">
        <v>1</v>
      </c>
      <c r="K47" s="14" t="s">
        <v>269</v>
      </c>
      <c r="L47" s="3">
        <v>1</v>
      </c>
      <c r="M47" s="14" t="s">
        <v>269</v>
      </c>
      <c r="N47" s="3">
        <v>1</v>
      </c>
      <c r="O47" s="8" t="s">
        <v>269</v>
      </c>
      <c r="P47" s="8" t="s">
        <v>271</v>
      </c>
      <c r="Q47" s="8" t="s">
        <v>269</v>
      </c>
      <c r="R47" s="8" t="s">
        <v>30</v>
      </c>
      <c r="S47" s="14" t="s">
        <v>269</v>
      </c>
      <c r="T47" s="3">
        <v>2</v>
      </c>
      <c r="U47" s="3">
        <v>2</v>
      </c>
      <c r="V47" s="3">
        <v>1</v>
      </c>
      <c r="W47" s="3">
        <v>2</v>
      </c>
      <c r="X47" s="3">
        <v>1</v>
      </c>
      <c r="AA47" s="14" t="s">
        <v>269</v>
      </c>
      <c r="AB47" s="3">
        <v>7</v>
      </c>
      <c r="AH47" s="8"/>
      <c r="AI47" s="8"/>
      <c r="AJ47" s="8"/>
    </row>
    <row r="48" spans="1:39">
      <c r="A48" s="14" t="s">
        <v>273</v>
      </c>
      <c r="E48" s="14" t="s">
        <v>252</v>
      </c>
      <c r="F48" s="3">
        <v>0</v>
      </c>
      <c r="G48" s="14" t="s">
        <v>270</v>
      </c>
      <c r="H48" s="3">
        <v>1</v>
      </c>
      <c r="I48" s="14" t="s">
        <v>270</v>
      </c>
      <c r="J48" s="3">
        <v>1</v>
      </c>
      <c r="K48" s="14" t="s">
        <v>270</v>
      </c>
      <c r="L48" s="3">
        <v>1</v>
      </c>
      <c r="M48" s="14" t="s">
        <v>270</v>
      </c>
      <c r="N48" s="3">
        <v>1</v>
      </c>
      <c r="O48" s="8" t="s">
        <v>270</v>
      </c>
      <c r="P48" s="8" t="s">
        <v>271</v>
      </c>
      <c r="Q48" s="8" t="s">
        <v>270</v>
      </c>
      <c r="R48" s="8" t="s">
        <v>30</v>
      </c>
      <c r="S48" s="14" t="s">
        <v>270</v>
      </c>
      <c r="T48" s="3">
        <v>2</v>
      </c>
      <c r="U48" s="3">
        <v>2</v>
      </c>
      <c r="V48" s="3">
        <v>1</v>
      </c>
      <c r="W48" s="3">
        <v>2</v>
      </c>
      <c r="X48" s="3">
        <v>1</v>
      </c>
      <c r="AA48" s="14" t="s">
        <v>270</v>
      </c>
      <c r="AB48" s="3">
        <v>6</v>
      </c>
      <c r="AH48" s="8"/>
      <c r="AI48" s="8"/>
      <c r="AJ48" s="8"/>
    </row>
    <row r="49" spans="1:36">
      <c r="A49" s="14" t="s">
        <v>280</v>
      </c>
      <c r="E49" s="14" t="s">
        <v>273</v>
      </c>
      <c r="F49" s="3">
        <v>0</v>
      </c>
      <c r="G49" s="14" t="s">
        <v>273</v>
      </c>
      <c r="H49" s="3">
        <v>0</v>
      </c>
      <c r="I49" s="14" t="s">
        <v>273</v>
      </c>
      <c r="J49" s="3">
        <v>0</v>
      </c>
      <c r="K49" s="14" t="s">
        <v>273</v>
      </c>
      <c r="L49" s="3">
        <v>1</v>
      </c>
      <c r="M49" s="14" t="s">
        <v>273</v>
      </c>
      <c r="N49" s="3">
        <v>1</v>
      </c>
      <c r="O49" s="8" t="s">
        <v>273</v>
      </c>
      <c r="P49" s="8" t="s">
        <v>272</v>
      </c>
      <c r="Q49" s="8" t="s">
        <v>273</v>
      </c>
      <c r="R49" s="8" t="s">
        <v>30</v>
      </c>
      <c r="S49" s="14" t="s">
        <v>273</v>
      </c>
      <c r="T49" s="3">
        <v>-1</v>
      </c>
      <c r="U49" s="3">
        <v>-1</v>
      </c>
      <c r="V49" s="3">
        <v>-1</v>
      </c>
      <c r="W49" s="3">
        <v>1</v>
      </c>
      <c r="X49" s="3">
        <v>-1</v>
      </c>
      <c r="AA49" s="14" t="s">
        <v>273</v>
      </c>
      <c r="AB49" s="3"/>
      <c r="AH49" s="8"/>
      <c r="AI49" s="8"/>
      <c r="AJ49" s="8"/>
    </row>
    <row r="50" spans="1:36">
      <c r="A50" s="14" t="s">
        <v>283</v>
      </c>
      <c r="E50" s="14" t="s">
        <v>237</v>
      </c>
      <c r="F50" s="3">
        <v>0</v>
      </c>
      <c r="G50" s="14" t="s">
        <v>280</v>
      </c>
      <c r="H50" s="3">
        <v>1</v>
      </c>
      <c r="I50" s="14" t="s">
        <v>280</v>
      </c>
      <c r="J50" s="3">
        <v>1</v>
      </c>
      <c r="K50" s="14" t="s">
        <v>280</v>
      </c>
      <c r="L50" s="3">
        <v>1</v>
      </c>
      <c r="M50" s="14" t="s">
        <v>280</v>
      </c>
      <c r="N50" s="3">
        <v>1</v>
      </c>
      <c r="O50" s="8" t="s">
        <v>280</v>
      </c>
      <c r="P50" s="8" t="s">
        <v>281</v>
      </c>
      <c r="Q50" s="8" t="s">
        <v>280</v>
      </c>
      <c r="R50" s="8" t="s">
        <v>30</v>
      </c>
      <c r="S50" s="14" t="s">
        <v>280</v>
      </c>
      <c r="T50" s="3">
        <v>-1</v>
      </c>
      <c r="U50" s="3">
        <v>-1</v>
      </c>
      <c r="V50" s="3">
        <v>-1</v>
      </c>
      <c r="W50" s="3">
        <v>1</v>
      </c>
      <c r="X50" s="3">
        <v>-1</v>
      </c>
      <c r="AA50" s="14" t="s">
        <v>280</v>
      </c>
      <c r="AB50" s="3"/>
      <c r="AH50" s="8"/>
      <c r="AI50" s="8"/>
      <c r="AJ50" s="8"/>
    </row>
    <row r="51" spans="1:36">
      <c r="A51" s="14" t="s">
        <v>238</v>
      </c>
      <c r="E51" s="14" t="s">
        <v>201</v>
      </c>
      <c r="F51" s="3">
        <v>0</v>
      </c>
      <c r="G51" s="14" t="s">
        <v>283</v>
      </c>
      <c r="H51" s="3">
        <v>1</v>
      </c>
      <c r="I51" s="14" t="s">
        <v>283</v>
      </c>
      <c r="J51" s="3">
        <v>1</v>
      </c>
      <c r="K51" s="14" t="s">
        <v>283</v>
      </c>
      <c r="L51" s="3">
        <v>1</v>
      </c>
      <c r="M51" s="14" t="s">
        <v>283</v>
      </c>
      <c r="N51" s="3">
        <v>1</v>
      </c>
      <c r="O51" s="8" t="s">
        <v>283</v>
      </c>
      <c r="P51" s="8" t="s">
        <v>282</v>
      </c>
      <c r="Q51" s="8" t="s">
        <v>283</v>
      </c>
      <c r="R51" s="8" t="s">
        <v>30</v>
      </c>
      <c r="S51" s="14" t="s">
        <v>283</v>
      </c>
      <c r="T51" s="3">
        <v>-1</v>
      </c>
      <c r="U51" s="3">
        <v>-1</v>
      </c>
      <c r="V51" s="3">
        <v>-1</v>
      </c>
      <c r="W51" s="3">
        <v>1</v>
      </c>
      <c r="X51" s="3">
        <v>-1</v>
      </c>
      <c r="AA51" s="14" t="s">
        <v>283</v>
      </c>
      <c r="AB51" s="3"/>
      <c r="AH51" s="8"/>
      <c r="AI51" s="8"/>
      <c r="AJ51" s="8"/>
    </row>
    <row r="52" spans="1:36">
      <c r="A52" s="14" t="s">
        <v>284</v>
      </c>
      <c r="E52" s="14" t="s">
        <v>195</v>
      </c>
      <c r="F52" s="3">
        <v>0</v>
      </c>
      <c r="G52" s="14" t="s">
        <v>284</v>
      </c>
      <c r="H52" s="3">
        <v>1</v>
      </c>
      <c r="I52" s="14" t="s">
        <v>284</v>
      </c>
      <c r="J52" s="3">
        <v>1</v>
      </c>
      <c r="K52" s="14" t="s">
        <v>284</v>
      </c>
      <c r="L52" s="3">
        <v>1</v>
      </c>
      <c r="M52" s="14" t="s">
        <v>284</v>
      </c>
      <c r="N52" s="3">
        <v>1</v>
      </c>
      <c r="O52" s="8" t="s">
        <v>284</v>
      </c>
      <c r="P52" s="8" t="s">
        <v>282</v>
      </c>
      <c r="Q52" s="8" t="s">
        <v>284</v>
      </c>
      <c r="R52" s="8" t="s">
        <v>31</v>
      </c>
      <c r="S52" s="14" t="s">
        <v>284</v>
      </c>
      <c r="T52" s="3">
        <v>-1</v>
      </c>
      <c r="U52" s="3">
        <v>-1</v>
      </c>
      <c r="V52" s="3">
        <v>-1</v>
      </c>
      <c r="W52" s="3">
        <v>1</v>
      </c>
      <c r="X52" s="3">
        <v>-1</v>
      </c>
      <c r="AA52" s="14" t="s">
        <v>284</v>
      </c>
      <c r="AB52" s="3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D52"/>
  <sheetViews>
    <sheetView tabSelected="1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15" sqref="B14:B15"/>
    </sheetView>
  </sheetViews>
  <sheetFormatPr defaultRowHeight="15"/>
  <cols>
    <col min="1" max="1" width="8.42578125" customWidth="1"/>
    <col min="2" max="2" width="23" bestFit="1" customWidth="1"/>
    <col min="3" max="3" width="37.5703125" customWidth="1"/>
    <col min="4" max="4" width="20.5703125" style="8" customWidth="1"/>
    <col min="5" max="5" width="20.28515625" customWidth="1"/>
    <col min="6" max="6" width="20.28515625" style="8" customWidth="1"/>
    <col min="7" max="9" width="11.5703125" style="8" customWidth="1"/>
    <col min="10" max="10" width="15.85546875" style="8" customWidth="1"/>
    <col min="11" max="13" width="11.5703125" style="8" customWidth="1"/>
    <col min="14" max="14" width="7" style="8" customWidth="1"/>
    <col min="15" max="15" width="8.140625" style="8" customWidth="1"/>
    <col min="16" max="16" width="11.5703125" customWidth="1"/>
    <col min="19" max="31" width="5.5703125" customWidth="1"/>
    <col min="32" max="50" width="6.42578125" customWidth="1"/>
  </cols>
  <sheetData>
    <row r="1" spans="1:56">
      <c r="A1" s="8" t="s">
        <v>207</v>
      </c>
      <c r="B1" s="8" t="str" cm="1">
        <f t="array" aca="1" ref="B1" ca="1">LEFT(CELL("filename",A1),FIND("[",CELL("filename",A1))-1)</f>
        <v>C:\Models\SATIMGE\</v>
      </c>
      <c r="C1" s="8"/>
      <c r="E1" s="8"/>
      <c r="J1" s="8" t="s">
        <v>188</v>
      </c>
      <c r="K1" s="8">
        <v>-1</v>
      </c>
      <c r="L1" s="8">
        <v>-1</v>
      </c>
      <c r="M1" s="8">
        <v>-1</v>
      </c>
      <c r="N1" s="8">
        <v>1</v>
      </c>
      <c r="O1" s="8">
        <v>-1</v>
      </c>
    </row>
    <row r="2" spans="1:56">
      <c r="B2" s="8"/>
      <c r="E2" s="8"/>
      <c r="J2" s="8" t="s">
        <v>189</v>
      </c>
      <c r="K2" s="8">
        <v>2</v>
      </c>
      <c r="L2" s="8">
        <v>2</v>
      </c>
      <c r="M2" s="8">
        <v>1</v>
      </c>
      <c r="N2" s="8">
        <v>2</v>
      </c>
      <c r="O2" s="8">
        <v>1</v>
      </c>
    </row>
    <row r="3" spans="1:56">
      <c r="B3" s="8"/>
      <c r="E3" s="8"/>
      <c r="J3" s="8" t="s">
        <v>190</v>
      </c>
      <c r="K3" s="8">
        <v>2</v>
      </c>
      <c r="L3" s="8">
        <v>2</v>
      </c>
      <c r="M3" s="8">
        <v>2</v>
      </c>
      <c r="N3" s="8">
        <v>1</v>
      </c>
      <c r="O3" s="8">
        <v>2</v>
      </c>
    </row>
    <row r="4" spans="1:56">
      <c r="B4" s="8"/>
      <c r="E4" s="8"/>
      <c r="J4" s="8" t="s">
        <v>191</v>
      </c>
      <c r="K4" s="8">
        <v>1</v>
      </c>
      <c r="L4" s="8">
        <v>1</v>
      </c>
      <c r="M4" s="8">
        <v>3</v>
      </c>
      <c r="N4" s="8">
        <v>3</v>
      </c>
      <c r="O4" s="8">
        <v>3</v>
      </c>
    </row>
    <row r="5" spans="1:56" ht="45">
      <c r="A5" s="8"/>
      <c r="G5" s="9" t="s">
        <v>62</v>
      </c>
      <c r="H5" s="11"/>
      <c r="I5" s="11"/>
      <c r="J5" s="11"/>
      <c r="K5" s="11"/>
      <c r="L5" s="11"/>
      <c r="M5" s="11"/>
      <c r="N5" s="11"/>
      <c r="O5" s="11"/>
      <c r="AZ5" t="s">
        <v>274</v>
      </c>
    </row>
    <row r="6" spans="1:56">
      <c r="A6" s="6"/>
      <c r="B6" s="5"/>
      <c r="D6" s="10"/>
      <c r="E6" s="4"/>
      <c r="F6" s="12"/>
      <c r="G6" s="8">
        <v>3</v>
      </c>
      <c r="H6" s="12"/>
      <c r="I6" s="12"/>
      <c r="J6" s="12"/>
      <c r="K6" s="12"/>
      <c r="L6" s="12"/>
      <c r="M6" s="12"/>
      <c r="N6" s="12"/>
      <c r="O6" s="12"/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</row>
    <row r="7" spans="1:56" ht="45">
      <c r="A7" s="7" t="s">
        <v>9</v>
      </c>
      <c r="B7" s="2" t="s">
        <v>35</v>
      </c>
      <c r="C7" s="2" t="s">
        <v>204</v>
      </c>
      <c r="D7" s="2" t="s">
        <v>29</v>
      </c>
      <c r="E7" s="2" t="s">
        <v>28</v>
      </c>
      <c r="F7" s="2" t="s">
        <v>34</v>
      </c>
      <c r="G7" s="9" t="s">
        <v>13</v>
      </c>
      <c r="H7" s="9" t="s">
        <v>192</v>
      </c>
      <c r="I7" s="9" t="s">
        <v>36</v>
      </c>
      <c r="J7" s="9" t="s">
        <v>37</v>
      </c>
      <c r="K7" s="9" t="s">
        <v>179</v>
      </c>
      <c r="L7" s="9" t="s">
        <v>180</v>
      </c>
      <c r="M7" s="9" t="s">
        <v>181</v>
      </c>
      <c r="N7" s="9" t="s">
        <v>183</v>
      </c>
      <c r="O7" s="9" t="s">
        <v>182</v>
      </c>
      <c r="P7" s="9" t="s">
        <v>12</v>
      </c>
      <c r="R7">
        <v>2018</v>
      </c>
      <c r="S7">
        <f>R7+1</f>
        <v>2019</v>
      </c>
      <c r="T7" s="8">
        <f t="shared" ref="T7:AX7" si="0">S7+1</f>
        <v>2020</v>
      </c>
      <c r="U7" s="8">
        <f t="shared" si="0"/>
        <v>2021</v>
      </c>
      <c r="V7" s="8">
        <f t="shared" si="0"/>
        <v>2022</v>
      </c>
      <c r="W7" s="8">
        <f t="shared" si="0"/>
        <v>2023</v>
      </c>
      <c r="X7" s="8">
        <f t="shared" si="0"/>
        <v>2024</v>
      </c>
      <c r="Y7" s="8">
        <f t="shared" si="0"/>
        <v>2025</v>
      </c>
      <c r="Z7" s="8">
        <f t="shared" si="0"/>
        <v>2026</v>
      </c>
      <c r="AA7" s="8">
        <f t="shared" si="0"/>
        <v>2027</v>
      </c>
      <c r="AB7" s="8">
        <f t="shared" si="0"/>
        <v>2028</v>
      </c>
      <c r="AC7" s="8">
        <f t="shared" si="0"/>
        <v>2029</v>
      </c>
      <c r="AD7" s="8">
        <f t="shared" si="0"/>
        <v>2030</v>
      </c>
      <c r="AE7" s="8">
        <f t="shared" si="0"/>
        <v>2031</v>
      </c>
      <c r="AF7" s="8">
        <f t="shared" si="0"/>
        <v>2032</v>
      </c>
      <c r="AG7" s="8">
        <f t="shared" si="0"/>
        <v>2033</v>
      </c>
      <c r="AH7" s="8">
        <f t="shared" si="0"/>
        <v>2034</v>
      </c>
      <c r="AI7" s="8">
        <f t="shared" si="0"/>
        <v>2035</v>
      </c>
      <c r="AJ7" s="8">
        <f t="shared" si="0"/>
        <v>2036</v>
      </c>
      <c r="AK7" s="8">
        <f t="shared" si="0"/>
        <v>2037</v>
      </c>
      <c r="AL7" s="8">
        <f t="shared" si="0"/>
        <v>2038</v>
      </c>
      <c r="AM7" s="8">
        <f t="shared" si="0"/>
        <v>2039</v>
      </c>
      <c r="AN7" s="8">
        <f t="shared" si="0"/>
        <v>2040</v>
      </c>
      <c r="AO7" s="8">
        <f t="shared" si="0"/>
        <v>2041</v>
      </c>
      <c r="AP7" s="8">
        <f t="shared" si="0"/>
        <v>2042</v>
      </c>
      <c r="AQ7" s="8">
        <f t="shared" si="0"/>
        <v>2043</v>
      </c>
      <c r="AR7" s="8">
        <f t="shared" si="0"/>
        <v>2044</v>
      </c>
      <c r="AS7" s="8">
        <f t="shared" si="0"/>
        <v>2045</v>
      </c>
      <c r="AT7" s="8">
        <f t="shared" si="0"/>
        <v>2046</v>
      </c>
      <c r="AU7" s="8">
        <f t="shared" si="0"/>
        <v>2047</v>
      </c>
      <c r="AV7" s="8">
        <f t="shared" si="0"/>
        <v>2048</v>
      </c>
      <c r="AW7" s="8">
        <f t="shared" si="0"/>
        <v>2049</v>
      </c>
      <c r="AX7" s="8">
        <f t="shared" si="0"/>
        <v>2050</v>
      </c>
      <c r="AZ7" t="s">
        <v>275</v>
      </c>
      <c r="BA7" t="s">
        <v>276</v>
      </c>
      <c r="BB7" t="s">
        <v>277</v>
      </c>
      <c r="BC7" t="s">
        <v>278</v>
      </c>
      <c r="BD7" t="s">
        <v>279</v>
      </c>
    </row>
    <row r="8" spans="1:56" s="8" customFormat="1">
      <c r="A8" s="18">
        <v>1</v>
      </c>
      <c r="B8" s="8" t="s">
        <v>196</v>
      </c>
      <c r="C8" s="8" t="s">
        <v>205</v>
      </c>
      <c r="D8" s="8" t="s">
        <v>30</v>
      </c>
      <c r="E8" s="8" t="s">
        <v>200</v>
      </c>
      <c r="F8" s="8">
        <v>1</v>
      </c>
      <c r="G8" s="8">
        <v>1</v>
      </c>
      <c r="H8" s="8" t="str">
        <f>J1</f>
        <v>No Pams</v>
      </c>
      <c r="I8" s="8">
        <v>1</v>
      </c>
      <c r="J8" s="8">
        <v>1</v>
      </c>
      <c r="K8" s="8">
        <f t="shared" ref="K8:K14" si="1">INDEX(K$1:K$4,MATCH($H8,$J$1:$J$4,0))</f>
        <v>-1</v>
      </c>
      <c r="L8" s="8">
        <f t="shared" ref="L8:O41" si="2">INDEX(L$1:L$4,MATCH($H8,$J$1:$J$4,0))</f>
        <v>-1</v>
      </c>
      <c r="M8" s="8">
        <f t="shared" si="2"/>
        <v>-1</v>
      </c>
      <c r="N8" s="8">
        <f t="shared" si="2"/>
        <v>1</v>
      </c>
      <c r="O8" s="8">
        <f t="shared" si="2"/>
        <v>-1</v>
      </c>
      <c r="Q8" s="8" t="str">
        <f>B8</f>
        <v>NoPAMS</v>
      </c>
      <c r="AZ8" s="8">
        <v>1</v>
      </c>
      <c r="BA8" s="8">
        <v>1</v>
      </c>
      <c r="BB8" s="8">
        <v>1</v>
      </c>
    </row>
    <row r="9" spans="1:56" s="8" customFormat="1">
      <c r="A9" s="18">
        <v>0</v>
      </c>
      <c r="B9" s="8" t="s">
        <v>220</v>
      </c>
      <c r="C9" s="8" t="s">
        <v>205</v>
      </c>
      <c r="D9" s="8" t="s">
        <v>30</v>
      </c>
      <c r="E9" s="8" t="s">
        <v>221</v>
      </c>
      <c r="F9" s="8">
        <v>1</v>
      </c>
      <c r="G9" s="8">
        <v>1</v>
      </c>
      <c r="H9" s="8" t="s">
        <v>190</v>
      </c>
      <c r="I9" s="8">
        <v>1</v>
      </c>
      <c r="J9" s="8">
        <v>1</v>
      </c>
      <c r="K9" s="8">
        <f t="shared" si="1"/>
        <v>2</v>
      </c>
      <c r="L9" s="8">
        <f t="shared" si="2"/>
        <v>2</v>
      </c>
      <c r="M9" s="8">
        <f t="shared" si="2"/>
        <v>2</v>
      </c>
      <c r="N9" s="8">
        <f t="shared" si="2"/>
        <v>1</v>
      </c>
      <c r="O9" s="8">
        <f t="shared" si="2"/>
        <v>2</v>
      </c>
      <c r="Q9" s="8" t="str">
        <f>B9</f>
        <v>LoPAMS</v>
      </c>
      <c r="AZ9" s="8">
        <v>1</v>
      </c>
    </row>
    <row r="10" spans="1:56" s="8" customFormat="1">
      <c r="A10" s="18">
        <v>0</v>
      </c>
      <c r="B10" s="8" t="s">
        <v>208</v>
      </c>
      <c r="C10" s="8" t="s">
        <v>205</v>
      </c>
      <c r="D10" s="8" t="s">
        <v>30</v>
      </c>
      <c r="E10" s="8" t="s">
        <v>209</v>
      </c>
      <c r="F10" s="8">
        <v>1</v>
      </c>
      <c r="G10" s="8">
        <v>1</v>
      </c>
      <c r="H10" s="8" t="s">
        <v>189</v>
      </c>
      <c r="I10" s="8">
        <v>1</v>
      </c>
      <c r="J10" s="8">
        <v>1</v>
      </c>
      <c r="K10" s="8">
        <f t="shared" si="1"/>
        <v>2</v>
      </c>
      <c r="L10" s="8">
        <f t="shared" ref="L10:O13" si="3">INDEX(L$1:L$4,MATCH($H10,$J$1:$J$4,0))</f>
        <v>2</v>
      </c>
      <c r="M10" s="8">
        <f t="shared" si="3"/>
        <v>1</v>
      </c>
      <c r="N10" s="8">
        <f t="shared" si="3"/>
        <v>2</v>
      </c>
      <c r="O10" s="8">
        <f t="shared" si="3"/>
        <v>1</v>
      </c>
      <c r="Q10" s="8" t="str">
        <f t="shared" ref="Q10" si="4">B10</f>
        <v>CPAMS-NoIRP</v>
      </c>
      <c r="AZ10" s="8">
        <v>1</v>
      </c>
    </row>
    <row r="11" spans="1:56" s="8" customFormat="1">
      <c r="A11" s="18">
        <v>0</v>
      </c>
      <c r="B11" s="8" t="s">
        <v>214</v>
      </c>
      <c r="C11" s="8" t="s">
        <v>205</v>
      </c>
      <c r="D11" s="8" t="s">
        <v>30</v>
      </c>
      <c r="E11" s="8" t="s">
        <v>215</v>
      </c>
      <c r="F11" s="8">
        <v>1</v>
      </c>
      <c r="G11" s="8">
        <v>1</v>
      </c>
      <c r="H11" s="8" t="s">
        <v>189</v>
      </c>
      <c r="I11" s="8">
        <v>1</v>
      </c>
      <c r="J11" s="8">
        <v>1</v>
      </c>
      <c r="K11" s="8">
        <f t="shared" si="1"/>
        <v>2</v>
      </c>
      <c r="L11" s="8">
        <f t="shared" si="3"/>
        <v>2</v>
      </c>
      <c r="M11" s="8">
        <f t="shared" si="3"/>
        <v>1</v>
      </c>
      <c r="N11" s="8">
        <f t="shared" si="3"/>
        <v>2</v>
      </c>
      <c r="O11" s="8">
        <f t="shared" si="3"/>
        <v>1</v>
      </c>
      <c r="Q11" s="8" t="str">
        <f t="shared" ref="Q11" si="5">B11</f>
        <v>CPAMS-MRE</v>
      </c>
      <c r="AZ11" s="8">
        <v>1</v>
      </c>
    </row>
    <row r="12" spans="1:56" s="8" customFormat="1">
      <c r="A12" s="18">
        <v>0</v>
      </c>
      <c r="B12" s="8" t="s">
        <v>222</v>
      </c>
      <c r="C12" s="8" t="s">
        <v>205</v>
      </c>
      <c r="D12" s="8" t="s">
        <v>30</v>
      </c>
      <c r="E12" s="8" t="s">
        <v>218</v>
      </c>
      <c r="F12" s="8">
        <v>1</v>
      </c>
      <c r="G12" s="8">
        <v>1</v>
      </c>
      <c r="H12" s="8" t="str">
        <f>H20</f>
        <v>Base Pams</v>
      </c>
      <c r="I12" s="8">
        <v>1</v>
      </c>
      <c r="J12" s="8">
        <v>1</v>
      </c>
      <c r="K12" s="8">
        <f t="shared" si="1"/>
        <v>2</v>
      </c>
      <c r="L12" s="8">
        <f t="shared" si="3"/>
        <v>2</v>
      </c>
      <c r="M12" s="8">
        <f t="shared" si="3"/>
        <v>1</v>
      </c>
      <c r="N12" s="8">
        <f t="shared" si="3"/>
        <v>2</v>
      </c>
      <c r="O12" s="8">
        <f t="shared" si="3"/>
        <v>1</v>
      </c>
      <c r="Q12" s="8" t="str">
        <f>B12</f>
        <v>CPAMS-RE</v>
      </c>
      <c r="AZ12" s="8">
        <v>1</v>
      </c>
    </row>
    <row r="13" spans="1:56" s="8" customFormat="1">
      <c r="A13" s="18">
        <v>0</v>
      </c>
      <c r="B13" s="8" t="s">
        <v>194</v>
      </c>
      <c r="C13" s="8" t="s">
        <v>205</v>
      </c>
      <c r="D13" s="8" t="s">
        <v>30</v>
      </c>
      <c r="E13" s="8" t="s">
        <v>193</v>
      </c>
      <c r="F13" s="8">
        <v>1</v>
      </c>
      <c r="G13" s="8">
        <v>1</v>
      </c>
      <c r="H13" s="8" t="str">
        <f>J2</f>
        <v>Base Pams</v>
      </c>
      <c r="I13" s="8">
        <v>1</v>
      </c>
      <c r="J13" s="8">
        <v>1</v>
      </c>
      <c r="K13" s="8">
        <f t="shared" si="1"/>
        <v>2</v>
      </c>
      <c r="L13" s="8">
        <f t="shared" si="3"/>
        <v>2</v>
      </c>
      <c r="M13" s="8">
        <f t="shared" si="3"/>
        <v>1</v>
      </c>
      <c r="N13" s="8">
        <f t="shared" si="3"/>
        <v>2</v>
      </c>
      <c r="O13" s="8">
        <f t="shared" si="3"/>
        <v>1</v>
      </c>
      <c r="Q13" s="8" t="str">
        <f>B13</f>
        <v>CPAMS</v>
      </c>
      <c r="AZ13" s="8">
        <v>1</v>
      </c>
      <c r="BA13" s="8">
        <v>1</v>
      </c>
    </row>
    <row r="14" spans="1:56">
      <c r="A14" s="18">
        <v>0</v>
      </c>
      <c r="B14" t="s">
        <v>198</v>
      </c>
      <c r="C14" t="s">
        <v>205</v>
      </c>
      <c r="D14" s="8" t="s">
        <v>30</v>
      </c>
      <c r="E14" t="s">
        <v>199</v>
      </c>
      <c r="F14" s="8">
        <v>1</v>
      </c>
      <c r="G14" s="8">
        <v>1</v>
      </c>
      <c r="H14" s="8" t="s">
        <v>191</v>
      </c>
      <c r="I14" s="8">
        <v>1</v>
      </c>
      <c r="J14" s="8">
        <v>1</v>
      </c>
      <c r="K14" s="8">
        <f t="shared" si="1"/>
        <v>1</v>
      </c>
      <c r="L14" s="8">
        <f t="shared" ref="L14:L19" si="6">INDEX(L$1:L$4,MATCH($H14,$J$1:$J$4,0))</f>
        <v>1</v>
      </c>
      <c r="M14" s="8">
        <f t="shared" ref="M14:O14" si="7">INDEX(M$1:M$4,MATCH($H14,$J$1:$J$4,0))</f>
        <v>3</v>
      </c>
      <c r="N14" s="8">
        <f t="shared" si="7"/>
        <v>3</v>
      </c>
      <c r="O14" s="8">
        <f t="shared" si="7"/>
        <v>3</v>
      </c>
      <c r="P14" s="8"/>
      <c r="Q14" s="8" t="str">
        <f>B14</f>
        <v>HiPam</v>
      </c>
      <c r="AZ14" s="8">
        <v>1</v>
      </c>
    </row>
    <row r="15" spans="1:56" s="8" customFormat="1">
      <c r="A15" s="18">
        <v>0</v>
      </c>
      <c r="B15" s="8" t="s">
        <v>228</v>
      </c>
      <c r="C15" s="8" t="s">
        <v>205</v>
      </c>
      <c r="D15" s="8" t="s">
        <v>30</v>
      </c>
      <c r="E15" s="8" t="s">
        <v>229</v>
      </c>
      <c r="F15" s="8">
        <v>1</v>
      </c>
      <c r="G15" s="8">
        <v>0</v>
      </c>
      <c r="H15" s="8" t="s">
        <v>188</v>
      </c>
      <c r="I15" s="8">
        <v>1</v>
      </c>
      <c r="J15" s="8">
        <v>1</v>
      </c>
      <c r="K15" s="8">
        <f>INDEX(K$1:K$4,MATCH($H15,$J$1:$J$4,0))</f>
        <v>-1</v>
      </c>
      <c r="L15" s="8">
        <f t="shared" si="6"/>
        <v>-1</v>
      </c>
      <c r="M15" s="8">
        <f t="shared" ref="M15:O19" si="8">INDEX(M$1:M$4,MATCH($H15,$J$1:$J$4,0))</f>
        <v>-1</v>
      </c>
      <c r="N15" s="8">
        <f t="shared" si="8"/>
        <v>1</v>
      </c>
      <c r="O15" s="8">
        <f t="shared" si="8"/>
        <v>-1</v>
      </c>
      <c r="Q15" s="8" t="str">
        <f t="shared" ref="Q15" si="9">B15</f>
        <v>NoPAMS_NDP</v>
      </c>
      <c r="AZ15" s="8">
        <v>1</v>
      </c>
    </row>
    <row r="16" spans="1:56" s="8" customFormat="1">
      <c r="A16" s="18">
        <v>0</v>
      </c>
      <c r="B16" s="8" t="s">
        <v>230</v>
      </c>
      <c r="C16" s="8" t="s">
        <v>205</v>
      </c>
      <c r="D16" s="8" t="s">
        <v>30</v>
      </c>
      <c r="E16" s="8" t="s">
        <v>230</v>
      </c>
      <c r="F16" s="8">
        <v>1</v>
      </c>
      <c r="G16" s="8">
        <v>0</v>
      </c>
      <c r="H16" s="8" t="s">
        <v>189</v>
      </c>
      <c r="I16" s="8">
        <v>1</v>
      </c>
      <c r="J16" s="8">
        <v>1</v>
      </c>
      <c r="K16" s="8">
        <f>INDEX(K$1:K$4,MATCH($H16,$J$1:$J$4,0))</f>
        <v>2</v>
      </c>
      <c r="L16" s="8">
        <f t="shared" si="6"/>
        <v>2</v>
      </c>
      <c r="M16" s="8">
        <f t="shared" si="8"/>
        <v>1</v>
      </c>
      <c r="N16" s="8">
        <f t="shared" si="8"/>
        <v>2</v>
      </c>
      <c r="O16" s="8">
        <f t="shared" si="8"/>
        <v>1</v>
      </c>
      <c r="Q16" s="8" t="str">
        <f t="shared" ref="Q16" si="10">B16</f>
        <v>CPAMS_NDP</v>
      </c>
      <c r="AZ16" s="8">
        <v>1</v>
      </c>
    </row>
    <row r="17" spans="1:54" s="8" customFormat="1">
      <c r="A17" s="18">
        <v>0</v>
      </c>
      <c r="B17" s="8" t="s">
        <v>234</v>
      </c>
      <c r="C17" s="8" t="s">
        <v>205</v>
      </c>
      <c r="D17" s="8" t="s">
        <v>30</v>
      </c>
      <c r="E17" s="8" t="s">
        <v>231</v>
      </c>
      <c r="F17" s="8">
        <v>1</v>
      </c>
      <c r="G17" s="8">
        <v>1</v>
      </c>
      <c r="H17" s="8" t="s">
        <v>188</v>
      </c>
      <c r="I17" s="8">
        <v>1</v>
      </c>
      <c r="J17" s="8">
        <v>1</v>
      </c>
      <c r="K17" s="8">
        <f>INDEX(K$1:K$4,MATCH($H17,$J$1:$J$4,0))</f>
        <v>-1</v>
      </c>
      <c r="L17" s="8">
        <f t="shared" si="6"/>
        <v>-1</v>
      </c>
      <c r="M17" s="8">
        <f t="shared" si="8"/>
        <v>-1</v>
      </c>
      <c r="N17" s="8">
        <f t="shared" si="8"/>
        <v>1</v>
      </c>
      <c r="O17" s="8">
        <f t="shared" si="8"/>
        <v>-1</v>
      </c>
      <c r="Q17" s="8" t="str">
        <f t="shared" ref="Q17" si="11">B17</f>
        <v>NoPAMS-LEAF</v>
      </c>
      <c r="AZ17" s="8">
        <v>1</v>
      </c>
      <c r="BB17" s="8">
        <v>1</v>
      </c>
    </row>
    <row r="18" spans="1:54" s="8" customFormat="1">
      <c r="A18" s="18">
        <v>0</v>
      </c>
      <c r="B18" s="8" t="s">
        <v>235</v>
      </c>
      <c r="C18" s="8" t="s">
        <v>205</v>
      </c>
      <c r="D18" s="8" t="s">
        <v>30</v>
      </c>
      <c r="E18" s="8" t="s">
        <v>233</v>
      </c>
      <c r="F18" s="8">
        <v>1</v>
      </c>
      <c r="G18" s="8">
        <v>1</v>
      </c>
      <c r="H18" s="8" t="s">
        <v>189</v>
      </c>
      <c r="I18" s="8">
        <v>1</v>
      </c>
      <c r="J18" s="8">
        <v>1</v>
      </c>
      <c r="K18" s="8">
        <f>INDEX(K$1:K$4,MATCH($H18,$J$1:$J$4,0))</f>
        <v>2</v>
      </c>
      <c r="L18" s="8">
        <f t="shared" si="6"/>
        <v>2</v>
      </c>
      <c r="M18" s="8">
        <f t="shared" si="8"/>
        <v>1</v>
      </c>
      <c r="N18" s="8">
        <f t="shared" si="8"/>
        <v>2</v>
      </c>
      <c r="O18" s="8">
        <f t="shared" si="8"/>
        <v>1</v>
      </c>
      <c r="Q18" s="8" t="str">
        <f t="shared" ref="Q18" si="12">B18</f>
        <v>CPAMS-LEAF</v>
      </c>
      <c r="AZ18" s="8">
        <v>1</v>
      </c>
    </row>
    <row r="19" spans="1:54" s="8" customFormat="1">
      <c r="A19" s="18">
        <v>0</v>
      </c>
      <c r="B19" s="8" t="s">
        <v>236</v>
      </c>
      <c r="C19" s="8" t="s">
        <v>205</v>
      </c>
      <c r="D19" s="8" t="s">
        <v>30</v>
      </c>
      <c r="E19" s="8" t="s">
        <v>232</v>
      </c>
      <c r="F19" s="8">
        <v>1</v>
      </c>
      <c r="G19" s="8">
        <v>1</v>
      </c>
      <c r="H19" s="8" t="s">
        <v>189</v>
      </c>
      <c r="I19" s="8">
        <v>1</v>
      </c>
      <c r="J19" s="8">
        <v>1</v>
      </c>
      <c r="K19" s="8">
        <f>INDEX(K$1:K$4,MATCH($H19,$J$1:$J$4,0))</f>
        <v>2</v>
      </c>
      <c r="L19" s="8">
        <f t="shared" si="6"/>
        <v>2</v>
      </c>
      <c r="M19" s="8">
        <f t="shared" si="8"/>
        <v>1</v>
      </c>
      <c r="N19" s="8">
        <f t="shared" si="8"/>
        <v>2</v>
      </c>
      <c r="O19" s="8">
        <f t="shared" si="8"/>
        <v>1</v>
      </c>
      <c r="Q19" s="8" t="str">
        <f t="shared" ref="Q19" si="13">B19</f>
        <v>CPAMS-RE-LEAF</v>
      </c>
      <c r="AZ19" s="8">
        <v>1</v>
      </c>
    </row>
    <row r="20" spans="1:54" s="8" customFormat="1">
      <c r="A20" s="18">
        <v>0</v>
      </c>
      <c r="B20" s="8" t="s">
        <v>197</v>
      </c>
      <c r="C20" s="8" t="s">
        <v>205</v>
      </c>
      <c r="D20" s="8" t="s">
        <v>31</v>
      </c>
      <c r="E20" s="8" t="s">
        <v>202</v>
      </c>
      <c r="F20" s="8">
        <v>1</v>
      </c>
      <c r="G20" s="8">
        <v>1</v>
      </c>
      <c r="H20" s="8" t="str">
        <f>H13</f>
        <v>Base Pams</v>
      </c>
      <c r="I20" s="8">
        <v>1</v>
      </c>
      <c r="J20" s="8">
        <v>1</v>
      </c>
      <c r="K20" s="8">
        <f t="shared" ref="K20:K41" si="14">INDEX(K$1:K$4,MATCH($H20,$J$1:$J$4,0))</f>
        <v>2</v>
      </c>
      <c r="L20" s="8">
        <f t="shared" si="2"/>
        <v>2</v>
      </c>
      <c r="M20" s="8">
        <f t="shared" si="2"/>
        <v>1</v>
      </c>
      <c r="N20" s="8">
        <f t="shared" si="2"/>
        <v>2</v>
      </c>
      <c r="O20" s="8">
        <f t="shared" si="2"/>
        <v>1</v>
      </c>
      <c r="Q20" s="8" t="str">
        <f t="shared" ref="Q20:Q24" si="15">B20</f>
        <v>CPAMS-TrGr</v>
      </c>
      <c r="AZ20" s="8">
        <v>1</v>
      </c>
    </row>
    <row r="21" spans="1:54">
      <c r="A21" s="18">
        <v>0</v>
      </c>
      <c r="B21" s="8" t="s">
        <v>223</v>
      </c>
      <c r="C21" t="s">
        <v>205</v>
      </c>
      <c r="D21" s="8" t="s">
        <v>31</v>
      </c>
      <c r="E21" t="s">
        <v>219</v>
      </c>
      <c r="F21" s="8">
        <v>1</v>
      </c>
      <c r="G21" s="8">
        <v>1</v>
      </c>
      <c r="H21" s="8" t="s">
        <v>189</v>
      </c>
      <c r="I21" s="8">
        <v>1</v>
      </c>
      <c r="J21" s="8">
        <v>1</v>
      </c>
      <c r="K21" s="8">
        <f t="shared" si="14"/>
        <v>2</v>
      </c>
      <c r="L21" s="8">
        <f t="shared" si="2"/>
        <v>2</v>
      </c>
      <c r="M21" s="8">
        <f t="shared" si="2"/>
        <v>1</v>
      </c>
      <c r="N21" s="8">
        <f t="shared" si="2"/>
        <v>2</v>
      </c>
      <c r="O21" s="8">
        <f t="shared" si="2"/>
        <v>1</v>
      </c>
      <c r="P21" s="8"/>
      <c r="Q21" s="8" t="str">
        <f t="shared" si="15"/>
        <v>CPAMS-TrGr-RE</v>
      </c>
      <c r="AZ21" s="8">
        <v>1</v>
      </c>
    </row>
    <row r="22" spans="1:54" s="8" customFormat="1">
      <c r="A22" s="18">
        <v>0</v>
      </c>
      <c r="B22" s="8" t="s">
        <v>226</v>
      </c>
      <c r="C22" s="8" t="s">
        <v>205</v>
      </c>
      <c r="D22" s="8" t="s">
        <v>31</v>
      </c>
      <c r="E22" s="8" t="s">
        <v>227</v>
      </c>
      <c r="F22" s="8">
        <v>1</v>
      </c>
      <c r="G22" s="8">
        <v>1</v>
      </c>
      <c r="H22" s="8" t="s">
        <v>189</v>
      </c>
      <c r="I22" s="8">
        <v>1</v>
      </c>
      <c r="J22" s="8">
        <v>1</v>
      </c>
      <c r="K22" s="8">
        <f t="shared" si="14"/>
        <v>2</v>
      </c>
      <c r="L22" s="8">
        <f t="shared" si="2"/>
        <v>2</v>
      </c>
      <c r="M22" s="8">
        <f t="shared" si="2"/>
        <v>1</v>
      </c>
      <c r="N22" s="8">
        <f t="shared" si="2"/>
        <v>2</v>
      </c>
      <c r="O22" s="8">
        <f t="shared" si="2"/>
        <v>1</v>
      </c>
      <c r="Q22" s="8" t="str">
        <f t="shared" ref="Q22" si="16">B22</f>
        <v>CPAMS-TrGr-MRE</v>
      </c>
      <c r="AZ22" s="8">
        <v>1</v>
      </c>
    </row>
    <row r="23" spans="1:54" s="8" customFormat="1">
      <c r="A23" s="18">
        <v>0</v>
      </c>
      <c r="B23" s="8" t="s">
        <v>224</v>
      </c>
      <c r="C23" s="8" t="s">
        <v>205</v>
      </c>
      <c r="D23" s="8" t="s">
        <v>31</v>
      </c>
      <c r="E23" s="8" t="s">
        <v>225</v>
      </c>
      <c r="F23" s="8">
        <v>1</v>
      </c>
      <c r="G23" s="8">
        <v>1</v>
      </c>
      <c r="H23" s="8" t="s">
        <v>190</v>
      </c>
      <c r="I23" s="8">
        <v>1</v>
      </c>
      <c r="J23" s="8">
        <v>1</v>
      </c>
      <c r="K23" s="8">
        <f>INDEX(K$1:K$4,MATCH($H23,$J$1:$J$4,0))</f>
        <v>2</v>
      </c>
      <c r="L23" s="8">
        <f>INDEX(L$1:L$4,MATCH($H23,$J$1:$J$4,0))</f>
        <v>2</v>
      </c>
      <c r="M23" s="8">
        <f>INDEX(M$1:M$4,MATCH($H23,$J$1:$J$4,0))</f>
        <v>2</v>
      </c>
      <c r="N23" s="8">
        <f>INDEX(N$1:N$4,MATCH($H23,$J$1:$J$4,0))</f>
        <v>1</v>
      </c>
      <c r="O23" s="8">
        <f>INDEX(O$1:O$4,MATCH($H23,$J$1:$J$4,0))</f>
        <v>2</v>
      </c>
      <c r="Q23" s="8" t="str">
        <f>B23</f>
        <v>LoPAMS-MRE-TrGr</v>
      </c>
      <c r="AZ23" s="8">
        <v>1</v>
      </c>
    </row>
    <row r="24" spans="1:54">
      <c r="A24" s="18">
        <v>0</v>
      </c>
      <c r="B24" t="s">
        <v>201</v>
      </c>
      <c r="C24" t="s">
        <v>205</v>
      </c>
      <c r="D24" s="8" t="s">
        <v>31</v>
      </c>
      <c r="E24" s="8" t="s">
        <v>203</v>
      </c>
      <c r="F24" s="8">
        <v>1</v>
      </c>
      <c r="G24" s="8">
        <v>1</v>
      </c>
      <c r="H24" s="8" t="s">
        <v>188</v>
      </c>
      <c r="I24" s="8">
        <v>1</v>
      </c>
      <c r="J24" s="8">
        <v>1</v>
      </c>
      <c r="K24" s="8">
        <f t="shared" si="14"/>
        <v>-1</v>
      </c>
      <c r="L24" s="8">
        <f t="shared" si="2"/>
        <v>-1</v>
      </c>
      <c r="M24" s="8">
        <f t="shared" si="2"/>
        <v>-1</v>
      </c>
      <c r="N24" s="8">
        <f t="shared" si="2"/>
        <v>1</v>
      </c>
      <c r="O24" s="8">
        <f t="shared" si="2"/>
        <v>-1</v>
      </c>
      <c r="P24" s="8"/>
      <c r="Q24" s="8" t="str">
        <f t="shared" si="15"/>
        <v>NoPAMS-TrGr-FrcdCoal</v>
      </c>
      <c r="AZ24" s="8">
        <v>1</v>
      </c>
    </row>
    <row r="25" spans="1:54" s="8" customFormat="1">
      <c r="A25" s="18">
        <v>0</v>
      </c>
      <c r="B25" s="8" t="s">
        <v>237</v>
      </c>
      <c r="C25" s="8" t="s">
        <v>205</v>
      </c>
      <c r="D25" s="8" t="s">
        <v>31</v>
      </c>
      <c r="E25" s="8" t="s">
        <v>200</v>
      </c>
      <c r="F25" s="8">
        <v>1</v>
      </c>
      <c r="G25" s="8">
        <v>1</v>
      </c>
      <c r="H25" s="8" t="s">
        <v>188</v>
      </c>
      <c r="I25" s="8">
        <v>1</v>
      </c>
      <c r="J25" s="8">
        <v>1</v>
      </c>
      <c r="K25" s="8">
        <f t="shared" ref="K25:O26" si="17">INDEX(K$1:K$4,MATCH($H25,$J$1:$J$4,0))</f>
        <v>-1</v>
      </c>
      <c r="L25" s="8">
        <f t="shared" si="17"/>
        <v>-1</v>
      </c>
      <c r="M25" s="8">
        <f t="shared" si="17"/>
        <v>-1</v>
      </c>
      <c r="N25" s="8">
        <f t="shared" si="17"/>
        <v>1</v>
      </c>
      <c r="O25" s="8">
        <f t="shared" si="17"/>
        <v>-1</v>
      </c>
      <c r="Q25" s="8" t="str">
        <f t="shared" ref="Q25" si="18">B25</f>
        <v>NoPAMS-TrGr</v>
      </c>
      <c r="AZ25" s="8">
        <v>1</v>
      </c>
    </row>
    <row r="26" spans="1:54" s="8" customFormat="1">
      <c r="A26" s="18">
        <v>0</v>
      </c>
      <c r="B26" s="8" t="s">
        <v>238</v>
      </c>
      <c r="C26" s="8" t="s">
        <v>205</v>
      </c>
      <c r="D26" s="8" t="s">
        <v>31</v>
      </c>
      <c r="E26" s="8" t="s">
        <v>231</v>
      </c>
      <c r="F26" s="8">
        <v>1</v>
      </c>
      <c r="G26" s="8">
        <v>1</v>
      </c>
      <c r="H26" s="8" t="s">
        <v>188</v>
      </c>
      <c r="I26" s="8">
        <v>1</v>
      </c>
      <c r="J26" s="8">
        <v>1</v>
      </c>
      <c r="K26" s="8">
        <f t="shared" si="17"/>
        <v>-1</v>
      </c>
      <c r="L26" s="8">
        <f t="shared" si="17"/>
        <v>-1</v>
      </c>
      <c r="M26" s="8">
        <f t="shared" si="17"/>
        <v>-1</v>
      </c>
      <c r="N26" s="8">
        <f t="shared" si="17"/>
        <v>1</v>
      </c>
      <c r="O26" s="8">
        <f t="shared" si="17"/>
        <v>-1</v>
      </c>
      <c r="Q26" s="8" t="str">
        <f t="shared" ref="Q26" si="19">B26</f>
        <v>NoPAMS-LEAF-TrGr</v>
      </c>
      <c r="AZ26" s="8">
        <v>1</v>
      </c>
      <c r="BB26" s="8">
        <v>1</v>
      </c>
    </row>
    <row r="27" spans="1:54" s="8" customFormat="1">
      <c r="A27" s="18">
        <v>0</v>
      </c>
      <c r="B27" s="8" t="s">
        <v>239</v>
      </c>
      <c r="C27" s="8" t="s">
        <v>205</v>
      </c>
      <c r="D27" s="8" t="s">
        <v>31</v>
      </c>
      <c r="E27" s="8" t="s">
        <v>233</v>
      </c>
      <c r="F27" s="8">
        <v>1</v>
      </c>
      <c r="G27" s="8">
        <v>1</v>
      </c>
      <c r="H27" s="8" t="s">
        <v>189</v>
      </c>
      <c r="I27" s="8">
        <v>1</v>
      </c>
      <c r="J27" s="8">
        <v>1</v>
      </c>
      <c r="K27" s="8">
        <f t="shared" si="14"/>
        <v>2</v>
      </c>
      <c r="L27" s="8">
        <f t="shared" si="2"/>
        <v>2</v>
      </c>
      <c r="M27" s="8">
        <f t="shared" si="2"/>
        <v>1</v>
      </c>
      <c r="N27" s="8">
        <f t="shared" si="2"/>
        <v>2</v>
      </c>
      <c r="O27" s="8">
        <f t="shared" si="2"/>
        <v>1</v>
      </c>
      <c r="Q27" s="8" t="str">
        <f t="shared" ref="Q27" si="20">B27</f>
        <v>CPAMS-LEAF-TrGr</v>
      </c>
      <c r="AZ27" s="8">
        <v>1</v>
      </c>
    </row>
    <row r="28" spans="1:54" s="8" customFormat="1">
      <c r="A28" s="18">
        <v>0</v>
      </c>
      <c r="B28" s="8" t="s">
        <v>240</v>
      </c>
      <c r="C28" s="8" t="s">
        <v>205</v>
      </c>
      <c r="D28" s="8" t="s">
        <v>30</v>
      </c>
      <c r="E28" s="8" t="s">
        <v>241</v>
      </c>
      <c r="F28" s="8">
        <v>1</v>
      </c>
      <c r="G28" s="8">
        <v>1</v>
      </c>
      <c r="H28" s="8" t="s">
        <v>188</v>
      </c>
      <c r="I28" s="8">
        <v>1</v>
      </c>
      <c r="J28" s="8">
        <v>1</v>
      </c>
      <c r="K28" s="8">
        <f t="shared" si="14"/>
        <v>-1</v>
      </c>
      <c r="L28" s="8">
        <f t="shared" si="2"/>
        <v>-1</v>
      </c>
      <c r="M28" s="8">
        <f t="shared" si="2"/>
        <v>-1</v>
      </c>
      <c r="N28" s="8">
        <f t="shared" si="2"/>
        <v>1</v>
      </c>
      <c r="O28" s="8">
        <f t="shared" si="2"/>
        <v>-1</v>
      </c>
      <c r="Q28" s="8" t="str">
        <f t="shared" ref="Q28:Q39" si="21">B28</f>
        <v>NoPAMS-LOP</v>
      </c>
      <c r="AZ28" s="8">
        <v>1</v>
      </c>
    </row>
    <row r="29" spans="1:54" s="8" customFormat="1">
      <c r="A29" s="18">
        <v>0</v>
      </c>
      <c r="B29" s="8" t="s">
        <v>242</v>
      </c>
      <c r="C29" s="8" t="s">
        <v>205</v>
      </c>
      <c r="D29" s="8" t="s">
        <v>30</v>
      </c>
      <c r="E29" s="8" t="s">
        <v>243</v>
      </c>
      <c r="F29" s="8">
        <v>1</v>
      </c>
      <c r="G29" s="8">
        <v>1</v>
      </c>
      <c r="H29" s="8" t="s">
        <v>188</v>
      </c>
      <c r="I29" s="8">
        <v>1</v>
      </c>
      <c r="J29" s="8">
        <v>1</v>
      </c>
      <c r="K29" s="8">
        <f t="shared" si="14"/>
        <v>-1</v>
      </c>
      <c r="L29" s="8">
        <f t="shared" si="2"/>
        <v>-1</v>
      </c>
      <c r="M29" s="8">
        <f t="shared" si="2"/>
        <v>-1</v>
      </c>
      <c r="N29" s="8">
        <f t="shared" si="2"/>
        <v>1</v>
      </c>
      <c r="O29" s="8">
        <f t="shared" si="2"/>
        <v>-1</v>
      </c>
      <c r="Q29" s="8" t="str">
        <f t="shared" si="21"/>
        <v>NoPAMS-IRP</v>
      </c>
      <c r="AZ29" s="8">
        <v>1</v>
      </c>
    </row>
    <row r="30" spans="1:54" s="8" customFormat="1">
      <c r="A30" s="18">
        <v>0</v>
      </c>
      <c r="B30" s="8" t="s">
        <v>244</v>
      </c>
      <c r="C30" s="8" t="s">
        <v>205</v>
      </c>
      <c r="D30" s="8" t="s">
        <v>30</v>
      </c>
      <c r="E30" s="8" t="s">
        <v>245</v>
      </c>
      <c r="F30" s="8">
        <v>1</v>
      </c>
      <c r="G30" s="8">
        <v>1</v>
      </c>
      <c r="H30" s="8" t="s">
        <v>188</v>
      </c>
      <c r="I30" s="8">
        <v>1</v>
      </c>
      <c r="J30" s="8">
        <v>1</v>
      </c>
      <c r="K30" s="8">
        <f t="shared" si="14"/>
        <v>-1</v>
      </c>
      <c r="L30" s="8">
        <f t="shared" si="2"/>
        <v>-1</v>
      </c>
      <c r="M30" s="8">
        <f t="shared" si="2"/>
        <v>-1</v>
      </c>
      <c r="N30" s="8">
        <f t="shared" si="2"/>
        <v>1</v>
      </c>
      <c r="O30" s="8">
        <f t="shared" si="2"/>
        <v>-1</v>
      </c>
      <c r="P30" s="8">
        <v>10</v>
      </c>
      <c r="Q30" s="8" t="str">
        <f t="shared" si="21"/>
        <v>NoPAMS-CAP10</v>
      </c>
      <c r="AZ30" s="8">
        <v>1</v>
      </c>
      <c r="BA30" s="8">
        <v>1</v>
      </c>
    </row>
    <row r="31" spans="1:54" s="8" customFormat="1">
      <c r="A31" s="18">
        <v>0</v>
      </c>
      <c r="B31" s="8" t="s">
        <v>262</v>
      </c>
      <c r="C31" s="8" t="s">
        <v>205</v>
      </c>
      <c r="D31" s="8" t="s">
        <v>30</v>
      </c>
      <c r="E31" s="8" t="s">
        <v>245</v>
      </c>
      <c r="F31" s="8">
        <v>1</v>
      </c>
      <c r="G31" s="8">
        <v>1</v>
      </c>
      <c r="H31" s="8" t="s">
        <v>188</v>
      </c>
      <c r="I31" s="8">
        <v>1</v>
      </c>
      <c r="J31" s="8">
        <v>1</v>
      </c>
      <c r="K31" s="8">
        <f t="shared" si="14"/>
        <v>-1</v>
      </c>
      <c r="L31" s="8">
        <f t="shared" si="2"/>
        <v>-1</v>
      </c>
      <c r="M31" s="8">
        <f t="shared" si="2"/>
        <v>-1</v>
      </c>
      <c r="N31" s="8">
        <f t="shared" si="2"/>
        <v>1</v>
      </c>
      <c r="O31" s="8">
        <f t="shared" si="2"/>
        <v>-1</v>
      </c>
      <c r="P31" s="8">
        <v>9</v>
      </c>
      <c r="Q31" s="8" t="str">
        <f t="shared" ref="Q31:Q33" si="22">B31</f>
        <v>NoPAMS-CAP09</v>
      </c>
      <c r="AZ31" s="8">
        <v>1</v>
      </c>
      <c r="BA31" s="8">
        <v>1</v>
      </c>
    </row>
    <row r="32" spans="1:54" s="8" customFormat="1">
      <c r="A32" s="18">
        <v>0</v>
      </c>
      <c r="B32" s="8" t="s">
        <v>263</v>
      </c>
      <c r="C32" s="8" t="s">
        <v>205</v>
      </c>
      <c r="D32" s="8" t="s">
        <v>30</v>
      </c>
      <c r="E32" s="8" t="s">
        <v>245</v>
      </c>
      <c r="F32" s="8">
        <v>1</v>
      </c>
      <c r="G32" s="8">
        <v>1</v>
      </c>
      <c r="H32" s="8" t="s">
        <v>188</v>
      </c>
      <c r="I32" s="8">
        <v>1</v>
      </c>
      <c r="J32" s="8">
        <v>1</v>
      </c>
      <c r="K32" s="8">
        <f t="shared" si="14"/>
        <v>-1</v>
      </c>
      <c r="L32" s="8">
        <f t="shared" si="2"/>
        <v>-1</v>
      </c>
      <c r="M32" s="8">
        <f t="shared" si="2"/>
        <v>-1</v>
      </c>
      <c r="N32" s="8">
        <f t="shared" si="2"/>
        <v>1</v>
      </c>
      <c r="O32" s="8">
        <f t="shared" si="2"/>
        <v>-1</v>
      </c>
      <c r="P32" s="8">
        <v>8</v>
      </c>
      <c r="Q32" s="8" t="str">
        <f t="shared" si="22"/>
        <v>NoPAMS-CAP08</v>
      </c>
      <c r="AZ32" s="8">
        <v>1</v>
      </c>
      <c r="BA32" s="8">
        <v>1</v>
      </c>
    </row>
    <row r="33" spans="1:53" s="8" customFormat="1">
      <c r="A33" s="18">
        <v>0</v>
      </c>
      <c r="B33" s="8" t="s">
        <v>264</v>
      </c>
      <c r="C33" s="8" t="s">
        <v>205</v>
      </c>
      <c r="D33" s="8" t="s">
        <v>30</v>
      </c>
      <c r="E33" s="8" t="s">
        <v>245</v>
      </c>
      <c r="F33" s="8">
        <v>1</v>
      </c>
      <c r="G33" s="8">
        <v>1</v>
      </c>
      <c r="H33" s="8" t="s">
        <v>188</v>
      </c>
      <c r="I33" s="8">
        <v>1</v>
      </c>
      <c r="J33" s="8">
        <v>1</v>
      </c>
      <c r="K33" s="8">
        <f t="shared" si="14"/>
        <v>-1</v>
      </c>
      <c r="L33" s="8">
        <f t="shared" si="2"/>
        <v>-1</v>
      </c>
      <c r="M33" s="8">
        <f t="shared" si="2"/>
        <v>-1</v>
      </c>
      <c r="N33" s="8">
        <f t="shared" si="2"/>
        <v>1</v>
      </c>
      <c r="O33" s="8">
        <f t="shared" si="2"/>
        <v>-1</v>
      </c>
      <c r="P33" s="8">
        <v>7</v>
      </c>
      <c r="Q33" s="8" t="str">
        <f t="shared" si="22"/>
        <v>NoPAMS-CAP07</v>
      </c>
      <c r="AZ33" s="8">
        <v>1</v>
      </c>
      <c r="BA33" s="8">
        <v>1</v>
      </c>
    </row>
    <row r="34" spans="1:53" s="8" customFormat="1">
      <c r="A34" s="18">
        <v>1</v>
      </c>
      <c r="B34" s="8" t="s">
        <v>265</v>
      </c>
      <c r="C34" s="8" t="s">
        <v>205</v>
      </c>
      <c r="D34" s="8" t="s">
        <v>30</v>
      </c>
      <c r="E34" s="8" t="s">
        <v>245</v>
      </c>
      <c r="F34" s="8">
        <v>1</v>
      </c>
      <c r="G34" s="8">
        <v>1</v>
      </c>
      <c r="H34" s="8" t="s">
        <v>188</v>
      </c>
      <c r="I34" s="8">
        <v>1</v>
      </c>
      <c r="J34" s="8">
        <v>1</v>
      </c>
      <c r="K34" s="8">
        <f t="shared" si="14"/>
        <v>-1</v>
      </c>
      <c r="L34" s="8">
        <f t="shared" si="2"/>
        <v>-1</v>
      </c>
      <c r="M34" s="8">
        <f t="shared" si="2"/>
        <v>-1</v>
      </c>
      <c r="N34" s="8">
        <f t="shared" si="2"/>
        <v>1</v>
      </c>
      <c r="O34" s="8">
        <f t="shared" si="2"/>
        <v>-1</v>
      </c>
      <c r="P34" s="8">
        <v>6</v>
      </c>
      <c r="Q34" s="8" t="str">
        <f t="shared" ref="Q34" si="23">B34</f>
        <v>NoPAMS-CAP06</v>
      </c>
      <c r="AZ34" s="8">
        <v>1</v>
      </c>
      <c r="BA34" s="8">
        <v>1</v>
      </c>
    </row>
    <row r="35" spans="1:53" s="8" customFormat="1">
      <c r="A35" s="18">
        <v>0</v>
      </c>
      <c r="B35" s="8" t="s">
        <v>250</v>
      </c>
      <c r="C35" s="8" t="s">
        <v>205</v>
      </c>
      <c r="D35" s="8" t="s">
        <v>30</v>
      </c>
      <c r="E35" s="8" t="s">
        <v>249</v>
      </c>
      <c r="F35" s="8">
        <v>1</v>
      </c>
      <c r="G35" s="8">
        <v>1</v>
      </c>
      <c r="H35" s="8" t="s">
        <v>188</v>
      </c>
      <c r="I35" s="8">
        <v>1</v>
      </c>
      <c r="J35" s="8">
        <v>1</v>
      </c>
      <c r="K35" s="8">
        <f t="shared" si="14"/>
        <v>-1</v>
      </c>
      <c r="L35" s="8">
        <f t="shared" si="2"/>
        <v>-1</v>
      </c>
      <c r="M35" s="8">
        <f t="shared" si="2"/>
        <v>-1</v>
      </c>
      <c r="N35" s="8">
        <f t="shared" si="2"/>
        <v>1</v>
      </c>
      <c r="O35" s="8">
        <f t="shared" si="2"/>
        <v>-1</v>
      </c>
      <c r="Q35" s="8" t="str">
        <f t="shared" si="21"/>
        <v>NoPAMS-MRE-LEAF</v>
      </c>
      <c r="AZ35" s="8">
        <v>1</v>
      </c>
    </row>
    <row r="36" spans="1:53" s="8" customFormat="1">
      <c r="A36" s="18">
        <v>0</v>
      </c>
      <c r="B36" s="8" t="s">
        <v>251</v>
      </c>
      <c r="C36" s="8" t="s">
        <v>205</v>
      </c>
      <c r="D36" s="8" t="s">
        <v>31</v>
      </c>
      <c r="E36" s="8" t="s">
        <v>249</v>
      </c>
      <c r="F36" s="8">
        <v>1</v>
      </c>
      <c r="G36" s="8">
        <v>1</v>
      </c>
      <c r="H36" s="8" t="s">
        <v>188</v>
      </c>
      <c r="I36" s="8">
        <v>1</v>
      </c>
      <c r="J36" s="8">
        <v>1</v>
      </c>
      <c r="K36" s="8">
        <f t="shared" si="14"/>
        <v>-1</v>
      </c>
      <c r="L36" s="8">
        <f t="shared" si="2"/>
        <v>-1</v>
      </c>
      <c r="M36" s="8">
        <f t="shared" si="2"/>
        <v>-1</v>
      </c>
      <c r="N36" s="8">
        <f t="shared" si="2"/>
        <v>1</v>
      </c>
      <c r="O36" s="8">
        <f t="shared" si="2"/>
        <v>-1</v>
      </c>
      <c r="Q36" s="8" t="str">
        <f t="shared" si="21"/>
        <v>NoPAMS-MRE-LEAF-TrGr</v>
      </c>
      <c r="AZ36" s="8">
        <v>1</v>
      </c>
    </row>
    <row r="37" spans="1:53" s="8" customFormat="1">
      <c r="A37" s="18">
        <v>0</v>
      </c>
      <c r="B37" s="8" t="s">
        <v>261</v>
      </c>
      <c r="C37" s="8" t="s">
        <v>205</v>
      </c>
      <c r="D37" s="8" t="s">
        <v>30</v>
      </c>
      <c r="E37" s="8" t="s">
        <v>253</v>
      </c>
      <c r="F37" s="8">
        <v>1</v>
      </c>
      <c r="G37" s="8">
        <v>1</v>
      </c>
      <c r="H37" s="8" t="s">
        <v>188</v>
      </c>
      <c r="I37" s="8">
        <v>1</v>
      </c>
      <c r="J37" s="8">
        <v>1</v>
      </c>
      <c r="K37" s="8">
        <f t="shared" si="14"/>
        <v>-1</v>
      </c>
      <c r="L37" s="8">
        <f t="shared" si="2"/>
        <v>-1</v>
      </c>
      <c r="M37" s="8">
        <f t="shared" si="2"/>
        <v>-1</v>
      </c>
      <c r="N37" s="8">
        <f t="shared" si="2"/>
        <v>1</v>
      </c>
      <c r="O37" s="8">
        <f t="shared" si="2"/>
        <v>-1</v>
      </c>
      <c r="Q37" s="8" t="str">
        <f t="shared" ref="Q37" si="24">B37</f>
        <v>NoPAMS-RE-LEAF</v>
      </c>
      <c r="AZ37" s="8">
        <v>1</v>
      </c>
    </row>
    <row r="38" spans="1:53" s="8" customFormat="1">
      <c r="A38" s="18">
        <v>0</v>
      </c>
      <c r="B38" s="8" t="s">
        <v>252</v>
      </c>
      <c r="C38" s="8" t="s">
        <v>205</v>
      </c>
      <c r="D38" s="8" t="s">
        <v>31</v>
      </c>
      <c r="E38" s="8" t="s">
        <v>253</v>
      </c>
      <c r="F38" s="8">
        <v>1</v>
      </c>
      <c r="G38" s="8">
        <v>1</v>
      </c>
      <c r="H38" s="8" t="s">
        <v>188</v>
      </c>
      <c r="I38" s="8">
        <v>1</v>
      </c>
      <c r="J38" s="8">
        <v>1</v>
      </c>
      <c r="K38" s="8">
        <f t="shared" si="14"/>
        <v>-1</v>
      </c>
      <c r="L38" s="8">
        <f t="shared" si="2"/>
        <v>-1</v>
      </c>
      <c r="M38" s="8">
        <f t="shared" si="2"/>
        <v>-1</v>
      </c>
      <c r="N38" s="8">
        <f t="shared" si="2"/>
        <v>1</v>
      </c>
      <c r="O38" s="8">
        <f t="shared" si="2"/>
        <v>-1</v>
      </c>
      <c r="Q38" s="8" t="str">
        <f t="shared" si="21"/>
        <v>NoPAMS-RE-LEAF-TrGr</v>
      </c>
      <c r="AZ38" s="8">
        <v>1</v>
      </c>
    </row>
    <row r="39" spans="1:53" s="8" customFormat="1">
      <c r="A39" s="18">
        <v>0</v>
      </c>
      <c r="B39" s="8" t="s">
        <v>254</v>
      </c>
      <c r="C39" s="8" t="s">
        <v>205</v>
      </c>
      <c r="D39" s="8" t="s">
        <v>30</v>
      </c>
      <c r="E39" s="8" t="s">
        <v>255</v>
      </c>
      <c r="F39" s="8">
        <v>1</v>
      </c>
      <c r="G39" s="8">
        <v>1</v>
      </c>
      <c r="H39" s="8" t="s">
        <v>189</v>
      </c>
      <c r="I39" s="8">
        <v>1</v>
      </c>
      <c r="J39" s="8">
        <v>1</v>
      </c>
      <c r="K39" s="8">
        <f t="shared" si="14"/>
        <v>2</v>
      </c>
      <c r="L39" s="8">
        <f t="shared" si="2"/>
        <v>2</v>
      </c>
      <c r="M39" s="8">
        <f t="shared" si="2"/>
        <v>1</v>
      </c>
      <c r="N39" s="8">
        <f t="shared" si="2"/>
        <v>2</v>
      </c>
      <c r="O39" s="8">
        <f t="shared" si="2"/>
        <v>1</v>
      </c>
      <c r="Q39" s="8" t="str">
        <f t="shared" si="21"/>
        <v>CPAMS-NoIRP-LEAF</v>
      </c>
      <c r="AZ39" s="8">
        <v>1</v>
      </c>
    </row>
    <row r="40" spans="1:53" s="8" customFormat="1">
      <c r="A40" s="18">
        <v>0</v>
      </c>
      <c r="B40" s="8" t="s">
        <v>256</v>
      </c>
      <c r="C40" s="8" t="s">
        <v>205</v>
      </c>
      <c r="D40" s="8" t="s">
        <v>30</v>
      </c>
      <c r="E40" s="8" t="s">
        <v>257</v>
      </c>
      <c r="F40" s="8">
        <v>1</v>
      </c>
      <c r="G40" s="8">
        <v>1</v>
      </c>
      <c r="H40" s="8" t="s">
        <v>189</v>
      </c>
      <c r="I40" s="8">
        <v>1</v>
      </c>
      <c r="J40" s="8">
        <v>1</v>
      </c>
      <c r="K40" s="8">
        <f>INDEX(K$1:K$4,MATCH($H40,$J$1:$J$4,0))</f>
        <v>2</v>
      </c>
      <c r="L40" s="8">
        <f t="shared" ref="L40:O51" si="25">INDEX(L$1:L$4,MATCH($H40,$J$1:$J$4,0))</f>
        <v>2</v>
      </c>
      <c r="M40" s="8">
        <f t="shared" si="25"/>
        <v>1</v>
      </c>
      <c r="N40" s="8">
        <f t="shared" si="25"/>
        <v>2</v>
      </c>
      <c r="O40" s="8">
        <f t="shared" si="25"/>
        <v>1</v>
      </c>
      <c r="Q40" s="8" t="str">
        <f t="shared" ref="Q40" si="26">B40</f>
        <v>CPAMS-MRE-LEAF</v>
      </c>
      <c r="AZ40" s="8">
        <v>1</v>
      </c>
    </row>
    <row r="41" spans="1:53" s="8" customFormat="1">
      <c r="A41" s="18">
        <v>0</v>
      </c>
      <c r="B41" s="8" t="s">
        <v>258</v>
      </c>
      <c r="C41" s="8" t="s">
        <v>205</v>
      </c>
      <c r="D41" s="8" t="s">
        <v>31</v>
      </c>
      <c r="E41" s="8" t="s">
        <v>255</v>
      </c>
      <c r="F41" s="8">
        <v>1</v>
      </c>
      <c r="G41" s="8">
        <v>1</v>
      </c>
      <c r="H41" s="8" t="s">
        <v>189</v>
      </c>
      <c r="I41" s="8">
        <v>1</v>
      </c>
      <c r="J41" s="8">
        <v>1</v>
      </c>
      <c r="K41" s="8">
        <f t="shared" si="14"/>
        <v>2</v>
      </c>
      <c r="L41" s="8">
        <f t="shared" si="2"/>
        <v>2</v>
      </c>
      <c r="M41" s="8">
        <f t="shared" si="2"/>
        <v>1</v>
      </c>
      <c r="N41" s="8">
        <f t="shared" si="2"/>
        <v>2</v>
      </c>
      <c r="O41" s="8">
        <f t="shared" si="2"/>
        <v>1</v>
      </c>
      <c r="Q41" s="8" t="str">
        <f>B41</f>
        <v>CPAMS-NoIRP-LEAF-TrGr</v>
      </c>
      <c r="AZ41" s="8">
        <v>1</v>
      </c>
    </row>
    <row r="42" spans="1:53" s="8" customFormat="1">
      <c r="A42" s="18">
        <v>0</v>
      </c>
      <c r="B42" s="8" t="s">
        <v>259</v>
      </c>
      <c r="C42" s="8" t="s">
        <v>205</v>
      </c>
      <c r="D42" s="8" t="s">
        <v>31</v>
      </c>
      <c r="E42" s="8" t="s">
        <v>257</v>
      </c>
      <c r="F42" s="8">
        <v>1</v>
      </c>
      <c r="G42" s="8">
        <v>1</v>
      </c>
      <c r="H42" s="8" t="s">
        <v>189</v>
      </c>
      <c r="I42" s="8">
        <v>1</v>
      </c>
      <c r="J42" s="8">
        <v>1</v>
      </c>
      <c r="K42" s="8">
        <f>INDEX(K$1:K$4,MATCH($H42,$J$1:$J$4,0))</f>
        <v>2</v>
      </c>
      <c r="L42" s="8">
        <f t="shared" si="25"/>
        <v>2</v>
      </c>
      <c r="M42" s="8">
        <f t="shared" si="25"/>
        <v>1</v>
      </c>
      <c r="N42" s="8">
        <f t="shared" si="25"/>
        <v>2</v>
      </c>
      <c r="O42" s="8">
        <f t="shared" si="25"/>
        <v>1</v>
      </c>
      <c r="Q42" s="8" t="str">
        <f t="shared" ref="Q42:Q43" si="27">B42</f>
        <v>CPAMS-MRE-LEAF-TrGr</v>
      </c>
      <c r="AZ42" s="8">
        <v>1</v>
      </c>
    </row>
    <row r="43" spans="1:53" s="8" customFormat="1">
      <c r="A43" s="18">
        <v>0</v>
      </c>
      <c r="B43" s="8" t="s">
        <v>260</v>
      </c>
      <c r="C43" s="8" t="s">
        <v>205</v>
      </c>
      <c r="D43" s="8" t="s">
        <v>31</v>
      </c>
      <c r="E43" s="8" t="s">
        <v>232</v>
      </c>
      <c r="F43" s="8">
        <v>1</v>
      </c>
      <c r="G43" s="8">
        <v>1</v>
      </c>
      <c r="H43" s="8" t="s">
        <v>189</v>
      </c>
      <c r="I43" s="8">
        <v>1</v>
      </c>
      <c r="J43" s="8">
        <v>1</v>
      </c>
      <c r="K43" s="8">
        <f>INDEX(K$1:K$4,MATCH($H43,$J$1:$J$4,0))</f>
        <v>2</v>
      </c>
      <c r="L43" s="8">
        <f t="shared" si="25"/>
        <v>2</v>
      </c>
      <c r="M43" s="8">
        <f t="shared" si="25"/>
        <v>1</v>
      </c>
      <c r="N43" s="8">
        <f t="shared" si="25"/>
        <v>2</v>
      </c>
      <c r="O43" s="8">
        <f t="shared" si="25"/>
        <v>1</v>
      </c>
      <c r="Q43" s="8" t="str">
        <f t="shared" si="27"/>
        <v>CPAMS-RE-LEAF-TrGr</v>
      </c>
      <c r="AZ43" s="8">
        <v>1</v>
      </c>
    </row>
    <row r="44" spans="1:53" s="8" customFormat="1">
      <c r="A44" s="18">
        <v>0</v>
      </c>
      <c r="B44" s="8" t="s">
        <v>266</v>
      </c>
      <c r="C44" s="8" t="s">
        <v>205</v>
      </c>
      <c r="D44" s="8" t="s">
        <v>30</v>
      </c>
      <c r="E44" s="8" t="s">
        <v>271</v>
      </c>
      <c r="F44" s="8">
        <v>1</v>
      </c>
      <c r="G44" s="8">
        <v>1</v>
      </c>
      <c r="H44" s="8" t="s">
        <v>189</v>
      </c>
      <c r="I44" s="8">
        <v>1</v>
      </c>
      <c r="J44" s="8">
        <v>1</v>
      </c>
      <c r="K44" s="8">
        <f t="shared" ref="K44:O52" si="28">INDEX(K$1:K$4,MATCH($H44,$J$1:$J$4,0))</f>
        <v>2</v>
      </c>
      <c r="L44" s="8">
        <f t="shared" si="25"/>
        <v>2</v>
      </c>
      <c r="M44" s="8">
        <f t="shared" si="25"/>
        <v>1</v>
      </c>
      <c r="N44" s="8">
        <f t="shared" si="25"/>
        <v>2</v>
      </c>
      <c r="O44" s="8">
        <f t="shared" si="25"/>
        <v>1</v>
      </c>
      <c r="P44" s="8">
        <v>10</v>
      </c>
      <c r="Q44" s="8" t="str">
        <f t="shared" ref="Q44:Q48" si="29">B44</f>
        <v>CPAMS-CAP10</v>
      </c>
      <c r="AZ44" s="8">
        <v>1</v>
      </c>
      <c r="BA44" s="8">
        <v>1</v>
      </c>
    </row>
    <row r="45" spans="1:53" s="8" customFormat="1">
      <c r="A45" s="18">
        <v>0</v>
      </c>
      <c r="B45" s="8" t="s">
        <v>267</v>
      </c>
      <c r="C45" s="8" t="s">
        <v>205</v>
      </c>
      <c r="D45" s="8" t="s">
        <v>30</v>
      </c>
      <c r="E45" s="8" t="s">
        <v>271</v>
      </c>
      <c r="F45" s="8">
        <v>1</v>
      </c>
      <c r="G45" s="8">
        <v>1</v>
      </c>
      <c r="H45" s="8" t="s">
        <v>189</v>
      </c>
      <c r="I45" s="8">
        <v>1</v>
      </c>
      <c r="J45" s="8">
        <v>1</v>
      </c>
      <c r="K45" s="8">
        <f t="shared" si="28"/>
        <v>2</v>
      </c>
      <c r="L45" s="8">
        <f t="shared" si="25"/>
        <v>2</v>
      </c>
      <c r="M45" s="8">
        <f t="shared" si="25"/>
        <v>1</v>
      </c>
      <c r="N45" s="8">
        <f t="shared" si="25"/>
        <v>2</v>
      </c>
      <c r="O45" s="8">
        <f t="shared" si="25"/>
        <v>1</v>
      </c>
      <c r="P45" s="8">
        <v>9</v>
      </c>
      <c r="Q45" s="8" t="str">
        <f t="shared" si="29"/>
        <v>CPAMS-CAP09</v>
      </c>
      <c r="AZ45" s="8">
        <v>1</v>
      </c>
      <c r="BA45" s="8">
        <v>1</v>
      </c>
    </row>
    <row r="46" spans="1:53" s="8" customFormat="1">
      <c r="A46" s="18">
        <v>0</v>
      </c>
      <c r="B46" s="8" t="s">
        <v>268</v>
      </c>
      <c r="C46" s="8" t="s">
        <v>205</v>
      </c>
      <c r="D46" s="8" t="s">
        <v>30</v>
      </c>
      <c r="E46" s="8" t="s">
        <v>271</v>
      </c>
      <c r="F46" s="8">
        <v>1</v>
      </c>
      <c r="G46" s="8">
        <v>1</v>
      </c>
      <c r="H46" s="8" t="s">
        <v>189</v>
      </c>
      <c r="I46" s="8">
        <v>1</v>
      </c>
      <c r="J46" s="8">
        <v>1</v>
      </c>
      <c r="K46" s="8">
        <f t="shared" si="28"/>
        <v>2</v>
      </c>
      <c r="L46" s="8">
        <f t="shared" si="25"/>
        <v>2</v>
      </c>
      <c r="M46" s="8">
        <f t="shared" si="25"/>
        <v>1</v>
      </c>
      <c r="N46" s="8">
        <f t="shared" si="25"/>
        <v>2</v>
      </c>
      <c r="O46" s="8">
        <f t="shared" si="25"/>
        <v>1</v>
      </c>
      <c r="P46" s="8">
        <v>8</v>
      </c>
      <c r="Q46" s="8" t="str">
        <f t="shared" si="29"/>
        <v>CPAMS-CAP08</v>
      </c>
      <c r="AZ46" s="8">
        <v>1</v>
      </c>
      <c r="BA46" s="8">
        <v>1</v>
      </c>
    </row>
    <row r="47" spans="1:53" s="8" customFormat="1">
      <c r="A47" s="18">
        <v>0</v>
      </c>
      <c r="B47" s="8" t="s">
        <v>269</v>
      </c>
      <c r="C47" s="8" t="s">
        <v>205</v>
      </c>
      <c r="D47" s="8" t="s">
        <v>30</v>
      </c>
      <c r="E47" s="8" t="s">
        <v>271</v>
      </c>
      <c r="F47" s="8">
        <v>1</v>
      </c>
      <c r="G47" s="8">
        <v>1</v>
      </c>
      <c r="H47" s="8" t="s">
        <v>189</v>
      </c>
      <c r="I47" s="8">
        <v>1</v>
      </c>
      <c r="J47" s="8">
        <v>1</v>
      </c>
      <c r="K47" s="8">
        <f t="shared" si="28"/>
        <v>2</v>
      </c>
      <c r="L47" s="8">
        <f t="shared" si="25"/>
        <v>2</v>
      </c>
      <c r="M47" s="8">
        <f t="shared" si="25"/>
        <v>1</v>
      </c>
      <c r="N47" s="8">
        <f t="shared" si="25"/>
        <v>2</v>
      </c>
      <c r="O47" s="8">
        <f t="shared" si="25"/>
        <v>1</v>
      </c>
      <c r="P47" s="8">
        <v>7</v>
      </c>
      <c r="Q47" s="8" t="str">
        <f t="shared" si="29"/>
        <v>CPAMS-CAP07</v>
      </c>
      <c r="AZ47" s="8">
        <v>1</v>
      </c>
      <c r="BA47" s="8">
        <v>1</v>
      </c>
    </row>
    <row r="48" spans="1:53" s="8" customFormat="1">
      <c r="A48" s="18">
        <v>0</v>
      </c>
      <c r="B48" s="8" t="s">
        <v>270</v>
      </c>
      <c r="C48" s="8" t="s">
        <v>205</v>
      </c>
      <c r="D48" s="8" t="s">
        <v>30</v>
      </c>
      <c r="E48" s="8" t="s">
        <v>271</v>
      </c>
      <c r="F48" s="8">
        <v>1</v>
      </c>
      <c r="G48" s="8">
        <v>1</v>
      </c>
      <c r="H48" s="8" t="s">
        <v>189</v>
      </c>
      <c r="I48" s="8">
        <v>1</v>
      </c>
      <c r="J48" s="8">
        <v>1</v>
      </c>
      <c r="K48" s="8">
        <f t="shared" si="28"/>
        <v>2</v>
      </c>
      <c r="L48" s="8">
        <f t="shared" si="25"/>
        <v>2</v>
      </c>
      <c r="M48" s="8">
        <f t="shared" si="25"/>
        <v>1</v>
      </c>
      <c r="N48" s="8">
        <f t="shared" si="25"/>
        <v>2</v>
      </c>
      <c r="O48" s="8">
        <f t="shared" si="25"/>
        <v>1</v>
      </c>
      <c r="P48" s="8">
        <v>6</v>
      </c>
      <c r="Q48" s="8" t="str">
        <f t="shared" si="29"/>
        <v>CPAMS-CAP06</v>
      </c>
      <c r="AZ48" s="8">
        <v>1</v>
      </c>
      <c r="BA48" s="8">
        <v>1</v>
      </c>
    </row>
    <row r="49" spans="1:54" s="8" customFormat="1">
      <c r="A49" s="18">
        <v>0</v>
      </c>
      <c r="B49" s="8" t="s">
        <v>273</v>
      </c>
      <c r="C49" s="8" t="s">
        <v>205</v>
      </c>
      <c r="D49" s="8" t="s">
        <v>30</v>
      </c>
      <c r="E49" s="8" t="s">
        <v>272</v>
      </c>
      <c r="F49" s="8">
        <v>0</v>
      </c>
      <c r="G49" s="8">
        <v>0</v>
      </c>
      <c r="H49" s="8" t="s">
        <v>188</v>
      </c>
      <c r="I49" s="8">
        <v>1</v>
      </c>
      <c r="J49" s="8">
        <v>1</v>
      </c>
      <c r="K49" s="8">
        <f t="shared" si="28"/>
        <v>-1</v>
      </c>
      <c r="L49" s="8">
        <f t="shared" si="25"/>
        <v>-1</v>
      </c>
      <c r="M49" s="8">
        <f t="shared" si="25"/>
        <v>-1</v>
      </c>
      <c r="N49" s="8">
        <f t="shared" si="25"/>
        <v>1</v>
      </c>
      <c r="O49" s="8">
        <f t="shared" si="25"/>
        <v>-1</v>
      </c>
      <c r="Q49" s="8" t="str">
        <f>B49</f>
        <v>NoPAMS-RR</v>
      </c>
      <c r="AZ49" s="8">
        <v>1</v>
      </c>
    </row>
    <row r="50" spans="1:54" s="8" customFormat="1">
      <c r="A50" s="18">
        <v>0</v>
      </c>
      <c r="B50" s="8" t="s">
        <v>280</v>
      </c>
      <c r="C50" s="8" t="s">
        <v>205</v>
      </c>
      <c r="D50" s="8" t="s">
        <v>30</v>
      </c>
      <c r="E50" s="8" t="s">
        <v>281</v>
      </c>
      <c r="F50" s="8">
        <v>1</v>
      </c>
      <c r="G50" s="8">
        <v>1</v>
      </c>
      <c r="H50" s="8" t="s">
        <v>188</v>
      </c>
      <c r="I50" s="8">
        <v>1</v>
      </c>
      <c r="J50" s="8">
        <v>1</v>
      </c>
      <c r="K50" s="8">
        <f t="shared" si="28"/>
        <v>-1</v>
      </c>
      <c r="L50" s="8">
        <f t="shared" si="25"/>
        <v>-1</v>
      </c>
      <c r="M50" s="8">
        <f t="shared" si="25"/>
        <v>-1</v>
      </c>
      <c r="N50" s="8">
        <f t="shared" si="25"/>
        <v>1</v>
      </c>
      <c r="O50" s="8">
        <f t="shared" si="25"/>
        <v>-1</v>
      </c>
      <c r="Q50" s="8" t="str">
        <f>B50</f>
        <v>NoPAMS_Fnuc</v>
      </c>
      <c r="AZ50" s="8">
        <v>1</v>
      </c>
      <c r="BA50" s="8">
        <v>1</v>
      </c>
      <c r="BB50" s="8">
        <v>1</v>
      </c>
    </row>
    <row r="51" spans="1:54" s="8" customFormat="1">
      <c r="A51" s="18">
        <v>0</v>
      </c>
      <c r="B51" s="8" t="s">
        <v>283</v>
      </c>
      <c r="C51" s="8" t="s">
        <v>205</v>
      </c>
      <c r="D51" s="8" t="s">
        <v>30</v>
      </c>
      <c r="E51" s="8" t="s">
        <v>282</v>
      </c>
      <c r="F51" s="8">
        <v>1</v>
      </c>
      <c r="G51" s="8">
        <v>1</v>
      </c>
      <c r="H51" s="8" t="s">
        <v>188</v>
      </c>
      <c r="I51" s="8">
        <v>1</v>
      </c>
      <c r="J51" s="8">
        <v>1</v>
      </c>
      <c r="K51" s="8">
        <f t="shared" si="28"/>
        <v>-1</v>
      </c>
      <c r="L51" s="8">
        <f t="shared" si="25"/>
        <v>-1</v>
      </c>
      <c r="M51" s="8">
        <f t="shared" si="25"/>
        <v>-1</v>
      </c>
      <c r="N51" s="8">
        <f t="shared" si="25"/>
        <v>1</v>
      </c>
      <c r="O51" s="8">
        <f t="shared" si="25"/>
        <v>-1</v>
      </c>
      <c r="Q51" s="8" t="str">
        <f>B51</f>
        <v>NoPAMS_Fnuc-LEAF</v>
      </c>
      <c r="AZ51" s="8">
        <v>1</v>
      </c>
      <c r="BA51" s="8">
        <v>1</v>
      </c>
      <c r="BB51" s="8">
        <v>1</v>
      </c>
    </row>
    <row r="52" spans="1:54" s="8" customFormat="1">
      <c r="A52" s="18">
        <v>0</v>
      </c>
      <c r="B52" s="8" t="s">
        <v>284</v>
      </c>
      <c r="C52" s="8" t="s">
        <v>205</v>
      </c>
      <c r="D52" s="8" t="s">
        <v>31</v>
      </c>
      <c r="E52" s="8" t="s">
        <v>282</v>
      </c>
      <c r="F52" s="8">
        <v>1</v>
      </c>
      <c r="G52" s="8">
        <v>1</v>
      </c>
      <c r="H52" s="8" t="s">
        <v>188</v>
      </c>
      <c r="I52" s="8">
        <v>1</v>
      </c>
      <c r="J52" s="8">
        <v>1</v>
      </c>
      <c r="K52" s="8">
        <f t="shared" si="28"/>
        <v>-1</v>
      </c>
      <c r="L52" s="8">
        <f t="shared" si="28"/>
        <v>-1</v>
      </c>
      <c r="M52" s="8">
        <f t="shared" si="28"/>
        <v>-1</v>
      </c>
      <c r="N52" s="8">
        <f t="shared" si="28"/>
        <v>1</v>
      </c>
      <c r="O52" s="8">
        <f t="shared" si="28"/>
        <v>-1</v>
      </c>
      <c r="Q52" s="8" t="str">
        <f t="shared" ref="Q52" si="30">B52</f>
        <v>NoPAMS_Fnuc-LEAF-TrGr</v>
      </c>
      <c r="AZ52" s="8">
        <v>1</v>
      </c>
      <c r="BB52" s="8">
        <v>1</v>
      </c>
    </row>
  </sheetData>
  <autoFilter ref="A7:BD52" xr:uid="{F12A9057-D6C1-4118-9804-B49588E3993F}"/>
  <mergeCells count="1">
    <mergeCell ref="R6:AE6"/>
  </mergeCells>
  <phoneticPr fontId="34" type="noConversion"/>
  <conditionalFormatting sqref="A1:A49 A53:A1048576">
    <cfRule type="iconSet" priority="3">
      <iconSet>
        <cfvo type="percent" val="0"/>
        <cfvo type="percent" val="33"/>
        <cfvo type="percent" val="67"/>
      </iconSet>
    </cfRule>
  </conditionalFormatting>
  <conditionalFormatting sqref="A50:A51">
    <cfRule type="iconSet" priority="2">
      <iconSet>
        <cfvo type="percent" val="0"/>
        <cfvo type="percent" val="33"/>
        <cfvo type="percent" val="67"/>
      </iconSet>
    </cfRule>
  </conditionalFormatting>
  <conditionalFormatting sqref="A52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52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8" customFormat="1">
      <c r="C1" s="2" t="s">
        <v>111</v>
      </c>
      <c r="D1" s="2" t="s">
        <v>106</v>
      </c>
    </row>
    <row r="2" spans="3:8" s="8" customFormat="1">
      <c r="C2" s="2" t="s">
        <v>108</v>
      </c>
    </row>
    <row r="3" spans="3:8" s="8" customFormat="1">
      <c r="C3" s="8" t="s">
        <v>110</v>
      </c>
      <c r="D3" s="8" t="s">
        <v>107</v>
      </c>
    </row>
    <row r="4" spans="3:8" s="8" customFormat="1">
      <c r="C4" s="8" t="s">
        <v>109</v>
      </c>
      <c r="D4" s="8" t="s">
        <v>107</v>
      </c>
      <c r="H4" s="2" t="s">
        <v>116</v>
      </c>
    </row>
    <row r="5" spans="3:8" s="8" customFormat="1">
      <c r="C5" s="8" t="s">
        <v>112</v>
      </c>
      <c r="D5" s="8" t="s">
        <v>107</v>
      </c>
      <c r="H5" t="s">
        <v>117</v>
      </c>
    </row>
    <row r="6" spans="3:8" s="8" customFormat="1">
      <c r="C6" s="8" t="s">
        <v>114</v>
      </c>
      <c r="D6" s="8" t="s">
        <v>107</v>
      </c>
      <c r="H6" t="s">
        <v>118</v>
      </c>
    </row>
    <row r="7" spans="3:8" s="8" customFormat="1">
      <c r="G7" s="8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8" t="s">
        <v>168</v>
      </c>
      <c r="H18" t="s">
        <v>128</v>
      </c>
    </row>
    <row r="19" spans="3:8">
      <c r="C19" t="s">
        <v>93</v>
      </c>
      <c r="G19" s="8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6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8" customFormat="1">
      <c r="C32" s="8" t="s">
        <v>102</v>
      </c>
      <c r="D32" s="8" t="s">
        <v>107</v>
      </c>
      <c r="H32"/>
    </row>
    <row r="33" spans="3:8" s="8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8" t="s">
        <v>88</v>
      </c>
      <c r="H51" s="2" t="s">
        <v>150</v>
      </c>
    </row>
    <row r="52" spans="3:8">
      <c r="C52" s="8" t="s">
        <v>83</v>
      </c>
      <c r="D52" t="s">
        <v>107</v>
      </c>
      <c r="H52" t="s">
        <v>151</v>
      </c>
    </row>
    <row r="53" spans="3:8">
      <c r="C53" s="8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8" t="s">
        <v>89</v>
      </c>
      <c r="G57" t="s">
        <v>166</v>
      </c>
      <c r="H57" t="s">
        <v>154</v>
      </c>
    </row>
    <row r="58" spans="3:8">
      <c r="C58" s="8" t="s">
        <v>83</v>
      </c>
      <c r="D58" t="s">
        <v>107</v>
      </c>
    </row>
    <row r="59" spans="3:8">
      <c r="C59" s="8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2021-02-25T18:49:24Z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